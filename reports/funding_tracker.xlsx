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pivotTables/pivotTable2.xml" ContentType="application/vnd.openxmlformats-officedocument.spreadsheetml.pivotTable+xml"/>
  <Override PartName="/xl/worksheets/sheet5.xml" ContentType="application/vnd.openxmlformats-officedocument.spreadsheetml.worksheet+xml"/>
  <Override PartName="/xl/pivotTables/pivotTable3.xml" ContentType="application/vnd.openxmlformats-officedocument.spreadsheetml.pivot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ounds" sheetId="2" state="visible" r:id="rId2"/>
    <sheet xmlns:r="http://schemas.openxmlformats.org/officeDocument/2006/relationships" name="By Sector" sheetId="3" state="visible" r:id="rId3"/>
    <sheet xmlns:r="http://schemas.openxmlformats.org/officeDocument/2006/relationships" name="By Stage" sheetId="4" state="visible" r:id="rId4"/>
    <sheet xmlns:r="http://schemas.openxmlformats.org/officeDocument/2006/relationships" name="By City" sheetId="5" state="visible" r:id="rId5"/>
    <sheet xmlns:r="http://schemas.openxmlformats.org/officeDocument/2006/relationships" name="Checks" sheetId="6" state="visible" r:id="rId6"/>
    <sheet xmlns:r="http://schemas.openxmlformats.org/officeDocument/2006/relationships" name="Exceptions" sheetId="7" state="visible" r:id="rId7"/>
    <sheet xmlns:r="http://schemas.openxmlformats.org/officeDocument/2006/relationships" name="Source rules" sheetId="8" state="visible" r:id="rId8"/>
    <sheet xmlns:r="http://schemas.openxmlformats.org/officeDocument/2006/relationships" name="Reports" sheetId="9" state="visible" r:id="rId9"/>
    <sheet xmlns:r="http://schemas.openxmlformats.org/officeDocument/2006/relationships" name="Coverage" sheetId="10" state="visible" r:id="rId10"/>
    <sheet xmlns:r="http://schemas.openxmlformats.org/officeDocument/2006/relationships" name="Chart data" sheetId="11" state="visible" r:id="rId11"/>
    <sheet xmlns:r="http://schemas.openxmlformats.org/officeDocument/2006/relationships" name="About" sheetId="12" state="visible" r:id="rId12"/>
  </sheets>
  <definedNames/>
  <calcPr calcId="124519" fullCalcOnLoad="1"/>
  <pivotCaches>
    <pivotCache xmlns:r="http://schemas.openxmlformats.org/officeDocument/2006/relationships" cacheId="1" r:id="rId13"/>
  </pivotCaches>
</workbook>
</file>

<file path=xl/styles.xml><?xml version="1.0" encoding="utf-8"?>
<styleSheet xmlns="http://schemas.openxmlformats.org/spreadsheetml/2006/main">
  <numFmts count="5">
    <numFmt numFmtId="164" formatCode="yyyy-mm-dd"/>
    <numFmt numFmtId="165" formatCode="dd-mmm-yyyy"/>
    <numFmt numFmtId="166" formatCode="0.0"/>
    <numFmt numFmtId="167" formatCode="#,##0.0"/>
    <numFmt numFmtId="168" formatCode="0.0%"/>
  </numFmts>
  <fonts count="14">
    <font>
      <name val="Calibri"/>
      <family val="2"/>
      <color theme="1"/>
      <sz val="11"/>
      <scheme val="minor"/>
    </font>
    <font>
      <color rgb="001C5CAB"/>
      <u val="single"/>
    </font>
    <font>
      <b val="1"/>
      <color rgb="000B0B0B"/>
      <sz val="14"/>
    </font>
    <font>
      <color rgb="0052514E"/>
      <sz val="10"/>
    </font>
    <font>
      <b val="1"/>
    </font>
    <font>
      <color rgb="008A8985"/>
      <sz val="9"/>
    </font>
    <font>
      <b val="1"/>
      <color rgb="000B0B0B"/>
      <sz val="18"/>
    </font>
    <font>
      <b val="1"/>
      <color rgb="000B0B0B"/>
      <sz val="22"/>
    </font>
    <font>
      <b val="1"/>
      <color rgb="000B0B0B"/>
      <sz val="12"/>
    </font>
    <font>
      <color rgb="0052514E"/>
    </font>
    <font>
      <color rgb="00D03B3B"/>
    </font>
    <font>
      <color rgb="008A8985"/>
    </font>
    <font>
      <color rgb="00FAB219"/>
    </font>
    <font>
      <b val="1"/>
      <color rgb="000B0B0B"/>
    </font>
  </fonts>
  <fills count="4">
    <fill>
      <patternFill/>
    </fill>
    <fill>
      <patternFill patternType="gray125"/>
    </fill>
    <fill>
      <patternFill patternType="solid">
        <fgColor rgb="00F6F5F2"/>
      </patternFill>
    </fill>
    <fill>
      <patternFill patternType="solid">
        <fgColor rgb="00FFF7D6"/>
      </patternFill>
    </fill>
  </fills>
  <borders count="6">
    <border>
      <left/>
      <right/>
      <top/>
      <bottom/>
      <diagonal/>
    </border>
    <border>
      <left style="thin">
        <color rgb="00E6E5E1"/>
      </left>
      <right style="thin">
        <color rgb="00E6E5E1"/>
      </right>
      <top style="thin">
        <color rgb="00E6E5E1"/>
      </top>
      <bottom style="thin">
        <color rgb="00E6E5E1"/>
      </bottom>
    </border>
    <border>
      <left/>
      <right/>
      <top style="thin">
        <color rgb="00E6E5E1"/>
      </top>
      <bottom/>
      <diagonal/>
    </border>
    <border>
      <left/>
      <right style="thin">
        <color rgb="00E6E5E1"/>
      </right>
      <top style="thin">
        <color rgb="00E6E5E1"/>
      </top>
      <bottom/>
      <diagonal/>
    </border>
    <border>
      <left/>
      <right/>
      <top style="thin">
        <color rgb="00E6E5E1"/>
      </top>
      <bottom style="thin">
        <color rgb="00E6E5E1"/>
      </bottom>
      <diagonal/>
    </border>
    <border>
      <left/>
      <right style="thin">
        <color rgb="00E6E5E1"/>
      </right>
      <top style="thin">
        <color rgb="00E6E5E1"/>
      </top>
      <bottom style="thin">
        <color rgb="00E6E5E1"/>
      </bottom>
      <diagonal/>
    </border>
  </borders>
  <cellStyleXfs count="1">
    <xf numFmtId="0" fontId="0" fillId="0" borderId="0"/>
  </cellStyleXfs>
  <cellXfs count="35">
    <xf numFmtId="0" fontId="0" fillId="0" borderId="0" pivotButton="0" quotePrefix="0" xfId="0"/>
    <xf numFmtId="0" fontId="6" fillId="0" borderId="0" pivotButton="0" quotePrefix="0" xfId="0"/>
    <xf numFmtId="0" fontId="3" fillId="0" borderId="0" pivotButton="0" quotePrefix="0" xfId="0"/>
    <xf numFmtId="0" fontId="3" fillId="2" borderId="0" applyAlignment="1" pivotButton="0" quotePrefix="0" xfId="0">
      <alignment horizontal="left" vertical="center" indent="1"/>
    </xf>
    <xf numFmtId="0" fontId="0" fillId="2" borderId="0" pivotButton="0" quotePrefix="0" xfId="0"/>
    <xf numFmtId="3" fontId="7" fillId="2" borderId="0" applyAlignment="1" pivotButton="0" quotePrefix="0" xfId="0">
      <alignment horizontal="left" vertical="center" indent="1"/>
    </xf>
    <xf numFmtId="2" fontId="7" fillId="2" borderId="0" applyAlignment="1" pivotButton="0" quotePrefix="0" xfId="0">
      <alignment horizontal="left" vertical="center" indent="1"/>
    </xf>
    <xf numFmtId="0" fontId="5" fillId="2" borderId="0" applyAlignment="1" pivotButton="0" quotePrefix="0" xfId="0">
      <alignment horizontal="left" vertical="center" indent="1"/>
    </xf>
    <xf numFmtId="0" fontId="5"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0" borderId="0" pivotButton="0" quotePrefix="0" xfId="0"/>
    <xf numFmtId="0" fontId="0" fillId="0" borderId="0" applyAlignment="1" pivotButton="0" quotePrefix="0" xfId="0">
      <alignment horizontal="left"/>
    </xf>
    <xf numFmtId="165" fontId="0" fillId="0" borderId="0" applyAlignment="1" pivotButton="0" quotePrefix="0" xfId="0">
      <alignment horizontal="left"/>
    </xf>
    <xf numFmtId="4" fontId="0" fillId="0" borderId="0" applyAlignment="1" pivotButton="0" quotePrefix="0" xfId="0">
      <alignment horizontal="left"/>
    </xf>
    <xf numFmtId="165" fontId="0" fillId="0" borderId="0" pivotButton="0" quotePrefix="0" xfId="0"/>
    <xf numFmtId="17" fontId="0" fillId="0" borderId="0" pivotButton="0" quotePrefix="0" xfId="0"/>
    <xf numFmtId="4" fontId="0" fillId="0" borderId="0" pivotButton="0" quotePrefix="0" xfId="0"/>
    <xf numFmtId="1" fontId="0" fillId="0" borderId="0" pivotButton="0" quotePrefix="0" xfId="0"/>
    <xf numFmtId="166"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3" fontId="0" fillId="0" borderId="0" pivotButton="0" quotePrefix="0" xfId="0"/>
    <xf numFmtId="3" fontId="4" fillId="0" borderId="0" pivotButton="0" quotePrefix="0" xfId="0"/>
    <xf numFmtId="4" fontId="4" fillId="0" borderId="0" pivotButton="0" quotePrefix="0" xfId="0"/>
    <xf numFmtId="168" fontId="0"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0" fillId="0" borderId="0" applyAlignment="1" pivotButton="0" quotePrefix="0" xfId="0">
      <alignment vertical="top" wrapText="1"/>
    </xf>
    <xf numFmtId="167" fontId="0" fillId="0" borderId="0" pivotButton="0" quotePrefix="0" xfId="0"/>
    <xf numFmtId="0" fontId="1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0B0B0B"/>
                </a:solidFill>
              </a:defRPr>
            </a:pPr>
            <a:r>
              <a:rPr sz="1100" b="1">
                <a:solidFill>
                  <a:srgbClr val="0B0B0B"/>
                </a:solidFill>
              </a:rPr>
              <a:t>Rounds announced per month</a:t>
            </a:r>
          </a:p>
        </rich>
      </tx>
      <overlay val="0"/>
    </title>
    <plotArea>
      <barChart>
        <barDir val="col"/>
        <grouping val="clustered"/>
        <ser>
          <idx val="0"/>
          <order val="0"/>
          <tx>
            <strRef>
              <f>'Chart data'!C1</f>
            </strRef>
          </tx>
          <spPr>
            <a:solidFill xmlns:a="http://schemas.openxmlformats.org/drawingml/2006/main">
              <a:srgbClr val="2A78D6"/>
            </a:solidFill>
            <a:ln xmlns:a="http://schemas.openxmlformats.org/drawingml/2006/main">
              <a:noFill/>
              <a:prstDash val="solid"/>
            </a:ln>
          </spPr>
          <cat>
            <numRef>
              <f>'Chart data'!$A$2:$A$23</f>
            </numRef>
          </cat>
          <val>
            <numRef>
              <f>'Chart data'!$C$2:$C$23</f>
            </numRef>
          </val>
        </ser>
        <gapWidth val="45"/>
        <axId val="10"/>
        <axId val="100"/>
      </barChart>
      <catAx>
        <axId val="10"/>
        <scaling>
          <orientation val="minMax"/>
        </scaling>
        <delete val="0"/>
        <axPos val="l"/>
        <majorTickMark val="none"/>
        <minorTickMark val="none"/>
        <spPr>
          <a:ln xmlns:a="http://schemas.openxmlformats.org/drawingml/2006/main" w="6350">
            <a:solidFill>
              <a:srgbClr val="E6E5E1"/>
            </a:solid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0"/>
        <lblOffset val="100"/>
        <tickLblSkip val="3"/>
        <tickMarkSkip val="3"/>
      </catAx>
      <valAx>
        <axId val="100"/>
        <scaling>
          <orientation val="minMax"/>
        </scaling>
        <delete val="0"/>
        <axPos val="l"/>
        <majorGridlines>
          <spPr>
            <a:ln xmlns:a="http://schemas.openxmlformats.org/drawingml/2006/main" w="6350">
              <a:solidFill>
                <a:srgbClr val="E6E5E1"/>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0B0B0B"/>
                </a:solidFill>
              </a:defRPr>
            </a:pPr>
            <a:r>
              <a:rPr sz="1100" b="1">
                <a:solidFill>
                  <a:srgbClr val="0B0B0B"/>
                </a:solidFill>
              </a:rPr>
              <a:t>Disclosed funding per month, USD mn</a:t>
            </a:r>
          </a:p>
        </rich>
      </tx>
      <overlay val="0"/>
    </title>
    <plotArea>
      <lineChart>
        <grouping val="standard"/>
        <ser>
          <idx val="0"/>
          <order val="0"/>
          <tx>
            <strRef>
              <f>'Chart data'!D1</f>
            </strRef>
          </tx>
          <spPr>
            <a:ln xmlns:a="http://schemas.openxmlformats.org/drawingml/2006/main" w="25400">
              <a:solidFill>
                <a:srgbClr val="2A78D6"/>
              </a:solidFill>
              <a:prstDash val="solid"/>
            </a:ln>
          </spPr>
          <marker>
            <symbol val="circle"/>
            <size val="5"/>
            <spPr>
              <a:solidFill xmlns:a="http://schemas.openxmlformats.org/drawingml/2006/main">
                <a:srgbClr val="2A78D6"/>
              </a:solidFill>
              <a:ln xmlns:a="http://schemas.openxmlformats.org/drawingml/2006/main">
                <a:solidFill>
                  <a:srgbClr val="FFFFFF"/>
                </a:solidFill>
                <a:prstDash val="solid"/>
              </a:ln>
            </spPr>
          </marker>
          <cat>
            <numRef>
              <f>'Chart data'!$A$2:$A$23</f>
            </numRef>
          </cat>
          <val>
            <numRef>
              <f>'Chart data'!$D$2:$D$23</f>
            </numRef>
          </val>
          <smooth val="0"/>
        </ser>
        <axId val="10"/>
        <axId val="100"/>
      </lineChart>
      <catAx>
        <axId val="10"/>
        <scaling>
          <orientation val="minMax"/>
        </scaling>
        <delete val="0"/>
        <axPos val="l"/>
        <majorTickMark val="none"/>
        <minorTickMark val="none"/>
        <spPr>
          <a:ln xmlns:a="http://schemas.openxmlformats.org/drawingml/2006/main" w="6350">
            <a:solidFill>
              <a:srgbClr val="E6E5E1"/>
            </a:solid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0"/>
        <lblOffset val="100"/>
        <tickLblSkip val="3"/>
        <tickMarkSkip val="3"/>
      </catAx>
      <valAx>
        <axId val="100"/>
        <scaling>
          <orientation val="minMax"/>
        </scaling>
        <delete val="0"/>
        <axPos val="l"/>
        <majorGridlines>
          <spPr>
            <a:ln xmlns:a="http://schemas.openxmlformats.org/drawingml/2006/main" w="6350">
              <a:solidFill>
                <a:srgbClr val="E6E5E1"/>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0B0B0B"/>
                </a:solidFill>
              </a:defRPr>
            </a:pPr>
            <a:r>
              <a:rPr sz="1100" b="1">
                <a:solidFill>
                  <a:srgbClr val="0B0B0B"/>
                </a:solidFill>
              </a:rPr>
              <a:t>Rounds by stage</a:t>
            </a:r>
          </a:p>
        </rich>
      </tx>
      <overlay val="0"/>
    </title>
    <plotArea>
      <barChart>
        <barDir val="bar"/>
        <grouping val="clustered"/>
        <ser>
          <idx val="0"/>
          <order val="0"/>
          <tx>
            <strRef>
              <f>'Chart data'!G1</f>
            </strRef>
          </tx>
          <spPr>
            <a:solidFill xmlns:a="http://schemas.openxmlformats.org/drawingml/2006/main">
              <a:srgbClr val="2A78D6"/>
            </a:solidFill>
            <a:ln xmlns:a="http://schemas.openxmlformats.org/drawingml/2006/main">
              <a:noFill/>
              <a:prstDash val="solid"/>
            </a:ln>
          </spPr>
          <cat>
            <numRef>
              <f>'Chart data'!$F$2:$F$19</f>
            </numRef>
          </cat>
          <val>
            <numRef>
              <f>'Chart data'!$G$2:$G$19</f>
            </numRef>
          </val>
        </ser>
        <dLbls>
          <numFmt formatCode="#,##0"/>
          <txPr>
            <a:bodyPr xmlns:a="http://schemas.openxmlformats.org/drawingml/2006/main"/>
            <a:p xmlns:a="http://schemas.openxmlformats.org/drawingml/2006/main">
              <a:pPr>
                <a:defRPr sz="900" b="0">
                  <a:solidFill>
                    <a:srgbClr val="0B0B0B"/>
                  </a:solidFill>
                </a:defRPr>
              </a:pPr>
              <a:r>
                <a:t/>
              </a:r>
              <a:endParaRPr sz="900" b="0">
                <a:solidFill>
                  <a:srgbClr val="0B0B0B"/>
                </a:solidFill>
              </a:endParaRPr>
            </a:p>
          </txPr>
          <showLegendKey val="0"/>
          <showVal val="1"/>
          <showCatName val="0"/>
          <showSerName val="0"/>
          <showPercent val="0"/>
        </dLbls>
        <gapWidth val="55"/>
        <axId val="10"/>
        <axId val="100"/>
      </barChart>
      <catAx>
        <axId val="10"/>
        <scaling>
          <orientation val="maxMin"/>
        </scaling>
        <delete val="0"/>
        <axPos val="l"/>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0"/>
        <lblOffset val="100"/>
      </catAx>
      <valAx>
        <axId val="100"/>
        <scaling>
          <orientation val="minMax"/>
        </scaling>
        <delete val="1"/>
        <axPos val="l"/>
        <majorTickMark val="none"/>
        <minorTickMark val="none"/>
        <spPr>
          <a:ln xmlns:a="http://schemas.openxmlformats.org/drawingml/2006/main" w="6350">
            <a:solidFill>
              <a:srgbClr val="E6E5E1"/>
            </a:solid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4.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0B0B0B"/>
                </a:solidFill>
              </a:defRPr>
            </a:pPr>
            <a:r>
              <a:rPr sz="1100" b="1">
                <a:solidFill>
                  <a:srgbClr val="0B0B0B"/>
                </a:solidFill>
              </a:rPr>
              <a:t>Rounds by sector</a:t>
            </a:r>
          </a:p>
        </rich>
      </tx>
      <overlay val="0"/>
    </title>
    <plotArea>
      <barChart>
        <barDir val="bar"/>
        <grouping val="clustered"/>
        <ser>
          <idx val="0"/>
          <order val="0"/>
          <tx>
            <strRef>
              <f>'Chart data'!J1</f>
            </strRef>
          </tx>
          <spPr>
            <a:solidFill xmlns:a="http://schemas.openxmlformats.org/drawingml/2006/main">
              <a:srgbClr val="2A78D6"/>
            </a:solidFill>
            <a:ln xmlns:a="http://schemas.openxmlformats.org/drawingml/2006/main">
              <a:noFill/>
              <a:prstDash val="solid"/>
            </a:ln>
          </spPr>
          <cat>
            <numRef>
              <f>'Chart data'!$I$2:$I$15</f>
            </numRef>
          </cat>
          <val>
            <numRef>
              <f>'Chart data'!$J$2:$J$15</f>
            </numRef>
          </val>
        </ser>
        <dLbls>
          <numFmt formatCode="#,##0"/>
          <txPr>
            <a:bodyPr xmlns:a="http://schemas.openxmlformats.org/drawingml/2006/main"/>
            <a:p xmlns:a="http://schemas.openxmlformats.org/drawingml/2006/main">
              <a:pPr>
                <a:defRPr sz="900" b="0">
                  <a:solidFill>
                    <a:srgbClr val="0B0B0B"/>
                  </a:solidFill>
                </a:defRPr>
              </a:pPr>
              <a:r>
                <a:t/>
              </a:r>
              <a:endParaRPr sz="900" b="0">
                <a:solidFill>
                  <a:srgbClr val="0B0B0B"/>
                </a:solidFill>
              </a:endParaRPr>
            </a:p>
          </txPr>
          <showLegendKey val="0"/>
          <showVal val="1"/>
          <showCatName val="0"/>
          <showSerName val="0"/>
          <showPercent val="0"/>
        </dLbls>
        <gapWidth val="55"/>
        <axId val="10"/>
        <axId val="100"/>
      </barChart>
      <catAx>
        <axId val="10"/>
        <scaling>
          <orientation val="maxMin"/>
        </scaling>
        <delete val="0"/>
        <axPos val="l"/>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0"/>
        <lblOffset val="100"/>
      </catAx>
      <valAx>
        <axId val="100"/>
        <scaling>
          <orientation val="minMax"/>
        </scaling>
        <delete val="1"/>
        <axPos val="l"/>
        <majorTickMark val="none"/>
        <minorTickMark val="none"/>
        <spPr>
          <a:ln xmlns:a="http://schemas.openxmlformats.org/drawingml/2006/main" w="6350">
            <a:solidFill>
              <a:srgbClr val="E6E5E1"/>
            </a:solid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5.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0B0B0B"/>
                </a:solidFill>
              </a:defRPr>
            </a:pPr>
            <a:r>
              <a:rPr sz="1100" b="1">
                <a:solidFill>
                  <a:srgbClr val="0B0B0B"/>
                </a:solidFill>
              </a:rPr>
              <a:t>Rounds by city, where a report states it</a:t>
            </a:r>
          </a:p>
        </rich>
      </tx>
      <overlay val="0"/>
    </title>
    <plotArea>
      <barChart>
        <barDir val="bar"/>
        <grouping val="clustered"/>
        <ser>
          <idx val="0"/>
          <order val="0"/>
          <tx>
            <strRef>
              <f>'Chart data'!M1</f>
            </strRef>
          </tx>
          <spPr>
            <a:solidFill xmlns:a="http://schemas.openxmlformats.org/drawingml/2006/main">
              <a:srgbClr val="2A78D6"/>
            </a:solidFill>
            <a:ln xmlns:a="http://schemas.openxmlformats.org/drawingml/2006/main">
              <a:noFill/>
              <a:prstDash val="solid"/>
            </a:ln>
          </spPr>
          <cat>
            <numRef>
              <f>'Chart data'!$L$2:$L$13</f>
            </numRef>
          </cat>
          <val>
            <numRef>
              <f>'Chart data'!$M$2:$M$13</f>
            </numRef>
          </val>
        </ser>
        <dLbls>
          <numFmt formatCode="#,##0"/>
          <txPr>
            <a:bodyPr xmlns:a="http://schemas.openxmlformats.org/drawingml/2006/main"/>
            <a:p xmlns:a="http://schemas.openxmlformats.org/drawingml/2006/main">
              <a:pPr>
                <a:defRPr sz="900" b="0">
                  <a:solidFill>
                    <a:srgbClr val="0B0B0B"/>
                  </a:solidFill>
                </a:defRPr>
              </a:pPr>
              <a:r>
                <a:t/>
              </a:r>
              <a:endParaRPr sz="900" b="0">
                <a:solidFill>
                  <a:srgbClr val="0B0B0B"/>
                </a:solidFill>
              </a:endParaRPr>
            </a:p>
          </txPr>
          <showLegendKey val="0"/>
          <showVal val="1"/>
          <showCatName val="0"/>
          <showSerName val="0"/>
          <showPercent val="0"/>
        </dLbls>
        <gapWidth val="55"/>
        <axId val="10"/>
        <axId val="100"/>
      </barChart>
      <catAx>
        <axId val="10"/>
        <scaling>
          <orientation val="maxMin"/>
        </scaling>
        <delete val="0"/>
        <axPos val="l"/>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0"/>
        <lblOffset val="100"/>
      </catAx>
      <valAx>
        <axId val="100"/>
        <scaling>
          <orientation val="minMax"/>
        </scaling>
        <delete val="1"/>
        <axPos val="l"/>
        <majorTickMark val="none"/>
        <minorTickMark val="none"/>
        <spPr>
          <a:ln xmlns:a="http://schemas.openxmlformats.org/drawingml/2006/main" w="6350">
            <a:solidFill>
              <a:srgbClr val="E6E5E1"/>
            </a:solidFill>
            <a:prstDash val="solid"/>
          </a:ln>
        </spPr>
        <txPr>
          <a:bodyPr xmlns:a="http://schemas.openxmlformats.org/drawingml/2006/main"/>
          <a:p xmlns:a="http://schemas.openxmlformats.org/drawingml/2006/main">
            <a:pPr>
              <a:defRPr sz="900" b="0">
                <a:solidFill>
                  <a:srgbClr val="52514E"/>
                </a:solidFill>
              </a:defRPr>
            </a:pPr>
            <a:r>
              <a:t/>
            </a:r>
            <a:endParaRPr sz="900" b="0">
              <a:solidFill>
                <a:srgbClr val="52514E"/>
              </a:solidFil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7</row>
      <rowOff>0</rowOff>
    </from>
    <ext cx="702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7</row>
      <rowOff>0</rowOff>
    </from>
    <ext cx="70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23</row>
      <rowOff>0</rowOff>
    </from>
    <ext cx="4608000" cy="37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23</row>
      <rowOff>0</rowOff>
    </from>
    <ext cx="4608000" cy="37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12</col>
      <colOff>0</colOff>
      <row>23</row>
      <rowOff>0</rowOff>
    </from>
    <ext cx="4608000" cy="37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pivotCache/pivotCacheDefinition1.xml><?xml version="1.0" encoding="utf-8"?>
<pivotCacheDefinition xmlns="http://schemas.openxmlformats.org/spreadsheetml/2006/main" saveData="0" refreshOnLoad="1" refreshedBy="funding-tracker" createdVersion="6" refreshedVersion="6" minRefreshableVersion="3">
  <cacheSource type="worksheet">
    <worksheetSource name="Rounds"/>
  </cacheSource>
  <cacheFields count="18">
    <cacheField name="Round ID" uniqueList="1" numFmtId="0" sqlType="0" hierarchy="0" level="0" databaseField="1">
      <sharedItems count="0"/>
    </cacheField>
    <cacheField name="Company" uniqueList="1" numFmtId="0" sqlType="0" hierarchy="0" level="0" databaseField="1">
      <sharedItems count="0"/>
    </cacheField>
    <cacheField name="Announced" uniqueList="1" numFmtId="0" sqlType="0" hierarchy="0" level="0" databaseField="1">
      <sharedItems count="0"/>
    </cacheField>
    <cacheField name="Month" uniqueList="1" numFmtId="0" sqlType="0" hierarchy="0" level="0" databaseField="1">
      <sharedItems count="0"/>
    </cacheField>
    <cacheField name="Amount (USD mn)" uniqueList="1" numFmtId="0" sqlType="0" hierarchy="0" level="0" databaseField="1">
      <sharedItems count="0" containsBlank="1" containsNumber="1" containsSemiMixedTypes="0" containsString="0" minValue="0.056" maxValue="1200"/>
    </cacheField>
    <cacheField name="Amount (INR cr)" uniqueList="1" numFmtId="0" sqlType="0" hierarchy="0" level="0" databaseField="1">
      <sharedItems count="0" containsBlank="1" containsNumber="1" containsSemiMixedTypes="0" containsString="0" minValue="0.5" maxValue="10887.6"/>
    </cacheField>
    <cacheField name="As reported" uniqueList="1" numFmtId="0" sqlType="0" hierarchy="0" level="0" databaseField="1">
      <sharedItems count="0"/>
    </cacheField>
    <cacheField name="Stage" uniqueList="1" numFmtId="0" sqlType="0" hierarchy="0" level="0" databaseField="1">
      <sharedItems count="18">
        <s v="Pre-Seed"/>
        <s v="Seed"/>
        <s v="Angel"/>
        <s v="Pre-Series A"/>
        <s v="Series A"/>
        <s v="Pre-Series B"/>
        <s v="Series B"/>
        <s v="Pre-Series C"/>
        <s v="Series C"/>
        <s v="Series D"/>
        <s v="Series E"/>
        <s v="Series F"/>
        <s v="Series G"/>
        <s v="Series H+"/>
        <s v="Bridge"/>
        <s v="Pre-IPO"/>
        <s v="Debt"/>
        <s v="Undisclosed"/>
      </sharedItems>
    </cacheField>
    <cacheField name="Stage group" uniqueList="1" numFmtId="0" sqlType="0" hierarchy="0" level="0" databaseField="1">
      <sharedItems count="0"/>
    </cacheField>
    <cacheField name="Sector" uniqueList="1" numFmtId="0" sqlType="0" hierarchy="0" level="0" databaseField="1">
      <sharedItems count="19">
        <s v="Ecommerce"/>
        <s v="Fintech"/>
        <s v="Artificial Intelligence"/>
        <s v="Enterprise Tech"/>
        <s v="Advanced Hardware &amp; Technology"/>
        <s v="Cleantech"/>
        <s v="Healthtech"/>
        <s v="Consumer Services"/>
        <s v="Media &amp; Entertainment"/>
        <s v="Deeptech"/>
        <s v="Travel Tech"/>
        <s v="Agritech"/>
        <s v="Real Estate Tech"/>
        <s v="Edtech"/>
        <s v="Logistics"/>
        <s v="Foodtech"/>
        <s v="Alcoholic Beverages"/>
        <s v="Web3"/>
        <s v="Unclassified"/>
      </sharedItems>
    </cacheField>
    <cacheField name="City" uniqueList="1" numFmtId="0" sqlType="0" hierarchy="0" level="0" databaseField="1">
      <sharedItems count="33">
        <s v="Bengaluru"/>
        <s v="Delhi NCR"/>
        <s v="Mumbai"/>
        <s v="Pune"/>
        <s v="Chennai"/>
        <s v="Hyderabad"/>
        <s v="Ahmedabad"/>
        <s v="Jaipur"/>
        <s v="Kolkata"/>
        <s v="Chandigarh"/>
        <s v="Surat"/>
        <s v="Bhubaneswar"/>
        <s v="Lucknow"/>
        <s v="Indore"/>
        <s v="Goa"/>
        <s v="Raipur"/>
        <s v="Thiruvananthapuram"/>
        <s v="Kota"/>
        <s v="Jodhpur"/>
        <s v="Nagpur"/>
        <s v="Udaipur"/>
        <s v="Jabalpur"/>
        <s v="Mysuru"/>
        <s v="Vadodara"/>
        <s v="Guwahati"/>
        <s v="Mangaluru"/>
        <s v="Coimbatore"/>
        <s v="Gwalior"/>
        <s v="Kochi"/>
        <s v="Erode"/>
        <s v="Dehradun"/>
        <s v="Outside India"/>
        <s v="Unknown"/>
      </sharedItems>
    </cacheField>
    <cacheField name="Lead investors" uniqueList="1" numFmtId="0" sqlType="0" hierarchy="0" level="0" databaseField="1">
      <sharedItems count="0"/>
    </cacheField>
    <cacheField name="Investors" uniqueList="1" numFmtId="0" sqlType="0" hierarchy="0" level="0" databaseField="1">
      <sharedItems count="0"/>
    </cacheField>
    <cacheField name="Sources" uniqueList="1" numFmtId="0" sqlType="0" hierarchy="0" level="0" databaseField="1">
      <sharedItems count="0"/>
    </cacheField>
    <cacheField name="Source count" uniqueList="1" numFmtId="0" sqlType="0" hierarchy="0" level="0" databaseField="1">
      <sharedItems count="0" containsNumber="1" containsSemiMixedTypes="0" containsString="0" minValue="1" maxValue="4"/>
    </cacheField>
    <cacheField name="Amount spread %" uniqueList="1" numFmtId="0" sqlType="0" hierarchy="0" level="0" databaseField="1">
      <sharedItems count="0" containsBlank="1" containsNumber="1" containsSemiMixedTypes="0" containsString="0" minValue="0" maxValue="5274.1"/>
    </cacheField>
    <cacheField name="Flags" uniqueList="1" numFmtId="0" sqlType="0" hierarchy="0" level="0" databaseField="1">
      <sharedItems count="0"/>
    </cacheField>
    <cacheField name="First source link" uniqueList="1" numFmtId="0" sqlType="0" hierarchy="0" level="0" databaseField="1">
      <sharedItems count="0"/>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Sector" cacheId="1" dataOnRows="0" dataCaption="Values"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rowHeaderCaption="Sector" fieldListSortAscending="0" mdxSubqueries="0" applyNumberFormats="0" applyBorderFormats="0" applyFontFormats="0" applyPatternFormats="0" applyAlignmentFormats="0" applyWidthHeightFormats="1" r:id="rId1">
  <location ref="A4:D25" firstHeaderRow="1" firstDataRow="2" firstDataCol="1"/>
  <pivotFields count="18">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9"/>
  </rowFields>
  <rowItems count="20">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grand" r="0" i="0">
      <x v="0"/>
    </i>
  </rowItems>
  <colFields count="1">
    <field x="-2"/>
  </colFields>
  <colItems count="3">
    <i t="data" r="0" i="0">
      <x v="0"/>
    </i>
    <i t="data" r="0" i="1">
      <x v="1"/>
    </i>
    <i t="data" r="0" i="2">
      <x v="2"/>
    </i>
  </colItems>
  <dataFields count="3">
    <dataField name="Rounds" fld="0" subtotal="count" showDataAs="normal" baseField="0" baseItem="0" numFmtId="3"/>
    <dataField name="Total USD mn" fld="4" subtotal="sum" showDataAs="normal" baseField="0" baseItem="0" numFmtId="3"/>
    <dataField name="Average USD mn" fld="4" subtotal="average" showDataAs="normal" baseField="0" baseItem="0" numFmtId="4"/>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Stage" cacheId="1" dataOnRows="0" dataCaption="Values"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rowHeaderCaption="Stage" fieldListSortAscending="0" mdxSubqueries="0" applyNumberFormats="0" applyBorderFormats="0" applyFontFormats="0" applyPatternFormats="0" applyAlignmentFormats="0" applyWidthHeightFormats="1" r:id="rId1">
  <location ref="A4:D24" firstHeaderRow="1" firstDataRow="2" firstDataCol="1"/>
  <pivotFields count="18">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7"/>
  </rowFields>
  <rowItems count="19">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grand" r="0" i="0">
      <x v="0"/>
    </i>
  </rowItems>
  <colFields count="1">
    <field x="-2"/>
  </colFields>
  <colItems count="3">
    <i t="data" r="0" i="0">
      <x v="0"/>
    </i>
    <i t="data" r="0" i="1">
      <x v="1"/>
    </i>
    <i t="data" r="0" i="2">
      <x v="2"/>
    </i>
  </colItems>
  <dataFields count="3">
    <dataField name="Rounds" fld="0" subtotal="count" showDataAs="normal" baseField="0" baseItem="0" numFmtId="3"/>
    <dataField name="Total USD mn" fld="4" subtotal="sum" showDataAs="normal" baseField="0" baseItem="0" numFmtId="3"/>
    <dataField name="Average USD mn" fld="4" subtotal="average" showDataAs="normal" baseField="0" baseItem="0" numFmtId="4"/>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City" cacheId="1" dataOnRows="0" dataCaption="Values"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rowHeaderCaption="City" fieldListSortAscending="0" mdxSubqueries="0" applyNumberFormats="0" applyBorderFormats="0" applyFontFormats="0" applyPatternFormats="0" applyAlignmentFormats="0" applyWidthHeightFormats="1" r:id="rId1">
  <location ref="A4:D39" firstHeaderRow="1" firstDataRow="2" firstDataCol="1"/>
  <pivotFields count="18">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0"/>
  </rowFields>
  <rowItems count="34">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grand" r="0" i="0">
      <x v="0"/>
    </i>
  </rowItems>
  <colFields count="1">
    <field x="-2"/>
  </colFields>
  <colItems count="3">
    <i t="data" r="0" i="0">
      <x v="0"/>
    </i>
    <i t="data" r="0" i="1">
      <x v="1"/>
    </i>
    <i t="data" r="0" i="2">
      <x v="2"/>
    </i>
  </colItems>
  <dataFields count="3">
    <dataField name="Rounds" fld="0" subtotal="count" showDataAs="normal" baseField="0" baseItem="0" numFmtId="3"/>
    <dataField name="Total USD mn" fld="4" subtotal="sum" showDataAs="normal" baseField="0" baseItem="0" numFmtId="3"/>
    <dataField name="Average USD mn" fld="4" subtotal="average" showDataAs="normal" baseField="0" baseItem="0" numFmtId="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Rounds" displayName="Rounds" ref="A1:R2179" headerRowCount="1">
  <autoFilter ref="A1:R2179"/>
  <tableColumns count="18">
    <tableColumn id="1" name="Round ID"/>
    <tableColumn id="2" name="Company"/>
    <tableColumn id="3" name="Announced"/>
    <tableColumn id="4" name="Month"/>
    <tableColumn id="5" name="Amount (USD mn)"/>
    <tableColumn id="6" name="Amount (INR cr)"/>
    <tableColumn id="7" name="As reported"/>
    <tableColumn id="8" name="Stage"/>
    <tableColumn id="9" name="Stage group"/>
    <tableColumn id="10" name="Sector"/>
    <tableColumn id="11" name="City"/>
    <tableColumn id="12" name="Lead investors"/>
    <tableColumn id="13" name="Investors"/>
    <tableColumn id="14" name="Sources"/>
    <tableColumn id="15" name="Source count"/>
    <tableColumn id="16" name="Amount spread %"/>
    <tableColumn id="17" name="Flags"/>
    <tableColumn id="18" name="First source link"/>
  </tableColumns>
  <tableStyleInfo name="TableStyleMedium2" showRowStripes="1"/>
</table>
</file>

<file path=xl/tables/table2.xml><?xml version="1.0" encoding="utf-8"?>
<table xmlns="http://schemas.openxmlformats.org/spreadsheetml/2006/main" id="2" name="Checks" displayName="Checks" ref="A4:H22" headerRowCount="1">
  <autoFilter ref="A4:H22"/>
  <tableColumns count="8">
    <tableColumn id="1" name="ID"/>
    <tableColumn id="2" name="Category"/>
    <tableColumn id="3" name="Check"/>
    <tableColumn id="4" name="Rule"/>
    <tableColumn id="5" name="Severity"/>
    <tableColumn id="6" name="Rounds checked"/>
    <tableColumn id="7" name="Rounds flagged"/>
    <tableColumn id="8" name="Share flagged"/>
  </tableColumns>
  <tableStyleInfo name="TableStyleMedium2" showRowStripes="1"/>
</table>
</file>

<file path=xl/tables/table3.xml><?xml version="1.0" encoding="utf-8"?>
<table xmlns="http://schemas.openxmlformats.org/spreadsheetml/2006/main" id="3" name="Exceptions" displayName="Exceptions" ref="A4:G2137" headerRowCount="1">
  <autoFilter ref="A4:G2137"/>
  <tableColumns count="7">
    <tableColumn id="1" name="Check ID"/>
    <tableColumn id="2" name="Check"/>
    <tableColumn id="3" name="Severity"/>
    <tableColumn id="4" name="Round ID"/>
    <tableColumn id="5" name="Company"/>
    <tableColumn id="6" name="Announced"/>
    <tableColumn id="7" name="Detail"/>
  </tableColumns>
  <tableStyleInfo name="TableStyleMedium2" showRowStripes="1"/>
</table>
</file>

<file path=xl/tables/table4.xml><?xml version="1.0" encoding="utf-8"?>
<table xmlns="http://schemas.openxmlformats.org/spreadsheetml/2006/main" id="4" name="SourceRules" displayName="SourceRules" ref="A4:C14" headerRowCount="1">
  <autoFilter ref="A4:C14"/>
  <tableColumns count="3">
    <tableColumn id="1" name="Field"/>
    <tableColumn id="2" name="Source-of-truth rule"/>
    <tableColumn id="3" name="Why"/>
  </tableColumns>
  <tableStyleInfo name="TableStyleMedium2" showRowStripes="1"/>
</table>
</file>

<file path=xl/tables/table5.xml><?xml version="1.0" encoding="utf-8"?>
<table xmlns="http://schemas.openxmlformats.org/spreadsheetml/2006/main" id="5" name="Reports" displayName="Reports" ref="A4:K4463" headerRowCount="1">
  <autoFilter ref="A4:K4463"/>
  <tableColumns count="11">
    <tableColumn id="1" name="Record ID"/>
    <tableColumn id="2" name="Round ID"/>
    <tableColumn id="3" name="Source"/>
    <tableColumn id="4" name="Published"/>
    <tableColumn id="5" name="Company in report"/>
    <tableColumn id="6" name="Amount as reported"/>
    <tableColumn id="7" name="INR cr"/>
    <tableColumn id="8" name="USD mn"/>
    <tableColumn id="9" name="Stage"/>
    <tableColumn id="10" name="Lead investors"/>
    <tableColumn id="11" name="Link"/>
  </tableColumns>
  <tableStyleInfo name="TableStyleMedium2" showRowStripes="1"/>
</table>
</file>

<file path=xl/tables/table6.xml><?xml version="1.0" encoding="utf-8"?>
<table xmlns="http://schemas.openxmlformats.org/spreadsheetml/2006/main" id="6" name="Coverage" displayName="Coverage" ref="A4:G91" headerRowCount="1">
  <autoFilter ref="A4:G91"/>
  <tableColumns count="7">
    <tableColumn id="1" name="Week start"/>
    <tableColumn id="2" name="Week end"/>
    <tableColumn id="3" name="Entrackr: funded startups"/>
    <tableColumn id="4" name="Tracker: rounds"/>
    <tableColumn id="5" name="Difference"/>
    <tableColumn id="6" name="Entrackr: USD mn"/>
    <tableColumn id="7" name="Tracker: USD m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inc42.com/buzz/from-aye-finance-to-klassroom-indian-startups-raised-14-mn-this-week/" TargetMode="External" Id="rId1"/><Relationship Type="http://schemas.openxmlformats.org/officeDocument/2006/relationships/hyperlink" Target="https://entrackr.com/snippets/cargofl-raises-seed-funding-round-8584928" TargetMode="External" Id="rId2"/><Relationship Type="http://schemas.openxmlformats.org/officeDocument/2006/relationships/hyperlink" Target="https://inc42.com/buzz/from-aye-finance-to-klassroom-indian-startups-raised-14-mn-this-week/" TargetMode="External" Id="rId3"/><Relationship Type="http://schemas.openxmlformats.org/officeDocument/2006/relationships/hyperlink" Target="https://entrackr.com/news/oyo-raises-65-mn-from-ritesh-agarwals-redsprig-innovation-8591029" TargetMode="External" Id="rId4"/><Relationship Type="http://schemas.openxmlformats.org/officeDocument/2006/relationships/hyperlink" Target="https://inc42.com/buzz/from-innovaccer-to-beyond-snack-indian-startups-raised-432-mn-this-week/" TargetMode="External" Id="rId5"/><Relationship Type="http://schemas.openxmlformats.org/officeDocument/2006/relationships/hyperlink" Target="https://entrackr.com/snippets/genai-startup-consintai-raises-rs-5-cr-in-seed-round-8594981" TargetMode="External" Id="rId6"/><Relationship Type="http://schemas.openxmlformats.org/officeDocument/2006/relationships/hyperlink" Target="https://entrackr.com/snippets/proptech-startup-spintly-raises-rs-35-cr-in-extended-seed-round-8594970" TargetMode="External" Id="rId7"/><Relationship Type="http://schemas.openxmlformats.org/officeDocument/2006/relationships/hyperlink" Target="https://inc42.com/buzz/from-innovaccer-to-beyond-snack-indian-startups-raised-432-mn-this-week/" TargetMode="External" Id="rId8"/><Relationship Type="http://schemas.openxmlformats.org/officeDocument/2006/relationships/hyperlink" Target="https://entrackr.com/snippets/emo-energy-raises-62-mn-in-series-a-round-8598190" TargetMode="External" Id="rId9"/><Relationship Type="http://schemas.openxmlformats.org/officeDocument/2006/relationships/hyperlink" Target="https://entrackr.com/snippets/kibi-sports-raises-100k-in-pre-seed-funding-8598246" TargetMode="External" Id="rId10"/><Relationship Type="http://schemas.openxmlformats.org/officeDocument/2006/relationships/hyperlink" Target="https://entrackr.com/snippets/electric-tractor-startup-moonrider-raises-22-mn-in-seed-round-8597800" TargetMode="External" Id="rId11"/><Relationship Type="http://schemas.openxmlformats.org/officeDocument/2006/relationships/hyperlink" Target="https://entrackr.com/snippets/oben-electric-raises-6-mn-in-series-a-8598547" TargetMode="External" Id="rId12"/><Relationship Type="http://schemas.openxmlformats.org/officeDocument/2006/relationships/hyperlink" Target="https://inc42.com/buzz/from-innovaccer-to-beyond-snack-indian-startups-raised-432-mn-this-week/" TargetMode="External" Id="rId13"/><Relationship Type="http://schemas.openxmlformats.org/officeDocument/2006/relationships/hyperlink" Target="https://economictimes.indiatimes.com/tech/funding/vehant-technologies-raises-9-million-from-true-north-through-ncds-plans-ipo-by-2026/articleshow/117013023.cms" TargetMode="External" Id="rId14"/><Relationship Type="http://schemas.openxmlformats.org/officeDocument/2006/relationships/hyperlink" Target="https://entrackr.com/snippets/blume-ventures-leads-34-mn-round-in-zoplar-8598758" TargetMode="External" Id="rId15"/><Relationship Type="http://schemas.openxmlformats.org/officeDocument/2006/relationships/hyperlink" Target="https://entrackr.com/snippets/neuroscience-startup-brainsight-ai-raises-5-mn-8602138" TargetMode="External" Id="rId16"/><Relationship Type="http://schemas.openxmlformats.org/officeDocument/2006/relationships/hyperlink" Target="https://entrackr.com/snippets/proptech-startup-hbits-raises-rs-40-cr-in-series-a-8601862" TargetMode="External" Id="rId17"/><Relationship Type="http://schemas.openxmlformats.org/officeDocument/2006/relationships/hyperlink" Target="https://entrackr.com/snippets/ras-luxury-skincare-raises-5-mn-led-by-unilever-ventures-8600516" TargetMode="External" Id="rId18"/><Relationship Type="http://schemas.openxmlformats.org/officeDocument/2006/relationships/hyperlink" Target="https://entrackr.com/snippets/beyond-snack-raises-83-mn-in-series-a-round-8604226" TargetMode="External" Id="rId19"/><Relationship Type="http://schemas.openxmlformats.org/officeDocument/2006/relationships/hyperlink" Target="https://entrackr.com/news/grayquest-raises-93-mn-from-iifl-fintech-fund-claypond-and-pravega-8605812" TargetMode="External" Id="rId20"/><Relationship Type="http://schemas.openxmlformats.org/officeDocument/2006/relationships/hyperlink" Target="https://entrackr.com/snippets/infinity-fincorp-solutions-closes-35-mn-round-8603735" TargetMode="External" Id="rId21"/><Relationship Type="http://schemas.openxmlformats.org/officeDocument/2006/relationships/hyperlink" Target="https://economictimes.indiatimes.com/tech/funding/saas-firm-innovaccer-closes-275-million-funding-to-build-more-on-ai-cloud/articleshow/117092526.cms" TargetMode="External" Id="rId22"/><Relationship Type="http://schemas.openxmlformats.org/officeDocument/2006/relationships/hyperlink" Target="https://entrackr.com/snippets/integris-health-raises-primary-capital-ahead-of-planned-ipo-8604374" TargetMode="External" Id="rId23"/><Relationship Type="http://schemas.openxmlformats.org/officeDocument/2006/relationships/hyperlink" Target="https://inc42.com/buzz/from-innovaccer-to-beyond-snack-indian-startups-raised-432-mn-this-week/" TargetMode="External" Id="rId24"/><Relationship Type="http://schemas.openxmlformats.org/officeDocument/2006/relationships/hyperlink" Target="https://inc42.com/buzz/from-innovaccer-to-beyond-snack-indian-startups-raised-432-mn-this-week/" TargetMode="External" Id="rId25"/><Relationship Type="http://schemas.openxmlformats.org/officeDocument/2006/relationships/hyperlink" Target="https://entrackr.com/snippets/agentic-ai-startup-quash-raises-pre-seed-round-led-by-arali-ventures-8608038" TargetMode="External" Id="rId26"/><Relationship Type="http://schemas.openxmlformats.org/officeDocument/2006/relationships/hyperlink" Target="https://inc42.com/buzz/from-innovaccer-to-beyond-snack-indian-startups-raised-432-mn-this-week/" TargetMode="External" Id="rId27"/><Relationship Type="http://schemas.openxmlformats.org/officeDocument/2006/relationships/hyperlink" Target="https://entrackr.com/snippets/bubble-tea-brand-boba-bhai-raises-rs-30-cr-in-series-a-round-8614194" TargetMode="External" Id="rId28"/><Relationship Type="http://schemas.openxmlformats.org/officeDocument/2006/relationships/hyperlink" Target="https://inc42.com/buzz/from-netradyne-to-foxtale-indian-startups-raised-308-mn-this-week/" TargetMode="External" Id="rId29"/><Relationship Type="http://schemas.openxmlformats.org/officeDocument/2006/relationships/hyperlink" Target="https://entrackr.com/news/ev-two-wheeler-manufacturer-bgauss-raises-rs-161-cr-8620040" TargetMode="External" Id="rId30"/><Relationship Type="http://schemas.openxmlformats.org/officeDocument/2006/relationships/hyperlink" Target="https://inc42.com/buzz/from-netradyne-to-foxtale-indian-startups-raised-308-mn-this-week/" TargetMode="External" Id="rId31"/><Relationship Type="http://schemas.openxmlformats.org/officeDocument/2006/relationships/hyperlink" Target="https://economictimes.indiatimes.com/tech/funding/climate-tech-startup-greenstitch-raises-1-2-million-from-equirus-innovatex-fund-others/articleshow/117237257.cms" TargetMode="External" Id="rId32"/><Relationship Type="http://schemas.openxmlformats.org/officeDocument/2006/relationships/hyperlink" Target="https://entrackr.com/snippets/tractor-factory-raises-500k-in-pre-seed-round-led-by-all-in-capital-8619966" TargetMode="External" Id="rId33"/><Relationship Type="http://schemas.openxmlformats.org/officeDocument/2006/relationships/hyperlink" Target="https://entrackr.com/snippets/eccentric-engine-raises-5-mn-in-pre-series-a-round-8622777" TargetMode="External" Id="rId34"/><Relationship Type="http://schemas.openxmlformats.org/officeDocument/2006/relationships/hyperlink" Target="https://entrackr.com/news/climate-tech-startup-ecozen-raises-23-mn-in-debt-8623678" TargetMode="External" Id="rId35"/><Relationship Type="http://schemas.openxmlformats.org/officeDocument/2006/relationships/hyperlink" Target="https://inc42.com/buzz/from-netradyne-to-foxtale-indian-startups-raised-308-mn-this-week/" TargetMode="External" Id="rId36"/><Relationship Type="http://schemas.openxmlformats.org/officeDocument/2006/relationships/hyperlink" Target="https://inc42.com/buzz/from-netradyne-to-foxtale-indian-startups-raised-308-mn-this-week/" TargetMode="External" Id="rId37"/><Relationship Type="http://schemas.openxmlformats.org/officeDocument/2006/relationships/hyperlink" Target="https://entrackr.com/news/d2c-skincare-brand-foxtale-raises-30-mn-8623443" TargetMode="External" Id="rId38"/><Relationship Type="http://schemas.openxmlformats.org/officeDocument/2006/relationships/hyperlink" Target="https://entrackr.com/snippets/spacetech-startup-orbitaid-raises-15-mn-led-by-unicorn-india-ventures-8622828" TargetMode="External" Id="rId39"/><Relationship Type="http://schemas.openxmlformats.org/officeDocument/2006/relationships/hyperlink" Target="https://entrackr.com/snippets/cactus-partners-leads-12-mn-round-in-parkmate-8623699" TargetMode="External" Id="rId40"/><Relationship Type="http://schemas.openxmlformats.org/officeDocument/2006/relationships/hyperlink" Target="https://entrackr.com/snippets/aerospace-startup-sarla-aviation-raises-10-mn-led-by-accel-8622762" TargetMode="External" Id="rId41"/><Relationship Type="http://schemas.openxmlformats.org/officeDocument/2006/relationships/hyperlink" Target="https://entrackr.com/snippets/agetech-startup-sukoon-unlimited-raises-pre-seed-round-8622991" TargetMode="External" Id="rId42"/><Relationship Type="http://schemas.openxmlformats.org/officeDocument/2006/relationships/hyperlink" Target="https://entrackr.com/snippets/tyreplex-raises-rs-20-cr-from-peercapital-titan-capital-winners-fund-others-8623233" TargetMode="External" Id="rId43"/><Relationship Type="http://schemas.openxmlformats.org/officeDocument/2006/relationships/hyperlink" Target="https://entrackr.com/snippets/astrosureai-raises-6-mn-in-seed-round-8626771" TargetMode="External" Id="rId44"/><Relationship Type="http://schemas.openxmlformats.org/officeDocument/2006/relationships/hyperlink" Target="https://economictimes.indiatimes.com/tech/funding/defence-tech-startup-constelli-raises-3-million-in-pre-series-a-round-led-by-pravega-ventures/articleshow/117304142.cms" TargetMode="External" Id="rId45"/><Relationship Type="http://schemas.openxmlformats.org/officeDocument/2006/relationships/hyperlink" Target="https://entrackr.com/exclusive/exclusive-emiza-supply-chain-kicks-off-new-funding-round-8625857" TargetMode="External" Id="rId46"/><Relationship Type="http://schemas.openxmlformats.org/officeDocument/2006/relationships/hyperlink" Target="https://entrackr.com/snippets/foodtech-startup-fambo-raises-rs-21-cr-in-pre-series-a-funding-8626412" TargetMode="External" Id="rId47"/><Relationship Type="http://schemas.openxmlformats.org/officeDocument/2006/relationships/hyperlink" Target="https://entrackr.com/snippets/house-of-chikankari-bags-rs-4-cr-in-seed-round-8625846" TargetMode="External" Id="rId48"/><Relationship Type="http://schemas.openxmlformats.org/officeDocument/2006/relationships/hyperlink" Target="https://entrackr.com/snippets/kisaansay-raises-2-mn-in-pre-seed-round-led-by-jungle-ventures-8625838" TargetMode="External" Id="rId49"/><Relationship Type="http://schemas.openxmlformats.org/officeDocument/2006/relationships/hyperlink" Target="https://entrackr.com/snippets/autotech-startup-motorfloor-raises-pre-seed-round-8626200" TargetMode="External" Id="rId50"/><Relationship Type="http://schemas.openxmlformats.org/officeDocument/2006/relationships/hyperlink" Target="https://entrackr.com/snippets/wevois-raises-rs-36-cr-in-series-a-round-from-negen-capital-8626156" TargetMode="External" Id="rId51"/><Relationship Type="http://schemas.openxmlformats.org/officeDocument/2006/relationships/hyperlink" Target="https://entrackr.com/snippets/biotech-startup-zerocircle-raises-rs-20-cr-led-by-rainmatter-8626169" TargetMode="External" Id="rId52"/><Relationship Type="http://schemas.openxmlformats.org/officeDocument/2006/relationships/hyperlink" Target="https://www.vccircle.com/majinvest-bii-backed-namdev-finvest-pushes-back-fundraising-plan" TargetMode="External" Id="rId53"/><Relationship Type="http://schemas.openxmlformats.org/officeDocument/2006/relationships/hyperlink" Target="https://inc42.com/buzz/from-netradyne-to-foxtale-indian-startups-raised-308-mn-this-week/" TargetMode="External" Id="rId54"/><Relationship Type="http://schemas.openxmlformats.org/officeDocument/2006/relationships/hyperlink" Target="https://inc42.com/buzz/from-netradyne-to-foxtale-indian-startups-raised-308-mn-this-week/" TargetMode="External" Id="rId55"/><Relationship Type="http://schemas.openxmlformats.org/officeDocument/2006/relationships/hyperlink" Target="https://inc42.com/buzz/from-netradyne-to-foxtale-indian-startups-raised-308-mn-this-week/" TargetMode="External" Id="rId56"/><Relationship Type="http://schemas.openxmlformats.org/officeDocument/2006/relationships/hyperlink" Target="https://entrackr.com/news/reliance-and-softbank-backed-netradyne-raises-90-mn-in-series-d-8629017" TargetMode="External" Id="rId57"/><Relationship Type="http://schemas.openxmlformats.org/officeDocument/2006/relationships/hyperlink" Target="https://inc42.com/buzz/from-netradyne-to-foxtale-indian-startups-raised-308-mn-this-week/" TargetMode="External" Id="rId58"/><Relationship Type="http://schemas.openxmlformats.org/officeDocument/2006/relationships/hyperlink" Target="https://economictimes.indiatimes.com/tech/funding/electronics-manufacturing-startup-grid-os-raises-500000-in-round-led-by-anupam-mittal-all-in-capital/articleshow/117352343.cms" TargetMode="External" Id="rId59"/><Relationship Type="http://schemas.openxmlformats.org/officeDocument/2006/relationships/hyperlink" Target="https://entrackr.com/snippets/bpr-hub-raises-26-mn-led-by-accel-and-kae-capital-8638299" TargetMode="External" Id="rId60"/><Relationship Type="http://schemas.openxmlformats.org/officeDocument/2006/relationships/hyperlink" Target="https://inc42.com/buzz/from-infra-market-to-arisinfra-indian-startups-raised-275-mn-this-week/" TargetMode="External" Id="rId61"/><Relationship Type="http://schemas.openxmlformats.org/officeDocument/2006/relationships/hyperlink" Target="https://entrackr.com/snippets/mistry-ventures-leads-45-mn-round-in-kisankonnect-8637095" TargetMode="External" Id="rId62"/><Relationship Type="http://schemas.openxmlformats.org/officeDocument/2006/relationships/hyperlink" Target="https://entrackr.com/snippets/krvvy-raises-rs-61-cr-from-titan-capital-and-all-in-capital-8636581" TargetMode="External" Id="rId63"/><Relationship Type="http://schemas.openxmlformats.org/officeDocument/2006/relationships/hyperlink" Target="https://entrackr.com/news/nazara-raises-rs-495-cr-from-arpit-khandelwal-and-mithun-sacheti-led-axana-estates-8637532" TargetMode="External" Id="rId64"/><Relationship Type="http://schemas.openxmlformats.org/officeDocument/2006/relationships/hyperlink" Target="https://entrackr.com/snippets/prantae-solutions-saises-seed-round-from-ian-group-8637291" TargetMode="External" Id="rId65"/><Relationship Type="http://schemas.openxmlformats.org/officeDocument/2006/relationships/hyperlink" Target="https://entrackr.com/snippets/procureyard-raises-172-mn-in-seed-round-8636600" TargetMode="External" Id="rId66"/><Relationship Type="http://schemas.openxmlformats.org/officeDocument/2006/relationships/hyperlink" Target="https://entrackr.com/snippets/chelvies-coffee-raises-1-mn-in-pre-series-a-round-8640133" TargetMode="External" Id="rId67"/><Relationship Type="http://schemas.openxmlformats.org/officeDocument/2006/relationships/hyperlink" Target="https://entrackr.com/snippets/joyspoon-raises-more-money-in-seed-round-8639852" TargetMode="External" Id="rId68"/><Relationship Type="http://schemas.openxmlformats.org/officeDocument/2006/relationships/hyperlink" Target="https://entrackr.com/snippets/postudio-raises-1-mn-in-pre-seed-funding-8639868" TargetMode="External" Id="rId69"/><Relationship Type="http://schemas.openxmlformats.org/officeDocument/2006/relationships/hyperlink" Target="https://entrackr.com/snippets/quick-service-app-snabbit-raises-55-mn-led-by-elevation-and-nexus-8639619" TargetMode="External" Id="rId70"/><Relationship Type="http://schemas.openxmlformats.org/officeDocument/2006/relationships/hyperlink" Target="https://inc42.com/buzz/from-infra-market-to-arisinfra-indian-startups-raised-275-mn-this-week/" TargetMode="External" Id="rId71"/><Relationship Type="http://schemas.openxmlformats.org/officeDocument/2006/relationships/hyperlink" Target="https://entrackr.com/snippets/cancrie-raises-12-mn-in-seed-funding-round-8644225" TargetMode="External" Id="rId72"/><Relationship Type="http://schemas.openxmlformats.org/officeDocument/2006/relationships/hyperlink" Target="https://entrackr.com/news/deconstruct-raises-rs-65-cr-from-lor&#233;als-vc-fund-bold-and-others-8643091" TargetMode="External" Id="rId73"/><Relationship Type="http://schemas.openxmlformats.org/officeDocument/2006/relationships/hyperlink" Target="https://entrackr.com/snippets/biotech-startup-exsure-raises-seed-round-led-by-unicorn-india-ventures-8643695" TargetMode="External" Id="rId74"/><Relationship Type="http://schemas.openxmlformats.org/officeDocument/2006/relationships/hyperlink" Target="https://entrackr.com/snippets/healthcare-platform-raaz-app-raises-1-mn-led-by-fireside-ventures-8643414" TargetMode="External" Id="rId75"/><Relationship Type="http://schemas.openxmlformats.org/officeDocument/2006/relationships/hyperlink" Target="https://inc42.com/buzz/from-infra-market-to-arisinfra-indian-startups-raised-275-mn-this-week/" TargetMode="External" Id="rId76"/><Relationship Type="http://schemas.openxmlformats.org/officeDocument/2006/relationships/hyperlink" Target="https://entrackr.com/snippets/otp-ventures-leads-24-mn-round-in-zeelab-pharmacy-8643423" TargetMode="External" Id="rId77"/><Relationship Type="http://schemas.openxmlformats.org/officeDocument/2006/relationships/hyperlink" Target="https://inc42.com/buzz/from-infra-market-to-arisinfra-indian-startups-raised-275-mn-this-week/" TargetMode="External" Id="rId78"/><Relationship Type="http://schemas.openxmlformats.org/officeDocument/2006/relationships/hyperlink" Target="https://economictimes.indiatimes.com/tech/funding/agritech-startup-arya-secures-30-million-in-debt-financing/articleshow/117490646.cms" TargetMode="External" Id="rId79"/><Relationship Type="http://schemas.openxmlformats.org/officeDocument/2006/relationships/hyperlink" Target="https://entrackr.com/news/industrial-robotics-startup-ati-motors-raises-20-mn-in-series-b-round-8646163" TargetMode="External" Id="rId80"/><Relationship Type="http://schemas.openxmlformats.org/officeDocument/2006/relationships/hyperlink" Target="https://entrackr.com/snippets/dream-aerospace-raises-rs-3-cr-in-pre-seed-round-8646648" TargetMode="External" Id="rId81"/><Relationship Type="http://schemas.openxmlformats.org/officeDocument/2006/relationships/hyperlink" Target="https://economictimes.indiatimes.com/tech/funding/infra-market-secures-rs-1050-crore-in-pre-ipo-funding/articleshow/117486734.cms" TargetMode="External" Id="rId82"/><Relationship Type="http://schemas.openxmlformats.org/officeDocument/2006/relationships/hyperlink" Target="https://entrackr.com/snippets/y-combinator-backed-landeed-raises-5-mn-8645853" TargetMode="External" Id="rId83"/><Relationship Type="http://schemas.openxmlformats.org/officeDocument/2006/relationships/hyperlink" Target="https://entrackr.com/snippets/ian-group-leads-seed-round-in-medtech-startup-svastek-8647043" TargetMode="External" Id="rId84"/><Relationship Type="http://schemas.openxmlformats.org/officeDocument/2006/relationships/hyperlink" Target="https://entrackr.com/snippets/vunet-systems-raises-rs-60-cr-in-series-b-round-8646289" TargetMode="External" Id="rId85"/><Relationship Type="http://schemas.openxmlformats.org/officeDocument/2006/relationships/hyperlink" Target="https://economictimes.indiatimes.com/tech/funding/ai-infrastructure-startup-pipeshift-raises-2-5-million-from-y-combinator-others/articleshow/117493444.cms" TargetMode="External" Id="rId86"/><Relationship Type="http://schemas.openxmlformats.org/officeDocument/2006/relationships/hyperlink" Target="https://inc42.com/buzz/from-infra-market-to-arisinfra-indian-startups-raised-275-mn-this-week/" TargetMode="External" Id="rId87"/><Relationship Type="http://schemas.openxmlformats.org/officeDocument/2006/relationships/hyperlink" Target="https://entrackr.com/snippets/medusa-beverages-raises-rs-56-cr-in-series-a-funding-8649454" TargetMode="External" Id="rId88"/><Relationship Type="http://schemas.openxmlformats.org/officeDocument/2006/relationships/hyperlink" Target="https://entrackr.com/news/astrome-technologies-raises-10-mn-led-by-appollo-fund-8658316" TargetMode="External" Id="rId89"/><Relationship Type="http://schemas.openxmlformats.org/officeDocument/2006/relationships/hyperlink" Target="https://entrackr.com/snippets/emiza-raises-rs-100-cr-in-series-c-round-8657375" TargetMode="External" Id="rId90"/><Relationship Type="http://schemas.openxmlformats.org/officeDocument/2006/relationships/hyperlink" Target="https://entrackr.com/snippets/invascent-leads-13-mn-round-in-geri-care-health-services-8658435" TargetMode="External" Id="rId91"/><Relationship Type="http://schemas.openxmlformats.org/officeDocument/2006/relationships/hyperlink" Target="https://inc42.com/buzz/from-leap-to-innov8-indian-startups-raised-196-mn-this-week/" TargetMode="External" Id="rId92"/><Relationship Type="http://schemas.openxmlformats.org/officeDocument/2006/relationships/hyperlink" Target="https://economictimes.indiatimes.com/tech/startups/meesho-closes-550-million-round-moves-nclt-to-shift-domicile/articleshow/117583844.cms" TargetMode="External" Id="rId93"/><Relationship Type="http://schemas.openxmlformats.org/officeDocument/2006/relationships/hyperlink" Target="https://inc42.com/buzz/from-leap-to-innov8-indian-startups-raised-196-mn-this-week/" TargetMode="External" Id="rId94"/><Relationship Type="http://schemas.openxmlformats.org/officeDocument/2006/relationships/hyperlink" Target="https://entrackr.com/snippets/voltup-raises-8-mn-in-seed-funding-round-8657725" TargetMode="External" Id="rId95"/><Relationship Type="http://schemas.openxmlformats.org/officeDocument/2006/relationships/hyperlink" Target="https://entrackr.com/snippets/home-loan-startup-ambak-raises-7-mn-led-by-peak-xv-8661535" TargetMode="External" Id="rId96"/><Relationship Type="http://schemas.openxmlformats.org/officeDocument/2006/relationships/hyperlink" Target="https://economictimes.indiatimes.com/tech/funding/saas-startup-atomicwork-raises-25-million-in-round-led-by-khosla-ventures-z47/articleshow/117642788.cms" TargetMode="External" Id="rId97"/><Relationship Type="http://schemas.openxmlformats.org/officeDocument/2006/relationships/hyperlink" Target="https://entrackr.com/snippets/nbfc-bizloan-raises-rs-35-cr-in-series-a-funding-8660744" TargetMode="External" Id="rId98"/><Relationship Type="http://schemas.openxmlformats.org/officeDocument/2006/relationships/hyperlink" Target="https://entrackr.com/news/oyo-owned-innov8-raises-rs-110-cr-at-rs-1000-cr-valuation-8660332" TargetMode="External" Id="rId99"/><Relationship Type="http://schemas.openxmlformats.org/officeDocument/2006/relationships/hyperlink" Target="https://economictimes.indiatimes.com/tech/funding/medmitra-ai-raises-rs-3-crore-led-by-all-in-capital-weh-ventures/articleshow/117626643.cms" TargetMode="External" Id="rId100"/><Relationship Type="http://schemas.openxmlformats.org/officeDocument/2006/relationships/hyperlink" Target="https://entrackr.com/snippets/saucevc-leads-11-cr-round-in-gaming-startup-metashot-8660717" TargetMode="External" Id="rId101"/><Relationship Type="http://schemas.openxmlformats.org/officeDocument/2006/relationships/hyperlink" Target="https://entrackr.com/snippets/aeravti-ventures-leads-1-mn-round-in-origin-fresh-8661367" TargetMode="External" Id="rId102"/><Relationship Type="http://schemas.openxmlformats.org/officeDocument/2006/relationships/hyperlink" Target="https://entrackr.com/snippets/thinkmetal-raises-800k-in-pre-series-a-round-8661333" TargetMode="External" Id="rId103"/><Relationship Type="http://schemas.openxmlformats.org/officeDocument/2006/relationships/hyperlink" Target="https://entrackr.com/snippets/whizzo-raises-42-mn-in-seed-round-led-by-lightspeed-8659906" TargetMode="External" Id="rId104"/><Relationship Type="http://schemas.openxmlformats.org/officeDocument/2006/relationships/hyperlink" Target="https://inc42.com/buzz/from-leap-to-innov8-indian-startups-raised-196-mn-this-week/" TargetMode="External" Id="rId105"/><Relationship Type="http://schemas.openxmlformats.org/officeDocument/2006/relationships/hyperlink" Target="https://economictimes.indiatimes.com/tech/funding/lok-capital-and-uc-impower-invest-rs-50-crore-in-growxcd-finance/articleshow/117686694.cms" TargetMode="External" Id="rId106"/><Relationship Type="http://schemas.openxmlformats.org/officeDocument/2006/relationships/hyperlink" Target="https://entrackr.com/news/edtech-company-leap-raises-65-mn-led-by-apis-partners-8663858" TargetMode="External" Id="rId107"/><Relationship Type="http://schemas.openxmlformats.org/officeDocument/2006/relationships/hyperlink" Target="https://inc42.com/buzz/from-leap-to-innov8-indian-startups-raised-196-mn-this-week/" TargetMode="External" Id="rId108"/><Relationship Type="http://schemas.openxmlformats.org/officeDocument/2006/relationships/hyperlink" Target="https://entrackr.com/snippets/infoedge-ventures-leads-1-mn-round-in-shoppin-8669237" TargetMode="External" Id="rId109"/><Relationship Type="http://schemas.openxmlformats.org/officeDocument/2006/relationships/hyperlink" Target="https://economictimes.indiatimes.com/tech/funding/drone-startup-bonv-aero-secures-funding-from-unicorn-india-ventures/articleshow/117740144.cms" TargetMode="External" Id="rId110"/><Relationship Type="http://schemas.openxmlformats.org/officeDocument/2006/relationships/hyperlink" Target="https://entrackr.com/snippets/d2c-footwear-brand-chk-secures-25-mn-8674117" TargetMode="External" Id="rId111"/><Relationship Type="http://schemas.openxmlformats.org/officeDocument/2006/relationships/hyperlink" Target="https://entrackr.com/snippets/salad-days-raises-rs-30-cr-in-series-a-round-8669851" TargetMode="External" Id="rId112"/><Relationship Type="http://schemas.openxmlformats.org/officeDocument/2006/relationships/hyperlink" Target="https://entrackr.com/snippets/teen-self-care-brand-sammmm-raises-rs-10-cr-in-seed-funding-8674589" TargetMode="External" Id="rId113"/><Relationship Type="http://schemas.openxmlformats.org/officeDocument/2006/relationships/hyperlink" Target="https://economictimes.indiatimes.com/tech/funding/saas-firm-superops-raises-25-million-from-march-capital-addition-z47/articleshow/117741246.cms" TargetMode="External" Id="rId114"/><Relationship Type="http://schemas.openxmlformats.org/officeDocument/2006/relationships/hyperlink" Target="https://economictimes.indiatimes.com/tech/funding/spiritual-and-devotion-platform-utsav-raises-rs-6-35-crore-in-round-led-by-equanimity-investments/articleshow/117741315.cms" TargetMode="External" Id="rId115"/><Relationship Type="http://schemas.openxmlformats.org/officeDocument/2006/relationships/hyperlink" Target="https://entrackr.com/news/captain-fresh-raises-rs-250-cr-in-ongoing-pre-ipo-round-8678115" TargetMode="External" Id="rId116"/><Relationship Type="http://schemas.openxmlformats.org/officeDocument/2006/relationships/hyperlink" Target="https://inc42.com/buzz/from-cashfree-payments-to-shadowfax-indian-startups-raised-125-mn-this-week/" TargetMode="External" Id="rId117"/><Relationship Type="http://schemas.openxmlformats.org/officeDocument/2006/relationships/hyperlink" Target="https://inc42.com/buzz/from-cashfree-payments-to-shadowfax-indian-startups-raised-125-mn-this-week/" TargetMode="External" Id="rId118"/><Relationship Type="http://schemas.openxmlformats.org/officeDocument/2006/relationships/hyperlink" Target="https://inc42.com/buzz/from-cashfree-payments-to-shadowfax-indian-startups-raised-125-mn-this-week/" TargetMode="External" Id="rId119"/><Relationship Type="http://schemas.openxmlformats.org/officeDocument/2006/relationships/hyperlink" Target="https://entrackr.com/snippets/priyanka-gills-lab-grown-diamond-brand-coluxe-raises-angel-funding-8688430" TargetMode="External" Id="rId120"/><Relationship Type="http://schemas.openxmlformats.org/officeDocument/2006/relationships/hyperlink" Target="https://economictimes.indiatimes.com/tech/funding/hair-originals-raises-5-million-in-series-a-funding/articleshow/117921270.cms" TargetMode="External" Id="rId121"/><Relationship Type="http://schemas.openxmlformats.org/officeDocument/2006/relationships/hyperlink" Target="https://inc42.com/buzz/from-cashfree-payments-to-shadowfax-indian-startups-raised-125-mn-this-week/" TargetMode="External" Id="rId122"/><Relationship Type="http://schemas.openxmlformats.org/officeDocument/2006/relationships/hyperlink" Target="https://inc42.com/buzz/from-cashfree-payments-to-shadowfax-indian-startups-raised-125-mn-this-week/" TargetMode="External" Id="rId123"/><Relationship Type="http://schemas.openxmlformats.org/officeDocument/2006/relationships/hyperlink" Target="https://inc42.com/buzz/from-cashfree-payments-to-shadowfax-indian-startups-raised-125-mn-this-week/" TargetMode="External" Id="rId124"/><Relationship Type="http://schemas.openxmlformats.org/officeDocument/2006/relationships/hyperlink" Target="https://entrackr.com/news/cashfree-payments-raises-53-mn-led-by-krafton-8690967" TargetMode="External" Id="rId125"/><Relationship Type="http://schemas.openxmlformats.org/officeDocument/2006/relationships/hyperlink" Target="https://entrackr.com/snippets/dreamfly-innovations-raises-rs-12-cr-in-seed-round-8694299" TargetMode="External" Id="rId126"/><Relationship Type="http://schemas.openxmlformats.org/officeDocument/2006/relationships/hyperlink" Target="https://entrackr.com/snippets/nutrition-brand-fitspire-raises-1-mn-in-pre-series-a-round-8692614" TargetMode="External" Id="rId127"/><Relationship Type="http://schemas.openxmlformats.org/officeDocument/2006/relationships/hyperlink" Target="https://entrackr.com/snippets/foodtech-startup-mealawe-raises-1-mn-in-new-round-8692490" TargetMode="External" Id="rId128"/><Relationship Type="http://schemas.openxmlformats.org/officeDocument/2006/relationships/hyperlink" Target="https://entrackr.com/snippets/genai-startup-origamis-ai-raises-500k-in-seed-round-8692523" TargetMode="External" Id="rId129"/><Relationship Type="http://schemas.openxmlformats.org/officeDocument/2006/relationships/hyperlink" Target="https://entrackr.com/snippets/presage-insights-raises-seed-funding-round-8692558" TargetMode="External" Id="rId130"/><Relationship Type="http://schemas.openxmlformats.org/officeDocument/2006/relationships/hyperlink" Target="https://entrackr.com/snippets/quicklend-raises-rs-675-cr-in-pre-seed-round-8691890" TargetMode="External" Id="rId131"/><Relationship Type="http://schemas.openxmlformats.org/officeDocument/2006/relationships/hyperlink" Target="https://entrackr.com/snippets/healthtech-startup-babynama-raises-700k-led-by-good-capital-8694916" TargetMode="External" Id="rId132"/><Relationship Type="http://schemas.openxmlformats.org/officeDocument/2006/relationships/hyperlink" Target="https://inc42.com/buzz/from-cashfree-payments-to-shadowfax-indian-startups-raised-125-mn-this-week/" TargetMode="External" Id="rId133"/><Relationship Type="http://schemas.openxmlformats.org/officeDocument/2006/relationships/hyperlink" Target="https://entrackr.com/snippets/deepika-padukone-backed-wellness-brand-nua-raises-rs-35-cr-8695456" TargetMode="External" Id="rId134"/><Relationship Type="http://schemas.openxmlformats.org/officeDocument/2006/relationships/hyperlink" Target="https://entrackr.com/snippets/playsuper-raises-500k-in-seed-round-led-by-ian-group-and-100xvc-8695102" TargetMode="External" Id="rId135"/><Relationship Type="http://schemas.openxmlformats.org/officeDocument/2006/relationships/hyperlink" Target="https://entrackr.com/news/peak-xv-backed-truefoundry-secures-19-mn-in-series-a-funding-8697254" TargetMode="External" Id="rId136"/><Relationship Type="http://schemas.openxmlformats.org/officeDocument/2006/relationships/hyperlink" Target="https://inc42.com/buzz/from-cashfree-payments-to-shadowfax-indian-startups-raised-125-mn-this-week/" TargetMode="External" Id="rId137"/><Relationship Type="http://schemas.openxmlformats.org/officeDocument/2006/relationships/hyperlink" Target="https://entrackr.com/snippets/caregiving-tech-startup-legup-raises-rs-2-cr-pre-seed-funding-8698887" TargetMode="External" Id="rId138"/><Relationship Type="http://schemas.openxmlformats.org/officeDocument/2006/relationships/hyperlink" Target="https://entrackr.com/exclusive/exclusive-motilal-oswal-invests-in-edtech-focused-nbfc-auxilo-8698681" TargetMode="External" Id="rId139"/><Relationship Type="http://schemas.openxmlformats.org/officeDocument/2006/relationships/hyperlink" Target="https://inc42.com/buzz/from-cashfree-payments-to-shadowfax-indian-startups-raised-125-mn-this-week/" TargetMode="External" Id="rId140"/><Relationship Type="http://schemas.openxmlformats.org/officeDocument/2006/relationships/hyperlink" Target="https://inc42.com/buzz/from-tonetag-to-borderplus-indian-startups-raised-270-mn-this-week/" TargetMode="External" Id="rId141"/><Relationship Type="http://schemas.openxmlformats.org/officeDocument/2006/relationships/hyperlink" Target="https://entrackr.com/exclusive/exclusive-eduvanz-secures-bridge-round-at-35-lower-valuation-8702252" TargetMode="External" Id="rId142"/><Relationship Type="http://schemas.openxmlformats.org/officeDocument/2006/relationships/hyperlink" Target="https://entrackr.com/snippets/borderplus-raises-7-mn-led-by-owl-ventures-8706328" TargetMode="External" Id="rId143"/><Relationship Type="http://schemas.openxmlformats.org/officeDocument/2006/relationships/hyperlink" Target="https://inc42.com/buzz/from-tonetag-to-borderplus-indian-startups-raised-270-mn-this-week/" TargetMode="External" Id="rId144"/><Relationship Type="http://schemas.openxmlformats.org/officeDocument/2006/relationships/hyperlink" Target="https://entrackr.com/snippets/rupeeflo-raises-1-mn-from-piper-serica-8706125" TargetMode="External" Id="rId145"/><Relationship Type="http://schemas.openxmlformats.org/officeDocument/2006/relationships/hyperlink" Target="https://entrackr.com/snippets/mens-sexual-health-brand-bold-care-raises-5-mn-8709845" TargetMode="External" Id="rId146"/><Relationship Type="http://schemas.openxmlformats.org/officeDocument/2006/relationships/hyperlink" Target="https://entrackr.com/snippets/croft-beverages-raises-pre-seed-funding-round-8710613" TargetMode="External" Id="rId147"/><Relationship Type="http://schemas.openxmlformats.org/officeDocument/2006/relationships/hyperlink" Target="https://inc42.com/buzz/from-tonetag-to-borderplus-indian-startups-raised-270-mn-this-week/" TargetMode="External" Id="rId148"/><Relationship Type="http://schemas.openxmlformats.org/officeDocument/2006/relationships/hyperlink" Target="https://entrackr.com/news/amazon-backed-tonetag-secures-78-mn-after-7-year-hiatus-8709604" TargetMode="External" Id="rId149"/><Relationship Type="http://schemas.openxmlformats.org/officeDocument/2006/relationships/hyperlink" Target="https://entrackr.com/news/zeta-raises-50-mn-at-2-bn-valuation-8709303" TargetMode="External" Id="rId150"/><Relationship Type="http://schemas.openxmlformats.org/officeDocument/2006/relationships/hyperlink" Target="https://entrackr.com/snippets/dsp-leads-2-mn-seed-round-in-arthalpha-8713124" TargetMode="External" Id="rId151"/><Relationship Type="http://schemas.openxmlformats.org/officeDocument/2006/relationships/hyperlink" Target="https://entrackr.com/snippets/capgrid-solutions-raises-5-mn-led-by-anicut-capital-8712841" TargetMode="External" Id="rId152"/><Relationship Type="http://schemas.openxmlformats.org/officeDocument/2006/relationships/hyperlink" Target="https://entrackr.com/snippets/pickleball-chain-gorally-raises-750k-in-pre-seed-funding-8713152" TargetMode="External" Id="rId153"/><Relationship Type="http://schemas.openxmlformats.org/officeDocument/2006/relationships/hyperlink" Target="https://entrackr.com/news/lucidity-raises-21-mn-in-series-a-led-by-westbridge-8714913" TargetMode="External" Id="rId154"/><Relationship Type="http://schemas.openxmlformats.org/officeDocument/2006/relationships/hyperlink" Target="https://entrackr.com/snippets/fintech-startup-mysa-28-mn-led-by-blume-ventures-8712976" TargetMode="External" Id="rId155"/><Relationship Type="http://schemas.openxmlformats.org/officeDocument/2006/relationships/hyperlink" Target="https://entrackr.com/snippets/nivaan-care-raises-425-mn-led-by-endiya-partners-8713038" TargetMode="External" Id="rId156"/><Relationship Type="http://schemas.openxmlformats.org/officeDocument/2006/relationships/hyperlink" Target="https://economictimes.indiatimes.com/tech/funding/bike-taxi-startup-rapido-raises-rs-250-crore-from-prosus/articleshow/118171634.cms" TargetMode="External" Id="rId157"/><Relationship Type="http://schemas.openxmlformats.org/officeDocument/2006/relationships/hyperlink" Target="https://inc42.com/buzz/from-tonetag-to-borderplus-indian-startups-raised-270-mn-this-week/" TargetMode="External" Id="rId158"/><Relationship Type="http://schemas.openxmlformats.org/officeDocument/2006/relationships/hyperlink" Target="https://entrackr.com/snippets/sportstech-startup-stepout-raises-500k-in-seed-round-8712862" TargetMode="External" Id="rId159"/><Relationship Type="http://schemas.openxmlformats.org/officeDocument/2006/relationships/hyperlink" Target="https://inc42.com/buzz/from-tonetag-to-borderplus-indian-startups-raised-270-mn-this-week/" TargetMode="External" Id="rId160"/><Relationship Type="http://schemas.openxmlformats.org/officeDocument/2006/relationships/hyperlink" Target="https://entrackr.com/snippets/edtech-startup-vidysea-bags-1-mn-in-seed-round-8713649" TargetMode="External" Id="rId161"/><Relationship Type="http://schemas.openxmlformats.org/officeDocument/2006/relationships/hyperlink" Target="https://entrackr.com/snippets/anscer-robotics-raises-2-mn-in-seed-round-8716245" TargetMode="External" Id="rId162"/><Relationship Type="http://schemas.openxmlformats.org/officeDocument/2006/relationships/hyperlink" Target="https://entrackr.com/news/spotdraft-raises-54-mn-in-series-b-round-8715669" TargetMode="External" Id="rId163"/><Relationship Type="http://schemas.openxmlformats.org/officeDocument/2006/relationships/hyperlink" Target="https://entrackr.com/snippets/almonds-ai-raises-rs-16-cr-in-seed-funding-round-8720730" TargetMode="External" Id="rId164"/><Relationship Type="http://schemas.openxmlformats.org/officeDocument/2006/relationships/hyperlink" Target="https://entrackr.com/snippets/cherrapunji-craft-gin-raises-12-mn-in-pre-series-a-round-8719814" TargetMode="External" Id="rId165"/><Relationship Type="http://schemas.openxmlformats.org/officeDocument/2006/relationships/hyperlink" Target="https://inc42.com/buzz/from-tonetag-to-borderplus-indian-startups-raised-270-mn-this-week/" TargetMode="External" Id="rId166"/><Relationship Type="http://schemas.openxmlformats.org/officeDocument/2006/relationships/hyperlink" Target="https://inc42.com/buzz/from-tonetag-to-borderplus-indian-startups-raised-270-mn-this-week/" TargetMode="External" Id="rId167"/><Relationship Type="http://schemas.openxmlformats.org/officeDocument/2006/relationships/hyperlink" Target="https://inc42.com/buzz/from-udaan-to-the-whole-truth-indian-startups-raised-153-mn-this-week/" TargetMode="External" Id="rId168"/><Relationship Type="http://schemas.openxmlformats.org/officeDocument/2006/relationships/hyperlink" Target="https://inc42.com/buzz/from-udaan-to-the-whole-truth-indian-startups-raised-153-mn-this-week/" TargetMode="External" Id="rId169"/><Relationship Type="http://schemas.openxmlformats.org/officeDocument/2006/relationships/hyperlink" Target="https://inc42.com/buzz/from-udaan-to-the-whole-truth-indian-startups-raised-153-mn-this-week/" TargetMode="External" Id="rId170"/><Relationship Type="http://schemas.openxmlformats.org/officeDocument/2006/relationships/hyperlink" Target="https://entrackr.com/exclusive/exclusive-a91-partners-backs-rare-rabbit-in-new-round-8728019" TargetMode="External" Id="rId171"/><Relationship Type="http://schemas.openxmlformats.org/officeDocument/2006/relationships/hyperlink" Target="https://entrackr.com/news/udaan-raises-75-mn-at-flat-valuation-8728540" TargetMode="External" Id="rId172"/><Relationship Type="http://schemas.openxmlformats.org/officeDocument/2006/relationships/hyperlink" Target="https://entrackr.com/snippets/you-care-lifestyle-raises-1-mn-in-pre-seed-round-8728380" TargetMode="External" Id="rId173"/><Relationship Type="http://schemas.openxmlformats.org/officeDocument/2006/relationships/hyperlink" Target="https://entrackr.com/snippets/transition-vc-leads-17-mn-round-in-dynolt-technologies-8730916" TargetMode="External" Id="rId174"/><Relationship Type="http://schemas.openxmlformats.org/officeDocument/2006/relationships/hyperlink" Target="https://entrackr.com/snippets/lightstrom-raises-over-80-mn-led-by-niif-ifl-8732695" TargetMode="External" Id="rId175"/><Relationship Type="http://schemas.openxmlformats.org/officeDocument/2006/relationships/hyperlink" Target="https://entrackr.com/snippets/singulr-ai-raises-10-mn-led-by-nexus-and-dell-technologies-capital-8733584" TargetMode="External" Id="rId176"/><Relationship Type="http://schemas.openxmlformats.org/officeDocument/2006/relationships/hyperlink" Target="https://entrackr.com/news/spyne-raises-16-mn-in-series-a-round-led-by-vertex-ventures-8731156" TargetMode="External" Id="rId177"/><Relationship Type="http://schemas.openxmlformats.org/officeDocument/2006/relationships/hyperlink" Target="https://entrackr.com/snippets/daas-platform-swish-club-raises-45-mn-in-pre-series-a-8730922" TargetMode="External" Id="rId178"/><Relationship Type="http://schemas.openxmlformats.org/officeDocument/2006/relationships/hyperlink" Target="https://inc42.com/buzz/from-udaan-to-the-whole-truth-indian-startups-raised-153-mn-this-week/" TargetMode="External" Id="rId179"/><Relationship Type="http://schemas.openxmlformats.org/officeDocument/2006/relationships/hyperlink" Target="https://inc42.com/buzz/from-udaan-to-the-whole-truth-indian-startups-raised-153-mn-this-week/" TargetMode="External" Id="rId180"/><Relationship Type="http://schemas.openxmlformats.org/officeDocument/2006/relationships/hyperlink" Target="https://inc42.com/buzz/from-udaan-to-the-whole-truth-indian-startups-raised-153-mn-this-week/" TargetMode="External" Id="rId181"/><Relationship Type="http://schemas.openxmlformats.org/officeDocument/2006/relationships/hyperlink" Target="https://entrackr.com/snippets/healthfab-raises-1-mn-in-pre-series-a-round-8735177" TargetMode="External" Id="rId182"/><Relationship Type="http://schemas.openxmlformats.org/officeDocument/2006/relationships/hyperlink" Target="https://entrackr.com/snippets/probus-raises-5-mn-led-by-unicorn-india-ventures-8734834" TargetMode="External" Id="rId183"/><Relationship Type="http://schemas.openxmlformats.org/officeDocument/2006/relationships/hyperlink" Target="https://entrackr.com/news/dogsee-chew-raises-8-mn-in-series-b-round-8739447" TargetMode="External" Id="rId184"/><Relationship Type="http://schemas.openxmlformats.org/officeDocument/2006/relationships/hyperlink" Target="https://entrackr.com/snippets/john-abraham-backed-noto-ice-cream-raises-rs-15-cr-8739208" TargetMode="External" Id="rId185"/><Relationship Type="http://schemas.openxmlformats.org/officeDocument/2006/relationships/hyperlink" Target="https://entrackr.com/snippets/onetab-ai-raises-33-mn-in-seed-round-8738860" TargetMode="External" Id="rId186"/><Relationship Type="http://schemas.openxmlformats.org/officeDocument/2006/relationships/hyperlink" Target="https://economictimes.indiatimes.com/tech/funding/health-food-brand-the-whole-truth-raises-15-million/articleshow/118420110.cms" TargetMode="External" Id="rId187"/><Relationship Type="http://schemas.openxmlformats.org/officeDocument/2006/relationships/hyperlink" Target="https://inc42.com/buzz/from-geniemode-to-quick-clean-indian-startups-raised-88-mn-this-week/" TargetMode="External" Id="rId188"/><Relationship Type="http://schemas.openxmlformats.org/officeDocument/2006/relationships/hyperlink" Target="https://entrackr.com/news/geniemode-raises-50-mn-in-series-c-round-led-by-multiples-and-fundamentum-8751618" TargetMode="External" Id="rId189"/><Relationship Type="http://schemas.openxmlformats.org/officeDocument/2006/relationships/hyperlink" Target="https://inc42.com/buzz/from-geniemode-to-quick-clean-indian-startups-raised-88-mn-this-week/" TargetMode="External" Id="rId190"/><Relationship Type="http://schemas.openxmlformats.org/officeDocument/2006/relationships/hyperlink" Target="https://inc42.com/buzz/from-geniemode-to-quick-clean-indian-startups-raised-88-mn-this-week/" TargetMode="External" Id="rId191"/><Relationship Type="http://schemas.openxmlformats.org/officeDocument/2006/relationships/hyperlink" Target="https://entrackr.com/exclusive/exclusive-oxyzo-secures-rs-100-cr-debt-8751441" TargetMode="External" Id="rId192"/><Relationship Type="http://schemas.openxmlformats.org/officeDocument/2006/relationships/hyperlink" Target="https://entrackr.com/snippets/dodo-payments-raises-11-mn-in-pre-seed-round-8754518" TargetMode="External" Id="rId193"/><Relationship Type="http://schemas.openxmlformats.org/officeDocument/2006/relationships/hyperlink" Target="https://entrackr.com/snippets/jobizo-raises-14-mn-led-by-alkemi-growth-capital-8756369" TargetMode="External" Id="rId194"/><Relationship Type="http://schemas.openxmlformats.org/officeDocument/2006/relationships/hyperlink" Target="https://entrackr.com/snippets/technodysis-secures-rs-10-cr-in-debt-from-recur-club-8754530" TargetMode="External" Id="rId195"/><Relationship Type="http://schemas.openxmlformats.org/officeDocument/2006/relationships/hyperlink" Target="https://entrackr.com/snippets/go-digit-invests-rs-30-cr-in-dr-reddys-lab-8758171" TargetMode="External" Id="rId196"/><Relationship Type="http://schemas.openxmlformats.org/officeDocument/2006/relationships/hyperlink" Target="https://entrackr.com/snippets/hiwipay-raises-2-mn-in-seed-funding-led-by-unicorn-india-ventures-8757888" TargetMode="External" Id="rId197"/><Relationship Type="http://schemas.openxmlformats.org/officeDocument/2006/relationships/hyperlink" Target="https://inc42.com/buzz/from-geniemode-to-quick-clean-indian-startups-raised-88-mn-this-week/" TargetMode="External" Id="rId198"/><Relationship Type="http://schemas.openxmlformats.org/officeDocument/2006/relationships/hyperlink" Target="https://entrackr.com/news/moc-cancer-care-raises-18-mn-led-by-elevation-capital-8757518" TargetMode="External" Id="rId199"/><Relationship Type="http://schemas.openxmlformats.org/officeDocument/2006/relationships/hyperlink" Target="https://entrackr.com/snippets/quick-clean-raises-rs-50-cr-in-series-a-round-8758289" TargetMode="External" Id="rId200"/><Relationship Type="http://schemas.openxmlformats.org/officeDocument/2006/relationships/hyperlink" Target="https://entrackr.com/snippets/triple-tap-games-raises-12-mn-in-pre-seed-round-led-by-eximius-and-kalaari-8757670" TargetMode="External" Id="rId201"/><Relationship Type="http://schemas.openxmlformats.org/officeDocument/2006/relationships/hyperlink" Target="https://entrackr.com/snippets/vidyut-raises-25-mn-to-expand-battery-as-a-service-financing-biz-8757423" TargetMode="External" Id="rId202"/><Relationship Type="http://schemas.openxmlformats.org/officeDocument/2006/relationships/hyperlink" Target="https://entrackr.com/snippets/astrogate-labs-raises-13-mn-led-by-piper-serica-8760743" TargetMode="External" Id="rId203"/><Relationship Type="http://schemas.openxmlformats.org/officeDocument/2006/relationships/hyperlink" Target="https://entrackr.com/snippets/nutrition-brand-earthful-raises-seed-round-8761096" TargetMode="External" Id="rId204"/><Relationship Type="http://schemas.openxmlformats.org/officeDocument/2006/relationships/hyperlink" Target="https://entrackr.com/snippets/fantv-raises-3-mn-to-transform-ai-powered-content-creation-8761698" TargetMode="External" Id="rId205"/><Relationship Type="http://schemas.openxmlformats.org/officeDocument/2006/relationships/hyperlink" Target="https://entrackr.com/snippets/logistics-startup-pickkup-raises-500k-in-seed-round-led-by-we-founder-circle-8761206" TargetMode="External" Id="rId206"/><Relationship Type="http://schemas.openxmlformats.org/officeDocument/2006/relationships/hyperlink" Target="https://entrackr.com/snippets/home-decor-brand-ritualistic-raises-1-mn-8761454" TargetMode="External" Id="rId207"/><Relationship Type="http://schemas.openxmlformats.org/officeDocument/2006/relationships/hyperlink" Target="https://entrackr.com/snippets/lead-angels-rebrands-as-lead-invest-to-expand-beyond-angel-investing-8765287" TargetMode="External" Id="rId208"/><Relationship Type="http://schemas.openxmlformats.org/officeDocument/2006/relationships/hyperlink" Target="https://entrackr.com/snippets/spacetech-startup-sisir-radar-raises-15-mn-in-seed-round-8764118" TargetMode="External" Id="rId209"/><Relationship Type="http://schemas.openxmlformats.org/officeDocument/2006/relationships/hyperlink" Target="https://entrackr.com/snippets/arva-health-raises-1-mn-in-pre-seed-led-by-all-in-capital-8773513" TargetMode="External" Id="rId210"/><Relationship Type="http://schemas.openxmlformats.org/officeDocument/2006/relationships/hyperlink" Target="https://entrackr.com/snippets/credresolve-raises-11-mn-in-seed-round-8773410" TargetMode="External" Id="rId211"/><Relationship Type="http://schemas.openxmlformats.org/officeDocument/2006/relationships/hyperlink" Target="https://economictimes.indiatimes.com/tech/funding/beautywise-raises-rs-3-crore-from-boats-cofounder/articleshow/118710096.cms" TargetMode="External" Id="rId212"/><Relationship Type="http://schemas.openxmlformats.org/officeDocument/2006/relationships/hyperlink" Target="https://inc42.com/buzz/from-darwinbox-to-insurancedekho-indian-startups-raised-386-mn-this-week/" TargetMode="External" Id="rId213"/><Relationship Type="http://schemas.openxmlformats.org/officeDocument/2006/relationships/hyperlink" Target="https://inc42.com/buzz/from-darwinbox-to-insurancedekho-indian-startups-raised-386-mn-this-week/" TargetMode="External" Id="rId214"/><Relationship Type="http://schemas.openxmlformats.org/officeDocument/2006/relationships/hyperlink" Target="https://entrackr.com/snippets/dotme-bags-150k-from-jimmys-cocktails-mirza-l-baig-8776269" TargetMode="External" Id="rId215"/><Relationship Type="http://schemas.openxmlformats.org/officeDocument/2006/relationships/hyperlink" Target="https://entrackr.com/snippets/climate-tech-startup-fluxgen-raises-rs-28-cr-in-pre-series-a-8777160" TargetMode="External" Id="rId216"/><Relationship Type="http://schemas.openxmlformats.org/officeDocument/2006/relationships/hyperlink" Target="https://inc42.com/buzz/from-darwinbox-to-insurancedekho-indian-startups-raised-386-mn-this-week/" TargetMode="External" Id="rId217"/><Relationship Type="http://schemas.openxmlformats.org/officeDocument/2006/relationships/hyperlink" Target="https://entrackr.com/news/beams-fintech-fund-leads-70-mn-round-in-insurancedekho-8776738" TargetMode="External" Id="rId218"/><Relationship Type="http://schemas.openxmlformats.org/officeDocument/2006/relationships/hyperlink" Target="https://inc42.com/buzz/from-darwinbox-to-insurancedekho-indian-startups-raised-386-mn-this-week/" TargetMode="External" Id="rId219"/><Relationship Type="http://schemas.openxmlformats.org/officeDocument/2006/relationships/hyperlink" Target="https://inc42.com/buzz/from-darwinbox-to-insurancedekho-indian-startups-raised-386-mn-this-week/" TargetMode="External" Id="rId220"/><Relationship Type="http://schemas.openxmlformats.org/officeDocument/2006/relationships/hyperlink" Target="https://entrackr.com/snippets/kissht-co-founders-startup-rezolv-raises-35-mn-in-seed-round-8777381" TargetMode="External" Id="rId221"/><Relationship Type="http://schemas.openxmlformats.org/officeDocument/2006/relationships/hyperlink" Target="https://entrackr.com/snippets/ms-dhoni-family-office-invests-in-real-estate-platform-sila-8777883" TargetMode="External" Id="rId222"/><Relationship Type="http://schemas.openxmlformats.org/officeDocument/2006/relationships/hyperlink" Target="https://economictimes.indiatimes.com/tech/funding/takeme2space-raises-rs-5-5-crore/articleshow/118710967.cms" TargetMode="External" Id="rId223"/><Relationship Type="http://schemas.openxmlformats.org/officeDocument/2006/relationships/hyperlink" Target="https://inc42.com/buzz/from-darwinbox-to-insurancedekho-indian-startups-raised-386-mn-this-week/" TargetMode="External" Id="rId224"/><Relationship Type="http://schemas.openxmlformats.org/officeDocument/2006/relationships/hyperlink" Target="https://economictimes.indiatimes.com/tech/funding/enterprise-solutions-startup-beacon-raises-7-million-in-round-led-by-sorin-investments/articleshow/118736889.cms" TargetMode="External" Id="rId225"/><Relationship Type="http://schemas.openxmlformats.org/officeDocument/2006/relationships/hyperlink" Target="https://entrackr.com/news/darwinbox-raises-140-mn-co-led-by-partners-group-and-kkr-8795904" TargetMode="External" Id="rId226"/><Relationship Type="http://schemas.openxmlformats.org/officeDocument/2006/relationships/hyperlink" Target="https://entrackr.com/news/leap-finance-raises-100-mn-debt-from-hsbc-8796378" TargetMode="External" Id="rId227"/><Relationship Type="http://schemas.openxmlformats.org/officeDocument/2006/relationships/hyperlink" Target="https://inc42.com/buzz/from-darwinbox-to-insurancedekho-indian-startups-raised-386-mn-this-week/" TargetMode="External" Id="rId228"/><Relationship Type="http://schemas.openxmlformats.org/officeDocument/2006/relationships/hyperlink" Target="https://inc42.com/buzz/from-darwinbox-to-insurancedekho-indian-startups-raised-386-mn-this-week/" TargetMode="External" Id="rId229"/><Relationship Type="http://schemas.openxmlformats.org/officeDocument/2006/relationships/hyperlink" Target="https://entrackr.com/snippets/gainhubai-bags-100k-in-pre-series-bridge-round-8827135" TargetMode="External" Id="rId230"/><Relationship Type="http://schemas.openxmlformats.org/officeDocument/2006/relationships/hyperlink" Target="https://inc42.com/buzz/from-darwinbox-to-insurancedekho-indian-startups-raised-386-mn-this-week/" TargetMode="External" Id="rId231"/><Relationship Type="http://schemas.openxmlformats.org/officeDocument/2006/relationships/hyperlink" Target="https://entrackr.com/snippets/mapmycrop-bags-18-mn-in-seed-round-8827439" TargetMode="External" Id="rId232"/><Relationship Type="http://schemas.openxmlformats.org/officeDocument/2006/relationships/hyperlink" Target="https://entrackr.com/snippets/maxiq-raises-78-mn-led-by-dell-technologies-8825802" TargetMode="External" Id="rId233"/><Relationship Type="http://schemas.openxmlformats.org/officeDocument/2006/relationships/hyperlink" Target="https://entrackr.com/snippets/photai-raises-27-mn-to-automate-e-commerce-creative-design-8817121" TargetMode="External" Id="rId234"/><Relationship Type="http://schemas.openxmlformats.org/officeDocument/2006/relationships/hyperlink" Target="https://entrackr.com/snippets/rajeev-misras-son-raises-150-mn-fund-to-back-indian-startups-8821610" TargetMode="External" Id="rId235"/><Relationship Type="http://schemas.openxmlformats.org/officeDocument/2006/relationships/hyperlink" Target="https://entrackr.com/exclusive/exclusive-10-min-food-delivery-startup-swish-raises-14-mn-8827719" TargetMode="External" Id="rId236"/><Relationship Type="http://schemas.openxmlformats.org/officeDocument/2006/relationships/hyperlink" Target="https://inc42.com/buzz/from-darwinbox-to-insurancedekho-indian-startups-raised-386-mn-this-week/" TargetMode="External" Id="rId237"/><Relationship Type="http://schemas.openxmlformats.org/officeDocument/2006/relationships/hyperlink" Target="https://inc42.com/buzz/from-darwinbox-to-insurancedekho-indian-startups-raised-386-mn-this-week/" TargetMode="External" Id="rId238"/><Relationship Type="http://schemas.openxmlformats.org/officeDocument/2006/relationships/hyperlink" Target="https://inc42.com/buzz/from-darwinbox-to-insurancedekho-indian-startups-raised-386-mn-this-week/" TargetMode="External" Id="rId239"/><Relationship Type="http://schemas.openxmlformats.org/officeDocument/2006/relationships/hyperlink" Target="https://inc42.com/buzz/from-darwinbox-to-insurancedekho-indian-startups-raised-386-mn-this-week/" TargetMode="External" Id="rId240"/><Relationship Type="http://schemas.openxmlformats.org/officeDocument/2006/relationships/hyperlink" Target="https://economictimes.indiatimes.com/tech/funding/beauty-brand-inde-wild-raises-5-million-from-unilever-ventures-others/articleshow/118784370.cms" TargetMode="External" Id="rId241"/><Relationship Type="http://schemas.openxmlformats.org/officeDocument/2006/relationships/hyperlink" Target="https://inc42.com/buzz/from-darwinbox-to-insurancedekho-indian-startups-raised-386-mn-this-week/" TargetMode="External" Id="rId242"/><Relationship Type="http://schemas.openxmlformats.org/officeDocument/2006/relationships/hyperlink" Target="https://inc42.com/buzz/from-zolve-to-scimplify-indian-startups-raised-429-mn-this-week/" TargetMode="External" Id="rId243"/><Relationship Type="http://schemas.openxmlformats.org/officeDocument/2006/relationships/hyperlink" Target="https://entrackr.com/exclusive/exclusive-dsp-mutual-fund-acquires-volt-money-8839027" TargetMode="External" Id="rId244"/><Relationship Type="http://schemas.openxmlformats.org/officeDocument/2006/relationships/hyperlink" Target="https://entrackr.com/snippets/admission-startup-ambitio-raises-2-mn-in-seed-round-8842295" TargetMode="External" Id="rId245"/><Relationship Type="http://schemas.openxmlformats.org/officeDocument/2006/relationships/hyperlink" Target="https://inc42.com/buzz/from-zolve-to-scimplify-indian-startups-raised-429-mn-this-week/" TargetMode="External" Id="rId246"/><Relationship Type="http://schemas.openxmlformats.org/officeDocument/2006/relationships/hyperlink" Target="https://entrackr.com/snippets/3one4-capital-leads-3-mn-round-in-felicity-games-8842082" TargetMode="External" Id="rId247"/><Relationship Type="http://schemas.openxmlformats.org/officeDocument/2006/relationships/hyperlink" Target="https://entrackr.com/snippets/gostops-bags-rs-35-cr-in-series-a-round-led-by-blume-ventures-8841407" TargetMode="External" Id="rId248"/><Relationship Type="http://schemas.openxmlformats.org/officeDocument/2006/relationships/hyperlink" Target="https://entrackr.com/news/infinite-uptime-raises-35-mn-in-series-c-round-8841757" TargetMode="External" Id="rId249"/><Relationship Type="http://schemas.openxmlformats.org/officeDocument/2006/relationships/hyperlink" Target="https://entrackr.com/news/neobanking-startup-zolve-raises-251-mn-in-series-b-round-8843977" TargetMode="External" Id="rId250"/><Relationship Type="http://schemas.openxmlformats.org/officeDocument/2006/relationships/hyperlink" Target="https://entrackr.com/snippets/allo-health-raises-rs-16-cr-in-pre-series-a-round-8846048" TargetMode="External" Id="rId251"/><Relationship Type="http://schemas.openxmlformats.org/officeDocument/2006/relationships/hyperlink" Target="https://entrackr.com/snippets/energy-storage-startup-amperehour-raises-5-mn-8845730" TargetMode="External" Id="rId252"/><Relationship Type="http://schemas.openxmlformats.org/officeDocument/2006/relationships/hyperlink" Target="https://entrackr.com/news/specialty-chemicals-startup-scimplify-raises-40-mn-in-series-b-round-8847517" TargetMode="External" Id="rId253"/><Relationship Type="http://schemas.openxmlformats.org/officeDocument/2006/relationships/hyperlink" Target="https://entrackr.com/snippets/upskilling-platform-weskill-raises-pre-seed-round-8845993" TargetMode="External" Id="rId254"/><Relationship Type="http://schemas.openxmlformats.org/officeDocument/2006/relationships/hyperlink" Target="https://inc42.com/buzz/from-zolve-to-scimplify-indian-startups-raised-429-mn-this-week/" TargetMode="External" Id="rId255"/><Relationship Type="http://schemas.openxmlformats.org/officeDocument/2006/relationships/hyperlink" Target="https://entrackr.com/snippets/deepfake-detection-startup-neural-defend-secures-pre-seed-funding-8849571" TargetMode="External" Id="rId256"/><Relationship Type="http://schemas.openxmlformats.org/officeDocument/2006/relationships/hyperlink" Target="https://entrackr.com/news/purple-style-labs-raises-40-mn-in-series-e-funding-8849479" TargetMode="External" Id="rId257"/><Relationship Type="http://schemas.openxmlformats.org/officeDocument/2006/relationships/hyperlink" Target="https://entrackr.com/snippets/rangsons-aerospace-raises-rs-300-cr-led-by-valuequest-8849243" TargetMode="External" Id="rId258"/><Relationship Type="http://schemas.openxmlformats.org/officeDocument/2006/relationships/hyperlink" Target="https://entrackr.com/snippets/chai-kings-bags-3-mn-in-series-a-round-8861051" TargetMode="External" Id="rId259"/><Relationship Type="http://schemas.openxmlformats.org/officeDocument/2006/relationships/hyperlink" Target="https://inc42.com/buzz/from-nivara-home-finance-to-pilgrim-indian-startups-raised-109-mn-this-week/" TargetMode="External" Id="rId260"/><Relationship Type="http://schemas.openxmlformats.org/officeDocument/2006/relationships/hyperlink" Target="https://entrackr.com/snippets/otipy-raises-2-mn-in-venture-debt-from-nuvama-8861630" TargetMode="External" Id="rId261"/><Relationship Type="http://schemas.openxmlformats.org/officeDocument/2006/relationships/hyperlink" Target="https://entrackr.com/snippets/shoe-care-brand-shoegr-raises-100k-from-pedalstart-8861039" TargetMode="External" Id="rId262"/><Relationship Type="http://schemas.openxmlformats.org/officeDocument/2006/relationships/hyperlink" Target="https://inc42.com/buzz/from-nivara-home-finance-to-pilgrim-indian-startups-raised-109-mn-this-week/" TargetMode="External" Id="rId263"/><Relationship Type="http://schemas.openxmlformats.org/officeDocument/2006/relationships/hyperlink" Target="https://inc42.com/buzz/from-nivara-home-finance-to-pilgrim-indian-startups-raised-109-mn-this-week/" TargetMode="External" Id="rId264"/><Relationship Type="http://schemas.openxmlformats.org/officeDocument/2006/relationships/hyperlink" Target="https://entrackr.com/snippets/gooat-raises-pre-seed-round-led-by-d2c-insider-super-angels-8864524" TargetMode="External" Id="rId265"/><Relationship Type="http://schemas.openxmlformats.org/officeDocument/2006/relationships/hyperlink" Target="https://entrackr.com/snippets/go-zero-secures-rs-30-cr-in-series-a-round-8864759" TargetMode="External" Id="rId266"/><Relationship Type="http://schemas.openxmlformats.org/officeDocument/2006/relationships/hyperlink" Target="https://entrackr.com/snippets/hypergroai-raises-rs-7-cr-in-pre-series-a-round-8864637" TargetMode="External" Id="rId267"/><Relationship Type="http://schemas.openxmlformats.org/officeDocument/2006/relationships/hyperlink" Target="https://entrackr.com/snippets/ihub-robotics-raises-rs-43-cr-in-pre-seed-round-8865541" TargetMode="External" Id="rId268"/><Relationship Type="http://schemas.openxmlformats.org/officeDocument/2006/relationships/hyperlink" Target="https://entrackr.com/news/d2c-brand-pilgrim-raises-rs-200-cr-in-primary-and-secondary-funding-8864052" TargetMode="External" Id="rId269"/><Relationship Type="http://schemas.openxmlformats.org/officeDocument/2006/relationships/hyperlink" Target="https://entrackr.com/snippets/protecttai-raises-rs-76-cr-in-series-a-round-led-by-bessemer-8864142" TargetMode="External" Id="rId270"/><Relationship Type="http://schemas.openxmlformats.org/officeDocument/2006/relationships/hyperlink" Target="https://entrackr.com/snippets/fashion-delivery-platform-slikk-club-raises-32-mn-in-seed-round-8863595" TargetMode="External" Id="rId271"/><Relationship Type="http://schemas.openxmlformats.org/officeDocument/2006/relationships/hyperlink" Target="https://entrackr.com/exclusive/exclusive-student-housing-startup-your-space-raises-82-mn-debt-8864866" TargetMode="External" Id="rId272"/><Relationship Type="http://schemas.openxmlformats.org/officeDocument/2006/relationships/hyperlink" Target="https://entrackr.com/snippets/yummy-bee-secures-rs-18-cr-to-fuel-expansion-into-mumbai-and-bengaluru-8865002" TargetMode="External" Id="rId273"/><Relationship Type="http://schemas.openxmlformats.org/officeDocument/2006/relationships/hyperlink" Target="https://entrackr.com/snippets/harvested-robotics-raises-seed-round-from-arali-ventures-anand-mahindra-others-8868398" TargetMode="External" Id="rId274"/><Relationship Type="http://schemas.openxmlformats.org/officeDocument/2006/relationships/hyperlink" Target="https://inc42.com/buzz/from-nivara-home-finance-to-pilgrim-indian-startups-raised-109-mn-this-week/" TargetMode="External" Id="rId275"/><Relationship Type="http://schemas.openxmlformats.org/officeDocument/2006/relationships/hyperlink" Target="https://entrackr.com/snippets/nourish-you-raises-rs-16-cr-led-by-sidbi-venture-8868097" TargetMode="External" Id="rId276"/><Relationship Type="http://schemas.openxmlformats.org/officeDocument/2006/relationships/hyperlink" Target="https://entrackr.com/news/hero-motocorp-invests-over-60-mn-in-ev-startup-euler-motors-8874305" TargetMode="External" Id="rId277"/><Relationship Type="http://schemas.openxmlformats.org/officeDocument/2006/relationships/hyperlink" Target="https://entrackr.com/snippets/everhope-oncology-raises-10-mn-in-seed-round-8871749" TargetMode="External" Id="rId278"/><Relationship Type="http://schemas.openxmlformats.org/officeDocument/2006/relationships/hyperlink" Target="https://entrackr.com/snippets/speech-therapy-startup-iyaso-secures-pre-seed-funding-8872792" TargetMode="External" Id="rId279"/><Relationship Type="http://schemas.openxmlformats.org/officeDocument/2006/relationships/hyperlink" Target="https://inc42.com/buzz/from-nivara-home-finance-to-pilgrim-indian-startups-raised-109-mn-this-week/" TargetMode="External" Id="rId280"/><Relationship Type="http://schemas.openxmlformats.org/officeDocument/2006/relationships/hyperlink" Target="https://entrackr.com/snippets/turbostart-leads-25-mn-round-in-lighthouse-proptech-8873084" TargetMode="External" Id="rId281"/><Relationship Type="http://schemas.openxmlformats.org/officeDocument/2006/relationships/hyperlink" Target="https://inc42.com/buzz/from-nivara-home-finance-to-pilgrim-indian-startups-raised-109-mn-this-week/" TargetMode="External" Id="rId282"/><Relationship Type="http://schemas.openxmlformats.org/officeDocument/2006/relationships/hyperlink" Target="https://entrackr.com/snippets/my-pahadi-dukan-raises-pre-seed-funding-led-by-ipv-8872394" TargetMode="External" Id="rId283"/><Relationship Type="http://schemas.openxmlformats.org/officeDocument/2006/relationships/hyperlink" Target="https://inc42.com/buzz/from-nivara-home-finance-to-pilgrim-indian-startups-raised-109-mn-this-week/" TargetMode="External" Id="rId284"/><Relationship Type="http://schemas.openxmlformats.org/officeDocument/2006/relationships/hyperlink" Target="https://entrackr.com/snippets/regional-ott-app-stage-raises-125-mn-in-series-b-8876590" TargetMode="External" Id="rId285"/><Relationship Type="http://schemas.openxmlformats.org/officeDocument/2006/relationships/hyperlink" Target="https://entrackr.com/exclusive/exclusive-apna-mart-raises-25-mn-led-by-fundamentum-and-accel-8883740" TargetMode="External" Id="rId286"/><Relationship Type="http://schemas.openxmlformats.org/officeDocument/2006/relationships/hyperlink" Target="https://entrackr.com/snippets/abc-impact-leads-rs-150-cr-round-in-dcdc-kidney-care-8884598" TargetMode="External" Id="rId287"/><Relationship Type="http://schemas.openxmlformats.org/officeDocument/2006/relationships/hyperlink" Target="https://entrackr.com/snippets/mobility-solutions-startup-taxina-bags-funding-from-navyug-global-ventures-8886292" TargetMode="External" Id="rId288"/><Relationship Type="http://schemas.openxmlformats.org/officeDocument/2006/relationships/hyperlink" Target="https://entrackr.com/snippets/carefi-secures-rs-75-cr-in-debt-from-vivriti-capital-8888658" TargetMode="External" Id="rId289"/><Relationship Type="http://schemas.openxmlformats.org/officeDocument/2006/relationships/hyperlink" Target="https://inc42.com/buzz/from-smallcase-to-lendingkart-indian-startups-raised-144-mn-this-week/" TargetMode="External" Id="rId290"/><Relationship Type="http://schemas.openxmlformats.org/officeDocument/2006/relationships/hyperlink" Target="https://entrackr.com/snippets/firefly-diamonds-raises-3-mn-in-seed-round-led-by-westbridge-capital-8887831" TargetMode="External" Id="rId291"/><Relationship Type="http://schemas.openxmlformats.org/officeDocument/2006/relationships/hyperlink" Target="https://entrackr.com/snippets/cold-pressed-oil-brand-gramiyaa-raises-pre-series-a-funding-8888234" TargetMode="External" Id="rId292"/><Relationship Type="http://schemas.openxmlformats.org/officeDocument/2006/relationships/hyperlink" Target="https://entrackr.com/snippets/grow-indigo-raises-10-mn-from-british-international-investment-8889005" TargetMode="External" Id="rId293"/><Relationship Type="http://schemas.openxmlformats.org/officeDocument/2006/relationships/hyperlink" Target="https://entrackr.com/snippets/irameai-bags-1-mn-in-seed-round-from-senseai-ventures-8888537" TargetMode="External" Id="rId294"/><Relationship Type="http://schemas.openxmlformats.org/officeDocument/2006/relationships/hyperlink" Target="https://entrackr.com/snippets/qsr-brand-pizza-wings-raises-28-mn-to-expand-across-india-8888022" TargetMode="External" Id="rId295"/><Relationship Type="http://schemas.openxmlformats.org/officeDocument/2006/relationships/hyperlink" Target="https://entrackr.com/snippets/antithesis-raises-rs-5-cr-in-pre-seed-round-co-led-by-rukam-and-v3-ventures-8891747" TargetMode="External" Id="rId296"/><Relationship Type="http://schemas.openxmlformats.org/officeDocument/2006/relationships/hyperlink" Target="https://inc42.com/buzz/from-smallcase-to-lendingkart-indian-startups-raised-144-mn-this-week/" TargetMode="External" Id="rId297"/><Relationship Type="http://schemas.openxmlformats.org/officeDocument/2006/relationships/hyperlink" Target="https://entrackr.com/snippets/greenfortune-secures-45-mn-in-pre-series-a-round-8891346" TargetMode="External" Id="rId298"/><Relationship Type="http://schemas.openxmlformats.org/officeDocument/2006/relationships/hyperlink" Target="https://entrackr.com/snippets/mila-beaut&#233;-raises-216-mn-in-pre-series-a-round-led-by-rukam-capital-8893216" TargetMode="External" Id="rId299"/><Relationship Type="http://schemas.openxmlformats.org/officeDocument/2006/relationships/hyperlink" Target="https://entrackr.com/snippets/nabhdrishti-aerospace-raises-3-mn-led-by-accel-8892749" TargetMode="External" Id="rId300"/><Relationship Type="http://schemas.openxmlformats.org/officeDocument/2006/relationships/hyperlink" Target="https://entrackr.com/snippets/vahdam-india-raises-3-mn-led-by-sidbi-venture-8892047" TargetMode="External" Id="rId301"/><Relationship Type="http://schemas.openxmlformats.org/officeDocument/2006/relationships/hyperlink" Target="https://inc42.com/buzz/from-smallcase-to-lendingkart-indian-startups-raised-144-mn-this-week/" TargetMode="External" Id="rId302"/><Relationship Type="http://schemas.openxmlformats.org/officeDocument/2006/relationships/hyperlink" Target="https://entrackr.com/news/abound-raises-14-mn-to-boost-cross-border-finance-for-indian-americans-8896744" TargetMode="External" Id="rId303"/><Relationship Type="http://schemas.openxmlformats.org/officeDocument/2006/relationships/hyperlink" Target="https://entrackr.com/snippets/expertia-ai-secures-pre-series-a-funding-led-by-rockstud-capital-8896432" TargetMode="External" Id="rId304"/><Relationship Type="http://schemas.openxmlformats.org/officeDocument/2006/relationships/hyperlink" Target="https://inc42.com/buzz/from-smallcase-to-lendingkart-indian-startups-raised-144-mn-this-week/" TargetMode="External" Id="rId305"/><Relationship Type="http://schemas.openxmlformats.org/officeDocument/2006/relationships/hyperlink" Target="https://entrackr.com/news/jindal-stainless-invests-18-mn-in-amazon-backed-m1xchange-8896011" TargetMode="External" Id="rId306"/><Relationship Type="http://schemas.openxmlformats.org/officeDocument/2006/relationships/hyperlink" Target="https://entrackr.com/snippets/fintech-onestack-raises-2-mn-in-series-a-round-8896264" TargetMode="External" Id="rId307"/><Relationship Type="http://schemas.openxmlformats.org/officeDocument/2006/relationships/hyperlink" Target="https://entrackr.com/snippets/osso-raises-250k-in-pre-seed-round-8895369" TargetMode="External" Id="rId308"/><Relationship Type="http://schemas.openxmlformats.org/officeDocument/2006/relationships/hyperlink" Target="https://inc42.com/buzz/from-smallcase-to-lendingkart-indian-startups-raised-144-mn-this-week/" TargetMode="External" Id="rId309"/><Relationship Type="http://schemas.openxmlformats.org/officeDocument/2006/relationships/hyperlink" Target="https://inc42.com/buzz/from-smallcase-to-lendingkart-indian-startups-raised-144-mn-this-week/" TargetMode="External" Id="rId310"/><Relationship Type="http://schemas.openxmlformats.org/officeDocument/2006/relationships/hyperlink" Target="https://inc42.com/buzz/from-smallcase-to-lendingkart-indian-startups-raised-144-mn-this-week/" TargetMode="External" Id="rId311"/><Relationship Type="http://schemas.openxmlformats.org/officeDocument/2006/relationships/hyperlink" Target="https://entrackr.com/news/smallcase-raises-50-mn-in-series-d-led-by-elev8-8898948" TargetMode="External" Id="rId312"/><Relationship Type="http://schemas.openxmlformats.org/officeDocument/2006/relationships/hyperlink" Target="https://entrackr.com/news/spinny-raises-131-mn-led-by-accel-leaders-fund-8910456" TargetMode="External" Id="rId313"/><Relationship Type="http://schemas.openxmlformats.org/officeDocument/2006/relationships/hyperlink" Target="https://entrackr.com/fintrackr/decoding-spotdrafts-series-b-funding-round-latest-valuation-and-captable-8909549" TargetMode="External" Id="rId314"/><Relationship Type="http://schemas.openxmlformats.org/officeDocument/2006/relationships/hyperlink" Target="https://entrackr.com/news/chef-robotics-raises-431-mn-led-by-avataar-ventures-8911803" TargetMode="External" Id="rId315"/><Relationship Type="http://schemas.openxmlformats.org/officeDocument/2006/relationships/hyperlink" Target="https://entrackr.com/snippets/collegedekho-raises-rs-30-cr-from-lighthouse-canton-8912861" TargetMode="External" Id="rId316"/><Relationship Type="http://schemas.openxmlformats.org/officeDocument/2006/relationships/hyperlink" Target="https://inc42.com/buzz/from-scapia-to-pratilipi-indian-startups-raised-144-mn-this-week/" TargetMode="External" Id="rId317"/><Relationship Type="http://schemas.openxmlformats.org/officeDocument/2006/relationships/hyperlink" Target="https://entrackr.com/snippets/entvin-ai-raises-500k-from-y-combinator-8912889" TargetMode="External" Id="rId318"/><Relationship Type="http://schemas.openxmlformats.org/officeDocument/2006/relationships/hyperlink" Target="https://entrackr.com/snippets/evenflow-raises-fresh-funds-from-venture-catalysts-and-others-8912650" TargetMode="External" Id="rId319"/><Relationship Type="http://schemas.openxmlformats.org/officeDocument/2006/relationships/hyperlink" Target="https://inc42.com/buzz/from-hexahealth-to-anveshan-indian-startups-raised-55-mn-this-week/" TargetMode="External" Id="rId320"/><Relationship Type="http://schemas.openxmlformats.org/officeDocument/2006/relationships/hyperlink" Target="https://entrackr.com/snippets/content-commerce-platform-lehlah-raises-rs-125-cr-in-seed-round-8912132" TargetMode="External" Id="rId321"/><Relationship Type="http://schemas.openxmlformats.org/officeDocument/2006/relationships/hyperlink" Target="https://inc42.com/buzz/from-scapia-to-pratilipi-indian-startups-raised-144-mn-this-week/" TargetMode="External" Id="rId322"/><Relationship Type="http://schemas.openxmlformats.org/officeDocument/2006/relationships/hyperlink" Target="https://entrackr.com/snippets/tvaster-genkalp-raises-125-mn-in-pre-series-a-round-8912397" TargetMode="External" Id="rId323"/><Relationship Type="http://schemas.openxmlformats.org/officeDocument/2006/relationships/hyperlink" Target="https://entrackr.com/snippets/smart-vending-platform-wendor-raises-25-mn-in-seed-round-8912966" TargetMode="External" Id="rId324"/><Relationship Type="http://schemas.openxmlformats.org/officeDocument/2006/relationships/hyperlink" Target="https://entrackr.com/snippets/argos-watches-raises-rs-65-cr-in-angel-round-8916249" TargetMode="External" Id="rId325"/><Relationship Type="http://schemas.openxmlformats.org/officeDocument/2006/relationships/hyperlink" Target="https://entrackr.com/snippets/pv-sindhu-backed-better-nutrition-nets-rs-10-cr-in-seed-round-8916674" TargetMode="External" Id="rId326"/><Relationship Type="http://schemas.openxmlformats.org/officeDocument/2006/relationships/hyperlink" Target="https://entrackr.com/snippets/fur-jaden-raises-rs-95-cr-in-pre-series-a-from-gruhas-collective-consumer-fund-8917156" TargetMode="External" Id="rId327"/><Relationship Type="http://schemas.openxmlformats.org/officeDocument/2006/relationships/hyperlink" Target="https://inc42.com/buzz/from-scapia-to-pratilipi-indian-startups-raised-144-mn-this-week/" TargetMode="External" Id="rId328"/><Relationship Type="http://schemas.openxmlformats.org/officeDocument/2006/relationships/hyperlink" Target="https://inc42.com/buzz/from-scapia-to-pratilipi-indian-startups-raised-144-mn-this-week/" TargetMode="External" Id="rId329"/><Relationship Type="http://schemas.openxmlformats.org/officeDocument/2006/relationships/hyperlink" Target="https://entrackr.com/snippets/stance-health-raises-1-mn-in-pre-seed-round-8915822" TargetMode="External" Id="rId330"/><Relationship Type="http://schemas.openxmlformats.org/officeDocument/2006/relationships/hyperlink" Target="https://entrackr.com/snippets/transit-retail-chain-yatrikart-bags-strategic-investment-from-mmg-group-8916277" TargetMode="External" Id="rId331"/><Relationship Type="http://schemas.openxmlformats.org/officeDocument/2006/relationships/hyperlink" Target="https://economictimes.indiatimes.com/tech/funding/ai-assistant-startup-furtherai-raises-5-million-in-round-led-by-nexus-venture-partners/articleshow/119911795.cms" TargetMode="External" Id="rId332"/><Relationship Type="http://schemas.openxmlformats.org/officeDocument/2006/relationships/hyperlink" Target="https://entrackr.com/snippets/b2b-mobility-startup-drivershaab-raises-pre-series-a-round-8920587" TargetMode="External" Id="rId333"/><Relationship Type="http://schemas.openxmlformats.org/officeDocument/2006/relationships/hyperlink" Target="https://entrackr.com/snippets/perkant-tech-raises-rs-66-cr-in-seed-round-8920452" TargetMode="External" Id="rId334"/><Relationship Type="http://schemas.openxmlformats.org/officeDocument/2006/relationships/hyperlink" Target="https://entrackr.com/news/pratilipi-raises-20-mn-in-series-e-led-by-jungle-ventures-8919558" TargetMode="External" Id="rId335"/><Relationship Type="http://schemas.openxmlformats.org/officeDocument/2006/relationships/hyperlink" Target="https://entrackr.com/snippets/rapidclaims-raises-11-mn-led-by-accel-8920333" TargetMode="External" Id="rId336"/><Relationship Type="http://schemas.openxmlformats.org/officeDocument/2006/relationships/hyperlink" Target="https://entrackr.com/news/scapia-raises-40-mn-in-series-b-led-by-peak-xv-8920072" TargetMode="External" Id="rId337"/><Relationship Type="http://schemas.openxmlformats.org/officeDocument/2006/relationships/hyperlink" Target="https://entrackr.com/snippets/sweet-karam-coffee-raises-8-mn-led-by-peak-xv-8919745" TargetMode="External" Id="rId338"/><Relationship Type="http://schemas.openxmlformats.org/officeDocument/2006/relationships/hyperlink" Target="https://entrackr.com/snippets/tonbo-imaging-raises-21-mn-in-pre-ipo-round-8921571" TargetMode="External" Id="rId339"/><Relationship Type="http://schemas.openxmlformats.org/officeDocument/2006/relationships/hyperlink" Target="https://entrackr.com/news/solar-startup-aerem-raises-rs-100-cr-led-by-japans-utec-8924311" TargetMode="External" Id="rId340"/><Relationship Type="http://schemas.openxmlformats.org/officeDocument/2006/relationships/hyperlink" Target="https://entrackr.com/snippets/juice-brand-alienkind-raises-12-mn-in-seed-round-8924648" TargetMode="External" Id="rId341"/><Relationship Type="http://schemas.openxmlformats.org/officeDocument/2006/relationships/hyperlink" Target="https://entrackr.com/snippets/jai-kisan-raises-fresh-funds-in-extended-series-b-8924908" TargetMode="External" Id="rId342"/><Relationship Type="http://schemas.openxmlformats.org/officeDocument/2006/relationships/hyperlink" Target="https://entrackr.com/snippets/asha-ventures-receives-10-mn-from-british-international-investment-8933836" TargetMode="External" Id="rId343"/><Relationship Type="http://schemas.openxmlformats.org/officeDocument/2006/relationships/hyperlink" Target="https://entrackr.com/snippets/semiconductor-startup-calligo-technologies-bags-11-mn-in-pre-series-a-8934376" TargetMode="External" Id="rId344"/><Relationship Type="http://schemas.openxmlformats.org/officeDocument/2006/relationships/hyperlink" Target="https://entrackr.com/news/easebuzz-raises-30-mn-plans-ipo-in-2-3-years-8933729" TargetMode="External" Id="rId345"/><Relationship Type="http://schemas.openxmlformats.org/officeDocument/2006/relationships/hyperlink" Target="https://entrackr.com/news/innovist-raises-rs-136-cr-led-by-icici-venture-accel-exits-8934341" TargetMode="External" Id="rId346"/><Relationship Type="http://schemas.openxmlformats.org/officeDocument/2006/relationships/hyperlink" Target="https://entrackr.com/news/juspay-secures-60-mn-from-kedaara-softbank-and-accel-8934673" TargetMode="External" Id="rId347"/><Relationship Type="http://schemas.openxmlformats.org/officeDocument/2006/relationships/hyperlink" Target="https://entrackr.com/snippets/chanakya-opportunities-fund-invests-in-sadbhav-future-techs-rs-36-cr-round-8934877" TargetMode="External" Id="rId348"/><Relationship Type="http://schemas.openxmlformats.org/officeDocument/2006/relationships/hyperlink" Target="https://entrackr.com/snippets/edtech-startup-siglqai-secures-95-mn-in-seed-funding-8936188" TargetMode="External" Id="rId349"/><Relationship Type="http://schemas.openxmlformats.org/officeDocument/2006/relationships/hyperlink" Target="https://entrackr.com/snippets/vimano-raises-rs-25-cr-in-seed-round-led-by-ankur-capital-8933840" TargetMode="External" Id="rId350"/><Relationship Type="http://schemas.openxmlformats.org/officeDocument/2006/relationships/hyperlink" Target="https://entrackr.com/exclusive/exclusive-agrostar-raises-fresh-funds-from-existing-investors-8937865" TargetMode="External" Id="rId351"/><Relationship Type="http://schemas.openxmlformats.org/officeDocument/2006/relationships/hyperlink" Target="https://entrackr.com/snippets/dashcam-startup-cautio-raises-rs-11-cr-in-seed-round-8938078" TargetMode="External" Id="rId352"/><Relationship Type="http://schemas.openxmlformats.org/officeDocument/2006/relationships/hyperlink" Target="https://inc42.com/buzz/from-juspay-to-noise-indian-startups-raised-195-mn-this-week/" TargetMode="External" Id="rId353"/><Relationship Type="http://schemas.openxmlformats.org/officeDocument/2006/relationships/hyperlink" Target="https://entrackr.com/snippets/fashion-brand-outzidr-raises-rs-30-cr-in-seed-round-from-stellaris-8938030" TargetMode="External" Id="rId354"/><Relationship Type="http://schemas.openxmlformats.org/officeDocument/2006/relationships/hyperlink" Target="https://entrackr.com/snippets/amicco-raises-1-mn-in-seed-round-led-by-eximius-8941824" TargetMode="External" Id="rId355"/><Relationship Type="http://schemas.openxmlformats.org/officeDocument/2006/relationships/hyperlink" Target="https://entrackr.com/snippets/digital-spiritual-platform-bhagva-raises-1-mn-in-pre-series-a-round-8943087" TargetMode="External" Id="rId356"/><Relationship Type="http://schemas.openxmlformats.org/officeDocument/2006/relationships/hyperlink" Target="https://entrackr.com/snippets/snack-brand-lets-try-raises-25-mn-led-by-swc-global-8942343" TargetMode="External" Id="rId357"/><Relationship Type="http://schemas.openxmlformats.org/officeDocument/2006/relationships/hyperlink" Target="https://economictimes.indiatimes.com/tech/funding/wearables-brand-noise-raises-20-million-from-bose-corp/articleshow/120130563.cms" TargetMode="External" Id="rId358"/><Relationship Type="http://schemas.openxmlformats.org/officeDocument/2006/relationships/hyperlink" Target="https://entrackr.com/snippets/lumikai-leads-12-mn-seed-round-in-askmyguru-8946838" TargetMode="External" Id="rId359"/><Relationship Type="http://schemas.openxmlformats.org/officeDocument/2006/relationships/hyperlink" Target="https://entrackr.com/snippets/bower-raises-rs-115-cr-in-seed-round-8947167" TargetMode="External" Id="rId360"/><Relationship Type="http://schemas.openxmlformats.org/officeDocument/2006/relationships/hyperlink" Target="https://inc42.com/buzz/from-juspay-to-noise-indian-startups-raised-195-mn-this-week/" TargetMode="External" Id="rId361"/><Relationship Type="http://schemas.openxmlformats.org/officeDocument/2006/relationships/hyperlink" Target="https://entrackr.com/snippets/eloelo-raises-135-mn-in-series-b-round-led-by-play-ventures-8946507" TargetMode="External" Id="rId362"/><Relationship Type="http://schemas.openxmlformats.org/officeDocument/2006/relationships/hyperlink" Target="https://entrackr.com/exclusive/exclusive-mosaic-wellness-raises-20-mn-at-400-mn-valuation-8946136" TargetMode="External" Id="rId363"/><Relationship Type="http://schemas.openxmlformats.org/officeDocument/2006/relationships/hyperlink" Target="https://entrackr.com/snippets/cross-border-logistics-startup-xindus-bags-10-mn-in-pre-series-a-round-8946129" TargetMode="External" Id="rId364"/><Relationship Type="http://schemas.openxmlformats.org/officeDocument/2006/relationships/hyperlink" Target="https://www.vccircle.com/zerodhas-nikhil-kamath-invests-in-essar-firm-greenline-mobility" TargetMode="External" Id="rId365"/><Relationship Type="http://schemas.openxmlformats.org/officeDocument/2006/relationships/hyperlink" Target="https://entrackr.com/snippets/indian-cricketer-rinku-singh-invests-rs-19-cr-in-beastlife-at-120-cr-valuation-8960958" TargetMode="External" Id="rId366"/><Relationship Type="http://schemas.openxmlformats.org/officeDocument/2006/relationships/hyperlink" Target="https://entrackr.com/snippets/cura-care-raises-rs-5-cr-in-pre-seed-round-led-by-zeropearl-vc-8960594" TargetMode="External" Id="rId367"/><Relationship Type="http://schemas.openxmlformats.org/officeDocument/2006/relationships/hyperlink" Target="https://inc42.com/buzz/from-garuda-aerospace-to-jewelbox-indian-startups-raised-65-mn-this-week/" TargetMode="External" Id="rId368"/><Relationship Type="http://schemas.openxmlformats.org/officeDocument/2006/relationships/hyperlink" Target="https://economictimes.indiatimes.com/tech/funding/john-abraham-backed-ice-cream-brand-noto-raises-rs-21-crore-from-equentis-angel-fund-others/articleshow/120277963.cms" TargetMode="External" Id="rId369"/><Relationship Type="http://schemas.openxmlformats.org/officeDocument/2006/relationships/hyperlink" Target="https://entrackr.com/snippets/optimized-electrotech-raises-6-mn-in-series-a-round-8960093" TargetMode="External" Id="rId370"/><Relationship Type="http://schemas.openxmlformats.org/officeDocument/2006/relationships/hyperlink" Target="https://inc42.com/buzz/from-garuda-aerospace-to-jewelbox-indian-startups-raised-65-mn-this-week/" TargetMode="External" Id="rId371"/><Relationship Type="http://schemas.openxmlformats.org/officeDocument/2006/relationships/hyperlink" Target="https://entrackr.com/snippets/sports-tech-startup-sportsskill-bags-pre-seed-round-led-by-waimea-bay-investments-8960409" TargetMode="External" Id="rId372"/><Relationship Type="http://schemas.openxmlformats.org/officeDocument/2006/relationships/hyperlink" Target="https://entrackr.com/snippets/jasprit-bumrah-invests-in-luggage-brand-uppercase-8959902" TargetMode="External" Id="rId373"/><Relationship Type="http://schemas.openxmlformats.org/officeDocument/2006/relationships/hyperlink" Target="https://entrackr.com/snippets/centa-raises-rs-20-cr-in-series-a1-round-led-by-colossa-ventures-8963164" TargetMode="External" Id="rId374"/><Relationship Type="http://schemas.openxmlformats.org/officeDocument/2006/relationships/hyperlink" Target="https://inc42.com/buzz/from-garuda-aerospace-to-jewelbox-indian-startups-raised-65-mn-this-week/" TargetMode="External" Id="rId375"/><Relationship Type="http://schemas.openxmlformats.org/officeDocument/2006/relationships/hyperlink" Target="https://entrackr.com/snippets/beverage-startup-rio-innobev-raises-rs-10-cr-led-by-atomic-capital-8965035" TargetMode="External" Id="rId376"/><Relationship Type="http://schemas.openxmlformats.org/officeDocument/2006/relationships/hyperlink" Target="https://entrackr.com/news/ms-dhoni-backed-garuda-aerospace-raises-rs-100-cr-in-series-b-round-8967215" TargetMode="External" Id="rId377"/><Relationship Type="http://schemas.openxmlformats.org/officeDocument/2006/relationships/hyperlink" Target="https://entrackr.com/snippets/ev-charging-startup-ipec-bags-3-mn-from-gruhas-8968756" TargetMode="External" Id="rId378"/><Relationship Type="http://schemas.openxmlformats.org/officeDocument/2006/relationships/hyperlink" Target="https://entrackr.com/snippets/jewelbox-raises-32-mn-in-pre-series-a-round-8966846" TargetMode="External" Id="rId379"/><Relationship Type="http://schemas.openxmlformats.org/officeDocument/2006/relationships/hyperlink" Target="https://entrackr.com/snippets/magma-raises-5-mn-in-series-a-round-led-by-capria-ventures-8969008" TargetMode="External" Id="rId380"/><Relationship Type="http://schemas.openxmlformats.org/officeDocument/2006/relationships/hyperlink" Target="https://entrackr.com/snippets/nothing-before-coffee-bags-23-mn-in-pre-series-a-round-8967106" TargetMode="External" Id="rId381"/><Relationship Type="http://schemas.openxmlformats.org/officeDocument/2006/relationships/hyperlink" Target="https://entrackr.com/news/ipo-bound-ofbusiness-raises-rs-100-cr-led-by-cornerstone-ventures-8967733" TargetMode="External" Id="rId382"/><Relationship Type="http://schemas.openxmlformats.org/officeDocument/2006/relationships/hyperlink" Target="https://entrackr.com/snippets/peppermint-raises-4-mn-to-expand-in-eu-japan-and-apac-8967307" TargetMode="External" Id="rId383"/><Relationship Type="http://schemas.openxmlformats.org/officeDocument/2006/relationships/hyperlink" Target="https://entrackr.com/fintrackr/decoding-foxtales-series-c-funding-round-latest-valuation-and-captable-8970983" TargetMode="External" Id="rId384"/><Relationship Type="http://schemas.openxmlformats.org/officeDocument/2006/relationships/hyperlink" Target="https://entrackr.com/snippets/good-monk-raises-2-mn-in-pre-series-a-round-led-by-rpsg-capital-8971461" TargetMode="External" Id="rId385"/><Relationship Type="http://schemas.openxmlformats.org/officeDocument/2006/relationships/hyperlink" Target="https://inc42.com/buzz/from-garuda-aerospace-to-jewelbox-indian-startups-raised-65-mn-this-week/" TargetMode="External" Id="rId386"/><Relationship Type="http://schemas.openxmlformats.org/officeDocument/2006/relationships/hyperlink" Target="https://entrackr.com/snippets/deep-tech-startup-planck-bags-pre-seed-funding-ok-8971726" TargetMode="External" Id="rId387"/><Relationship Type="http://schemas.openxmlformats.org/officeDocument/2006/relationships/hyperlink" Target="https://entrackr.com/snippets/that-sassy-thing-raises-rs-6-cr-in-seed-round-led-by-ipv-8971464" TargetMode="External" Id="rId388"/><Relationship Type="http://schemas.openxmlformats.org/officeDocument/2006/relationships/hyperlink" Target="https://inc42.com/buzz/from-dehaat-to-fabric-iot-indian-startups-raised-100-mn-this-week/" TargetMode="External" Id="rId389"/><Relationship Type="http://schemas.openxmlformats.org/officeDocument/2006/relationships/hyperlink" Target="https://inc42.com/buzz/from-garuda-aerospace-to-jewelbox-indian-startups-raised-65-mn-this-week/" TargetMode="External" Id="rId390"/><Relationship Type="http://schemas.openxmlformats.org/officeDocument/2006/relationships/hyperlink" Target="https://entrackr.com/exclusive/exclusive-sachin-tendulkar-and-others-invest-18-mn-in-rayzon-solar-at-844-mn-valuation-8976444" TargetMode="External" Id="rId391"/><Relationship Type="http://schemas.openxmlformats.org/officeDocument/2006/relationships/hyperlink" Target="https://entrackr.com/snippets/risa-labs-raises-35-mn-in-seed-round-led-by-binny-bansal-8975971" TargetMode="External" Id="rId392"/><Relationship Type="http://schemas.openxmlformats.org/officeDocument/2006/relationships/hyperlink" Target="https://entrackr.com/snippets/finodaya-capital-raises-25-mn-in-seed-round-8984043" TargetMode="External" Id="rId393"/><Relationship Type="http://schemas.openxmlformats.org/officeDocument/2006/relationships/hyperlink" Target="https://entrackr.com/snippets/ivory-raises-1-mn-led-by-iim-a-ventures-and-capital-a-8984497" TargetMode="External" Id="rId394"/><Relationship Type="http://schemas.openxmlformats.org/officeDocument/2006/relationships/hyperlink" Target="https://entrackr.com/snippets/matbook-raises-750k-in-pre-seed-round-8984090" TargetMode="External" Id="rId395"/><Relationship Type="http://schemas.openxmlformats.org/officeDocument/2006/relationships/hyperlink" Target="https://inc42.com/buzz/from-dehaat-to-fabric-iot-indian-startups-raised-100-mn-this-week/" TargetMode="External" Id="rId396"/><Relationship Type="http://schemas.openxmlformats.org/officeDocument/2006/relationships/hyperlink" Target="https://entrackr.com/snippets/eximius-ventures-leads-preseed-round-in-devassure-8988945" TargetMode="External" Id="rId397"/><Relationship Type="http://schemas.openxmlformats.org/officeDocument/2006/relationships/hyperlink" Target="https://inc42.com/buzz/from-dehaat-to-fabric-iot-indian-startups-raised-100-mn-this-week/" TargetMode="External" Id="rId398"/><Relationship Type="http://schemas.openxmlformats.org/officeDocument/2006/relationships/hyperlink" Target="https://entrackr.com/snippets/mydesignation-raises-125-mn-in-seed-round-8988676" TargetMode="External" Id="rId399"/><Relationship Type="http://schemas.openxmlformats.org/officeDocument/2006/relationships/hyperlink" Target="https://entrackr.com/snippets/aavishkaar-capital-leads-5-mn-round-in-poshs-metal-8988801" TargetMode="External" Id="rId400"/><Relationship Type="http://schemas.openxmlformats.org/officeDocument/2006/relationships/hyperlink" Target="https://entrackr.com/snippets/rebel-foods-raises-25-mn-from-qia-report-8989219" TargetMode="External" Id="rId401"/><Relationship Type="http://schemas.openxmlformats.org/officeDocument/2006/relationships/hyperlink" Target="https://entrackr.com/news/uniqus-consultech-raises-20-mn-in-series-c-round-led-by-nexus-8988661" TargetMode="External" Id="rId402"/><Relationship Type="http://schemas.openxmlformats.org/officeDocument/2006/relationships/hyperlink" Target="https://entrackr.com/snippets/drone-startup-vayudh-raises-10-mn-led-by-dharana-capital-8990181" TargetMode="External" Id="rId403"/><Relationship Type="http://schemas.openxmlformats.org/officeDocument/2006/relationships/hyperlink" Target="https://entrackr.com/snippets/bankbazaar-raises-rs-55-cr-partners-with-muthoot-fincorp-to-enter-gold-loan-segment-8991858" TargetMode="External" Id="rId404"/><Relationship Type="http://schemas.openxmlformats.org/officeDocument/2006/relationships/hyperlink" Target="https://economictimes.indiatimes.com/tech/funding/emversity-parent-beyond-odds-technologies-raises-5-million-in-round-co-led-by-z47-lightspeed/articleshow/120527578.cms" TargetMode="External" Id="rId405"/><Relationship Type="http://schemas.openxmlformats.org/officeDocument/2006/relationships/hyperlink" Target="https://entrackr.com/snippets/emversity-raises-5-mn-in-pre-series-a-round-led-by-lightspeed-and-z47-8991784" TargetMode="External" Id="rId406"/><Relationship Type="http://schemas.openxmlformats.org/officeDocument/2006/relationships/hyperlink" Target="https://entrackr.com/news/exclusive-farmart-bags-10-mn-through-equity-and-debt-funding-8992611" TargetMode="External" Id="rId407"/><Relationship Type="http://schemas.openxmlformats.org/officeDocument/2006/relationships/hyperlink" Target="https://entrackr.com/snippets/healthcare-focused-fintech-startup-savein-raises-rs-37-cr-8992782" TargetMode="External" Id="rId408"/><Relationship Type="http://schemas.openxmlformats.org/officeDocument/2006/relationships/hyperlink" Target="https://inc42.com/buzz/from-dehaat-to-fabric-iot-indian-startups-raised-100-mn-this-week/" TargetMode="External" Id="rId409"/><Relationship Type="http://schemas.openxmlformats.org/officeDocument/2006/relationships/hyperlink" Target="https://inc42.com/buzz/from-dehaat-to-fabric-iot-indian-startups-raised-100-mn-this-week/" TargetMode="External" Id="rId410"/><Relationship Type="http://schemas.openxmlformats.org/officeDocument/2006/relationships/hyperlink" Target="https://entrackr.com/snippets/agri-biotech-startup-greengrahi-raises-rs-32-cr-led-by-avaana-capital-8996019" TargetMode="External" Id="rId411"/><Relationship Type="http://schemas.openxmlformats.org/officeDocument/2006/relationships/hyperlink" Target="https://entrackr.com/snippets/travel-tech-company-rimigo-raises-550k-in-pre-seed-round-8996856" TargetMode="External" Id="rId412"/><Relationship Type="http://schemas.openxmlformats.org/officeDocument/2006/relationships/hyperlink" Target="https://inc42.com/buzz/from-dehaat-to-fabric-iot-indian-startups-raised-100-mn-this-week/" TargetMode="External" Id="rId413"/><Relationship Type="http://schemas.openxmlformats.org/officeDocument/2006/relationships/hyperlink" Target="https://inc42.com/buzz/from-dehaat-to-fabric-iot-indian-startups-raised-100-mn-this-week/" TargetMode="External" Id="rId414"/><Relationship Type="http://schemas.openxmlformats.org/officeDocument/2006/relationships/hyperlink" Target="https://entrackr.com/snippets/snack-brand-phab-raises-2-mn-in-seed-round-led-by-otp-ventures-9000269" TargetMode="External" Id="rId415"/><Relationship Type="http://schemas.openxmlformats.org/officeDocument/2006/relationships/hyperlink" Target="https://entrackr.com/snippets/carefi-raises-rs-6-cr-debt-round-from-revx-9010019" TargetMode="External" Id="rId416"/><Relationship Type="http://schemas.openxmlformats.org/officeDocument/2006/relationships/hyperlink" Target="https://entrackr.com/exclusive/exclusive-hexahealth-secures-fresh-funds-led-by-orios-vp-9009389" TargetMode="External" Id="rId417"/><Relationship Type="http://schemas.openxmlformats.org/officeDocument/2006/relationships/hyperlink" Target="https://entrackr.com/snippets/malaki-raises-rs-57-cr-in-seed-round-led-by-venture-catalysts-9009681" TargetMode="External" Id="rId418"/><Relationship Type="http://schemas.openxmlformats.org/officeDocument/2006/relationships/hyperlink" Target="https://entrackr.com/snippets/mugafi-raises-3-mn-in-seed-funding-9044989" TargetMode="External" Id="rId419"/><Relationship Type="http://schemas.openxmlformats.org/officeDocument/2006/relationships/hyperlink" Target="https://inc42.com/buzz/from-hexahealth-to-anveshan-indian-startups-raised-55-mn-this-week/" TargetMode="External" Id="rId420"/><Relationship Type="http://schemas.openxmlformats.org/officeDocument/2006/relationships/hyperlink" Target="https://entrackr.com/snippets/collegedekho-secures-rs-40-cr-debt-funding-from-recur-club-9013552" TargetMode="External" Id="rId421"/><Relationship Type="http://schemas.openxmlformats.org/officeDocument/2006/relationships/hyperlink" Target="https://entrackr.com/news/kult-raises-20-mn-in-series-a-round-led-by-m3m-family-office-9014718" TargetMode="External" Id="rId422"/><Relationship Type="http://schemas.openxmlformats.org/officeDocument/2006/relationships/hyperlink" Target="https://entrackr.com/snippets/metafin-raises-10-mn-in-series-a-round-led-by-vertex-ventures-9013053" TargetMode="External" Id="rId423"/><Relationship Type="http://schemas.openxmlformats.org/officeDocument/2006/relationships/hyperlink" Target="https://economictimes.indiatimes.com/tech/funding/solar-focussed-nbfc-metafin-raises-10-million-in-round-led-by-vertex-ventures-sea-india/articleshow/120705250.cms" TargetMode="External" Id="rId424"/><Relationship Type="http://schemas.openxmlformats.org/officeDocument/2006/relationships/hyperlink" Target="https://entrackr.com/snippets/android-laptop-brand-primebook-raises-2-mn-in-pre-series-a-9013913" TargetMode="External" Id="rId425"/><Relationship Type="http://schemas.openxmlformats.org/officeDocument/2006/relationships/hyperlink" Target="https://inc42.com/buzz/from-hexahealth-to-anveshan-indian-startups-raised-55-mn-this-week/" TargetMode="External" Id="rId426"/><Relationship Type="http://schemas.openxmlformats.org/officeDocument/2006/relationships/hyperlink" Target="https://economictimes.indiatimes.com/tech/funding/health-food-brand-anveshan-raises-rs-48-crore-from-wipro-consumer-care-ventures-others/articleshow/120755244.cms" TargetMode="External" Id="rId427"/><Relationship Type="http://schemas.openxmlformats.org/officeDocument/2006/relationships/hyperlink" Target="https://inc42.com/buzz/from-hexahealth-to-anveshan-indian-startups-raised-55-mn-this-week/" TargetMode="External" Id="rId428"/><Relationship Type="http://schemas.openxmlformats.org/officeDocument/2006/relationships/hyperlink" Target="https://entrackr.com/snippets/qnu-labs-raises-rs-60-cr-in-series-a-round-led-by-nqm-9016730" TargetMode="External" Id="rId429"/><Relationship Type="http://schemas.openxmlformats.org/officeDocument/2006/relationships/hyperlink" Target="https://entrackr.com/snippets/sadhav-offshore-raises-rs-25-cr-in-equity-round-led-by-negen-capital-9017119" TargetMode="External" Id="rId430"/><Relationship Type="http://schemas.openxmlformats.org/officeDocument/2006/relationships/hyperlink" Target="https://entrackr.com/snippets/salt-oral-care-raises-1-mn-in-pre-series-a-round-led-by-lotus-holdings-9019477" TargetMode="External" Id="rId431"/><Relationship Type="http://schemas.openxmlformats.org/officeDocument/2006/relationships/hyperlink" Target="https://entrackr.com/snippets/satleo-labs-raises-33-mn-in-pre-seed-round-led-by-merak-ventures-9016898" TargetMode="External" Id="rId432"/><Relationship Type="http://schemas.openxmlformats.org/officeDocument/2006/relationships/hyperlink" Target="https://entrackr.com/snippets/stimuler-raises-375-mn-in-pre-series-a-round-led-by-lightspeed-9016664" TargetMode="External" Id="rId433"/><Relationship Type="http://schemas.openxmlformats.org/officeDocument/2006/relationships/hyperlink" Target="https://entrackr.com/snippets/vividobots-raises-rs-147-cr-in-seed-round-led-by-ipv-9016984" TargetMode="External" Id="rId434"/><Relationship Type="http://schemas.openxmlformats.org/officeDocument/2006/relationships/hyperlink" Target="https://entrackr.com/snippets/fuze-raises-122-mn-in-series-a-round-led-by-galaxy-and-e-capital-9021181" TargetMode="External" Id="rId435"/><Relationship Type="http://schemas.openxmlformats.org/officeDocument/2006/relationships/hyperlink" Target="https://economictimes.indiatimes.com/tech/funding/ai-knowledge-transfer-platform-byteedge-raises-1-5-million-in-round-led-by-trtl-ventures/articleshow/120828028.cms" TargetMode="External" Id="rId436"/><Relationship Type="http://schemas.openxmlformats.org/officeDocument/2006/relationships/hyperlink" Target="https://entrackr.com/snippets/neobanking-platform-kaleidofin-raises-53-mn-led-by-idh-farmfit-fund-9025505" TargetMode="External" Id="rId437"/><Relationship Type="http://schemas.openxmlformats.org/officeDocument/2006/relationships/hyperlink" Target="https://entrackr.com/snippets/sedna-horeca-raises-rs-50-cr-led-by-anicut-capital-9025275" TargetMode="External" Id="rId438"/><Relationship Type="http://schemas.openxmlformats.org/officeDocument/2006/relationships/hyperlink" Target="https://entrackr.com/exclusive/exclusive-91trucks-begins-series-a-round-with-55x-valuation-surge-9035850" TargetMode="External" Id="rId439"/><Relationship Type="http://schemas.openxmlformats.org/officeDocument/2006/relationships/hyperlink" Target="https://entrackr.com/snippets/alt-drx-raises-rs-23-cr-from-qatar-development-bank-others-9036092" TargetMode="External" Id="rId440"/><Relationship Type="http://schemas.openxmlformats.org/officeDocument/2006/relationships/hyperlink" Target="https://entrackr.com/snippets/lifecharts-guttify-secures-360k-from-unichem-labs-family-office-9036323" TargetMode="External" Id="rId441"/><Relationship Type="http://schemas.openxmlformats.org/officeDocument/2006/relationships/hyperlink" Target="https://entrackr.com/snippets/store-my-goods-raises-rs-4-cr-led-by-jiif-9036056" TargetMode="External" Id="rId442"/><Relationship Type="http://schemas.openxmlformats.org/officeDocument/2006/relationships/hyperlink" Target="https://entrackr.com/snippets/volt14-raises-187-mn-in-pre-series-a-round-led-by-blume-ventures-9035400" TargetMode="External" Id="rId443"/><Relationship Type="http://schemas.openxmlformats.org/officeDocument/2006/relationships/hyperlink" Target="https://inc42.com/buzz/from-pb-health-to-porter-indian-startups-raised-587-mn/" TargetMode="External" Id="rId444"/><Relationship Type="http://schemas.openxmlformats.org/officeDocument/2006/relationships/hyperlink" Target="https://entrackr.com/exclusive/exclusive-d2c-startup-blissclub-secures-fresh-funds-at-flat-valuation-9040617" TargetMode="External" Id="rId445"/><Relationship Type="http://schemas.openxmlformats.org/officeDocument/2006/relationships/hyperlink" Target="https://entrackr.com/news/celcius-logistics-raises-rs-250-cr-in-series-b-round-9038927" TargetMode="External" Id="rId446"/><Relationship Type="http://schemas.openxmlformats.org/officeDocument/2006/relationships/hyperlink" Target="https://entrackr.com/snippets/insurance-samadhan-secures-rs-85-cr-to-boost-tech-infrastructure-9040178" TargetMode="External" Id="rId447"/><Relationship Type="http://schemas.openxmlformats.org/officeDocument/2006/relationships/hyperlink" Target="https://entrackr.com/snippets/korean-skin-clinic-korinmi-raises-rs-3-cr-in-pre-seed-round-9039962" TargetMode="External" Id="rId448"/><Relationship Type="http://schemas.openxmlformats.org/officeDocument/2006/relationships/hyperlink" Target="https://entrackr.com/snippets/fuel-tech-startup-nawgati-raises-25-mn-in-pre-series-a-round-9039698" TargetMode="External" Id="rId449"/><Relationship Type="http://schemas.openxmlformats.org/officeDocument/2006/relationships/hyperlink" Target="https://inc42.com/buzz/from-pb-health-to-porter-indian-startups-raised-587-mn/" TargetMode="External" Id="rId450"/><Relationship Type="http://schemas.openxmlformats.org/officeDocument/2006/relationships/hyperlink" Target="https://entrackr.com/snippets/gut-health-startup-the-good-bug-raises-rs-100-cr-in-series-b-round-9041027" TargetMode="External" Id="rId451"/><Relationship Type="http://schemas.openxmlformats.org/officeDocument/2006/relationships/hyperlink" Target="https://entrackr.com/snippets/troovy-raises-rs-20-cr-in-pre-series-a-round-led-by-fireside-ventures-9039471" TargetMode="External" Id="rId452"/><Relationship Type="http://schemas.openxmlformats.org/officeDocument/2006/relationships/hyperlink" Target="https://economictimes.indiatimes.com/tech/funding/kitchen-robotics-startup-posha-raises-8-million-from-accel-others/articleshow/120933191.cms" TargetMode="External" Id="rId453"/><Relationship Type="http://schemas.openxmlformats.org/officeDocument/2006/relationships/hyperlink" Target="https://inc42.com/buzz/from-pb-health-to-porter-indian-startups-raised-587-mn/" TargetMode="External" Id="rId454"/><Relationship Type="http://schemas.openxmlformats.org/officeDocument/2006/relationships/hyperlink" Target="https://entrackr.com/snippets/interior-design-startup-flipspaces-raises-35-mn-9043959" TargetMode="External" Id="rId455"/><Relationship Type="http://schemas.openxmlformats.org/officeDocument/2006/relationships/hyperlink" Target="https://entrackr.com/snippets/spacetech-startup-inspecity-raises-56-mn-in-seed-round-9042994" TargetMode="External" Id="rId456"/><Relationship Type="http://schemas.openxmlformats.org/officeDocument/2006/relationships/hyperlink" Target="https://economictimes.indiatimes.com/tech/funding/beverages-maker-lahori-raises-rs-200-crore-from-motilal-oswal-wealth/articleshow/120954442.cms" TargetMode="External" Id="rId457"/><Relationship Type="http://schemas.openxmlformats.org/officeDocument/2006/relationships/hyperlink" Target="https://entrackr.com/news/routematic-raises-40-mn-led-by-fullerton-carbon-action-fund-and-shift4good-9043234" TargetMode="External" Id="rId458"/><Relationship Type="http://schemas.openxmlformats.org/officeDocument/2006/relationships/hyperlink" Target="https://entrackr.com/snippets/shiplog-raises-rs-65-cr-in-seed-round-9043416" TargetMode="External" Id="rId459"/><Relationship Type="http://schemas.openxmlformats.org/officeDocument/2006/relationships/hyperlink" Target="https://entrackr.com/snippets/feline-spirits-raises-rs-52-cr-in-pre-series-a-round-led-by-ipv-9047624" TargetMode="External" Id="rId460"/><Relationship Type="http://schemas.openxmlformats.org/officeDocument/2006/relationships/hyperlink" Target="https://entrackr.com/snippets/tanglin-leads-75-mn-round-in-footprints-preschool-daycare-9048497" TargetMode="External" Id="rId461"/><Relationship Type="http://schemas.openxmlformats.org/officeDocument/2006/relationships/hyperlink" Target="https://entrackr.com/snippets/gotrust-secures-400k-in-pre-seed-funding-led-by-aevitas-capital-9047946" TargetMode="External" Id="rId462"/><Relationship Type="http://schemas.openxmlformats.org/officeDocument/2006/relationships/hyperlink" Target="https://entrackr.com/snippets/foodtech-startup-high-time-foods-raises-12-mn-9046988" TargetMode="External" Id="rId463"/><Relationship Type="http://schemas.openxmlformats.org/officeDocument/2006/relationships/hyperlink" Target="https://entrackr.com/news/pb-healthcare-raises-218-mn-in-seed-round-led-by-general-catalyst-9046716" TargetMode="External" Id="rId464"/><Relationship Type="http://schemas.openxmlformats.org/officeDocument/2006/relationships/hyperlink" Target="https://entrackr.com/news/porter-raises-200-mn-led-by-kedaara-and-wellington-management-9048693" TargetMode="External" Id="rId465"/><Relationship Type="http://schemas.openxmlformats.org/officeDocument/2006/relationships/hyperlink" Target="https://entrackr.com/snippets/astrology-startup-vaya-raises-15-mn-9046948" TargetMode="External" Id="rId466"/><Relationship Type="http://schemas.openxmlformats.org/officeDocument/2006/relationships/hyperlink" Target="https://entrackr.com/snippets/defense-tech-startup-zebu-raises-1-mn-in-pre-series-a-round-9047400" TargetMode="External" Id="rId467"/><Relationship Type="http://schemas.openxmlformats.org/officeDocument/2006/relationships/hyperlink" Target="https://entrackr.com/snippets/avammune-therapeutics-raises-12-mn-in-series-a-round-9059265" TargetMode="External" Id="rId468"/><Relationship Type="http://schemas.openxmlformats.org/officeDocument/2006/relationships/hyperlink" Target="https://inc42.com/buzz/from-farmley-to-stashfin-indian-startups-raised-152-mn-this-week/" TargetMode="External" Id="rId469"/><Relationship Type="http://schemas.openxmlformats.org/officeDocument/2006/relationships/hyperlink" Target="https://entrackr.com/snippets/reefer-container-shipping-platform-citrus-freight-raises-bridge-round-9060080" TargetMode="External" Id="rId470"/><Relationship Type="http://schemas.openxmlformats.org/officeDocument/2006/relationships/hyperlink" Target="https://entrackr.com/news/farmley-raises-40-mn-in-series-c-round-led-by-l-catterton-9059167" TargetMode="External" Id="rId471"/><Relationship Type="http://schemas.openxmlformats.org/officeDocument/2006/relationships/hyperlink" Target="https://entrackr.com/snippets/adopt-ai-raises-6-mn-in-seed-round-led-by-elevation-capital-9065071" TargetMode="External" Id="rId472"/><Relationship Type="http://schemas.openxmlformats.org/officeDocument/2006/relationships/hyperlink" Target="https://entrackr.com/snippets/titan-capital-leads-seed-round-in-skincare-brand-be-clinical-9063574" TargetMode="External" Id="rId473"/><Relationship Type="http://schemas.openxmlformats.org/officeDocument/2006/relationships/hyperlink" Target="https://entrackr.com/snippets/qsr-chain-biryani-blues-raises-5-mn-led-by-yugadi-capital-9063619" TargetMode="External" Id="rId474"/><Relationship Type="http://schemas.openxmlformats.org/officeDocument/2006/relationships/hyperlink" Target="https://entrackr.com/snippets/mixed-reality-startup-flam-bags-14-mn-led-by-rtp-global-9064890" TargetMode="External" Id="rId475"/><Relationship Type="http://schemas.openxmlformats.org/officeDocument/2006/relationships/hyperlink" Target="https://entrackr.com/snippets/hyperbots-raises-65-mn-in-series-a-round-9062825" TargetMode="External" Id="rId476"/><Relationship Type="http://schemas.openxmlformats.org/officeDocument/2006/relationships/hyperlink" Target="https://inc42.com/buzz/from-farmley-to-stashfin-indian-startups-raised-152-mn-this-week/" TargetMode="External" Id="rId477"/><Relationship Type="http://schemas.openxmlformats.org/officeDocument/2006/relationships/hyperlink" Target="https://inc42.com/buzz/from-farmley-to-stashfin-indian-startups-raised-152-mn-this-week/" TargetMode="External" Id="rId478"/><Relationship Type="http://schemas.openxmlformats.org/officeDocument/2006/relationships/hyperlink" Target="https://inc42.com/buzz/from-farmley-to-stashfin-indian-startups-raised-152-mn-this-week/" TargetMode="External" Id="rId479"/><Relationship Type="http://schemas.openxmlformats.org/officeDocument/2006/relationships/hyperlink" Target="https://entrackr.com/snippets/tiea-connectors-raises-rs-22-cr-co-led-by-jamwant-ventures-and-valour-capital-9064495" TargetMode="External" Id="rId480"/><Relationship Type="http://schemas.openxmlformats.org/officeDocument/2006/relationships/hyperlink" Target="https://entrackr.com/exclusive/exclusive-bluestone-secures-debt-ahead-of-ipo-9066890" TargetMode="External" Id="rId481"/><Relationship Type="http://schemas.openxmlformats.org/officeDocument/2006/relationships/hyperlink" Target="https://economictimes.indiatimes.com/tech/funding/healthtech-startup-complement-1-raises-16-million-in-round-led-by-owl-ventures-blume-ventures/articleshow/121164632.cms" TargetMode="External" Id="rId482"/><Relationship Type="http://schemas.openxmlformats.org/officeDocument/2006/relationships/hyperlink" Target="https://entrackr.com/snippets/titan-capital-leads-seed-round-in-contravault-ai-9067397" TargetMode="External" Id="rId483"/><Relationship Type="http://schemas.openxmlformats.org/officeDocument/2006/relationships/hyperlink" Target="https://entrackr.com/news/whitehat-jr-founder-karan-bajaj-raises-16-mn-for-new-startup-complement1-9067572" TargetMode="External" Id="rId484"/><Relationship Type="http://schemas.openxmlformats.org/officeDocument/2006/relationships/hyperlink" Target="https://inc42.com/buzz/from-farmley-to-stashfin-indian-startups-raised-152-mn-this-week/" TargetMode="External" Id="rId485"/><Relationship Type="http://schemas.openxmlformats.org/officeDocument/2006/relationships/hyperlink" Target="https://entrackr.com/snippets/reelsaga-raises-21-mn-in-seed-round-led-by-picus-capital-9067336" TargetMode="External" Id="rId486"/><Relationship Type="http://schemas.openxmlformats.org/officeDocument/2006/relationships/hyperlink" Target="https://entrackr.com/snippets/hiring-platform-third-bracket-raises-rs-5-cr-in-seed-round-9067442" TargetMode="External" Id="rId487"/><Relationship Type="http://schemas.openxmlformats.org/officeDocument/2006/relationships/hyperlink" Target="https://entrackr.com/snippets/vflowtech-raises-205-mn-led-by-granite-asia-9067409" TargetMode="External" Id="rId488"/><Relationship Type="http://schemas.openxmlformats.org/officeDocument/2006/relationships/hyperlink" Target="https://entrackr.com/snippets/value-retail-chain-1-india-family-mart-raises-12-mn-in-series-d-round-9071077" TargetMode="External" Id="rId489"/><Relationship Type="http://schemas.openxmlformats.org/officeDocument/2006/relationships/hyperlink" Target="https://entrackr.com/news/ice-cream-brand-hocco-raises-10-mn-in-first-close-of-series-b-round-9070468" TargetMode="External" Id="rId490"/><Relationship Type="http://schemas.openxmlformats.org/officeDocument/2006/relationships/hyperlink" Target="https://entrackr.com/snippets/pod-hotel-startup-naptapgo-raises-pre-seed-round-led-by-ipv-9070508" TargetMode="External" Id="rId491"/><Relationship Type="http://schemas.openxmlformats.org/officeDocument/2006/relationships/hyperlink" Target="https://inc42.com/buzz/from-farmley-to-stashfin-indian-startups-raised-152-mn-this-week/" TargetMode="External" Id="rId492"/><Relationship Type="http://schemas.openxmlformats.org/officeDocument/2006/relationships/hyperlink" Target="https://inc42.com/buzz/from-farmley-to-stashfin-indian-startups-raised-152-mn-this-week/" TargetMode="External" Id="rId493"/><Relationship Type="http://schemas.openxmlformats.org/officeDocument/2006/relationships/hyperlink" Target="https://www.vccircle.com/neoasset-management-invests-20-mn-in-diaper-maker-nobel-hygiene" TargetMode="External" Id="rId494"/><Relationship Type="http://schemas.openxmlformats.org/officeDocument/2006/relationships/hyperlink" Target="https://inc42.com/buzz/from-farmley-to-stashfin-indian-startups-raised-152-mn-this-week/" TargetMode="External" Id="rId495"/><Relationship Type="http://schemas.openxmlformats.org/officeDocument/2006/relationships/hyperlink" Target="https://inc42.com/buzz/from-farmley-to-stashfin-indian-startups-raised-152-mn-this-week/" TargetMode="External" Id="rId496"/><Relationship Type="http://schemas.openxmlformats.org/officeDocument/2006/relationships/hyperlink" Target="https://economictimes.indiatimes.com/tech/funding/evaas-startup-fyn-mobility-raises-2-5-million-eyes-global-markets/articleshow/121219146.cms" TargetMode="External" Id="rId497"/><Relationship Type="http://schemas.openxmlformats.org/officeDocument/2006/relationships/hyperlink" Target="https://entrackr.com/news/euler-motors-raises-rs-638-cr-in-series-d-funding-round-9083850" TargetMode="External" Id="rId498"/><Relationship Type="http://schemas.openxmlformats.org/officeDocument/2006/relationships/hyperlink" Target="https://entrackr.com/snippets/vivriti-asset-management-raises-20-mn-from-development-bank-of-austria-9083487" TargetMode="External" Id="rId499"/><Relationship Type="http://schemas.openxmlformats.org/officeDocument/2006/relationships/hyperlink" Target="https://entrackr.com/news/cybersecurity-startup-cloudsek-raises-19-mn-9085770" TargetMode="External" Id="rId500"/><Relationship Type="http://schemas.openxmlformats.org/officeDocument/2006/relationships/hyperlink" Target="https://entrackr.com/news/curebay-raises-21-mn-in-series-b-round-led-by-bertelsmann-india-9085603" TargetMode="External" Id="rId501"/><Relationship Type="http://schemas.openxmlformats.org/officeDocument/2006/relationships/hyperlink" Target="https://entrackr.com/snippets/miraggio-raises-65-mn-led-by-rpsg-capital-9086396" TargetMode="External" Id="rId502"/><Relationship Type="http://schemas.openxmlformats.org/officeDocument/2006/relationships/hyperlink" Target="https://entrackr.com/snippets/misfits-raises-seed-round-co-led-by-info-edge-ventures-and-better-capital-9087722" TargetMode="External" Id="rId503"/><Relationship Type="http://schemas.openxmlformats.org/officeDocument/2006/relationships/hyperlink" Target="https://inc42.com/buzz/from-euler-motors-to-cloudsek-indian-startups-raised-232-mn-this-week/" TargetMode="External" Id="rId504"/><Relationship Type="http://schemas.openxmlformats.org/officeDocument/2006/relationships/hyperlink" Target="https://entrackr.com/snippets/nabventures-leads-rs-20-cr-round-in-deep-tech-startup-tan90-9086785" TargetMode="External" Id="rId505"/><Relationship Type="http://schemas.openxmlformats.org/officeDocument/2006/relationships/hyperlink" Target="https://entrackr.com/snippets/jason-kotharis-new-startup-mythik-raises-15-mn-in-seed-round-9089926" TargetMode="External" Id="rId506"/><Relationship Type="http://schemas.openxmlformats.org/officeDocument/2006/relationships/hyperlink" Target="https://inc42.com/buzz/from-euler-motors-to-cloudsek-indian-startups-raised-232-mn-this-week/" TargetMode="External" Id="rId507"/><Relationship Type="http://schemas.openxmlformats.org/officeDocument/2006/relationships/hyperlink" Target="https://economictimes.indiatimes.com/tech/funding/ai-startup-zoca-raises-6-million-from-accel-elevation-capital-others/articleshow/121318583.cms" TargetMode="External" Id="rId508"/><Relationship Type="http://schemas.openxmlformats.org/officeDocument/2006/relationships/hyperlink" Target="https://entrackr.com/snippets/deeptech-startup-alt-carbon-raises-12-mn-in-seed-round-9187389" TargetMode="External" Id="rId509"/><Relationship Type="http://schemas.openxmlformats.org/officeDocument/2006/relationships/hyperlink" Target="https://inc42.com/buzz/from-euler-motors-to-cloudsek-indian-startups-raised-232-mn-this-week/" TargetMode="External" Id="rId510"/><Relationship Type="http://schemas.openxmlformats.org/officeDocument/2006/relationships/hyperlink" Target="https://entrackr.com/news/data-sutram-raises-9-mn-in-series-a-round-9149674" TargetMode="External" Id="rId511"/><Relationship Type="http://schemas.openxmlformats.org/officeDocument/2006/relationships/hyperlink" Target="https://inc42.com/buzz/from-euler-motors-to-cloudsek-indian-startups-raised-232-mn-this-week/" TargetMode="External" Id="rId512"/><Relationship Type="http://schemas.openxmlformats.org/officeDocument/2006/relationships/hyperlink" Target="https://entrackr.com/snippets/promethean-energy-raises-2-mn-in-pre-series-a-round-9149741" TargetMode="External" Id="rId513"/><Relationship Type="http://schemas.openxmlformats.org/officeDocument/2006/relationships/hyperlink" Target="https://entrackr.com/exclusive/exclusive-krafton-leads-rs-29-cr-round-in-shuru-at-rs-135-cr-valuation-9155102" TargetMode="External" Id="rId514"/><Relationship Type="http://schemas.openxmlformats.org/officeDocument/2006/relationships/hyperlink" Target="https://inc42.com/buzz/from-euler-motors-to-cloudsek-indian-startups-raised-232-mn-this-week/" TargetMode="External" Id="rId515"/><Relationship Type="http://schemas.openxmlformats.org/officeDocument/2006/relationships/hyperlink" Target="https://entrackr.com/snippets/kskt-raises-13-mn-in-equity-and-debt-round-9300612" TargetMode="External" Id="rId516"/><Relationship Type="http://schemas.openxmlformats.org/officeDocument/2006/relationships/hyperlink" Target="https://entrackr.com/news/citykart-raises-rs-538-cr-led-by-tpg-newquest-and-a91-partner-9309720" TargetMode="External" Id="rId517"/><Relationship Type="http://schemas.openxmlformats.org/officeDocument/2006/relationships/hyperlink" Target="https://entrackr.com/snippets/deep-tech-startup-contineu-raises-12-mn-led-by-senseai-ventures-9310309" TargetMode="External" Id="rId518"/><Relationship Type="http://schemas.openxmlformats.org/officeDocument/2006/relationships/hyperlink" Target="https://entrackr.com/snippets/travel-accessories-brand-eume-raises-rs-25-cr-in-series-a-9310121" TargetMode="External" Id="rId519"/><Relationship Type="http://schemas.openxmlformats.org/officeDocument/2006/relationships/hyperlink" Target="https://entrackr.com/news/fleetx-raises-rs-113-cr-in-series-c-led-by-indiamart-and-beenext-9309763" TargetMode="External" Id="rId520"/><Relationship Type="http://schemas.openxmlformats.org/officeDocument/2006/relationships/hyperlink" Target="https://entrackr.com/snippets/frinks-ai-raises-54-mn-in-pre-series-a-round-9310766" TargetMode="External" Id="rId521"/><Relationship Type="http://schemas.openxmlformats.org/officeDocument/2006/relationships/hyperlink" Target="https://entrackr.com/news/quick-fashion-delivery-startup-slikk-raises-10-mn-led-by-nexus-9309173" TargetMode="External" Id="rId522"/><Relationship Type="http://schemas.openxmlformats.org/officeDocument/2006/relationships/hyperlink" Target="https://inc42.com/buzz/from-battery-smart-to-chalo-indian-startups-raised-93-mn-this-week/" TargetMode="External" Id="rId523"/><Relationship Type="http://schemas.openxmlformats.org/officeDocument/2006/relationships/hyperlink" Target="https://entrackr.com/snippets/growit-raises-3-mn-in-series-a-round-led-by-gvfl-9313488" TargetMode="External" Id="rId524"/><Relationship Type="http://schemas.openxmlformats.org/officeDocument/2006/relationships/hyperlink" Target="https://entrackr.com/snippets/wealth-management-firm-ilios-72-alternative-capital-raises-seed-round-9314010" TargetMode="External" Id="rId525"/><Relationship Type="http://schemas.openxmlformats.org/officeDocument/2006/relationships/hyperlink" Target="https://entrackr.com/snippets/orbitt-space-raises-1-mn-in-pre-seed-round-led-by-pi-ventures-9313216" TargetMode="External" Id="rId526"/><Relationship Type="http://schemas.openxmlformats.org/officeDocument/2006/relationships/hyperlink" Target="https://entrackr.com/snippets/saarathi-finance-secures-rs-475-cr-equity-capital-9313667" TargetMode="External" Id="rId527"/><Relationship Type="http://schemas.openxmlformats.org/officeDocument/2006/relationships/hyperlink" Target="https://entrackr.com/snippets/cleevo-raises-1-mn-in-seed-round-led-by-eternal-capital-9316482" TargetMode="External" Id="rId528"/><Relationship Type="http://schemas.openxmlformats.org/officeDocument/2006/relationships/hyperlink" Target="https://inc42.com/buzz/from-battery-smart-to-chalo-indian-startups-raised-93-mn-this-week/" TargetMode="External" Id="rId529"/><Relationship Type="http://schemas.openxmlformats.org/officeDocument/2006/relationships/hyperlink" Target="https://entrackr.com/snippets/sports-tech-startup-khiladipro-secures-1mn-in-pre-seed-round-9317219" TargetMode="External" Id="rId530"/><Relationship Type="http://schemas.openxmlformats.org/officeDocument/2006/relationships/hyperlink" Target="https://entrackr.com/news/quick-service-platform-snabbit-raises-19-mn-led-by-lightspeed-9316145" TargetMode="External" Id="rId531"/><Relationship Type="http://schemas.openxmlformats.org/officeDocument/2006/relationships/hyperlink" Target="https://economictimes.indiatimes.com/tech/funding/menswear-brand-snitch-reveals-it-has-raised-rs-278-crore-from-360-one-asset-others/articleshow/121488082.cms" TargetMode="External" Id="rId532"/><Relationship Type="http://schemas.openxmlformats.org/officeDocument/2006/relationships/hyperlink" Target="https://entrackr.com/snippets/unbound-raises-4-mn-in-seed-round-led-by-race-capital-9317863" TargetMode="External" Id="rId533"/><Relationship Type="http://schemas.openxmlformats.org/officeDocument/2006/relationships/hyperlink" Target="https://inc42.com/buzz/from-battery-smart-to-chalo-indian-startups-raised-93-mn-this-week/" TargetMode="External" Id="rId534"/><Relationship Type="http://schemas.openxmlformats.org/officeDocument/2006/relationships/hyperlink" Target="https://inc42.com/buzz/from-battery-smart-to-chalo-indian-startups-raised-93-mn-this-week/" TargetMode="External" Id="rId535"/><Relationship Type="http://schemas.openxmlformats.org/officeDocument/2006/relationships/hyperlink" Target="https://inc42.com/buzz/from-battery-smart-to-chalo-indian-startups-raised-93-mn-this-week/" TargetMode="External" Id="rId536"/><Relationship Type="http://schemas.openxmlformats.org/officeDocument/2006/relationships/hyperlink" Target="https://entrackr.com/fintrackr/decoding-neysas-series-a-round-valuation-and-shareholding-pattern-9319868" TargetMode="External" Id="rId537"/><Relationship Type="http://schemas.openxmlformats.org/officeDocument/2006/relationships/hyperlink" Target="https://economictimes.indiatimes.com/tech/startups/furniture-retailer-pepperfry-raises-rs-43-crore-from-existing-investors/articleshow/121570857.cms" TargetMode="External" Id="rId538"/><Relationship Type="http://schemas.openxmlformats.org/officeDocument/2006/relationships/hyperlink" Target="https://entrackr.com/snippets/growthcap-leads-185-mn-pre-seed-round-in-spense-9327516" TargetMode="External" Id="rId539"/><Relationship Type="http://schemas.openxmlformats.org/officeDocument/2006/relationships/hyperlink" Target="https://entrackr.com/news/udaan-closes-series-g-round-at-114-mn-9327813" TargetMode="External" Id="rId540"/><Relationship Type="http://schemas.openxmlformats.org/officeDocument/2006/relationships/hyperlink" Target="https://entrackr.com/snippets/gully-labs-raises-rs-87-cr-in-seed-round-led-by-zeropearl-vc-9331170" TargetMode="External" Id="rId541"/><Relationship Type="http://schemas.openxmlformats.org/officeDocument/2006/relationships/hyperlink" Target="https://economictimes.indiatimes.com/tech/funding/education-financing-startup-gyandhan-raises-rs-50-crore-from-edtech-firm-classplus-vc-fund-pravega-ventures/articleshow/121603219.cms" TargetMode="External" Id="rId542"/><Relationship Type="http://schemas.openxmlformats.org/officeDocument/2006/relationships/hyperlink" Target="https://entrackr.com/exclusive/exclusive-feminine-care-brand-plush-to-kick-off-series-b-round-at-3x-valuation-surge-9330660" TargetMode="External" Id="rId543"/><Relationship Type="http://schemas.openxmlformats.org/officeDocument/2006/relationships/hyperlink" Target="https://entrackr.com/snippets/serveclub-raises-seed-round-from-rare-rabbit-the-moms-co-founders-9331008" TargetMode="External" Id="rId544"/><Relationship Type="http://schemas.openxmlformats.org/officeDocument/2006/relationships/hyperlink" Target="https://entrackr.com/news/stable-money-raises-20-mn-led-by-fundamentum-9330477" TargetMode="External" Id="rId545"/><Relationship Type="http://schemas.openxmlformats.org/officeDocument/2006/relationships/hyperlink" Target="https://inc42.com/buzz/from-snitch-to-stable-money-indian-startups-raised-134-mn-this-week/" TargetMode="External" Id="rId546"/><Relationship Type="http://schemas.openxmlformats.org/officeDocument/2006/relationships/hyperlink" Target="https://inc42.com/buzz/from-snitch-to-stable-money-indian-startups-raised-134-mn-this-week/" TargetMode="External" Id="rId547"/><Relationship Type="http://schemas.openxmlformats.org/officeDocument/2006/relationships/hyperlink" Target="https://inc42.com/buzz/from-snitch-to-stable-money-indian-startups-raised-134-mn-this-week/" TargetMode="External" Id="rId548"/><Relationship Type="http://schemas.openxmlformats.org/officeDocument/2006/relationships/hyperlink" Target="https://entrackr.com/snippets/khari-foods-raises-rs-3-cr-in-seed-round-9336946" TargetMode="External" Id="rId549"/><Relationship Type="http://schemas.openxmlformats.org/officeDocument/2006/relationships/hyperlink" Target="https://entrackr.com/snippets/loantap-raises-62-mn-led-by-july-ventures-9336604" TargetMode="External" Id="rId550"/><Relationship Type="http://schemas.openxmlformats.org/officeDocument/2006/relationships/hyperlink" Target="https://entrackr.com/snippets/stride-green-raises-35-mn-in-seed-round-9336653" TargetMode="External" Id="rId551"/><Relationship Type="http://schemas.openxmlformats.org/officeDocument/2006/relationships/hyperlink" Target="https://entrackr.com/news/wealth-management-platform-syfe-raises-80-mn-in-series-c-9336626" TargetMode="External" Id="rId552"/><Relationship Type="http://schemas.openxmlformats.org/officeDocument/2006/relationships/hyperlink" Target="https://entrackr.com/snippets/travel-tech-startup-the-tarzan-way-raises-rs-2-cr-led-by-ipv-9336938" TargetMode="External" Id="rId553"/><Relationship Type="http://schemas.openxmlformats.org/officeDocument/2006/relationships/hyperlink" Target="https://economictimes.indiatimes.com/tech/funding/wellness-and-longevity-startup-biopeak-raises-3-million-from-ranjan-pais-claypond-capital-accels-prashanth-prakash-others/articleshow/121675811.cms" TargetMode="External" Id="rId554"/><Relationship Type="http://schemas.openxmlformats.org/officeDocument/2006/relationships/hyperlink" Target="https://entrackr.com/snippets/decentro-raises-rs-30-cr-in-series-b-to-shift-domicile-to-india-9339941" TargetMode="External" Id="rId555"/><Relationship Type="http://schemas.openxmlformats.org/officeDocument/2006/relationships/hyperlink" Target="https://entrackr.com/snippets/social-commerce-infrastructure-startup-kosmc-ai-raises-pre-seed-round-9340447" TargetMode="External" Id="rId556"/><Relationship Type="http://schemas.openxmlformats.org/officeDocument/2006/relationships/hyperlink" Target="https://entrackr.com/news/cred-raises-72-mn-from-lathe-kunal-shahs-qed-and-others-9349417" TargetMode="External" Id="rId557"/><Relationship Type="http://schemas.openxmlformats.org/officeDocument/2006/relationships/hyperlink" Target="https://entrackr.com/snippets/interior-discovery-platform-roomstoryai-raises-pre-seed-round-led-by-rukam-sitara-fund-9347781" TargetMode="External" Id="rId558"/><Relationship Type="http://schemas.openxmlformats.org/officeDocument/2006/relationships/hyperlink" Target="https://entrackr.com/news/defence-electronics-startup-sanlayan-raises-rs-186-cr-in-series-a-9347529" TargetMode="External" Id="rId559"/><Relationship Type="http://schemas.openxmlformats.org/officeDocument/2006/relationships/hyperlink" Target="https://entrackr.com/snippets/vecmocon-raises-18-mn-in-series-a-round-led-by-eif-9348232" TargetMode="External" Id="rId560"/><Relationship Type="http://schemas.openxmlformats.org/officeDocument/2006/relationships/hyperlink" Target="https://inc42.com/buzz/from-groww-to-sanlayan-indian-startups-raised-559-mn-this-week/" TargetMode="External" Id="rId561"/><Relationship Type="http://schemas.openxmlformats.org/officeDocument/2006/relationships/hyperlink" Target="https://entrackr.com/snippets/flick-tv-raises-23-mn-in-seed-round-led-by-stellaris-ventures-9350145" TargetMode="External" Id="rId562"/><Relationship Type="http://schemas.openxmlformats.org/officeDocument/2006/relationships/hyperlink" Target="https://inc42.com/buzz/from-groww-to-sanlayan-indian-startups-raised-559-mn-this-week/" TargetMode="External" Id="rId563"/><Relationship Type="http://schemas.openxmlformats.org/officeDocument/2006/relationships/hyperlink" Target="https://entrackr.com/snippets/wow-momo-raises-rs-85-cr-in-debt-from-stride-ventures-9351425" TargetMode="External" Id="rId564"/><Relationship Type="http://schemas.openxmlformats.org/officeDocument/2006/relationships/hyperlink" Target="https://economictimes.indiatimes.com/tech/funding/garuda-aerospace-raises-1-million-from-narotam-sekhsaria-family-office-others/articleshow/121760187.cms" TargetMode="External" Id="rId565"/><Relationship Type="http://schemas.openxmlformats.org/officeDocument/2006/relationships/hyperlink" Target="https://entrackr.com/snippets/deeptech-manufacturing-startup-leumas-raises-22-mn-in-seed-round-9353444" TargetMode="External" Id="rId566"/><Relationship Type="http://schemas.openxmlformats.org/officeDocument/2006/relationships/hyperlink" Target="https://entrackr.com/snippets/machaxi-raises-15-mn-from-rainmatter-prakash-padukone-others-9353316" TargetMode="External" Id="rId567"/><Relationship Type="http://schemas.openxmlformats.org/officeDocument/2006/relationships/hyperlink" Target="https://entrackr.com/snippets/piston-closes-75-mn-seed-round-led-by-spark-capital-9353235" TargetMode="External" Id="rId568"/><Relationship Type="http://schemas.openxmlformats.org/officeDocument/2006/relationships/hyperlink" Target="https://entrackr.com/snippets/powerup-money-raises-71-mn-from-accel-blume-and-others-9353039" TargetMode="External" Id="rId569"/><Relationship Type="http://schemas.openxmlformats.org/officeDocument/2006/relationships/hyperlink" Target="https://inc42.com/buzz/from-groww-to-sanlayan-indian-startups-raised-559-mn-this-week/" TargetMode="External" Id="rId570"/><Relationship Type="http://schemas.openxmlformats.org/officeDocument/2006/relationships/hyperlink" Target="https://inc42.com/buzz/from-groww-to-sanlayan-indian-startups-raised-559-mn-this-week/" TargetMode="External" Id="rId571"/><Relationship Type="http://schemas.openxmlformats.org/officeDocument/2006/relationships/hyperlink" Target="https://entrackr.com/snippets/iom-bioworks-raises-rs-4-cr-in-seed-round-led-by-ipv-9356438" TargetMode="External" Id="rId572"/><Relationship Type="http://schemas.openxmlformats.org/officeDocument/2006/relationships/hyperlink" Target="https://entrackr.com/snippets/defi-startup-plutope-raises-500k-in-pre-seed-round-9357153" TargetMode="External" Id="rId573"/><Relationship Type="http://schemas.openxmlformats.org/officeDocument/2006/relationships/hyperlink" Target="https://entrackr.com/snippets/repello-raises-12-mn-seed-round-led-by-venture-highway-and-others-9356170" TargetMode="External" Id="rId574"/><Relationship Type="http://schemas.openxmlformats.org/officeDocument/2006/relationships/hyperlink" Target="https://inc42.com/buzz/from-groww-to-sanlayan-indian-startups-raised-559-mn-this-week/" TargetMode="External" Id="rId575"/><Relationship Type="http://schemas.openxmlformats.org/officeDocument/2006/relationships/hyperlink" Target="https://entrackr.com/exclusive/exclusive-fintech-startup-zype-secures-debt-9357436" TargetMode="External" Id="rId576"/><Relationship Type="http://schemas.openxmlformats.org/officeDocument/2006/relationships/hyperlink" Target="https://inc42.com/buzz/from-groww-to-sanlayan-indian-startups-raised-559-mn-this-week/" TargetMode="External" Id="rId577"/><Relationship Type="http://schemas.openxmlformats.org/officeDocument/2006/relationships/hyperlink" Target="https://entrackr.com/snippets/pehle-jaisa-raises-300k-in-pre-series-a-round-9359940" TargetMode="External" Id="rId578"/><Relationship Type="http://schemas.openxmlformats.org/officeDocument/2006/relationships/hyperlink" Target="https://entrackr.com/news/sequoia-and-greylock-lead-53-mn-round-in-aspora-9367516" TargetMode="External" Id="rId579"/><Relationship Type="http://schemas.openxmlformats.org/officeDocument/2006/relationships/hyperlink" Target="https://entrackr.com/snippets/jiif-investors-invest-in-rs-350-cr-consumer-focused-fund-by-atomic-capital-9367123" TargetMode="External" Id="rId580"/><Relationship Type="http://schemas.openxmlformats.org/officeDocument/2006/relationships/hyperlink" Target="https://entrackr.com/snippets/fb-startup-nuvie-raises-450k-in-pre-seed-round-led-by-pedalstart-9367474" TargetMode="External" Id="rId581"/><Relationship Type="http://schemas.openxmlformats.org/officeDocument/2006/relationships/hyperlink" Target="https://economictimes.indiatimes.com/tech/funding/israeli-data-security-platform-coralogix-raises-115-million/articleshow/121910092.cms" TargetMode="External" Id="rId582"/><Relationship Type="http://schemas.openxmlformats.org/officeDocument/2006/relationships/hyperlink" Target="https://entrackr.com/snippets/darwix-ai-raises-15-mn-in-seed-funding-round-9370903" TargetMode="External" Id="rId583"/><Relationship Type="http://schemas.openxmlformats.org/officeDocument/2006/relationships/hyperlink" Target="https://entrackr.com/snippets/israels-coralogix-raises-115-mn-to-fuel-india-expansion-9371623" TargetMode="External" Id="rId584"/><Relationship Type="http://schemas.openxmlformats.org/officeDocument/2006/relationships/hyperlink" Target="https://entrackr.com/snippets/rooftop-solar-focused-nbfc-dugar-finance-raises-3-mn-in-debt-9370189" TargetMode="External" Id="rId585"/><Relationship Type="http://schemas.openxmlformats.org/officeDocument/2006/relationships/hyperlink" Target="https://inc42.com/buzz/from-wiom-to-oben-electric-indian-startups-raised-92-mn-this-week/" TargetMode="External" Id="rId586"/><Relationship Type="http://schemas.openxmlformats.org/officeDocument/2006/relationships/hyperlink" Target="https://entrackr.com/snippets/saswat-finance-raises-26-mn-led-by-ankur-capital-9369946" TargetMode="External" Id="rId587"/><Relationship Type="http://schemas.openxmlformats.org/officeDocument/2006/relationships/hyperlink" Target="https://inc42.com/buzz/from-wiom-to-oben-electric-indian-startups-raised-92-mn-this-week/" TargetMode="External" Id="rId588"/><Relationship Type="http://schemas.openxmlformats.org/officeDocument/2006/relationships/hyperlink" Target="https://inc42.com/buzz/from-wiom-to-oben-electric-indian-startups-raised-92-mn-this-week/" TargetMode="External" Id="rId589"/><Relationship Type="http://schemas.openxmlformats.org/officeDocument/2006/relationships/hyperlink" Target="https://entrackr.com/snippets/clr-facility-services-raises-15-mn-from-bii-9373271" TargetMode="External" Id="rId590"/><Relationship Type="http://schemas.openxmlformats.org/officeDocument/2006/relationships/hyperlink" Target="https://entrackr.com/snippets/illumine-raises-25-mn-seed-funding-round-led-by-prime-venture-partners-9373606" TargetMode="External" Id="rId591"/><Relationship Type="http://schemas.openxmlformats.org/officeDocument/2006/relationships/hyperlink" Target="https://entrackr.com/snippets/oben-electric-closes-rs-100-cr-series-a-round-9373375" TargetMode="External" Id="rId592"/><Relationship Type="http://schemas.openxmlformats.org/officeDocument/2006/relationships/hyperlink" Target="https://entrackr.com/snippets/venture-catalysts-leads-pre-series-a-round-in-payment-ring-startup-seven-9374111" TargetMode="External" Id="rId593"/><Relationship Type="http://schemas.openxmlformats.org/officeDocument/2006/relationships/hyperlink" Target="https://entrackr.com/snippets/techfino-raises-rs-65-cr-from-stellaris-saison-capital-9373005" TargetMode="External" Id="rId594"/><Relationship Type="http://schemas.openxmlformats.org/officeDocument/2006/relationships/hyperlink" Target="https://inc42.com/buzz/from-wiom-to-oben-electric-indian-startups-raised-92-mn-this-week/" TargetMode="External" Id="rId595"/><Relationship Type="http://schemas.openxmlformats.org/officeDocument/2006/relationships/hyperlink" Target="https://entrackr.com/news/mahaveer-finance-raises-rs-200-cr-led-by-elevation-capital-9376076" TargetMode="External" Id="rId596"/><Relationship Type="http://schemas.openxmlformats.org/officeDocument/2006/relationships/hyperlink" Target="https://entrackr.com/exclusive/exclusive-okinawa-secures-7-mn-from-existing-investor-9376298" TargetMode="External" Id="rId597"/><Relationship Type="http://schemas.openxmlformats.org/officeDocument/2006/relationships/hyperlink" Target="https://entrackr.com/snippets/nikhil-kamath-invests-in-creative-agency-one-hand-clap-media-9377579" TargetMode="External" Id="rId598"/><Relationship Type="http://schemas.openxmlformats.org/officeDocument/2006/relationships/hyperlink" Target="https://entrackr.com/snippets/renewbuy-raises-10-mn-from-apis-partners-and-360-one-report-9379957" TargetMode="External" Id="rId599"/><Relationship Type="http://schemas.openxmlformats.org/officeDocument/2006/relationships/hyperlink" Target="https://inc42.com/buzz/from-raphe-mphibr-to-gokwik-indian-startups-raised-278-mn-this-week/" TargetMode="External" Id="rId600"/><Relationship Type="http://schemas.openxmlformats.org/officeDocument/2006/relationships/hyperlink" Target="https://economictimes.indiatimes.com/tech/funding/zerodhas-kamath-brothers-invest-rs-250-crore-in-incred-holdings/articleshow/122027507.cms" TargetMode="External" Id="rId601"/><Relationship Type="http://schemas.openxmlformats.org/officeDocument/2006/relationships/hyperlink" Target="https://entrackr.com/snippets/ev-startup-kazam-raises-62-mn-from-ifc-vertex-and-avaana-capital-9389336" TargetMode="External" Id="rId602"/><Relationship Type="http://schemas.openxmlformats.org/officeDocument/2006/relationships/hyperlink" Target="https://entrackr.com/snippets/d2c-brand-rabitat-raises-rs-40-cr-in-series-a-round-9389652" TargetMode="External" Id="rId603"/><Relationship Type="http://schemas.openxmlformats.org/officeDocument/2006/relationships/hyperlink" Target="https://entrackr.com/snippets/co-living-startup-truliv-raises-strategic-investment-from-bccl-9392137" TargetMode="External" Id="rId604"/><Relationship Type="http://schemas.openxmlformats.org/officeDocument/2006/relationships/hyperlink" Target="https://entrackr.com/snippets/evera-cabs-secures-4-mn-from-mufin-green-finance-9396942" TargetMode="External" Id="rId605"/><Relationship Type="http://schemas.openxmlformats.org/officeDocument/2006/relationships/hyperlink" Target="https://entrackr.com/snippets/fabheads-raises-10-mn-in-series-a-round-led-by-accel-9396012" TargetMode="External" Id="rId606"/><Relationship Type="http://schemas.openxmlformats.org/officeDocument/2006/relationships/hyperlink" Target="https://entrackr.com/snippets/b2b-textile-manufacturing-startup-fantail-raises-rs-1375-cr-in-seed-round-9396255" TargetMode="External" Id="rId607"/><Relationship Type="http://schemas.openxmlformats.org/officeDocument/2006/relationships/hyperlink" Target="https://entrackr.com/snippets/e-commerce-enabler-gokwik-raises-13-mn-led-by-rtp-global-9396485" TargetMode="External" Id="rId608"/><Relationship Type="http://schemas.openxmlformats.org/officeDocument/2006/relationships/hyperlink" Target="https://entrackr.com/snippets/med-tech-startup-innovodigm-raises-seed-funding-round-led-by-ian-group-9402512" TargetMode="External" Id="rId609"/><Relationship Type="http://schemas.openxmlformats.org/officeDocument/2006/relationships/hyperlink" Target="https://entrackr.com/snippets/ice-popsicle-brand-skippi-raises-rs-12-cr-in-extended-pre-series-a-round-9396900" TargetMode="External" Id="rId610"/><Relationship Type="http://schemas.openxmlformats.org/officeDocument/2006/relationships/hyperlink" Target="https://entrackr.com/snippets/bio-tech-startup-utopia-therapeutics-raises-15-mn-led-by-whale-tank-9396662" TargetMode="External" Id="rId611"/><Relationship Type="http://schemas.openxmlformats.org/officeDocument/2006/relationships/hyperlink" Target="https://entrackr.com/snippets/defence-tech-startup-armory-raises-rs-13-cr-led-by-growx-ventures-9404571" TargetMode="External" Id="rId612"/><Relationship Type="http://schemas.openxmlformats.org/officeDocument/2006/relationships/hyperlink" Target="https://entrackr.com/snippets/auraml-raises-1-mn-in-pre-seed-round-led-by-turbostart-9404901" TargetMode="External" Id="rId613"/><Relationship Type="http://schemas.openxmlformats.org/officeDocument/2006/relationships/hyperlink" Target="https://entrackr.com/news/giva-raises-rs-530-cr-in-series-c-round-led-by-creaegis-9407202" TargetMode="External" Id="rId614"/><Relationship Type="http://schemas.openxmlformats.org/officeDocument/2006/relationships/hyperlink" Target="https://economictimes.indiatimes.com/tech/funding/indiabonds-raises-rs-32-5-crore-from-individual-investors/articleshow/122065869.cms" TargetMode="External" Id="rId615"/><Relationship Type="http://schemas.openxmlformats.org/officeDocument/2006/relationships/hyperlink" Target="https://entrackr.com/snippets/d2c-brand-indian-snack-house-raises-pre-seed-funding-round-led-by-titan-capital-9405715" TargetMode="External" Id="rId616"/><Relationship Type="http://schemas.openxmlformats.org/officeDocument/2006/relationships/hyperlink" Target="https://entrackr.com/snippets/business-payments-platform-pazy-raises-pre-seed-funding-round-9410494" TargetMode="External" Id="rId617"/><Relationship Type="http://schemas.openxmlformats.org/officeDocument/2006/relationships/hyperlink" Target="https://entrackr.com/news/former-swiggy-ctos-stock-trading-app-sahi-raises-105-mn-led-by-accel-and-elevation-9404619" TargetMode="External" Id="rId618"/><Relationship Type="http://schemas.openxmlformats.org/officeDocument/2006/relationships/hyperlink" Target="https://entrackr.com/snippets/deeptech-startup-sthyr-energy-raises-1-mn-in-seed-round-9405438" TargetMode="External" Id="rId619"/><Relationship Type="http://schemas.openxmlformats.org/officeDocument/2006/relationships/hyperlink" Target="https://entrackr.com/snippets/flipspaces-raises-rs-50-cr-from-asiana-fund-9420511" TargetMode="External" Id="rId620"/><Relationship Type="http://schemas.openxmlformats.org/officeDocument/2006/relationships/hyperlink" Target="https://inc42.com/buzz/from-raphe-mphibr-to-gokwik-indian-startups-raised-278-mn-this-week/" TargetMode="External" Id="rId621"/><Relationship Type="http://schemas.openxmlformats.org/officeDocument/2006/relationships/hyperlink" Target="https://entrackr.com/news/defence-tech-startup-raphe-mphibr-raises-100-mn-led-by-general-catalyst-9438924" TargetMode="External" Id="rId622"/><Relationship Type="http://schemas.openxmlformats.org/officeDocument/2006/relationships/hyperlink" Target="https://entrackr.com/news/binny-bansal-invests-20-mn-in-e-comm-os-startup-shopos-9429597" TargetMode="External" Id="rId623"/><Relationship Type="http://schemas.openxmlformats.org/officeDocument/2006/relationships/hyperlink" Target="https://entrackr.com/decoding/decoding-solarsquares-series-b-round-valuation-and-captable-9424228" TargetMode="External" Id="rId624"/><Relationship Type="http://schemas.openxmlformats.org/officeDocument/2006/relationships/hyperlink" Target="https://entrackr.com/snippets/stayvista-raises-rs-40-cr-in-series-b-round-led-by-jsw-ventures-9439300" TargetMode="External" Id="rId625"/><Relationship Type="http://schemas.openxmlformats.org/officeDocument/2006/relationships/hyperlink" Target="https://inc42.com/buzz/from-raphe-mphibr-to-gokwik-indian-startups-raised-278-mn-this-week/" TargetMode="External" Id="rId626"/><Relationship Type="http://schemas.openxmlformats.org/officeDocument/2006/relationships/hyperlink" Target="https://entrackr.com/snippets/quick-fashion-delivery-startup-zilo-raises-45-mn-in-seed-round-9441409" TargetMode="External" Id="rId627"/><Relationship Type="http://schemas.openxmlformats.org/officeDocument/2006/relationships/hyperlink" Target="https://entrackr.com/news/lab-grown-diamond-brand-aukera-raises-15-mn-led-by-peak-xv-9449078" TargetMode="External" Id="rId628"/><Relationship Type="http://schemas.openxmlformats.org/officeDocument/2006/relationships/hyperlink" Target="https://entrackr.com/snippets/blostem-raises-seed-round-led-by-ac-ventures-9449740" TargetMode="External" Id="rId629"/><Relationship Type="http://schemas.openxmlformats.org/officeDocument/2006/relationships/hyperlink" Target="https://entrackr.com/snippets/eggoz-raises-20-mn-in-series-c-round-led-by-gaja-capital-9449466" TargetMode="External" Id="rId630"/><Relationship Type="http://schemas.openxmlformats.org/officeDocument/2006/relationships/hyperlink" Target="https://entrackr.com/news/inframarket-secures-150-mn-from-mars-growth-capital-9449081" TargetMode="External" Id="rId631"/><Relationship Type="http://schemas.openxmlformats.org/officeDocument/2006/relationships/hyperlink" Target="https://entrackr.com/news/jumbotail-turns-unicorn-after-120-mn-series-d-round-9449623" TargetMode="External" Id="rId632"/><Relationship Type="http://schemas.openxmlformats.org/officeDocument/2006/relationships/hyperlink" Target="https://entrackr.com/news/appsforbharat-raises-20-mn-in-series-c-round-9451578" TargetMode="External" Id="rId633"/><Relationship Type="http://schemas.openxmlformats.org/officeDocument/2006/relationships/hyperlink" Target="https://entrackr.com/snippets/astrophel-aerospace-raises-rs-684-cr-in-pre-seed-round-9452911" TargetMode="External" Id="rId634"/><Relationship Type="http://schemas.openxmlformats.org/officeDocument/2006/relationships/hyperlink" Target="https://entrackr.com/snippets/bambrew-raises-rs-90-cr-led-by-ashok-goel-and-enrission-india-capital-9452773" TargetMode="External" Id="rId635"/><Relationship Type="http://schemas.openxmlformats.org/officeDocument/2006/relationships/hyperlink" Target="https://entrackr.com/snippets/agritech-startup-eeki-raises-7-mn-from-sixth-sense-ventures-9452600" TargetMode="External" Id="rId636"/><Relationship Type="http://schemas.openxmlformats.org/officeDocument/2006/relationships/hyperlink" Target="https://entrackr.com/snippets/fincfriends-closes-115-mn-debt-funding-round-9452878" TargetMode="External" Id="rId637"/><Relationship Type="http://schemas.openxmlformats.org/officeDocument/2006/relationships/hyperlink" Target="https://entrackr.com/snippets/automotive-spare-parts-aggregator-garaaz-raises-rs-455-cr-in-seed-round-9452385" TargetMode="External" Id="rId638"/><Relationship Type="http://schemas.openxmlformats.org/officeDocument/2006/relationships/hyperlink" Target="https://entrackr.com/snippets/lamark-biotech-raises-rs-65-cr-in-pre-series-a-round-led-by-ian-group-9453084" TargetMode="External" Id="rId639"/><Relationship Type="http://schemas.openxmlformats.org/officeDocument/2006/relationships/hyperlink" Target="https://entrackr.com/snippets/biomanufacturing-startup-loopworm-raises-325-mn-in-pre-series-a-round-9453681" TargetMode="External" Id="rId640"/><Relationship Type="http://schemas.openxmlformats.org/officeDocument/2006/relationships/hyperlink" Target="https://entrackr.com/snippets/zango-ai-raises-48-mn-in-seed-round-led-by-nexus-venture-partners-9452864" TargetMode="External" Id="rId641"/><Relationship Type="http://schemas.openxmlformats.org/officeDocument/2006/relationships/hyperlink" Target="https://entrackr.com/snippets/cimware-raises-23-mn-from-transition-vc-9455272" TargetMode="External" Id="rId642"/><Relationship Type="http://schemas.openxmlformats.org/officeDocument/2006/relationships/hyperlink" Target="https://entrackr.com/snippets/iora-raises-rs-85-cr-funding-from-caspian-debt-9456330" TargetMode="External" Id="rId643"/><Relationship Type="http://schemas.openxmlformats.org/officeDocument/2006/relationships/hyperlink" Target="https://entrackr.com/snippets/fes-cafe-raises-seed-round-led-by-aakash-anand-and-wolfpack-labs-9459270" TargetMode="External" Id="rId644"/><Relationship Type="http://schemas.openxmlformats.org/officeDocument/2006/relationships/hyperlink" Target="https://entrackr.com/snippets/fitfeast-raises-rs-55-cr-from-ipv-ropes-in-shane-watson-and-axar-patel-as-investors-9458574" TargetMode="External" Id="rId645"/><Relationship Type="http://schemas.openxmlformats.org/officeDocument/2006/relationships/hyperlink" Target="https://entrackr.com/snippets/gobblecube-raises-35-mn-led-by-infoedge-ventures-9458254" TargetMode="External" Id="rId646"/><Relationship Type="http://schemas.openxmlformats.org/officeDocument/2006/relationships/hyperlink" Target="https://inc42.com/buzz/from-jumbotail-to-incred-finance-indian-startups-raised-315-mn-this-week/" TargetMode="External" Id="rId647"/><Relationship Type="http://schemas.openxmlformats.org/officeDocument/2006/relationships/hyperlink" Target="https://entrackr.com/snippets/luma-fertility-raises-4-mn-led-by-peak-xvs-surge-9458476" TargetMode="External" Id="rId648"/><Relationship Type="http://schemas.openxmlformats.org/officeDocument/2006/relationships/hyperlink" Target="https://entrackr.com/snippets/deep-tech-startup-maieutic-semiconductor-raises-415-mn-seed-round-9458859" TargetMode="External" Id="rId649"/><Relationship Type="http://schemas.openxmlformats.org/officeDocument/2006/relationships/hyperlink" Target="https://entrackr.com/snippets/lenskart-invests-in-deep-tech-xr-startup-ajna-lens-9462282" TargetMode="External" Id="rId650"/><Relationship Type="http://schemas.openxmlformats.org/officeDocument/2006/relationships/hyperlink" Target="https://inc42.com/buzz/from-infinity-fincorp-to-chai-bisket-indian-startups-raised-133-mn-this-week/" TargetMode="External" Id="rId651"/><Relationship Type="http://schemas.openxmlformats.org/officeDocument/2006/relationships/hyperlink" Target="https://inc42.com/buzz/from-infinity-fincorp-to-chai-bisket-indian-startups-raised-133-mn-this-week/" TargetMode="External" Id="rId652"/><Relationship Type="http://schemas.openxmlformats.org/officeDocument/2006/relationships/hyperlink" Target="https://entrackr.com/snippets/spiritual-lifestyle-brand-divine-hindu-raises-seed-round-9470543" TargetMode="External" Id="rId653"/><Relationship Type="http://schemas.openxmlformats.org/officeDocument/2006/relationships/hyperlink" Target="https://entrackr.com/snippets/inprime-finserv-raises-rs-50-cr-in-series-a1-round-led-by-pravega-ventures-9470068" TargetMode="External" Id="rId654"/><Relationship Type="http://schemas.openxmlformats.org/officeDocument/2006/relationships/hyperlink" Target="https://entrackr.com/snippets/khetika-raises-18-mn-led-by-narotam-sekhsaria-family-office-and-anicut-capital-9469606" TargetMode="External" Id="rId655"/><Relationship Type="http://schemas.openxmlformats.org/officeDocument/2006/relationships/hyperlink" Target="https://entrackr.com/snippets/wiselife-raises-rs-8-cr-led-by-rukam-capital-in-pre-series-a-round-9470240" TargetMode="External" Id="rId656"/><Relationship Type="http://schemas.openxmlformats.org/officeDocument/2006/relationships/hyperlink" Target="https://entrackr.com/news/trident-growth-partners-leads-rs-200-cr-round-in-credit-wise-capital-9473019" TargetMode="External" Id="rId657"/><Relationship Type="http://schemas.openxmlformats.org/officeDocument/2006/relationships/hyperlink" Target="https://entrackr.com/snippets/linkrunner-raises-pre-seed-round-led-by-titan-capital-9473366" TargetMode="External" Id="rId658"/><Relationship Type="http://schemas.openxmlformats.org/officeDocument/2006/relationships/hyperlink" Target="https://entrackr.com/snippets/qoruz-raises-500k-in-pre-series-a-round-led-by-the-chennai-angels-9472988" TargetMode="External" Id="rId659"/><Relationship Type="http://schemas.openxmlformats.org/officeDocument/2006/relationships/hyperlink" Target="https://entrackr.com/snippets/nri-focused-fintech-startup-belong-raises-5-mn-led-by-elevation-capital-9476695" TargetMode="External" Id="rId660"/><Relationship Type="http://schemas.openxmlformats.org/officeDocument/2006/relationships/hyperlink" Target="https://entrackr.com/snippets/chai-bisket-raises-5-mn-led-by-infoedge-ventures-and-general-catalyst-to-launch-chai-shots-9477331" TargetMode="External" Id="rId661"/><Relationship Type="http://schemas.openxmlformats.org/officeDocument/2006/relationships/hyperlink" Target="https://entrackr.com/snippets/drone-tech-startup-enercomp-raises-rs-2-cr-in-bridge-round-9477028" TargetMode="External" Id="rId662"/><Relationship Type="http://schemas.openxmlformats.org/officeDocument/2006/relationships/hyperlink" Target="https://entrackr.com/snippets/green-aero-raises-16-mn-in-seed-round-led-by-pi-ventures-9477236" TargetMode="External" Id="rId663"/><Relationship Type="http://schemas.openxmlformats.org/officeDocument/2006/relationships/hyperlink" Target="https://inc42.com/buzz/from-infinity-fincorp-to-chai-bisket-indian-startups-raised-133-mn-this-week/" TargetMode="External" Id="rId664"/><Relationship Type="http://schemas.openxmlformats.org/officeDocument/2006/relationships/hyperlink" Target="https://inc42.com/buzz/from-infinity-fincorp-to-chai-bisket-indian-startups-raised-133-mn-this-week/" TargetMode="External" Id="rId665"/><Relationship Type="http://schemas.openxmlformats.org/officeDocument/2006/relationships/hyperlink" Target="https://entrackr.com/snippets/nbfc-varthana-secures-rs-159-cr-in-debt-funding-9477464" TargetMode="External" Id="rId666"/><Relationship Type="http://schemas.openxmlformats.org/officeDocument/2006/relationships/hyperlink" Target="https://economictimes.indiatimes.com/tech/funding/saas-fintech-platform-arteria-technologies-raises-rs-100-crore-funding-from-icici-venture/articleshow/122364309.cms" TargetMode="External" Id="rId667"/><Relationship Type="http://schemas.openxmlformats.org/officeDocument/2006/relationships/hyperlink" Target="https://entrackr.com/snippets/clean-fanatics-raises-2-mn-in-seed-round-led-by-inflection-point-ventures-9480496" TargetMode="External" Id="rId668"/><Relationship Type="http://schemas.openxmlformats.org/officeDocument/2006/relationships/hyperlink" Target="https://inc42.com/buzz/from-infinity-fincorp-to-chai-bisket-indian-startups-raised-133-mn-this-week/" TargetMode="External" Id="rId669"/><Relationship Type="http://schemas.openxmlformats.org/officeDocument/2006/relationships/hyperlink" Target="https://inc42.com/buzz/from-infinity-fincorp-to-chai-bisket-indian-startups-raised-133-mn-this-week/" TargetMode="External" Id="rId670"/><Relationship Type="http://schemas.openxmlformats.org/officeDocument/2006/relationships/hyperlink" Target="https://inc42.com/buzz/from-qpiai-to-knot-indian-startups-raised-80-mn-this-week/" TargetMode="External" Id="rId671"/><Relationship Type="http://schemas.openxmlformats.org/officeDocument/2006/relationships/hyperlink" Target="https://entrackr.com/snippets/gibran-raises-26-mn-in-seed-round-from-together-fund-9496114" TargetMode="External" Id="rId672"/><Relationship Type="http://schemas.openxmlformats.org/officeDocument/2006/relationships/hyperlink" Target="https://inc42.com/buzz/from-qpiai-to-knot-indian-startups-raised-80-mn-this-week/" TargetMode="External" Id="rId673"/><Relationship Type="http://schemas.openxmlformats.org/officeDocument/2006/relationships/hyperlink" Target="https://inc42.com/buzz/from-qpiai-to-knot-indian-startups-raised-80-mn-this-week/" TargetMode="External" Id="rId674"/><Relationship Type="http://schemas.openxmlformats.org/officeDocument/2006/relationships/hyperlink" Target="https://entrackr.com/snippets/ambulance-startup-dial4242-raises-rs-9-cr-in-pre-series-a-round-9498560" TargetMode="External" Id="rId675"/><Relationship Type="http://schemas.openxmlformats.org/officeDocument/2006/relationships/hyperlink" Target="https://economictimes.indiatimes.com/tech/funding/ipo-bound-ai-company-fractal-bags-170-million-at-2-44-billion-valuation/articleshow/122455396.cms" TargetMode="External" Id="rId676"/><Relationship Type="http://schemas.openxmlformats.org/officeDocument/2006/relationships/hyperlink" Target="https://entrackr.com/snippets/voice-ai-startup-navanaai-raises-rs-7-cr-in-pre-series-a-round-9500014" TargetMode="External" Id="rId677"/><Relationship Type="http://schemas.openxmlformats.org/officeDocument/2006/relationships/hyperlink" Target="https://entrackr.com/snippets/the-wedding-company-raises-1-mn-in-pre-seed-round-9496868" TargetMode="External" Id="rId678"/><Relationship Type="http://schemas.openxmlformats.org/officeDocument/2006/relationships/hyperlink" Target="https://entrackr.com/snippets/trupeer-bags-3-mn-seed-round-led-by-rtp-global-9498489" TargetMode="External" Id="rId679"/><Relationship Type="http://schemas.openxmlformats.org/officeDocument/2006/relationships/hyperlink" Target="https://entrackr.com/snippets/oyos-ritesh-agarwal-invests-in-culture-circle-at-over-rs-100-cr-valuation-9503107" TargetMode="External" Id="rId680"/><Relationship Type="http://schemas.openxmlformats.org/officeDocument/2006/relationships/hyperlink" Target="https://entrackr.com/snippets/cybersecurity-startup-deep-algorithm-raises-rs-108-cr-in-seed-round-9501281" TargetMode="External" Id="rId681"/><Relationship Type="http://schemas.openxmlformats.org/officeDocument/2006/relationships/hyperlink" Target="https://inc42.com/buzz/from-qpiai-to-knot-indian-startups-raised-80-mn-this-week/" TargetMode="External" Id="rId682"/><Relationship Type="http://schemas.openxmlformats.org/officeDocument/2006/relationships/hyperlink" Target="https://entrackr.com/snippets/quick-fashion-delivery-startup-knot-raises-3-mn-led-by-kae-capital-9500840" TargetMode="External" Id="rId683"/><Relationship Type="http://schemas.openxmlformats.org/officeDocument/2006/relationships/hyperlink" Target="https://entrackr.com/exclusive/exclusive-phi-commerce-tops-up-series-b-with-fresh-funding-9501296" TargetMode="External" Id="rId684"/><Relationship Type="http://schemas.openxmlformats.org/officeDocument/2006/relationships/hyperlink" Target="https://inc42.com/buzz/from-qpiai-to-knot-indian-startups-raised-80-mn-this-week/" TargetMode="External" Id="rId685"/><Relationship Type="http://schemas.openxmlformats.org/officeDocument/2006/relationships/hyperlink" Target="https://entrackr.com/exclusive/exclusive-peak-xv-joins-truemeds-series-c-round-with-20-mn-9500136" TargetMode="External" Id="rId686"/><Relationship Type="http://schemas.openxmlformats.org/officeDocument/2006/relationships/hyperlink" Target="https://entrackr.com/snippets/zeus-hygia-raises-25-mn-from-nabventures-9501055" TargetMode="External" Id="rId687"/><Relationship Type="http://schemas.openxmlformats.org/officeDocument/2006/relationships/hyperlink" Target="https://entrackr.com/snippets/zulu-club-raises-250k-in-pre-seed-round-from-tdv-partners-9501275" TargetMode="External" Id="rId688"/><Relationship Type="http://schemas.openxmlformats.org/officeDocument/2006/relationships/hyperlink" Target="https://entrackr.com/snippets/dronetech-startup-zuppa-raises-15-mn-in-bridge-round-9502008" TargetMode="External" Id="rId689"/><Relationship Type="http://schemas.openxmlformats.org/officeDocument/2006/relationships/hyperlink" Target="https://entrackr.com/snippets/gvfl-leads-rs-15-cr-round-in-b2b-packaging-platform-dcg-tech-9505558" TargetMode="External" Id="rId690"/><Relationship Type="http://schemas.openxmlformats.org/officeDocument/2006/relationships/hyperlink" Target="https://entrackr.com/snippets/lo-foods-raises-35-mn-in-series-b-round-9504677" TargetMode="External" Id="rId691"/><Relationship Type="http://schemas.openxmlformats.org/officeDocument/2006/relationships/hyperlink" Target="https://inc42.com/buzz/from-qpiai-to-knot-indian-startups-raised-80-mn-this-week/" TargetMode="External" Id="rId692"/><Relationship Type="http://schemas.openxmlformats.org/officeDocument/2006/relationships/hyperlink" Target="https://entrackr.com/snippets/parkobot-raises-rs-209-cr-in-seed-round-led-by-ipv-9504985" TargetMode="External" Id="rId693"/><Relationship Type="http://schemas.openxmlformats.org/officeDocument/2006/relationships/hyperlink" Target="https://entrackr.com/exclusive/exclusive-zetwerk-secures-debt-from-jm-financial-9505667" TargetMode="External" Id="rId694"/><Relationship Type="http://schemas.openxmlformats.org/officeDocument/2006/relationships/hyperlink" Target="https://entrackr.com/snippets/deeptech-startup-bqp-raises-49-mn-in-seed-round-led-by-monta-vista-capital-9510915" TargetMode="External" Id="rId695"/><Relationship Type="http://schemas.openxmlformats.org/officeDocument/2006/relationships/hyperlink" Target="https://inc42.com/buzz/from-qpiai-to-knot-indian-startups-raised-80-mn-this-week/" TargetMode="External" Id="rId696"/><Relationship Type="http://schemas.openxmlformats.org/officeDocument/2006/relationships/hyperlink" Target="https://entrackr.com/snippets/space-tech-startup-omspace-raises-3-mn-in-pre-seed-round-9510349" TargetMode="External" Id="rId697"/><Relationship Type="http://schemas.openxmlformats.org/officeDocument/2006/relationships/hyperlink" Target="https://entrackr.com/snippets/anny-raises-rs-10-cr-in-pre-series-a-round-led-by-atomic-capital-9519017" TargetMode="External" Id="rId698"/><Relationship Type="http://schemas.openxmlformats.org/officeDocument/2006/relationships/hyperlink" Target="https://entrackr.com/snippets/edufund-raises-6-mn-series-a-round-led-by-cercano-management-9518911" TargetMode="External" Id="rId699"/><Relationship Type="http://schemas.openxmlformats.org/officeDocument/2006/relationships/hyperlink" Target="https://entrackr.com/snippets/hudle-raises-25-mn-in-series-a-round-led-by-sky-impact-capital-9518419" TargetMode="External" Id="rId700"/><Relationship Type="http://schemas.openxmlformats.org/officeDocument/2006/relationships/hyperlink" Target="https://entrackr.com/snippets/plenome-technologies-raises-rs-65-cr-in-seed-round-9519354" TargetMode="External" Id="rId701"/><Relationship Type="http://schemas.openxmlformats.org/officeDocument/2006/relationships/hyperlink" Target="https://entrackr.com/snippets/apclub-raises-rs-2-cr-in-pre-seed-round-led-by-curefit-healthcare-9522522" TargetMode="External" Id="rId702"/><Relationship Type="http://schemas.openxmlformats.org/officeDocument/2006/relationships/hyperlink" Target="https://entrackr.com/news/agentic-ai-startup-composio-raises-25-mn-led-by-lightspeed-9525112" TargetMode="External" Id="rId703"/><Relationship Type="http://schemas.openxmlformats.org/officeDocument/2006/relationships/hyperlink" Target="https://entrackr.com/snippets/escape-plan-raises-5-mn-in-new-round-led-by-jungle-ventures-9522469" TargetMode="External" Id="rId704"/><Relationship Type="http://schemas.openxmlformats.org/officeDocument/2006/relationships/hyperlink" Target="https://inc42.com/buzz/from-gupshup-to-eveez-indian-startups-raised-134-mn-this-week/" TargetMode="External" Id="rId705"/><Relationship Type="http://schemas.openxmlformats.org/officeDocument/2006/relationships/hyperlink" Target="https://inc42.com/buzz/from-gupshup-to-eveez-indian-startups-raised-134-mn-this-week/" TargetMode="External" Id="rId706"/><Relationship Type="http://schemas.openxmlformats.org/officeDocument/2006/relationships/hyperlink" Target="https://entrackr.com/snippets/coluxe-closes-friends-and-family-round-to-launch-everyday-fine-jewellery-platform-9526895" TargetMode="External" Id="rId707"/><Relationship Type="http://schemas.openxmlformats.org/officeDocument/2006/relationships/hyperlink" Target="https://entrackr.com/snippets/marketing-platform-grexa-ai-raises-185-mn-in-seed-round-9526001" TargetMode="External" Id="rId708"/><Relationship Type="http://schemas.openxmlformats.org/officeDocument/2006/relationships/hyperlink" Target="https://entrackr.com/news/gupshup-raises-60-mn-from-globespan-and-evolutionx-9526766" TargetMode="External" Id="rId709"/><Relationship Type="http://schemas.openxmlformats.org/officeDocument/2006/relationships/hyperlink" Target="https://entrackr.com/snippets/space-tech-startup-inbound-aerospace-raises-1-mn-in-seed-funding-round-9526624" TargetMode="External" Id="rId710"/><Relationship Type="http://schemas.openxmlformats.org/officeDocument/2006/relationships/hyperlink" Target="https://entrackr.com/snippets/ituring-raises-5-mn-in-series-a-round-led-by-dallas-venture-and-mela-ventures-9527330" TargetMode="External" Id="rId711"/><Relationship Type="http://schemas.openxmlformats.org/officeDocument/2006/relationships/hyperlink" Target="https://entrackr.com/news/kluiszai-raises-96-mn-in-seed-round-led-by-rtp-global-9526543" TargetMode="External" Id="rId712"/><Relationship Type="http://schemas.openxmlformats.org/officeDocument/2006/relationships/hyperlink" Target="https://entrackr.com/exclusive/exclusive-pristyn-care-raises-4-mn-to-scale-in-house-hospitals-preps-for-larger-round-9527708" TargetMode="External" Id="rId713"/><Relationship Type="http://schemas.openxmlformats.org/officeDocument/2006/relationships/hyperlink" Target="https://inc42.com/buzz/from-gupshup-to-eveez-indian-startups-raised-134-mn-this-week/" TargetMode="External" Id="rId714"/><Relationship Type="http://schemas.openxmlformats.org/officeDocument/2006/relationships/hyperlink" Target="https://entrackr.com/snippets/insurtech-startup-bharatsure-raises-rs-6-cr-led-by-ipv-9530132" TargetMode="External" Id="rId715"/><Relationship Type="http://schemas.openxmlformats.org/officeDocument/2006/relationships/hyperlink" Target="https://entrackr.com/snippets/enlite-raises-rs-46-cr-in-series-a-round-led-by-avaana-capital-9529908" TargetMode="External" Id="rId716"/><Relationship Type="http://schemas.openxmlformats.org/officeDocument/2006/relationships/hyperlink" Target="https://entrackr.com/snippets/eveez-raises-54-mn-in-series-a-led-by-michael-susan-dell-foundation-9531676" TargetMode="External" Id="rId717"/><Relationship Type="http://schemas.openxmlformats.org/officeDocument/2006/relationships/hyperlink" Target="https://entrackr.com/snippets/semiconductor-startup-netrasemi-raises-rs-107-cr-led-by-zoho-corp-and-unicorn-india-ventures-9530646" TargetMode="External" Id="rId718"/><Relationship Type="http://schemas.openxmlformats.org/officeDocument/2006/relationships/hyperlink" Target="https://inc42.com/buzz/from-gupshup-to-eveez-indian-startups-raised-134-mn-this-week/" TargetMode="External" Id="rId719"/><Relationship Type="http://schemas.openxmlformats.org/officeDocument/2006/relationships/hyperlink" Target="https://entrackr.com/news/superk-raises-rs-100-cr-led-by-binny-bansal-and-mithun-sacheti-9529906" TargetMode="External" Id="rId720"/><Relationship Type="http://schemas.openxmlformats.org/officeDocument/2006/relationships/hyperlink" Target="https://entrackr.com/snippets/defence-tech-startup-ammunic-systems-raises-11-mn-in-seed-round-9536371" TargetMode="External" Id="rId721"/><Relationship Type="http://schemas.openxmlformats.org/officeDocument/2006/relationships/hyperlink" Target="https://entrackr.com/snippets/mobile-app-testing-platform-drizz-raises-27-mn-led-by-stellaris-9587008" TargetMode="External" Id="rId722"/><Relationship Type="http://schemas.openxmlformats.org/officeDocument/2006/relationships/hyperlink" Target="https://entrackr.com/snippets/genexis-biotech-raises-rs-4-cr-in-seed-round-led-by-gvfl-9585883" TargetMode="External" Id="rId723"/><Relationship Type="http://schemas.openxmlformats.org/officeDocument/2006/relationships/hyperlink" Target="https://entrackr.com/exclusive/exclusive-sachin-bansals-navi-raises-20-mn-debt-9585170" TargetMode="External" Id="rId724"/><Relationship Type="http://schemas.openxmlformats.org/officeDocument/2006/relationships/hyperlink" Target="https://entrackr.com/snippets/saas-startup-optipro-ai-raises-fresh-funding-9601217" TargetMode="External" Id="rId725"/><Relationship Type="http://schemas.openxmlformats.org/officeDocument/2006/relationships/hyperlink" Target="https://entrackr.com/snippets/passprt-trips-raises-500k-in-pre-seed-round-led-by-aroa-venture-partners-9601885" TargetMode="External" Id="rId726"/><Relationship Type="http://schemas.openxmlformats.org/officeDocument/2006/relationships/hyperlink" Target="https://entrackr.com/snippets/sharpsellai-raises-rs-30-cr-in-series-a-led-by-equentis-angel-fund-9601921" TargetMode="External" Id="rId727"/><Relationship Type="http://schemas.openxmlformats.org/officeDocument/2006/relationships/hyperlink" Target="https://entrackr.com/zepto-raises-fresh-funds-from-elcid-investment-5-bn-valuation-9601713" TargetMode="External" Id="rId728"/><Relationship Type="http://schemas.openxmlformats.org/officeDocument/2006/relationships/hyperlink" Target="https://entrackr.com/snippets/ms-dhonis-family-office-invests-in-acko-9606172" TargetMode="External" Id="rId729"/><Relationship Type="http://schemas.openxmlformats.org/officeDocument/2006/relationships/hyperlink" Target="https://entrackr.com/snippets/designx-raises-2-mn-in-pre-series-a-round-led-by-rockstud-capital-9606526" TargetMode="External" Id="rId730"/><Relationship Type="http://schemas.openxmlformats.org/officeDocument/2006/relationships/hyperlink" Target="https://entrackr.com/snippets/flexprice-raises-500k-in-pre-seed-round-led-by-tdv-partners-9605294" TargetMode="External" Id="rId731"/><Relationship Type="http://schemas.openxmlformats.org/officeDocument/2006/relationships/hyperlink" Target="https://entrackr.com/snippets/software-delivery-startup-heizen-raises-seed-round-led-by-titan-capital-9606453" TargetMode="External" Id="rId732"/><Relationship Type="http://schemas.openxmlformats.org/officeDocument/2006/relationships/hyperlink" Target="https://inc42.com/buzz/from-safe-security-to-stan-indian-startups-raised-104-mn-this-week/" TargetMode="External" Id="rId733"/><Relationship Type="http://schemas.openxmlformats.org/officeDocument/2006/relationships/hyperlink" Target="https://entrackr.com/snippets/fashion-startup-littlebox-raises-21-mn-led-by-huddle-and-prath-ventures-9606016" TargetMode="External" Id="rId734"/><Relationship Type="http://schemas.openxmlformats.org/officeDocument/2006/relationships/hyperlink" Target="https://entrackr.com/snippets/vahanai-secures-strategic-investment-from-temaseks-lemmatree-acquires-learn-9605746" TargetMode="External" Id="rId735"/><Relationship Type="http://schemas.openxmlformats.org/officeDocument/2006/relationships/hyperlink" Target="https://entrackr.com/snippets/arivihan-raises-417-mn-in-pre-series-a-round-from-prosus-accel-9609066" TargetMode="External" Id="rId736"/><Relationship Type="http://schemas.openxmlformats.org/officeDocument/2006/relationships/hyperlink" Target="https://entrackr.com/snippets/metaforms-raises-9-mn-from-peak-xv-nexus-and-together-fund-9610798" TargetMode="External" Id="rId737"/><Relationship Type="http://schemas.openxmlformats.org/officeDocument/2006/relationships/hyperlink" Target="https://entrackr.com/news/safe-security-raises-70-mn-in-series-c-led-by-avataar-ventures-9611500" TargetMode="External" Id="rId738"/><Relationship Type="http://schemas.openxmlformats.org/officeDocument/2006/relationships/hyperlink" Target="https://entrackr.com/snippets/toy-marketplace-snooplay-raises-pre-series-a1-round-led-by-pravek-family-office-9609864" TargetMode="External" Id="rId739"/><Relationship Type="http://schemas.openxmlformats.org/officeDocument/2006/relationships/hyperlink" Target="https://entrackr.com/snippets/social-gaming-platform-stan-raises-85-mn-in-series-a-round-9611968" TargetMode="External" Id="rId740"/><Relationship Type="http://schemas.openxmlformats.org/officeDocument/2006/relationships/hyperlink" Target="https://entrackr.com/snippets/bhindiio-raises-4-mn-in-pre-seed-round-led-by-cyber-fund-9614155" TargetMode="External" Id="rId741"/><Relationship Type="http://schemas.openxmlformats.org/officeDocument/2006/relationships/hyperlink" Target="https://entrackr.com/snippets/cyber-resilience-startup-mitigata-raises-59-mn-led-by-nexus-9623583" TargetMode="External" Id="rId742"/><Relationship Type="http://schemas.openxmlformats.org/officeDocument/2006/relationships/hyperlink" Target="https://entrackr.com/snippets/eon-space-labs-bags-12-mn-in-pre-series-a-round-9628241" TargetMode="External" Id="rId743"/><Relationship Type="http://schemas.openxmlformats.org/officeDocument/2006/relationships/hyperlink" Target="https://entrackr.com/news/fibes-lending-arm-raises-rs-225-cr-in-debt-9627953" TargetMode="External" Id="rId744"/><Relationship Type="http://schemas.openxmlformats.org/officeDocument/2006/relationships/hyperlink" Target="https://entrackr.com/snippets/fraganote-raises-1-mn-in-pre-series-a-round-led-by-rukam-capital-9627733" TargetMode="External" Id="rId745"/><Relationship Type="http://schemas.openxmlformats.org/officeDocument/2006/relationships/hyperlink" Target="https://entrackr.com/snippets/gameramp-raises-54-mn-in-pre-seed-round-led-by-bitkraft-ventures-9627957" TargetMode="External" Id="rId746"/><Relationship Type="http://schemas.openxmlformats.org/officeDocument/2006/relationships/hyperlink" Target="https://entrackr.com/snippets/jeh-aerospace-raises-11-mn-led-by-elevation-capital-9627545" TargetMode="External" Id="rId747"/><Relationship Type="http://schemas.openxmlformats.org/officeDocument/2006/relationships/hyperlink" Target="https://entrackr.com/snippets/chanakya-opportunities-fund-backs-polite-powertech-in-pre-ipo-round-9627721" TargetMode="External" Id="rId748"/><Relationship Type="http://schemas.openxmlformats.org/officeDocument/2006/relationships/hyperlink" Target="https://inc42.com/buzz/from-the-sleep-company-to-jeh-aerospace-indian-startups-raised-197-mn-this-week/" TargetMode="External" Id="rId749"/><Relationship Type="http://schemas.openxmlformats.org/officeDocument/2006/relationships/hyperlink" Target="https://entrackr.com/snippets/rifa-ai-raises-11-mn-led-by-seaborne-capital-9627182" TargetMode="External" Id="rId750"/><Relationship Type="http://schemas.openxmlformats.org/officeDocument/2006/relationships/hyperlink" Target="https://entrackr.com/snippets/game-development-studio-shortgun-raises-1-mn-in-seed-round-9627976" TargetMode="External" Id="rId751"/><Relationship Type="http://schemas.openxmlformats.org/officeDocument/2006/relationships/hyperlink" Target="https://entrackr.com/snippets/terafac-raises-rs-65-cr-in-pre-seed-round-led-by-inuka-capital-9628896" TargetMode="External" Id="rId752"/><Relationship Type="http://schemas.openxmlformats.org/officeDocument/2006/relationships/hyperlink" Target="https://entrackr.com/snippets/fashion-startup-tyro-raises-pre-seed-round-led-by-zeropearl-vc-9628769" TargetMode="External" Id="rId753"/><Relationship Type="http://schemas.openxmlformats.org/officeDocument/2006/relationships/hyperlink" Target="https://entrackr.com/snippets/turbohire-raises-6-mn-in-series-a-round-led-by-ivycap-ventures-9627690" TargetMode="External" Id="rId754"/><Relationship Type="http://schemas.openxmlformats.org/officeDocument/2006/relationships/hyperlink" Target="https://entrackr.com/snippets/cautio-raises-3-mn-in-seed-round-led-by-amal-parikh-9631046" TargetMode="External" Id="rId755"/><Relationship Type="http://schemas.openxmlformats.org/officeDocument/2006/relationships/hyperlink" Target="https://entrackr.com/snippets/prosus-accel-and-xeed-lead-pre-seed-round-in-codekarma-9631126" TargetMode="External" Id="rId756"/><Relationship Type="http://schemas.openxmlformats.org/officeDocument/2006/relationships/hyperlink" Target="https://entrackr.com/snippets/dpdzero-raises-7-mn-led-by-gmo-venture-partners-9631116" TargetMode="External" Id="rId757"/><Relationship Type="http://schemas.openxmlformats.org/officeDocument/2006/relationships/hyperlink" Target="https://entrackr.com/snippets/gladful-raises-rs-8-cr-led-by-eternal-capital-9631040" TargetMode="External" Id="rId758"/><Relationship Type="http://schemas.openxmlformats.org/officeDocument/2006/relationships/hyperlink" Target="https://entrackr.com/snippets/clean-tech-startup-hylenr-raises-3-mn-in-pre-series-a-round-9631632" TargetMode="External" Id="rId759"/><Relationship Type="http://schemas.openxmlformats.org/officeDocument/2006/relationships/hyperlink" Target="https://entrackr.com/news/supergaming-raises-15-mn-led-by-skycatcher-and-steadview-9631851" TargetMode="External" Id="rId760"/><Relationship Type="http://schemas.openxmlformats.org/officeDocument/2006/relationships/hyperlink" Target="https://entrackr.com/news/the-sleep-company-raises-rs-480-cr-in-primary-and-secondary-funding-9631069" TargetMode="External" Id="rId761"/><Relationship Type="http://schemas.openxmlformats.org/officeDocument/2006/relationships/hyperlink" Target="https://inc42.com/buzz/from-the-sleep-company-to-jeh-aerospace-indian-startups-raised-197-mn-this-week/" TargetMode="External" Id="rId762"/><Relationship Type="http://schemas.openxmlformats.org/officeDocument/2006/relationships/hyperlink" Target="https://economictimes.indiatimes.com/tech/funding/spacetech-startup-xovian-raises-2-5-million-to-build-radio-frequency-satellites/articleshow/123144931.cms" TargetMode="External" Id="rId763"/><Relationship Type="http://schemas.openxmlformats.org/officeDocument/2006/relationships/hyperlink" Target="https://entrackr.com/snippets/digital-lending-startup-zype-raises-rs-90-cr-led-by-unleash-capital-9631063" TargetMode="External" Id="rId764"/><Relationship Type="http://schemas.openxmlformats.org/officeDocument/2006/relationships/hyperlink" Target="https://entrackr.com/analysis/aukeras-valuation-surges-over-45x-in-series-b-round-9635106" TargetMode="External" Id="rId765"/><Relationship Type="http://schemas.openxmlformats.org/officeDocument/2006/relationships/hyperlink" Target="https://entrackr.com/snippets/mangopoint-raises-1-mn-in-pre-series-a-round-led-by-ipv-9635234" TargetMode="External" Id="rId766"/><Relationship Type="http://schemas.openxmlformats.org/officeDocument/2006/relationships/hyperlink" Target="https://entrackr.com/snippets/placement-focused-startup-nprep-raises-pre-seed-round-led-by-all-in-capital-9635214" TargetMode="External" Id="rId767"/><Relationship Type="http://schemas.openxmlformats.org/officeDocument/2006/relationships/hyperlink" Target="https://entrackr.com/snippets/nuuk-raises-2-mn-from-vertex-ventures-sea-and-good-capital-9635614" TargetMode="External" Id="rId768"/><Relationship Type="http://schemas.openxmlformats.org/officeDocument/2006/relationships/hyperlink" Target="https://entrackr.com/snippets/fashion-brand-outzidr-raises-31-mn-led-by-rtp-global-9634019" TargetMode="External" Id="rId769"/><Relationship Type="http://schemas.openxmlformats.org/officeDocument/2006/relationships/hyperlink" Target="https://entrackr.com/news/ren&#233;e-cosmetics-raises-30-mn-in-series-c-at-200-mn-valuation-9634943" TargetMode="External" Id="rId770"/><Relationship Type="http://schemas.openxmlformats.org/officeDocument/2006/relationships/hyperlink" Target="https://economictimes.indiatimes.com/tech/funding/robotics-deeptech-startup-neuralzome-cybernetic-raises-2-4-million/articleshow/123217768.cms" TargetMode="External" Id="rId771"/><Relationship Type="http://schemas.openxmlformats.org/officeDocument/2006/relationships/hyperlink" Target="https://entrackr.com/snippets/ecommerce-tech-startup-graas-ai-raises-9-mn-9648424" TargetMode="External" Id="rId772"/><Relationship Type="http://schemas.openxmlformats.org/officeDocument/2006/relationships/hyperlink" Target="https://entrackr.com/snippets/nutrition-brand-ace-blend-raises-33-mn-led-by-fireside-ventures-9652792" TargetMode="External" Id="rId773"/><Relationship Type="http://schemas.openxmlformats.org/officeDocument/2006/relationships/hyperlink" Target="https://entrackr.com/snippets/cactus-partners-leads-7-mn-series-a-round-in-brandworks-technologies-9652921" TargetMode="External" Id="rId774"/><Relationship Type="http://schemas.openxmlformats.org/officeDocument/2006/relationships/hyperlink" Target="https://entrackr.com/news/peak-xv-leads-13-mn-series-a-round-in-dashtoon-maker-dashverse-9651035" TargetMode="External" Id="rId775"/><Relationship Type="http://schemas.openxmlformats.org/officeDocument/2006/relationships/hyperlink" Target="https://entrackr.com/snippets/elever-raises-11-mn-in-pre-series-a-round-led-by-brand-capital-9651899" TargetMode="External" Id="rId776"/><Relationship Type="http://schemas.openxmlformats.org/officeDocument/2006/relationships/hyperlink" Target="https://entrackr.com/news/elivaas-raises-rs-87-cr-in-series-b-round-led-by-vertex-ventures-9650847" TargetMode="External" Id="rId777"/><Relationship Type="http://schemas.openxmlformats.org/officeDocument/2006/relationships/hyperlink" Target="https://entrackr.com/snippets/fairdeal-raises-3-mn-led-by-incubate-fund-asia-and-waterbridge-9651122" TargetMode="External" Id="rId778"/><Relationship Type="http://schemas.openxmlformats.org/officeDocument/2006/relationships/hyperlink" Target="https://entrackr.com/snippets/holiday-tribe-raises-rs-25-cr-in-pre-series-a-round-9653385" TargetMode="External" Id="rId779"/><Relationship Type="http://schemas.openxmlformats.org/officeDocument/2006/relationships/hyperlink" Target="https://entrackr.com/snippets/vikas-khemanis-carnelian-invests-15-mn-in-kimirica-9652283" TargetMode="External" Id="rId780"/><Relationship Type="http://schemas.openxmlformats.org/officeDocument/2006/relationships/hyperlink" Target="https://entrackr.com/snippets/spacetech-startup-manastu-space-raises-3-mn-led-by-capital-a-9651060" TargetMode="External" Id="rId781"/><Relationship Type="http://schemas.openxmlformats.org/officeDocument/2006/relationships/hyperlink" Target="https://entrackr.com/news/home-services-startup-pronto-raises-11-mn-led-by-general-catalyst-9650959" TargetMode="External" Id="rId782"/><Relationship Type="http://schemas.openxmlformats.org/officeDocument/2006/relationships/hyperlink" Target="https://economictimes.indiatimes.com/tech/funding/nbfc-seeds-fincap-raises-rs-50-crore-funding-in-round-led-by-z47-lok-capital/articleshow/123255946.cms" TargetMode="External" Id="rId783"/><Relationship Type="http://schemas.openxmlformats.org/officeDocument/2006/relationships/hyperlink" Target="https://entrackr.com/snippets/spike-ai-raises-19-mn-in-pre-seed-round-led-by-sorin-investment-9651700" TargetMode="External" Id="rId784"/><Relationship Type="http://schemas.openxmlformats.org/officeDocument/2006/relationships/hyperlink" Target="https://entrackr.com/snippets/trading-platform-trackk-raises-1-mn-in-seed-round-9652110" TargetMode="External" Id="rId785"/><Relationship Type="http://schemas.openxmlformats.org/officeDocument/2006/relationships/hyperlink" Target="https://entrackr.com/news/electric-bike-startup-ultraviolette-raises-21-mn-led-by-tdk-ventures-9653374" TargetMode="External" Id="rId786"/><Relationship Type="http://schemas.openxmlformats.org/officeDocument/2006/relationships/hyperlink" Target="https://entrackr.com/news/arintra-raises-21-mn-in-series-a-round-led-by-peak-xv-9655031" TargetMode="External" Id="rId787"/><Relationship Type="http://schemas.openxmlformats.org/officeDocument/2006/relationships/hyperlink" Target="https://entrackr.com/snippets/deeptech-startup-comminent-raises-2-mn-from-transition-vc-9654918" TargetMode="External" Id="rId788"/><Relationship Type="http://schemas.openxmlformats.org/officeDocument/2006/relationships/hyperlink" Target="https://entrackr.com/snippets/cureous-labs-raises-rs-166-cr-in-seed-round-9655177" TargetMode="External" Id="rId789"/><Relationship Type="http://schemas.openxmlformats.org/officeDocument/2006/relationships/hyperlink" Target="https://entrackr.com/snippets/oleespace-raises-3-mn-in-seed-round-led-by-rockstud-capital-9655137" TargetMode="External" Id="rId790"/><Relationship Type="http://schemas.openxmlformats.org/officeDocument/2006/relationships/hyperlink" Target="https://entrackr.com/snippets/refold-ai-raises-65-mn-in-seed-round-9657427" TargetMode="External" Id="rId791"/><Relationship Type="http://schemas.openxmlformats.org/officeDocument/2006/relationships/hyperlink" Target="https://entrackr.com/news/darwinbox-raises-40-mn-funding-from-canadas-otpp-9661041" TargetMode="External" Id="rId792"/><Relationship Type="http://schemas.openxmlformats.org/officeDocument/2006/relationships/hyperlink" Target="https://inc42.com/buzz/from-truemeds-to-ultraviolette-indian-startups-raised-272-mn-this-week/" TargetMode="External" Id="rId793"/><Relationship Type="http://schemas.openxmlformats.org/officeDocument/2006/relationships/hyperlink" Target="https://entrackr.com/snippets/shivalik-small-finance-bank-raises-rs-100-cr-from-smbc-accel-lightspeed-others-9658708" TargetMode="External" Id="rId794"/><Relationship Type="http://schemas.openxmlformats.org/officeDocument/2006/relationships/hyperlink" Target="https://entrackr.com/snippets/shreetech-raises-45-mn-from-aarii-ventures-and-cello-family-office-9659234" TargetMode="External" Id="rId795"/><Relationship Type="http://schemas.openxmlformats.org/officeDocument/2006/relationships/hyperlink" Target="https://entrackr.com/snippets/the-wealth-company-invests-rs-460-cr-in-ahmedabad-based-amnex-9672151" TargetMode="External" Id="rId796"/><Relationship Type="http://schemas.openxmlformats.org/officeDocument/2006/relationships/hyperlink" Target="https://entrackr.com/snippets/artha-select-fund-closes-at-rs-432-cr-aum-crosses-rs-1200-cr-9671131" TargetMode="External" Id="rId797"/><Relationship Type="http://schemas.openxmlformats.org/officeDocument/2006/relationships/hyperlink" Target="https://entrackr.com/snippets/dobra-raises-rs-15-cr-in-seed-round-from-d2c-insider-super-angels-fund-9672950" TargetMode="External" Id="rId798"/><Relationship Type="http://schemas.openxmlformats.org/officeDocument/2006/relationships/hyperlink" Target="https://inc42.com/buzz/from-r-for-rabbit-to-house-of-biryan-indian-startups-raised-62-mn-this-week/" TargetMode="External" Id="rId799"/><Relationship Type="http://schemas.openxmlformats.org/officeDocument/2006/relationships/hyperlink" Target="https://entrackr.com/snippets/nikhil-kamath-invests-rs-1375-cr-in-goldi-solar-9673936" TargetMode="External" Id="rId800"/><Relationship Type="http://schemas.openxmlformats.org/officeDocument/2006/relationships/hyperlink" Target="https://entrackr.com/exclusive/exclusive-stanza-living-secures-debt-from-alteria-and-innoven-capital-9672824" TargetMode="External" Id="rId801"/><Relationship Type="http://schemas.openxmlformats.org/officeDocument/2006/relationships/hyperlink" Target="https://entrackr.com/snippets/beyond-appliances-raises-4-mn-in-series-a-round-led-by-fireside-ventures-9674988" TargetMode="External" Id="rId802"/><Relationship Type="http://schemas.openxmlformats.org/officeDocument/2006/relationships/hyperlink" Target="https://inc42.com/buzz/from-r-for-rabbit-to-house-of-biryan-indian-startups-raised-62-mn-this-week/" TargetMode="External" Id="rId803"/><Relationship Type="http://schemas.openxmlformats.org/officeDocument/2006/relationships/hyperlink" Target="https://entrackr.com/snippets/house-of-biryan-raises-rs-32-cr-from-ms-dhoni-bestvantage-and-others-9675275" TargetMode="External" Id="rId804"/><Relationship Type="http://schemas.openxmlformats.org/officeDocument/2006/relationships/hyperlink" Target="https://entrackr.com/news/r-for-rabbit-raises-27-mn-led-by-filter-capital-and-3one4-capital-9676064" TargetMode="External" Id="rId805"/><Relationship Type="http://schemas.openxmlformats.org/officeDocument/2006/relationships/hyperlink" Target="https://entrackr.com/snippets/lightspeed-and-premji-invest-lead-170-mn-round-in-weaver-services-9675044" TargetMode="External" Id="rId806"/><Relationship Type="http://schemas.openxmlformats.org/officeDocument/2006/relationships/hyperlink" Target="https://inc42.com/buzz/from-r-for-rabbit-to-house-of-biryan-indian-startups-raised-62-mn-this-week/" TargetMode="External" Id="rId807"/><Relationship Type="http://schemas.openxmlformats.org/officeDocument/2006/relationships/hyperlink" Target="https://inc42.com/buzz/from-r-for-rabbit-to-house-of-biryan-indian-startups-raised-62-mn-this-week/" TargetMode="External" Id="rId808"/><Relationship Type="http://schemas.openxmlformats.org/officeDocument/2006/relationships/hyperlink" Target="https://entrackr.com/snippets/mithila-foods-raises-rs-15-cr-in-seed-round-from-aviral-bhatnagars-ajvc-9679031" TargetMode="External" Id="rId809"/><Relationship Type="http://schemas.openxmlformats.org/officeDocument/2006/relationships/hyperlink" Target="https://entrackr.com/snippets/bio-tech-startup-peelon-raises-1-mn-in-seed-round-led-by-growx-ventures-9678818" TargetMode="External" Id="rId810"/><Relationship Type="http://schemas.openxmlformats.org/officeDocument/2006/relationships/hyperlink" Target="https://entrackr.com/snippets/edge-ai-startup-edgehax-raises-rs-139-cr-in-seed-round-led-by-ipv-9683044" TargetMode="External" Id="rId811"/><Relationship Type="http://schemas.openxmlformats.org/officeDocument/2006/relationships/hyperlink" Target="https://entrackr.com/snippets/fmcg-startup-mitra-raises-rs-14-cr-in-bridge-round-led-by-bestvantage-9682768" TargetMode="External" Id="rId812"/><Relationship Type="http://schemas.openxmlformats.org/officeDocument/2006/relationships/hyperlink" Target="https://entrackr.com/news/altum-credo-raises-over-19-mn-from-british-international-investment-9730805" TargetMode="External" Id="rId813"/><Relationship Type="http://schemas.openxmlformats.org/officeDocument/2006/relationships/hyperlink" Target="https://entrackr.com/snippets/credright-raises-10-mn-in-series-b-led-by-abler-nordic-9731330" TargetMode="External" Id="rId814"/><Relationship Type="http://schemas.openxmlformats.org/officeDocument/2006/relationships/hyperlink" Target="https://entrackr.com/snippets/sorin-investments-leads-6-mn-series-a-round-in-enmovil-9731102" TargetMode="External" Id="rId815"/><Relationship Type="http://schemas.openxmlformats.org/officeDocument/2006/relationships/hyperlink" Target="https://entrackr.com/snippets/harajuku-tokyo-caf&#233;-raises-2-mn-in-seed-round-9734204" TargetMode="External" Id="rId816"/><Relationship Type="http://schemas.openxmlformats.org/officeDocument/2006/relationships/hyperlink" Target="https://inc42.com/buzz/from-transbnk-to-wizcommerce-indian-startups-raised-98-mn-this-week/" TargetMode="External" Id="rId817"/><Relationship Type="http://schemas.openxmlformats.org/officeDocument/2006/relationships/hyperlink" Target="https://entrackr.com/snippets/palmonas-raises-rs-55-cr-in-series-a-round-led-by-vertex-ventures-9743288" TargetMode="External" Id="rId818"/><Relationship Type="http://schemas.openxmlformats.org/officeDocument/2006/relationships/hyperlink" Target="https://inc42.com/buzz/from-transbnk-to-wizcommerce-indian-startups-raised-98-mn-this-week/" TargetMode="External" Id="rId819"/><Relationship Type="http://schemas.openxmlformats.org/officeDocument/2006/relationships/hyperlink" Target="https://entrackr.com/snippets/clean-tech-startup-wastelink-raises-3-mn-led-by-avaana-capital-9734075" TargetMode="External" Id="rId820"/><Relationship Type="http://schemas.openxmlformats.org/officeDocument/2006/relationships/hyperlink" Target="https://entrackr.com/snippets/wizcommerce-raises-8-mn-in-series-a-round-led-by-peak-xv-9734199" TargetMode="External" Id="rId821"/><Relationship Type="http://schemas.openxmlformats.org/officeDocument/2006/relationships/hyperlink" Target="https://entrackr.com/snippets/matiks-raises-31-mn-in-pre-series-a-round-led-by-tanglin-ventures-9757041" TargetMode="External" Id="rId822"/><Relationship Type="http://schemas.openxmlformats.org/officeDocument/2006/relationships/hyperlink" Target="https://entrackr.com/snippets/babycare-quick-commerce-platform-peeko-raises-32-mn-led-by-stellaris-9754576" TargetMode="External" Id="rId823"/><Relationship Type="http://schemas.openxmlformats.org/officeDocument/2006/relationships/hyperlink" Target="https://economictimes.indiatimes.com/tech/funding/d2c-grocery-startup-anmasa-raises-1-1-million-in-pre-seed-funding/articleshow/123528002.cms" TargetMode="External" Id="rId824"/><Relationship Type="http://schemas.openxmlformats.org/officeDocument/2006/relationships/hyperlink" Target="https://inc42.com/buzz/from-transbnk-to-wizcommerce-indian-startups-raised-98-mn-this-week/" TargetMode="External" Id="rId825"/><Relationship Type="http://schemas.openxmlformats.org/officeDocument/2006/relationships/hyperlink" Target="https://entrackr.com/snippets/kitchenware-brand-cumin-co-raises-15-mn-led-by-fireside-ventures-9758193" TargetMode="External" Id="rId826"/><Relationship Type="http://schemas.openxmlformats.org/officeDocument/2006/relationships/hyperlink" Target="https://entrackr.com/snippets/jewellery-brand-nuyug-raises-pre-seed-round-led-by-ajvc-9758459" TargetMode="External" Id="rId827"/><Relationship Type="http://schemas.openxmlformats.org/officeDocument/2006/relationships/hyperlink" Target="https://entrackr.com/snippets/save-microfinance-raises-3-mn-via-iixs-wlb7-9761815" TargetMode="External" Id="rId828"/><Relationship Type="http://schemas.openxmlformats.org/officeDocument/2006/relationships/hyperlink" Target="https://entrackr.com/news/transbnk-raises-25-mn-in-series-b-led-by-bessemer-9761128" TargetMode="External" Id="rId829"/><Relationship Type="http://schemas.openxmlformats.org/officeDocument/2006/relationships/hyperlink" Target="https://entrackr.com/snippets/used-two-wheeler-marketplace-vutto-raises-7-mn-in-series-a-round-9765499" TargetMode="External" Id="rId830"/><Relationship Type="http://schemas.openxmlformats.org/officeDocument/2006/relationships/hyperlink" Target="https://entrackr.com/news/blue-tokai-raises-25-mn-in-a-bridge-funding-round-from-existing-investors-9776061" TargetMode="External" Id="rId831"/><Relationship Type="http://schemas.openxmlformats.org/officeDocument/2006/relationships/hyperlink" Target="https://economictimes.indiatimes.com/tech/funding/community-ecommerce-startup-citymall-raises-47-million-at-flat-value/articleshow/123636551.cms" TargetMode="External" Id="rId832"/><Relationship Type="http://schemas.openxmlformats.org/officeDocument/2006/relationships/hyperlink" Target="https://entrackr.com/snippets/consumer-electronics-brand-cuzor-raises-rs-5-cr-in-seed-round-9774557" TargetMode="External" Id="rId833"/><Relationship Type="http://schemas.openxmlformats.org/officeDocument/2006/relationships/hyperlink" Target="https://entrackr.com/snippets/hero-electronixs-semiconductor-firm-tessolve-raises-150-mn-from-tpg-9773853" TargetMode="External" Id="rId834"/><Relationship Type="http://schemas.openxmlformats.org/officeDocument/2006/relationships/hyperlink" Target="https://entrackr.com/snippets/intercity-ev-bus-startup-leafybus-raises-41-mn-from-enetra-ev-9777526" TargetMode="External" Id="rId835"/><Relationship Type="http://schemas.openxmlformats.org/officeDocument/2006/relationships/hyperlink" Target="https://entrackr.com/snippets/offgrid-energy-labs-raises-15-mn-led-by-archean-chemical-industries-9776981" TargetMode="External" Id="rId836"/><Relationship Type="http://schemas.openxmlformats.org/officeDocument/2006/relationships/hyperlink" Target="https://entrackr.com/snippets/tuco-kids-raises-4-mn-led-by-rtp-global-9776941" TargetMode="External" Id="rId837"/><Relationship Type="http://schemas.openxmlformats.org/officeDocument/2006/relationships/hyperlink" Target="https://entrackr.com/snippets/zanskar-raises-rs-28-cr-seed-round-led-by-zeropearl-vc-9779156" TargetMode="External" Id="rId838"/><Relationship Type="http://schemas.openxmlformats.org/officeDocument/2006/relationships/hyperlink" Target="https://entrackr.com/snippets/online-pharmacy-platinumrx-raises-6-mn-led-by-stellaris-9780418" TargetMode="External" Id="rId839"/><Relationship Type="http://schemas.openxmlformats.org/officeDocument/2006/relationships/hyperlink" Target="https://entrackr.com/decoding/decoding-pb-healthcares-218-mn-seed-round-shareholding-pattern-and-valuation-9782051" TargetMode="External" Id="rId840"/><Relationship Type="http://schemas.openxmlformats.org/officeDocument/2006/relationships/hyperlink" Target="https://economictimes.indiatimes.com/tech/funding/online-pharmacy-platinumrx-raises-6-million-in-round-led-by-stellaris-venture-partners/articleshow/123663937.cms" TargetMode="External" Id="rId841"/><Relationship Type="http://schemas.openxmlformats.org/officeDocument/2006/relationships/hyperlink" Target="https://inc42.com/buzz/from-citymall-to-firstclub-indian-startups-raised-186-mn-this-week/" TargetMode="External" Id="rId842"/><Relationship Type="http://schemas.openxmlformats.org/officeDocument/2006/relationships/hyperlink" Target="https://entrackr.com/exclusive/exclusive-stockgro-secures-rs-50-cr-debt-from-trifecta-9780883" TargetMode="External" Id="rId843"/><Relationship Type="http://schemas.openxmlformats.org/officeDocument/2006/relationships/hyperlink" Target="https://entrackr.com/snippets/non-drinking-water-filtration-brand-waterscience-secures-funding-from-velocity-9780424" TargetMode="External" Id="rId844"/><Relationship Type="http://schemas.openxmlformats.org/officeDocument/2006/relationships/hyperlink" Target="https://entrackr.com/snippets/autodukan-raises-1-mn-in-pre-series-a-round-9893438" TargetMode="External" Id="rId845"/><Relationship Type="http://schemas.openxmlformats.org/officeDocument/2006/relationships/hyperlink" Target="https://entrackr.com/snippets/colive-raises-20-mn-led-by-bain-capital-9894671" TargetMode="External" Id="rId846"/><Relationship Type="http://schemas.openxmlformats.org/officeDocument/2006/relationships/hyperlink" Target="https://entrackr.com/news/firstclub-raises-23-mn-in-series-a-round-at-120-mn-valuation-9885513" TargetMode="External" Id="rId847"/><Relationship Type="http://schemas.openxmlformats.org/officeDocument/2006/relationships/hyperlink" Target="https://entrackr.com/snippets/flexifyme-raises-20-cr-in-pre-series-a-round-led-by-ivycap-ventures-9888299" TargetMode="External" Id="rId848"/><Relationship Type="http://schemas.openxmlformats.org/officeDocument/2006/relationships/hyperlink" Target="https://entrackr.com/snippets/house-of-zelena-raises-rs-7-cr-in-seed-round-9888630" TargetMode="External" Id="rId849"/><Relationship Type="http://schemas.openxmlformats.org/officeDocument/2006/relationships/hyperlink" Target="https://entrackr.com/snippets/solar-startup-quante-energy-raises-500k-in-seed-round-9885620" TargetMode="External" Id="rId850"/><Relationship Type="http://schemas.openxmlformats.org/officeDocument/2006/relationships/hyperlink" Target="https://economictimes.indiatimes.com/tech/funding/ai-led-healthcare-startup-reveal-healthtech-raises-7-2-million-in-round-led-by-leo-capital/articleshow/123682385.cms" TargetMode="External" Id="rId851"/><Relationship Type="http://schemas.openxmlformats.org/officeDocument/2006/relationships/hyperlink" Target="https://entrackr.com/snippets/mens-health-startup-rxmen-raises-rs-5-cr-in-seed-round-led-by-ipv-9888031" TargetMode="External" Id="rId852"/><Relationship Type="http://schemas.openxmlformats.org/officeDocument/2006/relationships/hyperlink" Target="https://entrackr.com/snippets/health-tech-startup-dectrocel-raises-4-cr-led-by-ian-group-backed-boiangels-9999600" TargetMode="External" Id="rId853"/><Relationship Type="http://schemas.openxmlformats.org/officeDocument/2006/relationships/hyperlink" Target="https://entrackr.com/exclusive/exclusive-d2c-brand-ecosoul-secures-rs-45-cr-debt-from-bajaj-9999795" TargetMode="External" Id="rId854"/><Relationship Type="http://schemas.openxmlformats.org/officeDocument/2006/relationships/hyperlink" Target="https://entrackr.com/news/flipspaces-raises-50-mn-in-expanded-series-c-round-10060919" TargetMode="External" Id="rId855"/><Relationship Type="http://schemas.openxmlformats.org/officeDocument/2006/relationships/hyperlink" Target="https://inc42.com/buzz/from-flipspaces-to-indrajaal-indian-startups-raised-48-mn-this-week/" TargetMode="External" Id="rId856"/><Relationship Type="http://schemas.openxmlformats.org/officeDocument/2006/relationships/hyperlink" Target="https://inc42.com/buzz/from-flipspaces-to-indrajaal-indian-startups-raised-48-mn-this-week/" TargetMode="External" Id="rId857"/><Relationship Type="http://schemas.openxmlformats.org/officeDocument/2006/relationships/hyperlink" Target="https://entrackr.com/snippets/trufrost-butler-raises-7-mn-from-carpediem-capital-10059879" TargetMode="External" Id="rId858"/><Relationship Type="http://schemas.openxmlformats.org/officeDocument/2006/relationships/hyperlink" Target="https://entrackr.com/exclusive/exclusive-ziffi-chess-raises-over-5-mn-led-by-tanglin-ventures-10059353" TargetMode="External" Id="rId859"/><Relationship Type="http://schemas.openxmlformats.org/officeDocument/2006/relationships/hyperlink" Target="https://entrackr.com/snippets/aurva-raises-22-mn-in-seed-round-led-by-nexus-vp-10066219" TargetMode="External" Id="rId860"/><Relationship Type="http://schemas.openxmlformats.org/officeDocument/2006/relationships/hyperlink" Target="https://entrackr.com/snippets/indigrid-raises-4-mn-led-by-cactus-venture-partners-10063654" TargetMode="External" Id="rId861"/><Relationship Type="http://schemas.openxmlformats.org/officeDocument/2006/relationships/hyperlink" Target="https://entrackr.com/snippets/b2b-procurement-startup-prowrrap-raises-rs-4-cr-in-seed-round-10064332" TargetMode="External" Id="rId862"/><Relationship Type="http://schemas.openxmlformats.org/officeDocument/2006/relationships/hyperlink" Target="https://entrackr.com/snippets/traqcheck-raises-bridge-round-at-17-mn-valuation-10065607" TargetMode="External" Id="rId863"/><Relationship Type="http://schemas.openxmlformats.org/officeDocument/2006/relationships/hyperlink" Target="https://entrackr.com/snippets/asaya-raises-3-mn-in-pre-series-a-round-led-by-rpsg-capital-10068246" TargetMode="External" Id="rId864"/><Relationship Type="http://schemas.openxmlformats.org/officeDocument/2006/relationships/hyperlink" Target="https://entrackr.com/snippets/endureair-raises-285-mn-led-by-ian-alpha-fund-10068245" TargetMode="External" Id="rId865"/><Relationship Type="http://schemas.openxmlformats.org/officeDocument/2006/relationships/hyperlink" Target="https://entrackr.com/snippets/presolv360-raises-47-mn-led-by-elevation-capital-10067726" TargetMode="External" Id="rId866"/><Relationship Type="http://schemas.openxmlformats.org/officeDocument/2006/relationships/hyperlink" Target="https://entrackr.com/snippets/tern-group-raises-24-mn-in-series-a-round-led-by-notion-capital-10067976" TargetMode="External" Id="rId867"/><Relationship Type="http://schemas.openxmlformats.org/officeDocument/2006/relationships/hyperlink" Target="https://economictimes.indiatimes.com/tech/funding/cookware-brand-ember-raises-3-2-million/articleshow/123811110.cms" TargetMode="External" Id="rId868"/><Relationship Type="http://schemas.openxmlformats.org/officeDocument/2006/relationships/hyperlink" Target="https://entrackr.com/snippets/bacalt-biosciences-raises-2-mn-in-pre-seed-round-led-by-avaana-capital-10229378" TargetMode="External" Id="rId869"/><Relationship Type="http://schemas.openxmlformats.org/officeDocument/2006/relationships/hyperlink" Target="https://entrackr.com/snippets/biokraft-raises-rs-2-cr-in-pre-seed-round-from-gvfl-10243848" TargetMode="External" Id="rId870"/><Relationship Type="http://schemas.openxmlformats.org/officeDocument/2006/relationships/hyperlink" Target="https://entrackr.com/snippets/crion-technologies-raises-rs-35-cr-led-by-sig-tattva-10253147" TargetMode="External" Id="rId871"/><Relationship Type="http://schemas.openxmlformats.org/officeDocument/2006/relationships/hyperlink" Target="https://entrackr.com/news/eruditus-secures-150-mn-refinancing-amid-dry-edtech-funding-environment-10440866" TargetMode="External" Id="rId872"/><Relationship Type="http://schemas.openxmlformats.org/officeDocument/2006/relationships/hyperlink" Target="https://inc42.com/buzz/from-flipspaces-to-indrajaal-indian-startups-raised-48-mn-this-week/" TargetMode="External" Id="rId873"/><Relationship Type="http://schemas.openxmlformats.org/officeDocument/2006/relationships/hyperlink" Target="https://inc42.com/buzz/from-flipspaces-to-indrajaal-indian-startups-raised-48-mn-this-week/" TargetMode="External" Id="rId874"/><Relationship Type="http://schemas.openxmlformats.org/officeDocument/2006/relationships/hyperlink" Target="https://entrackr.com/snippets/snap-e-cabs-raises-25-mn-in-bridge-round-led-by-ipv-10387917" TargetMode="External" Id="rId875"/><Relationship Type="http://schemas.openxmlformats.org/officeDocument/2006/relationships/hyperlink" Target="https://inc42.com/buzz/from-infra-market-to-blue-energy-motors-indian-startups-raised-317-mn-this-week/" TargetMode="External" Id="rId876"/><Relationship Type="http://schemas.openxmlformats.org/officeDocument/2006/relationships/hyperlink" Target="https://entrackr.com/snippets/prop-tech-startup-wehouse-raises-rs-25-cr-from-anthill-ventures-and-others-10441100" TargetMode="External" Id="rId877"/><Relationship Type="http://schemas.openxmlformats.org/officeDocument/2006/relationships/hyperlink" Target="https://entrackr.com/snippets/d2c-pickle-brand-farmdidi-raises-rs-7-cr-led-by-samved-ventures-10445947" TargetMode="External" Id="rId878"/><Relationship Type="http://schemas.openxmlformats.org/officeDocument/2006/relationships/hyperlink" Target="https://entrackr.com/exclusive/exclusive-zunroof-secures-fresh-funds-from-godrej-10452934" TargetMode="External" Id="rId879"/><Relationship Type="http://schemas.openxmlformats.org/officeDocument/2006/relationships/hyperlink" Target="https://entrackr.com/snippets/astrotech-startup-mynaksh-raises-rs-75-cr-led-by-eximius-ventures-10465510" TargetMode="External" Id="rId880"/><Relationship Type="http://schemas.openxmlformats.org/officeDocument/2006/relationships/hyperlink" Target="https://inc42.com/buzz/from-infra-market-to-blue-energy-motors-indian-startups-raised-317-mn-this-week/" TargetMode="External" Id="rId881"/><Relationship Type="http://schemas.openxmlformats.org/officeDocument/2006/relationships/hyperlink" Target="https://entrackr.com/snippets/amaani-raises-3-mn-from-peak-xvs-surge-10469000" TargetMode="External" Id="rId882"/><Relationship Type="http://schemas.openxmlformats.org/officeDocument/2006/relationships/hyperlink" Target="https://entrackr.com/snippets/beyondsquare-raises-4-mn-in-series-a-led-by-avant-global-10468922" TargetMode="External" Id="rId883"/><Relationship Type="http://schemas.openxmlformats.org/officeDocument/2006/relationships/hyperlink" Target="https://entrackr.com/snippets/genovation-solutions-raises-150k-in-pre-seed-round-10469902" TargetMode="External" Id="rId884"/><Relationship Type="http://schemas.openxmlformats.org/officeDocument/2006/relationships/hyperlink" Target="https://inc42.com/buzz/from-infra-market-to-blue-energy-motors-indian-startups-raised-317-mn-this-week/" TargetMode="External" Id="rId885"/><Relationship Type="http://schemas.openxmlformats.org/officeDocument/2006/relationships/hyperlink" Target="https://entrackr.com/exclusive/exclusive-incred-money-secures-rs-250-cr-from-marquee-investors-at-rs-1650-cr-valuation-10468795" TargetMode="External" Id="rId886"/><Relationship Type="http://schemas.openxmlformats.org/officeDocument/2006/relationships/hyperlink" Target="https://inc42.com/buzz/from-infra-market-to-blue-energy-motors-indian-startups-raised-317-mn-this-week/" TargetMode="External" Id="rId887"/><Relationship Type="http://schemas.openxmlformats.org/officeDocument/2006/relationships/hyperlink" Target="https://entrackr.com/snippets/fintech-startup-pelocal-secures-5-mn-in-series-a-funding-10469141" TargetMode="External" Id="rId888"/><Relationship Type="http://schemas.openxmlformats.org/officeDocument/2006/relationships/hyperlink" Target="https://entrackr.com/news/pharmeasy-raises-fresh-debt-to-clear-goldman-sachs-loan-after-90-valuation-cut-10469652" TargetMode="External" Id="rId889"/><Relationship Type="http://schemas.openxmlformats.org/officeDocument/2006/relationships/hyperlink" Target="https://inc42.com/buzz/from-infra-market-to-blue-energy-motors-indian-startups-raised-317-mn-this-week/" TargetMode="External" Id="rId890"/><Relationship Type="http://schemas.openxmlformats.org/officeDocument/2006/relationships/hyperlink" Target="https://entrackr.com/snippets/saas-startup-scalekit-raises-55-mn-in-seed-round-led-by-together-fund-and-z47-10470901" TargetMode="External" Id="rId891"/><Relationship Type="http://schemas.openxmlformats.org/officeDocument/2006/relationships/hyperlink" Target="https://entrackr.com/snippets/uknowva-raises-05-mn-in-pre-series-a-round-10469229" TargetMode="External" Id="rId892"/><Relationship Type="http://schemas.openxmlformats.org/officeDocument/2006/relationships/hyperlink" Target="https://economictimes.indiatimes.com/tech/funding/sustainability-focused-homeware-brand-ecosoul-raises-20-million-from-accel-bajaj-fin-securities-others/articleshow/123919050.cms" TargetMode="External" Id="rId893"/><Relationship Type="http://schemas.openxmlformats.org/officeDocument/2006/relationships/hyperlink" Target="https://inc42.com/buzz/from-infra-market-to-blue-energy-motors-indian-startups-raised-317-mn-this-week/" TargetMode="External" Id="rId894"/><Relationship Type="http://schemas.openxmlformats.org/officeDocument/2006/relationships/hyperlink" Target="https://entrackr.com/news/finbox-raises-40-mn-in-series-b-round-led-by-westbridge-10471935" TargetMode="External" Id="rId895"/><Relationship Type="http://schemas.openxmlformats.org/officeDocument/2006/relationships/hyperlink" Target="https://entrackr.com/snippets/lab-grown-diamond-jewellery-startup-lucira-raises-55-mn-10472259" TargetMode="External" Id="rId896"/><Relationship Type="http://schemas.openxmlformats.org/officeDocument/2006/relationships/hyperlink" Target="https://entrackr.com/exclusive/exclusive-rebel-foods-raises-rs-150-cr-debt-from-alteria-and-innoven-10473113" TargetMode="External" Id="rId897"/><Relationship Type="http://schemas.openxmlformats.org/officeDocument/2006/relationships/hyperlink" Target="https://entrackr.com/snippets/supply6-raises-11-mn-in-seed-round-led-by-zeropearl-vc-10473465" TargetMode="External" Id="rId898"/><Relationship Type="http://schemas.openxmlformats.org/officeDocument/2006/relationships/hyperlink" Target="https://economictimes.indiatimes.com/tech/funding/infra-market-raises-rs-732-crore-from-promoters-existing-investors/articleshow/123965170.cms" TargetMode="External" Id="rId899"/><Relationship Type="http://schemas.openxmlformats.org/officeDocument/2006/relationships/hyperlink" Target="https://inc42.com/buzz/from-infra-market-to-blue-energy-motors-indian-startups-raised-317-mn-this-week/" TargetMode="External" Id="rId900"/><Relationship Type="http://schemas.openxmlformats.org/officeDocument/2006/relationships/hyperlink" Target="https://inc42.com/buzz/from-infra-market-to-blue-energy-motors-indian-startups-raised-317-mn-this-week/" TargetMode="External" Id="rId901"/><Relationship Type="http://schemas.openxmlformats.org/officeDocument/2006/relationships/hyperlink" Target="https://inc42.com/buzz/from-infra-market-to-blue-energy-motors-indian-startups-raised-317-mn-this-week/" TargetMode="External" Id="rId902"/><Relationship Type="http://schemas.openxmlformats.org/officeDocument/2006/relationships/hyperlink" Target="https://inc42.com/buzz/from-infra-market-to-blue-energy-motors-indian-startups-raised-317-mn-this-week/" TargetMode="External" Id="rId903"/><Relationship Type="http://schemas.openxmlformats.org/officeDocument/2006/relationships/hyperlink" Target="https://entrackr.com/snippets/equilibrium-raises-3-mn-from-kalaari-avaana-and-peak-xv-10478460" TargetMode="External" Id="rId904"/><Relationship Type="http://schemas.openxmlformats.org/officeDocument/2006/relationships/hyperlink" Target="https://inc42.com/buzz/from-infra-market-to-blue-energy-motors-indian-startups-raised-317-mn-this-week/" TargetMode="External" Id="rId905"/><Relationship Type="http://schemas.openxmlformats.org/officeDocument/2006/relationships/hyperlink" Target="https://inc42.com/buzz/from-infra-market-to-blue-energy-motors-indian-startups-raised-317-mn-this-week/" TargetMode="External" Id="rId906"/><Relationship Type="http://schemas.openxmlformats.org/officeDocument/2006/relationships/hyperlink" Target="https://entrackr.com/snippets/hr-tech-startup-all-things-people-raises-seed-funding-round-10486638" TargetMode="External" Id="rId907"/><Relationship Type="http://schemas.openxmlformats.org/officeDocument/2006/relationships/hyperlink" Target="https://entrackr.com/snippets/carbon-masters-raises-funds-led-by-schneider-electric-10486946" TargetMode="External" Id="rId908"/><Relationship Type="http://schemas.openxmlformats.org/officeDocument/2006/relationships/hyperlink" Target="https://entrackr.com/news/cleantech-startup-chakr-innovation-raises-23-mn-led-by-iron-pillar-10490485" TargetMode="External" Id="rId909"/><Relationship Type="http://schemas.openxmlformats.org/officeDocument/2006/relationships/hyperlink" Target="https://entrackr.com/snippets/onfinance-ai-raises-42-mn-led-by-peak-xvs-surge-10487159" TargetMode="External" Id="rId910"/><Relationship Type="http://schemas.openxmlformats.org/officeDocument/2006/relationships/hyperlink" Target="https://entrackr.com/snippets/deep-tech-startup-vyomic-bags-16-mn-led-by-speciale-invest-10487621" TargetMode="External" Id="rId911"/><Relationship Type="http://schemas.openxmlformats.org/officeDocument/2006/relationships/hyperlink" Target="https://economictimes.indiatimes.com/tech/funding/amwoodo-raises-4-million-from-rainmatter-others/articleshow/124074771.cms" TargetMode="External" Id="rId912"/><Relationship Type="http://schemas.openxmlformats.org/officeDocument/2006/relationships/hyperlink" Target="https://entrackr.com/snippets/distil-raises-77-mn-in-series-a-led-by-jungle-and-ce-ventures-10492413" TargetMode="External" Id="rId913"/><Relationship Type="http://schemas.openxmlformats.org/officeDocument/2006/relationships/hyperlink" Target="https://inc42.com/buzz/from-pharmeasy-to-curefoods-indian-startups-raised-377-mn-this-week/" TargetMode="External" Id="rId914"/><Relationship Type="http://schemas.openxmlformats.org/officeDocument/2006/relationships/hyperlink" Target="https://entrackr.com/snippets/electronics-re-commerce-startup-grest-raises-rs-16-cr-led-by-equentis-10494148" TargetMode="External" Id="rId915"/><Relationship Type="http://schemas.openxmlformats.org/officeDocument/2006/relationships/hyperlink" Target="https://entrackr.com/snippets/navo-raises-rs-8-cr-in-seed-round-led-by-indiaquotient-10494174" TargetMode="External" Id="rId916"/><Relationship Type="http://schemas.openxmlformats.org/officeDocument/2006/relationships/hyperlink" Target="https://entrackr.com/snippets/paar-autonomy-raises-rs-35-cr-led-by-venture-catalysts-10492645" TargetMode="External" Id="rId917"/><Relationship Type="http://schemas.openxmlformats.org/officeDocument/2006/relationships/hyperlink" Target="https://inc42.com/buzz/from-pharmeasy-to-curefoods-indian-startups-raised-377-mn-this-week/" TargetMode="External" Id="rId918"/><Relationship Type="http://schemas.openxmlformats.org/officeDocument/2006/relationships/hyperlink" Target="https://entrackr.com/snippets/rocket-raises-15-mn-in-seed-round-led-by-salesforce-ventures-10492642" TargetMode="External" Id="rId919"/><Relationship Type="http://schemas.openxmlformats.org/officeDocument/2006/relationships/hyperlink" Target="https://entrackr.com/snippets/zealthix-raises-11-mn-in-seed-round-led-by-unicorn-india-ventures-10492908" TargetMode="External" Id="rId920"/><Relationship Type="http://schemas.openxmlformats.org/officeDocument/2006/relationships/hyperlink" Target="https://entrackr.com/news/emergent-raises-23-mn-in-series-a-round-led-by-lightspeed-10498639" TargetMode="External" Id="rId921"/><Relationship Type="http://schemas.openxmlformats.org/officeDocument/2006/relationships/hyperlink" Target="https://entrackr.com/news/gold-savings-app-gullak-raises-75-mn-led-by-chiratae-10495967" TargetMode="External" Id="rId922"/><Relationship Type="http://schemas.openxmlformats.org/officeDocument/2006/relationships/hyperlink" Target="https://entrackr.com/snippets/oolka-raises-7-mn-in-seed-round-led-by-lightspeed-and-z47-10497497" TargetMode="External" Id="rId923"/><Relationship Type="http://schemas.openxmlformats.org/officeDocument/2006/relationships/hyperlink" Target="https://entrackr.com/snippets/kitchenware-brand-p-tal-raises-3-mn-led-by-vc-grid-and-rainmatter-10495972" TargetMode="External" Id="rId924"/><Relationship Type="http://schemas.openxmlformats.org/officeDocument/2006/relationships/hyperlink" Target="https://entrackr.com/snippets/deep-tech-startup-xbattery-raises-23-mn-in-seed-round-10496834" TargetMode="External" Id="rId925"/><Relationship Type="http://schemas.openxmlformats.org/officeDocument/2006/relationships/hyperlink" Target="https://entrackr.com/snippets/space-tech-startup-akashalabdhi-raises-12-mn-in-pre-seed-round-10501032" TargetMode="External" Id="rId926"/><Relationship Type="http://schemas.openxmlformats.org/officeDocument/2006/relationships/hyperlink" Target="https://entrackr.com/snippets/agritech-startup-bharat-intelligence-raises-funding-led-by-sahyadri-farms-10500153" TargetMode="External" Id="rId927"/><Relationship Type="http://schemas.openxmlformats.org/officeDocument/2006/relationships/hyperlink" Target="https://entrackr.com/snippets/cosmoserve-space-raises-317-mn-in-pre-seed-round-10500126" TargetMode="External" Id="rId928"/><Relationship Type="http://schemas.openxmlformats.org/officeDocument/2006/relationships/hyperlink" Target="https://entrackr.com/news/handpickd-raises-15-mn-from-bertelsmann-and-titan-capital-winners-fund-10499839" TargetMode="External" Id="rId929"/><Relationship Type="http://schemas.openxmlformats.org/officeDocument/2006/relationships/hyperlink" Target="https://entrackr.com/snippets/kisankonnect-raises-rs-72-cr-led-by-bajaj-finserv-ventures-10502036" TargetMode="External" Id="rId930"/><Relationship Type="http://schemas.openxmlformats.org/officeDocument/2006/relationships/hyperlink" Target="https://entrackr.com/decoding/virtual-credit-card-app-kiwis-valuation-jumps-to-100-mn-in-series-b-round-10500656" TargetMode="External" Id="rId931"/><Relationship Type="http://schemas.openxmlformats.org/officeDocument/2006/relationships/hyperlink" Target="https://entrackr.com/snippets/recove-raises-rs-53-cr-in-pre-seed-round-led-by-momentum-capital-10499569" TargetMode="External" Id="rId932"/><Relationship Type="http://schemas.openxmlformats.org/officeDocument/2006/relationships/hyperlink" Target="https://entrackr.com/snippets/event-marketing-platform-samaaro-raises-500k-in-pre-series-a-round-10499926" TargetMode="External" Id="rId933"/><Relationship Type="http://schemas.openxmlformats.org/officeDocument/2006/relationships/hyperlink" Target="https://entrackr.com/snippets/simple-energy-raises-10-mn-in-bridge-round-10499888" TargetMode="External" Id="rId934"/><Relationship Type="http://schemas.openxmlformats.org/officeDocument/2006/relationships/hyperlink" Target="https://entrackr.com/news/curefoods-raises-rs-160-cr-in-pre-ipo-placement-from-binny-bansals-3state-ventures-10503307" TargetMode="External" Id="rId935"/><Relationship Type="http://schemas.openxmlformats.org/officeDocument/2006/relationships/hyperlink" Target="https://entrackr.com/snippets/car-servicing-startup-gaadimech-raises-pre-seed-round-led-by-ajvc-10504385" TargetMode="External" Id="rId936"/><Relationship Type="http://schemas.openxmlformats.org/officeDocument/2006/relationships/hyperlink" Target="https://entrackr.com/news/vedantu-raises-11-mn-from-internal-investors-in-ongoing-round-10503228" TargetMode="External" Id="rId937"/><Relationship Type="http://schemas.openxmlformats.org/officeDocument/2006/relationships/hyperlink" Target="https://entrackr.com/snippets/quick-medicine-delivery-startup-plazza-raises-14-mn-led-by-all-in-capital-10507362" TargetMode="External" Id="rId938"/><Relationship Type="http://schemas.openxmlformats.org/officeDocument/2006/relationships/hyperlink" Target="https://entrackr.com/news/ice-cream-brand-hocco-raises-rs-115-cr-at-rs-2000-cr-valuation-10511951" TargetMode="External" Id="rId939"/><Relationship Type="http://schemas.openxmlformats.org/officeDocument/2006/relationships/hyperlink" Target="https://entrackr.com/snippets/igowise-mobility-raises-rs-82-cr-in-pre-seed-round-10513050" TargetMode="External" Id="rId940"/><Relationship Type="http://schemas.openxmlformats.org/officeDocument/2006/relationships/hyperlink" Target="https://entrackr.com/news/d2c-brand-kapiva-raises-60-mn-in-series-d-fireside-ventures-exits-10511610" TargetMode="External" Id="rId941"/><Relationship Type="http://schemas.openxmlformats.org/officeDocument/2006/relationships/hyperlink" Target="https://entrackr.com/news/petpooja-raises-155-mn-series-c-at-over-3x-valuation-premium-10512396" TargetMode="External" Id="rId942"/><Relationship Type="http://schemas.openxmlformats.org/officeDocument/2006/relationships/hyperlink" Target="https://economictimes.indiatimes.com/tech/funding/debt-marketplace-recur-club-raises-50-million-from-infoedge-ventures-others/articleshow/124213970.cms" TargetMode="External" Id="rId943"/><Relationship Type="http://schemas.openxmlformats.org/officeDocument/2006/relationships/hyperlink" Target="https://entrackr.com/snippets/rugr-fintech-raises-5-mn-in-pre-series-a-round-led-by-vikasa-india-eif-i-fund-10513861" TargetMode="External" Id="rId944"/><Relationship Type="http://schemas.openxmlformats.org/officeDocument/2006/relationships/hyperlink" Target="https://entrackr.com/snippets/vaani-ai-research-raises-400k-pre-seed-round-led-by-venture-catalysts-10512994" TargetMode="External" Id="rId945"/><Relationship Type="http://schemas.openxmlformats.org/officeDocument/2006/relationships/hyperlink" Target="https://inc42.com/buzz/from-kapiva-to-petpooja-indian-startups-raised-160-mn-this-week/" TargetMode="External" Id="rId946"/><Relationship Type="http://schemas.openxmlformats.org/officeDocument/2006/relationships/hyperlink" Target="https://entrackr.com/snippets/climaty-ai-raises-2-mn-led-by-turbostart-10515528" TargetMode="External" Id="rId947"/><Relationship Type="http://schemas.openxmlformats.org/officeDocument/2006/relationships/hyperlink" Target="https://entrackr.com/snippets/enterprise-messaging-startup-fyno-bags-4-mn-in-seed-round-10516360" TargetMode="External" Id="rId948"/><Relationship Type="http://schemas.openxmlformats.org/officeDocument/2006/relationships/hyperlink" Target="https://entrackr.com/snippets/ignosis-raises-4-mn-in-pre-series-a-led-by-peak-xvs-surge-10515879" TargetMode="External" Id="rId949"/><Relationship Type="http://schemas.openxmlformats.org/officeDocument/2006/relationships/hyperlink" Target="https://entrackr.com/snippets/superfam-raises-pre-seed-round-led-by-fundamental-vc-10515666" TargetMode="External" Id="rId950"/><Relationship Type="http://schemas.openxmlformats.org/officeDocument/2006/relationships/hyperlink" Target="https://entrackr.com/snippets/unmannd-raises-2-mn-in-pre-seed-round-led-by-speciale-invest-and-accel-10515234" TargetMode="External" Id="rId951"/><Relationship Type="http://schemas.openxmlformats.org/officeDocument/2006/relationships/hyperlink" Target="https://entrackr.com/snippets/vama-raises-rs-22-cr-in-pre-series-a-round-led-by-wavemaker-partners-10515347" TargetMode="External" Id="rId952"/><Relationship Type="http://schemas.openxmlformats.org/officeDocument/2006/relationships/hyperlink" Target="https://entrackr.com/snippets/growxcd-finance-raises-rs-200-cr-led-by-blue-earth-capital-10518886" TargetMode="External" Id="rId953"/><Relationship Type="http://schemas.openxmlformats.org/officeDocument/2006/relationships/hyperlink" Target="https://inc42.com/buzz/from-kapiva-to-petpooja-indian-startups-raised-160-mn-this-week/" TargetMode="External" Id="rId954"/><Relationship Type="http://schemas.openxmlformats.org/officeDocument/2006/relationships/hyperlink" Target="https://entrackr.com/snippets/luxury-watch-retailer-art-of-time-raises-rs-175-cr-in-fresh-round-10524495" TargetMode="External" Id="rId955"/><Relationship Type="http://schemas.openxmlformats.org/officeDocument/2006/relationships/hyperlink" Target="https://economictimes.indiatimes.com/tech/funding/kgen-raises-13-5-million-from-prosus-jump-crypto-accel/articleshow/124294056.cms" TargetMode="External" Id="rId956"/><Relationship Type="http://schemas.openxmlformats.org/officeDocument/2006/relationships/hyperlink" Target="https://entrackr.com/snippets/affluense-ai-raises-pre-seed-round-led-by-zeropearl-vc-10533601" TargetMode="External" Id="rId957"/><Relationship Type="http://schemas.openxmlformats.org/officeDocument/2006/relationships/hyperlink" Target="https://entrackr.com/snippets/d2c-home-decor-brand-decortwist-raises-200k-10533888" TargetMode="External" Id="rId958"/><Relationship Type="http://schemas.openxmlformats.org/officeDocument/2006/relationships/hyperlink" Target="https://entrackr.com/news/dhan-turns-unicorn-after-120-mn-fundraise-led-by-hornbill-capital-10532947" TargetMode="External" Id="rId959"/><Relationship Type="http://schemas.openxmlformats.org/officeDocument/2006/relationships/hyperlink" Target="https://entrackr.com/snippets/ecoex-raises-4-mn-in-seed-funding-round-10533403" TargetMode="External" Id="rId960"/><Relationship Type="http://schemas.openxmlformats.org/officeDocument/2006/relationships/hyperlink" Target="https://entrackr.com/snippets/finarkein-raises-15-mn-in-pre-series-a-round-led-by-dsp-group-family-office-10534094" TargetMode="External" Id="rId961"/><Relationship Type="http://schemas.openxmlformats.org/officeDocument/2006/relationships/hyperlink" Target="https://entrackr.com/news/greylabs-ai-raises-rs-85-cr-led-by-elevation-to-launch-voice-ai-agents-for-bfsi-10532249" TargetMode="External" Id="rId962"/><Relationship Type="http://schemas.openxmlformats.org/officeDocument/2006/relationships/hyperlink" Target="https://entrackr.com/snippets/iifl-fintech-fund-partially-exits-finbox-achieving-5x-returns-on-initial-tranche-10533736" TargetMode="External" Id="rId963"/><Relationship Type="http://schemas.openxmlformats.org/officeDocument/2006/relationships/hyperlink" Target="https://economictimes.indiatimes.com/tech/funding/jsw-one-platforms-raises-rs-575-crore-from-sbi-jsw-steel-principal-asset-management-others/articleshow/124323976.cms" TargetMode="External" Id="rId964"/><Relationship Type="http://schemas.openxmlformats.org/officeDocument/2006/relationships/hyperlink" Target="https://entrackr.com/snippets/morphing-machines-raises-rs-3836-cr-in-series-a-round-led-by-ian-alpha-fund-10533760" TargetMode="External" Id="rId965"/><Relationship Type="http://schemas.openxmlformats.org/officeDocument/2006/relationships/hyperlink" Target="https://entrackr.com/snippets/navata-supply-chain-solutions-raises-rs-135-cr-led-by-abyro-capital-10533000" TargetMode="External" Id="rId966"/><Relationship Type="http://schemas.openxmlformats.org/officeDocument/2006/relationships/hyperlink" Target="https://inc42.com/buzz/from-dhan-to-intangles-indian-startups-raised-285-mn-this-week/" TargetMode="External" Id="rId967"/><Relationship Type="http://schemas.openxmlformats.org/officeDocument/2006/relationships/hyperlink" Target="https://entrackr.com/snippets/august-ai-raises-3-mn-from-accel-and-claypond-capital-10536084" TargetMode="External" Id="rId968"/><Relationship Type="http://schemas.openxmlformats.org/officeDocument/2006/relationships/hyperlink" Target="https://entrackr.com/snippets/contrails-ai-raises-1-mn-in-pre-seed-round-from-huddle-ventures-and-ian-group-10537705" TargetMode="External" Id="rId969"/><Relationship Type="http://schemas.openxmlformats.org/officeDocument/2006/relationships/hyperlink" Target="https://inc42.com/buzz/from-dhan-to-intangles-indian-startups-raised-285-mn-this-week/" TargetMode="External" Id="rId970"/><Relationship Type="http://schemas.openxmlformats.org/officeDocument/2006/relationships/hyperlink" Target="https://entrackr.com/snippets/intangles-raises-30-mn-in-series-b-round-led-by-avataar-venture-10537356" TargetMode="External" Id="rId971"/><Relationship Type="http://schemas.openxmlformats.org/officeDocument/2006/relationships/hyperlink" Target="https://inc42.com/buzz/from-dhan-to-intangles-indian-startups-raised-285-mn-this-week/" TargetMode="External" Id="rId972"/><Relationship Type="http://schemas.openxmlformats.org/officeDocument/2006/relationships/hyperlink" Target="https://entrackr.com/snippets/legal-tech-startup-lucio-raises-5-mn-led-by-devc-10536460" TargetMode="External" Id="rId973"/><Relationship Type="http://schemas.openxmlformats.org/officeDocument/2006/relationships/hyperlink" Target="https://inc42.com/buzz/from-dhan-to-intangles-indian-startups-raised-285-mn-this-week/" TargetMode="External" Id="rId974"/><Relationship Type="http://schemas.openxmlformats.org/officeDocument/2006/relationships/hyperlink" Target="https://entrackr.com/snippets/thrustworks-dynetics-raises-seed-round-led-by-jamwant-ventures-10536990" TargetMode="External" Id="rId975"/><Relationship Type="http://schemas.openxmlformats.org/officeDocument/2006/relationships/hyperlink" Target="https://entrackr.com/snippets/trusterra-bags-1-mn-in-pre-seed-round-co-led-by-finvolve-india-accelerator-10537428" TargetMode="External" Id="rId976"/><Relationship Type="http://schemas.openxmlformats.org/officeDocument/2006/relationships/hyperlink" Target="https://entrackr.com/snippets/zillout-raises-seed-funding-round-10537272" TargetMode="External" Id="rId977"/><Relationship Type="http://schemas.openxmlformats.org/officeDocument/2006/relationships/hyperlink" Target="https://entrackr.com/snippets/fmcg-company-meolaa-raises-6-mn-led-by-general-catalyst-10540872" TargetMode="External" Id="rId978"/><Relationship Type="http://schemas.openxmlformats.org/officeDocument/2006/relationships/hyperlink" Target="https://entrackr.com/snippets/climate-tech-startup-newtral-raises-600k-from-now-accelerate-10540860" TargetMode="External" Id="rId979"/><Relationship Type="http://schemas.openxmlformats.org/officeDocument/2006/relationships/hyperlink" Target="https://entrackr.com/news/equity-management-platform-qapita-raises-265-mn-in-series-b-round-10542364" TargetMode="External" Id="rId980"/><Relationship Type="http://schemas.openxmlformats.org/officeDocument/2006/relationships/hyperlink" Target="https://entrackr.com/snippets/bharat-matrimony-invests-500k-in-ask-my-guru-10544886" TargetMode="External" Id="rId981"/><Relationship Type="http://schemas.openxmlformats.org/officeDocument/2006/relationships/hyperlink" Target="https://entrackr.com/snippets/reodev-raises-4-mn-in-seed-round-led-by-heavybit-10543976" TargetMode="External" Id="rId982"/><Relationship Type="http://schemas.openxmlformats.org/officeDocument/2006/relationships/hyperlink" Target="https://entrackr.com/news/rusk-media-raises-rs-103-cr-in-series-b-round-10544942" TargetMode="External" Id="rId983"/><Relationship Type="http://schemas.openxmlformats.org/officeDocument/2006/relationships/hyperlink" Target="https://entrackr.com/exclusive/exclusive-fablestreet-parent-fs-life-to-raise-4-mn-in-series-b-10547455" TargetMode="External" Id="rId984"/><Relationship Type="http://schemas.openxmlformats.org/officeDocument/2006/relationships/hyperlink" Target="https://inc42.com/buzz/from-dhan-to-intangles-indian-startups-raised-285-mn-this-week/" TargetMode="External" Id="rId985"/><Relationship Type="http://schemas.openxmlformats.org/officeDocument/2006/relationships/hyperlink" Target="https://inc42.com/buzz/from-zepto-to-kuku-fm-indian-startups-raised-737-mn-this-week/" TargetMode="External" Id="rId986"/><Relationship Type="http://schemas.openxmlformats.org/officeDocument/2006/relationships/hyperlink" Target="https://entrackr.com/snippets/chara-technologies-raises-6-mn-in-series-a-led-by-arkam-ventures-10556040" TargetMode="External" Id="rId987"/><Relationship Type="http://schemas.openxmlformats.org/officeDocument/2006/relationships/hyperlink" Target="https://entrackr.com/news/wealthtech-firm-dezerv-raises-40-mn-led-by-premji-invest-and-accel-10555803" TargetMode="External" Id="rId988"/><Relationship Type="http://schemas.openxmlformats.org/officeDocument/2006/relationships/hyperlink" Target="https://entrackr.com/news/goodscore-raises-13-mn-in-series-a-round-led-by-peak-xv-10556674" TargetMode="External" Id="rId989"/><Relationship Type="http://schemas.openxmlformats.org/officeDocument/2006/relationships/hyperlink" Target="https://inc42.com/buzz/from-zepto-to-kuku-fm-indian-startups-raised-737-mn-this-week/" TargetMode="External" Id="rId990"/><Relationship Type="http://schemas.openxmlformats.org/officeDocument/2006/relationships/hyperlink" Target="https://inc42.com/buzz/from-zepto-to-kuku-fm-indian-startups-raised-737-mn-this-week/" TargetMode="External" Id="rId991"/><Relationship Type="http://schemas.openxmlformats.org/officeDocument/2006/relationships/hyperlink" Target="https://inc42.com/buzz/from-zepto-to-kuku-fm-indian-startups-raised-737-mn-this-week/" TargetMode="External" Id="rId992"/><Relationship Type="http://schemas.openxmlformats.org/officeDocument/2006/relationships/hyperlink" Target="https://inc42.com/buzz/from-zepto-to-kuku-fm-indian-startups-raised-737-mn-this-week/" TargetMode="External" Id="rId993"/><Relationship Type="http://schemas.openxmlformats.org/officeDocument/2006/relationships/hyperlink" Target="https://entrackr.com/snippets/airbound-raises-865-mn-in-seed-funding-round-10561322" TargetMode="External" Id="rId994"/><Relationship Type="http://schemas.openxmlformats.org/officeDocument/2006/relationships/hyperlink" Target="https://entrackr.com/snippets/airoclip-raises-275-mn-in-seed-round-led-by-t-accelerate-capital-10560589" TargetMode="External" Id="rId995"/><Relationship Type="http://schemas.openxmlformats.org/officeDocument/2006/relationships/hyperlink" Target="https://entrackr.com/snippets/social-network-app-currently-raises-1-mn-led-by-aarvi-family-office-10560015" TargetMode="External" Id="rId996"/><Relationship Type="http://schemas.openxmlformats.org/officeDocument/2006/relationships/hyperlink" Target="https://inc42.com/buzz/from-zepto-to-kuku-fm-indian-startups-raised-737-mn-this-week/" TargetMode="External" Id="rId997"/><Relationship Type="http://schemas.openxmlformats.org/officeDocument/2006/relationships/hyperlink" Target="https://entrackr.com/news/houseeazy-raises-rs-150-cr-in-series-b-round-led-by-accel-10560758" TargetMode="External" Id="rId998"/><Relationship Type="http://schemas.openxmlformats.org/officeDocument/2006/relationships/hyperlink" Target="https://inc42.com/buzz/from-zepto-to-kuku-fm-indian-startups-raised-737-mn-this-week/" TargetMode="External" Id="rId999"/><Relationship Type="http://schemas.openxmlformats.org/officeDocument/2006/relationships/hyperlink" Target="https://entrackr.com/snippets/kidswear-brand-orange-sugar-raises-pre-seed-round-10560853" TargetMode="External" Id="rId1000"/><Relationship Type="http://schemas.openxmlformats.org/officeDocument/2006/relationships/hyperlink" Target="https://entrackr.com/news/edtech-startup-speakx-raises-16-mn-led-by-westbridge-10559891" TargetMode="External" Id="rId1001"/><Relationship Type="http://schemas.openxmlformats.org/officeDocument/2006/relationships/hyperlink" Target="https://inc42.com/buzz/from-zepto-to-kuku-fm-indian-startups-raised-737-mn-this-week/" TargetMode="External" Id="rId1002"/><Relationship Type="http://schemas.openxmlformats.org/officeDocument/2006/relationships/hyperlink" Target="https://entrackr.com/snippets/consuma-raises-13-mn-in-seed-round-led-by-equirus-innovatex-fund-10564332" TargetMode="External" Id="rId1003"/><Relationship Type="http://schemas.openxmlformats.org/officeDocument/2006/relationships/hyperlink" Target="https://entrackr.com/snippets/everbright-health-raises-7-mn-in-seed-round-led-by-w-health-ventures-10564665" TargetMode="External" Id="rId1004"/><Relationship Type="http://schemas.openxmlformats.org/officeDocument/2006/relationships/hyperlink" Target="https://entrackr.com/snippets/flowatt-raises-pre-seed-round-led-by-pedalstart-10564782" TargetMode="External" Id="rId1005"/><Relationship Type="http://schemas.openxmlformats.org/officeDocument/2006/relationships/hyperlink" Target="https://entrackr.com/snippets/fragaria-fruits-raises-2-mn-in-seed-round-led-by-weh-ventures-10564047" TargetMode="External" Id="rId1006"/><Relationship Type="http://schemas.openxmlformats.org/officeDocument/2006/relationships/hyperlink" Target="https://entrackr.com/snippets/mattersai-raises-rs-55-cr-led-by-kalaari-and-endia-partners-10563796" TargetMode="External" Id="rId1007"/><Relationship Type="http://schemas.openxmlformats.org/officeDocument/2006/relationships/hyperlink" Target="https://entrackr.com/snippets/footwear-startup-rara-barefoot-raises-500k-in-seed-round-10565365" TargetMode="External" Id="rId1008"/><Relationship Type="http://schemas.openxmlformats.org/officeDocument/2006/relationships/hyperlink" Target="https://entrackr.com/snippets/dashamlabs-raises-rs-12-cr-in-seed-round-led-by-speciale-invest-10568073" TargetMode="External" Id="rId1009"/><Relationship Type="http://schemas.openxmlformats.org/officeDocument/2006/relationships/hyperlink" Target="https://entrackr.com/snippets/fireai-raises-rs-4-cr-in-seed-round-led-by-ipv-10567350" TargetMode="External" Id="rId1010"/><Relationship Type="http://schemas.openxmlformats.org/officeDocument/2006/relationships/hyperlink" Target="https://entrackr.com/snippets/graph-ai-raises-3-mn-in-seed-round-from-bessemer-venture-partners-10566895" TargetMode="External" Id="rId1011"/><Relationship Type="http://schemas.openxmlformats.org/officeDocument/2006/relationships/hyperlink" Target="https://entrackr.com/news/kuku-fm-raises-85-mn-from-granite-asia-and-others-10567713" TargetMode="External" Id="rId1012"/><Relationship Type="http://schemas.openxmlformats.org/officeDocument/2006/relationships/hyperlink" Target="https://entrackr.com/news/zepto-raises-450-mn-led-by-calpers-plans-ipo-next-year-10568597" TargetMode="External" Id="rId1013"/><Relationship Type="http://schemas.openxmlformats.org/officeDocument/2006/relationships/hyperlink" Target="https://inc42.com/buzz/from-zepto-to-kuku-fm-indian-startups-raised-737-mn-this-week/" TargetMode="External" Id="rId1014"/><Relationship Type="http://schemas.openxmlformats.org/officeDocument/2006/relationships/hyperlink" Target="https://entrackr.com/snippets/hooliv-raises-rs-24-cr-in-pre-series-a-round-led-by-negen-capital-10571190" TargetMode="External" Id="rId1015"/><Relationship Type="http://schemas.openxmlformats.org/officeDocument/2006/relationships/hyperlink" Target="https://economictimes.indiatimes.com/tech/funding/voice-ai-startup-fundamento-raises-1-9-million-led-by-iifl-fintech-fund/articleshow/124635440.cms" TargetMode="External" Id="rId1016"/><Relationship Type="http://schemas.openxmlformats.org/officeDocument/2006/relationships/hyperlink" Target="https://entrackr.com/news/unifyapps-raises-50-mn-in-series-b-led-by-westbridge-10584514" TargetMode="External" Id="rId1017"/><Relationship Type="http://schemas.openxmlformats.org/officeDocument/2006/relationships/hyperlink" Target="https://inc42.com/buzz/from-uniphore-to-unifyapps-indian-startups-raised-312-mn-this-week/" TargetMode="External" Id="rId1018"/><Relationship Type="http://schemas.openxmlformats.org/officeDocument/2006/relationships/hyperlink" Target="https://inc42.com/buzz/from-uniphore-to-unifyapps-indian-startups-raised-312-mn-this-week/" TargetMode="External" Id="rId1019"/><Relationship Type="http://schemas.openxmlformats.org/officeDocument/2006/relationships/hyperlink" Target="https://economictimes.indiatimes.com/tech/funding/pave-bank-raises-39-million-in-funding-round-led-by-accel/articleshow/124761864.cms" TargetMode="External" Id="rId1020"/><Relationship Type="http://schemas.openxmlformats.org/officeDocument/2006/relationships/hyperlink" Target="https://economictimes.indiatimes.com/tech/startups/dmarts-radhakishan-damani-invests-rs-90-crore-in-lenskart-ahead-of-ipo/articleshow/124784168.cms" TargetMode="External" Id="rId1021"/><Relationship Type="http://schemas.openxmlformats.org/officeDocument/2006/relationships/hyperlink" Target="https://entrackr.com/news/reliance-and-facebook-form-joint-venture-to-launch-ai-firm-invest-rs-855-cr-10592396" TargetMode="External" Id="rId1022"/><Relationship Type="http://schemas.openxmlformats.org/officeDocument/2006/relationships/hyperlink" Target="https://entrackr.com/snippets/clothing-brand-banana-club-raises-rs-1225-cr-at-rs-245-cr-valuation-10597654" TargetMode="External" Id="rId1023"/><Relationship Type="http://schemas.openxmlformats.org/officeDocument/2006/relationships/hyperlink" Target="https://inc42.com/buzz/from-snapmint-to-snabbit-indian-startups-raised-371-mn-this-week/" TargetMode="External" Id="rId1024"/><Relationship Type="http://schemas.openxmlformats.org/officeDocument/2006/relationships/hyperlink" Target="https://entrackr.com/snippets/hydgen-raises-5-mn-led-by-transition-vc-10596575" TargetMode="External" Id="rId1025"/><Relationship Type="http://schemas.openxmlformats.org/officeDocument/2006/relationships/hyperlink" Target="https://entrackr.com/snippets/performance-nutrition-brand-neulife-raises-1-mn-in-seed-round-10597182" TargetMode="External" Id="rId1026"/><Relationship Type="http://schemas.openxmlformats.org/officeDocument/2006/relationships/hyperlink" Target="https://entrackr.com/snippets/sanlayan-technologies-invests-in-versabyte-data-systems-10596885" TargetMode="External" Id="rId1027"/><Relationship Type="http://schemas.openxmlformats.org/officeDocument/2006/relationships/hyperlink" Target="https://entrackr.com/snippets/360-one-asset-invests-in-cybrillas-pre-series-a-round-10600054" TargetMode="External" Id="rId1028"/><Relationship Type="http://schemas.openxmlformats.org/officeDocument/2006/relationships/hyperlink" Target="https://entrackr.com/snippets/gubbachhi-raises-pre-seed-round-from-d2c-insider-super-angels-fund-10598883" TargetMode="External" Id="rId1029"/><Relationship Type="http://schemas.openxmlformats.org/officeDocument/2006/relationships/hyperlink" Target="https://entrackr.com/news/prashant-pittis-optimo-capital-raises-rs-150-cr-in-series-a-round-10600487" TargetMode="External" Id="rId1030"/><Relationship Type="http://schemas.openxmlformats.org/officeDocument/2006/relationships/hyperlink" Target="https://entrackr.com/snippets/cyber-security-startup-satark-ai-raises-pre-seed-round-10600228" TargetMode="External" Id="rId1031"/><Relationship Type="http://schemas.openxmlformats.org/officeDocument/2006/relationships/hyperlink" Target="https://entrackr.com/snippets/event-tech-startup-ticket9-raises-fresh-funds-10600064" TargetMode="External" Id="rId1032"/><Relationship Type="http://schemas.openxmlformats.org/officeDocument/2006/relationships/hyperlink" Target="https://entrackr.com/snippets/fambo-raises-rs-2155-cr-series-a-round-led-by-agrisure-fund-10602888" TargetMode="External" Id="rId1033"/><Relationship Type="http://schemas.openxmlformats.org/officeDocument/2006/relationships/hyperlink" Target="https://entrackr.com/snippets/home-care-products-maker-happi-planet-raises-2-mn-10602925" TargetMode="External" Id="rId1034"/><Relationship Type="http://schemas.openxmlformats.org/officeDocument/2006/relationships/hyperlink" Target="https://economictimes.indiatimes.com/tech/funding/jupiter-secures-15-million-from-existing-investors-valuation-remains-flat-at-600-million/articleshow/124908900.cms" TargetMode="External" Id="rId1035"/><Relationship Type="http://schemas.openxmlformats.org/officeDocument/2006/relationships/hyperlink" Target="https://inc42.com/buzz/from-snapmint-to-snabbit-indian-startups-raised-371-mn-this-week/" TargetMode="External" Id="rId1036"/><Relationship Type="http://schemas.openxmlformats.org/officeDocument/2006/relationships/hyperlink" Target="https://entrackr.com/snippets/mem0-raises-24-mn-in-series-a-round-10602602" TargetMode="External" Id="rId1037"/><Relationship Type="http://schemas.openxmlformats.org/officeDocument/2006/relationships/hyperlink" Target="https://inc42.com/buzz/from-snapmint-to-snabbit-indian-startups-raised-371-mn-this-week/" TargetMode="External" Id="rId1038"/><Relationship Type="http://schemas.openxmlformats.org/officeDocument/2006/relationships/hyperlink" Target="https://entrackr.com/snippets/confectionery-brand-oroos-raises-rs-20-cr-from-fireside-sbi-others-10603381" TargetMode="External" Id="rId1039"/><Relationship Type="http://schemas.openxmlformats.org/officeDocument/2006/relationships/hyperlink" Target="https://entrackr.com/snippets/savesage-raises-1-mn-in-pre-seed-round-10604410" TargetMode="External" Id="rId1040"/><Relationship Type="http://schemas.openxmlformats.org/officeDocument/2006/relationships/hyperlink" Target="https://entrackr.com/snippets/stampmyvisa-raises-rs-4-cr-in-bridge-round-led-by-unicorn-india-ventures-10602971" TargetMode="External" Id="rId1041"/><Relationship Type="http://schemas.openxmlformats.org/officeDocument/2006/relationships/hyperlink" Target="https://entrackr.com/snippets/tsuyo-manufacturing-raises-45-mn-round-led-by-avaana-capital-10602912" TargetMode="External" Id="rId1042"/><Relationship Type="http://schemas.openxmlformats.org/officeDocument/2006/relationships/hyperlink" Target="https://entrackr.com/snippets/beyond-renewables-recycling-raises-pre-seed-round-led-by-momentum-capital-10606880" TargetMode="External" Id="rId1043"/><Relationship Type="http://schemas.openxmlformats.org/officeDocument/2006/relationships/hyperlink" Target="https://inc42.com/buzz/from-snapmint-to-snabbit-indian-startups-raised-371-mn-this-week/" TargetMode="External" Id="rId1044"/><Relationship Type="http://schemas.openxmlformats.org/officeDocument/2006/relationships/hyperlink" Target="https://entrackr.com/snippets/gaming-startup-exiles-interactives-raises-355k-in-pre-seed-round-10606500" TargetMode="External" Id="rId1045"/><Relationship Type="http://schemas.openxmlformats.org/officeDocument/2006/relationships/hyperlink" Target="https://entrackr.com/snippets/helex-raises-35-mn-in-seed-round-led-by-pi-ventures-10608261" TargetMode="External" Id="rId1046"/><Relationship Type="http://schemas.openxmlformats.org/officeDocument/2006/relationships/hyperlink" Target="https://entrackr.com/news/intrcity-smartbus-raises-rs-250-cr-in-series-d-led-by-a91-partners-10606649" TargetMode="External" Id="rId1047"/><Relationship Type="http://schemas.openxmlformats.org/officeDocument/2006/relationships/hyperlink" Target="https://entrackr.com/snippets/proptech-startup-openhouse-raises-2-mn-in-seed-round-10606190" TargetMode="External" Id="rId1048"/><Relationship Type="http://schemas.openxmlformats.org/officeDocument/2006/relationships/hyperlink" Target="https://entrackr.com/snippets/point-ai-raises-53-mn-led-by-yali-capital-10605801" TargetMode="External" Id="rId1049"/><Relationship Type="http://schemas.openxmlformats.org/officeDocument/2006/relationships/hyperlink" Target="https://entrackr.com/snippets/redacto-raises-rs-12-cr-in-seed-round-led-by-peercapital-10606066" TargetMode="External" Id="rId1050"/><Relationship Type="http://schemas.openxmlformats.org/officeDocument/2006/relationships/hyperlink" Target="https://entrackr.com/news/salaryse-raises-113-mn-led-by-flourish-ventures-10605825" TargetMode="External" Id="rId1051"/><Relationship Type="http://schemas.openxmlformats.org/officeDocument/2006/relationships/hyperlink" Target="https://inc42.com/buzz/from-snapmint-to-snabbit-indian-startups-raised-371-mn-this-week/" TargetMode="External" Id="rId1052"/><Relationship Type="http://schemas.openxmlformats.org/officeDocument/2006/relationships/hyperlink" Target="https://inc42.com/buzz/from-snapmint-to-snabbit-indian-startups-raised-371-mn-this-week/" TargetMode="External" Id="rId1053"/><Relationship Type="http://schemas.openxmlformats.org/officeDocument/2006/relationships/hyperlink" Target="https://entrackr.com/snippets/gold-plated-silver-jewellery-brand-goyaz-raises-rs-130-cr-led-by-norwest-10610308" TargetMode="External" Id="rId1054"/><Relationship Type="http://schemas.openxmlformats.org/officeDocument/2006/relationships/hyperlink" Target="https://entrackr.com/snippets/mad-over-buildings-raises-seed-round-led-by-sig-tattva-10610026" TargetMode="External" Id="rId1055"/><Relationship Type="http://schemas.openxmlformats.org/officeDocument/2006/relationships/hyperlink" Target="https://entrackr.com/news/pluro-fertility-raises-rs-125-cr-at-rs-1000-cr-valuation-10609211" TargetMode="External" Id="rId1056"/><Relationship Type="http://schemas.openxmlformats.org/officeDocument/2006/relationships/hyperlink" Target="https://entrackr.com/news/bnpl-startup-snapmint-raises-125-mn-led-by-general-atlantic-10609243" TargetMode="External" Id="rId1057"/><Relationship Type="http://schemas.openxmlformats.org/officeDocument/2006/relationships/hyperlink" Target="https://entrackr.com/snippets/parking-solutions-startup-blyp-raises-bridge-round-10620794" TargetMode="External" Id="rId1058"/><Relationship Type="http://schemas.openxmlformats.org/officeDocument/2006/relationships/hyperlink" Target="https://entrackr.com/snippets/gvfl-leads-2-mn-pre-series-a-round-in-protouch-10621080" TargetMode="External" Id="rId1059"/><Relationship Type="http://schemas.openxmlformats.org/officeDocument/2006/relationships/hyperlink" Target="https://economictimes.indiatimes.com/tech/funding/genai-led-content-creation-platform-quickads-raises-1-7-million-from-kae-capital-others/articleshow/125081123.cms" TargetMode="External" Id="rId1060"/><Relationship Type="http://schemas.openxmlformats.org/officeDocument/2006/relationships/hyperlink" Target="https://entrackr.com/snippets/tabp-snacks-and-beverages-raises-3-mn-led-by-lc-nueva-10620487" TargetMode="External" Id="rId1061"/><Relationship Type="http://schemas.openxmlformats.org/officeDocument/2006/relationships/hyperlink" Target="https://inc42.com/buzz/from-moengage-to-agnikul-indian-startups-raised-238-mn-this-week/" TargetMode="External" Id="rId1062"/><Relationship Type="http://schemas.openxmlformats.org/officeDocument/2006/relationships/hyperlink" Target="https://entrackr.com/snippets/cross-border-fintech-startup-zynk-raises-5-mn-in-seed-round-10622400" TargetMode="External" Id="rId1063"/><Relationship Type="http://schemas.openxmlformats.org/officeDocument/2006/relationships/hyperlink" Target="https://entrackr.com/snippets/babyorgano-raises-rs-20-cr-led-by-rpsg-capital-ventures-10624239" TargetMode="External" Id="rId1064"/><Relationship Type="http://schemas.openxmlformats.org/officeDocument/2006/relationships/hyperlink" Target="https://entrackr.com/snippets/krieya-raises-rs-7-cr-led-by-sauce-and-riverwalk-holdings-10624147" TargetMode="External" Id="rId1065"/><Relationship Type="http://schemas.openxmlformats.org/officeDocument/2006/relationships/hyperlink" Target="https://entrackr.com/snippets/lighthouse-canton-raises-40-mn-led-by-peak-xv-partners-10623898" TargetMode="External" Id="rId1066"/><Relationship Type="http://schemas.openxmlformats.org/officeDocument/2006/relationships/hyperlink" Target="https://entrackr.com/snippets/medyseva-raises-rs-4-cr-led-by-unicorn-india-ventures-10623932" TargetMode="External" Id="rId1067"/><Relationship Type="http://schemas.openxmlformats.org/officeDocument/2006/relationships/hyperlink" Target="https://entrackr.com/news/moengage-raises-100-mn-from-goldman-sachs-and-a91-partners-10623758" TargetMode="External" Id="rId1068"/><Relationship Type="http://schemas.openxmlformats.org/officeDocument/2006/relationships/hyperlink" Target="https://entrackr.com/news/spacewood-raises-rs-300-cr-at-rs-1200-cr-valuation-10624897" TargetMode="External" Id="rId1069"/><Relationship Type="http://schemas.openxmlformats.org/officeDocument/2006/relationships/hyperlink" Target="https://entrackr.com/snippets/stackbox-raises-4-mn-led-by-enrission-india-capital-10624945" TargetMode="External" Id="rId1070"/><Relationship Type="http://schemas.openxmlformats.org/officeDocument/2006/relationships/hyperlink" Target="https://entrackr.com/snippets/wyzardai-raises-500k-in-angel-round-10623728" TargetMode="External" Id="rId1071"/><Relationship Type="http://schemas.openxmlformats.org/officeDocument/2006/relationships/hyperlink" Target="https://entrackr.com/snippets/game-state-labs-raises-2-mn-in-seed-round-10626752" TargetMode="External" Id="rId1072"/><Relationship Type="http://schemas.openxmlformats.org/officeDocument/2006/relationships/hyperlink" Target="https://inc42.com/buzz/from-moengage-to-agnikul-indian-startups-raised-238-mn-this-week/" TargetMode="External" Id="rId1073"/><Relationship Type="http://schemas.openxmlformats.org/officeDocument/2006/relationships/hyperlink" Target="https://inc42.com/buzz/from-moengage-to-agnikul-indian-startups-raised-238-mn-this-week/" TargetMode="External" Id="rId1074"/><Relationship Type="http://schemas.openxmlformats.org/officeDocument/2006/relationships/hyperlink" Target="https://entrackr.com/snippets/meshdefend-raises-23-mn-in-pre-seed-round-led-by-kalaari-capital-10626621" TargetMode="External" Id="rId1075"/><Relationship Type="http://schemas.openxmlformats.org/officeDocument/2006/relationships/hyperlink" Target="https://entrackr.com/snippets/the-artment-raises-rs-10-cr-in-pre-series-a-round-led-by-ipv-10627232" TargetMode="External" Id="rId1076"/><Relationship Type="http://schemas.openxmlformats.org/officeDocument/2006/relationships/hyperlink" Target="https://entrackr.com/snippets/space-tech-startup-ulook-raises-rs-19-cr-led-by-growx-and-infoedge-ventures-10626626" TargetMode="External" Id="rId1077"/><Relationship Type="http://schemas.openxmlformats.org/officeDocument/2006/relationships/hyperlink" Target="https://entrackr.com/exclusive/exclusive-agnikul-raises-rs-60-cr-in-series-new-round-10635844" TargetMode="External" Id="rId1078"/><Relationship Type="http://schemas.openxmlformats.org/officeDocument/2006/relationships/hyperlink" Target="https://entrackr.com/snippets/robotics-startup-miko-raises-105-mn-led-by-iheartmedia-10636274" TargetMode="External" Id="rId1079"/><Relationship Type="http://schemas.openxmlformats.org/officeDocument/2006/relationships/hyperlink" Target="https://inc42.com/buzz/from-finnable-to-bombay-shaving-company-indian-startups-raised-163-mn-this-week/" TargetMode="External" Id="rId1080"/><Relationship Type="http://schemas.openxmlformats.org/officeDocument/2006/relationships/hyperlink" Target="https://entrackr.com/news/finnable-raises-rs-250-cr-led-by-z47-and-tvs-capital-10646294" TargetMode="External" Id="rId1081"/><Relationship Type="http://schemas.openxmlformats.org/officeDocument/2006/relationships/hyperlink" Target="https://entrackr.com/snippets/greenfi-raises-2-mn-led-by-transition-vc-10646474" TargetMode="External" Id="rId1082"/><Relationship Type="http://schemas.openxmlformats.org/officeDocument/2006/relationships/hyperlink" Target="https://economictimes.indiatimes.com/tech/funding/home-and-lifestyle-brand-haus-kinder-raises-3-3-million-in-round-led-by-sauce-vc/articleshow/125252266.cms" TargetMode="External" Id="rId1083"/><Relationship Type="http://schemas.openxmlformats.org/officeDocument/2006/relationships/hyperlink" Target="https://entrackr.com/snippets/digital-mental-health-platform-mindtalk-raises-73-mn-from-cadabams-group-10647850" TargetMode="External" Id="rId1084"/><Relationship Type="http://schemas.openxmlformats.org/officeDocument/2006/relationships/hyperlink" Target="https://entrackr.com/snippets/praan-health-raises-85-cr-in-seed-round-led-by-rainmatter-investments-10646601" TargetMode="External" Id="rId1085"/><Relationship Type="http://schemas.openxmlformats.org/officeDocument/2006/relationships/hyperlink" Target="https://entrackr.com/snippets/quickshift-raises-rs-22-cr-in-pre-series-a-round-led-by-atomic-capital-10646544" TargetMode="External" Id="rId1086"/><Relationship Type="http://schemas.openxmlformats.org/officeDocument/2006/relationships/hyperlink" Target="https://inc42.com/buzz/from-finnable-to-bombay-shaving-company-indian-startups-raised-163-mn-this-week/" TargetMode="External" Id="rId1087"/><Relationship Type="http://schemas.openxmlformats.org/officeDocument/2006/relationships/hyperlink" Target="https://inc42.com/buzz/from-finnable-to-bombay-shaving-company-indian-startups-raised-163-mn-this-week/" TargetMode="External" Id="rId1088"/><Relationship Type="http://schemas.openxmlformats.org/officeDocument/2006/relationships/hyperlink" Target="https://entrackr.com/snippets/haircare-brand-done-raises-rs-65-cr-led-by-all-in-capital-10649633" TargetMode="External" Id="rId1089"/><Relationship Type="http://schemas.openxmlformats.org/officeDocument/2006/relationships/hyperlink" Target="https://entrackr.com/news/bombay-shaving-company-raises-rs-136-cr-ahead-of-planned-ipo-10650346" TargetMode="External" Id="rId1090"/><Relationship Type="http://schemas.openxmlformats.org/officeDocument/2006/relationships/hyperlink" Target="https://entrackr.com/snippets/coratia-technologies-raises-rs-5-cr-led-by-piper-serica-angel-fund-10650913" TargetMode="External" Id="rId1091"/><Relationship Type="http://schemas.openxmlformats.org/officeDocument/2006/relationships/hyperlink" Target="https://economictimes.indiatimes.com/tech/startups/mamaearth-parent-invests-in-couch-commerce-to-boost-oral-care-play/articleshow/125277892.cms" TargetMode="External" Id="rId1092"/><Relationship Type="http://schemas.openxmlformats.org/officeDocument/2006/relationships/hyperlink" Target="https://entrackr.com/snippets/gvfl-and-malpani-ventures-lead-pre-seed-round-in-doco-10650190" TargetMode="External" Id="rId1093"/><Relationship Type="http://schemas.openxmlformats.org/officeDocument/2006/relationships/hyperlink" Target="https://entrackr.com/snippets/fes-cafe-raises-pre-series-a-round-led-by-12-flags-10650706" TargetMode="External" Id="rId1094"/><Relationship Type="http://schemas.openxmlformats.org/officeDocument/2006/relationships/hyperlink" Target="https://entrackr.com/snippets/med-tech-company-hrs-navigation-raises-5-mn-in-pre-series-a-round-10650219" TargetMode="External" Id="rId1095"/><Relationship Type="http://schemas.openxmlformats.org/officeDocument/2006/relationships/hyperlink" Target="https://entrackr.com/snippets/legal-tech-startup-nyayanidhi-raises-2-mn-led-by-3one4-capital-10650103" TargetMode="External" Id="rId1096"/><Relationship Type="http://schemas.openxmlformats.org/officeDocument/2006/relationships/hyperlink" Target="https://inc42.com/buzz/from-finnable-to-bombay-shaving-company-indian-startups-raised-163-mn-this-week/" TargetMode="External" Id="rId1097"/><Relationship Type="http://schemas.openxmlformats.org/officeDocument/2006/relationships/hyperlink" Target="https://entrackr.com/snippets/acs-energy-raises-rs-11-cr-in-pre-seed-round-led-by-ipv-10653164" TargetMode="External" Id="rId1098"/><Relationship Type="http://schemas.openxmlformats.org/officeDocument/2006/relationships/hyperlink" Target="https://inc42.com/buzz/from-finnable-to-bombay-shaving-company-indian-startups-raised-163-mn-this-week/" TargetMode="External" Id="rId1099"/><Relationship Type="http://schemas.openxmlformats.org/officeDocument/2006/relationships/hyperlink" Target="https://entrackr.com/snippets/brandworks-technologies-closes-11-mn-series-a-round-10652969" TargetMode="External" Id="rId1100"/><Relationship Type="http://schemas.openxmlformats.org/officeDocument/2006/relationships/hyperlink" Target="https://entrackr.com/snippets/event-planet-technologies-raises-250k-in-angel-round-10653489" TargetMode="External" Id="rId1101"/><Relationship Type="http://schemas.openxmlformats.org/officeDocument/2006/relationships/hyperlink" Target="https://inc42.com/buzz/from-finnable-to-bombay-shaving-company-indian-startups-raised-163-mn-this-week/" TargetMode="External" Id="rId1102"/><Relationship Type="http://schemas.openxmlformats.org/officeDocument/2006/relationships/hyperlink" Target="https://entrackr.com/snippets/parag-agrawals-parallel-web-systems-raises-100-mn-in-series-a-round-10653183" TargetMode="External" Id="rId1103"/><Relationship Type="http://schemas.openxmlformats.org/officeDocument/2006/relationships/hyperlink" Target="https://economictimes.indiatimes.com/tech/startups/paris-based-mirova-invests-30-million-in-varahas-regenerative-agriculture-project/articleshow/125303536.cms" TargetMode="External" Id="rId1104"/><Relationship Type="http://schemas.openxmlformats.org/officeDocument/2006/relationships/hyperlink" Target="https://entrackr.com/snippets/codeyoung-raises-5-mn-in-series-a-round-from-12-flags-and-enzia-ventures-10759413" TargetMode="External" Id="rId1105"/><Relationship Type="http://schemas.openxmlformats.org/officeDocument/2006/relationships/hyperlink" Target="https://entrackr.com/snippets/extramile-play-raises-500k-in-seed-round-led-by-gsf-10691021" TargetMode="External" Id="rId1106"/><Relationship Type="http://schemas.openxmlformats.org/officeDocument/2006/relationships/hyperlink" Target="https://entrackr.com/exclusive/exclusive-isprava-raises-rs-250-cr-debt-10681506" TargetMode="External" Id="rId1107"/><Relationship Type="http://schemas.openxmlformats.org/officeDocument/2006/relationships/hyperlink" Target="https://entrackr.com/snippets/music-licensing-platform-hoopr-raises-funds-in-extended-pre-series-a-round-10782011" TargetMode="External" Id="rId1108"/><Relationship Type="http://schemas.openxmlformats.org/officeDocument/2006/relationships/hyperlink" Target="https://entrackr.com/snippets/tribe-stays-raises-28-mn-led-by-artha-venture-and-riverwalk-10780904" TargetMode="External" Id="rId1109"/><Relationship Type="http://schemas.openxmlformats.org/officeDocument/2006/relationships/hyperlink" Target="https://entrackr.com/snippets/wellness-platform-unlimitr-raises-11-mn-in-seed-round-10782932" TargetMode="External" Id="rId1110"/><Relationship Type="http://schemas.openxmlformats.org/officeDocument/2006/relationships/hyperlink" Target="https://entrackr.com/snippets/axirium-aerospace-raises-35-mn-in-seed-round-10785238" TargetMode="External" Id="rId1111"/><Relationship Type="http://schemas.openxmlformats.org/officeDocument/2006/relationships/hyperlink" Target="https://entrackr.com/snippets/pype-ai-raises-12-mn-in-pre-seed-round-led-by-kalaari-capital-10783582" TargetMode="External" Id="rId1112"/><Relationship Type="http://schemas.openxmlformats.org/officeDocument/2006/relationships/hyperlink" Target="https://entrackr.com/news/yubi-group-raises-rs-411-cr-in-new-round-10784431" TargetMode="External" Id="rId1113"/><Relationship Type="http://schemas.openxmlformats.org/officeDocument/2006/relationships/hyperlink" Target="https://entrackr.com/snippets/homerun-raises-rs-9-cr-in-seed-round-led-by-titan-and-sparrow-capital-10788591" TargetMode="External" Id="rId1114"/><Relationship Type="http://schemas.openxmlformats.org/officeDocument/2006/relationships/hyperlink" Target="https://entrackr.com/snippets/pidge-raises-rs-120-cr-in-growth-capital-led-by-lvec-10788193" TargetMode="External" Id="rId1115"/><Relationship Type="http://schemas.openxmlformats.org/officeDocument/2006/relationships/hyperlink" Target="https://inc42.com/buzz/from-yubi-to-agrostar-indian-startups-raised-171-mn-funding-this-week/" TargetMode="External" Id="rId1116"/><Relationship Type="http://schemas.openxmlformats.org/officeDocument/2006/relationships/hyperlink" Target="https://entrackr.com/snippets/stylework-raises-rs-30-cr-in-pre-series-b-led-by-equentis-10790194" TargetMode="External" Id="rId1117"/><Relationship Type="http://schemas.openxmlformats.org/officeDocument/2006/relationships/hyperlink" Target="https://entrackr.com/snippets/synthio-labs-raises-5-mn-in-seed-round-led-by-elevation-capital-10787826" TargetMode="External" Id="rId1118"/><Relationship Type="http://schemas.openxmlformats.org/officeDocument/2006/relationships/hyperlink" Target="https://entrackr.com/news/tractor-junction-raises-22-mn-led-by-astanor-10787648" TargetMode="External" Id="rId1119"/><Relationship Type="http://schemas.openxmlformats.org/officeDocument/2006/relationships/hyperlink" Target="https://entrackr.com/news/agraga-raises-rs-100-cr-in-pre-series-b-led-by-bajaj-finserv-group-10791728" TargetMode="External" Id="rId1120"/><Relationship Type="http://schemas.openxmlformats.org/officeDocument/2006/relationships/hyperlink" Target="https://entrackr.com/news/agrostar-raises-30-mn-led-by-just-climate-10791229" TargetMode="External" Id="rId1121"/><Relationship Type="http://schemas.openxmlformats.org/officeDocument/2006/relationships/hyperlink" Target="https://entrackr.com/exclusive/exclusive-bigbasket-secures-rs-200-cr-debt-10791340" TargetMode="External" Id="rId1122"/><Relationship Type="http://schemas.openxmlformats.org/officeDocument/2006/relationships/hyperlink" Target="https://entrackr.com/snippets/ctrlb-raises-25-mn-in-seed-round-led-by-chiratae-ventures-10791356" TargetMode="External" Id="rId1123"/><Relationship Type="http://schemas.openxmlformats.org/officeDocument/2006/relationships/hyperlink" Target="https://entrackr.com/snippets/fintech-startup-kaaj-raises-38-mn-led-by-kindred-ventures-10791234" TargetMode="External" Id="rId1124"/><Relationship Type="http://schemas.openxmlformats.org/officeDocument/2006/relationships/hyperlink" Target="https://economictimes.indiatimes.com/tech/funding/insurtech-startup-pibit-ai-raises-7-million-from-stellaris-others/articleshow/125465379.cms" TargetMode="External" Id="rId1125"/><Relationship Type="http://schemas.openxmlformats.org/officeDocument/2006/relationships/hyperlink" Target="https://economictimes.indiatimes.com/tech/funding/semiconductor-startup-sophrosyne-technologies-raises-2-million-from-bluehill-vc/articleshow/125466494.cms" TargetMode="External" Id="rId1126"/><Relationship Type="http://schemas.openxmlformats.org/officeDocument/2006/relationships/hyperlink" Target="https://entrackr.com/snippets/thimblerr-raises-14-mn-led-by-inflection-point-ventures-10791498" TargetMode="External" Id="rId1127"/><Relationship Type="http://schemas.openxmlformats.org/officeDocument/2006/relationships/hyperlink" Target="https://inc42.com/buzz/from-yubi-to-agrostar-indian-startups-raised-171-mn-funding-this-week/" TargetMode="External" Id="rId1128"/><Relationship Type="http://schemas.openxmlformats.org/officeDocument/2006/relationships/hyperlink" Target="https://entrackr.com/snippets/ai-research-startup-redrob-secures-10-mn-in-series-a-round-10799367" TargetMode="External" Id="rId1129"/><Relationship Type="http://schemas.openxmlformats.org/officeDocument/2006/relationships/hyperlink" Target="https://entrackr.com/news/agnikul-raises-17-mn-at-500-mn-valuation-to-scale-launches-and-infra-10801995" TargetMode="External" Id="rId1130"/><Relationship Type="http://schemas.openxmlformats.org/officeDocument/2006/relationships/hyperlink" Target="https://entrackr.com/snippets/pontaq-invests-rs-55-cr-in-dweepi-and-edgehax-10807007" TargetMode="External" Id="rId1131"/><Relationship Type="http://schemas.openxmlformats.org/officeDocument/2006/relationships/hyperlink" Target="https://entrackr.com/snippets/fae-beauty-raises-2-mn-led-by-spring-marketing-capital-10806635" TargetMode="External" Id="rId1132"/><Relationship Type="http://schemas.openxmlformats.org/officeDocument/2006/relationships/hyperlink" Target="https://entrackr.com/snippets/finreach-raises-rs-219-cr-led-by-colossa-ventures-10806403" TargetMode="External" Id="rId1133"/><Relationship Type="http://schemas.openxmlformats.org/officeDocument/2006/relationships/hyperlink" Target="https://entrackr.com/news/wealthy-raises-rs-130-cr-led-by-bertelsmann-india-investments-10806350" TargetMode="External" Id="rId1134"/><Relationship Type="http://schemas.openxmlformats.org/officeDocument/2006/relationships/hyperlink" Target="https://inc42.com/buzz/from-ripplr-to-neo-indian-startups-raised-195-mn-this-week/" TargetMode="External" Id="rId1135"/><Relationship Type="http://schemas.openxmlformats.org/officeDocument/2006/relationships/hyperlink" Target="https://entrackr.com/snippets/crisprbits-raises-3-mn-led-by-spectrum-impact-10810189" TargetMode="External" Id="rId1136"/><Relationship Type="http://schemas.openxmlformats.org/officeDocument/2006/relationships/hyperlink" Target="https://inc42.com/buzz/from-ripplr-to-neo-indian-startups-raised-195-mn-this-week/" TargetMode="External" Id="rId1137"/><Relationship Type="http://schemas.openxmlformats.org/officeDocument/2006/relationships/hyperlink" Target="https://inc42.com/buzz/from-ripplr-to-neo-indian-startups-raised-195-mn-this-week/" TargetMode="External" Id="rId1138"/><Relationship Type="http://schemas.openxmlformats.org/officeDocument/2006/relationships/hyperlink" Target="https://inc42.com/buzz/from-ripplr-to-neo-indian-startups-raised-195-mn-this-week/" TargetMode="External" Id="rId1139"/><Relationship Type="http://schemas.openxmlformats.org/officeDocument/2006/relationships/hyperlink" Target="https://entrackr.com/snippets/riverline-ai-raises-825k-in-pre-seed-round-led-by-south-park-commons-10810092" TargetMode="External" Id="rId1140"/><Relationship Type="http://schemas.openxmlformats.org/officeDocument/2006/relationships/hyperlink" Target="https://entrackr.com/snippets/zinit-raises-8-mn-in-seed-round-led-by-altair-capital-10810220" TargetMode="External" Id="rId1141"/><Relationship Type="http://schemas.openxmlformats.org/officeDocument/2006/relationships/hyperlink" Target="https://inc42.com/buzz/from-ripplr-to-neo-indian-startups-raised-195-mn-this-week/" TargetMode="External" Id="rId1142"/><Relationship Type="http://schemas.openxmlformats.org/officeDocument/2006/relationships/hyperlink" Target="https://entrackr.com/snippets/3ev-industries-raises-rs-120-cr-in-series-a-led-by-mahanagar-gas-10813666" TargetMode="External" Id="rId1143"/><Relationship Type="http://schemas.openxmlformats.org/officeDocument/2006/relationships/hyperlink" Target="https://entrackr.com/snippets/arctus-aerospace-raises-26-mn-in-pre-seed-round-10813830" TargetMode="External" Id="rId1144"/><Relationship Type="http://schemas.openxmlformats.org/officeDocument/2006/relationships/hyperlink" Target="https://entrackr.com/snippets/fintech-startup-axitrust-raises-rs-235-cr-in-seed-round-led-by-general-catalyst-10813938" TargetMode="External" Id="rId1145"/><Relationship Type="http://schemas.openxmlformats.org/officeDocument/2006/relationships/hyperlink" Target="https://entrackr.com/snippets/definedge-closes-first-institutional-and-angel-round-10814096" TargetMode="External" Id="rId1146"/><Relationship Type="http://schemas.openxmlformats.org/officeDocument/2006/relationships/hyperlink" Target="https://entrackr.com/snippets/enerzi-raises-rs-165-cr-in-seed-round-led-by-capital-a-10813557" TargetMode="External" Id="rId1147"/><Relationship Type="http://schemas.openxmlformats.org/officeDocument/2006/relationships/hyperlink" Target="https://entrackr.com/snippets/lightspeed-photonics-raises-65-mn-led-by-pi-ventures-10812957" TargetMode="External" Id="rId1148"/><Relationship Type="http://schemas.openxmlformats.org/officeDocument/2006/relationships/hyperlink" Target="https://entrackr.com/snippets/arkam-leads-rs-575-cr-series-a-round-in-mirana-toys-10812979" TargetMode="External" Id="rId1149"/><Relationship Type="http://schemas.openxmlformats.org/officeDocument/2006/relationships/hyperlink" Target="https://entrackr.com/snippets/onya-raises-pre-seed-round-led-by-zeropearl-vc-10813520" TargetMode="External" Id="rId1150"/><Relationship Type="http://schemas.openxmlformats.org/officeDocument/2006/relationships/hyperlink" Target="https://entrackr.com/snippets/primebook-raises-250k-extension-round-from-ekamya-capital-10814568" TargetMode="External" Id="rId1151"/><Relationship Type="http://schemas.openxmlformats.org/officeDocument/2006/relationships/hyperlink" Target="https://www.vccircle.com/squareyards-secures-offshore-vc-funding-at-900-mn-pre-money-valuation" TargetMode="External" Id="rId1152"/><Relationship Type="http://schemas.openxmlformats.org/officeDocument/2006/relationships/hyperlink" Target="https://entrackr.com/news/ace-international-raises-35-mn-led-by-fmo-10816469" TargetMode="External" Id="rId1153"/><Relationship Type="http://schemas.openxmlformats.org/officeDocument/2006/relationships/hyperlink" Target="https://entrackr.com/exclusive/exclusive-edu-fintech-company-auxilo-raises-rs-225-cr-debt-10816685" TargetMode="External" Id="rId1154"/><Relationship Type="http://schemas.openxmlformats.org/officeDocument/2006/relationships/hyperlink" Target="https://entrackr.com/snippets/batterypool-raises-rs-8-crore-led-by-ipv-10816753" TargetMode="External" Id="rId1155"/><Relationship Type="http://schemas.openxmlformats.org/officeDocument/2006/relationships/hyperlink" Target="https://economictimes.indiatimes.com/tech/funding/cloudextel-raises-rs-200-crore-in-debt-to-scale-ai-ready-digital-infrastructure-metro-fibre-network/articleshow/125607217.cms" TargetMode="External" Id="rId1156"/><Relationship Type="http://schemas.openxmlformats.org/officeDocument/2006/relationships/hyperlink" Target="https://inc42.com/buzz/from-ripplr-to-neo-indian-startups-raised-195-mn-this-week/" TargetMode="External" Id="rId1157"/><Relationship Type="http://schemas.openxmlformats.org/officeDocument/2006/relationships/hyperlink" Target="https://entrackr.com/exclusive/exclusive-moneyview-secures-rs-100-cr-debt-appoints-independent-directors-10817370" TargetMode="External" Id="rId1158"/><Relationship Type="http://schemas.openxmlformats.org/officeDocument/2006/relationships/hyperlink" Target="https://entrackr.com/snippets/ev-battery-manufacturer-neuron-energy-raises-rs-31-cr-in-pre-series-b-round-10817307" TargetMode="External" Id="rId1159"/><Relationship Type="http://schemas.openxmlformats.org/officeDocument/2006/relationships/hyperlink" Target="https://entrackr.com/snippets/dealshare-co-founders-startup-sports-for-life-raises-rs-2157-cr-in-series-a-10817397" TargetMode="External" Id="rId1160"/><Relationship Type="http://schemas.openxmlformats.org/officeDocument/2006/relationships/hyperlink" Target="https://entrackr.com/news/zerodha-invests-5-mn-in-tijori-10817854" TargetMode="External" Id="rId1161"/><Relationship Type="http://schemas.openxmlformats.org/officeDocument/2006/relationships/hyperlink" Target="https://entrackr.com/snippets/yuvrit-ayurveda-raises-800k-in-seed-round-led-by-incubate-fund-asia-10816883" TargetMode="External" Id="rId1162"/><Relationship Type="http://schemas.openxmlformats.org/officeDocument/2006/relationships/hyperlink" Target="https://entrackr.com/snippets/clean-energy-company-candi-solar-raises-585-mn-led-by-ifc-10820043" TargetMode="External" Id="rId1163"/><Relationship Type="http://schemas.openxmlformats.org/officeDocument/2006/relationships/hyperlink" Target="https://entrackr.com/news/ripplr-raises-45-mn-from-sbi-and-existing-investors-10820565" TargetMode="External" Id="rId1164"/><Relationship Type="http://schemas.openxmlformats.org/officeDocument/2006/relationships/hyperlink" Target="https://entrackr.com/snippets/iztri-raises-rs-15-cr-in-pre-seed-round-from-ajvc-10827254" TargetMode="External" Id="rId1165"/><Relationship Type="http://schemas.openxmlformats.org/officeDocument/2006/relationships/hyperlink" Target="https://entrackr.com/exclusive/exclusive-atomberg-raises-rs-212-cr-in-series-c-extension-led-by-temasek-10827810" TargetMode="External" Id="rId1166"/><Relationship Type="http://schemas.openxmlformats.org/officeDocument/2006/relationships/hyperlink" Target="https://entrackr.com/news/finfactor-raises-15-mn-in-series-a-led-by-westbridge-10828669" TargetMode="External" Id="rId1167"/><Relationship Type="http://schemas.openxmlformats.org/officeDocument/2006/relationships/hyperlink" Target="https://economictimes.indiatimes.com/tech/funding/account-aggregator-finvu-secures-15-million-from-westbridge-capital-existing-investors/articleshow/125692723.cms" TargetMode="External" Id="rId1168"/><Relationship Type="http://schemas.openxmlformats.org/officeDocument/2006/relationships/hyperlink" Target="https://inc42.com/buzz/from-ultraviolette-to-furlenco-indian-startups-raised-133-mn-this-week/" TargetMode="External" Id="rId1169"/><Relationship Type="http://schemas.openxmlformats.org/officeDocument/2006/relationships/hyperlink" Target="https://entrackr.com/news/modulus-housing-raises-rs-70-cr-in-series-a-round-10830476" TargetMode="External" Id="rId1170"/><Relationship Type="http://schemas.openxmlformats.org/officeDocument/2006/relationships/hyperlink" Target="https://inc42.com/buzz/from-ultraviolette-to-furlenco-indian-startups-raised-133-mn-this-week/" TargetMode="External" Id="rId1171"/><Relationship Type="http://schemas.openxmlformats.org/officeDocument/2006/relationships/hyperlink" Target="https://inc42.com/buzz/from-ultraviolette-to-furlenco-indian-startups-raised-133-mn-this-week/" TargetMode="External" Id="rId1172"/><Relationship Type="http://schemas.openxmlformats.org/officeDocument/2006/relationships/hyperlink" Target="https://economictimes.indiatimes.com/tech/funding/learning-platform-yoodli-raises-40-million-in-round-led-by-westbridge-capital/articleshow/125721978.cms" TargetMode="External" Id="rId1173"/><Relationship Type="http://schemas.openxmlformats.org/officeDocument/2006/relationships/hyperlink" Target="https://entrackr.com/news/furlenco-raises-rs-125-cr-from-sheela-foam-and-others-10867252" TargetMode="External" Id="rId1174"/><Relationship Type="http://schemas.openxmlformats.org/officeDocument/2006/relationships/hyperlink" Target="https://entrackr.com/snippets/lending-platform-mannjal-raises-rs-175-cr-led-by-arali-ventures-10871729" TargetMode="External" Id="rId1175"/><Relationship Type="http://schemas.openxmlformats.org/officeDocument/2006/relationships/hyperlink" Target="https://entrackr.com/snippets/mirror-security-raises-25-mn-from-sure-valley-ventures-and-atlantic-bridge-10868401" TargetMode="External" Id="rId1176"/><Relationship Type="http://schemas.openxmlformats.org/officeDocument/2006/relationships/hyperlink" Target="https://entrackr.com/snippets/moonrider-raises-6-mn-in-series-a-round-led-by-pi-ventures-10866866" TargetMode="External" Id="rId1177"/><Relationship Type="http://schemas.openxmlformats.org/officeDocument/2006/relationships/hyperlink" Target="https://entrackr.com/snippets/apparel-brand-replyall-raises-rs-68-cr-led-by-sparrow-capital-10867036" TargetMode="External" Id="rId1178"/><Relationship Type="http://schemas.openxmlformats.org/officeDocument/2006/relationships/hyperlink" Target="https://inc42.com/buzz/from-ultraviolette-to-furlenco-indian-startups-raised-133-mn-this-week/" TargetMode="External" Id="rId1179"/><Relationship Type="http://schemas.openxmlformats.org/officeDocument/2006/relationships/hyperlink" Target="https://entrackr.com/snippets/coreopsai-raises-35-mn-in-pre-series-a-round-led-by-siana-capital-10880078" TargetMode="External" Id="rId1180"/><Relationship Type="http://schemas.openxmlformats.org/officeDocument/2006/relationships/hyperlink" Target="https://economictimes.indiatimes.com/tech/funding/ipo-bound-inmobi-gets-350-million-from-varde-elham-seatown/articleshow/125751688.cms" TargetMode="External" Id="rId1181"/><Relationship Type="http://schemas.openxmlformats.org/officeDocument/2006/relationships/hyperlink" Target="https://inc42.com/buzz/from-ultraviolette-to-furlenco-indian-startups-raised-133-mn-this-week/" TargetMode="External" Id="rId1182"/><Relationship Type="http://schemas.openxmlformats.org/officeDocument/2006/relationships/hyperlink" Target="https://entrackr.com/snippets/tida-sports-raises-seed-round-led-by-ipv-10881092" TargetMode="External" Id="rId1183"/><Relationship Type="http://schemas.openxmlformats.org/officeDocument/2006/relationships/hyperlink" Target="https://entrackr.com/news/zoho-backed-ultraviolette-raises-45-mn-in-ongoing-series-e-round-10880900" TargetMode="External" Id="rId1184"/><Relationship Type="http://schemas.openxmlformats.org/officeDocument/2006/relationships/hyperlink" Target="https://entrackr.com/snippets/redapto-raises-500k-in-seed-round-led-by-y-combinator-10884132" TargetMode="External" Id="rId1185"/><Relationship Type="http://schemas.openxmlformats.org/officeDocument/2006/relationships/hyperlink" Target="https://inc42.com/buzz/from-fibe-to-smart-joules-indian-startups-raised-127-mn-this-week/" TargetMode="External" Id="rId1186"/><Relationship Type="http://schemas.openxmlformats.org/officeDocument/2006/relationships/hyperlink" Target="https://entrackr.com/snippets/conscious-chemist-raises-18-mn-in-bridge-round-led-by-atomic-capital-10891759" TargetMode="External" Id="rId1187"/><Relationship Type="http://schemas.openxmlformats.org/officeDocument/2006/relationships/hyperlink" Target="https://entrackr.com/snippets/frex-raises-rs-95-cr-led-by-zeropearl-vc-and-white-venture-capital-10891996" TargetMode="External" Id="rId1188"/><Relationship Type="http://schemas.openxmlformats.org/officeDocument/2006/relationships/hyperlink" Target="https://entrackr.com/snippets/koriken-raises-seed-round-led-by-rukam-capital-10892158" TargetMode="External" Id="rId1189"/><Relationship Type="http://schemas.openxmlformats.org/officeDocument/2006/relationships/hyperlink" Target="https://entrackr.com/snippets/orthopedic-recovery-startup-lumov-raises-12-mn-led-by-incubate-fund-10891182" TargetMode="External" Id="rId1190"/><Relationship Type="http://schemas.openxmlformats.org/officeDocument/2006/relationships/hyperlink" Target="https://inc42.com/buzz/from-moengage-to-digantara-indian-startups-raised-347-mn-this-week/" TargetMode="External" Id="rId1191"/><Relationship Type="http://schemas.openxmlformats.org/officeDocument/2006/relationships/hyperlink" Target="https://economictimes.indiatimes.com/tech/startups/emergent-gets-strategic-investment-from-googles-ai-futures-fund/articleshow/125861248.cms" TargetMode="External" Id="rId1192"/><Relationship Type="http://schemas.openxmlformats.org/officeDocument/2006/relationships/hyperlink" Target="https://entrackr.com/news/fibe-raises-35-mn-in-series-f-round-led-by-ifc-10895526" TargetMode="External" Id="rId1193"/><Relationship Type="http://schemas.openxmlformats.org/officeDocument/2006/relationships/hyperlink" Target="https://entrackr.com/snippets/googles-ai-futures-fund-backs-mukund-jhas-emergent-10894181" TargetMode="External" Id="rId1194"/><Relationship Type="http://schemas.openxmlformats.org/officeDocument/2006/relationships/hyperlink" Target="https://entrackr.com/snippets/ai-email-client-faraday-raises-02-mn-in-pre-seed-round-led-by-ajvc-10897658" TargetMode="External" Id="rId1195"/><Relationship Type="http://schemas.openxmlformats.org/officeDocument/2006/relationships/hyperlink" Target="https://entrackr.com/snippets/dr-paws-raises-rs-293-cr-in-pre-series-a-led-by-chiratae-ventures-10897458" TargetMode="External" Id="rId1196"/><Relationship Type="http://schemas.openxmlformats.org/officeDocument/2006/relationships/hyperlink" Target="https://entrackr.com/snippets/earthful-raises-rs-26-cr-led-by-fireside-and-v3-ventures-10897435" TargetMode="External" Id="rId1197"/><Relationship Type="http://schemas.openxmlformats.org/officeDocument/2006/relationships/hyperlink" Target="https://economictimes.indiatimes.com/tech/funding/electronic-design-startup-elecbits-raises-5-5-million-in-series-a-round-led-by-nexus-venture-partners/articleshow/125892435.cms" TargetMode="External" Id="rId1198"/><Relationship Type="http://schemas.openxmlformats.org/officeDocument/2006/relationships/hyperlink" Target="https://inc42.com/buzz/from-fibe-to-smart-joules-indian-startups-raised-127-mn-this-week/" TargetMode="External" Id="rId1199"/><Relationship Type="http://schemas.openxmlformats.org/officeDocument/2006/relationships/hyperlink" Target="https://entrackr.com/snippets/quick-fashion-delivery-startup-knot-raises-5-mn-to-scale-60-min-delivery-10897062" TargetMode="External" Id="rId1200"/><Relationship Type="http://schemas.openxmlformats.org/officeDocument/2006/relationships/hyperlink" Target="https://entrackr.com/news/skydo-raises-10-mn-in-series-a-led-by-susquehanna-asia-vc-10897099" TargetMode="External" Id="rId1201"/><Relationship Type="http://schemas.openxmlformats.org/officeDocument/2006/relationships/hyperlink" Target="https://entrackr.com/snippets/smart-joules-raises-10-mn-in-series-b-round-10898864" TargetMode="External" Id="rId1202"/><Relationship Type="http://schemas.openxmlformats.org/officeDocument/2006/relationships/hyperlink" Target="https://entrackr.com/snippets/superbryn-raises-12-mn-led-by-kalaari-capitals-cxxo-10895434" TargetMode="External" Id="rId1203"/><Relationship Type="http://schemas.openxmlformats.org/officeDocument/2006/relationships/hyperlink" Target="https://entrackr.com/snippets/edtech-startup-uolo-raises-7-mn-led-by-five-sigma-10897310" TargetMode="External" Id="rId1204"/><Relationship Type="http://schemas.openxmlformats.org/officeDocument/2006/relationships/hyperlink" Target="https://entrackr.com/news/inito-raises-29-mn-in-series-b-round-led-by-bertelsmann-india-10900583" TargetMode="External" Id="rId1205"/><Relationship Type="http://schemas.openxmlformats.org/officeDocument/2006/relationships/hyperlink" Target="https://inc42.com/buzz/from-fibe-to-smart-joules-indian-startups-raised-127-mn-this-week/" TargetMode="External" Id="rId1206"/><Relationship Type="http://schemas.openxmlformats.org/officeDocument/2006/relationships/hyperlink" Target="https://entrackr.com/snippets/wearable-startup-neosapien-raises-2-mn-in-seed-round-led-by-merak-ventures-10901118" TargetMode="External" Id="rId1207"/><Relationship Type="http://schemas.openxmlformats.org/officeDocument/2006/relationships/hyperlink" Target="https://entrackr.com/snippets/toffee-coffee-roasters-raises-pre-series-a-round-led-by-ipv-10900966" TargetMode="External" Id="rId1208"/><Relationship Type="http://schemas.openxmlformats.org/officeDocument/2006/relationships/hyperlink" Target="https://inc42.com/buzz/from-fibe-to-smart-joules-indian-startups-raised-127-mn-this-week/" TargetMode="External" Id="rId1209"/><Relationship Type="http://schemas.openxmlformats.org/officeDocument/2006/relationships/hyperlink" Target="https://inc42.com/buzz/from-moengage-to-digantara-indian-startups-raised-347-mn-this-week/" TargetMode="External" Id="rId1210"/><Relationship Type="http://schemas.openxmlformats.org/officeDocument/2006/relationships/hyperlink" Target="https://inc42.com/buzz/from-moengage-to-digantara-indian-startups-raised-347-mn-this-week/" TargetMode="External" Id="rId1211"/><Relationship Type="http://schemas.openxmlformats.org/officeDocument/2006/relationships/hyperlink" Target="https://entrackr.com/snippets/kids-focused-resale-platform-ipf-raises-seed-funding-led-by-titan-capital-10911784" TargetMode="External" Id="rId1212"/><Relationship Type="http://schemas.openxmlformats.org/officeDocument/2006/relationships/hyperlink" Target="https://entrackr.com/snippets/legal-tech-startup-lawyered-raises-rs-85-cr-in-all-titans-deal-on-ideabaaz-10911539" TargetMode="External" Id="rId1213"/><Relationship Type="http://schemas.openxmlformats.org/officeDocument/2006/relationships/hyperlink" Target="https://entrackr.com/snippets/rotoris-watches-raises-3-mn-from-nikhil-kamath-vivek-oberoi-others-10910880" TargetMode="External" Id="rId1214"/><Relationship Type="http://schemas.openxmlformats.org/officeDocument/2006/relationships/hyperlink" Target="https://inc42.com/buzz/from-moengage-to-digantara-indian-startups-raised-347-mn-this-week/" TargetMode="External" Id="rId1215"/><Relationship Type="http://schemas.openxmlformats.org/officeDocument/2006/relationships/hyperlink" Target="https://economictimes.indiatimes.com/tech/funding/experiential-tech-startup-tagbin-raises-10-million-focusses-on-ai-led-govt-platforms/articleshow/125983524.cms" TargetMode="External" Id="rId1216"/><Relationship Type="http://schemas.openxmlformats.org/officeDocument/2006/relationships/hyperlink" Target="https://economictimes.indiatimes.com/tech/funding/tech-led-retailer-ace-turtle-raises-5-million-in-round-led-by-existing-investor-vertex-holdings/articleshow/126013965.cms" TargetMode="External" Id="rId1217"/><Relationship Type="http://schemas.openxmlformats.org/officeDocument/2006/relationships/hyperlink" Target="https://entrackr.com/snippets/climate-tech-startup-aurassure-raises-rs-25-cr-in-pre-series-a-10913873" TargetMode="External" Id="rId1218"/><Relationship Type="http://schemas.openxmlformats.org/officeDocument/2006/relationships/hyperlink" Target="https://entrackr.com/news/spacetech-startup-digantara-raises-50-mn-in-series-b-round-10915992" TargetMode="External" Id="rId1219"/><Relationship Type="http://schemas.openxmlformats.org/officeDocument/2006/relationships/hyperlink" Target="https://entrackr.com/snippets/consumer-appliances-startup-edt-raises-14-mn-in-pre-seed-round-led-by-sauce-vc-10913470" TargetMode="External" Id="rId1220"/><Relationship Type="http://schemas.openxmlformats.org/officeDocument/2006/relationships/hyperlink" Target="https://entrackr.com/news/haircare-startup-moxie-beauty-raises-15-mn-in-series-a-led-by-bessemer-10913742" TargetMode="External" Id="rId1221"/><Relationship Type="http://schemas.openxmlformats.org/officeDocument/2006/relationships/hyperlink" Target="https://entrackr.com/snippets/quintrans-raises-750k-in-pre-seed-round-led-by-capital-a-10914468" TargetMode="External" Id="rId1222"/><Relationship Type="http://schemas.openxmlformats.org/officeDocument/2006/relationships/hyperlink" Target="https://inc42.com/buzz/from-moengage-to-digantara-indian-startups-raised-347-mn-this-week/" TargetMode="External" Id="rId1223"/><Relationship Type="http://schemas.openxmlformats.org/officeDocument/2006/relationships/hyperlink" Target="https://entrackr.com/snippets/shapewear-brand-underneat-raises-6-mn-in-pre-series-a-led-by-fireside-ventures-10914712" TargetMode="External" Id="rId1224"/><Relationship Type="http://schemas.openxmlformats.org/officeDocument/2006/relationships/hyperlink" Target="https://entrackr.com/snippets/cellarim-labs-raises-seed-round-led-by-3i-partners-and-venture-catalysts-10918040" TargetMode="External" Id="rId1225"/><Relationship Type="http://schemas.openxmlformats.org/officeDocument/2006/relationships/hyperlink" Target="https://entrackr.com/snippets/decode-age-raises-17-mn-in-pre-series-a-round-10917447" TargetMode="External" Id="rId1226"/><Relationship Type="http://schemas.openxmlformats.org/officeDocument/2006/relationships/hyperlink" Target="https://inc42.com/buzz/from-moengage-to-digantara-indian-startups-raised-347-mn-this-week/" TargetMode="External" Id="rId1227"/><Relationship Type="http://schemas.openxmlformats.org/officeDocument/2006/relationships/hyperlink" Target="https://inc42.com/buzz/from-moengage-to-digantara-indian-startups-raised-347-mn-this-week/" TargetMode="External" Id="rId1228"/><Relationship Type="http://schemas.openxmlformats.org/officeDocument/2006/relationships/hyperlink" Target="https://entrackr.com/snippets/shilpa-shetty-backed-wickedgud-raises-rs-20-cr-10917736" TargetMode="External" Id="rId1229"/><Relationship Type="http://schemas.openxmlformats.org/officeDocument/2006/relationships/hyperlink" Target="https://entrackr.com/snippets/magma-closes-series-a-round-at-8-mn-10920637" TargetMode="External" Id="rId1230"/><Relationship Type="http://schemas.openxmlformats.org/officeDocument/2006/relationships/hyperlink" Target="https://entrackr.com/news/electric-motorcycle-maker-oben-electric-raises-102-mn-in-pre-series-b-round-10920607" TargetMode="External" Id="rId1231"/><Relationship Type="http://schemas.openxmlformats.org/officeDocument/2006/relationships/hyperlink" Target="https://entrackr.com/exclusive/exclusive-ev-startup-qucev-raises-15-mn-in-series-b-10920036" TargetMode="External" Id="rId1232"/><Relationship Type="http://schemas.openxmlformats.org/officeDocument/2006/relationships/hyperlink" Target="https://economictimes.indiatimes.com/tech/startups/workindia-raises-rs-97-crore-in-round-led-by-aavishkaar-capital/articleshow/126060485.cms" TargetMode="External" Id="rId1233"/><Relationship Type="http://schemas.openxmlformats.org/officeDocument/2006/relationships/hyperlink" Target="https://entrackr.com/snippets/alimento-agro-foods-raises-rs-52-cr-led-by-ivycap-ventures-10923126" TargetMode="External" Id="rId1234"/><Relationship Type="http://schemas.openxmlformats.org/officeDocument/2006/relationships/hyperlink" Target="https://inc42.com/buzz/from-moengage-to-digantara-indian-startups-raised-347-mn-this-week/" TargetMode="External" Id="rId1235"/><Relationship Type="http://schemas.openxmlformats.org/officeDocument/2006/relationships/hyperlink" Target="https://entrackr.com/news/stockgro-raises-13-mn-in-series-b1-funding-from-bitkraft-ventures-10922949" TargetMode="External" Id="rId1236"/><Relationship Type="http://schemas.openxmlformats.org/officeDocument/2006/relationships/hyperlink" Target="https://entrackr.com/snippets/healthcare-edtech-startup-virohan-raises-75-mn-in-ongoing-series-b-10923709" TargetMode="External" Id="rId1237"/><Relationship Type="http://schemas.openxmlformats.org/officeDocument/2006/relationships/hyperlink" Target="https://inc42.com/buzz/from-moengage-to-digantara-indian-startups-raised-347-mn-this-week/" TargetMode="External" Id="rId1238"/><Relationship Type="http://schemas.openxmlformats.org/officeDocument/2006/relationships/hyperlink" Target="https://entrackr.com/snippets/symbiotics-leads-18-mn-debt-round-in-dugar-finance-10931080" TargetMode="External" Id="rId1239"/><Relationship Type="http://schemas.openxmlformats.org/officeDocument/2006/relationships/hyperlink" Target="https://entrackr.com/snippets/plasmagen-biosciences-raises-rs-150-cr-led-by-vins-bioproducts-10931632" TargetMode="External" Id="rId1240"/><Relationship Type="http://schemas.openxmlformats.org/officeDocument/2006/relationships/hyperlink" Target="https://entrackr.com/news/powerup-money-raises-12-mn-in-series-a-round-led-by-peak-xv-10930747" TargetMode="External" Id="rId1241"/><Relationship Type="http://schemas.openxmlformats.org/officeDocument/2006/relationships/hyperlink" Target="https://inc42.com/buzz/from-coreel-technologies-to-powerup-money-indian-startups-raised-49-mn-this-week/" TargetMode="External" Id="rId1242"/><Relationship Type="http://schemas.openxmlformats.org/officeDocument/2006/relationships/hyperlink" Target="https://entrackr.com/news/aerospace-and-defence-tech-firm-coreel-technologies-raises-30-mn-in-series-b-round-10940257" TargetMode="External" Id="rId1243"/><Relationship Type="http://schemas.openxmlformats.org/officeDocument/2006/relationships/hyperlink" Target="https://entrackr.com/snippets/naxatra-labs-raises-3-mn-pre-series-a-led-by-rainmatter-10940472" TargetMode="External" Id="rId1244"/><Relationship Type="http://schemas.openxmlformats.org/officeDocument/2006/relationships/hyperlink" Target="https://entrackr.com/snippets/tax-management-infra-startup-prosperrio-raises-4-mn-led-by-jungle-ventures-10939505" TargetMode="External" Id="rId1245"/><Relationship Type="http://schemas.openxmlformats.org/officeDocument/2006/relationships/hyperlink" Target="https://inc42.com/buzz/from-coreel-technologies-to-powerup-money-indian-startups-raised-49-mn-this-week/" TargetMode="External" Id="rId1246"/><Relationship Type="http://schemas.openxmlformats.org/officeDocument/2006/relationships/hyperlink" Target="https://entrackr.com/news/ola-electric-secures-rs-36678-cr-under-govt-pli-scheme-for-fy25-10946920" TargetMode="External" Id="rId1247"/><Relationship Type="http://schemas.openxmlformats.org/officeDocument/2006/relationships/hyperlink" Target="https://inc42.com/buzz/from-coreel-technologies-to-powerup-money-indian-startups-raised-49-mn-this-week/" TargetMode="External" Id="rId1248"/><Relationship Type="http://schemas.openxmlformats.org/officeDocument/2006/relationships/hyperlink" Target="https://entrackr.com/exclusive/exclusive-footwear-brand-neemans-raising-fresh-funding-from-multiple-investors-10954502" TargetMode="External" Id="rId1249"/><Relationship Type="http://schemas.openxmlformats.org/officeDocument/2006/relationships/hyperlink" Target="https://economictimes.indiatimes.com/tech/funding/india-based-speed-raises-8m-from-tether-and-ego-death-capital-to-accelerate-lightning-powered-bitcoin-and-stablecoin-payments/articleshow/126269068.cms" TargetMode="External" Id="rId1250"/><Relationship Type="http://schemas.openxmlformats.org/officeDocument/2006/relationships/hyperlink" Target="https://entrackr.com/exclusive/exclusive-proptech-startup-truva-raises-63-mn-at-over-30-mn-valuation-10960350" TargetMode="External" Id="rId1251"/><Relationship Type="http://schemas.openxmlformats.org/officeDocument/2006/relationships/hyperlink" Target="https://entrackr.com/news/agritech-firm-aryaag-raises-over-80-mn-in-series-d-from-gef-capital-10965656" TargetMode="External" Id="rId1252"/><Relationship Type="http://schemas.openxmlformats.org/officeDocument/2006/relationships/hyperlink" Target="https://entrackr.com/news/knight-fintech-raises-236-mn-led-by-accel-10965193" TargetMode="External" Id="rId1253"/><Relationship Type="http://schemas.openxmlformats.org/officeDocument/2006/relationships/hyperlink" Target="https://inc42.com/buzz/from-even-healthcare-to-takeme2space-indian-startups-raised-68-mn-this-week/" TargetMode="External" Id="rId1254"/><Relationship Type="http://schemas.openxmlformats.org/officeDocument/2006/relationships/hyperlink" Target="https://entrackr.com/snippets/consulting-startup-kayess-square-raises-rs-10-cr-in-pre-series-a-10973198" TargetMode="External" Id="rId1255"/><Relationship Type="http://schemas.openxmlformats.org/officeDocument/2006/relationships/hyperlink" Target="https://entrackr.com/snippets/payment-infra-startup-mylapay-raises-1-mn-10972179" TargetMode="External" Id="rId1256"/><Relationship Type="http://schemas.openxmlformats.org/officeDocument/2006/relationships/hyperlink" Target="https://entrackr.com/news/even-healthcare-raises-20-mn-led-by-lachy-groom-and-alpha-wave-10972963" TargetMode="External" Id="rId1257"/><Relationship Type="http://schemas.openxmlformats.org/officeDocument/2006/relationships/hyperlink" Target="https://entrackr.com/news/futurecure-health-raises-rs-104-cr-led-by-carnelian-asset-management-10976217" TargetMode="External" Id="rId1258"/><Relationship Type="http://schemas.openxmlformats.org/officeDocument/2006/relationships/hyperlink" Target="https://inc42.com/buzz/from-even-healthcare-to-takeme2space-indian-startups-raised-68-mn-this-week/" TargetMode="External" Id="rId1259"/><Relationship Type="http://schemas.openxmlformats.org/officeDocument/2006/relationships/hyperlink" Target="https://inc42.com/buzz/from-even-healthcare-to-takeme2space-indian-startups-raised-68-mn-this-week/" TargetMode="External" Id="rId1260"/><Relationship Type="http://schemas.openxmlformats.org/officeDocument/2006/relationships/hyperlink" Target="https://entrackr.com/snippets/skininspired-raises-29-mn-led-by-spring-marketing-capital-10976401" TargetMode="External" Id="rId1261"/><Relationship Type="http://schemas.openxmlformats.org/officeDocument/2006/relationships/hyperlink" Target="https://inc42.com/buzz/from-even-healthcare-to-takeme2space-indian-startups-raised-68-mn-this-week/" TargetMode="External" Id="rId1262"/><Relationship Type="http://schemas.openxmlformats.org/officeDocument/2006/relationships/hyperlink" Target="https://entrackr.com/snippets/voice-ai-startup-arrowhead-raises-3-mn-in-seed-round-led-by-stellaris-10977766" TargetMode="External" Id="rId1263"/><Relationship Type="http://schemas.openxmlformats.org/officeDocument/2006/relationships/hyperlink" Target="https://entrackr.com/snippets/skincare-brand-be-clinical-raises-seed-round-led-by-v3-ventures-10978768" TargetMode="External" Id="rId1264"/><Relationship Type="http://schemas.openxmlformats.org/officeDocument/2006/relationships/hyperlink" Target="https://entrackr.com/snippets/proptech-startup-flent-raises-25-mn-in-pre-series-a-round-10977803" TargetMode="External" Id="rId1265"/><Relationship Type="http://schemas.openxmlformats.org/officeDocument/2006/relationships/hyperlink" Target="https://inc42.com/buzz/from-even-healthcare-to-takeme2space-indian-startups-raised-68-mn-this-week/" TargetMode="External" Id="rId1266"/><Relationship Type="http://schemas.openxmlformats.org/officeDocument/2006/relationships/hyperlink" Target="https://entrackr.com/exclusive/exclusive-binny-bansals-oppdoor-raises-additional-64-mn-from-3state-ventures-10978194" TargetMode="External" Id="rId1267"/><Relationship Type="http://schemas.openxmlformats.org/officeDocument/2006/relationships/hyperlink" Target="https://entrackr.com/snippets/ev-charging-startup-roadgrid-raises-rs-12-cr-in-pre-series-a-round-10978135" TargetMode="External" Id="rId1268"/><Relationship Type="http://schemas.openxmlformats.org/officeDocument/2006/relationships/hyperlink" Target="https://entrackr.com/snippets/ai-services-startup-aivar-raises-46-mn-from-sorin-investments-and-bessemer-10980240" TargetMode="External" Id="rId1269"/><Relationship Type="http://schemas.openxmlformats.org/officeDocument/2006/relationships/hyperlink" Target="https://entrackr.com/snippets/haircare-brand-done-raises-3-mn-in-series-a-led-by-rtp-global-10980040" TargetMode="External" Id="rId1270"/><Relationship Type="http://schemas.openxmlformats.org/officeDocument/2006/relationships/hyperlink" Target="https://entrackr.com/snippets/microdrama-platform-minipix-raises-rs-24-cr-led-by-pedalstart-10980902" TargetMode="External" Id="rId1271"/><Relationship Type="http://schemas.openxmlformats.org/officeDocument/2006/relationships/hyperlink" Target="https://entrackr.com/snippets/equity-research-startup-multibagg-ai-raises-rs-15-cr-in-pre-seed-round-led-by-ajvc-10980823" TargetMode="External" Id="rId1272"/><Relationship Type="http://schemas.openxmlformats.org/officeDocument/2006/relationships/hyperlink" Target="https://inc42.com/buzz/from-even-healthcare-to-takeme2space-indian-startups-raised-68-mn-this-week/" TargetMode="External" Id="rId1273"/><Relationship Type="http://schemas.openxmlformats.org/officeDocument/2006/relationships/hyperlink" Target="https://entrackr.com/snippets/industrial-ai-startup-spectorai-raises-rs-58-cr-led-by-ivycap-ventures-10981113" TargetMode="External" Id="rId1274"/><Relationship Type="http://schemas.openxmlformats.org/officeDocument/2006/relationships/hyperlink" Target="https://economictimes.indiatimes.com/tech/funding/takeme2space-raises-5-million-led-by-chiratae-ventures/articleshow/126414088.cms" TargetMode="External" Id="rId1275"/><Relationship Type="http://schemas.openxmlformats.org/officeDocument/2006/relationships/hyperlink" Target="https://entrackr.com/snippets/bluecopa-raises-75-mn-in-series-a-round-led-by-analog-partners-10990859" TargetMode="External" Id="rId1276"/><Relationship Type="http://schemas.openxmlformats.org/officeDocument/2006/relationships/hyperlink" Target="https://entrackr.com/snippets/edgistify-raises-14-mn-from-nb-ventures-and-rajesh-ranavat-10992138" TargetMode="External" Id="rId1277"/><Relationship Type="http://schemas.openxmlformats.org/officeDocument/2006/relationships/hyperlink" Target="https://entrackr.com/snippets/good-farmer-food-concepts-raises-15-mn-in-pre-series-a-led-by-creedcap-10991509" TargetMode="External" Id="rId1278"/><Relationship Type="http://schemas.openxmlformats.org/officeDocument/2006/relationships/hyperlink" Target="https://inc42.com/buzz/from-pee-safe-to-etherealx-indian-startups-raised-269-mn-this-week/" TargetMode="External" Id="rId1279"/><Relationship Type="http://schemas.openxmlformats.org/officeDocument/2006/relationships/hyperlink" Target="https://entrackr.com/snippets/pumpumpum-raises-rs-18-cr-in-pre-series-a-round-led-by-lc-nueva-10991829" TargetMode="External" Id="rId1280"/><Relationship Type="http://schemas.openxmlformats.org/officeDocument/2006/relationships/hyperlink" Target="https://entrackr.com/snippets/specialty-chemicals-startup-atomgrid-raises-7-mn-in-pre-series-a-10994068" TargetMode="External" Id="rId1281"/><Relationship Type="http://schemas.openxmlformats.org/officeDocument/2006/relationships/hyperlink" Target="https://inc42.com/buzz/from-pee-safe-to-etherealx-indian-startups-raised-269-mn-this-week/" TargetMode="External" Id="rId1282"/><Relationship Type="http://schemas.openxmlformats.org/officeDocument/2006/relationships/hyperlink" Target="https://entrackr.com/snippets/cardekho-group-backed-carrum-raises-series-a-funding-from-uber-10995158" TargetMode="External" Id="rId1283"/><Relationship Type="http://schemas.openxmlformats.org/officeDocument/2006/relationships/hyperlink" Target="https://entrackr.com/snippets/10-min-beauty-service-platform-dazzl-raises-32-mn-led-by-stellaris-10993983" TargetMode="External" Id="rId1284"/><Relationship Type="http://schemas.openxmlformats.org/officeDocument/2006/relationships/hyperlink" Target="https://entrackr.com/snippets/coffee-first-beverage-brand-drickle-raises-rs-6-cr-in-seed-round-10995189" TargetMode="External" Id="rId1285"/><Relationship Type="http://schemas.openxmlformats.org/officeDocument/2006/relationships/hyperlink" Target="https://economictimes.indiatimes.com/tech/funding/deeptech-company-greentech-raises-rs-30-crore-from-transition-vc/articleshow/126498442.cms" TargetMode="External" Id="rId1286"/><Relationship Type="http://schemas.openxmlformats.org/officeDocument/2006/relationships/hyperlink" Target="https://entrackr.com/snippets/hexalog-bags-4-mn-in-seed-round-led-by-enrission-india-capital-10994708" TargetMode="External" Id="rId1287"/><Relationship Type="http://schemas.openxmlformats.org/officeDocument/2006/relationships/hyperlink" Target="https://entrackr.com/news/liquidnitro-games-raises-191-mn-series-a-led-by-northpoint-capital-10994411" TargetMode="External" Id="rId1288"/><Relationship Type="http://schemas.openxmlformats.org/officeDocument/2006/relationships/hyperlink" Target="https://entrackr.com/snippets/misochain-technologies-raises-rs-18-cr-in-seed-round-led-by-capital-a-10994522" TargetMode="External" Id="rId1289"/><Relationship Type="http://schemas.openxmlformats.org/officeDocument/2006/relationships/hyperlink" Target="https://entrackr.com/snippets/perfume-brand-secret-alchemist-raises-3-mn-led-by-unilever-ventures-10994870" TargetMode="External" Id="rId1290"/><Relationship Type="http://schemas.openxmlformats.org/officeDocument/2006/relationships/hyperlink" Target="https://entrackr.com/snippets/healthcare-startup-sukino-raises-31-mn-in-series-b-led-by-bessemer-10993518" TargetMode="External" Id="rId1291"/><Relationship Type="http://schemas.openxmlformats.org/officeDocument/2006/relationships/hyperlink" Target="https://inc42.com/buzz/from-pee-safe-to-etherealx-indian-startups-raised-269-mn-this-week/" TargetMode="External" Id="rId1292"/><Relationship Type="http://schemas.openxmlformats.org/officeDocument/2006/relationships/hyperlink" Target="https://entrackr.com/snippets/construction-tech-startup-handypanda-raises-rs-2-cr-led-by-ajvc-10996918" TargetMode="External" Id="rId1293"/><Relationship Type="http://schemas.openxmlformats.org/officeDocument/2006/relationships/hyperlink" Target="https://entrackr.com/news/pee-safe-raises-32-mn-led-by-orbimed-10996704" TargetMode="External" Id="rId1294"/><Relationship Type="http://schemas.openxmlformats.org/officeDocument/2006/relationships/hyperlink" Target="https://entrackr.com/snippets/binny-bansal-backed-risa-labs-raises-111-mn-in-funding-10997770" TargetMode="External" Id="rId1295"/><Relationship Type="http://schemas.openxmlformats.org/officeDocument/2006/relationships/hyperlink" Target="https://entrackr.com/news/wint-wealth-raises-rs-250-cr-in-series-b-round-10996768" TargetMode="External" Id="rId1296"/><Relationship Type="http://schemas.openxmlformats.org/officeDocument/2006/relationships/hyperlink" Target="https://entrackr.com/snippets/deep-tech-startup-aule-space-raises-2-mn-in-pre-seed-round-led-by-pi-ventures-11000099" TargetMode="External" Id="rId1297"/><Relationship Type="http://schemas.openxmlformats.org/officeDocument/2006/relationships/hyperlink" Target="https://entrackr.com/news/emversity-raises-30-mn-in-series-a-led-by-premji-invest-10999643" TargetMode="External" Id="rId1298"/><Relationship Type="http://schemas.openxmlformats.org/officeDocument/2006/relationships/hyperlink" Target="https://inc42.com/buzz/from-pee-safe-to-etherealx-indian-startups-raised-269-mn-this-week/" TargetMode="External" Id="rId1299"/><Relationship Type="http://schemas.openxmlformats.org/officeDocument/2006/relationships/hyperlink" Target="https://entrackr.com/snippets/growthpal-raises-26-mn-led-by-ideaspring-capital-11000928" TargetMode="External" Id="rId1300"/><Relationship Type="http://schemas.openxmlformats.org/officeDocument/2006/relationships/hyperlink" Target="https://entrackr.com/snippets/climate-tech-startup-renewcred-raises-425-cr-in-seed-round-11000772" TargetMode="External" Id="rId1301"/><Relationship Type="http://schemas.openxmlformats.org/officeDocument/2006/relationships/hyperlink" Target="https://entrackr.com/snippets/proptech-startup-truva-raises-9-mn-co-led-by-stellaris-and-orios-11000314" TargetMode="External" Id="rId1302"/><Relationship Type="http://schemas.openxmlformats.org/officeDocument/2006/relationships/hyperlink" Target="https://entrackr.com/snippets/spacetech-startup-ethereal-exploration-guild-raises-205-mn-in-series-a-round-11003897" TargetMode="External" Id="rId1303"/><Relationship Type="http://schemas.openxmlformats.org/officeDocument/2006/relationships/hyperlink" Target="https://entrackr.com/exclusive/exclusive-sneaker-brand-gully-labs-kicks-off-series-a-round-11003291" TargetMode="External" Id="rId1304"/><Relationship Type="http://schemas.openxmlformats.org/officeDocument/2006/relationships/hyperlink" Target="https://entrackr.com/snippets/33brew-raises-rs-20-cr-in-series-a-round-led-by-optimistic-capital-11011940" TargetMode="External" Id="rId1305"/><Relationship Type="http://schemas.openxmlformats.org/officeDocument/2006/relationships/hyperlink" Target="https://entrackr.com/news/wealth-tech-startup-assetplus-raises-rs-175-cr-led-by-nexus-venture-partners-11011224" TargetMode="External" Id="rId1306"/><Relationship Type="http://schemas.openxmlformats.org/officeDocument/2006/relationships/hyperlink" Target="https://entrackr.com/snippets/social-networking-platform-culture-raises-seed-round-led-by-acuvest-infra-11012225" TargetMode="External" Id="rId1307"/><Relationship Type="http://schemas.openxmlformats.org/officeDocument/2006/relationships/hyperlink" Target="https://entrackr.com/news/nbfc-namdev-finvest-raises-37-mn-from-fmo-iix-others-11011476" TargetMode="External" Id="rId1308"/><Relationship Type="http://schemas.openxmlformats.org/officeDocument/2006/relationships/hyperlink" Target="https://entrackr.com/snippets/d2c-accessories-brand-salty-raises-rs-301-cr-led-by-mg-investment-11011455" TargetMode="External" Id="rId1309"/><Relationship Type="http://schemas.openxmlformats.org/officeDocument/2006/relationships/hyperlink" Target="https://entrackr.com/news/vibe-coding-startup-emergent-raises-70-mn-led-by-khosla-ventures-and-softbank-11015908" TargetMode="External" Id="rId1310"/><Relationship Type="http://schemas.openxmlformats.org/officeDocument/2006/relationships/hyperlink" Target="https://entrackr.com/snippets/fireai-raises-early-stage-funding-from-ipv-vcats-and-sucseed-indovation-11015328" TargetMode="External" Id="rId1311"/><Relationship Type="http://schemas.openxmlformats.org/officeDocument/2006/relationships/hyperlink" Target="https://entrackr.com/snippets/factory-outlet-marketplace-for-real-raises-pre-seed-round-from-titan-capital-11012694" TargetMode="External" Id="rId1312"/><Relationship Type="http://schemas.openxmlformats.org/officeDocument/2006/relationships/hyperlink" Target="https://entrackr.com/snippets/intellend-raises-12-mn-in-seed-round-led-by-incubate-fund-asia-11014365" TargetMode="External" Id="rId1313"/><Relationship Type="http://schemas.openxmlformats.org/officeDocument/2006/relationships/hyperlink" Target="https://entrackr.com/snippets/digital-clinic-pinky-promise-raises-1-mn-led-by-rebalance-angel-community-11015492" TargetMode="External" Id="rId1314"/><Relationship Type="http://schemas.openxmlformats.org/officeDocument/2006/relationships/hyperlink" Target="https://inc42.com/buzz/from-emergent-to-juspay-indian-startups-raised-303-mn-this-week/" TargetMode="External" Id="rId1315"/><Relationship Type="http://schemas.openxmlformats.org/officeDocument/2006/relationships/hyperlink" Target="https://entrackr.com/snippets/rspl-raises-3-mn-seed-round-led-by-equirus-and-artha-venture-fund-11015933" TargetMode="External" Id="rId1316"/><Relationship Type="http://schemas.openxmlformats.org/officeDocument/2006/relationships/hyperlink" Target="https://entrackr.com/snippets/health-tech-startup-superliving-raises-2-mn-led-by-kae-capital-11012485" TargetMode="External" Id="rId1317"/><Relationship Type="http://schemas.openxmlformats.org/officeDocument/2006/relationships/hyperlink" Target="https://entrackr.com/snippets/snack-brand-troovy-raises-5-mn-in-series-a-led-by-fireside-and-sharrp-ventures-11015748" TargetMode="External" Id="rId1318"/><Relationship Type="http://schemas.openxmlformats.org/officeDocument/2006/relationships/hyperlink" Target="https://entrackr.com/news/unbox-robotics-raises-28-mn-led-by-icici-venture-11014165" TargetMode="External" Id="rId1319"/><Relationship Type="http://schemas.openxmlformats.org/officeDocument/2006/relationships/hyperlink" Target="https://entrackr.com/snippets/travel-brand-wanderon-bags-rs-54-cr-in-series-a-from-dsg-and-caaf-11014847" TargetMode="External" Id="rId1320"/><Relationship Type="http://schemas.openxmlformats.org/officeDocument/2006/relationships/hyperlink" Target="https://entrackr.com/news/manufacturing-startup-whizzo-raises-15-mn-in-a-series-a-led-by-fundamentum-11013711" TargetMode="External" Id="rId1321"/><Relationship Type="http://schemas.openxmlformats.org/officeDocument/2006/relationships/hyperlink" Target="https://entrackr.com/news/solar-platform-aerem-solutions-raises-15-mn-in-pre-series-b-11018368" TargetMode="External" Id="rId1322"/><Relationship Type="http://schemas.openxmlformats.org/officeDocument/2006/relationships/hyperlink" Target="https://entrackr.com/snippets/arkahub-raises-2-mn-in-seed-round-led-by-kae-capital-11017538" TargetMode="External" Id="rId1323"/><Relationship Type="http://schemas.openxmlformats.org/officeDocument/2006/relationships/hyperlink" Target="https://entrackr.com/snippets/arthum-raises-rs-10-cr-in-seed-round-led-by-caret-capital-11018048" TargetMode="External" Id="rId1324"/><Relationship Type="http://schemas.openxmlformats.org/officeDocument/2006/relationships/hyperlink" Target="https://entrackr.com/snippets/voice-ai-startup-bolna-raises-63-mn-in-seed-round-led-by-general-catalyst-11017620" TargetMode="External" Id="rId1325"/><Relationship Type="http://schemas.openxmlformats.org/officeDocument/2006/relationships/hyperlink" Target="https://entrackr.com/snippets/water-wellness-startup-care-dale-raises-pre-seed-funding-led-by-ajvc-11017614" TargetMode="External" Id="rId1326"/><Relationship Type="http://schemas.openxmlformats.org/officeDocument/2006/relationships/hyperlink" Target="https://entrackr.com/snippets/cumin-co-raises-5-mn-pre-series-a-round-led-by-fireside-ventures-11017896" TargetMode="External" Id="rId1327"/><Relationship Type="http://schemas.openxmlformats.org/officeDocument/2006/relationships/hyperlink" Target="https://entrackr.com/snippets/enerzolve-raises-51-mn-in-seed-round-led-by-jungle-ventures-and-kae-capital-11018091" TargetMode="External" Id="rId1328"/><Relationship Type="http://schemas.openxmlformats.org/officeDocument/2006/relationships/hyperlink" Target="https://entrackr.com/snippets/full-stack-re-commerce-company-grest-raises-16-cr-led-by-equentis-wealth-11018721" TargetMode="External" Id="rId1329"/><Relationship Type="http://schemas.openxmlformats.org/officeDocument/2006/relationships/hyperlink" Target="https://entrackr.com/snippets/voice-ai-startup-ringg-ai-raises-55-mn-in-series-a-funding-led-by-arkam-ventures-11017504" TargetMode="External" Id="rId1330"/><Relationship Type="http://schemas.openxmlformats.org/officeDocument/2006/relationships/hyperlink" Target="https://entrackr.com/snippets/semiconductor-startup-sensesemi-raises-rs-25-cr-led-by-piper-serica-11018670" TargetMode="External" Id="rId1331"/><Relationship Type="http://schemas.openxmlformats.org/officeDocument/2006/relationships/hyperlink" Target="https://entrackr.com/snippets/sports-tech-startup-stepout-raises-15-mn-led-by-rainmatter-11017911" TargetMode="External" Id="rId1332"/><Relationship Type="http://schemas.openxmlformats.org/officeDocument/2006/relationships/hyperlink" Target="https://inc42.com/buzz/from-emergent-to-juspay-indian-startups-raised-303-mn-this-week/" TargetMode="External" Id="rId1333"/><Relationship Type="http://schemas.openxmlformats.org/officeDocument/2006/relationships/hyperlink" Target="https://entrackr.com/snippets/climate-tech-startup-brisil-technologies-raises-pre-seed-round-led-by-momentum-capital-11021031" TargetMode="External" Id="rId1334"/><Relationship Type="http://schemas.openxmlformats.org/officeDocument/2006/relationships/hyperlink" Target="https://entrackr.com/snippets/ian-group-backs-chargeup-in-rs-22-cr-funding-round-11021076" TargetMode="External" Id="rId1335"/><Relationship Type="http://schemas.openxmlformats.org/officeDocument/2006/relationships/hyperlink" Target="https://inc42.com/buzz/from-emergent-to-juspay-indian-startups-raised-303-mn-this-week/" TargetMode="External" Id="rId1336"/><Relationship Type="http://schemas.openxmlformats.org/officeDocument/2006/relationships/hyperlink" Target="https://entrackr.com/news/travel-products-platform-escape-plan-raises-25-mn-led-by-jungle-venture-11019825" TargetMode="External" Id="rId1337"/><Relationship Type="http://schemas.openxmlformats.org/officeDocument/2006/relationships/hyperlink" Target="https://entrackr.com/snippets/lorazzo-raises-seed-funding-led-by-sprout-venture-and-first-cheque-11020653" TargetMode="External" Id="rId1338"/><Relationship Type="http://schemas.openxmlformats.org/officeDocument/2006/relationships/hyperlink" Target="https://entrackr.com/snippets/deeptech-startup-meine-electric-raises-750k-in-pre-seed-round-11021373" TargetMode="External" Id="rId1339"/><Relationship Type="http://schemas.openxmlformats.org/officeDocument/2006/relationships/hyperlink" Target="https://entrackr.com/news/optimist-raises-12-mn-in-seed-round-led-by-accel-and-arkam-ventures-11020870" TargetMode="External" Id="rId1340"/><Relationship Type="http://schemas.openxmlformats.org/officeDocument/2006/relationships/hyperlink" Target="https://inc42.com/buzz/from-emergent-to-juspay-indian-startups-raised-303-mn-this-week/" TargetMode="External" Id="rId1341"/><Relationship Type="http://schemas.openxmlformats.org/officeDocument/2006/relationships/hyperlink" Target="https://inc42.com/buzz/from-emergent-to-juspay-indian-startups-raised-303-mn-this-week/" TargetMode="External" Id="rId1342"/><Relationship Type="http://schemas.openxmlformats.org/officeDocument/2006/relationships/hyperlink" Target="https://entrackr.com/snippets/materials-science-company-zerocircle-raises-pre-series-a-round-from-3one4-capital-rainmatter-and-others-11021693" TargetMode="External" Id="rId1343"/><Relationship Type="http://schemas.openxmlformats.org/officeDocument/2006/relationships/hyperlink" Target="https://entrackr.com/snippets/dhun-wellness-raises-4-mn-led-by-srf-and-havells-india-11023613" TargetMode="External" Id="rId1344"/><Relationship Type="http://schemas.openxmlformats.org/officeDocument/2006/relationships/hyperlink" Target="https://entrackr.com/news/juspay-raises-50-mn-from-westbridge-capital-at-12-bn-valuation-11023645" TargetMode="External" Id="rId1345"/><Relationship Type="http://schemas.openxmlformats.org/officeDocument/2006/relationships/hyperlink" Target="https://entrackr.com/news/oncology-startup-4basecare-raises-rs-90-cr-led-by-ashish-kacholia-and-lashit-sanghvi-11033252" TargetMode="External" Id="rId1346"/><Relationship Type="http://schemas.openxmlformats.org/officeDocument/2006/relationships/hyperlink" Target="https://entrackr.com/snippets/entellus-industries-raises-rs-50-cr-from-zerow-11034298" TargetMode="External" Id="rId1347"/><Relationship Type="http://schemas.openxmlformats.org/officeDocument/2006/relationships/hyperlink" Target="https://entrackr.com/snippets/b2b-fintech-startup-mysa-bags-34-mn-co-led-by-blume-ventures-and-piper-serica-11033678" TargetMode="External" Id="rId1348"/><Relationship Type="http://schemas.openxmlformats.org/officeDocument/2006/relationships/hyperlink" Target="https://entrackr.com/snippets/nivaan-care-raises-7-mn-in-series-a-round-led-by-sorin-investments-11032479" TargetMode="External" Id="rId1349"/><Relationship Type="http://schemas.openxmlformats.org/officeDocument/2006/relationships/hyperlink" Target="https://entrackr.com/news/legal-tech-startup-spotdraft-raises-8-mn-in-series-b-extension-11032844" TargetMode="External" Id="rId1350"/><Relationship Type="http://schemas.openxmlformats.org/officeDocument/2006/relationships/hyperlink" Target="https://entrackr.com/snippets/ai-semiconductor-startup-agrani-labs-raises-8-mn-led-by-peak-xv-11036130" TargetMode="External" Id="rId1351"/><Relationship Type="http://schemas.openxmlformats.org/officeDocument/2006/relationships/hyperlink" Target="https://entrackr.com/snippets/deep-tech-startup-aquaairx-raises-rs-125-cr-in-seed-round-led-by-rainmatter-11036677" TargetMode="External" Id="rId1352"/><Relationship Type="http://schemas.openxmlformats.org/officeDocument/2006/relationships/hyperlink" Target="https://inc42.com/buzz/from-easy-home-finance-to-4basecare-indian-startups-raised-96-mn-this-week/" TargetMode="External" Id="rId1353"/><Relationship Type="http://schemas.openxmlformats.org/officeDocument/2006/relationships/hyperlink" Target="https://inc42.com/buzz/from-easy-home-finance-to-4basecare-indian-startups-raised-96-mn-this-week/" TargetMode="External" Id="rId1354"/><Relationship Type="http://schemas.openxmlformats.org/officeDocument/2006/relationships/hyperlink" Target="https://inc42.com/buzz/from-easy-home-finance-to-4basecare-indian-startups-raised-96-mn-this-week/" TargetMode="External" Id="rId1355"/><Relationship Type="http://schemas.openxmlformats.org/officeDocument/2006/relationships/hyperlink" Target="https://entrackr.com/snippets/sbc-llp-raises-pre-series-a-funding-at-rs-100-cr-valuation-11037278" TargetMode="External" Id="rId1356"/><Relationship Type="http://schemas.openxmlformats.org/officeDocument/2006/relationships/hyperlink" Target="https://entrackr.com/snippets/clean-tech-startup-scrapuncle-raises-rs-22-cr-in-pre-series-a-round-11036941" TargetMode="External" Id="rId1357"/><Relationship Type="http://schemas.openxmlformats.org/officeDocument/2006/relationships/hyperlink" Target="https://entrackr.com/snippets/ai-film-studio-taketwo-secures-funding-at-rs-100-cr-valuation-in-pre-seed-round-11037420" TargetMode="External" Id="rId1358"/><Relationship Type="http://schemas.openxmlformats.org/officeDocument/2006/relationships/hyperlink" Target="https://entrackr.com/snippets/supplements-brand-the-stack-raises-pre-seed-funding-11037047" TargetMode="External" Id="rId1359"/><Relationship Type="http://schemas.openxmlformats.org/officeDocument/2006/relationships/hyperlink" Target="https://inc42.com/buzz/from-easy-home-finance-to-4basecare-indian-startups-raised-96-mn-this-week/" TargetMode="External" Id="rId1360"/><Relationship Type="http://schemas.openxmlformats.org/officeDocument/2006/relationships/hyperlink" Target="https://entrackr.com/snippets/1buyai-raises-rs-325-cr-in-seed-round-led-by-100unicorns-11039023" TargetMode="External" Id="rId1361"/><Relationship Type="http://schemas.openxmlformats.org/officeDocument/2006/relationships/hyperlink" Target="https://entrackr.com/snippets/health-tech-startup-biopeak-raises-27-mn-led-by-nikhil-kamaths-nksquared-11039707" TargetMode="External" Id="rId1362"/><Relationship Type="http://schemas.openxmlformats.org/officeDocument/2006/relationships/hyperlink" Target="https://entrackr.com/snippets/cava-athleisure-secures-rs-40-cr-in-series-a-round-led-by-sharrp-ventures-11055826" TargetMode="External" Id="rId1363"/><Relationship Type="http://schemas.openxmlformats.org/officeDocument/2006/relationships/hyperlink" Target="https://entrackr.com/snippets/earthsync-raises-1-mn-in-pre-seed-round-led-by-theia-ventures-11038751" TargetMode="External" Id="rId1364"/><Relationship Type="http://schemas.openxmlformats.org/officeDocument/2006/relationships/hyperlink" Target="https://entrackr.com/snippets/deep-tech-startup-onearvo-raises-pre-seed-round-led-by-ipv-11039524" TargetMode="External" Id="rId1365"/><Relationship Type="http://schemas.openxmlformats.org/officeDocument/2006/relationships/hyperlink" Target="https://economictimes.indiatimes.com/tech/funding/jjg-aero-raises-30-million-from-norwest-to-scale-capacity/articleshow/127805796.cms" TargetMode="External" Id="rId1366"/><Relationship Type="http://schemas.openxmlformats.org/officeDocument/2006/relationships/hyperlink" Target="https://entrackr.com/snippets/dreamfly-innovations-raises-rs-3-cr-debt-from-sidbi-11066996" TargetMode="External" Id="rId1367"/><Relationship Type="http://schemas.openxmlformats.org/officeDocument/2006/relationships/hyperlink" Target="https://entrackr.com/news/electric-mobility-platform-drivn-secures-80-mn-commitment-from-nomura-11068708" TargetMode="External" Id="rId1368"/><Relationship Type="http://schemas.openxmlformats.org/officeDocument/2006/relationships/hyperlink" Target="https://inc42.com/buzz/from-the-whole-truth-to-zilo-indian-startups-raised-131-mn-this-week/" TargetMode="External" Id="rId1369"/><Relationship Type="http://schemas.openxmlformats.org/officeDocument/2006/relationships/hyperlink" Target="https://inc42.com/buzz/from-the-whole-truth-to-zilo-indian-startups-raised-131-mn-this-week/" TargetMode="External" Id="rId1370"/><Relationship Type="http://schemas.openxmlformats.org/officeDocument/2006/relationships/hyperlink" Target="https://entrackr.com/snippets/enterprise-ai-platform-loop-ai-raises-14-mn-in-series-a-round-11072488" TargetMode="External" Id="rId1371"/><Relationship Type="http://schemas.openxmlformats.org/officeDocument/2006/relationships/hyperlink" Target="https://entrackr.com/snippets/market-intelligence-startup-mindcase-raises-seed-funding-led-by-ajvc-11069641" TargetMode="External" Id="rId1372"/><Relationship Type="http://schemas.openxmlformats.org/officeDocument/2006/relationships/hyperlink" Target="https://inc42.com/buzz/from-the-whole-truth-to-zilo-indian-startups-raised-131-mn-this-week/" TargetMode="External" Id="rId1373"/><Relationship Type="http://schemas.openxmlformats.org/officeDocument/2006/relationships/hyperlink" Target="https://entrackr.com/snippets/alternative-dairy-startup-15-degree-raises-1-mn-in-pre-series-a-led-by-35north-ventures-11074779" TargetMode="External" Id="rId1374"/><Relationship Type="http://schemas.openxmlformats.org/officeDocument/2006/relationships/hyperlink" Target="https://economictimes.indiatimes.com/tech/funding/martech-startup-fibr-ai-raises-5-7-million-seed-round-led-by-accel/articleshow/127911775.cms" TargetMode="External" Id="rId1375"/><Relationship Type="http://schemas.openxmlformats.org/officeDocument/2006/relationships/hyperlink" Target="https://entrackr.com/snippets/sports-tech-startup-gamepoint-raises-pre-series-a-round-11075216" TargetMode="External" Id="rId1376"/><Relationship Type="http://schemas.openxmlformats.org/officeDocument/2006/relationships/hyperlink" Target="https://entrackr.com/news/the-whole-truth-raises-51-mn-in-series-d-funding-11074658" TargetMode="External" Id="rId1377"/><Relationship Type="http://schemas.openxmlformats.org/officeDocument/2006/relationships/hyperlink" Target="https://entrackr.com/news/climate-tech-startup-varaha-raises-20-mn-in-series-b-led-by-westbridge-capital-11074654" TargetMode="External" Id="rId1378"/><Relationship Type="http://schemas.openxmlformats.org/officeDocument/2006/relationships/hyperlink" Target="https://entrackr.com/snippets/agentic-ai-platform-vibrium-raises-1-mn-in-seed-round-11075601" TargetMode="External" Id="rId1379"/><Relationship Type="http://schemas.openxmlformats.org/officeDocument/2006/relationships/hyperlink" Target="https://entrackr.com/snippets/pet-healthcare-startup-dr-doodley-raises-33-mn-in-pre-series-a-11077794" TargetMode="External" Id="rId1380"/><Relationship Type="http://schemas.openxmlformats.org/officeDocument/2006/relationships/hyperlink" Target="https://entrackr.com/snippets/marine-robotics-startup-eyerov-raises-rs-13-cr-in-pre-series-a-round-11078128" TargetMode="External" Id="rId1381"/><Relationship Type="http://schemas.openxmlformats.org/officeDocument/2006/relationships/hyperlink" Target="https://entrackr.com/news/preventive-nutrition-startup-good-monk-raises-rs-33-cr-in-pre-series-a-round-11077895" TargetMode="External" Id="rId1382"/><Relationship Type="http://schemas.openxmlformats.org/officeDocument/2006/relationships/hyperlink" Target="https://entrackr.com/snippets/material-depot-raises-10-mn-led-by-accel-and-stellaris-venture-partners-11077672" TargetMode="External" Id="rId1383"/><Relationship Type="http://schemas.openxmlformats.org/officeDocument/2006/relationships/hyperlink" Target="https://entrackr.com/snippets/robotics-startup-octobotics-raises-rs-10-cr-in-seed-round-11078030" TargetMode="External" Id="rId1384"/><Relationship Type="http://schemas.openxmlformats.org/officeDocument/2006/relationships/hyperlink" Target="https://entrackr.com/news/fashion-quick-commerce-startup-zilo-raises-153-mn-in-series-a-round-11077867" TargetMode="External" Id="rId1385"/><Relationship Type="http://schemas.openxmlformats.org/officeDocument/2006/relationships/hyperlink" Target="https://inc42.com/buzz/from-the-whole-truth-to-zilo-indian-startups-raised-131-mn-this-week/" TargetMode="External" Id="rId1386"/><Relationship Type="http://schemas.openxmlformats.org/officeDocument/2006/relationships/hyperlink" Target="https://inc42.com/buzz/from-the-whole-truth-to-zilo-indian-startups-raised-131-mn-this-week/" TargetMode="External" Id="rId1387"/><Relationship Type="http://schemas.openxmlformats.org/officeDocument/2006/relationships/hyperlink" Target="https://entrackr.com/exclusive/exclusive-fabric-maker-jain-cord-raises-rs-200-cr-in-series-a-from-lohia-family-office-11081024" TargetMode="External" Id="rId1388"/><Relationship Type="http://schemas.openxmlformats.org/officeDocument/2006/relationships/hyperlink" Target="https://entrackr.com/exclusive/exclusive-d2c-brand-aramya-parent-raises-rs-80-cr-led-by-z47-and-accel-11089406" TargetMode="External" Id="rId1389"/><Relationship Type="http://schemas.openxmlformats.org/officeDocument/2006/relationships/hyperlink" Target="https://entrackr.com/snippets/elevate-now-raises-rs-18-cr-in-seed-round-led-by-physis-capital-11089490" TargetMode="External" Id="rId1390"/><Relationship Type="http://schemas.openxmlformats.org/officeDocument/2006/relationships/hyperlink" Target="https://entrackr.com/exclusive/exclusive-nandan-nilekanis-fundamentum-leads-olyvs-23-mn-series-c-round-11090810" TargetMode="External" Id="rId1391"/><Relationship Type="http://schemas.openxmlformats.org/officeDocument/2006/relationships/hyperlink" Target="https://entrackr.com/news/biotech-startup-pandorum-technologies-raises-18-mn-in-series-b-round-11089746" TargetMode="External" Id="rId1392"/><Relationship Type="http://schemas.openxmlformats.org/officeDocument/2006/relationships/hyperlink" Target="https://entrackr.com/snippets/healthcare-startup-preventify-raises-rs-2-cr-in-pre-seed-round-led-by-pedalstart-11089416" TargetMode="External" Id="rId1393"/><Relationship Type="http://schemas.openxmlformats.org/officeDocument/2006/relationships/hyperlink" Target="https://entrackr.com/snippets/satlabs-space-systems-raises-1-mn-from-finvolve-and-ia-11091011" TargetMode="External" Id="rId1394"/><Relationship Type="http://schemas.openxmlformats.org/officeDocument/2006/relationships/hyperlink" Target="https://entrackr.com/snippets/wellness-startup-wellwith-raises-seed-round-led-by-beyondseed-11089734" TargetMode="External" Id="rId1395"/><Relationship Type="http://schemas.openxmlformats.org/officeDocument/2006/relationships/hyperlink" Target="https://entrackr.com/snippets/bennys-bowl-raises-14-mn-in-pre-series-a-led-by-atomic-capital-11092346" TargetMode="External" Id="rId1396"/><Relationship Type="http://schemas.openxmlformats.org/officeDocument/2006/relationships/hyperlink" Target="https://entrackr.com/snippets/ai-software-testing-startup-botgauge-ai-raises-2-mn-led-by-surface-ventures-11092144" TargetMode="External" Id="rId1397"/><Relationship Type="http://schemas.openxmlformats.org/officeDocument/2006/relationships/hyperlink" Target="https://entrackr.com/snippets/healthtech-startup-curapod-raises-rs-20-cr-in-pre-series-a-round-11092535" TargetMode="External" Id="rId1398"/><Relationship Type="http://schemas.openxmlformats.org/officeDocument/2006/relationships/hyperlink" Target="https://entrackr.com/snippets/lab-grown-diamond-jewellery-startup-ethera-raises-rs-25-cr-from-bluestone-11092137" TargetMode="External" Id="rId1399"/><Relationship Type="http://schemas.openxmlformats.org/officeDocument/2006/relationships/hyperlink" Target="https://entrackr.com/snippets/clean-tech-startup-padcare-labs-raises-3-mn-led-by-rainmatter-11094050" TargetMode="External" Id="rId1400"/><Relationship Type="http://schemas.openxmlformats.org/officeDocument/2006/relationships/hyperlink" Target="https://entrackr.com/snippets/early-learning-startup-pandas-box-raises-rs-12-cr-from-shark-tank-india-11092671" TargetMode="External" Id="rId1401"/><Relationship Type="http://schemas.openxmlformats.org/officeDocument/2006/relationships/hyperlink" Target="https://inc42.com/buzz/from-idfy-to-olyv-indian-startups-raised-200-mn-this-week/" TargetMode="External" Id="rId1402"/><Relationship Type="http://schemas.openxmlformats.org/officeDocument/2006/relationships/hyperlink" Target="https://entrackr.com/exclusive/exclusive-anushka-sharma-backed-slurrp-farm-raises-fresh-funds-at-90-mn-valuation-11093285" TargetMode="External" Id="rId1403"/><Relationship Type="http://schemas.openxmlformats.org/officeDocument/2006/relationships/hyperlink" Target="https://entrackr.com/news/petcare-startup-supertails-raises-30-mn-led-by-venturi-partners-11092201" TargetMode="External" Id="rId1404"/><Relationship Type="http://schemas.openxmlformats.org/officeDocument/2006/relationships/hyperlink" Target="https://entrackr.com/snippets/truth-hair-raises-rs-25-cr-from-varun-alagh-on-shark-tank-india-11092262" TargetMode="External" Id="rId1405"/><Relationship Type="http://schemas.openxmlformats.org/officeDocument/2006/relationships/hyperlink" Target="https://entrackr.com/snippets/medical-robotics-startup-articulus-surgical-raises-funding-from-kalaari-capital-11095456" TargetMode="External" Id="rId1406"/><Relationship Type="http://schemas.openxmlformats.org/officeDocument/2006/relationships/hyperlink" Target="https://entrackr.com/news/bighaat-raises-10-mn-led-by-ocp-groups-arm-bidra-innovation-11096310" TargetMode="External" Id="rId1407"/><Relationship Type="http://schemas.openxmlformats.org/officeDocument/2006/relationships/hyperlink" Target="https://entrackr.com/snippets/carefi-raises-8-mn-in-series-a-round-led-by-july-ventures-11096132" TargetMode="External" Id="rId1408"/><Relationship Type="http://schemas.openxmlformats.org/officeDocument/2006/relationships/hyperlink" Target="https://inc42.com/buzz/from-idfy-to-olyv-indian-startups-raised-200-mn-this-week/" TargetMode="External" Id="rId1409"/><Relationship Type="http://schemas.openxmlformats.org/officeDocument/2006/relationships/hyperlink" Target="https://entrackr.com/snippets/nester-secures-pre-series-a-round-from-fireside-ventures-and-otp-ventures-11096339" TargetMode="External" Id="rId1410"/><Relationship Type="http://schemas.openxmlformats.org/officeDocument/2006/relationships/hyperlink" Target="https://entrackr.com/news/showroom-b2b-raises-rs-150-cr-in-series-a-round-led-by-cactus-partners-11095517" TargetMode="External" Id="rId1411"/><Relationship Type="http://schemas.openxmlformats.org/officeDocument/2006/relationships/hyperlink" Target="https://entrackr.com/snippets/bath-tech-startup-steampro-raises-seed-round-11096483" TargetMode="External" Id="rId1412"/><Relationship Type="http://schemas.openxmlformats.org/officeDocument/2006/relationships/hyperlink" Target="https://entrackr.com/snippets/thirdai-raises-3-mn-led-by-endiya-partners-and-capria-ventures-11095630" TargetMode="External" Id="rId1413"/><Relationship Type="http://schemas.openxmlformats.org/officeDocument/2006/relationships/hyperlink" Target="https://inc42.com/buzz/from-idfy-to-olyv-indian-startups-raised-200-mn-this-week/" TargetMode="External" Id="rId1414"/><Relationship Type="http://schemas.openxmlformats.org/officeDocument/2006/relationships/hyperlink" Target="https://entrackr.com/snippets/restaurant-tech-startup-digitory-raises-pre-series-a-funding-from-tejas-paresh-lodaya-11099615" TargetMode="External" Id="rId1415"/><Relationship Type="http://schemas.openxmlformats.org/officeDocument/2006/relationships/hyperlink" Target="https://entrackr.com/snippets/dusq-raises-rs-24-cr-in-seed-round-led-by-fireside-ventures-11099913" TargetMode="External" Id="rId1416"/><Relationship Type="http://schemas.openxmlformats.org/officeDocument/2006/relationships/hyperlink" Target="https://entrackr.com/snippets/elixiir-foods-raises-9-mn-seed-round-led-by-3one4-capital-and-incubate-fund-asia-11099361" TargetMode="External" Id="rId1417"/><Relationship Type="http://schemas.openxmlformats.org/officeDocument/2006/relationships/hyperlink" Target="https://inc42.com/buzz/from-idfy-to-olyv-indian-startups-raised-200-mn-this-week/" TargetMode="External" Id="rId1418"/><Relationship Type="http://schemas.openxmlformats.org/officeDocument/2006/relationships/hyperlink" Target="https://entrackr.com/snippets/electronics-manufacturing-startup-indigrid-technology-raises-rs-40-cr-in-series-a-11099028" TargetMode="External" Id="rId1419"/><Relationship Type="http://schemas.openxmlformats.org/officeDocument/2006/relationships/hyperlink" Target="https://entrackr.com/snippets/ukhi-raises-seed-round-led-by-venture-catalysts-11099922" TargetMode="External" Id="rId1420"/><Relationship Type="http://schemas.openxmlformats.org/officeDocument/2006/relationships/hyperlink" Target="https://inc42.com/buzz/from-idfy-to-olyv-indian-startups-raised-200-mn-this-week/" TargetMode="External" Id="rId1421"/><Relationship Type="http://schemas.openxmlformats.org/officeDocument/2006/relationships/hyperlink" Target="https://entrackr.com/snippets/e-trnl-energy-raises-rs-274-cr-seed-round-led-by-ian-group-11103092" TargetMode="External" Id="rId1422"/><Relationship Type="http://schemas.openxmlformats.org/officeDocument/2006/relationships/hyperlink" Target="https://entrackr.com/news/subway-india-operator-everbrands-raises-15-mn-led-by-playbook-partners-11102500" TargetMode="External" Id="rId1423"/><Relationship Type="http://schemas.openxmlformats.org/officeDocument/2006/relationships/hyperlink" Target="https://entrackr.com/news/idfy-raises-53-mn-led-by-neo-secondaries-fund-11102270" TargetMode="External" Id="rId1424"/><Relationship Type="http://schemas.openxmlformats.org/officeDocument/2006/relationships/hyperlink" Target="https://entrackr.com/snippets/six-sense-mobility-raises-48-mn-led-by-ashish-kacholia-11102743" TargetMode="External" Id="rId1425"/><Relationship Type="http://schemas.openxmlformats.org/officeDocument/2006/relationships/hyperlink" Target="https://economictimes.indiatimes.com/tech/funding/fidelity-accel-lead-160170-million-investment-round-in-spinny/articleshow/128320435.cms" TargetMode="External" Id="rId1426"/><Relationship Type="http://schemas.openxmlformats.org/officeDocument/2006/relationships/hyperlink" Target="https://entrackr.com/news/semiconductor-startup-c2i-semiconductors-raises-15-mn-led-by-peak-xv-11110040" TargetMode="External" Id="rId1427"/><Relationship Type="http://schemas.openxmlformats.org/officeDocument/2006/relationships/hyperlink" Target="https://entrackr.com/snippets/localhost-raises-25-mn-from-invideo-redbull-india-and-others-11110610" TargetMode="External" Id="rId1428"/><Relationship Type="http://schemas.openxmlformats.org/officeDocument/2006/relationships/hyperlink" Target="https://entrackr.com/news/gen-ai-startup-neysa-turns-unicorn-after-blackstone-led-12-bn-funding-11109995" TargetMode="External" Id="rId1429"/><Relationship Type="http://schemas.openxmlformats.org/officeDocument/2006/relationships/hyperlink" Target="https://entrackr.com/snippets/wealthtech-startup-otto-money-raises-13-mn-led-by-pravega-ventures-11110193" TargetMode="External" Id="rId1430"/><Relationship Type="http://schemas.openxmlformats.org/officeDocument/2006/relationships/hyperlink" Target="https://entrackr.com/snippets/edtech-startup-beep-raises-850k-in-pre-series-a-round-11116886" TargetMode="External" Id="rId1431"/><Relationship Type="http://schemas.openxmlformats.org/officeDocument/2006/relationships/hyperlink" Target="https://entrackr.com/snippets/craftifai-secures-3-mn-in-seed-round-led-by-ankur-capital-11121741" TargetMode="External" Id="rId1432"/><Relationship Type="http://schemas.openxmlformats.org/officeDocument/2006/relationships/hyperlink" Target="https://entrackr.com/snippets/homerun-raises-rs-60-cr-in-series-a-led-by-sorin-investments-11112913" TargetMode="External" Id="rId1433"/><Relationship Type="http://schemas.openxmlformats.org/officeDocument/2006/relationships/hyperlink" Target="https://entrackr.com/snippets/intrinsic-foundries-raises-rs-12-cr-in-seed-round-led-by-transition-vc-11116737" TargetMode="External" Id="rId1434"/><Relationship Type="http://schemas.openxmlformats.org/officeDocument/2006/relationships/hyperlink" Target="https://entrackr.com/snippets/ai-consulting-startup-navikenz-raises-75-mn-in-seed-round-led-by-sekar-prc-and-sudip-nandy-11121504" TargetMode="External" Id="rId1435"/><Relationship Type="http://schemas.openxmlformats.org/officeDocument/2006/relationships/hyperlink" Target="https://inc42.com/buzz/from-spinny-to-statiq-indian-startups-raised-285-mn-this-week/" TargetMode="External" Id="rId1436"/><Relationship Type="http://schemas.openxmlformats.org/officeDocument/2006/relationships/hyperlink" Target="https://entrackr.com/snippets/artociti-raises-rs-1-cr-on-shark-tank-india-at-rs-1333-cr-valuation-11124946" TargetMode="External" Id="rId1437"/><Relationship Type="http://schemas.openxmlformats.org/officeDocument/2006/relationships/hyperlink" Target="https://entrackr.com/snippets/drug-discovery-platform-peptris-raises-rs-70-cr-in-series-a-round-11125353" TargetMode="External" Id="rId1438"/><Relationship Type="http://schemas.openxmlformats.org/officeDocument/2006/relationships/hyperlink" Target="https://entrackr.com/news/stable-money-raises-25-mn-led-by-peak-xv-at-175-mn-valuation-11124268" TargetMode="External" Id="rId1439"/><Relationship Type="http://schemas.openxmlformats.org/officeDocument/2006/relationships/hyperlink" Target="https://entrackr.com/news/ev-charging-startup-statiq-raises-18-mn-led-by-tenacity-ventures-11127182" TargetMode="External" Id="rId1440"/><Relationship Type="http://schemas.openxmlformats.org/officeDocument/2006/relationships/hyperlink" Target="https://entrackr.com/news/fabless-semiconductor-startup-vervesemi-raises-10-mn-in-series-a-round-11125109" TargetMode="External" Id="rId1441"/><Relationship Type="http://schemas.openxmlformats.org/officeDocument/2006/relationships/hyperlink" Target="https://entrackr.com/snippets/pluto-mobility-raises-2-mn-in-seed-round-11132728" TargetMode="External" Id="rId1442"/><Relationship Type="http://schemas.openxmlformats.org/officeDocument/2006/relationships/hyperlink" Target="https://entrackr.com/news/ai-apps-building-platform-portkey-raises-15-mn-in-series-a-led-by-elevation-11134623" TargetMode="External" Id="rId1443"/><Relationship Type="http://schemas.openxmlformats.org/officeDocument/2006/relationships/hyperlink" Target="https://inc42.com/buzz/from-spinny-to-statiq-indian-startups-raised-285-mn-this-week/" TargetMode="External" Id="rId1444"/><Relationship Type="http://schemas.openxmlformats.org/officeDocument/2006/relationships/hyperlink" Target="https://inc42.com/buzz/from-spinny-to-statiq-indian-startups-raised-285-mn-this-week/" TargetMode="External" Id="rId1445"/><Relationship Type="http://schemas.openxmlformats.org/officeDocument/2006/relationships/hyperlink" Target="https://entrackr.com/snippets/lending-infra-startup-roopya-raises-seed-round-led-by-ipv-11138087" TargetMode="External" Id="rId1446"/><Relationship Type="http://schemas.openxmlformats.org/officeDocument/2006/relationships/hyperlink" Target="https://entrackr.com/snippets/deeptech-iot-startup-datoms-raises-rs-25-cr-in-series-a-led-by-big-capital-jsc-11146538" TargetMode="External" Id="rId1447"/><Relationship Type="http://schemas.openxmlformats.org/officeDocument/2006/relationships/hyperlink" Target="https://entrackr.com/snippets/hycosys-raises-seed-round-led-by-mounttech-growth-funds-kavachh-11147416" TargetMode="External" Id="rId1448"/><Relationship Type="http://schemas.openxmlformats.org/officeDocument/2006/relationships/hyperlink" Target="https://entrackr.com/snippets/b2b-saas-platform-mojro-raises-3-mn-led-by-ian-alpha-fund-11146906" TargetMode="External" Id="rId1449"/><Relationship Type="http://schemas.openxmlformats.org/officeDocument/2006/relationships/hyperlink" Target="https://entrackr.com/snippets/d2c-fashion-brand-mydesignation-raises-40-cr-in-series-a-round-11146761" TargetMode="External" Id="rId1450"/><Relationship Type="http://schemas.openxmlformats.org/officeDocument/2006/relationships/hyperlink" Target="https://entrackr.com/snippets/d2c-brand-basil-raises-2-mn-in-pre-series-a-led-by-prime-venture-partners-11149862" TargetMode="External" Id="rId1451"/><Relationship Type="http://schemas.openxmlformats.org/officeDocument/2006/relationships/hyperlink" Target="https://entrackr.com/snippets/hirebound-raises-2-mn-in-seed-round-led-by-kalaari-capital-11149693" TargetMode="External" Id="rId1452"/><Relationship Type="http://schemas.openxmlformats.org/officeDocument/2006/relationships/hyperlink" Target="https://entrackr.com/snippets/kriswork-raises-3-mn-in-seed-round-led-by-infoedge-ventures-11150272" TargetMode="External" Id="rId1453"/><Relationship Type="http://schemas.openxmlformats.org/officeDocument/2006/relationships/hyperlink" Target="https://entrackr.com/snippets/cancer-care-startup-oncare-raises-rs-27-cr-in-series-a-round-11149575" TargetMode="External" Id="rId1454"/><Relationship Type="http://schemas.openxmlformats.org/officeDocument/2006/relationships/hyperlink" Target="https://entrackr.com/snippets/semiconductor-startup-optoml-raises-18-mn-in-pre-series-a-round-11149795" TargetMode="External" Id="rId1455"/><Relationship Type="http://schemas.openxmlformats.org/officeDocument/2006/relationships/hyperlink" Target="https://entrackr.com/news/wishlink-raises-175-mn-in-series-b-round-led-by-vertex-ventures-11149626" TargetMode="External" Id="rId1456"/><Relationship Type="http://schemas.openxmlformats.org/officeDocument/2006/relationships/hyperlink" Target="https://entrackr.com/news/cross-border-fintech-startup-xflow-raises-166-mn-led-by-general-catalyst-11150374" TargetMode="External" Id="rId1457"/><Relationship Type="http://schemas.openxmlformats.org/officeDocument/2006/relationships/hyperlink" Target="https://entrackr.com/snippets/student-mobility-startup-zeromobit-raises-pre-seed-round-11150709" TargetMode="External" Id="rId1458"/><Relationship Type="http://schemas.openxmlformats.org/officeDocument/2006/relationships/hyperlink" Target="https://entrackr.com/snippets/deep-tech-robotics-startup-armatrix-raises-21-mn-led-by-pi-ventures-11152392" TargetMode="External" Id="rId1459"/><Relationship Type="http://schemas.openxmlformats.org/officeDocument/2006/relationships/hyperlink" Target="https://entrackr.com/snippets/personal-finance-startup-finanjo-raises-rs-15-cr-pre-seed-funding-led-by-ajvc-11152846" TargetMode="External" Id="rId1460"/><Relationship Type="http://schemas.openxmlformats.org/officeDocument/2006/relationships/hyperlink" Target="https://entrackr.com/snippets/healthcare-platform-gut-clinic-raises-1-mn-in-seed-round-11153828" TargetMode="External" Id="rId1461"/><Relationship Type="http://schemas.openxmlformats.org/officeDocument/2006/relationships/hyperlink" Target="https://entrackr.com/snippets/home-essentials-raises-rs-70-cr-in-pre-series-b-led-by-360-one-asset-11154140" TargetMode="External" Id="rId1462"/><Relationship Type="http://schemas.openxmlformats.org/officeDocument/2006/relationships/hyperlink" Target="https://entrackr.com/snippets/medical-equipment-startup-pulse-secures-4-mn-led-by-30ne4-capital-11152811" TargetMode="External" Id="rId1463"/><Relationship Type="http://schemas.openxmlformats.org/officeDocument/2006/relationships/hyperlink" Target="https://entrackr.com/snippets/data-infrastructure-startup-s2dev-raises-385-mn-led-by-accel-11152721" TargetMode="External" Id="rId1464"/><Relationship Type="http://schemas.openxmlformats.org/officeDocument/2006/relationships/hyperlink" Target="https://entrackr.com/snippets/tattvam-ai-secures-17-mn-in-pre-seed-round-led-by-seedcamp-11154738" TargetMode="External" Id="rId1465"/><Relationship Type="http://schemas.openxmlformats.org/officeDocument/2006/relationships/hyperlink" Target="https://entrackr.com/snippets/wootzwork-raises-66-mn-in-series-a-round-led-by-z47-11155346" TargetMode="External" Id="rId1466"/><Relationship Type="http://schemas.openxmlformats.org/officeDocument/2006/relationships/hyperlink" Target="https://entrackr.com/snippets/zeroharm-sciences-raises-rs-65-cr-in-series-a-round-11154967" TargetMode="External" Id="rId1467"/><Relationship Type="http://schemas.openxmlformats.org/officeDocument/2006/relationships/hyperlink" Target="https://entrackr.com/snippets/peak-xv-leads-25-mn-round-in-companion-labs-11157241" TargetMode="External" Id="rId1468"/><Relationship Type="http://schemas.openxmlformats.org/officeDocument/2006/relationships/hyperlink" Target="https://entrackr.com/snippets/aavishkaar-capital-leads-rs-60-cr-round-in-debt-relief-platform-freed-11158185" TargetMode="External" Id="rId1469"/><Relationship Type="http://schemas.openxmlformats.org/officeDocument/2006/relationships/hyperlink" Target="https://entrackr.com/snippets/gushwork-secures-9-mn-led-by-susquehanna-asia-vc-11157636" TargetMode="External" Id="rId1470"/><Relationship Type="http://schemas.openxmlformats.org/officeDocument/2006/relationships/hyperlink" Target="https://entrackr.com/news/meltplan-raises-10-mn-in-seed-round-led-by-bessemer-11156849" TargetMode="External" Id="rId1471"/><Relationship Type="http://schemas.openxmlformats.org/officeDocument/2006/relationships/hyperlink" Target="https://entrackr.com/snippets/nail-care-brand-nailinit-raises-pre-seed-round-11157460" TargetMode="External" Id="rId1472"/><Relationship Type="http://schemas.openxmlformats.org/officeDocument/2006/relationships/hyperlink" Target="https://entrackr.com/snippets/prayaan-capital-raises-rs-110-cr-in-series-a-round-led-by-peak-xv-11157849" TargetMode="External" Id="rId1473"/><Relationship Type="http://schemas.openxmlformats.org/officeDocument/2006/relationships/hyperlink" Target="https://entrackr.com/snippets/reneonix-raises-rs-17-cr-in-pre-seed-round-led-by-ipv-11157125" TargetMode="External" Id="rId1474"/><Relationship Type="http://schemas.openxmlformats.org/officeDocument/2006/relationships/hyperlink" Target="https://economictimes.indiatimes.com/tech/funding/iot-based-security-startup-spintly-raises-8-million-from-accel-enrission-india-others/articleshow/128801949.cms" TargetMode="External" Id="rId1475"/><Relationship Type="http://schemas.openxmlformats.org/officeDocument/2006/relationships/hyperlink" Target="https://entrackr.com/news/defence-tech-startup-constelli-raises-20-mn-led-by-general-catalyst-11159941" TargetMode="External" Id="rId1476"/><Relationship Type="http://schemas.openxmlformats.org/officeDocument/2006/relationships/hyperlink" Target="https://entrackr.com/snippets/voice-ai-startup-origa-raises-450k-led-by-antler-singapore-11160381" TargetMode="External" Id="rId1477"/><Relationship Type="http://schemas.openxmlformats.org/officeDocument/2006/relationships/hyperlink" Target="https://entrackr.com/news/deepinder-goyals-new-startup-temple-raises-54-mn-at-a-190-mn-valuation-11161849" TargetMode="External" Id="rId1478"/><Relationship Type="http://schemas.openxmlformats.org/officeDocument/2006/relationships/hyperlink" Target="https://inc42.com/buzz/from-rozana-to-cent-indian-startups-raised-98-mn-this-week/" TargetMode="External" Id="rId1479"/><Relationship Type="http://schemas.openxmlformats.org/officeDocument/2006/relationships/hyperlink" Target="https://economictimes.indiatimes.com/tech/funding/ev-startup-bounce-raises-5-million-from-accel-b-capital-qualcomm/articleshow/128942453.cms" TargetMode="External" Id="rId1480"/><Relationship Type="http://schemas.openxmlformats.org/officeDocument/2006/relationships/hyperlink" Target="https://entrackr.com/news/quick-commerce-enabler-inamo-raises-8-mn-led-by-prime-venture-partners-11167854" TargetMode="External" Id="rId1481"/><Relationship Type="http://schemas.openxmlformats.org/officeDocument/2006/relationships/hyperlink" Target="https://inc42.com/buzz/from-rozana-to-cent-indian-startups-raised-98-mn-this-week/" TargetMode="External" Id="rId1482"/><Relationship Type="http://schemas.openxmlformats.org/officeDocument/2006/relationships/hyperlink" Target="https://entrackr.com/snippets/bubble-me-raises-rs-15-cr-in-pre-seed-round-led-by-ajvc-11171125" TargetMode="External" Id="rId1483"/><Relationship Type="http://schemas.openxmlformats.org/officeDocument/2006/relationships/hyperlink" Target="https://entrackr.com/exclusive/exclusive-kaartech-raises-rs-100-cr-from-playbook-partners-11173037" TargetMode="External" Id="rId1484"/><Relationship Type="http://schemas.openxmlformats.org/officeDocument/2006/relationships/hyperlink" Target="https://entrackr.com/news/pronto-raises-25-mn-in-series-b-led-by-epiq-capital-11170918" TargetMode="External" Id="rId1485"/><Relationship Type="http://schemas.openxmlformats.org/officeDocument/2006/relationships/hyperlink" Target="https://entrackr.com/snippets/ras-luxury-skincare-raises-75-mn-in-series-b-led-by-dabur-ventures-11171406" TargetMode="External" Id="rId1486"/><Relationship Type="http://schemas.openxmlformats.org/officeDocument/2006/relationships/hyperlink" Target="https://entrackr.com/snippets/moneyboxx-finance-raises-rs-334-cr-in-equity-to-accelerate-growth-11174502" TargetMode="External" Id="rId1487"/><Relationship Type="http://schemas.openxmlformats.org/officeDocument/2006/relationships/hyperlink" Target="https://entrackr.com/snippets/cheerio-ai-raises-rs-8-cr-in-seed-round-led-by-artha-venture-fund-11177469" TargetMode="External" Id="rId1488"/><Relationship Type="http://schemas.openxmlformats.org/officeDocument/2006/relationships/hyperlink" Target="https://entrackr.com/exclusive/exclusive-rainmatter-leads-infinityboxs-pre-series-a-round-11177343" TargetMode="External" Id="rId1489"/><Relationship Type="http://schemas.openxmlformats.org/officeDocument/2006/relationships/hyperlink" Target="https://inc42.com/buzz/from-rozana-to-cent-indian-startups-raised-98-mn-this-week/" TargetMode="External" Id="rId1490"/><Relationship Type="http://schemas.openxmlformats.org/officeDocument/2006/relationships/hyperlink" Target="https://entrackr.com/snippets/healthtech-startup-trudoc-raises-15-mn-in-pre-series-b-round-11177703" TargetMode="External" Id="rId1491"/><Relationship Type="http://schemas.openxmlformats.org/officeDocument/2006/relationships/hyperlink" Target="https://entrackr.com/snippets/healthtech-startup-cent-secures-funding-from-oneflow-south-park-commons-11179508" TargetMode="External" Id="rId1492"/><Relationship Type="http://schemas.openxmlformats.org/officeDocument/2006/relationships/hyperlink" Target="https://entrackr.com/news/rural-commerce-startup-rozana-raises-rs-290-cr-in-series-b-led-by-bertelsmann-11179444" TargetMode="External" Id="rId1493"/><Relationship Type="http://schemas.openxmlformats.org/officeDocument/2006/relationships/hyperlink" Target="https://inc42.com/buzz/from-mozark-to-captain-fresh-indian-startups-raised-207-mn-this-week/" TargetMode="External" Id="rId1494"/><Relationship Type="http://schemas.openxmlformats.org/officeDocument/2006/relationships/hyperlink" Target="https://inc42.com/buzz/from-mozark-to-captain-fresh-indian-startups-raised-207-mn-this-week/" TargetMode="External" Id="rId1495"/><Relationship Type="http://schemas.openxmlformats.org/officeDocument/2006/relationships/hyperlink" Target="https://economictimes.indiatimes.com/tech/funding/zoff-foods-raises-2-million-from-jm-financial-pe/articleshow/129346824.cms" TargetMode="External" Id="rId1496"/><Relationship Type="http://schemas.openxmlformats.org/officeDocument/2006/relationships/hyperlink" Target="https://entrackr.com/news/aquaexchange-raises-8-mn-in-series-b-round-at-41-mn-valuation-11191074" TargetMode="External" Id="rId1497"/><Relationship Type="http://schemas.openxmlformats.org/officeDocument/2006/relationships/hyperlink" Target="https://entrackr.com/snippets/basil-health-raises-15-mn-in-pre-series-a-round-11191786" TargetMode="External" Id="rId1498"/><Relationship Type="http://schemas.openxmlformats.org/officeDocument/2006/relationships/hyperlink" Target="https://entrackr.com/news/captain-fresh-raises-rs-290-cr-from-blue-earth-capital-11191054" TargetMode="External" Id="rId1499"/><Relationship Type="http://schemas.openxmlformats.org/officeDocument/2006/relationships/hyperlink" Target="https://entrackr.com/snippets/together-fund-leads-5-mn-seed-round-in-coreworksai-11191967" TargetMode="External" Id="rId1500"/><Relationship Type="http://schemas.openxmlformats.org/officeDocument/2006/relationships/hyperlink" Target="https://entrackr.com/news/mozark-raises-40-mn-in-series-b-round-led-by-ifc-and-rmb-capitalworks-11191307" TargetMode="External" Id="rId1501"/><Relationship Type="http://schemas.openxmlformats.org/officeDocument/2006/relationships/hyperlink" Target="https://entrackr.com/exclusive/exclusive-google-backed-namma-yatri-raises-fresh-capital-11192150" TargetMode="External" Id="rId1502"/><Relationship Type="http://schemas.openxmlformats.org/officeDocument/2006/relationships/hyperlink" Target="https://entrackr.com/news/newtrace-raises-63-mn-in-pre-series-a-round-led-by-hdfc-bank-msivc-11191069" TargetMode="External" Id="rId1503"/><Relationship Type="http://schemas.openxmlformats.org/officeDocument/2006/relationships/hyperlink" Target="https://inc42.com/buzz/from-mozark-to-captain-fresh-indian-startups-raised-207-mn-this-week/" TargetMode="External" Id="rId1504"/><Relationship Type="http://schemas.openxmlformats.org/officeDocument/2006/relationships/hyperlink" Target="https://entrackr.com/snippets/verdant-impact-raises-3-mn-in-seed-round-led-by-unicorn-india-ventures-11190942" TargetMode="External" Id="rId1505"/><Relationship Type="http://schemas.openxmlformats.org/officeDocument/2006/relationships/hyperlink" Target="https://www.vccircle.com/vcbacked-mosaic-wellness-secures-funding-from-asset-management-firm" TargetMode="External" Id="rId1506"/><Relationship Type="http://schemas.openxmlformats.org/officeDocument/2006/relationships/hyperlink" Target="https://inc42.com/buzz/from-mozark-to-captain-fresh-indian-startups-raised-207-mn-this-week/" TargetMode="External" Id="rId1507"/><Relationship Type="http://schemas.openxmlformats.org/officeDocument/2006/relationships/hyperlink" Target="https://entrackr.com/snippets/qsr-chain-boba-bhai-raises-43-mn-11193618" TargetMode="External" Id="rId1508"/><Relationship Type="http://schemas.openxmlformats.org/officeDocument/2006/relationships/hyperlink" Target="https://inc42.com/buzz/from-mozark-to-captain-fresh-indian-startups-raised-207-mn-this-week/" TargetMode="External" Id="rId1509"/><Relationship Type="http://schemas.openxmlformats.org/officeDocument/2006/relationships/hyperlink" Target="https://entrackr.com/snippets/wavemaker-partners-leads-16-mn-pre-seed-round-in-confluxe-11204068" TargetMode="External" Id="rId1510"/><Relationship Type="http://schemas.openxmlformats.org/officeDocument/2006/relationships/hyperlink" Target="https://entrackr.com/snippets/constems-ai-systems-raises-2-mn-led-by-finvolve-and-india-accelerator-11203937" TargetMode="External" Id="rId1511"/><Relationship Type="http://schemas.openxmlformats.org/officeDocument/2006/relationships/hyperlink" Target="https://entrackr.com/exclusive/exclusive-drinkprime-raises-fresh-money-at-30-valuation-premium-11195036" TargetMode="External" Id="rId1512"/><Relationship Type="http://schemas.openxmlformats.org/officeDocument/2006/relationships/hyperlink" Target="https://entrackr.com/snippets/lumikai-leads-15-mn-seed-round-in-nprep-11193962" TargetMode="External" Id="rId1513"/><Relationship Type="http://schemas.openxmlformats.org/officeDocument/2006/relationships/hyperlink" Target="https://entrackr.com/snippets/opencfo-raises-2-mn-in-round-led-by-endiya-partners-11193954" TargetMode="External" Id="rId1514"/><Relationship Type="http://schemas.openxmlformats.org/officeDocument/2006/relationships/hyperlink" Target="https://inc42.com/buzz/from-mozark-to-captain-fresh-indian-startups-raised-207-mn-this-week/" TargetMode="External" Id="rId1515"/><Relationship Type="http://schemas.openxmlformats.org/officeDocument/2006/relationships/hyperlink" Target="https://inc42.com/buzz/from-mozark-to-captain-fresh-indian-startups-raised-207-mn-this-week/" TargetMode="External" Id="rId1516"/><Relationship Type="http://schemas.openxmlformats.org/officeDocument/2006/relationships/hyperlink" Target="https://entrackr.com/news/waycool-raises-rs-210-cr-from-lightrock-india-11211096" TargetMode="External" Id="rId1517"/><Relationship Type="http://schemas.openxmlformats.org/officeDocument/2006/relationships/hyperlink" Target="https://economictimes.indiatimes.com/tech/funding/real-estate-startup-officebanao-raises-nearly-4-million-to-expand-business/articleshow/129588255.cms" TargetMode="External" Id="rId1518"/><Relationship Type="http://schemas.openxmlformats.org/officeDocument/2006/relationships/hyperlink" Target="https://entrackr.com/snippets/agnit-semiconductors-raises-26-mn-in-seed-extension-led-by-shastra-vc-11216664" TargetMode="External" Id="rId1519"/><Relationship Type="http://schemas.openxmlformats.org/officeDocument/2006/relationships/hyperlink" Target="https://entrackr.com/news/visa-processing-startup-atlys-raises-36-mn-in-series-c-funding-11218314" TargetMode="External" Id="rId1520"/><Relationship Type="http://schemas.openxmlformats.org/officeDocument/2006/relationships/hyperlink" Target="https://entrackr.com/snippets/pain-care-startup-betterhood-raises-seed-round-led-by-kairon-capital-11216682" TargetMode="External" Id="rId1521"/><Relationship Type="http://schemas.openxmlformats.org/officeDocument/2006/relationships/hyperlink" Target="https://entrackr.com/news/ecofy-raises-rs-3805-cr-in-series-b-round-led-by-bii-and-finnfund-11216830" TargetMode="External" Id="rId1522"/><Relationship Type="http://schemas.openxmlformats.org/officeDocument/2006/relationships/hyperlink" Target="https://inc42.com/buzz/from-neo-to-atlys-indian-startups-raised-228-mn-this-week-2/" TargetMode="External" Id="rId1523"/><Relationship Type="http://schemas.openxmlformats.org/officeDocument/2006/relationships/hyperlink" Target="https://entrackr.com/snippets/peak-xv-leads-66-mn-funding-round-in-bamboobox-11219662" TargetMode="External" Id="rId1524"/><Relationship Type="http://schemas.openxmlformats.org/officeDocument/2006/relationships/hyperlink" Target="https://inc42.com/buzz/from-neo-to-atlys-indian-startups-raised-228-mn-this-week-2/" TargetMode="External" Id="rId1525"/><Relationship Type="http://schemas.openxmlformats.org/officeDocument/2006/relationships/hyperlink" Target="https://inc42.com/buzz/from-neo-to-atlys-indian-startups-raised-228-mn-this-week-2/" TargetMode="External" Id="rId1526"/><Relationship Type="http://schemas.openxmlformats.org/officeDocument/2006/relationships/hyperlink" Target="https://entrackr.com/snippets/d2c-pet-care-brand-moe-puppy-raises-pre-seed-round-led-by-pedalstart-11219941" TargetMode="External" Id="rId1527"/><Relationship Type="http://schemas.openxmlformats.org/officeDocument/2006/relationships/hyperlink" Target="https://entrackr.com/snippets/pi-ventures-leads-rs-30-cr-pre-series-a-round-in-deep-tech-company-velmenni-11219430" TargetMode="External" Id="rId1528"/><Relationship Type="http://schemas.openxmlformats.org/officeDocument/2006/relationships/hyperlink" Target="https://entrackr.com/snippets/d2c-insider-super-angels-leads-pre-seed-round-in-pet-food-startup-zoomies-11220348" TargetMode="External" Id="rId1529"/><Relationship Type="http://schemas.openxmlformats.org/officeDocument/2006/relationships/hyperlink" Target="https://www.vccircle.com/probioticsmaker-elmed-life-sciences-bags-maiden-cheque-eyes-larger-round" TargetMode="External" Id="rId1530"/><Relationship Type="http://schemas.openxmlformats.org/officeDocument/2006/relationships/hyperlink" Target="https://entrackr.com/news/enterprise-procurement-platform-aerchain-secures-13-mn-in-series-a-round-11225084" TargetMode="External" Id="rId1531"/><Relationship Type="http://schemas.openxmlformats.org/officeDocument/2006/relationships/hyperlink" Target="https://entrackr.com/news/burger-singh-raises-rs-82-cr-in-series-b-round-11224074" TargetMode="External" Id="rId1532"/><Relationship Type="http://schemas.openxmlformats.org/officeDocument/2006/relationships/hyperlink" Target="https://entrackr.com/snippets/cometchat-raises-65-mn-from-run-ventures-11223504" TargetMode="External" Id="rId1533"/><Relationship Type="http://schemas.openxmlformats.org/officeDocument/2006/relationships/hyperlink" Target="https://inc42.com/buzz/from-neo-to-atlys-indian-startups-raised-228-mn-this-week-2/" TargetMode="External" Id="rId1534"/><Relationship Type="http://schemas.openxmlformats.org/officeDocument/2006/relationships/hyperlink" Target="https://entrackr.com/snippets/prashant-pittis-optimo-capital-raises-rs-100-cr-from-pnb-11224352" TargetMode="External" Id="rId1535"/><Relationship Type="http://schemas.openxmlformats.org/officeDocument/2006/relationships/hyperlink" Target="https://entrackr.com/snippets/conversational-ai-platform-verbaflo-raises-7-mn-in-seed-round-led-by-pi-labs-11224140" TargetMode="External" Id="rId1536"/><Relationship Type="http://schemas.openxmlformats.org/officeDocument/2006/relationships/hyperlink" Target="https://entrackr.com/news/weaver-services-raises-rs-1450-cr-led-by-premji-invest-and-lightspeed-11224855" TargetMode="External" Id="rId1537"/><Relationship Type="http://schemas.openxmlformats.org/officeDocument/2006/relationships/hyperlink" Target="https://inc42.com/buzz/from-neo-to-atlys-indian-startups-raised-228-mn-this-week-2/" TargetMode="External" Id="rId1538"/><Relationship Type="http://schemas.openxmlformats.org/officeDocument/2006/relationships/hyperlink" Target="https://entrackr.com/snippets/neurotechnology-startup-mave-health-secures-21-mn-led-by-blume-ventures-11227402" TargetMode="External" Id="rId1539"/><Relationship Type="http://schemas.openxmlformats.org/officeDocument/2006/relationships/hyperlink" Target="https://entrackr.com/snippets/ipv-leads-pre-series-a-round-in-pinq-polka-11227264" TargetMode="External" Id="rId1540"/><Relationship Type="http://schemas.openxmlformats.org/officeDocument/2006/relationships/hyperlink" Target="https://entrackr.com/snippets/neuro-rehabilitation-startup-rymo-technologies-secures-rs-10-cr-in-seed-round-11228049" TargetMode="External" Id="rId1541"/><Relationship Type="http://schemas.openxmlformats.org/officeDocument/2006/relationships/hyperlink" Target="https://entrackr.com/snippets/aamra-seniors-club-raises-150k-in-pre-seed-round-11247180" TargetMode="External" Id="rId1542"/><Relationship Type="http://schemas.openxmlformats.org/officeDocument/2006/relationships/hyperlink" Target="https://entrackr.com/news/toy-manufacturing-startup-bidso-secures-rs-63-cr-in-series-a-led-by-blume-ventures-11254502" TargetMode="External" Id="rId1543"/><Relationship Type="http://schemas.openxmlformats.org/officeDocument/2006/relationships/hyperlink" Target="https://economictimes.indiatimes.com/tech/funding/cultfit-raises-47-million-from-singapores-temasek/articleshow/129755743.cms" TargetMode="External" Id="rId1544"/><Relationship Type="http://schemas.openxmlformats.org/officeDocument/2006/relationships/hyperlink" Target="https://entrackr.com/snippets/digital-lending-marketplace-finfinity-raises-24-mn-in-seed-round-11254722" TargetMode="External" Id="rId1545"/><Relationship Type="http://schemas.openxmlformats.org/officeDocument/2006/relationships/hyperlink" Target="https://entrackr.com/snippets/jif-capital-leads-4-mn-series-a-round-in-letzryd-11256224" TargetMode="External" Id="rId1546"/><Relationship Type="http://schemas.openxmlformats.org/officeDocument/2006/relationships/hyperlink" Target="https://entrackr.com/snippets/magical-nest-operator-raanro-raises-pre-seed-round-11256761" TargetMode="External" Id="rId1547"/><Relationship Type="http://schemas.openxmlformats.org/officeDocument/2006/relationships/hyperlink" Target="https://entrackr.com/snippets/workroom-automation-raises-seed-funding-led-by-equirus-innovatex-fund-11254713" TargetMode="External" Id="rId1548"/><Relationship Type="http://schemas.openxmlformats.org/officeDocument/2006/relationships/hyperlink" Target="https://inc42.com/buzz/from-euler-motors-to-rocketlane-indian-startups-raised-343-mn-this-week/" TargetMode="External" Id="rId1549"/><Relationship Type="http://schemas.openxmlformats.org/officeDocument/2006/relationships/hyperlink" Target="https://inc42.com/buzz/from-euler-motors-to-rocketlane-indian-startups-raised-343-mn-this-week/" TargetMode="External" Id="rId1550"/><Relationship Type="http://schemas.openxmlformats.org/officeDocument/2006/relationships/hyperlink" Target="https://entrackr.com/news/euler-motors-raises-47-mn-in-series-e-round-led-by-lightrock-11259258" TargetMode="External" Id="rId1551"/><Relationship Type="http://schemas.openxmlformats.org/officeDocument/2006/relationships/hyperlink" Target="https://entrackr.com/snippets/kidbea-secures-rs-30-cr-in-series-a-funding-led-by-enrission-india-capital-11257759" TargetMode="External" Id="rId1552"/><Relationship Type="http://schemas.openxmlformats.org/officeDocument/2006/relationships/hyperlink" Target="https://entrackr.com/snippets/solar-financing-platform-metafin-secures-10-mn-debt-from-lendable-11257776" TargetMode="External" Id="rId1553"/><Relationship Type="http://schemas.openxmlformats.org/officeDocument/2006/relationships/hyperlink" Target="https://entrackr.com/snippets/kids-focused-quick-commerce-platform-ozi-raises-62-mn-led-by-rtp-global-11258551" TargetMode="External" Id="rId1554"/><Relationship Type="http://schemas.openxmlformats.org/officeDocument/2006/relationships/hyperlink" Target="https://entrackr.com/news/pranos-raises-68-mn-to-build-high-field-fusion-reactor-technology-11257040" TargetMode="External" Id="rId1555"/><Relationship Type="http://schemas.openxmlformats.org/officeDocument/2006/relationships/hyperlink" Target="https://entrackr.com/snippets/pediatric-wellness-startup-rn-kids-raises-pre-seed-round-11258712" TargetMode="External" Id="rId1556"/><Relationship Type="http://schemas.openxmlformats.org/officeDocument/2006/relationships/hyperlink" Target="https://entrackr.com/news/swish-raises-38-mn-led-by-hara-global-and-bain-capital-ventures-11257660" TargetMode="External" Id="rId1557"/><Relationship Type="http://schemas.openxmlformats.org/officeDocument/2006/relationships/hyperlink" Target="https://entrackr.com/snippets/burma-burma-raises-rs-38-cr-at-rs-500-cr-valuation-11261395" TargetMode="External" Id="rId1558"/><Relationship Type="http://schemas.openxmlformats.org/officeDocument/2006/relationships/hyperlink" Target="https://entrackr.com/news/fastup-parent-fullife-healthcare-raises-rs-300-cr-led-by-elev8-11261510" TargetMode="External" Id="rId1559"/><Relationship Type="http://schemas.openxmlformats.org/officeDocument/2006/relationships/hyperlink" Target="https://inc42.com/buzz/from-euler-motors-to-rocketlane-indian-startups-raised-343-mn-this-week/" TargetMode="External" Id="rId1560"/><Relationship Type="http://schemas.openxmlformats.org/officeDocument/2006/relationships/hyperlink" Target="https://inc42.com/buzz/from-euler-motors-to-rocketlane-indian-startups-raised-343-mn-this-week/" TargetMode="External" Id="rId1561"/><Relationship Type="http://schemas.openxmlformats.org/officeDocument/2006/relationships/hyperlink" Target="https://entrackr.com/news/rocketlane-raises-60-mn-in-series-c-led-by-insight-partners-11263378" TargetMode="External" Id="rId1562"/><Relationship Type="http://schemas.openxmlformats.org/officeDocument/2006/relationships/hyperlink" Target="https://entrackr.com/exclusive/exclusive-skyroot-aerospace-bags-rs-100-cr-debt-from-blackrock-11261710" TargetMode="External" Id="rId1563"/><Relationship Type="http://schemas.openxmlformats.org/officeDocument/2006/relationships/hyperlink" Target="https://entrackr.com/snippets/fashion-supply-startup-thread-factory-raises-pre-seed-funding-led-by-ajvc-11261936" TargetMode="External" Id="rId1564"/><Relationship Type="http://schemas.openxmlformats.org/officeDocument/2006/relationships/hyperlink" Target="https://inc42.com/buzz/from-euler-motors-to-rocketlane-indian-startups-raised-343-mn-this-week/" TargetMode="External" Id="rId1565"/><Relationship Type="http://schemas.openxmlformats.org/officeDocument/2006/relationships/hyperlink" Target="https://entrackr.com/snippets/deccan-ai-raises-25-mn-from-a91-partners-prosus-and-sig-11264952" TargetMode="External" Id="rId1566"/><Relationship Type="http://schemas.openxmlformats.org/officeDocument/2006/relationships/hyperlink" Target="https://entrackr.com/news/plum-insurance-raises-205-mn-in-series-b-round-led-by-peak-xv-11264489" TargetMode="External" Id="rId1567"/><Relationship Type="http://schemas.openxmlformats.org/officeDocument/2006/relationships/hyperlink" Target="https://inc42.com/buzz/from-euler-motors-to-rocketlane-indian-startups-raised-343-mn-this-week/" TargetMode="External" Id="rId1568"/><Relationship Type="http://schemas.openxmlformats.org/officeDocument/2006/relationships/hyperlink" Target="https://entrackr.com/exclusive/exclusive-bellatrix-aerospace-to-raise-rs-107-cr-at-27x-valuation-premium-11364863" TargetMode="External" Id="rId1569"/><Relationship Type="http://schemas.openxmlformats.org/officeDocument/2006/relationships/hyperlink" Target="https://entrackr.com/snippets/pavestone-leads-3-mn-seed-round-in-lending-solutions-platform-uncia-11364581" TargetMode="External" Id="rId1570"/><Relationship Type="http://schemas.openxmlformats.org/officeDocument/2006/relationships/hyperlink" Target="https://entrackr.com/exclusive/exclusive-mental-health-startup-amaha-raises-fresh-capital-at-2x-valuation-premium-11436328" TargetMode="External" Id="rId1571"/><Relationship Type="http://schemas.openxmlformats.org/officeDocument/2006/relationships/hyperlink" Target="https://entrackr.com/snippets/bacancy-systems-raises-rs-40-cr-led-by-sabre-partners-and-greenstone-capital-11435409" TargetMode="External" Id="rId1572"/><Relationship Type="http://schemas.openxmlformats.org/officeDocument/2006/relationships/hyperlink" Target="https://entrackr.com/snippets/unicorn-india-ventures-leads-rs-12-cr-pre-series-a-round-in-agritech-startup-cropcoin-11434107" TargetMode="External" Id="rId1573"/><Relationship Type="http://schemas.openxmlformats.org/officeDocument/2006/relationships/hyperlink" Target="https://entrackr.com/snippets/quick-commerce-startup-epik-raises-1-mn-led-by-info-edge-ventures-11434100" TargetMode="External" Id="rId1574"/><Relationship Type="http://schemas.openxmlformats.org/officeDocument/2006/relationships/hyperlink" Target="https://entrackr.com/exclusive/exclusive-gnaniai-kicks-off-series-b-round-led-by-aavishkaar-capital-11433897" TargetMode="External" Id="rId1575"/><Relationship Type="http://schemas.openxmlformats.org/officeDocument/2006/relationships/hyperlink" Target="https://entrackr.com/snippets/ms-dhoni-invests-in-kuku-joins-as-brand-ambassador-for-kuku-tv-11435734" TargetMode="External" Id="rId1576"/><Relationship Type="http://schemas.openxmlformats.org/officeDocument/2006/relationships/hyperlink" Target="https://entrackr.com/snippets/cedar-hill-capital-leads-15-mn-round-in-fraud-intelligence-startup-sign3-11434197" TargetMode="External" Id="rId1577"/><Relationship Type="http://schemas.openxmlformats.org/officeDocument/2006/relationships/hyperlink" Target="https://entrackr.com/snippets/skillsvest-raises-rs-55-cr-pre-seed-round-led-by-plug-and-play-ventures-11436120" TargetMode="External" Id="rId1578"/><Relationship Type="http://schemas.openxmlformats.org/officeDocument/2006/relationships/hyperlink" Target="https://entrackr.com/news/wealthtech-startup-bachatt-raises-12-mn-in-series-a-led-by-accel-11438527" TargetMode="External" Id="rId1579"/><Relationship Type="http://schemas.openxmlformats.org/officeDocument/2006/relationships/hyperlink" Target="https://entrackr.com/snippets/hegdinvst-leads-5-mn-pre-series-a-round-in-nbfc-dugar-finance-11438290" TargetMode="External" Id="rId1580"/><Relationship Type="http://schemas.openxmlformats.org/officeDocument/2006/relationships/hyperlink" Target="https://entrackr.com/snippets/fanon-raises-pre-seed-round-led-by-kalaari-capital-and-gruhas-11438253" TargetMode="External" Id="rId1581"/><Relationship Type="http://schemas.openxmlformats.org/officeDocument/2006/relationships/hyperlink" Target="https://entrackr.com/news/cross-border-payments-infra-startup-openfx-raises-94-mn-from-accel-lightspeed-others-11439901" TargetMode="External" Id="rId1582"/><Relationship Type="http://schemas.openxmlformats.org/officeDocument/2006/relationships/hyperlink" Target="https://entrackr.com/snippets/merak-ventures-leads-pre-series-a-round-in-credresolve-11441882" TargetMode="External" Id="rId1583"/><Relationship Type="http://schemas.openxmlformats.org/officeDocument/2006/relationships/hyperlink" Target="https://entrackr.com/exclusive/exclusive-meridian-global-nears-controlling-stake-in-cygni-energy-with-fresh-funding-11442046" TargetMode="External" Id="rId1584"/><Relationship Type="http://schemas.openxmlformats.org/officeDocument/2006/relationships/hyperlink" Target="https://inc42.com/buzz/from-noon-to-palmonas-indian-startups-raised-132-mn-this-week/" TargetMode="External" Id="rId1585"/><Relationship Type="http://schemas.openxmlformats.org/officeDocument/2006/relationships/hyperlink" Target="https://entrackr.com/news/b2b-metal-procurement-startup-nowpurchase-raises-86-mn-led-by-bajaj-finserv-11441827" TargetMode="External" Id="rId1586"/><Relationship Type="http://schemas.openxmlformats.org/officeDocument/2006/relationships/hyperlink" Target="https://inc42.com/buzz/from-noon-to-palmonas-indian-startups-raised-132-mn-this-week/" TargetMode="External" Id="rId1587"/><Relationship Type="http://schemas.openxmlformats.org/officeDocument/2006/relationships/hyperlink" Target="https://inc42.com/buzz/from-noon-to-palmonas-indian-startups-raised-132-mn-this-week/" TargetMode="External" Id="rId1588"/><Relationship Type="http://schemas.openxmlformats.org/officeDocument/2006/relationships/hyperlink" Target="https://entrackr.com/snippets/xovian-aerospace-raises-2-mn-led-by-ashish-kacholia-11442879" TargetMode="External" Id="rId1589"/><Relationship Type="http://schemas.openxmlformats.org/officeDocument/2006/relationships/hyperlink" Target="https://entrackr.com/snippets/aquapulse-raises-rs-25-cr-in-series-a-led-by-nabventures-11446411" TargetMode="External" Id="rId1590"/><Relationship Type="http://schemas.openxmlformats.org/officeDocument/2006/relationships/hyperlink" Target="https://entrackr.com/snippets/gabify-raises-175k-in-pre-seed-round-led-by-inflection-point-ventures-11445677" TargetMode="External" Id="rId1591"/><Relationship Type="http://schemas.openxmlformats.org/officeDocument/2006/relationships/hyperlink" Target="https://inc42.com/buzz/from-noon-to-palmonas-indian-startups-raised-132-mn-this-week/" TargetMode="External" Id="rId1592"/><Relationship Type="http://schemas.openxmlformats.org/officeDocument/2006/relationships/hyperlink" Target="https://inc42.com/buzz/from-noon-to-palmonas-indian-startups-raised-132-mn-this-week/" TargetMode="External" Id="rId1593"/><Relationship Type="http://schemas.openxmlformats.org/officeDocument/2006/relationships/hyperlink" Target="https://entrackr.com/exclusive/exclusive-uppercase-raises-fresh-capital-from-existing-investors-11449759" TargetMode="External" Id="rId1594"/><Relationship Type="http://schemas.openxmlformats.org/officeDocument/2006/relationships/hyperlink" Target="https://entrackr.com/snippets/dam-good-fish-raises-strategic-funding-at-rs-30-cr-valuation-11457953" TargetMode="External" Id="rId1595"/><Relationship Type="http://schemas.openxmlformats.org/officeDocument/2006/relationships/hyperlink" Target="https://entrackr.com/snippets/konvoy-leads-5-mn-series-a-round-in-fintech-startup-gosats-11458228" TargetMode="External" Id="rId1596"/><Relationship Type="http://schemas.openxmlformats.org/officeDocument/2006/relationships/hyperlink" Target="https://entrackr.com/snippets/satark-ai-raises-pre-seed-round-at-4-mn-valuation-11457711" TargetMode="External" Id="rId1597"/><Relationship Type="http://schemas.openxmlformats.org/officeDocument/2006/relationships/hyperlink" Target="https://entrackr.com/snippets/spacetech-startup-satleo-labs-raises-22-mn-in-seed-round-11457321" TargetMode="External" Id="rId1598"/><Relationship Type="http://schemas.openxmlformats.org/officeDocument/2006/relationships/hyperlink" Target="https://economictimes.indiatimes.com/tech/startups/everstone-leads-150-million-infusion-in-saas-firm-wingify/articleshow/130063558.cms" TargetMode="External" Id="rId1599"/><Relationship Type="http://schemas.openxmlformats.org/officeDocument/2006/relationships/hyperlink" Target="https://entrackr.com/snippets/zanskar-tech-secures-rs-25-cr-from-blacksoil-capital-11458964" TargetMode="External" Id="rId1600"/><Relationship Type="http://schemas.openxmlformats.org/officeDocument/2006/relationships/hyperlink" Target="https://inc42.com/buzz/from-kreditbee-to-nava-indian-startups-raised-362-mn-this-week/" TargetMode="External" Id="rId1601"/><Relationship Type="http://schemas.openxmlformats.org/officeDocument/2006/relationships/hyperlink" Target="https://entrackr.com/snippets/ecoil-raises-25-mn-in-series-a-led-by-fundalogical-ventures-11461229" TargetMode="External" Id="rId1602"/><Relationship Type="http://schemas.openxmlformats.org/officeDocument/2006/relationships/hyperlink" Target="https://entrackr.com/snippets/d2c-insider-super-angels-leads-pre-seed-round-in-kids-brand-filli-me-11586028" TargetMode="External" Id="rId1603"/><Relationship Type="http://schemas.openxmlformats.org/officeDocument/2006/relationships/hyperlink" Target="https://entrackr.com/snippets/devesh-sachdev-joins-glaas-as-co-founder-md-invests-5-mn-11461786" TargetMode="External" Id="rId1604"/><Relationship Type="http://schemas.openxmlformats.org/officeDocument/2006/relationships/hyperlink" Target="https://entrackr.com/snippets/h2loop-raises-2-mn-in-seed-round-from-speciale-invest-and-3one4-capital-11481816" TargetMode="External" Id="rId1605"/><Relationship Type="http://schemas.openxmlformats.org/officeDocument/2006/relationships/hyperlink" Target="https://economictimes.indiatimes.com/tech/funding/d2c-air-conditioner-startup-helium-raises-2-million-from-india-quotient/articleshow/130091316.cms" TargetMode="External" Id="rId1606"/><Relationship Type="http://schemas.openxmlformats.org/officeDocument/2006/relationships/hyperlink" Target="https://entrackr.com/snippets/nabventures-leads-rs-34-cr-series-a-round-in-kisaansay-11461666" TargetMode="External" Id="rId1607"/><Relationship Type="http://schemas.openxmlformats.org/officeDocument/2006/relationships/hyperlink" Target="https://entrackr.com/news/aman-guptas-off-beat-raises-rs-100-cr-led-by-bessemer-11461787" TargetMode="External" Id="rId1608"/><Relationship Type="http://schemas.openxmlformats.org/officeDocument/2006/relationships/hyperlink" Target="https://entrackr.com/snippets/workongrid-raises-rs-225-cr-led-by-transition-venture-capital-11631783" TargetMode="External" Id="rId1609"/><Relationship Type="http://schemas.openxmlformats.org/officeDocument/2006/relationships/hyperlink" Target="https://economictimes.indiatimes.com/tech/funding/enterprise-ai-startup-xccelera-raises-rs-1-2-crore/articleshow/130086979.cms" TargetMode="External" Id="rId1610"/><Relationship Type="http://schemas.openxmlformats.org/officeDocument/2006/relationships/hyperlink" Target="https://entrackr.com/snippets/customer-interaction-platform-angoor-ai-raises-pre-seed-round-led-by-venturizer-11700670" TargetMode="External" Id="rId1611"/><Relationship Type="http://schemas.openxmlformats.org/officeDocument/2006/relationships/hyperlink" Target="https://entrackr.com/snippets/atlas-raises-6-mn-in-seed-round-co-led-by-accel-and-stellaris-11700765" TargetMode="External" Id="rId1612"/><Relationship Type="http://schemas.openxmlformats.org/officeDocument/2006/relationships/hyperlink" Target="https://entrackr.com/snippets/skincare-brand-clayco-raises-rs-3459-cr-in-series-a-led-by-twenty-nine-capital-11701187" TargetMode="External" Id="rId1613"/><Relationship Type="http://schemas.openxmlformats.org/officeDocument/2006/relationships/hyperlink" Target="https://entrackr.com/news/kreditbee-enters-unicorn-club-with-280-mn-series-e-round-11700184" TargetMode="External" Id="rId1614"/><Relationship Type="http://schemas.openxmlformats.org/officeDocument/2006/relationships/hyperlink" Target="https://economictimes.indiatimes.com/tech/funding/d2c-farm-produce-platform-pluckk-raises-rs-100-crore-from-euro-gulf-investment/articleshow/130118770.cms" TargetMode="External" Id="rId1615"/><Relationship Type="http://schemas.openxmlformats.org/officeDocument/2006/relationships/hyperlink" Target="https://entrackr.com/snippets/ian-alpha-fund-leads-rs-22-cr-round-in-deep-tech-startup-roshai-11701674" TargetMode="External" Id="rId1616"/><Relationship Type="http://schemas.openxmlformats.org/officeDocument/2006/relationships/hyperlink" Target="https://entrackr.com/snippets/ev-mobility-startup-trev-mobility-raises-angel-round-to-expand-across-delhi-ncr-11657382" TargetMode="External" Id="rId1617"/><Relationship Type="http://schemas.openxmlformats.org/officeDocument/2006/relationships/hyperlink" Target="https://entrackr.com/snippets/defense-tech-firm-tsecondai-raises-215-mn-led-by-msn-holdings-11701077" TargetMode="External" Id="rId1618"/><Relationship Type="http://schemas.openxmlformats.org/officeDocument/2006/relationships/hyperlink" Target="https://entrackr.com/snippets/astranova-mobility-raises-rs-60-cr-in-series-a-led-by-ivycap-ventures-11704150" TargetMode="External" Id="rId1619"/><Relationship Type="http://schemas.openxmlformats.org/officeDocument/2006/relationships/hyperlink" Target="https://entrackr.com/snippets/daakit-raises-138k-in-pre-seed-round-led-by-inflection-point-ventures-11704251" TargetMode="External" Id="rId1620"/><Relationship Type="http://schemas.openxmlformats.org/officeDocument/2006/relationships/hyperlink" Target="https://entrackr.com/news/enterprise-ai-startup-nava-raises-22-mn-led-by-greenoaks-capital-11703910" TargetMode="External" Id="rId1621"/><Relationship Type="http://schemas.openxmlformats.org/officeDocument/2006/relationships/hyperlink" Target="https://entrackr.com/snippets/swageazy-raises-rs-54-cr-follow-on-round-led-by-info-edge-ventures-11708256" TargetMode="External" Id="rId1622"/><Relationship Type="http://schemas.openxmlformats.org/officeDocument/2006/relationships/hyperlink" Target="https://inc42.com/buzz/from-hosteller-to-gobblecube-indian-startups-raised-60-mn-this-week/" TargetMode="External" Id="rId1623"/><Relationship Type="http://schemas.openxmlformats.org/officeDocument/2006/relationships/hyperlink" Target="https://entrackr.com/snippets/dairy-and-ice-cream-brand-frubon-raises-funding-from-fireside-others-11720672" TargetMode="External" Id="rId1624"/><Relationship Type="http://schemas.openxmlformats.org/officeDocument/2006/relationships/hyperlink" Target="https://entrackr.com/snippets/smart-garage-raises-rs-24-cr-in-pre-series-a-round-11720170" TargetMode="External" Id="rId1625"/><Relationship Type="http://schemas.openxmlformats.org/officeDocument/2006/relationships/hyperlink" Target="https://entrackr.com/snippets/traqcheck-raises-8-mn-series-a-led-by-ivycap-ventures-11723958" TargetMode="External" Id="rId1626"/><Relationship Type="http://schemas.openxmlformats.org/officeDocument/2006/relationships/hyperlink" Target="https://entrackr.com/news/gobblecube-raises-15-mn-in-series-a-round-led-by-susquehanna-11727235" TargetMode="External" Id="rId1627"/><Relationship Type="http://schemas.openxmlformats.org/officeDocument/2006/relationships/hyperlink" Target="https://entrackr.com/snippets/brain-health-platform-ivory-raises-1-mn-in-seed-round-11727938" TargetMode="External" Id="rId1628"/><Relationship Type="http://schemas.openxmlformats.org/officeDocument/2006/relationships/hyperlink" Target="https://entrackr.com/snippets/aliste-technologies-raises-rs-30-cr-in-pre-series-a-led-by-big-global-jsc-11730913" TargetMode="External" Id="rId1629"/><Relationship Type="http://schemas.openxmlformats.org/officeDocument/2006/relationships/hyperlink" Target="https://entrackr.com/snippets/cohoma-coffee-raises-rs-5-cr-seed-round-led-by-ipv-11730918" TargetMode="External" Id="rId1630"/><Relationship Type="http://schemas.openxmlformats.org/officeDocument/2006/relationships/hyperlink" Target="https://inc42.com/buzz/from-hosteller-to-gobblecube-indian-startups-raised-60-mn-this-week/" TargetMode="External" Id="rId1631"/><Relationship Type="http://schemas.openxmlformats.org/officeDocument/2006/relationships/hyperlink" Target="https://entrackr.com/snippets/pentathlon-ventures-leads-rs-17-cr-seed-round-in-industrial-ai-startup-intellithink-11730716" TargetMode="External" Id="rId1632"/><Relationship Type="http://schemas.openxmlformats.org/officeDocument/2006/relationships/hyperlink" Target="https://inc42.com/buzz/from-hosteller-to-gobblecube-indian-startups-raised-60-mn-this-week/" TargetMode="External" Id="rId1633"/><Relationship Type="http://schemas.openxmlformats.org/officeDocument/2006/relationships/hyperlink" Target="https://entrackr.com/snippets/polaris-raises-80-mn-from-british-international-investment-11731748" TargetMode="External" Id="rId1634"/><Relationship Type="http://schemas.openxmlformats.org/officeDocument/2006/relationships/hyperlink" Target="https://inc42.com/buzz/from-hosteller-to-gobblecube-indian-startups-raised-60-mn-this-week/" TargetMode="External" Id="rId1635"/><Relationship Type="http://schemas.openxmlformats.org/officeDocument/2006/relationships/hyperlink" Target="https://entrackr.com/news/the-hosteller-raises-rs-150-cr-in-series-b-round-led-by-promaft-and-v3-ventures-11730910" TargetMode="External" Id="rId1636"/><Relationship Type="http://schemas.openxmlformats.org/officeDocument/2006/relationships/hyperlink" Target="https://entrackr.com/snippets/mens-personal-care-brand-unbound-raises-rs-8-cr-led-by-fireside-ventures-11731565" TargetMode="External" Id="rId1637"/><Relationship Type="http://schemas.openxmlformats.org/officeDocument/2006/relationships/hyperlink" Target="https://inc42.com/buzz/from-hosteller-to-gobblecube-indian-startups-raised-60-mn-this-week/" TargetMode="External" Id="rId1638"/><Relationship Type="http://schemas.openxmlformats.org/officeDocument/2006/relationships/hyperlink" Target="https://entrackr.com/snippets/axten-hospitals-raises-rs-25-cr-led-by-pedalstart-11745815" TargetMode="External" Id="rId1639"/><Relationship Type="http://schemas.openxmlformats.org/officeDocument/2006/relationships/hyperlink" Target="https://entrackr.com/snippets/artha-venture-leads-seed-round-in-personal-care-brand-clarity-labs-11745014" TargetMode="External" Id="rId1640"/><Relationship Type="http://schemas.openxmlformats.org/officeDocument/2006/relationships/hyperlink" Target="https://entrackr.com/snippets/healthcare-automation-startup-coral-raises-125-mn-from-z47-and-lightspeed-11747674" TargetMode="External" Id="rId1641"/><Relationship Type="http://schemas.openxmlformats.org/officeDocument/2006/relationships/hyperlink" Target="https://inc42.com/buzz/from-lightfury-games-to-stch-indian-startups-raised-39-mn-this-week/" TargetMode="External" Id="rId1642"/><Relationship Type="http://schemas.openxmlformats.org/officeDocument/2006/relationships/hyperlink" Target="https://inc42.com/buzz/from-lightfury-games-to-stch-indian-startups-raised-39-mn-this-week/" TargetMode="External" Id="rId1643"/><Relationship Type="http://schemas.openxmlformats.org/officeDocument/2006/relationships/hyperlink" Target="https://entrackr.com/snippets/health-qsr-chain-acai-theory-raises-funds-from-all-in-capital-tdv-partners-others-11747855" TargetMode="External" Id="rId1644"/><Relationship Type="http://schemas.openxmlformats.org/officeDocument/2006/relationships/hyperlink" Target="https://entrackr.com/snippets/med-tech-tourism-startup-curemeabroad-raises-pre-seed-round-11750934" TargetMode="External" Id="rId1645"/><Relationship Type="http://schemas.openxmlformats.org/officeDocument/2006/relationships/hyperlink" Target="https://inc42.com/buzz/from-lightfury-games-to-stch-indian-startups-raised-39-mn-this-week/" TargetMode="External" Id="rId1646"/><Relationship Type="http://schemas.openxmlformats.org/officeDocument/2006/relationships/hyperlink" Target="https://entrackr.com/snippets/legal-tech-startup-lawyered-bags-25-mn-led-by-rainmatter-and-turbostart-11747865" TargetMode="External" Id="rId1647"/><Relationship Type="http://schemas.openxmlformats.org/officeDocument/2006/relationships/hyperlink" Target="https://entrackr.com/snippets/nudgebee-raises-3-mn-in-seed-round-led-by-kalaari-capital-11748153" TargetMode="External" Id="rId1648"/><Relationship Type="http://schemas.openxmlformats.org/officeDocument/2006/relationships/hyperlink" Target="https://economictimes.indiatimes.com/tech/startups/rainmatter-invests-rs-20-crore-in-wealth-management-startup-prime-investor/articleshow/130417015.cms" TargetMode="External" Id="rId1649"/><Relationship Type="http://schemas.openxmlformats.org/officeDocument/2006/relationships/hyperlink" Target="https://entrackr.com/news/zerodha-backed-rainmatter-invests-in-wealth-tech-startup-primeinvestor-11750659" TargetMode="External" Id="rId1650"/><Relationship Type="http://schemas.openxmlformats.org/officeDocument/2006/relationships/hyperlink" Target="https://entrackr.com/snippets/rysen-school-operator-aits-raises-4-mn-in-pre-series-a-round-11753666" TargetMode="External" Id="rId1651"/><Relationship Type="http://schemas.openxmlformats.org/officeDocument/2006/relationships/hyperlink" Target="https://inc42.com/buzz/from-lightfury-games-to-stch-indian-startups-raised-39-mn-this-week/" TargetMode="External" Id="rId1652"/><Relationship Type="http://schemas.openxmlformats.org/officeDocument/2006/relationships/hyperlink" Target="https://economictimes.indiatimes.com/tech/funding/kabeer-biswass-concierge-startup-m-raises-rs-102-crore-from-peak-xv-blume-cred/articleshow/130437866.cms" TargetMode="External" Id="rId1653"/><Relationship Type="http://schemas.openxmlformats.org/officeDocument/2006/relationships/hyperlink" Target="https://entrackr.com/snippets/spill-games-raises-31-mn-in-seed-round-led-by-centre-court-capital-and-peercapital-11751548" TargetMode="External" Id="rId1654"/><Relationship Type="http://schemas.openxmlformats.org/officeDocument/2006/relationships/hyperlink" Target="https://entrackr.com/snippets/deep-algorithm-raises-rs-16-cr-in-pre-series-a-led-by-unicorn-india-ventures-11756893" TargetMode="External" Id="rId1655"/><Relationship Type="http://schemas.openxmlformats.org/officeDocument/2006/relationships/hyperlink" Target="https://entrackr.com/news/lightfury-games-raises-11-mn-in-pre-series-a-round-11756334" TargetMode="External" Id="rId1656"/><Relationship Type="http://schemas.openxmlformats.org/officeDocument/2006/relationships/hyperlink" Target="https://entrackr.com/snippets/former-zetwerk-executives-startup-stch-raises-7-mn-led-by-omnivore-11756516" TargetMode="External" Id="rId1657"/><Relationship Type="http://schemas.openxmlformats.org/officeDocument/2006/relationships/hyperlink" Target="https://entrackr.com/exclusive/exclusive-oolka-raises-rs-130-cr-in-series-a-led-by-accel-at-rs-730-cr-valuation-11760159" TargetMode="External" Id="rId1658"/><Relationship Type="http://schemas.openxmlformats.org/officeDocument/2006/relationships/hyperlink" Target="https://inc42.com/buzz/from-snabbit-to-sahi-indian-startups-raised-204-mn-this-week/" TargetMode="External" Id="rId1659"/><Relationship Type="http://schemas.openxmlformats.org/officeDocument/2006/relationships/hyperlink" Target="https://entrackr.com/snippets/metasports-interactive-secures-20-mn-in-user-acquisition-funding-from-metica-11770204" TargetMode="External" Id="rId1660"/><Relationship Type="http://schemas.openxmlformats.org/officeDocument/2006/relationships/hyperlink" Target="https://inc42.com/buzz/from-snabbit-to-sahi-indian-startups-raised-204-mn-this-week/" TargetMode="External" Id="rId1661"/><Relationship Type="http://schemas.openxmlformats.org/officeDocument/2006/relationships/hyperlink" Target="https://entrackr.com/snippets/battery-smart-secures-15-mn-in-debt-from-mirova-11774330" TargetMode="External" Id="rId1662"/><Relationship Type="http://schemas.openxmlformats.org/officeDocument/2006/relationships/hyperlink" Target="https://economictimes.indiatimes.com/tech/funding/fintech-firm-novio-raises-rs-78-crore-led-by-cornerstone-ventures/articleshow/130583423.cms" TargetMode="External" Id="rId1663"/><Relationship Type="http://schemas.openxmlformats.org/officeDocument/2006/relationships/hyperlink" Target="https://entrackr.com/snippets/cap-alpha-ventures-leads-rs-25-cr-in-series-a-round-in-house-of-chikankari-11774125" TargetMode="External" Id="rId1664"/><Relationship Type="http://schemas.openxmlformats.org/officeDocument/2006/relationships/hyperlink" Target="https://entrackr.com/news/hyugalife-raises-105-mn-in-series-a-round-led-by-ivycap-ventures-11773511" TargetMode="External" Id="rId1665"/><Relationship Type="http://schemas.openxmlformats.org/officeDocument/2006/relationships/hyperlink" Target="https://economictimes.indiatimes.com/tech/startups/founders-invest-rs-40-crore-in-kissht-at-a-premium-days-before-ipo/articleshow/130583106.cms" TargetMode="External" Id="rId1666"/><Relationship Type="http://schemas.openxmlformats.org/officeDocument/2006/relationships/hyperlink" Target="https://entrackr.com/snippets/workforce-mobility-platform-kovon-raises-pre-seed-led-by-tdv-partners-11771315" TargetMode="External" Id="rId1667"/><Relationship Type="http://schemas.openxmlformats.org/officeDocument/2006/relationships/hyperlink" Target="https://entrackr.com/snippets/mojro-technologies-raises-55-mn-led-by-dallas-venture-capital-11774441" TargetMode="External" Id="rId1668"/><Relationship Type="http://schemas.openxmlformats.org/officeDocument/2006/relationships/hyperlink" Target="https://entrackr.com/snippets/fintech-startup-novio-raises-rs-100-cr-in-series-a-led-by-cornerstone-ventures-11775916" TargetMode="External" Id="rId1669"/><Relationship Type="http://schemas.openxmlformats.org/officeDocument/2006/relationships/hyperlink" Target="https://economictimes.indiatimes.com/tech/funding/sahamati-secures-rs-50-crore-in-funding-from-large-banks-amcs-stockbrokers-and-fintechs/articleshow/130569794.cms" TargetMode="External" Id="rId1670"/><Relationship Type="http://schemas.openxmlformats.org/officeDocument/2006/relationships/hyperlink" Target="https://entrackr.com/news/snabbit-raises-56-mn-in-series-d-round-11773254" TargetMode="External" Id="rId1671"/><Relationship Type="http://schemas.openxmlformats.org/officeDocument/2006/relationships/hyperlink" Target="https://inc42.com/buzz/from-snabbit-to-sahi-indian-startups-raised-204-mn-this-week/" TargetMode="External" Id="rId1672"/><Relationship Type="http://schemas.openxmlformats.org/officeDocument/2006/relationships/hyperlink" Target="https://entrackr.com/snippets/climate-tech-startup-prithu-raises-rs-10-cr-in-seed-round-led-by-transition-vc-11777909" TargetMode="External" Id="rId1673"/><Relationship Type="http://schemas.openxmlformats.org/officeDocument/2006/relationships/hyperlink" Target="https://entrackr.com/news/dale-vazs-stock-trading-app-sahi-raises-33-mn-in-series-b-round-11776820" TargetMode="External" Id="rId1674"/><Relationship Type="http://schemas.openxmlformats.org/officeDocument/2006/relationships/hyperlink" Target="https://entrackr.com/snippets/ian-alpha-fund-leads-rs-327-cr-round-in-sports-tech-startup-sportvot-11776924" TargetMode="External" Id="rId1675"/><Relationship Type="http://schemas.openxmlformats.org/officeDocument/2006/relationships/hyperlink" Target="https://entrackr.com/snippets/vikra-ocean-tech-raises-1-mn-from-finvolve-and-india-accelerator-11779394" TargetMode="External" Id="rId1676"/><Relationship Type="http://schemas.openxmlformats.org/officeDocument/2006/relationships/hyperlink" Target="https://entrackr.com/snippets/deep-tech-startup-ctruh-secures-25-mn-in-seed-funding-11781538" TargetMode="External" Id="rId1677"/><Relationship Type="http://schemas.openxmlformats.org/officeDocument/2006/relationships/hyperlink" Target="https://inc42.com/buzz/from-snabbit-to-sahi-indian-startups-raised-204-mn-this-week/" TargetMode="External" Id="rId1678"/><Relationship Type="http://schemas.openxmlformats.org/officeDocument/2006/relationships/hyperlink" Target="https://entrackr.com/snippets/piper-serica-leads-rs-10-cr-seed-round-in-aiot-startup-ubiqedge-11782019" TargetMode="External" Id="rId1679"/><Relationship Type="http://schemas.openxmlformats.org/officeDocument/2006/relationships/hyperlink" Target="https://entrackr.com/snippets/aurm-raises-rs-42-cr-in-series-a-round-led-by-earth-fund-and-sattva-ventures-11799095" TargetMode="External" Id="rId1680"/><Relationship Type="http://schemas.openxmlformats.org/officeDocument/2006/relationships/hyperlink" Target="https://entrackr.com/snippets/data-sharing-startup-banza-raises-pre-seed-round-led-by-campus-fund-11798690" TargetMode="External" Id="rId1681"/><Relationship Type="http://schemas.openxmlformats.org/officeDocument/2006/relationships/hyperlink" Target="https://entrackr.com/snippets/fireside-ventures-leads-5-mn-series-a-round-in-skincare-brand-chosen-11786191" TargetMode="External" Id="rId1682"/><Relationship Type="http://schemas.openxmlformats.org/officeDocument/2006/relationships/hyperlink" Target="https://entrackr.com/snippets/healthfab-raises-rs-20-cr-in-series-a-led-by-atomic-capital-11797182" TargetMode="External" Id="rId1683"/><Relationship Type="http://schemas.openxmlformats.org/officeDocument/2006/relationships/hyperlink" Target="https://entrackr.com/news/fireside-ventures-leads-kisahs-series-a-round-valuation-jumps-to-rs-211-cr-11797334" TargetMode="External" Id="rId1684"/><Relationship Type="http://schemas.openxmlformats.org/officeDocument/2006/relationships/hyperlink" Target="https://entrackr.com/news/milky-mist-raises-rs-482-cr-in-pre-ipo-round-led-by-temasek-arm-11799542" TargetMode="External" Id="rId1685"/><Relationship Type="http://schemas.openxmlformats.org/officeDocument/2006/relationships/hyperlink" Target="https://entrackr.com/snippets/ai-computing-solutions-provider-tsavorite-raises-5-mn-led-by-pavestone-11797773" TargetMode="External" Id="rId1686"/><Relationship Type="http://schemas.openxmlformats.org/officeDocument/2006/relationships/hyperlink" Target="https://entrackr.com/snippets/jurisphere-raises-22-mn-led-by-infoedge-ventures-11801587" TargetMode="External" Id="rId1687"/><Relationship Type="http://schemas.openxmlformats.org/officeDocument/2006/relationships/hyperlink" Target="https://entrackr.com/snippets/telephony-infra-startup-vobizai-raises-1-mn-led-by-piper-serica-11801843" TargetMode="External" Id="rId1688"/><Relationship Type="http://schemas.openxmlformats.org/officeDocument/2006/relationships/hyperlink" Target="https://entrackr.com/snippets/ai-library-raises-pre-seed-funding-round-11805670" TargetMode="External" Id="rId1689"/><Relationship Type="http://schemas.openxmlformats.org/officeDocument/2006/relationships/hyperlink" Target="https://entrackr.com/snippets/bigendian-semiconductors-raises-6-mn-in-pre-series-a-round-led-by-ian-alpha-fund-11804240" TargetMode="External" Id="rId1690"/><Relationship Type="http://schemas.openxmlformats.org/officeDocument/2006/relationships/hyperlink" Target="https://entrackr.com/snippets/ecofy-secures-15-mn-debt-from-mirova-11806321" TargetMode="External" Id="rId1691"/><Relationship Type="http://schemas.openxmlformats.org/officeDocument/2006/relationships/hyperlink" Target="https://inc42.com/buzz/from-skyroot-to-pronto-indian-startups-raised-132-mn-this-week/" TargetMode="External" Id="rId1692"/><Relationship Type="http://schemas.openxmlformats.org/officeDocument/2006/relationships/hyperlink" Target="https://inc42.com/buzz/from-skyroot-to-pronto-indian-startups-raised-132-mn-this-week/" TargetMode="External" Id="rId1693"/><Relationship Type="http://schemas.openxmlformats.org/officeDocument/2006/relationships/hyperlink" Target="https://entrackr.com/snippets/jobsupi-raises-pre-seed-round-from-iima-ventures-and-others-11806024" TargetMode="External" Id="rId1694"/><Relationship Type="http://schemas.openxmlformats.org/officeDocument/2006/relationships/hyperlink" Target="https://entrackr.com/snippets/medvital-raises-rs-18-cr-led-by-alkemi-growth-capital-11804997" TargetMode="External" Id="rId1695"/><Relationship Type="http://schemas.openxmlformats.org/officeDocument/2006/relationships/hyperlink" Target="https://entrackr.com/snippets/mochatrade-raises-pre-seed-funding-from-y-combinator-pioneer-fund-11804894" TargetMode="External" Id="rId1696"/><Relationship Type="http://schemas.openxmlformats.org/officeDocument/2006/relationships/hyperlink" Target="https://inc42.com/buzz/from-skyroot-to-pronto-indian-startups-raised-132-mn-this-week/" TargetMode="External" Id="rId1697"/><Relationship Type="http://schemas.openxmlformats.org/officeDocument/2006/relationships/hyperlink" Target="https://entrackr.com/snippets/piper-serica-leads-1-mn-seed-round-in-airport-operations-tech-company-blunav-11808501" TargetMode="External" Id="rId1698"/><Relationship Type="http://schemas.openxmlformats.org/officeDocument/2006/relationships/hyperlink" Target="https://entrackr.com/news/pronto-raises-additional-20-mn-in-series-b-round-at-200-mn-valuation-11807841" TargetMode="External" Id="rId1699"/><Relationship Type="http://schemas.openxmlformats.org/officeDocument/2006/relationships/hyperlink" Target="https://entrackr.com/news/skyroot-becomes-indias-first-spacetech-unicorn-after-60-mn-funding-round-11808488" TargetMode="External" Id="rId1700"/><Relationship Type="http://schemas.openxmlformats.org/officeDocument/2006/relationships/hyperlink" Target="https://inc42.com/buzz/from-rapido-to-hrdwyr-indian-startups-raised-303-mn-this-week/" TargetMode="External" Id="rId1701"/><Relationship Type="http://schemas.openxmlformats.org/officeDocument/2006/relationships/hyperlink" Target="https://entrackr.com/snippets/construction-robotics-startup-flo-mobility-raises-25-mn-in-pre-series-a-round-11822989" TargetMode="External" Id="rId1702"/><Relationship Type="http://schemas.openxmlformats.org/officeDocument/2006/relationships/hyperlink" Target="https://entrackr.com/snippets/kathys-beverages-raises-rs-6-cr-in-pre-series-a-round-11821898" TargetMode="External" Id="rId1703"/><Relationship Type="http://schemas.openxmlformats.org/officeDocument/2006/relationships/hyperlink" Target="https://entrackr.com/snippets/rebalance-leads-pre-seed-round-in-travel-gear-brand-nori-11823364" TargetMode="External" Id="rId1704"/><Relationship Type="http://schemas.openxmlformats.org/officeDocument/2006/relationships/hyperlink" Target="https://entrackr.com/snippets/sindhuja-microcredit-raises-5-mn-in-pre-series-d-round-11822503" TargetMode="External" Id="rId1705"/><Relationship Type="http://schemas.openxmlformats.org/officeDocument/2006/relationships/hyperlink" Target="https://entrackr.com/news/wingreens-acquires-safe-harvest-raises-rs-120-cr-in-series-d-round-11821412" TargetMode="External" Id="rId1706"/><Relationship Type="http://schemas.openxmlformats.org/officeDocument/2006/relationships/hyperlink" Target="https://inc42.com/buzz/from-rapido-to-hrdwyr-indian-startups-raised-303-mn-this-week/" TargetMode="External" Id="rId1707"/><Relationship Type="http://schemas.openxmlformats.org/officeDocument/2006/relationships/hyperlink" Target="https://economictimes.indiatimes.com/tech/funding/restaurant-enablement-startup-dil-foods-raises-7-5-million-in-funding/articleshow/131043529.cms" TargetMode="External" Id="rId1708"/><Relationship Type="http://schemas.openxmlformats.org/officeDocument/2006/relationships/hyperlink" Target="https://entrackr.com/news/semiconductor-startup-hrdwyr-raises-13-mn-led-by-ideaspring-capital-11826658" TargetMode="External" Id="rId1709"/><Relationship Type="http://schemas.openxmlformats.org/officeDocument/2006/relationships/hyperlink" Target="https://entrackr.com/snippets/incred-capital-acquires-fund-management-firm-s-cube-capital-11826780" TargetMode="External" Id="rId1710"/><Relationship Type="http://schemas.openxmlformats.org/officeDocument/2006/relationships/hyperlink" Target="https://entrackr.com/snippets/appliance-manufacturing-startup-mekr-raises-rs-67-cr-led-by-avaana-capital-11825425" TargetMode="External" Id="rId1711"/><Relationship Type="http://schemas.openxmlformats.org/officeDocument/2006/relationships/hyperlink" Target="https://entrackr.com/snippets/enterprise-intelligence-startup-scikiq-secures-15-mn-in-pre-series-a-11826466" TargetMode="External" Id="rId1712"/><Relationship Type="http://schemas.openxmlformats.org/officeDocument/2006/relationships/hyperlink" Target="https://entrackr.com/snippets/doorstep-smartphone-repair-startup-instafix-raises-pre-seed-round-led-by-titan-capital-8i-ventures-11829440" TargetMode="External" Id="rId1713"/><Relationship Type="http://schemas.openxmlformats.org/officeDocument/2006/relationships/hyperlink" Target="https://inc42.com/buzz/from-rapido-to-hrdwyr-indian-startups-raised-303-mn-this-week/" TargetMode="External" Id="rId1714"/><Relationship Type="http://schemas.openxmlformats.org/officeDocument/2006/relationships/hyperlink" Target="https://entrackr.com/snippets/zoho-invests-rs-70-cr-in-ondc-to-support-msmes-11830900" TargetMode="External" Id="rId1715"/><Relationship Type="http://schemas.openxmlformats.org/officeDocument/2006/relationships/hyperlink" Target="https://entrackr.com/snippets/toy-subscription-startup-the-elefant-raises-1-mn-in-pre-series-funding-11829958" TargetMode="External" Id="rId1716"/><Relationship Type="http://schemas.openxmlformats.org/officeDocument/2006/relationships/hyperlink" Target="https://inc42.com/buzz/from-scapia-to-mythik-indian-startups-raised-92-mn-this-week/" TargetMode="External" Id="rId1717"/><Relationship Type="http://schemas.openxmlformats.org/officeDocument/2006/relationships/hyperlink" Target="https://economictimes.indiatimes.com/tech/startups/dhruva-space-gets-rs-105-crore-from-centre-for-developing-satellite-platform/articleshow/131093916.cms" TargetMode="External" Id="rId1718"/><Relationship Type="http://schemas.openxmlformats.org/officeDocument/2006/relationships/hyperlink" Target="https://inc42.com/buzz/from-rapido-to-hrdwyr-indian-startups-raised-303-mn-this-week/" TargetMode="External" Id="rId1719"/><Relationship Type="http://schemas.openxmlformats.org/officeDocument/2006/relationships/hyperlink" Target="https://entrackr.com/snippets/legend-of-toys-raises-rs-21-cr-in-pre-series-a-round-11836971" TargetMode="External" Id="rId1720"/><Relationship Type="http://schemas.openxmlformats.org/officeDocument/2006/relationships/hyperlink" Target="https://entrackr.com/news/rapido-raises-240-mn-led-by-prosus-at-3-bn-valuation-11837442" TargetMode="External" Id="rId1721"/><Relationship Type="http://schemas.openxmlformats.org/officeDocument/2006/relationships/hyperlink" Target="https://inc42.com/buzz/from-scapia-to-mythik-indian-startups-raised-92-mn-this-week/" TargetMode="External" Id="rId1722"/><Relationship Type="http://schemas.openxmlformats.org/officeDocument/2006/relationships/hyperlink" Target="https://inc42.com/buzz/from-scapia-to-mythik-indian-startups-raised-92-mn-this-week/" TargetMode="External" Id="rId1723"/><Relationship Type="http://schemas.openxmlformats.org/officeDocument/2006/relationships/hyperlink" Target="https://entrackr.com/snippets/recovery-tech-platform-owners-id-raises-pre-seed-round-led-by-crucifer-investments-11847198" TargetMode="External" Id="rId1724"/><Relationship Type="http://schemas.openxmlformats.org/officeDocument/2006/relationships/hyperlink" Target="https://entrackr.com/news/trading-app-trackk-raises-fresh-funds-from-lightspeed-and-info-edge-ventures-11846086" TargetMode="External" Id="rId1725"/><Relationship Type="http://schemas.openxmlformats.org/officeDocument/2006/relationships/hyperlink" Target="https://entrackr.com/exclusive/exclusive-country-delight-raises-debt-from-alteria-capital-11850132" TargetMode="External" Id="rId1726"/><Relationship Type="http://schemas.openxmlformats.org/officeDocument/2006/relationships/hyperlink" Target="https://entrackr.com/snippets/music-streaming-and-distribution-platform-damroo-secures-investment-from-hindustan-times-11852251" TargetMode="External" Id="rId1727"/><Relationship Type="http://schemas.openxmlformats.org/officeDocument/2006/relationships/hyperlink" Target="https://entrackr.com/snippets/fintech-startup-kalpi-raises-seed-round-from-rainmatter-capital-11850443" TargetMode="External" Id="rId1728"/><Relationship Type="http://schemas.openxmlformats.org/officeDocument/2006/relationships/hyperlink" Target="https://entrackr.com/snippets/agri-finance-startup-ono-raises-12-mn-led-by-aeravti-ventures-11850109" TargetMode="External" Id="rId1729"/><Relationship Type="http://schemas.openxmlformats.org/officeDocument/2006/relationships/hyperlink" Target="https://entrackr.com/snippets/ian-alpha-fund-leads-54-mn-series-a-round-in-anscer-robotics-11856156" TargetMode="External" Id="rId1730"/><Relationship Type="http://schemas.openxmlformats.org/officeDocument/2006/relationships/hyperlink" Target="https://inc42.com/buzz/from-scapia-to-mythik-indian-startups-raised-92-mn-this-week/" TargetMode="External" Id="rId1731"/><Relationship Type="http://schemas.openxmlformats.org/officeDocument/2006/relationships/hyperlink" Target="https://inc42.com/buzz/from-scapia-to-mythik-indian-startups-raised-92-mn-this-week/" TargetMode="External" Id="rId1732"/><Relationship Type="http://schemas.openxmlformats.org/officeDocument/2006/relationships/hyperlink" Target="https://economictimes.indiatimes.com/tech/funding/jason-kotharis-entertainment-startup-mythik-raises-5-million-at-valuation-of-over-50-million/articleshow/131218749.cms" TargetMode="External" Id="rId1733"/><Relationship Type="http://schemas.openxmlformats.org/officeDocument/2006/relationships/hyperlink" Target="https://entrackr.com/snippets/neurotech-startup-sychedelic-secures-35-mn-in-seed-round-11853311" TargetMode="External" Id="rId1734"/><Relationship Type="http://schemas.openxmlformats.org/officeDocument/2006/relationships/hyperlink" Target="https://inc42.com/buzz/from-scapia-to-mythik-indian-startups-raised-92-mn-this-week/" TargetMode="External" Id="rId1735"/><Relationship Type="http://schemas.openxmlformats.org/officeDocument/2006/relationships/hyperlink" Target="https://entrackr.com/news/travel-fintech-startup-scapia-raises-63-mn-led-by-general-catalyst-11857734" TargetMode="External" Id="rId1736"/><Relationship Type="http://schemas.openxmlformats.org/officeDocument/2006/relationships/hyperlink" Target="https://inc42.com/buzz/from-scapia-to-mythik-indian-startups-raised-92-mn-this-week/" TargetMode="External" Id="rId1737"/><Relationship Type="http://schemas.openxmlformats.org/officeDocument/2006/relationships/hyperlink" Target="https://inc42.com/buzz/from-scapia-to-mythik-indian-startups-raised-92-mn-this-week/" TargetMode="External" Id="rId1738"/><Relationship Type="http://schemas.openxmlformats.org/officeDocument/2006/relationships/hyperlink" Target="https://entrackr.com/snippets/abcoffee-raises-rs-61-cr-in-pre-series-b-round-led-by-kliff-ventures-11871812" TargetMode="External" Id="rId1739"/><Relationship Type="http://schemas.openxmlformats.org/officeDocument/2006/relationships/hyperlink" Target="https://inc42.com/buzz/from-fairdeal-market-to-abcoffee-indian-startups-raised-52-mn-this-week/" TargetMode="External" Id="rId1740"/><Relationship Type="http://schemas.openxmlformats.org/officeDocument/2006/relationships/hyperlink" Target="https://inc42.com/buzz/from-fairdeal-market-to-abcoffee-indian-startups-raised-52-mn-this-week/" TargetMode="External" Id="rId1741"/><Relationship Type="http://schemas.openxmlformats.org/officeDocument/2006/relationships/hyperlink" Target="https://entrackr.com/snippets/strainx-bioworks-raises-13-mn-led-by-prime-venture-partners-and-leo-capital-11870790" TargetMode="External" Id="rId1742"/><Relationship Type="http://schemas.openxmlformats.org/officeDocument/2006/relationships/hyperlink" Target="https://entrackr.com/news/yes-madam-raises-maiden-rs-50-cr-funding-at-rs-750-cr-valuation-11871481" TargetMode="External" Id="rId1743"/><Relationship Type="http://schemas.openxmlformats.org/officeDocument/2006/relationships/hyperlink" Target="https://inc42.com/buzz/from-fairdeal-market-to-abcoffee-indian-startups-raised-52-mn-this-week/" TargetMode="External" Id="rId1744"/><Relationship Type="http://schemas.openxmlformats.org/officeDocument/2006/relationships/hyperlink" Target="https://entrackr.com/news/bii-leads-15-mn-series-a-round-in-b2b-quick-commerce-platform-fairdealmarket-11874646" TargetMode="External" Id="rId1745"/><Relationship Type="http://schemas.openxmlformats.org/officeDocument/2006/relationships/hyperlink" Target="https://entrackr.com/snippets/flexprice-raises-15-mn-seed-round-led-by-shastra-vc-11874628" TargetMode="External" Id="rId1746"/><Relationship Type="http://schemas.openxmlformats.org/officeDocument/2006/relationships/hyperlink" Target="https://inc42.com/buzz/from-fairdeal-market-to-abcoffee-indian-startups-raised-52-mn-this-week/" TargetMode="External" Id="rId1747"/><Relationship Type="http://schemas.openxmlformats.org/officeDocument/2006/relationships/hyperlink" Target="https://entrackr.com/snippets/tiea-connectors-raises-rs-77-cr-series-a-led-by-ivycap-ventures-11878893" TargetMode="External" Id="rId1748"/><Relationship Type="http://schemas.openxmlformats.org/officeDocument/2006/relationships/hyperlink" Target="https://entrackr.com/exclusive/exclusive-anveshan-raises-rs-121-cr-from-vertex-ventures-ifc-aman-gupta-sri-harsha-majety-and-others-11883630" TargetMode="External" Id="rId1749"/><Relationship Type="http://schemas.openxmlformats.org/officeDocument/2006/relationships/hyperlink" Target="https://inc42.com/buzz/from-fairdeal-market-to-abcoffee-indian-startups-raised-52-mn-this-week/" TargetMode="External" Id="rId1750"/><Relationship Type="http://schemas.openxmlformats.org/officeDocument/2006/relationships/hyperlink" Target="https://inc42.com/buzz/from-fairdeal-market-to-abcoffee-indian-startups-raised-52-mn-this-week/" TargetMode="External" Id="rId1751"/><Relationship Type="http://schemas.openxmlformats.org/officeDocument/2006/relationships/hyperlink" Target="https://entrackr.com/snippets/transition-vc-leads-seed-round-in-zerodrag-11882473" TargetMode="External" Id="rId1752"/><Relationship Type="http://schemas.openxmlformats.org/officeDocument/2006/relationships/hyperlink" Target="https://inc42.com/buzz/from-firstclub-to-innefu-indian-startups-raised-187-mn-this-week/" TargetMode="External" Id="rId1753"/><Relationship Type="http://schemas.openxmlformats.org/officeDocument/2006/relationships/hyperlink" Target="https://entrackr.com/snippets/skin-clinic-korinmi-raises-10-cr-from-lotus-herbals-innovation-fund-11896464" TargetMode="External" Id="rId1754"/><Relationship Type="http://schemas.openxmlformats.org/officeDocument/2006/relationships/hyperlink" Target="https://entrackr.com/snippets/healthcare-startup-medelaj-raises-angel-round-11896174" TargetMode="External" Id="rId1755"/><Relationship Type="http://schemas.openxmlformats.org/officeDocument/2006/relationships/hyperlink" Target="https://entrackr.com/snippets/antler-india-leads-1-mn-pre-seed-round-in-wealthtech-platform-rovia-11895889" TargetMode="External" Id="rId1756"/><Relationship Type="http://schemas.openxmlformats.org/officeDocument/2006/relationships/hyperlink" Target="https://entrackr.com/news/simple-energy-raises-rs-250-cr-in-debt-and-equity-round-ahead-of-ipo-plans-11894747" TargetMode="External" Id="rId1757"/><Relationship Type="http://schemas.openxmlformats.org/officeDocument/2006/relationships/hyperlink" Target="https://entrackr.com/snippets/aquapulse-raises-rs-45-cr-from-nabventures-and-ian-alpha-fund-11898912" TargetMode="External" Id="rId1758"/><Relationship Type="http://schemas.openxmlformats.org/officeDocument/2006/relationships/hyperlink" Target="https://economictimes.indiatimes.com/tech/startups/zoho-uber-paytm-bse-invest-rs-220-crore-in-ondc/articleshow/131459865.cms" TargetMode="External" Id="rId1759"/><Relationship Type="http://schemas.openxmlformats.org/officeDocument/2006/relationships/hyperlink" Target="https://entrackr.com/snippets/beenext-leads-rs-30-cr-pre-seed-round-in-edtech-startup-prolearn-11901039" TargetMode="External" Id="rId1760"/><Relationship Type="http://schemas.openxmlformats.org/officeDocument/2006/relationships/hyperlink" Target="https://inc42.com/buzz/from-firstclub-to-innefu-indian-startups-raised-187-mn-this-week/" TargetMode="External" Id="rId1761"/><Relationship Type="http://schemas.openxmlformats.org/officeDocument/2006/relationships/hyperlink" Target="https://entrackr.com/news/agilitas-sports-raises-rs-225-cr-from-nexus-venture-partners-and-rainmatter-11902304" TargetMode="External" Id="rId1762"/><Relationship Type="http://schemas.openxmlformats.org/officeDocument/2006/relationships/hyperlink" Target="https://entrackr.com/snippets/v3-ventures-leads-3-mn-series-a-round-in-perfumery-brand-fraganote-11905033" TargetMode="External" Id="rId1763"/><Relationship Type="http://schemas.openxmlformats.org/officeDocument/2006/relationships/hyperlink" Target="https://entrackr.com/snippets/protein-snack-brand-phab-raises-4-mn-in-pre-series-a-round-11904455" TargetMode="External" Id="rId1764"/><Relationship Type="http://schemas.openxmlformats.org/officeDocument/2006/relationships/hyperlink" Target="https://entrackr.com/snippets/homebuyer-advisory-platform-propsoch-raises-2-mn-in-seed-round-11902619" TargetMode="External" Id="rId1765"/><Relationship Type="http://schemas.openxmlformats.org/officeDocument/2006/relationships/hyperlink" Target="https://entrackr.com/snippets/gifting-platform-zuvees-raises-rs-15-cr-in-ongoing-series-a-from-ivycap-ventures-11902699" TargetMode="External" Id="rId1766"/><Relationship Type="http://schemas.openxmlformats.org/officeDocument/2006/relationships/hyperlink" Target="https://entrackr.com/news/former-flipkart-executives-startup-firstclub-raises-55-mn-led-by-peak-xv-and-sofina-11999444" TargetMode="External" Id="rId1767"/><Relationship Type="http://schemas.openxmlformats.org/officeDocument/2006/relationships/hyperlink" Target="https://entrackr.com/snippets/pixelsky-invests-rs-4045-cr-in-gps-renewables-report-11999537" TargetMode="External" Id="rId1768"/><Relationship Type="http://schemas.openxmlformats.org/officeDocument/2006/relationships/hyperlink" Target="https://entrackr.com/snippets/the-sweet-change-raises-rs-17-cr-in-pre-seed-round-led-by-rebalance-12000644" TargetMode="External" Id="rId1769"/><Relationship Type="http://schemas.openxmlformats.org/officeDocument/2006/relationships/hyperlink" Target="https://entrackr.com/news/video-generation-startup-truefan-ai-raises-10-mn-in-series-a-round-11999795" TargetMode="External" Id="rId1770"/><Relationship Type="http://schemas.openxmlformats.org/officeDocument/2006/relationships/hyperlink" Target="https://inc42.com/buzz/from-firstclub-to-innefu-indian-startups-raised-187-mn-this-week/" TargetMode="External" Id="rId1771"/><Relationship Type="http://schemas.openxmlformats.org/officeDocument/2006/relationships/hyperlink" Target="https://entrackr.com/news/sony-innovation-fund-leads-7-mn-round-in-fintech-startup-werize-11999594" TargetMode="External" Id="rId1772"/><Relationship Type="http://schemas.openxmlformats.org/officeDocument/2006/relationships/hyperlink" Target="https://entrackr.com/exclusive/exclusive-aadyah-aerospace-raises-fresh-funds-in-series-a-round-12003445" TargetMode="External" Id="rId1773"/><Relationship Type="http://schemas.openxmlformats.org/officeDocument/2006/relationships/hyperlink" Target="https://inc42.com/buzz/from-firstclub-to-innefu-indian-startups-raised-187-mn-this-week/" TargetMode="External" Id="rId1774"/><Relationship Type="http://schemas.openxmlformats.org/officeDocument/2006/relationships/hyperlink" Target="https://entrackr.com/news/panthera-growth-partners-leads-30-mn-series-b-round-in-innefu-labs-12003658" TargetMode="External" Id="rId1775"/><Relationship Type="http://schemas.openxmlformats.org/officeDocument/2006/relationships/hyperlink" Target="https://inc42.com/buzz/from-gps-renewables-to-equal-ai-indian-startups-raised-243-mn-this-week/" TargetMode="External" Id="rId1776"/><Relationship Type="http://schemas.openxmlformats.org/officeDocument/2006/relationships/hyperlink" Target="https://entrackr.com/news/immuneel-therapeutics-raises-over-rs-100-cr-in-series-b-12012724" TargetMode="External" Id="rId1777"/><Relationship Type="http://schemas.openxmlformats.org/officeDocument/2006/relationships/hyperlink" Target="https://entrackr.com/snippets/peak-xv-leads-rs-72-cr-round-in-quick-commerce-platform-bazaarnow-12016925" TargetMode="External" Id="rId1778"/><Relationship Type="http://schemas.openxmlformats.org/officeDocument/2006/relationships/hyperlink" Target="https://entrackr.com/snippets/celebal-technologies-raises-rs-50-cr-from-blacksoil-capital-12017982" TargetMode="External" Id="rId1779"/><Relationship Type="http://schemas.openxmlformats.org/officeDocument/2006/relationships/hyperlink" Target="https://entrackr.com/snippets/integra-robotics-raises-112-mn-in-pre-series-a-round-12017897" TargetMode="External" Id="rId1780"/><Relationship Type="http://schemas.openxmlformats.org/officeDocument/2006/relationships/hyperlink" Target="https://entrackr.com/snippets/the-wedding-company-raises-275-mn-in-seed-round-12014070" TargetMode="External" Id="rId1781"/><Relationship Type="http://schemas.openxmlformats.org/officeDocument/2006/relationships/hyperlink" Target="https://entrackr.com/news/exponent-energy-raises-200-cr-in-series-b2-round-led-by-360-one-asset-and-tdk-ventures-12020238" TargetMode="External" Id="rId1782"/><Relationship Type="http://schemas.openxmlformats.org/officeDocument/2006/relationships/hyperlink" Target="https://inc42.com/buzz/from-gps-renewables-to-equal-ai-indian-startups-raised-243-mn-this-week/" TargetMode="External" Id="rId1783"/><Relationship Type="http://schemas.openxmlformats.org/officeDocument/2006/relationships/hyperlink" Target="https://entrackr.com/snippets/paediatric-healthcare-startup-hoola-health-raises-5-mn-led-by-peak-xvs-surge-12020600" TargetMode="External" Id="rId1784"/><Relationship Type="http://schemas.openxmlformats.org/officeDocument/2006/relationships/hyperlink" Target="https://entrackr.com/snippets/wealth-advisory-startup-hypernorm-ai-raises-22-mn-in-seed-funding-12020942" TargetMode="External" Id="rId1785"/><Relationship Type="http://schemas.openxmlformats.org/officeDocument/2006/relationships/hyperlink" Target="https://entrackr.com/news/mygate-secures-rs-225-cr-from-dharana-capital-12020130" TargetMode="External" Id="rId1786"/><Relationship Type="http://schemas.openxmlformats.org/officeDocument/2006/relationships/hyperlink" Target="https://economictimes.indiatimes.com/tech/funding/rivvun-ai-raises-7-55-million-led-by-sitara-capital-3one4-capital/articleshow/131636944.cms" TargetMode="External" Id="rId1787"/><Relationship Type="http://schemas.openxmlformats.org/officeDocument/2006/relationships/hyperlink" Target="https://entrackr.com/snippets/impulse-lifestyle-retail-brand-uni-seoul-raises-rs-35-cr-in-series-a-round-12022701" TargetMode="External" Id="rId1788"/><Relationship Type="http://schemas.openxmlformats.org/officeDocument/2006/relationships/hyperlink" Target="https://entrackr.com/news/infosys-backed-precision-oncology-startup-4basecare-raises-rs-128-cr-12024079" TargetMode="External" Id="rId1789"/><Relationship Type="http://schemas.openxmlformats.org/officeDocument/2006/relationships/hyperlink" Target="https://entrackr.com/snippets/biodimension-secures-rs-8-cr-from-ian-angel-fund-others-12026979" TargetMode="External" Id="rId1790"/><Relationship Type="http://schemas.openxmlformats.org/officeDocument/2006/relationships/hyperlink" Target="https://entrackr.com/snippets/sports-tech-startup-dartle-raises-100k-in-seed-funding-led-by-ipv-12026482" TargetMode="External" Id="rId1791"/><Relationship Type="http://schemas.openxmlformats.org/officeDocument/2006/relationships/hyperlink" Target="https://inc42.com/buzz/from-gps-renewables-to-equal-ai-indian-startups-raised-243-mn-this-week/" TargetMode="External" Id="rId1792"/><Relationship Type="http://schemas.openxmlformats.org/officeDocument/2006/relationships/hyperlink" Target="https://entrackr.com/news/ethereal-machines-raises-285-mn-in-series-b-round-led-by-avataar-ventures-12023907" TargetMode="External" Id="rId1793"/><Relationship Type="http://schemas.openxmlformats.org/officeDocument/2006/relationships/hyperlink" Target="https://entrackr.com/snippets/omnivore-leads-9-mn-funding-round-in-manam-chocolate-12024676" TargetMode="External" Id="rId1794"/><Relationship Type="http://schemas.openxmlformats.org/officeDocument/2006/relationships/hyperlink" Target="https://entrackr.com/snippets/qubehealth-pay-raises-series-a-at-rs-416-cr-valuation-12024061" TargetMode="External" Id="rId1795"/><Relationship Type="http://schemas.openxmlformats.org/officeDocument/2006/relationships/hyperlink" Target="https://entrackr.com/news/equal-ai-raises-30-mn-series-b-round-led-by-prosus-and-tomales-bay-capital-12029860" TargetMode="External" Id="rId1796"/><Relationship Type="http://schemas.openxmlformats.org/officeDocument/2006/relationships/hyperlink" Target="https://inc42.com/buzz/from-gps-renewables-to-equal-ai-indian-startups-raised-243-mn-this-week/" TargetMode="External" Id="rId1797"/><Relationship Type="http://schemas.openxmlformats.org/officeDocument/2006/relationships/hyperlink" Target="https://entrackr.com/news/rekise-marine-raises-97-mn-seed-round-led-by-accel-and-nksquared-12029316" TargetMode="External" Id="rId1798"/><Relationship Type="http://schemas.openxmlformats.org/officeDocument/2006/relationships/hyperlink" Target="https://entrackr.com/snippets/ev-mobility-startup-trevel-raises-1-mn-led-by-india-accelerator-and-finvolve-12030541" TargetMode="External" Id="rId1799"/><Relationship Type="http://schemas.openxmlformats.org/officeDocument/2006/relationships/hyperlink" Target="https://inc42.com/buzz/from-sarvam-to-influish-indian-startups-raised-426-mn-this-week/" TargetMode="External" Id="rId1800"/><Relationship Type="http://schemas.openxmlformats.org/officeDocument/2006/relationships/hyperlink" Target="https://entrackr.com/snippets/autovrse-raises-24-mn-from-singularity-amc-and-lumikai-12040208" TargetMode="External" Id="rId1801"/><Relationship Type="http://schemas.openxmlformats.org/officeDocument/2006/relationships/hyperlink" Target="https://entrackr.com/snippets/gourmet-retail-startup-foodstories-secures-rs-50-cr-led-by-nikhil-kamath-12040846" TargetMode="External" Id="rId1802"/><Relationship Type="http://schemas.openxmlformats.org/officeDocument/2006/relationships/hyperlink" Target="https://entrackr.com/news/sarvam-turns-unicorn-after-234-mn-round-led-by-hcltech-12041322" TargetMode="External" Id="rId1803"/><Relationship Type="http://schemas.openxmlformats.org/officeDocument/2006/relationships/hyperlink" Target="https://entrackr.com/snippets/contravault-ai-raises-31-mn-in-pre-series-a-round-led-by-chiratae-ventures-12043985" TargetMode="External" Id="rId1804"/><Relationship Type="http://schemas.openxmlformats.org/officeDocument/2006/relationships/hyperlink" Target="https://entrackr.com/snippets/wealth-management-startup-crest-secures-31-mn-in-pre-seed-round-12044185" TargetMode="External" Id="rId1805"/><Relationship Type="http://schemas.openxmlformats.org/officeDocument/2006/relationships/hyperlink" Target="https://entrackr.com/snippets/korean-fmcg-startup-gimi-michi-raises-1-mn-seed-round-led-by-indiaquotient-12043369" TargetMode="External" Id="rId1806"/><Relationship Type="http://schemas.openxmlformats.org/officeDocument/2006/relationships/hyperlink" Target="https://inc42.com/buzz/from-sarvam-to-influish-indian-startups-raised-426-mn-this-week/" TargetMode="External" Id="rId1807"/><Relationship Type="http://schemas.openxmlformats.org/officeDocument/2006/relationships/hyperlink" Target="https://entrackr.com/news/solarsquare-raises-53-mn-in-series-c-led-by-b-capital-12042666" TargetMode="External" Id="rId1808"/><Relationship Type="http://schemas.openxmlformats.org/officeDocument/2006/relationships/hyperlink" Target="https://entrackr.com/snippets/used-two-wheeler-platform-speedioo-raises-seed-funding-led-by-atomic-capital-12043624" TargetMode="External" Id="rId1809"/><Relationship Type="http://schemas.openxmlformats.org/officeDocument/2006/relationships/hyperlink" Target="https://entrackr.com/snippets/business-automation-platform-trackersuite-ai-raises-pre-series-a-round-12043831" TargetMode="External" Id="rId1810"/><Relationship Type="http://schemas.openxmlformats.org/officeDocument/2006/relationships/hyperlink" Target="https://entrackr.com/news/nutrition-brand-trunativ-raises-30-mn-led-by-orbimed-12044882" TargetMode="External" Id="rId1811"/><Relationship Type="http://schemas.openxmlformats.org/officeDocument/2006/relationships/hyperlink" Target="https://entrackr.com/snippets/influencer-marketing-startup-influish-raises-pre-seed-funding-at-rs-25-cr-valuation-12046273" TargetMode="External" Id="rId1812"/><Relationship Type="http://schemas.openxmlformats.org/officeDocument/2006/relationships/hyperlink" Target="https://entrackr.com/snippets/exclusive-mental-health-startup-lissun-raises-fresh-funds-from-zerodha-backed-rainmatter-12048004" TargetMode="External" Id="rId1813"/><Relationship Type="http://schemas.openxmlformats.org/officeDocument/2006/relationships/hyperlink" Target="https://entrackr.com/news/boldcap-backed-pramaana-labs-raises-27-mn-led-by-khosla-ventures-12048869" TargetMode="External" Id="rId1814"/><Relationship Type="http://schemas.openxmlformats.org/officeDocument/2006/relationships/hyperlink" Target="https://entrackr.com/snippets/haircare-startup-xtovia-raises-pre-seed-funding-led-by-v3-ventures-12047086" TargetMode="External" Id="rId1815"/><Relationship Type="http://schemas.openxmlformats.org/officeDocument/2006/relationships/hyperlink" Target="https://entrackr.com/snippets/karo-sambhav-raises-rs-56-cr-in-pre-series-a-round-led-by-rainmatter-12050427" TargetMode="External" Id="rId1816"/><Relationship Type="http://schemas.openxmlformats.org/officeDocument/2006/relationships/hyperlink" Target="https://entrackr.com/news/rusk-media-raises-rs-100-cr-in-pre-series-c-round-led-by-nazara-technologies-12050381" TargetMode="External" Id="rId1817"/><Relationship Type="http://schemas.openxmlformats.org/officeDocument/2006/relationships/hyperlink" Target="https://entrackr.com/snippets/music-tech-startup-tringbox-raises-rs-5-cr-in-seed-round-12050073" TargetMode="External" Id="rId1818"/><Relationship Type="http://schemas.openxmlformats.org/officeDocument/2006/relationships/hyperlink" Target="https://entrackr.com/news/pet-healthcare-startup-vetic-raises-40-mn-led-by-bessemer-12049404" TargetMode="External" Id="rId1819"/><Relationship Type="http://schemas.openxmlformats.org/officeDocument/2006/relationships/hyperlink" Target="https://entrackr.com/exclusive/exclusive-emo-energys-valuation-jumps-43x-to-rs-860-cr-in-pre-series-b-round-12052859" TargetMode="External" Id="rId1820"/><Relationship Type="http://schemas.openxmlformats.org/officeDocument/2006/relationships/hyperlink" Target="https://entrackr.com/exclusive/exclusive-morgan-stanley-backed-recykal-raises-18-mn-at-280-mn-valuation-12056152" TargetMode="External" Id="rId1821"/><Relationship Type="http://schemas.openxmlformats.org/officeDocument/2006/relationships/hyperlink" Target="https://entrackr.com/news/meta-invests-900-mn-in-cred-kunal-shah-to-lead-whatsapp-globally-12063066" TargetMode="External" Id="rId1822"/><Relationship Type="http://schemas.openxmlformats.org/officeDocument/2006/relationships/hyperlink" Target="https://entrackr.com/snippets/b2b-procurement-tech-platform-bharattender-raises-pre-seed-round-12065634" TargetMode="External" Id="rId1823"/><Relationship Type="http://schemas.openxmlformats.org/officeDocument/2006/relationships/hyperlink" Target="https://entrackr.com/snippets/toys-startup-lillbud-raises-seed-round-led-by-zeropearl-vc-12065382" TargetMode="External" Id="rId1824"/><Relationship Type="http://schemas.openxmlformats.org/officeDocument/2006/relationships/hyperlink" Target="https://entrackr.com/news/cyber-resilience-startup-mitigata-raises-15-mn-in-series-b-round-led-by-bessemer-12064009" TargetMode="External" Id="rId1825"/><Relationship Type="http://schemas.openxmlformats.org/officeDocument/2006/relationships/hyperlink" Target="https://entrackr.com/snippets/sherlocks-ai-raises-rs-75-cr-in-pre-seed-round-led-by-senseai-ventures-12065333" TargetMode="External" Id="rId1826"/><Relationship Type="http://schemas.openxmlformats.org/officeDocument/2006/relationships/hyperlink" Target="https://inc42.com/buzz/from-cred-to-square-yards-indian-startups-raised-1-1-bn-this-week/" TargetMode="External" Id="rId1827"/><Relationship Type="http://schemas.openxmlformats.org/officeDocument/2006/relationships/hyperlink" Target="https://entrackr.com/snippets/unnati-agri-secures-rs-17-cr-in-growth-capital-from-recur-club-12065066" TargetMode="External" Id="rId1828"/><Relationship Type="http://schemas.openxmlformats.org/officeDocument/2006/relationships/hyperlink" Target="https://entrackr.com/news/clinic-and-salon-chain-bodycraft-raises-rs-120-cr-in-series-a-led-by-singularity-amc-12067573" TargetMode="External" Id="rId1829"/><Relationship Type="http://schemas.openxmlformats.org/officeDocument/2006/relationships/hyperlink" Target="https://entrackr.com/snippets/iot-smart-lock-startup-ikin-global-raises-2-mn-in-pre-series-a2-round-12067511" TargetMode="External" Id="rId1830"/><Relationship Type="http://schemas.openxmlformats.org/officeDocument/2006/relationships/hyperlink" Target="https://entrackr.com/snippets/ai-marketing-startup-justai-raises-17-mn-in-series-a-led-by-base10-12067332" TargetMode="External" Id="rId1831"/><Relationship Type="http://schemas.openxmlformats.org/officeDocument/2006/relationships/hyperlink" Target="https://entrackr.com/snippets/qosmic-raises-33-mn-in-seed-funding-from-prosus-accel-south-park-commons-12067227" TargetMode="External" Id="rId1832"/><Relationship Type="http://schemas.openxmlformats.org/officeDocument/2006/relationships/hyperlink" Target="https://entrackr.com/snippets/saffronstays-raises-35-mn-led-by-infinity-ventures-12068176" TargetMode="External" Id="rId1833"/><Relationship Type="http://schemas.openxmlformats.org/officeDocument/2006/relationships/hyperlink" Target="https://entrackr.com/news/former-infosys-ceo-vishal-sikkas-hang-ten-systems-raises-32-mn-seed-round-12069612" TargetMode="External" Id="rId1834"/><Relationship Type="http://schemas.openxmlformats.org/officeDocument/2006/relationships/hyperlink" Target="https://economictimes.indiatimes.com/tech/funding/vishal-sikkas-ai-startup-hang-ten-systems-raises-32-million-led-by-mayfield/articleshow/131971910.cms" TargetMode="External" Id="rId1835"/><Relationship Type="http://schemas.openxmlformats.org/officeDocument/2006/relationships/hyperlink" Target="https://entrackr.com/snippets/lightspeed-leads-7-mn-series-a-round-in-superliving-12098012" TargetMode="External" Id="rId1836"/><Relationship Type="http://schemas.openxmlformats.org/officeDocument/2006/relationships/hyperlink" Target="https://entrackr.com/snippets/shopping-assistant-startup-zave-raises-bridge-round-led-by-ipv-12103687" TargetMode="External" Id="rId1837"/><Relationship Type="http://schemas.openxmlformats.org/officeDocument/2006/relationships/hyperlink" Target="https://inc42.com/buzz/from-cred-to-square-yards-indian-startups-raised-1-1-bn-this-week/" TargetMode="External" Id="rId1838"/><Relationship Type="http://schemas.openxmlformats.org/officeDocument/2006/relationships/hyperlink" Target="https://inc42.com/buzz/from-cred-to-square-yards-indian-startups-raised-1-1-bn-this-week/" TargetMode="External" Id="rId1839"/><Relationship Type="http://schemas.openxmlformats.org/officeDocument/2006/relationships/hyperlink" Target="https://inc42.com/buzz/from-cred-to-square-yards-indian-startups-raised-1-1-bn-this-week/" TargetMode="External" Id="rId1840"/><Relationship Type="http://schemas.openxmlformats.org/officeDocument/2006/relationships/hyperlink" Target="https://entrackr.com/snippets/ai-data-infrastructure-startup-clairva-raises-500k-led-by-venture-catalysts-ai-data-infrastructure-startup-clairva-has-raised-500k-in-a-pre-seed-funding-round-led-by-venture-catalysts-through-its-angel-network-the-company-will-use-the-fresh-capita-12116873" TargetMode="External" Id="rId1841"/><Relationship Type="http://schemas.openxmlformats.org/officeDocument/2006/relationships/hyperlink" Target="https://entrackr.com/news/co-working-startup-incuspaze-raises-rs-150-cr-led-by-bharat-value-fund-12116135" TargetMode="External" Id="rId1842"/><Relationship Type="http://schemas.openxmlformats.org/officeDocument/2006/relationships/hyperlink" Target="https://entrackr.com/snippets/boundless-ventures-leads-pre-seed-round-in-lytmus-ai-12116594" TargetMode="External" Id="rId1843"/><Relationship Type="http://schemas.openxmlformats.org/officeDocument/2006/relationships/hyperlink" Target="https://inc42.com/buzz/from-the-indus-valley-to-incuspaze-indian-startups-raised-105-mn-this-week/" TargetMode="External" Id="rId1844"/><Relationship Type="http://schemas.openxmlformats.org/officeDocument/2006/relationships/hyperlink" Target="https://entrackr.com/snippets/healthcare-startup-mykareai-raises-32-mn-12117898" TargetMode="External" Id="rId1845"/><Relationship Type="http://schemas.openxmlformats.org/officeDocument/2006/relationships/hyperlink" Target="https://inc42.com/buzz/from-the-indus-valley-to-incuspaze-indian-startups-raised-105-mn-this-week/" TargetMode="External" Id="rId1846"/><Relationship Type="http://schemas.openxmlformats.org/officeDocument/2006/relationships/hyperlink" Target="https://entrackr.com/snippets/the-capitalist-ventures-bags-rs-10-cr-seed-round-12117148" TargetMode="External" Id="rId1847"/><Relationship Type="http://schemas.openxmlformats.org/officeDocument/2006/relationships/hyperlink" Target="https://entrackr.com/snippets/the-func-lab-raises-15-mn-seed-round-from-nisaba-godrej-anand-piramal-and-others-12116447" TargetMode="External" Id="rId1848"/><Relationship Type="http://schemas.openxmlformats.org/officeDocument/2006/relationships/hyperlink" Target="https://economictimes.indiatimes.com/tech/funding/gurugram-ai-startup-brekfuz-raises-525000-in-funding-valued-at-7-5-million/articleshow/132095543.cms" TargetMode="External" Id="rId1849"/><Relationship Type="http://schemas.openxmlformats.org/officeDocument/2006/relationships/hyperlink" Target="https://entrackr.com/news/bajaj-finserv-ventures-leads-10-mn-pre-series-b-round-in-kapture-cx-12118348" TargetMode="External" Id="rId1850"/><Relationship Type="http://schemas.openxmlformats.org/officeDocument/2006/relationships/hyperlink" Target="https://entrackr.com/news/cookware-brand-the-indus-valley-raises-17-mn-led-by-gaja-capital-12118791" TargetMode="External" Id="rId1851"/><Relationship Type="http://schemas.openxmlformats.org/officeDocument/2006/relationships/hyperlink" Target="https://entrackr.com/snippets/edtech-platform-yolearn-ai-raises-pre-seed-round-12120052" TargetMode="External" Id="rId1852"/><Relationship Type="http://schemas.openxmlformats.org/officeDocument/2006/relationships/hyperlink" Target="https://entrackr.com/snippets/transition-vc-leads-105-mn-pre-series-a-round-in-albatross-energetics-12122965" TargetMode="External" Id="rId1853"/><Relationship Type="http://schemas.openxmlformats.org/officeDocument/2006/relationships/hyperlink" Target="https://inc42.com/buzz/from-the-indus-valley-to-incuspaze-indian-startups-raised-105-mn-this-week/" TargetMode="External" Id="rId1854"/><Relationship Type="http://schemas.openxmlformats.org/officeDocument/2006/relationships/hyperlink" Target="https://entrackr.com/snippets/data-science-wizards-raises-5-mn-in-pre-series-a-round-12122203" TargetMode="External" Id="rId1855"/><Relationship Type="http://schemas.openxmlformats.org/officeDocument/2006/relationships/hyperlink" Target="https://entrackr.com/snippets/dovetail-capital-raises-rs-100-cr-led-by-elev8-venture-partners-12123188" TargetMode="External" Id="rId1856"/><Relationship Type="http://schemas.openxmlformats.org/officeDocument/2006/relationships/hyperlink" Target="https://entrackr.com/snippets/lab-grown-diamond-brand-limelight-diamonds-raises-rs-275-cr-12123673" TargetMode="External" Id="rId1857"/><Relationship Type="http://schemas.openxmlformats.org/officeDocument/2006/relationships/hyperlink" Target="https://entrackr.com/snippets/banking-infra-startup-spense-secures-28-mn-in-seed-funding-12123950" TargetMode="External" Id="rId1858"/><Relationship Type="http://schemas.openxmlformats.org/officeDocument/2006/relationships/hyperlink" Target="https://entrackr.com/snippets/nutrition-startup-supply6-raises-rs-48-cr-led-by-unilever-ventures-12122813" TargetMode="External" Id="rId1859"/><Relationship Type="http://schemas.openxmlformats.org/officeDocument/2006/relationships/hyperlink" Target="https://entrackr.com/news/elder-care-startup-age-care-labs-raises-9-mn-from-rainmatter-and-others-12125496" TargetMode="External" Id="rId1860"/><Relationship Type="http://schemas.openxmlformats.org/officeDocument/2006/relationships/hyperlink" Target="https://entrackr.com/news/batx-energies-raises-rs-105-cr-in-series-a-round-led-by-ivycap-ventures-12125741" TargetMode="External" Id="rId1861"/><Relationship Type="http://schemas.openxmlformats.org/officeDocument/2006/relationships/hyperlink" Target="https://inc42.com/buzz/from-the-indus-valley-to-incuspaze-indian-startups-raised-105-mn-this-week/" TargetMode="External" Id="rId1862"/><Relationship Type="http://schemas.openxmlformats.org/officeDocument/2006/relationships/hyperlink" Target="https://entrackr.com/snippets/heatronics-raises-rs-18-cr-seed-round-led-by-ipv-12125980" TargetMode="External" Id="rId1863"/><Relationship Type="http://schemas.openxmlformats.org/officeDocument/2006/relationships/hyperlink" Target="https://entrackr.com/news/ninjacart-raises-6-mn-after-45-years-claims-ebitda-profitability-ahead-of-ipo-12128023" TargetMode="External" Id="rId1864"/><Relationship Type="http://schemas.openxmlformats.org/officeDocument/2006/relationships/hyperlink" Target="https://entrackr.com/snippets/omnichannel-sports-retail-startup-playblue-raises-27-mn-in-seed-round-12128217" TargetMode="External" Id="rId1865"/><Relationship Type="http://schemas.openxmlformats.org/officeDocument/2006/relationships/hyperlink" Target="https://entrackr.com/snippets/specialty-chemical-startup-tulon-materials-raises-rs-10-cr-in-seed-round-12125757" TargetMode="External" Id="rId1866"/><Relationship Type="http://schemas.openxmlformats.org/officeDocument/2006/relationships/hyperlink" Target="https://entrackr.com/snippets/ev-fleet-startup-tocal-secures-rs-9-cr-in-seed-round-12138551" TargetMode="External" Id="rId1867"/><Relationship Type="http://schemas.openxmlformats.org/officeDocument/2006/relationships/hyperlink" Target="https://entrackr.com/snippets/alchemic-raises-rs-25-cr-pre-seed-round-led-by-ajvc-12142326" TargetMode="External" Id="rId1868"/><Relationship Type="http://schemas.openxmlformats.org/officeDocument/2006/relationships/hyperlink" Target="https://entrackr.com/snippets/rainmatter-leads-rs-40-cr-pre-series-a-round-in-econovus-packaging-12141581" TargetMode="External" Id="rId1869"/><Relationship Type="http://schemas.openxmlformats.org/officeDocument/2006/relationships/hyperlink" Target="https://inc42.com/features/from-elevate-education-to-aukera-indian-startups-raised-72-mn-this-week/" TargetMode="External" Id="rId1870"/><Relationship Type="http://schemas.openxmlformats.org/officeDocument/2006/relationships/hyperlink" Target="https://entrackr.com/snippets/physical-ai-startup-mowito-raises-3-mn-led-by-version-one-ventures-12141325" TargetMode="External" Id="rId1871"/><Relationship Type="http://schemas.openxmlformats.org/officeDocument/2006/relationships/hyperlink" Target="https://entrackr.com/snippets/rewards-platform-onpoint-raises-600k-in-pre-seed-round-12140935" TargetMode="External" Id="rId1872"/><Relationship Type="http://schemas.openxmlformats.org/officeDocument/2006/relationships/hyperlink" Target="https://inc42.com/features/from-elevate-education-to-aukera-indian-startups-raised-72-mn-this-week/" TargetMode="External" Id="rId1873"/><Relationship Type="http://schemas.openxmlformats.org/officeDocument/2006/relationships/hyperlink" Target="https://entrackr.com/snippets/stylework-raises-1-mn-in-pre-series-b-second-close-12141321" TargetMode="External" Id="rId1874"/><Relationship Type="http://schemas.openxmlformats.org/officeDocument/2006/relationships/hyperlink" Target="https://inc42.com/features/from-elevate-education-to-aukera-indian-startups-raised-72-mn-this-week/" TargetMode="External" Id="rId1875"/><Relationship Type="http://schemas.openxmlformats.org/officeDocument/2006/relationships/hyperlink" Target="https://economictimes.indiatimes.com/tech/funding/adage-automation-secures-rs-230-crore-in-funding-led-by-pe-firm-incred-alternative/articleshow/132245838.cms" TargetMode="External" Id="rId1876"/><Relationship Type="http://schemas.openxmlformats.org/officeDocument/2006/relationships/hyperlink" Target="https://entrackr.com/snippets/womens-health-brand-avni-wellness-raises-seed-round-12143541" TargetMode="External" Id="rId1877"/><Relationship Type="http://schemas.openxmlformats.org/officeDocument/2006/relationships/hyperlink" Target="https://entrackr.com/snippets/doodhvale-farms-raises-1-mn-from-atomic-capital-12144492" TargetMode="External" Id="rId1878"/><Relationship Type="http://schemas.openxmlformats.org/officeDocument/2006/relationships/hyperlink" Target="https://entrackr.com/snippets/voice-ai-platform-edysorai-raises-pre-seed-round-12146048" TargetMode="External" Id="rId1879"/><Relationship Type="http://schemas.openxmlformats.org/officeDocument/2006/relationships/hyperlink" Target="https://entrackr.com/news/elevate-education-raises-rs-170-cr-in-series-d-round-from-westbridge-capital-12145392" TargetMode="External" Id="rId1880"/><Relationship Type="http://schemas.openxmlformats.org/officeDocument/2006/relationships/hyperlink" Target="https://entrackr.com/snippets/piper-serica-leads-seed-round-in-deep-tech-startup-enlife-research-12146237" TargetMode="External" Id="rId1881"/><Relationship Type="http://schemas.openxmlformats.org/officeDocument/2006/relationships/hyperlink" Target="https://entrackr.com/snippets/caret-capital-leads-24-mn-seed-round-in-milo-drive-12145426" TargetMode="External" Id="rId1882"/><Relationship Type="http://schemas.openxmlformats.org/officeDocument/2006/relationships/hyperlink" Target="https://inc42.com/features/from-elevate-education-to-aukera-indian-startups-raised-72-mn-this-week/" TargetMode="External" Id="rId1883"/><Relationship Type="http://schemas.openxmlformats.org/officeDocument/2006/relationships/hyperlink" Target="https://entrackr.com/snippets/ipv-leads-pre-seed-round-in-space-tech-startup-baas-technologies-12148802" TargetMode="External" Id="rId1884"/><Relationship Type="http://schemas.openxmlformats.org/officeDocument/2006/relationships/hyperlink" Target="https://entrackr.com/news/physical-ai-startup-hakimo-raises-12-mn-12148341" TargetMode="External" Id="rId1885"/><Relationship Type="http://schemas.openxmlformats.org/officeDocument/2006/relationships/hyperlink" Target="https://inc42.com/features/from-elevate-education-to-aukera-indian-startups-raised-72-mn-this-week/" TargetMode="External" Id="rId1886"/><Relationship Type="http://schemas.openxmlformats.org/officeDocument/2006/relationships/hyperlink" Target="https://inc42.com/features/from-elevate-education-to-aukera-indian-startups-raised-72-mn-this-week/" TargetMode="External" Id="rId1887"/><Relationship Type="http://schemas.openxmlformats.org/officeDocument/2006/relationships/hyperlink" Target="https://entrackr.com/exclusive/exclusive-wizcommerce-raises-83-mn-from-blume-alpha-wave-peak-xv-and-others-12147588" TargetMode="External" Id="rId1888"/><Relationship Type="http://schemas.openxmlformats.org/officeDocument/2006/relationships/hyperlink" Target="https://entrackr.com/news/aukera-raises-rs-90-cr-in-fresh-funding-led-by-alteria-capital-12152130" TargetMode="External" Id="rId1889"/><Relationship Type="http://schemas.openxmlformats.org/officeDocument/2006/relationships/hyperlink" Target="https://entrackr.com/exclusive/exclusive-biofuelcircle-secures-rs-35-cr-in-fresh-funding-12150788" TargetMode="External" Id="rId1890"/><Relationship Type="http://schemas.openxmlformats.org/officeDocument/2006/relationships/hyperlink" Target="https://inc42.com/features/from-elevate-education-to-aukera-indian-startups-raised-72-mn-this-week/" TargetMode="External" Id="rId1891"/><Relationship Type="http://schemas.openxmlformats.org/officeDocument/2006/relationships/hyperlink" Target="https://economictimes.indiatimes.com/tech/funding/grocery-chain-sumosave-retail-raises-rs-50-crore-led-by-12-flags/articleshow/132312763.cms" TargetMode="External" Id="rId1892"/><Relationship Type="http://schemas.openxmlformats.org/officeDocument/2006/relationships/hyperlink" Target="https://inc42.com/buzz/from-emergent-to-neo-group-indian-startups-raised-281-mn-this-week/" TargetMode="External" Id="rId1893"/><Relationship Type="http://schemas.openxmlformats.org/officeDocument/2006/relationships/hyperlink" Target="https://inc42.com/buzz/from-emergent-to-neo-group-indian-startups-raised-281-mn-this-week/" TargetMode="External" Id="rId1894"/><Relationship Type="http://schemas.openxmlformats.org/officeDocument/2006/relationships/hyperlink" Target="https://inc42.com/buzz/from-emergent-to-neo-group-indian-startups-raised-281-mn-this-week/" TargetMode="External" Id="rId1895"/><Relationship Type="http://schemas.openxmlformats.org/officeDocument/2006/relationships/hyperlink" Target="https://entrackr.com/snippets/fireside-leads-rs-30-cr-seed-round-in-d2c-grocery-startup-anmasa-12165707" TargetMode="External" Id="rId1896"/><Relationship Type="http://schemas.openxmlformats.org/officeDocument/2006/relationships/hyperlink" Target="https://entrackr.com/news/ather-raises-rs-1200-cr-from-hero-motocorp-india-japan-fund-and-promoters-12166313" TargetMode="External" Id="rId1897"/><Relationship Type="http://schemas.openxmlformats.org/officeDocument/2006/relationships/hyperlink" Target="https://entrackr.com/news/bluventure-leads-rs-100-cr-series-a-round-in-e3-electricai-12164631" TargetMode="External" Id="rId1898"/><Relationship Type="http://schemas.openxmlformats.org/officeDocument/2006/relationships/hyperlink" Target="https://entrackr.com/news/emergent-becomes-third-ai-unicorn-of-2026-with-130-mn-series-c-led-by-creaegis-12166031" TargetMode="External" Id="rId1899"/><Relationship Type="http://schemas.openxmlformats.org/officeDocument/2006/relationships/hyperlink" Target="https://entrackr.com/snippets/fintech-saas-startup-hisabkitab-raises-seed-round-at-rs-20-cr-valuation-12163499" TargetMode="External" Id="rId1900"/><Relationship Type="http://schemas.openxmlformats.org/officeDocument/2006/relationships/hyperlink" Target="https://economictimes.indiatimes.com/tech/funding/d2c-snack-brand-open-secret-raises-rs-50-crore-funding/articleshow/132407692.cms" TargetMode="External" Id="rId1901"/><Relationship Type="http://schemas.openxmlformats.org/officeDocument/2006/relationships/hyperlink" Target="https://entrackr.com/snippets/maternal-and-baby-care-brand-promom-raises-rs-30-cr-from-fireside-ventures-12167109" TargetMode="External" Id="rId1902"/><Relationship Type="http://schemas.openxmlformats.org/officeDocument/2006/relationships/hyperlink" Target="https://inc42.com/buzz/from-emergent-to-neo-group-indian-startups-raised-281-mn-this-week/" TargetMode="External" Id="rId1903"/><Relationship Type="http://schemas.openxmlformats.org/officeDocument/2006/relationships/hyperlink" Target="https://inc42.com/buzz/from-emergent-to-neo-group-indian-startups-raised-281-mn-this-week/" TargetMode="External" Id="rId1904"/><Relationship Type="http://schemas.openxmlformats.org/officeDocument/2006/relationships/hyperlink" Target="https://entrackr.com/news/groyyo-raises-rs-90-cr-in-first-close-of-series-b-round-led-by-cornerstone-ventures-12170977" TargetMode="External" Id="rId1905"/><Relationship Type="http://schemas.openxmlformats.org/officeDocument/2006/relationships/hyperlink" Target="https://entrackr.com/snippets/kuhltherm-raises-11-mn-in-seed-round-led-by-arkam-ventures-12170492" TargetMode="External" Id="rId1906"/><Relationship Type="http://schemas.openxmlformats.org/officeDocument/2006/relationships/hyperlink" Target="https://inc42.com/buzz/from-emergent-to-neo-group-indian-startups-raised-281-mn-this-week/" TargetMode="External" Id="rId1907"/><Relationship Type="http://schemas.openxmlformats.org/officeDocument/2006/relationships/hyperlink" Target="https://entrackr.com/snippets/mandrake-bio-raises-rs-16-cr-in-pre-seed-round-co-led-by-activate-and-antler-12170217" TargetMode="External" Id="rId1908"/><Relationship Type="http://schemas.openxmlformats.org/officeDocument/2006/relationships/hyperlink" Target="https://inc42.com/buzz/from-emergent-to-neo-group-indian-startups-raised-281-mn-this-week/" TargetMode="External" Id="rId1909"/><Relationship Type="http://schemas.openxmlformats.org/officeDocument/2006/relationships/hyperlink" Target="https://entrackr.com/news/naturis-cosmetics-raises-rs-100-cr-in-maiden-institutional-round-led-by-sharrp-ventures-12169138" TargetMode="External" Id="rId1910"/><Relationship Type="http://schemas.openxmlformats.org/officeDocument/2006/relationships/hyperlink" Target="https://inc42.com/buzz/from-emergent-to-neo-group-indian-startups-raised-281-mn-this-week/" TargetMode="External" Id="rId1911"/><Relationship Type="http://schemas.openxmlformats.org/officeDocument/2006/relationships/hyperlink" Target="https://entrackr.com/snippets/quick-clean-raises-14-mn-in-series-b-round-led-by-stakeboat-capital-12168892" TargetMode="External" Id="rId1912"/><Relationship Type="http://schemas.openxmlformats.org/officeDocument/2006/relationships/hyperlink" Target="https://entrackr.com/snippets/elevation-capital-leads-113-mn-series-a-round-in-reodev-12169973" TargetMode="External" Id="rId1913"/><Relationship Type="http://schemas.openxmlformats.org/officeDocument/2006/relationships/hyperlink" Target="https://entrackr.com/snippets/agritech-startup-rize-raises-31-mn-in-series-b-round-12169128" TargetMode="External" Id="rId1914"/><Relationship Type="http://schemas.openxmlformats.org/officeDocument/2006/relationships/hyperlink" Target="https://inc42.com/buzz/from-emergent-to-neo-group-indian-startups-raised-281-mn-this-week/" TargetMode="External" Id="rId1915"/><Relationship Type="http://schemas.openxmlformats.org/officeDocument/2006/relationships/hyperlink" Target="https://entrackr.com/news/physical-ai-startup-switchon-raises-8-mn-in-pre-series-b-round-led-by-ivycap-12168741" TargetMode="External" Id="rId1916"/><Relationship Type="http://schemas.openxmlformats.org/officeDocument/2006/relationships/hyperlink" Target="https://entrackr.com/snippets/rukam-capital-leads-seed-round-in-skin-longevity-beauty-brand-lngvty-12181648" TargetMode="External" Id="rId1917"/><Relationship Type="http://schemas.openxmlformats.org/officeDocument/2006/relationships/hyperlink" Target="https://entrackr.com/news/instant-medicine-delivery-startup-plazza-raises-15-mn-led-by-accel-elevation-and-nexus-12180237" TargetMode="External" Id="rId1918"/><Relationship Type="http://schemas.openxmlformats.org/officeDocument/2006/relationships/hyperlink" Target="https://entrackr.com/news/raghu-vamsi-aerospace-group-raises-40-mn-led-by-norwest-skegen-asset-management-12181153" TargetMode="External" Id="rId1919"/><Relationship Type="http://schemas.openxmlformats.org/officeDocument/2006/relationships/hyperlink" Target="https://entrackr.com/news/wealthtech-platform-veriqus-raises-rs-387-cr-in-funding-round-led-by-norwest-12182570" TargetMode="External" Id="rId1920"/><Relationship Type="http://schemas.openxmlformats.org/officeDocument/2006/relationships/hyperlink" Target="https://entrackr.com/snippets/bessemer-leads-67-mn-round-in-travel-tech-startup-30-sundays-12183146" TargetMode="External" Id="rId1921"/><Relationship Type="http://schemas.openxmlformats.org/officeDocument/2006/relationships/hyperlink" Target="https://entrackr.com/snippets/fireai-raises-rs-25-cr-from-sucseed-indovation-fund-12184501" TargetMode="External" Id="rId1922"/><Relationship Type="http://schemas.openxmlformats.org/officeDocument/2006/relationships/hyperlink" Target="https://inc42.com/buzz/from-zetwerk-to-veriqus-indian-startups-raised-209-mn-this-week/" TargetMode="External" Id="rId1923"/><Relationship Type="http://schemas.openxmlformats.org/officeDocument/2006/relationships/hyperlink" Target="https://entrackr.com/snippets/ms-dhoni-invests-in-solarsquare-as-part-of-53-mn-series-c-round-12183463" TargetMode="External" Id="rId1924"/><Relationship Type="http://schemas.openxmlformats.org/officeDocument/2006/relationships/hyperlink" Target="https://entrackr.com/snippets/suminter-india-organics-secures-rs-25-cr-debt-from-blacksoil-capital-12184884" TargetMode="External" Id="rId1925"/><Relationship Type="http://schemas.openxmlformats.org/officeDocument/2006/relationships/hyperlink" Target="https://entrackr.com/snippets/medtech-startup-bioscan-research-raises-1-mn-in-seed-round-led-by-unicorn-india-ventures-12186756" TargetMode="External" Id="rId1926"/><Relationship Type="http://schemas.openxmlformats.org/officeDocument/2006/relationships/hyperlink" Target="https://entrackr.com/news/businessnext-raises-40-mn-from-servicenow-ventures-at-700-mn-valuation-12189549" TargetMode="External" Id="rId1927"/><Relationship Type="http://schemas.openxmlformats.org/officeDocument/2006/relationships/hyperlink" Target="https://entrackr.com/snippets/healthtech-startup-carplai-raises-10-mn-series-a-led-by-ifc-12191147" TargetMode="External" Id="rId1928"/><Relationship Type="http://schemas.openxmlformats.org/officeDocument/2006/relationships/hyperlink" Target="https://entrackr.com/snippets/farm-watt-innovations-raises-rs-325-cr-co-led-by-ian-alpha-fund-and-rainmatter-12190175" TargetMode="External" Id="rId1929"/><Relationship Type="http://schemas.openxmlformats.org/officeDocument/2006/relationships/hyperlink" Target="https://entrackr.com/snippets/ai-insurtech-startup-neuralkart-raises-seed-funding-led-by-inflection-point-ventures-12189954" TargetMode="External" Id="rId1930"/><Relationship Type="http://schemas.openxmlformats.org/officeDocument/2006/relationships/hyperlink" Target="https://entrackr.com/snippets/pedalstart-leads-pre-seed-round-in-extracurricular-learning-platform-upkraft-12190685" TargetMode="External" Id="rId1931"/><Relationship Type="http://schemas.openxmlformats.org/officeDocument/2006/relationships/hyperlink" Target="https://entrackr.com/snippets/earth-fund-leads-3-mn-series-a-round-in-wiffy-12191137" TargetMode="External" Id="rId1932"/><Relationship Type="http://schemas.openxmlformats.org/officeDocument/2006/relationships/hyperlink" Target="https://inc42.com/buzz/from-zetwerk-to-veriqus-indian-startups-raised-209-mn-this-week/" TargetMode="External" Id="rId1933"/><Relationship Type="http://schemas.openxmlformats.org/officeDocument/2006/relationships/hyperlink" Target="https://entrackr.com/snippets/electric-commercial-vehicle-manufacturer-omega-seiki-mobility-raises-rs-50-cr-12201685" TargetMode="External" Id="rId1934"/><Relationship Type="http://schemas.openxmlformats.org/officeDocument/2006/relationships/hyperlink" Target="https://entrackr.com/snippets/global-student-living-technology-startup-house-of-student-raises-2-mn-in-seed-round-12204999" TargetMode="External" Id="rId1935"/><Relationship Type="http://schemas.openxmlformats.org/officeDocument/2006/relationships/hyperlink" Target="https://entrackr.com/snippets/circular-economy-company-recykal-invests-rs-10-cr-in-walbha-industries-12205320" TargetMode="External" Id="rId1936"/><Relationship Type="http://schemas.openxmlformats.org/officeDocument/2006/relationships/hyperlink" Target="https://entrackr.com/snippets/piper-serica-leads-rs-15-cr-seed-round-in-deep-tech-startup-yaanendriya-12205479" TargetMode="External" Id="rId1937"/><Relationship Type="http://schemas.openxmlformats.org/officeDocument/2006/relationships/hyperlink" Target="https://entrackr.com/snippets/building-materials-quick-commerce-startup-fixxly-raises-55-mn-in-seed-round-12207612" TargetMode="External" Id="rId1938"/><Relationship Type="http://schemas.openxmlformats.org/officeDocument/2006/relationships/hyperlink" Target="https://economictimes.indiatimes.com/tech/startups/ai-startup-freehand-raises-75-million-led-by-battery-ventures-newroad-nexus/articleshow/132711294.cms" TargetMode="External" Id="rId1939"/><Relationship Type="http://schemas.openxmlformats.org/officeDocument/2006/relationships/hyperlink" Target="https://entrackr.com/snippets/revspot-raises-48-mn-in-series-a-round-co-led-by-inflexor-info-edge-ventures-12208007" TargetMode="External" Id="rId1940"/><Relationship Type="http://schemas.openxmlformats.org/officeDocument/2006/relationships/hyperlink" Target="https://entrackr.com/snippets/aham-housing-finance-raises-rs-100-cr-led-by-sanmar-group-12213357" TargetMode="External" Id="rId1941"/><Relationship Type="http://schemas.openxmlformats.org/officeDocument/2006/relationships/hyperlink" Target="https://entrackr.com/news/apna-mart-raises-rs-120-cr-in-series-c-round-led-by-accel-fundamentum-12211453" TargetMode="External" Id="rId1942"/><Relationship Type="http://schemas.openxmlformats.org/officeDocument/2006/relationships/hyperlink" Target="https://entrackr.com/news/arboreal-bioinnovations-raises-rs-230-cr-in-series-a-led-by-edelweisss-eaaa-and-omnivore-12211900" TargetMode="External" Id="rId1943"/><Relationship Type="http://schemas.openxmlformats.org/officeDocument/2006/relationships/hyperlink" Target="https://entrackr.com/news/sids-farm-raises-over-rs-81-cr-in-pre-series-b-round-12211387" TargetMode="External" Id="rId1944"/><Relationship Type="http://schemas.openxmlformats.org/officeDocument/2006/relationships/hyperlink" Target="https://entrackr.com/snippets/drone-startup-suind-raises-rs-205-cr-in-seed-round-led-by-transition-vc-12210797" TargetMode="External" Id="rId1945"/><Relationship Type="http://schemas.openxmlformats.org/officeDocument/2006/relationships/hyperlink" Target="https://entrackr.com/snippets/ipv-leads-seed-round-in-hair-beauty-and-styling-brand-truth-hair-12212591" TargetMode="External" Id="rId1946"/><Relationship Type="http://schemas.openxmlformats.org/officeDocument/2006/relationships/hyperlink" Target="https://inc42.com/buzz/from-freehand-to-sids-farms-indian-startups-raised-142-mn-this-week/" TargetMode="External" Id="rId1947"/><Relationship Type="http://schemas.openxmlformats.org/officeDocument/2006/relationships/hyperlink" Target="https://inc42.com/buzz/from-ultrahuman-to-comet-indian-startups-raised-over-177-mn-this-week/" TargetMode="External" Id="rId1948"/><Relationship Type="http://schemas.openxmlformats.org/officeDocument/2006/relationships/hyperlink" Target="https://entrackr.com/snippets/coffee-equipment-and-services-provider-kaapi-machines-raises-rs-50-cr-from-sedna-horeca-12223166" TargetMode="External" Id="rId1949"/><Relationship Type="http://schemas.openxmlformats.org/officeDocument/2006/relationships/hyperlink" Target="https://entrackr.com/news/transition-vc-backed-matel-raises-rs-130-cr-in-series-b-round-led-by-uc-impower-12223669" TargetMode="External" Id="rId1950"/><Relationship Type="http://schemas.openxmlformats.org/officeDocument/2006/relationships/hyperlink" Target="https://entrackr.com/snippets/ev-charging-startup-roadgrid-secures-rs-13-cr-from-technology-development-board-12222755" TargetMode="External" Id="rId1951"/><Relationship Type="http://schemas.openxmlformats.org/officeDocument/2006/relationships/hyperlink" Target="https://inc42.com/buzz/from-river-mobility-to-blissclub-indian-startups-raised-274-mn-this-week/" TargetMode="External" Id="rId1952"/><Relationship Type="http://schemas.openxmlformats.org/officeDocument/2006/relationships/hyperlink" Target="https://entrackr.com/snippets/getvantage-secures-rs-63-cr-in-series-a1-round-12226948" TargetMode="External" Id="rId1953"/><Relationship Type="http://schemas.openxmlformats.org/officeDocument/2006/relationships/hyperlink" Target="https://entrackr.com/snippets/agentic-ai-startup-kily-raises-rs-30-cr-in-round-led-by-sorin-investments-12225876" TargetMode="External" Id="rId1954"/><Relationship Type="http://schemas.openxmlformats.org/officeDocument/2006/relationships/hyperlink" Target="https://entrackr.com/snippets/legal-tech-startup-nyai-raises-15-mn-in-seed-round-12227113" TargetMode="External" Id="rId1955"/><Relationship Type="http://schemas.openxmlformats.org/officeDocument/2006/relationships/hyperlink" Target="https://entrackr.com/snippets/former-swiggy-zomato-executives-launch-ai-startup-profound-with-15-mn-seed-round-12225874" TargetMode="External" Id="rId1956"/><Relationship Type="http://schemas.openxmlformats.org/officeDocument/2006/relationships/hyperlink" Target="https://entrackr.com/snippets/superleap-raises-rs-36-cr-in-pre-series-a-round-led-by-peak-xvs-surge-12226051" TargetMode="External" Id="rId1957"/><Relationship Type="http://schemas.openxmlformats.org/officeDocument/2006/relationships/hyperlink" Target="https://entrackr.com/snippets/vaaree-raises-rs-65-cr-in-series-a-led-by-hero-enterprise-and-cap-alpha-ventures-12227333" TargetMode="External" Id="rId1958"/><Relationship Type="http://schemas.openxmlformats.org/officeDocument/2006/relationships/hyperlink" Target="https://entrackr.com/snippets/zoppler-systems-raises-rs-65-cr-from-finvolve-and-india-accelerator-12227359" TargetMode="External" Id="rId1959"/><Relationship Type="http://schemas.openxmlformats.org/officeDocument/2006/relationships/hyperlink" Target="https://entrackr.com/snippets/deep-tech-energy-startup-adiabatic-technologies-raises-rs-83-cr-in-seed-round-12230018" TargetMode="External" Id="rId1960"/><Relationship Type="http://schemas.openxmlformats.org/officeDocument/2006/relationships/hyperlink" Target="https://entrackr.com/snippets/personal-assistance-startup-hulp-secures-26-mn-seed-funding-12230169" TargetMode="External" Id="rId1961"/><Relationship Type="http://schemas.openxmlformats.org/officeDocument/2006/relationships/hyperlink" Target="https://entrackr.com/news/inrisk-labs-raises-27-mn-in-series-a-round-led-by-bessemer-northpoint-capital-12230166" TargetMode="External" Id="rId1962"/><Relationship Type="http://schemas.openxmlformats.org/officeDocument/2006/relationships/hyperlink" Target="https://entrackr.com/snippets/lighthouse-canton-closes-rs-1050-mn-private-credit-investment-in-emerald-leisures-12231787" TargetMode="External" Id="rId1963"/><Relationship Type="http://schemas.openxmlformats.org/officeDocument/2006/relationships/hyperlink" Target="https://economictimes.indiatimes.com/tech/startups/climatetech-startup-mitti-labs-raises-9-5-million-led-by-aramco-ventures/articleshow/132913386.cms" TargetMode="External" Id="rId1964"/><Relationship Type="http://schemas.openxmlformats.org/officeDocument/2006/relationships/hyperlink" Target="https://inc42.com/buzz/from-river-mobility-to-blissclub-indian-startups-raised-274-mn-this-week/" TargetMode="External" Id="rId1965"/><Relationship Type="http://schemas.openxmlformats.org/officeDocument/2006/relationships/hyperlink" Target="https://entrackr.com/news/river-mobility-raises-120-mn-in-series-c-led-by-elev8-claypond-capital-12232629" TargetMode="External" Id="rId1966"/><Relationship Type="http://schemas.openxmlformats.org/officeDocument/2006/relationships/hyperlink" Target="https://economictimes.indiatimes.com/tech/funding/d2c-brand-typsy-beauty-raises-rs-20-crore-led-by-saama-capital/articleshow/132917107.cms" TargetMode="External" Id="rId1967"/><Relationship Type="http://schemas.openxmlformats.org/officeDocument/2006/relationships/hyperlink" Target="https://entrackr.com/snippets/c2c-marketplace-vingo-raises-rs-10-cr-seed-round-led-by-indiaquotient-12231153" TargetMode="External" Id="rId1968"/><Relationship Type="http://schemas.openxmlformats.org/officeDocument/2006/relationships/hyperlink" Target="https://entrackr.com/snippets/healthcare-ai-startup-consintai-raises-rs-22-cr-in-series-a-round-12234521" TargetMode="External" Id="rId1969"/><Relationship Type="http://schemas.openxmlformats.org/officeDocument/2006/relationships/hyperlink" Target="https://entrackr.com/news/homerun-raises-12-mn-in-series-a-round-led-by-nexus-venture-partners-12234340" TargetMode="External" Id="rId1970"/><Relationship Type="http://schemas.openxmlformats.org/officeDocument/2006/relationships/hyperlink" Target="https://entrackr.com/news/leap-india-raises-rs-371-cr-in-pre-ipo-round-led-by-gic-arm-12235506" TargetMode="External" Id="rId1971"/><Relationship Type="http://schemas.openxmlformats.org/officeDocument/2006/relationships/hyperlink" Target="https://entrackr.com/snippets/mela-ventures-co-leads-55-mn-series-a1-round-in-solinas-integrity-12236009" TargetMode="External" Id="rId1972"/><Relationship Type="http://schemas.openxmlformats.org/officeDocument/2006/relationships/hyperlink" Target="https://entrackr.com/exclusive/exclusive-dosa-chain-benne-raises-rs-35-cr-led-by-rajan-pais-claypond-capital-12238246" TargetMode="External" Id="rId1973"/><Relationship Type="http://schemas.openxmlformats.org/officeDocument/2006/relationships/hyperlink" Target="https://entrackr.com/news/d2c-athleisure-brand-blissclub-raises-rs-160-cr-in-series-b-led-by-singularity-amc-12238770" TargetMode="External" Id="rId1974"/><Relationship Type="http://schemas.openxmlformats.org/officeDocument/2006/relationships/hyperlink" Target="https://economictimes.indiatimes.com/tech/funding/m2p-raises-rs-100-crore-debt-from-alteria-to-fund-ai-expansion/articleshow/133001086.cms" TargetMode="External" Id="rId1975"/><Relationship Type="http://schemas.openxmlformats.org/officeDocument/2006/relationships/hyperlink" Target="https://entrackr.com/exclusive/exclusive-bakingo-raises-rs-100-cr-at-26x-higher-valuation-12246734" TargetMode="External" Id="rId1976"/><Relationship Type="http://schemas.openxmlformats.org/officeDocument/2006/relationships/hyperlink" Target="https://economictimes.indiatimes.com/tech/funding/iit-madras-alumnis-discovered-materials-raises-9-million-from-lightspeed-yc-peak-xv/articleshow/133122577.cms" TargetMode="External" Id="rId1977"/><Relationship Type="http://schemas.openxmlformats.org/officeDocument/2006/relationships/hyperlink" Target="https://entrackr.com/snippets/ayati-devices-raises-rs-15-cr-led-by-inflexor-ventures-in-pre-series-a-12249549" TargetMode="External" Id="rId1978"/><Relationship Type="http://schemas.openxmlformats.org/officeDocument/2006/relationships/hyperlink" Target="https://entrackr.com/snippets/highleaf-leads-rs-5-cr-pre-series-a-round-in-freightfox-12249334" TargetMode="External" Id="rId1979"/><Relationship Type="http://schemas.openxmlformats.org/officeDocument/2006/relationships/hyperlink" Target="https://entrackr.com/snippets/vecton-ai-raises-rs-6-cr-in-pre-seed-round-led-by-zeropearl-vc-12250059" TargetMode="External" Id="rId1980"/><Relationship Type="http://schemas.openxmlformats.org/officeDocument/2006/relationships/hyperlink" Target="https://entrackr.com/snippets/kae-capital-leads-rs-85-cr-pre-seed-round-in-lane-12252550" TargetMode="External" Id="rId1981"/><Relationship Type="http://schemas.openxmlformats.org/officeDocument/2006/relationships/hyperlink" Target="https://entrackr.com/snippets/deep-tech-startup-quarkitech-raises-pre-seed-funding-12254263" TargetMode="External" Id="rId1982"/><Relationship Type="http://schemas.openxmlformats.org/officeDocument/2006/relationships/hyperlink" Target="https://entrackr.com/snippets/wippi-raises-12-mn-in-seed-round-led-by-12-flags-12252576" TargetMode="External" Id="rId1983"/><Relationship Type="http://schemas.openxmlformats.org/officeDocument/2006/relationships/hyperlink" Target="https://entrackr.com/news/yulu-raises-93-mn-in-series-c-round-led-by-gef-capital-12252594" TargetMode="External" Id="rId1984"/><Relationship Type="http://schemas.openxmlformats.org/officeDocument/2006/relationships/hyperlink" Target="https://economictimes.indiatimes.com/tech/funding/ai-code-testing-platform-blacksmith-raises-45-million-led-by-peak-xv-valued-at-550-million/articleshow/133187342.cms" TargetMode="External" Id="rId1985"/><Relationship Type="http://schemas.openxmlformats.org/officeDocument/2006/relationships/hyperlink" Target="https://entrackr.com/news/centricity-raises-rs-280-cr-in-series-a-round-led-by-smbc-asia-rising-fund-12255713" TargetMode="External" Id="rId1986"/><Relationship Type="http://schemas.openxmlformats.org/officeDocument/2006/relationships/hyperlink" Target="https://inc42.com/buzz/from-yulu-to-discovered-materials-indian-startups-raised-140-mn-this-week/" TargetMode="External" Id="rId1987"/><Relationship Type="http://schemas.openxmlformats.org/officeDocument/2006/relationships/hyperlink" Target="https://inc42.com/buzz/from-yulu-to-discovered-materials-indian-startups-raised-140-mn-this-week/" TargetMode="External" Id="rId1988"/><Relationship Type="http://schemas.openxmlformats.org/officeDocument/2006/relationships/hyperlink" Target="https://entrackr.com/snippets/home-cleaning-products-startup-scrubsy-raises-rs-27-cr-from-v3-ventures-12256241" TargetMode="External" Id="rId1989"/><Relationship Type="http://schemas.openxmlformats.org/officeDocument/2006/relationships/hyperlink" Target="https://entrackr.com/snippets/otp-ventures-leads-rs-35-cr-pre-series-a-round-in-dehaat-honest-farms-12267830" TargetMode="External" Id="rId1990"/><Relationship Type="http://schemas.openxmlformats.org/officeDocument/2006/relationships/hyperlink" Target="https://economictimes.indiatimes.com/tech/funding/wispr-flow-raises-280-million-at-2-billion-valuation-peak-xv-joins-new-round/articleshow/133301827.cms" TargetMode="External" Id="rId1991"/><Relationship Type="http://schemas.openxmlformats.org/officeDocument/2006/relationships/hyperlink" Target="https://entrackr.com/snippets/health-tech-platform-lissun-raises-rs-48-cr-in-series-a-led-by-colossa-ventures-12391763" TargetMode="External" Id="rId1992"/><Relationship Type="http://schemas.openxmlformats.org/officeDocument/2006/relationships/hyperlink" Target="https://inc42.com/buzz/from-navi-to-bookmyshow-indian-startups-raised-over-233-mn-this-week/" TargetMode="External" Id="rId1993"/><Relationship Type="http://schemas.openxmlformats.org/officeDocument/2006/relationships/hyperlink" Target="https://entrackr.com/news/norwest-leads-125-mn-series-a-round-in-ai-lending-tech-platform-rezolv-12391129" TargetMode="External" Id="rId1994"/><Relationship Type="http://schemas.openxmlformats.org/officeDocument/2006/relationships/hyperlink" Target="https://entrackr.com/snippets/piper-serica-leads-rs-15-cr-pre-series-a-round-in-deep-tech-startup-algofet-12395742" TargetMode="External" Id="rId1995"/><Relationship Type="http://schemas.openxmlformats.org/officeDocument/2006/relationships/hyperlink" Target="https://inc42.com/buzz/from-navi-to-bookmyshow-indian-startups-raised-over-233-mn-this-week/" TargetMode="External" Id="rId1996"/><Relationship Type="http://schemas.openxmlformats.org/officeDocument/2006/relationships/hyperlink" Target="https://entrackr.com/snippets/butterfly-learnings-raises-rs-65-cr-in-pre-series-b-round-led-by-inflexor-ventures-12394562" TargetMode="External" Id="rId1997"/><Relationship Type="http://schemas.openxmlformats.org/officeDocument/2006/relationships/hyperlink" Target="https://entrackr.com/news/nikhil-kamath-invests-rs-200-cr-in-ctrls-as-hyperscale-data-centre-operator-raises-rs-250-cr-12395469" TargetMode="External" Id="rId1998"/><Relationship Type="http://schemas.openxmlformats.org/officeDocument/2006/relationships/hyperlink" Target="https://entrackr.com/snippets/digidukan-raises-rs-2-cr-in-angel-funding-from-united-plywood-directors-12395346" TargetMode="External" Id="rId1999"/><Relationship Type="http://schemas.openxmlformats.org/officeDocument/2006/relationships/hyperlink" Target="https://inc42.com/buzz/from-navi-to-bookmyshow-indian-startups-raised-over-233-mn-this-week/" TargetMode="External" Id="rId2000"/><Relationship Type="http://schemas.openxmlformats.org/officeDocument/2006/relationships/hyperlink" Target="https://entrackr.com/news/navi-raises-100-mn-from-prosus-ahead-of-ipo-12396548" TargetMode="External" Id="rId2001"/><Relationship Type="http://schemas.openxmlformats.org/officeDocument/2006/relationships/hyperlink" Target="https://entrackr.com/snippets/yantra-packs-raises-rs-12-cr-in-seed-round-led-by-caret-capital-12396605" TargetMode="External" Id="rId2002"/><Relationship Type="http://schemas.openxmlformats.org/officeDocument/2006/relationships/hyperlink" Target="https://entrackr.com/snippets/enterprise-ai-platform-zenalyst-raises-pre-seed-funding-12394262" TargetMode="External" Id="rId2003"/><Relationship Type="http://schemas.openxmlformats.org/officeDocument/2006/relationships/hyperlink" Target="https://entrackr.com/exclusive/exclusive-bgauss-raises-rs-110-cr-in-fresh-round-at-rs-1000-cr-valuation-12397665" TargetMode="External" Id="rId2004"/><Relationship Type="http://schemas.openxmlformats.org/officeDocument/2006/relationships/hyperlink" Target="https://economictimes.indiatimes.com/tech/funding/d2c-watch-brand-bruno-milano-raises-rs-7-5-crore-led-by-sauce-vc/articleshow/133376365.cms" TargetMode="External" Id="rId2005"/><Relationship Type="http://schemas.openxmlformats.org/officeDocument/2006/relationships/hyperlink" Target="https://entrackr.com/snippets/neuromod-aqua-raises-pre-seed-funding-from-sportskeeda-founder-porush-jain-12397827" TargetMode="External" Id="rId2006"/><Relationship Type="http://schemas.openxmlformats.org/officeDocument/2006/relationships/hyperlink" Target="https://entrackr.com/snippets/babycare-quick-commerce-platform-peeko-raises-over-7-mn-led-by-chiratae-12397796" TargetMode="External" Id="rId2007"/><Relationship Type="http://schemas.openxmlformats.org/officeDocument/2006/relationships/hyperlink" Target="https://entrackr.com/snippets/all-in-capital-leads-pre-seed-round-in-healthcare-infrastructure-startup-tross-12398446" TargetMode="External" Id="rId2008"/><Relationship Type="http://schemas.openxmlformats.org/officeDocument/2006/relationships/hyperlink" Target="https://entrackr.com/snippets/sneaker-brand-zaydn-raises-681k-in-seed-round-led-by-ipv-12398676" TargetMode="External" Id="rId2009"/><Relationship Type="http://schemas.openxmlformats.org/officeDocument/2006/relationships/hyperlink" Target="https://entrackr.com/exclusive/exclusive-battery-smart-raises-195-mn-at-430-mn-valuation-12405811" TargetMode="External" Id="rId2010"/><Relationship Type="http://schemas.openxmlformats.org/officeDocument/2006/relationships/hyperlink" Target="https://inc42.com/buzz/from-navi-to-bookmyshow-indian-startups-raised-over-233-mn-this-week/" TargetMode="External" Id="rId2011"/><Relationship Type="http://schemas.openxmlformats.org/officeDocument/2006/relationships/hyperlink" Target="https://entrackr.com/analysis/a91-invests-rs-143-cr-in-atomberg-sells-rs-445-cr-stake-while-retaining-21-12413784" TargetMode="External" Id="rId2012"/><Relationship Type="http://schemas.openxmlformats.org/officeDocument/2006/relationships/hyperlink" Target="https://entrackr.com/news/d2c-skincare-brand-asaya-raises-rs-88-cr-from-rpsg-capital-otp-ventures-others-12425547" TargetMode="External" Id="rId2013"/><Relationship Type="http://schemas.openxmlformats.org/officeDocument/2006/relationships/hyperlink" Target="https://inc42.com/buzz/from-third-wave-coffee-to-matter-indian-startups-raised-over-210-mn-this-week/" TargetMode="External" Id="rId2014"/><Relationship Type="http://schemas.openxmlformats.org/officeDocument/2006/relationships/hyperlink" Target="https://entrackr.com/news/third-wave-coffee-raises-rs-408-cr-led-by-westbridge-12425559" TargetMode="External" Id="rId2015"/><Relationship Type="http://schemas.openxmlformats.org/officeDocument/2006/relationships/hyperlink" Target="https://entrackr.com/snippets/endiya-partners-leads-25-mn-seed-round-in-physical-ai-startup-water-12425820" TargetMode="External" Id="rId2016"/><Relationship Type="http://schemas.openxmlformats.org/officeDocument/2006/relationships/hyperlink" Target="https://entrackr.com/news/airbound-raises-37-mn-from-greenoaks-doordash-lachy-groom-and-others-12431939" TargetMode="External" Id="rId2017"/><Relationship Type="http://schemas.openxmlformats.org/officeDocument/2006/relationships/hyperlink" Target="https://entrackr.com/snippets/ian-angel-fund-leads-rs-125-cr-seed-round-in-climate-tech-startup-carbonstrong-12432364" TargetMode="External" Id="rId2018"/><Relationship Type="http://schemas.openxmlformats.org/officeDocument/2006/relationships/hyperlink" Target="https://inc42.com/buzz/from-third-wave-coffee-to-matter-indian-startups-raised-over-210-mn-this-week/" TargetMode="External" Id="rId2019"/><Relationship Type="http://schemas.openxmlformats.org/officeDocument/2006/relationships/hyperlink" Target="https://entrackr.com/news/electric-motorcycle-maker-matter-raises-25-mn-growth-round-12430180" TargetMode="External" Id="rId2020"/><Relationship Type="http://schemas.openxmlformats.org/officeDocument/2006/relationships/hyperlink" Target="https://inc42.com/buzz/from-third-wave-coffee-to-matter-indian-startups-raised-over-210-mn-this-week/" TargetMode="External" Id="rId2021"/><Relationship Type="http://schemas.openxmlformats.org/officeDocument/2006/relationships/hyperlink" Target="https://inc42.com/buzz/from-third-wave-coffee-to-matter-indian-startups-raised-over-210-mn-this-week/" TargetMode="External" Id="rId2022"/><Relationship Type="http://schemas.openxmlformats.org/officeDocument/2006/relationships/hyperlink" Target="https://entrackr.com/snippets/utsav-raises-rs-36-cr-in-series-a-led-by-atomic-capital-12431868" TargetMode="External" Id="rId2023"/><Relationship Type="http://schemas.openxmlformats.org/officeDocument/2006/relationships/hyperlink" Target="https://inc42.com/buzz/from-third-wave-coffee-to-matter-indian-startups-raised-over-210-mn-this-week/" TargetMode="External" Id="rId2024"/><Relationship Type="http://schemas.openxmlformats.org/officeDocument/2006/relationships/hyperlink" Target="https://entrackr.com/snippets/kitchen-and-lifestyle-brand-c&#252;raa-raises-rs-40-cr-in-series-a-led-by-3one4-capital-12436981" TargetMode="External" Id="rId2025"/><Relationship Type="http://schemas.openxmlformats.org/officeDocument/2006/relationships/hyperlink" Target="https://entrackr.com/news/voice-ai-startup-ringg-raises-10-mn-led-by-peak-xv-12435121" TargetMode="External" Id="rId2026"/><Relationship Type="http://schemas.openxmlformats.org/officeDocument/2006/relationships/hyperlink" Target="https://entrackr.com/news/agentic-ai-startup-runable-raises-21-mn-in-series-a-led-by-susquehanna-and-nexus-12440974" TargetMode="External" Id="rId2027"/><Relationship Type="http://schemas.openxmlformats.org/officeDocument/2006/relationships/hyperlink" Target="https://entrackr.com/snippets/tdv-partners-leads-250k-pre-seed-round-in-dog-care-platform-scoobys-club-12435096" TargetMode="External" Id="rId2028"/><Relationship Type="http://schemas.openxmlformats.org/officeDocument/2006/relationships/hyperlink" Target="https://entrackr.com/snippets/biryani-bees-raises-1-mn-from-vivek-oberoi-family-office-12442621" TargetMode="External" Id="rId2029"/><Relationship Type="http://schemas.openxmlformats.org/officeDocument/2006/relationships/hyperlink" Target="https://inc42.com/buzz/from-third-wave-coffee-to-matter-indian-startups-raised-over-210-mn-this-week/" TargetMode="External" Id="rId2030"/><Relationship Type="http://schemas.openxmlformats.org/officeDocument/2006/relationships/hyperlink" Target="https://entrackr.com/news/spacetech-startup-inspecity-raises-rs-100-cr-in-pre-series-a-round-12442264" TargetMode="External" Id="rId2031"/><Relationship Type="http://schemas.openxmlformats.org/officeDocument/2006/relationships/hyperlink" Target="https://entrackr.com/news/instaastro-raises-12-mn-in-series-a-round-12442163" TargetMode="External" Id="rId2032"/><Relationship Type="http://schemas.openxmlformats.org/officeDocument/2006/relationships/hyperlink" Target="https://entrackr.com/snippets/logistics-startup-oorjaa-raises-series-a-funding-led-by-equentis-angel-fund-12444247" TargetMode="External" Id="rId2033"/><Relationship Type="http://schemas.openxmlformats.org/officeDocument/2006/relationships/hyperlink" Target="https://entrackr.com/snippets/logistics-platform-trucksup-raises-82-mn-in-growth-round-12442109" TargetMode="External" Id="rId2034"/><Relationship Type="http://schemas.openxmlformats.org/officeDocument/2006/relationships/hyperlink" Target="https://inc42.com/buzz/from-third-wave-coffee-to-matter-indian-startups-raised-over-210-mn-this-week/" TargetMode="External" Id="rId2035"/><Relationship Type="http://schemas.openxmlformats.org/officeDocument/2006/relationships/hyperlink" Target="https://inc42.com/buzz/from-third-wave-coffee-to-matter-indian-startups-raised-over-210-mn-this-week/" TargetMode="External" Id="rId2036"/><Relationship Type="http://schemas.openxmlformats.org/officeDocument/2006/relationships/hyperlink" Target="https://inc42.com/buzz/from-ultrahuman-to-comet-indian-startups-raised-over-177-mn-this-week/" TargetMode="External" Id="rId2037"/><Relationship Type="http://schemas.openxmlformats.org/officeDocument/2006/relationships/hyperlink" Target="https://entrackr.com/news/groww-amc-closes-state-streets-rs-580-cr-strategic-investment-12458404" TargetMode="External" Id="rId2038"/><Relationship Type="http://schemas.openxmlformats.org/officeDocument/2006/relationships/hyperlink" Target="https://entrackr.com/snippets/info-edge-ventures-leads-rs-20-cr-series-a-round-in-yoga-clean-air-12458086" TargetMode="External" Id="rId2039"/><Relationship Type="http://schemas.openxmlformats.org/officeDocument/2006/relationships/hyperlink" Target="https://inc42.com/buzz/from-ultrahuman-to-comet-indian-startups-raised-over-177-mn-this-week/" TargetMode="External" Id="rId2040"/><Relationship Type="http://schemas.openxmlformats.org/officeDocument/2006/relationships/hyperlink" Target="https://entrackr.com/snippets/aeron-systems-raises-rs-45-cr-in-pre-series-b-round-12480196" TargetMode="External" Id="rId2041"/><Relationship Type="http://schemas.openxmlformats.org/officeDocument/2006/relationships/hyperlink" Target="https://entrackr.com/snippets/deep-tech-aerospace-startup-alteon-raises-25-mn-led-by-lachy-groom-12479389" TargetMode="External" Id="rId2042"/><Relationship Type="http://schemas.openxmlformats.org/officeDocument/2006/relationships/hyperlink" Target="https://entrackr.com/news/spacetech-startup-kepler-aerospace-raises-8-mn-in-seed-round-led-by-blue-ashva-capital-12478666" TargetMode="External" Id="rId2043"/><Relationship Type="http://schemas.openxmlformats.org/officeDocument/2006/relationships/hyperlink" Target="https://entrackr.com/snippets/rainmatter-leads-rs-30-cr-pre-series-a-round-in-minimac-systems-12479900" TargetMode="External" Id="rId2044"/><Relationship Type="http://schemas.openxmlformats.org/officeDocument/2006/relationships/hyperlink" Target="https://entrackr.com/snippets/oppex-ai-raises-rs-42-cr-in-pre-seed-round-led-by-info-edge-ventures-12480269" TargetMode="External" Id="rId2045"/><Relationship Type="http://schemas.openxmlformats.org/officeDocument/2006/relationships/hyperlink" Target="https://inc42.com/buzz/from-ultrahuman-to-comet-indian-startups-raised-over-177-mn-this-week/" TargetMode="External" Id="rId2046"/><Relationship Type="http://schemas.openxmlformats.org/officeDocument/2006/relationships/hyperlink" Target="https://economictimes.indiatimes.com/tech/funding/ultrahuman-raises-60-million-led-by-qualcomm-ventures-at-360-million-valuation/articleshow/133682809.cms" TargetMode="External" Id="rId2047"/><Relationship Type="http://schemas.openxmlformats.org/officeDocument/2006/relationships/hyperlink" Target="https://inc42.com/buzz/from-ultrahuman-to-comet-indian-startups-raised-over-177-mn-this-week/" TargetMode="External" Id="rId2048"/><Relationship Type="http://schemas.openxmlformats.org/officeDocument/2006/relationships/hyperlink" Target="https://inc42.com/buzz/from-ultrahuman-to-comet-indian-startups-raised-over-177-mn-this-week/" TargetMode="External" Id="rId2049"/><Relationship Type="http://schemas.openxmlformats.org/officeDocument/2006/relationships/hyperlink" Target="https://entrackr.com/news/battery-swapping-startup-yuma-energy-raises-35-mn-from-magna-international-12479183" TargetMode="External" Id="rId2050"/><Relationship Type="http://schemas.openxmlformats.org/officeDocument/2006/relationships/hyperlink" Target="https://entrackr.com/snippets/zenergize-raises-4-mn-in-pre-series-a-round-led-by-giraffe-studios-12478594" TargetMode="External" Id="rId2051"/><Relationship Type="http://schemas.openxmlformats.org/officeDocument/2006/relationships/hyperlink" Target="https://inc42.com/buzz/from-ultrahuman-to-comet-indian-startups-raised-over-177-mn-this-week/" TargetMode="External" Id="rId2052"/><Relationship Type="http://schemas.openxmlformats.org/officeDocument/2006/relationships/hyperlink" Target="https://entrackr.com/snippets/ai-content-creator-platform-creedom-raises-seed-round-12484133" TargetMode="External" Id="rId2053"/><Relationship Type="http://schemas.openxmlformats.org/officeDocument/2006/relationships/hyperlink" Target="https://entrackr.com/snippets/equentis-leads-2-mn-pre-series-a-round-in-docpharma-12482287" TargetMode="External" Id="rId2054"/><Relationship Type="http://schemas.openxmlformats.org/officeDocument/2006/relationships/hyperlink" Target="https://entrackr.com/snippets/bluehill-vc-leads-rs-102-cr-seed-round-in-makr-microsystems-12486807" TargetMode="External" Id="rId2055"/><Relationship Type="http://schemas.openxmlformats.org/officeDocument/2006/relationships/hyperlink" Target="https://entrackr.com/news/slice-raises-100-mn-at-450-mn-valuation-report-12488201" TargetMode="External" Id="rId2056"/><Relationship Type="http://schemas.openxmlformats.org/officeDocument/2006/relationships/hyperlink" Target="https://entrackr.com/snippets/abp-education-leads-seed-round-in-edtech-platform-yolearnai-12487249" TargetMode="External" Id="rId2057"/><Relationship Type="http://schemas.openxmlformats.org/officeDocument/2006/relationships/hyperlink" Target="https://entrackr.com/news/d2c-sneaker-brand-comet-raises-rs-100-cr-in-series-b-led-by-verlinvest-12493061" TargetMode="External" Id="rId2058"/><Relationship Type="http://schemas.openxmlformats.org/officeDocument/2006/relationships/hyperlink" Target="https://entrackr.com/snippets/trivest-partners-leads-2-mn-seed-round-in-power-electronics-startup-leanwatts-12489028" TargetMode="External" Id="rId2059"/><Relationship Type="http://schemas.openxmlformats.org/officeDocument/2006/relationships/hyperlink" Target="https://inc42.com/buzz/from-ultrahuman-to-comet-indian-startups-raised-over-177-mn-this-week/" TargetMode="External" Id="rId2060"/><Relationship Type="http://schemas.openxmlformats.org/officeDocument/2006/relationships/hyperlink" Target="https://entrackr.com/news/sugar-cosmetics-raises-rs-144-cr-at-rs-755-cr-valuation-early-investors-seek-steep-discount-exits-12493909" TargetMode="External" Id="rId2061"/><Relationship Type="http://schemas.openxmlformats.org/officeDocument/2006/relationships/hyperlink" Target="https://entrackr.com/exclusive/exclusive-damensch-raises-fresh-funding-at-flat-valuation-of-rs-600-cr-12501961" TargetMode="External" Id="rId2062"/><Relationship Type="http://schemas.openxmlformats.org/officeDocument/2006/relationships/hyperlink" Target="https://entrackr.com/news/herspace-secures-40-mn-from-existing-investor-gray-matters-capital-12502764" TargetMode="External" Id="rId2063"/><Relationship Type="http://schemas.openxmlformats.org/officeDocument/2006/relationships/hyperlink" Target="https://entrackr.com/snippets/pet-food-and-nutrition-brand-lickicious-raises-rs-19-cr-led-by-prath-ventures-12501283" TargetMode="External" Id="rId2064"/><Relationship Type="http://schemas.openxmlformats.org/officeDocument/2006/relationships/hyperlink" Target="https://entrackr.com/snippets/voice-ai-startup-navanaai-raises-rs-40-cr-led-by-ronnie-screwvala-12501888" TargetMode="External" Id="rId2065"/><Relationship Type="http://schemas.openxmlformats.org/officeDocument/2006/relationships/hyperlink" Target="https://entrackr.com/news/womens-wellness-brand-nua-raises-50-mn-led-by-peak-xv-filter-capital-12501195" TargetMode="External" Id="rId2066"/><Relationship Type="http://schemas.openxmlformats.org/officeDocument/2006/relationships/hyperlink" Target="https://entrackr.com/news/spactech-startup-pixxel-raises-100-mn-in-series-c-led-by-temasek-seraphim-12501095" TargetMode="External" Id="rId2067"/><Relationship Type="http://schemas.openxmlformats.org/officeDocument/2006/relationships/hyperlink" Target="https://entrackr.com/snippets/gaming-tech-startup-arc-raises-rs-105-cr-in-pre-seed-round-12506561" TargetMode="External" Id="rId2068"/><Relationship Type="http://schemas.openxmlformats.org/officeDocument/2006/relationships/hyperlink" Target="https://entrackr.com/snippets/circolife-raises-45-mn-in-pre-series-a-round-led-by-bharat-jaisinghani-12507089" TargetMode="External" Id="rId2069"/><Relationship Type="http://schemas.openxmlformats.org/officeDocument/2006/relationships/hyperlink" Target="https://entrackr.com/snippets/navam-capital-leads-rs-22-cr-round-in-digitalpaani-12507542" TargetMode="External" Id="rId2070"/><Relationship Type="http://schemas.openxmlformats.org/officeDocument/2006/relationships/hyperlink" Target="https://entrackr.com/snippets/b2b-pharma-distribution-startup-fundlyai-raises-4-mn-led-by-accel-multiply-12505458" TargetMode="External" Id="rId2071"/><Relationship Type="http://schemas.openxmlformats.org/officeDocument/2006/relationships/hyperlink" Target="https://entrackr.com/snippets/fabric-care-startup-iztri-raises-seed-round-led-by-all-in-capital-suashish-group-12506395" TargetMode="External" Id="rId2072"/><Relationship Type="http://schemas.openxmlformats.org/officeDocument/2006/relationships/hyperlink" Target="https://entrackr.com/snippets/beverage-brand-sorry-sugar-raises-1-mn-in-seed-round-12506729" TargetMode="External" Id="rId2073"/><Relationship Type="http://schemas.openxmlformats.org/officeDocument/2006/relationships/hyperlink" Target="https://inc42.com/buzz/from-pixxel-to-swish-indian-startups-raised-over-321-9-mn-this-week/" TargetMode="External" Id="rId2074"/><Relationship Type="http://schemas.openxmlformats.org/officeDocument/2006/relationships/hyperlink" Target="https://entrackr.com/snippets/fleet-management-platform-carrum-mobility-raises-10-mn-in-series-b-led-by-uber-12511605" TargetMode="External" Id="rId2075"/><Relationship Type="http://schemas.openxmlformats.org/officeDocument/2006/relationships/hyperlink" Target="https://entrackr.com/snippets/alco-bev-startup-marmalade-raises-seed-round-12508946" TargetMode="External" Id="rId2076"/><Relationship Type="http://schemas.openxmlformats.org/officeDocument/2006/relationships/hyperlink" Target="https://entrackr.com/news/deep-tech-cybersecurity-company-qnu-labs-raises-rs-200-cr-in-series-a1-round-12509199" TargetMode="External" Id="rId2077"/><Relationship Type="http://schemas.openxmlformats.org/officeDocument/2006/relationships/hyperlink" Target="https://entrackr.com/exclusive/exclusive-fashion-brand-theater-raises-series-a-at-rs-400-cr-valuation-12509223" TargetMode="External" Id="rId2078"/><Relationship Type="http://schemas.openxmlformats.org/officeDocument/2006/relationships/hyperlink" Target="https://entrackr.com/snippets/ai-contact-centre-startup-dialflo-raises-rs-17-cr-led-by-ajvc-12515938" TargetMode="External" Id="rId2079"/><Relationship Type="http://schemas.openxmlformats.org/officeDocument/2006/relationships/hyperlink" Target="https://entrackr.com/snippets/graph-ai-raises-133-mn-in-series-a-round-led-by-insight-partners-12516422" TargetMode="External" Id="rId2080"/><Relationship Type="http://schemas.openxmlformats.org/officeDocument/2006/relationships/hyperlink" Target="https://entrackr.com/news/cardless-payments-platform-piston-raises-15-mn-in-series-a-led-by-fpv-ventures-12516055" TargetMode="External" Id="rId2081"/><Relationship Type="http://schemas.openxmlformats.org/officeDocument/2006/relationships/hyperlink" Target="https://entrackr.com/news/10-minute-food-delivery-startup-swish-raises-24-mn-led-by-bertelsmann-india-investments-12513814" TargetMode="External" Id="rId2082"/><Relationship Type="http://schemas.openxmlformats.org/officeDocument/2006/relationships/hyperlink" Target="https://inc42.com/buzz/from-pixxel-to-swish-indian-startups-raised-over-321-9-mn-this-week/" TargetMode="External" Id="rId2083"/><Relationship Type="http://schemas.openxmlformats.org/officeDocument/2006/relationships/hyperlink" Target="https://entrackr.com/snippets/the-pizza-bakery-operator-popo-global-raises-rs-532-cr-from-artal-asia-12518089" TargetMode="External" Id="rId2084"/><Relationship Type="http://schemas.openxmlformats.org/officeDocument/2006/relationships/hyperlink" Target="https://inc42.com/buzz/from-pixxel-to-swish-indian-startups-raised-over-321-9-mn-this-week/" TargetMode="External" Id="rId2085"/><Relationship Type="http://schemas.openxmlformats.org/officeDocument/2006/relationships/hyperlink" Target="https://entrackr.com/exclusive/exclusive-fashion-startup-uniqyou-raises-seed-round-at-rs-64-cr-valuation-12530416" TargetMode="External" Id="rId2086"/><Relationship Type="http://schemas.openxmlformats.org/officeDocument/2006/relationships/hyperlink" Target="https://www.vccircle.com/grapevinense-lic-adia-speciale-invest-yali-capital-ultraviolette-others-in-news" TargetMode="External" Id="rId2087"/><Relationship Type="http://schemas.openxmlformats.org/officeDocument/2006/relationships/hyperlink" Target="https://economictimes.indiatimes.com/tech/funding/canadas-otpp-invests-another-40-million-in-darwinbox-sources/articleshow/134268168.cms" TargetMode="External" Id="rId2088"/><Relationship Type="http://schemas.openxmlformats.org/officeDocument/2006/relationships/hyperlink" Target="https://entrackr.com/news/ai-interactive-content-startup-flam-raises-40-mn-led-by-qed-investors-12534934" TargetMode="External" Id="rId2089"/><Relationship Type="http://schemas.openxmlformats.org/officeDocument/2006/relationships/hyperlink" Target="https://entrackr.com/snippets/beauty-quick-commerce-startup-firi-raises-3-mn-led-by-360-one-asset-12538816" TargetMode="External" Id="rId2090"/><Relationship Type="http://schemas.openxmlformats.org/officeDocument/2006/relationships/hyperlink" Target="https://entrackr.com/snippets/fashion-discovery-platform-slayd-raises-pre-seed-funding-led-by-ajvc-12538892" TargetMode="External" Id="rId2091"/><Relationship Type="http://schemas.openxmlformats.org/officeDocument/2006/relationships/hyperlink" Target="https://entrackr.com/snippets/zeropearl-vc-leads-rs-114-cr-seed-round-in-aesthetic-surgery-platform-true-artis-12540682" TargetMode="External" Id="rId2092"/><Relationship Type="http://schemas.openxmlformats.org/officeDocument/2006/relationships/hyperlink" Target="https://entrackr.com/snippets/semiconductor-verification-startup-verifaix-raises-5-mn-in-seed-round-12538970" TargetMode="External" Id="rId2093"/><Relationship Type="http://schemas.openxmlformats.org/officeDocument/2006/relationships/hyperlink" Target="https://entrackr.com/snippets/avaana-capital-leads-rs-43-cr-pre-series-a-round-in-deeptech-company-dheyatech-12544665" TargetMode="External" Id="rId2094"/><Relationship Type="http://schemas.openxmlformats.org/officeDocument/2006/relationships/hyperlink" Target="https://entrackr.com/snippets/laundry-and-home-cleaning-brand-ecosys-raises-rs-5-cr-in-pre-series-a-round-12544138" TargetMode="External" Id="rId2095"/><Relationship Type="http://schemas.openxmlformats.org/officeDocument/2006/relationships/hyperlink" Target="https://entrackr.com/snippets/enlight-metals-raises-15-mn-at-10-mn-valuation-from-exar-north-group-12543275" TargetMode="External" Id="rId2096"/><Relationship Type="http://schemas.openxmlformats.org/officeDocument/2006/relationships/hyperlink" Target="https://entrackr.com/snippets/info-edge-leads-rs-89-cr-seed-round-in-factrika-12544954" TargetMode="External" Id="rId2097"/><Relationship Type="http://schemas.openxmlformats.org/officeDocument/2006/relationships/hyperlink" Target="https://entrackr.com/snippets/baby-focused-quick-commerce-startup-kiddo-raises-rs-125-cr-led-by-campus-fund-12545586" TargetMode="External" Id="rId2098"/><Relationship Type="http://schemas.openxmlformats.org/officeDocument/2006/relationships/hyperlink" Target="https://entrackr.com/decoding/inside-yulus-series-c-funding-breakup-valuation-captable-12542887" TargetMode="External" Id="rId2099"/><Relationship Type="http://schemas.openxmlformats.org/officeDocument/2006/relationships/hyperlink" Target="https://inc42.com/buzz/from-flam-to-verifaix-indian-startups-raised-about-59-mn-this-week/" TargetMode="External" Id="rId2100"/><Relationship Type="http://schemas.openxmlformats.org/officeDocument/2006/relationships/hyperlink" Target="https://entrackr.com/exclusive/exclusive-jar-raises-small-fresh-funding-from-unitary-fund-12547515" TargetMode="External" Id="rId2101"/><Relationship Type="http://schemas.openxmlformats.org/officeDocument/2006/relationships/hyperlink" Target="https://entrackr.com/snippets/beauty-and-body-care-brand-moromaa-raises-rs-15-cr-from-aj-vc-for-9-stake-12547407" TargetMode="External" Id="rId2102"/><Relationship Type="http://schemas.openxmlformats.org/officeDocument/2006/relationships/hyperlink" Target="https://entrackr.com/snippets/physioplus-healthcare-raises-seed-round-at-800k-valuation-12547680" TargetMode="External" Id="rId2103"/><Relationship Type="http://schemas.openxmlformats.org/officeDocument/2006/relationships/hyperlink" Target="https://inc42.com/buzz/from-flam-to-verifaix-indian-startups-raised-about-59-mn-this-week/" TargetMode="External" Id="rId2104"/><Relationship Type="http://schemas.openxmlformats.org/officeDocument/2006/relationships/hyperlink" Target="https://entrackr.com/exclusive/exclusive-disha-formerly-curelink-raises-series-a-led-by-general-catalyst-12551971" TargetMode="External" Id="rId2105"/><Relationship Type="http://schemas.openxmlformats.org/officeDocument/2006/relationships/hyperlink" Target="https://entrackr.com/exclusive/exclusive-drivns-indian-entity-raises-rs-45-cr-from-avaana-capital-12559250" TargetMode="External" Id="rId2106"/><Relationship Type="http://schemas.openxmlformats.org/officeDocument/2006/relationships/hyperlink" Target="https://entrackr.com/snippets/fintech-and-brokerage-startup-definedge-raises-rs-22-cr-in-pre-series-a-12562400" TargetMode="External" Id="rId2107"/><Relationship Type="http://schemas.openxmlformats.org/officeDocument/2006/relationships/hyperlink" Target="https://entrackr.com/snippets/lumikai-leads-600k-pre-seed-round-in-demoverse-12562408" TargetMode="External" Id="rId2108"/><Relationship Type="http://schemas.openxmlformats.org/officeDocument/2006/relationships/hyperlink" Target="https://entrackr.com/news/protein-pantry-raises-rs-9-cr-in-seed-round-led-by-sharrp-ventures-12562391" TargetMode="External" Id="rId2109"/><Relationship Type="http://schemas.openxmlformats.org/officeDocument/2006/relationships/hyperlink" Target="https://entrackr.com/snippets/proactive-ai-startup-sol-raises-4-mn-from-general-catalyst-nexus-vp-and-others-12565411" TargetMode="External" Id="rId2110"/><Relationship Type="http://schemas.openxmlformats.org/officeDocument/2006/relationships/hyperlink" Target="https://inc42.com/buzz/from-ultraviolette-automotive-to-galaxeye-indian-startups-raised-over-203-mn-this-week/" TargetMode="External" Id="rId2111"/><Relationship Type="http://schemas.openxmlformats.org/officeDocument/2006/relationships/hyperlink" Target="https://entrackr.com/snippets/sauce-leads-seed-round-in-preventive-pain-care-brand-betterhood-12567909" TargetMode="External" Id="rId2112"/><Relationship Type="http://schemas.openxmlformats.org/officeDocument/2006/relationships/hyperlink" Target="https://entrackr.com/snippets/d2c-streetwear-brand-indian-walker-raises-pre-seed-round-at-rs-20-cr-post-money-valuation-12565349" TargetMode="External" Id="rId2113"/><Relationship Type="http://schemas.openxmlformats.org/officeDocument/2006/relationships/hyperlink" Target="https://entrackr.com/exclusive/exclusive-rioai-raises-rs-43-cr-in-pre-series-a-led-by-version-one-ventures-12566460" TargetMode="External" Id="rId2114"/><Relationship Type="http://schemas.openxmlformats.org/officeDocument/2006/relationships/hyperlink" Target="https://inc42.com/buzz/from-ultraviolette-automotive-to-galaxeye-indian-startups-raised-over-203-mn-this-week/" TargetMode="External" Id="rId2115"/><Relationship Type="http://schemas.openxmlformats.org/officeDocument/2006/relationships/hyperlink" Target="https://entrackr.com/snippets/on-demand-convenience-platform-timbuckdo-raises-bridge-round-at-rs-150-cr-valuation-12568862" TargetMode="External" Id="rId2116"/><Relationship Type="http://schemas.openxmlformats.org/officeDocument/2006/relationships/hyperlink" Target="https://economictimes.indiatimes.com/tech/funding/d2c-silver-jewellery-brand-unniyarcha-raises-rs-10-crore-led-by-sauce-vc/articleshow/134441029.cms" TargetMode="External" Id="rId2117"/><Relationship Type="http://schemas.openxmlformats.org/officeDocument/2006/relationships/hyperlink" Target="https://economictimes.indiatimes.com/tech/funding/enterprise-ai-startup-ema-raises-77-million-led-by-creaegis/articleshow/134441820.cms" TargetMode="External" Id="rId2118"/><Relationship Type="http://schemas.openxmlformats.org/officeDocument/2006/relationships/hyperlink" Target="https://entrackr.com/snippets/y-combinator-leads-1-mn-pre-seed-round-in-byteask-12568747" TargetMode="External" Id="rId2119"/><Relationship Type="http://schemas.openxmlformats.org/officeDocument/2006/relationships/hyperlink" Target="https://economictimes.indiatimes.com/tech/funding/dextr-ai-raises-6-7-million-led-by-elevation-capital-to-build-ai-workforce-for-hospitality/articleshow/134466274.cms" TargetMode="External" Id="rId2120"/><Relationship Type="http://schemas.openxmlformats.org/officeDocument/2006/relationships/hyperlink" Target="https://entrackr.com/snippets/myrx-raises-seed-round-led-by-steerx-vc-to-expand-primary-healthcare-infrastructure-12571606" TargetMode="External" Id="rId2121"/><Relationship Type="http://schemas.openxmlformats.org/officeDocument/2006/relationships/hyperlink" Target="https://inc42.com/buzz/from-ultraviolette-automotive-to-galaxeye-indian-startups-raised-over-203-mn-this-week/" TargetMode="External" Id="rId2122"/><Relationship Type="http://schemas.openxmlformats.org/officeDocument/2006/relationships/hyperlink" Target="https://entrackr.com/snippets/lab-grown-diamond-jewellery-brand-onya-raises-rs-125-crore-in-pre-series-a-round-12571229" TargetMode="External" Id="rId2123"/><Relationship Type="http://schemas.openxmlformats.org/officeDocument/2006/relationships/hyperlink" Target="https://inc42.com/buzz/from-ultraviolette-automotive-to-galaxeye-indian-startups-raised-over-203-mn-this-week/" TargetMode="External" Id="rId2124"/><Relationship Type="http://schemas.openxmlformats.org/officeDocument/2006/relationships/hyperlink" Target="https://inc42.com/buzz/from-ultraviolette-automotive-to-galaxeye-indian-startups-raised-over-203-mn-this-week/" TargetMode="External" Id="rId2125"/><Relationship Type="http://schemas.openxmlformats.org/officeDocument/2006/relationships/hyperlink" Target="https://inc42.com/buzz/from-ultraviolette-automotive-to-galaxeye-indian-startups-raised-over-203-mn-this-week/" TargetMode="External" Id="rId2126"/><Relationship Type="http://schemas.openxmlformats.org/officeDocument/2006/relationships/hyperlink" Target="https://inc42.com/buzz/from-ultraviolette-automotive-to-galaxeye-indian-startups-raised-over-203-mn-this-week/" TargetMode="External" Id="rId2127"/><Relationship Type="http://schemas.openxmlformats.org/officeDocument/2006/relationships/hyperlink" Target="https://entrackr.com/snippets/alive-app-raises-1-mn-from-powerhouse-flipkart-ventures-12583861" TargetMode="External" Id="rId2128"/><Relationship Type="http://schemas.openxmlformats.org/officeDocument/2006/relationships/hyperlink" Target="https://entrackr.com/snippets/beauty-and-wellness-startup-amaani-raises-5-mn-led-by-beco-capital-12583526" TargetMode="External" Id="rId2129"/><Relationship Type="http://schemas.openxmlformats.org/officeDocument/2006/relationships/hyperlink" Target="https://inc42.com/buzz/from-simple-energy-to-arivihan-indian-startups-raised-over-233-mn-this-week/" TargetMode="External" Id="rId2130"/><Relationship Type="http://schemas.openxmlformats.org/officeDocument/2006/relationships/hyperlink" Target="https://entrackr.com/news/agricultural-machinery-company-balwaan-krishi-raises-rs-100-cr-in-series-b-round-12584408" TargetMode="External" Id="rId2131"/><Relationship Type="http://schemas.openxmlformats.org/officeDocument/2006/relationships/hyperlink" Target="https://inc42.com/buzz/from-simple-energy-to-arivihan-indian-startups-raised-over-233-mn-this-week/" TargetMode="External" Id="rId2132"/><Relationship Type="http://schemas.openxmlformats.org/officeDocument/2006/relationships/hyperlink" Target="https://inc42.com/buzz/from-simple-energy-to-arivihan-indian-startups-raised-over-233-mn-this-week/" TargetMode="External" Id="rId2133"/><Relationship Type="http://schemas.openxmlformats.org/officeDocument/2006/relationships/hyperlink" Target="https://entrackr.com/news/physical-ai-company-simaai-raises-150-mn-in-series-c-round-12587904" TargetMode="External" Id="rId2134"/><Relationship Type="http://schemas.openxmlformats.org/officeDocument/2006/relationships/hyperlink" Target="https://entrackr.com/snippets/bharat-housing-network-raises-5-mn-from-symbiotics-12589182" TargetMode="External" Id="rId2135"/><Relationship Type="http://schemas.openxmlformats.org/officeDocument/2006/relationships/hyperlink" Target="https://inc42.com/buzz/from-simple-energy-to-arivihan-indian-startups-raised-over-233-mn-this-week/" TargetMode="External" Id="rId2136"/><Relationship Type="http://schemas.openxmlformats.org/officeDocument/2006/relationships/hyperlink" Target="https://entrackr.com/snippets/aman-gupta-invests-in-former-boat-executives-startup-fig-living-12589495" TargetMode="External" Id="rId2137"/><Relationship Type="http://schemas.openxmlformats.org/officeDocument/2006/relationships/hyperlink" Target="https://entrackr.com/news/edtech-startup-arivihan-raises-10-mn-in-series-a-led-by-accel-and-prosus-12592500" TargetMode="External" Id="rId2138"/><Relationship Type="http://schemas.openxmlformats.org/officeDocument/2006/relationships/hyperlink" Target="https://entrackr.com/exclusive/exclusive-blitz-kicks-off-pre-series-b-round-at-25x-valuation-premium-12592668" TargetMode="External" Id="rId2139"/><Relationship Type="http://schemas.openxmlformats.org/officeDocument/2006/relationships/hyperlink" Target="https://entrackr.com/snippets/edt-raises-24-mn-in-pre-series-a-round-led-by-sauce-enters-beauty-tech-12592472" TargetMode="External" Id="rId2140"/><Relationship Type="http://schemas.openxmlformats.org/officeDocument/2006/relationships/hyperlink" Target="https://entrackr.com/news/former-livspace-executives-startup-gravity-raises-15-mn-led-by-info-edge-ventures-and-3one4-capital-12593710" TargetMode="External" Id="rId2141"/><Relationship Type="http://schemas.openxmlformats.org/officeDocument/2006/relationships/hyperlink" Target="https://entrackr.com/snippets/nkn-media-raises-408-mn-at-8169-mn-valuation-12613858" TargetMode="External" Id="rId2142"/><Relationship Type="http://schemas.openxmlformats.org/officeDocument/2006/relationships/hyperlink" Target="https://entrackr.com/news/ev-startup-simple-energy-raises-182-mn-in-series-c-round-12593947" TargetMode="External" Id="rId2143"/><Relationship Type="http://schemas.openxmlformats.org/officeDocument/2006/relationships/hyperlink" Target="https://entrackr.com/snippets/longevity-startup-vytalyou-raises-rs-9-cr-in-pre-series-a-round-12593640" TargetMode="External" Id="rId2144"/><Relationship Type="http://schemas.openxmlformats.org/officeDocument/2006/relationships/hyperlink" Target="https://entrackr.com/snippets/antler-nikhil-kamath-back-healthtech-startup-aignosis-with-rs-4-cr-seed-round-12611813" TargetMode="External" Id="rId2145"/><Relationship Type="http://schemas.openxmlformats.org/officeDocument/2006/relationships/hyperlink" Target="https://entrackr.com/snippets/bangalore-watch-company-raises-14-mn-in-seed-round-from-customers-family-office-hnis-12611688" TargetMode="External" Id="rId2146"/><Relationship Type="http://schemas.openxmlformats.org/officeDocument/2006/relationships/hyperlink" Target="https://entrackr.com/news/seeds-fincap-raises-rs-100-cr-in-series-b-led-by-michael-susan-dell-foundation-12611889" TargetMode="External" Id="rId2147"/><Relationship Type="http://schemas.openxmlformats.org/officeDocument/2006/relationships/hyperlink" Target="https://entrackr.com/snippets/unveilr-ai-raises-pre-seed-round-from-ajvc-at-rs-167-cr-valuation-12611816" TargetMode="External" Id="rId2148"/><Relationship Type="http://schemas.openxmlformats.org/officeDocument/2006/relationships/hyperlink" Target="https://entrackr.com/snippets/ipv-leads-rs-7-cr-seed-round-in-cybersecurity-startup-zaperon-12612485" TargetMode="External" Id="rId2149"/><Relationship Type="http://schemas.openxmlformats.org/officeDocument/2006/relationships/hyperlink" Target="https://entrackr.com/exclusive/exclusive-qpiai-raises-rs-50-cr-in-debt-from-innoven-capital-12625901" TargetMode="External" Id="rId2150"/><Relationship Type="http://schemas.openxmlformats.org/officeDocument/2006/relationships/hyperlink" Target="https://entrackr.com/snippets/sales-hiring-startup-scooter-raises-rs-15-cr-pre-seed-round-12624249" TargetMode="External" Id="rId2151"/><Relationship Type="http://schemas.openxmlformats.org/officeDocument/2006/relationships/hyperlink" Target="https://entrackr.com/news/fireside-leads-rs-110-cr-series-b-round-in-beyond-appliances-12627573" TargetMode="External" Id="rId2152"/><Relationship Type="http://schemas.openxmlformats.org/officeDocument/2006/relationships/hyperlink" Target="https://entrackr.com/snippets/medical-tourism-startup-curemeabroad-raises-11-mn-in-pre-seed-funding-12628366" TargetMode="External" Id="rId2153"/><Relationship Type="http://schemas.openxmlformats.org/officeDocument/2006/relationships/hyperlink" Target="https://entrackr.com/snippets/curvetai-raises-rs-6-cr-pre-seed-round-led-by-merak-ventures-12627784" TargetMode="External" Id="rId2154"/><Relationship Type="http://schemas.openxmlformats.org/officeDocument/2006/relationships/hyperlink" Target="https://entrackr.com/snippets/ian-angel-fund-leads-rs-5-cr-round-in-deeptech-textile-startup-indigotex-12628381" TargetMode="External" Id="rId2155"/><Relationship Type="http://schemas.openxmlformats.org/officeDocument/2006/relationships/hyperlink" Target="https://entrackr.com/snippets/kinetic-age-raises-250k-from-ajvc-agrasar-ventures-12627734" TargetMode="External" Id="rId2156"/><Relationship Type="http://schemas.openxmlformats.org/officeDocument/2006/relationships/hyperlink" Target="https://entrackr.com/snippets/sauce-leads-rs-15-cr-funding-round-in-kitchen-and-bathroom-brand-lorazzo-12628801" TargetMode="External" Id="rId2157"/><Relationship Type="http://schemas.openxmlformats.org/officeDocument/2006/relationships/hyperlink" Target="https://entrackr.com/snippets/refurbished-electronics-platform-refit-global-raises-1-mn-in-seed-round-12627826" TargetMode="External" Id="rId2158"/><Relationship Type="http://schemas.openxmlformats.org/officeDocument/2006/relationships/hyperlink" Target="https://inc42.com/buzz/from-dailyobjects-to-stockgro-indian-startups-raised-about-123-mn-this-week/" TargetMode="External" Id="rId2159"/><Relationship Type="http://schemas.openxmlformats.org/officeDocument/2006/relationships/hyperlink" Target="https://inc42.com/buzz/from-dailyobjects-to-stockgro-indian-startups-raised-about-123-mn-this-week/" TargetMode="External" Id="rId2160"/><Relationship Type="http://schemas.openxmlformats.org/officeDocument/2006/relationships/hyperlink" Target="https://entrackr.com/snippets/edtech-startup-bytexl-raises-9-mn-in-funding-round-led-by-elevar-equity-12632385" TargetMode="External" Id="rId2161"/><Relationship Type="http://schemas.openxmlformats.org/officeDocument/2006/relationships/hyperlink" Target="https://entrackr.com/snippets/tanglin-venture-leads-rs-161-cr-seed-round-in-debt-resolution-platform-credfix-12633304" TargetMode="External" Id="rId2162"/><Relationship Type="http://schemas.openxmlformats.org/officeDocument/2006/relationships/hyperlink" Target="https://entrackr.com/snippets/agentic-ai-startup-desibleai-raises-rs-32-cr-led-by-prime-venture-partners-12632530" TargetMode="External" Id="rId2163"/><Relationship Type="http://schemas.openxmlformats.org/officeDocument/2006/relationships/hyperlink" Target="https://economictimes.indiatimes.com/tech/startups/garuda-aerospace-lands-10-million-pre-ipo-funding-at-320-million-valuation/articleshow/134746224.cms" TargetMode="External" Id="rId2164"/><Relationship Type="http://schemas.openxmlformats.org/officeDocument/2006/relationships/hyperlink" Target="https://entrackr.com/snippets/energy-management-platform-ionage-raises-13-mn-in-pre-series-a-round-12633801" TargetMode="External" Id="rId2165"/><Relationship Type="http://schemas.openxmlformats.org/officeDocument/2006/relationships/hyperlink" Target="https://inc42.com/buzz/from-dailyobjects-to-stockgro-indian-startups-raised-about-123-mn-this-week/" TargetMode="External" Id="rId2166"/><Relationship Type="http://schemas.openxmlformats.org/officeDocument/2006/relationships/hyperlink" Target="https://entrackr.com/news/chiratae-ventures-leads-10-mn-round-in-photonic-quantum-startup-quanfluence-12631530" TargetMode="External" Id="rId2167"/><Relationship Type="http://schemas.openxmlformats.org/officeDocument/2006/relationships/hyperlink" Target="https://entrackr.com/snippets/med-tech-startup-sunfox-technologies-raises-7-mn-in-series-a-round-12633059" TargetMode="External" Id="rId2168"/><Relationship Type="http://schemas.openxmlformats.org/officeDocument/2006/relationships/hyperlink" Target="https://entrackr.com/snippets/pizza-brand-the-dough-therapy-raises-rs-525-cr-in-seed-round-12634056" TargetMode="External" Id="rId2169"/><Relationship Type="http://schemas.openxmlformats.org/officeDocument/2006/relationships/hyperlink" Target="https://entrackr.com/snippets/zomint-raises-rs-36-cr-seed-round-from-lightspeed-and-prime-venture-partners-12631666" TargetMode="External" Id="rId2170"/><Relationship Type="http://schemas.openxmlformats.org/officeDocument/2006/relationships/hyperlink" Target="https://entrackr.com/news/dailyobjects-raises-rs-332-cr-in-series-c-round-led-by-xponentia-anicut-axiom-asia-12638318" TargetMode="External" Id="rId2171"/><Relationship Type="http://schemas.openxmlformats.org/officeDocument/2006/relationships/hyperlink" Target="https://entrackr.com/snippets/pet-food-startup-tailblaze-longevity-raises-pre-seed-funding-12637360" TargetMode="External" Id="rId2172"/><Relationship Type="http://schemas.openxmlformats.org/officeDocument/2006/relationships/hyperlink" Target="https://entrackr.com/snippets/lab-grown-diamond-brand-zinara-raises-pre-seed-funding-led-by-inflection-point-ventures-12636439" TargetMode="External" Id="rId2173"/><Relationship Type="http://schemas.openxmlformats.org/officeDocument/2006/relationships/hyperlink" Target="https://entrackr.com/exclusive/exclusive-gramiyaa-raises-fresh-capital-in-series-a-round-at-rs-110-cr-valuation-12658745" TargetMode="External" Id="rId2174"/><Relationship Type="http://schemas.openxmlformats.org/officeDocument/2006/relationships/hyperlink" Target="https://inc42.com/buzz/from-dailyobjects-to-stockgro-indian-startups-raised-about-123-mn-this-week/" TargetMode="External" Id="rId2175"/><Relationship Type="http://schemas.openxmlformats.org/officeDocument/2006/relationships/hyperlink" Target="https://inc42.com/buzz/from-dailyobjects-to-stockgro-indian-startups-raised-about-123-mn-this-week/" TargetMode="External" Id="rId2176"/><Relationship Type="http://schemas.openxmlformats.org/officeDocument/2006/relationships/hyperlink" Target="https://entrackr.com/news/msme-focused-digital-lender-neogrowth-raises-rs-85-cr-from-fmo-leapfrog-12658698" TargetMode="External" Id="rId2177"/><Relationship Type="http://schemas.openxmlformats.org/officeDocument/2006/relationships/hyperlink" Target="https://economictimes.indiatimes.com/tech/startups/ayurveda-focused-d2c-startup-nat-habit-raises-rs-142-crore-led-by-trident-growth-partners/articleshow/134855727.cms" TargetMode="External" Id="rId2178"/><Relationship Type="http://schemas.openxmlformats.org/officeDocument/2006/relationships/table" Target="/xl/tables/table1.xml" Id="rId2179"/></Relationships>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_rels/sheet4.xml.rels><Relationships xmlns="http://schemas.openxmlformats.org/package/2006/relationships"><Relationship Type="http://schemas.openxmlformats.org/officeDocument/2006/relationships/pivotTable" Target="/xl/pivotTables/pivotTable2.xml" Id="rId1"/></Relationships>
</file>

<file path=xl/worksheets/_rels/sheet5.xml.rels><Relationships xmlns="http://schemas.openxmlformats.org/package/2006/relationships"><Relationship Type="http://schemas.openxmlformats.org/officeDocument/2006/relationships/pivotTable" Target="/xl/pivotTables/pivotTable3.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R59"/>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India Startup Funding Tracker</t>
        </is>
      </c>
    </row>
    <row r="2">
      <c r="A2" s="2" t="inlineStr">
        <is>
          <t>Rounds announced 02 Jan 2025 to 10 Oct 2026, cross-checked across Entrackr, Inc42, The Economic Times, VCCircle. Built 11 Oct 2026.</t>
        </is>
      </c>
    </row>
    <row r="4" ht="18" customHeight="1">
      <c r="A4" s="3" t="inlineStr">
        <is>
          <t>Rounds tracked</t>
        </is>
      </c>
      <c r="B4" s="4" t="n"/>
      <c r="C4" s="4" t="n"/>
      <c r="D4" s="3" t="inlineStr">
        <is>
          <t>Disclosed funding, USD bn</t>
        </is>
      </c>
      <c r="E4" s="4" t="n"/>
      <c r="F4" s="4" t="n"/>
      <c r="G4" s="3" t="inlineStr">
        <is>
          <t>Median round, USD mn</t>
        </is>
      </c>
      <c r="H4" s="4" t="n"/>
      <c r="I4" s="4" t="n"/>
      <c r="J4" s="3" t="inlineStr">
        <is>
          <t>Source reports matched</t>
        </is>
      </c>
      <c r="K4" s="4" t="n"/>
      <c r="L4" s="4" t="n"/>
      <c r="M4" s="3" t="inlineStr">
        <is>
          <t>Duplicate reports merged</t>
        </is>
      </c>
      <c r="N4" s="4" t="n"/>
      <c r="O4" s="4" t="n"/>
      <c r="P4" s="3" t="inlineStr">
        <is>
          <t>Amount disagreements over 10%</t>
        </is>
      </c>
      <c r="Q4" s="4" t="n"/>
      <c r="R4" s="4" t="n"/>
    </row>
    <row r="5" ht="34" customHeight="1">
      <c r="A5" s="5">
        <f>COUNTA(Rounds!$A$2:$A$2179)</f>
        <v>2178</v>
      </c>
      <c r="B5" s="4" t="n"/>
      <c r="C5" s="4" t="n"/>
      <c r="D5" s="6">
        <f>SUM(Rounds!$E$2:$E$2179)/1000</f>
        <v>28.468859</v>
      </c>
      <c r="E5" s="4" t="n"/>
      <c r="F5" s="4" t="n"/>
      <c r="G5" s="6">
        <f>MEDIAN(Rounds!$E$2:$E$2179)</f>
        <v>3.5</v>
      </c>
      <c r="H5" s="4" t="n"/>
      <c r="I5" s="4" t="n"/>
      <c r="J5" s="5">
        <f>COUNTA(Reports!$A$5:$A$4463)</f>
        <v>4459</v>
      </c>
      <c r="K5" s="4" t="n"/>
      <c r="L5" s="4" t="n"/>
      <c r="M5" s="5">
        <f>J5-A5</f>
        <v>2281</v>
      </c>
      <c r="N5" s="4" t="n"/>
      <c r="O5" s="4" t="n"/>
      <c r="P5" s="5">
        <f>COUNTIF(Rounds!$P$2:$P$2179,"&gt;10")</f>
        <v>68</v>
      </c>
      <c r="Q5" s="4" t="n"/>
      <c r="R5" s="4" t="n"/>
    </row>
    <row r="6" ht="18" customHeight="1">
      <c r="A6" s="7" t="inlineStr">
        <is>
          <t>70% confirmed by 2+ sources</t>
        </is>
      </c>
      <c r="B6" s="4" t="n"/>
      <c r="C6" s="4" t="n"/>
      <c r="D6" s="7" t="inlineStr">
        <is>
          <t>2,013 rounds disclosed an amount</t>
        </is>
      </c>
      <c r="E6" s="4" t="n"/>
      <c r="F6" s="4" t="n"/>
      <c r="G6" s="7" t="inlineStr">
        <is>
          <t>half of disclosed rounds are smaller</t>
        </is>
      </c>
      <c r="H6" s="4" t="n"/>
      <c r="I6" s="4" t="n"/>
      <c r="J6" s="7" t="inlineStr">
        <is>
          <t>articles, table rows and headlines</t>
        </is>
      </c>
      <c r="K6" s="4" t="n"/>
      <c r="L6" s="4" t="n"/>
      <c r="M6" s="7" t="inlineStr">
        <is>
          <t>228 needed name matching</t>
        </is>
      </c>
      <c r="N6" s="4" t="n"/>
      <c r="O6" s="4" t="n"/>
      <c r="P6" s="7" t="inlineStr">
        <is>
          <t>rounds where sources differ</t>
        </is>
      </c>
      <c r="Q6" s="4" t="n"/>
      <c r="R6" s="4" t="n"/>
    </row>
    <row r="23">
      <c r="A23" s="8" t="inlineStr">
        <is>
          <t>The last month shown is partial: data runs to 10 Oct 2026.</t>
        </is>
      </c>
    </row>
    <row r="46">
      <c r="A46" s="9" t="inlineStr">
        <is>
          <t>Look up a round</t>
        </is>
      </c>
    </row>
    <row r="47">
      <c r="A47" t="inlineStr">
        <is>
          <t>Round ID</t>
        </is>
      </c>
      <c r="C47" s="10" t="inlineStr">
        <is>
          <t>R261010-nathabit</t>
        </is>
      </c>
      <c r="D47" s="11" t="n"/>
      <c r="E47" s="12" t="n"/>
      <c r="F47" s="8" t="inlineStr">
        <is>
          <t>pick an ID from the list, or paste one from the Rounds sheet</t>
        </is>
      </c>
    </row>
    <row r="48">
      <c r="A48" s="13" t="inlineStr">
        <is>
          <t>Company</t>
        </is>
      </c>
      <c r="C48" s="14" t="str">
        <f>IFERROR(IF(INDEX(Rounds!$B$2:$B$2179,MATCH($C$47,Rounds!$A$2:$A$2179,0))="","",INDEX(Rounds!$B$2:$B$2179,MATCH($C$47,Rounds!$A$2:$A$2179,0))),"not found")</f>
        <v>Nat Habit</v>
      </c>
    </row>
    <row r="49">
      <c r="A49" s="13" t="inlineStr">
        <is>
          <t>Announced</t>
        </is>
      </c>
      <c r="C49" s="15">
        <f>IFERROR(IF(INDEX(Rounds!$C$2:$C$2179,MATCH($C$47,Rounds!$A$2:$A$2179,0))="","",INDEX(Rounds!$C$2:$C$2179,MATCH($C$47,Rounds!$A$2:$A$2179,0))),"not found")</f>
        <v>46305</v>
      </c>
    </row>
    <row r="50">
      <c r="A50" s="13" t="inlineStr">
        <is>
          <t>Amount (USD mn)</t>
        </is>
      </c>
      <c r="C50" s="16">
        <f>IFERROR(IF(INDEX(Rounds!$E$2:$E$2179,MATCH($C$47,Rounds!$A$2:$A$2179,0))="","",INDEX(Rounds!$E$2:$E$2179,MATCH($C$47,Rounds!$A$2:$A$2179,0))),"not found")</f>
        <v>14.68</v>
      </c>
    </row>
    <row r="51">
      <c r="A51" s="13" t="inlineStr">
        <is>
          <t>As reported</t>
        </is>
      </c>
      <c r="C51" s="14" t="str">
        <f>IFERROR(IF(INDEX(Rounds!$G$2:$G$2179,MATCH($C$47,Rounds!$A$2:$A$2179,0))="","",INDEX(Rounds!$G$2:$G$2179,MATCH($C$47,Rounds!$A$2:$A$2179,0))),"not found")</f>
        <v>Rs 142 crore</v>
      </c>
    </row>
    <row r="52">
      <c r="A52" s="13" t="inlineStr">
        <is>
          <t>Stage</t>
        </is>
      </c>
      <c r="C52" s="14" t="str">
        <f>IFERROR(IF(INDEX(Rounds!$H$2:$H$2179,MATCH($C$47,Rounds!$A$2:$A$2179,0))="","",INDEX(Rounds!$H$2:$H$2179,MATCH($C$47,Rounds!$A$2:$A$2179,0))),"not found")</f>
        <v>Undisclosed</v>
      </c>
    </row>
    <row r="53">
      <c r="A53" s="13" t="inlineStr">
        <is>
          <t>Sector</t>
        </is>
      </c>
      <c r="C53" s="14" t="str">
        <f>IFERROR(IF(INDEX(Rounds!$J$2:$J$2179,MATCH($C$47,Rounds!$A$2:$A$2179,0))="","",INDEX(Rounds!$J$2:$J$2179,MATCH($C$47,Rounds!$A$2:$A$2179,0))),"not found")</f>
        <v>Ecommerce</v>
      </c>
    </row>
    <row r="54">
      <c r="A54" s="13" t="inlineStr">
        <is>
          <t>City</t>
        </is>
      </c>
      <c r="C54" s="14" t="str">
        <f>IFERROR(IF(INDEX(Rounds!$K$2:$K$2179,MATCH($C$47,Rounds!$A$2:$A$2179,0))="","",INDEX(Rounds!$K$2:$K$2179,MATCH($C$47,Rounds!$A$2:$A$2179,0))),"not found")</f>
        <v>Unknown</v>
      </c>
    </row>
    <row r="55">
      <c r="A55" s="13" t="inlineStr">
        <is>
          <t>Lead investors</t>
        </is>
      </c>
      <c r="C55" s="14" t="str">
        <f>IFERROR(IF(INDEX(Rounds!$L$2:$L$2179,MATCH($C$47,Rounds!$A$2:$A$2179,0))="","",INDEX(Rounds!$L$2:$L$2179,MATCH($C$47,Rounds!$A$2:$A$2179,0))),"not found")</f>
        <v>Trident Growth Partners</v>
      </c>
    </row>
    <row r="56">
      <c r="A56" s="13" t="inlineStr">
        <is>
          <t>Sources</t>
        </is>
      </c>
      <c r="C56" s="14" t="str">
        <f>IFERROR(IF(INDEX(Rounds!$N$2:$N$2179,MATCH($C$47,Rounds!$A$2:$A$2179,0))="","",INDEX(Rounds!$N$2:$N$2179,MATCH($C$47,Rounds!$A$2:$A$2179,0))),"not found")</f>
        <v>et</v>
      </c>
    </row>
    <row r="57">
      <c r="A57" s="13" t="inlineStr">
        <is>
          <t>Flags</t>
        </is>
      </c>
      <c r="C57" s="14" t="str">
        <f>IFERROR(IF(INDEX(Rounds!$Q$2:$Q$2179,MATCH($C$47,Rounds!$A$2:$A$2179,0))="","",INDEX(Rounds!$Q$2:$Q$2179,MATCH($C$47,Rounds!$A$2:$A$2179,0))),"not found")</f>
        <v>C04 C07</v>
      </c>
    </row>
    <row r="59">
      <c r="A59" s="8" t="inlineStr">
        <is>
          <t>Flags are check IDs from the Checks sheet. PivotTables are on the By Sector, By Stage and By City sheets and refresh when the file opens.</t>
        </is>
      </c>
    </row>
  </sheetData>
  <mergeCells count="19">
    <mergeCell ref="J6:L6"/>
    <mergeCell ref="G6:I6"/>
    <mergeCell ref="J4:L4"/>
    <mergeCell ref="M6:O6"/>
    <mergeCell ref="A5:C5"/>
    <mergeCell ref="G5:I5"/>
    <mergeCell ref="D4:F4"/>
    <mergeCell ref="G4:I4"/>
    <mergeCell ref="A4:C4"/>
    <mergeCell ref="D5:F5"/>
    <mergeCell ref="P5:R5"/>
    <mergeCell ref="M4:O4"/>
    <mergeCell ref="P4:R4"/>
    <mergeCell ref="J5:L5"/>
    <mergeCell ref="A6:C6"/>
    <mergeCell ref="M5:O5"/>
    <mergeCell ref="D6:F6"/>
    <mergeCell ref="P6:R6"/>
    <mergeCell ref="C47:E47"/>
  </mergeCells>
  <dataValidations count="1">
    <dataValidation sqref="C47" showDropDown="0" showInputMessage="0" showErrorMessage="0" allowBlank="0" type="list">
      <formula1>=Rounds!$A$2:$A$2179</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21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13" customWidth="1" min="3" max="3"/>
    <col width="9" customWidth="1" min="4" max="4"/>
    <col width="16" customWidth="1" min="5" max="5"/>
    <col width="16" customWidth="1" min="6" max="6"/>
    <col width="16" customWidth="1" min="7" max="7"/>
    <col width="14" customWidth="1" min="8" max="8"/>
    <col width="13" customWidth="1" min="9" max="9"/>
    <col width="26" customWidth="1" min="10" max="10"/>
    <col width="16" customWidth="1" min="11" max="11"/>
    <col width="34" customWidth="1" min="12" max="12"/>
    <col width="44" customWidth="1" min="13" max="13"/>
    <col width="26" customWidth="1" min="14" max="14"/>
    <col width="13" customWidth="1" min="15" max="15"/>
    <col width="16" customWidth="1" min="16" max="16"/>
    <col width="20" customWidth="1" min="17" max="17"/>
    <col width="40" customWidth="1" min="18" max="18"/>
  </cols>
  <sheetData>
    <row r="1">
      <c r="A1" t="inlineStr">
        <is>
          <t>Round ID</t>
        </is>
      </c>
      <c r="B1" t="inlineStr">
        <is>
          <t>Company</t>
        </is>
      </c>
      <c r="C1" t="inlineStr">
        <is>
          <t>Announced</t>
        </is>
      </c>
      <c r="D1" t="inlineStr">
        <is>
          <t>Month</t>
        </is>
      </c>
      <c r="E1" t="inlineStr">
        <is>
          <t>Amount (USD mn)</t>
        </is>
      </c>
      <c r="F1" t="inlineStr">
        <is>
          <t>Amount (INR cr)</t>
        </is>
      </c>
      <c r="G1" t="inlineStr">
        <is>
          <t>As reported</t>
        </is>
      </c>
      <c r="H1" t="inlineStr">
        <is>
          <t>Stage</t>
        </is>
      </c>
      <c r="I1" t="inlineStr">
        <is>
          <t>Stage group</t>
        </is>
      </c>
      <c r="J1" t="inlineStr">
        <is>
          <t>Sector</t>
        </is>
      </c>
      <c r="K1" t="inlineStr">
        <is>
          <t>City</t>
        </is>
      </c>
      <c r="L1" t="inlineStr">
        <is>
          <t>Lead investors</t>
        </is>
      </c>
      <c r="M1" t="inlineStr">
        <is>
          <t>Investors</t>
        </is>
      </c>
      <c r="N1" t="inlineStr">
        <is>
          <t>Sources</t>
        </is>
      </c>
      <c r="O1" t="inlineStr">
        <is>
          <t>Source count</t>
        </is>
      </c>
      <c r="P1" t="inlineStr">
        <is>
          <t>Amount spread %</t>
        </is>
      </c>
      <c r="Q1" t="inlineStr">
        <is>
          <t>Flags</t>
        </is>
      </c>
      <c r="R1" t="inlineStr">
        <is>
          <t>First source link</t>
        </is>
      </c>
    </row>
    <row r="2">
      <c r="A2" t="inlineStr">
        <is>
          <t>R250102-ayefinance</t>
        </is>
      </c>
      <c r="B2" t="inlineStr">
        <is>
          <t>Aye Finance</t>
        </is>
      </c>
      <c r="C2" s="17" t="n">
        <v>45659</v>
      </c>
      <c r="D2" s="18" t="n">
        <v>45658</v>
      </c>
      <c r="E2" s="19" t="n">
        <v>12.8</v>
      </c>
      <c r="F2" s="19" t="n">
        <v>109.77</v>
      </c>
      <c r="G2" t="inlineStr">
        <is>
          <t>$12.8 Mn</t>
        </is>
      </c>
      <c r="H2" t="inlineStr">
        <is>
          <t>Debt</t>
        </is>
      </c>
      <c r="I2" t="inlineStr">
        <is>
          <t>Debt</t>
        </is>
      </c>
      <c r="J2" t="inlineStr">
        <is>
          <t>Fintech</t>
        </is>
      </c>
      <c r="K2" t="inlineStr">
        <is>
          <t>Unknown</t>
        </is>
      </c>
      <c r="L2" t="inlineStr"/>
      <c r="M2" t="inlineStr">
        <is>
          <t>Northern Arc; ASK Financial Holdings; MAS Financial Services; CredAvenue</t>
        </is>
      </c>
      <c r="N2" t="inlineStr">
        <is>
          <t>inc42</t>
        </is>
      </c>
      <c r="O2" s="20" t="n">
        <v>1</v>
      </c>
      <c r="P2" s="21" t="n">
        <v>0</v>
      </c>
      <c r="Q2" t="inlineStr">
        <is>
          <t>C07</t>
        </is>
      </c>
      <c r="R2" s="22" t="inlineStr">
        <is>
          <t>https://inc42.com/buzz/from-aye-finance-to-klassroom-indian-startups-raised-14-mn-this-week/</t>
        </is>
      </c>
    </row>
    <row r="3">
      <c r="A3" t="inlineStr">
        <is>
          <t>R250102-cargofl</t>
        </is>
      </c>
      <c r="B3" t="inlineStr">
        <is>
          <t>CargoFL</t>
        </is>
      </c>
      <c r="C3" s="17" t="n">
        <v>45659</v>
      </c>
      <c r="D3" s="18" t="n">
        <v>45658</v>
      </c>
      <c r="E3" s="19" t="n">
        <v>0.787</v>
      </c>
      <c r="F3" s="19" t="n">
        <v>6.75</v>
      </c>
      <c r="G3" t="inlineStr">
        <is>
          <t>Rs 6.75 crore</t>
        </is>
      </c>
      <c r="H3" t="inlineStr">
        <is>
          <t>Seed</t>
        </is>
      </c>
      <c r="I3" t="inlineStr">
        <is>
          <t>Early</t>
        </is>
      </c>
      <c r="J3" t="inlineStr">
        <is>
          <t>Logistics</t>
        </is>
      </c>
      <c r="K3" t="inlineStr">
        <is>
          <t>Pune</t>
        </is>
      </c>
      <c r="L3" t="inlineStr">
        <is>
          <t>YourNest Venture Capital</t>
        </is>
      </c>
      <c r="M3" t="inlineStr">
        <is>
          <t>YourNest Venture Capital; Real Time Angel Fund; Peaceful Progress Angel Fund; Sanchi Connect Accelerator; Dinesh Chandra Agarwal; Dinesh Gulati; Murugavel Janakiraman; Rajesh Sawhney</t>
        </is>
      </c>
      <c r="N3" t="inlineStr">
        <is>
          <t>entrackr | inc42</t>
        </is>
      </c>
      <c r="O3" s="20" t="n">
        <v>2</v>
      </c>
      <c r="P3" s="21" t="n">
        <v>0</v>
      </c>
      <c r="Q3" t="inlineStr"/>
      <c r="R3" s="22" t="inlineStr">
        <is>
          <t>https://entrackr.com/snippets/cargofl-raises-seed-funding-round-8584928</t>
        </is>
      </c>
    </row>
    <row r="4">
      <c r="A4" t="inlineStr">
        <is>
          <t>R250102-klassroom</t>
        </is>
      </c>
      <c r="B4" t="inlineStr">
        <is>
          <t>Klassroom</t>
        </is>
      </c>
      <c r="C4" s="17" t="n">
        <v>45659</v>
      </c>
      <c r="D4" s="18" t="n">
        <v>45658</v>
      </c>
      <c r="E4" s="19" t="n"/>
      <c r="F4" s="19" t="n"/>
      <c r="G4" t="inlineStr"/>
      <c r="H4" t="inlineStr">
        <is>
          <t>Pre-Series A</t>
        </is>
      </c>
      <c r="I4" t="inlineStr">
        <is>
          <t>Early</t>
        </is>
      </c>
      <c r="J4" t="inlineStr">
        <is>
          <t>Edtech</t>
        </is>
      </c>
      <c r="K4" t="inlineStr">
        <is>
          <t>Unknown</t>
        </is>
      </c>
      <c r="L4" t="inlineStr"/>
      <c r="M4" t="inlineStr">
        <is>
          <t>LetsVenture; Hem Securities; Meteor Ventures; Growth Sense Fund</t>
        </is>
      </c>
      <c r="N4" t="inlineStr">
        <is>
          <t>inc42</t>
        </is>
      </c>
      <c r="O4" s="20" t="n">
        <v>1</v>
      </c>
      <c r="P4" s="21" t="n"/>
      <c r="Q4" t="inlineStr">
        <is>
          <t>C03 C07</t>
        </is>
      </c>
      <c r="R4" s="22" t="inlineStr">
        <is>
          <t>https://inc42.com/buzz/from-aye-finance-to-klassroom-indian-startups-raised-14-mn-this-week/</t>
        </is>
      </c>
    </row>
    <row r="5">
      <c r="A5" t="inlineStr">
        <is>
          <t>R250104-oyo</t>
        </is>
      </c>
      <c r="B5" t="inlineStr">
        <is>
          <t>OYO</t>
        </is>
      </c>
      <c r="C5" s="17" t="n">
        <v>45661</v>
      </c>
      <c r="D5" s="18" t="n">
        <v>45658</v>
      </c>
      <c r="E5" s="19" t="n">
        <v>64.125</v>
      </c>
      <c r="F5" s="19" t="n">
        <v>550</v>
      </c>
      <c r="G5" t="inlineStr">
        <is>
          <t>Rs 550 crore</t>
        </is>
      </c>
      <c r="H5" t="inlineStr">
        <is>
          <t>Undisclosed</t>
        </is>
      </c>
      <c r="I5" t="inlineStr">
        <is>
          <t>Undisclosed</t>
        </is>
      </c>
      <c r="J5" t="inlineStr">
        <is>
          <t>Travel Tech</t>
        </is>
      </c>
      <c r="K5" t="inlineStr">
        <is>
          <t>Delhi NCR</t>
        </is>
      </c>
      <c r="L5" t="inlineStr">
        <is>
          <t>Redsprig Innovation Partners</t>
        </is>
      </c>
      <c r="M5" t="inlineStr">
        <is>
          <t>Redsprig Innovation Partners; Ritesh Agarwal</t>
        </is>
      </c>
      <c r="N5" t="inlineStr">
        <is>
          <t>entrackr | inc42</t>
        </is>
      </c>
      <c r="O5" s="20" t="n">
        <v>2</v>
      </c>
      <c r="P5" s="21" t="n">
        <v>1.4</v>
      </c>
      <c r="Q5" t="inlineStr">
        <is>
          <t>C04</t>
        </is>
      </c>
      <c r="R5" s="22" t="inlineStr">
        <is>
          <t>https://entrackr.com/news/oyo-raises-65-mn-from-ritesh-agarwals-redsprig-innovation-8591029</t>
        </is>
      </c>
    </row>
    <row r="6">
      <c r="A6" t="inlineStr">
        <is>
          <t>R250106-blackcarrot</t>
        </is>
      </c>
      <c r="B6" t="inlineStr">
        <is>
          <t>BlackCarrot</t>
        </is>
      </c>
      <c r="C6" s="17" t="n">
        <v>45663</v>
      </c>
      <c r="D6" s="18" t="n">
        <v>45658</v>
      </c>
      <c r="E6" s="19" t="n"/>
      <c r="F6" s="19" t="n"/>
      <c r="G6" t="inlineStr"/>
      <c r="H6" t="inlineStr">
        <is>
          <t>Seed</t>
        </is>
      </c>
      <c r="I6" t="inlineStr">
        <is>
          <t>Early</t>
        </is>
      </c>
      <c r="J6" t="inlineStr">
        <is>
          <t>Ecommerce</t>
        </is>
      </c>
      <c r="K6" t="inlineStr">
        <is>
          <t>Unknown</t>
        </is>
      </c>
      <c r="L6" t="inlineStr">
        <is>
          <t>Circle</t>
        </is>
      </c>
      <c r="M6" t="inlineStr">
        <is>
          <t>Circle; EvolveX accelerator; Suraj Nalin</t>
        </is>
      </c>
      <c r="N6" t="inlineStr">
        <is>
          <t>inc42</t>
        </is>
      </c>
      <c r="O6" s="20" t="n">
        <v>1</v>
      </c>
      <c r="P6" s="21" t="n"/>
      <c r="Q6" t="inlineStr">
        <is>
          <t>C03 C07</t>
        </is>
      </c>
      <c r="R6" s="22" t="inlineStr">
        <is>
          <t>https://inc42.com/buzz/from-innovaccer-to-beyond-snack-indian-startups-raised-432-mn-this-week/</t>
        </is>
      </c>
    </row>
    <row r="7">
      <c r="A7" t="inlineStr">
        <is>
          <t>R250106-consintai</t>
        </is>
      </c>
      <c r="B7" t="inlineStr">
        <is>
          <t>Consint.AI</t>
        </is>
      </c>
      <c r="C7" s="17" t="n">
        <v>45663</v>
      </c>
      <c r="D7" s="18" t="n">
        <v>45658</v>
      </c>
      <c r="E7" s="19" t="n">
        <v>0.584</v>
      </c>
      <c r="F7" s="19" t="n">
        <v>5</v>
      </c>
      <c r="G7" t="inlineStr">
        <is>
          <t>Rs 5 crore</t>
        </is>
      </c>
      <c r="H7" t="inlineStr">
        <is>
          <t>Seed</t>
        </is>
      </c>
      <c r="I7" t="inlineStr">
        <is>
          <t>Early</t>
        </is>
      </c>
      <c r="J7" t="inlineStr">
        <is>
          <t>Artificial Intelligence</t>
        </is>
      </c>
      <c r="K7" t="inlineStr">
        <is>
          <t>Delhi NCR</t>
        </is>
      </c>
      <c r="L7" t="inlineStr">
        <is>
          <t>Equanimity Ventures; Seafund</t>
        </is>
      </c>
      <c r="M7" t="inlineStr">
        <is>
          <t>Equanimity Ventures; Seafund</t>
        </is>
      </c>
      <c r="N7" t="inlineStr">
        <is>
          <t>entrackr | et</t>
        </is>
      </c>
      <c r="O7" s="20" t="n">
        <v>2</v>
      </c>
      <c r="P7" s="21" t="n">
        <v>0</v>
      </c>
      <c r="Q7" t="inlineStr"/>
      <c r="R7" s="22" t="inlineStr">
        <is>
          <t>https://entrackr.com/snippets/genai-startup-consintai-raises-rs-5-cr-in-seed-round-8594981</t>
        </is>
      </c>
    </row>
    <row r="8">
      <c r="A8" t="inlineStr">
        <is>
          <t>R250106-spintly</t>
        </is>
      </c>
      <c r="B8" t="inlineStr">
        <is>
          <t>Spintly</t>
        </is>
      </c>
      <c r="C8" s="17" t="n">
        <v>45663</v>
      </c>
      <c r="D8" s="18" t="n">
        <v>45658</v>
      </c>
      <c r="E8" s="19" t="n">
        <v>0.409</v>
      </c>
      <c r="F8" s="19" t="n">
        <v>3.5</v>
      </c>
      <c r="G8" t="inlineStr">
        <is>
          <t>Rs 3.5 crore</t>
        </is>
      </c>
      <c r="H8" t="inlineStr">
        <is>
          <t>Seed</t>
        </is>
      </c>
      <c r="I8" t="inlineStr">
        <is>
          <t>Early</t>
        </is>
      </c>
      <c r="J8" t="inlineStr">
        <is>
          <t>Deeptech</t>
        </is>
      </c>
      <c r="K8" t="inlineStr">
        <is>
          <t>Goa</t>
        </is>
      </c>
      <c r="L8" t="inlineStr">
        <is>
          <t>Spyre VC; Chakra Growth Fund; Alumni Ventures; Doctor Technology</t>
        </is>
      </c>
      <c r="M8" t="inlineStr">
        <is>
          <t>Spyre VC; Chakra Growth Fund; Alumni Ventures; Doctor Technology; Accel India</t>
        </is>
      </c>
      <c r="N8" t="inlineStr">
        <is>
          <t>entrackr | inc42</t>
        </is>
      </c>
      <c r="O8" s="20" t="n">
        <v>2</v>
      </c>
      <c r="P8" s="21" t="n">
        <v>0.4</v>
      </c>
      <c r="Q8" t="inlineStr"/>
      <c r="R8" s="22" t="inlineStr">
        <is>
          <t>https://entrackr.com/snippets/proptech-startup-spintly-raises-rs-35-cr-in-extended-seed-round-8594970</t>
        </is>
      </c>
    </row>
    <row r="9">
      <c r="A9" t="inlineStr">
        <is>
          <t>R250107-bodmastechnolo</t>
        </is>
      </c>
      <c r="B9" t="inlineStr">
        <is>
          <t>Bodmas Technologies</t>
        </is>
      </c>
      <c r="C9" s="17" t="n">
        <v>45664</v>
      </c>
      <c r="D9" s="18" t="n">
        <v>45658</v>
      </c>
      <c r="E9" s="19" t="n"/>
      <c r="F9" s="19" t="n"/>
      <c r="G9" t="inlineStr"/>
      <c r="H9" t="inlineStr">
        <is>
          <t>Undisclosed</t>
        </is>
      </c>
      <c r="I9" t="inlineStr">
        <is>
          <t>Undisclosed</t>
        </is>
      </c>
      <c r="J9" t="inlineStr">
        <is>
          <t>Enterprise Tech</t>
        </is>
      </c>
      <c r="K9" t="inlineStr">
        <is>
          <t>Unknown</t>
        </is>
      </c>
      <c r="L9" t="inlineStr"/>
      <c r="M9" t="inlineStr">
        <is>
          <t>Auxano Capital</t>
        </is>
      </c>
      <c r="N9" t="inlineStr">
        <is>
          <t>inc42</t>
        </is>
      </c>
      <c r="O9" s="20" t="n">
        <v>1</v>
      </c>
      <c r="P9" s="21" t="n"/>
      <c r="Q9" t="inlineStr">
        <is>
          <t>C03 C04 C07</t>
        </is>
      </c>
      <c r="R9" s="22" t="inlineStr">
        <is>
          <t>https://inc42.com/buzz/from-innovaccer-to-beyond-snack-indian-startups-raised-432-mn-this-week/</t>
        </is>
      </c>
    </row>
    <row r="10">
      <c r="A10" t="inlineStr">
        <is>
          <t>R250107-emoenergy</t>
        </is>
      </c>
      <c r="B10" t="inlineStr">
        <is>
          <t>EMO Energy</t>
        </is>
      </c>
      <c r="C10" s="17" t="n">
        <v>45664</v>
      </c>
      <c r="D10" s="18" t="n">
        <v>45658</v>
      </c>
      <c r="E10" s="19" t="n">
        <v>6.2</v>
      </c>
      <c r="F10" s="19" t="n">
        <v>53.16</v>
      </c>
      <c r="G10" t="inlineStr">
        <is>
          <t>$6.2 million</t>
        </is>
      </c>
      <c r="H10" t="inlineStr">
        <is>
          <t>Series A</t>
        </is>
      </c>
      <c r="I10" t="inlineStr">
        <is>
          <t>Early</t>
        </is>
      </c>
      <c r="J10" t="inlineStr">
        <is>
          <t>Cleantech</t>
        </is>
      </c>
      <c r="K10" t="inlineStr">
        <is>
          <t>Bengaluru</t>
        </is>
      </c>
      <c r="L10" t="inlineStr">
        <is>
          <t>Subhkam Ventures; Transition VC</t>
        </is>
      </c>
      <c r="M10" t="inlineStr">
        <is>
          <t>Subhkam Ventures; Transition VC; Microtek Group; SRK Family Office</t>
        </is>
      </c>
      <c r="N10" t="inlineStr">
        <is>
          <t>entrackr | inc42 | et</t>
        </is>
      </c>
      <c r="O10" s="20" t="n">
        <v>3</v>
      </c>
      <c r="P10" s="21" t="n">
        <v>0</v>
      </c>
      <c r="Q10" t="inlineStr"/>
      <c r="R10" s="22" t="inlineStr">
        <is>
          <t>https://entrackr.com/snippets/emo-energy-raises-62-mn-in-series-a-round-8598190</t>
        </is>
      </c>
    </row>
    <row r="11">
      <c r="A11" t="inlineStr">
        <is>
          <t>R250107-kibisports</t>
        </is>
      </c>
      <c r="B11" t="inlineStr">
        <is>
          <t>KIBI Sports</t>
        </is>
      </c>
      <c r="C11" s="17" t="n">
        <v>45664</v>
      </c>
      <c r="D11" s="18" t="n">
        <v>45658</v>
      </c>
      <c r="E11" s="19" t="n">
        <v>0.1</v>
      </c>
      <c r="F11" s="19" t="n">
        <v>0.86</v>
      </c>
      <c r="G11" t="inlineStr">
        <is>
          <t>$100,000</t>
        </is>
      </c>
      <c r="H11" t="inlineStr">
        <is>
          <t>Pre-Seed</t>
        </is>
      </c>
      <c r="I11" t="inlineStr">
        <is>
          <t>Early</t>
        </is>
      </c>
      <c r="J11" t="inlineStr">
        <is>
          <t>Media &amp; Entertainment</t>
        </is>
      </c>
      <c r="K11" t="inlineStr">
        <is>
          <t>Bengaluru</t>
        </is>
      </c>
      <c r="L11" t="inlineStr"/>
      <c r="M11" t="inlineStr">
        <is>
          <t>Saurabh Aggarwal; Arpit Bhardwaj; Vartika Joshi; Suryansh Jain; Pranjal Bansal; Amit Kumar Sahu; Pratibha Rani; Sushila</t>
        </is>
      </c>
      <c r="N11" t="inlineStr">
        <is>
          <t>entrackr</t>
        </is>
      </c>
      <c r="O11" s="20" t="n">
        <v>1</v>
      </c>
      <c r="P11" s="21" t="n">
        <v>0</v>
      </c>
      <c r="Q11" t="inlineStr"/>
      <c r="R11" s="22" t="inlineStr">
        <is>
          <t>https://entrackr.com/snippets/kibi-sports-raises-100k-in-pre-seed-funding-8598246</t>
        </is>
      </c>
    </row>
    <row r="12">
      <c r="A12" t="inlineStr">
        <is>
          <t>R250107-moonrider</t>
        </is>
      </c>
      <c r="B12" t="inlineStr">
        <is>
          <t>Moonrider</t>
        </is>
      </c>
      <c r="C12" s="17" t="n">
        <v>45664</v>
      </c>
      <c r="D12" s="18" t="n">
        <v>45658</v>
      </c>
      <c r="E12" s="19" t="n">
        <v>2.2</v>
      </c>
      <c r="F12" s="19" t="n">
        <v>18.86</v>
      </c>
      <c r="G12" t="inlineStr">
        <is>
          <t>$2.2 million</t>
        </is>
      </c>
      <c r="H12" t="inlineStr">
        <is>
          <t>Seed</t>
        </is>
      </c>
      <c r="I12" t="inlineStr">
        <is>
          <t>Early</t>
        </is>
      </c>
      <c r="J12" t="inlineStr">
        <is>
          <t>Cleantech</t>
        </is>
      </c>
      <c r="K12" t="inlineStr">
        <is>
          <t>Bengaluru</t>
        </is>
      </c>
      <c r="L12" t="inlineStr">
        <is>
          <t>Micelio Fund</t>
        </is>
      </c>
      <c r="M12" t="inlineStr">
        <is>
          <t>Micelio Fund</t>
        </is>
      </c>
      <c r="N12" t="inlineStr">
        <is>
          <t>entrackr | inc42 | et</t>
        </is>
      </c>
      <c r="O12" s="20" t="n">
        <v>3</v>
      </c>
      <c r="P12" s="21" t="n">
        <v>0</v>
      </c>
      <c r="Q12" t="inlineStr"/>
      <c r="R12" s="22" t="inlineStr">
        <is>
          <t>https://entrackr.com/snippets/electric-tractor-startup-moonrider-raises-22-mn-in-seed-round-8597800</t>
        </is>
      </c>
    </row>
    <row r="13">
      <c r="A13" t="inlineStr">
        <is>
          <t>R250107-obenelectric</t>
        </is>
      </c>
      <c r="B13" t="inlineStr">
        <is>
          <t>Oben Electric</t>
        </is>
      </c>
      <c r="C13" s="17" t="n">
        <v>45664</v>
      </c>
      <c r="D13" s="18" t="n">
        <v>45658</v>
      </c>
      <c r="E13" s="19" t="n">
        <v>5.832</v>
      </c>
      <c r="F13" s="19" t="n">
        <v>50</v>
      </c>
      <c r="G13" t="inlineStr">
        <is>
          <t>Rs 50 crore</t>
        </is>
      </c>
      <c r="H13" t="inlineStr">
        <is>
          <t>Series A</t>
        </is>
      </c>
      <c r="I13" t="inlineStr">
        <is>
          <t>Early</t>
        </is>
      </c>
      <c r="J13" t="inlineStr">
        <is>
          <t>Cleantech</t>
        </is>
      </c>
      <c r="K13" t="inlineStr">
        <is>
          <t>Bengaluru</t>
        </is>
      </c>
      <c r="L13" t="inlineStr"/>
      <c r="M13" t="inlineStr">
        <is>
          <t>Ambis Holding US; Kuberans Ventures; Karimjee Group; Mission Vertical Capital; Sanjeev Saraf</t>
        </is>
      </c>
      <c r="N13" t="inlineStr">
        <is>
          <t>entrackr | inc42</t>
        </is>
      </c>
      <c r="O13" s="20" t="n">
        <v>2</v>
      </c>
      <c r="P13" s="21" t="n">
        <v>0.5</v>
      </c>
      <c r="Q13" t="inlineStr"/>
      <c r="R13" s="22" t="inlineStr">
        <is>
          <t>https://entrackr.com/snippets/oben-electric-raises-6-mn-in-series-a-8598547</t>
        </is>
      </c>
    </row>
    <row r="14">
      <c r="A14" t="inlineStr">
        <is>
          <t>R250107-pratilipi</t>
        </is>
      </c>
      <c r="B14" t="inlineStr">
        <is>
          <t>Pratilipi</t>
        </is>
      </c>
      <c r="C14" s="17" t="n">
        <v>45664</v>
      </c>
      <c r="D14" s="18" t="n">
        <v>45658</v>
      </c>
      <c r="E14" s="19" t="n">
        <v>1.2</v>
      </c>
      <c r="F14" s="19" t="n">
        <v>10.29</v>
      </c>
      <c r="G14" t="inlineStr">
        <is>
          <t>$1.2 Mn</t>
        </is>
      </c>
      <c r="H14" t="inlineStr">
        <is>
          <t>Undisclosed</t>
        </is>
      </c>
      <c r="I14" t="inlineStr">
        <is>
          <t>Undisclosed</t>
        </is>
      </c>
      <c r="J14" t="inlineStr">
        <is>
          <t>Media &amp; Entertainment</t>
        </is>
      </c>
      <c r="K14" t="inlineStr">
        <is>
          <t>Delhi NCR</t>
        </is>
      </c>
      <c r="L14" t="inlineStr">
        <is>
          <t>Alteria Capital</t>
        </is>
      </c>
      <c r="M14" t="inlineStr">
        <is>
          <t>Alteria Capital</t>
        </is>
      </c>
      <c r="N14" t="inlineStr">
        <is>
          <t>inc42</t>
        </is>
      </c>
      <c r="O14" s="20" t="n">
        <v>1</v>
      </c>
      <c r="P14" s="21" t="n">
        <v>0</v>
      </c>
      <c r="Q14" t="inlineStr">
        <is>
          <t>C04</t>
        </is>
      </c>
      <c r="R14" s="22" t="inlineStr">
        <is>
          <t>https://inc42.com/buzz/from-innovaccer-to-beyond-snack-indian-startups-raised-432-mn-this-week/</t>
        </is>
      </c>
    </row>
    <row r="15">
      <c r="A15" t="inlineStr">
        <is>
          <t>R250107-vehanttechnolo</t>
        </is>
      </c>
      <c r="B15" t="inlineStr">
        <is>
          <t>Vehant Technologies</t>
        </is>
      </c>
      <c r="C15" s="17" t="n">
        <v>45664</v>
      </c>
      <c r="D15" s="18" t="n">
        <v>45658</v>
      </c>
      <c r="E15" s="19" t="n">
        <v>9</v>
      </c>
      <c r="F15" s="19" t="n">
        <v>77.17</v>
      </c>
      <c r="G15" t="inlineStr">
        <is>
          <t>$9 million</t>
        </is>
      </c>
      <c r="H15" t="inlineStr">
        <is>
          <t>Debt</t>
        </is>
      </c>
      <c r="I15" t="inlineStr">
        <is>
          <t>Debt</t>
        </is>
      </c>
      <c r="J15" t="inlineStr">
        <is>
          <t>Unclassified</t>
        </is>
      </c>
      <c r="K15" t="inlineStr">
        <is>
          <t>Delhi NCR</t>
        </is>
      </c>
      <c r="L15" t="inlineStr"/>
      <c r="M15" t="inlineStr">
        <is>
          <t>True North</t>
        </is>
      </c>
      <c r="N15" t="inlineStr">
        <is>
          <t>entrackr | et</t>
        </is>
      </c>
      <c r="O15" s="20" t="n">
        <v>2</v>
      </c>
      <c r="P15" s="21" t="n">
        <v>0</v>
      </c>
      <c r="Q15" t="inlineStr">
        <is>
          <t>C06</t>
        </is>
      </c>
      <c r="R15" s="22" t="inlineStr">
        <is>
          <t>https://economictimes.indiatimes.com/tech/funding/vehant-technologies-raises-9-million-from-true-north-through-ncds-plans-ipo-by-2026/articleshow/117013023.cms</t>
        </is>
      </c>
    </row>
    <row r="16">
      <c r="A16" t="inlineStr">
        <is>
          <t>R250107-zoplar</t>
        </is>
      </c>
      <c r="B16" t="inlineStr">
        <is>
          <t>Zoplar</t>
        </is>
      </c>
      <c r="C16" s="17" t="n">
        <v>45664</v>
      </c>
      <c r="D16" s="18" t="n">
        <v>45658</v>
      </c>
      <c r="E16" s="19" t="n">
        <v>3.4</v>
      </c>
      <c r="F16" s="19" t="n">
        <v>29.15</v>
      </c>
      <c r="G16" t="inlineStr">
        <is>
          <t>$3.4 million</t>
        </is>
      </c>
      <c r="H16" t="inlineStr">
        <is>
          <t>Series A</t>
        </is>
      </c>
      <c r="I16" t="inlineStr">
        <is>
          <t>Early</t>
        </is>
      </c>
      <c r="J16" t="inlineStr">
        <is>
          <t>Healthtech</t>
        </is>
      </c>
      <c r="K16" t="inlineStr">
        <is>
          <t>Delhi NCR</t>
        </is>
      </c>
      <c r="L16" t="inlineStr">
        <is>
          <t>Blume Ventures</t>
        </is>
      </c>
      <c r="M16" t="inlineStr">
        <is>
          <t>Blume Ventures; BEENEXT; Saison Capital; Finfirst; LogX Ventures</t>
        </is>
      </c>
      <c r="N16" t="inlineStr">
        <is>
          <t>entrackr | inc42</t>
        </is>
      </c>
      <c r="O16" s="20" t="n">
        <v>2</v>
      </c>
      <c r="P16" s="21" t="n">
        <v>0</v>
      </c>
      <c r="Q16" t="inlineStr"/>
      <c r="R16" s="22" t="inlineStr">
        <is>
          <t>https://entrackr.com/snippets/blume-ventures-leads-34-mn-round-in-zoplar-8598758</t>
        </is>
      </c>
    </row>
    <row r="17">
      <c r="A17" t="inlineStr">
        <is>
          <t>R250108-brainsightai</t>
        </is>
      </c>
      <c r="B17" t="inlineStr">
        <is>
          <t>BrainSinghtAI</t>
        </is>
      </c>
      <c r="C17" s="17" t="n">
        <v>45665</v>
      </c>
      <c r="D17" s="18" t="n">
        <v>45658</v>
      </c>
      <c r="E17" s="19" t="n">
        <v>5</v>
      </c>
      <c r="F17" s="19" t="n">
        <v>42.94</v>
      </c>
      <c r="G17" t="inlineStr">
        <is>
          <t>$5 million</t>
        </is>
      </c>
      <c r="H17" t="inlineStr">
        <is>
          <t>Pre-Series A</t>
        </is>
      </c>
      <c r="I17" t="inlineStr">
        <is>
          <t>Early</t>
        </is>
      </c>
      <c r="J17" t="inlineStr">
        <is>
          <t>Healthtech</t>
        </is>
      </c>
      <c r="K17" t="inlineStr">
        <is>
          <t>Bengaluru</t>
        </is>
      </c>
      <c r="L17" t="inlineStr">
        <is>
          <t>IAN Alpha Fund; Silver Needle</t>
        </is>
      </c>
      <c r="M17" t="inlineStr">
        <is>
          <t>IAN Alpha Fund; IvyCap Ventures; Silver Needle</t>
        </is>
      </c>
      <c r="N17" t="inlineStr">
        <is>
          <t>entrackr | inc42 | et</t>
        </is>
      </c>
      <c r="O17" s="20" t="n">
        <v>3</v>
      </c>
      <c r="P17" s="21" t="n">
        <v>0</v>
      </c>
      <c r="Q17" t="inlineStr"/>
      <c r="R17" s="22" t="inlineStr">
        <is>
          <t>https://entrackr.com/snippets/neuroscience-startup-brainsight-ai-raises-5-mn-8602138</t>
        </is>
      </c>
    </row>
    <row r="18">
      <c r="A18" t="inlineStr">
        <is>
          <t>R250108-hbits</t>
        </is>
      </c>
      <c r="B18" t="inlineStr">
        <is>
          <t>hBits</t>
        </is>
      </c>
      <c r="C18" s="17" t="n">
        <v>45665</v>
      </c>
      <c r="D18" s="18" t="n">
        <v>45658</v>
      </c>
      <c r="E18" s="19" t="n">
        <v>4.657</v>
      </c>
      <c r="F18" s="19" t="n">
        <v>40</v>
      </c>
      <c r="G18" t="inlineStr">
        <is>
          <t>Rs 40 crore</t>
        </is>
      </c>
      <c r="H18" t="inlineStr">
        <is>
          <t>Series A</t>
        </is>
      </c>
      <c r="I18" t="inlineStr">
        <is>
          <t>Early</t>
        </is>
      </c>
      <c r="J18" t="inlineStr">
        <is>
          <t>Fintech</t>
        </is>
      </c>
      <c r="K18" t="inlineStr">
        <is>
          <t>Mumbai</t>
        </is>
      </c>
      <c r="L18" t="inlineStr">
        <is>
          <t>Capricon Realty</t>
        </is>
      </c>
      <c r="M18" t="inlineStr">
        <is>
          <t>Capricon Realty</t>
        </is>
      </c>
      <c r="N18" t="inlineStr">
        <is>
          <t>entrackr | inc42</t>
        </is>
      </c>
      <c r="O18" s="20" t="n">
        <v>2</v>
      </c>
      <c r="P18" s="21" t="n">
        <v>1.2</v>
      </c>
      <c r="Q18" t="inlineStr"/>
      <c r="R18" s="22" t="inlineStr">
        <is>
          <t>https://entrackr.com/snippets/proptech-startup-hbits-raises-rs-40-cr-in-series-a-8601862</t>
        </is>
      </c>
    </row>
    <row r="19">
      <c r="A19" t="inlineStr">
        <is>
          <t>R250108-rasluxuryskinc</t>
        </is>
      </c>
      <c r="B19" t="inlineStr">
        <is>
          <t>RAS Luxury Skincare</t>
        </is>
      </c>
      <c r="C19" s="17" t="n">
        <v>45665</v>
      </c>
      <c r="D19" s="18" t="n">
        <v>45658</v>
      </c>
      <c r="E19" s="19" t="n">
        <v>5</v>
      </c>
      <c r="F19" s="19" t="n">
        <v>42.94</v>
      </c>
      <c r="G19" t="inlineStr">
        <is>
          <t>$5 million</t>
        </is>
      </c>
      <c r="H19" t="inlineStr">
        <is>
          <t>Series A</t>
        </is>
      </c>
      <c r="I19" t="inlineStr">
        <is>
          <t>Early</t>
        </is>
      </c>
      <c r="J19" t="inlineStr">
        <is>
          <t>Ecommerce</t>
        </is>
      </c>
      <c r="K19" t="inlineStr">
        <is>
          <t>Raipur</t>
        </is>
      </c>
      <c r="L19" t="inlineStr">
        <is>
          <t>Unilever Ventures</t>
        </is>
      </c>
      <c r="M19" t="inlineStr">
        <is>
          <t>Unilever Ventures; Amazon Smbhav Venture Fund; Sixth Sense Ventures</t>
        </is>
      </c>
      <c r="N19" t="inlineStr">
        <is>
          <t>entrackr | inc42 | et</t>
        </is>
      </c>
      <c r="O19" s="20" t="n">
        <v>3</v>
      </c>
      <c r="P19" s="21" t="n">
        <v>0</v>
      </c>
      <c r="Q19" t="inlineStr"/>
      <c r="R19" s="22" t="inlineStr">
        <is>
          <t>https://entrackr.com/snippets/ras-luxury-skincare-raises-5-mn-led-by-unilever-ventures-8600516</t>
        </is>
      </c>
    </row>
    <row r="20">
      <c r="A20" t="inlineStr">
        <is>
          <t>R250109-beyondsnack</t>
        </is>
      </c>
      <c r="B20" t="inlineStr">
        <is>
          <t>Beyond Snack</t>
        </is>
      </c>
      <c r="C20" s="17" t="n">
        <v>45666</v>
      </c>
      <c r="D20" s="18" t="n">
        <v>45658</v>
      </c>
      <c r="E20" s="19" t="n">
        <v>8.300000000000001</v>
      </c>
      <c r="F20" s="19" t="n">
        <v>71.26000000000001</v>
      </c>
      <c r="G20" t="inlineStr">
        <is>
          <t>$8.3 million</t>
        </is>
      </c>
      <c r="H20" t="inlineStr">
        <is>
          <t>Series A</t>
        </is>
      </c>
      <c r="I20" t="inlineStr">
        <is>
          <t>Early</t>
        </is>
      </c>
      <c r="J20" t="inlineStr">
        <is>
          <t>Ecommerce</t>
        </is>
      </c>
      <c r="K20" t="inlineStr">
        <is>
          <t>Unknown</t>
        </is>
      </c>
      <c r="L20" t="inlineStr">
        <is>
          <t>12 Flags Group</t>
        </is>
      </c>
      <c r="M20" t="inlineStr">
        <is>
          <t>12 Flags Group; NAB Ventures; Enrission India Capital; FAAD Network</t>
        </is>
      </c>
      <c r="N20" t="inlineStr">
        <is>
          <t>entrackr | inc42 | et | vccircle</t>
        </is>
      </c>
      <c r="O20" s="20" t="n">
        <v>4</v>
      </c>
      <c r="P20" s="21" t="n">
        <v>0</v>
      </c>
      <c r="Q20" t="inlineStr">
        <is>
          <t>C07</t>
        </is>
      </c>
      <c r="R20" s="22" t="inlineStr">
        <is>
          <t>https://entrackr.com/snippets/beyond-snack-raises-83-mn-in-series-a-round-8604226</t>
        </is>
      </c>
    </row>
    <row r="21">
      <c r="A21" t="inlineStr">
        <is>
          <t>R250109-grayquest</t>
        </is>
      </c>
      <c r="B21" t="inlineStr">
        <is>
          <t>GrayQuest</t>
        </is>
      </c>
      <c r="C21" s="17" t="n">
        <v>45666</v>
      </c>
      <c r="D21" s="18" t="n">
        <v>45658</v>
      </c>
      <c r="E21" s="19" t="n">
        <v>9.319000000000001</v>
      </c>
      <c r="F21" s="19" t="n">
        <v>80</v>
      </c>
      <c r="G21" t="inlineStr">
        <is>
          <t>Rs 80 crore</t>
        </is>
      </c>
      <c r="H21" t="inlineStr">
        <is>
          <t>Series B</t>
        </is>
      </c>
      <c r="I21" t="inlineStr">
        <is>
          <t>Growth</t>
        </is>
      </c>
      <c r="J21" t="inlineStr">
        <is>
          <t>Fintech</t>
        </is>
      </c>
      <c r="K21" t="inlineStr">
        <is>
          <t>Mumbai</t>
        </is>
      </c>
      <c r="L21" t="inlineStr">
        <is>
          <t>IIFL Fintech Fund; Claypond Capital</t>
        </is>
      </c>
      <c r="M21" t="inlineStr">
        <is>
          <t>IIFL Fintech Fund; Claypond Capital; Pravega Ventures; Weizmann Group; Telama Family Office; Apurva Parekh from the Pidilite Family Office</t>
        </is>
      </c>
      <c r="N21" t="inlineStr">
        <is>
          <t>entrackr | inc42 | et | vccircle</t>
        </is>
      </c>
      <c r="O21" s="20" t="n">
        <v>4</v>
      </c>
      <c r="P21" s="21" t="n">
        <v>0.2</v>
      </c>
      <c r="Q21" t="inlineStr"/>
      <c r="R21" s="22" t="inlineStr">
        <is>
          <t>https://entrackr.com/news/grayquest-raises-93-mn-from-iifl-fintech-fund-claypond-and-pravega-8605812</t>
        </is>
      </c>
    </row>
    <row r="22">
      <c r="A22" t="inlineStr">
        <is>
          <t>R250109-infinityfincor</t>
        </is>
      </c>
      <c r="B22" t="inlineStr">
        <is>
          <t>Infinity Fincorp</t>
        </is>
      </c>
      <c r="C22" s="17" t="n">
        <v>45666</v>
      </c>
      <c r="D22" s="18" t="n">
        <v>45658</v>
      </c>
      <c r="E22" s="19" t="n">
        <v>35</v>
      </c>
      <c r="F22" s="19" t="n">
        <v>300.48</v>
      </c>
      <c r="G22" t="inlineStr">
        <is>
          <t>$35 million</t>
        </is>
      </c>
      <c r="H22" t="inlineStr">
        <is>
          <t>Undisclosed</t>
        </is>
      </c>
      <c r="I22" t="inlineStr">
        <is>
          <t>Undisclosed</t>
        </is>
      </c>
      <c r="J22" t="inlineStr">
        <is>
          <t>Fintech</t>
        </is>
      </c>
      <c r="K22" t="inlineStr">
        <is>
          <t>Mumbai</t>
        </is>
      </c>
      <c r="L22" t="inlineStr">
        <is>
          <t>Jungle Ventures</t>
        </is>
      </c>
      <c r="M22" t="inlineStr">
        <is>
          <t>Jungle Ventures; Archerman Capital; Magnifico</t>
        </is>
      </c>
      <c r="N22" t="inlineStr">
        <is>
          <t>entrackr | inc42 | et</t>
        </is>
      </c>
      <c r="O22" s="20" t="n">
        <v>3</v>
      </c>
      <c r="P22" s="21" t="n">
        <v>133.3</v>
      </c>
      <c r="Q22" t="inlineStr">
        <is>
          <t>C04 C15</t>
        </is>
      </c>
      <c r="R22" s="22" t="inlineStr">
        <is>
          <t>https://entrackr.com/snippets/infinity-fincorp-solutions-closes-35-mn-round-8603735</t>
        </is>
      </c>
    </row>
    <row r="23">
      <c r="A23" t="inlineStr">
        <is>
          <t>R250109-innovaccer</t>
        </is>
      </c>
      <c r="B23" t="inlineStr">
        <is>
          <t>Innovaccer</t>
        </is>
      </c>
      <c r="C23" s="17" t="n">
        <v>45666</v>
      </c>
      <c r="D23" s="18" t="n">
        <v>45658</v>
      </c>
      <c r="E23" s="19" t="n">
        <v>275</v>
      </c>
      <c r="F23" s="19" t="n">
        <v>2360.88</v>
      </c>
      <c r="G23" t="inlineStr">
        <is>
          <t>$275 million</t>
        </is>
      </c>
      <c r="H23" t="inlineStr">
        <is>
          <t>Series F</t>
        </is>
      </c>
      <c r="I23" t="inlineStr">
        <is>
          <t>Late</t>
        </is>
      </c>
      <c r="J23" t="inlineStr">
        <is>
          <t>Healthtech</t>
        </is>
      </c>
      <c r="K23" t="inlineStr">
        <is>
          <t>Unknown</t>
        </is>
      </c>
      <c r="L23" t="inlineStr"/>
      <c r="M23" t="inlineStr">
        <is>
          <t>B Capital Group; Banner Health; Danaher Ventures LLC; Generation Investment Management; Kaiser Permanente; M12</t>
        </is>
      </c>
      <c r="N23" t="inlineStr">
        <is>
          <t>entrackr | inc42 | et | vccircle</t>
        </is>
      </c>
      <c r="O23" s="20" t="n">
        <v>4</v>
      </c>
      <c r="P23" s="21" t="n">
        <v>0</v>
      </c>
      <c r="Q23" t="inlineStr">
        <is>
          <t>C07</t>
        </is>
      </c>
      <c r="R23" s="22" t="inlineStr">
        <is>
          <t>https://economictimes.indiatimes.com/tech/funding/saas-firm-innovaccer-closes-275-million-funding-to-build-more-on-ai-cloud/articleshow/117092526.cms</t>
        </is>
      </c>
    </row>
    <row r="24">
      <c r="A24" t="inlineStr">
        <is>
          <t>R250109-integrishealth</t>
        </is>
      </c>
      <c r="B24" t="inlineStr">
        <is>
          <t>Integris Health</t>
        </is>
      </c>
      <c r="C24" s="17" t="n">
        <v>45666</v>
      </c>
      <c r="D24" s="18" t="n">
        <v>45658</v>
      </c>
      <c r="E24" s="19" t="n"/>
      <c r="F24" s="19" t="n"/>
      <c r="G24" t="inlineStr"/>
      <c r="H24" t="inlineStr">
        <is>
          <t>Undisclosed</t>
        </is>
      </c>
      <c r="I24" t="inlineStr">
        <is>
          <t>Undisclosed</t>
        </is>
      </c>
      <c r="J24" t="inlineStr">
        <is>
          <t>Healthtech</t>
        </is>
      </c>
      <c r="K24" t="inlineStr">
        <is>
          <t>Unknown</t>
        </is>
      </c>
      <c r="L24" t="inlineStr"/>
      <c r="M24" t="inlineStr">
        <is>
          <t>Mukul Agarwal; India SME Fund; Everstone Capital</t>
        </is>
      </c>
      <c r="N24" t="inlineStr">
        <is>
          <t>entrackr</t>
        </is>
      </c>
      <c r="O24" s="20" t="n">
        <v>1</v>
      </c>
      <c r="P24" s="21" t="n"/>
      <c r="Q24" t="inlineStr">
        <is>
          <t>C03 C04 C07</t>
        </is>
      </c>
      <c r="R24" s="22" t="inlineStr">
        <is>
          <t>https://entrackr.com/snippets/integris-health-raises-primary-capital-ahead-of-planned-ipo-8604374</t>
        </is>
      </c>
    </row>
    <row r="25">
      <c r="A25" t="inlineStr">
        <is>
          <t>R250109-revivo</t>
        </is>
      </c>
      <c r="B25" t="inlineStr">
        <is>
          <t>Revivo</t>
        </is>
      </c>
      <c r="C25" s="17" t="n">
        <v>45666</v>
      </c>
      <c r="D25" s="18" t="n">
        <v>45658</v>
      </c>
      <c r="E25" s="19" t="n"/>
      <c r="F25" s="19" t="n"/>
      <c r="G25" t="inlineStr"/>
      <c r="H25" t="inlineStr">
        <is>
          <t>Pre-Series A</t>
        </is>
      </c>
      <c r="I25" t="inlineStr">
        <is>
          <t>Early</t>
        </is>
      </c>
      <c r="J25" t="inlineStr">
        <is>
          <t>Consumer Services</t>
        </is>
      </c>
      <c r="K25" t="inlineStr">
        <is>
          <t>Unknown</t>
        </is>
      </c>
      <c r="L25" t="inlineStr">
        <is>
          <t>Inflection Point Ventures</t>
        </is>
      </c>
      <c r="M25" t="inlineStr">
        <is>
          <t>Inflection Point Ventures</t>
        </is>
      </c>
      <c r="N25" t="inlineStr">
        <is>
          <t>inc42</t>
        </is>
      </c>
      <c r="O25" s="20" t="n">
        <v>1</v>
      </c>
      <c r="P25" s="21" t="n"/>
      <c r="Q25" t="inlineStr">
        <is>
          <t>C03 C07</t>
        </is>
      </c>
      <c r="R25" s="22" t="inlineStr">
        <is>
          <t>https://inc42.com/buzz/from-innovaccer-to-beyond-snack-indian-startups-raised-432-mn-this-week/</t>
        </is>
      </c>
    </row>
    <row r="26">
      <c r="A26" t="inlineStr">
        <is>
          <t>R250109-waycool</t>
        </is>
      </c>
      <c r="B26" t="inlineStr">
        <is>
          <t>WayCool</t>
        </is>
      </c>
      <c r="C26" s="17" t="n">
        <v>45666</v>
      </c>
      <c r="D26" s="18" t="n">
        <v>45658</v>
      </c>
      <c r="E26" s="19" t="n">
        <v>4.4</v>
      </c>
      <c r="F26" s="19" t="n">
        <v>37.77</v>
      </c>
      <c r="G26" t="inlineStr">
        <is>
          <t>$4.4 Mn</t>
        </is>
      </c>
      <c r="H26" t="inlineStr">
        <is>
          <t>Undisclosed</t>
        </is>
      </c>
      <c r="I26" t="inlineStr">
        <is>
          <t>Undisclosed</t>
        </is>
      </c>
      <c r="J26" t="inlineStr">
        <is>
          <t>Agritech</t>
        </is>
      </c>
      <c r="K26" t="inlineStr">
        <is>
          <t>Chennai</t>
        </is>
      </c>
      <c r="L26" t="inlineStr">
        <is>
          <t>Trifecta Capital</t>
        </is>
      </c>
      <c r="M26" t="inlineStr">
        <is>
          <t>Trifecta Capital; Alteria Capital; Stride Ventures</t>
        </is>
      </c>
      <c r="N26" t="inlineStr">
        <is>
          <t>inc42</t>
        </is>
      </c>
      <c r="O26" s="20" t="n">
        <v>1</v>
      </c>
      <c r="P26" s="21" t="n">
        <v>0</v>
      </c>
      <c r="Q26" t="inlineStr">
        <is>
          <t>C04</t>
        </is>
      </c>
      <c r="R26" s="22" t="inlineStr">
        <is>
          <t>https://inc42.com/buzz/from-innovaccer-to-beyond-snack-indian-startups-raised-432-mn-this-week/</t>
        </is>
      </c>
    </row>
    <row r="27">
      <c r="A27" t="inlineStr">
        <is>
          <t>R250110-quash</t>
        </is>
      </c>
      <c r="B27" t="inlineStr">
        <is>
          <t>Quash</t>
        </is>
      </c>
      <c r="C27" s="17" t="n">
        <v>45667</v>
      </c>
      <c r="D27" s="18" t="n">
        <v>45658</v>
      </c>
      <c r="E27" s="19" t="n">
        <v>0.635</v>
      </c>
      <c r="F27" s="19" t="n">
        <v>5.46</v>
      </c>
      <c r="G27" t="inlineStr">
        <is>
          <t>$635,000</t>
        </is>
      </c>
      <c r="H27" t="inlineStr">
        <is>
          <t>Pre-Seed</t>
        </is>
      </c>
      <c r="I27" t="inlineStr">
        <is>
          <t>Early</t>
        </is>
      </c>
      <c r="J27" t="inlineStr">
        <is>
          <t>Enterprise Tech</t>
        </is>
      </c>
      <c r="K27" t="inlineStr">
        <is>
          <t>Bengaluru</t>
        </is>
      </c>
      <c r="L27" t="inlineStr">
        <is>
          <t>Arali Ventures</t>
        </is>
      </c>
      <c r="M27" t="inlineStr">
        <is>
          <t>Arali Ventures; Java Capital; PeerCheque; DeVC; Abhishek Goyal</t>
        </is>
      </c>
      <c r="N27" t="inlineStr">
        <is>
          <t>entrackr | inc42</t>
        </is>
      </c>
      <c r="O27" s="20" t="n">
        <v>2</v>
      </c>
      <c r="P27" s="21" t="n">
        <v>0</v>
      </c>
      <c r="Q27" t="inlineStr"/>
      <c r="R27" s="22" t="inlineStr">
        <is>
          <t>https://entrackr.com/snippets/agentic-ai-startup-quash-raises-pre-seed-round-led-by-arali-ventures-8608038</t>
        </is>
      </c>
    </row>
    <row r="28">
      <c r="A28" t="inlineStr">
        <is>
          <t>R250110-reputai</t>
        </is>
      </c>
      <c r="B28" t="inlineStr">
        <is>
          <t>RePut.ai</t>
        </is>
      </c>
      <c r="C28" s="17" t="n">
        <v>45667</v>
      </c>
      <c r="D28" s="18" t="n">
        <v>45658</v>
      </c>
      <c r="E28" s="19" t="n">
        <v>1</v>
      </c>
      <c r="F28" s="19" t="n">
        <v>8.6</v>
      </c>
      <c r="G28" t="inlineStr">
        <is>
          <t>$1 million</t>
        </is>
      </c>
      <c r="H28" t="inlineStr">
        <is>
          <t>Pre-Seed</t>
        </is>
      </c>
      <c r="I28" t="inlineStr">
        <is>
          <t>Early</t>
        </is>
      </c>
      <c r="J28" t="inlineStr">
        <is>
          <t>Enterprise Tech</t>
        </is>
      </c>
      <c r="K28" t="inlineStr">
        <is>
          <t>Bengaluru</t>
        </is>
      </c>
      <c r="L28" t="inlineStr">
        <is>
          <t>GrowthCap Venture</t>
        </is>
      </c>
      <c r="M28" t="inlineStr">
        <is>
          <t>GrowthCap Ventures; Vipul Parekh; Abhijeet Kumar; Vishal Jain; Anshul Sharan</t>
        </is>
      </c>
      <c r="N28" t="inlineStr">
        <is>
          <t>entrackr | inc42</t>
        </is>
      </c>
      <c r="O28" s="20" t="n">
        <v>2</v>
      </c>
      <c r="P28" s="21" t="n">
        <v>0</v>
      </c>
      <c r="Q28" t="inlineStr"/>
      <c r="R28" s="22" t="inlineStr">
        <is>
          <t>https://inc42.com/buzz/from-innovaccer-to-beyond-snack-indian-startups-raised-432-mn-this-week/</t>
        </is>
      </c>
    </row>
    <row r="29">
      <c r="A29" t="inlineStr">
        <is>
          <t>R250113-bobabhai</t>
        </is>
      </c>
      <c r="B29" t="inlineStr">
        <is>
          <t>Boba Bhai</t>
        </is>
      </c>
      <c r="C29" s="17" t="n">
        <v>45670</v>
      </c>
      <c r="D29" s="18" t="n">
        <v>45658</v>
      </c>
      <c r="E29" s="19" t="n">
        <v>3.46</v>
      </c>
      <c r="F29" s="19" t="n">
        <v>30</v>
      </c>
      <c r="G29" t="inlineStr">
        <is>
          <t>Rs 30 crore</t>
        </is>
      </c>
      <c r="H29" t="inlineStr">
        <is>
          <t>Series A</t>
        </is>
      </c>
      <c r="I29" t="inlineStr">
        <is>
          <t>Early</t>
        </is>
      </c>
      <c r="J29" t="inlineStr">
        <is>
          <t>Consumer Services</t>
        </is>
      </c>
      <c r="K29" t="inlineStr">
        <is>
          <t>Bengaluru</t>
        </is>
      </c>
      <c r="L29" t="inlineStr">
        <is>
          <t>8i Ventures</t>
        </is>
      </c>
      <c r="M29" t="inlineStr">
        <is>
          <t>8i Ventures; Titan Capital Winners Fund; Global Growth Capital; DevC; Z47</t>
        </is>
      </c>
      <c r="N29" t="inlineStr">
        <is>
          <t>entrackr | inc42 | et</t>
        </is>
      </c>
      <c r="O29" s="20" t="n">
        <v>3</v>
      </c>
      <c r="P29" s="21" t="n">
        <v>1.8</v>
      </c>
      <c r="Q29" t="inlineStr"/>
      <c r="R29" s="22" t="inlineStr">
        <is>
          <t>https://entrackr.com/snippets/bubble-tea-brand-boba-bhai-raises-rs-30-cr-in-series-a-round-8614194</t>
        </is>
      </c>
    </row>
    <row r="30">
      <c r="A30" t="inlineStr">
        <is>
          <t>R250113-weworkindia</t>
        </is>
      </c>
      <c r="B30" t="inlineStr">
        <is>
          <t>WeWork India</t>
        </is>
      </c>
      <c r="C30" s="17" t="n">
        <v>45670</v>
      </c>
      <c r="D30" s="18" t="n">
        <v>45658</v>
      </c>
      <c r="E30" s="19" t="n">
        <v>57.7</v>
      </c>
      <c r="F30" s="19" t="n">
        <v>500.26</v>
      </c>
      <c r="G30" t="inlineStr">
        <is>
          <t>$57.7 Mn</t>
        </is>
      </c>
      <c r="H30" t="inlineStr">
        <is>
          <t>Undisclosed</t>
        </is>
      </c>
      <c r="I30" t="inlineStr">
        <is>
          <t>Undisclosed</t>
        </is>
      </c>
      <c r="J30" t="inlineStr">
        <is>
          <t>Real Estate Tech</t>
        </is>
      </c>
      <c r="K30" t="inlineStr">
        <is>
          <t>Unknown</t>
        </is>
      </c>
      <c r="L30" t="inlineStr"/>
      <c r="M30" t="inlineStr"/>
      <c r="N30" t="inlineStr">
        <is>
          <t>inc42</t>
        </is>
      </c>
      <c r="O30" s="20" t="n">
        <v>1</v>
      </c>
      <c r="P30" s="21" t="n">
        <v>0</v>
      </c>
      <c r="Q30" t="inlineStr">
        <is>
          <t>C04 C05 C07</t>
        </is>
      </c>
      <c r="R30" s="22" t="inlineStr">
        <is>
          <t>https://inc42.com/buzz/from-netradyne-to-foxtale-indian-startups-raised-308-mn-this-week/</t>
        </is>
      </c>
    </row>
    <row r="31">
      <c r="A31" t="inlineStr">
        <is>
          <t>R250114-bgauss</t>
        </is>
      </c>
      <c r="B31" t="inlineStr">
        <is>
          <t>BGauss</t>
        </is>
      </c>
      <c r="C31" s="17" t="n">
        <v>45671</v>
      </c>
      <c r="D31" s="18" t="n">
        <v>45658</v>
      </c>
      <c r="E31" s="19" t="n">
        <v>18.598</v>
      </c>
      <c r="F31" s="19" t="n">
        <v>161</v>
      </c>
      <c r="G31" t="inlineStr">
        <is>
          <t>Rs 161 crore</t>
        </is>
      </c>
      <c r="H31" t="inlineStr">
        <is>
          <t>Undisclosed</t>
        </is>
      </c>
      <c r="I31" t="inlineStr">
        <is>
          <t>Undisclosed</t>
        </is>
      </c>
      <c r="J31" t="inlineStr">
        <is>
          <t>Cleantech</t>
        </is>
      </c>
      <c r="K31" t="inlineStr">
        <is>
          <t>Pune</t>
        </is>
      </c>
      <c r="L31" t="inlineStr">
        <is>
          <t>Bharat Value Fund</t>
        </is>
      </c>
      <c r="M31" t="inlineStr">
        <is>
          <t>Bharat Value Fund</t>
        </is>
      </c>
      <c r="N31" t="inlineStr">
        <is>
          <t>entrackr | inc42 | et</t>
        </is>
      </c>
      <c r="O31" s="20" t="n">
        <v>3</v>
      </c>
      <c r="P31" s="21" t="n">
        <v>0</v>
      </c>
      <c r="Q31" t="inlineStr">
        <is>
          <t>C04</t>
        </is>
      </c>
      <c r="R31" s="22" t="inlineStr">
        <is>
          <t>https://entrackr.com/news/ev-two-wheeler-manufacturer-bgauss-raises-rs-161-cr-8620040</t>
        </is>
      </c>
    </row>
    <row r="32">
      <c r="A32" t="inlineStr">
        <is>
          <t>R250114-bharatpe</t>
        </is>
      </c>
      <c r="B32" t="inlineStr">
        <is>
          <t>BharatPe</t>
        </is>
      </c>
      <c r="C32" s="17" t="n">
        <v>45671</v>
      </c>
      <c r="D32" s="18" t="n">
        <v>45658</v>
      </c>
      <c r="E32" s="19" t="n">
        <v>17.3</v>
      </c>
      <c r="F32" s="19" t="n">
        <v>149.77</v>
      </c>
      <c r="G32" t="inlineStr">
        <is>
          <t>$17.3 Mn</t>
        </is>
      </c>
      <c r="H32" t="inlineStr">
        <is>
          <t>Debt</t>
        </is>
      </c>
      <c r="I32" t="inlineStr">
        <is>
          <t>Debt</t>
        </is>
      </c>
      <c r="J32" t="inlineStr">
        <is>
          <t>Fintech</t>
        </is>
      </c>
      <c r="K32" t="inlineStr">
        <is>
          <t>Unknown</t>
        </is>
      </c>
      <c r="L32" t="inlineStr"/>
      <c r="M32" t="inlineStr">
        <is>
          <t>Neo Wealth; Trifecta Capital</t>
        </is>
      </c>
      <c r="N32" t="inlineStr">
        <is>
          <t>inc42</t>
        </is>
      </c>
      <c r="O32" s="20" t="n">
        <v>1</v>
      </c>
      <c r="P32" s="21" t="n">
        <v>0</v>
      </c>
      <c r="Q32" t="inlineStr">
        <is>
          <t>C07</t>
        </is>
      </c>
      <c r="R32" s="22" t="inlineStr">
        <is>
          <t>https://inc42.com/buzz/from-netradyne-to-foxtale-indian-startups-raised-308-mn-this-week/</t>
        </is>
      </c>
    </row>
    <row r="33">
      <c r="A33" t="inlineStr">
        <is>
          <t>R250114-greenstitch</t>
        </is>
      </c>
      <c r="B33" t="inlineStr">
        <is>
          <t>GreenStitch</t>
        </is>
      </c>
      <c r="C33" s="17" t="n">
        <v>45671</v>
      </c>
      <c r="D33" s="18" t="n">
        <v>45658</v>
      </c>
      <c r="E33" s="19" t="n">
        <v>1.2</v>
      </c>
      <c r="F33" s="19" t="n">
        <v>10.39</v>
      </c>
      <c r="G33" t="inlineStr">
        <is>
          <t>$1.2 million</t>
        </is>
      </c>
      <c r="H33" t="inlineStr">
        <is>
          <t>Seed</t>
        </is>
      </c>
      <c r="I33" t="inlineStr">
        <is>
          <t>Early</t>
        </is>
      </c>
      <c r="J33" t="inlineStr">
        <is>
          <t>Ecommerce</t>
        </is>
      </c>
      <c r="K33" t="inlineStr">
        <is>
          <t>Bengaluru</t>
        </is>
      </c>
      <c r="L33" t="inlineStr">
        <is>
          <t>Equirus InnovateX Fund</t>
        </is>
      </c>
      <c r="M33" t="inlineStr">
        <is>
          <t>Equirus InnovateX Fund; Ivycap Ventures; Warmup Ventures; Zeca Ventures; Pankaj Vermani; Amit Kumar</t>
        </is>
      </c>
      <c r="N33" t="inlineStr">
        <is>
          <t>entrackr | et</t>
        </is>
      </c>
      <c r="O33" s="20" t="n">
        <v>2</v>
      </c>
      <c r="P33" s="21" t="n">
        <v>0</v>
      </c>
      <c r="Q33" t="inlineStr"/>
      <c r="R33" s="22" t="inlineStr">
        <is>
          <t>https://economictimes.indiatimes.com/tech/funding/climate-tech-startup-greenstitch-raises-1-2-million-from-equirus-innovatex-fund-others/articleshow/117237257.cms</t>
        </is>
      </c>
    </row>
    <row r="34">
      <c r="A34" t="inlineStr">
        <is>
          <t>R250114-tractorfactory</t>
        </is>
      </c>
      <c r="B34" t="inlineStr">
        <is>
          <t>Tractor Factory</t>
        </is>
      </c>
      <c r="C34" s="17" t="n">
        <v>45671</v>
      </c>
      <c r="D34" s="18" t="n">
        <v>45658</v>
      </c>
      <c r="E34" s="19" t="n">
        <v>0.462</v>
      </c>
      <c r="F34" s="19" t="n">
        <v>4</v>
      </c>
      <c r="G34" t="inlineStr">
        <is>
          <t>Rs 4 crore</t>
        </is>
      </c>
      <c r="H34" t="inlineStr">
        <is>
          <t>Pre-Seed</t>
        </is>
      </c>
      <c r="I34" t="inlineStr">
        <is>
          <t>Early</t>
        </is>
      </c>
      <c r="J34" t="inlineStr">
        <is>
          <t>Ecommerce</t>
        </is>
      </c>
      <c r="K34" t="inlineStr">
        <is>
          <t>Jabalpur</t>
        </is>
      </c>
      <c r="L34" t="inlineStr">
        <is>
          <t>All In Capital</t>
        </is>
      </c>
      <c r="M34" t="inlineStr">
        <is>
          <t>All In Capital; Bharat Founders Fund; DevC; Dhingra Partners Prosperity Trust; Samir Sood; Abhishek Goyal; Aayush Phumbra; Puneet Kumar; Additionally; Steadview Capital</t>
        </is>
      </c>
      <c r="N34" t="inlineStr">
        <is>
          <t>entrackr | inc42 | et</t>
        </is>
      </c>
      <c r="O34" s="20" t="n">
        <v>3</v>
      </c>
      <c r="P34" s="21" t="n">
        <v>8.199999999999999</v>
      </c>
      <c r="Q34" t="inlineStr"/>
      <c r="R34" s="22" t="inlineStr">
        <is>
          <t>https://entrackr.com/snippets/tractor-factory-raises-500k-in-pre-seed-round-led-by-all-in-capital-8619966</t>
        </is>
      </c>
    </row>
    <row r="35">
      <c r="A35" t="inlineStr">
        <is>
          <t>R250115-eccentricengin</t>
        </is>
      </c>
      <c r="B35" t="inlineStr">
        <is>
          <t>Eccentric</t>
        </is>
      </c>
      <c r="C35" s="17" t="n">
        <v>45672</v>
      </c>
      <c r="D35" s="18" t="n">
        <v>45658</v>
      </c>
      <c r="E35" s="19" t="n">
        <v>5</v>
      </c>
      <c r="F35" s="19" t="n">
        <v>43.21</v>
      </c>
      <c r="G35" t="inlineStr">
        <is>
          <t>$5 million</t>
        </is>
      </c>
      <c r="H35" t="inlineStr">
        <is>
          <t>Pre-Series A</t>
        </is>
      </c>
      <c r="I35" t="inlineStr">
        <is>
          <t>Early</t>
        </is>
      </c>
      <c r="J35" t="inlineStr">
        <is>
          <t>Enterprise Tech</t>
        </is>
      </c>
      <c r="K35" t="inlineStr">
        <is>
          <t>Unknown</t>
        </is>
      </c>
      <c r="L35" t="inlineStr">
        <is>
          <t>Exfinity Venture Partners; Arkam Ventures</t>
        </is>
      </c>
      <c r="M35" t="inlineStr">
        <is>
          <t>Exfinity Venture Partners; Arkam Ventures</t>
        </is>
      </c>
      <c r="N35" t="inlineStr">
        <is>
          <t>entrackr | inc42 | et</t>
        </is>
      </c>
      <c r="O35" s="20" t="n">
        <v>3</v>
      </c>
      <c r="P35" s="21" t="n">
        <v>0</v>
      </c>
      <c r="Q35" t="inlineStr">
        <is>
          <t>C07</t>
        </is>
      </c>
      <c r="R35" s="22" t="inlineStr">
        <is>
          <t>https://entrackr.com/snippets/eccentric-engine-raises-5-mn-in-pre-series-a-round-8622777</t>
        </is>
      </c>
    </row>
    <row r="36">
      <c r="A36" t="inlineStr">
        <is>
          <t>R250115-ecozen</t>
        </is>
      </c>
      <c r="B36" t="inlineStr">
        <is>
          <t>Ecozen</t>
        </is>
      </c>
      <c r="C36" s="17" t="n">
        <v>45672</v>
      </c>
      <c r="D36" s="18" t="n">
        <v>45658</v>
      </c>
      <c r="E36" s="19" t="n">
        <v>23</v>
      </c>
      <c r="F36" s="19" t="n">
        <v>198.77</v>
      </c>
      <c r="G36" t="inlineStr">
        <is>
          <t>$23 million</t>
        </is>
      </c>
      <c r="H36" t="inlineStr">
        <is>
          <t>Debt</t>
        </is>
      </c>
      <c r="I36" t="inlineStr">
        <is>
          <t>Debt</t>
        </is>
      </c>
      <c r="J36" t="inlineStr">
        <is>
          <t>Agritech</t>
        </is>
      </c>
      <c r="K36" t="inlineStr">
        <is>
          <t>Pune</t>
        </is>
      </c>
      <c r="L36" t="inlineStr"/>
      <c r="M36" t="inlineStr">
        <is>
          <t>Northern Arc Capital Limited; Maanaveeya Development; Finance</t>
        </is>
      </c>
      <c r="N36" t="inlineStr">
        <is>
          <t>entrackr | inc42</t>
        </is>
      </c>
      <c r="O36" s="20" t="n">
        <v>2</v>
      </c>
      <c r="P36" s="21" t="n">
        <v>0</v>
      </c>
      <c r="Q36" t="inlineStr"/>
      <c r="R36" s="22" t="inlineStr">
        <is>
          <t>https://entrackr.com/news/climate-tech-startup-ecozen-raises-23-mn-in-debt-8623678</t>
        </is>
      </c>
    </row>
    <row r="37">
      <c r="A37" t="inlineStr">
        <is>
          <t>R250115-erlysign</t>
        </is>
      </c>
      <c r="B37" t="inlineStr">
        <is>
          <t>ErlySign</t>
        </is>
      </c>
      <c r="C37" s="17" t="n">
        <v>45672</v>
      </c>
      <c r="D37" s="18" t="n">
        <v>45658</v>
      </c>
      <c r="E37" s="19" t="n">
        <v>1.851</v>
      </c>
      <c r="F37" s="19" t="n">
        <v>16</v>
      </c>
      <c r="G37" t="inlineStr">
        <is>
          <t>Rs 16 crore</t>
        </is>
      </c>
      <c r="H37" t="inlineStr">
        <is>
          <t>Pre-Series A</t>
        </is>
      </c>
      <c r="I37" t="inlineStr">
        <is>
          <t>Early</t>
        </is>
      </c>
      <c r="J37" t="inlineStr">
        <is>
          <t>Healthtech</t>
        </is>
      </c>
      <c r="K37" t="inlineStr">
        <is>
          <t>Unknown</t>
        </is>
      </c>
      <c r="L37" t="inlineStr">
        <is>
          <t>Ashish Kacholia</t>
        </is>
      </c>
      <c r="M37" t="inlineStr">
        <is>
          <t>Ashish Kacholia</t>
        </is>
      </c>
      <c r="N37" t="inlineStr">
        <is>
          <t>entrackr | inc42</t>
        </is>
      </c>
      <c r="O37" s="20" t="n">
        <v>2</v>
      </c>
      <c r="P37" s="21" t="n">
        <v>2.9</v>
      </c>
      <c r="Q37" t="inlineStr">
        <is>
          <t>C07</t>
        </is>
      </c>
      <c r="R37" s="22" t="inlineStr">
        <is>
          <t>https://inc42.com/buzz/from-netradyne-to-foxtale-indian-startups-raised-308-mn-this-week/</t>
        </is>
      </c>
    </row>
    <row r="38">
      <c r="A38" t="inlineStr">
        <is>
          <t>R250115-eulermotors</t>
        </is>
      </c>
      <c r="B38" t="inlineStr">
        <is>
          <t>Euler Motors</t>
        </is>
      </c>
      <c r="C38" s="17" t="n">
        <v>45672</v>
      </c>
      <c r="D38" s="18" t="n">
        <v>45658</v>
      </c>
      <c r="E38" s="19" t="n">
        <v>20</v>
      </c>
      <c r="F38" s="19" t="n">
        <v>172.84</v>
      </c>
      <c r="G38" t="inlineStr">
        <is>
          <t>$20 Mn</t>
        </is>
      </c>
      <c r="H38" t="inlineStr">
        <is>
          <t>Debt</t>
        </is>
      </c>
      <c r="I38" t="inlineStr">
        <is>
          <t>Debt</t>
        </is>
      </c>
      <c r="J38" t="inlineStr">
        <is>
          <t>Cleantech</t>
        </is>
      </c>
      <c r="K38" t="inlineStr">
        <is>
          <t>Delhi NCR</t>
        </is>
      </c>
      <c r="L38" t="inlineStr"/>
      <c r="M38" t="inlineStr"/>
      <c r="N38" t="inlineStr">
        <is>
          <t>inc42</t>
        </is>
      </c>
      <c r="O38" s="20" t="n">
        <v>1</v>
      </c>
      <c r="P38" s="21" t="n">
        <v>0</v>
      </c>
      <c r="Q38" t="inlineStr">
        <is>
          <t>C05</t>
        </is>
      </c>
      <c r="R38" s="22" t="inlineStr">
        <is>
          <t>https://inc42.com/buzz/from-netradyne-to-foxtale-indian-startups-raised-308-mn-this-week/</t>
        </is>
      </c>
    </row>
    <row r="39">
      <c r="A39" t="inlineStr">
        <is>
          <t>R250115-foxtale</t>
        </is>
      </c>
      <c r="B39" t="inlineStr">
        <is>
          <t>Foxtale</t>
        </is>
      </c>
      <c r="C39" s="17" t="n">
        <v>45672</v>
      </c>
      <c r="D39" s="18" t="n">
        <v>45658</v>
      </c>
      <c r="E39" s="19" t="n">
        <v>30</v>
      </c>
      <c r="F39" s="19" t="n">
        <v>259.26</v>
      </c>
      <c r="G39" t="inlineStr">
        <is>
          <t>$30 million</t>
        </is>
      </c>
      <c r="H39" t="inlineStr">
        <is>
          <t>Series C</t>
        </is>
      </c>
      <c r="I39" t="inlineStr">
        <is>
          <t>Growth</t>
        </is>
      </c>
      <c r="J39" t="inlineStr">
        <is>
          <t>Ecommerce</t>
        </is>
      </c>
      <c r="K39" t="inlineStr">
        <is>
          <t>Mumbai</t>
        </is>
      </c>
      <c r="L39" t="inlineStr">
        <is>
          <t>KOSÉ Corporation</t>
        </is>
      </c>
      <c r="M39" t="inlineStr">
        <is>
          <t>KOSÉ Corporation; Panthera Growth Partners; Z47; Kae Capital</t>
        </is>
      </c>
      <c r="N39" t="inlineStr">
        <is>
          <t>entrackr | inc42 | et</t>
        </is>
      </c>
      <c r="O39" s="20" t="n">
        <v>3</v>
      </c>
      <c r="P39" s="21" t="n">
        <v>0</v>
      </c>
      <c r="Q39" t="inlineStr"/>
      <c r="R39" s="22" t="inlineStr">
        <is>
          <t>https://entrackr.com/news/d2c-skincare-brand-foxtale-raises-30-mn-8623443</t>
        </is>
      </c>
    </row>
    <row r="40">
      <c r="A40" t="inlineStr">
        <is>
          <t>R250115-orbitaid</t>
        </is>
      </c>
      <c r="B40" t="inlineStr">
        <is>
          <t>OrbitAID</t>
        </is>
      </c>
      <c r="C40" s="17" t="n">
        <v>45672</v>
      </c>
      <c r="D40" s="18" t="n">
        <v>45658</v>
      </c>
      <c r="E40" s="19" t="n">
        <v>1.5</v>
      </c>
      <c r="F40" s="19" t="n">
        <v>12.96</v>
      </c>
      <c r="G40" t="inlineStr">
        <is>
          <t>$1.5 million</t>
        </is>
      </c>
      <c r="H40" t="inlineStr">
        <is>
          <t>Pre-Seed</t>
        </is>
      </c>
      <c r="I40" t="inlineStr">
        <is>
          <t>Early</t>
        </is>
      </c>
      <c r="J40" t="inlineStr">
        <is>
          <t>Deeptech</t>
        </is>
      </c>
      <c r="K40" t="inlineStr">
        <is>
          <t>Chennai</t>
        </is>
      </c>
      <c r="L40" t="inlineStr">
        <is>
          <t>Unicorn India Ventures</t>
        </is>
      </c>
      <c r="M40" t="inlineStr">
        <is>
          <t>Unicorn India Ventures; Tamil Nadu Startup; Innovation Mission; TANSIM</t>
        </is>
      </c>
      <c r="N40" t="inlineStr">
        <is>
          <t>entrackr | inc42 | et</t>
        </is>
      </c>
      <c r="O40" s="20" t="n">
        <v>3</v>
      </c>
      <c r="P40" s="21" t="n">
        <v>0</v>
      </c>
      <c r="Q40" t="inlineStr"/>
      <c r="R40" s="22" t="inlineStr">
        <is>
          <t>https://entrackr.com/snippets/spacetech-startup-orbitaid-raises-15-mn-led-by-unicorn-india-ventures-8622828</t>
        </is>
      </c>
    </row>
    <row r="41">
      <c r="A41" t="inlineStr">
        <is>
          <t>R250115-parkmate</t>
        </is>
      </c>
      <c r="B41" t="inlineStr">
        <is>
          <t>ParkMate</t>
        </is>
      </c>
      <c r="C41" s="17" t="n">
        <v>45672</v>
      </c>
      <c r="D41" s="18" t="n">
        <v>45658</v>
      </c>
      <c r="E41" s="19" t="n">
        <v>1.2</v>
      </c>
      <c r="F41" s="19" t="n">
        <v>10.37</v>
      </c>
      <c r="G41" t="inlineStr">
        <is>
          <t>$1.2 million</t>
        </is>
      </c>
      <c r="H41" t="inlineStr">
        <is>
          <t>Undisclosed</t>
        </is>
      </c>
      <c r="I41" t="inlineStr">
        <is>
          <t>Undisclosed</t>
        </is>
      </c>
      <c r="J41" t="inlineStr">
        <is>
          <t>Consumer Services</t>
        </is>
      </c>
      <c r="K41" t="inlineStr">
        <is>
          <t>Delhi NCR</t>
        </is>
      </c>
      <c r="L41" t="inlineStr">
        <is>
          <t>Cactus Partners; Marwah Group Family Office</t>
        </is>
      </c>
      <c r="M41" t="inlineStr">
        <is>
          <t>Cactus Partners; Venture Catalysts; Marwah Group Family Office</t>
        </is>
      </c>
      <c r="N41" t="inlineStr">
        <is>
          <t>entrackr | inc42</t>
        </is>
      </c>
      <c r="O41" s="20" t="n">
        <v>2</v>
      </c>
      <c r="P41" s="21" t="n">
        <v>0</v>
      </c>
      <c r="Q41" t="inlineStr">
        <is>
          <t>C04</t>
        </is>
      </c>
      <c r="R41" s="22" t="inlineStr">
        <is>
          <t>https://entrackr.com/snippets/cactus-partners-leads-12-mn-round-in-parkmate-8623699</t>
        </is>
      </c>
    </row>
    <row r="42">
      <c r="A42" t="inlineStr">
        <is>
          <t>R250115-sarlaaviation</t>
        </is>
      </c>
      <c r="B42" t="inlineStr">
        <is>
          <t>Sarla Aviation</t>
        </is>
      </c>
      <c r="C42" s="17" t="n">
        <v>45672</v>
      </c>
      <c r="D42" s="18" t="n">
        <v>45658</v>
      </c>
      <c r="E42" s="19" t="n">
        <v>10</v>
      </c>
      <c r="F42" s="19" t="n">
        <v>86.42</v>
      </c>
      <c r="G42" t="inlineStr">
        <is>
          <t>$10 million</t>
        </is>
      </c>
      <c r="H42" t="inlineStr">
        <is>
          <t>Series A</t>
        </is>
      </c>
      <c r="I42" t="inlineStr">
        <is>
          <t>Early</t>
        </is>
      </c>
      <c r="J42" t="inlineStr">
        <is>
          <t>Deeptech</t>
        </is>
      </c>
      <c r="K42" t="inlineStr">
        <is>
          <t>Unknown</t>
        </is>
      </c>
      <c r="L42" t="inlineStr">
        <is>
          <t>Accel</t>
        </is>
      </c>
      <c r="M42" t="inlineStr">
        <is>
          <t>Accel; Binny Bansal; Nikhil Kamath; Sriharsha Majety; Abhiraj Singh Bhal; Abhishek Goyal; Ramakant Sharma; Sujeet Kumar; Manish Agarwal; Sandeep Nailwal</t>
        </is>
      </c>
      <c r="N42" t="inlineStr">
        <is>
          <t>entrackr | inc42 | et</t>
        </is>
      </c>
      <c r="O42" s="20" t="n">
        <v>3</v>
      </c>
      <c r="P42" s="21" t="n">
        <v>0</v>
      </c>
      <c r="Q42" t="inlineStr">
        <is>
          <t>C07</t>
        </is>
      </c>
      <c r="R42" s="22" t="inlineStr">
        <is>
          <t>https://entrackr.com/snippets/aerospace-startup-sarla-aviation-raises-10-mn-led-by-accel-8622762</t>
        </is>
      </c>
    </row>
    <row r="43">
      <c r="A43" t="inlineStr">
        <is>
          <t>R250115-sukoonunlimite</t>
        </is>
      </c>
      <c r="B43" t="inlineStr">
        <is>
          <t>Sukoon Unlimited</t>
        </is>
      </c>
      <c r="C43" s="17" t="n">
        <v>45672</v>
      </c>
      <c r="D43" s="18" t="n">
        <v>45658</v>
      </c>
      <c r="E43" s="19" t="n">
        <v>0.43</v>
      </c>
      <c r="F43" s="19" t="n">
        <v>3.72</v>
      </c>
      <c r="G43" t="inlineStr">
        <is>
          <t>$430K</t>
        </is>
      </c>
      <c r="H43" t="inlineStr">
        <is>
          <t>Pre-Seed</t>
        </is>
      </c>
      <c r="I43" t="inlineStr">
        <is>
          <t>Early</t>
        </is>
      </c>
      <c r="J43" t="inlineStr">
        <is>
          <t>Consumer Services</t>
        </is>
      </c>
      <c r="K43" t="inlineStr">
        <is>
          <t>Unknown</t>
        </is>
      </c>
      <c r="L43" t="inlineStr"/>
      <c r="M43" t="inlineStr">
        <is>
          <t>Anchorage Capital Partners; Vinay Jain; Manish Dureja; Rahul Dash; Prantik Mazumdar; Neeraj Sagar; Sudhir Kamath</t>
        </is>
      </c>
      <c r="N43" t="inlineStr">
        <is>
          <t>entrackr | inc42</t>
        </is>
      </c>
      <c r="O43" s="20" t="n">
        <v>2</v>
      </c>
      <c r="P43" s="21" t="n">
        <v>0</v>
      </c>
      <c r="Q43" t="inlineStr">
        <is>
          <t>C07</t>
        </is>
      </c>
      <c r="R43" s="22" t="inlineStr">
        <is>
          <t>https://entrackr.com/snippets/agetech-startup-sukoon-unlimited-raises-pre-seed-round-8622991</t>
        </is>
      </c>
    </row>
    <row r="44">
      <c r="A44" t="inlineStr">
        <is>
          <t>R250115-tyreplex</t>
        </is>
      </c>
      <c r="B44" t="inlineStr">
        <is>
          <t>TyrePlex</t>
        </is>
      </c>
      <c r="C44" s="17" t="n">
        <v>45672</v>
      </c>
      <c r="D44" s="18" t="n">
        <v>45658</v>
      </c>
      <c r="E44" s="19" t="n">
        <v>2.314</v>
      </c>
      <c r="F44" s="19" t="n">
        <v>20</v>
      </c>
      <c r="G44" t="inlineStr">
        <is>
          <t>Rs 20 crore</t>
        </is>
      </c>
      <c r="H44" t="inlineStr">
        <is>
          <t>Undisclosed</t>
        </is>
      </c>
      <c r="I44" t="inlineStr">
        <is>
          <t>Undisclosed</t>
        </is>
      </c>
      <c r="J44" t="inlineStr">
        <is>
          <t>Ecommerce</t>
        </is>
      </c>
      <c r="K44" t="inlineStr">
        <is>
          <t>Unknown</t>
        </is>
      </c>
      <c r="L44" t="inlineStr">
        <is>
          <t>PeerCapital</t>
        </is>
      </c>
      <c r="M44" t="inlineStr">
        <is>
          <t>PeerCapital; Titan Capital Winners Fund; Sattva Family Office; 100Unicorns</t>
        </is>
      </c>
      <c r="N44" t="inlineStr">
        <is>
          <t>entrackr | inc42</t>
        </is>
      </c>
      <c r="O44" s="20" t="n">
        <v>2</v>
      </c>
      <c r="P44" s="21" t="n">
        <v>3.7</v>
      </c>
      <c r="Q44" t="inlineStr">
        <is>
          <t>C04 C07</t>
        </is>
      </c>
      <c r="R44" s="22" t="inlineStr">
        <is>
          <t>https://entrackr.com/snippets/tyreplex-raises-rs-20-cr-from-peercapital-titan-capital-winners-fund-others-8623233</t>
        </is>
      </c>
    </row>
    <row r="45">
      <c r="A45" t="inlineStr">
        <is>
          <t>R250116-astrosureai</t>
        </is>
      </c>
      <c r="B45" t="inlineStr">
        <is>
          <t>AstroSure</t>
        </is>
      </c>
      <c r="C45" s="17" t="n">
        <v>45673</v>
      </c>
      <c r="D45" s="18" t="n">
        <v>45658</v>
      </c>
      <c r="E45" s="19" t="n">
        <v>6</v>
      </c>
      <c r="F45" s="19" t="n">
        <v>51.95</v>
      </c>
      <c r="G45" t="inlineStr">
        <is>
          <t>$6 million</t>
        </is>
      </c>
      <c r="H45" t="inlineStr">
        <is>
          <t>Seed</t>
        </is>
      </c>
      <c r="I45" t="inlineStr">
        <is>
          <t>Early</t>
        </is>
      </c>
      <c r="J45" t="inlineStr">
        <is>
          <t>Consumer Services</t>
        </is>
      </c>
      <c r="K45" t="inlineStr">
        <is>
          <t>Unknown</t>
        </is>
      </c>
      <c r="L45" t="inlineStr">
        <is>
          <t>Pradeep Dadha</t>
        </is>
      </c>
      <c r="M45" t="inlineStr">
        <is>
          <t>Pradeep Dadha</t>
        </is>
      </c>
      <c r="N45" t="inlineStr">
        <is>
          <t>entrackr | inc42</t>
        </is>
      </c>
      <c r="O45" s="20" t="n">
        <v>2</v>
      </c>
      <c r="P45" s="21" t="n">
        <v>0</v>
      </c>
      <c r="Q45" t="inlineStr">
        <is>
          <t>C07</t>
        </is>
      </c>
      <c r="R45" s="22" t="inlineStr">
        <is>
          <t>https://entrackr.com/snippets/astrosureai-raises-6-mn-in-seed-round-8626771</t>
        </is>
      </c>
    </row>
    <row r="46">
      <c r="A46" t="inlineStr">
        <is>
          <t>R250116-constelli</t>
        </is>
      </c>
      <c r="B46" t="inlineStr">
        <is>
          <t>Constelli</t>
        </is>
      </c>
      <c r="C46" s="17" t="n">
        <v>45673</v>
      </c>
      <c r="D46" s="18" t="n">
        <v>45658</v>
      </c>
      <c r="E46" s="19" t="n">
        <v>3</v>
      </c>
      <c r="F46" s="19" t="n">
        <v>25.97</v>
      </c>
      <c r="G46" t="inlineStr">
        <is>
          <t>$3 million</t>
        </is>
      </c>
      <c r="H46" t="inlineStr">
        <is>
          <t>Pre-Series A</t>
        </is>
      </c>
      <c r="I46" t="inlineStr">
        <is>
          <t>Early</t>
        </is>
      </c>
      <c r="J46" t="inlineStr">
        <is>
          <t>Deeptech</t>
        </is>
      </c>
      <c r="K46" t="inlineStr">
        <is>
          <t>Hyderabad</t>
        </is>
      </c>
      <c r="L46" t="inlineStr">
        <is>
          <t>Pravega Ventures</t>
        </is>
      </c>
      <c r="M46" t="inlineStr">
        <is>
          <t>Pravega Ventures</t>
        </is>
      </c>
      <c r="N46" t="inlineStr">
        <is>
          <t>entrackr | inc42 | et</t>
        </is>
      </c>
      <c r="O46" s="20" t="n">
        <v>3</v>
      </c>
      <c r="P46" s="21" t="n">
        <v>0</v>
      </c>
      <c r="Q46" t="inlineStr"/>
      <c r="R46" s="22" t="inlineStr">
        <is>
          <t>https://economictimes.indiatimes.com/tech/funding/defence-tech-startup-constelli-raises-3-million-in-pre-series-a-round-led-by-pravega-ventures/articleshow/117304142.cms</t>
        </is>
      </c>
    </row>
    <row r="47">
      <c r="A47" t="inlineStr">
        <is>
          <t>R250116-emiza</t>
        </is>
      </c>
      <c r="B47" t="inlineStr">
        <is>
          <t>Emiza</t>
        </is>
      </c>
      <c r="C47" s="17" t="n">
        <v>45673</v>
      </c>
      <c r="D47" s="18" t="n">
        <v>45658</v>
      </c>
      <c r="E47" s="19" t="n">
        <v>5.775</v>
      </c>
      <c r="F47" s="19" t="n">
        <v>50</v>
      </c>
      <c r="G47" t="inlineStr">
        <is>
          <t>Rs 50 crore</t>
        </is>
      </c>
      <c r="H47" t="inlineStr">
        <is>
          <t>Undisclosed</t>
        </is>
      </c>
      <c r="I47" t="inlineStr">
        <is>
          <t>Undisclosed</t>
        </is>
      </c>
      <c r="J47" t="inlineStr">
        <is>
          <t>Logistics</t>
        </is>
      </c>
      <c r="K47" t="inlineStr">
        <is>
          <t>Mumbai</t>
        </is>
      </c>
      <c r="L47" t="inlineStr">
        <is>
          <t>Evolvence India</t>
        </is>
      </c>
      <c r="M47" t="inlineStr">
        <is>
          <t>Evolvence India; Mirabilis Investment</t>
        </is>
      </c>
      <c r="N47" t="inlineStr">
        <is>
          <t>entrackr</t>
        </is>
      </c>
      <c r="O47" s="20" t="n">
        <v>1</v>
      </c>
      <c r="P47" s="21" t="n">
        <v>0</v>
      </c>
      <c r="Q47" t="inlineStr">
        <is>
          <t>C04</t>
        </is>
      </c>
      <c r="R47" s="22" t="inlineStr">
        <is>
          <t>https://entrackr.com/exclusive/exclusive-emiza-supply-chain-kicks-off-new-funding-round-8625857</t>
        </is>
      </c>
    </row>
    <row r="48">
      <c r="A48" t="inlineStr">
        <is>
          <t>R250116-fambo</t>
        </is>
      </c>
      <c r="B48" t="inlineStr">
        <is>
          <t>Fambo</t>
        </is>
      </c>
      <c r="C48" s="17" t="n">
        <v>45673</v>
      </c>
      <c r="D48" s="18" t="n">
        <v>45658</v>
      </c>
      <c r="E48" s="19" t="n">
        <v>2.426</v>
      </c>
      <c r="F48" s="19" t="n">
        <v>21</v>
      </c>
      <c r="G48" t="inlineStr">
        <is>
          <t>Rs 21 crore</t>
        </is>
      </c>
      <c r="H48" t="inlineStr">
        <is>
          <t>Seed</t>
        </is>
      </c>
      <c r="I48" t="inlineStr">
        <is>
          <t>Early</t>
        </is>
      </c>
      <c r="J48" t="inlineStr">
        <is>
          <t>Agritech</t>
        </is>
      </c>
      <c r="K48" t="inlineStr">
        <is>
          <t>Delhi NCR</t>
        </is>
      </c>
      <c r="L48" t="inlineStr">
        <is>
          <t>EV2 Ventures</t>
        </is>
      </c>
      <c r="M48" t="inlineStr">
        <is>
          <t>EV2 Ventures; Rajesh Sawhney</t>
        </is>
      </c>
      <c r="N48" t="inlineStr">
        <is>
          <t>entrackr | inc42</t>
        </is>
      </c>
      <c r="O48" s="20" t="n">
        <v>2</v>
      </c>
      <c r="P48" s="21" t="n">
        <v>15.5</v>
      </c>
      <c r="Q48" t="inlineStr">
        <is>
          <t>C15 C18</t>
        </is>
      </c>
      <c r="R48" s="22" t="inlineStr">
        <is>
          <t>https://entrackr.com/snippets/foodtech-startup-fambo-raises-rs-21-cr-in-pre-series-a-funding-8626412</t>
        </is>
      </c>
    </row>
    <row r="49">
      <c r="A49" t="inlineStr">
        <is>
          <t>R250116-houseofchikank</t>
        </is>
      </c>
      <c r="B49" t="inlineStr">
        <is>
          <t>House of Chikankari</t>
        </is>
      </c>
      <c r="C49" s="17" t="n">
        <v>45673</v>
      </c>
      <c r="D49" s="18" t="n">
        <v>45658</v>
      </c>
      <c r="E49" s="19" t="n">
        <v>0.462</v>
      </c>
      <c r="F49" s="19" t="n">
        <v>4</v>
      </c>
      <c r="G49" t="inlineStr">
        <is>
          <t>Rs 4 crore</t>
        </is>
      </c>
      <c r="H49" t="inlineStr">
        <is>
          <t>Seed</t>
        </is>
      </c>
      <c r="I49" t="inlineStr">
        <is>
          <t>Early</t>
        </is>
      </c>
      <c r="J49" t="inlineStr">
        <is>
          <t>Ecommerce</t>
        </is>
      </c>
      <c r="K49" t="inlineStr">
        <is>
          <t>Delhi NCR</t>
        </is>
      </c>
      <c r="L49" t="inlineStr"/>
      <c r="M49" t="inlineStr"/>
      <c r="N49" t="inlineStr">
        <is>
          <t>entrackr</t>
        </is>
      </c>
      <c r="O49" s="20" t="n">
        <v>1</v>
      </c>
      <c r="P49" s="21" t="n">
        <v>0</v>
      </c>
      <c r="Q49" t="inlineStr">
        <is>
          <t>C05</t>
        </is>
      </c>
      <c r="R49" s="22" t="inlineStr">
        <is>
          <t>https://entrackr.com/snippets/house-of-chikankari-bags-rs-4-cr-in-seed-round-8625846</t>
        </is>
      </c>
    </row>
    <row r="50">
      <c r="A50" t="inlineStr">
        <is>
          <t>R250116-kisaansay</t>
        </is>
      </c>
      <c r="B50" t="inlineStr">
        <is>
          <t>KisaanSay</t>
        </is>
      </c>
      <c r="C50" s="17" t="n">
        <v>45673</v>
      </c>
      <c r="D50" s="18" t="n">
        <v>45658</v>
      </c>
      <c r="E50" s="19" t="n">
        <v>2</v>
      </c>
      <c r="F50" s="19" t="n">
        <v>17.32</v>
      </c>
      <c r="G50" t="inlineStr">
        <is>
          <t>$2 million</t>
        </is>
      </c>
      <c r="H50" t="inlineStr">
        <is>
          <t>Pre-Seed</t>
        </is>
      </c>
      <c r="I50" t="inlineStr">
        <is>
          <t>Early</t>
        </is>
      </c>
      <c r="J50" t="inlineStr">
        <is>
          <t>Ecommerce</t>
        </is>
      </c>
      <c r="K50" t="inlineStr">
        <is>
          <t>Delhi NCR</t>
        </is>
      </c>
      <c r="L50" t="inlineStr">
        <is>
          <t>Jungle Ventures through First Cheque@Jungle</t>
        </is>
      </c>
      <c r="M50" t="inlineStr">
        <is>
          <t>Jungle Ventures through First Cheque@Jungle</t>
        </is>
      </c>
      <c r="N50" t="inlineStr">
        <is>
          <t>entrackr</t>
        </is>
      </c>
      <c r="O50" s="20" t="n">
        <v>1</v>
      </c>
      <c r="P50" s="21" t="n">
        <v>0</v>
      </c>
      <c r="Q50" t="inlineStr"/>
      <c r="R50" s="22" t="inlineStr">
        <is>
          <t>https://entrackr.com/snippets/kisaansay-raises-2-mn-in-pre-seed-round-led-by-jungle-ventures-8625838</t>
        </is>
      </c>
    </row>
    <row r="51">
      <c r="A51" t="inlineStr">
        <is>
          <t>R250116-motorfloor</t>
        </is>
      </c>
      <c r="B51" t="inlineStr">
        <is>
          <t>Motorfloor</t>
        </is>
      </c>
      <c r="C51" s="17" t="n">
        <v>45673</v>
      </c>
      <c r="D51" s="18" t="n">
        <v>45658</v>
      </c>
      <c r="E51" s="19" t="n"/>
      <c r="F51" s="19" t="n"/>
      <c r="G51" t="inlineStr"/>
      <c r="H51" t="inlineStr">
        <is>
          <t>Pre-Seed</t>
        </is>
      </c>
      <c r="I51" t="inlineStr">
        <is>
          <t>Early</t>
        </is>
      </c>
      <c r="J51" t="inlineStr">
        <is>
          <t>Unclassified</t>
        </is>
      </c>
      <c r="K51" t="inlineStr">
        <is>
          <t>Bhubaneswar</t>
        </is>
      </c>
      <c r="L51" t="inlineStr"/>
      <c r="M51" t="inlineStr">
        <is>
          <t>PointOne Capital</t>
        </is>
      </c>
      <c r="N51" t="inlineStr">
        <is>
          <t>entrackr</t>
        </is>
      </c>
      <c r="O51" s="20" t="n">
        <v>1</v>
      </c>
      <c r="P51" s="21" t="n"/>
      <c r="Q51" t="inlineStr">
        <is>
          <t>C03 C06</t>
        </is>
      </c>
      <c r="R51" s="22" t="inlineStr">
        <is>
          <t>https://entrackr.com/snippets/autotech-startup-motorfloor-raises-pre-seed-round-8626200</t>
        </is>
      </c>
    </row>
    <row r="52">
      <c r="A52" t="inlineStr">
        <is>
          <t>R250116-wevois</t>
        </is>
      </c>
      <c r="B52" t="inlineStr">
        <is>
          <t>WeVOIS</t>
        </is>
      </c>
      <c r="C52" s="17" t="n">
        <v>45673</v>
      </c>
      <c r="D52" s="18" t="n">
        <v>45658</v>
      </c>
      <c r="E52" s="19" t="n">
        <v>4.158</v>
      </c>
      <c r="F52" s="19" t="n">
        <v>36</v>
      </c>
      <c r="G52" t="inlineStr">
        <is>
          <t>Rs 36 crore</t>
        </is>
      </c>
      <c r="H52" t="inlineStr">
        <is>
          <t>Series A</t>
        </is>
      </c>
      <c r="I52" t="inlineStr">
        <is>
          <t>Early</t>
        </is>
      </c>
      <c r="J52" t="inlineStr">
        <is>
          <t>Cleantech</t>
        </is>
      </c>
      <c r="K52" t="inlineStr">
        <is>
          <t>Unknown</t>
        </is>
      </c>
      <c r="L52" t="inlineStr">
        <is>
          <t>Negen Capital; Vyom Wealth</t>
        </is>
      </c>
      <c r="M52" t="inlineStr">
        <is>
          <t>Negen Capital; Vyom Wealth; Venture Catalysts; SN Capital; Warmup Ventures; Marsshot Ventures</t>
        </is>
      </c>
      <c r="N52" t="inlineStr">
        <is>
          <t>entrackr | inc42</t>
        </is>
      </c>
      <c r="O52" s="20" t="n">
        <v>2</v>
      </c>
      <c r="P52" s="21" t="n">
        <v>1</v>
      </c>
      <c r="Q52" t="inlineStr">
        <is>
          <t>C07</t>
        </is>
      </c>
      <c r="R52" s="22" t="inlineStr">
        <is>
          <t>https://entrackr.com/snippets/wevois-raises-rs-36-cr-in-series-a-round-from-negen-capital-8626156</t>
        </is>
      </c>
    </row>
    <row r="53">
      <c r="A53" t="inlineStr">
        <is>
          <t>R250116-zerocircle</t>
        </is>
      </c>
      <c r="B53" t="inlineStr">
        <is>
          <t>Zerocircle</t>
        </is>
      </c>
      <c r="C53" s="17" t="n">
        <v>45673</v>
      </c>
      <c r="D53" s="18" t="n">
        <v>45658</v>
      </c>
      <c r="E53" s="19" t="n">
        <v>2.31</v>
      </c>
      <c r="F53" s="19" t="n">
        <v>20</v>
      </c>
      <c r="G53" t="inlineStr">
        <is>
          <t>Rs 20 crore</t>
        </is>
      </c>
      <c r="H53" t="inlineStr">
        <is>
          <t>Undisclosed</t>
        </is>
      </c>
      <c r="I53" t="inlineStr">
        <is>
          <t>Undisclosed</t>
        </is>
      </c>
      <c r="J53" t="inlineStr">
        <is>
          <t>Cleantech</t>
        </is>
      </c>
      <c r="K53" t="inlineStr">
        <is>
          <t>Pune</t>
        </is>
      </c>
      <c r="L53" t="inlineStr">
        <is>
          <t>Rainmatter</t>
        </is>
      </c>
      <c r="M53" t="inlineStr">
        <is>
          <t>Rainmatter; VC Grid; 7th Gen Ventures</t>
        </is>
      </c>
      <c r="N53" t="inlineStr">
        <is>
          <t>entrackr | et</t>
        </is>
      </c>
      <c r="O53" s="20" t="n">
        <v>2</v>
      </c>
      <c r="P53" s="21" t="n">
        <v>0</v>
      </c>
      <c r="Q53" t="inlineStr">
        <is>
          <t>C04</t>
        </is>
      </c>
      <c r="R53" s="22" t="inlineStr">
        <is>
          <t>https://entrackr.com/snippets/biotech-startup-zerocircle-raises-rs-20-cr-led-by-rainmatter-8626169</t>
        </is>
      </c>
    </row>
    <row r="54">
      <c r="A54" t="inlineStr">
        <is>
          <t>R250122-namdevfinvest</t>
        </is>
      </c>
      <c r="B54" t="inlineStr">
        <is>
          <t>Namdev Finvest</t>
        </is>
      </c>
      <c r="C54" s="17" t="n">
        <v>45673</v>
      </c>
      <c r="D54" s="18" t="n">
        <v>45658</v>
      </c>
      <c r="E54" s="19" t="n">
        <v>38</v>
      </c>
      <c r="F54" s="19" t="n">
        <v>329</v>
      </c>
      <c r="G54" t="inlineStr">
        <is>
          <t>$38 Mn</t>
        </is>
      </c>
      <c r="H54" t="inlineStr">
        <is>
          <t>Debt</t>
        </is>
      </c>
      <c r="I54" t="inlineStr">
        <is>
          <t>Debt</t>
        </is>
      </c>
      <c r="J54" t="inlineStr">
        <is>
          <t>Fintech</t>
        </is>
      </c>
      <c r="K54" t="inlineStr">
        <is>
          <t>Jaipur</t>
        </is>
      </c>
      <c r="L54" t="inlineStr"/>
      <c r="M54" t="inlineStr">
        <is>
          <t>Developing World Markets; BlueOrchard; Mirova</t>
        </is>
      </c>
      <c r="N54" t="inlineStr">
        <is>
          <t>inc42 | vccircle</t>
        </is>
      </c>
      <c r="O54" s="20" t="n">
        <v>2</v>
      </c>
      <c r="P54" s="21" t="n">
        <v>0</v>
      </c>
      <c r="Q54" t="inlineStr"/>
      <c r="R54" s="22" t="inlineStr">
        <is>
          <t>https://www.vccircle.com/majinvest-bii-backed-namdev-finvest-pushes-back-fundraising-plan</t>
        </is>
      </c>
    </row>
    <row r="55">
      <c r="A55" t="inlineStr">
        <is>
          <t>R250117-boltearth</t>
        </is>
      </c>
      <c r="B55" t="inlineStr">
        <is>
          <t>Bolt.Earth</t>
        </is>
      </c>
      <c r="C55" s="17" t="n">
        <v>45674</v>
      </c>
      <c r="D55" s="18" t="n">
        <v>45658</v>
      </c>
      <c r="E55" s="19" t="n">
        <v>5</v>
      </c>
      <c r="F55" s="19" t="n">
        <v>43.31</v>
      </c>
      <c r="G55" t="inlineStr">
        <is>
          <t>$5 Mn</t>
        </is>
      </c>
      <c r="H55" t="inlineStr">
        <is>
          <t>Series A</t>
        </is>
      </c>
      <c r="I55" t="inlineStr">
        <is>
          <t>Early</t>
        </is>
      </c>
      <c r="J55" t="inlineStr">
        <is>
          <t>Cleantech</t>
        </is>
      </c>
      <c r="K55" t="inlineStr">
        <is>
          <t>Unknown</t>
        </is>
      </c>
      <c r="L55" t="inlineStr">
        <is>
          <t>Version One Ventures</t>
        </is>
      </c>
      <c r="M55" t="inlineStr">
        <is>
          <t>Version One Ventures; Union Square Ventures; Prime Venture Partners</t>
        </is>
      </c>
      <c r="N55" t="inlineStr">
        <is>
          <t>inc42</t>
        </is>
      </c>
      <c r="O55" s="20" t="n">
        <v>1</v>
      </c>
      <c r="P55" s="21" t="n">
        <v>0</v>
      </c>
      <c r="Q55" t="inlineStr">
        <is>
          <t>C07</t>
        </is>
      </c>
      <c r="R55" s="22" t="inlineStr">
        <is>
          <t>https://inc42.com/buzz/from-netradyne-to-foxtale-indian-startups-raised-308-mn-this-week/</t>
        </is>
      </c>
    </row>
    <row r="56">
      <c r="A56" t="inlineStr">
        <is>
          <t>R250117-captainfresh</t>
        </is>
      </c>
      <c r="B56" t="inlineStr">
        <is>
          <t>Captain Fresh</t>
        </is>
      </c>
      <c r="C56" s="17" t="n">
        <v>45674</v>
      </c>
      <c r="D56" s="18" t="n">
        <v>45658</v>
      </c>
      <c r="E56" s="19" t="n">
        <v>2.3</v>
      </c>
      <c r="F56" s="19" t="n">
        <v>19.92</v>
      </c>
      <c r="G56" t="inlineStr">
        <is>
          <t>$2.3 Mn</t>
        </is>
      </c>
      <c r="H56" t="inlineStr">
        <is>
          <t>Debt</t>
        </is>
      </c>
      <c r="I56" t="inlineStr">
        <is>
          <t>Debt</t>
        </is>
      </c>
      <c r="J56" t="inlineStr">
        <is>
          <t>Agritech</t>
        </is>
      </c>
      <c r="K56" t="inlineStr">
        <is>
          <t>Bengaluru</t>
        </is>
      </c>
      <c r="L56" t="inlineStr">
        <is>
          <t>VentureSoul Partners</t>
        </is>
      </c>
      <c r="M56" t="inlineStr">
        <is>
          <t>VentureSoul Partners</t>
        </is>
      </c>
      <c r="N56" t="inlineStr">
        <is>
          <t>inc42</t>
        </is>
      </c>
      <c r="O56" s="20" t="n">
        <v>1</v>
      </c>
      <c r="P56" s="21" t="n">
        <v>0</v>
      </c>
      <c r="Q56" t="inlineStr"/>
      <c r="R56" s="22" t="inlineStr">
        <is>
          <t>https://inc42.com/buzz/from-netradyne-to-foxtale-indian-startups-raised-308-mn-this-week/</t>
        </is>
      </c>
    </row>
    <row r="57">
      <c r="A57" t="inlineStr">
        <is>
          <t>R250117-catalyxspace</t>
        </is>
      </c>
      <c r="B57" t="inlineStr">
        <is>
          <t>Catalyx Space</t>
        </is>
      </c>
      <c r="C57" s="17" t="n">
        <v>45674</v>
      </c>
      <c r="D57" s="18" t="n">
        <v>45658</v>
      </c>
      <c r="E57" s="19" t="n">
        <v>1.7</v>
      </c>
      <c r="F57" s="19" t="n">
        <v>14.73</v>
      </c>
      <c r="G57" t="inlineStr">
        <is>
          <t>$1.7 Mn</t>
        </is>
      </c>
      <c r="H57" t="inlineStr">
        <is>
          <t>Pre-Seed</t>
        </is>
      </c>
      <c r="I57" t="inlineStr">
        <is>
          <t>Early</t>
        </is>
      </c>
      <c r="J57" t="inlineStr">
        <is>
          <t>Deeptech</t>
        </is>
      </c>
      <c r="K57" t="inlineStr">
        <is>
          <t>Unknown</t>
        </is>
      </c>
      <c r="L57" t="inlineStr">
        <is>
          <t>HF0 Residency</t>
        </is>
      </c>
      <c r="M57" t="inlineStr">
        <is>
          <t>HF0 Residency</t>
        </is>
      </c>
      <c r="N57" t="inlineStr">
        <is>
          <t>inc42</t>
        </is>
      </c>
      <c r="O57" s="20" t="n">
        <v>1</v>
      </c>
      <c r="P57" s="21" t="n">
        <v>0</v>
      </c>
      <c r="Q57" t="inlineStr">
        <is>
          <t>C07</t>
        </is>
      </c>
      <c r="R57" s="22" t="inlineStr">
        <is>
          <t>https://inc42.com/buzz/from-netradyne-to-foxtale-indian-startups-raised-308-mn-this-week/</t>
        </is>
      </c>
    </row>
    <row r="58">
      <c r="A58" t="inlineStr">
        <is>
          <t>R250117-netradyne</t>
        </is>
      </c>
      <c r="B58" t="inlineStr">
        <is>
          <t>Netradyne</t>
        </is>
      </c>
      <c r="C58" s="17" t="n">
        <v>45674</v>
      </c>
      <c r="D58" s="18" t="n">
        <v>45658</v>
      </c>
      <c r="E58" s="19" t="n">
        <v>90</v>
      </c>
      <c r="F58" s="19" t="n">
        <v>779.58</v>
      </c>
      <c r="G58" t="inlineStr">
        <is>
          <t>$90 million</t>
        </is>
      </c>
      <c r="H58" t="inlineStr">
        <is>
          <t>Series D</t>
        </is>
      </c>
      <c r="I58" t="inlineStr">
        <is>
          <t>Late</t>
        </is>
      </c>
      <c r="J58" t="inlineStr">
        <is>
          <t>Logistics</t>
        </is>
      </c>
      <c r="K58" t="inlineStr">
        <is>
          <t>Unknown</t>
        </is>
      </c>
      <c r="L58" t="inlineStr">
        <is>
          <t>Point72 Private Investments</t>
        </is>
      </c>
      <c r="M58" t="inlineStr">
        <is>
          <t>Point72 Private Investments; Qualcomm Ventures; Pavilion Capital</t>
        </is>
      </c>
      <c r="N58" t="inlineStr">
        <is>
          <t>entrackr | inc42 | et</t>
        </is>
      </c>
      <c r="O58" s="20" t="n">
        <v>3</v>
      </c>
      <c r="P58" s="21" t="n">
        <v>0</v>
      </c>
      <c r="Q58" t="inlineStr">
        <is>
          <t>C07</t>
        </is>
      </c>
      <c r="R58" s="22" t="inlineStr">
        <is>
          <t>https://entrackr.com/news/reliance-and-softbank-backed-netradyne-raises-90-mn-in-series-d-8629017</t>
        </is>
      </c>
    </row>
    <row r="59">
      <c r="A59" t="inlineStr">
        <is>
          <t>R250117-trezix</t>
        </is>
      </c>
      <c r="B59" t="inlineStr">
        <is>
          <t>TreZix</t>
        </is>
      </c>
      <c r="C59" s="17" t="n">
        <v>45674</v>
      </c>
      <c r="D59" s="18" t="n">
        <v>45658</v>
      </c>
      <c r="E59" s="19" t="n">
        <v>2</v>
      </c>
      <c r="F59" s="19" t="n">
        <v>17.32</v>
      </c>
      <c r="G59" t="inlineStr">
        <is>
          <t>$2 Mn</t>
        </is>
      </c>
      <c r="H59" t="inlineStr">
        <is>
          <t>Seed</t>
        </is>
      </c>
      <c r="I59" t="inlineStr">
        <is>
          <t>Early</t>
        </is>
      </c>
      <c r="J59" t="inlineStr">
        <is>
          <t>Enterprise Tech</t>
        </is>
      </c>
      <c r="K59" t="inlineStr">
        <is>
          <t>Unknown</t>
        </is>
      </c>
      <c r="L59" t="inlineStr">
        <is>
          <t>Morphosis Venture Capital; Pentathlon Ventures</t>
        </is>
      </c>
      <c r="M59" t="inlineStr">
        <is>
          <t>Morphosis Venture Capital; Pentathlon Ventures</t>
        </is>
      </c>
      <c r="N59" t="inlineStr">
        <is>
          <t>inc42</t>
        </is>
      </c>
      <c r="O59" s="20" t="n">
        <v>1</v>
      </c>
      <c r="P59" s="21" t="n">
        <v>0</v>
      </c>
      <c r="Q59" t="inlineStr">
        <is>
          <t>C07</t>
        </is>
      </c>
      <c r="R59" s="22" t="inlineStr">
        <is>
          <t>https://inc42.com/buzz/from-netradyne-to-foxtale-indian-startups-raised-308-mn-this-week/</t>
        </is>
      </c>
    </row>
    <row r="60">
      <c r="A60" t="inlineStr">
        <is>
          <t>R250118-gridos</t>
        </is>
      </c>
      <c r="B60" t="inlineStr">
        <is>
          <t>Grid OS</t>
        </is>
      </c>
      <c r="C60" s="17" t="n">
        <v>45675</v>
      </c>
      <c r="D60" s="18" t="n">
        <v>45658</v>
      </c>
      <c r="E60" s="19" t="n">
        <v>0.5</v>
      </c>
      <c r="F60" s="19" t="n">
        <v>4.33</v>
      </c>
      <c r="G60" t="inlineStr">
        <is>
          <t>$500,000</t>
        </is>
      </c>
      <c r="H60" t="inlineStr">
        <is>
          <t>Undisclosed</t>
        </is>
      </c>
      <c r="I60" t="inlineStr">
        <is>
          <t>Undisclosed</t>
        </is>
      </c>
      <c r="J60" t="inlineStr">
        <is>
          <t>Unclassified</t>
        </is>
      </c>
      <c r="K60" t="inlineStr">
        <is>
          <t>Delhi NCR</t>
        </is>
      </c>
      <c r="L60" t="inlineStr">
        <is>
          <t>Anupam Mittal; All In Capital</t>
        </is>
      </c>
      <c r="M60" t="inlineStr">
        <is>
          <t>Anupam Mittal; All In Capital; Pravin Jadhav</t>
        </is>
      </c>
      <c r="N60" t="inlineStr">
        <is>
          <t>et</t>
        </is>
      </c>
      <c r="O60" s="20" t="n">
        <v>1</v>
      </c>
      <c r="P60" s="21" t="n">
        <v>0</v>
      </c>
      <c r="Q60" t="inlineStr">
        <is>
          <t>C04 C06</t>
        </is>
      </c>
      <c r="R60" s="22" t="inlineStr">
        <is>
          <t>https://economictimes.indiatimes.com/tech/funding/electronics-manufacturing-startup-grid-os-raises-500000-in-round-led-by-anupam-mittal-all-in-capital/articleshow/117352343.cms</t>
        </is>
      </c>
    </row>
    <row r="61">
      <c r="A61" t="inlineStr">
        <is>
          <t>R250120-bprhub</t>
        </is>
      </c>
      <c r="B61" t="inlineStr">
        <is>
          <t>BPR Hub</t>
        </is>
      </c>
      <c r="C61" s="17" t="n">
        <v>45677</v>
      </c>
      <c r="D61" s="18" t="n">
        <v>45658</v>
      </c>
      <c r="E61" s="19" t="n">
        <v>2.6</v>
      </c>
      <c r="F61" s="19" t="n">
        <v>22.5</v>
      </c>
      <c r="G61" t="inlineStr">
        <is>
          <t>$2.6 million</t>
        </is>
      </c>
      <c r="H61" t="inlineStr">
        <is>
          <t>Seed</t>
        </is>
      </c>
      <c r="I61" t="inlineStr">
        <is>
          <t>Early</t>
        </is>
      </c>
      <c r="J61" t="inlineStr">
        <is>
          <t>Unclassified</t>
        </is>
      </c>
      <c r="K61" t="inlineStr">
        <is>
          <t>Bengaluru</t>
        </is>
      </c>
      <c r="L61" t="inlineStr">
        <is>
          <t>Accel; Kae Capital</t>
        </is>
      </c>
      <c r="M61" t="inlineStr">
        <is>
          <t>Accel; Kae Capital</t>
        </is>
      </c>
      <c r="N61" t="inlineStr">
        <is>
          <t>entrackr | et</t>
        </is>
      </c>
      <c r="O61" s="20" t="n">
        <v>2</v>
      </c>
      <c r="P61" s="21" t="n">
        <v>0</v>
      </c>
      <c r="Q61" t="inlineStr">
        <is>
          <t>C06</t>
        </is>
      </c>
      <c r="R61" s="22" t="inlineStr">
        <is>
          <t>https://entrackr.com/snippets/bpr-hub-raises-26-mn-led-by-accel-and-kae-capital-8638299</t>
        </is>
      </c>
    </row>
    <row r="62">
      <c r="A62" t="inlineStr">
        <is>
          <t>R250120-burmaburma</t>
        </is>
      </c>
      <c r="B62" t="inlineStr">
        <is>
          <t>Burma Burma</t>
        </is>
      </c>
      <c r="C62" s="17" t="n">
        <v>45677</v>
      </c>
      <c r="D62" s="18" t="n">
        <v>45658</v>
      </c>
      <c r="E62" s="19" t="n">
        <v>3</v>
      </c>
      <c r="F62" s="19" t="n">
        <v>25.96</v>
      </c>
      <c r="G62" t="inlineStr">
        <is>
          <t>$3 Mn</t>
        </is>
      </c>
      <c r="H62" t="inlineStr">
        <is>
          <t>Undisclosed</t>
        </is>
      </c>
      <c r="I62" t="inlineStr">
        <is>
          <t>Undisclosed</t>
        </is>
      </c>
      <c r="J62" t="inlineStr">
        <is>
          <t>Consumer Services</t>
        </is>
      </c>
      <c r="K62" t="inlineStr">
        <is>
          <t>Unknown</t>
        </is>
      </c>
      <c r="L62" t="inlineStr"/>
      <c r="M62" t="inlineStr">
        <is>
          <t>Negen Capital; NV Alpha Fund Management</t>
        </is>
      </c>
      <c r="N62" t="inlineStr">
        <is>
          <t>inc42</t>
        </is>
      </c>
      <c r="O62" s="20" t="n">
        <v>1</v>
      </c>
      <c r="P62" s="21" t="n">
        <v>0</v>
      </c>
      <c r="Q62" t="inlineStr">
        <is>
          <t>C04 C07</t>
        </is>
      </c>
      <c r="R62" s="22" t="inlineStr">
        <is>
          <t>https://inc42.com/buzz/from-infra-market-to-arisinfra-indian-startups-raised-275-mn-this-week/</t>
        </is>
      </c>
    </row>
    <row r="63">
      <c r="A63" t="inlineStr">
        <is>
          <t>R250120-kisankonnect</t>
        </is>
      </c>
      <c r="B63" t="inlineStr">
        <is>
          <t>KisanKonnect</t>
        </is>
      </c>
      <c r="C63" s="17" t="n">
        <v>45677</v>
      </c>
      <c r="D63" s="18" t="n">
        <v>45658</v>
      </c>
      <c r="E63" s="19" t="n">
        <v>4.5</v>
      </c>
      <c r="F63" s="19" t="n">
        <v>38.94</v>
      </c>
      <c r="G63" t="inlineStr">
        <is>
          <t>$4.5 million</t>
        </is>
      </c>
      <c r="H63" t="inlineStr">
        <is>
          <t>Series A</t>
        </is>
      </c>
      <c r="I63" t="inlineStr">
        <is>
          <t>Early</t>
        </is>
      </c>
      <c r="J63" t="inlineStr">
        <is>
          <t>Agritech</t>
        </is>
      </c>
      <c r="K63" t="inlineStr">
        <is>
          <t>Unknown</t>
        </is>
      </c>
      <c r="L63" t="inlineStr">
        <is>
          <t>Mistry Ventures</t>
        </is>
      </c>
      <c r="M63" t="inlineStr">
        <is>
          <t>Mistry Ventures; Brand Capital; VC-Grid; Vishwang Desai; Shilpa Shetty</t>
        </is>
      </c>
      <c r="N63" t="inlineStr">
        <is>
          <t>entrackr | inc42</t>
        </is>
      </c>
      <c r="O63" s="20" t="n">
        <v>2</v>
      </c>
      <c r="P63" s="21" t="n">
        <v>0</v>
      </c>
      <c r="Q63" t="inlineStr">
        <is>
          <t>C07</t>
        </is>
      </c>
      <c r="R63" s="22" t="inlineStr">
        <is>
          <t>https://entrackr.com/snippets/mistry-ventures-leads-45-mn-round-in-kisankonnect-8637095</t>
        </is>
      </c>
    </row>
    <row r="64">
      <c r="A64" t="inlineStr">
        <is>
          <t>R250120-krvvy</t>
        </is>
      </c>
      <c r="B64" t="inlineStr">
        <is>
          <t>Krvvy</t>
        </is>
      </c>
      <c r="C64" s="17" t="n">
        <v>45677</v>
      </c>
      <c r="D64" s="18" t="n">
        <v>45658</v>
      </c>
      <c r="E64" s="19" t="n">
        <v>0.705</v>
      </c>
      <c r="F64" s="19" t="n">
        <v>6.1</v>
      </c>
      <c r="G64" t="inlineStr">
        <is>
          <t>Rs 6.1 crore</t>
        </is>
      </c>
      <c r="H64" t="inlineStr">
        <is>
          <t>Pre-Seed</t>
        </is>
      </c>
      <c r="I64" t="inlineStr">
        <is>
          <t>Early</t>
        </is>
      </c>
      <c r="J64" t="inlineStr">
        <is>
          <t>Ecommerce</t>
        </is>
      </c>
      <c r="K64" t="inlineStr">
        <is>
          <t>Unknown</t>
        </is>
      </c>
      <c r="L64" t="inlineStr">
        <is>
          <t>Titan Capital; All In Capital</t>
        </is>
      </c>
      <c r="M64" t="inlineStr">
        <is>
          <t>Titan Capital; All In Capital; Nikita Gupta; Emmanuel Suraj; Anuj Jain; Anubhav Arora; Anubhav Jain</t>
        </is>
      </c>
      <c r="N64" t="inlineStr">
        <is>
          <t>entrackr | et</t>
        </is>
      </c>
      <c r="O64" s="20" t="n">
        <v>2</v>
      </c>
      <c r="P64" s="21" t="n">
        <v>0</v>
      </c>
      <c r="Q64" t="inlineStr">
        <is>
          <t>C07</t>
        </is>
      </c>
      <c r="R64" s="22" t="inlineStr">
        <is>
          <t>https://entrackr.com/snippets/krvvy-raises-rs-61-cr-from-titan-capital-and-all-in-capital-8636581</t>
        </is>
      </c>
    </row>
    <row r="65">
      <c r="A65" t="inlineStr">
        <is>
          <t>R250120-nazara</t>
        </is>
      </c>
      <c r="B65" t="inlineStr">
        <is>
          <t>Nazara</t>
        </is>
      </c>
      <c r="C65" s="17" t="n">
        <v>45677</v>
      </c>
      <c r="D65" s="18" t="n">
        <v>45658</v>
      </c>
      <c r="E65" s="19" t="n">
        <v>57.199</v>
      </c>
      <c r="F65" s="19" t="n">
        <v>495</v>
      </c>
      <c r="G65" t="inlineStr">
        <is>
          <t>Rs 495 crore</t>
        </is>
      </c>
      <c r="H65" t="inlineStr">
        <is>
          <t>Undisclosed</t>
        </is>
      </c>
      <c r="I65" t="inlineStr">
        <is>
          <t>Undisclosed</t>
        </is>
      </c>
      <c r="J65" t="inlineStr">
        <is>
          <t>Media &amp; Entertainment</t>
        </is>
      </c>
      <c r="K65" t="inlineStr">
        <is>
          <t>Outside India</t>
        </is>
      </c>
      <c r="L65" t="inlineStr">
        <is>
          <t>Axana Estates LLP; Arpit Khandelwal; Mithun Sacheti</t>
        </is>
      </c>
      <c r="M65" t="inlineStr">
        <is>
          <t>Axana Estates LLP; Arpit Khandelwal; Mithun Sacheti</t>
        </is>
      </c>
      <c r="N65" t="inlineStr">
        <is>
          <t>entrackr | et</t>
        </is>
      </c>
      <c r="O65" s="20" t="n">
        <v>2</v>
      </c>
      <c r="P65" s="21" t="n">
        <v>0</v>
      </c>
      <c r="Q65" t="inlineStr">
        <is>
          <t>C04 C17</t>
        </is>
      </c>
      <c r="R65" s="22" t="inlineStr">
        <is>
          <t>https://entrackr.com/news/nazara-raises-rs-495-cr-from-arpit-khandelwal-and-mithun-sacheti-led-axana-estates-8637532</t>
        </is>
      </c>
    </row>
    <row r="66">
      <c r="A66" t="inlineStr">
        <is>
          <t>R250120-prantaesolutio</t>
        </is>
      </c>
      <c r="B66" t="inlineStr">
        <is>
          <t>Prantae Solutions</t>
        </is>
      </c>
      <c r="C66" s="17" t="n">
        <v>45677</v>
      </c>
      <c r="D66" s="18" t="n">
        <v>45658</v>
      </c>
      <c r="E66" s="19" t="n">
        <v>0.578</v>
      </c>
      <c r="F66" s="19" t="n">
        <v>5</v>
      </c>
      <c r="G66" t="inlineStr">
        <is>
          <t>Rs 5 crore</t>
        </is>
      </c>
      <c r="H66" t="inlineStr">
        <is>
          <t>Seed</t>
        </is>
      </c>
      <c r="I66" t="inlineStr">
        <is>
          <t>Early</t>
        </is>
      </c>
      <c r="J66" t="inlineStr">
        <is>
          <t>Healthtech</t>
        </is>
      </c>
      <c r="K66" t="inlineStr">
        <is>
          <t>Bhubaneswar</t>
        </is>
      </c>
      <c r="L66" t="inlineStr">
        <is>
          <t>IAN Group</t>
        </is>
      </c>
      <c r="M66" t="inlineStr">
        <is>
          <t>IAN Group; Samir Kalia; Deepank Kumar; Nitin Zamre</t>
        </is>
      </c>
      <c r="N66" t="inlineStr">
        <is>
          <t>entrackr | inc42</t>
        </is>
      </c>
      <c r="O66" s="20" t="n">
        <v>2</v>
      </c>
      <c r="P66" s="21" t="n">
        <v>0.4</v>
      </c>
      <c r="Q66" t="inlineStr"/>
      <c r="R66" s="22" t="inlineStr">
        <is>
          <t>https://entrackr.com/snippets/prantae-solutions-saises-seed-round-from-ian-group-8637291</t>
        </is>
      </c>
    </row>
    <row r="67">
      <c r="A67" t="inlineStr">
        <is>
          <t>R250120-procureyard</t>
        </is>
      </c>
      <c r="B67" t="inlineStr">
        <is>
          <t>ProcureYard</t>
        </is>
      </c>
      <c r="C67" s="17" t="n">
        <v>45677</v>
      </c>
      <c r="D67" s="18" t="n">
        <v>45658</v>
      </c>
      <c r="E67" s="19" t="n">
        <v>1.72</v>
      </c>
      <c r="F67" s="19" t="n">
        <v>14.88</v>
      </c>
      <c r="G67" t="inlineStr">
        <is>
          <t>$1.72 million</t>
        </is>
      </c>
      <c r="H67" t="inlineStr">
        <is>
          <t>Seed</t>
        </is>
      </c>
      <c r="I67" t="inlineStr">
        <is>
          <t>Early</t>
        </is>
      </c>
      <c r="J67" t="inlineStr">
        <is>
          <t>Ecommerce</t>
        </is>
      </c>
      <c r="K67" t="inlineStr">
        <is>
          <t>Unknown</t>
        </is>
      </c>
      <c r="L67" t="inlineStr">
        <is>
          <t>Powerhouse Ventures</t>
        </is>
      </c>
      <c r="M67" t="inlineStr">
        <is>
          <t>Powerhouse Ventures; Java Capital; 2am VC; Abhishek Goyal; Rajesh Sawhney; Tracxn; GSF</t>
        </is>
      </c>
      <c r="N67" t="inlineStr">
        <is>
          <t>entrackr | inc42</t>
        </is>
      </c>
      <c r="O67" s="20" t="n">
        <v>2</v>
      </c>
      <c r="P67" s="21" t="n">
        <v>1.2</v>
      </c>
      <c r="Q67" t="inlineStr">
        <is>
          <t>C07</t>
        </is>
      </c>
      <c r="R67" s="22" t="inlineStr">
        <is>
          <t>https://entrackr.com/snippets/procureyard-raises-172-mn-in-seed-round-8636600</t>
        </is>
      </c>
    </row>
    <row r="68">
      <c r="A68" t="inlineStr">
        <is>
          <t>R250121-chelviescoffee</t>
        </is>
      </c>
      <c r="B68" t="inlineStr">
        <is>
          <t>Chelvies Coffee</t>
        </is>
      </c>
      <c r="C68" s="17" t="n">
        <v>45678</v>
      </c>
      <c r="D68" s="18" t="n">
        <v>45658</v>
      </c>
      <c r="E68" s="19" t="n">
        <v>1</v>
      </c>
      <c r="F68" s="19" t="n">
        <v>8.66</v>
      </c>
      <c r="G68" t="inlineStr">
        <is>
          <t>$1 million</t>
        </is>
      </c>
      <c r="H68" t="inlineStr">
        <is>
          <t>Pre-Series A</t>
        </is>
      </c>
      <c r="I68" t="inlineStr">
        <is>
          <t>Early</t>
        </is>
      </c>
      <c r="J68" t="inlineStr">
        <is>
          <t>Consumer Services</t>
        </is>
      </c>
      <c r="K68" t="inlineStr">
        <is>
          <t>Delhi NCR</t>
        </is>
      </c>
      <c r="L68" t="inlineStr">
        <is>
          <t>Endurance Capital</t>
        </is>
      </c>
      <c r="M68" t="inlineStr">
        <is>
          <t>Endurance Capital</t>
        </is>
      </c>
      <c r="N68" t="inlineStr">
        <is>
          <t>entrackr | inc42</t>
        </is>
      </c>
      <c r="O68" s="20" t="n">
        <v>2</v>
      </c>
      <c r="P68" s="21" t="n">
        <v>0</v>
      </c>
      <c r="Q68" t="inlineStr"/>
      <c r="R68" s="22" t="inlineStr">
        <is>
          <t>https://entrackr.com/snippets/chelvies-coffee-raises-1-mn-in-pre-series-a-round-8640133</t>
        </is>
      </c>
    </row>
    <row r="69">
      <c r="A69" t="inlineStr">
        <is>
          <t>R250121-joyspoon</t>
        </is>
      </c>
      <c r="B69" t="inlineStr">
        <is>
          <t>JoySpoon</t>
        </is>
      </c>
      <c r="C69" s="17" t="n">
        <v>45678</v>
      </c>
      <c r="D69" s="18" t="n">
        <v>45658</v>
      </c>
      <c r="E69" s="19" t="n">
        <v>0.065</v>
      </c>
      <c r="F69" s="19" t="n">
        <v>0.5600000000000001</v>
      </c>
      <c r="G69" t="inlineStr">
        <is>
          <t>Rs 56 lakhs</t>
        </is>
      </c>
      <c r="H69" t="inlineStr">
        <is>
          <t>Seed</t>
        </is>
      </c>
      <c r="I69" t="inlineStr">
        <is>
          <t>Early</t>
        </is>
      </c>
      <c r="J69" t="inlineStr">
        <is>
          <t>Ecommerce</t>
        </is>
      </c>
      <c r="K69" t="inlineStr">
        <is>
          <t>Unknown</t>
        </is>
      </c>
      <c r="L69" t="inlineStr">
        <is>
          <t>Dishit Nathwani</t>
        </is>
      </c>
      <c r="M69" t="inlineStr">
        <is>
          <t>Dishit Nathwani; Prateek Toshniwal; Abhinav Jain; Ankit Jain; CFOs at CoinDCX; PharmEasy</t>
        </is>
      </c>
      <c r="N69" t="inlineStr">
        <is>
          <t>entrackr | inc42</t>
        </is>
      </c>
      <c r="O69" s="20" t="n">
        <v>2</v>
      </c>
      <c r="P69" s="21" t="n">
        <v>224.7</v>
      </c>
      <c r="Q69" t="inlineStr">
        <is>
          <t>C07 C11 C15</t>
        </is>
      </c>
      <c r="R69" s="22" t="inlineStr">
        <is>
          <t>https://entrackr.com/snippets/joyspoon-raises-more-money-in-seed-round-8639852</t>
        </is>
      </c>
    </row>
    <row r="70">
      <c r="A70" t="inlineStr">
        <is>
          <t>R250121-postudio</t>
        </is>
      </c>
      <c r="B70" t="inlineStr">
        <is>
          <t>Postudio</t>
        </is>
      </c>
      <c r="C70" s="17" t="n">
        <v>45678</v>
      </c>
      <c r="D70" s="18" t="n">
        <v>45658</v>
      </c>
      <c r="E70" s="19" t="n">
        <v>1</v>
      </c>
      <c r="F70" s="19" t="n">
        <v>8.66</v>
      </c>
      <c r="G70" t="inlineStr">
        <is>
          <t>$1 million</t>
        </is>
      </c>
      <c r="H70" t="inlineStr">
        <is>
          <t>Pre-Seed</t>
        </is>
      </c>
      <c r="I70" t="inlineStr">
        <is>
          <t>Early</t>
        </is>
      </c>
      <c r="J70" t="inlineStr">
        <is>
          <t>Enterprise Tech</t>
        </is>
      </c>
      <c r="K70" t="inlineStr">
        <is>
          <t>Unknown</t>
        </is>
      </c>
      <c r="L70" t="inlineStr">
        <is>
          <t>Audacity Venture Capital</t>
        </is>
      </c>
      <c r="M70" t="inlineStr">
        <is>
          <t>Audacity Venture Capital</t>
        </is>
      </c>
      <c r="N70" t="inlineStr">
        <is>
          <t>entrackr | et</t>
        </is>
      </c>
      <c r="O70" s="20" t="n">
        <v>2</v>
      </c>
      <c r="P70" s="21" t="n">
        <v>0</v>
      </c>
      <c r="Q70" t="inlineStr">
        <is>
          <t>C07</t>
        </is>
      </c>
      <c r="R70" s="22" t="inlineStr">
        <is>
          <t>https://entrackr.com/snippets/postudio-raises-1-mn-in-pre-seed-funding-8639868</t>
        </is>
      </c>
    </row>
    <row r="71">
      <c r="A71" t="inlineStr">
        <is>
          <t>R250121-snabbit</t>
        </is>
      </c>
      <c r="B71" t="inlineStr">
        <is>
          <t>Snabbit</t>
        </is>
      </c>
      <c r="C71" s="17" t="n">
        <v>45678</v>
      </c>
      <c r="D71" s="18" t="n">
        <v>45658</v>
      </c>
      <c r="E71" s="19" t="n">
        <v>5.5</v>
      </c>
      <c r="F71" s="19" t="n">
        <v>47.63</v>
      </c>
      <c r="G71" t="inlineStr">
        <is>
          <t>$5.5 million</t>
        </is>
      </c>
      <c r="H71" t="inlineStr">
        <is>
          <t>Series A</t>
        </is>
      </c>
      <c r="I71" t="inlineStr">
        <is>
          <t>Early</t>
        </is>
      </c>
      <c r="J71" t="inlineStr">
        <is>
          <t>Consumer Services</t>
        </is>
      </c>
      <c r="K71" t="inlineStr">
        <is>
          <t>Mumbai</t>
        </is>
      </c>
      <c r="L71" t="inlineStr">
        <is>
          <t>Elevation Capital</t>
        </is>
      </c>
      <c r="M71" t="inlineStr">
        <is>
          <t>Elevation Capital; Nexus Venture Partners; Vidit Aatrey; Sanjeev Barnwal; Gaurav Munjal; Niraj Singh</t>
        </is>
      </c>
      <c r="N71" t="inlineStr">
        <is>
          <t>entrackr | inc42 | et</t>
        </is>
      </c>
      <c r="O71" s="20" t="n">
        <v>3</v>
      </c>
      <c r="P71" s="21" t="n">
        <v>0</v>
      </c>
      <c r="Q71" t="inlineStr"/>
      <c r="R71" s="22" t="inlineStr">
        <is>
          <t>https://entrackr.com/snippets/quick-service-app-snabbit-raises-55-mn-led-by-elevation-and-nexus-8639619</t>
        </is>
      </c>
    </row>
    <row r="72">
      <c r="A72" t="inlineStr">
        <is>
          <t>R250121-workie</t>
        </is>
      </c>
      <c r="B72" t="inlineStr">
        <is>
          <t>Workie</t>
        </is>
      </c>
      <c r="C72" s="17" t="n">
        <v>45678</v>
      </c>
      <c r="D72" s="18" t="n">
        <v>45658</v>
      </c>
      <c r="E72" s="19" t="n">
        <v>1.501</v>
      </c>
      <c r="F72" s="19" t="n">
        <v>13</v>
      </c>
      <c r="G72" t="inlineStr">
        <is>
          <t>Rs 13 crore</t>
        </is>
      </c>
      <c r="H72" t="inlineStr">
        <is>
          <t>Undisclosed</t>
        </is>
      </c>
      <c r="I72" t="inlineStr">
        <is>
          <t>Undisclosed</t>
        </is>
      </c>
      <c r="J72" t="inlineStr">
        <is>
          <t>Real Estate Tech</t>
        </is>
      </c>
      <c r="K72" t="inlineStr">
        <is>
          <t>Indore</t>
        </is>
      </c>
      <c r="L72" t="inlineStr">
        <is>
          <t>Sunil Singhania Family Office; NAV Capital; Raman Roy; Dharmendra Jain; Gaurav Singhvi; Sunil Singhvi</t>
        </is>
      </c>
      <c r="M72" t="inlineStr">
        <is>
          <t>NAV Capital; Raman Roy; Dharmendra Jain; Gaurav Singhvi; Sunil Singhvi; Sunil Singhania Family Office</t>
        </is>
      </c>
      <c r="N72" t="inlineStr">
        <is>
          <t>entrackr | inc42</t>
        </is>
      </c>
      <c r="O72" s="20" t="n">
        <v>2</v>
      </c>
      <c r="P72" s="21" t="n">
        <v>0.1</v>
      </c>
      <c r="Q72" t="inlineStr">
        <is>
          <t>C04</t>
        </is>
      </c>
      <c r="R72" s="22" t="inlineStr">
        <is>
          <t>https://inc42.com/buzz/from-infra-market-to-arisinfra-indian-startups-raised-275-mn-this-week/</t>
        </is>
      </c>
    </row>
    <row r="73">
      <c r="A73" t="inlineStr">
        <is>
          <t>R250122-cancrie</t>
        </is>
      </c>
      <c r="B73" t="inlineStr">
        <is>
          <t>Cancrie</t>
        </is>
      </c>
      <c r="C73" s="17" t="n">
        <v>45679</v>
      </c>
      <c r="D73" s="18" t="n">
        <v>45658</v>
      </c>
      <c r="E73" s="19" t="n">
        <v>1.2</v>
      </c>
      <c r="F73" s="19" t="n">
        <v>10.37</v>
      </c>
      <c r="G73" t="inlineStr">
        <is>
          <t>$1.2 million</t>
        </is>
      </c>
      <c r="H73" t="inlineStr">
        <is>
          <t>Seed</t>
        </is>
      </c>
      <c r="I73" t="inlineStr">
        <is>
          <t>Early</t>
        </is>
      </c>
      <c r="J73" t="inlineStr">
        <is>
          <t>Cleantech</t>
        </is>
      </c>
      <c r="K73" t="inlineStr">
        <is>
          <t>Jaipur</t>
        </is>
      </c>
      <c r="L73" t="inlineStr">
        <is>
          <t>Roots Ventures; Foundation Botnar; Sagana</t>
        </is>
      </c>
      <c r="M73" t="inlineStr">
        <is>
          <t>Roots Ventures; Foundation Botnar; Sagana; IIMA Ventures</t>
        </is>
      </c>
      <c r="N73" t="inlineStr">
        <is>
          <t>entrackr | inc42</t>
        </is>
      </c>
      <c r="O73" s="20" t="n">
        <v>2</v>
      </c>
      <c r="P73" s="21" t="n">
        <v>0</v>
      </c>
      <c r="Q73" t="inlineStr"/>
      <c r="R73" s="22" t="inlineStr">
        <is>
          <t>https://entrackr.com/snippets/cancrie-raises-12-mn-in-seed-funding-round-8644225</t>
        </is>
      </c>
    </row>
    <row r="74">
      <c r="A74" t="inlineStr">
        <is>
          <t>R250122-deconstruct</t>
        </is>
      </c>
      <c r="B74" t="inlineStr">
        <is>
          <t>DeConstruct</t>
        </is>
      </c>
      <c r="C74" s="17" t="n">
        <v>45679</v>
      </c>
      <c r="D74" s="18" t="n">
        <v>45658</v>
      </c>
      <c r="E74" s="19" t="n">
        <v>7.525</v>
      </c>
      <c r="F74" s="19" t="n">
        <v>65</v>
      </c>
      <c r="G74" t="inlineStr">
        <is>
          <t>Rs 65 crore</t>
        </is>
      </c>
      <c r="H74" t="inlineStr">
        <is>
          <t>Undisclosed</t>
        </is>
      </c>
      <c r="I74" t="inlineStr">
        <is>
          <t>Undisclosed</t>
        </is>
      </c>
      <c r="J74" t="inlineStr">
        <is>
          <t>Ecommerce</t>
        </is>
      </c>
      <c r="K74" t="inlineStr">
        <is>
          <t>Unknown</t>
        </is>
      </c>
      <c r="L74" t="inlineStr"/>
      <c r="M74" t="inlineStr">
        <is>
          <t>BOLD; V3 Ventures; DSG Consumer Partners; Kalaari Capital; BEENEXT</t>
        </is>
      </c>
      <c r="N74" t="inlineStr">
        <is>
          <t>entrackr | inc42</t>
        </is>
      </c>
      <c r="O74" s="20" t="n">
        <v>2</v>
      </c>
      <c r="P74" s="21" t="n">
        <v>0.3</v>
      </c>
      <c r="Q74" t="inlineStr">
        <is>
          <t>C04 C07</t>
        </is>
      </c>
      <c r="R74" s="22" t="inlineStr">
        <is>
          <t>https://entrackr.com/news/deconstruct-raises-rs-65-cr-from-loréals-vc-fund-bold-and-others-8643091</t>
        </is>
      </c>
    </row>
    <row r="75">
      <c r="A75" t="inlineStr">
        <is>
          <t>R250122-exsure</t>
        </is>
      </c>
      <c r="B75" t="inlineStr">
        <is>
          <t>Exsure</t>
        </is>
      </c>
      <c r="C75" s="17" t="n">
        <v>45679</v>
      </c>
      <c r="D75" s="18" t="n">
        <v>45658</v>
      </c>
      <c r="E75" s="19" t="n">
        <v>0.347</v>
      </c>
      <c r="F75" s="19" t="n">
        <v>3</v>
      </c>
      <c r="G75" t="inlineStr">
        <is>
          <t>Rs 3 crore</t>
        </is>
      </c>
      <c r="H75" t="inlineStr">
        <is>
          <t>Seed</t>
        </is>
      </c>
      <c r="I75" t="inlineStr">
        <is>
          <t>Early</t>
        </is>
      </c>
      <c r="J75" t="inlineStr">
        <is>
          <t>Healthtech</t>
        </is>
      </c>
      <c r="K75" t="inlineStr">
        <is>
          <t>Bhubaneswar</t>
        </is>
      </c>
      <c r="L75" t="inlineStr">
        <is>
          <t>Unicorn India Ventures</t>
        </is>
      </c>
      <c r="M75" t="inlineStr">
        <is>
          <t>Unicorn India Ventures</t>
        </is>
      </c>
      <c r="N75" t="inlineStr">
        <is>
          <t>entrackr | inc42</t>
        </is>
      </c>
      <c r="O75" s="20" t="n">
        <v>2</v>
      </c>
      <c r="P75" s="21" t="n">
        <v>0.2</v>
      </c>
      <c r="Q75" t="inlineStr"/>
      <c r="R75" s="22" t="inlineStr">
        <is>
          <t>https://entrackr.com/snippets/biotech-startup-exsure-raises-seed-round-led-by-unicorn-india-ventures-8643695</t>
        </is>
      </c>
    </row>
    <row r="76">
      <c r="A76" t="inlineStr">
        <is>
          <t>R250122-raazapp</t>
        </is>
      </c>
      <c r="B76" t="inlineStr">
        <is>
          <t>Raaz App</t>
        </is>
      </c>
      <c r="C76" s="17" t="n">
        <v>45679</v>
      </c>
      <c r="D76" s="18" t="n">
        <v>45658</v>
      </c>
      <c r="E76" s="19" t="n">
        <v>1</v>
      </c>
      <c r="F76" s="19" t="n">
        <v>8.640000000000001</v>
      </c>
      <c r="G76" t="inlineStr">
        <is>
          <t>$1 million</t>
        </is>
      </c>
      <c r="H76" t="inlineStr">
        <is>
          <t>Pre-Seed</t>
        </is>
      </c>
      <c r="I76" t="inlineStr">
        <is>
          <t>Early</t>
        </is>
      </c>
      <c r="J76" t="inlineStr">
        <is>
          <t>Healthtech</t>
        </is>
      </c>
      <c r="K76" t="inlineStr">
        <is>
          <t>Bengaluru</t>
        </is>
      </c>
      <c r="L76" t="inlineStr">
        <is>
          <t>Fireside Ventures</t>
        </is>
      </c>
      <c r="M76" t="inlineStr">
        <is>
          <t>Fireside Venture; Campus Fund; Altaf Saiyed; Raymond Russell; Vaibhav Domkundwar; Shreyas Kumar; Bhargav Tarpara</t>
        </is>
      </c>
      <c r="N76" t="inlineStr">
        <is>
          <t>entrackr | inc42 | et</t>
        </is>
      </c>
      <c r="O76" s="20" t="n">
        <v>3</v>
      </c>
      <c r="P76" s="21" t="n">
        <v>0</v>
      </c>
      <c r="Q76" t="inlineStr"/>
      <c r="R76" s="22" t="inlineStr">
        <is>
          <t>https://entrackr.com/snippets/healthcare-platform-raaz-app-raises-1-mn-led-by-fireside-ventures-8643414</t>
        </is>
      </c>
    </row>
    <row r="77">
      <c r="A77" t="inlineStr">
        <is>
          <t>R250122-spare8</t>
        </is>
      </c>
      <c r="B77" t="inlineStr">
        <is>
          <t>Spare8</t>
        </is>
      </c>
      <c r="C77" s="17" t="n">
        <v>45679</v>
      </c>
      <c r="D77" s="18" t="n">
        <v>45658</v>
      </c>
      <c r="E77" s="19" t="n"/>
      <c r="F77" s="19" t="n"/>
      <c r="G77" t="inlineStr"/>
      <c r="H77" t="inlineStr">
        <is>
          <t>Undisclosed</t>
        </is>
      </c>
      <c r="I77" t="inlineStr">
        <is>
          <t>Undisclosed</t>
        </is>
      </c>
      <c r="J77" t="inlineStr">
        <is>
          <t>Fintech</t>
        </is>
      </c>
      <c r="K77" t="inlineStr">
        <is>
          <t>Unknown</t>
        </is>
      </c>
      <c r="L77" t="inlineStr"/>
      <c r="M77" t="inlineStr">
        <is>
          <t>Param Agrawal; Rajiv Shastri</t>
        </is>
      </c>
      <c r="N77" t="inlineStr">
        <is>
          <t>inc42</t>
        </is>
      </c>
      <c r="O77" s="20" t="n">
        <v>1</v>
      </c>
      <c r="P77" s="21" t="n"/>
      <c r="Q77" t="inlineStr">
        <is>
          <t>C03 C04 C07</t>
        </is>
      </c>
      <c r="R77" s="22" t="inlineStr">
        <is>
          <t>https://inc42.com/buzz/from-infra-market-to-arisinfra-indian-startups-raised-275-mn-this-week/</t>
        </is>
      </c>
    </row>
    <row r="78">
      <c r="A78" t="inlineStr">
        <is>
          <t>R250122-zeelabpharmacy</t>
        </is>
      </c>
      <c r="B78" t="inlineStr">
        <is>
          <t>Zeelab Pharmacy</t>
        </is>
      </c>
      <c r="C78" s="17" t="n">
        <v>45679</v>
      </c>
      <c r="D78" s="18" t="n">
        <v>45658</v>
      </c>
      <c r="E78" s="19" t="n">
        <v>2.4</v>
      </c>
      <c r="F78" s="19" t="n">
        <v>20.73</v>
      </c>
      <c r="G78" t="inlineStr">
        <is>
          <t>$2.4 million</t>
        </is>
      </c>
      <c r="H78" t="inlineStr">
        <is>
          <t>Undisclosed</t>
        </is>
      </c>
      <c r="I78" t="inlineStr">
        <is>
          <t>Undisclosed</t>
        </is>
      </c>
      <c r="J78" t="inlineStr">
        <is>
          <t>Healthtech</t>
        </is>
      </c>
      <c r="K78" t="inlineStr">
        <is>
          <t>Delhi NCR</t>
        </is>
      </c>
      <c r="L78" t="inlineStr">
        <is>
          <t>OTP Ventures</t>
        </is>
      </c>
      <c r="M78" t="inlineStr">
        <is>
          <t>OTP Ventures</t>
        </is>
      </c>
      <c r="N78" t="inlineStr">
        <is>
          <t>entrackr | inc42 | et</t>
        </is>
      </c>
      <c r="O78" s="20" t="n">
        <v>3</v>
      </c>
      <c r="P78" s="21" t="n">
        <v>0</v>
      </c>
      <c r="Q78" t="inlineStr">
        <is>
          <t>C04</t>
        </is>
      </c>
      <c r="R78" s="22" t="inlineStr">
        <is>
          <t>https://entrackr.com/snippets/otp-ventures-leads-24-mn-round-in-zeelab-pharmacy-8643423</t>
        </is>
      </c>
    </row>
    <row r="79">
      <c r="A79" t="inlineStr">
        <is>
          <t>R250123-arisinfra</t>
        </is>
      </c>
      <c r="B79" t="inlineStr">
        <is>
          <t>ArisInfra</t>
        </is>
      </c>
      <c r="C79" s="17" t="n">
        <v>45680</v>
      </c>
      <c r="D79" s="18" t="n">
        <v>45658</v>
      </c>
      <c r="E79" s="19" t="n">
        <v>9.300000000000001</v>
      </c>
      <c r="F79" s="19" t="n">
        <v>80.39</v>
      </c>
      <c r="G79" t="inlineStr">
        <is>
          <t>$9.3 Mn</t>
        </is>
      </c>
      <c r="H79" t="inlineStr">
        <is>
          <t>Undisclosed</t>
        </is>
      </c>
      <c r="I79" t="inlineStr">
        <is>
          <t>Undisclosed</t>
        </is>
      </c>
      <c r="J79" t="inlineStr">
        <is>
          <t>Ecommerce</t>
        </is>
      </c>
      <c r="K79" t="inlineStr">
        <is>
          <t>Unknown</t>
        </is>
      </c>
      <c r="L79" t="inlineStr"/>
      <c r="M79" t="inlineStr">
        <is>
          <t>Vanaja Sundar Iyer; Mukul Mahavir Agrawal; Rishabh Bharatbhai Bagdia</t>
        </is>
      </c>
      <c r="N79" t="inlineStr">
        <is>
          <t>inc42</t>
        </is>
      </c>
      <c r="O79" s="20" t="n">
        <v>1</v>
      </c>
      <c r="P79" s="21" t="n">
        <v>0</v>
      </c>
      <c r="Q79" t="inlineStr">
        <is>
          <t>C04 C07</t>
        </is>
      </c>
      <c r="R79" s="22" t="inlineStr">
        <is>
          <t>https://inc42.com/buzz/from-infra-market-to-arisinfra-indian-startups-raised-275-mn-this-week/</t>
        </is>
      </c>
    </row>
    <row r="80">
      <c r="A80" t="inlineStr">
        <is>
          <t>R250123-arya</t>
        </is>
      </c>
      <c r="B80" t="inlineStr">
        <is>
          <t>Arya.ag</t>
        </is>
      </c>
      <c r="C80" s="17" t="n">
        <v>45680</v>
      </c>
      <c r="D80" s="18" t="n">
        <v>45658</v>
      </c>
      <c r="E80" s="19" t="n">
        <v>30</v>
      </c>
      <c r="F80" s="19" t="n">
        <v>259.32</v>
      </c>
      <c r="G80" t="inlineStr">
        <is>
          <t>$30 Mn</t>
        </is>
      </c>
      <c r="H80" t="inlineStr">
        <is>
          <t>Debt</t>
        </is>
      </c>
      <c r="I80" t="inlineStr">
        <is>
          <t>Debt</t>
        </is>
      </c>
      <c r="J80" t="inlineStr">
        <is>
          <t>Agritech</t>
        </is>
      </c>
      <c r="K80" t="inlineStr">
        <is>
          <t>Delhi NCR</t>
        </is>
      </c>
      <c r="L80" t="inlineStr"/>
      <c r="M80" t="inlineStr">
        <is>
          <t>HSBC</t>
        </is>
      </c>
      <c r="N80" t="inlineStr">
        <is>
          <t>inc42 | et</t>
        </is>
      </c>
      <c r="O80" s="20" t="n">
        <v>2</v>
      </c>
      <c r="P80" s="21" t="n">
        <v>0</v>
      </c>
      <c r="Q80" t="inlineStr"/>
      <c r="R80" s="22" t="inlineStr">
        <is>
          <t>https://economictimes.indiatimes.com/tech/funding/agritech-startup-arya-secures-30-million-in-debt-financing/articleshow/117490646.cms</t>
        </is>
      </c>
    </row>
    <row r="81">
      <c r="A81" t="inlineStr">
        <is>
          <t>R250123-atimotors</t>
        </is>
      </c>
      <c r="B81" t="inlineStr">
        <is>
          <t>Ati Motors</t>
        </is>
      </c>
      <c r="C81" s="17" t="n">
        <v>45680</v>
      </c>
      <c r="D81" s="18" t="n">
        <v>45658</v>
      </c>
      <c r="E81" s="19" t="n">
        <v>20</v>
      </c>
      <c r="F81" s="19" t="n">
        <v>172.88</v>
      </c>
      <c r="G81" t="inlineStr">
        <is>
          <t>$20 million</t>
        </is>
      </c>
      <c r="H81" t="inlineStr">
        <is>
          <t>Series B</t>
        </is>
      </c>
      <c r="I81" t="inlineStr">
        <is>
          <t>Growth</t>
        </is>
      </c>
      <c r="J81" t="inlineStr">
        <is>
          <t>Deeptech</t>
        </is>
      </c>
      <c r="K81" t="inlineStr">
        <is>
          <t>Bengaluru</t>
        </is>
      </c>
      <c r="L81" t="inlineStr">
        <is>
          <t>Walden Catalyst Ventures; NGP Capital</t>
        </is>
      </c>
      <c r="M81" t="inlineStr">
        <is>
          <t>Walden Catalyst Ventures; NGP Capital; True Ventures; Exfinity Venture Partners; Athera Venture Partners; Blume Ventures</t>
        </is>
      </c>
      <c r="N81" t="inlineStr">
        <is>
          <t>entrackr | inc42 | et</t>
        </is>
      </c>
      <c r="O81" s="20" t="n">
        <v>3</v>
      </c>
      <c r="P81" s="21" t="n">
        <v>0</v>
      </c>
      <c r="Q81" t="inlineStr"/>
      <c r="R81" s="22" t="inlineStr">
        <is>
          <t>https://entrackr.com/news/industrial-robotics-startup-ati-motors-raises-20-mn-in-series-b-round-8646163</t>
        </is>
      </c>
    </row>
    <row r="82">
      <c r="A82" t="inlineStr">
        <is>
          <t>R250123-dreamaerospace</t>
        </is>
      </c>
      <c r="B82" t="inlineStr">
        <is>
          <t>Dream Aerospace</t>
        </is>
      </c>
      <c r="C82" s="17" t="n">
        <v>45680</v>
      </c>
      <c r="D82" s="18" t="n">
        <v>45658</v>
      </c>
      <c r="E82" s="19" t="n">
        <v>0.347</v>
      </c>
      <c r="F82" s="19" t="n">
        <v>3</v>
      </c>
      <c r="G82" t="inlineStr">
        <is>
          <t>Rs 3 crore</t>
        </is>
      </c>
      <c r="H82" t="inlineStr">
        <is>
          <t>Pre-Seed</t>
        </is>
      </c>
      <c r="I82" t="inlineStr">
        <is>
          <t>Early</t>
        </is>
      </c>
      <c r="J82" t="inlineStr">
        <is>
          <t>Deeptech</t>
        </is>
      </c>
      <c r="K82" t="inlineStr">
        <is>
          <t>Chennai</t>
        </is>
      </c>
      <c r="L82" t="inlineStr">
        <is>
          <t>Inflection Point Ventures</t>
        </is>
      </c>
      <c r="M82" t="inlineStr">
        <is>
          <t>Inflection Point Ventures</t>
        </is>
      </c>
      <c r="N82" t="inlineStr">
        <is>
          <t>entrackr | inc42</t>
        </is>
      </c>
      <c r="O82" s="20" t="n">
        <v>2</v>
      </c>
      <c r="P82" s="21" t="n">
        <v>0.3</v>
      </c>
      <c r="Q82" t="inlineStr"/>
      <c r="R82" s="22" t="inlineStr">
        <is>
          <t>https://entrackr.com/snippets/dream-aerospace-raises-rs-3-cr-in-pre-seed-round-8646648</t>
        </is>
      </c>
    </row>
    <row r="83">
      <c r="A83" t="inlineStr">
        <is>
          <t>R250123-inframarket</t>
        </is>
      </c>
      <c r="B83" t="inlineStr">
        <is>
          <t>Infra.Market</t>
        </is>
      </c>
      <c r="C83" s="17" t="n">
        <v>45680</v>
      </c>
      <c r="D83" s="18" t="n">
        <v>45658</v>
      </c>
      <c r="E83" s="19" t="n">
        <v>121</v>
      </c>
      <c r="F83" s="19" t="n">
        <v>1045.92</v>
      </c>
      <c r="G83" t="inlineStr">
        <is>
          <t>$121 Mn</t>
        </is>
      </c>
      <c r="H83" t="inlineStr">
        <is>
          <t>Series F</t>
        </is>
      </c>
      <c r="I83" t="inlineStr">
        <is>
          <t>Late</t>
        </is>
      </c>
      <c r="J83" t="inlineStr">
        <is>
          <t>Ecommerce</t>
        </is>
      </c>
      <c r="K83" t="inlineStr">
        <is>
          <t>Mumbai</t>
        </is>
      </c>
      <c r="L83" t="inlineStr"/>
      <c r="M83" t="inlineStr">
        <is>
          <t>Tiger Global; Foundamental GmbH; Evolvence; Nikhil Kamath; Ashish Kacholia; Abhijit Pai; Sumeet Kanwar; Nuvama; Capri Global</t>
        </is>
      </c>
      <c r="N83" t="inlineStr">
        <is>
          <t>inc42 | et</t>
        </is>
      </c>
      <c r="O83" s="20" t="n">
        <v>2</v>
      </c>
      <c r="P83" s="21" t="n">
        <v>0</v>
      </c>
      <c r="Q83" t="inlineStr">
        <is>
          <t>C18</t>
        </is>
      </c>
      <c r="R83" s="22" t="inlineStr">
        <is>
          <t>https://economictimes.indiatimes.com/tech/funding/infra-market-secures-rs-1050-crore-in-pre-ipo-funding/articleshow/117486734.cms</t>
        </is>
      </c>
    </row>
    <row r="84">
      <c r="A84" t="inlineStr">
        <is>
          <t>R250123-landeed</t>
        </is>
      </c>
      <c r="B84" t="inlineStr">
        <is>
          <t>Landeed</t>
        </is>
      </c>
      <c r="C84" s="17" t="n">
        <v>45680</v>
      </c>
      <c r="D84" s="18" t="n">
        <v>45658</v>
      </c>
      <c r="E84" s="19" t="n">
        <v>5</v>
      </c>
      <c r="F84" s="19" t="n">
        <v>43.22</v>
      </c>
      <c r="G84" t="inlineStr">
        <is>
          <t>$5 million</t>
        </is>
      </c>
      <c r="H84" t="inlineStr">
        <is>
          <t>Undisclosed</t>
        </is>
      </c>
      <c r="I84" t="inlineStr">
        <is>
          <t>Undisclosed</t>
        </is>
      </c>
      <c r="J84" t="inlineStr">
        <is>
          <t>Real Estate Tech</t>
        </is>
      </c>
      <c r="K84" t="inlineStr">
        <is>
          <t>Unknown</t>
        </is>
      </c>
      <c r="L84" t="inlineStr">
        <is>
          <t>10x Founders Fund</t>
        </is>
      </c>
      <c r="M84" t="inlineStr">
        <is>
          <t>10x Founders Fund; Oliver Jung; Paradigm Shift; Pioneer Fund; Jeffrey Epstein; Aaron King</t>
        </is>
      </c>
      <c r="N84" t="inlineStr">
        <is>
          <t>entrackr | inc42</t>
        </is>
      </c>
      <c r="O84" s="20" t="n">
        <v>2</v>
      </c>
      <c r="P84" s="21" t="n">
        <v>0</v>
      </c>
      <c r="Q84" t="inlineStr">
        <is>
          <t>C04 C07</t>
        </is>
      </c>
      <c r="R84" s="22" t="inlineStr">
        <is>
          <t>https://entrackr.com/snippets/y-combinator-backed-landeed-raises-5-mn-8645853</t>
        </is>
      </c>
    </row>
    <row r="85">
      <c r="A85" t="inlineStr">
        <is>
          <t>R250123-svastek</t>
        </is>
      </c>
      <c r="B85" t="inlineStr">
        <is>
          <t>SVASTEK</t>
        </is>
      </c>
      <c r="C85" s="17" t="n">
        <v>45680</v>
      </c>
      <c r="D85" s="18" t="n">
        <v>45658</v>
      </c>
      <c r="E85" s="19" t="n">
        <v>0.231</v>
      </c>
      <c r="F85" s="19" t="n">
        <v>2</v>
      </c>
      <c r="G85" t="inlineStr">
        <is>
          <t>Rs 2 crore</t>
        </is>
      </c>
      <c r="H85" t="inlineStr">
        <is>
          <t>Pre-Seed</t>
        </is>
      </c>
      <c r="I85" t="inlineStr">
        <is>
          <t>Early</t>
        </is>
      </c>
      <c r="J85" t="inlineStr">
        <is>
          <t>Healthtech</t>
        </is>
      </c>
      <c r="K85" t="inlineStr">
        <is>
          <t>Delhi NCR</t>
        </is>
      </c>
      <c r="L85" t="inlineStr">
        <is>
          <t>IAN Angel Fund</t>
        </is>
      </c>
      <c r="M85" t="inlineStr">
        <is>
          <t>IAN Angel Fund</t>
        </is>
      </c>
      <c r="N85" t="inlineStr">
        <is>
          <t>entrackr | inc42</t>
        </is>
      </c>
      <c r="O85" s="20" t="n">
        <v>2</v>
      </c>
      <c r="P85" s="21" t="n">
        <v>0.3</v>
      </c>
      <c r="Q85" t="inlineStr">
        <is>
          <t>C18</t>
        </is>
      </c>
      <c r="R85" s="22" t="inlineStr">
        <is>
          <t>https://entrackr.com/snippets/ian-group-leads-seed-round-in-medtech-startup-svastek-8647043</t>
        </is>
      </c>
    </row>
    <row r="86">
      <c r="A86" t="inlineStr">
        <is>
          <t>R250123-vunetsystems</t>
        </is>
      </c>
      <c r="B86" t="inlineStr">
        <is>
          <t>VuNet Systems</t>
        </is>
      </c>
      <c r="C86" s="17" t="n">
        <v>45680</v>
      </c>
      <c r="D86" s="18" t="n">
        <v>45658</v>
      </c>
      <c r="E86" s="19" t="n">
        <v>6.941</v>
      </c>
      <c r="F86" s="19" t="n">
        <v>60</v>
      </c>
      <c r="G86" t="inlineStr">
        <is>
          <t>Rs 60 crore</t>
        </is>
      </c>
      <c r="H86" t="inlineStr">
        <is>
          <t>Series B</t>
        </is>
      </c>
      <c r="I86" t="inlineStr">
        <is>
          <t>Growth</t>
        </is>
      </c>
      <c r="J86" t="inlineStr">
        <is>
          <t>Enterprise Tech</t>
        </is>
      </c>
      <c r="K86" t="inlineStr">
        <is>
          <t>Bengaluru</t>
        </is>
      </c>
      <c r="L86" t="inlineStr">
        <is>
          <t>Pravega Ventures</t>
        </is>
      </c>
      <c r="M86" t="inlineStr">
        <is>
          <t>Pravega Ventures; Mela Ventures; Athera Venture Partners; Dallas Venture Capital; Kotak Securities</t>
        </is>
      </c>
      <c r="N86" t="inlineStr">
        <is>
          <t>entrackr | inc42 | et | vccircle</t>
        </is>
      </c>
      <c r="O86" s="20" t="n">
        <v>4</v>
      </c>
      <c r="P86" s="21" t="n">
        <v>0.6</v>
      </c>
      <c r="Q86" t="inlineStr"/>
      <c r="R86" s="22" t="inlineStr">
        <is>
          <t>https://entrackr.com/snippets/vunet-systems-raises-rs-60-cr-in-series-b-round-8646289</t>
        </is>
      </c>
    </row>
    <row r="87">
      <c r="A87" t="inlineStr">
        <is>
          <t>R250124-pipeshift</t>
        </is>
      </c>
      <c r="B87" t="inlineStr">
        <is>
          <t>Pipeshift</t>
        </is>
      </c>
      <c r="C87" s="17" t="n">
        <v>45680</v>
      </c>
      <c r="D87" s="18" t="n">
        <v>45658</v>
      </c>
      <c r="E87" s="19" t="n">
        <v>2.5</v>
      </c>
      <c r="F87" s="19" t="n">
        <v>21.61</v>
      </c>
      <c r="G87" t="inlineStr">
        <is>
          <t>$2.5 million</t>
        </is>
      </c>
      <c r="H87" t="inlineStr">
        <is>
          <t>Seed</t>
        </is>
      </c>
      <c r="I87" t="inlineStr">
        <is>
          <t>Early</t>
        </is>
      </c>
      <c r="J87" t="inlineStr">
        <is>
          <t>Enterprise Tech</t>
        </is>
      </c>
      <c r="K87" t="inlineStr">
        <is>
          <t>Unknown</t>
        </is>
      </c>
      <c r="L87" t="inlineStr">
        <is>
          <t>Y Combinator; SenseAI Ventures</t>
        </is>
      </c>
      <c r="M87" t="inlineStr">
        <is>
          <t>Y Combinator; SenseAI Ventures; Arka Venture Labs; Good News Ventures; Nivesha Ventures; Astir VC; GradCapital; MyAsiaVC; Kulveer Taggar; Umur Cubukcu; Krishna Mehra</t>
        </is>
      </c>
      <c r="N87" t="inlineStr">
        <is>
          <t>entrackr | inc42 | et</t>
        </is>
      </c>
      <c r="O87" s="20" t="n">
        <v>3</v>
      </c>
      <c r="P87" s="21" t="n">
        <v>0</v>
      </c>
      <c r="Q87" t="inlineStr">
        <is>
          <t>C07</t>
        </is>
      </c>
      <c r="R87" s="22" t="inlineStr">
        <is>
          <t>https://economictimes.indiatimes.com/tech/funding/ai-infrastructure-startup-pipeshift-raises-2-5-million-from-y-combinator-others/articleshow/117493444.cms</t>
        </is>
      </c>
    </row>
    <row r="88">
      <c r="A88" t="inlineStr">
        <is>
          <t>R250124-capgrid</t>
        </is>
      </c>
      <c r="B88" t="inlineStr">
        <is>
          <t>CapGrid</t>
        </is>
      </c>
      <c r="C88" s="17" t="n">
        <v>45681</v>
      </c>
      <c r="D88" s="18" t="n">
        <v>45658</v>
      </c>
      <c r="E88" s="19" t="n">
        <v>3.3</v>
      </c>
      <c r="F88" s="19" t="n">
        <v>28.47</v>
      </c>
      <c r="G88" t="inlineStr">
        <is>
          <t>$3.3 Mn</t>
        </is>
      </c>
      <c r="H88" t="inlineStr">
        <is>
          <t>Series A</t>
        </is>
      </c>
      <c r="I88" t="inlineStr">
        <is>
          <t>Early</t>
        </is>
      </c>
      <c r="J88" t="inlineStr">
        <is>
          <t>Enterprise Tech</t>
        </is>
      </c>
      <c r="K88" t="inlineStr">
        <is>
          <t>Unknown</t>
        </is>
      </c>
      <c r="L88" t="inlineStr"/>
      <c r="M88" t="inlineStr">
        <is>
          <t>Anicut Capital; Nexus Ventures; Axilor Ventures</t>
        </is>
      </c>
      <c r="N88" t="inlineStr">
        <is>
          <t>inc42</t>
        </is>
      </c>
      <c r="O88" s="20" t="n">
        <v>1</v>
      </c>
      <c r="P88" s="21" t="n">
        <v>0</v>
      </c>
      <c r="Q88" t="inlineStr">
        <is>
          <t>C07</t>
        </is>
      </c>
      <c r="R88" s="22" t="inlineStr">
        <is>
          <t>https://inc42.com/buzz/from-infra-market-to-arisinfra-indian-startups-raised-275-mn-this-week/</t>
        </is>
      </c>
    </row>
    <row r="89">
      <c r="A89" t="inlineStr">
        <is>
          <t>R250124-medusabeverage</t>
        </is>
      </c>
      <c r="B89" t="inlineStr">
        <is>
          <t>Medusa</t>
        </is>
      </c>
      <c r="C89" s="17" t="n">
        <v>45681</v>
      </c>
      <c r="D89" s="18" t="n">
        <v>45658</v>
      </c>
      <c r="E89" s="19" t="n">
        <v>6.492</v>
      </c>
      <c r="F89" s="19" t="n">
        <v>56</v>
      </c>
      <c r="G89" t="inlineStr">
        <is>
          <t>Rs 56 crore</t>
        </is>
      </c>
      <c r="H89" t="inlineStr">
        <is>
          <t>Series A</t>
        </is>
      </c>
      <c r="I89" t="inlineStr">
        <is>
          <t>Early</t>
        </is>
      </c>
      <c r="J89" t="inlineStr">
        <is>
          <t>Alcoholic Beverages</t>
        </is>
      </c>
      <c r="K89" t="inlineStr">
        <is>
          <t>Delhi NCR</t>
        </is>
      </c>
      <c r="L89" t="inlineStr">
        <is>
          <t>Amal N. Parikh; Ashwin Kedia</t>
        </is>
      </c>
      <c r="M89" t="inlineStr">
        <is>
          <t>Amal N Parikh; Ashwin Kedia; Ramesh Damani; Crest Opportunities; Nikhil Garg</t>
        </is>
      </c>
      <c r="N89" t="inlineStr">
        <is>
          <t>entrackr | inc42</t>
        </is>
      </c>
      <c r="O89" s="20" t="n">
        <v>2</v>
      </c>
      <c r="P89" s="21" t="n">
        <v>0.1</v>
      </c>
      <c r="Q89" t="inlineStr"/>
      <c r="R89" s="22" t="inlineStr">
        <is>
          <t>https://entrackr.com/snippets/medusa-beverages-raises-rs-56-cr-in-series-a-funding-8649454</t>
        </is>
      </c>
    </row>
    <row r="90">
      <c r="A90" t="inlineStr">
        <is>
          <t>R250127-astrometechnol</t>
        </is>
      </c>
      <c r="B90" t="inlineStr">
        <is>
          <t>Astrome</t>
        </is>
      </c>
      <c r="C90" s="17" t="n">
        <v>45684</v>
      </c>
      <c r="D90" s="18" t="n">
        <v>45658</v>
      </c>
      <c r="E90" s="19" t="n">
        <v>10</v>
      </c>
      <c r="F90" s="19" t="n">
        <v>86.31</v>
      </c>
      <c r="G90" t="inlineStr">
        <is>
          <t>$10 million</t>
        </is>
      </c>
      <c r="H90" t="inlineStr">
        <is>
          <t>Undisclosed</t>
        </is>
      </c>
      <c r="I90" t="inlineStr">
        <is>
          <t>Undisclosed</t>
        </is>
      </c>
      <c r="J90" t="inlineStr">
        <is>
          <t>Deeptech</t>
        </is>
      </c>
      <c r="K90" t="inlineStr">
        <is>
          <t>Unknown</t>
        </is>
      </c>
      <c r="L90" t="inlineStr">
        <is>
          <t>Apollo Global Management</t>
        </is>
      </c>
      <c r="M90" t="inlineStr">
        <is>
          <t>Apollo Global Management; IAN Group</t>
        </is>
      </c>
      <c r="N90" t="inlineStr">
        <is>
          <t>entrackr | inc42</t>
        </is>
      </c>
      <c r="O90" s="20" t="n">
        <v>2</v>
      </c>
      <c r="P90" s="21" t="n">
        <v>0</v>
      </c>
      <c r="Q90" t="inlineStr">
        <is>
          <t>C04 C07</t>
        </is>
      </c>
      <c r="R90" s="22" t="inlineStr">
        <is>
          <t>https://entrackr.com/news/astrome-technologies-raises-10-mn-led-by-appollo-fund-8658316</t>
        </is>
      </c>
    </row>
    <row r="91">
      <c r="A91" t="inlineStr">
        <is>
          <t>R250127-emiza</t>
        </is>
      </c>
      <c r="B91" t="inlineStr">
        <is>
          <t>Emiza</t>
        </is>
      </c>
      <c r="C91" s="17" t="n">
        <v>45684</v>
      </c>
      <c r="D91" s="18" t="n">
        <v>45658</v>
      </c>
      <c r="E91" s="19" t="n">
        <v>11.586</v>
      </c>
      <c r="F91" s="19" t="n">
        <v>100</v>
      </c>
      <c r="G91" t="inlineStr">
        <is>
          <t>Rs 100 crore</t>
        </is>
      </c>
      <c r="H91" t="inlineStr">
        <is>
          <t>Series C</t>
        </is>
      </c>
      <c r="I91" t="inlineStr">
        <is>
          <t>Growth</t>
        </is>
      </c>
      <c r="J91" t="inlineStr">
        <is>
          <t>Logistics</t>
        </is>
      </c>
      <c r="K91" t="inlineStr">
        <is>
          <t>Mumbai</t>
        </is>
      </c>
      <c r="L91" t="inlineStr">
        <is>
          <t>Evolvence India; Mirabilis Investment Trust</t>
        </is>
      </c>
      <c r="M91" t="inlineStr">
        <is>
          <t>Evolvence India; Mirabilis Investment Trust</t>
        </is>
      </c>
      <c r="N91" t="inlineStr">
        <is>
          <t>entrackr | inc42</t>
        </is>
      </c>
      <c r="O91" s="20" t="n">
        <v>2</v>
      </c>
      <c r="P91" s="21" t="n">
        <v>3.6</v>
      </c>
      <c r="Q91" t="inlineStr">
        <is>
          <t>C09</t>
        </is>
      </c>
      <c r="R91" s="22" t="inlineStr">
        <is>
          <t>https://entrackr.com/snippets/emiza-raises-rs-100-cr-in-series-c-round-8657375</t>
        </is>
      </c>
    </row>
    <row r="92">
      <c r="A92" t="inlineStr">
        <is>
          <t>R250127-gericarehealth</t>
        </is>
      </c>
      <c r="B92" t="inlineStr">
        <is>
          <t>Geri Care Health Services</t>
        </is>
      </c>
      <c r="C92" s="17" t="n">
        <v>45684</v>
      </c>
      <c r="D92" s="18" t="n">
        <v>45658</v>
      </c>
      <c r="E92" s="19" t="n">
        <v>12.745</v>
      </c>
      <c r="F92" s="19" t="n">
        <v>110</v>
      </c>
      <c r="G92" t="inlineStr">
        <is>
          <t>Rs 110 crore</t>
        </is>
      </c>
      <c r="H92" t="inlineStr">
        <is>
          <t>Undisclosed</t>
        </is>
      </c>
      <c r="I92" t="inlineStr">
        <is>
          <t>Undisclosed</t>
        </is>
      </c>
      <c r="J92" t="inlineStr">
        <is>
          <t>Healthtech</t>
        </is>
      </c>
      <c r="K92" t="inlineStr">
        <is>
          <t>Chennai</t>
        </is>
      </c>
      <c r="L92" t="inlineStr">
        <is>
          <t>InvAscent</t>
        </is>
      </c>
      <c r="M92" t="inlineStr">
        <is>
          <t>InvAscent</t>
        </is>
      </c>
      <c r="N92" t="inlineStr">
        <is>
          <t>entrackr</t>
        </is>
      </c>
      <c r="O92" s="20" t="n">
        <v>1</v>
      </c>
      <c r="P92" s="21" t="n">
        <v>0</v>
      </c>
      <c r="Q92" t="inlineStr">
        <is>
          <t>C04</t>
        </is>
      </c>
      <c r="R92" s="22" t="inlineStr">
        <is>
          <t>https://entrackr.com/snippets/invascent-leads-13-mn-round-in-geri-care-health-services-8658435</t>
        </is>
      </c>
    </row>
    <row r="93">
      <c r="A93" t="inlineStr">
        <is>
          <t>R250127-indulgeglobal</t>
        </is>
      </c>
      <c r="B93" t="inlineStr">
        <is>
          <t>Indulge Global</t>
        </is>
      </c>
      <c r="C93" s="17" t="n">
        <v>45684</v>
      </c>
      <c r="D93" s="18" t="n">
        <v>45658</v>
      </c>
      <c r="E93" s="19" t="n">
        <v>1</v>
      </c>
      <c r="F93" s="19" t="n">
        <v>8.630000000000001</v>
      </c>
      <c r="G93" t="inlineStr">
        <is>
          <t>$1 Mn</t>
        </is>
      </c>
      <c r="H93" t="inlineStr">
        <is>
          <t>Undisclosed</t>
        </is>
      </c>
      <c r="I93" t="inlineStr">
        <is>
          <t>Undisclosed</t>
        </is>
      </c>
      <c r="J93" t="inlineStr">
        <is>
          <t>Consumer Services</t>
        </is>
      </c>
      <c r="K93" t="inlineStr">
        <is>
          <t>Unknown</t>
        </is>
      </c>
      <c r="L93" t="inlineStr"/>
      <c r="M93" t="inlineStr">
        <is>
          <t>Gautham Pai; Nikhil Shettar</t>
        </is>
      </c>
      <c r="N93" t="inlineStr">
        <is>
          <t>inc42</t>
        </is>
      </c>
      <c r="O93" s="20" t="n">
        <v>1</v>
      </c>
      <c r="P93" s="21" t="n">
        <v>0</v>
      </c>
      <c r="Q93" t="inlineStr">
        <is>
          <t>C04 C07</t>
        </is>
      </c>
      <c r="R93" s="22" t="inlineStr">
        <is>
          <t>https://inc42.com/buzz/from-leap-to-innov8-indian-startups-raised-196-mn-this-week/</t>
        </is>
      </c>
    </row>
    <row r="94">
      <c r="A94" t="inlineStr">
        <is>
          <t>R250127-meesho</t>
        </is>
      </c>
      <c r="B94" t="inlineStr">
        <is>
          <t>Meesho</t>
        </is>
      </c>
      <c r="C94" s="17" t="n">
        <v>45684</v>
      </c>
      <c r="D94" s="18" t="n">
        <v>45658</v>
      </c>
      <c r="E94" s="19" t="n">
        <v>550</v>
      </c>
      <c r="F94" s="19" t="n">
        <v>4747.05</v>
      </c>
      <c r="G94" t="inlineStr">
        <is>
          <t>$550 million</t>
        </is>
      </c>
      <c r="H94" t="inlineStr">
        <is>
          <t>Undisclosed</t>
        </is>
      </c>
      <c r="I94" t="inlineStr">
        <is>
          <t>Undisclosed</t>
        </is>
      </c>
      <c r="J94" t="inlineStr">
        <is>
          <t>Ecommerce</t>
        </is>
      </c>
      <c r="K94" t="inlineStr">
        <is>
          <t>Bengaluru</t>
        </is>
      </c>
      <c r="L94" t="inlineStr"/>
      <c r="M94" t="inlineStr"/>
      <c r="N94" t="inlineStr">
        <is>
          <t>et</t>
        </is>
      </c>
      <c r="O94" s="20" t="n">
        <v>1</v>
      </c>
      <c r="P94" s="21" t="n">
        <v>0</v>
      </c>
      <c r="Q94" t="inlineStr">
        <is>
          <t>C04 C05</t>
        </is>
      </c>
      <c r="R94" s="22" t="inlineStr">
        <is>
          <t>https://economictimes.indiatimes.com/tech/startups/meesho-closes-550-million-round-moves-nclt-to-shift-domicile/articleshow/117583844.cms</t>
        </is>
      </c>
    </row>
    <row r="95">
      <c r="A95" t="inlineStr">
        <is>
          <t>R250127-tracknow</t>
        </is>
      </c>
      <c r="B95" t="inlineStr">
        <is>
          <t>trackNOW</t>
        </is>
      </c>
      <c r="C95" s="17" t="n">
        <v>45684</v>
      </c>
      <c r="D95" s="18" t="n">
        <v>45658</v>
      </c>
      <c r="E95" s="19" t="n"/>
      <c r="F95" s="19" t="n"/>
      <c r="G95" t="inlineStr"/>
      <c r="H95" t="inlineStr">
        <is>
          <t>Undisclosed</t>
        </is>
      </c>
      <c r="I95" t="inlineStr">
        <is>
          <t>Undisclosed</t>
        </is>
      </c>
      <c r="J95" t="inlineStr">
        <is>
          <t>Enterprise Tech</t>
        </is>
      </c>
      <c r="K95" t="inlineStr">
        <is>
          <t>Unknown</t>
        </is>
      </c>
      <c r="L95" t="inlineStr">
        <is>
          <t>Poonawalla Group</t>
        </is>
      </c>
      <c r="M95" t="inlineStr">
        <is>
          <t>Poonawalla Group</t>
        </is>
      </c>
      <c r="N95" t="inlineStr">
        <is>
          <t>inc42</t>
        </is>
      </c>
      <c r="O95" s="20" t="n">
        <v>1</v>
      </c>
      <c r="P95" s="21" t="n"/>
      <c r="Q95" t="inlineStr">
        <is>
          <t>C03 C04 C07</t>
        </is>
      </c>
      <c r="R95" s="22" t="inlineStr">
        <is>
          <t>https://inc42.com/buzz/from-leap-to-innov8-indian-startups-raised-196-mn-this-week/</t>
        </is>
      </c>
    </row>
    <row r="96">
      <c r="A96" t="inlineStr">
        <is>
          <t>R250127-voltup</t>
        </is>
      </c>
      <c r="B96" t="inlineStr">
        <is>
          <t>VoltUp</t>
        </is>
      </c>
      <c r="C96" s="17" t="n">
        <v>45684</v>
      </c>
      <c r="D96" s="18" t="n">
        <v>45658</v>
      </c>
      <c r="E96" s="19" t="n">
        <v>8</v>
      </c>
      <c r="F96" s="19" t="n">
        <v>69.05</v>
      </c>
      <c r="G96" t="inlineStr">
        <is>
          <t>$8 million</t>
        </is>
      </c>
      <c r="H96" t="inlineStr">
        <is>
          <t>Seed</t>
        </is>
      </c>
      <c r="I96" t="inlineStr">
        <is>
          <t>Early</t>
        </is>
      </c>
      <c r="J96" t="inlineStr">
        <is>
          <t>Cleantech</t>
        </is>
      </c>
      <c r="K96" t="inlineStr">
        <is>
          <t>Mumbai</t>
        </is>
      </c>
      <c r="L96" t="inlineStr">
        <is>
          <t>EM Impact Capital</t>
        </is>
      </c>
      <c r="M96" t="inlineStr">
        <is>
          <t>EM Impact Capital; HDFC Bank; cKers; Grip Invest; GetVantage</t>
        </is>
      </c>
      <c r="N96" t="inlineStr">
        <is>
          <t>entrackr | inc42</t>
        </is>
      </c>
      <c r="O96" s="20" t="n">
        <v>2</v>
      </c>
      <c r="P96" s="21" t="n">
        <v>0</v>
      </c>
      <c r="Q96" t="inlineStr"/>
      <c r="R96" s="22" t="inlineStr">
        <is>
          <t>https://entrackr.com/snippets/voltup-raises-8-mn-in-seed-funding-round-8657725</t>
        </is>
      </c>
    </row>
    <row r="97">
      <c r="A97" t="inlineStr">
        <is>
          <t>R250128-ambak</t>
        </is>
      </c>
      <c r="B97" t="inlineStr">
        <is>
          <t>Ambak</t>
        </is>
      </c>
      <c r="C97" s="17" t="n">
        <v>45685</v>
      </c>
      <c r="D97" s="18" t="n">
        <v>45658</v>
      </c>
      <c r="E97" s="19" t="n">
        <v>7</v>
      </c>
      <c r="F97" s="19" t="n">
        <v>60.59</v>
      </c>
      <c r="G97" t="inlineStr">
        <is>
          <t>$7 million</t>
        </is>
      </c>
      <c r="H97" t="inlineStr">
        <is>
          <t>Pre-Series A</t>
        </is>
      </c>
      <c r="I97" t="inlineStr">
        <is>
          <t>Early</t>
        </is>
      </c>
      <c r="J97" t="inlineStr">
        <is>
          <t>Fintech</t>
        </is>
      </c>
      <c r="K97" t="inlineStr">
        <is>
          <t>Delhi NCR</t>
        </is>
      </c>
      <c r="L97" t="inlineStr">
        <is>
          <t>Peak XV; Surge</t>
        </is>
      </c>
      <c r="M97" t="inlineStr">
        <is>
          <t>Peak XV; Advantage VC; DeVC; Advantedge VC; Surge; Z47</t>
        </is>
      </c>
      <c r="N97" t="inlineStr">
        <is>
          <t>entrackr | inc42 | et</t>
        </is>
      </c>
      <c r="O97" s="20" t="n">
        <v>3</v>
      </c>
      <c r="P97" s="21" t="n">
        <v>0</v>
      </c>
      <c r="Q97" t="inlineStr">
        <is>
          <t>C17</t>
        </is>
      </c>
      <c r="R97" s="22" t="inlineStr">
        <is>
          <t>https://entrackr.com/snippets/home-loan-startup-ambak-raises-7-mn-led-by-peak-xv-8661535</t>
        </is>
      </c>
    </row>
    <row r="98">
      <c r="A98" t="inlineStr">
        <is>
          <t>R250128-atomicwork</t>
        </is>
      </c>
      <c r="B98" t="inlineStr">
        <is>
          <t>Atomicwork</t>
        </is>
      </c>
      <c r="C98" s="17" t="n">
        <v>45685</v>
      </c>
      <c r="D98" s="18" t="n">
        <v>45658</v>
      </c>
      <c r="E98" s="19" t="n">
        <v>25</v>
      </c>
      <c r="F98" s="19" t="n">
        <v>216.4</v>
      </c>
      <c r="G98" t="inlineStr">
        <is>
          <t>$25 million</t>
        </is>
      </c>
      <c r="H98" t="inlineStr">
        <is>
          <t>Series A</t>
        </is>
      </c>
      <c r="I98" t="inlineStr">
        <is>
          <t>Early</t>
        </is>
      </c>
      <c r="J98" t="inlineStr">
        <is>
          <t>Enterprise Tech</t>
        </is>
      </c>
      <c r="K98" t="inlineStr">
        <is>
          <t>Outside India</t>
        </is>
      </c>
      <c r="L98" t="inlineStr">
        <is>
          <t>Khosla Ventures; Z47 Partners</t>
        </is>
      </c>
      <c r="M98" t="inlineStr">
        <is>
          <t>Khosla Ventures; Z47 Partners; Battery Ventures; Peak XV Partners; Blume Ventures</t>
        </is>
      </c>
      <c r="N98" t="inlineStr">
        <is>
          <t>entrackr | inc42 | et | vccircle</t>
        </is>
      </c>
      <c r="O98" s="20" t="n">
        <v>4</v>
      </c>
      <c r="P98" s="21" t="n">
        <v>0</v>
      </c>
      <c r="Q98" t="inlineStr"/>
      <c r="R98" s="22" t="inlineStr">
        <is>
          <t>https://economictimes.indiatimes.com/tech/funding/saas-startup-atomicwork-raises-25-million-in-round-led-by-khosla-ventures-z47/articleshow/117642788.cms</t>
        </is>
      </c>
    </row>
    <row r="99">
      <c r="A99" t="inlineStr">
        <is>
          <t>R250128-bizloan</t>
        </is>
      </c>
      <c r="B99" t="inlineStr">
        <is>
          <t>Bizloan</t>
        </is>
      </c>
      <c r="C99" s="17" t="n">
        <v>45685</v>
      </c>
      <c r="D99" s="18" t="n">
        <v>45658</v>
      </c>
      <c r="E99" s="19" t="n">
        <v>4.043</v>
      </c>
      <c r="F99" s="19" t="n">
        <v>35</v>
      </c>
      <c r="G99" t="inlineStr">
        <is>
          <t>Rs 35 crore</t>
        </is>
      </c>
      <c r="H99" t="inlineStr">
        <is>
          <t>Series A</t>
        </is>
      </c>
      <c r="I99" t="inlineStr">
        <is>
          <t>Early</t>
        </is>
      </c>
      <c r="J99" t="inlineStr">
        <is>
          <t>Fintech</t>
        </is>
      </c>
      <c r="K99" t="inlineStr">
        <is>
          <t>Unknown</t>
        </is>
      </c>
      <c r="L99" t="inlineStr">
        <is>
          <t>Michael &amp; Susan Dell Foundation; BLinC Invest</t>
        </is>
      </c>
      <c r="M99" t="inlineStr">
        <is>
          <t>Michael &amp; Susan Dell Foundation; BLinC Invest</t>
        </is>
      </c>
      <c r="N99" t="inlineStr">
        <is>
          <t>entrackr | inc42</t>
        </is>
      </c>
      <c r="O99" s="20" t="n">
        <v>2</v>
      </c>
      <c r="P99" s="21" t="n">
        <v>3.9</v>
      </c>
      <c r="Q99" t="inlineStr">
        <is>
          <t>C07</t>
        </is>
      </c>
      <c r="R99" s="22" t="inlineStr">
        <is>
          <t>https://entrackr.com/snippets/nbfc-bizloan-raises-rs-35-cr-in-series-a-funding-8660744</t>
        </is>
      </c>
    </row>
    <row r="100">
      <c r="A100" t="inlineStr">
        <is>
          <t>R250128-innov8</t>
        </is>
      </c>
      <c r="B100" t="inlineStr">
        <is>
          <t>Innov8</t>
        </is>
      </c>
      <c r="C100" s="17" t="n">
        <v>45685</v>
      </c>
      <c r="D100" s="18" t="n">
        <v>45658</v>
      </c>
      <c r="E100" s="19" t="n">
        <v>13</v>
      </c>
      <c r="F100" s="19" t="n">
        <v>112.53</v>
      </c>
      <c r="G100" t="inlineStr">
        <is>
          <t>$13 million</t>
        </is>
      </c>
      <c r="H100" t="inlineStr">
        <is>
          <t>Undisclosed</t>
        </is>
      </c>
      <c r="I100" t="inlineStr">
        <is>
          <t>Undisclosed</t>
        </is>
      </c>
      <c r="J100" t="inlineStr">
        <is>
          <t>Real Estate Tech</t>
        </is>
      </c>
      <c r="K100" t="inlineStr">
        <is>
          <t>Unknown</t>
        </is>
      </c>
      <c r="L100" t="inlineStr">
        <is>
          <t>Mankind Pharma; Gauri Khan; Rupa Group; Jagruti Dalmia</t>
        </is>
      </c>
      <c r="M100" t="inlineStr">
        <is>
          <t>Mankind Pharma; Gauri Khan; Rupa Group; Jagruti Dalmia</t>
        </is>
      </c>
      <c r="N100" t="inlineStr">
        <is>
          <t>entrackr | inc42 | et</t>
        </is>
      </c>
      <c r="O100" s="20" t="n">
        <v>3</v>
      </c>
      <c r="P100" s="21" t="n">
        <v>2.4</v>
      </c>
      <c r="Q100" t="inlineStr">
        <is>
          <t>C04 C07</t>
        </is>
      </c>
      <c r="R100" s="22" t="inlineStr">
        <is>
          <t>https://entrackr.com/news/oyo-owned-innov8-raises-rs-110-cr-at-rs-1000-cr-valuation-8660332</t>
        </is>
      </c>
    </row>
    <row r="101">
      <c r="A101" t="inlineStr">
        <is>
          <t>R250128-medmitraai</t>
        </is>
      </c>
      <c r="B101" t="inlineStr">
        <is>
          <t>MedMitra AI</t>
        </is>
      </c>
      <c r="C101" s="17" t="n">
        <v>45685</v>
      </c>
      <c r="D101" s="18" t="n">
        <v>45658</v>
      </c>
      <c r="E101" s="19" t="n">
        <v>0.346</v>
      </c>
      <c r="F101" s="19" t="n">
        <v>2.99</v>
      </c>
      <c r="G101" t="inlineStr">
        <is>
          <t>$346K</t>
        </is>
      </c>
      <c r="H101" t="inlineStr">
        <is>
          <t>Pre-Seed</t>
        </is>
      </c>
      <c r="I101" t="inlineStr">
        <is>
          <t>Early</t>
        </is>
      </c>
      <c r="J101" t="inlineStr">
        <is>
          <t>Healthtech</t>
        </is>
      </c>
      <c r="K101" t="inlineStr">
        <is>
          <t>Jaipur</t>
        </is>
      </c>
      <c r="L101" t="inlineStr">
        <is>
          <t>All In Capital; WEH Ventures</t>
        </is>
      </c>
      <c r="M101" t="inlineStr">
        <is>
          <t>All In Capital; WEH Ventures; Rohan Khandelwal; Pawan Gupta; Venkat Subramanyam</t>
        </is>
      </c>
      <c r="N101" t="inlineStr">
        <is>
          <t>inc42 | et</t>
        </is>
      </c>
      <c r="O101" s="20" t="n">
        <v>2</v>
      </c>
      <c r="P101" s="21" t="n">
        <v>0.2</v>
      </c>
      <c r="Q101" t="inlineStr"/>
      <c r="R101" s="22" t="inlineStr">
        <is>
          <t>https://economictimes.indiatimes.com/tech/funding/medmitra-ai-raises-rs-3-crore-led-by-all-in-capital-weh-ventures/articleshow/117626643.cms</t>
        </is>
      </c>
    </row>
    <row r="102">
      <c r="A102" t="inlineStr">
        <is>
          <t>R250128-metashot</t>
        </is>
      </c>
      <c r="B102" t="inlineStr">
        <is>
          <t>Metashot</t>
        </is>
      </c>
      <c r="C102" s="17" t="n">
        <v>45685</v>
      </c>
      <c r="D102" s="18" t="n">
        <v>45658</v>
      </c>
      <c r="E102" s="19" t="n">
        <v>1.271</v>
      </c>
      <c r="F102" s="19" t="n">
        <v>11</v>
      </c>
      <c r="G102" t="inlineStr">
        <is>
          <t>Rs 11 crore</t>
        </is>
      </c>
      <c r="H102" t="inlineStr">
        <is>
          <t>Seed</t>
        </is>
      </c>
      <c r="I102" t="inlineStr">
        <is>
          <t>Early</t>
        </is>
      </c>
      <c r="J102" t="inlineStr">
        <is>
          <t>Media &amp; Entertainment</t>
        </is>
      </c>
      <c r="K102" t="inlineStr">
        <is>
          <t>Bengaluru</t>
        </is>
      </c>
      <c r="L102" t="inlineStr">
        <is>
          <t>Sauce.vc; Sharrp Ventures; Panthera Peak Capital</t>
        </is>
      </c>
      <c r="M102" t="inlineStr">
        <is>
          <t>Sauce.vc; Sharrp Ventures; Panthera Peak Capital</t>
        </is>
      </c>
      <c r="N102" t="inlineStr">
        <is>
          <t>entrackr | inc42 | et</t>
        </is>
      </c>
      <c r="O102" s="20" t="n">
        <v>3</v>
      </c>
      <c r="P102" s="21" t="n">
        <v>5.9</v>
      </c>
      <c r="Q102" t="inlineStr"/>
      <c r="R102" s="22" t="inlineStr">
        <is>
          <t>https://entrackr.com/snippets/saucevc-leads-11-cr-round-in-gaming-startup-metashot-8660717</t>
        </is>
      </c>
    </row>
    <row r="103">
      <c r="A103" t="inlineStr">
        <is>
          <t>R250128-origin</t>
        </is>
      </c>
      <c r="B103" t="inlineStr">
        <is>
          <t>Origin Fresh</t>
        </is>
      </c>
      <c r="C103" s="17" t="n">
        <v>45685</v>
      </c>
      <c r="D103" s="18" t="n">
        <v>45658</v>
      </c>
      <c r="E103" s="19" t="n">
        <v>1</v>
      </c>
      <c r="F103" s="19" t="n">
        <v>8.66</v>
      </c>
      <c r="G103" t="inlineStr">
        <is>
          <t>$1 million</t>
        </is>
      </c>
      <c r="H103" t="inlineStr">
        <is>
          <t>Pre-Seed</t>
        </is>
      </c>
      <c r="I103" t="inlineStr">
        <is>
          <t>Early</t>
        </is>
      </c>
      <c r="J103" t="inlineStr">
        <is>
          <t>Ecommerce</t>
        </is>
      </c>
      <c r="K103" t="inlineStr">
        <is>
          <t>Bengaluru</t>
        </is>
      </c>
      <c r="L103" t="inlineStr">
        <is>
          <t>Aeravti Ventures</t>
        </is>
      </c>
      <c r="M103" t="inlineStr">
        <is>
          <t>Aeravti Ventures</t>
        </is>
      </c>
      <c r="N103" t="inlineStr">
        <is>
          <t>entrackr | inc42</t>
        </is>
      </c>
      <c r="O103" s="20" t="n">
        <v>2</v>
      </c>
      <c r="P103" s="21" t="n">
        <v>0</v>
      </c>
      <c r="Q103" t="inlineStr"/>
      <c r="R103" s="22" t="inlineStr">
        <is>
          <t>https://entrackr.com/snippets/aeravti-ventures-leads-1-mn-round-in-origin-fresh-8661367</t>
        </is>
      </c>
    </row>
    <row r="104">
      <c r="A104" t="inlineStr">
        <is>
          <t>R250128-thinkmetal</t>
        </is>
      </c>
      <c r="B104" t="inlineStr">
        <is>
          <t>ThinkMetal</t>
        </is>
      </c>
      <c r="C104" s="17" t="n">
        <v>45685</v>
      </c>
      <c r="D104" s="18" t="n">
        <v>45658</v>
      </c>
      <c r="E104" s="19" t="n">
        <v>0.8</v>
      </c>
      <c r="F104" s="19" t="n">
        <v>6.92</v>
      </c>
      <c r="G104" t="inlineStr">
        <is>
          <t>$800,000</t>
        </is>
      </c>
      <c r="H104" t="inlineStr">
        <is>
          <t>Pre-Series A</t>
        </is>
      </c>
      <c r="I104" t="inlineStr">
        <is>
          <t>Early</t>
        </is>
      </c>
      <c r="J104" t="inlineStr">
        <is>
          <t>Deeptech</t>
        </is>
      </c>
      <c r="K104" t="inlineStr">
        <is>
          <t>Chennai</t>
        </is>
      </c>
      <c r="L104" t="inlineStr">
        <is>
          <t>YourNest Venture Capital; Sanchi Connect</t>
        </is>
      </c>
      <c r="M104" t="inlineStr">
        <is>
          <t>YourNest Venture Capital; Concept Communications; Sanchi Connect; 100X.VC; SAT Industries; KRS Jamwal; Uday Sodhi</t>
        </is>
      </c>
      <c r="N104" t="inlineStr">
        <is>
          <t>entrackr | inc42</t>
        </is>
      </c>
      <c r="O104" s="20" t="n">
        <v>2</v>
      </c>
      <c r="P104" s="21" t="n">
        <v>0</v>
      </c>
      <c r="Q104" t="inlineStr">
        <is>
          <t>C17</t>
        </is>
      </c>
      <c r="R104" s="22" t="inlineStr">
        <is>
          <t>https://entrackr.com/snippets/thinkmetal-raises-800k-in-pre-series-a-round-8661333</t>
        </is>
      </c>
    </row>
    <row r="105">
      <c r="A105" t="inlineStr">
        <is>
          <t>R250128-whizzo</t>
        </is>
      </c>
      <c r="B105" t="inlineStr">
        <is>
          <t>Whizzo</t>
        </is>
      </c>
      <c r="C105" s="17" t="n">
        <v>45685</v>
      </c>
      <c r="D105" s="18" t="n">
        <v>45658</v>
      </c>
      <c r="E105" s="19" t="n">
        <v>4.2</v>
      </c>
      <c r="F105" s="19" t="n">
        <v>36.36</v>
      </c>
      <c r="G105" t="inlineStr">
        <is>
          <t>$4.2 million</t>
        </is>
      </c>
      <c r="H105" t="inlineStr">
        <is>
          <t>Seed</t>
        </is>
      </c>
      <c r="I105" t="inlineStr">
        <is>
          <t>Early</t>
        </is>
      </c>
      <c r="J105" t="inlineStr">
        <is>
          <t>Deeptech</t>
        </is>
      </c>
      <c r="K105" t="inlineStr">
        <is>
          <t>Bengaluru</t>
        </is>
      </c>
      <c r="L105" t="inlineStr">
        <is>
          <t>Lightspeed</t>
        </is>
      </c>
      <c r="M105" t="inlineStr">
        <is>
          <t>Lightspeed; BEENEXT</t>
        </is>
      </c>
      <c r="N105" t="inlineStr">
        <is>
          <t>entrackr | inc42</t>
        </is>
      </c>
      <c r="O105" s="20" t="n">
        <v>2</v>
      </c>
      <c r="P105" s="21" t="n">
        <v>0</v>
      </c>
      <c r="Q105" t="inlineStr"/>
      <c r="R105" s="22" t="inlineStr">
        <is>
          <t>https://entrackr.com/snippets/whizzo-raises-42-mn-in-seed-round-led-by-lightspeed-8659906</t>
        </is>
      </c>
    </row>
    <row r="106">
      <c r="A106" t="inlineStr">
        <is>
          <t>R250129-gallabox</t>
        </is>
      </c>
      <c r="B106" t="inlineStr">
        <is>
          <t>Gallabox</t>
        </is>
      </c>
      <c r="C106" s="17" t="n">
        <v>45686</v>
      </c>
      <c r="D106" s="18" t="n">
        <v>45658</v>
      </c>
      <c r="E106" s="19" t="n">
        <v>3.5</v>
      </c>
      <c r="F106" s="19" t="n">
        <v>30.3</v>
      </c>
      <c r="G106" t="inlineStr">
        <is>
          <t>$3.5 Mn</t>
        </is>
      </c>
      <c r="H106" t="inlineStr">
        <is>
          <t>Seed</t>
        </is>
      </c>
      <c r="I106" t="inlineStr">
        <is>
          <t>Early</t>
        </is>
      </c>
      <c r="J106" t="inlineStr">
        <is>
          <t>Enterprise Tech</t>
        </is>
      </c>
      <c r="K106" t="inlineStr">
        <is>
          <t>Unknown</t>
        </is>
      </c>
      <c r="L106" t="inlineStr">
        <is>
          <t>FUSE</t>
        </is>
      </c>
      <c r="M106" t="inlineStr">
        <is>
          <t>FUSE; Prime Venture Partners; Neon Fund</t>
        </is>
      </c>
      <c r="N106" t="inlineStr">
        <is>
          <t>inc42</t>
        </is>
      </c>
      <c r="O106" s="20" t="n">
        <v>1</v>
      </c>
      <c r="P106" s="21" t="n">
        <v>0</v>
      </c>
      <c r="Q106" t="inlineStr">
        <is>
          <t>C07</t>
        </is>
      </c>
      <c r="R106" s="22" t="inlineStr">
        <is>
          <t>https://inc42.com/buzz/from-leap-to-innov8-indian-startups-raised-196-mn-this-week/</t>
        </is>
      </c>
    </row>
    <row r="107">
      <c r="A107" t="inlineStr">
        <is>
          <t>R250129-growxcdfinance</t>
        </is>
      </c>
      <c r="B107" t="inlineStr">
        <is>
          <t>GrowXCD Finance</t>
        </is>
      </c>
      <c r="C107" s="17" t="n">
        <v>45686</v>
      </c>
      <c r="D107" s="18" t="n">
        <v>45658</v>
      </c>
      <c r="E107" s="19" t="n">
        <v>5.7</v>
      </c>
      <c r="F107" s="19" t="n">
        <v>49.34</v>
      </c>
      <c r="G107" t="inlineStr">
        <is>
          <t>$5.7 Mn</t>
        </is>
      </c>
      <c r="H107" t="inlineStr">
        <is>
          <t>Undisclosed</t>
        </is>
      </c>
      <c r="I107" t="inlineStr">
        <is>
          <t>Undisclosed</t>
        </is>
      </c>
      <c r="J107" t="inlineStr">
        <is>
          <t>Fintech</t>
        </is>
      </c>
      <c r="K107" t="inlineStr">
        <is>
          <t>Unknown</t>
        </is>
      </c>
      <c r="L107" t="inlineStr"/>
      <c r="M107" t="inlineStr">
        <is>
          <t>Lok Capital; UC Impower</t>
        </is>
      </c>
      <c r="N107" t="inlineStr">
        <is>
          <t>inc42 | et</t>
        </is>
      </c>
      <c r="O107" s="20" t="n">
        <v>2</v>
      </c>
      <c r="P107" s="21" t="n">
        <v>1.3</v>
      </c>
      <c r="Q107" t="inlineStr">
        <is>
          <t>C04 C07</t>
        </is>
      </c>
      <c r="R107" s="22" t="inlineStr">
        <is>
          <t>https://economictimes.indiatimes.com/tech/funding/lok-capital-and-uc-impower-invest-rs-50-crore-in-growxcd-finance/articleshow/117686694.cms</t>
        </is>
      </c>
    </row>
    <row r="108">
      <c r="A108" t="inlineStr">
        <is>
          <t>R250129-leap</t>
        </is>
      </c>
      <c r="B108" t="inlineStr">
        <is>
          <t>Leap</t>
        </is>
      </c>
      <c r="C108" s="17" t="n">
        <v>45686</v>
      </c>
      <c r="D108" s="18" t="n">
        <v>45658</v>
      </c>
      <c r="E108" s="19" t="n">
        <v>65</v>
      </c>
      <c r="F108" s="19" t="n">
        <v>562.64</v>
      </c>
      <c r="G108" t="inlineStr">
        <is>
          <t>$65 million</t>
        </is>
      </c>
      <c r="H108" t="inlineStr">
        <is>
          <t>Series E</t>
        </is>
      </c>
      <c r="I108" t="inlineStr">
        <is>
          <t>Late</t>
        </is>
      </c>
      <c r="J108" t="inlineStr">
        <is>
          <t>Edtech</t>
        </is>
      </c>
      <c r="K108" t="inlineStr">
        <is>
          <t>Unknown</t>
        </is>
      </c>
      <c r="L108" t="inlineStr">
        <is>
          <t>Apis Partners</t>
        </is>
      </c>
      <c r="M108" t="inlineStr">
        <is>
          <t>Apis Partners; Owl Ventures; Jungle Ventures; Peak XV Partners</t>
        </is>
      </c>
      <c r="N108" t="inlineStr">
        <is>
          <t>entrackr | inc42 | et</t>
        </is>
      </c>
      <c r="O108" s="20" t="n">
        <v>3</v>
      </c>
      <c r="P108" s="21" t="n">
        <v>0</v>
      </c>
      <c r="Q108" t="inlineStr">
        <is>
          <t>C07</t>
        </is>
      </c>
      <c r="R108" s="22" t="inlineStr">
        <is>
          <t>https://entrackr.com/news/edtech-company-leap-raises-65-mn-led-by-apis-partners-8663858</t>
        </is>
      </c>
    </row>
    <row r="109">
      <c r="A109" t="inlineStr">
        <is>
          <t>R250129-manastuspace</t>
        </is>
      </c>
      <c r="B109" t="inlineStr">
        <is>
          <t>Manastu Space</t>
        </is>
      </c>
      <c r="C109" s="17" t="n">
        <v>45686</v>
      </c>
      <c r="D109" s="18" t="n">
        <v>45658</v>
      </c>
      <c r="E109" s="19" t="n"/>
      <c r="F109" s="19" t="n"/>
      <c r="G109" t="inlineStr"/>
      <c r="H109" t="inlineStr">
        <is>
          <t>Undisclosed</t>
        </is>
      </c>
      <c r="I109" t="inlineStr">
        <is>
          <t>Undisclosed</t>
        </is>
      </c>
      <c r="J109" t="inlineStr">
        <is>
          <t>Deeptech</t>
        </is>
      </c>
      <c r="K109" t="inlineStr">
        <is>
          <t>Mumbai</t>
        </is>
      </c>
      <c r="L109" t="inlineStr"/>
      <c r="M109" t="inlineStr">
        <is>
          <t>Jeet Chandan</t>
        </is>
      </c>
      <c r="N109" t="inlineStr">
        <is>
          <t>inc42</t>
        </is>
      </c>
      <c r="O109" s="20" t="n">
        <v>1</v>
      </c>
      <c r="P109" s="21" t="n"/>
      <c r="Q109" t="inlineStr">
        <is>
          <t>C03 C04</t>
        </is>
      </c>
      <c r="R109" s="22" t="inlineStr">
        <is>
          <t>https://inc42.com/buzz/from-leap-to-innov8-indian-startups-raised-196-mn-this-week/</t>
        </is>
      </c>
    </row>
    <row r="110">
      <c r="A110" t="inlineStr">
        <is>
          <t>R250129-shoppin</t>
        </is>
      </c>
      <c r="B110" t="inlineStr">
        <is>
          <t>shoppin’</t>
        </is>
      </c>
      <c r="C110" s="17" t="n">
        <v>45686</v>
      </c>
      <c r="D110" s="18" t="n">
        <v>45658</v>
      </c>
      <c r="E110" s="19" t="n">
        <v>1</v>
      </c>
      <c r="F110" s="19" t="n">
        <v>8.66</v>
      </c>
      <c r="G110" t="inlineStr">
        <is>
          <t>$1 million</t>
        </is>
      </c>
      <c r="H110" t="inlineStr">
        <is>
          <t>Pre-Seed</t>
        </is>
      </c>
      <c r="I110" t="inlineStr">
        <is>
          <t>Early</t>
        </is>
      </c>
      <c r="J110" t="inlineStr">
        <is>
          <t>Consumer Services</t>
        </is>
      </c>
      <c r="K110" t="inlineStr">
        <is>
          <t>Unknown</t>
        </is>
      </c>
      <c r="L110" t="inlineStr">
        <is>
          <t>Info Edge Ventures</t>
        </is>
      </c>
      <c r="M110" t="inlineStr">
        <is>
          <t>Info Edge Ventures</t>
        </is>
      </c>
      <c r="N110" t="inlineStr">
        <is>
          <t>entrackr | inc42 | et</t>
        </is>
      </c>
      <c r="O110" s="20" t="n">
        <v>3</v>
      </c>
      <c r="P110" s="21" t="n">
        <v>0</v>
      </c>
      <c r="Q110" t="inlineStr">
        <is>
          <t>C07</t>
        </is>
      </c>
      <c r="R110" s="22" t="inlineStr">
        <is>
          <t>https://entrackr.com/snippets/infoedge-ventures-leads-1-mn-round-in-shoppin-8669237</t>
        </is>
      </c>
    </row>
    <row r="111">
      <c r="A111" t="inlineStr">
        <is>
          <t>R250130-bonvaero</t>
        </is>
      </c>
      <c r="B111" t="inlineStr">
        <is>
          <t>BonV</t>
        </is>
      </c>
      <c r="C111" s="17" t="n">
        <v>45687</v>
      </c>
      <c r="D111" s="18" t="n">
        <v>45658</v>
      </c>
      <c r="E111" s="19" t="n">
        <v>1.2</v>
      </c>
      <c r="F111" s="19" t="n">
        <v>10.39</v>
      </c>
      <c r="G111" t="inlineStr">
        <is>
          <t>$1.2 Mn</t>
        </is>
      </c>
      <c r="H111" t="inlineStr">
        <is>
          <t>Pre-Series A</t>
        </is>
      </c>
      <c r="I111" t="inlineStr">
        <is>
          <t>Early</t>
        </is>
      </c>
      <c r="J111" t="inlineStr">
        <is>
          <t>Deeptech</t>
        </is>
      </c>
      <c r="K111" t="inlineStr">
        <is>
          <t>Unknown</t>
        </is>
      </c>
      <c r="L111" t="inlineStr">
        <is>
          <t>Unicorn Indian Ventures</t>
        </is>
      </c>
      <c r="M111" t="inlineStr">
        <is>
          <t>Unicorn Indian Ventures</t>
        </is>
      </c>
      <c r="N111" t="inlineStr">
        <is>
          <t>inc42 | et</t>
        </is>
      </c>
      <c r="O111" s="20" t="n">
        <v>2</v>
      </c>
      <c r="P111" s="21" t="n">
        <v>0</v>
      </c>
      <c r="Q111" t="inlineStr">
        <is>
          <t>C07</t>
        </is>
      </c>
      <c r="R111" s="22" t="inlineStr">
        <is>
          <t>https://economictimes.indiatimes.com/tech/funding/drone-startup-bonv-aero-secures-funding-from-unicorn-india-ventures/articleshow/117740144.cms</t>
        </is>
      </c>
    </row>
    <row r="112">
      <c r="A112" t="inlineStr">
        <is>
          <t>R250130-chk</t>
        </is>
      </c>
      <c r="B112" t="inlineStr">
        <is>
          <t>CHK</t>
        </is>
      </c>
      <c r="C112" s="17" t="n">
        <v>45687</v>
      </c>
      <c r="D112" s="18" t="n">
        <v>45658</v>
      </c>
      <c r="E112" s="19" t="n">
        <v>2.5</v>
      </c>
      <c r="F112" s="19" t="n">
        <v>21.65</v>
      </c>
      <c r="G112" t="inlineStr">
        <is>
          <t>$2.5 Mn</t>
        </is>
      </c>
      <c r="H112" t="inlineStr">
        <is>
          <t>Seed</t>
        </is>
      </c>
      <c r="I112" t="inlineStr">
        <is>
          <t>Early</t>
        </is>
      </c>
      <c r="J112" t="inlineStr">
        <is>
          <t>Ecommerce</t>
        </is>
      </c>
      <c r="K112" t="inlineStr">
        <is>
          <t>Bengaluru</t>
        </is>
      </c>
      <c r="L112" t="inlineStr">
        <is>
          <t>Accel</t>
        </is>
      </c>
      <c r="M112" t="inlineStr">
        <is>
          <t>Accel; Bluestone</t>
        </is>
      </c>
      <c r="N112" t="inlineStr">
        <is>
          <t>entrackr | inc42 | et</t>
        </is>
      </c>
      <c r="O112" s="20" t="n">
        <v>3</v>
      </c>
      <c r="P112" s="21" t="n">
        <v>0</v>
      </c>
      <c r="Q112" t="inlineStr"/>
      <c r="R112" s="22" t="inlineStr">
        <is>
          <t>https://entrackr.com/snippets/d2c-footwear-brand-chk-secures-25-mn-8674117</t>
        </is>
      </c>
    </row>
    <row r="113">
      <c r="A113" t="inlineStr">
        <is>
          <t>R250130-saladdays</t>
        </is>
      </c>
      <c r="B113" t="inlineStr">
        <is>
          <t>Salad Days</t>
        </is>
      </c>
      <c r="C113" s="17" t="n">
        <v>45687</v>
      </c>
      <c r="D113" s="18" t="n">
        <v>45658</v>
      </c>
      <c r="E113" s="19" t="n">
        <v>3.464</v>
      </c>
      <c r="F113" s="19" t="n">
        <v>30</v>
      </c>
      <c r="G113" t="inlineStr">
        <is>
          <t>Rs 30 crore</t>
        </is>
      </c>
      <c r="H113" t="inlineStr">
        <is>
          <t>Series A</t>
        </is>
      </c>
      <c r="I113" t="inlineStr">
        <is>
          <t>Early</t>
        </is>
      </c>
      <c r="J113" t="inlineStr">
        <is>
          <t>Consumer Services</t>
        </is>
      </c>
      <c r="K113" t="inlineStr">
        <is>
          <t>Unknown</t>
        </is>
      </c>
      <c r="L113" t="inlineStr">
        <is>
          <t>V3 Ventures; Client Associates Alternate Fund</t>
        </is>
      </c>
      <c r="M113" t="inlineStr">
        <is>
          <t>V3 Ventures; Client Associates Alternate Fund</t>
        </is>
      </c>
      <c r="N113" t="inlineStr">
        <is>
          <t>entrackr | inc42 | et</t>
        </is>
      </c>
      <c r="O113" s="20" t="n">
        <v>3</v>
      </c>
      <c r="P113" s="21" t="n">
        <v>1.9</v>
      </c>
      <c r="Q113" t="inlineStr">
        <is>
          <t>C07</t>
        </is>
      </c>
      <c r="R113" s="22" t="inlineStr">
        <is>
          <t>https://entrackr.com/snippets/salad-days-raises-rs-30-cr-in-series-a-round-8669851</t>
        </is>
      </c>
    </row>
    <row r="114">
      <c r="A114" t="inlineStr">
        <is>
          <t>R250130-sammmm</t>
        </is>
      </c>
      <c r="B114" t="inlineStr">
        <is>
          <t>Sammmm</t>
        </is>
      </c>
      <c r="C114" s="17" t="n">
        <v>45687</v>
      </c>
      <c r="D114" s="18" t="n">
        <v>45658</v>
      </c>
      <c r="E114" s="19" t="n">
        <v>1.155</v>
      </c>
      <c r="F114" s="19" t="n">
        <v>10</v>
      </c>
      <c r="G114" t="inlineStr">
        <is>
          <t>Rs 10 crore</t>
        </is>
      </c>
      <c r="H114" t="inlineStr">
        <is>
          <t>Seed</t>
        </is>
      </c>
      <c r="I114" t="inlineStr">
        <is>
          <t>Early</t>
        </is>
      </c>
      <c r="J114" t="inlineStr">
        <is>
          <t>Ecommerce</t>
        </is>
      </c>
      <c r="K114" t="inlineStr">
        <is>
          <t>Unknown</t>
        </is>
      </c>
      <c r="L114" t="inlineStr">
        <is>
          <t>Fireside Ventures</t>
        </is>
      </c>
      <c r="M114" t="inlineStr">
        <is>
          <t>Fireside Ventures; Sauce VC; Nihir Parikh; Sachin Parikh; Shantanu &amp; Nikhil Mehra</t>
        </is>
      </c>
      <c r="N114" t="inlineStr">
        <is>
          <t>entrackr</t>
        </is>
      </c>
      <c r="O114" s="20" t="n">
        <v>1</v>
      </c>
      <c r="P114" s="21" t="n">
        <v>0</v>
      </c>
      <c r="Q114" t="inlineStr">
        <is>
          <t>C07</t>
        </is>
      </c>
      <c r="R114" s="22" t="inlineStr">
        <is>
          <t>https://entrackr.com/snippets/teen-self-care-brand-sammmm-raises-rs-10-cr-in-seed-funding-8674589</t>
        </is>
      </c>
    </row>
    <row r="115">
      <c r="A115" t="inlineStr">
        <is>
          <t>R250130-superops</t>
        </is>
      </c>
      <c r="B115" t="inlineStr">
        <is>
          <t>SuperOps</t>
        </is>
      </c>
      <c r="C115" s="17" t="n">
        <v>45687</v>
      </c>
      <c r="D115" s="18" t="n">
        <v>45658</v>
      </c>
      <c r="E115" s="19" t="n">
        <v>25</v>
      </c>
      <c r="F115" s="19" t="n">
        <v>216.52</v>
      </c>
      <c r="G115" t="inlineStr">
        <is>
          <t>$25 Mn</t>
        </is>
      </c>
      <c r="H115" t="inlineStr">
        <is>
          <t>Series C</t>
        </is>
      </c>
      <c r="I115" t="inlineStr">
        <is>
          <t>Growth</t>
        </is>
      </c>
      <c r="J115" t="inlineStr">
        <is>
          <t>Enterprise Tech</t>
        </is>
      </c>
      <c r="K115" t="inlineStr">
        <is>
          <t>Unknown</t>
        </is>
      </c>
      <c r="L115" t="inlineStr">
        <is>
          <t>March Capital</t>
        </is>
      </c>
      <c r="M115" t="inlineStr">
        <is>
          <t>March Capital; Addition; Z47</t>
        </is>
      </c>
      <c r="N115" t="inlineStr">
        <is>
          <t>inc42 | et</t>
        </is>
      </c>
      <c r="O115" s="20" t="n">
        <v>2</v>
      </c>
      <c r="P115" s="21" t="n">
        <v>0</v>
      </c>
      <c r="Q115" t="inlineStr">
        <is>
          <t>C07</t>
        </is>
      </c>
      <c r="R115" s="22" t="inlineStr">
        <is>
          <t>https://economictimes.indiatimes.com/tech/funding/saas-firm-superops-raises-25-million-from-march-capital-addition-z47/articleshow/117741246.cms</t>
        </is>
      </c>
    </row>
    <row r="116">
      <c r="A116" t="inlineStr">
        <is>
          <t>R250130-utsav</t>
        </is>
      </c>
      <c r="B116" t="inlineStr">
        <is>
          <t>Utsav</t>
        </is>
      </c>
      <c r="C116" s="17" t="n">
        <v>45687</v>
      </c>
      <c r="D116" s="18" t="n">
        <v>45658</v>
      </c>
      <c r="E116" s="19" t="n">
        <v>0.733</v>
      </c>
      <c r="F116" s="19" t="n">
        <v>6.35</v>
      </c>
      <c r="G116" t="inlineStr">
        <is>
          <t>Rs 6.35 crore</t>
        </is>
      </c>
      <c r="H116" t="inlineStr">
        <is>
          <t>Pre-Series A</t>
        </is>
      </c>
      <c r="I116" t="inlineStr">
        <is>
          <t>Early</t>
        </is>
      </c>
      <c r="J116" t="inlineStr">
        <is>
          <t>Consumer Services</t>
        </is>
      </c>
      <c r="K116" t="inlineStr">
        <is>
          <t>Kolkata</t>
        </is>
      </c>
      <c r="L116" t="inlineStr">
        <is>
          <t>Equanimity Investments</t>
        </is>
      </c>
      <c r="M116" t="inlineStr">
        <is>
          <t>Equanimity Investments; India Quotient</t>
        </is>
      </c>
      <c r="N116" t="inlineStr">
        <is>
          <t>entrackr | inc42 | et</t>
        </is>
      </c>
      <c r="O116" s="20" t="n">
        <v>3</v>
      </c>
      <c r="P116" s="21" t="n">
        <v>0</v>
      </c>
      <c r="Q116" t="inlineStr"/>
      <c r="R116" s="22" t="inlineStr">
        <is>
          <t>https://economictimes.indiatimes.com/tech/funding/spiritual-and-devotion-platform-utsav-raises-rs-6-35-crore-in-round-led-by-equanimity-investments/articleshow/117741315.cms</t>
        </is>
      </c>
    </row>
    <row r="117">
      <c r="A117" t="inlineStr">
        <is>
          <t>R250131-captainfresh</t>
        </is>
      </c>
      <c r="B117" t="inlineStr">
        <is>
          <t>Captain Fresh</t>
        </is>
      </c>
      <c r="C117" s="17" t="n">
        <v>45688</v>
      </c>
      <c r="D117" s="18" t="n">
        <v>45658</v>
      </c>
      <c r="E117" s="19" t="n">
        <v>28.872</v>
      </c>
      <c r="F117" s="19" t="n">
        <v>250</v>
      </c>
      <c r="G117" t="inlineStr">
        <is>
          <t>Rs 250 crore</t>
        </is>
      </c>
      <c r="H117" t="inlineStr">
        <is>
          <t>Pre-IPO</t>
        </is>
      </c>
      <c r="I117" t="inlineStr">
        <is>
          <t>Late</t>
        </is>
      </c>
      <c r="J117" t="inlineStr">
        <is>
          <t>Ecommerce</t>
        </is>
      </c>
      <c r="K117" t="inlineStr">
        <is>
          <t>Bengaluru</t>
        </is>
      </c>
      <c r="L117" t="inlineStr">
        <is>
          <t>Prosus Ventures; Accel; Tiger Global</t>
        </is>
      </c>
      <c r="M117" t="inlineStr">
        <is>
          <t>Prosus Ventures; Accel; Tiger Global; Sriharsha Majety Family Office; Sid Khanna; Sunjay Kapur; Shivalik Prints</t>
        </is>
      </c>
      <c r="N117" t="inlineStr">
        <is>
          <t>entrackr | inc42 | et</t>
        </is>
      </c>
      <c r="O117" s="20" t="n">
        <v>3</v>
      </c>
      <c r="P117" s="21" t="n">
        <v>0.2</v>
      </c>
      <c r="Q117" t="inlineStr">
        <is>
          <t>C09</t>
        </is>
      </c>
      <c r="R117" s="22" t="inlineStr">
        <is>
          <t>https://entrackr.com/news/captain-fresh-raises-rs-250-cr-in-ongoing-pre-ipo-round-8678115</t>
        </is>
      </c>
    </row>
    <row r="118">
      <c r="A118" t="inlineStr">
        <is>
          <t>R250203-builditindia</t>
        </is>
      </c>
      <c r="B118" t="inlineStr">
        <is>
          <t>BuilditIndia</t>
        </is>
      </c>
      <c r="C118" s="17" t="n">
        <v>45691</v>
      </c>
      <c r="D118" s="18" t="n">
        <v>45689</v>
      </c>
      <c r="E118" s="19" t="n"/>
      <c r="F118" s="19" t="n"/>
      <c r="G118" t="inlineStr"/>
      <c r="H118" t="inlineStr">
        <is>
          <t>Undisclosed</t>
        </is>
      </c>
      <c r="I118" t="inlineStr">
        <is>
          <t>Undisclosed</t>
        </is>
      </c>
      <c r="J118" t="inlineStr">
        <is>
          <t>Ecommerce</t>
        </is>
      </c>
      <c r="K118" t="inlineStr">
        <is>
          <t>Unknown</t>
        </is>
      </c>
      <c r="L118" t="inlineStr">
        <is>
          <t>Parthiv Patel</t>
        </is>
      </c>
      <c r="M118" t="inlineStr">
        <is>
          <t>Parthiv Patel</t>
        </is>
      </c>
      <c r="N118" t="inlineStr">
        <is>
          <t>inc42</t>
        </is>
      </c>
      <c r="O118" s="20" t="n">
        <v>1</v>
      </c>
      <c r="P118" s="21" t="n"/>
      <c r="Q118" t="inlineStr">
        <is>
          <t>C03 C04 C07</t>
        </is>
      </c>
      <c r="R118" s="22" t="inlineStr">
        <is>
          <t>https://inc42.com/buzz/from-cashfree-payments-to-shadowfax-indian-startups-raised-125-mn-this-week/</t>
        </is>
      </c>
    </row>
    <row r="119">
      <c r="A119" t="inlineStr">
        <is>
          <t>R250203-curefoods</t>
        </is>
      </c>
      <c r="B119" t="inlineStr">
        <is>
          <t>Curefoods</t>
        </is>
      </c>
      <c r="C119" s="17" t="n">
        <v>45691</v>
      </c>
      <c r="D119" s="18" t="n">
        <v>45689</v>
      </c>
      <c r="E119" s="19" t="n"/>
      <c r="F119" s="19" t="n"/>
      <c r="G119" t="inlineStr"/>
      <c r="H119" t="inlineStr">
        <is>
          <t>Undisclosed</t>
        </is>
      </c>
      <c r="I119" t="inlineStr">
        <is>
          <t>Undisclosed</t>
        </is>
      </c>
      <c r="J119" t="inlineStr">
        <is>
          <t>Consumer Services</t>
        </is>
      </c>
      <c r="K119" t="inlineStr">
        <is>
          <t>Bengaluru</t>
        </is>
      </c>
      <c r="L119" t="inlineStr">
        <is>
          <t>Hrithik Roshan</t>
        </is>
      </c>
      <c r="M119" t="inlineStr">
        <is>
          <t>Hrithik Roshan</t>
        </is>
      </c>
      <c r="N119" t="inlineStr">
        <is>
          <t>inc42</t>
        </is>
      </c>
      <c r="O119" s="20" t="n">
        <v>1</v>
      </c>
      <c r="P119" s="21" t="n"/>
      <c r="Q119" t="inlineStr">
        <is>
          <t>C03 C04</t>
        </is>
      </c>
      <c r="R119" s="22" t="inlineStr">
        <is>
          <t>https://inc42.com/buzz/from-cashfree-payments-to-shadowfax-indian-startups-raised-125-mn-this-week/</t>
        </is>
      </c>
    </row>
    <row r="120">
      <c r="A120" t="inlineStr">
        <is>
          <t>R250203-shadowfax</t>
        </is>
      </c>
      <c r="B120" t="inlineStr">
        <is>
          <t>Shadowfax</t>
        </is>
      </c>
      <c r="C120" s="17" t="n">
        <v>45691</v>
      </c>
      <c r="D120" s="18" t="n">
        <v>45689</v>
      </c>
      <c r="E120" s="19" t="n">
        <v>4</v>
      </c>
      <c r="F120" s="19" t="n">
        <v>34.82</v>
      </c>
      <c r="G120" t="inlineStr">
        <is>
          <t>$4 Mn</t>
        </is>
      </c>
      <c r="H120" t="inlineStr">
        <is>
          <t>Series F</t>
        </is>
      </c>
      <c r="I120" t="inlineStr">
        <is>
          <t>Late</t>
        </is>
      </c>
      <c r="J120" t="inlineStr">
        <is>
          <t>Logistics</t>
        </is>
      </c>
      <c r="K120" t="inlineStr">
        <is>
          <t>Unknown</t>
        </is>
      </c>
      <c r="L120" t="inlineStr"/>
      <c r="M120" t="inlineStr">
        <is>
          <t>Mirae Asset; Nokia Growth Partners</t>
        </is>
      </c>
      <c r="N120" t="inlineStr">
        <is>
          <t>inc42</t>
        </is>
      </c>
      <c r="O120" s="20" t="n">
        <v>1</v>
      </c>
      <c r="P120" s="21" t="n">
        <v>0</v>
      </c>
      <c r="Q120" t="inlineStr">
        <is>
          <t>C07</t>
        </is>
      </c>
      <c r="R120" s="22" t="inlineStr">
        <is>
          <t>https://inc42.com/buzz/from-cashfree-payments-to-shadowfax-indian-startups-raised-125-mn-this-week/</t>
        </is>
      </c>
    </row>
    <row r="121">
      <c r="A121" t="inlineStr">
        <is>
          <t>R250204-coluxe</t>
        </is>
      </c>
      <c r="B121" t="inlineStr">
        <is>
          <t>COLUXE</t>
        </is>
      </c>
      <c r="C121" s="17" t="n">
        <v>45692</v>
      </c>
      <c r="D121" s="18" t="n">
        <v>45689</v>
      </c>
      <c r="E121" s="19" t="n"/>
      <c r="F121" s="19" t="n"/>
      <c r="G121" t="inlineStr"/>
      <c r="H121" t="inlineStr">
        <is>
          <t>Angel</t>
        </is>
      </c>
      <c r="I121" t="inlineStr">
        <is>
          <t>Early</t>
        </is>
      </c>
      <c r="J121" t="inlineStr">
        <is>
          <t>Ecommerce</t>
        </is>
      </c>
      <c r="K121" t="inlineStr">
        <is>
          <t>Unknown</t>
        </is>
      </c>
      <c r="L121" t="inlineStr"/>
      <c r="M121" t="inlineStr"/>
      <c r="N121" t="inlineStr">
        <is>
          <t>entrackr</t>
        </is>
      </c>
      <c r="O121" s="20" t="n">
        <v>1</v>
      </c>
      <c r="P121" s="21" t="n"/>
      <c r="Q121" t="inlineStr">
        <is>
          <t>C03 C05 C07</t>
        </is>
      </c>
      <c r="R121" s="22" t="inlineStr">
        <is>
          <t>https://entrackr.com/snippets/priyanka-gills-lab-grown-diamond-brand-coluxe-raises-angel-funding-8688430</t>
        </is>
      </c>
    </row>
    <row r="122">
      <c r="A122" t="inlineStr">
        <is>
          <t>R250204-hairoriginals</t>
        </is>
      </c>
      <c r="B122" t="inlineStr">
        <is>
          <t>HairOriginals</t>
        </is>
      </c>
      <c r="C122" s="17" t="n">
        <v>45692</v>
      </c>
      <c r="D122" s="18" t="n">
        <v>45689</v>
      </c>
      <c r="E122" s="19" t="n">
        <v>5</v>
      </c>
      <c r="F122" s="19" t="n">
        <v>43.54</v>
      </c>
      <c r="G122" t="inlineStr">
        <is>
          <t>$5 million</t>
        </is>
      </c>
      <c r="H122" t="inlineStr">
        <is>
          <t>Series A</t>
        </is>
      </c>
      <c r="I122" t="inlineStr">
        <is>
          <t>Early</t>
        </is>
      </c>
      <c r="J122" t="inlineStr">
        <is>
          <t>Ecommerce</t>
        </is>
      </c>
      <c r="K122" t="inlineStr">
        <is>
          <t>Unknown</t>
        </is>
      </c>
      <c r="L122" t="inlineStr">
        <is>
          <t>Anicut Growth Fund; 12 Flags Consumer Holdings</t>
        </is>
      </c>
      <c r="M122" t="inlineStr">
        <is>
          <t>Anicut Growth Fund; 12 Flags Consumer Holdings; Peyush Bansal</t>
        </is>
      </c>
      <c r="N122" t="inlineStr">
        <is>
          <t>entrackr | inc42 | et</t>
        </is>
      </c>
      <c r="O122" s="20" t="n">
        <v>3</v>
      </c>
      <c r="P122" s="21" t="n">
        <v>0</v>
      </c>
      <c r="Q122" t="inlineStr">
        <is>
          <t>C07</t>
        </is>
      </c>
      <c r="R122" s="22" t="inlineStr">
        <is>
          <t>https://economictimes.indiatimes.com/tech/funding/hair-originals-raises-5-million-in-series-a-funding/articleshow/117921270.cms</t>
        </is>
      </c>
    </row>
    <row r="123">
      <c r="A123" t="inlineStr">
        <is>
          <t>R250204-presentationsa</t>
        </is>
      </c>
      <c r="B123" t="inlineStr">
        <is>
          <t>Presentations.AI</t>
        </is>
      </c>
      <c r="C123" s="17" t="n">
        <v>45692</v>
      </c>
      <c r="D123" s="18" t="n">
        <v>45689</v>
      </c>
      <c r="E123" s="19" t="n">
        <v>3</v>
      </c>
      <c r="F123" s="19" t="n">
        <v>26.13</v>
      </c>
      <c r="G123" t="inlineStr">
        <is>
          <t>$3 Mn</t>
        </is>
      </c>
      <c r="H123" t="inlineStr">
        <is>
          <t>Seed</t>
        </is>
      </c>
      <c r="I123" t="inlineStr">
        <is>
          <t>Early</t>
        </is>
      </c>
      <c r="J123" t="inlineStr">
        <is>
          <t>Enterprise Tech</t>
        </is>
      </c>
      <c r="K123" t="inlineStr">
        <is>
          <t>Unknown</t>
        </is>
      </c>
      <c r="L123" t="inlineStr">
        <is>
          <t>Accel Partners</t>
        </is>
      </c>
      <c r="M123" t="inlineStr">
        <is>
          <t>Accel Partners; Vijay Shekhar Sharma; Kunal Shah; Phanindra Sama; Girish Mathrubhootham; Krish Subramanian; Rajaraman Santhanam</t>
        </is>
      </c>
      <c r="N123" t="inlineStr">
        <is>
          <t>inc42</t>
        </is>
      </c>
      <c r="O123" s="20" t="n">
        <v>1</v>
      </c>
      <c r="P123" s="21" t="n">
        <v>0</v>
      </c>
      <c r="Q123" t="inlineStr">
        <is>
          <t>C07</t>
        </is>
      </c>
      <c r="R123" s="22" t="inlineStr">
        <is>
          <t>https://inc42.com/buzz/from-cashfree-payments-to-shadowfax-indian-startups-raised-125-mn-this-week/</t>
        </is>
      </c>
    </row>
    <row r="124">
      <c r="A124" t="inlineStr">
        <is>
          <t>R250204-supergaming</t>
        </is>
      </c>
      <c r="B124" t="inlineStr">
        <is>
          <t>Super Gaming</t>
        </is>
      </c>
      <c r="C124" s="17" t="n">
        <v>45692</v>
      </c>
      <c r="D124" s="18" t="n">
        <v>45689</v>
      </c>
      <c r="E124" s="19" t="n"/>
      <c r="F124" s="19" t="n"/>
      <c r="G124" t="inlineStr"/>
      <c r="H124" t="inlineStr">
        <is>
          <t>Undisclosed</t>
        </is>
      </c>
      <c r="I124" t="inlineStr">
        <is>
          <t>Undisclosed</t>
        </is>
      </c>
      <c r="J124" t="inlineStr">
        <is>
          <t>Media &amp; Entertainment</t>
        </is>
      </c>
      <c r="K124" t="inlineStr">
        <is>
          <t>Pune</t>
        </is>
      </c>
      <c r="L124" t="inlineStr">
        <is>
          <t>Bandai Namco</t>
        </is>
      </c>
      <c r="M124" t="inlineStr">
        <is>
          <t>Bandai Namco</t>
        </is>
      </c>
      <c r="N124" t="inlineStr">
        <is>
          <t>inc42</t>
        </is>
      </c>
      <c r="O124" s="20" t="n">
        <v>1</v>
      </c>
      <c r="P124" s="21" t="n"/>
      <c r="Q124" t="inlineStr">
        <is>
          <t>C03 C04</t>
        </is>
      </c>
      <c r="R124" s="22" t="inlineStr">
        <is>
          <t>https://inc42.com/buzz/from-cashfree-payments-to-shadowfax-indian-startups-raised-125-mn-this-week/</t>
        </is>
      </c>
    </row>
    <row r="125">
      <c r="A125" t="inlineStr">
        <is>
          <t>R250205-astrasecurity</t>
        </is>
      </c>
      <c r="B125" t="inlineStr">
        <is>
          <t>Astra Security</t>
        </is>
      </c>
      <c r="C125" s="17" t="n">
        <v>45693</v>
      </c>
      <c r="D125" s="18" t="n">
        <v>45689</v>
      </c>
      <c r="E125" s="19" t="n">
        <v>2.7</v>
      </c>
      <c r="F125" s="19" t="n">
        <v>23.59</v>
      </c>
      <c r="G125" t="inlineStr">
        <is>
          <t>$2.7 million</t>
        </is>
      </c>
      <c r="H125" t="inlineStr">
        <is>
          <t>Undisclosed</t>
        </is>
      </c>
      <c r="I125" t="inlineStr">
        <is>
          <t>Undisclosed</t>
        </is>
      </c>
      <c r="J125" t="inlineStr">
        <is>
          <t>Enterprise Tech</t>
        </is>
      </c>
      <c r="K125" t="inlineStr">
        <is>
          <t>Delhi NCR</t>
        </is>
      </c>
      <c r="L125" t="inlineStr">
        <is>
          <t>Emergent Ventures; Better Capital; Blume Ventures; PointOne Capital</t>
        </is>
      </c>
      <c r="M125" t="inlineStr">
        <is>
          <t>Emergent Ventures; Neon Fund; Blume Ventures; PointOne Capital; Better Capital</t>
        </is>
      </c>
      <c r="N125" t="inlineStr">
        <is>
          <t>entrackr | inc42 | et</t>
        </is>
      </c>
      <c r="O125" s="20" t="n">
        <v>3</v>
      </c>
      <c r="P125" s="21" t="n">
        <v>0</v>
      </c>
      <c r="Q125" t="inlineStr">
        <is>
          <t>C04 C17</t>
        </is>
      </c>
      <c r="R125" s="22" t="inlineStr">
        <is>
          <t>https://inc42.com/buzz/from-cashfree-payments-to-shadowfax-indian-startups-raised-125-mn-this-week/</t>
        </is>
      </c>
    </row>
    <row r="126">
      <c r="A126" t="inlineStr">
        <is>
          <t>R250205-cashfreepaymen</t>
        </is>
      </c>
      <c r="B126" t="inlineStr">
        <is>
          <t>Cashfree Payments</t>
        </is>
      </c>
      <c r="C126" s="17" t="n">
        <v>45693</v>
      </c>
      <c r="D126" s="18" t="n">
        <v>45689</v>
      </c>
      <c r="E126" s="19" t="n">
        <v>53</v>
      </c>
      <c r="F126" s="19" t="n">
        <v>463.06</v>
      </c>
      <c r="G126" t="inlineStr">
        <is>
          <t>$53 million</t>
        </is>
      </c>
      <c r="H126" t="inlineStr">
        <is>
          <t>Series C</t>
        </is>
      </c>
      <c r="I126" t="inlineStr">
        <is>
          <t>Growth</t>
        </is>
      </c>
      <c r="J126" t="inlineStr">
        <is>
          <t>Fintech</t>
        </is>
      </c>
      <c r="K126" t="inlineStr">
        <is>
          <t>Bengaluru</t>
        </is>
      </c>
      <c r="L126" t="inlineStr">
        <is>
          <t>KRAFTON; Apis Growth Fund II</t>
        </is>
      </c>
      <c r="M126" t="inlineStr">
        <is>
          <t>KRAFTON; Apis Partners; Y combinator; Smilegate Investments; State Bank of India</t>
        </is>
      </c>
      <c r="N126" t="inlineStr">
        <is>
          <t>entrackr | inc42 | et | vccircle</t>
        </is>
      </c>
      <c r="O126" s="20" t="n">
        <v>4</v>
      </c>
      <c r="P126" s="21" t="n">
        <v>0</v>
      </c>
      <c r="Q126" t="inlineStr"/>
      <c r="R126" s="22" t="inlineStr">
        <is>
          <t>https://entrackr.com/news/cashfree-payments-raises-53-mn-led-by-krafton-8690967</t>
        </is>
      </c>
    </row>
    <row r="127">
      <c r="A127" t="inlineStr">
        <is>
          <t>R250205-dreamflyinnova</t>
        </is>
      </c>
      <c r="B127" t="inlineStr">
        <is>
          <t>Dreamfly Innovations</t>
        </is>
      </c>
      <c r="C127" s="17" t="n">
        <v>45693</v>
      </c>
      <c r="D127" s="18" t="n">
        <v>45689</v>
      </c>
      <c r="E127" s="19" t="n">
        <v>1.373</v>
      </c>
      <c r="F127" s="19" t="n">
        <v>12</v>
      </c>
      <c r="G127" t="inlineStr">
        <is>
          <t>Rs 12 crore</t>
        </is>
      </c>
      <c r="H127" t="inlineStr">
        <is>
          <t>Seed</t>
        </is>
      </c>
      <c r="I127" t="inlineStr">
        <is>
          <t>Early</t>
        </is>
      </c>
      <c r="J127" t="inlineStr">
        <is>
          <t>Cleantech</t>
        </is>
      </c>
      <c r="K127" t="inlineStr">
        <is>
          <t>Bengaluru</t>
        </is>
      </c>
      <c r="L127" t="inlineStr">
        <is>
          <t>Avaana Capital</t>
        </is>
      </c>
      <c r="M127" t="inlineStr">
        <is>
          <t>Avaana Capital; Sunicon Ventures</t>
        </is>
      </c>
      <c r="N127" t="inlineStr">
        <is>
          <t>entrackr | inc42 | et</t>
        </is>
      </c>
      <c r="O127" s="20" t="n">
        <v>3</v>
      </c>
      <c r="P127" s="21" t="n">
        <v>1.9</v>
      </c>
      <c r="Q127" t="inlineStr"/>
      <c r="R127" s="22" t="inlineStr">
        <is>
          <t>https://entrackr.com/snippets/dreamfly-innovations-raises-rs-12-cr-in-seed-round-8694299</t>
        </is>
      </c>
    </row>
    <row r="128">
      <c r="A128" t="inlineStr">
        <is>
          <t>R250205-fitspire</t>
        </is>
      </c>
      <c r="B128" t="inlineStr">
        <is>
          <t>Fitspire</t>
        </is>
      </c>
      <c r="C128" s="17" t="n">
        <v>45693</v>
      </c>
      <c r="D128" s="18" t="n">
        <v>45689</v>
      </c>
      <c r="E128" s="19" t="n">
        <v>1</v>
      </c>
      <c r="F128" s="19" t="n">
        <v>8.74</v>
      </c>
      <c r="G128" t="inlineStr">
        <is>
          <t>$1 million</t>
        </is>
      </c>
      <c r="H128" t="inlineStr">
        <is>
          <t>Series A</t>
        </is>
      </c>
      <c r="I128" t="inlineStr">
        <is>
          <t>Early</t>
        </is>
      </c>
      <c r="J128" t="inlineStr">
        <is>
          <t>Ecommerce</t>
        </is>
      </c>
      <c r="K128" t="inlineStr">
        <is>
          <t>Delhi NCR</t>
        </is>
      </c>
      <c r="L128" t="inlineStr">
        <is>
          <t>Anant Agarwal; MMG Group</t>
        </is>
      </c>
      <c r="M128" t="inlineStr">
        <is>
          <t>AKG financials; Ruchirans- Anuraag; Sohil-Ashish Chand; Anant Agarwal; MMG Group</t>
        </is>
      </c>
      <c r="N128" t="inlineStr">
        <is>
          <t>entrackr | et</t>
        </is>
      </c>
      <c r="O128" s="20" t="n">
        <v>2</v>
      </c>
      <c r="P128" s="21" t="n">
        <v>0</v>
      </c>
      <c r="Q128" t="inlineStr">
        <is>
          <t>C11 C17</t>
        </is>
      </c>
      <c r="R128" s="22" t="inlineStr">
        <is>
          <t>https://entrackr.com/snippets/nutrition-brand-fitspire-raises-1-mn-in-pre-series-a-round-8692614</t>
        </is>
      </c>
    </row>
    <row r="129">
      <c r="A129" t="inlineStr">
        <is>
          <t>R250205-mealawe</t>
        </is>
      </c>
      <c r="B129" t="inlineStr">
        <is>
          <t>Mealawe</t>
        </is>
      </c>
      <c r="C129" s="17" t="n">
        <v>45693</v>
      </c>
      <c r="D129" s="18" t="n">
        <v>45689</v>
      </c>
      <c r="E129" s="19" t="n">
        <v>1</v>
      </c>
      <c r="F129" s="19" t="n">
        <v>8.74</v>
      </c>
      <c r="G129" t="inlineStr">
        <is>
          <t>$1 million</t>
        </is>
      </c>
      <c r="H129" t="inlineStr">
        <is>
          <t>Undisclosed</t>
        </is>
      </c>
      <c r="I129" t="inlineStr">
        <is>
          <t>Undisclosed</t>
        </is>
      </c>
      <c r="J129" t="inlineStr">
        <is>
          <t>Consumer Services</t>
        </is>
      </c>
      <c r="K129" t="inlineStr">
        <is>
          <t>Unknown</t>
        </is>
      </c>
      <c r="L129" t="inlineStr"/>
      <c r="M129" t="inlineStr"/>
      <c r="N129" t="inlineStr">
        <is>
          <t>entrackr | inc42</t>
        </is>
      </c>
      <c r="O129" s="20" t="n">
        <v>2</v>
      </c>
      <c r="P129" s="21" t="n">
        <v>0</v>
      </c>
      <c r="Q129" t="inlineStr">
        <is>
          <t>C04 C05 C07</t>
        </is>
      </c>
      <c r="R129" s="22" t="inlineStr">
        <is>
          <t>https://entrackr.com/snippets/foodtech-startup-mealawe-raises-1-mn-in-new-round-8692490</t>
        </is>
      </c>
    </row>
    <row r="130">
      <c r="A130" t="inlineStr">
        <is>
          <t>R250205-origamisai</t>
        </is>
      </c>
      <c r="B130" t="inlineStr">
        <is>
          <t>Origamis AI</t>
        </is>
      </c>
      <c r="C130" s="17" t="n">
        <v>45693</v>
      </c>
      <c r="D130" s="18" t="n">
        <v>45689</v>
      </c>
      <c r="E130" s="19" t="n">
        <v>0.5</v>
      </c>
      <c r="F130" s="19" t="n">
        <v>4.37</v>
      </c>
      <c r="G130" t="inlineStr">
        <is>
          <t>$500K</t>
        </is>
      </c>
      <c r="H130" t="inlineStr">
        <is>
          <t>Seed</t>
        </is>
      </c>
      <c r="I130" t="inlineStr">
        <is>
          <t>Early</t>
        </is>
      </c>
      <c r="J130" t="inlineStr">
        <is>
          <t>Enterprise Tech</t>
        </is>
      </c>
      <c r="K130" t="inlineStr">
        <is>
          <t>Bengaluru</t>
        </is>
      </c>
      <c r="L130" t="inlineStr">
        <is>
          <t>Vikas Gautam; Naveen Agarwal</t>
        </is>
      </c>
      <c r="M130" t="inlineStr">
        <is>
          <t>Vikas Gautam; Naveen Agarwal</t>
        </is>
      </c>
      <c r="N130" t="inlineStr">
        <is>
          <t>entrackr | inc42</t>
        </is>
      </c>
      <c r="O130" s="20" t="n">
        <v>2</v>
      </c>
      <c r="P130" s="21" t="n">
        <v>0</v>
      </c>
      <c r="Q130" t="inlineStr"/>
      <c r="R130" s="22" t="inlineStr">
        <is>
          <t>https://entrackr.com/snippets/genai-startup-origamis-ai-raises-500k-in-seed-round-8692523</t>
        </is>
      </c>
    </row>
    <row r="131">
      <c r="A131" t="inlineStr">
        <is>
          <t>R250205-presageinsight</t>
        </is>
      </c>
      <c r="B131" t="inlineStr">
        <is>
          <t>Presage Insights</t>
        </is>
      </c>
      <c r="C131" s="17" t="n">
        <v>45693</v>
      </c>
      <c r="D131" s="18" t="n">
        <v>45689</v>
      </c>
      <c r="E131" s="19" t="n">
        <v>0.641</v>
      </c>
      <c r="F131" s="19" t="n">
        <v>5.6</v>
      </c>
      <c r="G131" t="inlineStr">
        <is>
          <t>Rs 5.6 crore</t>
        </is>
      </c>
      <c r="H131" t="inlineStr">
        <is>
          <t>Seed</t>
        </is>
      </c>
      <c r="I131" t="inlineStr">
        <is>
          <t>Early</t>
        </is>
      </c>
      <c r="J131" t="inlineStr">
        <is>
          <t>Advanced Hardware &amp; Technology</t>
        </is>
      </c>
      <c r="K131" t="inlineStr">
        <is>
          <t>Delhi NCR</t>
        </is>
      </c>
      <c r="L131" t="inlineStr">
        <is>
          <t>YourNest Venture Capital</t>
        </is>
      </c>
      <c r="M131" t="inlineStr">
        <is>
          <t>YourNest Venture Capital</t>
        </is>
      </c>
      <c r="N131" t="inlineStr">
        <is>
          <t>entrackr</t>
        </is>
      </c>
      <c r="O131" s="20" t="n">
        <v>1</v>
      </c>
      <c r="P131" s="21" t="n">
        <v>0</v>
      </c>
      <c r="Q131" t="inlineStr"/>
      <c r="R131" s="22" t="inlineStr">
        <is>
          <t>https://entrackr.com/snippets/presage-insights-raises-seed-funding-round-8692558</t>
        </is>
      </c>
    </row>
    <row r="132">
      <c r="A132" t="inlineStr">
        <is>
          <t>R250205-quicklend</t>
        </is>
      </c>
      <c r="B132" t="inlineStr">
        <is>
          <t>Quicklend</t>
        </is>
      </c>
      <c r="C132" s="17" t="n">
        <v>45693</v>
      </c>
      <c r="D132" s="18" t="n">
        <v>45689</v>
      </c>
      <c r="E132" s="19" t="n">
        <v>0.773</v>
      </c>
      <c r="F132" s="19" t="n">
        <v>6.75</v>
      </c>
      <c r="G132" t="inlineStr">
        <is>
          <t>Rs 6.75 crore</t>
        </is>
      </c>
      <c r="H132" t="inlineStr">
        <is>
          <t>Pre-Seed</t>
        </is>
      </c>
      <c r="I132" t="inlineStr">
        <is>
          <t>Early</t>
        </is>
      </c>
      <c r="J132" t="inlineStr">
        <is>
          <t>Fintech</t>
        </is>
      </c>
      <c r="K132" t="inlineStr">
        <is>
          <t>Bengaluru</t>
        </is>
      </c>
      <c r="L132" t="inlineStr">
        <is>
          <t>Inuka Capital; Eximius Ventures; Upsparks Capital; GrowX</t>
        </is>
      </c>
      <c r="M132" t="inlineStr">
        <is>
          <t>Inuka Capital; Eximius Ventures; Upsparks Capital; GrowX</t>
        </is>
      </c>
      <c r="N132" t="inlineStr">
        <is>
          <t>entrackr | inc42</t>
        </is>
      </c>
      <c r="O132" s="20" t="n">
        <v>2</v>
      </c>
      <c r="P132" s="21" t="n">
        <v>0.1</v>
      </c>
      <c r="Q132" t="inlineStr"/>
      <c r="R132" s="22" t="inlineStr">
        <is>
          <t>https://entrackr.com/snippets/quicklend-raises-rs-675-cr-in-pre-seed-round-8691890</t>
        </is>
      </c>
    </row>
    <row r="133">
      <c r="A133" t="inlineStr">
        <is>
          <t>R250206-babynama</t>
        </is>
      </c>
      <c r="B133" t="inlineStr">
        <is>
          <t>Babynama</t>
        </is>
      </c>
      <c r="C133" s="17" t="n">
        <v>45694</v>
      </c>
      <c r="D133" s="18" t="n">
        <v>45689</v>
      </c>
      <c r="E133" s="19" t="n">
        <v>0.7</v>
      </c>
      <c r="F133" s="19" t="n">
        <v>6.13</v>
      </c>
      <c r="G133" t="inlineStr">
        <is>
          <t>$700,000</t>
        </is>
      </c>
      <c r="H133" t="inlineStr">
        <is>
          <t>Seed</t>
        </is>
      </c>
      <c r="I133" t="inlineStr">
        <is>
          <t>Early</t>
        </is>
      </c>
      <c r="J133" t="inlineStr">
        <is>
          <t>Healthtech</t>
        </is>
      </c>
      <c r="K133" t="inlineStr">
        <is>
          <t>Unknown</t>
        </is>
      </c>
      <c r="L133" t="inlineStr">
        <is>
          <t>Good Capital</t>
        </is>
      </c>
      <c r="M133" t="inlineStr">
        <is>
          <t>Good Capital; Amplify; Abhishek Gupta; Ankit Gupta; Akshay Saxena; Dhruv Dhanraj Bahl; Abhishek Sharma; IIT Bombay network</t>
        </is>
      </c>
      <c r="N133" t="inlineStr">
        <is>
          <t>entrackr | inc42</t>
        </is>
      </c>
      <c r="O133" s="20" t="n">
        <v>2</v>
      </c>
      <c r="P133" s="21" t="n">
        <v>0</v>
      </c>
      <c r="Q133" t="inlineStr">
        <is>
          <t>C07</t>
        </is>
      </c>
      <c r="R133" s="22" t="inlineStr">
        <is>
          <t>https://entrackr.com/snippets/healthtech-startup-babynama-raises-700k-led-by-good-capital-8694916</t>
        </is>
      </c>
    </row>
    <row r="134">
      <c r="A134" t="inlineStr">
        <is>
          <t>R250206-basilalliance</t>
        </is>
      </c>
      <c r="B134" t="inlineStr">
        <is>
          <t>Basil Alliance</t>
        </is>
      </c>
      <c r="C134" s="17" t="n">
        <v>45694</v>
      </c>
      <c r="D134" s="18" t="n">
        <v>45689</v>
      </c>
      <c r="E134" s="19" t="n"/>
      <c r="F134" s="19" t="n"/>
      <c r="G134" t="inlineStr"/>
      <c r="H134" t="inlineStr">
        <is>
          <t>Undisclosed</t>
        </is>
      </c>
      <c r="I134" t="inlineStr">
        <is>
          <t>Undisclosed</t>
        </is>
      </c>
      <c r="J134" t="inlineStr">
        <is>
          <t>Enterprise Tech</t>
        </is>
      </c>
      <c r="K134" t="inlineStr">
        <is>
          <t>Unknown</t>
        </is>
      </c>
      <c r="L134" t="inlineStr">
        <is>
          <t>Inflection Point Ventures</t>
        </is>
      </c>
      <c r="M134" t="inlineStr">
        <is>
          <t>Inflection Point Ventures</t>
        </is>
      </c>
      <c r="N134" t="inlineStr">
        <is>
          <t>inc42</t>
        </is>
      </c>
      <c r="O134" s="20" t="n">
        <v>1</v>
      </c>
      <c r="P134" s="21" t="n"/>
      <c r="Q134" t="inlineStr">
        <is>
          <t>C03 C04 C07</t>
        </is>
      </c>
      <c r="R134" s="22" t="inlineStr">
        <is>
          <t>https://inc42.com/buzz/from-cashfree-payments-to-shadowfax-indian-startups-raised-125-mn-this-week/</t>
        </is>
      </c>
    </row>
    <row r="135">
      <c r="A135" t="inlineStr">
        <is>
          <t>R250206-nua</t>
        </is>
      </c>
      <c r="B135" t="inlineStr">
        <is>
          <t>Nua</t>
        </is>
      </c>
      <c r="C135" s="17" t="n">
        <v>45694</v>
      </c>
      <c r="D135" s="18" t="n">
        <v>45689</v>
      </c>
      <c r="E135" s="19" t="n">
        <v>3.995</v>
      </c>
      <c r="F135" s="19" t="n">
        <v>35</v>
      </c>
      <c r="G135" t="inlineStr">
        <is>
          <t>Rs 35 crore</t>
        </is>
      </c>
      <c r="H135" t="inlineStr">
        <is>
          <t>Pre-Series C</t>
        </is>
      </c>
      <c r="I135" t="inlineStr">
        <is>
          <t>Growth</t>
        </is>
      </c>
      <c r="J135" t="inlineStr">
        <is>
          <t>Ecommerce</t>
        </is>
      </c>
      <c r="K135" t="inlineStr">
        <is>
          <t>Mumbai</t>
        </is>
      </c>
      <c r="L135" t="inlineStr">
        <is>
          <t>Mirabilis Investment Trust</t>
        </is>
      </c>
      <c r="M135" t="inlineStr">
        <is>
          <t>Mirabilis Investment Trust; Samir Singh; Shuchi Kothari; EVP</t>
        </is>
      </c>
      <c r="N135" t="inlineStr">
        <is>
          <t>entrackr | inc42 | et</t>
        </is>
      </c>
      <c r="O135" s="20" t="n">
        <v>3</v>
      </c>
      <c r="P135" s="21" t="n">
        <v>2.4</v>
      </c>
      <c r="Q135" t="inlineStr"/>
      <c r="R135" s="22" t="inlineStr">
        <is>
          <t>https://entrackr.com/snippets/deepika-padukone-backed-wellness-brand-nua-raises-rs-35-cr-8695456</t>
        </is>
      </c>
    </row>
    <row r="136">
      <c r="A136" t="inlineStr">
        <is>
          <t>R250206-playsuper</t>
        </is>
      </c>
      <c r="B136" t="inlineStr">
        <is>
          <t>PlaySuper</t>
        </is>
      </c>
      <c r="C136" s="17" t="n">
        <v>45694</v>
      </c>
      <c r="D136" s="18" t="n">
        <v>45689</v>
      </c>
      <c r="E136" s="19" t="n">
        <v>0.5</v>
      </c>
      <c r="F136" s="19" t="n">
        <v>4.38</v>
      </c>
      <c r="G136" t="inlineStr">
        <is>
          <t>$500K</t>
        </is>
      </c>
      <c r="H136" t="inlineStr">
        <is>
          <t>Seed</t>
        </is>
      </c>
      <c r="I136" t="inlineStr">
        <is>
          <t>Early</t>
        </is>
      </c>
      <c r="J136" t="inlineStr">
        <is>
          <t>Enterprise Tech</t>
        </is>
      </c>
      <c r="K136" t="inlineStr">
        <is>
          <t>Unknown</t>
        </is>
      </c>
      <c r="L136" t="inlineStr">
        <is>
          <t>IAN Group; 100X.VC</t>
        </is>
      </c>
      <c r="M136" t="inlineStr">
        <is>
          <t>IAN Group; 100X.VC; Uday Sodhi; KRS Jamwal; Pratham Mittal; Rajit Bhattacharya; Ankit Das</t>
        </is>
      </c>
      <c r="N136" t="inlineStr">
        <is>
          <t>entrackr | inc42</t>
        </is>
      </c>
      <c r="O136" s="20" t="n">
        <v>2</v>
      </c>
      <c r="P136" s="21" t="n">
        <v>0</v>
      </c>
      <c r="Q136" t="inlineStr">
        <is>
          <t>C07</t>
        </is>
      </c>
      <c r="R136" s="22" t="inlineStr">
        <is>
          <t>https://entrackr.com/snippets/playsuper-raises-500k-in-seed-round-led-by-ian-group-and-100xvc-8695102</t>
        </is>
      </c>
    </row>
    <row r="137">
      <c r="A137" t="inlineStr">
        <is>
          <t>R250206-truefoundry</t>
        </is>
      </c>
      <c r="B137" t="inlineStr">
        <is>
          <t>TrueFondry</t>
        </is>
      </c>
      <c r="C137" s="17" t="n">
        <v>45694</v>
      </c>
      <c r="D137" s="18" t="n">
        <v>45689</v>
      </c>
      <c r="E137" s="19" t="n">
        <v>19</v>
      </c>
      <c r="F137" s="19" t="n">
        <v>166.46</v>
      </c>
      <c r="G137" t="inlineStr">
        <is>
          <t>$19 million</t>
        </is>
      </c>
      <c r="H137" t="inlineStr">
        <is>
          <t>Series A</t>
        </is>
      </c>
      <c r="I137" t="inlineStr">
        <is>
          <t>Early</t>
        </is>
      </c>
      <c r="J137" t="inlineStr">
        <is>
          <t>Enterprise Tech</t>
        </is>
      </c>
      <c r="K137" t="inlineStr">
        <is>
          <t>Unknown</t>
        </is>
      </c>
      <c r="L137" t="inlineStr">
        <is>
          <t>Intel Capital</t>
        </is>
      </c>
      <c r="M137" t="inlineStr">
        <is>
          <t>Intel Capital; Eniac Ventures; Peak XV; Jump Capital; Gokul Rajaram; Mohit Aron; Cyan Banister</t>
        </is>
      </c>
      <c r="N137" t="inlineStr">
        <is>
          <t>entrackr | inc42</t>
        </is>
      </c>
      <c r="O137" s="20" t="n">
        <v>2</v>
      </c>
      <c r="P137" s="21" t="n">
        <v>0</v>
      </c>
      <c r="Q137" t="inlineStr">
        <is>
          <t>C07</t>
        </is>
      </c>
      <c r="R137" s="22" t="inlineStr">
        <is>
          <t>https://entrackr.com/news/peak-xv-backed-truefoundry-secures-19-mn-in-series-a-funding-8697254</t>
        </is>
      </c>
    </row>
    <row r="138">
      <c r="A138" t="inlineStr">
        <is>
          <t>R250207-bobabhai</t>
        </is>
      </c>
      <c r="B138" t="inlineStr">
        <is>
          <t>Boba Bhai</t>
        </is>
      </c>
      <c r="C138" s="17" t="n">
        <v>45695</v>
      </c>
      <c r="D138" s="18" t="n">
        <v>45689</v>
      </c>
      <c r="E138" s="19" t="n">
        <v>0.103</v>
      </c>
      <c r="F138" s="19" t="n">
        <v>0.9</v>
      </c>
      <c r="G138" t="inlineStr">
        <is>
          <t>$103K</t>
        </is>
      </c>
      <c r="H138" t="inlineStr">
        <is>
          <t>Undisclosed</t>
        </is>
      </c>
      <c r="I138" t="inlineStr">
        <is>
          <t>Undisclosed</t>
        </is>
      </c>
      <c r="J138" t="inlineStr">
        <is>
          <t>Consumer Services</t>
        </is>
      </c>
      <c r="K138" t="inlineStr">
        <is>
          <t>Bengaluru</t>
        </is>
      </c>
      <c r="L138" t="inlineStr"/>
      <c r="M138" t="inlineStr">
        <is>
          <t>Namita Thapar; Viraj Bahl</t>
        </is>
      </c>
      <c r="N138" t="inlineStr">
        <is>
          <t>inc42</t>
        </is>
      </c>
      <c r="O138" s="20" t="n">
        <v>1</v>
      </c>
      <c r="P138" s="21" t="n">
        <v>0</v>
      </c>
      <c r="Q138" t="inlineStr">
        <is>
          <t>C04 C09</t>
        </is>
      </c>
      <c r="R138" s="22" t="inlineStr">
        <is>
          <t>https://inc42.com/buzz/from-cashfree-payments-to-shadowfax-indian-startups-raised-125-mn-this-week/</t>
        </is>
      </c>
    </row>
    <row r="139">
      <c r="A139" t="inlineStr">
        <is>
          <t>R250207-legup</t>
        </is>
      </c>
      <c r="B139" t="inlineStr">
        <is>
          <t>LegUp</t>
        </is>
      </c>
      <c r="C139" s="17" t="n">
        <v>45695</v>
      </c>
      <c r="D139" s="18" t="n">
        <v>45689</v>
      </c>
      <c r="E139" s="19" t="n">
        <v>0.229</v>
      </c>
      <c r="F139" s="19" t="n">
        <v>2</v>
      </c>
      <c r="G139" t="inlineStr">
        <is>
          <t>Rs 2 crore</t>
        </is>
      </c>
      <c r="H139" t="inlineStr">
        <is>
          <t>Pre-Seed</t>
        </is>
      </c>
      <c r="I139" t="inlineStr">
        <is>
          <t>Early</t>
        </is>
      </c>
      <c r="J139" t="inlineStr">
        <is>
          <t>Consumer Services</t>
        </is>
      </c>
      <c r="K139" t="inlineStr">
        <is>
          <t>Bengaluru</t>
        </is>
      </c>
      <c r="L139" t="inlineStr">
        <is>
          <t>Bluebridge Capital</t>
        </is>
      </c>
      <c r="M139" t="inlineStr">
        <is>
          <t>Bluebridge Capital</t>
        </is>
      </c>
      <c r="N139" t="inlineStr">
        <is>
          <t>entrackr | inc42</t>
        </is>
      </c>
      <c r="O139" s="20" t="n">
        <v>2</v>
      </c>
      <c r="P139" s="21" t="n">
        <v>0.2</v>
      </c>
      <c r="Q139" t="inlineStr"/>
      <c r="R139" s="22" t="inlineStr">
        <is>
          <t>https://entrackr.com/snippets/caregiving-tech-startup-legup-raises-rs-2-cr-pre-seed-funding-8698887</t>
        </is>
      </c>
    </row>
    <row r="140">
      <c r="A140" t="inlineStr">
        <is>
          <t>R250207-nbfcauxilo</t>
        </is>
      </c>
      <c r="B140" t="inlineStr">
        <is>
          <t>NBFC Auxilo</t>
        </is>
      </c>
      <c r="C140" s="17" t="n">
        <v>45695</v>
      </c>
      <c r="D140" s="18" t="n">
        <v>45689</v>
      </c>
      <c r="E140" s="19" t="n">
        <v>5.714</v>
      </c>
      <c r="F140" s="19" t="n">
        <v>50</v>
      </c>
      <c r="G140" t="inlineStr">
        <is>
          <t>Rs 50 crore</t>
        </is>
      </c>
      <c r="H140" t="inlineStr">
        <is>
          <t>Debt</t>
        </is>
      </c>
      <c r="I140" t="inlineStr">
        <is>
          <t>Debt</t>
        </is>
      </c>
      <c r="J140" t="inlineStr">
        <is>
          <t>Unclassified</t>
        </is>
      </c>
      <c r="K140" t="inlineStr">
        <is>
          <t>Unknown</t>
        </is>
      </c>
      <c r="L140" t="inlineStr"/>
      <c r="M140" t="inlineStr">
        <is>
          <t>Motilal Oswal</t>
        </is>
      </c>
      <c r="N140" t="inlineStr">
        <is>
          <t>entrackr</t>
        </is>
      </c>
      <c r="O140" s="20" t="n">
        <v>1</v>
      </c>
      <c r="P140" s="21" t="n">
        <v>0</v>
      </c>
      <c r="Q140" t="inlineStr">
        <is>
          <t>C06 C07</t>
        </is>
      </c>
      <c r="R140" s="22" t="inlineStr">
        <is>
          <t>https://entrackr.com/exclusive/exclusive-motilal-oswal-invests-in-edtech-focused-nbfc-auxilo-8698681</t>
        </is>
      </c>
    </row>
    <row r="141">
      <c r="A141" t="inlineStr">
        <is>
          <t>R250207-vahanai</t>
        </is>
      </c>
      <c r="B141" t="inlineStr">
        <is>
          <t>Vahan.ai</t>
        </is>
      </c>
      <c r="C141" s="17" t="n">
        <v>45695</v>
      </c>
      <c r="D141" s="18" t="n">
        <v>45689</v>
      </c>
      <c r="E141" s="19" t="n"/>
      <c r="F141" s="19" t="n"/>
      <c r="G141" t="inlineStr"/>
      <c r="H141" t="inlineStr">
        <is>
          <t>Undisclosed</t>
        </is>
      </c>
      <c r="I141" t="inlineStr">
        <is>
          <t>Undisclosed</t>
        </is>
      </c>
      <c r="J141" t="inlineStr">
        <is>
          <t>Enterprise Tech</t>
        </is>
      </c>
      <c r="K141" t="inlineStr">
        <is>
          <t>Unknown</t>
        </is>
      </c>
      <c r="L141" t="inlineStr">
        <is>
          <t>PERSOL Group</t>
        </is>
      </c>
      <c r="M141" t="inlineStr">
        <is>
          <t>PERSOL Group</t>
        </is>
      </c>
      <c r="N141" t="inlineStr">
        <is>
          <t>inc42</t>
        </is>
      </c>
      <c r="O141" s="20" t="n">
        <v>1</v>
      </c>
      <c r="P141" s="21" t="n"/>
      <c r="Q141" t="inlineStr">
        <is>
          <t>C03 C04 C07</t>
        </is>
      </c>
      <c r="R141" s="22" t="inlineStr">
        <is>
          <t>https://inc42.com/buzz/from-cashfree-payments-to-shadowfax-indian-startups-raised-125-mn-this-week/</t>
        </is>
      </c>
    </row>
    <row r="142">
      <c r="A142" t="inlineStr">
        <is>
          <t>R250208-cremeitalia</t>
        </is>
      </c>
      <c r="B142" t="inlineStr">
        <is>
          <t>Cremeitalia</t>
        </is>
      </c>
      <c r="C142" s="17" t="n">
        <v>45696</v>
      </c>
      <c r="D142" s="18" t="n">
        <v>45689</v>
      </c>
      <c r="E142" s="19" t="n">
        <v>2.1</v>
      </c>
      <c r="F142" s="19" t="n">
        <v>18.38</v>
      </c>
      <c r="G142" t="inlineStr">
        <is>
          <t>$2.1 Mn</t>
        </is>
      </c>
      <c r="H142" t="inlineStr">
        <is>
          <t>Series A</t>
        </is>
      </c>
      <c r="I142" t="inlineStr">
        <is>
          <t>Early</t>
        </is>
      </c>
      <c r="J142" t="inlineStr">
        <is>
          <t>Ecommerce</t>
        </is>
      </c>
      <c r="K142" t="inlineStr">
        <is>
          <t>Unknown</t>
        </is>
      </c>
      <c r="L142" t="inlineStr">
        <is>
          <t>Amit Jatia Family Office</t>
        </is>
      </c>
      <c r="M142" t="inlineStr">
        <is>
          <t>Amit Jatia Family Office; B2V Ventures; Nikhil Vora; Vikram Saboo; Arunkumar Jatia; Vitalis Capital Family Trust; Anil Mittal Family Office</t>
        </is>
      </c>
      <c r="N142" t="inlineStr">
        <is>
          <t>inc42</t>
        </is>
      </c>
      <c r="O142" s="20" t="n">
        <v>1</v>
      </c>
      <c r="P142" s="21" t="n">
        <v>0</v>
      </c>
      <c r="Q142" t="inlineStr">
        <is>
          <t>C07</t>
        </is>
      </c>
      <c r="R142" s="22" t="inlineStr">
        <is>
          <t>https://inc42.com/buzz/from-tonetag-to-borderplus-indian-startups-raised-270-mn-this-week/</t>
        </is>
      </c>
    </row>
    <row r="143">
      <c r="A143" t="inlineStr">
        <is>
          <t>R250208-eduvanz</t>
        </is>
      </c>
      <c r="B143" t="inlineStr">
        <is>
          <t>Eduvanz</t>
        </is>
      </c>
      <c r="C143" s="17" t="n">
        <v>45696</v>
      </c>
      <c r="D143" s="18" t="n">
        <v>45689</v>
      </c>
      <c r="E143" s="19" t="n">
        <v>2.916</v>
      </c>
      <c r="F143" s="19" t="n">
        <v>25.52</v>
      </c>
      <c r="G143" t="inlineStr">
        <is>
          <t>Rs 25.52 crore</t>
        </is>
      </c>
      <c r="H143" t="inlineStr">
        <is>
          <t>Bridge</t>
        </is>
      </c>
      <c r="I143" t="inlineStr">
        <is>
          <t>Other</t>
        </is>
      </c>
      <c r="J143" t="inlineStr">
        <is>
          <t>Fintech</t>
        </is>
      </c>
      <c r="K143" t="inlineStr">
        <is>
          <t>Unknown</t>
        </is>
      </c>
      <c r="L143" t="inlineStr">
        <is>
          <t>Juvo Ventures; Capria Fund</t>
        </is>
      </c>
      <c r="M143" t="inlineStr">
        <is>
          <t>Juvo Ventures; Capria Fund; Peak XV Partners; Unitus Ventures</t>
        </is>
      </c>
      <c r="N143" t="inlineStr">
        <is>
          <t>entrackr | inc42 | vccircle</t>
        </is>
      </c>
      <c r="O143" s="20" t="n">
        <v>3</v>
      </c>
      <c r="P143" s="21" t="n">
        <v>0.6</v>
      </c>
      <c r="Q143" t="inlineStr">
        <is>
          <t>C07</t>
        </is>
      </c>
      <c r="R143" s="22" t="inlineStr">
        <is>
          <t>https://entrackr.com/exclusive/exclusive-eduvanz-secures-bridge-round-at-35-lower-valuation-8702252</t>
        </is>
      </c>
    </row>
    <row r="144">
      <c r="A144" t="inlineStr">
        <is>
          <t>R250210-borderplus</t>
        </is>
      </c>
      <c r="B144" t="inlineStr">
        <is>
          <t>BorderPlus</t>
        </is>
      </c>
      <c r="C144" s="17" t="n">
        <v>45698</v>
      </c>
      <c r="D144" s="18" t="n">
        <v>45689</v>
      </c>
      <c r="E144" s="19" t="n">
        <v>6.859</v>
      </c>
      <c r="F144" s="19" t="n">
        <v>60</v>
      </c>
      <c r="G144" t="inlineStr">
        <is>
          <t>Rs 60 crore</t>
        </is>
      </c>
      <c r="H144" t="inlineStr">
        <is>
          <t>Undisclosed</t>
        </is>
      </c>
      <c r="I144" t="inlineStr">
        <is>
          <t>Undisclosed</t>
        </is>
      </c>
      <c r="J144" t="inlineStr">
        <is>
          <t>Edtech</t>
        </is>
      </c>
      <c r="K144" t="inlineStr">
        <is>
          <t>Mumbai</t>
        </is>
      </c>
      <c r="L144" t="inlineStr">
        <is>
          <t>Owl Ventures; Binny Bansal; Mithun Sacheti; Ritesh Agarwal; Aakash Chaudhary; Apoorva Patni</t>
        </is>
      </c>
      <c r="M144" t="inlineStr">
        <is>
          <t>Owl Ventures; Mithun Sacheti; Ritesh Agarwal; Apoorva Patni; Binny Bansal; Aakash Chaudhary</t>
        </is>
      </c>
      <c r="N144" t="inlineStr">
        <is>
          <t>entrackr | inc42 | et</t>
        </is>
      </c>
      <c r="O144" s="20" t="n">
        <v>3</v>
      </c>
      <c r="P144" s="21" t="n">
        <v>2</v>
      </c>
      <c r="Q144" t="inlineStr">
        <is>
          <t>C04</t>
        </is>
      </c>
      <c r="R144" s="22" t="inlineStr">
        <is>
          <t>https://entrackr.com/snippets/borderplus-raises-7-mn-led-by-owl-ventures-8706328</t>
        </is>
      </c>
    </row>
    <row r="145">
      <c r="A145" t="inlineStr">
        <is>
          <t>R250210-rubyworks</t>
        </is>
      </c>
      <c r="B145" t="inlineStr">
        <is>
          <t>Rubyworks</t>
        </is>
      </c>
      <c r="C145" s="17" t="n">
        <v>45698</v>
      </c>
      <c r="D145" s="18" t="n">
        <v>45689</v>
      </c>
      <c r="E145" s="19" t="n"/>
      <c r="F145" s="19" t="n"/>
      <c r="G145" t="inlineStr"/>
      <c r="H145" t="inlineStr">
        <is>
          <t>Pre-Series A</t>
        </is>
      </c>
      <c r="I145" t="inlineStr">
        <is>
          <t>Early</t>
        </is>
      </c>
      <c r="J145" t="inlineStr">
        <is>
          <t>Fintech</t>
        </is>
      </c>
      <c r="K145" t="inlineStr">
        <is>
          <t>Unknown</t>
        </is>
      </c>
      <c r="L145" t="inlineStr"/>
      <c r="M145" t="inlineStr"/>
      <c r="N145" t="inlineStr">
        <is>
          <t>inc42</t>
        </is>
      </c>
      <c r="O145" s="20" t="n">
        <v>1</v>
      </c>
      <c r="P145" s="21" t="n"/>
      <c r="Q145" t="inlineStr">
        <is>
          <t>C03 C05 C07</t>
        </is>
      </c>
      <c r="R145" s="22" t="inlineStr">
        <is>
          <t>https://inc42.com/buzz/from-tonetag-to-borderplus-indian-startups-raised-270-mn-this-week/</t>
        </is>
      </c>
    </row>
    <row r="146">
      <c r="A146" t="inlineStr">
        <is>
          <t>R250210-rupeeflo</t>
        </is>
      </c>
      <c r="B146" t="inlineStr">
        <is>
          <t>Rupeeflo</t>
        </is>
      </c>
      <c r="C146" s="17" t="n">
        <v>45698</v>
      </c>
      <c r="D146" s="18" t="n">
        <v>45689</v>
      </c>
      <c r="E146" s="19" t="n">
        <v>1</v>
      </c>
      <c r="F146" s="19" t="n">
        <v>8.75</v>
      </c>
      <c r="G146" t="inlineStr">
        <is>
          <t>$1 million</t>
        </is>
      </c>
      <c r="H146" t="inlineStr">
        <is>
          <t>Pre-Seed</t>
        </is>
      </c>
      <c r="I146" t="inlineStr">
        <is>
          <t>Early</t>
        </is>
      </c>
      <c r="J146" t="inlineStr">
        <is>
          <t>Fintech</t>
        </is>
      </c>
      <c r="K146" t="inlineStr">
        <is>
          <t>Unknown</t>
        </is>
      </c>
      <c r="L146" t="inlineStr">
        <is>
          <t>Piper Serica Angel Fund</t>
        </is>
      </c>
      <c r="M146" t="inlineStr">
        <is>
          <t>Piper Serica Angel Fund; Ravi Shankar; Kishore Natarajan; Kedar Kulkarni</t>
        </is>
      </c>
      <c r="N146" t="inlineStr">
        <is>
          <t>entrackr | inc42 | et</t>
        </is>
      </c>
      <c r="O146" s="20" t="n">
        <v>3</v>
      </c>
      <c r="P146" s="21" t="n">
        <v>0</v>
      </c>
      <c r="Q146" t="inlineStr">
        <is>
          <t>C07</t>
        </is>
      </c>
      <c r="R146" s="22" t="inlineStr">
        <is>
          <t>https://entrackr.com/snippets/rupeeflo-raises-1-mn-from-piper-serica-8706125</t>
        </is>
      </c>
    </row>
    <row r="147">
      <c r="A147" t="inlineStr">
        <is>
          <t>R250211-boldcare</t>
        </is>
      </c>
      <c r="B147" t="inlineStr">
        <is>
          <t>Bold Care</t>
        </is>
      </c>
      <c r="C147" s="17" t="n">
        <v>45699</v>
      </c>
      <c r="D147" s="18" t="n">
        <v>45689</v>
      </c>
      <c r="E147" s="19" t="n">
        <v>5</v>
      </c>
      <c r="F147" s="19" t="n">
        <v>43.37</v>
      </c>
      <c r="G147" t="inlineStr">
        <is>
          <t>$5 million</t>
        </is>
      </c>
      <c r="H147" t="inlineStr">
        <is>
          <t>Series A</t>
        </is>
      </c>
      <c r="I147" t="inlineStr">
        <is>
          <t>Early</t>
        </is>
      </c>
      <c r="J147" t="inlineStr">
        <is>
          <t>Ecommerce</t>
        </is>
      </c>
      <c r="K147" t="inlineStr">
        <is>
          <t>Mumbai</t>
        </is>
      </c>
      <c r="L147" t="inlineStr">
        <is>
          <t>Rainmatter; Mithun; Siddhartha Sacheti; Dhanani family; AVT Group; NB Ventures</t>
        </is>
      </c>
      <c r="M147" t="inlineStr">
        <is>
          <t>Rainmatter; Mithun Sacheti; Siddhartha Sacheti; Gruhas Collective Consumer Fund; Claris Capital; MGA Ventures LLP; NB Ventures Limited; AP Partners; Dhanani family; AVT Group</t>
        </is>
      </c>
      <c r="N147" t="inlineStr">
        <is>
          <t>entrackr | inc42 | et</t>
        </is>
      </c>
      <c r="O147" s="20" t="n">
        <v>3</v>
      </c>
      <c r="P147" s="21" t="n">
        <v>0</v>
      </c>
      <c r="Q147" t="inlineStr"/>
      <c r="R147" s="22" t="inlineStr">
        <is>
          <t>https://entrackr.com/snippets/mens-sexual-health-brand-bold-care-raises-5-mn-8709845</t>
        </is>
      </c>
    </row>
    <row r="148">
      <c r="A148" t="inlineStr">
        <is>
          <t>R250211-croftbeverages</t>
        </is>
      </c>
      <c r="B148" t="inlineStr">
        <is>
          <t>Croft Beverages</t>
        </is>
      </c>
      <c r="C148" s="17" t="n">
        <v>45699</v>
      </c>
      <c r="D148" s="18" t="n">
        <v>45689</v>
      </c>
      <c r="E148" s="19" t="n">
        <v>0.125</v>
      </c>
      <c r="F148" s="19" t="n">
        <v>1.08</v>
      </c>
      <c r="G148" t="inlineStr">
        <is>
          <t>$125K</t>
        </is>
      </c>
      <c r="H148" t="inlineStr">
        <is>
          <t>Pre-Seed</t>
        </is>
      </c>
      <c r="I148" t="inlineStr">
        <is>
          <t>Early</t>
        </is>
      </c>
      <c r="J148" t="inlineStr">
        <is>
          <t>Agritech</t>
        </is>
      </c>
      <c r="K148" t="inlineStr">
        <is>
          <t>Unknown</t>
        </is>
      </c>
      <c r="L148" t="inlineStr">
        <is>
          <t>IT</t>
        </is>
      </c>
      <c r="M148" t="inlineStr">
        <is>
          <t>IT</t>
        </is>
      </c>
      <c r="N148" t="inlineStr">
        <is>
          <t>entrackr</t>
        </is>
      </c>
      <c r="O148" s="20" t="n">
        <v>1</v>
      </c>
      <c r="P148" s="21" t="n">
        <v>0</v>
      </c>
      <c r="Q148" t="inlineStr">
        <is>
          <t>C07</t>
        </is>
      </c>
      <c r="R148" s="22" t="inlineStr">
        <is>
          <t>https://entrackr.com/snippets/croft-beverages-raises-pre-seed-funding-round-8710613</t>
        </is>
      </c>
    </row>
    <row r="149">
      <c r="A149" t="inlineStr">
        <is>
          <t>R250211-thehonesthomec</t>
        </is>
      </c>
      <c r="B149" t="inlineStr">
        <is>
          <t>The Honest Home Company</t>
        </is>
      </c>
      <c r="C149" s="17" t="n">
        <v>45699</v>
      </c>
      <c r="D149" s="18" t="n">
        <v>45689</v>
      </c>
      <c r="E149" s="19" t="n">
        <v>0.8</v>
      </c>
      <c r="F149" s="19" t="n">
        <v>6.94</v>
      </c>
      <c r="G149" t="inlineStr">
        <is>
          <t>$800K</t>
        </is>
      </c>
      <c r="H149" t="inlineStr">
        <is>
          <t>Pre-Series A</t>
        </is>
      </c>
      <c r="I149" t="inlineStr">
        <is>
          <t>Early</t>
        </is>
      </c>
      <c r="J149" t="inlineStr">
        <is>
          <t>Ecommerce</t>
        </is>
      </c>
      <c r="K149" t="inlineStr">
        <is>
          <t>Unknown</t>
        </is>
      </c>
      <c r="L149" t="inlineStr">
        <is>
          <t>OG Capital; Gaurav Verma</t>
        </is>
      </c>
      <c r="M149" t="inlineStr">
        <is>
          <t>OG Capital; Gaurav Verma; Anupam Mitta</t>
        </is>
      </c>
      <c r="N149" t="inlineStr">
        <is>
          <t>inc42</t>
        </is>
      </c>
      <c r="O149" s="20" t="n">
        <v>1</v>
      </c>
      <c r="P149" s="21" t="n">
        <v>0</v>
      </c>
      <c r="Q149" t="inlineStr">
        <is>
          <t>C07</t>
        </is>
      </c>
      <c r="R149" s="22" t="inlineStr">
        <is>
          <t>https://inc42.com/buzz/from-tonetag-to-borderplus-indian-startups-raised-270-mn-this-week/</t>
        </is>
      </c>
    </row>
    <row r="150">
      <c r="A150" t="inlineStr">
        <is>
          <t>R250211-tonetag</t>
        </is>
      </c>
      <c r="B150" t="inlineStr">
        <is>
          <t>ToneTag</t>
        </is>
      </c>
      <c r="C150" s="17" t="n">
        <v>45699</v>
      </c>
      <c r="D150" s="18" t="n">
        <v>45689</v>
      </c>
      <c r="E150" s="19" t="n">
        <v>78</v>
      </c>
      <c r="F150" s="19" t="n">
        <v>676.5700000000001</v>
      </c>
      <c r="G150" t="inlineStr">
        <is>
          <t>$78 million</t>
        </is>
      </c>
      <c r="H150" t="inlineStr">
        <is>
          <t>Series B</t>
        </is>
      </c>
      <c r="I150" t="inlineStr">
        <is>
          <t>Growth</t>
        </is>
      </c>
      <c r="J150" t="inlineStr">
        <is>
          <t>Fintech</t>
        </is>
      </c>
      <c r="K150" t="inlineStr">
        <is>
          <t>Bengaluru</t>
        </is>
      </c>
      <c r="L150" t="inlineStr">
        <is>
          <t>ValueQuest Scale Fund; Iron Pillar</t>
        </is>
      </c>
      <c r="M150" t="inlineStr">
        <is>
          <t>ValueQuest Scale Fund; Iron Pillar; Elevate Capital</t>
        </is>
      </c>
      <c r="N150" t="inlineStr">
        <is>
          <t>entrackr | inc42 | et</t>
        </is>
      </c>
      <c r="O150" s="20" t="n">
        <v>3</v>
      </c>
      <c r="P150" s="21" t="n">
        <v>0.6</v>
      </c>
      <c r="Q150" t="inlineStr"/>
      <c r="R150" s="22" t="inlineStr">
        <is>
          <t>https://entrackr.com/news/amazon-backed-tonetag-secures-78-mn-after-7-year-hiatus-8709604</t>
        </is>
      </c>
    </row>
    <row r="151">
      <c r="A151" t="inlineStr">
        <is>
          <t>R250211-zeta</t>
        </is>
      </c>
      <c r="B151" t="inlineStr">
        <is>
          <t>Zeta</t>
        </is>
      </c>
      <c r="C151" s="17" t="n">
        <v>45699</v>
      </c>
      <c r="D151" s="18" t="n">
        <v>45689</v>
      </c>
      <c r="E151" s="19" t="n">
        <v>50</v>
      </c>
      <c r="F151" s="19" t="n">
        <v>433.7</v>
      </c>
      <c r="G151" t="inlineStr">
        <is>
          <t>$50 million</t>
        </is>
      </c>
      <c r="H151" t="inlineStr">
        <is>
          <t>Undisclosed</t>
        </is>
      </c>
      <c r="I151" t="inlineStr">
        <is>
          <t>Undisclosed</t>
        </is>
      </c>
      <c r="J151" t="inlineStr">
        <is>
          <t>Fintech</t>
        </is>
      </c>
      <c r="K151" t="inlineStr">
        <is>
          <t>Mumbai</t>
        </is>
      </c>
      <c r="L151" t="inlineStr">
        <is>
          <t>Optum</t>
        </is>
      </c>
      <c r="M151" t="inlineStr">
        <is>
          <t>Optum</t>
        </is>
      </c>
      <c r="N151" t="inlineStr">
        <is>
          <t>entrackr | inc42 | et</t>
        </is>
      </c>
      <c r="O151" s="20" t="n">
        <v>3</v>
      </c>
      <c r="P151" s="21" t="n">
        <v>0</v>
      </c>
      <c r="Q151" t="inlineStr">
        <is>
          <t>C04</t>
        </is>
      </c>
      <c r="R151" s="22" t="inlineStr">
        <is>
          <t>https://entrackr.com/news/zeta-raises-50-mn-at-2-bn-valuation-8709303</t>
        </is>
      </c>
    </row>
    <row r="152">
      <c r="A152" t="inlineStr">
        <is>
          <t>R250212-arthalpha</t>
        </is>
      </c>
      <c r="B152" t="inlineStr">
        <is>
          <t>ArthAlpha</t>
        </is>
      </c>
      <c r="C152" s="17" t="n">
        <v>45700</v>
      </c>
      <c r="D152" s="18" t="n">
        <v>45689</v>
      </c>
      <c r="E152" s="19" t="n">
        <v>2</v>
      </c>
      <c r="F152" s="19" t="n">
        <v>17.38</v>
      </c>
      <c r="G152" t="inlineStr">
        <is>
          <t>$2 million</t>
        </is>
      </c>
      <c r="H152" t="inlineStr">
        <is>
          <t>Seed</t>
        </is>
      </c>
      <c r="I152" t="inlineStr">
        <is>
          <t>Early</t>
        </is>
      </c>
      <c r="J152" t="inlineStr">
        <is>
          <t>Fintech</t>
        </is>
      </c>
      <c r="K152" t="inlineStr">
        <is>
          <t>Bengaluru</t>
        </is>
      </c>
      <c r="L152" t="inlineStr">
        <is>
          <t>DSP</t>
        </is>
      </c>
      <c r="M152" t="inlineStr">
        <is>
          <t>DSP</t>
        </is>
      </c>
      <c r="N152" t="inlineStr">
        <is>
          <t>entrackr | inc42</t>
        </is>
      </c>
      <c r="O152" s="20" t="n">
        <v>2</v>
      </c>
      <c r="P152" s="21" t="n">
        <v>0</v>
      </c>
      <c r="Q152" t="inlineStr"/>
      <c r="R152" s="22" t="inlineStr">
        <is>
          <t>https://entrackr.com/snippets/dsp-leads-2-mn-seed-round-in-arthalpha-8713124</t>
        </is>
      </c>
    </row>
    <row r="153">
      <c r="A153" t="inlineStr">
        <is>
          <t>R250212-capgridsolutio</t>
        </is>
      </c>
      <c r="B153" t="inlineStr">
        <is>
          <t>CapGrid Solutions</t>
        </is>
      </c>
      <c r="C153" s="17" t="n">
        <v>45700</v>
      </c>
      <c r="D153" s="18" t="n">
        <v>45689</v>
      </c>
      <c r="E153" s="19" t="n">
        <v>5</v>
      </c>
      <c r="F153" s="19" t="n">
        <v>43.44</v>
      </c>
      <c r="G153" t="inlineStr">
        <is>
          <t>$5 million</t>
        </is>
      </c>
      <c r="H153" t="inlineStr">
        <is>
          <t>Series A</t>
        </is>
      </c>
      <c r="I153" t="inlineStr">
        <is>
          <t>Early</t>
        </is>
      </c>
      <c r="J153" t="inlineStr">
        <is>
          <t>Enterprise Tech</t>
        </is>
      </c>
      <c r="K153" t="inlineStr">
        <is>
          <t>Delhi NCR</t>
        </is>
      </c>
      <c r="L153" t="inlineStr">
        <is>
          <t>Anicut Growth Fund; Dheeraj Tiwari told ET.The round</t>
        </is>
      </c>
      <c r="M153" t="inlineStr">
        <is>
          <t>Anicut Growth Fund; Nexus Venture Partners; Axilor Ventures; Sunjay Kapur; Vivek Vikram Singh; Dheeraj Tiwari told ET.The round</t>
        </is>
      </c>
      <c r="N153" t="inlineStr">
        <is>
          <t>entrackr | inc42 | et</t>
        </is>
      </c>
      <c r="O153" s="20" t="n">
        <v>3</v>
      </c>
      <c r="P153" s="21" t="n">
        <v>0</v>
      </c>
      <c r="Q153" t="inlineStr">
        <is>
          <t>C09</t>
        </is>
      </c>
      <c r="R153" s="22" t="inlineStr">
        <is>
          <t>https://entrackr.com/snippets/capgrid-solutions-raises-5-mn-led-by-anicut-capital-8712841</t>
        </is>
      </c>
    </row>
    <row r="154">
      <c r="A154" t="inlineStr">
        <is>
          <t>R250212-gorally</t>
        </is>
      </c>
      <c r="B154" t="inlineStr">
        <is>
          <t>GoRally</t>
        </is>
      </c>
      <c r="C154" s="17" t="n">
        <v>45700</v>
      </c>
      <c r="D154" s="18" t="n">
        <v>45689</v>
      </c>
      <c r="E154" s="19" t="n">
        <v>0.76</v>
      </c>
      <c r="F154" s="19" t="n">
        <v>6.6</v>
      </c>
      <c r="G154" t="inlineStr">
        <is>
          <t>Rs 6.6 crore</t>
        </is>
      </c>
      <c r="H154" t="inlineStr">
        <is>
          <t>Pre-Seed</t>
        </is>
      </c>
      <c r="I154" t="inlineStr">
        <is>
          <t>Early</t>
        </is>
      </c>
      <c r="J154" t="inlineStr">
        <is>
          <t>Consumer Services</t>
        </is>
      </c>
      <c r="K154" t="inlineStr">
        <is>
          <t>Unknown</t>
        </is>
      </c>
      <c r="L154" t="inlineStr">
        <is>
          <t>Sujeet Kumar</t>
        </is>
      </c>
      <c r="M154" t="inlineStr">
        <is>
          <t>Sujeet Kumar; Mohit Kumar; Vatsal Singhal; Viren Singhvi; Kartik Kapoor; Abhishek Goyal; Deepak Singh; Arjun Vaidya; Bharat Founders Fund</t>
        </is>
      </c>
      <c r="N154" t="inlineStr">
        <is>
          <t>entrackr | inc42</t>
        </is>
      </c>
      <c r="O154" s="20" t="n">
        <v>2</v>
      </c>
      <c r="P154" s="21" t="n">
        <v>1.3</v>
      </c>
      <c r="Q154" t="inlineStr">
        <is>
          <t>C07</t>
        </is>
      </c>
      <c r="R154" s="22" t="inlineStr">
        <is>
          <t>https://entrackr.com/snippets/pickleball-chain-gorally-raises-750k-in-pre-seed-funding-8713152</t>
        </is>
      </c>
    </row>
    <row r="155">
      <c r="A155" t="inlineStr">
        <is>
          <t>R250212-lucidity</t>
        </is>
      </c>
      <c r="B155" t="inlineStr">
        <is>
          <t>Lucidity</t>
        </is>
      </c>
      <c r="C155" s="17" t="n">
        <v>45700</v>
      </c>
      <c r="D155" s="18" t="n">
        <v>45689</v>
      </c>
      <c r="E155" s="19" t="n">
        <v>21</v>
      </c>
      <c r="F155" s="19" t="n">
        <v>182.47</v>
      </c>
      <c r="G155" t="inlineStr">
        <is>
          <t>$21 million</t>
        </is>
      </c>
      <c r="H155" t="inlineStr">
        <is>
          <t>Series A</t>
        </is>
      </c>
      <c r="I155" t="inlineStr">
        <is>
          <t>Early</t>
        </is>
      </c>
      <c r="J155" t="inlineStr">
        <is>
          <t>Enterprise Tech</t>
        </is>
      </c>
      <c r="K155" t="inlineStr">
        <is>
          <t>Bengaluru</t>
        </is>
      </c>
      <c r="L155" t="inlineStr">
        <is>
          <t>WestBridge Capital</t>
        </is>
      </c>
      <c r="M155" t="inlineStr">
        <is>
          <t>WestBridge Capital; Alpha Wave</t>
        </is>
      </c>
      <c r="N155" t="inlineStr">
        <is>
          <t>entrackr | inc42 | et</t>
        </is>
      </c>
      <c r="O155" s="20" t="n">
        <v>3</v>
      </c>
      <c r="P155" s="21" t="n">
        <v>0</v>
      </c>
      <c r="Q155" t="inlineStr"/>
      <c r="R155" s="22" t="inlineStr">
        <is>
          <t>https://entrackr.com/news/lucidity-raises-21-mn-in-series-a-led-by-westbridge-8714913</t>
        </is>
      </c>
    </row>
    <row r="156">
      <c r="A156" t="inlineStr">
        <is>
          <t>R250212-mysa</t>
        </is>
      </c>
      <c r="B156" t="inlineStr">
        <is>
          <t>Mysa</t>
        </is>
      </c>
      <c r="C156" s="17" t="n">
        <v>45700</v>
      </c>
      <c r="D156" s="18" t="n">
        <v>45689</v>
      </c>
      <c r="E156" s="19" t="n">
        <v>2.8</v>
      </c>
      <c r="F156" s="19" t="n">
        <v>24.33</v>
      </c>
      <c r="G156" t="inlineStr">
        <is>
          <t>$2.8 million</t>
        </is>
      </c>
      <c r="H156" t="inlineStr">
        <is>
          <t>Seed</t>
        </is>
      </c>
      <c r="I156" t="inlineStr">
        <is>
          <t>Early</t>
        </is>
      </c>
      <c r="J156" t="inlineStr">
        <is>
          <t>Fintech</t>
        </is>
      </c>
      <c r="K156" t="inlineStr">
        <is>
          <t>Bengaluru</t>
        </is>
      </c>
      <c r="L156" t="inlineStr">
        <is>
          <t>Blume Ventures</t>
        </is>
      </c>
      <c r="M156" t="inlineStr">
        <is>
          <t>Blume Ventures; Emphasis Ventures; Antler; Neon Fund</t>
        </is>
      </c>
      <c r="N156" t="inlineStr">
        <is>
          <t>entrackr | inc42 | et</t>
        </is>
      </c>
      <c r="O156" s="20" t="n">
        <v>3</v>
      </c>
      <c r="P156" s="21" t="n">
        <v>0</v>
      </c>
      <c r="Q156" t="inlineStr"/>
      <c r="R156" s="22" t="inlineStr">
        <is>
          <t>https://entrackr.com/snippets/fintech-startup-mysa-28-mn-led-by-blume-ventures-8712976</t>
        </is>
      </c>
    </row>
    <row r="157">
      <c r="A157" t="inlineStr">
        <is>
          <t>R250212-nivaancare</t>
        </is>
      </c>
      <c r="B157" t="inlineStr">
        <is>
          <t>Nivaan Care</t>
        </is>
      </c>
      <c r="C157" s="17" t="n">
        <v>45700</v>
      </c>
      <c r="D157" s="18" t="n">
        <v>45689</v>
      </c>
      <c r="E157" s="19" t="n">
        <v>4.25</v>
      </c>
      <c r="F157" s="19" t="n">
        <v>36.93</v>
      </c>
      <c r="G157" t="inlineStr">
        <is>
          <t>$4.25 million</t>
        </is>
      </c>
      <c r="H157" t="inlineStr">
        <is>
          <t>Seed</t>
        </is>
      </c>
      <c r="I157" t="inlineStr">
        <is>
          <t>Early</t>
        </is>
      </c>
      <c r="J157" t="inlineStr">
        <is>
          <t>Healthtech</t>
        </is>
      </c>
      <c r="K157" t="inlineStr">
        <is>
          <t>Delhi NCR</t>
        </is>
      </c>
      <c r="L157" t="inlineStr">
        <is>
          <t>Endiya Partners</t>
        </is>
      </c>
      <c r="M157" t="inlineStr">
        <is>
          <t>Endiya Partners; W Health Ventures</t>
        </is>
      </c>
      <c r="N157" t="inlineStr">
        <is>
          <t>entrackr</t>
        </is>
      </c>
      <c r="O157" s="20" t="n">
        <v>1</v>
      </c>
      <c r="P157" s="21" t="n">
        <v>0</v>
      </c>
      <c r="Q157" t="inlineStr"/>
      <c r="R157" s="22" t="inlineStr">
        <is>
          <t>https://entrackr.com/snippets/nivaan-care-raises-425-mn-led-by-endiya-partners-8713038</t>
        </is>
      </c>
    </row>
    <row r="158">
      <c r="A158" t="inlineStr">
        <is>
          <t>R250212-rapido</t>
        </is>
      </c>
      <c r="B158" t="inlineStr">
        <is>
          <t>Rapido</t>
        </is>
      </c>
      <c r="C158" s="17" t="n">
        <v>45700</v>
      </c>
      <c r="D158" s="18" t="n">
        <v>45689</v>
      </c>
      <c r="E158" s="19" t="n">
        <v>28.772</v>
      </c>
      <c r="F158" s="19" t="n">
        <v>250</v>
      </c>
      <c r="G158" t="inlineStr">
        <is>
          <t>Rs 250 crore</t>
        </is>
      </c>
      <c r="H158" t="inlineStr">
        <is>
          <t>Series E</t>
        </is>
      </c>
      <c r="I158" t="inlineStr">
        <is>
          <t>Late</t>
        </is>
      </c>
      <c r="J158" t="inlineStr">
        <is>
          <t>Travel Tech</t>
        </is>
      </c>
      <c r="K158" t="inlineStr">
        <is>
          <t>Bengaluru</t>
        </is>
      </c>
      <c r="L158" t="inlineStr">
        <is>
          <t>WestBridge Capital</t>
        </is>
      </c>
      <c r="M158" t="inlineStr">
        <is>
          <t>WestBridge Capital; Prosus</t>
        </is>
      </c>
      <c r="N158" t="inlineStr">
        <is>
          <t>et</t>
        </is>
      </c>
      <c r="O158" s="20" t="n">
        <v>1</v>
      </c>
      <c r="P158" s="21" t="n">
        <v>0</v>
      </c>
      <c r="Q158" t="inlineStr"/>
      <c r="R158" s="22" t="inlineStr">
        <is>
          <t>https://economictimes.indiatimes.com/tech/funding/bike-taxi-startup-rapido-raises-rs-250-crore-from-prosus/articleshow/118171634.cms</t>
        </is>
      </c>
    </row>
    <row r="159">
      <c r="A159" t="inlineStr">
        <is>
          <t>R250212-raptureinnovat</t>
        </is>
      </c>
      <c r="B159" t="inlineStr">
        <is>
          <t>Rapture Innovation Labs</t>
        </is>
      </c>
      <c r="C159" s="17" t="n">
        <v>45700</v>
      </c>
      <c r="D159" s="18" t="n">
        <v>45689</v>
      </c>
      <c r="E159" s="19" t="n">
        <v>0.058</v>
      </c>
      <c r="F159" s="19" t="n">
        <v>0.5</v>
      </c>
      <c r="G159" t="inlineStr">
        <is>
          <t>$58K</t>
        </is>
      </c>
      <c r="H159" t="inlineStr">
        <is>
          <t>Undisclosed</t>
        </is>
      </c>
      <c r="I159" t="inlineStr">
        <is>
          <t>Undisclosed</t>
        </is>
      </c>
      <c r="J159" t="inlineStr">
        <is>
          <t>Ecommerce</t>
        </is>
      </c>
      <c r="K159" t="inlineStr">
        <is>
          <t>Unknown</t>
        </is>
      </c>
      <c r="L159" t="inlineStr">
        <is>
          <t>Peyush Bansal</t>
        </is>
      </c>
      <c r="M159" t="inlineStr">
        <is>
          <t>Peyush Bansal</t>
        </is>
      </c>
      <c r="N159" t="inlineStr">
        <is>
          <t>inc42</t>
        </is>
      </c>
      <c r="O159" s="20" t="n">
        <v>1</v>
      </c>
      <c r="P159" s="21" t="n">
        <v>0</v>
      </c>
      <c r="Q159" t="inlineStr">
        <is>
          <t>C04 C07</t>
        </is>
      </c>
      <c r="R159" s="22" t="inlineStr">
        <is>
          <t>https://inc42.com/buzz/from-tonetag-to-borderplus-indian-startups-raised-270-mn-this-week/</t>
        </is>
      </c>
    </row>
    <row r="160">
      <c r="A160" t="inlineStr">
        <is>
          <t>R250212-stepout</t>
        </is>
      </c>
      <c r="B160" t="inlineStr">
        <is>
          <t>StepOut</t>
        </is>
      </c>
      <c r="C160" s="17" t="n">
        <v>45700</v>
      </c>
      <c r="D160" s="18" t="n">
        <v>45689</v>
      </c>
      <c r="E160" s="19" t="n">
        <v>0.5</v>
      </c>
      <c r="F160" s="19" t="n">
        <v>4.34</v>
      </c>
      <c r="G160" t="inlineStr">
        <is>
          <t>$500,000</t>
        </is>
      </c>
      <c r="H160" t="inlineStr">
        <is>
          <t>Seed</t>
        </is>
      </c>
      <c r="I160" t="inlineStr">
        <is>
          <t>Early</t>
        </is>
      </c>
      <c r="J160" t="inlineStr">
        <is>
          <t>Consumer Services</t>
        </is>
      </c>
      <c r="K160" t="inlineStr">
        <is>
          <t>Bengaluru</t>
        </is>
      </c>
      <c r="L160" t="inlineStr">
        <is>
          <t>Rainmatter</t>
        </is>
      </c>
      <c r="M160" t="inlineStr">
        <is>
          <t>Rainmatter; IndigoEdge; Marwah Sports Group; Misfits Capital</t>
        </is>
      </c>
      <c r="N160" t="inlineStr">
        <is>
          <t>entrackr</t>
        </is>
      </c>
      <c r="O160" s="20" t="n">
        <v>1</v>
      </c>
      <c r="P160" s="21" t="n">
        <v>0</v>
      </c>
      <c r="Q160" t="inlineStr"/>
      <c r="R160" s="22" t="inlineStr">
        <is>
          <t>https://entrackr.com/snippets/sportstech-startup-stepout-raises-500k-in-seed-round-8712862</t>
        </is>
      </c>
    </row>
    <row r="161">
      <c r="A161" t="inlineStr">
        <is>
          <t>R250212-toonsutra</t>
        </is>
      </c>
      <c r="B161" t="inlineStr">
        <is>
          <t>Toonsutra</t>
        </is>
      </c>
      <c r="C161" s="17" t="n">
        <v>45700</v>
      </c>
      <c r="D161" s="18" t="n">
        <v>45689</v>
      </c>
      <c r="E161" s="19" t="n">
        <v>3.2</v>
      </c>
      <c r="F161" s="19" t="n">
        <v>27.8</v>
      </c>
      <c r="G161" t="inlineStr">
        <is>
          <t>$3.2 Mn</t>
        </is>
      </c>
      <c r="H161" t="inlineStr">
        <is>
          <t>Seed</t>
        </is>
      </c>
      <c r="I161" t="inlineStr">
        <is>
          <t>Early</t>
        </is>
      </c>
      <c r="J161" t="inlineStr">
        <is>
          <t>Media &amp; Entertainment</t>
        </is>
      </c>
      <c r="K161" t="inlineStr">
        <is>
          <t>Unknown</t>
        </is>
      </c>
      <c r="L161" t="inlineStr">
        <is>
          <t>Holtzbrinck Publishing Group</t>
        </is>
      </c>
      <c r="M161" t="inlineStr">
        <is>
          <t>Holtzbrinck Publishing Group; Google; GMJP; T-Accelerate Capital; Graphic India</t>
        </is>
      </c>
      <c r="N161" t="inlineStr">
        <is>
          <t>inc42</t>
        </is>
      </c>
      <c r="O161" s="20" t="n">
        <v>1</v>
      </c>
      <c r="P161" s="21" t="n">
        <v>0</v>
      </c>
      <c r="Q161" t="inlineStr">
        <is>
          <t>C07</t>
        </is>
      </c>
      <c r="R161" s="22" t="inlineStr">
        <is>
          <t>https://inc42.com/buzz/from-tonetag-to-borderplus-indian-startups-raised-270-mn-this-week/</t>
        </is>
      </c>
    </row>
    <row r="162">
      <c r="A162" t="inlineStr">
        <is>
          <t>R250212-vidysea</t>
        </is>
      </c>
      <c r="B162" t="inlineStr">
        <is>
          <t>Vidysea</t>
        </is>
      </c>
      <c r="C162" s="17" t="n">
        <v>45700</v>
      </c>
      <c r="D162" s="18" t="n">
        <v>45689</v>
      </c>
      <c r="E162" s="19" t="n">
        <v>1</v>
      </c>
      <c r="F162" s="19" t="n">
        <v>8.69</v>
      </c>
      <c r="G162" t="inlineStr">
        <is>
          <t>$1 million</t>
        </is>
      </c>
      <c r="H162" t="inlineStr">
        <is>
          <t>Seed</t>
        </is>
      </c>
      <c r="I162" t="inlineStr">
        <is>
          <t>Early</t>
        </is>
      </c>
      <c r="J162" t="inlineStr">
        <is>
          <t>Edtech</t>
        </is>
      </c>
      <c r="K162" t="inlineStr">
        <is>
          <t>Delhi NCR</t>
        </is>
      </c>
      <c r="L162" t="inlineStr">
        <is>
          <t>Zee Learn Limited; Aarvi Family LLP</t>
        </is>
      </c>
      <c r="M162" t="inlineStr">
        <is>
          <t>Zee Learn Limited; Aarvi Family LLP</t>
        </is>
      </c>
      <c r="N162" t="inlineStr">
        <is>
          <t>entrackr | inc42</t>
        </is>
      </c>
      <c r="O162" s="20" t="n">
        <v>2</v>
      </c>
      <c r="P162" s="21" t="n">
        <v>0</v>
      </c>
      <c r="Q162" t="inlineStr"/>
      <c r="R162" s="22" t="inlineStr">
        <is>
          <t>https://entrackr.com/snippets/edtech-startup-vidysea-bags-1-mn-in-seed-round-8713649</t>
        </is>
      </c>
    </row>
    <row r="163">
      <c r="A163" t="inlineStr">
        <is>
          <t>R250213-anscerrobotics</t>
        </is>
      </c>
      <c r="B163" t="inlineStr">
        <is>
          <t>Anscer Robotics</t>
        </is>
      </c>
      <c r="C163" s="17" t="n">
        <v>45701</v>
      </c>
      <c r="D163" s="18" t="n">
        <v>45689</v>
      </c>
      <c r="E163" s="19" t="n">
        <v>2</v>
      </c>
      <c r="F163" s="19" t="n">
        <v>17.4</v>
      </c>
      <c r="G163" t="inlineStr">
        <is>
          <t>$2 million</t>
        </is>
      </c>
      <c r="H163" t="inlineStr">
        <is>
          <t>Seed</t>
        </is>
      </c>
      <c r="I163" t="inlineStr">
        <is>
          <t>Early</t>
        </is>
      </c>
      <c r="J163" t="inlineStr">
        <is>
          <t>Deeptech</t>
        </is>
      </c>
      <c r="K163" t="inlineStr">
        <is>
          <t>Bengaluru</t>
        </is>
      </c>
      <c r="L163" t="inlineStr">
        <is>
          <t>Info Edge Ventures</t>
        </is>
      </c>
      <c r="M163" t="inlineStr">
        <is>
          <t>Info Edge Ventures</t>
        </is>
      </c>
      <c r="N163" t="inlineStr">
        <is>
          <t>entrackr | inc42</t>
        </is>
      </c>
      <c r="O163" s="20" t="n">
        <v>2</v>
      </c>
      <c r="P163" s="21" t="n">
        <v>0</v>
      </c>
      <c r="Q163" t="inlineStr"/>
      <c r="R163" s="22" t="inlineStr">
        <is>
          <t>https://entrackr.com/snippets/anscer-robotics-raises-2-mn-in-seed-round-8716245</t>
        </is>
      </c>
    </row>
    <row r="164">
      <c r="A164" t="inlineStr">
        <is>
          <t>R250213-spotdraft</t>
        </is>
      </c>
      <c r="B164" t="inlineStr">
        <is>
          <t>SpotDraft</t>
        </is>
      </c>
      <c r="C164" s="17" t="n">
        <v>45701</v>
      </c>
      <c r="D164" s="18" t="n">
        <v>45689</v>
      </c>
      <c r="E164" s="19" t="n">
        <v>54</v>
      </c>
      <c r="F164" s="19" t="n">
        <v>469.75</v>
      </c>
      <c r="G164" t="inlineStr">
        <is>
          <t>$54 million</t>
        </is>
      </c>
      <c r="H164" t="inlineStr">
        <is>
          <t>Series B</t>
        </is>
      </c>
      <c r="I164" t="inlineStr">
        <is>
          <t>Growth</t>
        </is>
      </c>
      <c r="J164" t="inlineStr">
        <is>
          <t>Enterprise Tech</t>
        </is>
      </c>
      <c r="K164" t="inlineStr">
        <is>
          <t>Bengaluru</t>
        </is>
      </c>
      <c r="L164" t="inlineStr">
        <is>
          <t>Vertex Growth; Trident Partners</t>
        </is>
      </c>
      <c r="M164" t="inlineStr">
        <is>
          <t>Vertex Growth; Trident Partners; Xeed VC; Arkam Ventures; Prosus Ventures; Premji Invest</t>
        </is>
      </c>
      <c r="N164" t="inlineStr">
        <is>
          <t>entrackr | inc42 | et</t>
        </is>
      </c>
      <c r="O164" s="20" t="n">
        <v>3</v>
      </c>
      <c r="P164" s="21" t="n">
        <v>0</v>
      </c>
      <c r="Q164" t="inlineStr"/>
      <c r="R164" s="22" t="inlineStr">
        <is>
          <t>https://entrackr.com/news/spotdraft-raises-54-mn-in-series-b-round-8715669</t>
        </is>
      </c>
    </row>
    <row r="165">
      <c r="A165" t="inlineStr">
        <is>
          <t>R250214-almondsai</t>
        </is>
      </c>
      <c r="B165" t="inlineStr">
        <is>
          <t>Almond.ai</t>
        </is>
      </c>
      <c r="C165" s="17" t="n">
        <v>45702</v>
      </c>
      <c r="D165" s="18" t="n">
        <v>45689</v>
      </c>
      <c r="E165" s="19" t="n">
        <v>1.846</v>
      </c>
      <c r="F165" s="19" t="n">
        <v>16</v>
      </c>
      <c r="G165" t="inlineStr">
        <is>
          <t>Rs 16 crore</t>
        </is>
      </c>
      <c r="H165" t="inlineStr">
        <is>
          <t>Seed</t>
        </is>
      </c>
      <c r="I165" t="inlineStr">
        <is>
          <t>Early</t>
        </is>
      </c>
      <c r="J165" t="inlineStr">
        <is>
          <t>Enterprise Tech</t>
        </is>
      </c>
      <c r="K165" t="inlineStr">
        <is>
          <t>Delhi NCR</t>
        </is>
      </c>
      <c r="L165" t="inlineStr">
        <is>
          <t>JIIF; JITO Incubation; Innovation Foundation</t>
        </is>
      </c>
      <c r="M165" t="inlineStr">
        <is>
          <t>JIIF; Venture Catalyst; Ever Grow Capital; Nine ALPS; Hemant Jain; Nitin Jain; JITO Incubation; Innovation Foundation</t>
        </is>
      </c>
      <c r="N165" t="inlineStr">
        <is>
          <t>entrackr | inc42</t>
        </is>
      </c>
      <c r="O165" s="20" t="n">
        <v>2</v>
      </c>
      <c r="P165" s="21" t="n">
        <v>2.9</v>
      </c>
      <c r="Q165" t="inlineStr">
        <is>
          <t>C17</t>
        </is>
      </c>
      <c r="R165" s="22" t="inlineStr">
        <is>
          <t>https://entrackr.com/snippets/almonds-ai-raises-rs-16-cr-in-seed-funding-round-8720730</t>
        </is>
      </c>
    </row>
    <row r="166">
      <c r="A166" t="inlineStr">
        <is>
          <t>R250214-cherrapunjicra</t>
        </is>
      </c>
      <c r="B166" t="inlineStr">
        <is>
          <t>Cherrapunji Craft Gin</t>
        </is>
      </c>
      <c r="C166" s="17" t="n">
        <v>45702</v>
      </c>
      <c r="D166" s="18" t="n">
        <v>45689</v>
      </c>
      <c r="E166" s="19" t="n">
        <v>1.2</v>
      </c>
      <c r="F166" s="19" t="n">
        <v>10.4</v>
      </c>
      <c r="G166" t="inlineStr">
        <is>
          <t>$1.2 Mn</t>
        </is>
      </c>
      <c r="H166" t="inlineStr">
        <is>
          <t>Pre-Series A</t>
        </is>
      </c>
      <c r="I166" t="inlineStr">
        <is>
          <t>Early</t>
        </is>
      </c>
      <c r="J166" t="inlineStr">
        <is>
          <t>Ecommerce</t>
        </is>
      </c>
      <c r="K166" t="inlineStr">
        <is>
          <t>Unknown</t>
        </is>
      </c>
      <c r="L166" t="inlineStr"/>
      <c r="M166" t="inlineStr">
        <is>
          <t>AngelList India Syndicate</t>
        </is>
      </c>
      <c r="N166" t="inlineStr">
        <is>
          <t>entrackr</t>
        </is>
      </c>
      <c r="O166" s="20" t="n">
        <v>1</v>
      </c>
      <c r="P166" s="21" t="n">
        <v>0</v>
      </c>
      <c r="Q166" t="inlineStr">
        <is>
          <t>C07</t>
        </is>
      </c>
      <c r="R166" s="22" t="inlineStr">
        <is>
          <t>https://entrackr.com/snippets/cherrapunji-craft-gin-raises-12-mn-in-pre-series-a-round-8719814</t>
        </is>
      </c>
    </row>
    <row r="167">
      <c r="A167" t="inlineStr">
        <is>
          <t>R250214-pmielectromobi</t>
        </is>
      </c>
      <c r="B167" t="inlineStr">
        <is>
          <t>PMI Electro Mobility</t>
        </is>
      </c>
      <c r="C167" s="17" t="n">
        <v>45702</v>
      </c>
      <c r="D167" s="18" t="n">
        <v>45689</v>
      </c>
      <c r="E167" s="19" t="n">
        <v>29</v>
      </c>
      <c r="F167" s="19" t="n">
        <v>251.34</v>
      </c>
      <c r="G167" t="inlineStr">
        <is>
          <t>$29 Mn</t>
        </is>
      </c>
      <c r="H167" t="inlineStr">
        <is>
          <t>Undisclosed</t>
        </is>
      </c>
      <c r="I167" t="inlineStr">
        <is>
          <t>Undisclosed</t>
        </is>
      </c>
      <c r="J167" t="inlineStr">
        <is>
          <t>Cleantech</t>
        </is>
      </c>
      <c r="K167" t="inlineStr">
        <is>
          <t>Unknown</t>
        </is>
      </c>
      <c r="L167" t="inlineStr"/>
      <c r="M167" t="inlineStr">
        <is>
          <t>Authum Investment &amp; Infrastructure; Gruhas; Antique Securities</t>
        </is>
      </c>
      <c r="N167" t="inlineStr">
        <is>
          <t>inc42</t>
        </is>
      </c>
      <c r="O167" s="20" t="n">
        <v>1</v>
      </c>
      <c r="P167" s="21" t="n">
        <v>0</v>
      </c>
      <c r="Q167" t="inlineStr">
        <is>
          <t>C04 C07</t>
        </is>
      </c>
      <c r="R167" s="22" t="inlineStr">
        <is>
          <t>https://inc42.com/buzz/from-tonetag-to-borderplus-indian-startups-raised-270-mn-this-week/</t>
        </is>
      </c>
    </row>
    <row r="168">
      <c r="A168" t="inlineStr">
        <is>
          <t>R250214-raincheckearth</t>
        </is>
      </c>
      <c r="B168" t="inlineStr">
        <is>
          <t>Raincheck Earth Co.</t>
        </is>
      </c>
      <c r="C168" s="17" t="n">
        <v>45702</v>
      </c>
      <c r="D168" s="18" t="n">
        <v>45689</v>
      </c>
      <c r="E168" s="19" t="n">
        <v>1.2</v>
      </c>
      <c r="F168" s="19" t="n">
        <v>10.4</v>
      </c>
      <c r="G168" t="inlineStr">
        <is>
          <t>$1.2 Mn</t>
        </is>
      </c>
      <c r="H168" t="inlineStr">
        <is>
          <t>Pre-Series A</t>
        </is>
      </c>
      <c r="I168" t="inlineStr">
        <is>
          <t>Early</t>
        </is>
      </c>
      <c r="J168" t="inlineStr">
        <is>
          <t>Alcoholic Beverages</t>
        </is>
      </c>
      <c r="K168" t="inlineStr">
        <is>
          <t>Unknown</t>
        </is>
      </c>
      <c r="L168" t="inlineStr"/>
      <c r="M168" t="inlineStr">
        <is>
          <t>AngelList India Syndicate</t>
        </is>
      </c>
      <c r="N168" t="inlineStr">
        <is>
          <t>inc42</t>
        </is>
      </c>
      <c r="O168" s="20" t="n">
        <v>1</v>
      </c>
      <c r="P168" s="21" t="n">
        <v>0</v>
      </c>
      <c r="Q168" t="inlineStr">
        <is>
          <t>C07</t>
        </is>
      </c>
      <c r="R168" s="22" t="inlineStr">
        <is>
          <t>https://inc42.com/buzz/from-tonetag-to-borderplus-indian-startups-raised-270-mn-this-week/</t>
        </is>
      </c>
    </row>
    <row r="169">
      <c r="A169" t="inlineStr">
        <is>
          <t>R250215-ikonz</t>
        </is>
      </c>
      <c r="B169" t="inlineStr">
        <is>
          <t>Ikonz Studios</t>
        </is>
      </c>
      <c r="C169" s="17" t="n">
        <v>45703</v>
      </c>
      <c r="D169" s="18" t="n">
        <v>45689</v>
      </c>
      <c r="E169" s="19" t="n">
        <v>5</v>
      </c>
      <c r="F169" s="19" t="n">
        <v>43.34</v>
      </c>
      <c r="G169" t="inlineStr">
        <is>
          <t>$5 million</t>
        </is>
      </c>
      <c r="H169" t="inlineStr">
        <is>
          <t>Pre-Series A</t>
        </is>
      </c>
      <c r="I169" t="inlineStr">
        <is>
          <t>Early</t>
        </is>
      </c>
      <c r="J169" t="inlineStr">
        <is>
          <t>Enterprise Tech</t>
        </is>
      </c>
      <c r="K169" t="inlineStr">
        <is>
          <t>Hyderabad</t>
        </is>
      </c>
      <c r="L169" t="inlineStr"/>
      <c r="M169" t="inlineStr">
        <is>
          <t>Marc Jordan; Madhusudhan Kela; Akash Bhanshali; Ramana Thumu; State of the Art Entertainment</t>
        </is>
      </c>
      <c r="N169" t="inlineStr">
        <is>
          <t>entrackr | inc42 | et</t>
        </is>
      </c>
      <c r="O169" s="20" t="n">
        <v>3</v>
      </c>
      <c r="P169" s="21" t="n">
        <v>0</v>
      </c>
      <c r="Q169" t="inlineStr"/>
      <c r="R169" s="22" t="inlineStr">
        <is>
          <t>https://inc42.com/buzz/from-udaan-to-the-whole-truth-indian-startups-raised-153-mn-this-week/</t>
        </is>
      </c>
    </row>
    <row r="170">
      <c r="A170" t="inlineStr">
        <is>
          <t>R250215-ridev</t>
        </is>
      </c>
      <c r="B170" t="inlineStr">
        <is>
          <t>RIDEV</t>
        </is>
      </c>
      <c r="C170" s="17" t="n">
        <v>45703</v>
      </c>
      <c r="D170" s="18" t="n">
        <v>45689</v>
      </c>
      <c r="E170" s="19" t="n"/>
      <c r="F170" s="19" t="n"/>
      <c r="G170" t="inlineStr"/>
      <c r="H170" t="inlineStr">
        <is>
          <t>Undisclosed</t>
        </is>
      </c>
      <c r="I170" t="inlineStr">
        <is>
          <t>Undisclosed</t>
        </is>
      </c>
      <c r="J170" t="inlineStr">
        <is>
          <t>Cleantech</t>
        </is>
      </c>
      <c r="K170" t="inlineStr">
        <is>
          <t>Unknown</t>
        </is>
      </c>
      <c r="L170" t="inlineStr"/>
      <c r="M170" t="inlineStr">
        <is>
          <t>Vineet Tibrewala; Gulab Shrimal</t>
        </is>
      </c>
      <c r="N170" t="inlineStr">
        <is>
          <t>inc42</t>
        </is>
      </c>
      <c r="O170" s="20" t="n">
        <v>1</v>
      </c>
      <c r="P170" s="21" t="n"/>
      <c r="Q170" t="inlineStr">
        <is>
          <t>C03 C04 C07</t>
        </is>
      </c>
      <c r="R170" s="22" t="inlineStr">
        <is>
          <t>https://inc42.com/buzz/from-udaan-to-the-whole-truth-indian-startups-raised-153-mn-this-week/</t>
        </is>
      </c>
    </row>
    <row r="171">
      <c r="A171" t="inlineStr">
        <is>
          <t>R250217-lurny</t>
        </is>
      </c>
      <c r="B171" t="inlineStr">
        <is>
          <t>Lurny</t>
        </is>
      </c>
      <c r="C171" s="17" t="n">
        <v>45705</v>
      </c>
      <c r="D171" s="18" t="n">
        <v>45689</v>
      </c>
      <c r="E171" s="19" t="n"/>
      <c r="F171" s="19" t="n"/>
      <c r="G171" t="inlineStr"/>
      <c r="H171" t="inlineStr">
        <is>
          <t>Undisclosed</t>
        </is>
      </c>
      <c r="I171" t="inlineStr">
        <is>
          <t>Undisclosed</t>
        </is>
      </c>
      <c r="J171" t="inlineStr">
        <is>
          <t>Consumer Services</t>
        </is>
      </c>
      <c r="K171" t="inlineStr">
        <is>
          <t>Unknown</t>
        </is>
      </c>
      <c r="L171" t="inlineStr">
        <is>
          <t>John Varghese; Mathew Tharakan; Manoj Kumar</t>
        </is>
      </c>
      <c r="M171" t="inlineStr">
        <is>
          <t>John Varghese; Mathew Tharakan; Manoj Kumar</t>
        </is>
      </c>
      <c r="N171" t="inlineStr">
        <is>
          <t>inc42</t>
        </is>
      </c>
      <c r="O171" s="20" t="n">
        <v>1</v>
      </c>
      <c r="P171" s="21" t="n"/>
      <c r="Q171" t="inlineStr">
        <is>
          <t>C03 C04 C07</t>
        </is>
      </c>
      <c r="R171" s="22" t="inlineStr">
        <is>
          <t>https://inc42.com/buzz/from-udaan-to-the-whole-truth-indian-startups-raised-153-mn-this-week/</t>
        </is>
      </c>
    </row>
    <row r="172">
      <c r="A172" t="inlineStr">
        <is>
          <t>R250217-rarerabbit</t>
        </is>
      </c>
      <c r="B172" t="inlineStr">
        <is>
          <t>Rare Rabbit</t>
        </is>
      </c>
      <c r="C172" s="17" t="n">
        <v>45705</v>
      </c>
      <c r="D172" s="18" t="n">
        <v>45689</v>
      </c>
      <c r="E172" s="19" t="n">
        <v>5.755</v>
      </c>
      <c r="F172" s="19" t="n">
        <v>50</v>
      </c>
      <c r="G172" t="inlineStr">
        <is>
          <t>Rs 50 crore</t>
        </is>
      </c>
      <c r="H172" t="inlineStr">
        <is>
          <t>Undisclosed</t>
        </is>
      </c>
      <c r="I172" t="inlineStr">
        <is>
          <t>Undisclosed</t>
        </is>
      </c>
      <c r="J172" t="inlineStr">
        <is>
          <t>Ecommerce</t>
        </is>
      </c>
      <c r="K172" t="inlineStr">
        <is>
          <t>Bengaluru</t>
        </is>
      </c>
      <c r="L172" t="inlineStr">
        <is>
          <t>A91 Partners</t>
        </is>
      </c>
      <c r="M172" t="inlineStr">
        <is>
          <t>A91 Partners</t>
        </is>
      </c>
      <c r="N172" t="inlineStr">
        <is>
          <t>entrackr | inc42</t>
        </is>
      </c>
      <c r="O172" s="20" t="n">
        <v>2</v>
      </c>
      <c r="P172" s="21" t="n">
        <v>1</v>
      </c>
      <c r="Q172" t="inlineStr">
        <is>
          <t>C04</t>
        </is>
      </c>
      <c r="R172" s="22" t="inlineStr">
        <is>
          <t>https://entrackr.com/exclusive/exclusive-a91-partners-backs-rare-rabbit-in-new-round-8728019</t>
        </is>
      </c>
    </row>
    <row r="173">
      <c r="A173" t="inlineStr">
        <is>
          <t>R250217-udaan</t>
        </is>
      </c>
      <c r="B173" t="inlineStr">
        <is>
          <t>Udaan</t>
        </is>
      </c>
      <c r="C173" s="17" t="n">
        <v>45705</v>
      </c>
      <c r="D173" s="18" t="n">
        <v>45689</v>
      </c>
      <c r="E173" s="19" t="n">
        <v>75</v>
      </c>
      <c r="F173" s="19" t="n">
        <v>651.6</v>
      </c>
      <c r="G173" t="inlineStr">
        <is>
          <t>$75 million</t>
        </is>
      </c>
      <c r="H173" t="inlineStr">
        <is>
          <t>Series G</t>
        </is>
      </c>
      <c r="I173" t="inlineStr">
        <is>
          <t>Late</t>
        </is>
      </c>
      <c r="J173" t="inlineStr">
        <is>
          <t>Ecommerce</t>
        </is>
      </c>
      <c r="K173" t="inlineStr">
        <is>
          <t>Bengaluru</t>
        </is>
      </c>
      <c r="L173" t="inlineStr"/>
      <c r="M173" t="inlineStr">
        <is>
          <t>M&amp;G Prudential; Lightspeed Venture Partners; M&amp;G Plc; M&amp;G</t>
        </is>
      </c>
      <c r="N173" t="inlineStr">
        <is>
          <t>entrackr | inc42 | et | vccircle</t>
        </is>
      </c>
      <c r="O173" s="20" t="n">
        <v>4</v>
      </c>
      <c r="P173" s="21" t="n">
        <v>0</v>
      </c>
      <c r="Q173" t="inlineStr"/>
      <c r="R173" s="22" t="inlineStr">
        <is>
          <t>https://entrackr.com/news/udaan-raises-75-mn-at-flat-valuation-8728540</t>
        </is>
      </c>
    </row>
    <row r="174">
      <c r="A174" t="inlineStr">
        <is>
          <t>R250217-youcarelifesty</t>
        </is>
      </c>
      <c r="B174" t="inlineStr">
        <is>
          <t>You Care Lifestyle</t>
        </is>
      </c>
      <c r="C174" s="17" t="n">
        <v>45705</v>
      </c>
      <c r="D174" s="18" t="n">
        <v>45689</v>
      </c>
      <c r="E174" s="19" t="n">
        <v>1</v>
      </c>
      <c r="F174" s="19" t="n">
        <v>8.69</v>
      </c>
      <c r="G174" t="inlineStr">
        <is>
          <t>$1 million</t>
        </is>
      </c>
      <c r="H174" t="inlineStr">
        <is>
          <t>Undisclosed</t>
        </is>
      </c>
      <c r="I174" t="inlineStr">
        <is>
          <t>Undisclosed</t>
        </is>
      </c>
      <c r="J174" t="inlineStr">
        <is>
          <t>Unclassified</t>
        </is>
      </c>
      <c r="K174" t="inlineStr">
        <is>
          <t>Mumbai</t>
        </is>
      </c>
      <c r="L174" t="inlineStr">
        <is>
          <t>Luke Coutinho; Narendra Firodia</t>
        </is>
      </c>
      <c r="M174" t="inlineStr">
        <is>
          <t>Luke Coutinho; Narendra Firodia</t>
        </is>
      </c>
      <c r="N174" t="inlineStr">
        <is>
          <t>entrackr</t>
        </is>
      </c>
      <c r="O174" s="20" t="n">
        <v>1</v>
      </c>
      <c r="P174" s="21" t="n">
        <v>0</v>
      </c>
      <c r="Q174" t="inlineStr">
        <is>
          <t>C04 C06</t>
        </is>
      </c>
      <c r="R174" s="22" t="inlineStr">
        <is>
          <t>https://entrackr.com/snippets/you-care-lifestyle-raises-1-mn-in-pre-seed-round-8728380</t>
        </is>
      </c>
    </row>
    <row r="175">
      <c r="A175" t="inlineStr">
        <is>
          <t>R250218-dynolttechnolo</t>
        </is>
      </c>
      <c r="B175" t="inlineStr">
        <is>
          <t>Dynolt Technologies</t>
        </is>
      </c>
      <c r="C175" s="17" t="n">
        <v>45706</v>
      </c>
      <c r="D175" s="18" t="n">
        <v>45689</v>
      </c>
      <c r="E175" s="19" t="n">
        <v>1.7</v>
      </c>
      <c r="F175" s="19" t="n">
        <v>14.78</v>
      </c>
      <c r="G175" t="inlineStr">
        <is>
          <t>$1.7 million</t>
        </is>
      </c>
      <c r="H175" t="inlineStr">
        <is>
          <t>Seed</t>
        </is>
      </c>
      <c r="I175" t="inlineStr">
        <is>
          <t>Early</t>
        </is>
      </c>
      <c r="J175" t="inlineStr">
        <is>
          <t>Cleantech</t>
        </is>
      </c>
      <c r="K175" t="inlineStr">
        <is>
          <t>Bengaluru</t>
        </is>
      </c>
      <c r="L175" t="inlineStr">
        <is>
          <t>Transition VC; Yashowardhan Shah</t>
        </is>
      </c>
      <c r="M175" t="inlineStr">
        <is>
          <t>Transition VC; Yashovardhan Shah</t>
        </is>
      </c>
      <c r="N175" t="inlineStr">
        <is>
          <t>entrackr | inc42 | et</t>
        </is>
      </c>
      <c r="O175" s="20" t="n">
        <v>3</v>
      </c>
      <c r="P175" s="21" t="n">
        <v>0</v>
      </c>
      <c r="Q175" t="inlineStr">
        <is>
          <t>C17</t>
        </is>
      </c>
      <c r="R175" s="22" t="inlineStr">
        <is>
          <t>https://entrackr.com/snippets/transition-vc-leads-17-mn-round-in-dynolt-technologies-8730916</t>
        </is>
      </c>
    </row>
    <row r="176">
      <c r="A176" t="inlineStr">
        <is>
          <t>R250218-lightstrom</t>
        </is>
      </c>
      <c r="B176" t="inlineStr">
        <is>
          <t>Lightstrom</t>
        </is>
      </c>
      <c r="C176" s="17" t="n">
        <v>45706</v>
      </c>
      <c r="D176" s="18" t="n">
        <v>45689</v>
      </c>
      <c r="E176" s="19" t="n">
        <v>80.497</v>
      </c>
      <c r="F176" s="19" t="n">
        <v>700</v>
      </c>
      <c r="G176" t="inlineStr">
        <is>
          <t>Rs 700 crore</t>
        </is>
      </c>
      <c r="H176" t="inlineStr">
        <is>
          <t>Undisclosed</t>
        </is>
      </c>
      <c r="I176" t="inlineStr">
        <is>
          <t>Undisclosed</t>
        </is>
      </c>
      <c r="J176" t="inlineStr">
        <is>
          <t>Unclassified</t>
        </is>
      </c>
      <c r="K176" t="inlineStr">
        <is>
          <t>Unknown</t>
        </is>
      </c>
      <c r="L176" t="inlineStr">
        <is>
          <t>NIIF Infrastructure Finance Limited</t>
        </is>
      </c>
      <c r="M176" t="inlineStr">
        <is>
          <t>NIIF Infrastructure Finance Limited; I Squared Capital</t>
        </is>
      </c>
      <c r="N176" t="inlineStr">
        <is>
          <t>entrackr</t>
        </is>
      </c>
      <c r="O176" s="20" t="n">
        <v>1</v>
      </c>
      <c r="P176" s="21" t="n">
        <v>0</v>
      </c>
      <c r="Q176" t="inlineStr">
        <is>
          <t>C04 C06 C07</t>
        </is>
      </c>
      <c r="R176" s="22" t="inlineStr">
        <is>
          <t>https://entrackr.com/snippets/lightstrom-raises-over-80-mn-led-by-niif-ifl-8732695</t>
        </is>
      </c>
    </row>
    <row r="177">
      <c r="A177" t="inlineStr">
        <is>
          <t>R250218-singulrai</t>
        </is>
      </c>
      <c r="B177" t="inlineStr">
        <is>
          <t>Singulr AI</t>
        </is>
      </c>
      <c r="C177" s="17" t="n">
        <v>45706</v>
      </c>
      <c r="D177" s="18" t="n">
        <v>45689</v>
      </c>
      <c r="E177" s="19" t="n">
        <v>10</v>
      </c>
      <c r="F177" s="19" t="n">
        <v>86.95999999999999</v>
      </c>
      <c r="G177" t="inlineStr">
        <is>
          <t>$10 million</t>
        </is>
      </c>
      <c r="H177" t="inlineStr">
        <is>
          <t>Seed</t>
        </is>
      </c>
      <c r="I177" t="inlineStr">
        <is>
          <t>Early</t>
        </is>
      </c>
      <c r="J177" t="inlineStr">
        <is>
          <t>Enterprise Tech</t>
        </is>
      </c>
      <c r="K177" t="inlineStr">
        <is>
          <t>Unknown</t>
        </is>
      </c>
      <c r="L177" t="inlineStr">
        <is>
          <t>Nexus Venture Partners; Dell Technologies Capital</t>
        </is>
      </c>
      <c r="M177" t="inlineStr">
        <is>
          <t>Nexus Venture Partners; Dell Technologies Capital</t>
        </is>
      </c>
      <c r="N177" t="inlineStr">
        <is>
          <t>entrackr | inc42 | et</t>
        </is>
      </c>
      <c r="O177" s="20" t="n">
        <v>3</v>
      </c>
      <c r="P177" s="21" t="n">
        <v>0</v>
      </c>
      <c r="Q177" t="inlineStr">
        <is>
          <t>C07</t>
        </is>
      </c>
      <c r="R177" s="22" t="inlineStr">
        <is>
          <t>https://entrackr.com/snippets/singulr-ai-raises-10-mn-led-by-nexus-and-dell-technologies-capital-8733584</t>
        </is>
      </c>
    </row>
    <row r="178">
      <c r="A178" t="inlineStr">
        <is>
          <t>R250218-spyne</t>
        </is>
      </c>
      <c r="B178" t="inlineStr">
        <is>
          <t>Spyne</t>
        </is>
      </c>
      <c r="C178" s="17" t="n">
        <v>45706</v>
      </c>
      <c r="D178" s="18" t="n">
        <v>45689</v>
      </c>
      <c r="E178" s="19" t="n">
        <v>16</v>
      </c>
      <c r="F178" s="19" t="n">
        <v>139.14</v>
      </c>
      <c r="G178" t="inlineStr">
        <is>
          <t>$16 million</t>
        </is>
      </c>
      <c r="H178" t="inlineStr">
        <is>
          <t>Series A</t>
        </is>
      </c>
      <c r="I178" t="inlineStr">
        <is>
          <t>Early</t>
        </is>
      </c>
      <c r="J178" t="inlineStr">
        <is>
          <t>Enterprise Tech</t>
        </is>
      </c>
      <c r="K178" t="inlineStr">
        <is>
          <t>Delhi NCR</t>
        </is>
      </c>
      <c r="L178" t="inlineStr">
        <is>
          <t>Vertex Ventures</t>
        </is>
      </c>
      <c r="M178" t="inlineStr">
        <is>
          <t>Vertex Ventures; Accel; Storm Ventures; Alteria Capital; AngelList; Smile Group</t>
        </is>
      </c>
      <c r="N178" t="inlineStr">
        <is>
          <t>entrackr | inc42 | et</t>
        </is>
      </c>
      <c r="O178" s="20" t="n">
        <v>3</v>
      </c>
      <c r="P178" s="21" t="n">
        <v>0</v>
      </c>
      <c r="Q178" t="inlineStr"/>
      <c r="R178" s="22" t="inlineStr">
        <is>
          <t>https://entrackr.com/news/spyne-raises-16-mn-in-series-a-round-led-by-vertex-ventures-8731156</t>
        </is>
      </c>
    </row>
    <row r="179">
      <c r="A179" t="inlineStr">
        <is>
          <t>R250218-swishclub</t>
        </is>
      </c>
      <c r="B179" t="inlineStr">
        <is>
          <t>Swish Club</t>
        </is>
      </c>
      <c r="C179" s="17" t="n">
        <v>45706</v>
      </c>
      <c r="D179" s="18" t="n">
        <v>45689</v>
      </c>
      <c r="E179" s="19" t="n">
        <v>4.5</v>
      </c>
      <c r="F179" s="19" t="n">
        <v>39.13</v>
      </c>
      <c r="G179" t="inlineStr">
        <is>
          <t>$4.5 million</t>
        </is>
      </c>
      <c r="H179" t="inlineStr">
        <is>
          <t>Pre-Series A</t>
        </is>
      </c>
      <c r="I179" t="inlineStr">
        <is>
          <t>Early</t>
        </is>
      </c>
      <c r="J179" t="inlineStr">
        <is>
          <t>Ecommerce</t>
        </is>
      </c>
      <c r="K179" t="inlineStr">
        <is>
          <t>Bengaluru</t>
        </is>
      </c>
      <c r="L179" t="inlineStr">
        <is>
          <t>Powerhouse Ventures; Founders Fund; Touchstone Ventures; Eternal Capital; Atrium Ventures</t>
        </is>
      </c>
      <c r="M179" t="inlineStr">
        <is>
          <t>Powerhouse Ventures; Blume Ventures; Touchstone Ventures; Atrium Ventures; Founders Fund; Eternal Capital; Anuj Srivastava; Ajit Reddy; Deb Dutt; Tushar Patel</t>
        </is>
      </c>
      <c r="N179" t="inlineStr">
        <is>
          <t>entrackr | inc42 | et</t>
        </is>
      </c>
      <c r="O179" s="20" t="n">
        <v>3</v>
      </c>
      <c r="P179" s="21" t="n">
        <v>0</v>
      </c>
      <c r="Q179" t="inlineStr"/>
      <c r="R179" s="22" t="inlineStr">
        <is>
          <t>https://entrackr.com/snippets/daas-platform-swish-club-raises-45-mn-in-pre-series-a-8730922</t>
        </is>
      </c>
    </row>
    <row r="180">
      <c r="A180" t="inlineStr">
        <is>
          <t>R250218-theenergycompa</t>
        </is>
      </c>
      <c r="B180" t="inlineStr">
        <is>
          <t>The Energy Company</t>
        </is>
      </c>
      <c r="C180" s="17" t="n">
        <v>45706</v>
      </c>
      <c r="D180" s="18" t="n">
        <v>45689</v>
      </c>
      <c r="E180" s="19" t="n">
        <v>2</v>
      </c>
      <c r="F180" s="19" t="n">
        <v>17.39</v>
      </c>
      <c r="G180" t="inlineStr">
        <is>
          <t>$2 Mn</t>
        </is>
      </c>
      <c r="H180" t="inlineStr">
        <is>
          <t>Pre-Series A</t>
        </is>
      </c>
      <c r="I180" t="inlineStr">
        <is>
          <t>Early</t>
        </is>
      </c>
      <c r="J180" t="inlineStr">
        <is>
          <t>Cleantech</t>
        </is>
      </c>
      <c r="K180" t="inlineStr">
        <is>
          <t>Unknown</t>
        </is>
      </c>
      <c r="L180" t="inlineStr">
        <is>
          <t>Siana Capital; Callapina Capital; Z21 Ventures; 1Crowd; LetsVenture</t>
        </is>
      </c>
      <c r="M180" t="inlineStr">
        <is>
          <t>Siana Capital; Callapina Capital; Z21 Ventures; 1Crowd; LetsVenture</t>
        </is>
      </c>
      <c r="N180" t="inlineStr">
        <is>
          <t>inc42</t>
        </is>
      </c>
      <c r="O180" s="20" t="n">
        <v>1</v>
      </c>
      <c r="P180" s="21" t="n">
        <v>0</v>
      </c>
      <c r="Q180" t="inlineStr">
        <is>
          <t>C07</t>
        </is>
      </c>
      <c r="R180" s="22" t="inlineStr">
        <is>
          <t>https://inc42.com/buzz/from-udaan-to-the-whole-truth-indian-startups-raised-153-mn-this-week/</t>
        </is>
      </c>
    </row>
    <row r="181">
      <c r="A181" t="inlineStr">
        <is>
          <t>R250219-agrilectric</t>
        </is>
      </c>
      <c r="B181" t="inlineStr">
        <is>
          <t>Agrilectric</t>
        </is>
      </c>
      <c r="C181" s="17" t="n">
        <v>45707</v>
      </c>
      <c r="D181" s="18" t="n">
        <v>45689</v>
      </c>
      <c r="E181" s="19" t="n">
        <v>0.1</v>
      </c>
      <c r="F181" s="19" t="n">
        <v>0.87</v>
      </c>
      <c r="G181" t="inlineStr">
        <is>
          <t>$100K</t>
        </is>
      </c>
      <c r="H181" t="inlineStr">
        <is>
          <t>Seed</t>
        </is>
      </c>
      <c r="I181" t="inlineStr">
        <is>
          <t>Early</t>
        </is>
      </c>
      <c r="J181" t="inlineStr">
        <is>
          <t>Agritech</t>
        </is>
      </c>
      <c r="K181" t="inlineStr">
        <is>
          <t>Unknown</t>
        </is>
      </c>
      <c r="L181" t="inlineStr"/>
      <c r="M181" t="inlineStr"/>
      <c r="N181" t="inlineStr">
        <is>
          <t>inc42</t>
        </is>
      </c>
      <c r="O181" s="20" t="n">
        <v>1</v>
      </c>
      <c r="P181" s="21" t="n">
        <v>0</v>
      </c>
      <c r="Q181" t="inlineStr">
        <is>
          <t>C05 C07 C11</t>
        </is>
      </c>
      <c r="R181" s="22" t="inlineStr">
        <is>
          <t>https://inc42.com/buzz/from-udaan-to-the-whole-truth-indian-startups-raised-153-mn-this-week/</t>
        </is>
      </c>
    </row>
    <row r="182">
      <c r="A182" t="inlineStr">
        <is>
          <t>R250219-creditfair</t>
        </is>
      </c>
      <c r="B182" t="inlineStr">
        <is>
          <t>Credit Fair</t>
        </is>
      </c>
      <c r="C182" s="17" t="n">
        <v>45707</v>
      </c>
      <c r="D182" s="18" t="n">
        <v>45689</v>
      </c>
      <c r="E182" s="19" t="n">
        <v>5</v>
      </c>
      <c r="F182" s="19" t="n">
        <v>43.44</v>
      </c>
      <c r="G182" t="inlineStr">
        <is>
          <t>$5 Mn</t>
        </is>
      </c>
      <c r="H182" t="inlineStr">
        <is>
          <t>Debt</t>
        </is>
      </c>
      <c r="I182" t="inlineStr">
        <is>
          <t>Debt</t>
        </is>
      </c>
      <c r="J182" t="inlineStr">
        <is>
          <t>Fintech</t>
        </is>
      </c>
      <c r="K182" t="inlineStr">
        <is>
          <t>Unknown</t>
        </is>
      </c>
      <c r="L182" t="inlineStr">
        <is>
          <t>Symbiotics Investments</t>
        </is>
      </c>
      <c r="M182" t="inlineStr">
        <is>
          <t>Symbiotics Investments</t>
        </is>
      </c>
      <c r="N182" t="inlineStr">
        <is>
          <t>inc42 | vccircle</t>
        </is>
      </c>
      <c r="O182" s="20" t="n">
        <v>2</v>
      </c>
      <c r="P182" s="21" t="n">
        <v>0</v>
      </c>
      <c r="Q182" t="inlineStr">
        <is>
          <t>C07</t>
        </is>
      </c>
      <c r="R182" s="22" t="inlineStr">
        <is>
          <t>https://inc42.com/buzz/from-udaan-to-the-whole-truth-indian-startups-raised-153-mn-this-week/</t>
        </is>
      </c>
    </row>
    <row r="183">
      <c r="A183" t="inlineStr">
        <is>
          <t>R250219-healthfab</t>
        </is>
      </c>
      <c r="B183" t="inlineStr">
        <is>
          <t>Healthfab</t>
        </is>
      </c>
      <c r="C183" s="17" t="n">
        <v>45707</v>
      </c>
      <c r="D183" s="18" t="n">
        <v>45689</v>
      </c>
      <c r="E183" s="19" t="n">
        <v>1</v>
      </c>
      <c r="F183" s="19" t="n">
        <v>8.69</v>
      </c>
      <c r="G183" t="inlineStr">
        <is>
          <t>$1 million</t>
        </is>
      </c>
      <c r="H183" t="inlineStr">
        <is>
          <t>Pre-Series A</t>
        </is>
      </c>
      <c r="I183" t="inlineStr">
        <is>
          <t>Early</t>
        </is>
      </c>
      <c r="J183" t="inlineStr">
        <is>
          <t>Ecommerce</t>
        </is>
      </c>
      <c r="K183" t="inlineStr">
        <is>
          <t>Bengaluru</t>
        </is>
      </c>
      <c r="L183" t="inlineStr">
        <is>
          <t>Mistry Ventures; Thrive Ventures; Anupam Mittal; Aman Gupta; Vineeta Singh; Peyush Bansal</t>
        </is>
      </c>
      <c r="M183" t="inlineStr">
        <is>
          <t>Mistry Ventures; Thrive Ventures; Anupam Mittal; Aman Gupta; Vineeta Singh; Peyush Bansal; BeyondSeed</t>
        </is>
      </c>
      <c r="N183" t="inlineStr">
        <is>
          <t>entrackr</t>
        </is>
      </c>
      <c r="O183" s="20" t="n">
        <v>1</v>
      </c>
      <c r="P183" s="21" t="n">
        <v>0</v>
      </c>
      <c r="Q183" t="inlineStr"/>
      <c r="R183" s="22" t="inlineStr">
        <is>
          <t>https://entrackr.com/snippets/healthfab-raises-1-mn-in-pre-series-a-round-8735177</t>
        </is>
      </c>
    </row>
    <row r="184">
      <c r="A184" t="inlineStr">
        <is>
          <t>R250219-probus</t>
        </is>
      </c>
      <c r="B184" t="inlineStr">
        <is>
          <t>Probus</t>
        </is>
      </c>
      <c r="C184" s="17" t="n">
        <v>45707</v>
      </c>
      <c r="D184" s="18" t="n">
        <v>45689</v>
      </c>
      <c r="E184" s="19" t="n">
        <v>5</v>
      </c>
      <c r="F184" s="19" t="n">
        <v>43.44</v>
      </c>
      <c r="G184" t="inlineStr">
        <is>
          <t>$5 million</t>
        </is>
      </c>
      <c r="H184" t="inlineStr">
        <is>
          <t>Series A</t>
        </is>
      </c>
      <c r="I184" t="inlineStr">
        <is>
          <t>Early</t>
        </is>
      </c>
      <c r="J184" t="inlineStr">
        <is>
          <t>Deeptech</t>
        </is>
      </c>
      <c r="K184" t="inlineStr">
        <is>
          <t>Unknown</t>
        </is>
      </c>
      <c r="L184" t="inlineStr">
        <is>
          <t>Unicorn India Ventures</t>
        </is>
      </c>
      <c r="M184" t="inlineStr">
        <is>
          <t>Unicorn India Ventures</t>
        </is>
      </c>
      <c r="N184" t="inlineStr">
        <is>
          <t>entrackr | inc42</t>
        </is>
      </c>
      <c r="O184" s="20" t="n">
        <v>2</v>
      </c>
      <c r="P184" s="21" t="n">
        <v>0</v>
      </c>
      <c r="Q184" t="inlineStr">
        <is>
          <t>C07</t>
        </is>
      </c>
      <c r="R184" s="22" t="inlineStr">
        <is>
          <t>https://entrackr.com/snippets/probus-raises-5-mn-led-by-unicorn-india-ventures-8734834</t>
        </is>
      </c>
    </row>
    <row r="185">
      <c r="A185" t="inlineStr">
        <is>
          <t>R250220-dogseechew</t>
        </is>
      </c>
      <c r="B185" t="inlineStr">
        <is>
          <t>Dogsee Chew</t>
        </is>
      </c>
      <c r="C185" s="17" t="n">
        <v>45708</v>
      </c>
      <c r="D185" s="18" t="n">
        <v>45689</v>
      </c>
      <c r="E185" s="19" t="n">
        <v>8</v>
      </c>
      <c r="F185" s="19" t="n">
        <v>69.27</v>
      </c>
      <c r="G185" t="inlineStr">
        <is>
          <t>$8 million</t>
        </is>
      </c>
      <c r="H185" t="inlineStr">
        <is>
          <t>Series B</t>
        </is>
      </c>
      <c r="I185" t="inlineStr">
        <is>
          <t>Growth</t>
        </is>
      </c>
      <c r="J185" t="inlineStr">
        <is>
          <t>Ecommerce</t>
        </is>
      </c>
      <c r="K185" t="inlineStr">
        <is>
          <t>Bengaluru</t>
        </is>
      </c>
      <c r="L185" t="inlineStr">
        <is>
          <t>Ektha.com</t>
        </is>
      </c>
      <c r="M185" t="inlineStr">
        <is>
          <t>Ektha.com; Shivanssh Holdings; Poddar Family Office</t>
        </is>
      </c>
      <c r="N185" t="inlineStr">
        <is>
          <t>entrackr | inc42 | vccircle</t>
        </is>
      </c>
      <c r="O185" s="20" t="n">
        <v>3</v>
      </c>
      <c r="P185" s="21" t="n">
        <v>0</v>
      </c>
      <c r="Q185" t="inlineStr"/>
      <c r="R185" s="22" t="inlineStr">
        <is>
          <t>https://entrackr.com/news/dogsee-chew-raises-8-mn-in-series-b-round-8739447</t>
        </is>
      </c>
    </row>
    <row r="186">
      <c r="A186" t="inlineStr">
        <is>
          <t>R250220-notoicecream</t>
        </is>
      </c>
      <c r="B186" t="inlineStr">
        <is>
          <t>NOTO</t>
        </is>
      </c>
      <c r="C186" s="17" t="n">
        <v>45708</v>
      </c>
      <c r="D186" s="18" t="n">
        <v>45689</v>
      </c>
      <c r="E186" s="19" t="n">
        <v>1.732</v>
      </c>
      <c r="F186" s="19" t="n">
        <v>15</v>
      </c>
      <c r="G186" t="inlineStr">
        <is>
          <t>Rs 15 crore</t>
        </is>
      </c>
      <c r="H186" t="inlineStr">
        <is>
          <t>Undisclosed</t>
        </is>
      </c>
      <c r="I186" t="inlineStr">
        <is>
          <t>Undisclosed</t>
        </is>
      </c>
      <c r="J186" t="inlineStr">
        <is>
          <t>Ecommerce</t>
        </is>
      </c>
      <c r="K186" t="inlineStr">
        <is>
          <t>Mumbai</t>
        </is>
      </c>
      <c r="L186" t="inlineStr">
        <is>
          <t>Inflection Point Ventures</t>
        </is>
      </c>
      <c r="M186" t="inlineStr">
        <is>
          <t>Inflection Point Ventures; JITO Incubation; Innovation Foundation; LetsVenture</t>
        </is>
      </c>
      <c r="N186" t="inlineStr">
        <is>
          <t>entrackr | inc42</t>
        </is>
      </c>
      <c r="O186" s="20" t="n">
        <v>2</v>
      </c>
      <c r="P186" s="21" t="n">
        <v>1.9</v>
      </c>
      <c r="Q186" t="inlineStr">
        <is>
          <t>C04</t>
        </is>
      </c>
      <c r="R186" s="22" t="inlineStr">
        <is>
          <t>https://entrackr.com/snippets/john-abraham-backed-noto-ice-cream-raises-rs-15-cr-8739208</t>
        </is>
      </c>
    </row>
    <row r="187">
      <c r="A187" t="inlineStr">
        <is>
          <t>R250220-onetabai</t>
        </is>
      </c>
      <c r="B187" t="inlineStr">
        <is>
          <t>OneTab</t>
        </is>
      </c>
      <c r="C187" s="17" t="n">
        <v>45708</v>
      </c>
      <c r="D187" s="18" t="n">
        <v>45689</v>
      </c>
      <c r="E187" s="19" t="n">
        <v>3.3</v>
      </c>
      <c r="F187" s="19" t="n">
        <v>28.57</v>
      </c>
      <c r="G187" t="inlineStr">
        <is>
          <t>$3.3 million</t>
        </is>
      </c>
      <c r="H187" t="inlineStr">
        <is>
          <t>Seed</t>
        </is>
      </c>
      <c r="I187" t="inlineStr">
        <is>
          <t>Early</t>
        </is>
      </c>
      <c r="J187" t="inlineStr">
        <is>
          <t>Enterprise Tech</t>
        </is>
      </c>
      <c r="K187" t="inlineStr">
        <is>
          <t>Unknown</t>
        </is>
      </c>
      <c r="L187" t="inlineStr">
        <is>
          <t>LIT Fund; Orbit</t>
        </is>
      </c>
      <c r="M187" t="inlineStr">
        <is>
          <t>LIT Fund; Orbit; SOSV; Sunil Kumar Singhvi; Saket Dandotia; Sonal Dandotia; Alok Patil</t>
        </is>
      </c>
      <c r="N187" t="inlineStr">
        <is>
          <t>entrackr | inc42</t>
        </is>
      </c>
      <c r="O187" s="20" t="n">
        <v>2</v>
      </c>
      <c r="P187" s="21" t="n">
        <v>0</v>
      </c>
      <c r="Q187" t="inlineStr">
        <is>
          <t>C07</t>
        </is>
      </c>
      <c r="R187" s="22" t="inlineStr">
        <is>
          <t>https://entrackr.com/snippets/onetab-ai-raises-33-mn-in-seed-round-8738860</t>
        </is>
      </c>
    </row>
    <row r="188">
      <c r="A188" t="inlineStr">
        <is>
          <t>R250220-thewholetruth</t>
        </is>
      </c>
      <c r="B188" t="inlineStr">
        <is>
          <t>The Whole Truth</t>
        </is>
      </c>
      <c r="C188" s="17" t="n">
        <v>45708</v>
      </c>
      <c r="D188" s="18" t="n">
        <v>45689</v>
      </c>
      <c r="E188" s="19" t="n">
        <v>15</v>
      </c>
      <c r="F188" s="19" t="n">
        <v>129.89</v>
      </c>
      <c r="G188" t="inlineStr">
        <is>
          <t>$15 million</t>
        </is>
      </c>
      <c r="H188" t="inlineStr">
        <is>
          <t>Series C</t>
        </is>
      </c>
      <c r="I188" t="inlineStr">
        <is>
          <t>Growth</t>
        </is>
      </c>
      <c r="J188" t="inlineStr">
        <is>
          <t>Ecommerce</t>
        </is>
      </c>
      <c r="K188" t="inlineStr">
        <is>
          <t>Mumbai</t>
        </is>
      </c>
      <c r="L188" t="inlineStr">
        <is>
          <t>Sofina</t>
        </is>
      </c>
      <c r="M188" t="inlineStr">
        <is>
          <t>Sofina; Z47; Peak XV Partners; Sauce.vc; Nithin Kamath</t>
        </is>
      </c>
      <c r="N188" t="inlineStr">
        <is>
          <t>entrackr | inc42 | et</t>
        </is>
      </c>
      <c r="O188" s="20" t="n">
        <v>3</v>
      </c>
      <c r="P188" s="21" t="n">
        <v>0</v>
      </c>
      <c r="Q188" t="inlineStr"/>
      <c r="R188" s="22" t="inlineStr">
        <is>
          <t>https://economictimes.indiatimes.com/tech/funding/health-food-brand-the-whole-truth-raises-15-million/articleshow/118420110.cms</t>
        </is>
      </c>
    </row>
    <row r="189">
      <c r="A189" t="inlineStr">
        <is>
          <t>R250222-niyogin</t>
        </is>
      </c>
      <c r="B189" t="inlineStr">
        <is>
          <t>Niyogin</t>
        </is>
      </c>
      <c r="C189" s="17" t="n">
        <v>45710</v>
      </c>
      <c r="D189" s="18" t="n">
        <v>45689</v>
      </c>
      <c r="E189" s="19" t="n">
        <v>6.4</v>
      </c>
      <c r="F189" s="19" t="n">
        <v>55.44</v>
      </c>
      <c r="G189" t="inlineStr">
        <is>
          <t>$6.4 Mn</t>
        </is>
      </c>
      <c r="H189" t="inlineStr">
        <is>
          <t>Undisclosed</t>
        </is>
      </c>
      <c r="I189" t="inlineStr">
        <is>
          <t>Undisclosed</t>
        </is>
      </c>
      <c r="J189" t="inlineStr">
        <is>
          <t>Fintech</t>
        </is>
      </c>
      <c r="K189" t="inlineStr">
        <is>
          <t>Unknown</t>
        </is>
      </c>
      <c r="L189" t="inlineStr"/>
      <c r="M189" t="inlineStr">
        <is>
          <t>MK Ventures; Aionios Alpha Investment Management; Ashika Groupm; Amit Rajpal</t>
        </is>
      </c>
      <c r="N189" t="inlineStr">
        <is>
          <t>inc42</t>
        </is>
      </c>
      <c r="O189" s="20" t="n">
        <v>1</v>
      </c>
      <c r="P189" s="21" t="n">
        <v>0</v>
      </c>
      <c r="Q189" t="inlineStr">
        <is>
          <t>C04 C07</t>
        </is>
      </c>
      <c r="R189" s="22" t="inlineStr">
        <is>
          <t>https://inc42.com/buzz/from-geniemode-to-quick-clean-indian-startups-raised-88-mn-this-week/</t>
        </is>
      </c>
    </row>
    <row r="190">
      <c r="A190" t="inlineStr">
        <is>
          <t>R250224-geniemode</t>
        </is>
      </c>
      <c r="B190" t="inlineStr">
        <is>
          <t>Geniemode</t>
        </is>
      </c>
      <c r="C190" s="17" t="n">
        <v>45712</v>
      </c>
      <c r="D190" s="18" t="n">
        <v>45689</v>
      </c>
      <c r="E190" s="19" t="n">
        <v>50</v>
      </c>
      <c r="F190" s="19" t="n">
        <v>433.65</v>
      </c>
      <c r="G190" t="inlineStr">
        <is>
          <t>$50 million</t>
        </is>
      </c>
      <c r="H190" t="inlineStr">
        <is>
          <t>Series C</t>
        </is>
      </c>
      <c r="I190" t="inlineStr">
        <is>
          <t>Growth</t>
        </is>
      </c>
      <c r="J190" t="inlineStr">
        <is>
          <t>Ecommerce</t>
        </is>
      </c>
      <c r="K190" t="inlineStr">
        <is>
          <t>Delhi NCR</t>
        </is>
      </c>
      <c r="L190" t="inlineStr">
        <is>
          <t>Multiples Alternate Asset Management</t>
        </is>
      </c>
      <c r="M190" t="inlineStr">
        <is>
          <t>Multiples Alternate Asset Management; Fundamentum; Paramark Ventures; InfoEdge Ventures</t>
        </is>
      </c>
      <c r="N190" t="inlineStr">
        <is>
          <t>entrackr | inc42 | et | vccircle</t>
        </is>
      </c>
      <c r="O190" s="20" t="n">
        <v>4</v>
      </c>
      <c r="P190" s="21" t="n">
        <v>0</v>
      </c>
      <c r="Q190" t="inlineStr"/>
      <c r="R190" s="22" t="inlineStr">
        <is>
          <t>https://entrackr.com/news/geniemode-raises-50-mn-in-series-c-round-led-by-multiples-and-fundamentum-8751618</t>
        </is>
      </c>
    </row>
    <row r="191">
      <c r="A191" t="inlineStr">
        <is>
          <t>R250224-kiranapro</t>
        </is>
      </c>
      <c r="B191" t="inlineStr">
        <is>
          <t>KiranaPro</t>
        </is>
      </c>
      <c r="C191" s="17" t="n">
        <v>45712</v>
      </c>
      <c r="D191" s="18" t="n">
        <v>45689</v>
      </c>
      <c r="E191" s="19" t="n"/>
      <c r="F191" s="19" t="n"/>
      <c r="G191" t="inlineStr"/>
      <c r="H191" t="inlineStr">
        <is>
          <t>Undisclosed</t>
        </is>
      </c>
      <c r="I191" t="inlineStr">
        <is>
          <t>Undisclosed</t>
        </is>
      </c>
      <c r="J191" t="inlineStr">
        <is>
          <t>Consumer Services</t>
        </is>
      </c>
      <c r="K191" t="inlineStr">
        <is>
          <t>Unknown</t>
        </is>
      </c>
      <c r="L191" t="inlineStr">
        <is>
          <t>PV Sindhu</t>
        </is>
      </c>
      <c r="M191" t="inlineStr">
        <is>
          <t>PV Sindhu</t>
        </is>
      </c>
      <c r="N191" t="inlineStr">
        <is>
          <t>inc42</t>
        </is>
      </c>
      <c r="O191" s="20" t="n">
        <v>1</v>
      </c>
      <c r="P191" s="21" t="n"/>
      <c r="Q191" t="inlineStr">
        <is>
          <t>C03 C04 C07</t>
        </is>
      </c>
      <c r="R191" s="22" t="inlineStr">
        <is>
          <t>https://inc42.com/buzz/from-geniemode-to-quick-clean-indian-startups-raised-88-mn-this-week/</t>
        </is>
      </c>
    </row>
    <row r="192">
      <c r="A192" t="inlineStr">
        <is>
          <t>R250224-makeinbox</t>
        </is>
      </c>
      <c r="B192" t="inlineStr">
        <is>
          <t>Make in Box</t>
        </is>
      </c>
      <c r="C192" s="17" t="n">
        <v>45712</v>
      </c>
      <c r="D192" s="18" t="n">
        <v>45689</v>
      </c>
      <c r="E192" s="19" t="n">
        <v>0.26</v>
      </c>
      <c r="F192" s="19" t="n">
        <v>2.25</v>
      </c>
      <c r="G192" t="inlineStr">
        <is>
          <t>$260,000</t>
        </is>
      </c>
      <c r="H192" t="inlineStr">
        <is>
          <t>Pre-Seed</t>
        </is>
      </c>
      <c r="I192" t="inlineStr">
        <is>
          <t>Early</t>
        </is>
      </c>
      <c r="J192" t="inlineStr">
        <is>
          <t>Deeptech</t>
        </is>
      </c>
      <c r="K192" t="inlineStr">
        <is>
          <t>Unknown</t>
        </is>
      </c>
      <c r="L192" t="inlineStr">
        <is>
          <t>Mile Deep Works</t>
        </is>
      </c>
      <c r="M192" t="inlineStr">
        <is>
          <t>Mile Deep Works</t>
        </is>
      </c>
      <c r="N192" t="inlineStr">
        <is>
          <t>entrackr | inc42</t>
        </is>
      </c>
      <c r="O192" s="20" t="n">
        <v>2</v>
      </c>
      <c r="P192" s="21" t="n">
        <v>0</v>
      </c>
      <c r="Q192" t="inlineStr">
        <is>
          <t>C07</t>
        </is>
      </c>
      <c r="R192" s="22" t="inlineStr">
        <is>
          <t>https://inc42.com/buzz/from-geniemode-to-quick-clean-indian-startups-raised-88-mn-this-week/</t>
        </is>
      </c>
    </row>
    <row r="193">
      <c r="A193" t="inlineStr">
        <is>
          <t>R250224-oxyzo</t>
        </is>
      </c>
      <c r="B193" t="inlineStr">
        <is>
          <t>Oxyzo</t>
        </is>
      </c>
      <c r="C193" s="17" t="n">
        <v>45712</v>
      </c>
      <c r="D193" s="18" t="n">
        <v>45689</v>
      </c>
      <c r="E193" s="19" t="n">
        <v>11.53</v>
      </c>
      <c r="F193" s="19" t="n">
        <v>100</v>
      </c>
      <c r="G193" t="inlineStr">
        <is>
          <t>Rs 100 crore</t>
        </is>
      </c>
      <c r="H193" t="inlineStr">
        <is>
          <t>Debt</t>
        </is>
      </c>
      <c r="I193" t="inlineStr">
        <is>
          <t>Debt</t>
        </is>
      </c>
      <c r="J193" t="inlineStr">
        <is>
          <t>Fintech</t>
        </is>
      </c>
      <c r="K193" t="inlineStr">
        <is>
          <t>Delhi NCR</t>
        </is>
      </c>
      <c r="L193" t="inlineStr">
        <is>
          <t>AK Capital</t>
        </is>
      </c>
      <c r="M193" t="inlineStr">
        <is>
          <t>AK Capital; AK Capital Finance; A.K. Capital Services Ltd</t>
        </is>
      </c>
      <c r="N193" t="inlineStr">
        <is>
          <t>entrackr | inc42</t>
        </is>
      </c>
      <c r="O193" s="20" t="n">
        <v>2</v>
      </c>
      <c r="P193" s="21" t="n">
        <v>0.3</v>
      </c>
      <c r="Q193" t="inlineStr"/>
      <c r="R193" s="22" t="inlineStr">
        <is>
          <t>https://entrackr.com/exclusive/exclusive-oxyzo-secures-rs-100-cr-debt-8751441</t>
        </is>
      </c>
    </row>
    <row r="194">
      <c r="A194" t="inlineStr">
        <is>
          <t>R250225-dodopayments</t>
        </is>
      </c>
      <c r="B194" t="inlineStr">
        <is>
          <t>Dodo Payments</t>
        </is>
      </c>
      <c r="C194" s="17" t="n">
        <v>45713</v>
      </c>
      <c r="D194" s="18" t="n">
        <v>45689</v>
      </c>
      <c r="E194" s="19" t="n">
        <v>1.1</v>
      </c>
      <c r="F194" s="19" t="n">
        <v>9.59</v>
      </c>
      <c r="G194" t="inlineStr">
        <is>
          <t>$1.1 million</t>
        </is>
      </c>
      <c r="H194" t="inlineStr">
        <is>
          <t>Pre-Seed</t>
        </is>
      </c>
      <c r="I194" t="inlineStr">
        <is>
          <t>Early</t>
        </is>
      </c>
      <c r="J194" t="inlineStr">
        <is>
          <t>Fintech</t>
        </is>
      </c>
      <c r="K194" t="inlineStr">
        <is>
          <t>Bengaluru</t>
        </is>
      </c>
      <c r="L194" t="inlineStr">
        <is>
          <t>Antler; 9Unicorns; Venture Catalysts</t>
        </is>
      </c>
      <c r="M194" t="inlineStr">
        <is>
          <t>Antler; 9Unicorns; Venture Catalysts; Nitin Gupta; Maninder Gulati; Raymond Russell; Preethi Kasireddy; Nishant Verman</t>
        </is>
      </c>
      <c r="N194" t="inlineStr">
        <is>
          <t>entrackr | inc42 | et</t>
        </is>
      </c>
      <c r="O194" s="20" t="n">
        <v>3</v>
      </c>
      <c r="P194" s="21" t="n">
        <v>0</v>
      </c>
      <c r="Q194" t="inlineStr"/>
      <c r="R194" s="22" t="inlineStr">
        <is>
          <t>https://entrackr.com/snippets/dodo-payments-raises-11-mn-in-pre-seed-round-8754518</t>
        </is>
      </c>
    </row>
    <row r="195">
      <c r="A195" t="inlineStr">
        <is>
          <t>R250225-jobizo</t>
        </is>
      </c>
      <c r="B195" t="inlineStr">
        <is>
          <t>Jobizo</t>
        </is>
      </c>
      <c r="C195" s="17" t="n">
        <v>45713</v>
      </c>
      <c r="D195" s="18" t="n">
        <v>45689</v>
      </c>
      <c r="E195" s="19" t="n">
        <v>1.4</v>
      </c>
      <c r="F195" s="19" t="n">
        <v>12.21</v>
      </c>
      <c r="G195" t="inlineStr">
        <is>
          <t>$1.4 million</t>
        </is>
      </c>
      <c r="H195" t="inlineStr">
        <is>
          <t>Undisclosed</t>
        </is>
      </c>
      <c r="I195" t="inlineStr">
        <is>
          <t>Undisclosed</t>
        </is>
      </c>
      <c r="J195" t="inlineStr">
        <is>
          <t>Enterprise Tech</t>
        </is>
      </c>
      <c r="K195" t="inlineStr">
        <is>
          <t>Unknown</t>
        </is>
      </c>
      <c r="L195" t="inlineStr">
        <is>
          <t>Alkemi Growth Capital</t>
        </is>
      </c>
      <c r="M195" t="inlineStr">
        <is>
          <t>Alkemi Growth Capital</t>
        </is>
      </c>
      <c r="N195" t="inlineStr">
        <is>
          <t>entrackr</t>
        </is>
      </c>
      <c r="O195" s="20" t="n">
        <v>1</v>
      </c>
      <c r="P195" s="21" t="n">
        <v>0</v>
      </c>
      <c r="Q195" t="inlineStr">
        <is>
          <t>C04 C07</t>
        </is>
      </c>
      <c r="R195" s="22" t="inlineStr">
        <is>
          <t>https://entrackr.com/snippets/jobizo-raises-14-mn-led-by-alkemi-growth-capital-8756369</t>
        </is>
      </c>
    </row>
    <row r="196">
      <c r="A196" t="inlineStr">
        <is>
          <t>R250225-technodysis</t>
        </is>
      </c>
      <c r="B196" t="inlineStr">
        <is>
          <t>Technodysis</t>
        </is>
      </c>
      <c r="C196" s="17" t="n">
        <v>45713</v>
      </c>
      <c r="D196" s="18" t="n">
        <v>45689</v>
      </c>
      <c r="E196" s="19" t="n">
        <v>1.147</v>
      </c>
      <c r="F196" s="19" t="n">
        <v>10</v>
      </c>
      <c r="G196" t="inlineStr">
        <is>
          <t>Rs 10 crore</t>
        </is>
      </c>
      <c r="H196" t="inlineStr">
        <is>
          <t>Debt</t>
        </is>
      </c>
      <c r="I196" t="inlineStr">
        <is>
          <t>Debt</t>
        </is>
      </c>
      <c r="J196" t="inlineStr">
        <is>
          <t>Unclassified</t>
        </is>
      </c>
      <c r="K196" t="inlineStr">
        <is>
          <t>Bengaluru</t>
        </is>
      </c>
      <c r="L196" t="inlineStr"/>
      <c r="M196" t="inlineStr">
        <is>
          <t>Recur Club; SMEs</t>
        </is>
      </c>
      <c r="N196" t="inlineStr">
        <is>
          <t>entrackr</t>
        </is>
      </c>
      <c r="O196" s="20" t="n">
        <v>1</v>
      </c>
      <c r="P196" s="21" t="n">
        <v>0</v>
      </c>
      <c r="Q196" t="inlineStr">
        <is>
          <t>C06</t>
        </is>
      </c>
      <c r="R196" s="22" t="inlineStr">
        <is>
          <t>https://entrackr.com/snippets/technodysis-secures-rs-10-cr-in-debt-from-recur-club-8754530</t>
        </is>
      </c>
    </row>
    <row r="197">
      <c r="A197" t="inlineStr">
        <is>
          <t>R250226-drreddy</t>
        </is>
      </c>
      <c r="B197" t="inlineStr">
        <is>
          <t>Dr. Reddy</t>
        </is>
      </c>
      <c r="C197" s="17" t="n">
        <v>45714</v>
      </c>
      <c r="D197" s="18" t="n">
        <v>45689</v>
      </c>
      <c r="E197" s="19" t="n">
        <v>3.444</v>
      </c>
      <c r="F197" s="19" t="n">
        <v>30</v>
      </c>
      <c r="G197" t="inlineStr">
        <is>
          <t>Rs 30 crore</t>
        </is>
      </c>
      <c r="H197" t="inlineStr">
        <is>
          <t>Undisclosed</t>
        </is>
      </c>
      <c r="I197" t="inlineStr">
        <is>
          <t>Undisclosed</t>
        </is>
      </c>
      <c r="J197" t="inlineStr">
        <is>
          <t>Healthtech</t>
        </is>
      </c>
      <c r="K197" t="inlineStr">
        <is>
          <t>Unknown</t>
        </is>
      </c>
      <c r="L197" t="inlineStr"/>
      <c r="M197" t="inlineStr"/>
      <c r="N197" t="inlineStr">
        <is>
          <t>entrackr | et</t>
        </is>
      </c>
      <c r="O197" s="20" t="n">
        <v>2</v>
      </c>
      <c r="P197" s="21" t="n">
        <v>0.2</v>
      </c>
      <c r="Q197" t="inlineStr">
        <is>
          <t>C04 C05 C07</t>
        </is>
      </c>
      <c r="R197" s="22" t="inlineStr">
        <is>
          <t>https://entrackr.com/snippets/go-digit-invests-rs-30-cr-in-dr-reddys-lab-8758171</t>
        </is>
      </c>
    </row>
    <row r="198">
      <c r="A198" t="inlineStr">
        <is>
          <t>R250226-hiwipay</t>
        </is>
      </c>
      <c r="B198" t="inlineStr">
        <is>
          <t>HiWiPay</t>
        </is>
      </c>
      <c r="C198" s="17" t="n">
        <v>45714</v>
      </c>
      <c r="D198" s="18" t="n">
        <v>45689</v>
      </c>
      <c r="E198" s="19" t="n">
        <v>2</v>
      </c>
      <c r="F198" s="19" t="n">
        <v>17.42</v>
      </c>
      <c r="G198" t="inlineStr">
        <is>
          <t>$2 million</t>
        </is>
      </c>
      <c r="H198" t="inlineStr">
        <is>
          <t>Seed</t>
        </is>
      </c>
      <c r="I198" t="inlineStr">
        <is>
          <t>Early</t>
        </is>
      </c>
      <c r="J198" t="inlineStr">
        <is>
          <t>Fintech</t>
        </is>
      </c>
      <c r="K198" t="inlineStr">
        <is>
          <t>Mumbai</t>
        </is>
      </c>
      <c r="L198" t="inlineStr">
        <is>
          <t>Unicorn India Ventures</t>
        </is>
      </c>
      <c r="M198" t="inlineStr">
        <is>
          <t>Unicorn India Ventures; Jupiter Metaverse; Ritesh Malik; Mitesh Shah; Nilesh Doshi</t>
        </is>
      </c>
      <c r="N198" t="inlineStr">
        <is>
          <t>entrackr | inc42 | et</t>
        </is>
      </c>
      <c r="O198" s="20" t="n">
        <v>3</v>
      </c>
      <c r="P198" s="21" t="n">
        <v>0</v>
      </c>
      <c r="Q198" t="inlineStr"/>
      <c r="R198" s="22" t="inlineStr">
        <is>
          <t>https://entrackr.com/snippets/hiwipay-raises-2-mn-in-seed-funding-led-by-unicorn-india-ventures-8757888</t>
        </is>
      </c>
    </row>
    <row r="199">
      <c r="A199" t="inlineStr">
        <is>
          <t>R250226-hornet</t>
        </is>
      </c>
      <c r="B199" t="inlineStr">
        <is>
          <t>Hornet</t>
        </is>
      </c>
      <c r="C199" s="17" t="n">
        <v>45714</v>
      </c>
      <c r="D199" s="18" t="n">
        <v>45689</v>
      </c>
      <c r="E199" s="19" t="n">
        <v>0.458</v>
      </c>
      <c r="F199" s="19" t="n">
        <v>3.99</v>
      </c>
      <c r="G199" t="inlineStr">
        <is>
          <t>$458K</t>
        </is>
      </c>
      <c r="H199" t="inlineStr">
        <is>
          <t>Seed</t>
        </is>
      </c>
      <c r="I199" t="inlineStr">
        <is>
          <t>Early</t>
        </is>
      </c>
      <c r="J199" t="inlineStr">
        <is>
          <t>Fintech</t>
        </is>
      </c>
      <c r="K199" t="inlineStr">
        <is>
          <t>Unknown</t>
        </is>
      </c>
      <c r="L199" t="inlineStr">
        <is>
          <t>Artha Venture Fund</t>
        </is>
      </c>
      <c r="M199" t="inlineStr">
        <is>
          <t>Artha Venture Fund</t>
        </is>
      </c>
      <c r="N199" t="inlineStr">
        <is>
          <t>inc42</t>
        </is>
      </c>
      <c r="O199" s="20" t="n">
        <v>1</v>
      </c>
      <c r="P199" s="21" t="n">
        <v>0</v>
      </c>
      <c r="Q199" t="inlineStr">
        <is>
          <t>C07</t>
        </is>
      </c>
      <c r="R199" s="22" t="inlineStr">
        <is>
          <t>https://inc42.com/buzz/from-geniemode-to-quick-clean-indian-startups-raised-88-mn-this-week/</t>
        </is>
      </c>
    </row>
    <row r="200">
      <c r="A200" t="inlineStr">
        <is>
          <t>R250226-moccancercare</t>
        </is>
      </c>
      <c r="B200" t="inlineStr">
        <is>
          <t>MOC Cancer Care</t>
        </is>
      </c>
      <c r="C200" s="17" t="n">
        <v>45714</v>
      </c>
      <c r="D200" s="18" t="n">
        <v>45689</v>
      </c>
      <c r="E200" s="19" t="n">
        <v>18</v>
      </c>
      <c r="F200" s="19" t="n">
        <v>156.8</v>
      </c>
      <c r="G200" t="inlineStr">
        <is>
          <t>$18 million</t>
        </is>
      </c>
      <c r="H200" t="inlineStr">
        <is>
          <t>Series B</t>
        </is>
      </c>
      <c r="I200" t="inlineStr">
        <is>
          <t>Growth</t>
        </is>
      </c>
      <c r="J200" t="inlineStr">
        <is>
          <t>Unclassified</t>
        </is>
      </c>
      <c r="K200" t="inlineStr">
        <is>
          <t>Mumbai</t>
        </is>
      </c>
      <c r="L200" t="inlineStr">
        <is>
          <t>Elevation Capital</t>
        </is>
      </c>
      <c r="M200" t="inlineStr">
        <is>
          <t>Elevation Capital</t>
        </is>
      </c>
      <c r="N200" t="inlineStr">
        <is>
          <t>entrackr | et | vccircle</t>
        </is>
      </c>
      <c r="O200" s="20" t="n">
        <v>3</v>
      </c>
      <c r="P200" s="21" t="n">
        <v>0</v>
      </c>
      <c r="Q200" t="inlineStr">
        <is>
          <t>C06</t>
        </is>
      </c>
      <c r="R200" s="22" t="inlineStr">
        <is>
          <t>https://entrackr.com/news/moc-cancer-care-raises-18-mn-led-by-elevation-capital-8757518</t>
        </is>
      </c>
    </row>
    <row r="201">
      <c r="A201" t="inlineStr">
        <is>
          <t>R250226-quickclean</t>
        </is>
      </c>
      <c r="B201" t="inlineStr">
        <is>
          <t>Quick Clean</t>
        </is>
      </c>
      <c r="C201" s="17" t="n">
        <v>45714</v>
      </c>
      <c r="D201" s="18" t="n">
        <v>45689</v>
      </c>
      <c r="E201" s="19" t="n">
        <v>5.74</v>
      </c>
      <c r="F201" s="19" t="n">
        <v>50</v>
      </c>
      <c r="G201" t="inlineStr">
        <is>
          <t>Rs 50 crore</t>
        </is>
      </c>
      <c r="H201" t="inlineStr">
        <is>
          <t>Series A</t>
        </is>
      </c>
      <c r="I201" t="inlineStr">
        <is>
          <t>Early</t>
        </is>
      </c>
      <c r="J201" t="inlineStr">
        <is>
          <t>Consumer Services</t>
        </is>
      </c>
      <c r="K201" t="inlineStr">
        <is>
          <t>Delhi NCR</t>
        </is>
      </c>
      <c r="L201" t="inlineStr">
        <is>
          <t>Alkemi Growth Capital; Blue Ashva Capital</t>
        </is>
      </c>
      <c r="M201" t="inlineStr">
        <is>
          <t>Alkemi Growth Capital; Blue Ashva Capital; Venture Debt Cos</t>
        </is>
      </c>
      <c r="N201" t="inlineStr">
        <is>
          <t>entrackr | inc42</t>
        </is>
      </c>
      <c r="O201" s="20" t="n">
        <v>2</v>
      </c>
      <c r="P201" s="21" t="n">
        <v>4.5</v>
      </c>
      <c r="Q201" t="inlineStr"/>
      <c r="R201" s="22" t="inlineStr">
        <is>
          <t>https://entrackr.com/snippets/quick-clean-raises-rs-50-cr-in-series-a-round-8758289</t>
        </is>
      </c>
    </row>
    <row r="202">
      <c r="A202" t="inlineStr">
        <is>
          <t>R250226-tripletapgames</t>
        </is>
      </c>
      <c r="B202" t="inlineStr">
        <is>
          <t>Triple Tap Games</t>
        </is>
      </c>
      <c r="C202" s="17" t="n">
        <v>45714</v>
      </c>
      <c r="D202" s="18" t="n">
        <v>45689</v>
      </c>
      <c r="E202" s="19" t="n">
        <v>1.2</v>
      </c>
      <c r="F202" s="19" t="n">
        <v>10.45</v>
      </c>
      <c r="G202" t="inlineStr">
        <is>
          <t>$1.2 million</t>
        </is>
      </c>
      <c r="H202" t="inlineStr">
        <is>
          <t>Seed</t>
        </is>
      </c>
      <c r="I202" t="inlineStr">
        <is>
          <t>Early</t>
        </is>
      </c>
      <c r="J202" t="inlineStr">
        <is>
          <t>Media &amp; Entertainment</t>
        </is>
      </c>
      <c r="K202" t="inlineStr">
        <is>
          <t>Mumbai</t>
        </is>
      </c>
      <c r="L202" t="inlineStr">
        <is>
          <t>Eximius Ventures; Kalaari Capital</t>
        </is>
      </c>
      <c r="M202" t="inlineStr">
        <is>
          <t>Eximius Ventures; Kalaari Capital</t>
        </is>
      </c>
      <c r="N202" t="inlineStr">
        <is>
          <t>entrackr | inc42</t>
        </is>
      </c>
      <c r="O202" s="20" t="n">
        <v>2</v>
      </c>
      <c r="P202" s="21" t="n">
        <v>0</v>
      </c>
      <c r="Q202" t="inlineStr">
        <is>
          <t>C18</t>
        </is>
      </c>
      <c r="R202" s="22" t="inlineStr">
        <is>
          <t>https://entrackr.com/snippets/triple-tap-games-raises-12-mn-in-pre-seed-round-led-by-eximius-and-kalaari-8757670</t>
        </is>
      </c>
    </row>
    <row r="203">
      <c r="A203" t="inlineStr">
        <is>
          <t>R250226-vidyut</t>
        </is>
      </c>
      <c r="B203" t="inlineStr">
        <is>
          <t>Vidyut</t>
        </is>
      </c>
      <c r="C203" s="17" t="n">
        <v>45714</v>
      </c>
      <c r="D203" s="18" t="n">
        <v>45689</v>
      </c>
      <c r="E203" s="19" t="n">
        <v>2.5</v>
      </c>
      <c r="F203" s="19" t="n">
        <v>21.78</v>
      </c>
      <c r="G203" t="inlineStr">
        <is>
          <t>$2.5 million</t>
        </is>
      </c>
      <c r="H203" t="inlineStr">
        <is>
          <t>Undisclosed</t>
        </is>
      </c>
      <c r="I203" t="inlineStr">
        <is>
          <t>Undisclosed</t>
        </is>
      </c>
      <c r="J203" t="inlineStr">
        <is>
          <t>Cleantech</t>
        </is>
      </c>
      <c r="K203" t="inlineStr">
        <is>
          <t>Bengaluru</t>
        </is>
      </c>
      <c r="L203" t="inlineStr">
        <is>
          <t>Flourish Ventures</t>
        </is>
      </c>
      <c r="M203" t="inlineStr">
        <is>
          <t>Flourish Ventures</t>
        </is>
      </c>
      <c r="N203" t="inlineStr">
        <is>
          <t>entrackr | inc42 | et</t>
        </is>
      </c>
      <c r="O203" s="20" t="n">
        <v>3</v>
      </c>
      <c r="P203" s="21" t="n">
        <v>0</v>
      </c>
      <c r="Q203" t="inlineStr">
        <is>
          <t>C04</t>
        </is>
      </c>
      <c r="R203" s="22" t="inlineStr">
        <is>
          <t>https://entrackr.com/snippets/vidyut-raises-25-mn-to-expand-battery-as-a-service-financing-biz-8757423</t>
        </is>
      </c>
    </row>
    <row r="204">
      <c r="A204" t="inlineStr">
        <is>
          <t>R250227-astrogatelabs</t>
        </is>
      </c>
      <c r="B204" t="inlineStr">
        <is>
          <t>Astrogate Labs</t>
        </is>
      </c>
      <c r="C204" s="17" t="n">
        <v>45715</v>
      </c>
      <c r="D204" s="18" t="n">
        <v>45689</v>
      </c>
      <c r="E204" s="19" t="n">
        <v>1.3</v>
      </c>
      <c r="F204" s="19" t="n">
        <v>11.33</v>
      </c>
      <c r="G204" t="inlineStr">
        <is>
          <t>$1.3 million</t>
        </is>
      </c>
      <c r="H204" t="inlineStr">
        <is>
          <t>Undisclosed</t>
        </is>
      </c>
      <c r="I204" t="inlineStr">
        <is>
          <t>Undisclosed</t>
        </is>
      </c>
      <c r="J204" t="inlineStr">
        <is>
          <t>Deeptech</t>
        </is>
      </c>
      <c r="K204" t="inlineStr">
        <is>
          <t>Bengaluru</t>
        </is>
      </c>
      <c r="L204" t="inlineStr">
        <is>
          <t>Piper Serica Angel Fund</t>
        </is>
      </c>
      <c r="M204" t="inlineStr">
        <is>
          <t>Piper Serica Angel Fund</t>
        </is>
      </c>
      <c r="N204" t="inlineStr">
        <is>
          <t>entrackr | inc42 | et</t>
        </is>
      </c>
      <c r="O204" s="20" t="n">
        <v>3</v>
      </c>
      <c r="P204" s="21" t="n">
        <v>0</v>
      </c>
      <c r="Q204" t="inlineStr">
        <is>
          <t>C04</t>
        </is>
      </c>
      <c r="R204" s="22" t="inlineStr">
        <is>
          <t>https://entrackr.com/snippets/astrogate-labs-raises-13-mn-led-by-piper-serica-8760743</t>
        </is>
      </c>
    </row>
    <row r="205">
      <c r="A205" t="inlineStr">
        <is>
          <t>R250227-earthful</t>
        </is>
      </c>
      <c r="B205" t="inlineStr">
        <is>
          <t>Earthful</t>
        </is>
      </c>
      <c r="C205" s="17" t="n">
        <v>45715</v>
      </c>
      <c r="D205" s="18" t="n">
        <v>45689</v>
      </c>
      <c r="E205" s="19" t="n">
        <v>0.574</v>
      </c>
      <c r="F205" s="19" t="n">
        <v>5</v>
      </c>
      <c r="G205" t="inlineStr">
        <is>
          <t>Rs 5 crore</t>
        </is>
      </c>
      <c r="H205" t="inlineStr">
        <is>
          <t>Seed</t>
        </is>
      </c>
      <c r="I205" t="inlineStr">
        <is>
          <t>Early</t>
        </is>
      </c>
      <c r="J205" t="inlineStr">
        <is>
          <t>Ecommerce</t>
        </is>
      </c>
      <c r="K205" t="inlineStr">
        <is>
          <t>Hyderabad</t>
        </is>
      </c>
      <c r="L205" t="inlineStr">
        <is>
          <t>Srinivasan Namala</t>
        </is>
      </c>
      <c r="M205" t="inlineStr">
        <is>
          <t>Srinivasan Namala; Ritesh Agarwal</t>
        </is>
      </c>
      <c r="N205" t="inlineStr">
        <is>
          <t>entrackr | inc42</t>
        </is>
      </c>
      <c r="O205" s="20" t="n">
        <v>2</v>
      </c>
      <c r="P205" s="21" t="n">
        <v>0.3</v>
      </c>
      <c r="Q205" t="inlineStr"/>
      <c r="R205" s="22" t="inlineStr">
        <is>
          <t>https://entrackr.com/snippets/nutrition-brand-earthful-raises-seed-round-8761096</t>
        </is>
      </c>
    </row>
    <row r="206">
      <c r="A206" t="inlineStr">
        <is>
          <t>R250227-fantv</t>
        </is>
      </c>
      <c r="B206" t="inlineStr">
        <is>
          <t>FanTV</t>
        </is>
      </c>
      <c r="C206" s="17" t="n">
        <v>45715</v>
      </c>
      <c r="D206" s="18" t="n">
        <v>45689</v>
      </c>
      <c r="E206" s="19" t="n">
        <v>3</v>
      </c>
      <c r="F206" s="19" t="n">
        <v>26.15</v>
      </c>
      <c r="G206" t="inlineStr">
        <is>
          <t>$3 million</t>
        </is>
      </c>
      <c r="H206" t="inlineStr">
        <is>
          <t>Undisclosed</t>
        </is>
      </c>
      <c r="I206" t="inlineStr">
        <is>
          <t>Undisclosed</t>
        </is>
      </c>
      <c r="J206" t="inlineStr">
        <is>
          <t>Media &amp; Entertainment</t>
        </is>
      </c>
      <c r="K206" t="inlineStr">
        <is>
          <t>Unknown</t>
        </is>
      </c>
      <c r="L206" t="inlineStr">
        <is>
          <t>Mysten Labs</t>
        </is>
      </c>
      <c r="M206" t="inlineStr">
        <is>
          <t>Mysten Labs; Cypher Capital; CoinSwitch Ventures; Illuminati Capital</t>
        </is>
      </c>
      <c r="N206" t="inlineStr">
        <is>
          <t>entrackr | inc42</t>
        </is>
      </c>
      <c r="O206" s="20" t="n">
        <v>2</v>
      </c>
      <c r="P206" s="21" t="n">
        <v>0</v>
      </c>
      <c r="Q206" t="inlineStr">
        <is>
          <t>C04 C07</t>
        </is>
      </c>
      <c r="R206" s="22" t="inlineStr">
        <is>
          <t>https://entrackr.com/snippets/fantv-raises-3-mn-to-transform-ai-powered-content-creation-8761698</t>
        </is>
      </c>
    </row>
    <row r="207">
      <c r="A207" t="inlineStr">
        <is>
          <t>R250227-pickkup</t>
        </is>
      </c>
      <c r="B207" t="inlineStr">
        <is>
          <t>Pickkup</t>
        </is>
      </c>
      <c r="C207" s="17" t="n">
        <v>45715</v>
      </c>
      <c r="D207" s="18" t="n">
        <v>45689</v>
      </c>
      <c r="E207" s="19" t="n">
        <v>0.5</v>
      </c>
      <c r="F207" s="19" t="n">
        <v>4.36</v>
      </c>
      <c r="G207" t="inlineStr">
        <is>
          <t>$500K</t>
        </is>
      </c>
      <c r="H207" t="inlineStr">
        <is>
          <t>Seed</t>
        </is>
      </c>
      <c r="I207" t="inlineStr">
        <is>
          <t>Early</t>
        </is>
      </c>
      <c r="J207" t="inlineStr">
        <is>
          <t>Logistics</t>
        </is>
      </c>
      <c r="K207" t="inlineStr">
        <is>
          <t>Chandigarh</t>
        </is>
      </c>
      <c r="L207" t="inlineStr">
        <is>
          <t>Circle</t>
        </is>
      </c>
      <c r="M207" t="inlineStr">
        <is>
          <t>Circle</t>
        </is>
      </c>
      <c r="N207" t="inlineStr">
        <is>
          <t>entrackr | inc42</t>
        </is>
      </c>
      <c r="O207" s="20" t="n">
        <v>2</v>
      </c>
      <c r="P207" s="21" t="n">
        <v>0</v>
      </c>
      <c r="Q207" t="inlineStr"/>
      <c r="R207" s="22" t="inlineStr">
        <is>
          <t>https://entrackr.com/snippets/logistics-startup-pickkup-raises-500k-in-seed-round-led-by-we-founder-circle-8761206</t>
        </is>
      </c>
    </row>
    <row r="208">
      <c r="A208" t="inlineStr">
        <is>
          <t>R250227-ritualistic</t>
        </is>
      </c>
      <c r="B208" t="inlineStr">
        <is>
          <t>Ritualistic</t>
        </is>
      </c>
      <c r="C208" s="17" t="n">
        <v>45715</v>
      </c>
      <c r="D208" s="18" t="n">
        <v>45689</v>
      </c>
      <c r="E208" s="19" t="n">
        <v>1</v>
      </c>
      <c r="F208" s="19" t="n">
        <v>8.720000000000001</v>
      </c>
      <c r="G208" t="inlineStr">
        <is>
          <t>$1 million</t>
        </is>
      </c>
      <c r="H208" t="inlineStr">
        <is>
          <t>Undisclosed</t>
        </is>
      </c>
      <c r="I208" t="inlineStr">
        <is>
          <t>Undisclosed</t>
        </is>
      </c>
      <c r="J208" t="inlineStr">
        <is>
          <t>Ecommerce</t>
        </is>
      </c>
      <c r="K208" t="inlineStr">
        <is>
          <t>Delhi NCR</t>
        </is>
      </c>
      <c r="L208" t="inlineStr"/>
      <c r="M208" t="inlineStr">
        <is>
          <t>Deep Bajaj; Mohit Bajaj</t>
        </is>
      </c>
      <c r="N208" t="inlineStr">
        <is>
          <t>entrackr</t>
        </is>
      </c>
      <c r="O208" s="20" t="n">
        <v>1</v>
      </c>
      <c r="P208" s="21" t="n">
        <v>0</v>
      </c>
      <c r="Q208" t="inlineStr">
        <is>
          <t>C04</t>
        </is>
      </c>
      <c r="R208" s="22" t="inlineStr">
        <is>
          <t>https://entrackr.com/snippets/home-decor-brand-ritualistic-raises-1-mn-8761454</t>
        </is>
      </c>
    </row>
    <row r="209">
      <c r="A209" t="inlineStr">
        <is>
          <t>R250228-leadinvest</t>
        </is>
      </c>
      <c r="B209" t="inlineStr">
        <is>
          <t>Lead Invest</t>
        </is>
      </c>
      <c r="C209" s="17" t="n">
        <v>45716</v>
      </c>
      <c r="D209" s="18" t="n">
        <v>45689</v>
      </c>
      <c r="E209" s="19" t="n"/>
      <c r="F209" s="19" t="n"/>
      <c r="G209" t="inlineStr"/>
      <c r="H209" t="inlineStr">
        <is>
          <t>Angel</t>
        </is>
      </c>
      <c r="I209" t="inlineStr">
        <is>
          <t>Early</t>
        </is>
      </c>
      <c r="J209" t="inlineStr">
        <is>
          <t>Ecommerce</t>
        </is>
      </c>
      <c r="K209" t="inlineStr">
        <is>
          <t>Unknown</t>
        </is>
      </c>
      <c r="L209" t="inlineStr"/>
      <c r="M209" t="inlineStr"/>
      <c r="N209" t="inlineStr">
        <is>
          <t>entrackr</t>
        </is>
      </c>
      <c r="O209" s="20" t="n">
        <v>1</v>
      </c>
      <c r="P209" s="21" t="n"/>
      <c r="Q209" t="inlineStr">
        <is>
          <t>C03 C05 C07</t>
        </is>
      </c>
      <c r="R209" s="22" t="inlineStr">
        <is>
          <t>https://entrackr.com/snippets/lead-angels-rebrands-as-lead-invest-to-expand-beyond-angel-investing-8765287</t>
        </is>
      </c>
    </row>
    <row r="210">
      <c r="A210" t="inlineStr">
        <is>
          <t>R250228-sisirradar</t>
        </is>
      </c>
      <c r="B210" t="inlineStr">
        <is>
          <t>Sisir Radar</t>
        </is>
      </c>
      <c r="C210" s="17" t="n">
        <v>45716</v>
      </c>
      <c r="D210" s="18" t="n">
        <v>45689</v>
      </c>
      <c r="E210" s="19" t="n">
        <v>1.5</v>
      </c>
      <c r="F210" s="19" t="n">
        <v>13.11</v>
      </c>
      <c r="G210" t="inlineStr">
        <is>
          <t>$1.5 million</t>
        </is>
      </c>
      <c r="H210" t="inlineStr">
        <is>
          <t>Seed</t>
        </is>
      </c>
      <c r="I210" t="inlineStr">
        <is>
          <t>Early</t>
        </is>
      </c>
      <c r="J210" t="inlineStr">
        <is>
          <t>Deeptech</t>
        </is>
      </c>
      <c r="K210" t="inlineStr">
        <is>
          <t>Unknown</t>
        </is>
      </c>
      <c r="L210" t="inlineStr">
        <is>
          <t>Shastra VC</t>
        </is>
      </c>
      <c r="M210" t="inlineStr">
        <is>
          <t>Shastra VC; Riverwalk Holdings; INVSTT</t>
        </is>
      </c>
      <c r="N210" t="inlineStr">
        <is>
          <t>entrackr | inc42</t>
        </is>
      </c>
      <c r="O210" s="20" t="n">
        <v>2</v>
      </c>
      <c r="P210" s="21" t="n">
        <v>0</v>
      </c>
      <c r="Q210" t="inlineStr">
        <is>
          <t>C07</t>
        </is>
      </c>
      <c r="R210" s="22" t="inlineStr">
        <is>
          <t>https://entrackr.com/snippets/spacetech-startup-sisir-radar-raises-15-mn-in-seed-round-8764118</t>
        </is>
      </c>
    </row>
    <row r="211">
      <c r="A211" t="inlineStr">
        <is>
          <t>R250303-arvahealth</t>
        </is>
      </c>
      <c r="B211" t="inlineStr">
        <is>
          <t>Arva Health</t>
        </is>
      </c>
      <c r="C211" s="17" t="n">
        <v>45719</v>
      </c>
      <c r="D211" s="18" t="n">
        <v>45717</v>
      </c>
      <c r="E211" s="19" t="n">
        <v>1</v>
      </c>
      <c r="F211" s="19" t="n">
        <v>8.73</v>
      </c>
      <c r="G211" t="inlineStr">
        <is>
          <t>$1 million</t>
        </is>
      </c>
      <c r="H211" t="inlineStr">
        <is>
          <t>Pre-Seed</t>
        </is>
      </c>
      <c r="I211" t="inlineStr">
        <is>
          <t>Early</t>
        </is>
      </c>
      <c r="J211" t="inlineStr">
        <is>
          <t>Healthtech</t>
        </is>
      </c>
      <c r="K211" t="inlineStr">
        <is>
          <t>Unknown</t>
        </is>
      </c>
      <c r="L211" t="inlineStr">
        <is>
          <t>All In Capital</t>
        </is>
      </c>
      <c r="M211" t="inlineStr">
        <is>
          <t>All In Capital; iSeed; Bharath Founders Fund; Galaxy</t>
        </is>
      </c>
      <c r="N211" t="inlineStr">
        <is>
          <t>entrackr | inc42 | et</t>
        </is>
      </c>
      <c r="O211" s="20" t="n">
        <v>3</v>
      </c>
      <c r="P211" s="21" t="n">
        <v>0</v>
      </c>
      <c r="Q211" t="inlineStr">
        <is>
          <t>C07</t>
        </is>
      </c>
      <c r="R211" s="22" t="inlineStr">
        <is>
          <t>https://entrackr.com/snippets/arva-health-raises-1-mn-in-pre-seed-led-by-all-in-capital-8773513</t>
        </is>
      </c>
    </row>
    <row r="212">
      <c r="A212" t="inlineStr">
        <is>
          <t>R250303-credresolve</t>
        </is>
      </c>
      <c r="B212" t="inlineStr">
        <is>
          <t>CredResolve</t>
        </is>
      </c>
      <c r="C212" s="17" t="n">
        <v>45719</v>
      </c>
      <c r="D212" s="18" t="n">
        <v>45717</v>
      </c>
      <c r="E212" s="19" t="n">
        <v>1.1</v>
      </c>
      <c r="F212" s="19" t="n">
        <v>9.6</v>
      </c>
      <c r="G212" t="inlineStr">
        <is>
          <t>$1.1 million</t>
        </is>
      </c>
      <c r="H212" t="inlineStr">
        <is>
          <t>Seed</t>
        </is>
      </c>
      <c r="I212" t="inlineStr">
        <is>
          <t>Early</t>
        </is>
      </c>
      <c r="J212" t="inlineStr">
        <is>
          <t>Fintech</t>
        </is>
      </c>
      <c r="K212" t="inlineStr">
        <is>
          <t>Delhi NCR</t>
        </is>
      </c>
      <c r="L212" t="inlineStr">
        <is>
          <t>UNLEASH Capital Partners</t>
        </is>
      </c>
      <c r="M212" t="inlineStr">
        <is>
          <t>UNLEASH Capital Partners; CDM Capital</t>
        </is>
      </c>
      <c r="N212" t="inlineStr">
        <is>
          <t>entrackr | inc42</t>
        </is>
      </c>
      <c r="O212" s="20" t="n">
        <v>2</v>
      </c>
      <c r="P212" s="21" t="n">
        <v>0</v>
      </c>
      <c r="Q212" t="inlineStr"/>
      <c r="R212" s="22" t="inlineStr">
        <is>
          <t>https://entrackr.com/snippets/credresolve-raises-11-mn-in-seed-round-8773410</t>
        </is>
      </c>
    </row>
    <row r="213">
      <c r="A213" t="inlineStr">
        <is>
          <t>R250304-beautywise</t>
        </is>
      </c>
      <c r="B213" t="inlineStr">
        <is>
          <t>Beautywise</t>
        </is>
      </c>
      <c r="C213" s="17" t="n">
        <v>45720</v>
      </c>
      <c r="D213" s="18" t="n">
        <v>45717</v>
      </c>
      <c r="E213" s="19" t="n">
        <v>0.345</v>
      </c>
      <c r="F213" s="19" t="n">
        <v>3.01</v>
      </c>
      <c r="G213" t="inlineStr">
        <is>
          <t>$345K</t>
        </is>
      </c>
      <c r="H213" t="inlineStr">
        <is>
          <t>Undisclosed</t>
        </is>
      </c>
      <c r="I213" t="inlineStr">
        <is>
          <t>Undisclosed</t>
        </is>
      </c>
      <c r="J213" t="inlineStr">
        <is>
          <t>Ecommerce</t>
        </is>
      </c>
      <c r="K213" t="inlineStr">
        <is>
          <t>Unknown</t>
        </is>
      </c>
      <c r="L213" t="inlineStr"/>
      <c r="M213" t="inlineStr">
        <is>
          <t>Aman Gupta; Kunal Bahl; Ritesh Agarwal</t>
        </is>
      </c>
      <c r="N213" t="inlineStr">
        <is>
          <t>inc42 | et</t>
        </is>
      </c>
      <c r="O213" s="20" t="n">
        <v>2</v>
      </c>
      <c r="P213" s="21" t="n">
        <v>0.2</v>
      </c>
      <c r="Q213" t="inlineStr">
        <is>
          <t>C04 C07</t>
        </is>
      </c>
      <c r="R213" s="22" t="inlineStr">
        <is>
          <t>https://economictimes.indiatimes.com/tech/funding/beautywise-raises-rs-3-crore-from-boats-cofounder/articleshow/118710096.cms</t>
        </is>
      </c>
    </row>
    <row r="214">
      <c r="A214" t="inlineStr">
        <is>
          <t>R250304-bullagritech</t>
        </is>
      </c>
      <c r="B214" t="inlineStr">
        <is>
          <t>Bull Agritech</t>
        </is>
      </c>
      <c r="C214" s="17" t="n">
        <v>45720</v>
      </c>
      <c r="D214" s="18" t="n">
        <v>45717</v>
      </c>
      <c r="E214" s="19" t="n"/>
      <c r="F214" s="19" t="n"/>
      <c r="G214" t="inlineStr"/>
      <c r="H214" t="inlineStr">
        <is>
          <t>Undisclosed</t>
        </is>
      </c>
      <c r="I214" t="inlineStr">
        <is>
          <t>Undisclosed</t>
        </is>
      </c>
      <c r="J214" t="inlineStr">
        <is>
          <t>Agritech</t>
        </is>
      </c>
      <c r="K214" t="inlineStr">
        <is>
          <t>Unknown</t>
        </is>
      </c>
      <c r="L214" t="inlineStr">
        <is>
          <t>iCreate</t>
        </is>
      </c>
      <c r="M214" t="inlineStr">
        <is>
          <t>iCreate</t>
        </is>
      </c>
      <c r="N214" t="inlineStr">
        <is>
          <t>inc42</t>
        </is>
      </c>
      <c r="O214" s="20" t="n">
        <v>1</v>
      </c>
      <c r="P214" s="21" t="n"/>
      <c r="Q214" t="inlineStr">
        <is>
          <t>C03 C04 C07</t>
        </is>
      </c>
      <c r="R214" s="22" t="inlineStr">
        <is>
          <t>https://inc42.com/buzz/from-darwinbox-to-insurancedekho-indian-startups-raised-386-mn-this-week/</t>
        </is>
      </c>
    </row>
    <row r="215">
      <c r="A215" t="inlineStr">
        <is>
          <t>R250304-deciml</t>
        </is>
      </c>
      <c r="B215" t="inlineStr">
        <is>
          <t>Deciml</t>
        </is>
      </c>
      <c r="C215" s="17" t="n">
        <v>45720</v>
      </c>
      <c r="D215" s="18" t="n">
        <v>45717</v>
      </c>
      <c r="E215" s="19" t="n">
        <v>3</v>
      </c>
      <c r="F215" s="19" t="n">
        <v>26.14</v>
      </c>
      <c r="G215" t="inlineStr">
        <is>
          <t>$3 Mn</t>
        </is>
      </c>
      <c r="H215" t="inlineStr">
        <is>
          <t>Seed</t>
        </is>
      </c>
      <c r="I215" t="inlineStr">
        <is>
          <t>Early</t>
        </is>
      </c>
      <c r="J215" t="inlineStr">
        <is>
          <t>Enterprise Tech</t>
        </is>
      </c>
      <c r="K215" t="inlineStr">
        <is>
          <t>Unknown</t>
        </is>
      </c>
      <c r="L215" t="inlineStr">
        <is>
          <t>Jainam Broking Limited</t>
        </is>
      </c>
      <c r="M215" t="inlineStr">
        <is>
          <t>Jainam Broking Limited</t>
        </is>
      </c>
      <c r="N215" t="inlineStr">
        <is>
          <t>inc42</t>
        </is>
      </c>
      <c r="O215" s="20" t="n">
        <v>1</v>
      </c>
      <c r="P215" s="21" t="n">
        <v>0</v>
      </c>
      <c r="Q215" t="inlineStr">
        <is>
          <t>C07</t>
        </is>
      </c>
      <c r="R215" s="22" t="inlineStr">
        <is>
          <t>https://inc42.com/buzz/from-darwinbox-to-insurancedekho-indian-startups-raised-386-mn-this-week/</t>
        </is>
      </c>
    </row>
    <row r="216">
      <c r="A216" t="inlineStr">
        <is>
          <t>R250304-dotme</t>
        </is>
      </c>
      <c r="B216" t="inlineStr">
        <is>
          <t>DotMe</t>
        </is>
      </c>
      <c r="C216" s="17" t="n">
        <v>45720</v>
      </c>
      <c r="D216" s="18" t="n">
        <v>45717</v>
      </c>
      <c r="E216" s="19" t="n">
        <v>0.15</v>
      </c>
      <c r="F216" s="19" t="n">
        <v>1.31</v>
      </c>
      <c r="G216" t="inlineStr">
        <is>
          <t>$150,000</t>
        </is>
      </c>
      <c r="H216" t="inlineStr">
        <is>
          <t>Undisclosed</t>
        </is>
      </c>
      <c r="I216" t="inlineStr">
        <is>
          <t>Undisclosed</t>
        </is>
      </c>
      <c r="J216" t="inlineStr">
        <is>
          <t>Consumer Services</t>
        </is>
      </c>
      <c r="K216" t="inlineStr">
        <is>
          <t>Unknown</t>
        </is>
      </c>
      <c r="L216" t="inlineStr">
        <is>
          <t>Mirza L. Baig; Cocktails</t>
        </is>
      </c>
      <c r="M216" t="inlineStr">
        <is>
          <t>Mirza L. Baig; Cocktails</t>
        </is>
      </c>
      <c r="N216" t="inlineStr">
        <is>
          <t>entrackr | inc42</t>
        </is>
      </c>
      <c r="O216" s="20" t="n">
        <v>2</v>
      </c>
      <c r="P216" s="21" t="n">
        <v>0</v>
      </c>
      <c r="Q216" t="inlineStr">
        <is>
          <t>C04 C07</t>
        </is>
      </c>
      <c r="R216" s="22" t="inlineStr">
        <is>
          <t>https://entrackr.com/snippets/dotme-bags-150k-from-jimmys-cocktails-mirza-l-baig-8776269</t>
        </is>
      </c>
    </row>
    <row r="217">
      <c r="A217" t="inlineStr">
        <is>
          <t>R250304-fluxgen</t>
        </is>
      </c>
      <c r="B217" t="inlineStr">
        <is>
          <t>FluxGen</t>
        </is>
      </c>
      <c r="C217" s="17" t="n">
        <v>45720</v>
      </c>
      <c r="D217" s="18" t="n">
        <v>45717</v>
      </c>
      <c r="E217" s="19" t="n">
        <v>3.213</v>
      </c>
      <c r="F217" s="19" t="n">
        <v>28</v>
      </c>
      <c r="G217" t="inlineStr">
        <is>
          <t>Rs 28 crore</t>
        </is>
      </c>
      <c r="H217" t="inlineStr">
        <is>
          <t>Pre-Series A</t>
        </is>
      </c>
      <c r="I217" t="inlineStr">
        <is>
          <t>Early</t>
        </is>
      </c>
      <c r="J217" t="inlineStr">
        <is>
          <t>Cleantech</t>
        </is>
      </c>
      <c r="K217" t="inlineStr">
        <is>
          <t>Bengaluru</t>
        </is>
      </c>
      <c r="L217" t="inlineStr">
        <is>
          <t>IAN Alpha Fund</t>
        </is>
      </c>
      <c r="M217" t="inlineStr">
        <is>
          <t>IAN Alpha Fund; Rainmatter; Gameskraft Technologies; Intersection Ventures; Force Ventures; Axilor Ventures; Arali Ventures</t>
        </is>
      </c>
      <c r="N217" t="inlineStr">
        <is>
          <t>entrackr | inc42</t>
        </is>
      </c>
      <c r="O217" s="20" t="n">
        <v>2</v>
      </c>
      <c r="P217" s="21" t="n">
        <v>5.8</v>
      </c>
      <c r="Q217" t="inlineStr"/>
      <c r="R217" s="22" t="inlineStr">
        <is>
          <t>https://entrackr.com/snippets/climate-tech-startup-fluxgen-raises-rs-28-cr-in-pre-series-a-8777160</t>
        </is>
      </c>
    </row>
    <row r="218">
      <c r="A218" t="inlineStr">
        <is>
          <t>R250304-fuzenio</t>
        </is>
      </c>
      <c r="B218" t="inlineStr">
        <is>
          <t>Fuzen.io</t>
        </is>
      </c>
      <c r="C218" s="17" t="n">
        <v>45720</v>
      </c>
      <c r="D218" s="18" t="n">
        <v>45717</v>
      </c>
      <c r="E218" s="19" t="n">
        <v>0.1</v>
      </c>
      <c r="F218" s="19" t="n">
        <v>0.87</v>
      </c>
      <c r="G218" t="inlineStr">
        <is>
          <t>$100K</t>
        </is>
      </c>
      <c r="H218" t="inlineStr">
        <is>
          <t>Pre-Seed</t>
        </is>
      </c>
      <c r="I218" t="inlineStr">
        <is>
          <t>Early</t>
        </is>
      </c>
      <c r="J218" t="inlineStr">
        <is>
          <t>Enterprise Tech</t>
        </is>
      </c>
      <c r="K218" t="inlineStr">
        <is>
          <t>Unknown</t>
        </is>
      </c>
      <c r="L218" t="inlineStr"/>
      <c r="M218" t="inlineStr"/>
      <c r="N218" t="inlineStr">
        <is>
          <t>inc42</t>
        </is>
      </c>
      <c r="O218" s="20" t="n">
        <v>1</v>
      </c>
      <c r="P218" s="21" t="n">
        <v>0</v>
      </c>
      <c r="Q218" t="inlineStr">
        <is>
          <t>C05 C07</t>
        </is>
      </c>
      <c r="R218" s="22" t="inlineStr">
        <is>
          <t>https://inc42.com/buzz/from-darwinbox-to-insurancedekho-indian-startups-raised-386-mn-this-week/</t>
        </is>
      </c>
    </row>
    <row r="219">
      <c r="A219" t="inlineStr">
        <is>
          <t>R250304-insurancedekho</t>
        </is>
      </c>
      <c r="B219" t="inlineStr">
        <is>
          <t>InsuranceDekho</t>
        </is>
      </c>
      <c r="C219" s="17" t="n">
        <v>45720</v>
      </c>
      <c r="D219" s="18" t="n">
        <v>45717</v>
      </c>
      <c r="E219" s="19" t="n">
        <v>70</v>
      </c>
      <c r="F219" s="19" t="n">
        <v>609.98</v>
      </c>
      <c r="G219" t="inlineStr">
        <is>
          <t>$70 million</t>
        </is>
      </c>
      <c r="H219" t="inlineStr">
        <is>
          <t>Undisclosed</t>
        </is>
      </c>
      <c r="I219" t="inlineStr">
        <is>
          <t>Undisclosed</t>
        </is>
      </c>
      <c r="J219" t="inlineStr">
        <is>
          <t>Fintech</t>
        </is>
      </c>
      <c r="K219" t="inlineStr">
        <is>
          <t>Delhi NCR</t>
        </is>
      </c>
      <c r="L219" t="inlineStr">
        <is>
          <t>Beams Fintech Fund; Mitsubishi UFJ Financial Group; BNP Paribas Cardif</t>
        </is>
      </c>
      <c r="M219" t="inlineStr">
        <is>
          <t>Beams Fintech Fund; Mitsubishi UFJ Financial Group; BNP Paribas Cardif</t>
        </is>
      </c>
      <c r="N219" t="inlineStr">
        <is>
          <t>entrackr | inc42 | et | vccircle</t>
        </is>
      </c>
      <c r="O219" s="20" t="n">
        <v>4</v>
      </c>
      <c r="P219" s="21" t="n">
        <v>0</v>
      </c>
      <c r="Q219" t="inlineStr">
        <is>
          <t>C04</t>
        </is>
      </c>
      <c r="R219" s="22" t="inlineStr">
        <is>
          <t>https://entrackr.com/news/beams-fintech-fund-leads-70-mn-round-in-insurancedekho-8776738</t>
        </is>
      </c>
    </row>
    <row r="220">
      <c r="A220" t="inlineStr">
        <is>
          <t>R250304-naptapgo</t>
        </is>
      </c>
      <c r="B220" t="inlineStr">
        <is>
          <t>NapTapGo</t>
        </is>
      </c>
      <c r="C220" s="17" t="n">
        <v>45720</v>
      </c>
      <c r="D220" s="18" t="n">
        <v>45717</v>
      </c>
      <c r="E220" s="19" t="n">
        <v>0.5</v>
      </c>
      <c r="F220" s="19" t="n">
        <v>4.36</v>
      </c>
      <c r="G220" t="inlineStr">
        <is>
          <t>$500K</t>
        </is>
      </c>
      <c r="H220" t="inlineStr">
        <is>
          <t>Pre-Seed</t>
        </is>
      </c>
      <c r="I220" t="inlineStr">
        <is>
          <t>Early</t>
        </is>
      </c>
      <c r="J220" t="inlineStr">
        <is>
          <t>Travel Tech</t>
        </is>
      </c>
      <c r="K220" t="inlineStr">
        <is>
          <t>Unknown</t>
        </is>
      </c>
      <c r="L220" t="inlineStr"/>
      <c r="M220" t="inlineStr">
        <is>
          <t>T9L Qube</t>
        </is>
      </c>
      <c r="N220" t="inlineStr">
        <is>
          <t>inc42</t>
        </is>
      </c>
      <c r="O220" s="20" t="n">
        <v>1</v>
      </c>
      <c r="P220" s="21" t="n">
        <v>0</v>
      </c>
      <c r="Q220" t="inlineStr">
        <is>
          <t>C07</t>
        </is>
      </c>
      <c r="R220" s="22" t="inlineStr">
        <is>
          <t>https://inc42.com/buzz/from-darwinbox-to-insurancedekho-indian-startups-raised-386-mn-this-week/</t>
        </is>
      </c>
    </row>
    <row r="221">
      <c r="A221" t="inlineStr">
        <is>
          <t>R250304-nuuk</t>
        </is>
      </c>
      <c r="B221" t="inlineStr">
        <is>
          <t>Nuuk</t>
        </is>
      </c>
      <c r="C221" s="17" t="n">
        <v>45720</v>
      </c>
      <c r="D221" s="18" t="n">
        <v>45717</v>
      </c>
      <c r="E221" s="19" t="n">
        <v>5</v>
      </c>
      <c r="F221" s="19" t="n">
        <v>43.57</v>
      </c>
      <c r="G221" t="inlineStr">
        <is>
          <t>$5 million</t>
        </is>
      </c>
      <c r="H221" t="inlineStr">
        <is>
          <t>Series A</t>
        </is>
      </c>
      <c r="I221" t="inlineStr">
        <is>
          <t>Early</t>
        </is>
      </c>
      <c r="J221" t="inlineStr">
        <is>
          <t>Ecommerce</t>
        </is>
      </c>
      <c r="K221" t="inlineStr">
        <is>
          <t>Unknown</t>
        </is>
      </c>
      <c r="L221" t="inlineStr">
        <is>
          <t>Vertex Ventures</t>
        </is>
      </c>
      <c r="M221" t="inlineStr">
        <is>
          <t>Vertex Ventures; Good Capital; Rohit Kapoor</t>
        </is>
      </c>
      <c r="N221" t="inlineStr">
        <is>
          <t>entrackr | inc42</t>
        </is>
      </c>
      <c r="O221" s="20" t="n">
        <v>2</v>
      </c>
      <c r="P221" s="21" t="n">
        <v>8.699999999999999</v>
      </c>
      <c r="Q221" t="inlineStr">
        <is>
          <t>C07</t>
        </is>
      </c>
      <c r="R221" s="22" t="inlineStr">
        <is>
          <t>https://inc42.com/buzz/from-darwinbox-to-insurancedekho-indian-startups-raised-386-mn-this-week/</t>
        </is>
      </c>
    </row>
    <row r="222">
      <c r="A222" t="inlineStr">
        <is>
          <t>R250304-rezolv</t>
        </is>
      </c>
      <c r="B222" t="inlineStr">
        <is>
          <t>Rezolv</t>
        </is>
      </c>
      <c r="C222" s="17" t="n">
        <v>45720</v>
      </c>
      <c r="D222" s="18" t="n">
        <v>45717</v>
      </c>
      <c r="E222" s="19" t="n">
        <v>3.5</v>
      </c>
      <c r="F222" s="19" t="n">
        <v>30.5</v>
      </c>
      <c r="G222" t="inlineStr">
        <is>
          <t>$3.5 million</t>
        </is>
      </c>
      <c r="H222" t="inlineStr">
        <is>
          <t>Seed</t>
        </is>
      </c>
      <c r="I222" t="inlineStr">
        <is>
          <t>Early</t>
        </is>
      </c>
      <c r="J222" t="inlineStr">
        <is>
          <t>Fintech</t>
        </is>
      </c>
      <c r="K222" t="inlineStr">
        <is>
          <t>Mumbai</t>
        </is>
      </c>
      <c r="L222" t="inlineStr">
        <is>
          <t>3one4 Capital</t>
        </is>
      </c>
      <c r="M222" t="inlineStr">
        <is>
          <t>3one4 Capital</t>
        </is>
      </c>
      <c r="N222" t="inlineStr">
        <is>
          <t>entrackr | inc42</t>
        </is>
      </c>
      <c r="O222" s="20" t="n">
        <v>2</v>
      </c>
      <c r="P222" s="21" t="n">
        <v>0</v>
      </c>
      <c r="Q222" t="inlineStr"/>
      <c r="R222" s="22" t="inlineStr">
        <is>
          <t>https://entrackr.com/snippets/kissht-co-founders-startup-rezolv-raises-35-mn-in-seed-round-8777381</t>
        </is>
      </c>
    </row>
    <row r="223">
      <c r="A223" t="inlineStr">
        <is>
          <t>R250304-sila</t>
        </is>
      </c>
      <c r="B223" t="inlineStr">
        <is>
          <t>SILA</t>
        </is>
      </c>
      <c r="C223" s="17" t="n">
        <v>45720</v>
      </c>
      <c r="D223" s="18" t="n">
        <v>45717</v>
      </c>
      <c r="E223" s="19" t="n"/>
      <c r="F223" s="19" t="n"/>
      <c r="G223" t="inlineStr"/>
      <c r="H223" t="inlineStr">
        <is>
          <t>Undisclosed</t>
        </is>
      </c>
      <c r="I223" t="inlineStr">
        <is>
          <t>Undisclosed</t>
        </is>
      </c>
      <c r="J223" t="inlineStr">
        <is>
          <t>Real Estate Tech</t>
        </is>
      </c>
      <c r="K223" t="inlineStr">
        <is>
          <t>Unknown</t>
        </is>
      </c>
      <c r="L223" t="inlineStr"/>
      <c r="M223" t="inlineStr"/>
      <c r="N223" t="inlineStr">
        <is>
          <t>entrackr</t>
        </is>
      </c>
      <c r="O223" s="20" t="n">
        <v>1</v>
      </c>
      <c r="P223" s="21" t="n"/>
      <c r="Q223" t="inlineStr">
        <is>
          <t>C03 C04 C05 C07</t>
        </is>
      </c>
      <c r="R223" s="22" t="inlineStr">
        <is>
          <t>https://entrackr.com/snippets/ms-dhoni-family-office-invests-in-real-estate-platform-sila-8777883</t>
        </is>
      </c>
    </row>
    <row r="224">
      <c r="A224" t="inlineStr">
        <is>
          <t>R250304-takeme2space</t>
        </is>
      </c>
      <c r="B224" t="inlineStr">
        <is>
          <t>TakeMe2Space</t>
        </is>
      </c>
      <c r="C224" s="17" t="n">
        <v>45720</v>
      </c>
      <c r="D224" s="18" t="n">
        <v>45717</v>
      </c>
      <c r="E224" s="19" t="n">
        <v>0.633</v>
      </c>
      <c r="F224" s="19" t="n">
        <v>5.52</v>
      </c>
      <c r="G224" t="inlineStr">
        <is>
          <t>$633K</t>
        </is>
      </c>
      <c r="H224" t="inlineStr">
        <is>
          <t>Pre-Seed</t>
        </is>
      </c>
      <c r="I224" t="inlineStr">
        <is>
          <t>Early</t>
        </is>
      </c>
      <c r="J224" t="inlineStr">
        <is>
          <t>Deeptech</t>
        </is>
      </c>
      <c r="K224" t="inlineStr">
        <is>
          <t>Hyderabad</t>
        </is>
      </c>
      <c r="L224" t="inlineStr">
        <is>
          <t>Seafund</t>
        </is>
      </c>
      <c r="M224" t="inlineStr">
        <is>
          <t>Seafund; Artha Venture Fund; AC Ventures; Blume Ventures</t>
        </is>
      </c>
      <c r="N224" t="inlineStr">
        <is>
          <t>inc42 | et</t>
        </is>
      </c>
      <c r="O224" s="20" t="n">
        <v>2</v>
      </c>
      <c r="P224" s="21" t="n">
        <v>0.3</v>
      </c>
      <c r="Q224" t="inlineStr"/>
      <c r="R224" s="22" t="inlineStr">
        <is>
          <t>https://economictimes.indiatimes.com/tech/funding/takeme2space-raises-rs-5-5-crore/articleshow/118710967.cms</t>
        </is>
      </c>
    </row>
    <row r="225">
      <c r="A225" t="inlineStr">
        <is>
          <t>R250304-uptimeai</t>
        </is>
      </c>
      <c r="B225" t="inlineStr">
        <is>
          <t>UptimeAI</t>
        </is>
      </c>
      <c r="C225" s="17" t="n">
        <v>45720</v>
      </c>
      <c r="D225" s="18" t="n">
        <v>45717</v>
      </c>
      <c r="E225" s="19" t="n"/>
      <c r="F225" s="19" t="n"/>
      <c r="G225" t="inlineStr"/>
      <c r="H225" t="inlineStr">
        <is>
          <t>Undisclosed</t>
        </is>
      </c>
      <c r="I225" t="inlineStr">
        <is>
          <t>Undisclosed</t>
        </is>
      </c>
      <c r="J225" t="inlineStr">
        <is>
          <t>Enterprise Tech</t>
        </is>
      </c>
      <c r="K225" t="inlineStr">
        <is>
          <t>Unknown</t>
        </is>
      </c>
      <c r="L225" t="inlineStr">
        <is>
          <t>ABB Motion</t>
        </is>
      </c>
      <c r="M225" t="inlineStr">
        <is>
          <t>ABB Motion</t>
        </is>
      </c>
      <c r="N225" t="inlineStr">
        <is>
          <t>inc42</t>
        </is>
      </c>
      <c r="O225" s="20" t="n">
        <v>1</v>
      </c>
      <c r="P225" s="21" t="n"/>
      <c r="Q225" t="inlineStr">
        <is>
          <t>C03 C04 C07</t>
        </is>
      </c>
      <c r="R225" s="22" t="inlineStr">
        <is>
          <t>https://inc42.com/buzz/from-darwinbox-to-insurancedekho-indian-startups-raised-386-mn-this-week/</t>
        </is>
      </c>
    </row>
    <row r="226">
      <c r="A226" t="inlineStr">
        <is>
          <t>R250305-beacon</t>
        </is>
      </c>
      <c r="B226" t="inlineStr">
        <is>
          <t>Beacon.li</t>
        </is>
      </c>
      <c r="C226" s="17" t="n">
        <v>45721</v>
      </c>
      <c r="D226" s="18" t="n">
        <v>45717</v>
      </c>
      <c r="E226" s="19" t="n">
        <v>7</v>
      </c>
      <c r="F226" s="19" t="n">
        <v>60.94</v>
      </c>
      <c r="G226" t="inlineStr">
        <is>
          <t>$7 million</t>
        </is>
      </c>
      <c r="H226" t="inlineStr">
        <is>
          <t>Series A</t>
        </is>
      </c>
      <c r="I226" t="inlineStr">
        <is>
          <t>Early</t>
        </is>
      </c>
      <c r="J226" t="inlineStr">
        <is>
          <t>Enterprise Tech</t>
        </is>
      </c>
      <c r="K226" t="inlineStr">
        <is>
          <t>Unknown</t>
        </is>
      </c>
      <c r="L226" t="inlineStr">
        <is>
          <t>Sorin Investments</t>
        </is>
      </c>
      <c r="M226" t="inlineStr">
        <is>
          <t>Sorin Investments; Sanjay Nayar; Athera Venture Partners; JAFCO Asia; Unicorn India Ventures; Aneesh Reddy; Aravind Sanka; Kapil Bharti</t>
        </is>
      </c>
      <c r="N226" t="inlineStr">
        <is>
          <t>entrackr | inc42 | et</t>
        </is>
      </c>
      <c r="O226" s="20" t="n">
        <v>3</v>
      </c>
      <c r="P226" s="21" t="n">
        <v>0</v>
      </c>
      <c r="Q226" t="inlineStr">
        <is>
          <t>C07</t>
        </is>
      </c>
      <c r="R226" s="22" t="inlineStr">
        <is>
          <t>https://economictimes.indiatimes.com/tech/funding/enterprise-solutions-startup-beacon-raises-7-million-in-round-led-by-sorin-investments/articleshow/118736889.cms</t>
        </is>
      </c>
    </row>
    <row r="227">
      <c r="A227" t="inlineStr">
        <is>
          <t>R250305-darwinbox</t>
        </is>
      </c>
      <c r="B227" t="inlineStr">
        <is>
          <t>Darwinbox</t>
        </is>
      </c>
      <c r="C227" s="17" t="n">
        <v>45721</v>
      </c>
      <c r="D227" s="18" t="n">
        <v>45717</v>
      </c>
      <c r="E227" s="19" t="n">
        <v>140</v>
      </c>
      <c r="F227" s="19" t="n">
        <v>1218.7</v>
      </c>
      <c r="G227" t="inlineStr">
        <is>
          <t>$140 million</t>
        </is>
      </c>
      <c r="H227" t="inlineStr">
        <is>
          <t>Undisclosed</t>
        </is>
      </c>
      <c r="I227" t="inlineStr">
        <is>
          <t>Undisclosed</t>
        </is>
      </c>
      <c r="J227" t="inlineStr">
        <is>
          <t>Enterprise Tech</t>
        </is>
      </c>
      <c r="K227" t="inlineStr">
        <is>
          <t>Hyderabad</t>
        </is>
      </c>
      <c r="L227" t="inlineStr">
        <is>
          <t>KKR</t>
        </is>
      </c>
      <c r="M227" t="inlineStr">
        <is>
          <t>KKR; Gravity Holdings</t>
        </is>
      </c>
      <c r="N227" t="inlineStr">
        <is>
          <t>entrackr | inc42 | et</t>
        </is>
      </c>
      <c r="O227" s="20" t="n">
        <v>3</v>
      </c>
      <c r="P227" s="21" t="n">
        <v>0</v>
      </c>
      <c r="Q227" t="inlineStr">
        <is>
          <t>C04</t>
        </is>
      </c>
      <c r="R227" s="22" t="inlineStr">
        <is>
          <t>https://entrackr.com/news/darwinbox-raises-140-mn-co-led-by-partners-group-and-kkr-8795904</t>
        </is>
      </c>
    </row>
    <row r="228">
      <c r="A228" t="inlineStr">
        <is>
          <t>R250305-leapfinance</t>
        </is>
      </c>
      <c r="B228" t="inlineStr">
        <is>
          <t>Leap Finance</t>
        </is>
      </c>
      <c r="C228" s="17" t="n">
        <v>45721</v>
      </c>
      <c r="D228" s="18" t="n">
        <v>45717</v>
      </c>
      <c r="E228" s="19" t="n">
        <v>100</v>
      </c>
      <c r="F228" s="19" t="n">
        <v>870.5</v>
      </c>
      <c r="G228" t="inlineStr">
        <is>
          <t>$100 million</t>
        </is>
      </c>
      <c r="H228" t="inlineStr">
        <is>
          <t>Debt</t>
        </is>
      </c>
      <c r="I228" t="inlineStr">
        <is>
          <t>Debt</t>
        </is>
      </c>
      <c r="J228" t="inlineStr">
        <is>
          <t>Fintech</t>
        </is>
      </c>
      <c r="K228" t="inlineStr">
        <is>
          <t>Unknown</t>
        </is>
      </c>
      <c r="L228" t="inlineStr">
        <is>
          <t>HSBC</t>
        </is>
      </c>
      <c r="M228" t="inlineStr">
        <is>
          <t>HSBC</t>
        </is>
      </c>
      <c r="N228" t="inlineStr">
        <is>
          <t>entrackr | inc42 | et</t>
        </is>
      </c>
      <c r="O228" s="20" t="n">
        <v>3</v>
      </c>
      <c r="P228" s="21" t="n">
        <v>0</v>
      </c>
      <c r="Q228" t="inlineStr">
        <is>
          <t>C07 C09</t>
        </is>
      </c>
      <c r="R228" s="22" t="inlineStr">
        <is>
          <t>https://entrackr.com/news/leap-finance-raises-100-mn-debt-from-hsbc-8796378</t>
        </is>
      </c>
    </row>
    <row r="229">
      <c r="A229" t="inlineStr">
        <is>
          <t>R250305-naarica</t>
        </is>
      </c>
      <c r="B229" t="inlineStr">
        <is>
          <t>Naarica</t>
        </is>
      </c>
      <c r="C229" s="17" t="n">
        <v>45721</v>
      </c>
      <c r="D229" s="18" t="n">
        <v>45717</v>
      </c>
      <c r="E229" s="19" t="n"/>
      <c r="F229" s="19" t="n"/>
      <c r="G229" t="inlineStr"/>
      <c r="H229" t="inlineStr">
        <is>
          <t>Undisclosed</t>
        </is>
      </c>
      <c r="I229" t="inlineStr">
        <is>
          <t>Undisclosed</t>
        </is>
      </c>
      <c r="J229" t="inlineStr">
        <is>
          <t>Ecommerce</t>
        </is>
      </c>
      <c r="K229" t="inlineStr">
        <is>
          <t>Unknown</t>
        </is>
      </c>
      <c r="L229" t="inlineStr">
        <is>
          <t>Saina Nehwal</t>
        </is>
      </c>
      <c r="M229" t="inlineStr">
        <is>
          <t>Saina Nehwal</t>
        </is>
      </c>
      <c r="N229" t="inlineStr">
        <is>
          <t>inc42</t>
        </is>
      </c>
      <c r="O229" s="20" t="n">
        <v>1</v>
      </c>
      <c r="P229" s="21" t="n"/>
      <c r="Q229" t="inlineStr">
        <is>
          <t>C03 C04 C07</t>
        </is>
      </c>
      <c r="R229" s="22" t="inlineStr">
        <is>
          <t>https://inc42.com/buzz/from-darwinbox-to-insurancedekho-indian-startups-raised-386-mn-this-week/</t>
        </is>
      </c>
    </row>
    <row r="230">
      <c r="A230" t="inlineStr">
        <is>
          <t>R250305-zetwerk</t>
        </is>
      </c>
      <c r="B230" t="inlineStr">
        <is>
          <t>Zetwerk</t>
        </is>
      </c>
      <c r="C230" s="17" t="n">
        <v>45721</v>
      </c>
      <c r="D230" s="18" t="n">
        <v>45717</v>
      </c>
      <c r="E230" s="19" t="n">
        <v>5</v>
      </c>
      <c r="F230" s="19" t="n">
        <v>43.52</v>
      </c>
      <c r="G230" t="inlineStr">
        <is>
          <t>$5 Mn</t>
        </is>
      </c>
      <c r="H230" t="inlineStr">
        <is>
          <t>Undisclosed</t>
        </is>
      </c>
      <c r="I230" t="inlineStr">
        <is>
          <t>Undisclosed</t>
        </is>
      </c>
      <c r="J230" t="inlineStr">
        <is>
          <t>Enterprise Tech</t>
        </is>
      </c>
      <c r="K230" t="inlineStr">
        <is>
          <t>Bengaluru</t>
        </is>
      </c>
      <c r="L230" t="inlineStr">
        <is>
          <t>Arc Investments; Oriental Biotech Limited</t>
        </is>
      </c>
      <c r="M230" t="inlineStr">
        <is>
          <t>Arc Investments; Oriental Biotech Limited</t>
        </is>
      </c>
      <c r="N230" t="inlineStr">
        <is>
          <t>inc42</t>
        </is>
      </c>
      <c r="O230" s="20" t="n">
        <v>1</v>
      </c>
      <c r="P230" s="21" t="n">
        <v>0</v>
      </c>
      <c r="Q230" t="inlineStr">
        <is>
          <t>C04</t>
        </is>
      </c>
      <c r="R230" s="22" t="inlineStr">
        <is>
          <t>https://inc42.com/buzz/from-darwinbox-to-insurancedekho-indian-startups-raised-386-mn-this-week/</t>
        </is>
      </c>
    </row>
    <row r="231">
      <c r="A231" t="inlineStr">
        <is>
          <t>R250306-gainhubai</t>
        </is>
      </c>
      <c r="B231" t="inlineStr">
        <is>
          <t>Gainhub.Ai</t>
        </is>
      </c>
      <c r="C231" s="17" t="n">
        <v>45722</v>
      </c>
      <c r="D231" s="18" t="n">
        <v>45717</v>
      </c>
      <c r="E231" s="19" t="n">
        <v>0.1</v>
      </c>
      <c r="F231" s="19" t="n">
        <v>0.87</v>
      </c>
      <c r="G231" t="inlineStr">
        <is>
          <t>$100K</t>
        </is>
      </c>
      <c r="H231" t="inlineStr">
        <is>
          <t>Bridge</t>
        </is>
      </c>
      <c r="I231" t="inlineStr">
        <is>
          <t>Other</t>
        </is>
      </c>
      <c r="J231" t="inlineStr">
        <is>
          <t>Unclassified</t>
        </is>
      </c>
      <c r="K231" t="inlineStr">
        <is>
          <t>Unknown</t>
        </is>
      </c>
      <c r="L231" t="inlineStr">
        <is>
          <t>Growth Strategy Ventures</t>
        </is>
      </c>
      <c r="M231" t="inlineStr">
        <is>
          <t>Growth Strategy Ventures; Gitanjali Puri</t>
        </is>
      </c>
      <c r="N231" t="inlineStr">
        <is>
          <t>entrackr</t>
        </is>
      </c>
      <c r="O231" s="20" t="n">
        <v>1</v>
      </c>
      <c r="P231" s="21" t="n">
        <v>0</v>
      </c>
      <c r="Q231" t="inlineStr">
        <is>
          <t>C06 C07</t>
        </is>
      </c>
      <c r="R231" s="22" t="inlineStr">
        <is>
          <t>https://entrackr.com/snippets/gainhubai-bags-100k-in-pre-series-bridge-round-8827135</t>
        </is>
      </c>
    </row>
    <row r="232">
      <c r="A232" t="inlineStr">
        <is>
          <t>R250306-innoviti</t>
        </is>
      </c>
      <c r="B232" t="inlineStr">
        <is>
          <t>Innoviti</t>
        </is>
      </c>
      <c r="C232" s="17" t="n">
        <v>45722</v>
      </c>
      <c r="D232" s="18" t="n">
        <v>45717</v>
      </c>
      <c r="E232" s="19" t="n">
        <v>4</v>
      </c>
      <c r="F232" s="19" t="n">
        <v>34.83</v>
      </c>
      <c r="G232" t="inlineStr">
        <is>
          <t>$4 Mn</t>
        </is>
      </c>
      <c r="H232" t="inlineStr">
        <is>
          <t>Undisclosed</t>
        </is>
      </c>
      <c r="I232" t="inlineStr">
        <is>
          <t>Undisclosed</t>
        </is>
      </c>
      <c r="J232" t="inlineStr">
        <is>
          <t>Fintech</t>
        </is>
      </c>
      <c r="K232" t="inlineStr">
        <is>
          <t>Unknown</t>
        </is>
      </c>
      <c r="L232" t="inlineStr"/>
      <c r="M232" t="inlineStr">
        <is>
          <t>Ashutosh Joshi; Bessemer Venture Partners</t>
        </is>
      </c>
      <c r="N232" t="inlineStr">
        <is>
          <t>inc42</t>
        </is>
      </c>
      <c r="O232" s="20" t="n">
        <v>1</v>
      </c>
      <c r="P232" s="21" t="n">
        <v>0</v>
      </c>
      <c r="Q232" t="inlineStr">
        <is>
          <t>C04 C07</t>
        </is>
      </c>
      <c r="R232" s="22" t="inlineStr">
        <is>
          <t>https://inc42.com/buzz/from-darwinbox-to-insurancedekho-indian-startups-raised-386-mn-this-week/</t>
        </is>
      </c>
    </row>
    <row r="233">
      <c r="A233" t="inlineStr">
        <is>
          <t>R250306-mapmycrop</t>
        </is>
      </c>
      <c r="B233" t="inlineStr">
        <is>
          <t>MapMyCrop</t>
        </is>
      </c>
      <c r="C233" s="17" t="n">
        <v>45722</v>
      </c>
      <c r="D233" s="18" t="n">
        <v>45717</v>
      </c>
      <c r="E233" s="19" t="n">
        <v>1.8</v>
      </c>
      <c r="F233" s="19" t="n">
        <v>15.67</v>
      </c>
      <c r="G233" t="inlineStr">
        <is>
          <t>$1.8 million</t>
        </is>
      </c>
      <c r="H233" t="inlineStr">
        <is>
          <t>Seed</t>
        </is>
      </c>
      <c r="I233" t="inlineStr">
        <is>
          <t>Early</t>
        </is>
      </c>
      <c r="J233" t="inlineStr">
        <is>
          <t>Agritech</t>
        </is>
      </c>
      <c r="K233" t="inlineStr">
        <is>
          <t>Outside India</t>
        </is>
      </c>
      <c r="L233" t="inlineStr">
        <is>
          <t>YourNest Venture Capital; Eaglewings Ventures</t>
        </is>
      </c>
      <c r="M233" t="inlineStr">
        <is>
          <t>YourNest Venture Capital; Eaglewings Ventures</t>
        </is>
      </c>
      <c r="N233" t="inlineStr">
        <is>
          <t>entrackr | et</t>
        </is>
      </c>
      <c r="O233" s="20" t="n">
        <v>2</v>
      </c>
      <c r="P233" s="21" t="n">
        <v>0.2</v>
      </c>
      <c r="Q233" t="inlineStr"/>
      <c r="R233" s="22" t="inlineStr">
        <is>
          <t>https://entrackr.com/snippets/mapmycrop-bags-18-mn-in-seed-round-8827439</t>
        </is>
      </c>
    </row>
    <row r="234">
      <c r="A234" t="inlineStr">
        <is>
          <t>R250306-maxiq</t>
        </is>
      </c>
      <c r="B234" t="inlineStr">
        <is>
          <t>MaxIQ</t>
        </is>
      </c>
      <c r="C234" s="17" t="n">
        <v>45722</v>
      </c>
      <c r="D234" s="18" t="n">
        <v>45717</v>
      </c>
      <c r="E234" s="19" t="n">
        <v>7.8</v>
      </c>
      <c r="F234" s="19" t="n">
        <v>67.92</v>
      </c>
      <c r="G234" t="inlineStr">
        <is>
          <t>$7.8 million</t>
        </is>
      </c>
      <c r="H234" t="inlineStr">
        <is>
          <t>Seed</t>
        </is>
      </c>
      <c r="I234" t="inlineStr">
        <is>
          <t>Early</t>
        </is>
      </c>
      <c r="J234" t="inlineStr">
        <is>
          <t>Enterprise Tech</t>
        </is>
      </c>
      <c r="K234" t="inlineStr">
        <is>
          <t>Unknown</t>
        </is>
      </c>
      <c r="L234" t="inlineStr">
        <is>
          <t>Dell Technologies Capital</t>
        </is>
      </c>
      <c r="M234" t="inlineStr">
        <is>
          <t>Dell Technologies Capital; Intel Capital</t>
        </is>
      </c>
      <c r="N234" t="inlineStr">
        <is>
          <t>entrackr | inc42</t>
        </is>
      </c>
      <c r="O234" s="20" t="n">
        <v>2</v>
      </c>
      <c r="P234" s="21" t="n">
        <v>0</v>
      </c>
      <c r="Q234" t="inlineStr">
        <is>
          <t>C07</t>
        </is>
      </c>
      <c r="R234" s="22" t="inlineStr">
        <is>
          <t>https://entrackr.com/snippets/maxiq-raises-78-mn-led-by-dell-technologies-8825802</t>
        </is>
      </c>
    </row>
    <row r="235">
      <c r="A235" t="inlineStr">
        <is>
          <t>R250306-photai</t>
        </is>
      </c>
      <c r="B235" t="inlineStr">
        <is>
          <t>Phot.AI</t>
        </is>
      </c>
      <c r="C235" s="17" t="n">
        <v>45722</v>
      </c>
      <c r="D235" s="18" t="n">
        <v>45717</v>
      </c>
      <c r="E235" s="19" t="n">
        <v>2.7</v>
      </c>
      <c r="F235" s="19" t="n">
        <v>23.51</v>
      </c>
      <c r="G235" t="inlineStr">
        <is>
          <t>$2.7 million</t>
        </is>
      </c>
      <c r="H235" t="inlineStr">
        <is>
          <t>Seed</t>
        </is>
      </c>
      <c r="I235" t="inlineStr">
        <is>
          <t>Early</t>
        </is>
      </c>
      <c r="J235" t="inlineStr">
        <is>
          <t>Enterprise Tech</t>
        </is>
      </c>
      <c r="K235" t="inlineStr">
        <is>
          <t>Unknown</t>
        </is>
      </c>
      <c r="L235" t="inlineStr">
        <is>
          <t>Info Edge Ventures</t>
        </is>
      </c>
      <c r="M235" t="inlineStr">
        <is>
          <t>Info Edge Ventures; Together Fund; AC Ventures; Saahil Goel; Akshay Ghulati; Aakash Anand; Arjun Vaidya; Prabhkiran Singh; Puneet Gupta; Anmol Jain; Sandeep Aggarwal; Vishesh Khurana; Raj Snehil Junej; Pawan Gupta</t>
        </is>
      </c>
      <c r="N235" t="inlineStr">
        <is>
          <t>entrackr | inc42</t>
        </is>
      </c>
      <c r="O235" s="20" t="n">
        <v>2</v>
      </c>
      <c r="P235" s="21" t="n">
        <v>0</v>
      </c>
      <c r="Q235" t="inlineStr">
        <is>
          <t>C07</t>
        </is>
      </c>
      <c r="R235" s="22" t="inlineStr">
        <is>
          <t>https://entrackr.com/snippets/photai-raises-27-mn-to-automate-e-commerce-creative-design-8817121</t>
        </is>
      </c>
    </row>
    <row r="236">
      <c r="A236" t="inlineStr">
        <is>
          <t>R250306-rajeevmisrason</t>
        </is>
      </c>
      <c r="B236" t="inlineStr">
        <is>
          <t>Rajeev Misra's son</t>
        </is>
      </c>
      <c r="C236" s="17" t="n">
        <v>45722</v>
      </c>
      <c r="D236" s="18" t="n">
        <v>45717</v>
      </c>
      <c r="E236" s="19" t="n"/>
      <c r="F236" s="19" t="n"/>
      <c r="G236" t="inlineStr"/>
      <c r="H236" t="inlineStr">
        <is>
          <t>Undisclosed</t>
        </is>
      </c>
      <c r="I236" t="inlineStr">
        <is>
          <t>Undisclosed</t>
        </is>
      </c>
      <c r="J236" t="inlineStr">
        <is>
          <t>Unclassified</t>
        </is>
      </c>
      <c r="K236" t="inlineStr">
        <is>
          <t>Unknown</t>
        </is>
      </c>
      <c r="L236" t="inlineStr"/>
      <c r="M236" t="inlineStr"/>
      <c r="N236" t="inlineStr">
        <is>
          <t>entrackr</t>
        </is>
      </c>
      <c r="O236" s="20" t="n">
        <v>1</v>
      </c>
      <c r="P236" s="21" t="n"/>
      <c r="Q236" t="inlineStr">
        <is>
          <t>C03 C04 C05 C06 C07</t>
        </is>
      </c>
      <c r="R236" s="22" t="inlineStr">
        <is>
          <t>https://entrackr.com/snippets/rajeev-misras-son-raises-150-mn-fund-to-back-indian-startups-8821610</t>
        </is>
      </c>
    </row>
    <row r="237">
      <c r="A237" t="inlineStr">
        <is>
          <t>R250306-swish</t>
        </is>
      </c>
      <c r="B237" t="inlineStr">
        <is>
          <t>Swish</t>
        </is>
      </c>
      <c r="C237" s="17" t="n">
        <v>45722</v>
      </c>
      <c r="D237" s="18" t="n">
        <v>45717</v>
      </c>
      <c r="E237" s="19" t="n">
        <v>14.047</v>
      </c>
      <c r="F237" s="19" t="n">
        <v>122.32</v>
      </c>
      <c r="G237" t="inlineStr">
        <is>
          <t>Rs 122.32 crore</t>
        </is>
      </c>
      <c r="H237" t="inlineStr">
        <is>
          <t>Series A</t>
        </is>
      </c>
      <c r="I237" t="inlineStr">
        <is>
          <t>Early</t>
        </is>
      </c>
      <c r="J237" t="inlineStr">
        <is>
          <t>Consumer Services</t>
        </is>
      </c>
      <c r="K237" t="inlineStr">
        <is>
          <t>Bengaluru</t>
        </is>
      </c>
      <c r="L237" t="inlineStr">
        <is>
          <t>Hara Global Capital; Accel India</t>
        </is>
      </c>
      <c r="M237" t="inlineStr">
        <is>
          <t>Accel; Hara Global; Gaurav Munjal; Kunal Shah; Sumer Juneja</t>
        </is>
      </c>
      <c r="N237" t="inlineStr">
        <is>
          <t>entrackr | inc42 | et</t>
        </is>
      </c>
      <c r="O237" s="20" t="n">
        <v>3</v>
      </c>
      <c r="P237" s="21" t="n">
        <v>0.3</v>
      </c>
      <c r="Q237" t="inlineStr"/>
      <c r="R237" s="22" t="inlineStr">
        <is>
          <t>https://entrackr.com/exclusive/exclusive-10-min-food-delivery-startup-swish-raises-14-mn-8827719</t>
        </is>
      </c>
    </row>
    <row r="238">
      <c r="A238" t="inlineStr">
        <is>
          <t>R250306-yenmo</t>
        </is>
      </c>
      <c r="B238" t="inlineStr">
        <is>
          <t>Yenmo</t>
        </is>
      </c>
      <c r="C238" s="17" t="n">
        <v>45722</v>
      </c>
      <c r="D238" s="18" t="n">
        <v>45717</v>
      </c>
      <c r="E238" s="19" t="n">
        <v>1.056</v>
      </c>
      <c r="F238" s="19" t="n">
        <v>9.199999999999999</v>
      </c>
      <c r="G238" t="inlineStr">
        <is>
          <t>Rs 9.2 crore</t>
        </is>
      </c>
      <c r="H238" t="inlineStr">
        <is>
          <t>Undisclosed</t>
        </is>
      </c>
      <c r="I238" t="inlineStr">
        <is>
          <t>Undisclosed</t>
        </is>
      </c>
      <c r="J238" t="inlineStr">
        <is>
          <t>Fintech</t>
        </is>
      </c>
      <c r="K238" t="inlineStr">
        <is>
          <t>Bengaluru</t>
        </is>
      </c>
      <c r="L238" t="inlineStr">
        <is>
          <t>Y Combinator</t>
        </is>
      </c>
      <c r="M238" t="inlineStr">
        <is>
          <t>Y Combinator; Pioneer Fund; Zaka VC</t>
        </is>
      </c>
      <c r="N238" t="inlineStr">
        <is>
          <t>entrackr | inc42 | vccircle</t>
        </is>
      </c>
      <c r="O238" s="20" t="n">
        <v>3</v>
      </c>
      <c r="P238" s="21" t="n">
        <v>4.1</v>
      </c>
      <c r="Q238" t="inlineStr">
        <is>
          <t>C04</t>
        </is>
      </c>
      <c r="R238" s="22" t="inlineStr">
        <is>
          <t>https://inc42.com/buzz/from-darwinbox-to-insurancedekho-indian-startups-raised-386-mn-this-week/</t>
        </is>
      </c>
    </row>
    <row r="239">
      <c r="A239" t="inlineStr">
        <is>
          <t>R250306-zuppaneonaviga</t>
        </is>
      </c>
      <c r="B239" t="inlineStr">
        <is>
          <t>Zuppa Neo Navigation Technologies</t>
        </is>
      </c>
      <c r="C239" s="17" t="n">
        <v>45722</v>
      </c>
      <c r="D239" s="18" t="n">
        <v>45717</v>
      </c>
      <c r="E239" s="19" t="n">
        <v>0.115</v>
      </c>
      <c r="F239" s="19" t="n">
        <v>1</v>
      </c>
      <c r="G239" t="inlineStr">
        <is>
          <t>$115K</t>
        </is>
      </c>
      <c r="H239" t="inlineStr">
        <is>
          <t>Undisclosed</t>
        </is>
      </c>
      <c r="I239" t="inlineStr">
        <is>
          <t>Undisclosed</t>
        </is>
      </c>
      <c r="J239" t="inlineStr">
        <is>
          <t>Deeptech</t>
        </is>
      </c>
      <c r="K239" t="inlineStr">
        <is>
          <t>Unknown</t>
        </is>
      </c>
      <c r="L239" t="inlineStr">
        <is>
          <t>Garuda Aerospace</t>
        </is>
      </c>
      <c r="M239" t="inlineStr">
        <is>
          <t>Garuda Aerospace</t>
        </is>
      </c>
      <c r="N239" t="inlineStr">
        <is>
          <t>inc42</t>
        </is>
      </c>
      <c r="O239" s="20" t="n">
        <v>1</v>
      </c>
      <c r="P239" s="21" t="n">
        <v>0</v>
      </c>
      <c r="Q239" t="inlineStr">
        <is>
          <t>C04 C07</t>
        </is>
      </c>
      <c r="R239" s="22" t="inlineStr">
        <is>
          <t>https://inc42.com/buzz/from-darwinbox-to-insurancedekho-indian-startups-raised-386-mn-this-week/</t>
        </is>
      </c>
    </row>
    <row r="240">
      <c r="A240" t="inlineStr">
        <is>
          <t>R250307-baccabucci</t>
        </is>
      </c>
      <c r="B240" t="inlineStr">
        <is>
          <t>Bacca Bucci</t>
        </is>
      </c>
      <c r="C240" s="17" t="n">
        <v>45723</v>
      </c>
      <c r="D240" s="18" t="n">
        <v>45717</v>
      </c>
      <c r="E240" s="19" t="n">
        <v>2.5</v>
      </c>
      <c r="F240" s="19" t="n">
        <v>21.75</v>
      </c>
      <c r="G240" t="inlineStr">
        <is>
          <t>$2.5 Mn</t>
        </is>
      </c>
      <c r="H240" t="inlineStr">
        <is>
          <t>Undisclosed</t>
        </is>
      </c>
      <c r="I240" t="inlineStr">
        <is>
          <t>Undisclosed</t>
        </is>
      </c>
      <c r="J240" t="inlineStr">
        <is>
          <t>Ecommerce</t>
        </is>
      </c>
      <c r="K240" t="inlineStr">
        <is>
          <t>Unknown</t>
        </is>
      </c>
      <c r="L240" t="inlineStr">
        <is>
          <t>JP Taparia</t>
        </is>
      </c>
      <c r="M240" t="inlineStr">
        <is>
          <t>JP Taparia</t>
        </is>
      </c>
      <c r="N240" t="inlineStr">
        <is>
          <t>inc42</t>
        </is>
      </c>
      <c r="O240" s="20" t="n">
        <v>1</v>
      </c>
      <c r="P240" s="21" t="n">
        <v>0</v>
      </c>
      <c r="Q240" t="inlineStr">
        <is>
          <t>C04 C07</t>
        </is>
      </c>
      <c r="R240" s="22" t="inlineStr">
        <is>
          <t>https://inc42.com/buzz/from-darwinbox-to-insurancedekho-indian-startups-raised-386-mn-this-week/</t>
        </is>
      </c>
    </row>
    <row r="241">
      <c r="A241" t="inlineStr">
        <is>
          <t>R250307-furlenco</t>
        </is>
      </c>
      <c r="B241" t="inlineStr">
        <is>
          <t>Furlenco</t>
        </is>
      </c>
      <c r="C241" s="17" t="n">
        <v>45723</v>
      </c>
      <c r="D241" s="18" t="n">
        <v>45717</v>
      </c>
      <c r="E241" s="19" t="n">
        <v>7</v>
      </c>
      <c r="F241" s="19" t="n">
        <v>60.89</v>
      </c>
      <c r="G241" t="inlineStr">
        <is>
          <t>$7 Mn</t>
        </is>
      </c>
      <c r="H241" t="inlineStr">
        <is>
          <t>Debt</t>
        </is>
      </c>
      <c r="I241" t="inlineStr">
        <is>
          <t>Debt</t>
        </is>
      </c>
      <c r="J241" t="inlineStr">
        <is>
          <t>Ecommerce</t>
        </is>
      </c>
      <c r="K241" t="inlineStr">
        <is>
          <t>Unknown</t>
        </is>
      </c>
      <c r="L241" t="inlineStr"/>
      <c r="M241" t="inlineStr">
        <is>
          <t>Northern Arc; CredAvenue</t>
        </is>
      </c>
      <c r="N241" t="inlineStr">
        <is>
          <t>inc42</t>
        </is>
      </c>
      <c r="O241" s="20" t="n">
        <v>1</v>
      </c>
      <c r="P241" s="21" t="n">
        <v>0</v>
      </c>
      <c r="Q241" t="inlineStr">
        <is>
          <t>C07</t>
        </is>
      </c>
      <c r="R241" s="22" t="inlineStr">
        <is>
          <t>https://inc42.com/buzz/from-darwinbox-to-insurancedekho-indian-startups-raised-386-mn-this-week/</t>
        </is>
      </c>
    </row>
    <row r="242">
      <c r="A242" t="inlineStr">
        <is>
          <t>R250307-indewild</t>
        </is>
      </c>
      <c r="B242" t="inlineStr">
        <is>
          <t>indē wild</t>
        </is>
      </c>
      <c r="C242" s="17" t="n">
        <v>45723</v>
      </c>
      <c r="D242" s="18" t="n">
        <v>45717</v>
      </c>
      <c r="E242" s="19" t="n">
        <v>5</v>
      </c>
      <c r="F242" s="19" t="n">
        <v>43.5</v>
      </c>
      <c r="G242" t="inlineStr">
        <is>
          <t>$5 Mn</t>
        </is>
      </c>
      <c r="H242" t="inlineStr">
        <is>
          <t>Undisclosed</t>
        </is>
      </c>
      <c r="I242" t="inlineStr">
        <is>
          <t>Undisclosed</t>
        </is>
      </c>
      <c r="J242" t="inlineStr">
        <is>
          <t>Ecommerce</t>
        </is>
      </c>
      <c r="K242" t="inlineStr">
        <is>
          <t>Mumbai</t>
        </is>
      </c>
      <c r="L242" t="inlineStr">
        <is>
          <t>Unilever Ventures</t>
        </is>
      </c>
      <c r="M242" t="inlineStr">
        <is>
          <t>Unilever Ventures; SoGal Ventures; True</t>
        </is>
      </c>
      <c r="N242" t="inlineStr">
        <is>
          <t>inc42 | et</t>
        </is>
      </c>
      <c r="O242" s="20" t="n">
        <v>2</v>
      </c>
      <c r="P242" s="21" t="n">
        <v>0</v>
      </c>
      <c r="Q242" t="inlineStr">
        <is>
          <t>C04</t>
        </is>
      </c>
      <c r="R242" s="22" t="inlineStr">
        <is>
          <t>https://economictimes.indiatimes.com/tech/funding/beauty-brand-inde-wild-raises-5-million-from-unilever-ventures-others/articleshow/118784370.cms</t>
        </is>
      </c>
    </row>
    <row r="243">
      <c r="A243" t="inlineStr">
        <is>
          <t>R250307-vobble</t>
        </is>
      </c>
      <c r="B243" t="inlineStr">
        <is>
          <t>Vobble</t>
        </is>
      </c>
      <c r="C243" s="17" t="n">
        <v>45723</v>
      </c>
      <c r="D243" s="18" t="n">
        <v>45717</v>
      </c>
      <c r="E243" s="19" t="n">
        <v>1</v>
      </c>
      <c r="F243" s="19" t="n">
        <v>8.699999999999999</v>
      </c>
      <c r="G243" t="inlineStr">
        <is>
          <t>$1 Mn</t>
        </is>
      </c>
      <c r="H243" t="inlineStr">
        <is>
          <t>Seed</t>
        </is>
      </c>
      <c r="I243" t="inlineStr">
        <is>
          <t>Early</t>
        </is>
      </c>
      <c r="J243" t="inlineStr">
        <is>
          <t>Media &amp; Entertainment</t>
        </is>
      </c>
      <c r="K243" t="inlineStr">
        <is>
          <t>Unknown</t>
        </is>
      </c>
      <c r="L243" t="inlineStr">
        <is>
          <t>MIXI Investments</t>
        </is>
      </c>
      <c r="M243" t="inlineStr">
        <is>
          <t>MIXI Investments; Lumikai; Namita Thapar; Sattva Investments</t>
        </is>
      </c>
      <c r="N243" t="inlineStr">
        <is>
          <t>inc42</t>
        </is>
      </c>
      <c r="O243" s="20" t="n">
        <v>1</v>
      </c>
      <c r="P243" s="21" t="n">
        <v>0</v>
      </c>
      <c r="Q243" t="inlineStr">
        <is>
          <t>C07</t>
        </is>
      </c>
      <c r="R243" s="22" t="inlineStr">
        <is>
          <t>https://inc42.com/buzz/from-darwinbox-to-insurancedekho-indian-startups-raised-386-mn-this-week/</t>
        </is>
      </c>
    </row>
    <row r="244">
      <c r="A244" t="inlineStr">
        <is>
          <t>R250310-giva</t>
        </is>
      </c>
      <c r="B244" t="inlineStr">
        <is>
          <t>GIVA</t>
        </is>
      </c>
      <c r="C244" s="17" t="n">
        <v>45726</v>
      </c>
      <c r="D244" s="18" t="n">
        <v>45717</v>
      </c>
      <c r="E244" s="19" t="n">
        <v>11.7</v>
      </c>
      <c r="F244" s="19" t="n">
        <v>102.15</v>
      </c>
      <c r="G244" t="inlineStr">
        <is>
          <t>$11.7 Mn</t>
        </is>
      </c>
      <c r="H244" t="inlineStr">
        <is>
          <t>Undisclosed</t>
        </is>
      </c>
      <c r="I244" t="inlineStr">
        <is>
          <t>Undisclosed</t>
        </is>
      </c>
      <c r="J244" t="inlineStr">
        <is>
          <t>Ecommerce</t>
        </is>
      </c>
      <c r="K244" t="inlineStr">
        <is>
          <t>Bengaluru</t>
        </is>
      </c>
      <c r="L244" t="inlineStr"/>
      <c r="M244" t="inlineStr">
        <is>
          <t>Alteria Capital; Northern Arc</t>
        </is>
      </c>
      <c r="N244" t="inlineStr">
        <is>
          <t>inc42</t>
        </is>
      </c>
      <c r="O244" s="20" t="n">
        <v>1</v>
      </c>
      <c r="P244" s="21" t="n">
        <v>0</v>
      </c>
      <c r="Q244" t="inlineStr">
        <is>
          <t>C04</t>
        </is>
      </c>
      <c r="R244" s="22" t="inlineStr">
        <is>
          <t>https://inc42.com/buzz/from-zolve-to-scimplify-indian-startups-raised-429-mn-this-week/</t>
        </is>
      </c>
    </row>
    <row r="245">
      <c r="A245" t="inlineStr">
        <is>
          <t>R250310-voltmoney</t>
        </is>
      </c>
      <c r="B245" t="inlineStr">
        <is>
          <t>Volt Money</t>
        </is>
      </c>
      <c r="C245" s="17" t="n">
        <v>45726</v>
      </c>
      <c r="D245" s="18" t="n">
        <v>45717</v>
      </c>
      <c r="E245" s="19" t="n"/>
      <c r="F245" s="19" t="n"/>
      <c r="G245" t="inlineStr"/>
      <c r="H245" t="inlineStr">
        <is>
          <t>Undisclosed</t>
        </is>
      </c>
      <c r="I245" t="inlineStr">
        <is>
          <t>Undisclosed</t>
        </is>
      </c>
      <c r="J245" t="inlineStr">
        <is>
          <t>Unclassified</t>
        </is>
      </c>
      <c r="K245" t="inlineStr">
        <is>
          <t>Unknown</t>
        </is>
      </c>
      <c r="L245" t="inlineStr"/>
      <c r="M245" t="inlineStr"/>
      <c r="N245" t="inlineStr">
        <is>
          <t>entrackr</t>
        </is>
      </c>
      <c r="O245" s="20" t="n">
        <v>1</v>
      </c>
      <c r="P245" s="21" t="n"/>
      <c r="Q245" t="inlineStr">
        <is>
          <t>C03 C04 C05 C06 C07</t>
        </is>
      </c>
      <c r="R245" s="22" t="inlineStr">
        <is>
          <t>https://entrackr.com/exclusive/exclusive-dsp-mutual-fund-acquires-volt-money-8839027</t>
        </is>
      </c>
    </row>
    <row r="246">
      <c r="A246" t="inlineStr">
        <is>
          <t>R250311-ambitio</t>
        </is>
      </c>
      <c r="B246" t="inlineStr">
        <is>
          <t>Ambitio</t>
        </is>
      </c>
      <c r="C246" s="17" t="n">
        <v>45727</v>
      </c>
      <c r="D246" s="18" t="n">
        <v>45717</v>
      </c>
      <c r="E246" s="19" t="n">
        <v>2</v>
      </c>
      <c r="F246" s="19" t="n">
        <v>17.44</v>
      </c>
      <c r="G246" t="inlineStr">
        <is>
          <t>$2 million</t>
        </is>
      </c>
      <c r="H246" t="inlineStr">
        <is>
          <t>Seed</t>
        </is>
      </c>
      <c r="I246" t="inlineStr">
        <is>
          <t>Early</t>
        </is>
      </c>
      <c r="J246" t="inlineStr">
        <is>
          <t>Edtech</t>
        </is>
      </c>
      <c r="K246" t="inlineStr">
        <is>
          <t>Bengaluru</t>
        </is>
      </c>
      <c r="L246" t="inlineStr">
        <is>
          <t>BLinC Invest</t>
        </is>
      </c>
      <c r="M246" t="inlineStr">
        <is>
          <t>BLinC Invest; Ritu Bapna</t>
        </is>
      </c>
      <c r="N246" t="inlineStr">
        <is>
          <t>entrackr | inc42</t>
        </is>
      </c>
      <c r="O246" s="20" t="n">
        <v>2</v>
      </c>
      <c r="P246" s="21" t="n">
        <v>0</v>
      </c>
      <c r="Q246" t="inlineStr"/>
      <c r="R246" s="22" t="inlineStr">
        <is>
          <t>https://entrackr.com/snippets/admission-startup-ambitio-raises-2-mn-in-seed-round-8842295</t>
        </is>
      </c>
    </row>
    <row r="247">
      <c r="A247" t="inlineStr">
        <is>
          <t>R250311-dreamtimelearn</t>
        </is>
      </c>
      <c r="B247" t="inlineStr">
        <is>
          <t>Dreamtime Learning</t>
        </is>
      </c>
      <c r="C247" s="17" t="n">
        <v>45727</v>
      </c>
      <c r="D247" s="18" t="n">
        <v>45717</v>
      </c>
      <c r="E247" s="19" t="n"/>
      <c r="F247" s="19" t="n"/>
      <c r="G247" t="inlineStr"/>
      <c r="H247" t="inlineStr">
        <is>
          <t>Pre-Series A</t>
        </is>
      </c>
      <c r="I247" t="inlineStr">
        <is>
          <t>Early</t>
        </is>
      </c>
      <c r="J247" t="inlineStr">
        <is>
          <t>Edtech</t>
        </is>
      </c>
      <c r="K247" t="inlineStr">
        <is>
          <t>Unknown</t>
        </is>
      </c>
      <c r="L247" t="inlineStr">
        <is>
          <t>Nikhil Kamath; Abhijeet Pai</t>
        </is>
      </c>
      <c r="M247" t="inlineStr">
        <is>
          <t>Nikhil Kamath; Abhijeet Pai</t>
        </is>
      </c>
      <c r="N247" t="inlineStr">
        <is>
          <t>inc42</t>
        </is>
      </c>
      <c r="O247" s="20" t="n">
        <v>1</v>
      </c>
      <c r="P247" s="21" t="n"/>
      <c r="Q247" t="inlineStr">
        <is>
          <t>C03 C07</t>
        </is>
      </c>
      <c r="R247" s="22" t="inlineStr">
        <is>
          <t>https://inc42.com/buzz/from-zolve-to-scimplify-indian-startups-raised-429-mn-this-week/</t>
        </is>
      </c>
    </row>
    <row r="248">
      <c r="A248" t="inlineStr">
        <is>
          <t>R250311-felicitygames</t>
        </is>
      </c>
      <c r="B248" t="inlineStr">
        <is>
          <t>Felicity Games</t>
        </is>
      </c>
      <c r="C248" s="17" t="n">
        <v>45727</v>
      </c>
      <c r="D248" s="18" t="n">
        <v>45717</v>
      </c>
      <c r="E248" s="19" t="n">
        <v>3</v>
      </c>
      <c r="F248" s="19" t="n">
        <v>26.16</v>
      </c>
      <c r="G248" t="inlineStr">
        <is>
          <t>$3 million</t>
        </is>
      </c>
      <c r="H248" t="inlineStr">
        <is>
          <t>Seed</t>
        </is>
      </c>
      <c r="I248" t="inlineStr">
        <is>
          <t>Early</t>
        </is>
      </c>
      <c r="J248" t="inlineStr">
        <is>
          <t>Media &amp; Entertainment</t>
        </is>
      </c>
      <c r="K248" t="inlineStr">
        <is>
          <t>Bengaluru</t>
        </is>
      </c>
      <c r="L248" t="inlineStr">
        <is>
          <t>3one4 Capital; T-Accelerate Capital; MIXI Global Investments; Visceral Capital</t>
        </is>
      </c>
      <c r="M248" t="inlineStr">
        <is>
          <t>3one4 Capital; T-Accelerate Capital; MIXI Global Investments; DeVC; Visceral Capital</t>
        </is>
      </c>
      <c r="N248" t="inlineStr">
        <is>
          <t>entrackr | inc42</t>
        </is>
      </c>
      <c r="O248" s="20" t="n">
        <v>2</v>
      </c>
      <c r="P248" s="21" t="n">
        <v>0</v>
      </c>
      <c r="Q248" t="inlineStr"/>
      <c r="R248" s="22" t="inlineStr">
        <is>
          <t>https://entrackr.com/snippets/3one4-capital-leads-3-mn-round-in-felicity-games-8842082</t>
        </is>
      </c>
    </row>
    <row r="249">
      <c r="A249" t="inlineStr">
        <is>
          <t>R250311-gostops</t>
        </is>
      </c>
      <c r="B249" t="inlineStr">
        <is>
          <t>goSTOPS</t>
        </is>
      </c>
      <c r="C249" s="17" t="n">
        <v>45727</v>
      </c>
      <c r="D249" s="18" t="n">
        <v>45717</v>
      </c>
      <c r="E249" s="19" t="n">
        <v>4.014</v>
      </c>
      <c r="F249" s="19" t="n">
        <v>35</v>
      </c>
      <c r="G249" t="inlineStr">
        <is>
          <t>Rs 35 crore</t>
        </is>
      </c>
      <c r="H249" t="inlineStr">
        <is>
          <t>Series A</t>
        </is>
      </c>
      <c r="I249" t="inlineStr">
        <is>
          <t>Early</t>
        </is>
      </c>
      <c r="J249" t="inlineStr">
        <is>
          <t>Travel Tech</t>
        </is>
      </c>
      <c r="K249" t="inlineStr">
        <is>
          <t>Delhi NCR</t>
        </is>
      </c>
      <c r="L249" t="inlineStr">
        <is>
          <t>Blume Ventures; 1Crowd</t>
        </is>
      </c>
      <c r="M249" t="inlineStr">
        <is>
          <t>Blume Ventures; 1Crowd; Indian Angel Network; Yuj Ventures</t>
        </is>
      </c>
      <c r="N249" t="inlineStr">
        <is>
          <t>entrackr | inc42 | et</t>
        </is>
      </c>
      <c r="O249" s="20" t="n">
        <v>3</v>
      </c>
      <c r="P249" s="21" t="n">
        <v>4.6</v>
      </c>
      <c r="Q249" t="inlineStr"/>
      <c r="R249" s="22" t="inlineStr">
        <is>
          <t>https://entrackr.com/snippets/gostops-bags-rs-35-cr-in-series-a-round-led-by-blume-ventures-8841407</t>
        </is>
      </c>
    </row>
    <row r="250">
      <c r="A250" t="inlineStr">
        <is>
          <t>R250311-infiniteuptime</t>
        </is>
      </c>
      <c r="B250" t="inlineStr">
        <is>
          <t>Infinite Uptime</t>
        </is>
      </c>
      <c r="C250" s="17" t="n">
        <v>45727</v>
      </c>
      <c r="D250" s="18" t="n">
        <v>45717</v>
      </c>
      <c r="E250" s="19" t="n">
        <v>35</v>
      </c>
      <c r="F250" s="19" t="n">
        <v>305.2</v>
      </c>
      <c r="G250" t="inlineStr">
        <is>
          <t>$35 million</t>
        </is>
      </c>
      <c r="H250" t="inlineStr">
        <is>
          <t>Series C</t>
        </is>
      </c>
      <c r="I250" t="inlineStr">
        <is>
          <t>Growth</t>
        </is>
      </c>
      <c r="J250" t="inlineStr">
        <is>
          <t>Enterprise Tech</t>
        </is>
      </c>
      <c r="K250" t="inlineStr">
        <is>
          <t>Pune</t>
        </is>
      </c>
      <c r="L250" t="inlineStr">
        <is>
          <t>Avataar Ventures</t>
        </is>
      </c>
      <c r="M250" t="inlineStr">
        <is>
          <t>Avataar Ventures; StepStone Group; LGVP; Tiger Global; GSR Ventures</t>
        </is>
      </c>
      <c r="N250" t="inlineStr">
        <is>
          <t>entrackr | inc42 | et</t>
        </is>
      </c>
      <c r="O250" s="20" t="n">
        <v>3</v>
      </c>
      <c r="P250" s="21" t="n">
        <v>0</v>
      </c>
      <c r="Q250" t="inlineStr"/>
      <c r="R250" s="22" t="inlineStr">
        <is>
          <t>https://entrackr.com/news/infinite-uptime-raises-35-mn-in-series-c-round-8841757</t>
        </is>
      </c>
    </row>
    <row r="251">
      <c r="A251" t="inlineStr">
        <is>
          <t>R250311-zolve</t>
        </is>
      </c>
      <c r="B251" t="inlineStr">
        <is>
          <t>Zolve</t>
        </is>
      </c>
      <c r="C251" s="17" t="n">
        <v>45727</v>
      </c>
      <c r="D251" s="18" t="n">
        <v>45717</v>
      </c>
      <c r="E251" s="19" t="n">
        <v>251</v>
      </c>
      <c r="F251" s="19" t="n">
        <v>2188.72</v>
      </c>
      <c r="G251" t="inlineStr">
        <is>
          <t>$251 million</t>
        </is>
      </c>
      <c r="H251" t="inlineStr">
        <is>
          <t>Series B</t>
        </is>
      </c>
      <c r="I251" t="inlineStr">
        <is>
          <t>Growth</t>
        </is>
      </c>
      <c r="J251" t="inlineStr">
        <is>
          <t>Fintech</t>
        </is>
      </c>
      <c r="K251" t="inlineStr">
        <is>
          <t>Unknown</t>
        </is>
      </c>
      <c r="L251" t="inlineStr">
        <is>
          <t>Creaegis</t>
        </is>
      </c>
      <c r="M251" t="inlineStr">
        <is>
          <t>Creaegis; HSBC; SBI; GMO; DG Daiwa; Accel; Lightspeed Venture Partners; Sparta Group; DST Global</t>
        </is>
      </c>
      <c r="N251" t="inlineStr">
        <is>
          <t>entrackr | inc42 | et</t>
        </is>
      </c>
      <c r="O251" s="20" t="n">
        <v>3</v>
      </c>
      <c r="P251" s="21" t="n">
        <v>0</v>
      </c>
      <c r="Q251" t="inlineStr">
        <is>
          <t>C07 C11</t>
        </is>
      </c>
      <c r="R251" s="22" t="inlineStr">
        <is>
          <t>https://entrackr.com/news/neobanking-startup-zolve-raises-251-mn-in-series-b-round-8843977</t>
        </is>
      </c>
    </row>
    <row r="252">
      <c r="A252" t="inlineStr">
        <is>
          <t>R250312-allohealth</t>
        </is>
      </c>
      <c r="B252" t="inlineStr">
        <is>
          <t>Allo Health</t>
        </is>
      </c>
      <c r="C252" s="17" t="n">
        <v>45728</v>
      </c>
      <c r="D252" s="18" t="n">
        <v>45717</v>
      </c>
      <c r="E252" s="19" t="n">
        <v>1.835</v>
      </c>
      <c r="F252" s="19" t="n">
        <v>16</v>
      </c>
      <c r="G252" t="inlineStr">
        <is>
          <t>Rs 16 crore</t>
        </is>
      </c>
      <c r="H252" t="inlineStr">
        <is>
          <t>Pre-Series A</t>
        </is>
      </c>
      <c r="I252" t="inlineStr">
        <is>
          <t>Early</t>
        </is>
      </c>
      <c r="J252" t="inlineStr">
        <is>
          <t>Healthtech</t>
        </is>
      </c>
      <c r="K252" t="inlineStr">
        <is>
          <t>Unknown</t>
        </is>
      </c>
      <c r="L252" t="inlineStr">
        <is>
          <t>Rainmatter</t>
        </is>
      </c>
      <c r="M252" t="inlineStr">
        <is>
          <t>Rainmatter; Nexus Venture Partners; Binny Bansal</t>
        </is>
      </c>
      <c r="N252" t="inlineStr">
        <is>
          <t>entrackr | inc42 | et</t>
        </is>
      </c>
      <c r="O252" s="20" t="n">
        <v>3</v>
      </c>
      <c r="P252" s="21" t="n">
        <v>1.9</v>
      </c>
      <c r="Q252" t="inlineStr">
        <is>
          <t>C07</t>
        </is>
      </c>
      <c r="R252" s="22" t="inlineStr">
        <is>
          <t>https://entrackr.com/snippets/allo-health-raises-rs-16-cr-in-pre-series-a-round-8846048</t>
        </is>
      </c>
    </row>
    <row r="253">
      <c r="A253" t="inlineStr">
        <is>
          <t>R250312-amperehour</t>
        </is>
      </c>
      <c r="B253" t="inlineStr">
        <is>
          <t>AmpereHour Energy</t>
        </is>
      </c>
      <c r="C253" s="17" t="n">
        <v>45728</v>
      </c>
      <c r="D253" s="18" t="n">
        <v>45717</v>
      </c>
      <c r="E253" s="19" t="n">
        <v>5</v>
      </c>
      <c r="F253" s="19" t="n">
        <v>43.6</v>
      </c>
      <c r="G253" t="inlineStr">
        <is>
          <t>$5 million</t>
        </is>
      </c>
      <c r="H253" t="inlineStr">
        <is>
          <t>Series A</t>
        </is>
      </c>
      <c r="I253" t="inlineStr">
        <is>
          <t>Early</t>
        </is>
      </c>
      <c r="J253" t="inlineStr">
        <is>
          <t>Cleantech</t>
        </is>
      </c>
      <c r="K253" t="inlineStr">
        <is>
          <t>Mumbai</t>
        </is>
      </c>
      <c r="L253" t="inlineStr">
        <is>
          <t>Avaana Capital</t>
        </is>
      </c>
      <c r="M253" t="inlineStr">
        <is>
          <t>Avaana Capital; UC Impower</t>
        </is>
      </c>
      <c r="N253" t="inlineStr">
        <is>
          <t>entrackr | inc42 | et</t>
        </is>
      </c>
      <c r="O253" s="20" t="n">
        <v>3</v>
      </c>
      <c r="P253" s="21" t="n">
        <v>0</v>
      </c>
      <c r="Q253" t="inlineStr"/>
      <c r="R253" s="22" t="inlineStr">
        <is>
          <t>https://entrackr.com/snippets/energy-storage-startup-amperehour-raises-5-mn-8845730</t>
        </is>
      </c>
    </row>
    <row r="254">
      <c r="A254" t="inlineStr">
        <is>
          <t>R250312-scimplify</t>
        </is>
      </c>
      <c r="B254" t="inlineStr">
        <is>
          <t>Scimplify</t>
        </is>
      </c>
      <c r="C254" s="17" t="n">
        <v>45728</v>
      </c>
      <c r="D254" s="18" t="n">
        <v>45717</v>
      </c>
      <c r="E254" s="19" t="n">
        <v>40</v>
      </c>
      <c r="F254" s="19" t="n">
        <v>348.8</v>
      </c>
      <c r="G254" t="inlineStr">
        <is>
          <t>$40 million</t>
        </is>
      </c>
      <c r="H254" t="inlineStr">
        <is>
          <t>Series B</t>
        </is>
      </c>
      <c r="I254" t="inlineStr">
        <is>
          <t>Growth</t>
        </is>
      </c>
      <c r="J254" t="inlineStr">
        <is>
          <t>Enterprise Tech</t>
        </is>
      </c>
      <c r="K254" t="inlineStr">
        <is>
          <t>Bengaluru</t>
        </is>
      </c>
      <c r="L254" t="inlineStr">
        <is>
          <t>Accel; Bertelsmann Investments</t>
        </is>
      </c>
      <c r="M254" t="inlineStr">
        <is>
          <t>Accel; Bertelsmann Investments; UMI; Omnivore; 3one4 Capital</t>
        </is>
      </c>
      <c r="N254" t="inlineStr">
        <is>
          <t>entrackr | inc42 | et | vccircle</t>
        </is>
      </c>
      <c r="O254" s="20" t="n">
        <v>4</v>
      </c>
      <c r="P254" s="21" t="n">
        <v>0</v>
      </c>
      <c r="Q254" t="inlineStr"/>
      <c r="R254" s="22" t="inlineStr">
        <is>
          <t>https://entrackr.com/news/specialty-chemicals-startup-scimplify-raises-40-mn-in-series-b-round-8847517</t>
        </is>
      </c>
    </row>
    <row r="255">
      <c r="A255" t="inlineStr">
        <is>
          <t>R250312-weskill</t>
        </is>
      </c>
      <c r="B255" t="inlineStr">
        <is>
          <t>Weskill</t>
        </is>
      </c>
      <c r="C255" s="17" t="n">
        <v>45728</v>
      </c>
      <c r="D255" s="18" t="n">
        <v>45717</v>
      </c>
      <c r="E255" s="19" t="n">
        <v>4.5</v>
      </c>
      <c r="F255" s="19" t="n">
        <v>39.24</v>
      </c>
      <c r="G255" t="inlineStr">
        <is>
          <t>$4.5 Mn</t>
        </is>
      </c>
      <c r="H255" t="inlineStr">
        <is>
          <t>Pre-Seed</t>
        </is>
      </c>
      <c r="I255" t="inlineStr">
        <is>
          <t>Early</t>
        </is>
      </c>
      <c r="J255" t="inlineStr">
        <is>
          <t>Edtech</t>
        </is>
      </c>
      <c r="K255" t="inlineStr">
        <is>
          <t>Unknown</t>
        </is>
      </c>
      <c r="L255" t="inlineStr"/>
      <c r="M255" t="inlineStr"/>
      <c r="N255" t="inlineStr">
        <is>
          <t>entrackr | inc42</t>
        </is>
      </c>
      <c r="O255" s="20" t="n">
        <v>2</v>
      </c>
      <c r="P255" s="21" t="n">
        <v>0</v>
      </c>
      <c r="Q255" t="inlineStr">
        <is>
          <t>C05 C07</t>
        </is>
      </c>
      <c r="R255" s="22" t="inlineStr">
        <is>
          <t>https://entrackr.com/snippets/upskilling-platform-weskill-raises-pre-seed-round-8845993</t>
        </is>
      </c>
    </row>
    <row r="256">
      <c r="A256" t="inlineStr">
        <is>
          <t>R250313-incredfinance</t>
        </is>
      </c>
      <c r="B256" t="inlineStr">
        <is>
          <t>InCred Finance</t>
        </is>
      </c>
      <c r="C256" s="17" t="n">
        <v>45729</v>
      </c>
      <c r="D256" s="18" t="n">
        <v>45717</v>
      </c>
      <c r="E256" s="19" t="n">
        <v>30</v>
      </c>
      <c r="F256" s="19" t="n">
        <v>261.15</v>
      </c>
      <c r="G256" t="inlineStr">
        <is>
          <t>$30 Mn</t>
        </is>
      </c>
      <c r="H256" t="inlineStr">
        <is>
          <t>Debt</t>
        </is>
      </c>
      <c r="I256" t="inlineStr">
        <is>
          <t>Debt</t>
        </is>
      </c>
      <c r="J256" t="inlineStr">
        <is>
          <t>Fintech</t>
        </is>
      </c>
      <c r="K256" t="inlineStr">
        <is>
          <t>Unknown</t>
        </is>
      </c>
      <c r="L256" t="inlineStr">
        <is>
          <t>Neo Group</t>
        </is>
      </c>
      <c r="M256" t="inlineStr">
        <is>
          <t>Neo Group; MAS Financial Services; CredAvenue Securities</t>
        </is>
      </c>
      <c r="N256" t="inlineStr">
        <is>
          <t>inc42</t>
        </is>
      </c>
      <c r="O256" s="20" t="n">
        <v>1</v>
      </c>
      <c r="P256" s="21" t="n">
        <v>0</v>
      </c>
      <c r="Q256" t="inlineStr">
        <is>
          <t>C07</t>
        </is>
      </c>
      <c r="R256" s="22" t="inlineStr">
        <is>
          <t>https://inc42.com/buzz/from-zolve-to-scimplify-indian-startups-raised-429-mn-this-week/</t>
        </is>
      </c>
    </row>
    <row r="257">
      <c r="A257" t="inlineStr">
        <is>
          <t>R250313-neuraldefend</t>
        </is>
      </c>
      <c r="B257" t="inlineStr">
        <is>
          <t>Neural Defend</t>
        </is>
      </c>
      <c r="C257" s="17" t="n">
        <v>45729</v>
      </c>
      <c r="D257" s="18" t="n">
        <v>45717</v>
      </c>
      <c r="E257" s="19" t="n">
        <v>0.6</v>
      </c>
      <c r="F257" s="19" t="n">
        <v>5.22</v>
      </c>
      <c r="G257" t="inlineStr">
        <is>
          <t>$600K</t>
        </is>
      </c>
      <c r="H257" t="inlineStr">
        <is>
          <t>Pre-Seed</t>
        </is>
      </c>
      <c r="I257" t="inlineStr">
        <is>
          <t>Early</t>
        </is>
      </c>
      <c r="J257" t="inlineStr">
        <is>
          <t>Enterprise Tech</t>
        </is>
      </c>
      <c r="K257" t="inlineStr">
        <is>
          <t>Unknown</t>
        </is>
      </c>
      <c r="L257" t="inlineStr">
        <is>
          <t>Inflection Point Ventures</t>
        </is>
      </c>
      <c r="M257" t="inlineStr">
        <is>
          <t>Inflection Point Ventures; MIT SBXI; Techstars San Francisco; Soonicorn Ventures</t>
        </is>
      </c>
      <c r="N257" t="inlineStr">
        <is>
          <t>entrackr | inc42</t>
        </is>
      </c>
      <c r="O257" s="20" t="n">
        <v>2</v>
      </c>
      <c r="P257" s="21" t="n">
        <v>0</v>
      </c>
      <c r="Q257" t="inlineStr">
        <is>
          <t>C07</t>
        </is>
      </c>
      <c r="R257" s="22" t="inlineStr">
        <is>
          <t>https://entrackr.com/snippets/deepfake-detection-startup-neural-defend-secures-pre-seed-funding-8849571</t>
        </is>
      </c>
    </row>
    <row r="258">
      <c r="A258" t="inlineStr">
        <is>
          <t>R250313-purplestylelab</t>
        </is>
      </c>
      <c r="B258" t="inlineStr">
        <is>
          <t>Purple Style Labs</t>
        </is>
      </c>
      <c r="C258" s="17" t="n">
        <v>45729</v>
      </c>
      <c r="D258" s="18" t="n">
        <v>45717</v>
      </c>
      <c r="E258" s="19" t="n">
        <v>40</v>
      </c>
      <c r="F258" s="19" t="n">
        <v>348.2</v>
      </c>
      <c r="G258" t="inlineStr">
        <is>
          <t>$40 million</t>
        </is>
      </c>
      <c r="H258" t="inlineStr">
        <is>
          <t>Series E</t>
        </is>
      </c>
      <c r="I258" t="inlineStr">
        <is>
          <t>Late</t>
        </is>
      </c>
      <c r="J258" t="inlineStr">
        <is>
          <t>Ecommerce</t>
        </is>
      </c>
      <c r="K258" t="inlineStr">
        <is>
          <t>Unknown</t>
        </is>
      </c>
      <c r="L258" t="inlineStr">
        <is>
          <t>SageOne Flagship Growth OE Fund; Alchemy Long Term Ventures Fund; Minerva Ventures Fund; Bajaj Holdings</t>
        </is>
      </c>
      <c r="M258" t="inlineStr">
        <is>
          <t>SageOne Flagship Growth OE Fund; Alchemy Long Term Ventures Fund; Minerva Ventures Fund; Bajaj Holdings; S Four Capital; Sopariwala Exports; Kemfin Family Office; Cordelia Family Trust; Weikfield Family Office; Salil Taneja Family Office; PKM Capital; Singularity Growth Opportunities Fund I; Pidilite Family Office; Signet Family Office; Rupa Family Office; Kiran Gems Family Office</t>
        </is>
      </c>
      <c r="N258" t="inlineStr">
        <is>
          <t>entrackr | inc42 | vccircle</t>
        </is>
      </c>
      <c r="O258" s="20" t="n">
        <v>3</v>
      </c>
      <c r="P258" s="21" t="n">
        <v>0</v>
      </c>
      <c r="Q258" t="inlineStr">
        <is>
          <t>C07</t>
        </is>
      </c>
      <c r="R258" s="22" t="inlineStr">
        <is>
          <t>https://entrackr.com/news/purple-style-labs-raises-40-mn-in-series-e-funding-8849479</t>
        </is>
      </c>
    </row>
    <row r="259">
      <c r="A259" t="inlineStr">
        <is>
          <t>R250313-rangsonsaerosp</t>
        </is>
      </c>
      <c r="B259" t="inlineStr">
        <is>
          <t>Rangsons Aerospace</t>
        </is>
      </c>
      <c r="C259" s="17" t="n">
        <v>45729</v>
      </c>
      <c r="D259" s="18" t="n">
        <v>45717</v>
      </c>
      <c r="E259" s="19" t="n">
        <v>34.463</v>
      </c>
      <c r="F259" s="19" t="n">
        <v>300</v>
      </c>
      <c r="G259" t="inlineStr">
        <is>
          <t>Rs 300 crore</t>
        </is>
      </c>
      <c r="H259" t="inlineStr">
        <is>
          <t>Undisclosed</t>
        </is>
      </c>
      <c r="I259" t="inlineStr">
        <is>
          <t>Undisclosed</t>
        </is>
      </c>
      <c r="J259" t="inlineStr">
        <is>
          <t>Advanced Hardware &amp; Technology</t>
        </is>
      </c>
      <c r="K259" t="inlineStr">
        <is>
          <t>Mysuru</t>
        </is>
      </c>
      <c r="L259" t="inlineStr">
        <is>
          <t>ValueQuest Investment Advisors</t>
        </is>
      </c>
      <c r="M259" t="inlineStr">
        <is>
          <t>ValueQuest Investment Advisors</t>
        </is>
      </c>
      <c r="N259" t="inlineStr">
        <is>
          <t>entrackr | et | vccircle</t>
        </is>
      </c>
      <c r="O259" s="20" t="n">
        <v>3</v>
      </c>
      <c r="P259" s="21" t="n">
        <v>0</v>
      </c>
      <c r="Q259" t="inlineStr">
        <is>
          <t>C04</t>
        </is>
      </c>
      <c r="R259" s="22" t="inlineStr">
        <is>
          <t>https://entrackr.com/snippets/rangsons-aerospace-raises-rs-300-cr-led-by-valuequest-8849243</t>
        </is>
      </c>
    </row>
    <row r="260">
      <c r="A260" t="inlineStr">
        <is>
          <t>R250317-chaikings</t>
        </is>
      </c>
      <c r="B260" t="inlineStr">
        <is>
          <t>Chai Kings</t>
        </is>
      </c>
      <c r="C260" s="17" t="n">
        <v>45733</v>
      </c>
      <c r="D260" s="18" t="n">
        <v>45717</v>
      </c>
      <c r="E260" s="19" t="n">
        <v>3</v>
      </c>
      <c r="F260" s="19" t="n">
        <v>26.04</v>
      </c>
      <c r="G260" t="inlineStr">
        <is>
          <t>$3 million</t>
        </is>
      </c>
      <c r="H260" t="inlineStr">
        <is>
          <t>Series A</t>
        </is>
      </c>
      <c r="I260" t="inlineStr">
        <is>
          <t>Early</t>
        </is>
      </c>
      <c r="J260" t="inlineStr">
        <is>
          <t>Ecommerce</t>
        </is>
      </c>
      <c r="K260" t="inlineStr">
        <is>
          <t>Chennai</t>
        </is>
      </c>
      <c r="L260" t="inlineStr"/>
      <c r="M260" t="inlineStr">
        <is>
          <t>A.V. Thomas; Co</t>
        </is>
      </c>
      <c r="N260" t="inlineStr">
        <is>
          <t>entrackr</t>
        </is>
      </c>
      <c r="O260" s="20" t="n">
        <v>1</v>
      </c>
      <c r="P260" s="21" t="n">
        <v>0</v>
      </c>
      <c r="Q260" t="inlineStr"/>
      <c r="R260" s="22" t="inlineStr">
        <is>
          <t>https://entrackr.com/snippets/chai-kings-bags-3-mn-in-series-a-round-8861051</t>
        </is>
      </c>
    </row>
    <row r="261">
      <c r="A261" t="inlineStr">
        <is>
          <t>R250317-nivarahomefina</t>
        </is>
      </c>
      <c r="B261" t="inlineStr">
        <is>
          <t>Nivara Home Finance</t>
        </is>
      </c>
      <c r="C261" s="17" t="n">
        <v>45733</v>
      </c>
      <c r="D261" s="18" t="n">
        <v>45717</v>
      </c>
      <c r="E261" s="19" t="n">
        <v>28</v>
      </c>
      <c r="F261" s="19" t="n">
        <v>243.01</v>
      </c>
      <c r="G261" t="inlineStr">
        <is>
          <t>$28 Mn</t>
        </is>
      </c>
      <c r="H261" t="inlineStr">
        <is>
          <t>Series B</t>
        </is>
      </c>
      <c r="I261" t="inlineStr">
        <is>
          <t>Growth</t>
        </is>
      </c>
      <c r="J261" t="inlineStr">
        <is>
          <t>Fintech</t>
        </is>
      </c>
      <c r="K261" t="inlineStr">
        <is>
          <t>Unknown</t>
        </is>
      </c>
      <c r="L261" t="inlineStr">
        <is>
          <t>True North</t>
        </is>
      </c>
      <c r="M261" t="inlineStr">
        <is>
          <t>True North; Baring Private Equity; Sunil Rohokale; Monik Koticha</t>
        </is>
      </c>
      <c r="N261" t="inlineStr">
        <is>
          <t>inc42 | vccircle</t>
        </is>
      </c>
      <c r="O261" s="20" t="n">
        <v>2</v>
      </c>
      <c r="P261" s="21" t="n">
        <v>0</v>
      </c>
      <c r="Q261" t="inlineStr">
        <is>
          <t>C07</t>
        </is>
      </c>
      <c r="R261" s="22" t="inlineStr">
        <is>
          <t>https://inc42.com/buzz/from-nivara-home-finance-to-pilgrim-indian-startups-raised-109-mn-this-week/</t>
        </is>
      </c>
    </row>
    <row r="262">
      <c r="A262" t="inlineStr">
        <is>
          <t>R250317-otipy</t>
        </is>
      </c>
      <c r="B262" t="inlineStr">
        <is>
          <t>Otipy</t>
        </is>
      </c>
      <c r="C262" s="17" t="n">
        <v>45733</v>
      </c>
      <c r="D262" s="18" t="n">
        <v>45717</v>
      </c>
      <c r="E262" s="19" t="n">
        <v>2</v>
      </c>
      <c r="F262" s="19" t="n">
        <v>17.36</v>
      </c>
      <c r="G262" t="inlineStr">
        <is>
          <t>$2 million</t>
        </is>
      </c>
      <c r="H262" t="inlineStr">
        <is>
          <t>Debt</t>
        </is>
      </c>
      <c r="I262" t="inlineStr">
        <is>
          <t>Debt</t>
        </is>
      </c>
      <c r="J262" t="inlineStr">
        <is>
          <t>Agritech</t>
        </is>
      </c>
      <c r="K262" t="inlineStr">
        <is>
          <t>Unknown</t>
        </is>
      </c>
      <c r="L262" t="inlineStr"/>
      <c r="M262" t="inlineStr">
        <is>
          <t>Nuvama Asset Management Limited</t>
        </is>
      </c>
      <c r="N262" t="inlineStr">
        <is>
          <t>entrackr</t>
        </is>
      </c>
      <c r="O262" s="20" t="n">
        <v>1</v>
      </c>
      <c r="P262" s="21" t="n">
        <v>0</v>
      </c>
      <c r="Q262" t="inlineStr">
        <is>
          <t>C07</t>
        </is>
      </c>
      <c r="R262" s="22" t="inlineStr">
        <is>
          <t>https://entrackr.com/snippets/otipy-raises-2-mn-in-venture-debt-from-nuvama-8861630</t>
        </is>
      </c>
    </row>
    <row r="263">
      <c r="A263" t="inlineStr">
        <is>
          <t>R250317-shoegr</t>
        </is>
      </c>
      <c r="B263" t="inlineStr">
        <is>
          <t>SHOEGR</t>
        </is>
      </c>
      <c r="C263" s="17" t="n">
        <v>45733</v>
      </c>
      <c r="D263" s="18" t="n">
        <v>45717</v>
      </c>
      <c r="E263" s="19" t="n">
        <v>0.1</v>
      </c>
      <c r="F263" s="19" t="n">
        <v>0.87</v>
      </c>
      <c r="G263" t="inlineStr">
        <is>
          <t>$100K</t>
        </is>
      </c>
      <c r="H263" t="inlineStr">
        <is>
          <t>Pre-Seed</t>
        </is>
      </c>
      <c r="I263" t="inlineStr">
        <is>
          <t>Early</t>
        </is>
      </c>
      <c r="J263" t="inlineStr">
        <is>
          <t>Ecommerce</t>
        </is>
      </c>
      <c r="K263" t="inlineStr">
        <is>
          <t>Chandigarh</t>
        </is>
      </c>
      <c r="L263" t="inlineStr"/>
      <c r="M263" t="inlineStr">
        <is>
          <t>PedalStart</t>
        </is>
      </c>
      <c r="N263" t="inlineStr">
        <is>
          <t>entrackr</t>
        </is>
      </c>
      <c r="O263" s="20" t="n">
        <v>1</v>
      </c>
      <c r="P263" s="21" t="n">
        <v>0</v>
      </c>
      <c r="Q263" t="inlineStr"/>
      <c r="R263" s="22" t="inlineStr">
        <is>
          <t>https://entrackr.com/snippets/shoe-care-brand-shoegr-raises-100k-from-pedalstart-8861039</t>
        </is>
      </c>
    </row>
    <row r="264">
      <c r="A264" t="inlineStr">
        <is>
          <t>R250317-thebearhouse</t>
        </is>
      </c>
      <c r="B264" t="inlineStr">
        <is>
          <t>The Bear House</t>
        </is>
      </c>
      <c r="C264" s="17" t="n">
        <v>45733</v>
      </c>
      <c r="D264" s="18" t="n">
        <v>45717</v>
      </c>
      <c r="E264" s="19" t="n">
        <v>0.349</v>
      </c>
      <c r="F264" s="19" t="n">
        <v>3.03</v>
      </c>
      <c r="G264" t="inlineStr">
        <is>
          <t>$349K</t>
        </is>
      </c>
      <c r="H264" t="inlineStr">
        <is>
          <t>Undisclosed</t>
        </is>
      </c>
      <c r="I264" t="inlineStr">
        <is>
          <t>Undisclosed</t>
        </is>
      </c>
      <c r="J264" t="inlineStr">
        <is>
          <t>Ecommerce</t>
        </is>
      </c>
      <c r="K264" t="inlineStr">
        <is>
          <t>Bengaluru</t>
        </is>
      </c>
      <c r="L264" t="inlineStr">
        <is>
          <t>Namita Thapar</t>
        </is>
      </c>
      <c r="M264" t="inlineStr">
        <is>
          <t>Namita Thapar</t>
        </is>
      </c>
      <c r="N264" t="inlineStr">
        <is>
          <t>inc42</t>
        </is>
      </c>
      <c r="O264" s="20" t="n">
        <v>1</v>
      </c>
      <c r="P264" s="21" t="n">
        <v>0</v>
      </c>
      <c r="Q264" t="inlineStr">
        <is>
          <t>C04</t>
        </is>
      </c>
      <c r="R264" s="22" t="inlineStr">
        <is>
          <t>https://inc42.com/buzz/from-nivara-home-finance-to-pilgrim-indian-startups-raised-109-mn-this-week/</t>
        </is>
      </c>
    </row>
    <row r="265">
      <c r="A265" t="inlineStr">
        <is>
          <t>R250318-broadway</t>
        </is>
      </c>
      <c r="B265" t="inlineStr">
        <is>
          <t>Broadway</t>
        </is>
      </c>
      <c r="C265" s="17" t="n">
        <v>45734</v>
      </c>
      <c r="D265" s="18" t="n">
        <v>45717</v>
      </c>
      <c r="E265" s="19" t="n"/>
      <c r="F265" s="19" t="n"/>
      <c r="G265" t="inlineStr"/>
      <c r="H265" t="inlineStr">
        <is>
          <t>Undisclosed</t>
        </is>
      </c>
      <c r="I265" t="inlineStr">
        <is>
          <t>Undisclosed</t>
        </is>
      </c>
      <c r="J265" t="inlineStr">
        <is>
          <t>Ecommerce</t>
        </is>
      </c>
      <c r="K265" t="inlineStr">
        <is>
          <t>Unknown</t>
        </is>
      </c>
      <c r="L265" t="inlineStr">
        <is>
          <t>Gruhas</t>
        </is>
      </c>
      <c r="M265" t="inlineStr">
        <is>
          <t>Gruhas</t>
        </is>
      </c>
      <c r="N265" t="inlineStr">
        <is>
          <t>inc42</t>
        </is>
      </c>
      <c r="O265" s="20" t="n">
        <v>1</v>
      </c>
      <c r="P265" s="21" t="n"/>
      <c r="Q265" t="inlineStr">
        <is>
          <t>C03 C04 C07</t>
        </is>
      </c>
      <c r="R265" s="22" t="inlineStr">
        <is>
          <t>https://inc42.com/buzz/from-nivara-home-finance-to-pilgrim-indian-startups-raised-109-mn-this-week/</t>
        </is>
      </c>
    </row>
    <row r="266">
      <c r="A266" t="inlineStr">
        <is>
          <t>R250318-gooat</t>
        </is>
      </c>
      <c r="B266" t="inlineStr">
        <is>
          <t>GoOAT</t>
        </is>
      </c>
      <c r="C266" s="17" t="n">
        <v>45734</v>
      </c>
      <c r="D266" s="18" t="n">
        <v>45717</v>
      </c>
      <c r="E266" s="19" t="n"/>
      <c r="F266" s="19" t="n"/>
      <c r="G266" t="inlineStr"/>
      <c r="H266" t="inlineStr">
        <is>
          <t>Pre-Seed</t>
        </is>
      </c>
      <c r="I266" t="inlineStr">
        <is>
          <t>Early</t>
        </is>
      </c>
      <c r="J266" t="inlineStr">
        <is>
          <t>Ecommerce</t>
        </is>
      </c>
      <c r="K266" t="inlineStr">
        <is>
          <t>Unknown</t>
        </is>
      </c>
      <c r="L266" t="inlineStr"/>
      <c r="M266" t="inlineStr">
        <is>
          <t>Deep Bajaj</t>
        </is>
      </c>
      <c r="N266" t="inlineStr">
        <is>
          <t>entrackr</t>
        </is>
      </c>
      <c r="O266" s="20" t="n">
        <v>1</v>
      </c>
      <c r="P266" s="21" t="n"/>
      <c r="Q266" t="inlineStr">
        <is>
          <t>C03 C07</t>
        </is>
      </c>
      <c r="R266" s="22" t="inlineStr">
        <is>
          <t>https://entrackr.com/snippets/gooat-raises-pre-seed-round-led-by-d2c-insider-super-angels-8864524</t>
        </is>
      </c>
    </row>
    <row r="267">
      <c r="A267" t="inlineStr">
        <is>
          <t>R250318-gozero</t>
        </is>
      </c>
      <c r="B267" t="inlineStr">
        <is>
          <t>Go Zero</t>
        </is>
      </c>
      <c r="C267" s="17" t="n">
        <v>45734</v>
      </c>
      <c r="D267" s="18" t="n">
        <v>45717</v>
      </c>
      <c r="E267" s="19" t="n">
        <v>3.466</v>
      </c>
      <c r="F267" s="19" t="n">
        <v>30</v>
      </c>
      <c r="G267" t="inlineStr">
        <is>
          <t>Rs 30 crore</t>
        </is>
      </c>
      <c r="H267" t="inlineStr">
        <is>
          <t>Series A</t>
        </is>
      </c>
      <c r="I267" t="inlineStr">
        <is>
          <t>Early</t>
        </is>
      </c>
      <c r="J267" t="inlineStr">
        <is>
          <t>Ecommerce</t>
        </is>
      </c>
      <c r="K267" t="inlineStr">
        <is>
          <t>Unknown</t>
        </is>
      </c>
      <c r="L267" t="inlineStr"/>
      <c r="M267" t="inlineStr">
        <is>
          <t>DSG Consumer Partners; Saama Capital; V3 Ventures; Aman Gupta; Namita Thapar</t>
        </is>
      </c>
      <c r="N267" t="inlineStr">
        <is>
          <t>entrackr | inc42 | et</t>
        </is>
      </c>
      <c r="O267" s="20" t="n">
        <v>3</v>
      </c>
      <c r="P267" s="21" t="n">
        <v>1</v>
      </c>
      <c r="Q267" t="inlineStr">
        <is>
          <t>C07</t>
        </is>
      </c>
      <c r="R267" s="22" t="inlineStr">
        <is>
          <t>https://entrackr.com/snippets/go-zero-secures-rs-30-cr-in-series-a-round-8864759</t>
        </is>
      </c>
    </row>
    <row r="268">
      <c r="A268" t="inlineStr">
        <is>
          <t>R250318-hypergroai</t>
        </is>
      </c>
      <c r="B268" t="inlineStr">
        <is>
          <t>Hypergro.ai</t>
        </is>
      </c>
      <c r="C268" s="17" t="n">
        <v>45734</v>
      </c>
      <c r="D268" s="18" t="n">
        <v>45717</v>
      </c>
      <c r="E268" s="19" t="n">
        <v>0.8090000000000001</v>
      </c>
      <c r="F268" s="19" t="n">
        <v>7</v>
      </c>
      <c r="G268" t="inlineStr">
        <is>
          <t>Rs 7 crore</t>
        </is>
      </c>
      <c r="H268" t="inlineStr">
        <is>
          <t>Pre-Series A</t>
        </is>
      </c>
      <c r="I268" t="inlineStr">
        <is>
          <t>Early</t>
        </is>
      </c>
      <c r="J268" t="inlineStr">
        <is>
          <t>Enterprise Tech</t>
        </is>
      </c>
      <c r="K268" t="inlineStr">
        <is>
          <t>Bengaluru</t>
        </is>
      </c>
      <c r="L268" t="inlineStr">
        <is>
          <t>Eternal Capital; VCats; Astir Ventures</t>
        </is>
      </c>
      <c r="M268" t="inlineStr">
        <is>
          <t>Eternal Capital; Silver Needle Ventures; VCats; Astir Ventures; FAAD Network</t>
        </is>
      </c>
      <c r="N268" t="inlineStr">
        <is>
          <t>entrackr | inc42</t>
        </is>
      </c>
      <c r="O268" s="20" t="n">
        <v>2</v>
      </c>
      <c r="P268" s="21" t="n">
        <v>0.6</v>
      </c>
      <c r="Q268" t="inlineStr"/>
      <c r="R268" s="22" t="inlineStr">
        <is>
          <t>https://entrackr.com/snippets/hypergroai-raises-rs-7-cr-in-pre-series-a-round-8864637</t>
        </is>
      </c>
    </row>
    <row r="269">
      <c r="A269" t="inlineStr">
        <is>
          <t>R250318-ihubrobotics</t>
        </is>
      </c>
      <c r="B269" t="inlineStr">
        <is>
          <t>iHub Robotics</t>
        </is>
      </c>
      <c r="C269" s="17" t="n">
        <v>45734</v>
      </c>
      <c r="D269" s="18" t="n">
        <v>45717</v>
      </c>
      <c r="E269" s="19" t="n">
        <v>0.497</v>
      </c>
      <c r="F269" s="19" t="n">
        <v>4.3</v>
      </c>
      <c r="G269" t="inlineStr">
        <is>
          <t>Rs 4.3 crore</t>
        </is>
      </c>
      <c r="H269" t="inlineStr">
        <is>
          <t>Pre-Seed</t>
        </is>
      </c>
      <c r="I269" t="inlineStr">
        <is>
          <t>Early</t>
        </is>
      </c>
      <c r="J269" t="inlineStr">
        <is>
          <t>Deeptech</t>
        </is>
      </c>
      <c r="K269" t="inlineStr">
        <is>
          <t>Unknown</t>
        </is>
      </c>
      <c r="L269" t="inlineStr"/>
      <c r="M269" t="inlineStr"/>
      <c r="N269" t="inlineStr">
        <is>
          <t>entrackr | inc42</t>
        </is>
      </c>
      <c r="O269" s="20" t="n">
        <v>2</v>
      </c>
      <c r="P269" s="21" t="n">
        <v>4.7</v>
      </c>
      <c r="Q269" t="inlineStr">
        <is>
          <t>C05 C07</t>
        </is>
      </c>
      <c r="R269" s="22" t="inlineStr">
        <is>
          <t>https://entrackr.com/snippets/ihub-robotics-raises-rs-43-cr-in-pre-seed-round-8865541</t>
        </is>
      </c>
    </row>
    <row r="270">
      <c r="A270" t="inlineStr">
        <is>
          <t>R250318-pilgrim</t>
        </is>
      </c>
      <c r="B270" t="inlineStr">
        <is>
          <t>Pilgrim</t>
        </is>
      </c>
      <c r="C270" s="17" t="n">
        <v>45734</v>
      </c>
      <c r="D270" s="18" t="n">
        <v>45717</v>
      </c>
      <c r="E270" s="19" t="n">
        <v>23.108</v>
      </c>
      <c r="F270" s="19" t="n">
        <v>200</v>
      </c>
      <c r="G270" t="inlineStr">
        <is>
          <t>Rs 200 crore</t>
        </is>
      </c>
      <c r="H270" t="inlineStr">
        <is>
          <t>Undisclosed</t>
        </is>
      </c>
      <c r="I270" t="inlineStr">
        <is>
          <t>Undisclosed</t>
        </is>
      </c>
      <c r="J270" t="inlineStr">
        <is>
          <t>Ecommerce</t>
        </is>
      </c>
      <c r="K270" t="inlineStr">
        <is>
          <t>Mumbai</t>
        </is>
      </c>
      <c r="L270" t="inlineStr"/>
      <c r="M270" t="inlineStr">
        <is>
          <t>Narotam Sekhsaria Family Office; Vertex Ventures SEAI; Mirabilis Investment Trust; Vertex Growth Fund; Anicut Equity Continuum Fund; Sattva Family Office</t>
        </is>
      </c>
      <c r="N270" t="inlineStr">
        <is>
          <t>entrackr | inc42 | et</t>
        </is>
      </c>
      <c r="O270" s="20" t="n">
        <v>3</v>
      </c>
      <c r="P270" s="21" t="n">
        <v>0.5</v>
      </c>
      <c r="Q270" t="inlineStr">
        <is>
          <t>C04</t>
        </is>
      </c>
      <c r="R270" s="22" t="inlineStr">
        <is>
          <t>https://entrackr.com/news/d2c-brand-pilgrim-raises-rs-200-cr-in-primary-and-secondary-funding-8864052</t>
        </is>
      </c>
    </row>
    <row r="271">
      <c r="A271" t="inlineStr">
        <is>
          <t>R250318-protecttai</t>
        </is>
      </c>
      <c r="B271" t="inlineStr">
        <is>
          <t>Protectt.ai</t>
        </is>
      </c>
      <c r="C271" s="17" t="n">
        <v>45734</v>
      </c>
      <c r="D271" s="18" t="n">
        <v>45717</v>
      </c>
      <c r="E271" s="19" t="n">
        <v>8.781000000000001</v>
      </c>
      <c r="F271" s="19" t="n">
        <v>76</v>
      </c>
      <c r="G271" t="inlineStr">
        <is>
          <t>Rs 76 crore</t>
        </is>
      </c>
      <c r="H271" t="inlineStr">
        <is>
          <t>Series A</t>
        </is>
      </c>
      <c r="I271" t="inlineStr">
        <is>
          <t>Early</t>
        </is>
      </c>
      <c r="J271" t="inlineStr">
        <is>
          <t>Enterprise Tech</t>
        </is>
      </c>
      <c r="K271" t="inlineStr">
        <is>
          <t>Unknown</t>
        </is>
      </c>
      <c r="L271" t="inlineStr">
        <is>
          <t>Bessemer Venture Partners</t>
        </is>
      </c>
      <c r="M271" t="inlineStr">
        <is>
          <t>Bessemer Venture Partners</t>
        </is>
      </c>
      <c r="N271" t="inlineStr">
        <is>
          <t>entrackr | inc42</t>
        </is>
      </c>
      <c r="O271" s="20" t="n">
        <v>2</v>
      </c>
      <c r="P271" s="21" t="n">
        <v>0.9</v>
      </c>
      <c r="Q271" t="inlineStr">
        <is>
          <t>C07</t>
        </is>
      </c>
      <c r="R271" s="22" t="inlineStr">
        <is>
          <t>https://entrackr.com/snippets/protecttai-raises-rs-76-cr-in-series-a-round-led-by-bessemer-8864142</t>
        </is>
      </c>
    </row>
    <row r="272">
      <c r="A272" t="inlineStr">
        <is>
          <t>R250318-slikkclub</t>
        </is>
      </c>
      <c r="B272" t="inlineStr">
        <is>
          <t>Slikk Club</t>
        </is>
      </c>
      <c r="C272" s="17" t="n">
        <v>45734</v>
      </c>
      <c r="D272" s="18" t="n">
        <v>45717</v>
      </c>
      <c r="E272" s="19" t="n">
        <v>3.2</v>
      </c>
      <c r="F272" s="19" t="n">
        <v>27.7</v>
      </c>
      <c r="G272" t="inlineStr">
        <is>
          <t>$3.2 million</t>
        </is>
      </c>
      <c r="H272" t="inlineStr">
        <is>
          <t>Seed</t>
        </is>
      </c>
      <c r="I272" t="inlineStr">
        <is>
          <t>Early</t>
        </is>
      </c>
      <c r="J272" t="inlineStr">
        <is>
          <t>Consumer Services</t>
        </is>
      </c>
      <c r="K272" t="inlineStr">
        <is>
          <t>Bengaluru</t>
        </is>
      </c>
      <c r="L272" t="inlineStr">
        <is>
          <t>Lightspeed</t>
        </is>
      </c>
      <c r="M272" t="inlineStr">
        <is>
          <t>Lightspeed; Multiply Ventures; Abhishek Goyal; Madhav Tandan; Abhinav Pathak; Saurabh Gupta; Panthera Peak Ventures’ Nikhil Bhandarkar</t>
        </is>
      </c>
      <c r="N272" t="inlineStr">
        <is>
          <t>entrackr | inc42 | et</t>
        </is>
      </c>
      <c r="O272" s="20" t="n">
        <v>3</v>
      </c>
      <c r="P272" s="21" t="n">
        <v>0</v>
      </c>
      <c r="Q272" t="inlineStr"/>
      <c r="R272" s="22" t="inlineStr">
        <is>
          <t>https://entrackr.com/snippets/fashion-delivery-platform-slikk-club-raises-32-mn-in-seed-round-8863595</t>
        </is>
      </c>
    </row>
    <row r="273">
      <c r="A273" t="inlineStr">
        <is>
          <t>R250318-yourspace</t>
        </is>
      </c>
      <c r="B273" t="inlineStr">
        <is>
          <t>Your-Space</t>
        </is>
      </c>
      <c r="C273" s="17" t="n">
        <v>45734</v>
      </c>
      <c r="D273" s="18" t="n">
        <v>45717</v>
      </c>
      <c r="E273" s="19" t="n">
        <v>8.087999999999999</v>
      </c>
      <c r="F273" s="19" t="n">
        <v>70</v>
      </c>
      <c r="G273" t="inlineStr">
        <is>
          <t>Rs 70 crore</t>
        </is>
      </c>
      <c r="H273" t="inlineStr">
        <is>
          <t>Debt</t>
        </is>
      </c>
      <c r="I273" t="inlineStr">
        <is>
          <t>Debt</t>
        </is>
      </c>
      <c r="J273" t="inlineStr">
        <is>
          <t>Real Estate Tech</t>
        </is>
      </c>
      <c r="K273" t="inlineStr">
        <is>
          <t>Delhi NCR</t>
        </is>
      </c>
      <c r="L273" t="inlineStr">
        <is>
          <t>Shantanu Rastogi; Managing Director of General Atlantic</t>
        </is>
      </c>
      <c r="M273" t="inlineStr">
        <is>
          <t>Shantanu Rastogi; Managing Director of General Atlantic; Castle Investments; Ajax Capital</t>
        </is>
      </c>
      <c r="N273" t="inlineStr">
        <is>
          <t>entrackr</t>
        </is>
      </c>
      <c r="O273" s="20" t="n">
        <v>1</v>
      </c>
      <c r="P273" s="21" t="n">
        <v>0</v>
      </c>
      <c r="Q273" t="inlineStr"/>
      <c r="R273" s="22" t="inlineStr">
        <is>
          <t>https://entrackr.com/exclusive/exclusive-student-housing-startup-your-space-raises-82-mn-debt-8864866</t>
        </is>
      </c>
    </row>
    <row r="274">
      <c r="A274" t="inlineStr">
        <is>
          <t>R250318-yummybee</t>
        </is>
      </c>
      <c r="B274" t="inlineStr">
        <is>
          <t>Yummy Bee</t>
        </is>
      </c>
      <c r="C274" s="17" t="n">
        <v>45734</v>
      </c>
      <c r="D274" s="18" t="n">
        <v>45717</v>
      </c>
      <c r="E274" s="19" t="n">
        <v>2.08</v>
      </c>
      <c r="F274" s="19" t="n">
        <v>18</v>
      </c>
      <c r="G274" t="inlineStr">
        <is>
          <t>Rs 18 crore</t>
        </is>
      </c>
      <c r="H274" t="inlineStr">
        <is>
          <t>Undisclosed</t>
        </is>
      </c>
      <c r="I274" t="inlineStr">
        <is>
          <t>Undisclosed</t>
        </is>
      </c>
      <c r="J274" t="inlineStr">
        <is>
          <t>Unclassified</t>
        </is>
      </c>
      <c r="K274" t="inlineStr">
        <is>
          <t>Unknown</t>
        </is>
      </c>
      <c r="L274" t="inlineStr">
        <is>
          <t>Mile Deep Capital; Mohan Krishna; Ajitha Challa; Praveen Jaipuriar</t>
        </is>
      </c>
      <c r="M274" t="inlineStr">
        <is>
          <t>Mile Deep Capital; Mohan Krishna; Ajitha Challa; Praveen Jaipuriar</t>
        </is>
      </c>
      <c r="N274" t="inlineStr">
        <is>
          <t>entrackr</t>
        </is>
      </c>
      <c r="O274" s="20" t="n">
        <v>1</v>
      </c>
      <c r="P274" s="21" t="n">
        <v>0</v>
      </c>
      <c r="Q274" t="inlineStr">
        <is>
          <t>C04 C06 C07</t>
        </is>
      </c>
      <c r="R274" s="22" t="inlineStr">
        <is>
          <t>https://entrackr.com/snippets/yummy-bee-secures-rs-18-cr-to-fuel-expansion-into-mumbai-and-bengaluru-8865002</t>
        </is>
      </c>
    </row>
    <row r="275">
      <c r="A275" t="inlineStr">
        <is>
          <t>R250319-harvestedrobot</t>
        </is>
      </c>
      <c r="B275" t="inlineStr">
        <is>
          <t>Harvested Robotics</t>
        </is>
      </c>
      <c r="C275" s="17" t="n">
        <v>45735</v>
      </c>
      <c r="D275" s="18" t="n">
        <v>45717</v>
      </c>
      <c r="E275" s="19" t="n">
        <v>0.579</v>
      </c>
      <c r="F275" s="19" t="n">
        <v>5</v>
      </c>
      <c r="G275" t="inlineStr">
        <is>
          <t>Rs 5 crore</t>
        </is>
      </c>
      <c r="H275" t="inlineStr">
        <is>
          <t>Pre-Seed</t>
        </is>
      </c>
      <c r="I275" t="inlineStr">
        <is>
          <t>Early</t>
        </is>
      </c>
      <c r="J275" t="inlineStr">
        <is>
          <t>Agritech</t>
        </is>
      </c>
      <c r="K275" t="inlineStr">
        <is>
          <t>Hyderabad</t>
        </is>
      </c>
      <c r="L275" t="inlineStr">
        <is>
          <t>Arali Ventures</t>
        </is>
      </c>
      <c r="M275" t="inlineStr">
        <is>
          <t>Arali Ventures; Anand Mahindra; Chakradhar Gade</t>
        </is>
      </c>
      <c r="N275" t="inlineStr">
        <is>
          <t>entrackr | inc42</t>
        </is>
      </c>
      <c r="O275" s="20" t="n">
        <v>2</v>
      </c>
      <c r="P275" s="21" t="n">
        <v>0.5</v>
      </c>
      <c r="Q275" t="inlineStr">
        <is>
          <t>C18</t>
        </is>
      </c>
      <c r="R275" s="22" t="inlineStr">
        <is>
          <t>https://entrackr.com/snippets/harvested-robotics-raises-seed-round-from-arali-ventures-anand-mahindra-others-8868398</t>
        </is>
      </c>
    </row>
    <row r="276">
      <c r="A276" t="inlineStr">
        <is>
          <t>R250319-navadhan</t>
        </is>
      </c>
      <c r="B276" t="inlineStr">
        <is>
          <t>Navadhan</t>
        </is>
      </c>
      <c r="C276" s="17" t="n">
        <v>45735</v>
      </c>
      <c r="D276" s="18" t="n">
        <v>45717</v>
      </c>
      <c r="E276" s="19" t="n">
        <v>12.8</v>
      </c>
      <c r="F276" s="19" t="n">
        <v>110.49</v>
      </c>
      <c r="G276" t="inlineStr">
        <is>
          <t>$12.8 Mn</t>
        </is>
      </c>
      <c r="H276" t="inlineStr">
        <is>
          <t>Series A</t>
        </is>
      </c>
      <c r="I276" t="inlineStr">
        <is>
          <t>Early</t>
        </is>
      </c>
      <c r="J276" t="inlineStr">
        <is>
          <t>Fintech</t>
        </is>
      </c>
      <c r="K276" t="inlineStr">
        <is>
          <t>Unknown</t>
        </is>
      </c>
      <c r="L276" t="inlineStr">
        <is>
          <t>NabVentures; Prime Ventures</t>
        </is>
      </c>
      <c r="M276" t="inlineStr">
        <is>
          <t>NabVentures; Prime Ventures; LNB Group; Varanium NexGen Fintech Fund; Gemba Capital; Faad; VC-Grid; Anicut</t>
        </is>
      </c>
      <c r="N276" t="inlineStr">
        <is>
          <t>inc42</t>
        </is>
      </c>
      <c r="O276" s="20" t="n">
        <v>1</v>
      </c>
      <c r="P276" s="21" t="n">
        <v>0</v>
      </c>
      <c r="Q276" t="inlineStr">
        <is>
          <t>C07</t>
        </is>
      </c>
      <c r="R276" s="22" t="inlineStr">
        <is>
          <t>https://inc42.com/buzz/from-nivara-home-finance-to-pilgrim-indian-startups-raised-109-mn-this-week/</t>
        </is>
      </c>
    </row>
    <row r="277">
      <c r="A277" t="inlineStr">
        <is>
          <t>R250319-nourishyou</t>
        </is>
      </c>
      <c r="B277" t="inlineStr">
        <is>
          <t>Nourish You</t>
        </is>
      </c>
      <c r="C277" s="17" t="n">
        <v>45735</v>
      </c>
      <c r="D277" s="18" t="n">
        <v>45717</v>
      </c>
      <c r="E277" s="19" t="n">
        <v>1.854</v>
      </c>
      <c r="F277" s="19" t="n">
        <v>16</v>
      </c>
      <c r="G277" t="inlineStr">
        <is>
          <t>Rs 16 crore</t>
        </is>
      </c>
      <c r="H277" t="inlineStr">
        <is>
          <t>Series A</t>
        </is>
      </c>
      <c r="I277" t="inlineStr">
        <is>
          <t>Early</t>
        </is>
      </c>
      <c r="J277" t="inlineStr">
        <is>
          <t>Ecommerce</t>
        </is>
      </c>
      <c r="K277" t="inlineStr">
        <is>
          <t>Hyderabad</t>
        </is>
      </c>
      <c r="L277" t="inlineStr">
        <is>
          <t>SIDBI Venture Capital</t>
        </is>
      </c>
      <c r="M277" t="inlineStr">
        <is>
          <t>SIDBI Venture Capital</t>
        </is>
      </c>
      <c r="N277" t="inlineStr">
        <is>
          <t>entrackr | inc42 | et</t>
        </is>
      </c>
      <c r="O277" s="20" t="n">
        <v>3</v>
      </c>
      <c r="P277" s="21" t="n">
        <v>3</v>
      </c>
      <c r="Q277" t="inlineStr"/>
      <c r="R277" s="22" t="inlineStr">
        <is>
          <t>https://entrackr.com/snippets/nourish-you-raises-rs-16-cr-led-by-sidbi-venture-8868097</t>
        </is>
      </c>
    </row>
    <row r="278">
      <c r="A278" t="inlineStr">
        <is>
          <t>R250320-eulermotors</t>
        </is>
      </c>
      <c r="B278" t="inlineStr">
        <is>
          <t>Euler Motors</t>
        </is>
      </c>
      <c r="C278" s="17" t="n">
        <v>45736</v>
      </c>
      <c r="D278" s="18" t="n">
        <v>45717</v>
      </c>
      <c r="E278" s="19" t="n">
        <v>60.792</v>
      </c>
      <c r="F278" s="19" t="n">
        <v>525</v>
      </c>
      <c r="G278" t="inlineStr">
        <is>
          <t>Rs 525 crore</t>
        </is>
      </c>
      <c r="H278" t="inlineStr">
        <is>
          <t>Undisclosed</t>
        </is>
      </c>
      <c r="I278" t="inlineStr">
        <is>
          <t>Undisclosed</t>
        </is>
      </c>
      <c r="J278" t="inlineStr">
        <is>
          <t>Cleantech</t>
        </is>
      </c>
      <c r="K278" t="inlineStr">
        <is>
          <t>Delhi NCR</t>
        </is>
      </c>
      <c r="L278" t="inlineStr"/>
      <c r="M278" t="inlineStr"/>
      <c r="N278" t="inlineStr">
        <is>
          <t>entrackr</t>
        </is>
      </c>
      <c r="O278" s="20" t="n">
        <v>1</v>
      </c>
      <c r="P278" s="21" t="n">
        <v>0</v>
      </c>
      <c r="Q278" t="inlineStr">
        <is>
          <t>C04 C05</t>
        </is>
      </c>
      <c r="R278" s="22" t="inlineStr">
        <is>
          <t>https://entrackr.com/news/hero-motocorp-invests-over-60-mn-in-ev-startup-euler-motors-8874305</t>
        </is>
      </c>
    </row>
    <row r="279">
      <c r="A279" t="inlineStr">
        <is>
          <t>R250320-everhopeoncolo</t>
        </is>
      </c>
      <c r="B279" t="inlineStr">
        <is>
          <t>Everhope Oncology</t>
        </is>
      </c>
      <c r="C279" s="17" t="n">
        <v>45736</v>
      </c>
      <c r="D279" s="18" t="n">
        <v>45717</v>
      </c>
      <c r="E279" s="19" t="n">
        <v>10</v>
      </c>
      <c r="F279" s="19" t="n">
        <v>86.36</v>
      </c>
      <c r="G279" t="inlineStr">
        <is>
          <t>$10 million</t>
        </is>
      </c>
      <c r="H279" t="inlineStr">
        <is>
          <t>Seed</t>
        </is>
      </c>
      <c r="I279" t="inlineStr">
        <is>
          <t>Early</t>
        </is>
      </c>
      <c r="J279" t="inlineStr">
        <is>
          <t>Healthtech</t>
        </is>
      </c>
      <c r="K279" t="inlineStr">
        <is>
          <t>Unknown</t>
        </is>
      </c>
      <c r="L279" t="inlineStr"/>
      <c r="M279" t="inlineStr"/>
      <c r="N279" t="inlineStr">
        <is>
          <t>entrackr | et</t>
        </is>
      </c>
      <c r="O279" s="20" t="n">
        <v>2</v>
      </c>
      <c r="P279" s="21" t="n">
        <v>0</v>
      </c>
      <c r="Q279" t="inlineStr">
        <is>
          <t>C05 C07</t>
        </is>
      </c>
      <c r="R279" s="22" t="inlineStr">
        <is>
          <t>https://entrackr.com/snippets/everhope-oncology-raises-10-mn-in-seed-round-8871749</t>
        </is>
      </c>
    </row>
    <row r="280">
      <c r="A280" t="inlineStr">
        <is>
          <t>R250320-iyaso</t>
        </is>
      </c>
      <c r="B280" t="inlineStr">
        <is>
          <t>Iyaso</t>
        </is>
      </c>
      <c r="C280" s="17" t="n">
        <v>45736</v>
      </c>
      <c r="D280" s="18" t="n">
        <v>45717</v>
      </c>
      <c r="E280" s="19" t="n">
        <v>0.5</v>
      </c>
      <c r="F280" s="19" t="n">
        <v>4.32</v>
      </c>
      <c r="G280" t="inlineStr">
        <is>
          <t>$500K</t>
        </is>
      </c>
      <c r="H280" t="inlineStr">
        <is>
          <t>Pre-Seed</t>
        </is>
      </c>
      <c r="I280" t="inlineStr">
        <is>
          <t>Early</t>
        </is>
      </c>
      <c r="J280" t="inlineStr">
        <is>
          <t>Edtech</t>
        </is>
      </c>
      <c r="K280" t="inlineStr">
        <is>
          <t>Pune</t>
        </is>
      </c>
      <c r="L280" t="inlineStr">
        <is>
          <t>Malpani Ventures</t>
        </is>
      </c>
      <c r="M280" t="inlineStr">
        <is>
          <t>Malpani Ventures</t>
        </is>
      </c>
      <c r="N280" t="inlineStr">
        <is>
          <t>entrackr | inc42</t>
        </is>
      </c>
      <c r="O280" s="20" t="n">
        <v>2</v>
      </c>
      <c r="P280" s="21" t="n">
        <v>0</v>
      </c>
      <c r="Q280" t="inlineStr">
        <is>
          <t>C16</t>
        </is>
      </c>
      <c r="R280" s="22" t="inlineStr">
        <is>
          <t>https://entrackr.com/snippets/speech-therapy-startup-iyaso-secures-pre-seed-funding-8872792</t>
        </is>
      </c>
    </row>
    <row r="281">
      <c r="A281" t="inlineStr">
        <is>
          <t>R250320-kraftshala</t>
        </is>
      </c>
      <c r="B281" t="inlineStr">
        <is>
          <t>Kraftshala</t>
        </is>
      </c>
      <c r="C281" s="17" t="n">
        <v>45736</v>
      </c>
      <c r="D281" s="18" t="n">
        <v>45717</v>
      </c>
      <c r="E281" s="19" t="n"/>
      <c r="F281" s="19" t="n"/>
      <c r="G281" t="inlineStr"/>
      <c r="H281" t="inlineStr">
        <is>
          <t>Pre-Series A</t>
        </is>
      </c>
      <c r="I281" t="inlineStr">
        <is>
          <t>Early</t>
        </is>
      </c>
      <c r="J281" t="inlineStr">
        <is>
          <t>Edtech</t>
        </is>
      </c>
      <c r="K281" t="inlineStr">
        <is>
          <t>Unknown</t>
        </is>
      </c>
      <c r="L281" t="inlineStr"/>
      <c r="M281" t="inlineStr">
        <is>
          <t>Phanindra Sama; Sujayath Ali; Pallav Jain; Tie Nizamabad</t>
        </is>
      </c>
      <c r="N281" t="inlineStr">
        <is>
          <t>inc42</t>
        </is>
      </c>
      <c r="O281" s="20" t="n">
        <v>1</v>
      </c>
      <c r="P281" s="21" t="n"/>
      <c r="Q281" t="inlineStr">
        <is>
          <t>C03 C07</t>
        </is>
      </c>
      <c r="R281" s="22" t="inlineStr">
        <is>
          <t>https://inc42.com/buzz/from-nivara-home-finance-to-pilgrim-indian-startups-raised-109-mn-this-week/</t>
        </is>
      </c>
    </row>
    <row r="282">
      <c r="A282" t="inlineStr">
        <is>
          <t>R250320-lighthouseprop</t>
        </is>
      </c>
      <c r="B282" t="inlineStr">
        <is>
          <t>Lighthouse PropTech</t>
        </is>
      </c>
      <c r="C282" s="17" t="n">
        <v>45736</v>
      </c>
      <c r="D282" s="18" t="n">
        <v>45717</v>
      </c>
      <c r="E282" s="19" t="n">
        <v>2.5</v>
      </c>
      <c r="F282" s="19" t="n">
        <v>21.59</v>
      </c>
      <c r="G282" t="inlineStr">
        <is>
          <t>$2.5 million</t>
        </is>
      </c>
      <c r="H282" t="inlineStr">
        <is>
          <t>Undisclosed</t>
        </is>
      </c>
      <c r="I282" t="inlineStr">
        <is>
          <t>Undisclosed</t>
        </is>
      </c>
      <c r="J282" t="inlineStr">
        <is>
          <t>Real Estate Tech</t>
        </is>
      </c>
      <c r="K282" t="inlineStr">
        <is>
          <t>Unknown</t>
        </is>
      </c>
      <c r="L282" t="inlineStr">
        <is>
          <t>Turbostart</t>
        </is>
      </c>
      <c r="M282" t="inlineStr">
        <is>
          <t>Turbostart; Dabur Family Office</t>
        </is>
      </c>
      <c r="N282" t="inlineStr">
        <is>
          <t>entrackr | inc42</t>
        </is>
      </c>
      <c r="O282" s="20" t="n">
        <v>2</v>
      </c>
      <c r="P282" s="21" t="n">
        <v>150</v>
      </c>
      <c r="Q282" t="inlineStr">
        <is>
          <t>C04 C07 C15</t>
        </is>
      </c>
      <c r="R282" s="22" t="inlineStr">
        <is>
          <t>https://entrackr.com/snippets/turbostart-leads-25-mn-round-in-lighthouse-proptech-8873084</t>
        </is>
      </c>
    </row>
    <row r="283">
      <c r="A283" t="inlineStr">
        <is>
          <t>R250320-magentamobilit</t>
        </is>
      </c>
      <c r="B283" t="inlineStr">
        <is>
          <t>Magenta Mobility</t>
        </is>
      </c>
      <c r="C283" s="17" t="n">
        <v>45736</v>
      </c>
      <c r="D283" s="18" t="n">
        <v>45717</v>
      </c>
      <c r="E283" s="19" t="n">
        <v>11.5</v>
      </c>
      <c r="F283" s="19" t="n">
        <v>99.31</v>
      </c>
      <c r="G283" t="inlineStr">
        <is>
          <t>$11.5 Mn</t>
        </is>
      </c>
      <c r="H283" t="inlineStr">
        <is>
          <t>Pre-Series B</t>
        </is>
      </c>
      <c r="I283" t="inlineStr">
        <is>
          <t>Growth</t>
        </is>
      </c>
      <c r="J283" t="inlineStr">
        <is>
          <t>Cleantech</t>
        </is>
      </c>
      <c r="K283" t="inlineStr">
        <is>
          <t>Unknown</t>
        </is>
      </c>
      <c r="L283" t="inlineStr"/>
      <c r="M283" t="inlineStr">
        <is>
          <t>BP Tech Ventures; Morgan Stanley India Infrastructure</t>
        </is>
      </c>
      <c r="N283" t="inlineStr">
        <is>
          <t>inc42</t>
        </is>
      </c>
      <c r="O283" s="20" t="n">
        <v>1</v>
      </c>
      <c r="P283" s="21" t="n">
        <v>0</v>
      </c>
      <c r="Q283" t="inlineStr">
        <is>
          <t>C07</t>
        </is>
      </c>
      <c r="R283" s="22" t="inlineStr">
        <is>
          <t>https://inc42.com/buzz/from-nivara-home-finance-to-pilgrim-indian-startups-raised-109-mn-this-week/</t>
        </is>
      </c>
    </row>
    <row r="284">
      <c r="A284" t="inlineStr">
        <is>
          <t>R250320-mypahadidukan</t>
        </is>
      </c>
      <c r="B284" t="inlineStr">
        <is>
          <t>My Pahadi Dukan</t>
        </is>
      </c>
      <c r="C284" s="17" t="n">
        <v>45736</v>
      </c>
      <c r="D284" s="18" t="n">
        <v>45717</v>
      </c>
      <c r="E284" s="19" t="n"/>
      <c r="F284" s="19" t="n"/>
      <c r="G284" t="inlineStr"/>
      <c r="H284" t="inlineStr">
        <is>
          <t>Pre-Seed</t>
        </is>
      </c>
      <c r="I284" t="inlineStr">
        <is>
          <t>Early</t>
        </is>
      </c>
      <c r="J284" t="inlineStr">
        <is>
          <t>Ecommerce</t>
        </is>
      </c>
      <c r="K284" t="inlineStr">
        <is>
          <t>Unknown</t>
        </is>
      </c>
      <c r="L284" t="inlineStr">
        <is>
          <t>Inflection Point Ventures</t>
        </is>
      </c>
      <c r="M284" t="inlineStr">
        <is>
          <t>Inflection Point Ventures</t>
        </is>
      </c>
      <c r="N284" t="inlineStr">
        <is>
          <t>entrackr | inc42</t>
        </is>
      </c>
      <c r="O284" s="20" t="n">
        <v>2</v>
      </c>
      <c r="P284" s="21" t="n"/>
      <c r="Q284" t="inlineStr">
        <is>
          <t>C03 C07</t>
        </is>
      </c>
      <c r="R284" s="22" t="inlineStr">
        <is>
          <t>https://entrackr.com/snippets/my-pahadi-dukan-raises-pre-seed-funding-led-by-ipv-8872394</t>
        </is>
      </c>
    </row>
    <row r="285">
      <c r="A285" t="inlineStr">
        <is>
          <t>R250320-qilagames</t>
        </is>
      </c>
      <c r="B285" t="inlineStr">
        <is>
          <t>Qila Games</t>
        </is>
      </c>
      <c r="C285" s="17" t="n">
        <v>45736</v>
      </c>
      <c r="D285" s="18" t="n">
        <v>45717</v>
      </c>
      <c r="E285" s="19" t="n">
        <v>1</v>
      </c>
      <c r="F285" s="19" t="n">
        <v>8.640000000000001</v>
      </c>
      <c r="G285" t="inlineStr">
        <is>
          <t>$1 million</t>
        </is>
      </c>
      <c r="H285" t="inlineStr">
        <is>
          <t>Pre-Seed</t>
        </is>
      </c>
      <c r="I285" t="inlineStr">
        <is>
          <t>Early</t>
        </is>
      </c>
      <c r="J285" t="inlineStr">
        <is>
          <t>Media &amp; Entertainment</t>
        </is>
      </c>
      <c r="K285" t="inlineStr">
        <is>
          <t>Unknown</t>
        </is>
      </c>
      <c r="L285" t="inlineStr">
        <is>
          <t>Chimera VC</t>
        </is>
      </c>
      <c r="M285" t="inlineStr">
        <is>
          <t>Chimera VC; Visceral Capital; Ventatana Ventures; 91 ventures; Untitled Ventures</t>
        </is>
      </c>
      <c r="N285" t="inlineStr">
        <is>
          <t>entrackr | inc42</t>
        </is>
      </c>
      <c r="O285" s="20" t="n">
        <v>2</v>
      </c>
      <c r="P285" s="21" t="n">
        <v>0</v>
      </c>
      <c r="Q285" t="inlineStr">
        <is>
          <t>C07</t>
        </is>
      </c>
      <c r="R285" s="22" t="inlineStr">
        <is>
          <t>https://inc42.com/buzz/from-nivara-home-finance-to-pilgrim-indian-startups-raised-109-mn-this-week/</t>
        </is>
      </c>
    </row>
    <row r="286">
      <c r="A286" t="inlineStr">
        <is>
          <t>R250321-stage</t>
        </is>
      </c>
      <c r="B286" t="inlineStr">
        <is>
          <t>STAGE</t>
        </is>
      </c>
      <c r="C286" s="17" t="n">
        <v>45737</v>
      </c>
      <c r="D286" s="18" t="n">
        <v>45717</v>
      </c>
      <c r="E286" s="19" t="n">
        <v>12.5</v>
      </c>
      <c r="F286" s="19" t="n">
        <v>107.54</v>
      </c>
      <c r="G286" t="inlineStr">
        <is>
          <t>$12.5 million</t>
        </is>
      </c>
      <c r="H286" t="inlineStr">
        <is>
          <t>Series B</t>
        </is>
      </c>
      <c r="I286" t="inlineStr">
        <is>
          <t>Growth</t>
        </is>
      </c>
      <c r="J286" t="inlineStr">
        <is>
          <t>Media &amp; Entertainment</t>
        </is>
      </c>
      <c r="K286" t="inlineStr">
        <is>
          <t>Unknown</t>
        </is>
      </c>
      <c r="L286" t="inlineStr">
        <is>
          <t>Goodwater Capital; Blume Ventures</t>
        </is>
      </c>
      <c r="M286" t="inlineStr">
        <is>
          <t>Goodwater Capital; Blume Ventures; Physis Capital; Venture Catalysts; Inflection Point Ventures; Harsh Shah</t>
        </is>
      </c>
      <c r="N286" t="inlineStr">
        <is>
          <t>entrackr | inc42</t>
        </is>
      </c>
      <c r="O286" s="20" t="n">
        <v>2</v>
      </c>
      <c r="P286" s="21" t="n">
        <v>0</v>
      </c>
      <c r="Q286" t="inlineStr">
        <is>
          <t>C07</t>
        </is>
      </c>
      <c r="R286" s="22" t="inlineStr">
        <is>
          <t>https://entrackr.com/snippets/regional-ott-app-stage-raises-125-mn-in-series-b-8876590</t>
        </is>
      </c>
    </row>
    <row r="287">
      <c r="A287" t="inlineStr">
        <is>
          <t>R250324-apnamart</t>
        </is>
      </c>
      <c r="B287" t="inlineStr">
        <is>
          <t>Apna Mart</t>
        </is>
      </c>
      <c r="C287" s="17" t="n">
        <v>45740</v>
      </c>
      <c r="D287" s="18" t="n">
        <v>45717</v>
      </c>
      <c r="E287" s="19" t="n">
        <v>25.067</v>
      </c>
      <c r="F287" s="19" t="n">
        <v>214.5</v>
      </c>
      <c r="G287" t="inlineStr">
        <is>
          <t>Rs 214.5 crore</t>
        </is>
      </c>
      <c r="H287" t="inlineStr">
        <is>
          <t>Undisclosed</t>
        </is>
      </c>
      <c r="I287" t="inlineStr">
        <is>
          <t>Undisclosed</t>
        </is>
      </c>
      <c r="J287" t="inlineStr">
        <is>
          <t>Ecommerce</t>
        </is>
      </c>
      <c r="K287" t="inlineStr">
        <is>
          <t>Bengaluru</t>
        </is>
      </c>
      <c r="L287" t="inlineStr">
        <is>
          <t>Fundamentum Partnership Fund; Accel</t>
        </is>
      </c>
      <c r="M287" t="inlineStr">
        <is>
          <t>Fundamentum Partnership Fund; Accel; Peak XV Partners; Sparrow Capital</t>
        </is>
      </c>
      <c r="N287" t="inlineStr">
        <is>
          <t>entrackr | et | vccircle</t>
        </is>
      </c>
      <c r="O287" s="20" t="n">
        <v>3</v>
      </c>
      <c r="P287" s="21" t="n">
        <v>0.3</v>
      </c>
      <c r="Q287" t="inlineStr">
        <is>
          <t>C04</t>
        </is>
      </c>
      <c r="R287" s="22" t="inlineStr">
        <is>
          <t>https://entrackr.com/exclusive/exclusive-apna-mart-raises-25-mn-led-by-fundamentum-and-accel-8883740</t>
        </is>
      </c>
    </row>
    <row r="288">
      <c r="A288" t="inlineStr">
        <is>
          <t>R250324-dcdckidneycare</t>
        </is>
      </c>
      <c r="B288" t="inlineStr">
        <is>
          <t>DCDC Kidney Care</t>
        </is>
      </c>
      <c r="C288" s="17" t="n">
        <v>45740</v>
      </c>
      <c r="D288" s="18" t="n">
        <v>45717</v>
      </c>
      <c r="E288" s="19" t="n">
        <v>17.53</v>
      </c>
      <c r="F288" s="19" t="n">
        <v>150</v>
      </c>
      <c r="G288" t="inlineStr">
        <is>
          <t>Rs 150 crore</t>
        </is>
      </c>
      <c r="H288" t="inlineStr">
        <is>
          <t>Undisclosed</t>
        </is>
      </c>
      <c r="I288" t="inlineStr">
        <is>
          <t>Undisclosed</t>
        </is>
      </c>
      <c r="J288" t="inlineStr">
        <is>
          <t>Unclassified</t>
        </is>
      </c>
      <c r="K288" t="inlineStr">
        <is>
          <t>Unknown</t>
        </is>
      </c>
      <c r="L288" t="inlineStr"/>
      <c r="M288" t="inlineStr">
        <is>
          <t>ABC Impact; Temasek</t>
        </is>
      </c>
      <c r="N288" t="inlineStr">
        <is>
          <t>entrackr</t>
        </is>
      </c>
      <c r="O288" s="20" t="n">
        <v>1</v>
      </c>
      <c r="P288" s="21" t="n">
        <v>0</v>
      </c>
      <c r="Q288" t="inlineStr">
        <is>
          <t>C04 C06 C07</t>
        </is>
      </c>
      <c r="R288" s="22" t="inlineStr">
        <is>
          <t>https://entrackr.com/snippets/abc-impact-leads-rs-150-cr-round-in-dcdc-kidney-care-8884598</t>
        </is>
      </c>
    </row>
    <row r="289">
      <c r="A289" t="inlineStr">
        <is>
          <t>R250324-taxina</t>
        </is>
      </c>
      <c r="B289" t="inlineStr">
        <is>
          <t>Taxi’na</t>
        </is>
      </c>
      <c r="C289" s="17" t="n">
        <v>45740</v>
      </c>
      <c r="D289" s="18" t="n">
        <v>45717</v>
      </c>
      <c r="E289" s="19" t="n">
        <v>0.175</v>
      </c>
      <c r="F289" s="19" t="n">
        <v>1.5</v>
      </c>
      <c r="G289" t="inlineStr">
        <is>
          <t>Rs 1.5 crore</t>
        </is>
      </c>
      <c r="H289" t="inlineStr">
        <is>
          <t>Undisclosed</t>
        </is>
      </c>
      <c r="I289" t="inlineStr">
        <is>
          <t>Undisclosed</t>
        </is>
      </c>
      <c r="J289" t="inlineStr">
        <is>
          <t>Consumer Services</t>
        </is>
      </c>
      <c r="K289" t="inlineStr">
        <is>
          <t>Chennai</t>
        </is>
      </c>
      <c r="L289" t="inlineStr"/>
      <c r="M289" t="inlineStr">
        <is>
          <t>Navyug Global Ventures</t>
        </is>
      </c>
      <c r="N289" t="inlineStr">
        <is>
          <t>entrackr</t>
        </is>
      </c>
      <c r="O289" s="20" t="n">
        <v>1</v>
      </c>
      <c r="P289" s="21" t="n">
        <v>0</v>
      </c>
      <c r="Q289" t="inlineStr">
        <is>
          <t>C04</t>
        </is>
      </c>
      <c r="R289" s="22" t="inlineStr">
        <is>
          <t>https://entrackr.com/snippets/mobility-solutions-startup-taxina-bags-funding-from-navyug-global-ventures-8886292</t>
        </is>
      </c>
    </row>
    <row r="290">
      <c r="A290" t="inlineStr">
        <is>
          <t>R250325-carefi</t>
        </is>
      </c>
      <c r="B290" t="inlineStr">
        <is>
          <t>Care.fi</t>
        </is>
      </c>
      <c r="C290" s="17" t="n">
        <v>45741</v>
      </c>
      <c r="D290" s="18" t="n">
        <v>45717</v>
      </c>
      <c r="E290" s="19" t="n">
        <v>0.875</v>
      </c>
      <c r="F290" s="19" t="n">
        <v>7.5</v>
      </c>
      <c r="G290" t="inlineStr">
        <is>
          <t>Rs 7.5 crore</t>
        </is>
      </c>
      <c r="H290" t="inlineStr">
        <is>
          <t>Debt</t>
        </is>
      </c>
      <c r="I290" t="inlineStr">
        <is>
          <t>Debt</t>
        </is>
      </c>
      <c r="J290" t="inlineStr">
        <is>
          <t>Fintech</t>
        </is>
      </c>
      <c r="K290" t="inlineStr">
        <is>
          <t>Delhi NCR</t>
        </is>
      </c>
      <c r="L290" t="inlineStr"/>
      <c r="M290" t="inlineStr">
        <is>
          <t>Vivriti Capital; Wint Wealth; Trifecta Capital; UC Inclusive Credit</t>
        </is>
      </c>
      <c r="N290" t="inlineStr">
        <is>
          <t>entrackr</t>
        </is>
      </c>
      <c r="O290" s="20" t="n">
        <v>1</v>
      </c>
      <c r="P290" s="21" t="n">
        <v>0</v>
      </c>
      <c r="Q290" t="inlineStr"/>
      <c r="R290" s="22" t="inlineStr">
        <is>
          <t>https://entrackr.com/snippets/carefi-secures-rs-75-cr-in-debt-from-vivriti-capital-8888658</t>
        </is>
      </c>
    </row>
    <row r="291">
      <c r="A291" t="inlineStr">
        <is>
          <t>R250325-dozee</t>
        </is>
      </c>
      <c r="B291" t="inlineStr">
        <is>
          <t>Dozee</t>
        </is>
      </c>
      <c r="C291" s="17" t="n">
        <v>45741</v>
      </c>
      <c r="D291" s="18" t="n">
        <v>45717</v>
      </c>
      <c r="E291" s="19" t="n">
        <v>8</v>
      </c>
      <c r="F291" s="19" t="n">
        <v>68.56</v>
      </c>
      <c r="G291" t="inlineStr">
        <is>
          <t>$8 Mn</t>
        </is>
      </c>
      <c r="H291" t="inlineStr">
        <is>
          <t>Undisclosed</t>
        </is>
      </c>
      <c r="I291" t="inlineStr">
        <is>
          <t>Undisclosed</t>
        </is>
      </c>
      <c r="J291" t="inlineStr">
        <is>
          <t>Healthtech</t>
        </is>
      </c>
      <c r="K291" t="inlineStr">
        <is>
          <t>Unknown</t>
        </is>
      </c>
      <c r="L291" t="inlineStr"/>
      <c r="M291" t="inlineStr">
        <is>
          <t>C3H; Stockhausen International</t>
        </is>
      </c>
      <c r="N291" t="inlineStr">
        <is>
          <t>inc42</t>
        </is>
      </c>
      <c r="O291" s="20" t="n">
        <v>1</v>
      </c>
      <c r="P291" s="21" t="n">
        <v>0</v>
      </c>
      <c r="Q291" t="inlineStr">
        <is>
          <t>C04 C07</t>
        </is>
      </c>
      <c r="R291" s="22" t="inlineStr">
        <is>
          <t>https://inc42.com/buzz/from-smallcase-to-lendingkart-indian-startups-raised-144-mn-this-week/</t>
        </is>
      </c>
    </row>
    <row r="292">
      <c r="A292" t="inlineStr">
        <is>
          <t>R250325-fireflydiamond</t>
        </is>
      </c>
      <c r="B292" t="inlineStr">
        <is>
          <t>Firefly Diamonds</t>
        </is>
      </c>
      <c r="C292" s="17" t="n">
        <v>45741</v>
      </c>
      <c r="D292" s="18" t="n">
        <v>45717</v>
      </c>
      <c r="E292" s="19" t="n">
        <v>3</v>
      </c>
      <c r="F292" s="19" t="n">
        <v>25.71</v>
      </c>
      <c r="G292" t="inlineStr">
        <is>
          <t>$3 million</t>
        </is>
      </c>
      <c r="H292" t="inlineStr">
        <is>
          <t>Seed</t>
        </is>
      </c>
      <c r="I292" t="inlineStr">
        <is>
          <t>Early</t>
        </is>
      </c>
      <c r="J292" t="inlineStr">
        <is>
          <t>Ecommerce</t>
        </is>
      </c>
      <c r="K292" t="inlineStr">
        <is>
          <t>Unknown</t>
        </is>
      </c>
      <c r="L292" t="inlineStr">
        <is>
          <t>WestBridge Capital</t>
        </is>
      </c>
      <c r="M292" t="inlineStr">
        <is>
          <t>WestBridge Capital</t>
        </is>
      </c>
      <c r="N292" t="inlineStr">
        <is>
          <t>entrackr | inc42 | et</t>
        </is>
      </c>
      <c r="O292" s="20" t="n">
        <v>3</v>
      </c>
      <c r="P292" s="21" t="n">
        <v>0</v>
      </c>
      <c r="Q292" t="inlineStr">
        <is>
          <t>C07</t>
        </is>
      </c>
      <c r="R292" s="22" t="inlineStr">
        <is>
          <t>https://entrackr.com/snippets/firefly-diamonds-raises-3-mn-in-seed-round-led-by-westbridge-capital-8887831</t>
        </is>
      </c>
    </row>
    <row r="293">
      <c r="A293" t="inlineStr">
        <is>
          <t>R250325-gramiyaa</t>
        </is>
      </c>
      <c r="B293" t="inlineStr">
        <is>
          <t>Gramiyaa</t>
        </is>
      </c>
      <c r="C293" s="17" t="n">
        <v>45741</v>
      </c>
      <c r="D293" s="18" t="n">
        <v>45717</v>
      </c>
      <c r="E293" s="19" t="n">
        <v>0.84</v>
      </c>
      <c r="F293" s="19" t="n">
        <v>7.2</v>
      </c>
      <c r="G293" t="inlineStr">
        <is>
          <t>Rs 7.2 crore</t>
        </is>
      </c>
      <c r="H293" t="inlineStr">
        <is>
          <t>Pre-Series A</t>
        </is>
      </c>
      <c r="I293" t="inlineStr">
        <is>
          <t>Early</t>
        </is>
      </c>
      <c r="J293" t="inlineStr">
        <is>
          <t>Ecommerce</t>
        </is>
      </c>
      <c r="K293" t="inlineStr">
        <is>
          <t>Bengaluru</t>
        </is>
      </c>
      <c r="L293" t="inlineStr">
        <is>
          <t>Homegrown Ventures</t>
        </is>
      </c>
      <c r="M293" t="inlineStr">
        <is>
          <t>Homegrown Ventures; Campus Fund</t>
        </is>
      </c>
      <c r="N293" t="inlineStr">
        <is>
          <t>entrackr</t>
        </is>
      </c>
      <c r="O293" s="20" t="n">
        <v>1</v>
      </c>
      <c r="P293" s="21" t="n">
        <v>0</v>
      </c>
      <c r="Q293" t="inlineStr"/>
      <c r="R293" s="22" t="inlineStr">
        <is>
          <t>https://entrackr.com/snippets/cold-pressed-oil-brand-gramiyaa-raises-pre-series-a-funding-8888234</t>
        </is>
      </c>
    </row>
    <row r="294">
      <c r="A294" t="inlineStr">
        <is>
          <t>R250325-growindigo</t>
        </is>
      </c>
      <c r="B294" t="inlineStr">
        <is>
          <t>Grow Indigo</t>
        </is>
      </c>
      <c r="C294" s="17" t="n">
        <v>45741</v>
      </c>
      <c r="D294" s="18" t="n">
        <v>45717</v>
      </c>
      <c r="E294" s="19" t="n">
        <v>10</v>
      </c>
      <c r="F294" s="19" t="n">
        <v>85.7</v>
      </c>
      <c r="G294" t="inlineStr">
        <is>
          <t>$10 million</t>
        </is>
      </c>
      <c r="H294" t="inlineStr">
        <is>
          <t>Undisclosed</t>
        </is>
      </c>
      <c r="I294" t="inlineStr">
        <is>
          <t>Undisclosed</t>
        </is>
      </c>
      <c r="J294" t="inlineStr">
        <is>
          <t>Agritech</t>
        </is>
      </c>
      <c r="K294" t="inlineStr">
        <is>
          <t>Unknown</t>
        </is>
      </c>
      <c r="L294" t="inlineStr">
        <is>
          <t>British International Investment</t>
        </is>
      </c>
      <c r="M294" t="inlineStr">
        <is>
          <t>British International Investment</t>
        </is>
      </c>
      <c r="N294" t="inlineStr">
        <is>
          <t>entrackr | inc42 | et</t>
        </is>
      </c>
      <c r="O294" s="20" t="n">
        <v>3</v>
      </c>
      <c r="P294" s="21" t="n">
        <v>0</v>
      </c>
      <c r="Q294" t="inlineStr">
        <is>
          <t>C04 C07</t>
        </is>
      </c>
      <c r="R294" s="22" t="inlineStr">
        <is>
          <t>https://entrackr.com/snippets/grow-indigo-raises-10-mn-from-british-international-investment-8889005</t>
        </is>
      </c>
    </row>
    <row r="295">
      <c r="A295" t="inlineStr">
        <is>
          <t>R250325-irameai</t>
        </is>
      </c>
      <c r="B295" t="inlineStr">
        <is>
          <t>Irame.ai</t>
        </is>
      </c>
      <c r="C295" s="17" t="n">
        <v>45741</v>
      </c>
      <c r="D295" s="18" t="n">
        <v>45717</v>
      </c>
      <c r="E295" s="19" t="n">
        <v>1</v>
      </c>
      <c r="F295" s="19" t="n">
        <v>8.57</v>
      </c>
      <c r="G295" t="inlineStr">
        <is>
          <t>$1 million</t>
        </is>
      </c>
      <c r="H295" t="inlineStr">
        <is>
          <t>Seed</t>
        </is>
      </c>
      <c r="I295" t="inlineStr">
        <is>
          <t>Early</t>
        </is>
      </c>
      <c r="J295" t="inlineStr">
        <is>
          <t>Enterprise Tech</t>
        </is>
      </c>
      <c r="K295" t="inlineStr">
        <is>
          <t>Unknown</t>
        </is>
      </c>
      <c r="L295" t="inlineStr">
        <is>
          <t>SenseAI Ventures</t>
        </is>
      </c>
      <c r="M295" t="inlineStr">
        <is>
          <t>SenseAI Ventures</t>
        </is>
      </c>
      <c r="N295" t="inlineStr">
        <is>
          <t>entrackr | inc42</t>
        </is>
      </c>
      <c r="O295" s="20" t="n">
        <v>2</v>
      </c>
      <c r="P295" s="21" t="n">
        <v>0</v>
      </c>
      <c r="Q295" t="inlineStr">
        <is>
          <t>C07</t>
        </is>
      </c>
      <c r="R295" s="22" t="inlineStr">
        <is>
          <t>https://entrackr.com/snippets/irameai-bags-1-mn-in-seed-round-from-senseai-ventures-8888537</t>
        </is>
      </c>
    </row>
    <row r="296">
      <c r="A296" t="inlineStr">
        <is>
          <t>R250325-pizzawings</t>
        </is>
      </c>
      <c r="B296" t="inlineStr">
        <is>
          <t>Pizza Wings</t>
        </is>
      </c>
      <c r="C296" s="17" t="n">
        <v>45741</v>
      </c>
      <c r="D296" s="18" t="n">
        <v>45717</v>
      </c>
      <c r="E296" s="19" t="n">
        <v>2.8</v>
      </c>
      <c r="F296" s="19" t="n">
        <v>24</v>
      </c>
      <c r="G296" t="inlineStr">
        <is>
          <t>$2.8 million</t>
        </is>
      </c>
      <c r="H296" t="inlineStr">
        <is>
          <t>Seed</t>
        </is>
      </c>
      <c r="I296" t="inlineStr">
        <is>
          <t>Early</t>
        </is>
      </c>
      <c r="J296" t="inlineStr">
        <is>
          <t>Foodtech</t>
        </is>
      </c>
      <c r="K296" t="inlineStr">
        <is>
          <t>Unknown</t>
        </is>
      </c>
      <c r="L296" t="inlineStr"/>
      <c r="M296" t="inlineStr"/>
      <c r="N296" t="inlineStr">
        <is>
          <t>entrackr</t>
        </is>
      </c>
      <c r="O296" s="20" t="n">
        <v>1</v>
      </c>
      <c r="P296" s="21" t="n">
        <v>0</v>
      </c>
      <c r="Q296" t="inlineStr">
        <is>
          <t>C05 C07</t>
        </is>
      </c>
      <c r="R296" s="22" t="inlineStr">
        <is>
          <t>https://entrackr.com/snippets/qsr-brand-pizza-wings-raises-28-mn-to-expand-across-india-8888022</t>
        </is>
      </c>
    </row>
    <row r="297">
      <c r="A297" t="inlineStr">
        <is>
          <t>R250326-antithesis</t>
        </is>
      </c>
      <c r="B297" t="inlineStr">
        <is>
          <t>Antithesis</t>
        </is>
      </c>
      <c r="C297" s="17" t="n">
        <v>45742</v>
      </c>
      <c r="D297" s="18" t="n">
        <v>45717</v>
      </c>
      <c r="E297" s="19" t="n">
        <v>0.584</v>
      </c>
      <c r="F297" s="19" t="n">
        <v>5</v>
      </c>
      <c r="G297" t="inlineStr">
        <is>
          <t>Rs 5 crore</t>
        </is>
      </c>
      <c r="H297" t="inlineStr">
        <is>
          <t>Seed</t>
        </is>
      </c>
      <c r="I297" t="inlineStr">
        <is>
          <t>Early</t>
        </is>
      </c>
      <c r="J297" t="inlineStr">
        <is>
          <t>Enterprise Tech</t>
        </is>
      </c>
      <c r="K297" t="inlineStr">
        <is>
          <t>Unknown</t>
        </is>
      </c>
      <c r="L297" t="inlineStr">
        <is>
          <t>Rukam Capital; V3 Ventures India</t>
        </is>
      </c>
      <c r="M297" t="inlineStr">
        <is>
          <t>Rukam Capital; V3 Ventures India</t>
        </is>
      </c>
      <c r="N297" t="inlineStr">
        <is>
          <t>entrackr | inc42</t>
        </is>
      </c>
      <c r="O297" s="20" t="n">
        <v>2</v>
      </c>
      <c r="P297" s="21" t="n">
        <v>0.2</v>
      </c>
      <c r="Q297" t="inlineStr">
        <is>
          <t>C07 C18</t>
        </is>
      </c>
      <c r="R297" s="22" t="inlineStr">
        <is>
          <t>https://entrackr.com/snippets/antithesis-raises-rs-5-cr-in-pre-seed-round-co-led-by-rukam-and-v3-ventures-8891747</t>
        </is>
      </c>
    </row>
    <row r="298">
      <c r="A298" t="inlineStr">
        <is>
          <t>R250326-droom</t>
        </is>
      </c>
      <c r="B298" t="inlineStr">
        <is>
          <t>Droom</t>
        </is>
      </c>
      <c r="C298" s="17" t="n">
        <v>45742</v>
      </c>
      <c r="D298" s="18" t="n">
        <v>45717</v>
      </c>
      <c r="E298" s="19" t="n">
        <v>3</v>
      </c>
      <c r="F298" s="19" t="n">
        <v>25.7</v>
      </c>
      <c r="G298" t="inlineStr">
        <is>
          <t>$3 Mn</t>
        </is>
      </c>
      <c r="H298" t="inlineStr">
        <is>
          <t>Undisclosed</t>
        </is>
      </c>
      <c r="I298" t="inlineStr">
        <is>
          <t>Undisclosed</t>
        </is>
      </c>
      <c r="J298" t="inlineStr">
        <is>
          <t>Ecommerce</t>
        </is>
      </c>
      <c r="K298" t="inlineStr">
        <is>
          <t>Unknown</t>
        </is>
      </c>
      <c r="L298" t="inlineStr">
        <is>
          <t>India Accelerator; Finvolve</t>
        </is>
      </c>
      <c r="M298" t="inlineStr">
        <is>
          <t>India Accelerator; Finvolve; Hardik Kothiya</t>
        </is>
      </c>
      <c r="N298" t="inlineStr">
        <is>
          <t>inc42</t>
        </is>
      </c>
      <c r="O298" s="20" t="n">
        <v>1</v>
      </c>
      <c r="P298" s="21" t="n">
        <v>0</v>
      </c>
      <c r="Q298" t="inlineStr">
        <is>
          <t>C04 C07</t>
        </is>
      </c>
      <c r="R298" s="22" t="inlineStr">
        <is>
          <t>https://inc42.com/buzz/from-smallcase-to-lendingkart-indian-startups-raised-144-mn-this-week/</t>
        </is>
      </c>
    </row>
    <row r="299">
      <c r="A299" t="inlineStr">
        <is>
          <t>R250326-greenfortune</t>
        </is>
      </c>
      <c r="B299" t="inlineStr">
        <is>
          <t>GreenFortune</t>
        </is>
      </c>
      <c r="C299" s="17" t="n">
        <v>45742</v>
      </c>
      <c r="D299" s="18" t="n">
        <v>45717</v>
      </c>
      <c r="E299" s="19" t="n">
        <v>4.5</v>
      </c>
      <c r="F299" s="19" t="n">
        <v>38.54</v>
      </c>
      <c r="G299" t="inlineStr">
        <is>
          <t>$ 4.5 million</t>
        </is>
      </c>
      <c r="H299" t="inlineStr">
        <is>
          <t>Pre-Series A</t>
        </is>
      </c>
      <c r="I299" t="inlineStr">
        <is>
          <t>Early</t>
        </is>
      </c>
      <c r="J299" t="inlineStr">
        <is>
          <t>Ecommerce</t>
        </is>
      </c>
      <c r="K299" t="inlineStr">
        <is>
          <t>Hyderabad</t>
        </is>
      </c>
      <c r="L299" t="inlineStr">
        <is>
          <t>Foundamental</t>
        </is>
      </c>
      <c r="M299" t="inlineStr">
        <is>
          <t>Foundamental; Titan Capital Winners Fund; Incubate Fund Asia</t>
        </is>
      </c>
      <c r="N299" t="inlineStr">
        <is>
          <t>entrackr | et</t>
        </is>
      </c>
      <c r="O299" s="20" t="n">
        <v>2</v>
      </c>
      <c r="P299" s="21" t="n">
        <v>0</v>
      </c>
      <c r="Q299" t="inlineStr"/>
      <c r="R299" s="22" t="inlineStr">
        <is>
          <t>https://entrackr.com/snippets/greenfortune-secures-45-mn-in-pre-series-a-round-8891346</t>
        </is>
      </c>
    </row>
    <row r="300">
      <c r="A300" t="inlineStr">
        <is>
          <t>R250326-milabeaute</t>
        </is>
      </c>
      <c r="B300" t="inlineStr">
        <is>
          <t>Mila Beauté</t>
        </is>
      </c>
      <c r="C300" s="17" t="n">
        <v>45742</v>
      </c>
      <c r="D300" s="18" t="n">
        <v>45717</v>
      </c>
      <c r="E300" s="19" t="n">
        <v>2.16</v>
      </c>
      <c r="F300" s="19" t="n">
        <v>18.5</v>
      </c>
      <c r="G300" t="inlineStr">
        <is>
          <t>$2.16 million</t>
        </is>
      </c>
      <c r="H300" t="inlineStr">
        <is>
          <t>Pre-Series A</t>
        </is>
      </c>
      <c r="I300" t="inlineStr">
        <is>
          <t>Early</t>
        </is>
      </c>
      <c r="J300" t="inlineStr">
        <is>
          <t>Ecommerce</t>
        </is>
      </c>
      <c r="K300" t="inlineStr">
        <is>
          <t>Unknown</t>
        </is>
      </c>
      <c r="L300" t="inlineStr">
        <is>
          <t>Rukam Capital</t>
        </is>
      </c>
      <c r="M300" t="inlineStr">
        <is>
          <t>Rukam Capital</t>
        </is>
      </c>
      <c r="N300" t="inlineStr">
        <is>
          <t>entrackr</t>
        </is>
      </c>
      <c r="O300" s="20" t="n">
        <v>1</v>
      </c>
      <c r="P300" s="21" t="n">
        <v>0</v>
      </c>
      <c r="Q300" t="inlineStr">
        <is>
          <t>C07</t>
        </is>
      </c>
      <c r="R300" s="22" t="inlineStr">
        <is>
          <t>https://entrackr.com/snippets/mila-beauté-raises-216-mn-in-pre-series-a-round-led-by-rukam-capital-8893216</t>
        </is>
      </c>
    </row>
    <row r="301">
      <c r="A301" t="inlineStr">
        <is>
          <t>R250326-nabhdrishtiaer</t>
        </is>
      </c>
      <c r="B301" t="inlineStr">
        <is>
          <t>Nabhdrishti Aerospace</t>
        </is>
      </c>
      <c r="C301" s="17" t="n">
        <v>45742</v>
      </c>
      <c r="D301" s="18" t="n">
        <v>45717</v>
      </c>
      <c r="E301" s="19" t="n">
        <v>3</v>
      </c>
      <c r="F301" s="19" t="n">
        <v>25.7</v>
      </c>
      <c r="G301" t="inlineStr">
        <is>
          <t>$3 million</t>
        </is>
      </c>
      <c r="H301" t="inlineStr">
        <is>
          <t>Undisclosed</t>
        </is>
      </c>
      <c r="I301" t="inlineStr">
        <is>
          <t>Undisclosed</t>
        </is>
      </c>
      <c r="J301" t="inlineStr">
        <is>
          <t>Deeptech</t>
        </is>
      </c>
      <c r="K301" t="inlineStr">
        <is>
          <t>Bengaluru</t>
        </is>
      </c>
      <c r="L301" t="inlineStr">
        <is>
          <t>Accel</t>
        </is>
      </c>
      <c r="M301" t="inlineStr">
        <is>
          <t>Accel; IIMA Ventures</t>
        </is>
      </c>
      <c r="N301" t="inlineStr">
        <is>
          <t>entrackr | inc42</t>
        </is>
      </c>
      <c r="O301" s="20" t="n">
        <v>2</v>
      </c>
      <c r="P301" s="21" t="n">
        <v>0</v>
      </c>
      <c r="Q301" t="inlineStr">
        <is>
          <t>C04</t>
        </is>
      </c>
      <c r="R301" s="22" t="inlineStr">
        <is>
          <t>https://entrackr.com/snippets/nabhdrishti-aerospace-raises-3-mn-led-by-accel-8892749</t>
        </is>
      </c>
    </row>
    <row r="302">
      <c r="A302" t="inlineStr">
        <is>
          <t>R250326-vahdamindia</t>
        </is>
      </c>
      <c r="B302" t="inlineStr">
        <is>
          <t>Vahdam</t>
        </is>
      </c>
      <c r="C302" s="17" t="n">
        <v>45742</v>
      </c>
      <c r="D302" s="18" t="n">
        <v>45717</v>
      </c>
      <c r="E302" s="19" t="n">
        <v>3</v>
      </c>
      <c r="F302" s="19" t="n">
        <v>25.7</v>
      </c>
      <c r="G302" t="inlineStr">
        <is>
          <t>$3 million</t>
        </is>
      </c>
      <c r="H302" t="inlineStr">
        <is>
          <t>Undisclosed</t>
        </is>
      </c>
      <c r="I302" t="inlineStr">
        <is>
          <t>Undisclosed</t>
        </is>
      </c>
      <c r="J302" t="inlineStr">
        <is>
          <t>Ecommerce</t>
        </is>
      </c>
      <c r="K302" t="inlineStr">
        <is>
          <t>Unknown</t>
        </is>
      </c>
      <c r="L302" t="inlineStr">
        <is>
          <t>SIDBI Venture Capital</t>
        </is>
      </c>
      <c r="M302" t="inlineStr">
        <is>
          <t>SIDBI Venture Capital</t>
        </is>
      </c>
      <c r="N302" t="inlineStr">
        <is>
          <t>entrackr | inc42</t>
        </is>
      </c>
      <c r="O302" s="20" t="n">
        <v>2</v>
      </c>
      <c r="P302" s="21" t="n">
        <v>0</v>
      </c>
      <c r="Q302" t="inlineStr">
        <is>
          <t>C04 C07</t>
        </is>
      </c>
      <c r="R302" s="22" t="inlineStr">
        <is>
          <t>https://entrackr.com/snippets/vahdam-india-raises-3-mn-led-by-sidbi-venture-8892047</t>
        </is>
      </c>
    </row>
    <row r="303">
      <c r="A303" t="inlineStr">
        <is>
          <t>R250326-zealopiatechno</t>
        </is>
      </c>
      <c r="B303" t="inlineStr">
        <is>
          <t>Zealopia Technologies</t>
        </is>
      </c>
      <c r="C303" s="17" t="n">
        <v>45742</v>
      </c>
      <c r="D303" s="18" t="n">
        <v>45717</v>
      </c>
      <c r="E303" s="19" t="n"/>
      <c r="F303" s="19" t="n"/>
      <c r="G303" t="inlineStr"/>
      <c r="H303" t="inlineStr">
        <is>
          <t>Undisclosed</t>
        </is>
      </c>
      <c r="I303" t="inlineStr">
        <is>
          <t>Undisclosed</t>
        </is>
      </c>
      <c r="J303" t="inlineStr">
        <is>
          <t>Healthtech</t>
        </is>
      </c>
      <c r="K303" t="inlineStr">
        <is>
          <t>Unknown</t>
        </is>
      </c>
      <c r="L303" t="inlineStr"/>
      <c r="M303" t="inlineStr"/>
      <c r="N303" t="inlineStr">
        <is>
          <t>inc42</t>
        </is>
      </c>
      <c r="O303" s="20" t="n">
        <v>1</v>
      </c>
      <c r="P303" s="21" t="n"/>
      <c r="Q303" t="inlineStr">
        <is>
          <t>C03 C04 C05 C07</t>
        </is>
      </c>
      <c r="R303" s="22" t="inlineStr">
        <is>
          <t>https://inc42.com/buzz/from-smallcase-to-lendingkart-indian-startups-raised-144-mn-this-week/</t>
        </is>
      </c>
    </row>
    <row r="304">
      <c r="A304" t="inlineStr">
        <is>
          <t>R250327-abound</t>
        </is>
      </c>
      <c r="B304" t="inlineStr">
        <is>
          <t>Abound</t>
        </is>
      </c>
      <c r="C304" s="17" t="n">
        <v>45743</v>
      </c>
      <c r="D304" s="18" t="n">
        <v>45717</v>
      </c>
      <c r="E304" s="19" t="n">
        <v>14</v>
      </c>
      <c r="F304" s="19" t="n">
        <v>120.02</v>
      </c>
      <c r="G304" t="inlineStr">
        <is>
          <t>$14 million</t>
        </is>
      </c>
      <c r="H304" t="inlineStr">
        <is>
          <t>Seed</t>
        </is>
      </c>
      <c r="I304" t="inlineStr">
        <is>
          <t>Early</t>
        </is>
      </c>
      <c r="J304" t="inlineStr">
        <is>
          <t>Fintech</t>
        </is>
      </c>
      <c r="K304" t="inlineStr">
        <is>
          <t>Unknown</t>
        </is>
      </c>
      <c r="L304" t="inlineStr">
        <is>
          <t>NEAR Foundation</t>
        </is>
      </c>
      <c r="M304" t="inlineStr">
        <is>
          <t>NEAR Foundation; Circle Ventures; Times Internet</t>
        </is>
      </c>
      <c r="N304" t="inlineStr">
        <is>
          <t>entrackr | inc42 | et</t>
        </is>
      </c>
      <c r="O304" s="20" t="n">
        <v>3</v>
      </c>
      <c r="P304" s="21" t="n">
        <v>0</v>
      </c>
      <c r="Q304" t="inlineStr">
        <is>
          <t>C07</t>
        </is>
      </c>
      <c r="R304" s="22" t="inlineStr">
        <is>
          <t>https://entrackr.com/news/abound-raises-14-mn-to-boost-cross-border-finance-for-indian-americans-8896744</t>
        </is>
      </c>
    </row>
    <row r="305">
      <c r="A305" t="inlineStr">
        <is>
          <t>R250327-expertiaai</t>
        </is>
      </c>
      <c r="B305" t="inlineStr">
        <is>
          <t>Expertia AI</t>
        </is>
      </c>
      <c r="C305" s="17" t="n">
        <v>45743</v>
      </c>
      <c r="D305" s="18" t="n">
        <v>45717</v>
      </c>
      <c r="E305" s="19" t="n">
        <v>2.333</v>
      </c>
      <c r="F305" s="19" t="n">
        <v>20</v>
      </c>
      <c r="G305" t="inlineStr">
        <is>
          <t>Rs 20 crore</t>
        </is>
      </c>
      <c r="H305" t="inlineStr">
        <is>
          <t>Pre-Series A</t>
        </is>
      </c>
      <c r="I305" t="inlineStr">
        <is>
          <t>Early</t>
        </is>
      </c>
      <c r="J305" t="inlineStr">
        <is>
          <t>Unclassified</t>
        </is>
      </c>
      <c r="K305" t="inlineStr">
        <is>
          <t>Bengaluru</t>
        </is>
      </c>
      <c r="L305" t="inlineStr">
        <is>
          <t>Rockstud Capital</t>
        </is>
      </c>
      <c r="M305" t="inlineStr">
        <is>
          <t>Rockstud Capital; Flipkart; Endiya Partners; Chiratae Ventures</t>
        </is>
      </c>
      <c r="N305" t="inlineStr">
        <is>
          <t>entrackr</t>
        </is>
      </c>
      <c r="O305" s="20" t="n">
        <v>1</v>
      </c>
      <c r="P305" s="21" t="n">
        <v>0</v>
      </c>
      <c r="Q305" t="inlineStr">
        <is>
          <t>C06</t>
        </is>
      </c>
      <c r="R305" s="22" t="inlineStr">
        <is>
          <t>https://entrackr.com/snippets/expertia-ai-secures-pre-series-a-funding-led-by-rockstud-capital-8896432</t>
        </is>
      </c>
    </row>
    <row r="306">
      <c r="A306" t="inlineStr">
        <is>
          <t>R250327-konectu</t>
        </is>
      </c>
      <c r="B306" t="inlineStr">
        <is>
          <t>Konect U</t>
        </is>
      </c>
      <c r="C306" s="17" t="n">
        <v>45743</v>
      </c>
      <c r="D306" s="18" t="n">
        <v>45717</v>
      </c>
      <c r="E306" s="19" t="n"/>
      <c r="F306" s="19" t="n"/>
      <c r="G306" t="inlineStr"/>
      <c r="H306" t="inlineStr">
        <is>
          <t>Undisclosed</t>
        </is>
      </c>
      <c r="I306" t="inlineStr">
        <is>
          <t>Undisclosed</t>
        </is>
      </c>
      <c r="J306" t="inlineStr">
        <is>
          <t>Edtech</t>
        </is>
      </c>
      <c r="K306" t="inlineStr">
        <is>
          <t>Unknown</t>
        </is>
      </c>
      <c r="L306" t="inlineStr"/>
      <c r="M306" t="inlineStr"/>
      <c r="N306" t="inlineStr">
        <is>
          <t>inc42</t>
        </is>
      </c>
      <c r="O306" s="20" t="n">
        <v>1</v>
      </c>
      <c r="P306" s="21" t="n"/>
      <c r="Q306" t="inlineStr">
        <is>
          <t>C03 C04 C05 C07</t>
        </is>
      </c>
      <c r="R306" s="22" t="inlineStr">
        <is>
          <t>https://inc42.com/buzz/from-smallcase-to-lendingkart-indian-startups-raised-144-mn-this-week/</t>
        </is>
      </c>
    </row>
    <row r="307">
      <c r="A307" t="inlineStr">
        <is>
          <t>R250327-m1xchange</t>
        </is>
      </c>
      <c r="B307" t="inlineStr">
        <is>
          <t>M1xchange</t>
        </is>
      </c>
      <c r="C307" s="17" t="n">
        <v>45743</v>
      </c>
      <c r="D307" s="18" t="n">
        <v>45717</v>
      </c>
      <c r="E307" s="19" t="n">
        <v>18</v>
      </c>
      <c r="F307" s="19" t="n">
        <v>154.31</v>
      </c>
      <c r="G307" t="inlineStr">
        <is>
          <t>$18 Mn</t>
        </is>
      </c>
      <c r="H307" t="inlineStr">
        <is>
          <t>Undisclosed</t>
        </is>
      </c>
      <c r="I307" t="inlineStr">
        <is>
          <t>Undisclosed</t>
        </is>
      </c>
      <c r="J307" t="inlineStr">
        <is>
          <t>Unclassified</t>
        </is>
      </c>
      <c r="K307" t="inlineStr">
        <is>
          <t>Unknown</t>
        </is>
      </c>
      <c r="L307" t="inlineStr"/>
      <c r="M307" t="inlineStr"/>
      <c r="N307" t="inlineStr">
        <is>
          <t>entrackr</t>
        </is>
      </c>
      <c r="O307" s="20" t="n">
        <v>1</v>
      </c>
      <c r="P307" s="21" t="n">
        <v>0</v>
      </c>
      <c r="Q307" t="inlineStr">
        <is>
          <t>C04 C05 C06 C07</t>
        </is>
      </c>
      <c r="R307" s="22" t="inlineStr">
        <is>
          <t>https://entrackr.com/news/jindal-stainless-invests-18-mn-in-amazon-backed-m1xchange-8896011</t>
        </is>
      </c>
    </row>
    <row r="308">
      <c r="A308" t="inlineStr">
        <is>
          <t>R250327-onestack</t>
        </is>
      </c>
      <c r="B308" t="inlineStr">
        <is>
          <t>OneStack</t>
        </is>
      </c>
      <c r="C308" s="17" t="n">
        <v>45743</v>
      </c>
      <c r="D308" s="18" t="n">
        <v>45717</v>
      </c>
      <c r="E308" s="19" t="n">
        <v>2</v>
      </c>
      <c r="F308" s="19" t="n">
        <v>17.15</v>
      </c>
      <c r="G308" t="inlineStr">
        <is>
          <t>$2 million</t>
        </is>
      </c>
      <c r="H308" t="inlineStr">
        <is>
          <t>Series A</t>
        </is>
      </c>
      <c r="I308" t="inlineStr">
        <is>
          <t>Early</t>
        </is>
      </c>
      <c r="J308" t="inlineStr">
        <is>
          <t>Fintech</t>
        </is>
      </c>
      <c r="K308" t="inlineStr">
        <is>
          <t>Unknown</t>
        </is>
      </c>
      <c r="L308" t="inlineStr">
        <is>
          <t>Pentathlon Ventures</t>
        </is>
      </c>
      <c r="M308" t="inlineStr">
        <is>
          <t>Pentathlon Ventures; Yatra Angel Network; 100Unicorns; Venture Catalysts</t>
        </is>
      </c>
      <c r="N308" t="inlineStr">
        <is>
          <t>entrackr | inc42</t>
        </is>
      </c>
      <c r="O308" s="20" t="n">
        <v>2</v>
      </c>
      <c r="P308" s="21" t="n">
        <v>0</v>
      </c>
      <c r="Q308" t="inlineStr">
        <is>
          <t>C07</t>
        </is>
      </c>
      <c r="R308" s="22" t="inlineStr">
        <is>
          <t>https://entrackr.com/snippets/fintech-onestack-raises-2-mn-in-series-a-round-8896264</t>
        </is>
      </c>
    </row>
    <row r="309">
      <c r="A309" t="inlineStr">
        <is>
          <t>R250327-osso</t>
        </is>
      </c>
      <c r="B309" t="inlineStr">
        <is>
          <t>OSSO</t>
        </is>
      </c>
      <c r="C309" s="17" t="n">
        <v>45743</v>
      </c>
      <c r="D309" s="18" t="n">
        <v>45717</v>
      </c>
      <c r="E309" s="19" t="n">
        <v>0.25</v>
      </c>
      <c r="F309" s="19" t="n">
        <v>2.14</v>
      </c>
      <c r="G309" t="inlineStr">
        <is>
          <t>$250,000</t>
        </is>
      </c>
      <c r="H309" t="inlineStr">
        <is>
          <t>Pre-Seed</t>
        </is>
      </c>
      <c r="I309" t="inlineStr">
        <is>
          <t>Early</t>
        </is>
      </c>
      <c r="J309" t="inlineStr">
        <is>
          <t>Healthtech</t>
        </is>
      </c>
      <c r="K309" t="inlineStr">
        <is>
          <t>Unknown</t>
        </is>
      </c>
      <c r="L309" t="inlineStr">
        <is>
          <t>Blume Ventures Founders Fund</t>
        </is>
      </c>
      <c r="M309" t="inlineStr">
        <is>
          <t>Blume Ventures Founders Fund; Sahil Jindal (MD; DS Jindal Group); Akash Gupta (Founder; Zypp Electric); Varun Sheth; Zaheer Adenwala (Founders; Ketto); Brijraj Bhuptani (Founder; SPRY)</t>
        </is>
      </c>
      <c r="N309" t="inlineStr">
        <is>
          <t>entrackr</t>
        </is>
      </c>
      <c r="O309" s="20" t="n">
        <v>1</v>
      </c>
      <c r="P309" s="21" t="n">
        <v>0</v>
      </c>
      <c r="Q309" t="inlineStr">
        <is>
          <t>C07</t>
        </is>
      </c>
      <c r="R309" s="22" t="inlineStr">
        <is>
          <t>https://entrackr.com/snippets/osso-raises-250k-in-pre-seed-round-8895369</t>
        </is>
      </c>
    </row>
    <row r="310">
      <c r="A310" t="inlineStr">
        <is>
          <t>R250327-outplay</t>
        </is>
      </c>
      <c r="B310" t="inlineStr">
        <is>
          <t>Outplay</t>
        </is>
      </c>
      <c r="C310" s="17" t="n">
        <v>45743</v>
      </c>
      <c r="D310" s="18" t="n">
        <v>45717</v>
      </c>
      <c r="E310" s="19" t="n">
        <v>14</v>
      </c>
      <c r="F310" s="19" t="n">
        <v>120.02</v>
      </c>
      <c r="G310" t="inlineStr">
        <is>
          <t>$14 Mn</t>
        </is>
      </c>
      <c r="H310" t="inlineStr">
        <is>
          <t>Undisclosed</t>
        </is>
      </c>
      <c r="I310" t="inlineStr">
        <is>
          <t>Undisclosed</t>
        </is>
      </c>
      <c r="J310" t="inlineStr">
        <is>
          <t>Enterprise Tech</t>
        </is>
      </c>
      <c r="K310" t="inlineStr">
        <is>
          <t>Unknown</t>
        </is>
      </c>
      <c r="L310" t="inlineStr">
        <is>
          <t>JungleWorks</t>
        </is>
      </c>
      <c r="M310" t="inlineStr">
        <is>
          <t>JungleWorks</t>
        </is>
      </c>
      <c r="N310" t="inlineStr">
        <is>
          <t>inc42</t>
        </is>
      </c>
      <c r="O310" s="20" t="n">
        <v>1</v>
      </c>
      <c r="P310" s="21" t="n">
        <v>0</v>
      </c>
      <c r="Q310" t="inlineStr">
        <is>
          <t>C04 C07</t>
        </is>
      </c>
      <c r="R310" s="22" t="inlineStr">
        <is>
          <t>https://inc42.com/buzz/from-smallcase-to-lendingkart-indian-startups-raised-144-mn-this-week/</t>
        </is>
      </c>
    </row>
    <row r="311">
      <c r="A311" t="inlineStr">
        <is>
          <t>R250328-axitrustsurety</t>
        </is>
      </c>
      <c r="B311" t="inlineStr">
        <is>
          <t>axiTrust Surety</t>
        </is>
      </c>
      <c r="C311" s="17" t="n">
        <v>45744</v>
      </c>
      <c r="D311" s="18" t="n">
        <v>45717</v>
      </c>
      <c r="E311" s="19" t="n">
        <v>2.6</v>
      </c>
      <c r="F311" s="19" t="n">
        <v>22.24</v>
      </c>
      <c r="G311" t="inlineStr">
        <is>
          <t>$2.6 Mn</t>
        </is>
      </c>
      <c r="H311" t="inlineStr">
        <is>
          <t>Undisclosed</t>
        </is>
      </c>
      <c r="I311" t="inlineStr">
        <is>
          <t>Undisclosed</t>
        </is>
      </c>
      <c r="J311" t="inlineStr">
        <is>
          <t>Fintech</t>
        </is>
      </c>
      <c r="K311" t="inlineStr">
        <is>
          <t>Unknown</t>
        </is>
      </c>
      <c r="L311" t="inlineStr">
        <is>
          <t>General Catalyst</t>
        </is>
      </c>
      <c r="M311" t="inlineStr">
        <is>
          <t>General Catalyst; Veltis Capital; Good Capital; AngelList</t>
        </is>
      </c>
      <c r="N311" t="inlineStr">
        <is>
          <t>inc42</t>
        </is>
      </c>
      <c r="O311" s="20" t="n">
        <v>1</v>
      </c>
      <c r="P311" s="21" t="n">
        <v>0</v>
      </c>
      <c r="Q311" t="inlineStr">
        <is>
          <t>C04 C07</t>
        </is>
      </c>
      <c r="R311" s="22" t="inlineStr">
        <is>
          <t>https://inc42.com/buzz/from-smallcase-to-lendingkart-indian-startups-raised-144-mn-this-week/</t>
        </is>
      </c>
    </row>
    <row r="312">
      <c r="A312" t="inlineStr">
        <is>
          <t>R250328-lendingkart</t>
        </is>
      </c>
      <c r="B312" t="inlineStr">
        <is>
          <t>Lendingkart</t>
        </is>
      </c>
      <c r="C312" s="17" t="n">
        <v>45744</v>
      </c>
      <c r="D312" s="18" t="n">
        <v>45717</v>
      </c>
      <c r="E312" s="19" t="n">
        <v>29.5</v>
      </c>
      <c r="F312" s="19" t="n">
        <v>252.31</v>
      </c>
      <c r="G312" t="inlineStr">
        <is>
          <t>$29.5 Mn</t>
        </is>
      </c>
      <c r="H312" t="inlineStr">
        <is>
          <t>Series E</t>
        </is>
      </c>
      <c r="I312" t="inlineStr">
        <is>
          <t>Late</t>
        </is>
      </c>
      <c r="J312" t="inlineStr">
        <is>
          <t>Fintech</t>
        </is>
      </c>
      <c r="K312" t="inlineStr">
        <is>
          <t>Unknown</t>
        </is>
      </c>
      <c r="L312" t="inlineStr">
        <is>
          <t>Fullerton Financial Holdings</t>
        </is>
      </c>
      <c r="M312" t="inlineStr">
        <is>
          <t>Fullerton Financial Holdings</t>
        </is>
      </c>
      <c r="N312" t="inlineStr">
        <is>
          <t>inc42</t>
        </is>
      </c>
      <c r="O312" s="20" t="n">
        <v>1</v>
      </c>
      <c r="P312" s="21" t="n">
        <v>0</v>
      </c>
      <c r="Q312" t="inlineStr">
        <is>
          <t>C07</t>
        </is>
      </c>
      <c r="R312" s="22" t="inlineStr">
        <is>
          <t>https://inc42.com/buzz/from-smallcase-to-lendingkart-indian-startups-raised-144-mn-this-week/</t>
        </is>
      </c>
    </row>
    <row r="313">
      <c r="A313" t="inlineStr">
        <is>
          <t>R250328-smallcase</t>
        </is>
      </c>
      <c r="B313" t="inlineStr">
        <is>
          <t>smallcase</t>
        </is>
      </c>
      <c r="C313" s="17" t="n">
        <v>45744</v>
      </c>
      <c r="D313" s="18" t="n">
        <v>45717</v>
      </c>
      <c r="E313" s="19" t="n">
        <v>50</v>
      </c>
      <c r="F313" s="19" t="n">
        <v>427.65</v>
      </c>
      <c r="G313" t="inlineStr">
        <is>
          <t>$50 million</t>
        </is>
      </c>
      <c r="H313" t="inlineStr">
        <is>
          <t>Series D</t>
        </is>
      </c>
      <c r="I313" t="inlineStr">
        <is>
          <t>Late</t>
        </is>
      </c>
      <c r="J313" t="inlineStr">
        <is>
          <t>Fintech</t>
        </is>
      </c>
      <c r="K313" t="inlineStr">
        <is>
          <t>Bengaluru</t>
        </is>
      </c>
      <c r="L313" t="inlineStr">
        <is>
          <t>Elev8 Venture Partners</t>
        </is>
      </c>
      <c r="M313" t="inlineStr">
        <is>
          <t>Elev8 Venture Partners; State Street Global Advisors; Niveshaay AIF; Faering Capital; Arkam Ventures</t>
        </is>
      </c>
      <c r="N313" t="inlineStr">
        <is>
          <t>entrackr | inc42 | et</t>
        </is>
      </c>
      <c r="O313" s="20" t="n">
        <v>3</v>
      </c>
      <c r="P313" s="21" t="n">
        <v>0</v>
      </c>
      <c r="Q313" t="inlineStr"/>
      <c r="R313" s="22" t="inlineStr">
        <is>
          <t>https://entrackr.com/news/smallcase-raises-50-mn-in-series-d-led-by-elev8-8898948</t>
        </is>
      </c>
    </row>
    <row r="314">
      <c r="A314" t="inlineStr">
        <is>
          <t>R250331-spinny</t>
        </is>
      </c>
      <c r="B314" t="inlineStr">
        <is>
          <t>Spinny</t>
        </is>
      </c>
      <c r="C314" s="17" t="n">
        <v>45747</v>
      </c>
      <c r="D314" s="18" t="n">
        <v>45717</v>
      </c>
      <c r="E314" s="19" t="n">
        <v>131</v>
      </c>
      <c r="F314" s="19" t="n">
        <v>1119.26</v>
      </c>
      <c r="G314" t="inlineStr">
        <is>
          <t>$131 million</t>
        </is>
      </c>
      <c r="H314" t="inlineStr">
        <is>
          <t>Undisclosed</t>
        </is>
      </c>
      <c r="I314" t="inlineStr">
        <is>
          <t>Undisclosed</t>
        </is>
      </c>
      <c r="J314" t="inlineStr">
        <is>
          <t>Ecommerce</t>
        </is>
      </c>
      <c r="K314" t="inlineStr">
        <is>
          <t>Delhi NCR</t>
        </is>
      </c>
      <c r="L314" t="inlineStr">
        <is>
          <t>Accel Leaders Fund</t>
        </is>
      </c>
      <c r="M314" t="inlineStr">
        <is>
          <t>Accel Leaders Fund</t>
        </is>
      </c>
      <c r="N314" t="inlineStr">
        <is>
          <t>entrackr | et</t>
        </is>
      </c>
      <c r="O314" s="20" t="n">
        <v>2</v>
      </c>
      <c r="P314" s="21" t="n">
        <v>0</v>
      </c>
      <c r="Q314" t="inlineStr">
        <is>
          <t>C04</t>
        </is>
      </c>
      <c r="R314" s="22" t="inlineStr">
        <is>
          <t>https://entrackr.com/news/spinny-raises-131-mn-led-by-accel-leaders-fund-8910456</t>
        </is>
      </c>
    </row>
    <row r="315">
      <c r="A315" t="inlineStr">
        <is>
          <t>R250331-spotdraft</t>
        </is>
      </c>
      <c r="B315" t="inlineStr">
        <is>
          <t>SpotDraft</t>
        </is>
      </c>
      <c r="C315" s="17" t="n">
        <v>45747</v>
      </c>
      <c r="D315" s="18" t="n">
        <v>45717</v>
      </c>
      <c r="E315" s="19" t="n">
        <v>54</v>
      </c>
      <c r="F315" s="19" t="n">
        <v>461.38</v>
      </c>
      <c r="G315" t="inlineStr">
        <is>
          <t>$54 million</t>
        </is>
      </c>
      <c r="H315" t="inlineStr">
        <is>
          <t>Series B</t>
        </is>
      </c>
      <c r="I315" t="inlineStr">
        <is>
          <t>Growth</t>
        </is>
      </c>
      <c r="J315" t="inlineStr">
        <is>
          <t>Enterprise Tech</t>
        </is>
      </c>
      <c r="K315" t="inlineStr">
        <is>
          <t>Bengaluru</t>
        </is>
      </c>
      <c r="L315" t="inlineStr">
        <is>
          <t>Vertex Growth Singapore; Trident Partners</t>
        </is>
      </c>
      <c r="M315" t="inlineStr">
        <is>
          <t>Vertex Growth Singapore; Trident Partners; Prosus; Premji Invest; Arkam Ventures; Volrado Venture Partners</t>
        </is>
      </c>
      <c r="N315" t="inlineStr">
        <is>
          <t>entrackr</t>
        </is>
      </c>
      <c r="O315" s="20" t="n">
        <v>1</v>
      </c>
      <c r="P315" s="21" t="n">
        <v>0</v>
      </c>
      <c r="Q315" t="inlineStr"/>
      <c r="R315" s="22" t="inlineStr">
        <is>
          <t>https://entrackr.com/fintrackr/decoding-spotdrafts-series-b-funding-round-latest-valuation-and-captable-8909549</t>
        </is>
      </c>
    </row>
    <row r="316">
      <c r="A316" t="inlineStr">
        <is>
          <t>R250401-chefrobotics</t>
        </is>
      </c>
      <c r="B316" t="inlineStr">
        <is>
          <t>Chef Robotics</t>
        </is>
      </c>
      <c r="C316" s="17" t="n">
        <v>45748</v>
      </c>
      <c r="D316" s="18" t="n">
        <v>45748</v>
      </c>
      <c r="E316" s="19" t="n">
        <v>43.1</v>
      </c>
      <c r="F316" s="19" t="n">
        <v>369.07</v>
      </c>
      <c r="G316" t="inlineStr">
        <is>
          <t>$43.1 million</t>
        </is>
      </c>
      <c r="H316" t="inlineStr">
        <is>
          <t>Series A</t>
        </is>
      </c>
      <c r="I316" t="inlineStr">
        <is>
          <t>Early</t>
        </is>
      </c>
      <c r="J316" t="inlineStr">
        <is>
          <t>Unclassified</t>
        </is>
      </c>
      <c r="K316" t="inlineStr">
        <is>
          <t>Unknown</t>
        </is>
      </c>
      <c r="L316" t="inlineStr">
        <is>
          <t>Avataar Ventures</t>
        </is>
      </c>
      <c r="M316" t="inlineStr">
        <is>
          <t>Avataar Ventures</t>
        </is>
      </c>
      <c r="N316" t="inlineStr">
        <is>
          <t>entrackr</t>
        </is>
      </c>
      <c r="O316" s="20" t="n">
        <v>1</v>
      </c>
      <c r="P316" s="21" t="n">
        <v>0</v>
      </c>
      <c r="Q316" t="inlineStr">
        <is>
          <t>C06 C07</t>
        </is>
      </c>
      <c r="R316" s="22" t="inlineStr">
        <is>
          <t>https://entrackr.com/news/chef-robotics-raises-431-mn-led-by-avataar-ventures-8911803</t>
        </is>
      </c>
    </row>
    <row r="317">
      <c r="A317" t="inlineStr">
        <is>
          <t>R250401-collegedekho</t>
        </is>
      </c>
      <c r="B317" t="inlineStr">
        <is>
          <t>CollegeDekho</t>
        </is>
      </c>
      <c r="C317" s="17" t="n">
        <v>45748</v>
      </c>
      <c r="D317" s="18" t="n">
        <v>45748</v>
      </c>
      <c r="E317" s="19" t="n">
        <v>3.503</v>
      </c>
      <c r="F317" s="19" t="n">
        <v>30</v>
      </c>
      <c r="G317" t="inlineStr">
        <is>
          <t>Rs 30 crore</t>
        </is>
      </c>
      <c r="H317" t="inlineStr">
        <is>
          <t>Undisclosed</t>
        </is>
      </c>
      <c r="I317" t="inlineStr">
        <is>
          <t>Undisclosed</t>
        </is>
      </c>
      <c r="J317" t="inlineStr">
        <is>
          <t>Unclassified</t>
        </is>
      </c>
      <c r="K317" t="inlineStr">
        <is>
          <t>Unknown</t>
        </is>
      </c>
      <c r="L317" t="inlineStr"/>
      <c r="M317" t="inlineStr">
        <is>
          <t>Lighthouse Canton</t>
        </is>
      </c>
      <c r="N317" t="inlineStr">
        <is>
          <t>entrackr</t>
        </is>
      </c>
      <c r="O317" s="20" t="n">
        <v>1</v>
      </c>
      <c r="P317" s="21" t="n">
        <v>0</v>
      </c>
      <c r="Q317" t="inlineStr">
        <is>
          <t>C04 C06 C07</t>
        </is>
      </c>
      <c r="R317" s="22" t="inlineStr">
        <is>
          <t>https://entrackr.com/snippets/collegedekho-raises-rs-30-cr-from-lighthouse-canton-8912861</t>
        </is>
      </c>
    </row>
    <row r="318">
      <c r="A318" t="inlineStr">
        <is>
          <t>R250401-decharge</t>
        </is>
      </c>
      <c r="B318" t="inlineStr">
        <is>
          <t>DeCharge</t>
        </is>
      </c>
      <c r="C318" s="17" t="n">
        <v>45748</v>
      </c>
      <c r="D318" s="18" t="n">
        <v>45748</v>
      </c>
      <c r="E318" s="19" t="n">
        <v>2.5</v>
      </c>
      <c r="F318" s="19" t="n">
        <v>21.41</v>
      </c>
      <c r="G318" t="inlineStr">
        <is>
          <t>$2.5 Mn</t>
        </is>
      </c>
      <c r="H318" t="inlineStr">
        <is>
          <t>Seed</t>
        </is>
      </c>
      <c r="I318" t="inlineStr">
        <is>
          <t>Early</t>
        </is>
      </c>
      <c r="J318" t="inlineStr">
        <is>
          <t>Cleantech</t>
        </is>
      </c>
      <c r="K318" t="inlineStr">
        <is>
          <t>Unknown</t>
        </is>
      </c>
      <c r="L318" t="inlineStr">
        <is>
          <t>Lemniscap</t>
        </is>
      </c>
      <c r="M318" t="inlineStr">
        <is>
          <t>Lemniscap; Colosseum; EV3 Labs; Chainyoda Jedis; Levitate Labs; Nom; Arnold Lee</t>
        </is>
      </c>
      <c r="N318" t="inlineStr">
        <is>
          <t>inc42</t>
        </is>
      </c>
      <c r="O318" s="20" t="n">
        <v>1</v>
      </c>
      <c r="P318" s="21" t="n">
        <v>0</v>
      </c>
      <c r="Q318" t="inlineStr">
        <is>
          <t>C07</t>
        </is>
      </c>
      <c r="R318" s="22" t="inlineStr">
        <is>
          <t>https://inc42.com/buzz/from-scapia-to-pratilipi-indian-startups-raised-144-mn-this-week/</t>
        </is>
      </c>
    </row>
    <row r="319">
      <c r="A319" t="inlineStr">
        <is>
          <t>R250401-entvinai</t>
        </is>
      </c>
      <c r="B319" t="inlineStr">
        <is>
          <t>Entvin AI</t>
        </is>
      </c>
      <c r="C319" s="17" t="n">
        <v>45748</v>
      </c>
      <c r="D319" s="18" t="n">
        <v>45748</v>
      </c>
      <c r="E319" s="19" t="n">
        <v>0.5</v>
      </c>
      <c r="F319" s="19" t="n">
        <v>4.28</v>
      </c>
      <c r="G319" t="inlineStr">
        <is>
          <t>$500K</t>
        </is>
      </c>
      <c r="H319" t="inlineStr">
        <is>
          <t>Undisclosed</t>
        </is>
      </c>
      <c r="I319" t="inlineStr">
        <is>
          <t>Undisclosed</t>
        </is>
      </c>
      <c r="J319" t="inlineStr">
        <is>
          <t>Healthtech</t>
        </is>
      </c>
      <c r="K319" t="inlineStr">
        <is>
          <t>Unknown</t>
        </is>
      </c>
      <c r="L319" t="inlineStr">
        <is>
          <t>Y Combinator</t>
        </is>
      </c>
      <c r="M319" t="inlineStr">
        <is>
          <t>Y Combinator</t>
        </is>
      </c>
      <c r="N319" t="inlineStr">
        <is>
          <t>entrackr | inc42</t>
        </is>
      </c>
      <c r="O319" s="20" t="n">
        <v>2</v>
      </c>
      <c r="P319" s="21" t="n">
        <v>17</v>
      </c>
      <c r="Q319" t="inlineStr">
        <is>
          <t>C04 C07 C15</t>
        </is>
      </c>
      <c r="R319" s="22" t="inlineStr">
        <is>
          <t>https://entrackr.com/snippets/entvin-ai-raises-500k-from-y-combinator-8912889</t>
        </is>
      </c>
    </row>
    <row r="320">
      <c r="A320" t="inlineStr">
        <is>
          <t>R250401-evenflow</t>
        </is>
      </c>
      <c r="B320" t="inlineStr">
        <is>
          <t>Evenflow</t>
        </is>
      </c>
      <c r="C320" s="17" t="n">
        <v>45748</v>
      </c>
      <c r="D320" s="18" t="n">
        <v>45748</v>
      </c>
      <c r="E320" s="19" t="n">
        <v>5</v>
      </c>
      <c r="F320" s="19" t="n">
        <v>42.82</v>
      </c>
      <c r="G320" t="inlineStr">
        <is>
          <t>$5 million</t>
        </is>
      </c>
      <c r="H320" t="inlineStr">
        <is>
          <t>Series A</t>
        </is>
      </c>
      <c r="I320" t="inlineStr">
        <is>
          <t>Early</t>
        </is>
      </c>
      <c r="J320" t="inlineStr">
        <is>
          <t>Ecommerce</t>
        </is>
      </c>
      <c r="K320" t="inlineStr">
        <is>
          <t>Mumbai</t>
        </is>
      </c>
      <c r="L320" t="inlineStr">
        <is>
          <t>Venture Catalysts</t>
        </is>
      </c>
      <c r="M320" t="inlineStr">
        <is>
          <t>Venture Catalysts; Sunder Ramachandran</t>
        </is>
      </c>
      <c r="N320" t="inlineStr">
        <is>
          <t>entrackr | inc42</t>
        </is>
      </c>
      <c r="O320" s="20" t="n">
        <v>2</v>
      </c>
      <c r="P320" s="21" t="n">
        <v>0</v>
      </c>
      <c r="Q320" t="inlineStr"/>
      <c r="R320" s="22" t="inlineStr">
        <is>
          <t>https://entrackr.com/snippets/evenflow-raises-fresh-funds-from-venture-catalysts-and-others-8912650</t>
        </is>
      </c>
    </row>
    <row r="321">
      <c r="A321" t="inlineStr">
        <is>
          <t>R250401-ezstays</t>
        </is>
      </c>
      <c r="B321" t="inlineStr">
        <is>
          <t>EZStays</t>
        </is>
      </c>
      <c r="C321" s="17" t="n">
        <v>45748</v>
      </c>
      <c r="D321" s="18" t="n">
        <v>45748</v>
      </c>
      <c r="E321" s="19" t="n">
        <v>1</v>
      </c>
      <c r="F321" s="19" t="n">
        <v>8.56</v>
      </c>
      <c r="G321" t="inlineStr">
        <is>
          <t>$1 Mn</t>
        </is>
      </c>
      <c r="H321" t="inlineStr">
        <is>
          <t>Undisclosed</t>
        </is>
      </c>
      <c r="I321" t="inlineStr">
        <is>
          <t>Undisclosed</t>
        </is>
      </c>
      <c r="J321" t="inlineStr">
        <is>
          <t>Travel Tech</t>
        </is>
      </c>
      <c r="K321" t="inlineStr">
        <is>
          <t>Unknown</t>
        </is>
      </c>
      <c r="L321" t="inlineStr"/>
      <c r="M321" t="inlineStr">
        <is>
          <t>Finvolve; India Accelerator</t>
        </is>
      </c>
      <c r="N321" t="inlineStr">
        <is>
          <t>inc42</t>
        </is>
      </c>
      <c r="O321" s="20" t="n">
        <v>1</v>
      </c>
      <c r="P321" s="21" t="n">
        <v>0</v>
      </c>
      <c r="Q321" t="inlineStr">
        <is>
          <t>C04 C07</t>
        </is>
      </c>
      <c r="R321" s="22" t="inlineStr">
        <is>
          <t>https://inc42.com/buzz/from-hexahealth-to-anveshan-indian-startups-raised-55-mn-this-week/</t>
        </is>
      </c>
    </row>
    <row r="322">
      <c r="A322" t="inlineStr">
        <is>
          <t>R250401-lehlah</t>
        </is>
      </c>
      <c r="B322" t="inlineStr">
        <is>
          <t>LehLah</t>
        </is>
      </c>
      <c r="C322" s="17" t="n">
        <v>45748</v>
      </c>
      <c r="D322" s="18" t="n">
        <v>45748</v>
      </c>
      <c r="E322" s="19" t="n">
        <v>1.46</v>
      </c>
      <c r="F322" s="19" t="n">
        <v>12.5</v>
      </c>
      <c r="G322" t="inlineStr">
        <is>
          <t>Rs 12.5 crore</t>
        </is>
      </c>
      <c r="H322" t="inlineStr">
        <is>
          <t>Seed</t>
        </is>
      </c>
      <c r="I322" t="inlineStr">
        <is>
          <t>Early</t>
        </is>
      </c>
      <c r="J322" t="inlineStr">
        <is>
          <t>Ecommerce</t>
        </is>
      </c>
      <c r="K322" t="inlineStr">
        <is>
          <t>Unknown</t>
        </is>
      </c>
      <c r="L322" t="inlineStr">
        <is>
          <t>Gruhas; Abhijeet Pai of Puzzolana Group; Nikhil Kamath</t>
        </is>
      </c>
      <c r="M322" t="inlineStr">
        <is>
          <t>Gruhas; Abhijeet Pai of Puzzolana Group; Nikhil Kamath</t>
        </is>
      </c>
      <c r="N322" t="inlineStr">
        <is>
          <t>entrackr | inc42 | et</t>
        </is>
      </c>
      <c r="O322" s="20" t="n">
        <v>3</v>
      </c>
      <c r="P322" s="21" t="n">
        <v>2.8</v>
      </c>
      <c r="Q322" t="inlineStr">
        <is>
          <t>C07</t>
        </is>
      </c>
      <c r="R322" s="22" t="inlineStr">
        <is>
          <t>https://entrackr.com/snippets/content-commerce-platform-lehlah-raises-rs-125-cr-in-seed-round-8912132</t>
        </is>
      </c>
    </row>
    <row r="323">
      <c r="A323" t="inlineStr">
        <is>
          <t>R250401-thebearhouse</t>
        </is>
      </c>
      <c r="B323" t="inlineStr">
        <is>
          <t>The Bear House</t>
        </is>
      </c>
      <c r="C323" s="17" t="n">
        <v>45748</v>
      </c>
      <c r="D323" s="18" t="n">
        <v>45748</v>
      </c>
      <c r="E323" s="19" t="n">
        <v>5.839</v>
      </c>
      <c r="F323" s="19" t="n">
        <v>50</v>
      </c>
      <c r="G323" t="inlineStr">
        <is>
          <t>Rs 50 crore</t>
        </is>
      </c>
      <c r="H323" t="inlineStr">
        <is>
          <t>Series A</t>
        </is>
      </c>
      <c r="I323" t="inlineStr">
        <is>
          <t>Early</t>
        </is>
      </c>
      <c r="J323" t="inlineStr">
        <is>
          <t>Ecommerce</t>
        </is>
      </c>
      <c r="K323" t="inlineStr">
        <is>
          <t>Bengaluru</t>
        </is>
      </c>
      <c r="L323" t="inlineStr">
        <is>
          <t>JM Financial Private Equity; JM Financial India Growth Fund III</t>
        </is>
      </c>
      <c r="M323" t="inlineStr">
        <is>
          <t>JM Financial Private Equity; JM Financial India Growth Fund III</t>
        </is>
      </c>
      <c r="N323" t="inlineStr">
        <is>
          <t>entrackr | inc42</t>
        </is>
      </c>
      <c r="O323" s="20" t="n">
        <v>2</v>
      </c>
      <c r="P323" s="21" t="n">
        <v>0.7</v>
      </c>
      <c r="Q323" t="inlineStr">
        <is>
          <t>C09 C17</t>
        </is>
      </c>
      <c r="R323" s="22" t="inlineStr">
        <is>
          <t>https://inc42.com/buzz/from-scapia-to-pratilipi-indian-startups-raised-144-mn-this-week/</t>
        </is>
      </c>
    </row>
    <row r="324">
      <c r="A324" t="inlineStr">
        <is>
          <t>R250401-tvastergenkalp</t>
        </is>
      </c>
      <c r="B324" t="inlineStr">
        <is>
          <t>Tvaster Genkalp</t>
        </is>
      </c>
      <c r="C324" s="17" t="n">
        <v>45748</v>
      </c>
      <c r="D324" s="18" t="n">
        <v>45748</v>
      </c>
      <c r="E324" s="19" t="n">
        <v>1.25</v>
      </c>
      <c r="F324" s="19" t="n">
        <v>10.7</v>
      </c>
      <c r="G324" t="inlineStr">
        <is>
          <t>$1.25 million</t>
        </is>
      </c>
      <c r="H324" t="inlineStr">
        <is>
          <t>Pre-Series A</t>
        </is>
      </c>
      <c r="I324" t="inlineStr">
        <is>
          <t>Early</t>
        </is>
      </c>
      <c r="J324" t="inlineStr">
        <is>
          <t>Healthtech</t>
        </is>
      </c>
      <c r="K324" t="inlineStr">
        <is>
          <t>Unknown</t>
        </is>
      </c>
      <c r="L324" t="inlineStr">
        <is>
          <t>Ideaspring Capital</t>
        </is>
      </c>
      <c r="M324" t="inlineStr">
        <is>
          <t>Ideaspring Capital; Invigo Softwares; Mohamed Rela</t>
        </is>
      </c>
      <c r="N324" t="inlineStr">
        <is>
          <t>entrackr | inc42 | et</t>
        </is>
      </c>
      <c r="O324" s="20" t="n">
        <v>3</v>
      </c>
      <c r="P324" s="21" t="n">
        <v>4</v>
      </c>
      <c r="Q324" t="inlineStr">
        <is>
          <t>C07</t>
        </is>
      </c>
      <c r="R324" s="22" t="inlineStr">
        <is>
          <t>https://entrackr.com/snippets/tvaster-genkalp-raises-125-mn-in-pre-series-a-round-8912397</t>
        </is>
      </c>
    </row>
    <row r="325">
      <c r="A325" t="inlineStr">
        <is>
          <t>R250401-wendor</t>
        </is>
      </c>
      <c r="B325" t="inlineStr">
        <is>
          <t>Wendor</t>
        </is>
      </c>
      <c r="C325" s="17" t="n">
        <v>45748</v>
      </c>
      <c r="D325" s="18" t="n">
        <v>45748</v>
      </c>
      <c r="E325" s="19" t="n">
        <v>2.5</v>
      </c>
      <c r="F325" s="19" t="n">
        <v>21.41</v>
      </c>
      <c r="G325" t="inlineStr">
        <is>
          <t>$2.5 million</t>
        </is>
      </c>
      <c r="H325" t="inlineStr">
        <is>
          <t>Seed</t>
        </is>
      </c>
      <c r="I325" t="inlineStr">
        <is>
          <t>Early</t>
        </is>
      </c>
      <c r="J325" t="inlineStr">
        <is>
          <t>Ecommerce</t>
        </is>
      </c>
      <c r="K325" t="inlineStr">
        <is>
          <t>Unknown</t>
        </is>
      </c>
      <c r="L325" t="inlineStr">
        <is>
          <t>Elanpro</t>
        </is>
      </c>
      <c r="M325" t="inlineStr">
        <is>
          <t>Elanpro</t>
        </is>
      </c>
      <c r="N325" t="inlineStr">
        <is>
          <t>entrackr | inc42</t>
        </is>
      </c>
      <c r="O325" s="20" t="n">
        <v>2</v>
      </c>
      <c r="P325" s="21" t="n">
        <v>0</v>
      </c>
      <c r="Q325" t="inlineStr">
        <is>
          <t>C07</t>
        </is>
      </c>
      <c r="R325" s="22" t="inlineStr">
        <is>
          <t>https://entrackr.com/snippets/smart-vending-platform-wendor-raises-25-mn-in-seed-round-8912966</t>
        </is>
      </c>
    </row>
    <row r="326">
      <c r="A326" t="inlineStr">
        <is>
          <t>R250402-argoswatches</t>
        </is>
      </c>
      <c r="B326" t="inlineStr">
        <is>
          <t>Argos Watches</t>
        </is>
      </c>
      <c r="C326" s="17" t="n">
        <v>45749</v>
      </c>
      <c r="D326" s="18" t="n">
        <v>45748</v>
      </c>
      <c r="E326" s="19" t="n">
        <v>0.76</v>
      </c>
      <c r="F326" s="19" t="n">
        <v>6.5</v>
      </c>
      <c r="G326" t="inlineStr">
        <is>
          <t>Rs 6.5 crore</t>
        </is>
      </c>
      <c r="H326" t="inlineStr">
        <is>
          <t>Angel</t>
        </is>
      </c>
      <c r="I326" t="inlineStr">
        <is>
          <t>Early</t>
        </is>
      </c>
      <c r="J326" t="inlineStr">
        <is>
          <t>Ecommerce</t>
        </is>
      </c>
      <c r="K326" t="inlineStr">
        <is>
          <t>Unknown</t>
        </is>
      </c>
      <c r="L326" t="inlineStr"/>
      <c r="M326" t="inlineStr"/>
      <c r="N326" t="inlineStr">
        <is>
          <t>entrackr</t>
        </is>
      </c>
      <c r="O326" s="20" t="n">
        <v>1</v>
      </c>
      <c r="P326" s="21" t="n">
        <v>0</v>
      </c>
      <c r="Q326" t="inlineStr">
        <is>
          <t>C05 C07</t>
        </is>
      </c>
      <c r="R326" s="22" t="inlineStr">
        <is>
          <t>https://entrackr.com/snippets/argos-watches-raises-rs-65-cr-in-angel-round-8916249</t>
        </is>
      </c>
    </row>
    <row r="327">
      <c r="A327" t="inlineStr">
        <is>
          <t>R250402-betternutritio</t>
        </is>
      </c>
      <c r="B327" t="inlineStr">
        <is>
          <t>Better Nutrition</t>
        </is>
      </c>
      <c r="C327" s="17" t="n">
        <v>45749</v>
      </c>
      <c r="D327" s="18" t="n">
        <v>45748</v>
      </c>
      <c r="E327" s="19" t="n">
        <v>1.17</v>
      </c>
      <c r="F327" s="19" t="n">
        <v>10</v>
      </c>
      <c r="G327" t="inlineStr">
        <is>
          <t>Rs 10 crore</t>
        </is>
      </c>
      <c r="H327" t="inlineStr">
        <is>
          <t>Seed</t>
        </is>
      </c>
      <c r="I327" t="inlineStr">
        <is>
          <t>Early</t>
        </is>
      </c>
      <c r="J327" t="inlineStr">
        <is>
          <t>Ecommerce</t>
        </is>
      </c>
      <c r="K327" t="inlineStr">
        <is>
          <t>Lucknow</t>
        </is>
      </c>
      <c r="L327" t="inlineStr"/>
      <c r="M327" t="inlineStr">
        <is>
          <t>Namita Thapar; Shantanu Deshpande; PV Sindhu; Aclr8.vc; Apurva Chamaria; Karan Jindal; Akshay Ghulati</t>
        </is>
      </c>
      <c r="N327" t="inlineStr">
        <is>
          <t>entrackr | inc42</t>
        </is>
      </c>
      <c r="O327" s="20" t="n">
        <v>2</v>
      </c>
      <c r="P327" s="21" t="n">
        <v>2.6</v>
      </c>
      <c r="Q327" t="inlineStr"/>
      <c r="R327" s="22" t="inlineStr">
        <is>
          <t>https://entrackr.com/snippets/pv-sindhu-backed-better-nutrition-nets-rs-10-cr-in-seed-round-8916674</t>
        </is>
      </c>
    </row>
    <row r="328">
      <c r="A328" t="inlineStr">
        <is>
          <t>R250402-furjaden</t>
        </is>
      </c>
      <c r="B328" t="inlineStr">
        <is>
          <t>Fur Jaden</t>
        </is>
      </c>
      <c r="C328" s="17" t="n">
        <v>45749</v>
      </c>
      <c r="D328" s="18" t="n">
        <v>45748</v>
      </c>
      <c r="E328" s="19" t="n">
        <v>1.111</v>
      </c>
      <c r="F328" s="19" t="n">
        <v>9.5</v>
      </c>
      <c r="G328" t="inlineStr">
        <is>
          <t>Rs 9.5 crore</t>
        </is>
      </c>
      <c r="H328" t="inlineStr">
        <is>
          <t>Pre-Series A</t>
        </is>
      </c>
      <c r="I328" t="inlineStr">
        <is>
          <t>Early</t>
        </is>
      </c>
      <c r="J328" t="inlineStr">
        <is>
          <t>Ecommerce</t>
        </is>
      </c>
      <c r="K328" t="inlineStr">
        <is>
          <t>Unknown</t>
        </is>
      </c>
      <c r="L328" t="inlineStr">
        <is>
          <t>Gruhas Collective Consumer Fund</t>
        </is>
      </c>
      <c r="M328" t="inlineStr">
        <is>
          <t>Gruhas Collective Consumer Fund</t>
        </is>
      </c>
      <c r="N328" t="inlineStr">
        <is>
          <t>entrackr</t>
        </is>
      </c>
      <c r="O328" s="20" t="n">
        <v>1</v>
      </c>
      <c r="P328" s="21" t="n">
        <v>0</v>
      </c>
      <c r="Q328" t="inlineStr">
        <is>
          <t>C07</t>
        </is>
      </c>
      <c r="R328" s="22" t="inlineStr">
        <is>
          <t>https://entrackr.com/snippets/fur-jaden-raises-rs-95-cr-in-pre-series-a-from-gruhas-collective-consumer-fund-8917156</t>
        </is>
      </c>
    </row>
    <row r="329">
      <c r="A329" t="inlineStr">
        <is>
          <t>R250402-infinityfincor</t>
        </is>
      </c>
      <c r="B329" t="inlineStr">
        <is>
          <t>Infinity Fincorp</t>
        </is>
      </c>
      <c r="C329" s="17" t="n">
        <v>45749</v>
      </c>
      <c r="D329" s="18" t="n">
        <v>45748</v>
      </c>
      <c r="E329" s="19" t="n">
        <v>5</v>
      </c>
      <c r="F329" s="19" t="n">
        <v>42.74</v>
      </c>
      <c r="G329" t="inlineStr">
        <is>
          <t>$5 Mn</t>
        </is>
      </c>
      <c r="H329" t="inlineStr">
        <is>
          <t>Series A</t>
        </is>
      </c>
      <c r="I329" t="inlineStr">
        <is>
          <t>Early</t>
        </is>
      </c>
      <c r="J329" t="inlineStr">
        <is>
          <t>Fintech</t>
        </is>
      </c>
      <c r="K329" t="inlineStr">
        <is>
          <t>Mumbai</t>
        </is>
      </c>
      <c r="L329" t="inlineStr"/>
      <c r="M329" t="inlineStr">
        <is>
          <t>Beams Fintech Fund</t>
        </is>
      </c>
      <c r="N329" t="inlineStr">
        <is>
          <t>inc42 | vccircle</t>
        </is>
      </c>
      <c r="O329" s="20" t="n">
        <v>2</v>
      </c>
      <c r="P329" s="21" t="n">
        <v>0</v>
      </c>
      <c r="Q329" t="inlineStr"/>
      <c r="R329" s="22" t="inlineStr">
        <is>
          <t>https://inc42.com/buzz/from-scapia-to-pratilipi-indian-startups-raised-144-mn-this-week/</t>
        </is>
      </c>
    </row>
    <row r="330">
      <c r="A330" t="inlineStr">
        <is>
          <t>R250402-innergize</t>
        </is>
      </c>
      <c r="B330" t="inlineStr">
        <is>
          <t>InnerGize</t>
        </is>
      </c>
      <c r="C330" s="17" t="n">
        <v>45749</v>
      </c>
      <c r="D330" s="18" t="n">
        <v>45748</v>
      </c>
      <c r="E330" s="19" t="n">
        <v>0.525</v>
      </c>
      <c r="F330" s="19" t="n">
        <v>4.49</v>
      </c>
      <c r="G330" t="inlineStr">
        <is>
          <t>$525K</t>
        </is>
      </c>
      <c r="H330" t="inlineStr">
        <is>
          <t>Pre-Seed</t>
        </is>
      </c>
      <c r="I330" t="inlineStr">
        <is>
          <t>Early</t>
        </is>
      </c>
      <c r="J330" t="inlineStr">
        <is>
          <t>Healthtech</t>
        </is>
      </c>
      <c r="K330" t="inlineStr">
        <is>
          <t>Unknown</t>
        </is>
      </c>
      <c r="L330" t="inlineStr">
        <is>
          <t>Antler</t>
        </is>
      </c>
      <c r="M330" t="inlineStr">
        <is>
          <t>Antler; Arjun Vaidya; Ritesh Agarwal; Aman Gupta; Azhar Iqubal</t>
        </is>
      </c>
      <c r="N330" t="inlineStr">
        <is>
          <t>inc42</t>
        </is>
      </c>
      <c r="O330" s="20" t="n">
        <v>1</v>
      </c>
      <c r="P330" s="21" t="n">
        <v>0</v>
      </c>
      <c r="Q330" t="inlineStr">
        <is>
          <t>C07</t>
        </is>
      </c>
      <c r="R330" s="22" t="inlineStr">
        <is>
          <t>https://inc42.com/buzz/from-scapia-to-pratilipi-indian-startups-raised-144-mn-this-week/</t>
        </is>
      </c>
    </row>
    <row r="331">
      <c r="A331" t="inlineStr">
        <is>
          <t>R250402-stancehealth</t>
        </is>
      </c>
      <c r="B331" t="inlineStr">
        <is>
          <t>Stance Health</t>
        </is>
      </c>
      <c r="C331" s="17" t="n">
        <v>45749</v>
      </c>
      <c r="D331" s="18" t="n">
        <v>45748</v>
      </c>
      <c r="E331" s="19" t="n">
        <v>1</v>
      </c>
      <c r="F331" s="19" t="n">
        <v>8.550000000000001</v>
      </c>
      <c r="G331" t="inlineStr">
        <is>
          <t>$1 million</t>
        </is>
      </c>
      <c r="H331" t="inlineStr">
        <is>
          <t>Pre-Seed</t>
        </is>
      </c>
      <c r="I331" t="inlineStr">
        <is>
          <t>Early</t>
        </is>
      </c>
      <c r="J331" t="inlineStr">
        <is>
          <t>Healthtech</t>
        </is>
      </c>
      <c r="K331" t="inlineStr">
        <is>
          <t>Bengaluru</t>
        </is>
      </c>
      <c r="L331" t="inlineStr">
        <is>
          <t>General Catalyst</t>
        </is>
      </c>
      <c r="M331" t="inlineStr">
        <is>
          <t>General Catalyst; Antler; DEVC; EX Capital; Sriharsha Majety; Nandan Reddy; Kulin Shah; Silicon Valley; Z47</t>
        </is>
      </c>
      <c r="N331" t="inlineStr">
        <is>
          <t>entrackr | inc42 | et</t>
        </is>
      </c>
      <c r="O331" s="20" t="n">
        <v>3</v>
      </c>
      <c r="P331" s="21" t="n">
        <v>0</v>
      </c>
      <c r="Q331" t="inlineStr"/>
      <c r="R331" s="22" t="inlineStr">
        <is>
          <t>https://entrackr.com/snippets/stance-health-raises-1-mn-in-pre-seed-round-8915822</t>
        </is>
      </c>
    </row>
    <row r="332">
      <c r="A332" t="inlineStr">
        <is>
          <t>R250402-yatrikart</t>
        </is>
      </c>
      <c r="B332" t="inlineStr">
        <is>
          <t>Yatrikart</t>
        </is>
      </c>
      <c r="C332" s="17" t="n">
        <v>45749</v>
      </c>
      <c r="D332" s="18" t="n">
        <v>45748</v>
      </c>
      <c r="E332" s="19" t="n"/>
      <c r="F332" s="19" t="n"/>
      <c r="G332" t="inlineStr"/>
      <c r="H332" t="inlineStr">
        <is>
          <t>Series A</t>
        </is>
      </c>
      <c r="I332" t="inlineStr">
        <is>
          <t>Early</t>
        </is>
      </c>
      <c r="J332" t="inlineStr">
        <is>
          <t>Ecommerce</t>
        </is>
      </c>
      <c r="K332" t="inlineStr">
        <is>
          <t>Indore</t>
        </is>
      </c>
      <c r="L332" t="inlineStr"/>
      <c r="M332" t="inlineStr">
        <is>
          <t>MMG Group; Coca-Cola; Artha Venture Fund; Fox Software Ventures; She Capital; Shuru Up</t>
        </is>
      </c>
      <c r="N332" t="inlineStr">
        <is>
          <t>entrackr</t>
        </is>
      </c>
      <c r="O332" s="20" t="n">
        <v>1</v>
      </c>
      <c r="P332" s="21" t="n"/>
      <c r="Q332" t="inlineStr">
        <is>
          <t>C03</t>
        </is>
      </c>
      <c r="R332" s="22" t="inlineStr">
        <is>
          <t>https://entrackr.com/snippets/transit-retail-chain-yatrikart-bags-strategic-investment-from-mmg-group-8916277</t>
        </is>
      </c>
    </row>
    <row r="333">
      <c r="A333" t="inlineStr">
        <is>
          <t>R250403-furtherai</t>
        </is>
      </c>
      <c r="B333" t="inlineStr">
        <is>
          <t>FurtherAI</t>
        </is>
      </c>
      <c r="C333" s="17" t="n">
        <v>45749</v>
      </c>
      <c r="D333" s="18" t="n">
        <v>45748</v>
      </c>
      <c r="E333" s="19" t="n">
        <v>5</v>
      </c>
      <c r="F333" s="19" t="n">
        <v>42.74</v>
      </c>
      <c r="G333" t="inlineStr">
        <is>
          <t>$5 Mn</t>
        </is>
      </c>
      <c r="H333" t="inlineStr">
        <is>
          <t>Seed</t>
        </is>
      </c>
      <c r="I333" t="inlineStr">
        <is>
          <t>Early</t>
        </is>
      </c>
      <c r="J333" t="inlineStr">
        <is>
          <t>Fintech</t>
        </is>
      </c>
      <c r="K333" t="inlineStr">
        <is>
          <t>Outside India</t>
        </is>
      </c>
      <c r="L333" t="inlineStr">
        <is>
          <t>Nexus Venture Partner</t>
        </is>
      </c>
      <c r="M333" t="inlineStr">
        <is>
          <t>Nexus Venture Partner; Pioneer AI Fund; South Park Commons; Y Combinator; Converge VC; Xceedance</t>
        </is>
      </c>
      <c r="N333" t="inlineStr">
        <is>
          <t>inc42 | et</t>
        </is>
      </c>
      <c r="O333" s="20" t="n">
        <v>2</v>
      </c>
      <c r="P333" s="21" t="n">
        <v>0</v>
      </c>
      <c r="Q333" t="inlineStr"/>
      <c r="R333" s="22" t="inlineStr">
        <is>
          <t>https://economictimes.indiatimes.com/tech/funding/ai-assistant-startup-furtherai-raises-5-million-in-round-led-by-nexus-venture-partners/articleshow/119911795.cms</t>
        </is>
      </c>
    </row>
    <row r="334">
      <c r="A334" t="inlineStr">
        <is>
          <t>R250403-drivershaab</t>
        </is>
      </c>
      <c r="B334" t="inlineStr">
        <is>
          <t>DriverShaab</t>
        </is>
      </c>
      <c r="C334" s="17" t="n">
        <v>45750</v>
      </c>
      <c r="D334" s="18" t="n">
        <v>45748</v>
      </c>
      <c r="E334" s="19" t="n">
        <v>0.331</v>
      </c>
      <c r="F334" s="19" t="n">
        <v>2.82</v>
      </c>
      <c r="G334" t="inlineStr">
        <is>
          <t>Rs 2.82 crore</t>
        </is>
      </c>
      <c r="H334" t="inlineStr">
        <is>
          <t>Pre-Series A</t>
        </is>
      </c>
      <c r="I334" t="inlineStr">
        <is>
          <t>Early</t>
        </is>
      </c>
      <c r="J334" t="inlineStr">
        <is>
          <t>Consumer Services</t>
        </is>
      </c>
      <c r="K334" t="inlineStr">
        <is>
          <t>Kolkata</t>
        </is>
      </c>
      <c r="L334" t="inlineStr">
        <is>
          <t>Firstport Capital; Inflection Point Ventures</t>
        </is>
      </c>
      <c r="M334" t="inlineStr">
        <is>
          <t>Firstport Capital; Inflection Point Ventures</t>
        </is>
      </c>
      <c r="N334" t="inlineStr">
        <is>
          <t>entrackr | inc42</t>
        </is>
      </c>
      <c r="O334" s="20" t="n">
        <v>2</v>
      </c>
      <c r="P334" s="21" t="n">
        <v>0.2</v>
      </c>
      <c r="Q334" t="inlineStr"/>
      <c r="R334" s="22" t="inlineStr">
        <is>
          <t>https://entrackr.com/snippets/b2b-mobility-startup-drivershaab-raises-pre-series-a-round-8920587</t>
        </is>
      </c>
    </row>
    <row r="335">
      <c r="A335" t="inlineStr">
        <is>
          <t>R250403-perkanttech</t>
        </is>
      </c>
      <c r="B335" t="inlineStr">
        <is>
          <t>Perkant Tech</t>
        </is>
      </c>
      <c r="C335" s="17" t="n">
        <v>45750</v>
      </c>
      <c r="D335" s="18" t="n">
        <v>45748</v>
      </c>
      <c r="E335" s="19" t="n">
        <v>0.774</v>
      </c>
      <c r="F335" s="19" t="n">
        <v>6.6</v>
      </c>
      <c r="G335" t="inlineStr">
        <is>
          <t>Rs 6.6 crore</t>
        </is>
      </c>
      <c r="H335" t="inlineStr">
        <is>
          <t>Seed</t>
        </is>
      </c>
      <c r="I335" t="inlineStr">
        <is>
          <t>Early</t>
        </is>
      </c>
      <c r="J335" t="inlineStr">
        <is>
          <t>Healthtech</t>
        </is>
      </c>
      <c r="K335" t="inlineStr">
        <is>
          <t>Indore</t>
        </is>
      </c>
      <c r="L335" t="inlineStr">
        <is>
          <t>YourNest Venture Capital</t>
        </is>
      </c>
      <c r="M335" t="inlineStr">
        <is>
          <t>YourNest Venture Capital; Atal New India Challenge; Villgro Foundation; Sanchi Connect</t>
        </is>
      </c>
      <c r="N335" t="inlineStr">
        <is>
          <t>entrackr | inc42</t>
        </is>
      </c>
      <c r="O335" s="20" t="n">
        <v>2</v>
      </c>
      <c r="P335" s="21" t="n">
        <v>0.2</v>
      </c>
      <c r="Q335" t="inlineStr"/>
      <c r="R335" s="22" t="inlineStr">
        <is>
          <t>https://entrackr.com/snippets/perkant-tech-raises-rs-66-cr-in-seed-round-8920452</t>
        </is>
      </c>
    </row>
    <row r="336">
      <c r="A336" t="inlineStr">
        <is>
          <t>R250403-pratilipi</t>
        </is>
      </c>
      <c r="B336" t="inlineStr">
        <is>
          <t>Pratilipi</t>
        </is>
      </c>
      <c r="C336" s="17" t="n">
        <v>45750</v>
      </c>
      <c r="D336" s="18" t="n">
        <v>45748</v>
      </c>
      <c r="E336" s="19" t="n">
        <v>20</v>
      </c>
      <c r="F336" s="19" t="n">
        <v>170.56</v>
      </c>
      <c r="G336" t="inlineStr">
        <is>
          <t>$20 million</t>
        </is>
      </c>
      <c r="H336" t="inlineStr">
        <is>
          <t>Series E</t>
        </is>
      </c>
      <c r="I336" t="inlineStr">
        <is>
          <t>Late</t>
        </is>
      </c>
      <c r="J336" t="inlineStr">
        <is>
          <t>Media &amp; Entertainment</t>
        </is>
      </c>
      <c r="K336" t="inlineStr">
        <is>
          <t>Delhi NCR</t>
        </is>
      </c>
      <c r="L336" t="inlineStr">
        <is>
          <t>Jungle Ventures</t>
        </is>
      </c>
      <c r="M336" t="inlineStr">
        <is>
          <t>Jungle Ventures; Ravish Naresh; Arnav Kumar</t>
        </is>
      </c>
      <c r="N336" t="inlineStr">
        <is>
          <t>entrackr | inc42 | vccircle</t>
        </is>
      </c>
      <c r="O336" s="20" t="n">
        <v>3</v>
      </c>
      <c r="P336" s="21" t="n">
        <v>0</v>
      </c>
      <c r="Q336" t="inlineStr"/>
      <c r="R336" s="22" t="inlineStr">
        <is>
          <t>https://entrackr.com/news/pratilipi-raises-20-mn-in-series-e-led-by-jungle-ventures-8919558</t>
        </is>
      </c>
    </row>
    <row r="337">
      <c r="A337" t="inlineStr">
        <is>
          <t>R250403-rapidclaims</t>
        </is>
      </c>
      <c r="B337" t="inlineStr">
        <is>
          <t>RapidClaims</t>
        </is>
      </c>
      <c r="C337" s="17" t="n">
        <v>45750</v>
      </c>
      <c r="D337" s="18" t="n">
        <v>45748</v>
      </c>
      <c r="E337" s="19" t="n">
        <v>11</v>
      </c>
      <c r="F337" s="19" t="n">
        <v>93.81</v>
      </c>
      <c r="G337" t="inlineStr">
        <is>
          <t>$11 million</t>
        </is>
      </c>
      <c r="H337" t="inlineStr">
        <is>
          <t>Series A</t>
        </is>
      </c>
      <c r="I337" t="inlineStr">
        <is>
          <t>Early</t>
        </is>
      </c>
      <c r="J337" t="inlineStr">
        <is>
          <t>Enterprise Tech</t>
        </is>
      </c>
      <c r="K337" t="inlineStr">
        <is>
          <t>Unknown</t>
        </is>
      </c>
      <c r="L337" t="inlineStr">
        <is>
          <t>Accel</t>
        </is>
      </c>
      <c r="M337" t="inlineStr">
        <is>
          <t>Accel; Together Fund</t>
        </is>
      </c>
      <c r="N337" t="inlineStr">
        <is>
          <t>entrackr | inc42</t>
        </is>
      </c>
      <c r="O337" s="20" t="n">
        <v>2</v>
      </c>
      <c r="P337" s="21" t="n">
        <v>37.5</v>
      </c>
      <c r="Q337" t="inlineStr">
        <is>
          <t>C07 C15</t>
        </is>
      </c>
      <c r="R337" s="22" t="inlineStr">
        <is>
          <t>https://entrackr.com/snippets/rapidclaims-raises-11-mn-led-by-accel-8920333</t>
        </is>
      </c>
    </row>
    <row r="338">
      <c r="A338" t="inlineStr">
        <is>
          <t>R250403-scapia</t>
        </is>
      </c>
      <c r="B338" t="inlineStr">
        <is>
          <t>Scapia</t>
        </is>
      </c>
      <c r="C338" s="17" t="n">
        <v>45750</v>
      </c>
      <c r="D338" s="18" t="n">
        <v>45748</v>
      </c>
      <c r="E338" s="19" t="n">
        <v>40</v>
      </c>
      <c r="F338" s="19" t="n">
        <v>341.12</v>
      </c>
      <c r="G338" t="inlineStr">
        <is>
          <t>$40 million</t>
        </is>
      </c>
      <c r="H338" t="inlineStr">
        <is>
          <t>Series B</t>
        </is>
      </c>
      <c r="I338" t="inlineStr">
        <is>
          <t>Growth</t>
        </is>
      </c>
      <c r="J338" t="inlineStr">
        <is>
          <t>Fintech</t>
        </is>
      </c>
      <c r="K338" t="inlineStr">
        <is>
          <t>Bengaluru</t>
        </is>
      </c>
      <c r="L338" t="inlineStr">
        <is>
          <t>Peak XV Partners</t>
        </is>
      </c>
      <c r="M338" t="inlineStr">
        <is>
          <t>Peak XV Partners; Elevation Capital; Z47; 3STATE Capital</t>
        </is>
      </c>
      <c r="N338" t="inlineStr">
        <is>
          <t>entrackr | inc42 | et</t>
        </is>
      </c>
      <c r="O338" s="20" t="n">
        <v>3</v>
      </c>
      <c r="P338" s="21" t="n">
        <v>0</v>
      </c>
      <c r="Q338" t="inlineStr"/>
      <c r="R338" s="22" t="inlineStr">
        <is>
          <t>https://entrackr.com/news/scapia-raises-40-mn-in-series-b-led-by-peak-xv-8920072</t>
        </is>
      </c>
    </row>
    <row r="339">
      <c r="A339" t="inlineStr">
        <is>
          <t>R250403-sweetkaramcoff</t>
        </is>
      </c>
      <c r="B339" t="inlineStr">
        <is>
          <t>Sweet Karam Coffee</t>
        </is>
      </c>
      <c r="C339" s="17" t="n">
        <v>45750</v>
      </c>
      <c r="D339" s="18" t="n">
        <v>45748</v>
      </c>
      <c r="E339" s="19" t="n">
        <v>8</v>
      </c>
      <c r="F339" s="19" t="n">
        <v>68.22</v>
      </c>
      <c r="G339" t="inlineStr">
        <is>
          <t>$8 million</t>
        </is>
      </c>
      <c r="H339" t="inlineStr">
        <is>
          <t>Series A</t>
        </is>
      </c>
      <c r="I339" t="inlineStr">
        <is>
          <t>Early</t>
        </is>
      </c>
      <c r="J339" t="inlineStr">
        <is>
          <t>Ecommerce</t>
        </is>
      </c>
      <c r="K339" t="inlineStr">
        <is>
          <t>Chennai</t>
        </is>
      </c>
      <c r="L339" t="inlineStr">
        <is>
          <t>Peak XV Partners</t>
        </is>
      </c>
      <c r="M339" t="inlineStr">
        <is>
          <t>Peak XV Partners; Fireside Ventures</t>
        </is>
      </c>
      <c r="N339" t="inlineStr">
        <is>
          <t>entrackr | inc42 | et</t>
        </is>
      </c>
      <c r="O339" s="20" t="n">
        <v>3</v>
      </c>
      <c r="P339" s="21" t="n">
        <v>0</v>
      </c>
      <c r="Q339" t="inlineStr"/>
      <c r="R339" s="22" t="inlineStr">
        <is>
          <t>https://entrackr.com/snippets/sweet-karam-coffee-raises-8-mn-led-by-peak-xv-8919745</t>
        </is>
      </c>
    </row>
    <row r="340">
      <c r="A340" t="inlineStr">
        <is>
          <t>R250403-tonboimaging</t>
        </is>
      </c>
      <c r="B340" t="inlineStr">
        <is>
          <t>Tonbo Imaging</t>
        </is>
      </c>
      <c r="C340" s="17" t="n">
        <v>45750</v>
      </c>
      <c r="D340" s="18" t="n">
        <v>45748</v>
      </c>
      <c r="E340" s="19" t="n">
        <v>20.521</v>
      </c>
      <c r="F340" s="19" t="n">
        <v>175</v>
      </c>
      <c r="G340" t="inlineStr">
        <is>
          <t>Rs 175 crore</t>
        </is>
      </c>
      <c r="H340" t="inlineStr">
        <is>
          <t>Series D</t>
        </is>
      </c>
      <c r="I340" t="inlineStr">
        <is>
          <t>Late</t>
        </is>
      </c>
      <c r="J340" t="inlineStr">
        <is>
          <t>Deeptech</t>
        </is>
      </c>
      <c r="K340" t="inlineStr">
        <is>
          <t>Bengaluru</t>
        </is>
      </c>
      <c r="L340" t="inlineStr"/>
      <c r="M340" t="inlineStr">
        <is>
          <t>Florintee Advisors; EXIM Bank; Tenacity Ventures; Export-Import Bank of India</t>
        </is>
      </c>
      <c r="N340" t="inlineStr">
        <is>
          <t>entrackr | inc42 | vccircle</t>
        </is>
      </c>
      <c r="O340" s="20" t="n">
        <v>3</v>
      </c>
      <c r="P340" s="21" t="n">
        <v>0.6</v>
      </c>
      <c r="Q340" t="inlineStr">
        <is>
          <t>C18</t>
        </is>
      </c>
      <c r="R340" s="22" t="inlineStr">
        <is>
          <t>https://entrackr.com/snippets/tonbo-imaging-raises-21-mn-in-pre-ipo-round-8921571</t>
        </is>
      </c>
    </row>
    <row r="341">
      <c r="A341" t="inlineStr">
        <is>
          <t>R250404-aerem</t>
        </is>
      </c>
      <c r="B341" t="inlineStr">
        <is>
          <t>Aerem</t>
        </is>
      </c>
      <c r="C341" s="17" t="n">
        <v>45751</v>
      </c>
      <c r="D341" s="18" t="n">
        <v>45748</v>
      </c>
      <c r="E341" s="19" t="n">
        <v>11.71</v>
      </c>
      <c r="F341" s="19" t="n">
        <v>100</v>
      </c>
      <c r="G341" t="inlineStr">
        <is>
          <t>Rs 100 crore</t>
        </is>
      </c>
      <c r="H341" t="inlineStr">
        <is>
          <t>Series A</t>
        </is>
      </c>
      <c r="I341" t="inlineStr">
        <is>
          <t>Early</t>
        </is>
      </c>
      <c r="J341" t="inlineStr">
        <is>
          <t>Fintech</t>
        </is>
      </c>
      <c r="K341" t="inlineStr">
        <is>
          <t>Mumbai</t>
        </is>
      </c>
      <c r="L341" t="inlineStr">
        <is>
          <t>Tokyo Edge Capital Partners; UTEC</t>
        </is>
      </c>
      <c r="M341" t="inlineStr">
        <is>
          <t>Tokyo Edge Capital Partners; British International Investment; SE Ventures; Riverwalk Holdings; Blume Ventures; Avaana Capital; IDFC; AU Small Finance; Axis Bank; Northern Arc; MAS Financials; Vivriti Capital; UTEC</t>
        </is>
      </c>
      <c r="N341" t="inlineStr">
        <is>
          <t>entrackr | inc42 | et | vccircle</t>
        </is>
      </c>
      <c r="O341" s="20" t="n">
        <v>4</v>
      </c>
      <c r="P341" s="21" t="n">
        <v>2.5</v>
      </c>
      <c r="Q341" t="inlineStr">
        <is>
          <t>C17</t>
        </is>
      </c>
      <c r="R341" s="22" t="inlineStr">
        <is>
          <t>https://entrackr.com/news/solar-startup-aerem-raises-rs-100-cr-led-by-japans-utec-8924311</t>
        </is>
      </c>
    </row>
    <row r="342">
      <c r="A342" t="inlineStr">
        <is>
          <t>R250404-alienkind</t>
        </is>
      </c>
      <c r="B342" t="inlineStr">
        <is>
          <t>Alienkind</t>
        </is>
      </c>
      <c r="C342" s="17" t="n">
        <v>45751</v>
      </c>
      <c r="D342" s="18" t="n">
        <v>45748</v>
      </c>
      <c r="E342" s="19" t="n">
        <v>1.2</v>
      </c>
      <c r="F342" s="19" t="n">
        <v>10.25</v>
      </c>
      <c r="G342" t="inlineStr">
        <is>
          <t>$1.2 million</t>
        </is>
      </c>
      <c r="H342" t="inlineStr">
        <is>
          <t>Seed</t>
        </is>
      </c>
      <c r="I342" t="inlineStr">
        <is>
          <t>Early</t>
        </is>
      </c>
      <c r="J342" t="inlineStr">
        <is>
          <t>Consumer Services</t>
        </is>
      </c>
      <c r="K342" t="inlineStr">
        <is>
          <t>Unknown</t>
        </is>
      </c>
      <c r="L342" t="inlineStr">
        <is>
          <t>Prakash Sikaria; Ravi Iyer; Arpan Sheth; Super</t>
        </is>
      </c>
      <c r="M342" t="inlineStr">
        <is>
          <t>Prakash Sikaria; Ravi Iyer; Arpan Sheth; Super</t>
        </is>
      </c>
      <c r="N342" t="inlineStr">
        <is>
          <t>entrackr | inc42</t>
        </is>
      </c>
      <c r="O342" s="20" t="n">
        <v>2</v>
      </c>
      <c r="P342" s="21" t="n">
        <v>0</v>
      </c>
      <c r="Q342" t="inlineStr">
        <is>
          <t>C07 C17</t>
        </is>
      </c>
      <c r="R342" s="22" t="inlineStr">
        <is>
          <t>https://entrackr.com/snippets/juice-brand-alienkind-raises-12-mn-in-seed-round-8924648</t>
        </is>
      </c>
    </row>
    <row r="343">
      <c r="A343" t="inlineStr">
        <is>
          <t>R250404-jaikisan</t>
        </is>
      </c>
      <c r="B343" t="inlineStr">
        <is>
          <t>Jai Kisan</t>
        </is>
      </c>
      <c r="C343" s="17" t="n">
        <v>45751</v>
      </c>
      <c r="D343" s="18" t="n">
        <v>45748</v>
      </c>
      <c r="E343" s="19" t="n">
        <v>3.103</v>
      </c>
      <c r="F343" s="19" t="n">
        <v>26.5</v>
      </c>
      <c r="G343" t="inlineStr">
        <is>
          <t>Rs 26.5 crore</t>
        </is>
      </c>
      <c r="H343" t="inlineStr">
        <is>
          <t>Series B</t>
        </is>
      </c>
      <c r="I343" t="inlineStr">
        <is>
          <t>Growth</t>
        </is>
      </c>
      <c r="J343" t="inlineStr">
        <is>
          <t>Fintech</t>
        </is>
      </c>
      <c r="K343" t="inlineStr">
        <is>
          <t>Unknown</t>
        </is>
      </c>
      <c r="L343" t="inlineStr"/>
      <c r="M343" t="inlineStr">
        <is>
          <t>Mirae Asset; Unitary Fund; Blume Ventures</t>
        </is>
      </c>
      <c r="N343" t="inlineStr">
        <is>
          <t>entrackr | inc42</t>
        </is>
      </c>
      <c r="O343" s="20" t="n">
        <v>2</v>
      </c>
      <c r="P343" s="21" t="n">
        <v>3.4</v>
      </c>
      <c r="Q343" t="inlineStr">
        <is>
          <t>C07</t>
        </is>
      </c>
      <c r="R343" s="22" t="inlineStr">
        <is>
          <t>https://entrackr.com/snippets/jai-kisan-raises-fresh-funds-in-extended-series-b-8924908</t>
        </is>
      </c>
    </row>
    <row r="344">
      <c r="A344" t="inlineStr">
        <is>
          <t>R250407-ashaventures</t>
        </is>
      </c>
      <c r="B344" t="inlineStr">
        <is>
          <t>Asha Ventures</t>
        </is>
      </c>
      <c r="C344" s="17" t="n">
        <v>45754</v>
      </c>
      <c r="D344" s="18" t="n">
        <v>45748</v>
      </c>
      <c r="E344" s="19" t="n">
        <v>10</v>
      </c>
      <c r="F344" s="19" t="n">
        <v>85.77</v>
      </c>
      <c r="G344" t="inlineStr">
        <is>
          <t>$10 million</t>
        </is>
      </c>
      <c r="H344" t="inlineStr">
        <is>
          <t>Undisclosed</t>
        </is>
      </c>
      <c r="I344" t="inlineStr">
        <is>
          <t>Undisclosed</t>
        </is>
      </c>
      <c r="J344" t="inlineStr">
        <is>
          <t>Unclassified</t>
        </is>
      </c>
      <c r="K344" t="inlineStr">
        <is>
          <t>Mumbai</t>
        </is>
      </c>
      <c r="L344" t="inlineStr"/>
      <c r="M344" t="inlineStr">
        <is>
          <t>British International Investment</t>
        </is>
      </c>
      <c r="N344" t="inlineStr">
        <is>
          <t>entrackr</t>
        </is>
      </c>
      <c r="O344" s="20" t="n">
        <v>1</v>
      </c>
      <c r="P344" s="21" t="n">
        <v>0</v>
      </c>
      <c r="Q344" t="inlineStr">
        <is>
          <t>C04 C06</t>
        </is>
      </c>
      <c r="R344" s="22" t="inlineStr">
        <is>
          <t>https://entrackr.com/snippets/asha-ventures-receives-10-mn-from-british-international-investment-8933836</t>
        </is>
      </c>
    </row>
    <row r="345">
      <c r="A345" t="inlineStr">
        <is>
          <t>R250407-calligotechnol</t>
        </is>
      </c>
      <c r="B345" t="inlineStr">
        <is>
          <t>Calligo Technologies</t>
        </is>
      </c>
      <c r="C345" s="17" t="n">
        <v>45754</v>
      </c>
      <c r="D345" s="18" t="n">
        <v>45748</v>
      </c>
      <c r="E345" s="19" t="n">
        <v>1.1</v>
      </c>
      <c r="F345" s="19" t="n">
        <v>9.43</v>
      </c>
      <c r="G345" t="inlineStr">
        <is>
          <t>$1.1 million</t>
        </is>
      </c>
      <c r="H345" t="inlineStr">
        <is>
          <t>Pre-Series A</t>
        </is>
      </c>
      <c r="I345" t="inlineStr">
        <is>
          <t>Early</t>
        </is>
      </c>
      <c r="J345" t="inlineStr">
        <is>
          <t>Deeptech</t>
        </is>
      </c>
      <c r="K345" t="inlineStr">
        <is>
          <t>Bengaluru</t>
        </is>
      </c>
      <c r="L345" t="inlineStr">
        <is>
          <t>Seafund; Artha Venture Fund</t>
        </is>
      </c>
      <c r="M345" t="inlineStr">
        <is>
          <t>Seafund; Artha Venture Fund</t>
        </is>
      </c>
      <c r="N345" t="inlineStr">
        <is>
          <t>entrackr | inc42 | et</t>
        </is>
      </c>
      <c r="O345" s="20" t="n">
        <v>3</v>
      </c>
      <c r="P345" s="21" t="n">
        <v>0</v>
      </c>
      <c r="Q345" t="inlineStr"/>
      <c r="R345" s="22" t="inlineStr">
        <is>
          <t>https://entrackr.com/snippets/semiconductor-startup-calligo-technologies-bags-11-mn-in-pre-series-a-8934376</t>
        </is>
      </c>
    </row>
    <row r="346">
      <c r="A346" t="inlineStr">
        <is>
          <t>R250407-easebuzz</t>
        </is>
      </c>
      <c r="B346" t="inlineStr">
        <is>
          <t>Easebuzz</t>
        </is>
      </c>
      <c r="C346" s="17" t="n">
        <v>45754</v>
      </c>
      <c r="D346" s="18" t="n">
        <v>45748</v>
      </c>
      <c r="E346" s="19" t="n">
        <v>27.982</v>
      </c>
      <c r="F346" s="19" t="n">
        <v>240</v>
      </c>
      <c r="G346" t="inlineStr">
        <is>
          <t>Rs 240 crore</t>
        </is>
      </c>
      <c r="H346" t="inlineStr">
        <is>
          <t>Series A</t>
        </is>
      </c>
      <c r="I346" t="inlineStr">
        <is>
          <t>Early</t>
        </is>
      </c>
      <c r="J346" t="inlineStr">
        <is>
          <t>Fintech</t>
        </is>
      </c>
      <c r="K346" t="inlineStr">
        <is>
          <t>Pune</t>
        </is>
      </c>
      <c r="L346" t="inlineStr">
        <is>
          <t>Bessemer Venture Partners</t>
        </is>
      </c>
      <c r="M346" t="inlineStr">
        <is>
          <t>Bessemer Venture Partners; 8i Ventures; Varanium Capital</t>
        </is>
      </c>
      <c r="N346" t="inlineStr">
        <is>
          <t>entrackr | inc42 | et</t>
        </is>
      </c>
      <c r="O346" s="20" t="n">
        <v>3</v>
      </c>
      <c r="P346" s="21" t="n">
        <v>7.2</v>
      </c>
      <c r="Q346" t="inlineStr">
        <is>
          <t>C16</t>
        </is>
      </c>
      <c r="R346" s="22" t="inlineStr">
        <is>
          <t>https://entrackr.com/news/easebuzz-raises-30-mn-plans-ipo-in-2-3-years-8933729</t>
        </is>
      </c>
    </row>
    <row r="347">
      <c r="A347" t="inlineStr">
        <is>
          <t>R250407-innovist</t>
        </is>
      </c>
      <c r="B347" t="inlineStr">
        <is>
          <t>Innovist</t>
        </is>
      </c>
      <c r="C347" s="17" t="n">
        <v>45754</v>
      </c>
      <c r="D347" s="18" t="n">
        <v>45748</v>
      </c>
      <c r="E347" s="19" t="n">
        <v>15.856</v>
      </c>
      <c r="F347" s="19" t="n">
        <v>136</v>
      </c>
      <c r="G347" t="inlineStr">
        <is>
          <t>Rs 136 crore</t>
        </is>
      </c>
      <c r="H347" t="inlineStr">
        <is>
          <t>Series B</t>
        </is>
      </c>
      <c r="I347" t="inlineStr">
        <is>
          <t>Growth</t>
        </is>
      </c>
      <c r="J347" t="inlineStr">
        <is>
          <t>Ecommerce</t>
        </is>
      </c>
      <c r="K347" t="inlineStr">
        <is>
          <t>Delhi NCR</t>
        </is>
      </c>
      <c r="L347" t="inlineStr">
        <is>
          <t>ICICI Ventures</t>
        </is>
      </c>
      <c r="M347" t="inlineStr">
        <is>
          <t>ICICI Ventures; Mirabilis Investment Trust; Niveshaay Investment; Sauce.vc</t>
        </is>
      </c>
      <c r="N347" t="inlineStr">
        <is>
          <t>entrackr | inc42 | et</t>
        </is>
      </c>
      <c r="O347" s="20" t="n">
        <v>3</v>
      </c>
      <c r="P347" s="21" t="n">
        <v>0.4</v>
      </c>
      <c r="Q347" t="inlineStr"/>
      <c r="R347" s="22" t="inlineStr">
        <is>
          <t>https://entrackr.com/news/innovist-raises-rs-136-cr-led-by-icici-venture-accel-exits-8934341</t>
        </is>
      </c>
    </row>
    <row r="348">
      <c r="A348" t="inlineStr">
        <is>
          <t>R250407-juspay</t>
        </is>
      </c>
      <c r="B348" t="inlineStr">
        <is>
          <t>Juspay</t>
        </is>
      </c>
      <c r="C348" s="17" t="n">
        <v>45754</v>
      </c>
      <c r="D348" s="18" t="n">
        <v>45748</v>
      </c>
      <c r="E348" s="19" t="n">
        <v>60</v>
      </c>
      <c r="F348" s="19" t="n">
        <v>514.62</v>
      </c>
      <c r="G348" t="inlineStr">
        <is>
          <t>$60 million</t>
        </is>
      </c>
      <c r="H348" t="inlineStr">
        <is>
          <t>Series D</t>
        </is>
      </c>
      <c r="I348" t="inlineStr">
        <is>
          <t>Late</t>
        </is>
      </c>
      <c r="J348" t="inlineStr">
        <is>
          <t>Fintech</t>
        </is>
      </c>
      <c r="K348" t="inlineStr">
        <is>
          <t>Bengaluru</t>
        </is>
      </c>
      <c r="L348" t="inlineStr">
        <is>
          <t>Kedaara Capital</t>
        </is>
      </c>
      <c r="M348" t="inlineStr">
        <is>
          <t>Kedaara Capital; SoftBank; Accel</t>
        </is>
      </c>
      <c r="N348" t="inlineStr">
        <is>
          <t>entrackr | inc42 | et | vccircle</t>
        </is>
      </c>
      <c r="O348" s="20" t="n">
        <v>4</v>
      </c>
      <c r="P348" s="21" t="n">
        <v>0</v>
      </c>
      <c r="Q348" t="inlineStr"/>
      <c r="R348" s="22" t="inlineStr">
        <is>
          <t>https://entrackr.com/news/juspay-secures-60-mn-from-kedaara-softbank-and-accel-8934673</t>
        </is>
      </c>
    </row>
    <row r="349">
      <c r="A349" t="inlineStr">
        <is>
          <t>R250407-sadbhavfuturet</t>
        </is>
      </c>
      <c r="B349" t="inlineStr">
        <is>
          <t>Sadbhav Future Tech</t>
        </is>
      </c>
      <c r="C349" s="17" t="n">
        <v>45754</v>
      </c>
      <c r="D349" s="18" t="n">
        <v>45748</v>
      </c>
      <c r="E349" s="19" t="n">
        <v>4.197</v>
      </c>
      <c r="F349" s="19" t="n">
        <v>36</v>
      </c>
      <c r="G349" t="inlineStr">
        <is>
          <t>Rs 36 crore</t>
        </is>
      </c>
      <c r="H349" t="inlineStr">
        <is>
          <t>Pre-IPO</t>
        </is>
      </c>
      <c r="I349" t="inlineStr">
        <is>
          <t>Late</t>
        </is>
      </c>
      <c r="J349" t="inlineStr">
        <is>
          <t>Unclassified</t>
        </is>
      </c>
      <c r="K349" t="inlineStr">
        <is>
          <t>Unknown</t>
        </is>
      </c>
      <c r="L349" t="inlineStr"/>
      <c r="M349" t="inlineStr"/>
      <c r="N349" t="inlineStr">
        <is>
          <t>entrackr</t>
        </is>
      </c>
      <c r="O349" s="20" t="n">
        <v>1</v>
      </c>
      <c r="P349" s="21" t="n">
        <v>0</v>
      </c>
      <c r="Q349" t="inlineStr">
        <is>
          <t>C05 C06 C07</t>
        </is>
      </c>
      <c r="R349" s="22" t="inlineStr">
        <is>
          <t>https://entrackr.com/snippets/chanakya-opportunities-fund-invests-in-sadbhav-future-techs-rs-36-cr-round-8934877</t>
        </is>
      </c>
    </row>
    <row r="350">
      <c r="A350" t="inlineStr">
        <is>
          <t>R250407-startupsiglqai</t>
        </is>
      </c>
      <c r="B350" t="inlineStr">
        <is>
          <t>Startup SiglQ.ai</t>
        </is>
      </c>
      <c r="C350" s="17" t="n">
        <v>45754</v>
      </c>
      <c r="D350" s="18" t="n">
        <v>45748</v>
      </c>
      <c r="E350" s="19" t="n">
        <v>9.5</v>
      </c>
      <c r="F350" s="19" t="n">
        <v>81.48</v>
      </c>
      <c r="G350" t="inlineStr">
        <is>
          <t>$9.5 million</t>
        </is>
      </c>
      <c r="H350" t="inlineStr">
        <is>
          <t>Seed</t>
        </is>
      </c>
      <c r="I350" t="inlineStr">
        <is>
          <t>Early</t>
        </is>
      </c>
      <c r="J350" t="inlineStr">
        <is>
          <t>Edtech</t>
        </is>
      </c>
      <c r="K350" t="inlineStr">
        <is>
          <t>Unknown</t>
        </is>
      </c>
      <c r="L350" t="inlineStr">
        <is>
          <t>GSV Ventures</t>
        </is>
      </c>
      <c r="M350" t="inlineStr">
        <is>
          <t>GSV Ventures; Duolingo; General Catalyst India; Andy Konwinski; Christian Storm; Trevor Darrell; Jitendra Malik; Srini Devadas; Sharad Malik</t>
        </is>
      </c>
      <c r="N350" t="inlineStr">
        <is>
          <t>entrackr</t>
        </is>
      </c>
      <c r="O350" s="20" t="n">
        <v>1</v>
      </c>
      <c r="P350" s="21" t="n">
        <v>0</v>
      </c>
      <c r="Q350" t="inlineStr">
        <is>
          <t>C07</t>
        </is>
      </c>
      <c r="R350" s="22" t="inlineStr">
        <is>
          <t>https://entrackr.com/snippets/edtech-startup-siglqai-secures-95-mn-in-seed-funding-8936188</t>
        </is>
      </c>
    </row>
    <row r="351">
      <c r="A351" t="inlineStr">
        <is>
          <t>R250407-vimano</t>
        </is>
      </c>
      <c r="B351" t="inlineStr">
        <is>
          <t>Vimano</t>
        </is>
      </c>
      <c r="C351" s="17" t="n">
        <v>45754</v>
      </c>
      <c r="D351" s="18" t="n">
        <v>45748</v>
      </c>
      <c r="E351" s="19" t="n">
        <v>2.915</v>
      </c>
      <c r="F351" s="19" t="n">
        <v>25</v>
      </c>
      <c r="G351" t="inlineStr">
        <is>
          <t>Rs 25 crore</t>
        </is>
      </c>
      <c r="H351" t="inlineStr">
        <is>
          <t>Seed</t>
        </is>
      </c>
      <c r="I351" t="inlineStr">
        <is>
          <t>Early</t>
        </is>
      </c>
      <c r="J351" t="inlineStr">
        <is>
          <t>Cleantech</t>
        </is>
      </c>
      <c r="K351" t="inlineStr">
        <is>
          <t>Bengaluru</t>
        </is>
      </c>
      <c r="L351" t="inlineStr">
        <is>
          <t>Ankur Capital</t>
        </is>
      </c>
      <c r="M351" t="inlineStr">
        <is>
          <t>Ankur Capital</t>
        </is>
      </c>
      <c r="N351" t="inlineStr">
        <is>
          <t>entrackr | inc42 | et</t>
        </is>
      </c>
      <c r="O351" s="20" t="n">
        <v>3</v>
      </c>
      <c r="P351" s="21" t="n">
        <v>0.5</v>
      </c>
      <c r="Q351" t="inlineStr"/>
      <c r="R351" s="22" t="inlineStr">
        <is>
          <t>https://entrackr.com/snippets/vimano-raises-rs-25-cr-in-seed-round-led-by-ankur-capital-8933840</t>
        </is>
      </c>
    </row>
    <row r="352">
      <c r="A352" t="inlineStr">
        <is>
          <t>R250408-agrostar</t>
        </is>
      </c>
      <c r="B352" t="inlineStr">
        <is>
          <t>AgroStar</t>
        </is>
      </c>
      <c r="C352" s="17" t="n">
        <v>45755</v>
      </c>
      <c r="D352" s="18" t="n">
        <v>45748</v>
      </c>
      <c r="E352" s="19" t="n">
        <v>6.686</v>
      </c>
      <c r="F352" s="19" t="n">
        <v>57.65</v>
      </c>
      <c r="G352" t="inlineStr">
        <is>
          <t>Rs 57.65 crore</t>
        </is>
      </c>
      <c r="H352" t="inlineStr">
        <is>
          <t>Undisclosed</t>
        </is>
      </c>
      <c r="I352" t="inlineStr">
        <is>
          <t>Undisclosed</t>
        </is>
      </c>
      <c r="J352" t="inlineStr">
        <is>
          <t>Agritech</t>
        </is>
      </c>
      <c r="K352" t="inlineStr">
        <is>
          <t>Pune</t>
        </is>
      </c>
      <c r="L352" t="inlineStr">
        <is>
          <t>Accel India</t>
        </is>
      </c>
      <c r="M352" t="inlineStr">
        <is>
          <t>Accel India; Aavishkaar India; Bertelsmann; Evolvence India; Chiratae Ventures; Hero Enterprises</t>
        </is>
      </c>
      <c r="N352" t="inlineStr">
        <is>
          <t>entrackr | inc42 | et</t>
        </is>
      </c>
      <c r="O352" s="20" t="n">
        <v>3</v>
      </c>
      <c r="P352" s="21" t="n">
        <v>0.2</v>
      </c>
      <c r="Q352" t="inlineStr">
        <is>
          <t>C04</t>
        </is>
      </c>
      <c r="R352" s="22" t="inlineStr">
        <is>
          <t>https://entrackr.com/exclusive/exclusive-agrostar-raises-fresh-funds-from-existing-investors-8937865</t>
        </is>
      </c>
    </row>
    <row r="353">
      <c r="A353" t="inlineStr">
        <is>
          <t>R250408-cautio</t>
        </is>
      </c>
      <c r="B353" t="inlineStr">
        <is>
          <t>Cautio</t>
        </is>
      </c>
      <c r="C353" s="17" t="n">
        <v>45755</v>
      </c>
      <c r="D353" s="18" t="n">
        <v>45748</v>
      </c>
      <c r="E353" s="19" t="n">
        <v>1.276</v>
      </c>
      <c r="F353" s="19" t="n">
        <v>11</v>
      </c>
      <c r="G353" t="inlineStr">
        <is>
          <t>Rs 11 crore</t>
        </is>
      </c>
      <c r="H353" t="inlineStr">
        <is>
          <t>Seed</t>
        </is>
      </c>
      <c r="I353" t="inlineStr">
        <is>
          <t>Early</t>
        </is>
      </c>
      <c r="J353" t="inlineStr">
        <is>
          <t>Deeptech</t>
        </is>
      </c>
      <c r="K353" t="inlineStr">
        <is>
          <t>Bengaluru</t>
        </is>
      </c>
      <c r="L353" t="inlineStr"/>
      <c r="M353" t="inlineStr">
        <is>
          <t>100Unicorns; Venture Catalysts; Antler India; Infynite Club; PIEDS-BITS Pilani; Gajendra Jangid; Vikram Chopra; 9Unicorns; Infinyte Club; Ministry of Electronics; IT</t>
        </is>
      </c>
      <c r="N353" t="inlineStr">
        <is>
          <t>entrackr | inc42</t>
        </is>
      </c>
      <c r="O353" s="20" t="n">
        <v>2</v>
      </c>
      <c r="P353" s="21" t="n">
        <v>1.9</v>
      </c>
      <c r="Q353" t="inlineStr"/>
      <c r="R353" s="22" t="inlineStr">
        <is>
          <t>https://entrackr.com/snippets/dashcam-startup-cautio-raises-rs-11-cr-in-seed-round-8938078</t>
        </is>
      </c>
    </row>
    <row r="354">
      <c r="A354" t="inlineStr">
        <is>
          <t>R250408-eatbetter</t>
        </is>
      </c>
      <c r="B354" t="inlineStr">
        <is>
          <t>Eat Better</t>
        </is>
      </c>
      <c r="C354" s="17" t="n">
        <v>45755</v>
      </c>
      <c r="D354" s="18" t="n">
        <v>45748</v>
      </c>
      <c r="E354" s="19" t="n">
        <v>1.972</v>
      </c>
      <c r="F354" s="19" t="n">
        <v>17</v>
      </c>
      <c r="G354" t="inlineStr">
        <is>
          <t>Rs 17 crore</t>
        </is>
      </c>
      <c r="H354" t="inlineStr">
        <is>
          <t>Pre-Series A</t>
        </is>
      </c>
      <c r="I354" t="inlineStr">
        <is>
          <t>Early</t>
        </is>
      </c>
      <c r="J354" t="inlineStr">
        <is>
          <t>Ecommerce</t>
        </is>
      </c>
      <c r="K354" t="inlineStr">
        <is>
          <t>Jaipur</t>
        </is>
      </c>
      <c r="L354" t="inlineStr">
        <is>
          <t>Prath Ventures; Spring Marketing Capital</t>
        </is>
      </c>
      <c r="M354" t="inlineStr">
        <is>
          <t>Prath Ventures; Spring Marketing Capital; Namita Thapar</t>
        </is>
      </c>
      <c r="N354" t="inlineStr">
        <is>
          <t>entrackr | inc42</t>
        </is>
      </c>
      <c r="O354" s="20" t="n">
        <v>2</v>
      </c>
      <c r="P354" s="21" t="n">
        <v>1.4</v>
      </c>
      <c r="Q354" t="inlineStr"/>
      <c r="R354" s="22" t="inlineStr">
        <is>
          <t>https://inc42.com/buzz/from-juspay-to-noise-indian-startups-raised-195-mn-this-week/</t>
        </is>
      </c>
    </row>
    <row r="355">
      <c r="A355" t="inlineStr">
        <is>
          <t>R250408-outzidr</t>
        </is>
      </c>
      <c r="B355" t="inlineStr">
        <is>
          <t>OUTZIDR</t>
        </is>
      </c>
      <c r="C355" s="17" t="n">
        <v>45755</v>
      </c>
      <c r="D355" s="18" t="n">
        <v>45748</v>
      </c>
      <c r="E355" s="19" t="n">
        <v>3.479</v>
      </c>
      <c r="F355" s="19" t="n">
        <v>30</v>
      </c>
      <c r="G355" t="inlineStr">
        <is>
          <t>Rs 30 crore</t>
        </is>
      </c>
      <c r="H355" t="inlineStr">
        <is>
          <t>Seed</t>
        </is>
      </c>
      <c r="I355" t="inlineStr">
        <is>
          <t>Early</t>
        </is>
      </c>
      <c r="J355" t="inlineStr">
        <is>
          <t>Ecommerce</t>
        </is>
      </c>
      <c r="K355" t="inlineStr">
        <is>
          <t>Bengaluru</t>
        </is>
      </c>
      <c r="L355" t="inlineStr">
        <is>
          <t>Stellaris Venture Partners</t>
        </is>
      </c>
      <c r="M355" t="inlineStr">
        <is>
          <t>Stellaris Venture Partners; Ramakant Sharma; Ghazal Alagh</t>
        </is>
      </c>
      <c r="N355" t="inlineStr">
        <is>
          <t>entrackr | inc42</t>
        </is>
      </c>
      <c r="O355" s="20" t="n">
        <v>2</v>
      </c>
      <c r="P355" s="21" t="n">
        <v>0.6</v>
      </c>
      <c r="Q355" t="inlineStr"/>
      <c r="R355" s="22" t="inlineStr">
        <is>
          <t>https://entrackr.com/snippets/fashion-brand-outzidr-raises-rs-30-cr-in-seed-round-from-stellaris-8938030</t>
        </is>
      </c>
    </row>
    <row r="356">
      <c r="A356" t="inlineStr">
        <is>
          <t>R250409-amicco</t>
        </is>
      </c>
      <c r="B356" t="inlineStr">
        <is>
          <t>Amicco</t>
        </is>
      </c>
      <c r="C356" s="17" t="n">
        <v>45756</v>
      </c>
      <c r="D356" s="18" t="n">
        <v>45748</v>
      </c>
      <c r="E356" s="19" t="n">
        <v>1</v>
      </c>
      <c r="F356" s="19" t="n">
        <v>8.67</v>
      </c>
      <c r="G356" t="inlineStr">
        <is>
          <t>$1 million</t>
        </is>
      </c>
      <c r="H356" t="inlineStr">
        <is>
          <t>Seed</t>
        </is>
      </c>
      <c r="I356" t="inlineStr">
        <is>
          <t>Early</t>
        </is>
      </c>
      <c r="J356" t="inlineStr">
        <is>
          <t>Ecommerce</t>
        </is>
      </c>
      <c r="K356" t="inlineStr">
        <is>
          <t>Unknown</t>
        </is>
      </c>
      <c r="L356" t="inlineStr">
        <is>
          <t>Eximius Ventures</t>
        </is>
      </c>
      <c r="M356" t="inlineStr">
        <is>
          <t>Eximius Ventures; FJ Labs</t>
        </is>
      </c>
      <c r="N356" t="inlineStr">
        <is>
          <t>entrackr | inc42</t>
        </is>
      </c>
      <c r="O356" s="20" t="n">
        <v>2</v>
      </c>
      <c r="P356" s="21" t="n">
        <v>0</v>
      </c>
      <c r="Q356" t="inlineStr">
        <is>
          <t>C07</t>
        </is>
      </c>
      <c r="R356" s="22" t="inlineStr">
        <is>
          <t>https://entrackr.com/snippets/amicco-raises-1-mn-in-seed-round-led-by-eximius-8941824</t>
        </is>
      </c>
    </row>
    <row r="357">
      <c r="A357" t="inlineStr">
        <is>
          <t>R250409-bhagva</t>
        </is>
      </c>
      <c r="B357" t="inlineStr">
        <is>
          <t>Bhagva</t>
        </is>
      </c>
      <c r="C357" s="17" t="n">
        <v>45756</v>
      </c>
      <c r="D357" s="18" t="n">
        <v>45748</v>
      </c>
      <c r="E357" s="19" t="n">
        <v>1</v>
      </c>
      <c r="F357" s="19" t="n">
        <v>8.67</v>
      </c>
      <c r="G357" t="inlineStr">
        <is>
          <t>$1 million</t>
        </is>
      </c>
      <c r="H357" t="inlineStr">
        <is>
          <t>Pre-Series A</t>
        </is>
      </c>
      <c r="I357" t="inlineStr">
        <is>
          <t>Early</t>
        </is>
      </c>
      <c r="J357" t="inlineStr">
        <is>
          <t>Consumer Services</t>
        </is>
      </c>
      <c r="K357" t="inlineStr">
        <is>
          <t>Delhi NCR</t>
        </is>
      </c>
      <c r="L357" t="inlineStr"/>
      <c r="M357" t="inlineStr">
        <is>
          <t>Pradeep Nain</t>
        </is>
      </c>
      <c r="N357" t="inlineStr">
        <is>
          <t>entrackr | inc42</t>
        </is>
      </c>
      <c r="O357" s="20" t="n">
        <v>2</v>
      </c>
      <c r="P357" s="21" t="n">
        <v>0</v>
      </c>
      <c r="Q357" t="inlineStr"/>
      <c r="R357" s="22" t="inlineStr">
        <is>
          <t>https://entrackr.com/snippets/digital-spiritual-platform-bhagva-raises-1-mn-in-pre-series-a-round-8943087</t>
        </is>
      </c>
    </row>
    <row r="358">
      <c r="A358" t="inlineStr">
        <is>
          <t>R250409-lettry</t>
        </is>
      </c>
      <c r="B358" t="inlineStr">
        <is>
          <t>Let’s Try</t>
        </is>
      </c>
      <c r="C358" s="17" t="n">
        <v>45756</v>
      </c>
      <c r="D358" s="18" t="n">
        <v>45748</v>
      </c>
      <c r="E358" s="19" t="n">
        <v>2.5</v>
      </c>
      <c r="F358" s="19" t="n">
        <v>21.67</v>
      </c>
      <c r="G358" t="inlineStr">
        <is>
          <t>$2.5 million</t>
        </is>
      </c>
      <c r="H358" t="inlineStr">
        <is>
          <t>Pre-Series A</t>
        </is>
      </c>
      <c r="I358" t="inlineStr">
        <is>
          <t>Early</t>
        </is>
      </c>
      <c r="J358" t="inlineStr">
        <is>
          <t>Ecommerce</t>
        </is>
      </c>
      <c r="K358" t="inlineStr">
        <is>
          <t>Delhi NCR</t>
        </is>
      </c>
      <c r="L358" t="inlineStr">
        <is>
          <t>SWC Global</t>
        </is>
      </c>
      <c r="M358" t="inlineStr">
        <is>
          <t>SWC Global; Wipro Consumer; 100Unicorns; Venture Catalysts; Aman Gupta</t>
        </is>
      </c>
      <c r="N358" t="inlineStr">
        <is>
          <t>entrackr | inc42</t>
        </is>
      </c>
      <c r="O358" s="20" t="n">
        <v>2</v>
      </c>
      <c r="P358" s="21" t="n">
        <v>0</v>
      </c>
      <c r="Q358" t="inlineStr"/>
      <c r="R358" s="22" t="inlineStr">
        <is>
          <t>https://entrackr.com/snippets/snack-brand-lets-try-raises-25-mn-led-by-swc-global-8942343</t>
        </is>
      </c>
    </row>
    <row r="359">
      <c r="A359" t="inlineStr">
        <is>
          <t>R250409-noise</t>
        </is>
      </c>
      <c r="B359" t="inlineStr">
        <is>
          <t>Noise</t>
        </is>
      </c>
      <c r="C359" s="17" t="n">
        <v>45756</v>
      </c>
      <c r="D359" s="18" t="n">
        <v>45748</v>
      </c>
      <c r="E359" s="19" t="n">
        <v>20</v>
      </c>
      <c r="F359" s="19" t="n">
        <v>173.34</v>
      </c>
      <c r="G359" t="inlineStr">
        <is>
          <t>$20 Mn</t>
        </is>
      </c>
      <c r="H359" t="inlineStr">
        <is>
          <t>Undisclosed</t>
        </is>
      </c>
      <c r="I359" t="inlineStr">
        <is>
          <t>Undisclosed</t>
        </is>
      </c>
      <c r="J359" t="inlineStr">
        <is>
          <t>Ecommerce</t>
        </is>
      </c>
      <c r="K359" t="inlineStr">
        <is>
          <t>Delhi NCR</t>
        </is>
      </c>
      <c r="L359" t="inlineStr">
        <is>
          <t>Bose</t>
        </is>
      </c>
      <c r="M359" t="inlineStr">
        <is>
          <t>Bose</t>
        </is>
      </c>
      <c r="N359" t="inlineStr">
        <is>
          <t>inc42 | et</t>
        </is>
      </c>
      <c r="O359" s="20" t="n">
        <v>2</v>
      </c>
      <c r="P359" s="21" t="n">
        <v>0</v>
      </c>
      <c r="Q359" t="inlineStr">
        <is>
          <t>C04</t>
        </is>
      </c>
      <c r="R359" s="22" t="inlineStr">
        <is>
          <t>https://economictimes.indiatimes.com/tech/funding/wearables-brand-noise-raises-20-million-from-bose-corp/articleshow/120130563.cms</t>
        </is>
      </c>
    </row>
    <row r="360">
      <c r="A360" t="inlineStr">
        <is>
          <t>R250410-askmyguru</t>
        </is>
      </c>
      <c r="B360" t="inlineStr">
        <is>
          <t>AskMyGuru</t>
        </is>
      </c>
      <c r="C360" s="17" t="n">
        <v>45757</v>
      </c>
      <c r="D360" s="18" t="n">
        <v>45748</v>
      </c>
      <c r="E360" s="19" t="n">
        <v>1.2</v>
      </c>
      <c r="F360" s="19" t="n">
        <v>10.34</v>
      </c>
      <c r="G360" t="inlineStr">
        <is>
          <t>$1.2 million</t>
        </is>
      </c>
      <c r="H360" t="inlineStr">
        <is>
          <t>Seed</t>
        </is>
      </c>
      <c r="I360" t="inlineStr">
        <is>
          <t>Early</t>
        </is>
      </c>
      <c r="J360" t="inlineStr">
        <is>
          <t>Consumer Services</t>
        </is>
      </c>
      <c r="K360" t="inlineStr">
        <is>
          <t>Unknown</t>
        </is>
      </c>
      <c r="L360" t="inlineStr">
        <is>
          <t>Lumikai</t>
        </is>
      </c>
      <c r="M360" t="inlineStr">
        <is>
          <t>Lumikai; Amarnath Thombre; M-League; DeVC</t>
        </is>
      </c>
      <c r="N360" t="inlineStr">
        <is>
          <t>entrackr | inc42</t>
        </is>
      </c>
      <c r="O360" s="20" t="n">
        <v>2</v>
      </c>
      <c r="P360" s="21" t="n">
        <v>0</v>
      </c>
      <c r="Q360" t="inlineStr">
        <is>
          <t>C07</t>
        </is>
      </c>
      <c r="R360" s="22" t="inlineStr">
        <is>
          <t>https://entrackr.com/snippets/lumikai-leads-12-mn-seed-round-in-askmyguru-8946838</t>
        </is>
      </c>
    </row>
    <row r="361">
      <c r="A361" t="inlineStr">
        <is>
          <t>R250410-bower</t>
        </is>
      </c>
      <c r="B361" t="inlineStr">
        <is>
          <t>Bower School of Entrepreneurship</t>
        </is>
      </c>
      <c r="C361" s="17" t="n">
        <v>45757</v>
      </c>
      <c r="D361" s="18" t="n">
        <v>45748</v>
      </c>
      <c r="E361" s="19" t="n">
        <v>1.335</v>
      </c>
      <c r="F361" s="19" t="n">
        <v>11.5</v>
      </c>
      <c r="G361" t="inlineStr">
        <is>
          <t>Rs 11.5 crore</t>
        </is>
      </c>
      <c r="H361" t="inlineStr">
        <is>
          <t>Seed</t>
        </is>
      </c>
      <c r="I361" t="inlineStr">
        <is>
          <t>Early</t>
        </is>
      </c>
      <c r="J361" t="inlineStr">
        <is>
          <t>Edtech</t>
        </is>
      </c>
      <c r="K361" t="inlineStr">
        <is>
          <t>Unknown</t>
        </is>
      </c>
      <c r="L361" t="inlineStr"/>
      <c r="M361" t="inlineStr">
        <is>
          <t>Astir Ventures</t>
        </is>
      </c>
      <c r="N361" t="inlineStr">
        <is>
          <t>entrackr | inc42 | et</t>
        </is>
      </c>
      <c r="O361" s="20" t="n">
        <v>3</v>
      </c>
      <c r="P361" s="21" t="n">
        <v>4.9</v>
      </c>
      <c r="Q361" t="inlineStr">
        <is>
          <t>C07</t>
        </is>
      </c>
      <c r="R361" s="22" t="inlineStr">
        <is>
          <t>https://entrackr.com/snippets/bower-raises-rs-115-cr-in-seed-round-8947167</t>
        </is>
      </c>
    </row>
    <row r="362">
      <c r="A362" t="inlineStr">
        <is>
          <t>R250410-drivefitt</t>
        </is>
      </c>
      <c r="B362" t="inlineStr">
        <is>
          <t>DRIVE FITT</t>
        </is>
      </c>
      <c r="C362" s="17" t="n">
        <v>45757</v>
      </c>
      <c r="D362" s="18" t="n">
        <v>45748</v>
      </c>
      <c r="E362" s="19" t="n"/>
      <c r="F362" s="19" t="n"/>
      <c r="G362" t="inlineStr"/>
      <c r="H362" t="inlineStr">
        <is>
          <t>Undisclosed</t>
        </is>
      </c>
      <c r="I362" t="inlineStr">
        <is>
          <t>Undisclosed</t>
        </is>
      </c>
      <c r="J362" t="inlineStr">
        <is>
          <t>Healthtech</t>
        </is>
      </c>
      <c r="K362" t="inlineStr">
        <is>
          <t>Unknown</t>
        </is>
      </c>
      <c r="L362" t="inlineStr"/>
      <c r="M362" t="inlineStr">
        <is>
          <t>Glenn Maxwell</t>
        </is>
      </c>
      <c r="N362" t="inlineStr">
        <is>
          <t>inc42</t>
        </is>
      </c>
      <c r="O362" s="20" t="n">
        <v>1</v>
      </c>
      <c r="P362" s="21" t="n"/>
      <c r="Q362" t="inlineStr">
        <is>
          <t>C03 C04 C07</t>
        </is>
      </c>
      <c r="R362" s="22" t="inlineStr">
        <is>
          <t>https://inc42.com/buzz/from-juspay-to-noise-indian-startups-raised-195-mn-this-week/</t>
        </is>
      </c>
    </row>
    <row r="363">
      <c r="A363" t="inlineStr">
        <is>
          <t>R250410-eloelo</t>
        </is>
      </c>
      <c r="B363" t="inlineStr">
        <is>
          <t>EloElo</t>
        </is>
      </c>
      <c r="C363" s="17" t="n">
        <v>45757</v>
      </c>
      <c r="D363" s="18" t="n">
        <v>45748</v>
      </c>
      <c r="E363" s="19" t="n">
        <v>13.5</v>
      </c>
      <c r="F363" s="19" t="n">
        <v>116.32</v>
      </c>
      <c r="G363" t="inlineStr">
        <is>
          <t>$13.5 million</t>
        </is>
      </c>
      <c r="H363" t="inlineStr">
        <is>
          <t>Series B</t>
        </is>
      </c>
      <c r="I363" t="inlineStr">
        <is>
          <t>Growth</t>
        </is>
      </c>
      <c r="J363" t="inlineStr">
        <is>
          <t>Media &amp; Entertainment</t>
        </is>
      </c>
      <c r="K363" t="inlineStr">
        <is>
          <t>Unknown</t>
        </is>
      </c>
      <c r="L363" t="inlineStr">
        <is>
          <t>Play Ventures</t>
        </is>
      </c>
      <c r="M363" t="inlineStr">
        <is>
          <t>Play Ventures; Kalaari Capital; MIXI Investments; Gameskraft Technologies; Griffin Gaming Partners; Waterbridge Ventures; Courtside Ventures; Rocket Capital</t>
        </is>
      </c>
      <c r="N363" t="inlineStr">
        <is>
          <t>entrackr | inc42 | vccircle</t>
        </is>
      </c>
      <c r="O363" s="20" t="n">
        <v>3</v>
      </c>
      <c r="P363" s="21" t="n">
        <v>0</v>
      </c>
      <c r="Q363" t="inlineStr">
        <is>
          <t>C07</t>
        </is>
      </c>
      <c r="R363" s="22" t="inlineStr">
        <is>
          <t>https://entrackr.com/snippets/eloelo-raises-135-mn-in-series-b-round-led-by-play-ventures-8946507</t>
        </is>
      </c>
    </row>
    <row r="364">
      <c r="A364" t="inlineStr">
        <is>
          <t>R250410-mosaicwellness</t>
        </is>
      </c>
      <c r="B364" t="inlineStr">
        <is>
          <t>Mosaic Wellness</t>
        </is>
      </c>
      <c r="C364" s="17" t="n">
        <v>45757</v>
      </c>
      <c r="D364" s="18" t="n">
        <v>45748</v>
      </c>
      <c r="E364" s="19" t="n">
        <v>20.311</v>
      </c>
      <c r="F364" s="19" t="n">
        <v>175</v>
      </c>
      <c r="G364" t="inlineStr">
        <is>
          <t>Rs 175 crore</t>
        </is>
      </c>
      <c r="H364" t="inlineStr">
        <is>
          <t>Undisclosed</t>
        </is>
      </c>
      <c r="I364" t="inlineStr">
        <is>
          <t>Undisclosed</t>
        </is>
      </c>
      <c r="J364" t="inlineStr">
        <is>
          <t>Ecommerce</t>
        </is>
      </c>
      <c r="K364" t="inlineStr">
        <is>
          <t>Mumbai</t>
        </is>
      </c>
      <c r="L364" t="inlineStr">
        <is>
          <t>Think Investments</t>
        </is>
      </c>
      <c r="M364" t="inlineStr">
        <is>
          <t>Think Investments</t>
        </is>
      </c>
      <c r="N364" t="inlineStr">
        <is>
          <t>entrackr | inc42 | et</t>
        </is>
      </c>
      <c r="O364" s="20" t="n">
        <v>3</v>
      </c>
      <c r="P364" s="21" t="n">
        <v>1.6</v>
      </c>
      <c r="Q364" t="inlineStr">
        <is>
          <t>C04</t>
        </is>
      </c>
      <c r="R364" s="22" t="inlineStr">
        <is>
          <t>https://entrackr.com/exclusive/exclusive-mosaic-wellness-raises-20-mn-at-400-mn-valuation-8946136</t>
        </is>
      </c>
    </row>
    <row r="365">
      <c r="A365" t="inlineStr">
        <is>
          <t>R250410-xindus</t>
        </is>
      </c>
      <c r="B365" t="inlineStr">
        <is>
          <t>Xindus</t>
        </is>
      </c>
      <c r="C365" s="17" t="n">
        <v>45757</v>
      </c>
      <c r="D365" s="18" t="n">
        <v>45748</v>
      </c>
      <c r="E365" s="19" t="n">
        <v>10</v>
      </c>
      <c r="F365" s="19" t="n">
        <v>86.16</v>
      </c>
      <c r="G365" t="inlineStr">
        <is>
          <t>$10 million</t>
        </is>
      </c>
      <c r="H365" t="inlineStr">
        <is>
          <t>Series A</t>
        </is>
      </c>
      <c r="I365" t="inlineStr">
        <is>
          <t>Early</t>
        </is>
      </c>
      <c r="J365" t="inlineStr">
        <is>
          <t>Logistics</t>
        </is>
      </c>
      <c r="K365" t="inlineStr">
        <is>
          <t>Delhi NCR</t>
        </is>
      </c>
      <c r="L365" t="inlineStr">
        <is>
          <t>3one4 Capital</t>
        </is>
      </c>
      <c r="M365" t="inlineStr">
        <is>
          <t>3one4 Capital; Orios Venture Partners; Shastra VC; Caret Capital</t>
        </is>
      </c>
      <c r="N365" t="inlineStr">
        <is>
          <t>entrackr | inc42 | et</t>
        </is>
      </c>
      <c r="O365" s="20" t="n">
        <v>3</v>
      </c>
      <c r="P365" s="21" t="n">
        <v>0</v>
      </c>
      <c r="Q365" t="inlineStr"/>
      <c r="R365" s="22" t="inlineStr">
        <is>
          <t>https://entrackr.com/snippets/cross-border-logistics-startup-xindus-bags-10-mn-in-pre-series-a-round-8946129</t>
        </is>
      </c>
    </row>
    <row r="366">
      <c r="A366" t="inlineStr">
        <is>
          <t>R250411-greenline</t>
        </is>
      </c>
      <c r="B366" t="inlineStr">
        <is>
          <t>GreenLine</t>
        </is>
      </c>
      <c r="C366" s="17" t="n">
        <v>45757</v>
      </c>
      <c r="D366" s="18" t="n">
        <v>45748</v>
      </c>
      <c r="E366" s="19" t="n">
        <v>275</v>
      </c>
      <c r="F366" s="19" t="n">
        <v>2369.4</v>
      </c>
      <c r="G366" t="inlineStr">
        <is>
          <t>$275 million</t>
        </is>
      </c>
      <c r="H366" t="inlineStr">
        <is>
          <t>Undisclosed</t>
        </is>
      </c>
      <c r="I366" t="inlineStr">
        <is>
          <t>Undisclosed</t>
        </is>
      </c>
      <c r="J366" t="inlineStr">
        <is>
          <t>Unclassified</t>
        </is>
      </c>
      <c r="K366" t="inlineStr">
        <is>
          <t>Unknown</t>
        </is>
      </c>
      <c r="L366" t="inlineStr"/>
      <c r="M366" t="inlineStr"/>
      <c r="N366" t="inlineStr">
        <is>
          <t>entrackr | vccircle</t>
        </is>
      </c>
      <c r="O366" s="20" t="n">
        <v>2</v>
      </c>
      <c r="P366" s="21" t="n">
        <v>0</v>
      </c>
      <c r="Q366" t="inlineStr">
        <is>
          <t>C04 C05 C06 C07</t>
        </is>
      </c>
      <c r="R366" s="22" t="inlineStr">
        <is>
          <t>https://www.vccircle.com/zerodhas-nikhil-kamath-invests-in-essar-firm-greenline-mobility</t>
        </is>
      </c>
    </row>
    <row r="367">
      <c r="A367" t="inlineStr">
        <is>
          <t>R250414-beastlife</t>
        </is>
      </c>
      <c r="B367" t="inlineStr">
        <is>
          <t>BeastLife</t>
        </is>
      </c>
      <c r="C367" s="17" t="n">
        <v>45761</v>
      </c>
      <c r="D367" s="18" t="n">
        <v>45748</v>
      </c>
      <c r="E367" s="19" t="n">
        <v>0.221</v>
      </c>
      <c r="F367" s="19" t="n">
        <v>1.9</v>
      </c>
      <c r="G367" t="inlineStr">
        <is>
          <t>Rs 1.9 crore</t>
        </is>
      </c>
      <c r="H367" t="inlineStr">
        <is>
          <t>Undisclosed</t>
        </is>
      </c>
      <c r="I367" t="inlineStr">
        <is>
          <t>Undisclosed</t>
        </is>
      </c>
      <c r="J367" t="inlineStr">
        <is>
          <t>Ecommerce</t>
        </is>
      </c>
      <c r="K367" t="inlineStr">
        <is>
          <t>Delhi NCR</t>
        </is>
      </c>
      <c r="L367" t="inlineStr">
        <is>
          <t>Rinku Singh</t>
        </is>
      </c>
      <c r="M367" t="inlineStr">
        <is>
          <t>Rinku Singh</t>
        </is>
      </c>
      <c r="N367" t="inlineStr">
        <is>
          <t>entrackr | inc42</t>
        </is>
      </c>
      <c r="O367" s="20" t="n">
        <v>2</v>
      </c>
      <c r="P367" s="21" t="n">
        <v>0.5</v>
      </c>
      <c r="Q367" t="inlineStr">
        <is>
          <t>C04</t>
        </is>
      </c>
      <c r="R367" s="22" t="inlineStr">
        <is>
          <t>https://entrackr.com/snippets/indian-cricketer-rinku-singh-invests-rs-19-cr-in-beastlife-at-120-cr-valuation-8960958</t>
        </is>
      </c>
    </row>
    <row r="368">
      <c r="A368" t="inlineStr">
        <is>
          <t>R250414-curacare</t>
        </is>
      </c>
      <c r="B368" t="inlineStr">
        <is>
          <t>Cura Care</t>
        </is>
      </c>
      <c r="C368" s="17" t="n">
        <v>45761</v>
      </c>
      <c r="D368" s="18" t="n">
        <v>45748</v>
      </c>
      <c r="E368" s="19" t="n">
        <v>0.581</v>
      </c>
      <c r="F368" s="19" t="n">
        <v>5</v>
      </c>
      <c r="G368" t="inlineStr">
        <is>
          <t>Rs 5 crore</t>
        </is>
      </c>
      <c r="H368" t="inlineStr">
        <is>
          <t>Pre-Seed</t>
        </is>
      </c>
      <c r="I368" t="inlineStr">
        <is>
          <t>Early</t>
        </is>
      </c>
      <c r="J368" t="inlineStr">
        <is>
          <t>Healthtech</t>
        </is>
      </c>
      <c r="K368" t="inlineStr">
        <is>
          <t>Unknown</t>
        </is>
      </c>
      <c r="L368" t="inlineStr">
        <is>
          <t>Zeropearl VC</t>
        </is>
      </c>
      <c r="M368" t="inlineStr">
        <is>
          <t>Zeropearl VC; Shripad Nadkarni; Rohan Mirchandani</t>
        </is>
      </c>
      <c r="N368" t="inlineStr">
        <is>
          <t>entrackr | inc42</t>
        </is>
      </c>
      <c r="O368" s="20" t="n">
        <v>2</v>
      </c>
      <c r="P368" s="21" t="n">
        <v>0.8</v>
      </c>
      <c r="Q368" t="inlineStr">
        <is>
          <t>C07</t>
        </is>
      </c>
      <c r="R368" s="22" t="inlineStr">
        <is>
          <t>https://entrackr.com/snippets/cura-care-raises-rs-5-cr-in-pre-seed-round-led-by-zeropearl-vc-8960594</t>
        </is>
      </c>
    </row>
    <row r="369">
      <c r="A369" t="inlineStr">
        <is>
          <t>R250414-eonspacelabs</t>
        </is>
      </c>
      <c r="B369" t="inlineStr">
        <is>
          <t>EON Space Labs</t>
        </is>
      </c>
      <c r="C369" s="17" t="n">
        <v>45761</v>
      </c>
      <c r="D369" s="18" t="n">
        <v>45748</v>
      </c>
      <c r="E369" s="19" t="n">
        <v>1.2</v>
      </c>
      <c r="F369" s="19" t="n">
        <v>10.32</v>
      </c>
      <c r="G369" t="inlineStr">
        <is>
          <t>$1.2 Mn</t>
        </is>
      </c>
      <c r="H369" t="inlineStr">
        <is>
          <t>Pre-Series A</t>
        </is>
      </c>
      <c r="I369" t="inlineStr">
        <is>
          <t>Early</t>
        </is>
      </c>
      <c r="J369" t="inlineStr">
        <is>
          <t>Deeptech</t>
        </is>
      </c>
      <c r="K369" t="inlineStr">
        <is>
          <t>Hyderabad</t>
        </is>
      </c>
      <c r="L369" t="inlineStr">
        <is>
          <t>MountTech Growth Fund-Kavachh</t>
        </is>
      </c>
      <c r="M369" t="inlineStr">
        <is>
          <t>MountTech Growth Fund-Kavachh</t>
        </is>
      </c>
      <c r="N369" t="inlineStr">
        <is>
          <t>inc42</t>
        </is>
      </c>
      <c r="O369" s="20" t="n">
        <v>1</v>
      </c>
      <c r="P369" s="21" t="n">
        <v>0</v>
      </c>
      <c r="Q369" t="inlineStr"/>
      <c r="R369" s="22" t="inlineStr">
        <is>
          <t>https://inc42.com/buzz/from-garuda-aerospace-to-jewelbox-indian-startups-raised-65-mn-this-week/</t>
        </is>
      </c>
    </row>
    <row r="370">
      <c r="A370" t="inlineStr">
        <is>
          <t>R250414-noto</t>
        </is>
      </c>
      <c r="B370" t="inlineStr">
        <is>
          <t>NOTO</t>
        </is>
      </c>
      <c r="C370" s="17" t="n">
        <v>45761</v>
      </c>
      <c r="D370" s="18" t="n">
        <v>45748</v>
      </c>
      <c r="E370" s="19" t="n">
        <v>0.7</v>
      </c>
      <c r="F370" s="19" t="n">
        <v>6.02</v>
      </c>
      <c r="G370" t="inlineStr">
        <is>
          <t>$700K</t>
        </is>
      </c>
      <c r="H370" t="inlineStr">
        <is>
          <t>Pre-Series A</t>
        </is>
      </c>
      <c r="I370" t="inlineStr">
        <is>
          <t>Early</t>
        </is>
      </c>
      <c r="J370" t="inlineStr">
        <is>
          <t>Ecommerce</t>
        </is>
      </c>
      <c r="K370" t="inlineStr">
        <is>
          <t>Mumbai</t>
        </is>
      </c>
      <c r="L370" t="inlineStr">
        <is>
          <t>Equentis Angel Fund; Equentis Wealth Advisory</t>
        </is>
      </c>
      <c r="M370" t="inlineStr">
        <is>
          <t>Equentis Angel Fund; Inflection Point Ventures; JITO; Signal Ventures; Equentis Wealth Advisory</t>
        </is>
      </c>
      <c r="N370" t="inlineStr">
        <is>
          <t>inc42 | et</t>
        </is>
      </c>
      <c r="O370" s="20" t="n">
        <v>2</v>
      </c>
      <c r="P370" s="21" t="n">
        <v>248.9</v>
      </c>
      <c r="Q370" t="inlineStr">
        <is>
          <t>C15</t>
        </is>
      </c>
      <c r="R370" s="22" t="inlineStr">
        <is>
          <t>https://economictimes.indiatimes.com/tech/funding/john-abraham-backed-ice-cream-brand-noto-raises-rs-21-crore-from-equentis-angel-fund-others/articleshow/120277963.cms</t>
        </is>
      </c>
    </row>
    <row r="371">
      <c r="A371" t="inlineStr">
        <is>
          <t>R250414-optimizedelect</t>
        </is>
      </c>
      <c r="B371" t="inlineStr">
        <is>
          <t>Optimized Electrotech</t>
        </is>
      </c>
      <c r="C371" s="17" t="n">
        <v>45761</v>
      </c>
      <c r="D371" s="18" t="n">
        <v>45748</v>
      </c>
      <c r="E371" s="19" t="n">
        <v>6</v>
      </c>
      <c r="F371" s="19" t="n">
        <v>51.59</v>
      </c>
      <c r="G371" t="inlineStr">
        <is>
          <t>$ 6 million</t>
        </is>
      </c>
      <c r="H371" t="inlineStr">
        <is>
          <t>Series A</t>
        </is>
      </c>
      <c r="I371" t="inlineStr">
        <is>
          <t>Early</t>
        </is>
      </c>
      <c r="J371" t="inlineStr">
        <is>
          <t>Deeptech</t>
        </is>
      </c>
      <c r="K371" t="inlineStr">
        <is>
          <t>Unknown</t>
        </is>
      </c>
      <c r="L371" t="inlineStr">
        <is>
          <t>Blume Ventures; Mela Ventures</t>
        </is>
      </c>
      <c r="M371" t="inlineStr">
        <is>
          <t>Blume Ventures; Mela Ventures; Venture Catalysts; 100Unicorns; Rajiv Dadlani Group; Sandeep Shah; 9Unicorns</t>
        </is>
      </c>
      <c r="N371" t="inlineStr">
        <is>
          <t>entrackr | inc42 | et</t>
        </is>
      </c>
      <c r="O371" s="20" t="n">
        <v>3</v>
      </c>
      <c r="P371" s="21" t="n">
        <v>0</v>
      </c>
      <c r="Q371" t="inlineStr">
        <is>
          <t>C07</t>
        </is>
      </c>
      <c r="R371" s="22" t="inlineStr">
        <is>
          <t>https://entrackr.com/snippets/optimized-electrotech-raises-6-mn-in-series-a-round-8960093</t>
        </is>
      </c>
    </row>
    <row r="372">
      <c r="A372" t="inlineStr">
        <is>
          <t>R250414-pujashreeprodu</t>
        </is>
      </c>
      <c r="B372" t="inlineStr">
        <is>
          <t>PujaShree Products Global</t>
        </is>
      </c>
      <c r="C372" s="17" t="n">
        <v>45761</v>
      </c>
      <c r="D372" s="18" t="n">
        <v>45748</v>
      </c>
      <c r="E372" s="19" t="n">
        <v>1.5</v>
      </c>
      <c r="F372" s="19" t="n">
        <v>12.9</v>
      </c>
      <c r="G372" t="inlineStr">
        <is>
          <t>$1.5 Mn</t>
        </is>
      </c>
      <c r="H372" t="inlineStr">
        <is>
          <t>Seed</t>
        </is>
      </c>
      <c r="I372" t="inlineStr">
        <is>
          <t>Early</t>
        </is>
      </c>
      <c r="J372" t="inlineStr">
        <is>
          <t>Ecommerce</t>
        </is>
      </c>
      <c r="K372" t="inlineStr">
        <is>
          <t>Unknown</t>
        </is>
      </c>
      <c r="L372" t="inlineStr"/>
      <c r="M372" t="inlineStr"/>
      <c r="N372" t="inlineStr">
        <is>
          <t>inc42</t>
        </is>
      </c>
      <c r="O372" s="20" t="n">
        <v>1</v>
      </c>
      <c r="P372" s="21" t="n">
        <v>0</v>
      </c>
      <c r="Q372" t="inlineStr">
        <is>
          <t>C05 C07</t>
        </is>
      </c>
      <c r="R372" s="22" t="inlineStr">
        <is>
          <t>https://inc42.com/buzz/from-garuda-aerospace-to-jewelbox-indian-startups-raised-65-mn-this-week/</t>
        </is>
      </c>
    </row>
    <row r="373">
      <c r="A373" t="inlineStr">
        <is>
          <t>R250414-sportsskill</t>
        </is>
      </c>
      <c r="B373" t="inlineStr">
        <is>
          <t>SportsSkill</t>
        </is>
      </c>
      <c r="C373" s="17" t="n">
        <v>45761</v>
      </c>
      <c r="D373" s="18" t="n">
        <v>45748</v>
      </c>
      <c r="E373" s="19" t="n"/>
      <c r="F373" s="19" t="n"/>
      <c r="G373" t="inlineStr"/>
      <c r="H373" t="inlineStr">
        <is>
          <t>Pre-Seed</t>
        </is>
      </c>
      <c r="I373" t="inlineStr">
        <is>
          <t>Early</t>
        </is>
      </c>
      <c r="J373" t="inlineStr">
        <is>
          <t>Consumer Services</t>
        </is>
      </c>
      <c r="K373" t="inlineStr">
        <is>
          <t>Pune</t>
        </is>
      </c>
      <c r="L373" t="inlineStr">
        <is>
          <t>Waimea Bay Investments</t>
        </is>
      </c>
      <c r="M373" t="inlineStr">
        <is>
          <t>Waimea Bay Investments</t>
        </is>
      </c>
      <c r="N373" t="inlineStr">
        <is>
          <t>entrackr | inc42</t>
        </is>
      </c>
      <c r="O373" s="20" t="n">
        <v>2</v>
      </c>
      <c r="P373" s="21" t="n"/>
      <c r="Q373" t="inlineStr">
        <is>
          <t>C03</t>
        </is>
      </c>
      <c r="R373" s="22" t="inlineStr">
        <is>
          <t>https://entrackr.com/snippets/sports-tech-startup-sportsskill-bags-pre-seed-round-led-by-waimea-bay-investments-8960409</t>
        </is>
      </c>
    </row>
    <row r="374">
      <c r="A374" t="inlineStr">
        <is>
          <t>R250414-uppercase</t>
        </is>
      </c>
      <c r="B374" t="inlineStr">
        <is>
          <t>uppercase</t>
        </is>
      </c>
      <c r="C374" s="17" t="n">
        <v>45761</v>
      </c>
      <c r="D374" s="18" t="n">
        <v>45748</v>
      </c>
      <c r="E374" s="19" t="n"/>
      <c r="F374" s="19" t="n"/>
      <c r="G374" t="inlineStr"/>
      <c r="H374" t="inlineStr">
        <is>
          <t>Undisclosed</t>
        </is>
      </c>
      <c r="I374" t="inlineStr">
        <is>
          <t>Undisclosed</t>
        </is>
      </c>
      <c r="J374" t="inlineStr">
        <is>
          <t>Ecommerce</t>
        </is>
      </c>
      <c r="K374" t="inlineStr">
        <is>
          <t>Mumbai</t>
        </is>
      </c>
      <c r="L374" t="inlineStr">
        <is>
          <t>Jasprit Bumrah</t>
        </is>
      </c>
      <c r="M374" t="inlineStr">
        <is>
          <t>Jasprit Bumrah</t>
        </is>
      </c>
      <c r="N374" t="inlineStr">
        <is>
          <t>entrackr | inc42</t>
        </is>
      </c>
      <c r="O374" s="20" t="n">
        <v>2</v>
      </c>
      <c r="P374" s="21" t="n"/>
      <c r="Q374" t="inlineStr">
        <is>
          <t>C03 C04</t>
        </is>
      </c>
      <c r="R374" s="22" t="inlineStr">
        <is>
          <t>https://entrackr.com/snippets/jasprit-bumrah-invests-in-luggage-brand-uppercase-8959902</t>
        </is>
      </c>
    </row>
    <row r="375">
      <c r="A375" t="inlineStr">
        <is>
          <t>R250415-centa</t>
        </is>
      </c>
      <c r="B375" t="inlineStr">
        <is>
          <t>CENTA</t>
        </is>
      </c>
      <c r="C375" s="17" t="n">
        <v>45762</v>
      </c>
      <c r="D375" s="18" t="n">
        <v>45748</v>
      </c>
      <c r="E375" s="19" t="n">
        <v>2.329</v>
      </c>
      <c r="F375" s="19" t="n">
        <v>20</v>
      </c>
      <c r="G375" t="inlineStr">
        <is>
          <t>Rs 20 crore</t>
        </is>
      </c>
      <c r="H375" t="inlineStr">
        <is>
          <t>Series A</t>
        </is>
      </c>
      <c r="I375" t="inlineStr">
        <is>
          <t>Early</t>
        </is>
      </c>
      <c r="J375" t="inlineStr">
        <is>
          <t>Edtech</t>
        </is>
      </c>
      <c r="K375" t="inlineStr">
        <is>
          <t>Bengaluru</t>
        </is>
      </c>
      <c r="L375" t="inlineStr">
        <is>
          <t>Colossa Ventures</t>
        </is>
      </c>
      <c r="M375" t="inlineStr">
        <is>
          <t>Colossa Ventures; Discovery Asset Management</t>
        </is>
      </c>
      <c r="N375" t="inlineStr">
        <is>
          <t>entrackr | inc42 | et</t>
        </is>
      </c>
      <c r="O375" s="20" t="n">
        <v>3</v>
      </c>
      <c r="P375" s="21" t="n">
        <v>1.2</v>
      </c>
      <c r="Q375" t="inlineStr"/>
      <c r="R375" s="22" t="inlineStr">
        <is>
          <t>https://entrackr.com/snippets/centa-raises-rs-20-cr-in-series-a1-round-led-by-colossa-ventures-8963164</t>
        </is>
      </c>
    </row>
    <row r="376">
      <c r="A376" t="inlineStr">
        <is>
          <t>R250415-ochrespirits</t>
        </is>
      </c>
      <c r="B376" t="inlineStr">
        <is>
          <t>Ochre Spirits</t>
        </is>
      </c>
      <c r="C376" s="17" t="n">
        <v>45762</v>
      </c>
      <c r="D376" s="18" t="n">
        <v>45748</v>
      </c>
      <c r="E376" s="19" t="n"/>
      <c r="F376" s="19" t="n"/>
      <c r="G376" t="inlineStr"/>
      <c r="H376" t="inlineStr">
        <is>
          <t>Undisclosed</t>
        </is>
      </c>
      <c r="I376" t="inlineStr">
        <is>
          <t>Undisclosed</t>
        </is>
      </c>
      <c r="J376" t="inlineStr">
        <is>
          <t>Alcoholic Beverages</t>
        </is>
      </c>
      <c r="K376" t="inlineStr">
        <is>
          <t>Unknown</t>
        </is>
      </c>
      <c r="L376" t="inlineStr"/>
      <c r="M376" t="inlineStr"/>
      <c r="N376" t="inlineStr">
        <is>
          <t>inc42</t>
        </is>
      </c>
      <c r="O376" s="20" t="n">
        <v>1</v>
      </c>
      <c r="P376" s="21" t="n"/>
      <c r="Q376" t="inlineStr">
        <is>
          <t>C03 C04 C05 C07</t>
        </is>
      </c>
      <c r="R376" s="22" t="inlineStr">
        <is>
          <t>https://inc42.com/buzz/from-garuda-aerospace-to-jewelbox-indian-startups-raised-65-mn-this-week/</t>
        </is>
      </c>
    </row>
    <row r="377">
      <c r="A377" t="inlineStr">
        <is>
          <t>R250415-rioinnobev</t>
        </is>
      </c>
      <c r="B377" t="inlineStr">
        <is>
          <t>Rio Innobev</t>
        </is>
      </c>
      <c r="C377" s="17" t="n">
        <v>45762</v>
      </c>
      <c r="D377" s="18" t="n">
        <v>45748</v>
      </c>
      <c r="E377" s="19" t="n">
        <v>1.164</v>
      </c>
      <c r="F377" s="19" t="n">
        <v>10</v>
      </c>
      <c r="G377" t="inlineStr">
        <is>
          <t>Rs 10 crore</t>
        </is>
      </c>
      <c r="H377" t="inlineStr">
        <is>
          <t>Pre-Series A</t>
        </is>
      </c>
      <c r="I377" t="inlineStr">
        <is>
          <t>Early</t>
        </is>
      </c>
      <c r="J377" t="inlineStr">
        <is>
          <t>Ecommerce</t>
        </is>
      </c>
      <c r="K377" t="inlineStr">
        <is>
          <t>Pune</t>
        </is>
      </c>
      <c r="L377" t="inlineStr">
        <is>
          <t>Atomic Capital</t>
        </is>
      </c>
      <c r="M377" t="inlineStr">
        <is>
          <t>Atomic Capital</t>
        </is>
      </c>
      <c r="N377" t="inlineStr">
        <is>
          <t>entrackr</t>
        </is>
      </c>
      <c r="O377" s="20" t="n">
        <v>1</v>
      </c>
      <c r="P377" s="21" t="n">
        <v>0</v>
      </c>
      <c r="Q377" t="inlineStr"/>
      <c r="R377" s="22" t="inlineStr">
        <is>
          <t>https://entrackr.com/snippets/beverage-startup-rio-innobev-raises-rs-10-cr-led-by-atomic-capital-8965035</t>
        </is>
      </c>
    </row>
    <row r="378">
      <c r="A378" t="inlineStr">
        <is>
          <t>R250416-garudaaerospac</t>
        </is>
      </c>
      <c r="B378" t="inlineStr">
        <is>
          <t>Garuda Aerospace</t>
        </is>
      </c>
      <c r="C378" s="17" t="n">
        <v>45763</v>
      </c>
      <c r="D378" s="18" t="n">
        <v>45748</v>
      </c>
      <c r="E378" s="19" t="n">
        <v>11.675</v>
      </c>
      <c r="F378" s="19" t="n">
        <v>100</v>
      </c>
      <c r="G378" t="inlineStr">
        <is>
          <t>Rs 100 crore</t>
        </is>
      </c>
      <c r="H378" t="inlineStr">
        <is>
          <t>Series B</t>
        </is>
      </c>
      <c r="I378" t="inlineStr">
        <is>
          <t>Growth</t>
        </is>
      </c>
      <c r="J378" t="inlineStr">
        <is>
          <t>Deeptech</t>
        </is>
      </c>
      <c r="K378" t="inlineStr">
        <is>
          <t>Chennai</t>
        </is>
      </c>
      <c r="L378" t="inlineStr">
        <is>
          <t>Venture Catalysts</t>
        </is>
      </c>
      <c r="M378" t="inlineStr">
        <is>
          <t>Venture Catalysts</t>
        </is>
      </c>
      <c r="N378" t="inlineStr">
        <is>
          <t>entrackr | inc42 | et | vccircle</t>
        </is>
      </c>
      <c r="O378" s="20" t="n">
        <v>4</v>
      </c>
      <c r="P378" s="21" t="n">
        <v>0.2</v>
      </c>
      <c r="Q378" t="inlineStr"/>
      <c r="R378" s="22" t="inlineStr">
        <is>
          <t>https://entrackr.com/news/ms-dhoni-backed-garuda-aerospace-raises-rs-100-cr-in-series-b-round-8967215</t>
        </is>
      </c>
    </row>
    <row r="379">
      <c r="A379" t="inlineStr">
        <is>
          <t>R250416-ipec</t>
        </is>
      </c>
      <c r="B379" t="inlineStr">
        <is>
          <t>IPEC</t>
        </is>
      </c>
      <c r="C379" s="17" t="n">
        <v>45763</v>
      </c>
      <c r="D379" s="18" t="n">
        <v>45748</v>
      </c>
      <c r="E379" s="19" t="n">
        <v>3</v>
      </c>
      <c r="F379" s="19" t="n">
        <v>25.7</v>
      </c>
      <c r="G379" t="inlineStr">
        <is>
          <t>$3 million</t>
        </is>
      </c>
      <c r="H379" t="inlineStr">
        <is>
          <t>Undisclosed</t>
        </is>
      </c>
      <c r="I379" t="inlineStr">
        <is>
          <t>Undisclosed</t>
        </is>
      </c>
      <c r="J379" t="inlineStr">
        <is>
          <t>Cleantech</t>
        </is>
      </c>
      <c r="K379" t="inlineStr">
        <is>
          <t>Bengaluru</t>
        </is>
      </c>
      <c r="L379" t="inlineStr">
        <is>
          <t>Gruhas</t>
        </is>
      </c>
      <c r="M379" t="inlineStr">
        <is>
          <t>Gruhas; Nikhil Kamath</t>
        </is>
      </c>
      <c r="N379" t="inlineStr">
        <is>
          <t>entrackr | inc42</t>
        </is>
      </c>
      <c r="O379" s="20" t="n">
        <v>2</v>
      </c>
      <c r="P379" s="21" t="n">
        <v>0</v>
      </c>
      <c r="Q379" t="inlineStr">
        <is>
          <t>C04</t>
        </is>
      </c>
      <c r="R379" s="22" t="inlineStr">
        <is>
          <t>https://entrackr.com/snippets/ev-charging-startup-ipec-bags-3-mn-from-gruhas-8968756</t>
        </is>
      </c>
    </row>
    <row r="380">
      <c r="A380" t="inlineStr">
        <is>
          <t>R250416-jewelbox</t>
        </is>
      </c>
      <c r="B380" t="inlineStr">
        <is>
          <t>Jewelbox</t>
        </is>
      </c>
      <c r="C380" s="17" t="n">
        <v>45763</v>
      </c>
      <c r="D380" s="18" t="n">
        <v>45748</v>
      </c>
      <c r="E380" s="19" t="n">
        <v>3.2</v>
      </c>
      <c r="F380" s="19" t="n">
        <v>27.41</v>
      </c>
      <c r="G380" t="inlineStr">
        <is>
          <t>$3.2 million</t>
        </is>
      </c>
      <c r="H380" t="inlineStr">
        <is>
          <t>Pre-Series A</t>
        </is>
      </c>
      <c r="I380" t="inlineStr">
        <is>
          <t>Early</t>
        </is>
      </c>
      <c r="J380" t="inlineStr">
        <is>
          <t>Ecommerce</t>
        </is>
      </c>
      <c r="K380" t="inlineStr">
        <is>
          <t>Kolkata</t>
        </is>
      </c>
      <c r="L380" t="inlineStr">
        <is>
          <t>V3 Ventures</t>
        </is>
      </c>
      <c r="M380" t="inlineStr">
        <is>
          <t>V3 Ventures; Dexter Ventures; Infinyte Club; Samarthya Capital; JIIF; JITO Incubation &amp; Innovation Foundation; JITO Incubation &amp;amp</t>
        </is>
      </c>
      <c r="N380" t="inlineStr">
        <is>
          <t>entrackr | inc42 | et</t>
        </is>
      </c>
      <c r="O380" s="20" t="n">
        <v>3</v>
      </c>
      <c r="P380" s="21" t="n">
        <v>0</v>
      </c>
      <c r="Q380" t="inlineStr"/>
      <c r="R380" s="22" t="inlineStr">
        <is>
          <t>https://entrackr.com/snippets/jewelbox-raises-32-mn-in-pre-series-a-round-8966846</t>
        </is>
      </c>
    </row>
    <row r="381">
      <c r="A381" t="inlineStr">
        <is>
          <t>R250416-magma</t>
        </is>
      </c>
      <c r="B381" t="inlineStr">
        <is>
          <t>Magma</t>
        </is>
      </c>
      <c r="C381" s="17" t="n">
        <v>45763</v>
      </c>
      <c r="D381" s="18" t="n">
        <v>45748</v>
      </c>
      <c r="E381" s="19" t="n">
        <v>5</v>
      </c>
      <c r="F381" s="19" t="n">
        <v>42.82</v>
      </c>
      <c r="G381" t="inlineStr">
        <is>
          <t>$5 million</t>
        </is>
      </c>
      <c r="H381" t="inlineStr">
        <is>
          <t>Series A</t>
        </is>
      </c>
      <c r="I381" t="inlineStr">
        <is>
          <t>Early</t>
        </is>
      </c>
      <c r="J381" t="inlineStr">
        <is>
          <t>Enterprise Tech</t>
        </is>
      </c>
      <c r="K381" t="inlineStr">
        <is>
          <t>Ahmedabad</t>
        </is>
      </c>
      <c r="L381" t="inlineStr">
        <is>
          <t>Capria Ventures</t>
        </is>
      </c>
      <c r="M381" t="inlineStr">
        <is>
          <t>Capria Ventures; Avinya Ventures; Sanjiv Rangrass; General Catalyst; Accion Venture Lab; WEH Ventures</t>
        </is>
      </c>
      <c r="N381" t="inlineStr">
        <is>
          <t>entrackr | inc42 | et</t>
        </is>
      </c>
      <c r="O381" s="20" t="n">
        <v>3</v>
      </c>
      <c r="P381" s="21" t="n">
        <v>0</v>
      </c>
      <c r="Q381" t="inlineStr"/>
      <c r="R381" s="22" t="inlineStr">
        <is>
          <t>https://entrackr.com/snippets/magma-raises-5-mn-in-series-a-round-led-by-capria-ventures-8969008</t>
        </is>
      </c>
    </row>
    <row r="382">
      <c r="A382" t="inlineStr">
        <is>
          <t>R250416-nothingbeforec</t>
        </is>
      </c>
      <c r="B382" t="inlineStr">
        <is>
          <t>Nothing Before Coffee</t>
        </is>
      </c>
      <c r="C382" s="17" t="n">
        <v>45763</v>
      </c>
      <c r="D382" s="18" t="n">
        <v>45748</v>
      </c>
      <c r="E382" s="19" t="n">
        <v>2.3</v>
      </c>
      <c r="F382" s="19" t="n">
        <v>19.7</v>
      </c>
      <c r="G382" t="inlineStr">
        <is>
          <t>$2.3 million</t>
        </is>
      </c>
      <c r="H382" t="inlineStr">
        <is>
          <t>Pre-Series A</t>
        </is>
      </c>
      <c r="I382" t="inlineStr">
        <is>
          <t>Early</t>
        </is>
      </c>
      <c r="J382" t="inlineStr">
        <is>
          <t>Ecommerce</t>
        </is>
      </c>
      <c r="K382" t="inlineStr">
        <is>
          <t>Jaipur</t>
        </is>
      </c>
      <c r="L382" t="inlineStr">
        <is>
          <t>Prath Ventures</t>
        </is>
      </c>
      <c r="M382" t="inlineStr">
        <is>
          <t>Prath Ventures; SYL Investments</t>
        </is>
      </c>
      <c r="N382" t="inlineStr">
        <is>
          <t>entrackr | inc42 | et</t>
        </is>
      </c>
      <c r="O382" s="20" t="n">
        <v>3</v>
      </c>
      <c r="P382" s="21" t="n">
        <v>0</v>
      </c>
      <c r="Q382" t="inlineStr"/>
      <c r="R382" s="22" t="inlineStr">
        <is>
          <t>https://entrackr.com/snippets/nothing-before-coffee-bags-23-mn-in-pre-series-a-round-8967106</t>
        </is>
      </c>
    </row>
    <row r="383">
      <c r="A383" t="inlineStr">
        <is>
          <t>R250416-ofbusiness</t>
        </is>
      </c>
      <c r="B383" t="inlineStr">
        <is>
          <t>OfBusiness</t>
        </is>
      </c>
      <c r="C383" s="17" t="n">
        <v>45763</v>
      </c>
      <c r="D383" s="18" t="n">
        <v>45748</v>
      </c>
      <c r="E383" s="19" t="n">
        <v>11.675</v>
      </c>
      <c r="F383" s="19" t="n">
        <v>100</v>
      </c>
      <c r="G383" t="inlineStr">
        <is>
          <t>Rs 100 crore</t>
        </is>
      </c>
      <c r="H383" t="inlineStr">
        <is>
          <t>Undisclosed</t>
        </is>
      </c>
      <c r="I383" t="inlineStr">
        <is>
          <t>Undisclosed</t>
        </is>
      </c>
      <c r="J383" t="inlineStr">
        <is>
          <t>Ecommerce</t>
        </is>
      </c>
      <c r="K383" t="inlineStr">
        <is>
          <t>Unknown</t>
        </is>
      </c>
      <c r="L383" t="inlineStr">
        <is>
          <t>Cornerstone Ventures</t>
        </is>
      </c>
      <c r="M383" t="inlineStr">
        <is>
          <t>Cornerstone Ventures</t>
        </is>
      </c>
      <c r="N383" t="inlineStr">
        <is>
          <t>entrackr | inc42 | et</t>
        </is>
      </c>
      <c r="O383" s="20" t="n">
        <v>3</v>
      </c>
      <c r="P383" s="21" t="n">
        <v>0.2</v>
      </c>
      <c r="Q383" t="inlineStr">
        <is>
          <t>C04 C07</t>
        </is>
      </c>
      <c r="R383" s="22" t="inlineStr">
        <is>
          <t>https://entrackr.com/news/ipo-bound-ofbusiness-raises-rs-100-cr-led-by-cornerstone-ventures-8967733</t>
        </is>
      </c>
    </row>
    <row r="384">
      <c r="A384" t="inlineStr">
        <is>
          <t>R250416-peppermint</t>
        </is>
      </c>
      <c r="B384" t="inlineStr">
        <is>
          <t>Peppermint Robotics</t>
        </is>
      </c>
      <c r="C384" s="17" t="n">
        <v>45763</v>
      </c>
      <c r="D384" s="18" t="n">
        <v>45748</v>
      </c>
      <c r="E384" s="19" t="n">
        <v>3.97</v>
      </c>
      <c r="F384" s="19" t="n">
        <v>34</v>
      </c>
      <c r="G384" t="inlineStr">
        <is>
          <t>Rs 34 crore</t>
        </is>
      </c>
      <c r="H384" t="inlineStr">
        <is>
          <t>Series A</t>
        </is>
      </c>
      <c r="I384" t="inlineStr">
        <is>
          <t>Early</t>
        </is>
      </c>
      <c r="J384" t="inlineStr">
        <is>
          <t>Deeptech</t>
        </is>
      </c>
      <c r="K384" t="inlineStr">
        <is>
          <t>Pune</t>
        </is>
      </c>
      <c r="L384" t="inlineStr"/>
      <c r="M384" t="inlineStr">
        <is>
          <t>Indian Angel Network; JDSS; Enrission India Capital; Enrsion INDIA CAPITAL; IAN; Vinners</t>
        </is>
      </c>
      <c r="N384" t="inlineStr">
        <is>
          <t>entrackr | inc42</t>
        </is>
      </c>
      <c r="O384" s="20" t="n">
        <v>2</v>
      </c>
      <c r="P384" s="21" t="n">
        <v>0.8</v>
      </c>
      <c r="Q384" t="inlineStr"/>
      <c r="R384" s="22" t="inlineStr">
        <is>
          <t>https://entrackr.com/snippets/peppermint-raises-4-mn-to-expand-in-eu-japan-and-apac-8967307</t>
        </is>
      </c>
    </row>
    <row r="385">
      <c r="A385" t="inlineStr">
        <is>
          <t>R250417-foxtale</t>
        </is>
      </c>
      <c r="B385" t="inlineStr">
        <is>
          <t>Foxtale</t>
        </is>
      </c>
      <c r="C385" s="17" t="n">
        <v>45764</v>
      </c>
      <c r="D385" s="18" t="n">
        <v>45748</v>
      </c>
      <c r="E385" s="19" t="n">
        <v>29.274</v>
      </c>
      <c r="F385" s="19" t="n">
        <v>250</v>
      </c>
      <c r="G385" t="inlineStr">
        <is>
          <t>Rs 250 crore</t>
        </is>
      </c>
      <c r="H385" t="inlineStr">
        <is>
          <t>Series C</t>
        </is>
      </c>
      <c r="I385" t="inlineStr">
        <is>
          <t>Growth</t>
        </is>
      </c>
      <c r="J385" t="inlineStr">
        <is>
          <t>Ecommerce</t>
        </is>
      </c>
      <c r="K385" t="inlineStr">
        <is>
          <t>Mumbai</t>
        </is>
      </c>
      <c r="L385" t="inlineStr">
        <is>
          <t>Kose Corporation</t>
        </is>
      </c>
      <c r="M385" t="inlineStr">
        <is>
          <t>Kose Corporation</t>
        </is>
      </c>
      <c r="N385" t="inlineStr">
        <is>
          <t>entrackr</t>
        </is>
      </c>
      <c r="O385" s="20" t="n">
        <v>1</v>
      </c>
      <c r="P385" s="21" t="n">
        <v>0</v>
      </c>
      <c r="Q385" t="inlineStr"/>
      <c r="R385" s="22" t="inlineStr">
        <is>
          <t>https://entrackr.com/fintrackr/decoding-foxtales-series-c-funding-round-latest-valuation-and-captable-8970983</t>
        </is>
      </c>
    </row>
    <row r="386">
      <c r="A386" t="inlineStr">
        <is>
          <t>R250417-goodmonk</t>
        </is>
      </c>
      <c r="B386" t="inlineStr">
        <is>
          <t>Good Monk</t>
        </is>
      </c>
      <c r="C386" s="17" t="n">
        <v>45764</v>
      </c>
      <c r="D386" s="18" t="n">
        <v>45748</v>
      </c>
      <c r="E386" s="19" t="n">
        <v>2</v>
      </c>
      <c r="F386" s="19" t="n">
        <v>17.08</v>
      </c>
      <c r="G386" t="inlineStr">
        <is>
          <t>$2 million</t>
        </is>
      </c>
      <c r="H386" t="inlineStr">
        <is>
          <t>Pre-Series A</t>
        </is>
      </c>
      <c r="I386" t="inlineStr">
        <is>
          <t>Early</t>
        </is>
      </c>
      <c r="J386" t="inlineStr">
        <is>
          <t>Ecommerce</t>
        </is>
      </c>
      <c r="K386" t="inlineStr">
        <is>
          <t>Bengaluru</t>
        </is>
      </c>
      <c r="L386" t="inlineStr">
        <is>
          <t>RPSG Capital Ventures; Multiply Ventures; Sharrp Ventures &amp; ThinKuvate</t>
        </is>
      </c>
      <c r="M386" t="inlineStr">
        <is>
          <t>RPSG Capital Ventures; Multiply Ventures; Sharrp Ventures; ThinKuvate</t>
        </is>
      </c>
      <c r="N386" t="inlineStr">
        <is>
          <t>entrackr | inc42 | et</t>
        </is>
      </c>
      <c r="O386" s="20" t="n">
        <v>3</v>
      </c>
      <c r="P386" s="21" t="n">
        <v>0</v>
      </c>
      <c r="Q386" t="inlineStr"/>
      <c r="R386" s="22" t="inlineStr">
        <is>
          <t>https://entrackr.com/snippets/good-monk-raises-2-mn-in-pre-series-a-round-led-by-rpsg-capital-8971461</t>
        </is>
      </c>
    </row>
    <row r="387">
      <c r="A387" t="inlineStr">
        <is>
          <t>R250417-jetsynthesys</t>
        </is>
      </c>
      <c r="B387" t="inlineStr">
        <is>
          <t>JetSynthesys</t>
        </is>
      </c>
      <c r="C387" s="17" t="n">
        <v>45764</v>
      </c>
      <c r="D387" s="18" t="n">
        <v>45748</v>
      </c>
      <c r="E387" s="19" t="n"/>
      <c r="F387" s="19" t="n"/>
      <c r="G387" t="inlineStr"/>
      <c r="H387" t="inlineStr">
        <is>
          <t>Undisclosed</t>
        </is>
      </c>
      <c r="I387" t="inlineStr">
        <is>
          <t>Undisclosed</t>
        </is>
      </c>
      <c r="J387" t="inlineStr">
        <is>
          <t>Media &amp; Entertainment</t>
        </is>
      </c>
      <c r="K387" t="inlineStr">
        <is>
          <t>Unknown</t>
        </is>
      </c>
      <c r="L387" t="inlineStr">
        <is>
          <t>KRAFTON</t>
        </is>
      </c>
      <c r="M387" t="inlineStr">
        <is>
          <t>KRAFTON</t>
        </is>
      </c>
      <c r="N387" t="inlineStr">
        <is>
          <t>inc42 | vccircle</t>
        </is>
      </c>
      <c r="O387" s="20" t="n">
        <v>2</v>
      </c>
      <c r="P387" s="21" t="n"/>
      <c r="Q387" t="inlineStr">
        <is>
          <t>C03 C04 C07</t>
        </is>
      </c>
      <c r="R387" s="22" t="inlineStr">
        <is>
          <t>https://inc42.com/buzz/from-garuda-aerospace-to-jewelbox-indian-startups-raised-65-mn-this-week/</t>
        </is>
      </c>
    </row>
    <row r="388">
      <c r="A388" t="inlineStr">
        <is>
          <t>R250417-planck</t>
        </is>
      </c>
      <c r="B388" t="inlineStr">
        <is>
          <t>Planck</t>
        </is>
      </c>
      <c r="C388" s="17" t="n">
        <v>45764</v>
      </c>
      <c r="D388" s="18" t="n">
        <v>45748</v>
      </c>
      <c r="E388" s="19" t="n">
        <v>0.5</v>
      </c>
      <c r="F388" s="19" t="n">
        <v>4.27</v>
      </c>
      <c r="G388" t="inlineStr">
        <is>
          <t>$500K</t>
        </is>
      </c>
      <c r="H388" t="inlineStr">
        <is>
          <t>Pre-Seed</t>
        </is>
      </c>
      <c r="I388" t="inlineStr">
        <is>
          <t>Early</t>
        </is>
      </c>
      <c r="J388" t="inlineStr">
        <is>
          <t>Enterprise Tech</t>
        </is>
      </c>
      <c r="K388" t="inlineStr">
        <is>
          <t>Unknown</t>
        </is>
      </c>
      <c r="L388" t="inlineStr"/>
      <c r="M388" t="inlineStr">
        <is>
          <t>Saarthee Actionable Insights</t>
        </is>
      </c>
      <c r="N388" t="inlineStr">
        <is>
          <t>entrackr</t>
        </is>
      </c>
      <c r="O388" s="20" t="n">
        <v>1</v>
      </c>
      <c r="P388" s="21" t="n">
        <v>0</v>
      </c>
      <c r="Q388" t="inlineStr">
        <is>
          <t>C07</t>
        </is>
      </c>
      <c r="R388" s="22" t="inlineStr">
        <is>
          <t>https://entrackr.com/snippets/deep-tech-startup-planck-bags-pre-seed-funding-ok-8971726</t>
        </is>
      </c>
    </row>
    <row r="389">
      <c r="A389" t="inlineStr">
        <is>
          <t>R250417-thatsassything</t>
        </is>
      </c>
      <c r="B389" t="inlineStr">
        <is>
          <t>That Sassy Thing</t>
        </is>
      </c>
      <c r="C389" s="17" t="n">
        <v>45764</v>
      </c>
      <c r="D389" s="18" t="n">
        <v>45748</v>
      </c>
      <c r="E389" s="19" t="n">
        <v>0.703</v>
      </c>
      <c r="F389" s="19" t="n">
        <v>6</v>
      </c>
      <c r="G389" t="inlineStr">
        <is>
          <t>Rs 6 crore</t>
        </is>
      </c>
      <c r="H389" t="inlineStr">
        <is>
          <t>Seed</t>
        </is>
      </c>
      <c r="I389" t="inlineStr">
        <is>
          <t>Early</t>
        </is>
      </c>
      <c r="J389" t="inlineStr">
        <is>
          <t>Ecommerce</t>
        </is>
      </c>
      <c r="K389" t="inlineStr">
        <is>
          <t>Unknown</t>
        </is>
      </c>
      <c r="L389" t="inlineStr">
        <is>
          <t>Inflection Point Ventures</t>
        </is>
      </c>
      <c r="M389" t="inlineStr">
        <is>
          <t>Inflection Point Ventures; Bala Sarda; Saurabh Munjal; Kirti Jangra</t>
        </is>
      </c>
      <c r="N389" t="inlineStr">
        <is>
          <t>entrackr | inc42</t>
        </is>
      </c>
      <c r="O389" s="20" t="n">
        <v>2</v>
      </c>
      <c r="P389" s="21" t="n">
        <v>0.1</v>
      </c>
      <c r="Q389" t="inlineStr">
        <is>
          <t>C07</t>
        </is>
      </c>
      <c r="R389" s="22" t="inlineStr">
        <is>
          <t>https://entrackr.com/snippets/that-sassy-thing-raises-rs-6-cr-in-seed-round-led-by-ipv-8971464</t>
        </is>
      </c>
    </row>
    <row r="390">
      <c r="A390" t="inlineStr">
        <is>
          <t>R250417-uniseoul</t>
        </is>
      </c>
      <c r="B390" t="inlineStr">
        <is>
          <t>Uni Seoul</t>
        </is>
      </c>
      <c r="C390" s="17" t="n">
        <v>45764</v>
      </c>
      <c r="D390" s="18" t="n">
        <v>45748</v>
      </c>
      <c r="E390" s="19" t="n">
        <v>0.585</v>
      </c>
      <c r="F390" s="19" t="n">
        <v>5</v>
      </c>
      <c r="G390" t="inlineStr">
        <is>
          <t>Rs 5 crore</t>
        </is>
      </c>
      <c r="H390" t="inlineStr">
        <is>
          <t>Seed</t>
        </is>
      </c>
      <c r="I390" t="inlineStr">
        <is>
          <t>Early</t>
        </is>
      </c>
      <c r="J390" t="inlineStr">
        <is>
          <t>Ecommerce</t>
        </is>
      </c>
      <c r="K390" t="inlineStr">
        <is>
          <t>Pune</t>
        </is>
      </c>
      <c r="L390" t="inlineStr">
        <is>
          <t>Sauce VC</t>
        </is>
      </c>
      <c r="M390" t="inlineStr">
        <is>
          <t>Sauce VC; Panthera Peak Ventures; Arun Venkatachalam; Sangeet Agrawal; Navin Parwal; Yogesh Kabra</t>
        </is>
      </c>
      <c r="N390" t="inlineStr">
        <is>
          <t>entrackr | inc42</t>
        </is>
      </c>
      <c r="O390" s="20" t="n">
        <v>2</v>
      </c>
      <c r="P390" s="21" t="n">
        <v>0.1</v>
      </c>
      <c r="Q390" t="inlineStr">
        <is>
          <t>C16</t>
        </is>
      </c>
      <c r="R390" s="22" t="inlineStr">
        <is>
          <t>https://inc42.com/buzz/from-dehaat-to-fabric-iot-indian-startups-raised-100-mn-this-week/</t>
        </is>
      </c>
    </row>
    <row r="391">
      <c r="A391" t="inlineStr">
        <is>
          <t>R250417-varthana</t>
        </is>
      </c>
      <c r="B391" t="inlineStr">
        <is>
          <t>Varthana</t>
        </is>
      </c>
      <c r="C391" s="17" t="n">
        <v>45764</v>
      </c>
      <c r="D391" s="18" t="n">
        <v>45748</v>
      </c>
      <c r="E391" s="19" t="n">
        <v>8.699999999999999</v>
      </c>
      <c r="F391" s="19" t="n">
        <v>74.3</v>
      </c>
      <c r="G391" t="inlineStr">
        <is>
          <t>$8.7 Mn</t>
        </is>
      </c>
      <c r="H391" t="inlineStr">
        <is>
          <t>Debt</t>
        </is>
      </c>
      <c r="I391" t="inlineStr">
        <is>
          <t>Debt</t>
        </is>
      </c>
      <c r="J391" t="inlineStr">
        <is>
          <t>Fintech</t>
        </is>
      </c>
      <c r="K391" t="inlineStr">
        <is>
          <t>Bengaluru</t>
        </is>
      </c>
      <c r="L391" t="inlineStr">
        <is>
          <t>OfBusiness; Oxyzo</t>
        </is>
      </c>
      <c r="M391" t="inlineStr">
        <is>
          <t>OfBusiness; Oxyzo</t>
        </is>
      </c>
      <c r="N391" t="inlineStr">
        <is>
          <t>inc42</t>
        </is>
      </c>
      <c r="O391" s="20" t="n">
        <v>1</v>
      </c>
      <c r="P391" s="21" t="n">
        <v>0</v>
      </c>
      <c r="Q391" t="inlineStr"/>
      <c r="R391" s="22" t="inlineStr">
        <is>
          <t>https://inc42.com/buzz/from-garuda-aerospace-to-jewelbox-indian-startups-raised-65-mn-this-week/</t>
        </is>
      </c>
    </row>
    <row r="392">
      <c r="A392" t="inlineStr">
        <is>
          <t>R250418-rayzonsolar</t>
        </is>
      </c>
      <c r="B392" t="inlineStr">
        <is>
          <t>Rayzon Solar</t>
        </is>
      </c>
      <c r="C392" s="17" t="n">
        <v>45765</v>
      </c>
      <c r="D392" s="18" t="n">
        <v>45748</v>
      </c>
      <c r="E392" s="19" t="n">
        <v>16.2</v>
      </c>
      <c r="F392" s="19" t="n">
        <v>138.35</v>
      </c>
      <c r="G392" t="inlineStr">
        <is>
          <t>$16.2 Mn</t>
        </is>
      </c>
      <c r="H392" t="inlineStr">
        <is>
          <t>Undisclosed</t>
        </is>
      </c>
      <c r="I392" t="inlineStr">
        <is>
          <t>Undisclosed</t>
        </is>
      </c>
      <c r="J392" t="inlineStr">
        <is>
          <t>Unclassified</t>
        </is>
      </c>
      <c r="K392" t="inlineStr">
        <is>
          <t>Surat</t>
        </is>
      </c>
      <c r="L392" t="inlineStr"/>
      <c r="M392" t="inlineStr">
        <is>
          <t>Harshadkumar Patel; Divyang Patel</t>
        </is>
      </c>
      <c r="N392" t="inlineStr">
        <is>
          <t>entrackr</t>
        </is>
      </c>
      <c r="O392" s="20" t="n">
        <v>1</v>
      </c>
      <c r="P392" s="21" t="n">
        <v>0</v>
      </c>
      <c r="Q392" t="inlineStr">
        <is>
          <t>C04 C06</t>
        </is>
      </c>
      <c r="R392" s="22" t="inlineStr">
        <is>
          <t>https://entrackr.com/exclusive/exclusive-sachin-tendulkar-and-others-invest-18-mn-in-rayzon-solar-at-844-mn-valuation-8976444</t>
        </is>
      </c>
    </row>
    <row r="393">
      <c r="A393" t="inlineStr">
        <is>
          <t>R250418-risalabs</t>
        </is>
      </c>
      <c r="B393" t="inlineStr">
        <is>
          <t>Risa Labs</t>
        </is>
      </c>
      <c r="C393" s="17" t="n">
        <v>45765</v>
      </c>
      <c r="D393" s="18" t="n">
        <v>45748</v>
      </c>
      <c r="E393" s="19" t="n">
        <v>3.5</v>
      </c>
      <c r="F393" s="19" t="n">
        <v>29.89</v>
      </c>
      <c r="G393" t="inlineStr">
        <is>
          <t>$3.5 million</t>
        </is>
      </c>
      <c r="H393" t="inlineStr">
        <is>
          <t>Seed</t>
        </is>
      </c>
      <c r="I393" t="inlineStr">
        <is>
          <t>Early</t>
        </is>
      </c>
      <c r="J393" t="inlineStr">
        <is>
          <t>Artificial Intelligence</t>
        </is>
      </c>
      <c r="K393" t="inlineStr">
        <is>
          <t>Outside India</t>
        </is>
      </c>
      <c r="L393" t="inlineStr">
        <is>
          <t>Binny Bansal</t>
        </is>
      </c>
      <c r="M393" t="inlineStr">
        <is>
          <t>Binny Bansal; Oncology Ventures; General Catalyst; Odd Bird VC; Ashish Gupta</t>
        </is>
      </c>
      <c r="N393" t="inlineStr">
        <is>
          <t>entrackr | et</t>
        </is>
      </c>
      <c r="O393" s="20" t="n">
        <v>2</v>
      </c>
      <c r="P393" s="21" t="n">
        <v>0</v>
      </c>
      <c r="Q393" t="inlineStr"/>
      <c r="R393" s="22" t="inlineStr">
        <is>
          <t>https://entrackr.com/snippets/risa-labs-raises-35-mn-in-seed-round-led-by-binny-bansal-8975971</t>
        </is>
      </c>
    </row>
    <row r="394">
      <c r="A394" t="inlineStr">
        <is>
          <t>R250421-finodayacapita</t>
        </is>
      </c>
      <c r="B394" t="inlineStr">
        <is>
          <t>Finodaya Capital</t>
        </is>
      </c>
      <c r="C394" s="17" t="n">
        <v>45768</v>
      </c>
      <c r="D394" s="18" t="n">
        <v>45748</v>
      </c>
      <c r="E394" s="19" t="n">
        <v>2.5</v>
      </c>
      <c r="F394" s="19" t="n">
        <v>21.35</v>
      </c>
      <c r="G394" t="inlineStr">
        <is>
          <t>$2.5 million</t>
        </is>
      </c>
      <c r="H394" t="inlineStr">
        <is>
          <t>Seed</t>
        </is>
      </c>
      <c r="I394" t="inlineStr">
        <is>
          <t>Early</t>
        </is>
      </c>
      <c r="J394" t="inlineStr">
        <is>
          <t>Fintech</t>
        </is>
      </c>
      <c r="K394" t="inlineStr">
        <is>
          <t>Unknown</t>
        </is>
      </c>
      <c r="L394" t="inlineStr">
        <is>
          <t>White Venture Capital</t>
        </is>
      </c>
      <c r="M394" t="inlineStr">
        <is>
          <t>White Venture Capital; Gemba Capital</t>
        </is>
      </c>
      <c r="N394" t="inlineStr">
        <is>
          <t>entrackr | inc42 | et</t>
        </is>
      </c>
      <c r="O394" s="20" t="n">
        <v>3</v>
      </c>
      <c r="P394" s="21" t="n">
        <v>0</v>
      </c>
      <c r="Q394" t="inlineStr">
        <is>
          <t>C07</t>
        </is>
      </c>
      <c r="R394" s="22" t="inlineStr">
        <is>
          <t>https://entrackr.com/snippets/finodaya-capital-raises-25-mn-in-seed-round-8984043</t>
        </is>
      </c>
    </row>
    <row r="395">
      <c r="A395" t="inlineStr">
        <is>
          <t>R250421-ivory</t>
        </is>
      </c>
      <c r="B395" t="inlineStr">
        <is>
          <t>Ivory</t>
        </is>
      </c>
      <c r="C395" s="17" t="n">
        <v>45768</v>
      </c>
      <c r="D395" s="18" t="n">
        <v>45748</v>
      </c>
      <c r="E395" s="19" t="n">
        <v>1</v>
      </c>
      <c r="F395" s="19" t="n">
        <v>8.539999999999999</v>
      </c>
      <c r="G395" t="inlineStr">
        <is>
          <t>$1 million</t>
        </is>
      </c>
      <c r="H395" t="inlineStr">
        <is>
          <t>Undisclosed</t>
        </is>
      </c>
      <c r="I395" t="inlineStr">
        <is>
          <t>Undisclosed</t>
        </is>
      </c>
      <c r="J395" t="inlineStr">
        <is>
          <t>Healthtech</t>
        </is>
      </c>
      <c r="K395" t="inlineStr">
        <is>
          <t>Bengaluru</t>
        </is>
      </c>
      <c r="L395" t="inlineStr">
        <is>
          <t>IIM-A Ventures; Capital-A</t>
        </is>
      </c>
      <c r="M395" t="inlineStr">
        <is>
          <t>IIM-A Ventures; Capital-A; 1Crowd; Sanjay Arora; Adarsh Narahari; Juhi Bhatnagar; Dr</t>
        </is>
      </c>
      <c r="N395" t="inlineStr">
        <is>
          <t>entrackr | inc42 | et</t>
        </is>
      </c>
      <c r="O395" s="20" t="n">
        <v>3</v>
      </c>
      <c r="P395" s="21" t="n">
        <v>0</v>
      </c>
      <c r="Q395" t="inlineStr">
        <is>
          <t>C04</t>
        </is>
      </c>
      <c r="R395" s="22" t="inlineStr">
        <is>
          <t>https://entrackr.com/snippets/ivory-raises-1-mn-led-by-iim-a-ventures-and-capital-a-8984497</t>
        </is>
      </c>
    </row>
    <row r="396">
      <c r="A396" t="inlineStr">
        <is>
          <t>R250421-matbook</t>
        </is>
      </c>
      <c r="B396" t="inlineStr">
        <is>
          <t>MatBook</t>
        </is>
      </c>
      <c r="C396" s="17" t="n">
        <v>45768</v>
      </c>
      <c r="D396" s="18" t="n">
        <v>45748</v>
      </c>
      <c r="E396" s="19" t="n">
        <v>0.75</v>
      </c>
      <c r="F396" s="19" t="n">
        <v>6.41</v>
      </c>
      <c r="G396" t="inlineStr">
        <is>
          <t>$750,000</t>
        </is>
      </c>
      <c r="H396" t="inlineStr">
        <is>
          <t>Pre-Seed</t>
        </is>
      </c>
      <c r="I396" t="inlineStr">
        <is>
          <t>Early</t>
        </is>
      </c>
      <c r="J396" t="inlineStr">
        <is>
          <t>Unclassified</t>
        </is>
      </c>
      <c r="K396" t="inlineStr">
        <is>
          <t>Unknown</t>
        </is>
      </c>
      <c r="L396" t="inlineStr">
        <is>
          <t>Seedstars International Ventures; Fluent Ventures; Everywhere Ventures</t>
        </is>
      </c>
      <c r="M396" t="inlineStr">
        <is>
          <t>Seedstars International Ventures; Fluent Ventures; Everywhere Ventures</t>
        </is>
      </c>
      <c r="N396" t="inlineStr">
        <is>
          <t>entrackr</t>
        </is>
      </c>
      <c r="O396" s="20" t="n">
        <v>1</v>
      </c>
      <c r="P396" s="21" t="n">
        <v>0</v>
      </c>
      <c r="Q396" t="inlineStr">
        <is>
          <t>C06 C07</t>
        </is>
      </c>
      <c r="R396" s="22" t="inlineStr">
        <is>
          <t>https://entrackr.com/snippets/matbook-raises-750k-in-pre-seed-round-8984090</t>
        </is>
      </c>
    </row>
    <row r="397">
      <c r="A397" t="inlineStr">
        <is>
          <t>R250422-catalogus</t>
        </is>
      </c>
      <c r="B397" t="inlineStr">
        <is>
          <t>Catalogus</t>
        </is>
      </c>
      <c r="C397" s="17" t="n">
        <v>45769</v>
      </c>
      <c r="D397" s="18" t="n">
        <v>45748</v>
      </c>
      <c r="E397" s="19" t="n"/>
      <c r="F397" s="19" t="n"/>
      <c r="G397" t="inlineStr"/>
      <c r="H397" t="inlineStr">
        <is>
          <t>Seed</t>
        </is>
      </c>
      <c r="I397" t="inlineStr">
        <is>
          <t>Early</t>
        </is>
      </c>
      <c r="J397" t="inlineStr">
        <is>
          <t>Enterprise Tech</t>
        </is>
      </c>
      <c r="K397" t="inlineStr">
        <is>
          <t>Unknown</t>
        </is>
      </c>
      <c r="L397" t="inlineStr">
        <is>
          <t>Zeropearl VC</t>
        </is>
      </c>
      <c r="M397" t="inlineStr">
        <is>
          <t>Zeropearl VC; Sangeet Agarwal; Navin Parval; Rohin Mittal</t>
        </is>
      </c>
      <c r="N397" t="inlineStr">
        <is>
          <t>inc42</t>
        </is>
      </c>
      <c r="O397" s="20" t="n">
        <v>1</v>
      </c>
      <c r="P397" s="21" t="n"/>
      <c r="Q397" t="inlineStr">
        <is>
          <t>C03 C07</t>
        </is>
      </c>
      <c r="R397" s="22" t="inlineStr">
        <is>
          <t>https://inc42.com/buzz/from-dehaat-to-fabric-iot-indian-startups-raised-100-mn-this-week/</t>
        </is>
      </c>
    </row>
    <row r="398">
      <c r="A398" t="inlineStr">
        <is>
          <t>R250422-devassure</t>
        </is>
      </c>
      <c r="B398" t="inlineStr">
        <is>
          <t>DevAssure</t>
        </is>
      </c>
      <c r="C398" s="17" t="n">
        <v>45769</v>
      </c>
      <c r="D398" s="18" t="n">
        <v>45748</v>
      </c>
      <c r="E398" s="19" t="n"/>
      <c r="F398" s="19" t="n"/>
      <c r="G398" t="inlineStr"/>
      <c r="H398" t="inlineStr">
        <is>
          <t>Pre-Seed</t>
        </is>
      </c>
      <c r="I398" t="inlineStr">
        <is>
          <t>Early</t>
        </is>
      </c>
      <c r="J398" t="inlineStr">
        <is>
          <t>Enterprise Tech</t>
        </is>
      </c>
      <c r="K398" t="inlineStr">
        <is>
          <t>Unknown</t>
        </is>
      </c>
      <c r="L398" t="inlineStr">
        <is>
          <t>Eximius Ventures</t>
        </is>
      </c>
      <c r="M398" t="inlineStr">
        <is>
          <t>Eximius Ventures</t>
        </is>
      </c>
      <c r="N398" t="inlineStr">
        <is>
          <t>entrackr | inc42</t>
        </is>
      </c>
      <c r="O398" s="20" t="n">
        <v>2</v>
      </c>
      <c r="P398" s="21" t="n"/>
      <c r="Q398" t="inlineStr">
        <is>
          <t>C03 C07 C18</t>
        </is>
      </c>
      <c r="R398" s="22" t="inlineStr">
        <is>
          <t>https://entrackr.com/snippets/eximius-ventures-leads-preseed-round-in-devassure-8988945</t>
        </is>
      </c>
    </row>
    <row r="399">
      <c r="A399" t="inlineStr">
        <is>
          <t>R250422-kiranapro</t>
        </is>
      </c>
      <c r="B399" t="inlineStr">
        <is>
          <t>KiranaPro</t>
        </is>
      </c>
      <c r="C399" s="17" t="n">
        <v>45769</v>
      </c>
      <c r="D399" s="18" t="n">
        <v>45748</v>
      </c>
      <c r="E399" s="19" t="n"/>
      <c r="F399" s="19" t="n"/>
      <c r="G399" t="inlineStr"/>
      <c r="H399" t="inlineStr">
        <is>
          <t>Undisclosed</t>
        </is>
      </c>
      <c r="I399" t="inlineStr">
        <is>
          <t>Undisclosed</t>
        </is>
      </c>
      <c r="J399" t="inlineStr">
        <is>
          <t>Consumer Services</t>
        </is>
      </c>
      <c r="K399" t="inlineStr">
        <is>
          <t>Unknown</t>
        </is>
      </c>
      <c r="L399" t="inlineStr">
        <is>
          <t>Arjun Vaidya</t>
        </is>
      </c>
      <c r="M399" t="inlineStr">
        <is>
          <t>Arjun Vaidya</t>
        </is>
      </c>
      <c r="N399" t="inlineStr">
        <is>
          <t>inc42</t>
        </is>
      </c>
      <c r="O399" s="20" t="n">
        <v>1</v>
      </c>
      <c r="P399" s="21" t="n"/>
      <c r="Q399" t="inlineStr">
        <is>
          <t>C03 C04 C07</t>
        </is>
      </c>
      <c r="R399" s="22" t="inlineStr">
        <is>
          <t>https://inc42.com/buzz/from-dehaat-to-fabric-iot-indian-startups-raised-100-mn-this-week/</t>
        </is>
      </c>
    </row>
    <row r="400">
      <c r="A400" t="inlineStr">
        <is>
          <t>R250422-mydesignation</t>
        </is>
      </c>
      <c r="B400" t="inlineStr">
        <is>
          <t>MyDesignation</t>
        </is>
      </c>
      <c r="C400" s="17" t="n">
        <v>45769</v>
      </c>
      <c r="D400" s="18" t="n">
        <v>45748</v>
      </c>
      <c r="E400" s="19" t="n">
        <v>1.25</v>
      </c>
      <c r="F400" s="19" t="n">
        <v>10.65</v>
      </c>
      <c r="G400" t="inlineStr">
        <is>
          <t>$1.25 million</t>
        </is>
      </c>
      <c r="H400" t="inlineStr">
        <is>
          <t>Seed</t>
        </is>
      </c>
      <c r="I400" t="inlineStr">
        <is>
          <t>Early</t>
        </is>
      </c>
      <c r="J400" t="inlineStr">
        <is>
          <t>Ecommerce</t>
        </is>
      </c>
      <c r="K400" t="inlineStr">
        <is>
          <t>Thiruvananthapuram</t>
        </is>
      </c>
      <c r="L400" t="inlineStr">
        <is>
          <t>Multiply Ventures</t>
        </is>
      </c>
      <c r="M400" t="inlineStr">
        <is>
          <t>Multiply Ventures; Veltis Capital; Sattva Ventures; Dominor Investment Holdings; Green Trunk Ventures</t>
        </is>
      </c>
      <c r="N400" t="inlineStr">
        <is>
          <t>entrackr | inc42</t>
        </is>
      </c>
      <c r="O400" s="20" t="n">
        <v>2</v>
      </c>
      <c r="P400" s="21" t="n">
        <v>4</v>
      </c>
      <c r="Q400" t="inlineStr"/>
      <c r="R400" s="22" t="inlineStr">
        <is>
          <t>https://entrackr.com/snippets/mydesignation-raises-125-mn-in-seed-round-8988676</t>
        </is>
      </c>
    </row>
    <row r="401">
      <c r="A401" t="inlineStr">
        <is>
          <t>R250422-poshsmetal</t>
        </is>
      </c>
      <c r="B401" t="inlineStr">
        <is>
          <t>Poshs Metal</t>
        </is>
      </c>
      <c r="C401" s="17" t="n">
        <v>45769</v>
      </c>
      <c r="D401" s="18" t="n">
        <v>45748</v>
      </c>
      <c r="E401" s="19" t="n">
        <v>5.047</v>
      </c>
      <c r="F401" s="19" t="n">
        <v>43</v>
      </c>
      <c r="G401" t="inlineStr">
        <is>
          <t>Rs 43 crore</t>
        </is>
      </c>
      <c r="H401" t="inlineStr">
        <is>
          <t>Undisclosed</t>
        </is>
      </c>
      <c r="I401" t="inlineStr">
        <is>
          <t>Undisclosed</t>
        </is>
      </c>
      <c r="J401" t="inlineStr">
        <is>
          <t>Unclassified</t>
        </is>
      </c>
      <c r="K401" t="inlineStr">
        <is>
          <t>Unknown</t>
        </is>
      </c>
      <c r="L401" t="inlineStr">
        <is>
          <t>Aavishkaar Capital</t>
        </is>
      </c>
      <c r="M401" t="inlineStr">
        <is>
          <t>Aavishkaar Capital</t>
        </is>
      </c>
      <c r="N401" t="inlineStr">
        <is>
          <t>entrackr</t>
        </is>
      </c>
      <c r="O401" s="20" t="n">
        <v>1</v>
      </c>
      <c r="P401" s="21" t="n">
        <v>0</v>
      </c>
      <c r="Q401" t="inlineStr">
        <is>
          <t>C04 C06 C07</t>
        </is>
      </c>
      <c r="R401" s="22" t="inlineStr">
        <is>
          <t>https://entrackr.com/snippets/aavishkaar-capital-leads-5-mn-round-in-poshs-metal-8988801</t>
        </is>
      </c>
    </row>
    <row r="402">
      <c r="A402" t="inlineStr">
        <is>
          <t>R250422-rebelfoods</t>
        </is>
      </c>
      <c r="B402" t="inlineStr">
        <is>
          <t>Rebel Foods</t>
        </is>
      </c>
      <c r="C402" s="17" t="n">
        <v>45769</v>
      </c>
      <c r="D402" s="18" t="n">
        <v>45748</v>
      </c>
      <c r="E402" s="19" t="n">
        <v>25</v>
      </c>
      <c r="F402" s="19" t="n">
        <v>213</v>
      </c>
      <c r="G402" t="inlineStr">
        <is>
          <t>$25 million</t>
        </is>
      </c>
      <c r="H402" t="inlineStr">
        <is>
          <t>Undisclosed</t>
        </is>
      </c>
      <c r="I402" t="inlineStr">
        <is>
          <t>Undisclosed</t>
        </is>
      </c>
      <c r="J402" t="inlineStr">
        <is>
          <t>Foodtech</t>
        </is>
      </c>
      <c r="K402" t="inlineStr">
        <is>
          <t>Mumbai</t>
        </is>
      </c>
      <c r="L402" t="inlineStr"/>
      <c r="M402" t="inlineStr">
        <is>
          <t>Qatar Investment Authority</t>
        </is>
      </c>
      <c r="N402" t="inlineStr">
        <is>
          <t>entrackr</t>
        </is>
      </c>
      <c r="O402" s="20" t="n">
        <v>1</v>
      </c>
      <c r="P402" s="21" t="n">
        <v>0</v>
      </c>
      <c r="Q402" t="inlineStr">
        <is>
          <t>C04</t>
        </is>
      </c>
      <c r="R402" s="22" t="inlineStr">
        <is>
          <t>https://entrackr.com/snippets/rebel-foods-raises-25-mn-from-qia-report-8989219</t>
        </is>
      </c>
    </row>
    <row r="403">
      <c r="A403" t="inlineStr">
        <is>
          <t>R250422-uniqusconsulte</t>
        </is>
      </c>
      <c r="B403" t="inlineStr">
        <is>
          <t>Uniqus</t>
        </is>
      </c>
      <c r="C403" s="17" t="n">
        <v>45769</v>
      </c>
      <c r="D403" s="18" t="n">
        <v>45748</v>
      </c>
      <c r="E403" s="19" t="n">
        <v>20</v>
      </c>
      <c r="F403" s="19" t="n">
        <v>170.4</v>
      </c>
      <c r="G403" t="inlineStr">
        <is>
          <t>$20 million</t>
        </is>
      </c>
      <c r="H403" t="inlineStr">
        <is>
          <t>Series C</t>
        </is>
      </c>
      <c r="I403" t="inlineStr">
        <is>
          <t>Growth</t>
        </is>
      </c>
      <c r="J403" t="inlineStr">
        <is>
          <t>Enterprise Tech</t>
        </is>
      </c>
      <c r="K403" t="inlineStr">
        <is>
          <t>Unknown</t>
        </is>
      </c>
      <c r="L403" t="inlineStr">
        <is>
          <t>Nexus Venture Partners</t>
        </is>
      </c>
      <c r="M403" t="inlineStr">
        <is>
          <t>Nexus Venture Partners; Sorin Investments</t>
        </is>
      </c>
      <c r="N403" t="inlineStr">
        <is>
          <t>entrackr | inc42</t>
        </is>
      </c>
      <c r="O403" s="20" t="n">
        <v>2</v>
      </c>
      <c r="P403" s="21" t="n">
        <v>0</v>
      </c>
      <c r="Q403" t="inlineStr">
        <is>
          <t>C07</t>
        </is>
      </c>
      <c r="R403" s="22" t="inlineStr">
        <is>
          <t>https://entrackr.com/news/uniqus-consultech-raises-20-mn-in-series-c-round-led-by-nexus-8988661</t>
        </is>
      </c>
    </row>
    <row r="404">
      <c r="A404" t="inlineStr">
        <is>
          <t>R250422-vayudh</t>
        </is>
      </c>
      <c r="B404" t="inlineStr">
        <is>
          <t>Vayudh</t>
        </is>
      </c>
      <c r="C404" s="17" t="n">
        <v>45769</v>
      </c>
      <c r="D404" s="18" t="n">
        <v>45748</v>
      </c>
      <c r="E404" s="19" t="n">
        <v>10</v>
      </c>
      <c r="F404" s="19" t="n">
        <v>85.2</v>
      </c>
      <c r="G404" t="inlineStr">
        <is>
          <t>$10 million</t>
        </is>
      </c>
      <c r="H404" t="inlineStr">
        <is>
          <t>Undisclosed</t>
        </is>
      </c>
      <c r="I404" t="inlineStr">
        <is>
          <t>Undisclosed</t>
        </is>
      </c>
      <c r="J404" t="inlineStr">
        <is>
          <t>Deeptech</t>
        </is>
      </c>
      <c r="K404" t="inlineStr">
        <is>
          <t>Unknown</t>
        </is>
      </c>
      <c r="L404" t="inlineStr">
        <is>
          <t>Dharana Capital</t>
        </is>
      </c>
      <c r="M404" t="inlineStr">
        <is>
          <t>Dharana Capital; Deepinder Goyal; LetsVenture; Navam Capital; Ajay Aggarwal (MD; Action TESA); Sumit Jalan</t>
        </is>
      </c>
      <c r="N404" t="inlineStr">
        <is>
          <t>entrackr | inc42 | et</t>
        </is>
      </c>
      <c r="O404" s="20" t="n">
        <v>3</v>
      </c>
      <c r="P404" s="21" t="n">
        <v>0</v>
      </c>
      <c r="Q404" t="inlineStr">
        <is>
          <t>C04 C07</t>
        </is>
      </c>
      <c r="R404" s="22" t="inlineStr">
        <is>
          <t>https://entrackr.com/snippets/drone-startup-vayudh-raises-10-mn-led-by-dharana-capital-8990181</t>
        </is>
      </c>
    </row>
    <row r="405">
      <c r="A405" t="inlineStr">
        <is>
          <t>R250423-bankbazaar</t>
        </is>
      </c>
      <c r="B405" t="inlineStr">
        <is>
          <t>BankBazaar</t>
        </is>
      </c>
      <c r="C405" s="17" t="n">
        <v>45770</v>
      </c>
      <c r="D405" s="18" t="n">
        <v>45748</v>
      </c>
      <c r="E405" s="19" t="n">
        <v>6.44</v>
      </c>
      <c r="F405" s="19" t="n">
        <v>55</v>
      </c>
      <c r="G405" t="inlineStr">
        <is>
          <t>Rs 55 crore</t>
        </is>
      </c>
      <c r="H405" t="inlineStr">
        <is>
          <t>Series D</t>
        </is>
      </c>
      <c r="I405" t="inlineStr">
        <is>
          <t>Late</t>
        </is>
      </c>
      <c r="J405" t="inlineStr">
        <is>
          <t>Fintech</t>
        </is>
      </c>
      <c r="K405" t="inlineStr">
        <is>
          <t>Chennai</t>
        </is>
      </c>
      <c r="L405" t="inlineStr"/>
      <c r="M405" t="inlineStr">
        <is>
          <t>Muthoot FinCorp; Walden International</t>
        </is>
      </c>
      <c r="N405" t="inlineStr">
        <is>
          <t>entrackr | inc42 | et</t>
        </is>
      </c>
      <c r="O405" s="20" t="n">
        <v>3</v>
      </c>
      <c r="P405" s="21" t="n">
        <v>7.3</v>
      </c>
      <c r="Q405" t="inlineStr"/>
      <c r="R405" s="22" t="inlineStr">
        <is>
          <t>https://entrackr.com/snippets/bankbazaar-raises-rs-55-cr-partners-with-muthoot-fincorp-to-enter-gold-loan-segment-8991858</t>
        </is>
      </c>
    </row>
    <row r="406">
      <c r="A406" t="inlineStr">
        <is>
          <t>R250423-beyondoddstech</t>
        </is>
      </c>
      <c r="B406" t="inlineStr">
        <is>
          <t>Beyond Odds Technologies</t>
        </is>
      </c>
      <c r="C406" s="17" t="n">
        <v>45770</v>
      </c>
      <c r="D406" s="18" t="n">
        <v>45748</v>
      </c>
      <c r="E406" s="19" t="n">
        <v>5</v>
      </c>
      <c r="F406" s="19" t="n">
        <v>42.7</v>
      </c>
      <c r="G406" t="inlineStr">
        <is>
          <t>$5 million</t>
        </is>
      </c>
      <c r="H406" t="inlineStr">
        <is>
          <t>Undisclosed</t>
        </is>
      </c>
      <c r="I406" t="inlineStr">
        <is>
          <t>Undisclosed</t>
        </is>
      </c>
      <c r="J406" t="inlineStr">
        <is>
          <t>Unclassified</t>
        </is>
      </c>
      <c r="K406" t="inlineStr">
        <is>
          <t>Bengaluru</t>
        </is>
      </c>
      <c r="L406" t="inlineStr">
        <is>
          <t>Z47</t>
        </is>
      </c>
      <c r="M406" t="inlineStr">
        <is>
          <t>Z47; Alteria Capital; Innoven Capital</t>
        </is>
      </c>
      <c r="N406" t="inlineStr">
        <is>
          <t>et</t>
        </is>
      </c>
      <c r="O406" s="20" t="n">
        <v>1</v>
      </c>
      <c r="P406" s="21" t="n">
        <v>0</v>
      </c>
      <c r="Q406" t="inlineStr">
        <is>
          <t>C04 C06</t>
        </is>
      </c>
      <c r="R406" s="22" t="inlineStr">
        <is>
          <t>https://economictimes.indiatimes.com/tech/funding/emversity-parent-beyond-odds-technologies-raises-5-million-in-round-co-led-by-z47-lightspeed/articleshow/120527578.cms</t>
        </is>
      </c>
    </row>
    <row r="407">
      <c r="A407" t="inlineStr">
        <is>
          <t>R250423-emversity</t>
        </is>
      </c>
      <c r="B407" t="inlineStr">
        <is>
          <t>Emversity</t>
        </is>
      </c>
      <c r="C407" s="17" t="n">
        <v>45770</v>
      </c>
      <c r="D407" s="18" t="n">
        <v>45748</v>
      </c>
      <c r="E407" s="19" t="n">
        <v>5</v>
      </c>
      <c r="F407" s="19" t="n">
        <v>42.7</v>
      </c>
      <c r="G407" t="inlineStr">
        <is>
          <t>$5 million</t>
        </is>
      </c>
      <c r="H407" t="inlineStr">
        <is>
          <t>Pre-Series A</t>
        </is>
      </c>
      <c r="I407" t="inlineStr">
        <is>
          <t>Early</t>
        </is>
      </c>
      <c r="J407" t="inlineStr">
        <is>
          <t>Edtech</t>
        </is>
      </c>
      <c r="K407" t="inlineStr">
        <is>
          <t>Bengaluru</t>
        </is>
      </c>
      <c r="L407" t="inlineStr">
        <is>
          <t>Z47; Lightspeed Venture Partners</t>
        </is>
      </c>
      <c r="M407" t="inlineStr">
        <is>
          <t>Z47; Lightspeed Venture Partners; Alteria Capital; InnoVen Capital</t>
        </is>
      </c>
      <c r="N407" t="inlineStr">
        <is>
          <t>entrackr | inc42</t>
        </is>
      </c>
      <c r="O407" s="20" t="n">
        <v>2</v>
      </c>
      <c r="P407" s="21" t="n">
        <v>0</v>
      </c>
      <c r="Q407" t="inlineStr"/>
      <c r="R407" s="22" t="inlineStr">
        <is>
          <t>https://entrackr.com/snippets/emversity-raises-5-mn-in-pre-series-a-round-led-by-lightspeed-and-z47-8991784</t>
        </is>
      </c>
    </row>
    <row r="408">
      <c r="A408" t="inlineStr">
        <is>
          <t>R250423-farmart</t>
        </is>
      </c>
      <c r="B408" t="inlineStr">
        <is>
          <t>FarMart</t>
        </is>
      </c>
      <c r="C408" s="17" t="n">
        <v>45770</v>
      </c>
      <c r="D408" s="18" t="n">
        <v>45748</v>
      </c>
      <c r="E408" s="19" t="n">
        <v>9.836</v>
      </c>
      <c r="F408" s="19" t="n">
        <v>84</v>
      </c>
      <c r="G408" t="inlineStr">
        <is>
          <t>Rs 84 crore</t>
        </is>
      </c>
      <c r="H408" t="inlineStr">
        <is>
          <t>Undisclosed</t>
        </is>
      </c>
      <c r="I408" t="inlineStr">
        <is>
          <t>Undisclosed</t>
        </is>
      </c>
      <c r="J408" t="inlineStr">
        <is>
          <t>Unclassified</t>
        </is>
      </c>
      <c r="K408" t="inlineStr">
        <is>
          <t>Unknown</t>
        </is>
      </c>
      <c r="L408" t="inlineStr"/>
      <c r="M408" t="inlineStr"/>
      <c r="N408" t="inlineStr">
        <is>
          <t>entrackr</t>
        </is>
      </c>
      <c r="O408" s="20" t="n">
        <v>1</v>
      </c>
      <c r="P408" s="21" t="n">
        <v>0</v>
      </c>
      <c r="Q408" t="inlineStr">
        <is>
          <t>C04 C05 C06 C07</t>
        </is>
      </c>
      <c r="R408" s="22" t="inlineStr">
        <is>
          <t>https://entrackr.com/news/exclusive-farmart-bags-10-mn-through-equity-and-debt-funding-8992611</t>
        </is>
      </c>
    </row>
    <row r="409">
      <c r="A409" t="inlineStr">
        <is>
          <t>R250423-savein</t>
        </is>
      </c>
      <c r="B409" t="inlineStr">
        <is>
          <t>SaveIn</t>
        </is>
      </c>
      <c r="C409" s="17" t="n">
        <v>45770</v>
      </c>
      <c r="D409" s="18" t="n">
        <v>45748</v>
      </c>
      <c r="E409" s="19" t="n">
        <v>4.333</v>
      </c>
      <c r="F409" s="19" t="n">
        <v>37</v>
      </c>
      <c r="G409" t="inlineStr">
        <is>
          <t>Rs 37 crore</t>
        </is>
      </c>
      <c r="H409" t="inlineStr">
        <is>
          <t>Undisclosed</t>
        </is>
      </c>
      <c r="I409" t="inlineStr">
        <is>
          <t>Undisclosed</t>
        </is>
      </c>
      <c r="J409" t="inlineStr">
        <is>
          <t>Healthtech</t>
        </is>
      </c>
      <c r="K409" t="inlineStr">
        <is>
          <t>Delhi NCR</t>
        </is>
      </c>
      <c r="L409" t="inlineStr">
        <is>
          <t>Oliver Jung; Leblon Capital</t>
        </is>
      </c>
      <c r="M409" t="inlineStr">
        <is>
          <t>Oliver Jung; Leblon Capital; Stem AI</t>
        </is>
      </c>
      <c r="N409" t="inlineStr">
        <is>
          <t>entrackr | inc42</t>
        </is>
      </c>
      <c r="O409" s="20" t="n">
        <v>2</v>
      </c>
      <c r="P409" s="21" t="n">
        <v>0.8</v>
      </c>
      <c r="Q409" t="inlineStr">
        <is>
          <t>C04</t>
        </is>
      </c>
      <c r="R409" s="22" t="inlineStr">
        <is>
          <t>https://entrackr.com/snippets/healthcare-focused-fintech-startup-savein-raises-rs-37-cr-8992782</t>
        </is>
      </c>
    </row>
    <row r="410">
      <c r="A410" t="inlineStr">
        <is>
          <t>R250424-bachatt</t>
        </is>
      </c>
      <c r="B410" t="inlineStr">
        <is>
          <t>Bachatt</t>
        </is>
      </c>
      <c r="C410" s="17" t="n">
        <v>45771</v>
      </c>
      <c r="D410" s="18" t="n">
        <v>45748</v>
      </c>
      <c r="E410" s="19" t="n">
        <v>4</v>
      </c>
      <c r="F410" s="19" t="n">
        <v>34.14</v>
      </c>
      <c r="G410" t="inlineStr">
        <is>
          <t>$4 Mn</t>
        </is>
      </c>
      <c r="H410" t="inlineStr">
        <is>
          <t>Seed</t>
        </is>
      </c>
      <c r="I410" t="inlineStr">
        <is>
          <t>Early</t>
        </is>
      </c>
      <c r="J410" t="inlineStr">
        <is>
          <t>Fintech</t>
        </is>
      </c>
      <c r="K410" t="inlineStr">
        <is>
          <t>Unknown</t>
        </is>
      </c>
      <c r="L410" t="inlineStr">
        <is>
          <t>Lightspeed; Info Edge Ventures</t>
        </is>
      </c>
      <c r="M410" t="inlineStr">
        <is>
          <t>Lightspeed; Info Edge Ventures; Abhiraj Bhal; Sunil Prabhune; Abhinav Sinha; Maninder Gulati</t>
        </is>
      </c>
      <c r="N410" t="inlineStr">
        <is>
          <t>inc42</t>
        </is>
      </c>
      <c r="O410" s="20" t="n">
        <v>1</v>
      </c>
      <c r="P410" s="21" t="n">
        <v>0</v>
      </c>
      <c r="Q410" t="inlineStr">
        <is>
          <t>C07</t>
        </is>
      </c>
      <c r="R410" s="22" t="inlineStr">
        <is>
          <t>https://inc42.com/buzz/from-dehaat-to-fabric-iot-indian-startups-raised-100-mn-this-week/</t>
        </is>
      </c>
    </row>
    <row r="411">
      <c r="A411" t="inlineStr">
        <is>
          <t>R250424-fabriciot</t>
        </is>
      </c>
      <c r="B411" t="inlineStr">
        <is>
          <t>Fabric IoT</t>
        </is>
      </c>
      <c r="C411" s="17" t="n">
        <v>45771</v>
      </c>
      <c r="D411" s="18" t="n">
        <v>45748</v>
      </c>
      <c r="E411" s="19" t="n">
        <v>13.5</v>
      </c>
      <c r="F411" s="19" t="n">
        <v>115.21</v>
      </c>
      <c r="G411" t="inlineStr">
        <is>
          <t>$13.5 Mn</t>
        </is>
      </c>
      <c r="H411" t="inlineStr">
        <is>
          <t>Series A</t>
        </is>
      </c>
      <c r="I411" t="inlineStr">
        <is>
          <t>Early</t>
        </is>
      </c>
      <c r="J411" t="inlineStr">
        <is>
          <t>Deeptech</t>
        </is>
      </c>
      <c r="K411" t="inlineStr">
        <is>
          <t>Unknown</t>
        </is>
      </c>
      <c r="L411" t="inlineStr">
        <is>
          <t>Nuveen</t>
        </is>
      </c>
      <c r="M411" t="inlineStr">
        <is>
          <t>Nuveen</t>
        </is>
      </c>
      <c r="N411" t="inlineStr">
        <is>
          <t>inc42</t>
        </is>
      </c>
      <c r="O411" s="20" t="n">
        <v>1</v>
      </c>
      <c r="P411" s="21" t="n">
        <v>0</v>
      </c>
      <c r="Q411" t="inlineStr">
        <is>
          <t>C07</t>
        </is>
      </c>
      <c r="R411" s="22" t="inlineStr">
        <is>
          <t>https://inc42.com/buzz/from-dehaat-to-fabric-iot-indian-startups-raised-100-mn-this-week/</t>
        </is>
      </c>
    </row>
    <row r="412">
      <c r="A412" t="inlineStr">
        <is>
          <t>R250424-greengrahi</t>
        </is>
      </c>
      <c r="B412" t="inlineStr">
        <is>
          <t>GreenGrahi</t>
        </is>
      </c>
      <c r="C412" s="17" t="n">
        <v>45771</v>
      </c>
      <c r="D412" s="18" t="n">
        <v>45748</v>
      </c>
      <c r="E412" s="19" t="n">
        <v>3.75</v>
      </c>
      <c r="F412" s="19" t="n">
        <v>32</v>
      </c>
      <c r="G412" t="inlineStr">
        <is>
          <t>Rs 32 crore</t>
        </is>
      </c>
      <c r="H412" t="inlineStr">
        <is>
          <t>Seed</t>
        </is>
      </c>
      <c r="I412" t="inlineStr">
        <is>
          <t>Early</t>
        </is>
      </c>
      <c r="J412" t="inlineStr">
        <is>
          <t>Agritech</t>
        </is>
      </c>
      <c r="K412" t="inlineStr">
        <is>
          <t>Bengaluru</t>
        </is>
      </c>
      <c r="L412" t="inlineStr">
        <is>
          <t>Avaana Capital</t>
        </is>
      </c>
      <c r="M412" t="inlineStr">
        <is>
          <t>Avaana Capital; Huddle Ventures; Campus Fund; Blume Founders Fund; Nitin Sharma; Anchit Gupta; Sameer Brij Verma</t>
        </is>
      </c>
      <c r="N412" t="inlineStr">
        <is>
          <t>entrackr | inc42 | et</t>
        </is>
      </c>
      <c r="O412" s="20" t="n">
        <v>3</v>
      </c>
      <c r="P412" s="21" t="n">
        <v>1.3</v>
      </c>
      <c r="Q412" t="inlineStr"/>
      <c r="R412" s="22" t="inlineStr">
        <is>
          <t>https://entrackr.com/snippets/agri-biotech-startup-greengrahi-raises-rs-32-cr-led-by-avaana-capital-8996019</t>
        </is>
      </c>
    </row>
    <row r="413">
      <c r="A413" t="inlineStr">
        <is>
          <t>R250424-rimigo</t>
        </is>
      </c>
      <c r="B413" t="inlineStr">
        <is>
          <t>Rimigo</t>
        </is>
      </c>
      <c r="C413" s="17" t="n">
        <v>45771</v>
      </c>
      <c r="D413" s="18" t="n">
        <v>45748</v>
      </c>
      <c r="E413" s="19" t="n">
        <v>0.55</v>
      </c>
      <c r="F413" s="19" t="n">
        <v>4.69</v>
      </c>
      <c r="G413" t="inlineStr">
        <is>
          <t>$550,000</t>
        </is>
      </c>
      <c r="H413" t="inlineStr">
        <is>
          <t>Pre-Seed</t>
        </is>
      </c>
      <c r="I413" t="inlineStr">
        <is>
          <t>Early</t>
        </is>
      </c>
      <c r="J413" t="inlineStr">
        <is>
          <t>Travel Tech</t>
        </is>
      </c>
      <c r="K413" t="inlineStr">
        <is>
          <t>Bengaluru</t>
        </is>
      </c>
      <c r="L413" t="inlineStr">
        <is>
          <t>Reazon Capital; SGgrow Capital</t>
        </is>
      </c>
      <c r="M413" t="inlineStr">
        <is>
          <t>Reazon Capital; SGgrow Capital; S Ramadorai; Ravi Nigam; Shashank Deshpande; Ujjwal Jain</t>
        </is>
      </c>
      <c r="N413" t="inlineStr">
        <is>
          <t>entrackr</t>
        </is>
      </c>
      <c r="O413" s="20" t="n">
        <v>1</v>
      </c>
      <c r="P413" s="21" t="n">
        <v>0</v>
      </c>
      <c r="Q413" t="inlineStr"/>
      <c r="R413" s="22" t="inlineStr">
        <is>
          <t>https://entrackr.com/snippets/travel-tech-company-rimigo-raises-550k-in-pre-seed-round-8996856</t>
        </is>
      </c>
    </row>
    <row r="414">
      <c r="A414" t="inlineStr">
        <is>
          <t>R250424-visa2fly</t>
        </is>
      </c>
      <c r="B414" t="inlineStr">
        <is>
          <t>Visa2Fly</t>
        </is>
      </c>
      <c r="C414" s="17" t="n">
        <v>45771</v>
      </c>
      <c r="D414" s="18" t="n">
        <v>45748</v>
      </c>
      <c r="E414" s="19" t="n">
        <v>2</v>
      </c>
      <c r="F414" s="19" t="n">
        <v>17.07</v>
      </c>
      <c r="G414" t="inlineStr">
        <is>
          <t>$2 Mn</t>
        </is>
      </c>
      <c r="H414" t="inlineStr">
        <is>
          <t>Seed</t>
        </is>
      </c>
      <c r="I414" t="inlineStr">
        <is>
          <t>Early</t>
        </is>
      </c>
      <c r="J414" t="inlineStr">
        <is>
          <t>Travel Tech</t>
        </is>
      </c>
      <c r="K414" t="inlineStr">
        <is>
          <t>Unknown</t>
        </is>
      </c>
      <c r="L414" t="inlineStr">
        <is>
          <t>M Venture Partners</t>
        </is>
      </c>
      <c r="M414" t="inlineStr">
        <is>
          <t>M Venture Partners; Flipkart Ventures; FinSight Ventures; Thinkuvate</t>
        </is>
      </c>
      <c r="N414" t="inlineStr">
        <is>
          <t>inc42</t>
        </is>
      </c>
      <c r="O414" s="20" t="n">
        <v>1</v>
      </c>
      <c r="P414" s="21" t="n">
        <v>0</v>
      </c>
      <c r="Q414" t="inlineStr">
        <is>
          <t>C07</t>
        </is>
      </c>
      <c r="R414" s="22" t="inlineStr">
        <is>
          <t>https://inc42.com/buzz/from-dehaat-to-fabric-iot-indian-startups-raised-100-mn-this-week/</t>
        </is>
      </c>
    </row>
    <row r="415">
      <c r="A415" t="inlineStr">
        <is>
          <t>R250425-dehaat</t>
        </is>
      </c>
      <c r="B415" t="inlineStr">
        <is>
          <t>DeHaat</t>
        </is>
      </c>
      <c r="C415" s="17" t="n">
        <v>45772</v>
      </c>
      <c r="D415" s="18" t="n">
        <v>45748</v>
      </c>
      <c r="E415" s="19" t="n">
        <v>23.4</v>
      </c>
      <c r="F415" s="19" t="n">
        <v>199.91</v>
      </c>
      <c r="G415" t="inlineStr">
        <is>
          <t>$23.4 Mn</t>
        </is>
      </c>
      <c r="H415" t="inlineStr">
        <is>
          <t>Debt</t>
        </is>
      </c>
      <c r="I415" t="inlineStr">
        <is>
          <t>Debt</t>
        </is>
      </c>
      <c r="J415" t="inlineStr">
        <is>
          <t>Agritech</t>
        </is>
      </c>
      <c r="K415" t="inlineStr">
        <is>
          <t>Unknown</t>
        </is>
      </c>
      <c r="L415" t="inlineStr">
        <is>
          <t>Trifecta Capital</t>
        </is>
      </c>
      <c r="M415" t="inlineStr">
        <is>
          <t>Trifecta Capital</t>
        </is>
      </c>
      <c r="N415" t="inlineStr">
        <is>
          <t>inc42</t>
        </is>
      </c>
      <c r="O415" s="20" t="n">
        <v>1</v>
      </c>
      <c r="P415" s="21" t="n">
        <v>0</v>
      </c>
      <c r="Q415" t="inlineStr">
        <is>
          <t>C07</t>
        </is>
      </c>
      <c r="R415" s="22" t="inlineStr">
        <is>
          <t>https://inc42.com/buzz/from-dehaat-to-fabric-iot-indian-startups-raised-100-mn-this-week/</t>
        </is>
      </c>
    </row>
    <row r="416">
      <c r="A416" t="inlineStr">
        <is>
          <t>R250425-phab</t>
        </is>
      </c>
      <c r="B416" t="inlineStr">
        <is>
          <t>phab</t>
        </is>
      </c>
      <c r="C416" s="17" t="n">
        <v>45772</v>
      </c>
      <c r="D416" s="18" t="n">
        <v>45748</v>
      </c>
      <c r="E416" s="19" t="n">
        <v>2</v>
      </c>
      <c r="F416" s="19" t="n">
        <v>17.09</v>
      </c>
      <c r="G416" t="inlineStr">
        <is>
          <t>$2 million</t>
        </is>
      </c>
      <c r="H416" t="inlineStr">
        <is>
          <t>Seed</t>
        </is>
      </c>
      <c r="I416" t="inlineStr">
        <is>
          <t>Early</t>
        </is>
      </c>
      <c r="J416" t="inlineStr">
        <is>
          <t>Ecommerce</t>
        </is>
      </c>
      <c r="K416" t="inlineStr">
        <is>
          <t>Mumbai</t>
        </is>
      </c>
      <c r="L416" t="inlineStr">
        <is>
          <t>OTP Ventures</t>
        </is>
      </c>
      <c r="M416" t="inlineStr">
        <is>
          <t>OTP Ventures; Capri Global; Sim And San Law Firm</t>
        </is>
      </c>
      <c r="N416" t="inlineStr">
        <is>
          <t>entrackr | inc42</t>
        </is>
      </c>
      <c r="O416" s="20" t="n">
        <v>2</v>
      </c>
      <c r="P416" s="21" t="n">
        <v>0</v>
      </c>
      <c r="Q416" t="inlineStr"/>
      <c r="R416" s="22" t="inlineStr">
        <is>
          <t>https://entrackr.com/snippets/snack-brand-phab-raises-2-mn-in-seed-round-led-by-otp-ventures-9000269</t>
        </is>
      </c>
    </row>
    <row r="417">
      <c r="A417" t="inlineStr">
        <is>
          <t>R250428-carefi</t>
        </is>
      </c>
      <c r="B417" t="inlineStr">
        <is>
          <t>Care.fi</t>
        </is>
      </c>
      <c r="C417" s="17" t="n">
        <v>45775</v>
      </c>
      <c r="D417" s="18" t="n">
        <v>45748</v>
      </c>
      <c r="E417" s="19" t="n">
        <v>0.706</v>
      </c>
      <c r="F417" s="19" t="n">
        <v>6</v>
      </c>
      <c r="G417" t="inlineStr">
        <is>
          <t>Rs 6 crore</t>
        </is>
      </c>
      <c r="H417" t="inlineStr">
        <is>
          <t>Debt</t>
        </is>
      </c>
      <c r="I417" t="inlineStr">
        <is>
          <t>Debt</t>
        </is>
      </c>
      <c r="J417" t="inlineStr">
        <is>
          <t>Fintech</t>
        </is>
      </c>
      <c r="K417" t="inlineStr">
        <is>
          <t>Delhi NCR</t>
        </is>
      </c>
      <c r="L417" t="inlineStr"/>
      <c r="M417" t="inlineStr">
        <is>
          <t>RevX</t>
        </is>
      </c>
      <c r="N417" t="inlineStr">
        <is>
          <t>entrackr</t>
        </is>
      </c>
      <c r="O417" s="20" t="n">
        <v>1</v>
      </c>
      <c r="P417" s="21" t="n">
        <v>0</v>
      </c>
      <c r="Q417" t="inlineStr">
        <is>
          <t>C09</t>
        </is>
      </c>
      <c r="R417" s="22" t="inlineStr">
        <is>
          <t>https://entrackr.com/snippets/carefi-raises-rs-6-cr-debt-round-from-revx-9010019</t>
        </is>
      </c>
    </row>
    <row r="418">
      <c r="A418" t="inlineStr">
        <is>
          <t>R250428-hexahealth</t>
        </is>
      </c>
      <c r="B418" t="inlineStr">
        <is>
          <t>HexaHealth</t>
        </is>
      </c>
      <c r="C418" s="17" t="n">
        <v>45775</v>
      </c>
      <c r="D418" s="18" t="n">
        <v>45748</v>
      </c>
      <c r="E418" s="19" t="n">
        <v>12</v>
      </c>
      <c r="F418" s="19" t="n">
        <v>102.02</v>
      </c>
      <c r="G418" t="inlineStr">
        <is>
          <t>$12 million</t>
        </is>
      </c>
      <c r="H418" t="inlineStr">
        <is>
          <t>Series A</t>
        </is>
      </c>
      <c r="I418" t="inlineStr">
        <is>
          <t>Early</t>
        </is>
      </c>
      <c r="J418" t="inlineStr">
        <is>
          <t>Healthtech</t>
        </is>
      </c>
      <c r="K418" t="inlineStr">
        <is>
          <t>Delhi NCR</t>
        </is>
      </c>
      <c r="L418" t="inlineStr">
        <is>
          <t>Orios Venture Partners; 3one4 Capital</t>
        </is>
      </c>
      <c r="M418" t="inlineStr">
        <is>
          <t>Orios Venture Partners; 3one4 Capital; Enzia Ventures; ITI Growth Opportunities Fund; Chiratae Ventures; Omidyar Network India</t>
        </is>
      </c>
      <c r="N418" t="inlineStr">
        <is>
          <t>entrackr | inc42</t>
        </is>
      </c>
      <c r="O418" s="20" t="n">
        <v>2</v>
      </c>
      <c r="P418" s="21" t="n">
        <v>0</v>
      </c>
      <c r="Q418" t="inlineStr"/>
      <c r="R418" s="22" t="inlineStr">
        <is>
          <t>https://entrackr.com/exclusive/exclusive-hexahealth-secures-fresh-funds-led-by-orios-vp-9009389</t>
        </is>
      </c>
    </row>
    <row r="419">
      <c r="A419" t="inlineStr">
        <is>
          <t>R250428-malaki</t>
        </is>
      </c>
      <c r="B419" t="inlineStr">
        <is>
          <t>Malaki</t>
        </is>
      </c>
      <c r="C419" s="17" t="n">
        <v>45775</v>
      </c>
      <c r="D419" s="18" t="n">
        <v>45748</v>
      </c>
      <c r="E419" s="19" t="n">
        <v>0.67</v>
      </c>
      <c r="F419" s="19" t="n">
        <v>5.7</v>
      </c>
      <c r="G419" t="inlineStr">
        <is>
          <t>Rs 5.7 crore</t>
        </is>
      </c>
      <c r="H419" t="inlineStr">
        <is>
          <t>Seed</t>
        </is>
      </c>
      <c r="I419" t="inlineStr">
        <is>
          <t>Early</t>
        </is>
      </c>
      <c r="J419" t="inlineStr">
        <is>
          <t>Ecommerce</t>
        </is>
      </c>
      <c r="K419" t="inlineStr">
        <is>
          <t>Unknown</t>
        </is>
      </c>
      <c r="L419" t="inlineStr">
        <is>
          <t>Venture Catalysts</t>
        </is>
      </c>
      <c r="M419" t="inlineStr">
        <is>
          <t>Venture Catalysts; Maarc Ventures; Dadachanji Family Office</t>
        </is>
      </c>
      <c r="N419" t="inlineStr">
        <is>
          <t>entrackr | inc42</t>
        </is>
      </c>
      <c r="O419" s="20" t="n">
        <v>2</v>
      </c>
      <c r="P419" s="21" t="n">
        <v>0.7</v>
      </c>
      <c r="Q419" t="inlineStr">
        <is>
          <t>C07</t>
        </is>
      </c>
      <c r="R419" s="22" t="inlineStr">
        <is>
          <t>https://entrackr.com/snippets/malaki-raises-rs-57-cr-in-seed-round-led-by-venture-catalysts-9009681</t>
        </is>
      </c>
    </row>
    <row r="420">
      <c r="A420" t="inlineStr">
        <is>
          <t>R250428-mugafi</t>
        </is>
      </c>
      <c r="B420" t="inlineStr">
        <is>
          <t>Mugafi</t>
        </is>
      </c>
      <c r="C420" s="17" t="n">
        <v>45775</v>
      </c>
      <c r="D420" s="18" t="n">
        <v>45748</v>
      </c>
      <c r="E420" s="19" t="n">
        <v>3</v>
      </c>
      <c r="F420" s="19" t="n">
        <v>25.51</v>
      </c>
      <c r="G420" t="inlineStr">
        <is>
          <t>$3 million</t>
        </is>
      </c>
      <c r="H420" t="inlineStr">
        <is>
          <t>Seed</t>
        </is>
      </c>
      <c r="I420" t="inlineStr">
        <is>
          <t>Early</t>
        </is>
      </c>
      <c r="J420" t="inlineStr">
        <is>
          <t>Media &amp; Entertainment</t>
        </is>
      </c>
      <c r="K420" t="inlineStr">
        <is>
          <t>Unknown</t>
        </is>
      </c>
      <c r="L420" t="inlineStr">
        <is>
          <t>StartupXseed; Auxano; Proneur; MarsshotVC</t>
        </is>
      </c>
      <c r="M420" t="inlineStr">
        <is>
          <t>StartupXseed; Auxano Capital; Proneur Network; Mars Shot Ventures; Beyond Venture Partners; Circle</t>
        </is>
      </c>
      <c r="N420" t="inlineStr">
        <is>
          <t>entrackr | inc42</t>
        </is>
      </c>
      <c r="O420" s="20" t="n">
        <v>2</v>
      </c>
      <c r="P420" s="21" t="n">
        <v>0</v>
      </c>
      <c r="Q420" t="inlineStr">
        <is>
          <t>C07</t>
        </is>
      </c>
      <c r="R420" s="22" t="inlineStr">
        <is>
          <t>https://entrackr.com/snippets/mugafi-raises-3-mn-in-seed-funding-9044989</t>
        </is>
      </c>
    </row>
    <row r="421">
      <c r="A421" t="inlineStr">
        <is>
          <t>R250429-beat22</t>
        </is>
      </c>
      <c r="B421" t="inlineStr">
        <is>
          <t>Beat22</t>
        </is>
      </c>
      <c r="C421" s="17" t="n">
        <v>45776</v>
      </c>
      <c r="D421" s="18" t="n">
        <v>45748</v>
      </c>
      <c r="E421" s="19" t="n"/>
      <c r="F421" s="19" t="n"/>
      <c r="G421" t="inlineStr"/>
      <c r="H421" t="inlineStr">
        <is>
          <t>Pre-Seed</t>
        </is>
      </c>
      <c r="I421" t="inlineStr">
        <is>
          <t>Early</t>
        </is>
      </c>
      <c r="J421" t="inlineStr">
        <is>
          <t>Ecommerce</t>
        </is>
      </c>
      <c r="K421" t="inlineStr">
        <is>
          <t>Unknown</t>
        </is>
      </c>
      <c r="L421" t="inlineStr">
        <is>
          <t>SucSEED Indovation Fund</t>
        </is>
      </c>
      <c r="M421" t="inlineStr">
        <is>
          <t>SucSEED Indovation Fund; Chandigarh Angel Network; Prateek Toshniwal</t>
        </is>
      </c>
      <c r="N421" t="inlineStr">
        <is>
          <t>inc42</t>
        </is>
      </c>
      <c r="O421" s="20" t="n">
        <v>1</v>
      </c>
      <c r="P421" s="21" t="n"/>
      <c r="Q421" t="inlineStr">
        <is>
          <t>C03 C07</t>
        </is>
      </c>
      <c r="R421" s="22" t="inlineStr">
        <is>
          <t>https://inc42.com/buzz/from-hexahealth-to-anveshan-indian-startups-raised-55-mn-this-week/</t>
        </is>
      </c>
    </row>
    <row r="422">
      <c r="A422" t="inlineStr">
        <is>
          <t>R250429-collegedekho</t>
        </is>
      </c>
      <c r="B422" t="inlineStr">
        <is>
          <t>CollegeDekho</t>
        </is>
      </c>
      <c r="C422" s="17" t="n">
        <v>45776</v>
      </c>
      <c r="D422" s="18" t="n">
        <v>45748</v>
      </c>
      <c r="E422" s="19" t="n">
        <v>4.699</v>
      </c>
      <c r="F422" s="19" t="n">
        <v>40</v>
      </c>
      <c r="G422" t="inlineStr">
        <is>
          <t>Rs 40 crore</t>
        </is>
      </c>
      <c r="H422" t="inlineStr">
        <is>
          <t>Debt</t>
        </is>
      </c>
      <c r="I422" t="inlineStr">
        <is>
          <t>Debt</t>
        </is>
      </c>
      <c r="J422" t="inlineStr">
        <is>
          <t>Unclassified</t>
        </is>
      </c>
      <c r="K422" t="inlineStr">
        <is>
          <t>Unknown</t>
        </is>
      </c>
      <c r="L422" t="inlineStr"/>
      <c r="M422" t="inlineStr">
        <is>
          <t>Recur Club</t>
        </is>
      </c>
      <c r="N422" t="inlineStr">
        <is>
          <t>entrackr</t>
        </is>
      </c>
      <c r="O422" s="20" t="n">
        <v>1</v>
      </c>
      <c r="P422" s="21" t="n">
        <v>0</v>
      </c>
      <c r="Q422" t="inlineStr">
        <is>
          <t>C06 C07 C09</t>
        </is>
      </c>
      <c r="R422" s="22" t="inlineStr">
        <is>
          <t>https://entrackr.com/snippets/collegedekho-secures-rs-40-cr-debt-funding-from-recur-club-9013552</t>
        </is>
      </c>
    </row>
    <row r="423">
      <c r="A423" t="inlineStr">
        <is>
          <t>R250429-kult</t>
        </is>
      </c>
      <c r="B423" t="inlineStr">
        <is>
          <t>Kult</t>
        </is>
      </c>
      <c r="C423" s="17" t="n">
        <v>45776</v>
      </c>
      <c r="D423" s="18" t="n">
        <v>45748</v>
      </c>
      <c r="E423" s="19" t="n">
        <v>20</v>
      </c>
      <c r="F423" s="19" t="n">
        <v>170.26</v>
      </c>
      <c r="G423" t="inlineStr">
        <is>
          <t>$20 million</t>
        </is>
      </c>
      <c r="H423" t="inlineStr">
        <is>
          <t>Series A</t>
        </is>
      </c>
      <c r="I423" t="inlineStr">
        <is>
          <t>Early</t>
        </is>
      </c>
      <c r="J423" t="inlineStr">
        <is>
          <t>Ecommerce</t>
        </is>
      </c>
      <c r="K423" t="inlineStr">
        <is>
          <t>Unknown</t>
        </is>
      </c>
      <c r="L423" t="inlineStr">
        <is>
          <t>Dr</t>
        </is>
      </c>
      <c r="M423" t="inlineStr">
        <is>
          <t>Dr; M3M Family Office; Venture Catalysts</t>
        </is>
      </c>
      <c r="N423" t="inlineStr">
        <is>
          <t>entrackr | et</t>
        </is>
      </c>
      <c r="O423" s="20" t="n">
        <v>2</v>
      </c>
      <c r="P423" s="21" t="n">
        <v>0</v>
      </c>
      <c r="Q423" t="inlineStr">
        <is>
          <t>C07</t>
        </is>
      </c>
      <c r="R423" s="22" t="inlineStr">
        <is>
          <t>https://entrackr.com/news/kult-raises-20-mn-in-series-a-round-led-by-m3m-family-office-9014718</t>
        </is>
      </c>
    </row>
    <row r="424">
      <c r="A424" t="inlineStr">
        <is>
          <t>R250429-metafin</t>
        </is>
      </c>
      <c r="B424" t="inlineStr">
        <is>
          <t>Metafin</t>
        </is>
      </c>
      <c r="C424" s="17" t="n">
        <v>45776</v>
      </c>
      <c r="D424" s="18" t="n">
        <v>45748</v>
      </c>
      <c r="E424" s="19" t="n">
        <v>10</v>
      </c>
      <c r="F424" s="19" t="n">
        <v>85.13</v>
      </c>
      <c r="G424" t="inlineStr">
        <is>
          <t>$10 million</t>
        </is>
      </c>
      <c r="H424" t="inlineStr">
        <is>
          <t>Series A</t>
        </is>
      </c>
      <c r="I424" t="inlineStr">
        <is>
          <t>Early</t>
        </is>
      </c>
      <c r="J424" t="inlineStr">
        <is>
          <t>Fintech</t>
        </is>
      </c>
      <c r="K424" t="inlineStr">
        <is>
          <t>Unknown</t>
        </is>
      </c>
      <c r="L424" t="inlineStr">
        <is>
          <t>Vertex Ventures Southeast Asia</t>
        </is>
      </c>
      <c r="M424" t="inlineStr">
        <is>
          <t>Vertex Ventures Southeast Asia; Northern Arc; AU Small Finance Bank; Prime Venture Partners; Varanium Capital</t>
        </is>
      </c>
      <c r="N424" t="inlineStr">
        <is>
          <t>entrackr | inc42</t>
        </is>
      </c>
      <c r="O424" s="20" t="n">
        <v>2</v>
      </c>
      <c r="P424" s="21" t="n">
        <v>0</v>
      </c>
      <c r="Q424" t="inlineStr">
        <is>
          <t>C07</t>
        </is>
      </c>
      <c r="R424" s="22" t="inlineStr">
        <is>
          <t>https://entrackr.com/snippets/metafin-raises-10-mn-in-series-a-round-led-by-vertex-ventures-9013053</t>
        </is>
      </c>
    </row>
    <row r="425">
      <c r="A425" t="inlineStr">
        <is>
          <t>R250429-nbfcmetafin</t>
        </is>
      </c>
      <c r="B425" t="inlineStr">
        <is>
          <t>NBFC Metafin</t>
        </is>
      </c>
      <c r="C425" s="17" t="n">
        <v>45776</v>
      </c>
      <c r="D425" s="18" t="n">
        <v>45748</v>
      </c>
      <c r="E425" s="19" t="n">
        <v>10</v>
      </c>
      <c r="F425" s="19" t="n">
        <v>85.13</v>
      </c>
      <c r="G425" t="inlineStr">
        <is>
          <t>$10 million</t>
        </is>
      </c>
      <c r="H425" t="inlineStr">
        <is>
          <t>Undisclosed</t>
        </is>
      </c>
      <c r="I425" t="inlineStr">
        <is>
          <t>Undisclosed</t>
        </is>
      </c>
      <c r="J425" t="inlineStr">
        <is>
          <t>Unclassified</t>
        </is>
      </c>
      <c r="K425" t="inlineStr">
        <is>
          <t>Unknown</t>
        </is>
      </c>
      <c r="L425" t="inlineStr">
        <is>
          <t>Vertex Ventures Southeast Asia</t>
        </is>
      </c>
      <c r="M425" t="inlineStr">
        <is>
          <t>Vertex Ventures Southeast Asia; Prime Venture Partners; Varanium Capital</t>
        </is>
      </c>
      <c r="N425" t="inlineStr">
        <is>
          <t>et</t>
        </is>
      </c>
      <c r="O425" s="20" t="n">
        <v>1</v>
      </c>
      <c r="P425" s="21" t="n">
        <v>0</v>
      </c>
      <c r="Q425" t="inlineStr">
        <is>
          <t>C04 C06 C07</t>
        </is>
      </c>
      <c r="R425" s="22" t="inlineStr">
        <is>
          <t>https://economictimes.indiatimes.com/tech/funding/solar-focussed-nbfc-metafin-raises-10-million-in-round-led-by-vertex-ventures-sea-india/articleshow/120705250.cms</t>
        </is>
      </c>
    </row>
    <row r="426">
      <c r="A426" t="inlineStr">
        <is>
          <t>R250429-primebook</t>
        </is>
      </c>
      <c r="B426" t="inlineStr">
        <is>
          <t>Primebook</t>
        </is>
      </c>
      <c r="C426" s="17" t="n">
        <v>45776</v>
      </c>
      <c r="D426" s="18" t="n">
        <v>45748</v>
      </c>
      <c r="E426" s="19" t="n">
        <v>2</v>
      </c>
      <c r="F426" s="19" t="n">
        <v>17.03</v>
      </c>
      <c r="G426" t="inlineStr">
        <is>
          <t>$2 million</t>
        </is>
      </c>
      <c r="H426" t="inlineStr">
        <is>
          <t>Pre-Series A</t>
        </is>
      </c>
      <c r="I426" t="inlineStr">
        <is>
          <t>Early</t>
        </is>
      </c>
      <c r="J426" t="inlineStr">
        <is>
          <t>Ecommerce</t>
        </is>
      </c>
      <c r="K426" t="inlineStr">
        <is>
          <t>Delhi NCR</t>
        </is>
      </c>
      <c r="L426" t="inlineStr"/>
      <c r="M426" t="inlineStr">
        <is>
          <t>Inflection Point Ventures; Auxano Capital; Rikant Pittie; Bhavesh Gupta; NexG Devices</t>
        </is>
      </c>
      <c r="N426" t="inlineStr">
        <is>
          <t>entrackr | inc42</t>
        </is>
      </c>
      <c r="O426" s="20" t="n">
        <v>2</v>
      </c>
      <c r="P426" s="21" t="n">
        <v>0</v>
      </c>
      <c r="Q426" t="inlineStr"/>
      <c r="R426" s="22" t="inlineStr">
        <is>
          <t>https://entrackr.com/snippets/android-laptop-brand-primebook-raises-2-mn-in-pre-series-a-9013913</t>
        </is>
      </c>
    </row>
    <row r="427">
      <c r="A427" t="inlineStr">
        <is>
          <t>R250429-scandalousfood</t>
        </is>
      </c>
      <c r="B427" t="inlineStr">
        <is>
          <t>Scandalous Foods</t>
        </is>
      </c>
      <c r="C427" s="17" t="n">
        <v>45776</v>
      </c>
      <c r="D427" s="18" t="n">
        <v>45748</v>
      </c>
      <c r="E427" s="19" t="n">
        <v>0.237</v>
      </c>
      <c r="F427" s="19" t="n">
        <v>2.02</v>
      </c>
      <c r="G427" t="inlineStr">
        <is>
          <t>$237K</t>
        </is>
      </c>
      <c r="H427" t="inlineStr">
        <is>
          <t>Seed</t>
        </is>
      </c>
      <c r="I427" t="inlineStr">
        <is>
          <t>Early</t>
        </is>
      </c>
      <c r="J427" t="inlineStr">
        <is>
          <t>Ecommerce</t>
        </is>
      </c>
      <c r="K427" t="inlineStr">
        <is>
          <t>Unknown</t>
        </is>
      </c>
      <c r="L427" t="inlineStr">
        <is>
          <t>New Age India Fund</t>
        </is>
      </c>
      <c r="M427" t="inlineStr">
        <is>
          <t>New Age India Fund</t>
        </is>
      </c>
      <c r="N427" t="inlineStr">
        <is>
          <t>inc42</t>
        </is>
      </c>
      <c r="O427" s="20" t="n">
        <v>1</v>
      </c>
      <c r="P427" s="21" t="n">
        <v>0</v>
      </c>
      <c r="Q427" t="inlineStr">
        <is>
          <t>C07</t>
        </is>
      </c>
      <c r="R427" s="22" t="inlineStr">
        <is>
          <t>https://inc42.com/buzz/from-hexahealth-to-anveshan-indian-startups-raised-55-mn-this-week/</t>
        </is>
      </c>
    </row>
    <row r="428">
      <c r="A428" t="inlineStr">
        <is>
          <t>R250430-anveshan</t>
        </is>
      </c>
      <c r="B428" t="inlineStr">
        <is>
          <t>Anveshan</t>
        </is>
      </c>
      <c r="C428" s="17" t="n">
        <v>45777</v>
      </c>
      <c r="D428" s="18" t="n">
        <v>45748</v>
      </c>
      <c r="E428" s="19" t="n">
        <v>6</v>
      </c>
      <c r="F428" s="19" t="n">
        <v>50.72</v>
      </c>
      <c r="G428" t="inlineStr">
        <is>
          <t>$6 Mn</t>
        </is>
      </c>
      <c r="H428" t="inlineStr">
        <is>
          <t>Series A</t>
        </is>
      </c>
      <c r="I428" t="inlineStr">
        <is>
          <t>Early</t>
        </is>
      </c>
      <c r="J428" t="inlineStr">
        <is>
          <t>Ecommerce</t>
        </is>
      </c>
      <c r="K428" t="inlineStr">
        <is>
          <t>Delhi NCR</t>
        </is>
      </c>
      <c r="L428" t="inlineStr">
        <is>
          <t>Wipro Consumer Care Ventures</t>
        </is>
      </c>
      <c r="M428" t="inlineStr">
        <is>
          <t>Wipro Consumer Care Ventures; DSG Consumer Partners; Titan Capital; Force Ventures; Aman Gupta; Sameer Mehta</t>
        </is>
      </c>
      <c r="N428" t="inlineStr">
        <is>
          <t>inc42 | et</t>
        </is>
      </c>
      <c r="O428" s="20" t="n">
        <v>2</v>
      </c>
      <c r="P428" s="21" t="n">
        <v>5.7</v>
      </c>
      <c r="Q428" t="inlineStr"/>
      <c r="R428" s="22" t="inlineStr">
        <is>
          <t>https://economictimes.indiatimes.com/tech/funding/health-food-brand-anveshan-raises-rs-48-crore-from-wipro-consumer-care-ventures-others/articleshow/120755244.cms</t>
        </is>
      </c>
    </row>
    <row r="429">
      <c r="A429" t="inlineStr">
        <is>
          <t>R250430-ivanajewels</t>
        </is>
      </c>
      <c r="B429" t="inlineStr">
        <is>
          <t>IVANA Jewels</t>
        </is>
      </c>
      <c r="C429" s="17" t="n">
        <v>45777</v>
      </c>
      <c r="D429" s="18" t="n">
        <v>45748</v>
      </c>
      <c r="E429" s="19" t="n">
        <v>0.237</v>
      </c>
      <c r="F429" s="19" t="n">
        <v>2</v>
      </c>
      <c r="G429" t="inlineStr">
        <is>
          <t>$237K</t>
        </is>
      </c>
      <c r="H429" t="inlineStr">
        <is>
          <t>Seed</t>
        </is>
      </c>
      <c r="I429" t="inlineStr">
        <is>
          <t>Early</t>
        </is>
      </c>
      <c r="J429" t="inlineStr">
        <is>
          <t>Ecommerce</t>
        </is>
      </c>
      <c r="K429" t="inlineStr">
        <is>
          <t>Unknown</t>
        </is>
      </c>
      <c r="L429" t="inlineStr">
        <is>
          <t>Avinya Ventures</t>
        </is>
      </c>
      <c r="M429" t="inlineStr">
        <is>
          <t>Avinya Ventures</t>
        </is>
      </c>
      <c r="N429" t="inlineStr">
        <is>
          <t>inc42</t>
        </is>
      </c>
      <c r="O429" s="20" t="n">
        <v>1</v>
      </c>
      <c r="P429" s="21" t="n">
        <v>0</v>
      </c>
      <c r="Q429" t="inlineStr">
        <is>
          <t>C07</t>
        </is>
      </c>
      <c r="R429" s="22" t="inlineStr">
        <is>
          <t>https://inc42.com/buzz/from-hexahealth-to-anveshan-indian-startups-raised-55-mn-this-week/</t>
        </is>
      </c>
    </row>
    <row r="430">
      <c r="A430" t="inlineStr">
        <is>
          <t>R250430-qnulabs</t>
        </is>
      </c>
      <c r="B430" t="inlineStr">
        <is>
          <t>QNu Labs</t>
        </is>
      </c>
      <c r="C430" s="17" t="n">
        <v>45777</v>
      </c>
      <c r="D430" s="18" t="n">
        <v>45748</v>
      </c>
      <c r="E430" s="19" t="n">
        <v>7.098</v>
      </c>
      <c r="F430" s="19" t="n">
        <v>60</v>
      </c>
      <c r="G430" t="inlineStr">
        <is>
          <t>Rs 60 crore</t>
        </is>
      </c>
      <c r="H430" t="inlineStr">
        <is>
          <t>Series A</t>
        </is>
      </c>
      <c r="I430" t="inlineStr">
        <is>
          <t>Early</t>
        </is>
      </c>
      <c r="J430" t="inlineStr">
        <is>
          <t>Deeptech</t>
        </is>
      </c>
      <c r="K430" t="inlineStr">
        <is>
          <t>Bengaluru</t>
        </is>
      </c>
      <c r="L430" t="inlineStr">
        <is>
          <t>National Quantum Mission</t>
        </is>
      </c>
      <c r="M430" t="inlineStr">
        <is>
          <t>National Quantum Mission; Lucky Investment; Speciale Invest; Tenacity Ventures; Singularity AMC</t>
        </is>
      </c>
      <c r="N430" t="inlineStr">
        <is>
          <t>entrackr | inc42 | et</t>
        </is>
      </c>
      <c r="O430" s="20" t="n">
        <v>3</v>
      </c>
      <c r="P430" s="21" t="n">
        <v>1.4</v>
      </c>
      <c r="Q430" t="inlineStr"/>
      <c r="R430" s="22" t="inlineStr">
        <is>
          <t>https://entrackr.com/snippets/qnu-labs-raises-rs-60-cr-in-series-a-round-led-by-nqm-9016730</t>
        </is>
      </c>
    </row>
    <row r="431">
      <c r="A431" t="inlineStr">
        <is>
          <t>R250430-sadhavoffshore</t>
        </is>
      </c>
      <c r="B431" t="inlineStr">
        <is>
          <t>Sadhav Offshore</t>
        </is>
      </c>
      <c r="C431" s="17" t="n">
        <v>45777</v>
      </c>
      <c r="D431" s="18" t="n">
        <v>45748</v>
      </c>
      <c r="E431" s="19" t="n">
        <v>2.958</v>
      </c>
      <c r="F431" s="19" t="n">
        <v>25</v>
      </c>
      <c r="G431" t="inlineStr">
        <is>
          <t>Rs 25 crore</t>
        </is>
      </c>
      <c r="H431" t="inlineStr">
        <is>
          <t>Undisclosed</t>
        </is>
      </c>
      <c r="I431" t="inlineStr">
        <is>
          <t>Undisclosed</t>
        </is>
      </c>
      <c r="J431" t="inlineStr">
        <is>
          <t>Unclassified</t>
        </is>
      </c>
      <c r="K431" t="inlineStr">
        <is>
          <t>Unknown</t>
        </is>
      </c>
      <c r="L431" t="inlineStr">
        <is>
          <t>Negen Undiscovered Value Fund</t>
        </is>
      </c>
      <c r="M431" t="inlineStr">
        <is>
          <t>Negen Undiscovered Value Fund</t>
        </is>
      </c>
      <c r="N431" t="inlineStr">
        <is>
          <t>entrackr</t>
        </is>
      </c>
      <c r="O431" s="20" t="n">
        <v>1</v>
      </c>
      <c r="P431" s="21" t="n">
        <v>0</v>
      </c>
      <c r="Q431" t="inlineStr">
        <is>
          <t>C04 C06 C07</t>
        </is>
      </c>
      <c r="R431" s="22" t="inlineStr">
        <is>
          <t>https://entrackr.com/snippets/sadhav-offshore-raises-rs-25-cr-in-equity-round-led-by-negen-capital-9017119</t>
        </is>
      </c>
    </row>
    <row r="432">
      <c r="A432" t="inlineStr">
        <is>
          <t>R250430-saltoralcare</t>
        </is>
      </c>
      <c r="B432" t="inlineStr">
        <is>
          <t>Salt Oral Care</t>
        </is>
      </c>
      <c r="C432" s="17" t="n">
        <v>45777</v>
      </c>
      <c r="D432" s="18" t="n">
        <v>45748</v>
      </c>
      <c r="E432" s="19" t="n">
        <v>1</v>
      </c>
      <c r="F432" s="19" t="n">
        <v>8.449999999999999</v>
      </c>
      <c r="G432" t="inlineStr">
        <is>
          <t>$1 million</t>
        </is>
      </c>
      <c r="H432" t="inlineStr">
        <is>
          <t>Pre-Series A</t>
        </is>
      </c>
      <c r="I432" t="inlineStr">
        <is>
          <t>Early</t>
        </is>
      </c>
      <c r="J432" t="inlineStr">
        <is>
          <t>Ecommerce</t>
        </is>
      </c>
      <c r="K432" t="inlineStr">
        <is>
          <t>Mumbai</t>
        </is>
      </c>
      <c r="L432" t="inlineStr"/>
      <c r="M432" t="inlineStr">
        <is>
          <t>Lotus Holdings</t>
        </is>
      </c>
      <c r="N432" t="inlineStr">
        <is>
          <t>entrackr</t>
        </is>
      </c>
      <c r="O432" s="20" t="n">
        <v>1</v>
      </c>
      <c r="P432" s="21" t="n">
        <v>0</v>
      </c>
      <c r="Q432" t="inlineStr"/>
      <c r="R432" s="22" t="inlineStr">
        <is>
          <t>https://entrackr.com/snippets/salt-oral-care-raises-1-mn-in-pre-series-a-round-led-by-lotus-holdings-9019477</t>
        </is>
      </c>
    </row>
    <row r="433">
      <c r="A433" t="inlineStr">
        <is>
          <t>R250430-satleolabs</t>
        </is>
      </c>
      <c r="B433" t="inlineStr">
        <is>
          <t>SatLeo Labs</t>
        </is>
      </c>
      <c r="C433" s="17" t="n">
        <v>45777</v>
      </c>
      <c r="D433" s="18" t="n">
        <v>45748</v>
      </c>
      <c r="E433" s="19" t="n">
        <v>3.3</v>
      </c>
      <c r="F433" s="19" t="n">
        <v>27.89</v>
      </c>
      <c r="G433" t="inlineStr">
        <is>
          <t>$3.3 million</t>
        </is>
      </c>
      <c r="H433" t="inlineStr">
        <is>
          <t>Pre-Series A</t>
        </is>
      </c>
      <c r="I433" t="inlineStr">
        <is>
          <t>Early</t>
        </is>
      </c>
      <c r="J433" t="inlineStr">
        <is>
          <t>Deeptech</t>
        </is>
      </c>
      <c r="K433" t="inlineStr">
        <is>
          <t>Ahmedabad</t>
        </is>
      </c>
      <c r="L433" t="inlineStr">
        <is>
          <t>Merak Ventures</t>
        </is>
      </c>
      <c r="M433" t="inlineStr">
        <is>
          <t>Merak Ventures; Huddle Ventures; GVFL; Java Capital; IIMA Ventures; PointOne Capital; Low Earth Orbit; Manish Gandhi</t>
        </is>
      </c>
      <c r="N433" t="inlineStr">
        <is>
          <t>entrackr | inc42</t>
        </is>
      </c>
      <c r="O433" s="20" t="n">
        <v>2</v>
      </c>
      <c r="P433" s="21" t="n">
        <v>0</v>
      </c>
      <c r="Q433" t="inlineStr">
        <is>
          <t>C18</t>
        </is>
      </c>
      <c r="R433" s="22" t="inlineStr">
        <is>
          <t>https://entrackr.com/snippets/satleo-labs-raises-33-mn-in-pre-seed-round-led-by-merak-ventures-9016898</t>
        </is>
      </c>
    </row>
    <row r="434">
      <c r="A434" t="inlineStr">
        <is>
          <t>R250430-stimuler</t>
        </is>
      </c>
      <c r="B434" t="inlineStr">
        <is>
          <t>Stimuler</t>
        </is>
      </c>
      <c r="C434" s="17" t="n">
        <v>45777</v>
      </c>
      <c r="D434" s="18" t="n">
        <v>45748</v>
      </c>
      <c r="E434" s="19" t="n">
        <v>3.75</v>
      </c>
      <c r="F434" s="19" t="n">
        <v>31.7</v>
      </c>
      <c r="G434" t="inlineStr">
        <is>
          <t>$3.75 million</t>
        </is>
      </c>
      <c r="H434" t="inlineStr">
        <is>
          <t>Pre-Series A</t>
        </is>
      </c>
      <c r="I434" t="inlineStr">
        <is>
          <t>Early</t>
        </is>
      </c>
      <c r="J434" t="inlineStr">
        <is>
          <t>Edtech</t>
        </is>
      </c>
      <c r="K434" t="inlineStr">
        <is>
          <t>Bengaluru</t>
        </is>
      </c>
      <c r="L434" t="inlineStr">
        <is>
          <t>Lightspeed; SWC Global</t>
        </is>
      </c>
      <c r="M434" t="inlineStr">
        <is>
          <t>Lightspeed; SWC Global; M Venture Partners; Rebright Partners; Force Ventures; gradCapital; Operators Studio</t>
        </is>
      </c>
      <c r="N434" t="inlineStr">
        <is>
          <t>entrackr | inc42 | et</t>
        </is>
      </c>
      <c r="O434" s="20" t="n">
        <v>3</v>
      </c>
      <c r="P434" s="21" t="n">
        <v>1.3</v>
      </c>
      <c r="Q434" t="inlineStr"/>
      <c r="R434" s="22" t="inlineStr">
        <is>
          <t>https://entrackr.com/snippets/stimuler-raises-375-mn-in-pre-series-a-round-led-by-lightspeed-9016664</t>
        </is>
      </c>
    </row>
    <row r="435">
      <c r="A435" t="inlineStr">
        <is>
          <t>R250430-vividobots</t>
        </is>
      </c>
      <c r="B435" t="inlineStr">
        <is>
          <t>Vividobots</t>
        </is>
      </c>
      <c r="C435" s="17" t="n">
        <v>45777</v>
      </c>
      <c r="D435" s="18" t="n">
        <v>45748</v>
      </c>
      <c r="E435" s="19" t="n">
        <v>0.174</v>
      </c>
      <c r="F435" s="19" t="n">
        <v>1.47</v>
      </c>
      <c r="G435" t="inlineStr">
        <is>
          <t>Rs 1.47 crore</t>
        </is>
      </c>
      <c r="H435" t="inlineStr">
        <is>
          <t>Seed</t>
        </is>
      </c>
      <c r="I435" t="inlineStr">
        <is>
          <t>Early</t>
        </is>
      </c>
      <c r="J435" t="inlineStr">
        <is>
          <t>Deeptech</t>
        </is>
      </c>
      <c r="K435" t="inlineStr">
        <is>
          <t>Chennai</t>
        </is>
      </c>
      <c r="L435" t="inlineStr">
        <is>
          <t>Inflection Point Ventures</t>
        </is>
      </c>
      <c r="M435" t="inlineStr">
        <is>
          <t>Inflection Point Ventures</t>
        </is>
      </c>
      <c r="N435" t="inlineStr">
        <is>
          <t>entrackr | inc42</t>
        </is>
      </c>
      <c r="O435" s="20" t="n">
        <v>2</v>
      </c>
      <c r="P435" s="21" t="n">
        <v>0.1</v>
      </c>
      <c r="Q435" t="inlineStr"/>
      <c r="R435" s="22" t="inlineStr">
        <is>
          <t>https://entrackr.com/snippets/vividobots-raises-rs-147-cr-in-seed-round-led-by-ipv-9016984</t>
        </is>
      </c>
    </row>
    <row r="436">
      <c r="A436" t="inlineStr">
        <is>
          <t>R250501-fuze</t>
        </is>
      </c>
      <c r="B436" t="inlineStr">
        <is>
          <t>Fuze</t>
        </is>
      </c>
      <c r="C436" s="17" t="n">
        <v>45778</v>
      </c>
      <c r="D436" s="18" t="n">
        <v>45778</v>
      </c>
      <c r="E436" s="19" t="n">
        <v>12.2</v>
      </c>
      <c r="F436" s="19" t="n">
        <v>103.13</v>
      </c>
      <c r="G436" t="inlineStr">
        <is>
          <t>$12.2 million</t>
        </is>
      </c>
      <c r="H436" t="inlineStr">
        <is>
          <t>Series A</t>
        </is>
      </c>
      <c r="I436" t="inlineStr">
        <is>
          <t>Early</t>
        </is>
      </c>
      <c r="J436" t="inlineStr">
        <is>
          <t>Unclassified</t>
        </is>
      </c>
      <c r="K436" t="inlineStr">
        <is>
          <t>Unknown</t>
        </is>
      </c>
      <c r="L436" t="inlineStr">
        <is>
          <t>Galaxy</t>
        </is>
      </c>
      <c r="M436" t="inlineStr">
        <is>
          <t>Galaxy; Further Ventures; Liberty City Ventures</t>
        </is>
      </c>
      <c r="N436" t="inlineStr">
        <is>
          <t>entrackr | et</t>
        </is>
      </c>
      <c r="O436" s="20" t="n">
        <v>2</v>
      </c>
      <c r="P436" s="21" t="n">
        <v>0</v>
      </c>
      <c r="Q436" t="inlineStr">
        <is>
          <t>C06 C07</t>
        </is>
      </c>
      <c r="R436" s="22" t="inlineStr">
        <is>
          <t>https://entrackr.com/snippets/fuze-raises-122-mn-in-series-a-round-led-by-galaxy-and-e-capital-9021181</t>
        </is>
      </c>
    </row>
    <row r="437">
      <c r="A437" t="inlineStr">
        <is>
          <t>R250502-byteedge</t>
        </is>
      </c>
      <c r="B437" t="inlineStr">
        <is>
          <t>ByteEdge</t>
        </is>
      </c>
      <c r="C437" s="17" t="n">
        <v>45779</v>
      </c>
      <c r="D437" s="18" t="n">
        <v>45778</v>
      </c>
      <c r="E437" s="19" t="n">
        <v>1.5</v>
      </c>
      <c r="F437" s="19" t="n">
        <v>12.64</v>
      </c>
      <c r="G437" t="inlineStr">
        <is>
          <t>$1.5 million</t>
        </is>
      </c>
      <c r="H437" t="inlineStr">
        <is>
          <t>Undisclosed</t>
        </is>
      </c>
      <c r="I437" t="inlineStr">
        <is>
          <t>Undisclosed</t>
        </is>
      </c>
      <c r="J437" t="inlineStr">
        <is>
          <t>Artificial Intelligence</t>
        </is>
      </c>
      <c r="K437" t="inlineStr">
        <is>
          <t>Delhi NCR</t>
        </is>
      </c>
      <c r="L437" t="inlineStr">
        <is>
          <t>TRTL Ventures</t>
        </is>
      </c>
      <c r="M437" t="inlineStr">
        <is>
          <t>TRTL Ventures</t>
        </is>
      </c>
      <c r="N437" t="inlineStr">
        <is>
          <t>et</t>
        </is>
      </c>
      <c r="O437" s="20" t="n">
        <v>1</v>
      </c>
      <c r="P437" s="21" t="n">
        <v>0</v>
      </c>
      <c r="Q437" t="inlineStr">
        <is>
          <t>C04</t>
        </is>
      </c>
      <c r="R437" s="22" t="inlineStr">
        <is>
          <t>https://economictimes.indiatimes.com/tech/funding/ai-knowledge-transfer-platform-byteedge-raises-1-5-million-in-round-led-by-trtl-ventures/articleshow/120828028.cms</t>
        </is>
      </c>
    </row>
    <row r="438">
      <c r="A438" t="inlineStr">
        <is>
          <t>R250502-kaleidofin</t>
        </is>
      </c>
      <c r="B438" t="inlineStr">
        <is>
          <t>Kaleidofin</t>
        </is>
      </c>
      <c r="C438" s="17" t="n">
        <v>45779</v>
      </c>
      <c r="D438" s="18" t="n">
        <v>45778</v>
      </c>
      <c r="E438" s="19" t="n">
        <v>5.3</v>
      </c>
      <c r="F438" s="19" t="n">
        <v>44.68</v>
      </c>
      <c r="G438" t="inlineStr">
        <is>
          <t>$5.3 million</t>
        </is>
      </c>
      <c r="H438" t="inlineStr">
        <is>
          <t>Undisclosed</t>
        </is>
      </c>
      <c r="I438" t="inlineStr">
        <is>
          <t>Undisclosed</t>
        </is>
      </c>
      <c r="J438" t="inlineStr">
        <is>
          <t>Fintech</t>
        </is>
      </c>
      <c r="K438" t="inlineStr">
        <is>
          <t>Chennai</t>
        </is>
      </c>
      <c r="L438" t="inlineStr">
        <is>
          <t>IDH Farmfit Fund</t>
        </is>
      </c>
      <c r="M438" t="inlineStr">
        <is>
          <t>IDH Farmfit Fund; Rabo Partnerships; Michael &amp;amp</t>
        </is>
      </c>
      <c r="N438" t="inlineStr">
        <is>
          <t>entrackr | inc42 | et</t>
        </is>
      </c>
      <c r="O438" s="20" t="n">
        <v>3</v>
      </c>
      <c r="P438" s="21" t="n">
        <v>0</v>
      </c>
      <c r="Q438" t="inlineStr">
        <is>
          <t>C04</t>
        </is>
      </c>
      <c r="R438" s="22" t="inlineStr">
        <is>
          <t>https://entrackr.com/snippets/neobanking-platform-kaleidofin-raises-53-mn-led-by-idh-farmfit-fund-9025505</t>
        </is>
      </c>
    </row>
    <row r="439">
      <c r="A439" t="inlineStr">
        <is>
          <t>R250502-sednahoreca</t>
        </is>
      </c>
      <c r="B439" t="inlineStr">
        <is>
          <t>Sedna HoReCa</t>
        </is>
      </c>
      <c r="C439" s="17" t="n">
        <v>45779</v>
      </c>
      <c r="D439" s="18" t="n">
        <v>45778</v>
      </c>
      <c r="E439" s="19" t="n">
        <v>5.931</v>
      </c>
      <c r="F439" s="19" t="n">
        <v>50</v>
      </c>
      <c r="G439" t="inlineStr">
        <is>
          <t>Rs 50 crore</t>
        </is>
      </c>
      <c r="H439" t="inlineStr">
        <is>
          <t>Undisclosed</t>
        </is>
      </c>
      <c r="I439" t="inlineStr">
        <is>
          <t>Undisclosed</t>
        </is>
      </c>
      <c r="J439" t="inlineStr">
        <is>
          <t>Travel Tech</t>
        </is>
      </c>
      <c r="K439" t="inlineStr">
        <is>
          <t>Hyderabad</t>
        </is>
      </c>
      <c r="L439" t="inlineStr">
        <is>
          <t>Anicut Capital</t>
        </is>
      </c>
      <c r="M439" t="inlineStr">
        <is>
          <t>Anicut Capital</t>
        </is>
      </c>
      <c r="N439" t="inlineStr">
        <is>
          <t>entrackr</t>
        </is>
      </c>
      <c r="O439" s="20" t="n">
        <v>1</v>
      </c>
      <c r="P439" s="21" t="n">
        <v>0</v>
      </c>
      <c r="Q439" t="inlineStr">
        <is>
          <t>C04</t>
        </is>
      </c>
      <c r="R439" s="22" t="inlineStr">
        <is>
          <t>https://entrackr.com/snippets/sedna-horeca-raises-rs-50-cr-led-by-anicut-capital-9025275</t>
        </is>
      </c>
    </row>
    <row r="440">
      <c r="A440" t="inlineStr">
        <is>
          <t>R250505-91trucks</t>
        </is>
      </c>
      <c r="B440" t="inlineStr">
        <is>
          <t>91trucks</t>
        </is>
      </c>
      <c r="C440" s="17" t="n">
        <v>45782</v>
      </c>
      <c r="D440" s="18" t="n">
        <v>45778</v>
      </c>
      <c r="E440" s="19" t="n">
        <v>5</v>
      </c>
      <c r="F440" s="19" t="n">
        <v>42.15</v>
      </c>
      <c r="G440" t="inlineStr">
        <is>
          <t>$5 million</t>
        </is>
      </c>
      <c r="H440" t="inlineStr">
        <is>
          <t>Series A</t>
        </is>
      </c>
      <c r="I440" t="inlineStr">
        <is>
          <t>Early</t>
        </is>
      </c>
      <c r="J440" t="inlineStr">
        <is>
          <t>Ecommerce</t>
        </is>
      </c>
      <c r="K440" t="inlineStr">
        <is>
          <t>Delhi NCR</t>
        </is>
      </c>
      <c r="L440" t="inlineStr">
        <is>
          <t>Arkam Ventures</t>
        </is>
      </c>
      <c r="M440" t="inlineStr">
        <is>
          <t>Arkam Ventures; Titan Capital; Sparrow Capital; India Accelerator</t>
        </is>
      </c>
      <c r="N440" t="inlineStr">
        <is>
          <t>entrackr | inc42 | et</t>
        </is>
      </c>
      <c r="O440" s="20" t="n">
        <v>3</v>
      </c>
      <c r="P440" s="21" t="n">
        <v>0</v>
      </c>
      <c r="Q440" t="inlineStr"/>
      <c r="R440" s="22" t="inlineStr">
        <is>
          <t>https://entrackr.com/exclusive/exclusive-91trucks-begins-series-a-round-with-55x-valuation-surge-9035850</t>
        </is>
      </c>
    </row>
    <row r="441">
      <c r="A441" t="inlineStr">
        <is>
          <t>R250505-altdrx</t>
        </is>
      </c>
      <c r="B441" t="inlineStr">
        <is>
          <t>Alt DRX</t>
        </is>
      </c>
      <c r="C441" s="17" t="n">
        <v>45782</v>
      </c>
      <c r="D441" s="18" t="n">
        <v>45778</v>
      </c>
      <c r="E441" s="19" t="n">
        <v>2.728</v>
      </c>
      <c r="F441" s="19" t="n">
        <v>23</v>
      </c>
      <c r="G441" t="inlineStr">
        <is>
          <t>Rs 23 crore</t>
        </is>
      </c>
      <c r="H441" t="inlineStr">
        <is>
          <t>Pre-Series A</t>
        </is>
      </c>
      <c r="I441" t="inlineStr">
        <is>
          <t>Early</t>
        </is>
      </c>
      <c r="J441" t="inlineStr">
        <is>
          <t>Real Estate Tech</t>
        </is>
      </c>
      <c r="K441" t="inlineStr">
        <is>
          <t>Bengaluru</t>
        </is>
      </c>
      <c r="L441" t="inlineStr"/>
      <c r="M441" t="inlineStr">
        <is>
          <t>Qatar Development Bank; Parthasarathy; Richard Rekhy; WeFounder Circle Angel Fund</t>
        </is>
      </c>
      <c r="N441" t="inlineStr">
        <is>
          <t>entrackr | et | vccircle</t>
        </is>
      </c>
      <c r="O441" s="20" t="n">
        <v>3</v>
      </c>
      <c r="P441" s="21" t="n">
        <v>0</v>
      </c>
      <c r="Q441" t="inlineStr"/>
      <c r="R441" s="22" t="inlineStr">
        <is>
          <t>https://entrackr.com/snippets/alt-drx-raises-rs-23-cr-from-qatar-development-bank-others-9036092</t>
        </is>
      </c>
    </row>
    <row r="442">
      <c r="A442" t="inlineStr">
        <is>
          <t>R250505-lifechartgutti</t>
        </is>
      </c>
      <c r="B442" t="inlineStr">
        <is>
          <t>Lifechart</t>
        </is>
      </c>
      <c r="C442" s="17" t="n">
        <v>45782</v>
      </c>
      <c r="D442" s="18" t="n">
        <v>45778</v>
      </c>
      <c r="E442" s="19" t="n">
        <v>0.36</v>
      </c>
      <c r="F442" s="19" t="n">
        <v>3.03</v>
      </c>
      <c r="G442" t="inlineStr">
        <is>
          <t>$360,000</t>
        </is>
      </c>
      <c r="H442" t="inlineStr">
        <is>
          <t>Seed</t>
        </is>
      </c>
      <c r="I442" t="inlineStr">
        <is>
          <t>Early</t>
        </is>
      </c>
      <c r="J442" t="inlineStr">
        <is>
          <t>Ecommerce</t>
        </is>
      </c>
      <c r="K442" t="inlineStr">
        <is>
          <t>Unknown</t>
        </is>
      </c>
      <c r="L442" t="inlineStr">
        <is>
          <t>Prajay Advisors; Prakash Mody; Jayendra Shah</t>
        </is>
      </c>
      <c r="M442" t="inlineStr">
        <is>
          <t>Prajay Advisors; Prakash Mody; Jayendra Shah</t>
        </is>
      </c>
      <c r="N442" t="inlineStr">
        <is>
          <t>entrackr | inc42</t>
        </is>
      </c>
      <c r="O442" s="20" t="n">
        <v>2</v>
      </c>
      <c r="P442" s="21" t="n">
        <v>0</v>
      </c>
      <c r="Q442" t="inlineStr">
        <is>
          <t>C07</t>
        </is>
      </c>
      <c r="R442" s="22" t="inlineStr">
        <is>
          <t>https://entrackr.com/snippets/lifecharts-guttify-secures-360k-from-unichem-labs-family-office-9036323</t>
        </is>
      </c>
    </row>
    <row r="443">
      <c r="A443" t="inlineStr">
        <is>
          <t>R250505-storemygoods</t>
        </is>
      </c>
      <c r="B443" t="inlineStr">
        <is>
          <t>Store My Goods</t>
        </is>
      </c>
      <c r="C443" s="17" t="n">
        <v>45782</v>
      </c>
      <c r="D443" s="18" t="n">
        <v>45778</v>
      </c>
      <c r="E443" s="19" t="n">
        <v>0.474</v>
      </c>
      <c r="F443" s="19" t="n">
        <v>4</v>
      </c>
      <c r="G443" t="inlineStr">
        <is>
          <t>Rs 4 crore</t>
        </is>
      </c>
      <c r="H443" t="inlineStr">
        <is>
          <t>Undisclosed</t>
        </is>
      </c>
      <c r="I443" t="inlineStr">
        <is>
          <t>Undisclosed</t>
        </is>
      </c>
      <c r="J443" t="inlineStr">
        <is>
          <t>Logistics</t>
        </is>
      </c>
      <c r="K443" t="inlineStr">
        <is>
          <t>Delhi NCR</t>
        </is>
      </c>
      <c r="L443" t="inlineStr">
        <is>
          <t>JIIF; JITO Incubation; Innovation Foundation</t>
        </is>
      </c>
      <c r="M443" t="inlineStr">
        <is>
          <t>JIIF; JITO Incubation; Innovation Foundation</t>
        </is>
      </c>
      <c r="N443" t="inlineStr">
        <is>
          <t>entrackr | inc42</t>
        </is>
      </c>
      <c r="O443" s="20" t="n">
        <v>2</v>
      </c>
      <c r="P443" s="21" t="n">
        <v>1.6</v>
      </c>
      <c r="Q443" t="inlineStr">
        <is>
          <t>C04 C17</t>
        </is>
      </c>
      <c r="R443" s="22" t="inlineStr">
        <is>
          <t>https://entrackr.com/snippets/store-my-goods-raises-rs-4-cr-led-by-jiif-9036056</t>
        </is>
      </c>
    </row>
    <row r="444">
      <c r="A444" t="inlineStr">
        <is>
          <t>R250505-volt14</t>
        </is>
      </c>
      <c r="B444" t="inlineStr">
        <is>
          <t>Volt14</t>
        </is>
      </c>
      <c r="C444" s="17" t="n">
        <v>45782</v>
      </c>
      <c r="D444" s="18" t="n">
        <v>45778</v>
      </c>
      <c r="E444" s="19" t="n">
        <v>1.87</v>
      </c>
      <c r="F444" s="19" t="n">
        <v>15.76</v>
      </c>
      <c r="G444" t="inlineStr">
        <is>
          <t>$1.87 million</t>
        </is>
      </c>
      <c r="H444" t="inlineStr">
        <is>
          <t>Pre-Series A</t>
        </is>
      </c>
      <c r="I444" t="inlineStr">
        <is>
          <t>Early</t>
        </is>
      </c>
      <c r="J444" t="inlineStr">
        <is>
          <t>Cleantech</t>
        </is>
      </c>
      <c r="K444" t="inlineStr">
        <is>
          <t>Bengaluru</t>
        </is>
      </c>
      <c r="L444" t="inlineStr">
        <is>
          <t>Blume Ventures</t>
        </is>
      </c>
      <c r="M444" t="inlineStr">
        <is>
          <t>Blume Ventures; Beyond Next Ventures; Spectrum Impact; Supermorpheus; Cocoon Capital</t>
        </is>
      </c>
      <c r="N444" t="inlineStr">
        <is>
          <t>entrackr | inc42 | et</t>
        </is>
      </c>
      <c r="O444" s="20" t="n">
        <v>3</v>
      </c>
      <c r="P444" s="21" t="n">
        <v>1.6</v>
      </c>
      <c r="Q444" t="inlineStr"/>
      <c r="R444" s="22" t="inlineStr">
        <is>
          <t>https://entrackr.com/snippets/volt14-raises-187-mn-in-pre-series-a-round-led-by-blume-ventures-9035400</t>
        </is>
      </c>
    </row>
    <row r="445">
      <c r="A445" t="inlineStr">
        <is>
          <t>R250506-bharatpe</t>
        </is>
      </c>
      <c r="B445" t="inlineStr">
        <is>
          <t>BharatPe</t>
        </is>
      </c>
      <c r="C445" s="17" t="n">
        <v>45783</v>
      </c>
      <c r="D445" s="18" t="n">
        <v>45778</v>
      </c>
      <c r="E445" s="19" t="n">
        <v>15</v>
      </c>
      <c r="F445" s="19" t="n">
        <v>126.57</v>
      </c>
      <c r="G445" t="inlineStr">
        <is>
          <t>$15 Mn</t>
        </is>
      </c>
      <c r="H445" t="inlineStr">
        <is>
          <t>Debt</t>
        </is>
      </c>
      <c r="I445" t="inlineStr">
        <is>
          <t>Debt</t>
        </is>
      </c>
      <c r="J445" t="inlineStr">
        <is>
          <t>Fintech</t>
        </is>
      </c>
      <c r="K445" t="inlineStr">
        <is>
          <t>Unknown</t>
        </is>
      </c>
      <c r="L445" t="inlineStr">
        <is>
          <t>Neo Group; Trifecta Capital</t>
        </is>
      </c>
      <c r="M445" t="inlineStr">
        <is>
          <t>Neo Group; Trifecta Capital</t>
        </is>
      </c>
      <c r="N445" t="inlineStr">
        <is>
          <t>inc42</t>
        </is>
      </c>
      <c r="O445" s="20" t="n">
        <v>1</v>
      </c>
      <c r="P445" s="21" t="n">
        <v>0</v>
      </c>
      <c r="Q445" t="inlineStr">
        <is>
          <t>C07</t>
        </is>
      </c>
      <c r="R445" s="22" t="inlineStr">
        <is>
          <t>https://inc42.com/buzz/from-pb-health-to-porter-indian-startups-raised-587-mn/</t>
        </is>
      </c>
    </row>
    <row r="446">
      <c r="A446" t="inlineStr">
        <is>
          <t>R250506-blissclub</t>
        </is>
      </c>
      <c r="B446" t="inlineStr">
        <is>
          <t>Blissclub</t>
        </is>
      </c>
      <c r="C446" s="17" t="n">
        <v>45783</v>
      </c>
      <c r="D446" s="18" t="n">
        <v>45778</v>
      </c>
      <c r="E446" s="19" t="n">
        <v>5.333</v>
      </c>
      <c r="F446" s="19" t="n">
        <v>45</v>
      </c>
      <c r="G446" t="inlineStr">
        <is>
          <t>Rs 45 crore</t>
        </is>
      </c>
      <c r="H446" t="inlineStr">
        <is>
          <t>Series B</t>
        </is>
      </c>
      <c r="I446" t="inlineStr">
        <is>
          <t>Growth</t>
        </is>
      </c>
      <c r="J446" t="inlineStr">
        <is>
          <t>Ecommerce</t>
        </is>
      </c>
      <c r="K446" t="inlineStr">
        <is>
          <t>Bengaluru</t>
        </is>
      </c>
      <c r="L446" t="inlineStr">
        <is>
          <t>Elevation Capital</t>
        </is>
      </c>
      <c r="M446" t="inlineStr">
        <is>
          <t>Elevation Capital; Eight Roads Ventures; Alteria Capital</t>
        </is>
      </c>
      <c r="N446" t="inlineStr">
        <is>
          <t>entrackr | inc42 | et</t>
        </is>
      </c>
      <c r="O446" s="20" t="n">
        <v>3</v>
      </c>
      <c r="P446" s="21" t="n">
        <v>36.7</v>
      </c>
      <c r="Q446" t="inlineStr">
        <is>
          <t>C15</t>
        </is>
      </c>
      <c r="R446" s="22" t="inlineStr">
        <is>
          <t>https://entrackr.com/exclusive/exclusive-d2c-startup-blissclub-secures-fresh-funds-at-flat-valuation-9040617</t>
        </is>
      </c>
    </row>
    <row r="447">
      <c r="A447" t="inlineStr">
        <is>
          <t>R250506-celciuslogisti</t>
        </is>
      </c>
      <c r="B447" t="inlineStr">
        <is>
          <t>Celcius Logistics</t>
        </is>
      </c>
      <c r="C447" s="17" t="n">
        <v>45783</v>
      </c>
      <c r="D447" s="18" t="n">
        <v>45778</v>
      </c>
      <c r="E447" s="19" t="n">
        <v>29.628</v>
      </c>
      <c r="F447" s="19" t="n">
        <v>250</v>
      </c>
      <c r="G447" t="inlineStr">
        <is>
          <t>Rs 250 crore</t>
        </is>
      </c>
      <c r="H447" t="inlineStr">
        <is>
          <t>Series B</t>
        </is>
      </c>
      <c r="I447" t="inlineStr">
        <is>
          <t>Growth</t>
        </is>
      </c>
      <c r="J447" t="inlineStr">
        <is>
          <t>Logistics</t>
        </is>
      </c>
      <c r="K447" t="inlineStr">
        <is>
          <t>Mumbai</t>
        </is>
      </c>
      <c r="L447" t="inlineStr">
        <is>
          <t>Eurazeo; Omnivore</t>
        </is>
      </c>
      <c r="M447" t="inlineStr">
        <is>
          <t>Eurazeo; Omnivore; IvyCap Ventures; Trifecta Capital; Lighthouse Canton; BlackSoil; UCIC; GetVantage; VCats; Endiya Partners</t>
        </is>
      </c>
      <c r="N447" t="inlineStr">
        <is>
          <t>entrackr | inc42 | et | vccircle</t>
        </is>
      </c>
      <c r="O447" s="20" t="n">
        <v>4</v>
      </c>
      <c r="P447" s="21" t="n">
        <v>1.1</v>
      </c>
      <c r="Q447" t="inlineStr"/>
      <c r="R447" s="22" t="inlineStr">
        <is>
          <t>https://entrackr.com/news/celcius-logistics-raises-rs-250-cr-in-series-b-round-9038927</t>
        </is>
      </c>
    </row>
    <row r="448">
      <c r="A448" t="inlineStr">
        <is>
          <t>R250506-insurancesamad</t>
        </is>
      </c>
      <c r="B448" t="inlineStr">
        <is>
          <t>Insurance Samadhan</t>
        </is>
      </c>
      <c r="C448" s="17" t="n">
        <v>45783</v>
      </c>
      <c r="D448" s="18" t="n">
        <v>45778</v>
      </c>
      <c r="E448" s="19" t="n">
        <v>1.007</v>
      </c>
      <c r="F448" s="19" t="n">
        <v>8.5</v>
      </c>
      <c r="G448" t="inlineStr">
        <is>
          <t>Rs 8.5 crore</t>
        </is>
      </c>
      <c r="H448" t="inlineStr">
        <is>
          <t>Undisclosed</t>
        </is>
      </c>
      <c r="I448" t="inlineStr">
        <is>
          <t>Undisclosed</t>
        </is>
      </c>
      <c r="J448" t="inlineStr">
        <is>
          <t>Fintech</t>
        </is>
      </c>
      <c r="K448" t="inlineStr">
        <is>
          <t>Unknown</t>
        </is>
      </c>
      <c r="L448" t="inlineStr"/>
      <c r="M448" t="inlineStr">
        <is>
          <t>Equanimity Investments; 100 Unicorns; Venture Catalysts; IIFL Finance</t>
        </is>
      </c>
      <c r="N448" t="inlineStr">
        <is>
          <t>entrackr</t>
        </is>
      </c>
      <c r="O448" s="20" t="n">
        <v>1</v>
      </c>
      <c r="P448" s="21" t="n">
        <v>0</v>
      </c>
      <c r="Q448" t="inlineStr">
        <is>
          <t>C04 C07</t>
        </is>
      </c>
      <c r="R448" s="22" t="inlineStr">
        <is>
          <t>https://entrackr.com/snippets/insurance-samadhan-secures-rs-85-cr-to-boost-tech-infrastructure-9040178</t>
        </is>
      </c>
    </row>
    <row r="449">
      <c r="A449" t="inlineStr">
        <is>
          <t>R250506-korinmi</t>
        </is>
      </c>
      <c r="B449" t="inlineStr">
        <is>
          <t>KorinMi</t>
        </is>
      </c>
      <c r="C449" s="17" t="n">
        <v>45783</v>
      </c>
      <c r="D449" s="18" t="n">
        <v>45778</v>
      </c>
      <c r="E449" s="19" t="n">
        <v>0.356</v>
      </c>
      <c r="F449" s="19" t="n">
        <v>3</v>
      </c>
      <c r="G449" t="inlineStr">
        <is>
          <t>Rs 3 crore</t>
        </is>
      </c>
      <c r="H449" t="inlineStr">
        <is>
          <t>Pre-Seed</t>
        </is>
      </c>
      <c r="I449" t="inlineStr">
        <is>
          <t>Early</t>
        </is>
      </c>
      <c r="J449" t="inlineStr">
        <is>
          <t>Consumer Services</t>
        </is>
      </c>
      <c r="K449" t="inlineStr">
        <is>
          <t>Delhi NCR</t>
        </is>
      </c>
      <c r="L449" t="inlineStr">
        <is>
          <t>Vikas Agarwal; Vivek Kumar</t>
        </is>
      </c>
      <c r="M449" t="inlineStr">
        <is>
          <t>Vikas Agarwal; Vivek Kumar</t>
        </is>
      </c>
      <c r="N449" t="inlineStr">
        <is>
          <t>entrackr | inc42</t>
        </is>
      </c>
      <c r="O449" s="20" t="n">
        <v>2</v>
      </c>
      <c r="P449" s="21" t="n">
        <v>0</v>
      </c>
      <c r="Q449" t="inlineStr"/>
      <c r="R449" s="22" t="inlineStr">
        <is>
          <t>https://entrackr.com/snippets/korean-skin-clinic-korinmi-raises-rs-3-cr-in-pre-seed-round-9039962</t>
        </is>
      </c>
    </row>
    <row r="450">
      <c r="A450" t="inlineStr">
        <is>
          <t>R250506-nawgati</t>
        </is>
      </c>
      <c r="B450" t="inlineStr">
        <is>
          <t>Nawgati</t>
        </is>
      </c>
      <c r="C450" s="17" t="n">
        <v>45783</v>
      </c>
      <c r="D450" s="18" t="n">
        <v>45778</v>
      </c>
      <c r="E450" s="19" t="n">
        <v>2.5</v>
      </c>
      <c r="F450" s="19" t="n">
        <v>21.1</v>
      </c>
      <c r="G450" t="inlineStr">
        <is>
          <t>$2.5 million</t>
        </is>
      </c>
      <c r="H450" t="inlineStr">
        <is>
          <t>Pre-Series A</t>
        </is>
      </c>
      <c r="I450" t="inlineStr">
        <is>
          <t>Early</t>
        </is>
      </c>
      <c r="J450" t="inlineStr">
        <is>
          <t>Travel Tech</t>
        </is>
      </c>
      <c r="K450" t="inlineStr">
        <is>
          <t>Delhi NCR</t>
        </is>
      </c>
      <c r="L450" t="inlineStr">
        <is>
          <t>Ajay Upadhyaya; MeitY Startup Hub; Aamara Capital; Sanjay Sharma; Ashish Sharma; Prithvijit Roy; Vivek Mathur</t>
        </is>
      </c>
      <c r="M450" t="inlineStr">
        <is>
          <t>Ajay Upadhyaya; Vivek Mathur; MeitY Startup Hub; Aamara Capital; Sanjay Sharma; Ashish Sharma; Prithvijit Roy; Deepak Bhagnani Family Office</t>
        </is>
      </c>
      <c r="N450" t="inlineStr">
        <is>
          <t>entrackr | inc42 | et</t>
        </is>
      </c>
      <c r="O450" s="20" t="n">
        <v>3</v>
      </c>
      <c r="P450" s="21" t="n">
        <v>0</v>
      </c>
      <c r="Q450" t="inlineStr"/>
      <c r="R450" s="22" t="inlineStr">
        <is>
          <t>https://entrackr.com/snippets/fuel-tech-startup-nawgati-raises-25-mn-in-pre-series-a-round-9039698</t>
        </is>
      </c>
    </row>
    <row r="451">
      <c r="A451" t="inlineStr">
        <is>
          <t>R250506-saleassistai</t>
        </is>
      </c>
      <c r="B451" t="inlineStr">
        <is>
          <t>SaleAssist.ai</t>
        </is>
      </c>
      <c r="C451" s="17" t="n">
        <v>45783</v>
      </c>
      <c r="D451" s="18" t="n">
        <v>45778</v>
      </c>
      <c r="E451" s="19" t="n">
        <v>0.3</v>
      </c>
      <c r="F451" s="19" t="n">
        <v>2.53</v>
      </c>
      <c r="G451" t="inlineStr">
        <is>
          <t>$300K</t>
        </is>
      </c>
      <c r="H451" t="inlineStr">
        <is>
          <t>Undisclosed</t>
        </is>
      </c>
      <c r="I451" t="inlineStr">
        <is>
          <t>Undisclosed</t>
        </is>
      </c>
      <c r="J451" t="inlineStr">
        <is>
          <t>Enterprise Tech</t>
        </is>
      </c>
      <c r="K451" t="inlineStr">
        <is>
          <t>Unknown</t>
        </is>
      </c>
      <c r="L451" t="inlineStr">
        <is>
          <t>ASICS Ventures Corporation; India Accelerator</t>
        </is>
      </c>
      <c r="M451" t="inlineStr">
        <is>
          <t>ASICS Ventures Corporation; India Accelerator</t>
        </is>
      </c>
      <c r="N451" t="inlineStr">
        <is>
          <t>inc42</t>
        </is>
      </c>
      <c r="O451" s="20" t="n">
        <v>1</v>
      </c>
      <c r="P451" s="21" t="n">
        <v>0</v>
      </c>
      <c r="Q451" t="inlineStr">
        <is>
          <t>C04 C07</t>
        </is>
      </c>
      <c r="R451" s="22" t="inlineStr">
        <is>
          <t>https://inc42.com/buzz/from-pb-health-to-porter-indian-startups-raised-587-mn/</t>
        </is>
      </c>
    </row>
    <row r="452">
      <c r="A452" t="inlineStr">
        <is>
          <t>R250506-thegoodbug</t>
        </is>
      </c>
      <c r="B452" t="inlineStr">
        <is>
          <t>The Good Bug</t>
        </is>
      </c>
      <c r="C452" s="17" t="n">
        <v>45783</v>
      </c>
      <c r="D452" s="18" t="n">
        <v>45778</v>
      </c>
      <c r="E452" s="19" t="n">
        <v>11.851</v>
      </c>
      <c r="F452" s="19" t="n">
        <v>100</v>
      </c>
      <c r="G452" t="inlineStr">
        <is>
          <t>Rs 100 crore</t>
        </is>
      </c>
      <c r="H452" t="inlineStr">
        <is>
          <t>Series B</t>
        </is>
      </c>
      <c r="I452" t="inlineStr">
        <is>
          <t>Growth</t>
        </is>
      </c>
      <c r="J452" t="inlineStr">
        <is>
          <t>Ecommerce</t>
        </is>
      </c>
      <c r="K452" t="inlineStr">
        <is>
          <t>Mumbai</t>
        </is>
      </c>
      <c r="L452" t="inlineStr">
        <is>
          <t>Susquehanna Asia VC; Fireside Ventures</t>
        </is>
      </c>
      <c r="M452" t="inlineStr">
        <is>
          <t>Susquehanna Asia VC; Fireside Ventures</t>
        </is>
      </c>
      <c r="N452" t="inlineStr">
        <is>
          <t>entrackr | inc42 | et</t>
        </is>
      </c>
      <c r="O452" s="20" t="n">
        <v>3</v>
      </c>
      <c r="P452" s="21" t="n">
        <v>0.4</v>
      </c>
      <c r="Q452" t="inlineStr"/>
      <c r="R452" s="22" t="inlineStr">
        <is>
          <t>https://entrackr.com/snippets/gut-health-startup-the-good-bug-raises-rs-100-cr-in-series-b-round-9041027</t>
        </is>
      </c>
    </row>
    <row r="453">
      <c r="A453" t="inlineStr">
        <is>
          <t>R250506-troovy</t>
        </is>
      </c>
      <c r="B453" t="inlineStr">
        <is>
          <t>Troovy</t>
        </is>
      </c>
      <c r="C453" s="17" t="n">
        <v>45783</v>
      </c>
      <c r="D453" s="18" t="n">
        <v>45778</v>
      </c>
      <c r="E453" s="19" t="n">
        <v>2.37</v>
      </c>
      <c r="F453" s="19" t="n">
        <v>20</v>
      </c>
      <c r="G453" t="inlineStr">
        <is>
          <t>Rs 20 crore</t>
        </is>
      </c>
      <c r="H453" t="inlineStr">
        <is>
          <t>Pre-Series A</t>
        </is>
      </c>
      <c r="I453" t="inlineStr">
        <is>
          <t>Early</t>
        </is>
      </c>
      <c r="J453" t="inlineStr">
        <is>
          <t>Ecommerce</t>
        </is>
      </c>
      <c r="K453" t="inlineStr">
        <is>
          <t>Delhi NCR</t>
        </is>
      </c>
      <c r="L453" t="inlineStr">
        <is>
          <t>Fireside Ventures</t>
        </is>
      </c>
      <c r="M453" t="inlineStr">
        <is>
          <t>Fireside Ventures; Sharrp Ventures; Spring Marketing Capital; Veltis Capital</t>
        </is>
      </c>
      <c r="N453" t="inlineStr">
        <is>
          <t>entrackr | inc42</t>
        </is>
      </c>
      <c r="O453" s="20" t="n">
        <v>2</v>
      </c>
      <c r="P453" s="21" t="n">
        <v>3.1</v>
      </c>
      <c r="Q453" t="inlineStr"/>
      <c r="R453" s="22" t="inlineStr">
        <is>
          <t>https://entrackr.com/snippets/troovy-raises-rs-20-cr-in-pre-series-a-round-led-by-fireside-ventures-9039471</t>
        </is>
      </c>
    </row>
    <row r="454">
      <c r="A454" t="inlineStr">
        <is>
          <t>R250507-posha</t>
        </is>
      </c>
      <c r="B454" t="inlineStr">
        <is>
          <t>Posha</t>
        </is>
      </c>
      <c r="C454" s="17" t="n">
        <v>45783</v>
      </c>
      <c r="D454" s="18" t="n">
        <v>45778</v>
      </c>
      <c r="E454" s="19" t="n">
        <v>8</v>
      </c>
      <c r="F454" s="19" t="n">
        <v>67.5</v>
      </c>
      <c r="G454" t="inlineStr">
        <is>
          <t>$8 million</t>
        </is>
      </c>
      <c r="H454" t="inlineStr">
        <is>
          <t>Series A</t>
        </is>
      </c>
      <c r="I454" t="inlineStr">
        <is>
          <t>Early</t>
        </is>
      </c>
      <c r="J454" t="inlineStr">
        <is>
          <t>Ecommerce</t>
        </is>
      </c>
      <c r="K454" t="inlineStr">
        <is>
          <t>Outside India</t>
        </is>
      </c>
      <c r="L454" t="inlineStr">
        <is>
          <t>Accel</t>
        </is>
      </c>
      <c r="M454" t="inlineStr">
        <is>
          <t>Accel; Xeed Ventures; WaterBridge Ventures; Binny Bansal; GreyOrange founders Samay Kohli; Akash Gupta</t>
        </is>
      </c>
      <c r="N454" t="inlineStr">
        <is>
          <t>entrackr | inc42 | et</t>
        </is>
      </c>
      <c r="O454" s="20" t="n">
        <v>3</v>
      </c>
      <c r="P454" s="21" t="n">
        <v>0</v>
      </c>
      <c r="Q454" t="inlineStr"/>
      <c r="R454" s="22" t="inlineStr">
        <is>
          <t>https://economictimes.indiatimes.com/tech/funding/kitchen-robotics-startup-posha-raises-8-million-from-accel-others/articleshow/120933191.cms</t>
        </is>
      </c>
    </row>
    <row r="455">
      <c r="A455" t="inlineStr">
        <is>
          <t>R250507-codeantai</t>
        </is>
      </c>
      <c r="B455" t="inlineStr">
        <is>
          <t>CodeAnt AI</t>
        </is>
      </c>
      <c r="C455" s="17" t="n">
        <v>45784</v>
      </c>
      <c r="D455" s="18" t="n">
        <v>45778</v>
      </c>
      <c r="E455" s="19" t="n">
        <v>2</v>
      </c>
      <c r="F455" s="19" t="n">
        <v>16.95</v>
      </c>
      <c r="G455" t="inlineStr">
        <is>
          <t>$2 Mn</t>
        </is>
      </c>
      <c r="H455" t="inlineStr">
        <is>
          <t>Undisclosed</t>
        </is>
      </c>
      <c r="I455" t="inlineStr">
        <is>
          <t>Undisclosed</t>
        </is>
      </c>
      <c r="J455" t="inlineStr">
        <is>
          <t>Enterprise Tech</t>
        </is>
      </c>
      <c r="K455" t="inlineStr">
        <is>
          <t>Unknown</t>
        </is>
      </c>
      <c r="L455" t="inlineStr">
        <is>
          <t>Y Combinator; Uncorrelated Ventures; VitalStage Ventures</t>
        </is>
      </c>
      <c r="M455" t="inlineStr">
        <is>
          <t>Y Combinator; Uncorrelated Ventures; VitalStage Ventures; DeVC; Transpose Platform; Entrepreneur First</t>
        </is>
      </c>
      <c r="N455" t="inlineStr">
        <is>
          <t>inc42</t>
        </is>
      </c>
      <c r="O455" s="20" t="n">
        <v>1</v>
      </c>
      <c r="P455" s="21" t="n">
        <v>0</v>
      </c>
      <c r="Q455" t="inlineStr">
        <is>
          <t>C04 C07</t>
        </is>
      </c>
      <c r="R455" s="22" t="inlineStr">
        <is>
          <t>https://inc42.com/buzz/from-pb-health-to-porter-indian-startups-raised-587-mn/</t>
        </is>
      </c>
    </row>
    <row r="456">
      <c r="A456" t="inlineStr">
        <is>
          <t>R250507-flipspaces</t>
        </is>
      </c>
      <c r="B456" t="inlineStr">
        <is>
          <t>Flipspaces</t>
        </is>
      </c>
      <c r="C456" s="17" t="n">
        <v>45784</v>
      </c>
      <c r="D456" s="18" t="n">
        <v>45778</v>
      </c>
      <c r="E456" s="19" t="n">
        <v>35</v>
      </c>
      <c r="F456" s="19" t="n">
        <v>296.66</v>
      </c>
      <c r="G456" t="inlineStr">
        <is>
          <t>$35 million</t>
        </is>
      </c>
      <c r="H456" t="inlineStr">
        <is>
          <t>Undisclosed</t>
        </is>
      </c>
      <c r="I456" t="inlineStr">
        <is>
          <t>Undisclosed</t>
        </is>
      </c>
      <c r="J456" t="inlineStr">
        <is>
          <t>Real Estate Tech</t>
        </is>
      </c>
      <c r="K456" t="inlineStr">
        <is>
          <t>Mumbai</t>
        </is>
      </c>
      <c r="L456" t="inlineStr">
        <is>
          <t>Iron Pillar</t>
        </is>
      </c>
      <c r="M456" t="inlineStr">
        <is>
          <t>Iron Pillar; Prudent Investment Managers; Synergy Capital</t>
        </is>
      </c>
      <c r="N456" t="inlineStr">
        <is>
          <t>entrackr | inc42 | et | vccircle</t>
        </is>
      </c>
      <c r="O456" s="20" t="n">
        <v>4</v>
      </c>
      <c r="P456" s="21" t="n">
        <v>0</v>
      </c>
      <c r="Q456" t="inlineStr">
        <is>
          <t>C04</t>
        </is>
      </c>
      <c r="R456" s="22" t="inlineStr">
        <is>
          <t>https://entrackr.com/snippets/interior-design-startup-flipspaces-raises-35-mn-9043959</t>
        </is>
      </c>
    </row>
    <row r="457">
      <c r="A457" t="inlineStr">
        <is>
          <t>R250507-inspecity</t>
        </is>
      </c>
      <c r="B457" t="inlineStr">
        <is>
          <t>InspeCity</t>
        </is>
      </c>
      <c r="C457" s="17" t="n">
        <v>45784</v>
      </c>
      <c r="D457" s="18" t="n">
        <v>45778</v>
      </c>
      <c r="E457" s="19" t="n">
        <v>5.6</v>
      </c>
      <c r="F457" s="19" t="n">
        <v>47.47</v>
      </c>
      <c r="G457" t="inlineStr">
        <is>
          <t>$5.6 million</t>
        </is>
      </c>
      <c r="H457" t="inlineStr">
        <is>
          <t>Seed</t>
        </is>
      </c>
      <c r="I457" t="inlineStr">
        <is>
          <t>Early</t>
        </is>
      </c>
      <c r="J457" t="inlineStr">
        <is>
          <t>Deeptech</t>
        </is>
      </c>
      <c r="K457" t="inlineStr">
        <is>
          <t>Mumbai</t>
        </is>
      </c>
      <c r="L457" t="inlineStr">
        <is>
          <t>Lucky Investment Managers; Ashish Kacholia; Shastra VC; Antler India; DeVC; MGF-Kavachh; Anicut Capital</t>
        </is>
      </c>
      <c r="M457" t="inlineStr">
        <is>
          <t>Lucky Investment Managers; Speciale Invest; MGF Kavachh; Shastra VC; Antler India; DeVC India; Anicut Capital; Ashish Kacholia</t>
        </is>
      </c>
      <c r="N457" t="inlineStr">
        <is>
          <t>entrackr | inc42 | et</t>
        </is>
      </c>
      <c r="O457" s="20" t="n">
        <v>3</v>
      </c>
      <c r="P457" s="21" t="n">
        <v>0</v>
      </c>
      <c r="Q457" t="inlineStr">
        <is>
          <t>C17</t>
        </is>
      </c>
      <c r="R457" s="22" t="inlineStr">
        <is>
          <t>https://entrackr.com/snippets/spacetech-startup-inspecity-raises-56-mn-in-seed-round-9042994</t>
        </is>
      </c>
    </row>
    <row r="458">
      <c r="A458" t="inlineStr">
        <is>
          <t>R250507-lahori</t>
        </is>
      </c>
      <c r="B458" t="inlineStr">
        <is>
          <t>Lahori</t>
        </is>
      </c>
      <c r="C458" s="17" t="n">
        <v>45784</v>
      </c>
      <c r="D458" s="18" t="n">
        <v>45778</v>
      </c>
      <c r="E458" s="19" t="n">
        <v>23.596</v>
      </c>
      <c r="F458" s="19" t="n">
        <v>200</v>
      </c>
      <c r="G458" t="inlineStr">
        <is>
          <t>Rs 200 crore</t>
        </is>
      </c>
      <c r="H458" t="inlineStr">
        <is>
          <t>Undisclosed</t>
        </is>
      </c>
      <c r="I458" t="inlineStr">
        <is>
          <t>Undisclosed</t>
        </is>
      </c>
      <c r="J458" t="inlineStr">
        <is>
          <t>Ecommerce</t>
        </is>
      </c>
      <c r="K458" t="inlineStr">
        <is>
          <t>Chandigarh</t>
        </is>
      </c>
      <c r="L458" t="inlineStr"/>
      <c r="M458" t="inlineStr">
        <is>
          <t>Motilal Oswal Wealth</t>
        </is>
      </c>
      <c r="N458" t="inlineStr">
        <is>
          <t>et</t>
        </is>
      </c>
      <c r="O458" s="20" t="n">
        <v>1</v>
      </c>
      <c r="P458" s="21" t="n">
        <v>0</v>
      </c>
      <c r="Q458" t="inlineStr">
        <is>
          <t>C04</t>
        </is>
      </c>
      <c r="R458" s="22" t="inlineStr">
        <is>
          <t>https://economictimes.indiatimes.com/tech/funding/beverages-maker-lahori-raises-rs-200-crore-from-motilal-oswal-wealth/articleshow/120954442.cms</t>
        </is>
      </c>
    </row>
    <row r="459">
      <c r="A459" t="inlineStr">
        <is>
          <t>R250507-routematic</t>
        </is>
      </c>
      <c r="B459" t="inlineStr">
        <is>
          <t>Routematic</t>
        </is>
      </c>
      <c r="C459" s="17" t="n">
        <v>45784</v>
      </c>
      <c r="D459" s="18" t="n">
        <v>45778</v>
      </c>
      <c r="E459" s="19" t="n">
        <v>40</v>
      </c>
      <c r="F459" s="19" t="n">
        <v>339.04</v>
      </c>
      <c r="G459" t="inlineStr">
        <is>
          <t>$40 million</t>
        </is>
      </c>
      <c r="H459" t="inlineStr">
        <is>
          <t>Series C</t>
        </is>
      </c>
      <c r="I459" t="inlineStr">
        <is>
          <t>Growth</t>
        </is>
      </c>
      <c r="J459" t="inlineStr">
        <is>
          <t>Travel Tech</t>
        </is>
      </c>
      <c r="K459" t="inlineStr">
        <is>
          <t>Unknown</t>
        </is>
      </c>
      <c r="L459" t="inlineStr">
        <is>
          <t>Fullerton Carbon Action Fund; Shift4Good</t>
        </is>
      </c>
      <c r="M459" t="inlineStr">
        <is>
          <t>Fullerton Carbon Action Fund; Shift4Good</t>
        </is>
      </c>
      <c r="N459" t="inlineStr">
        <is>
          <t>entrackr | inc42 | vccircle</t>
        </is>
      </c>
      <c r="O459" s="20" t="n">
        <v>3</v>
      </c>
      <c r="P459" s="21" t="n">
        <v>0</v>
      </c>
      <c r="Q459" t="inlineStr">
        <is>
          <t>C07</t>
        </is>
      </c>
      <c r="R459" s="22" t="inlineStr">
        <is>
          <t>https://entrackr.com/news/routematic-raises-40-mn-led-by-fullerton-carbon-action-fund-and-shift4good-9043234</t>
        </is>
      </c>
    </row>
    <row r="460">
      <c r="A460" t="inlineStr">
        <is>
          <t>R250507-shiplog</t>
        </is>
      </c>
      <c r="B460" t="inlineStr">
        <is>
          <t>Shiplog</t>
        </is>
      </c>
      <c r="C460" s="17" t="n">
        <v>45784</v>
      </c>
      <c r="D460" s="18" t="n">
        <v>45778</v>
      </c>
      <c r="E460" s="19" t="n">
        <v>0.767</v>
      </c>
      <c r="F460" s="19" t="n">
        <v>6.5</v>
      </c>
      <c r="G460" t="inlineStr">
        <is>
          <t>Rs 6.5 crore</t>
        </is>
      </c>
      <c r="H460" t="inlineStr">
        <is>
          <t>Seed</t>
        </is>
      </c>
      <c r="I460" t="inlineStr">
        <is>
          <t>Early</t>
        </is>
      </c>
      <c r="J460" t="inlineStr">
        <is>
          <t>Logistics</t>
        </is>
      </c>
      <c r="K460" t="inlineStr">
        <is>
          <t>Unknown</t>
        </is>
      </c>
      <c r="L460" t="inlineStr">
        <is>
          <t>Deepak Bhagnani Family Office</t>
        </is>
      </c>
      <c r="M460" t="inlineStr">
        <is>
          <t>Deepak Bhagnani Family Office</t>
        </is>
      </c>
      <c r="N460" t="inlineStr">
        <is>
          <t>entrackr | inc42</t>
        </is>
      </c>
      <c r="O460" s="20" t="n">
        <v>2</v>
      </c>
      <c r="P460" s="21" t="n">
        <v>0.8</v>
      </c>
      <c r="Q460" t="inlineStr">
        <is>
          <t>C07</t>
        </is>
      </c>
      <c r="R460" s="22" t="inlineStr">
        <is>
          <t>https://entrackr.com/snippets/shiplog-raises-rs-65-cr-in-seed-round-9043416</t>
        </is>
      </c>
    </row>
    <row r="461">
      <c r="A461" t="inlineStr">
        <is>
          <t>R250508-felinespirits</t>
        </is>
      </c>
      <c r="B461" t="inlineStr">
        <is>
          <t>Feline Spirits</t>
        </is>
      </c>
      <c r="C461" s="17" t="n">
        <v>45785</v>
      </c>
      <c r="D461" s="18" t="n">
        <v>45778</v>
      </c>
      <c r="E461" s="19" t="n">
        <v>0.608</v>
      </c>
      <c r="F461" s="19" t="n">
        <v>5.2</v>
      </c>
      <c r="G461" t="inlineStr">
        <is>
          <t>Rs 5.2 crore</t>
        </is>
      </c>
      <c r="H461" t="inlineStr">
        <is>
          <t>Pre-Series A</t>
        </is>
      </c>
      <c r="I461" t="inlineStr">
        <is>
          <t>Early</t>
        </is>
      </c>
      <c r="J461" t="inlineStr">
        <is>
          <t>Alcoholic Beverages</t>
        </is>
      </c>
      <c r="K461" t="inlineStr">
        <is>
          <t>Unknown</t>
        </is>
      </c>
      <c r="L461" t="inlineStr">
        <is>
          <t>Inflection Point Ventures</t>
        </is>
      </c>
      <c r="M461" t="inlineStr">
        <is>
          <t>Inflection Point Ventures</t>
        </is>
      </c>
      <c r="N461" t="inlineStr">
        <is>
          <t>entrackr | inc42</t>
        </is>
      </c>
      <c r="O461" s="20" t="n">
        <v>2</v>
      </c>
      <c r="P461" s="21" t="n">
        <v>0.1</v>
      </c>
      <c r="Q461" t="inlineStr">
        <is>
          <t>C07</t>
        </is>
      </c>
      <c r="R461" s="22" t="inlineStr">
        <is>
          <t>https://entrackr.com/snippets/feline-spirits-raises-rs-52-cr-in-pre-series-a-round-led-by-ipv-9047624</t>
        </is>
      </c>
    </row>
    <row r="462">
      <c r="A462" t="inlineStr">
        <is>
          <t>R250508-footprintspres</t>
        </is>
      </c>
      <c r="B462" t="inlineStr">
        <is>
          <t>Footprints Preschool &amp; Daycare</t>
        </is>
      </c>
      <c r="C462" s="17" t="n">
        <v>45785</v>
      </c>
      <c r="D462" s="18" t="n">
        <v>45778</v>
      </c>
      <c r="E462" s="19" t="n">
        <v>7.5</v>
      </c>
      <c r="F462" s="19" t="n">
        <v>64.12</v>
      </c>
      <c r="G462" t="inlineStr">
        <is>
          <t>$7.5 million</t>
        </is>
      </c>
      <c r="H462" t="inlineStr">
        <is>
          <t>Series A</t>
        </is>
      </c>
      <c r="I462" t="inlineStr">
        <is>
          <t>Early</t>
        </is>
      </c>
      <c r="J462" t="inlineStr">
        <is>
          <t>Edtech</t>
        </is>
      </c>
      <c r="K462" t="inlineStr">
        <is>
          <t>Outside India</t>
        </is>
      </c>
      <c r="L462" t="inlineStr">
        <is>
          <t>Tanglin Venture Partners</t>
        </is>
      </c>
      <c r="M462" t="inlineStr">
        <is>
          <t>Tanglin Venture Partners</t>
        </is>
      </c>
      <c r="N462" t="inlineStr">
        <is>
          <t>entrackr</t>
        </is>
      </c>
      <c r="O462" s="20" t="n">
        <v>1</v>
      </c>
      <c r="P462" s="21" t="n">
        <v>0</v>
      </c>
      <c r="Q462" t="inlineStr"/>
      <c r="R462" s="22" t="inlineStr">
        <is>
          <t>https://entrackr.com/snippets/tanglin-leads-75-mn-round-in-footprints-preschool-daycare-9048497</t>
        </is>
      </c>
    </row>
    <row r="463">
      <c r="A463" t="inlineStr">
        <is>
          <t>R250508-gotrust</t>
        </is>
      </c>
      <c r="B463" t="inlineStr">
        <is>
          <t>GoTrust</t>
        </is>
      </c>
      <c r="C463" s="17" t="n">
        <v>45785</v>
      </c>
      <c r="D463" s="18" t="n">
        <v>45778</v>
      </c>
      <c r="E463" s="19" t="n">
        <v>0.4</v>
      </c>
      <c r="F463" s="19" t="n">
        <v>3.42</v>
      </c>
      <c r="G463" t="inlineStr">
        <is>
          <t>$400K</t>
        </is>
      </c>
      <c r="H463" t="inlineStr">
        <is>
          <t>Pre-Seed</t>
        </is>
      </c>
      <c r="I463" t="inlineStr">
        <is>
          <t>Early</t>
        </is>
      </c>
      <c r="J463" t="inlineStr">
        <is>
          <t>Enterprise Tech</t>
        </is>
      </c>
      <c r="K463" t="inlineStr">
        <is>
          <t>Delhi NCR</t>
        </is>
      </c>
      <c r="L463" t="inlineStr">
        <is>
          <t>Aevitas Capital</t>
        </is>
      </c>
      <c r="M463" t="inlineStr">
        <is>
          <t>Aevitas Capital</t>
        </is>
      </c>
      <c r="N463" t="inlineStr">
        <is>
          <t>entrackr | inc42</t>
        </is>
      </c>
      <c r="O463" s="20" t="n">
        <v>2</v>
      </c>
      <c r="P463" s="21" t="n">
        <v>0</v>
      </c>
      <c r="Q463" t="inlineStr"/>
      <c r="R463" s="22" t="inlineStr">
        <is>
          <t>https://entrackr.com/snippets/gotrust-secures-400k-in-pre-seed-funding-led-by-aevitas-capital-9047946</t>
        </is>
      </c>
    </row>
    <row r="464">
      <c r="A464" t="inlineStr">
        <is>
          <t>R250508-hightimefoods</t>
        </is>
      </c>
      <c r="B464" t="inlineStr">
        <is>
          <t>High Time Foods</t>
        </is>
      </c>
      <c r="C464" s="17" t="n">
        <v>45785</v>
      </c>
      <c r="D464" s="18" t="n">
        <v>45778</v>
      </c>
      <c r="E464" s="19" t="n">
        <v>1.2</v>
      </c>
      <c r="F464" s="19" t="n">
        <v>10.26</v>
      </c>
      <c r="G464" t="inlineStr">
        <is>
          <t>$1.2 million</t>
        </is>
      </c>
      <c r="H464" t="inlineStr">
        <is>
          <t>Seed</t>
        </is>
      </c>
      <c r="I464" t="inlineStr">
        <is>
          <t>Early</t>
        </is>
      </c>
      <c r="J464" t="inlineStr">
        <is>
          <t>Consumer Services</t>
        </is>
      </c>
      <c r="K464" t="inlineStr">
        <is>
          <t>Bengaluru</t>
        </is>
      </c>
      <c r="L464" t="inlineStr">
        <is>
          <t>Avaana Capital</t>
        </is>
      </c>
      <c r="M464" t="inlineStr">
        <is>
          <t>Avaana Capital</t>
        </is>
      </c>
      <c r="N464" t="inlineStr">
        <is>
          <t>entrackr | inc42 | et</t>
        </is>
      </c>
      <c r="O464" s="20" t="n">
        <v>3</v>
      </c>
      <c r="P464" s="21" t="n">
        <v>0</v>
      </c>
      <c r="Q464" t="inlineStr"/>
      <c r="R464" s="22" t="inlineStr">
        <is>
          <t>https://entrackr.com/snippets/foodtech-startup-high-time-foods-raises-12-mn-9046988</t>
        </is>
      </c>
    </row>
    <row r="465">
      <c r="A465" t="inlineStr">
        <is>
          <t>R250508-pbhealthcare</t>
        </is>
      </c>
      <c r="B465" t="inlineStr">
        <is>
          <t>PB Healthcare</t>
        </is>
      </c>
      <c r="C465" s="17" t="n">
        <v>45785</v>
      </c>
      <c r="D465" s="18" t="n">
        <v>45778</v>
      </c>
      <c r="E465" s="19" t="n">
        <v>218</v>
      </c>
      <c r="F465" s="19" t="n">
        <v>1863.9</v>
      </c>
      <c r="G465" t="inlineStr">
        <is>
          <t>$218 million</t>
        </is>
      </c>
      <c r="H465" t="inlineStr">
        <is>
          <t>Seed</t>
        </is>
      </c>
      <c r="I465" t="inlineStr">
        <is>
          <t>Early</t>
        </is>
      </c>
      <c r="J465" t="inlineStr">
        <is>
          <t>Healthtech</t>
        </is>
      </c>
      <c r="K465" t="inlineStr">
        <is>
          <t>Unknown</t>
        </is>
      </c>
      <c r="L465" t="inlineStr">
        <is>
          <t>General Catalyst</t>
        </is>
      </c>
      <c r="M465" t="inlineStr">
        <is>
          <t>General Catalyst; PB Fintech</t>
        </is>
      </c>
      <c r="N465" t="inlineStr">
        <is>
          <t>entrackr | inc42 | et</t>
        </is>
      </c>
      <c r="O465" s="20" t="n">
        <v>3</v>
      </c>
      <c r="P465" s="21" t="n">
        <v>0</v>
      </c>
      <c r="Q465" t="inlineStr">
        <is>
          <t>C07 C11</t>
        </is>
      </c>
      <c r="R465" s="22" t="inlineStr">
        <is>
          <t>https://entrackr.com/news/pb-healthcare-raises-218-mn-in-seed-round-led-by-general-catalyst-9046716</t>
        </is>
      </c>
    </row>
    <row r="466">
      <c r="A466" t="inlineStr">
        <is>
          <t>R250508-porter</t>
        </is>
      </c>
      <c r="B466" t="inlineStr">
        <is>
          <t>Porter</t>
        </is>
      </c>
      <c r="C466" s="17" t="n">
        <v>45785</v>
      </c>
      <c r="D466" s="18" t="n">
        <v>45778</v>
      </c>
      <c r="E466" s="19" t="n">
        <v>200</v>
      </c>
      <c r="F466" s="19" t="n">
        <v>1710</v>
      </c>
      <c r="G466" t="inlineStr">
        <is>
          <t>$200 million</t>
        </is>
      </c>
      <c r="H466" t="inlineStr">
        <is>
          <t>Series F</t>
        </is>
      </c>
      <c r="I466" t="inlineStr">
        <is>
          <t>Late</t>
        </is>
      </c>
      <c r="J466" t="inlineStr">
        <is>
          <t>Logistics</t>
        </is>
      </c>
      <c r="K466" t="inlineStr">
        <is>
          <t>Bengaluru</t>
        </is>
      </c>
      <c r="L466" t="inlineStr">
        <is>
          <t>Kedaara Capital; Wellington Management</t>
        </is>
      </c>
      <c r="M466" t="inlineStr">
        <is>
          <t>Kedaara Capital; Wellington Management; Vitruvian Partners</t>
        </is>
      </c>
      <c r="N466" t="inlineStr">
        <is>
          <t>entrackr | inc42 | et | vccircle</t>
        </is>
      </c>
      <c r="O466" s="20" t="n">
        <v>4</v>
      </c>
      <c r="P466" s="21" t="n">
        <v>0</v>
      </c>
      <c r="Q466" t="inlineStr"/>
      <c r="R466" s="22" t="inlineStr">
        <is>
          <t>https://entrackr.com/news/porter-raises-200-mn-led-by-kedaara-and-wellington-management-9048693</t>
        </is>
      </c>
    </row>
    <row r="467">
      <c r="A467" t="inlineStr">
        <is>
          <t>R250508-vaya</t>
        </is>
      </c>
      <c r="B467" t="inlineStr">
        <is>
          <t>Vaya</t>
        </is>
      </c>
      <c r="C467" s="17" t="n">
        <v>45785</v>
      </c>
      <c r="D467" s="18" t="n">
        <v>45778</v>
      </c>
      <c r="E467" s="19" t="n">
        <v>1.5</v>
      </c>
      <c r="F467" s="19" t="n">
        <v>12.82</v>
      </c>
      <c r="G467" t="inlineStr">
        <is>
          <t>$1.5 million</t>
        </is>
      </c>
      <c r="H467" t="inlineStr">
        <is>
          <t>Seed</t>
        </is>
      </c>
      <c r="I467" t="inlineStr">
        <is>
          <t>Early</t>
        </is>
      </c>
      <c r="J467" t="inlineStr">
        <is>
          <t>Consumer Services</t>
        </is>
      </c>
      <c r="K467" t="inlineStr">
        <is>
          <t>Delhi NCR</t>
        </is>
      </c>
      <c r="L467" t="inlineStr">
        <is>
          <t>Accel; Arkam Ventures</t>
        </is>
      </c>
      <c r="M467" t="inlineStr">
        <is>
          <t>Accel; Arkam Ventures; Weekend Fund; Sumer Juneja; Sarthak Mishra; Rohit Chennamaneni; Legacy Ventures; EMEA at SoftBank</t>
        </is>
      </c>
      <c r="N467" t="inlineStr">
        <is>
          <t>entrackr | inc42 | et</t>
        </is>
      </c>
      <c r="O467" s="20" t="n">
        <v>3</v>
      </c>
      <c r="P467" s="21" t="n">
        <v>0</v>
      </c>
      <c r="Q467" t="inlineStr"/>
      <c r="R467" s="22" t="inlineStr">
        <is>
          <t>https://entrackr.com/snippets/astrology-startup-vaya-raises-15-mn-9046948</t>
        </is>
      </c>
    </row>
    <row r="468">
      <c r="A468" t="inlineStr">
        <is>
          <t>R250508-zebu</t>
        </is>
      </c>
      <c r="B468" t="inlineStr">
        <is>
          <t>Zebu</t>
        </is>
      </c>
      <c r="C468" s="17" t="n">
        <v>45785</v>
      </c>
      <c r="D468" s="18" t="n">
        <v>45778</v>
      </c>
      <c r="E468" s="19" t="n">
        <v>1</v>
      </c>
      <c r="F468" s="19" t="n">
        <v>8.550000000000001</v>
      </c>
      <c r="G468" t="inlineStr">
        <is>
          <t>$1 million</t>
        </is>
      </c>
      <c r="H468" t="inlineStr">
        <is>
          <t>Pre-Series A</t>
        </is>
      </c>
      <c r="I468" t="inlineStr">
        <is>
          <t>Early</t>
        </is>
      </c>
      <c r="J468" t="inlineStr">
        <is>
          <t>Deeptech</t>
        </is>
      </c>
      <c r="K468" t="inlineStr">
        <is>
          <t>Hyderabad</t>
        </is>
      </c>
      <c r="L468" t="inlineStr">
        <is>
          <t>Bluehill VC</t>
        </is>
      </c>
      <c r="M468" t="inlineStr">
        <is>
          <t>Bluehill VC</t>
        </is>
      </c>
      <c r="N468" t="inlineStr">
        <is>
          <t>entrackr | inc42</t>
        </is>
      </c>
      <c r="O468" s="20" t="n">
        <v>2</v>
      </c>
      <c r="P468" s="21" t="n">
        <v>0</v>
      </c>
      <c r="Q468" t="inlineStr"/>
      <c r="R468" s="22" t="inlineStr">
        <is>
          <t>https://entrackr.com/snippets/defense-tech-startup-zebu-raises-1-mn-in-pre-series-a-round-9047400</t>
        </is>
      </c>
    </row>
    <row r="469">
      <c r="A469" t="inlineStr">
        <is>
          <t>R250512-avammunetherap</t>
        </is>
      </c>
      <c r="B469" t="inlineStr">
        <is>
          <t>Avammune Therapeutics</t>
        </is>
      </c>
      <c r="C469" s="17" t="n">
        <v>45789</v>
      </c>
      <c r="D469" s="18" t="n">
        <v>45778</v>
      </c>
      <c r="E469" s="19" t="n">
        <v>12</v>
      </c>
      <c r="F469" s="19" t="n">
        <v>101.83</v>
      </c>
      <c r="G469" t="inlineStr">
        <is>
          <t>$12 million</t>
        </is>
      </c>
      <c r="H469" t="inlineStr">
        <is>
          <t>Series A</t>
        </is>
      </c>
      <c r="I469" t="inlineStr">
        <is>
          <t>Early</t>
        </is>
      </c>
      <c r="J469" t="inlineStr">
        <is>
          <t>Healthtech</t>
        </is>
      </c>
      <c r="K469" t="inlineStr">
        <is>
          <t>Unknown</t>
        </is>
      </c>
      <c r="L469" t="inlineStr">
        <is>
          <t>Capital 2B; Shastra VC; Kotak Alternate Asset Managers; Kotak Lifesciences Fund I</t>
        </is>
      </c>
      <c r="M469" t="inlineStr">
        <is>
          <t>Capital 2B; Shastra VC; Kotak Alternate Asset Managers; IvyCap Ventures; 1Crowd; Kotak Lifesciences Fund I</t>
        </is>
      </c>
      <c r="N469" t="inlineStr">
        <is>
          <t>entrackr | inc42</t>
        </is>
      </c>
      <c r="O469" s="20" t="n">
        <v>2</v>
      </c>
      <c r="P469" s="21" t="n">
        <v>0</v>
      </c>
      <c r="Q469" t="inlineStr">
        <is>
          <t>C07</t>
        </is>
      </c>
      <c r="R469" s="22" t="inlineStr">
        <is>
          <t>https://entrackr.com/snippets/avammune-therapeutics-raises-12-mn-in-series-a-round-9059265</t>
        </is>
      </c>
    </row>
    <row r="470">
      <c r="A470" t="inlineStr">
        <is>
          <t>R250512-celebal</t>
        </is>
      </c>
      <c r="B470" t="inlineStr">
        <is>
          <t>Celebal</t>
        </is>
      </c>
      <c r="C470" s="17" t="n">
        <v>45789</v>
      </c>
      <c r="D470" s="18" t="n">
        <v>45778</v>
      </c>
      <c r="E470" s="19" t="n">
        <v>15</v>
      </c>
      <c r="F470" s="19" t="n">
        <v>127.29</v>
      </c>
      <c r="G470" t="inlineStr">
        <is>
          <t>$15 Mn</t>
        </is>
      </c>
      <c r="H470" t="inlineStr">
        <is>
          <t>Series B</t>
        </is>
      </c>
      <c r="I470" t="inlineStr">
        <is>
          <t>Growth</t>
        </is>
      </c>
      <c r="J470" t="inlineStr">
        <is>
          <t>Enterprise Tech</t>
        </is>
      </c>
      <c r="K470" t="inlineStr">
        <is>
          <t>Unknown</t>
        </is>
      </c>
      <c r="L470" t="inlineStr"/>
      <c r="M470" t="inlineStr">
        <is>
          <t>InCred Growth Partners Norwest Capital</t>
        </is>
      </c>
      <c r="N470" t="inlineStr">
        <is>
          <t>inc42</t>
        </is>
      </c>
      <c r="O470" s="20" t="n">
        <v>1</v>
      </c>
      <c r="P470" s="21" t="n">
        <v>0</v>
      </c>
      <c r="Q470" t="inlineStr">
        <is>
          <t>C07</t>
        </is>
      </c>
      <c r="R470" s="22" t="inlineStr">
        <is>
          <t>https://inc42.com/buzz/from-farmley-to-stashfin-indian-startups-raised-152-mn-this-week/</t>
        </is>
      </c>
    </row>
    <row r="471">
      <c r="A471" t="inlineStr">
        <is>
          <t>R250512-citrusfreight</t>
        </is>
      </c>
      <c r="B471" t="inlineStr">
        <is>
          <t>Citrus Freight</t>
        </is>
      </c>
      <c r="C471" s="17" t="n">
        <v>45789</v>
      </c>
      <c r="D471" s="18" t="n">
        <v>45778</v>
      </c>
      <c r="E471" s="19" t="n">
        <v>0.295</v>
      </c>
      <c r="F471" s="19" t="n">
        <v>2.5</v>
      </c>
      <c r="G471" t="inlineStr">
        <is>
          <t>Rs 2.5 crore</t>
        </is>
      </c>
      <c r="H471" t="inlineStr">
        <is>
          <t>Bridge</t>
        </is>
      </c>
      <c r="I471" t="inlineStr">
        <is>
          <t>Other</t>
        </is>
      </c>
      <c r="J471" t="inlineStr">
        <is>
          <t>Logistics</t>
        </is>
      </c>
      <c r="K471" t="inlineStr">
        <is>
          <t>Bengaluru</t>
        </is>
      </c>
      <c r="L471" t="inlineStr"/>
      <c r="M471" t="inlineStr">
        <is>
          <t>Caret Capital; Indigram Labs Foundation</t>
        </is>
      </c>
      <c r="N471" t="inlineStr">
        <is>
          <t>entrackr</t>
        </is>
      </c>
      <c r="O471" s="20" t="n">
        <v>1</v>
      </c>
      <c r="P471" s="21" t="n">
        <v>0</v>
      </c>
      <c r="Q471" t="inlineStr"/>
      <c r="R471" s="22" t="inlineStr">
        <is>
          <t>https://entrackr.com/snippets/reefer-container-shipping-platform-citrus-freight-raises-bridge-round-9060080</t>
        </is>
      </c>
    </row>
    <row r="472">
      <c r="A472" t="inlineStr">
        <is>
          <t>R250512-farmley</t>
        </is>
      </c>
      <c r="B472" t="inlineStr">
        <is>
          <t>Farmley</t>
        </is>
      </c>
      <c r="C472" s="17" t="n">
        <v>45789</v>
      </c>
      <c r="D472" s="18" t="n">
        <v>45778</v>
      </c>
      <c r="E472" s="19" t="n">
        <v>40</v>
      </c>
      <c r="F472" s="19" t="n">
        <v>339.44</v>
      </c>
      <c r="G472" t="inlineStr">
        <is>
          <t>$40 million</t>
        </is>
      </c>
      <c r="H472" t="inlineStr">
        <is>
          <t>Series C</t>
        </is>
      </c>
      <c r="I472" t="inlineStr">
        <is>
          <t>Growth</t>
        </is>
      </c>
      <c r="J472" t="inlineStr">
        <is>
          <t>Ecommerce</t>
        </is>
      </c>
      <c r="K472" t="inlineStr">
        <is>
          <t>Delhi NCR</t>
        </is>
      </c>
      <c r="L472" t="inlineStr">
        <is>
          <t>L Catterton</t>
        </is>
      </c>
      <c r="M472" t="inlineStr">
        <is>
          <t>L Catterton; DSG Consumer Partners; BC Jindal Group; Insitor; Samunnati; Esops</t>
        </is>
      </c>
      <c r="N472" t="inlineStr">
        <is>
          <t>entrackr | inc42 | et</t>
        </is>
      </c>
      <c r="O472" s="20" t="n">
        <v>3</v>
      </c>
      <c r="P472" s="21" t="n">
        <v>0</v>
      </c>
      <c r="Q472" t="inlineStr"/>
      <c r="R472" s="22" t="inlineStr">
        <is>
          <t>https://entrackr.com/news/farmley-raises-40-mn-in-series-c-round-led-by-l-catterton-9059167</t>
        </is>
      </c>
    </row>
    <row r="473">
      <c r="A473" t="inlineStr">
        <is>
          <t>R250513-adoptai</t>
        </is>
      </c>
      <c r="B473" t="inlineStr">
        <is>
          <t>Adopt AI</t>
        </is>
      </c>
      <c r="C473" s="17" t="n">
        <v>45790</v>
      </c>
      <c r="D473" s="18" t="n">
        <v>45778</v>
      </c>
      <c r="E473" s="19" t="n">
        <v>6</v>
      </c>
      <c r="F473" s="19" t="n">
        <v>51.2</v>
      </c>
      <c r="G473" t="inlineStr">
        <is>
          <t>$6 million</t>
        </is>
      </c>
      <c r="H473" t="inlineStr">
        <is>
          <t>Seed</t>
        </is>
      </c>
      <c r="I473" t="inlineStr">
        <is>
          <t>Early</t>
        </is>
      </c>
      <c r="J473" t="inlineStr">
        <is>
          <t>Enterprise Tech</t>
        </is>
      </c>
      <c r="K473" t="inlineStr">
        <is>
          <t>Outside India</t>
        </is>
      </c>
      <c r="L473" t="inlineStr">
        <is>
          <t>Elevation Capital</t>
        </is>
      </c>
      <c r="M473" t="inlineStr">
        <is>
          <t>Elevation Capital; Foster Ventures; Powerhouse Ventures; Darkmode Ventures</t>
        </is>
      </c>
      <c r="N473" t="inlineStr">
        <is>
          <t>entrackr | inc42 | et</t>
        </is>
      </c>
      <c r="O473" s="20" t="n">
        <v>3</v>
      </c>
      <c r="P473" s="21" t="n">
        <v>0</v>
      </c>
      <c r="Q473" t="inlineStr"/>
      <c r="R473" s="22" t="inlineStr">
        <is>
          <t>https://entrackr.com/snippets/adopt-ai-raises-6-mn-in-seed-round-led-by-elevation-capital-9065071</t>
        </is>
      </c>
    </row>
    <row r="474">
      <c r="A474" t="inlineStr">
        <is>
          <t>R250513-beclinical</t>
        </is>
      </c>
      <c r="B474" t="inlineStr">
        <is>
          <t>Be Clinical</t>
        </is>
      </c>
      <c r="C474" s="17" t="n">
        <v>45790</v>
      </c>
      <c r="D474" s="18" t="n">
        <v>45778</v>
      </c>
      <c r="E474" s="19" t="n">
        <v>0.234</v>
      </c>
      <c r="F474" s="19" t="n">
        <v>2</v>
      </c>
      <c r="G474" t="inlineStr">
        <is>
          <t>Rs 2 crore</t>
        </is>
      </c>
      <c r="H474" t="inlineStr">
        <is>
          <t>Seed</t>
        </is>
      </c>
      <c r="I474" t="inlineStr">
        <is>
          <t>Early</t>
        </is>
      </c>
      <c r="J474" t="inlineStr">
        <is>
          <t>Ecommerce</t>
        </is>
      </c>
      <c r="K474" t="inlineStr">
        <is>
          <t>Mumbai</t>
        </is>
      </c>
      <c r="L474" t="inlineStr">
        <is>
          <t>Titan Capital; Aditya Agarwal</t>
        </is>
      </c>
      <c r="M474" t="inlineStr">
        <is>
          <t>Titan Capital; Aditya Agrawal</t>
        </is>
      </c>
      <c r="N474" t="inlineStr">
        <is>
          <t>entrackr | inc42</t>
        </is>
      </c>
      <c r="O474" s="20" t="n">
        <v>2</v>
      </c>
      <c r="P474" s="21" t="n">
        <v>0.2</v>
      </c>
      <c r="Q474" t="inlineStr"/>
      <c r="R474" s="22" t="inlineStr">
        <is>
          <t>https://entrackr.com/snippets/titan-capital-leads-seed-round-in-skincare-brand-be-clinical-9063574</t>
        </is>
      </c>
    </row>
    <row r="475">
      <c r="A475" t="inlineStr">
        <is>
          <t>R250513-biryaniblues</t>
        </is>
      </c>
      <c r="B475" t="inlineStr">
        <is>
          <t>Biryani Blues</t>
        </is>
      </c>
      <c r="C475" s="17" t="n">
        <v>45790</v>
      </c>
      <c r="D475" s="18" t="n">
        <v>45778</v>
      </c>
      <c r="E475" s="19" t="n">
        <v>5</v>
      </c>
      <c r="F475" s="19" t="n">
        <v>42.67</v>
      </c>
      <c r="G475" t="inlineStr">
        <is>
          <t>$5 million</t>
        </is>
      </c>
      <c r="H475" t="inlineStr">
        <is>
          <t>Pre-Series C</t>
        </is>
      </c>
      <c r="I475" t="inlineStr">
        <is>
          <t>Growth</t>
        </is>
      </c>
      <c r="J475" t="inlineStr">
        <is>
          <t>Consumer Services</t>
        </is>
      </c>
      <c r="K475" t="inlineStr">
        <is>
          <t>Hyderabad</t>
        </is>
      </c>
      <c r="L475" t="inlineStr">
        <is>
          <t>Yugadi Capital</t>
        </is>
      </c>
      <c r="M475" t="inlineStr">
        <is>
          <t>Yugadi Capital</t>
        </is>
      </c>
      <c r="N475" t="inlineStr">
        <is>
          <t>entrackr | inc42 | et</t>
        </is>
      </c>
      <c r="O475" s="20" t="n">
        <v>3</v>
      </c>
      <c r="P475" s="21" t="n">
        <v>0</v>
      </c>
      <c r="Q475" t="inlineStr"/>
      <c r="R475" s="22" t="inlineStr">
        <is>
          <t>https://entrackr.com/snippets/qsr-chain-biryani-blues-raises-5-mn-led-by-yugadi-capital-9063619</t>
        </is>
      </c>
    </row>
    <row r="476">
      <c r="A476" t="inlineStr">
        <is>
          <t>R250513-flam</t>
        </is>
      </c>
      <c r="B476" t="inlineStr">
        <is>
          <t>Flam</t>
        </is>
      </c>
      <c r="C476" s="17" t="n">
        <v>45790</v>
      </c>
      <c r="D476" s="18" t="n">
        <v>45778</v>
      </c>
      <c r="E476" s="19" t="n">
        <v>14</v>
      </c>
      <c r="F476" s="19" t="n">
        <v>119.48</v>
      </c>
      <c r="G476" t="inlineStr">
        <is>
          <t>$14 million</t>
        </is>
      </c>
      <c r="H476" t="inlineStr">
        <is>
          <t>Series A</t>
        </is>
      </c>
      <c r="I476" t="inlineStr">
        <is>
          <t>Early</t>
        </is>
      </c>
      <c r="J476" t="inlineStr">
        <is>
          <t>Media &amp; Entertainment</t>
        </is>
      </c>
      <c r="K476" t="inlineStr">
        <is>
          <t>Bengaluru</t>
        </is>
      </c>
      <c r="L476" t="inlineStr">
        <is>
          <t>RTP Global</t>
        </is>
      </c>
      <c r="M476" t="inlineStr">
        <is>
          <t>RTP Global; Dovetail</t>
        </is>
      </c>
      <c r="N476" t="inlineStr">
        <is>
          <t>entrackr | inc42 | et</t>
        </is>
      </c>
      <c r="O476" s="20" t="n">
        <v>3</v>
      </c>
      <c r="P476" s="21" t="n">
        <v>0</v>
      </c>
      <c r="Q476" t="inlineStr"/>
      <c r="R476" s="22" t="inlineStr">
        <is>
          <t>https://entrackr.com/snippets/mixed-reality-startup-flam-bags-14-mn-led-by-rtp-global-9064890</t>
        </is>
      </c>
    </row>
    <row r="477">
      <c r="A477" t="inlineStr">
        <is>
          <t>R250513-hyperbots</t>
        </is>
      </c>
      <c r="B477" t="inlineStr">
        <is>
          <t>Hyperbots</t>
        </is>
      </c>
      <c r="C477" s="17" t="n">
        <v>45790</v>
      </c>
      <c r="D477" s="18" t="n">
        <v>45778</v>
      </c>
      <c r="E477" s="19" t="n">
        <v>6.5</v>
      </c>
      <c r="F477" s="19" t="n">
        <v>55.47</v>
      </c>
      <c r="G477" t="inlineStr">
        <is>
          <t>$6.5 million</t>
        </is>
      </c>
      <c r="H477" t="inlineStr">
        <is>
          <t>Series A</t>
        </is>
      </c>
      <c r="I477" t="inlineStr">
        <is>
          <t>Early</t>
        </is>
      </c>
      <c r="J477" t="inlineStr">
        <is>
          <t>Fintech</t>
        </is>
      </c>
      <c r="K477" t="inlineStr">
        <is>
          <t>Unknown</t>
        </is>
      </c>
      <c r="L477" t="inlineStr">
        <is>
          <t>Arkam Ventures; Athera Venture Partners</t>
        </is>
      </c>
      <c r="M477" t="inlineStr">
        <is>
          <t>Arkam Ventures; Athera Venture Partners; JSW Ventures; Kalaari Ventures; Sunicon Ventures; Darashaw &amp; Company</t>
        </is>
      </c>
      <c r="N477" t="inlineStr">
        <is>
          <t>entrackr | inc42 | et</t>
        </is>
      </c>
      <c r="O477" s="20" t="n">
        <v>3</v>
      </c>
      <c r="P477" s="21" t="n">
        <v>0</v>
      </c>
      <c r="Q477" t="inlineStr">
        <is>
          <t>C07</t>
        </is>
      </c>
      <c r="R477" s="22" t="inlineStr">
        <is>
          <t>https://entrackr.com/snippets/hyperbots-raises-65-mn-in-series-a-round-9062825</t>
        </is>
      </c>
    </row>
    <row r="478">
      <c r="A478" t="inlineStr">
        <is>
          <t>R250513-luzo</t>
        </is>
      </c>
      <c r="B478" t="inlineStr">
        <is>
          <t>LUZO</t>
        </is>
      </c>
      <c r="C478" s="17" t="n">
        <v>45790</v>
      </c>
      <c r="D478" s="18" t="n">
        <v>45778</v>
      </c>
      <c r="E478" s="19" t="n">
        <v>0.55</v>
      </c>
      <c r="F478" s="19" t="n">
        <v>4.69</v>
      </c>
      <c r="G478" t="inlineStr">
        <is>
          <t>$550K</t>
        </is>
      </c>
      <c r="H478" t="inlineStr">
        <is>
          <t>Seed</t>
        </is>
      </c>
      <c r="I478" t="inlineStr">
        <is>
          <t>Early</t>
        </is>
      </c>
      <c r="J478" t="inlineStr">
        <is>
          <t>Consumer Services</t>
        </is>
      </c>
      <c r="K478" t="inlineStr">
        <is>
          <t>Unknown</t>
        </is>
      </c>
      <c r="L478" t="inlineStr">
        <is>
          <t>Enrission India Capital</t>
        </is>
      </c>
      <c r="M478" t="inlineStr">
        <is>
          <t>Enrission India Capital; Swiggy Dineout</t>
        </is>
      </c>
      <c r="N478" t="inlineStr">
        <is>
          <t>entrackr | inc42</t>
        </is>
      </c>
      <c r="O478" s="20" t="n">
        <v>2</v>
      </c>
      <c r="P478" s="21" t="n">
        <v>0</v>
      </c>
      <c r="Q478" t="inlineStr">
        <is>
          <t>C07</t>
        </is>
      </c>
      <c r="R478" s="22" t="inlineStr">
        <is>
          <t>https://inc42.com/buzz/from-farmley-to-stashfin-indian-startups-raised-152-mn-this-week/</t>
        </is>
      </c>
    </row>
    <row r="479">
      <c r="A479" t="inlineStr">
        <is>
          <t>R250513-neurostellar</t>
        </is>
      </c>
      <c r="B479" t="inlineStr">
        <is>
          <t>Neurostellar</t>
        </is>
      </c>
      <c r="C479" s="17" t="n">
        <v>45790</v>
      </c>
      <c r="D479" s="18" t="n">
        <v>45778</v>
      </c>
      <c r="E479" s="19" t="n">
        <v>0.15</v>
      </c>
      <c r="F479" s="19" t="n">
        <v>1.28</v>
      </c>
      <c r="G479" t="inlineStr">
        <is>
          <t>$150K</t>
        </is>
      </c>
      <c r="H479" t="inlineStr">
        <is>
          <t>Undisclosed</t>
        </is>
      </c>
      <c r="I479" t="inlineStr">
        <is>
          <t>Undisclosed</t>
        </is>
      </c>
      <c r="J479" t="inlineStr">
        <is>
          <t>Deeptech</t>
        </is>
      </c>
      <c r="K479" t="inlineStr">
        <is>
          <t>Unknown</t>
        </is>
      </c>
      <c r="L479" t="inlineStr"/>
      <c r="M479" t="inlineStr">
        <is>
          <t>Swapnil Jain; Tarun Mehta</t>
        </is>
      </c>
      <c r="N479" t="inlineStr">
        <is>
          <t>inc42</t>
        </is>
      </c>
      <c r="O479" s="20" t="n">
        <v>1</v>
      </c>
      <c r="P479" s="21" t="n">
        <v>0</v>
      </c>
      <c r="Q479" t="inlineStr">
        <is>
          <t>C04 C07</t>
        </is>
      </c>
      <c r="R479" s="22" t="inlineStr">
        <is>
          <t>https://inc42.com/buzz/from-farmley-to-stashfin-indian-startups-raised-152-mn-this-week/</t>
        </is>
      </c>
    </row>
    <row r="480">
      <c r="A480" t="inlineStr">
        <is>
          <t>R250513-stashfin</t>
        </is>
      </c>
      <c r="B480" t="inlineStr">
        <is>
          <t>Stashfin</t>
        </is>
      </c>
      <c r="C480" s="17" t="n">
        <v>45790</v>
      </c>
      <c r="D480" s="18" t="n">
        <v>45778</v>
      </c>
      <c r="E480" s="19" t="n">
        <v>9.300000000000001</v>
      </c>
      <c r="F480" s="19" t="n">
        <v>79.37</v>
      </c>
      <c r="G480" t="inlineStr">
        <is>
          <t>$9.3 Mn</t>
        </is>
      </c>
      <c r="H480" t="inlineStr">
        <is>
          <t>Debt</t>
        </is>
      </c>
      <c r="I480" t="inlineStr">
        <is>
          <t>Debt</t>
        </is>
      </c>
      <c r="J480" t="inlineStr">
        <is>
          <t>Fintech</t>
        </is>
      </c>
      <c r="K480" t="inlineStr">
        <is>
          <t>Unknown</t>
        </is>
      </c>
      <c r="L480" t="inlineStr"/>
      <c r="M480" t="inlineStr">
        <is>
          <t>Northern Arc; Coinmen Special Opportunities Fund</t>
        </is>
      </c>
      <c r="N480" t="inlineStr">
        <is>
          <t>inc42</t>
        </is>
      </c>
      <c r="O480" s="20" t="n">
        <v>1</v>
      </c>
      <c r="P480" s="21" t="n">
        <v>0</v>
      </c>
      <c r="Q480" t="inlineStr">
        <is>
          <t>C07</t>
        </is>
      </c>
      <c r="R480" s="22" t="inlineStr">
        <is>
          <t>https://inc42.com/buzz/from-farmley-to-stashfin-indian-startups-raised-152-mn-this-week/</t>
        </is>
      </c>
    </row>
    <row r="481">
      <c r="A481" t="inlineStr">
        <is>
          <t>R250513-tieaconnectors</t>
        </is>
      </c>
      <c r="B481" t="inlineStr">
        <is>
          <t>TIEA Connectors</t>
        </is>
      </c>
      <c r="C481" s="17" t="n">
        <v>45790</v>
      </c>
      <c r="D481" s="18" t="n">
        <v>45778</v>
      </c>
      <c r="E481" s="19" t="n">
        <v>2.578</v>
      </c>
      <c r="F481" s="19" t="n">
        <v>22</v>
      </c>
      <c r="G481" t="inlineStr">
        <is>
          <t>Rs 22 crore</t>
        </is>
      </c>
      <c r="H481" t="inlineStr">
        <is>
          <t>Undisclosed</t>
        </is>
      </c>
      <c r="I481" t="inlineStr">
        <is>
          <t>Undisclosed</t>
        </is>
      </c>
      <c r="J481" t="inlineStr">
        <is>
          <t>Deeptech</t>
        </is>
      </c>
      <c r="K481" t="inlineStr">
        <is>
          <t>Bengaluru</t>
        </is>
      </c>
      <c r="L481" t="inlineStr">
        <is>
          <t>Jamwant Ventures; Valour Capital</t>
        </is>
      </c>
      <c r="M481" t="inlineStr">
        <is>
          <t>Jamwant Ventures; Valour Capital; 8X Ventures; IvyCap Ventures</t>
        </is>
      </c>
      <c r="N481" t="inlineStr">
        <is>
          <t>entrackr | inc42</t>
        </is>
      </c>
      <c r="O481" s="20" t="n">
        <v>2</v>
      </c>
      <c r="P481" s="21" t="n">
        <v>0.9</v>
      </c>
      <c r="Q481" t="inlineStr">
        <is>
          <t>C04</t>
        </is>
      </c>
      <c r="R481" s="22" t="inlineStr">
        <is>
          <t>https://entrackr.com/snippets/tiea-connectors-raises-rs-22-cr-co-led-by-jamwant-ventures-and-valour-capital-9064495</t>
        </is>
      </c>
    </row>
    <row r="482">
      <c r="A482" t="inlineStr">
        <is>
          <t>R250514-bluestone</t>
        </is>
      </c>
      <c r="B482" t="inlineStr">
        <is>
          <t>BlueStone</t>
        </is>
      </c>
      <c r="C482" s="17" t="n">
        <v>45791</v>
      </c>
      <c r="D482" s="18" t="n">
        <v>45778</v>
      </c>
      <c r="E482" s="19" t="n">
        <v>4.684</v>
      </c>
      <c r="F482" s="19" t="n">
        <v>40</v>
      </c>
      <c r="G482" t="inlineStr">
        <is>
          <t>Rs 40 crore</t>
        </is>
      </c>
      <c r="H482" t="inlineStr">
        <is>
          <t>Debt</t>
        </is>
      </c>
      <c r="I482" t="inlineStr">
        <is>
          <t>Debt</t>
        </is>
      </c>
      <c r="J482" t="inlineStr">
        <is>
          <t>Ecommerce</t>
        </is>
      </c>
      <c r="K482" t="inlineStr">
        <is>
          <t>Unknown</t>
        </is>
      </c>
      <c r="L482" t="inlineStr">
        <is>
          <t>BlackSoil</t>
        </is>
      </c>
      <c r="M482" t="inlineStr">
        <is>
          <t>BlackSoil; Caspian Impact Investments</t>
        </is>
      </c>
      <c r="N482" t="inlineStr">
        <is>
          <t>entrackr | inc42</t>
        </is>
      </c>
      <c r="O482" s="20" t="n">
        <v>2</v>
      </c>
      <c r="P482" s="21" t="n">
        <v>0.3</v>
      </c>
      <c r="Q482" t="inlineStr">
        <is>
          <t>C07</t>
        </is>
      </c>
      <c r="R482" s="22" t="inlineStr">
        <is>
          <t>https://entrackr.com/exclusive/exclusive-bluestone-secures-debt-ahead-of-ipo-9066890</t>
        </is>
      </c>
    </row>
    <row r="483">
      <c r="A483" t="inlineStr">
        <is>
          <t>R250514-complement1</t>
        </is>
      </c>
      <c r="B483" t="inlineStr">
        <is>
          <t>Complement1</t>
        </is>
      </c>
      <c r="C483" s="17" t="n">
        <v>45791</v>
      </c>
      <c r="D483" s="18" t="n">
        <v>45778</v>
      </c>
      <c r="E483" s="19" t="n">
        <v>16</v>
      </c>
      <c r="F483" s="19" t="n">
        <v>136.62</v>
      </c>
      <c r="G483" t="inlineStr">
        <is>
          <t>$16 Mn</t>
        </is>
      </c>
      <c r="H483" t="inlineStr">
        <is>
          <t>Seed</t>
        </is>
      </c>
      <c r="I483" t="inlineStr">
        <is>
          <t>Early</t>
        </is>
      </c>
      <c r="J483" t="inlineStr">
        <is>
          <t>Healthtech</t>
        </is>
      </c>
      <c r="K483" t="inlineStr">
        <is>
          <t>Outside India</t>
        </is>
      </c>
      <c r="L483" t="inlineStr">
        <is>
          <t>Owl Ventures; Blume Ventures</t>
        </is>
      </c>
      <c r="M483" t="inlineStr">
        <is>
          <t>Owl Ventures; Blume Ventures</t>
        </is>
      </c>
      <c r="N483" t="inlineStr">
        <is>
          <t>inc42 | et</t>
        </is>
      </c>
      <c r="O483" s="20" t="n">
        <v>2</v>
      </c>
      <c r="P483" s="21" t="n">
        <v>0</v>
      </c>
      <c r="Q483" t="inlineStr"/>
      <c r="R483" s="22" t="inlineStr">
        <is>
          <t>https://economictimes.indiatimes.com/tech/funding/healthtech-startup-complement-1-raises-16-million-in-round-led-by-owl-ventures-blume-ventures/articleshow/121164632.cms</t>
        </is>
      </c>
    </row>
    <row r="484">
      <c r="A484" t="inlineStr">
        <is>
          <t>R250514-contravaultai</t>
        </is>
      </c>
      <c r="B484" t="inlineStr">
        <is>
          <t>ContraVault AI</t>
        </is>
      </c>
      <c r="C484" s="17" t="n">
        <v>45791</v>
      </c>
      <c r="D484" s="18" t="n">
        <v>45778</v>
      </c>
      <c r="E484" s="19" t="n">
        <v>0.597</v>
      </c>
      <c r="F484" s="19" t="n">
        <v>5.1</v>
      </c>
      <c r="G484" t="inlineStr">
        <is>
          <t>Rs 5.1 crore</t>
        </is>
      </c>
      <c r="H484" t="inlineStr">
        <is>
          <t>Seed</t>
        </is>
      </c>
      <c r="I484" t="inlineStr">
        <is>
          <t>Early</t>
        </is>
      </c>
      <c r="J484" t="inlineStr">
        <is>
          <t>Enterprise Tech</t>
        </is>
      </c>
      <c r="K484" t="inlineStr">
        <is>
          <t>Bengaluru</t>
        </is>
      </c>
      <c r="L484" t="inlineStr">
        <is>
          <t>Titan Capital; Rajiv Ahuja; Haresh Chawla; Jaswinder Ahuja; Dilipkumar Khandelwal; Abhishek Goyal</t>
        </is>
      </c>
      <c r="M484" t="inlineStr">
        <is>
          <t>Titan Capital; Rajiv Ahuja; Haresh Chawla; Jaswinder Ahuja; Dilipkumar Khandelwal; Abhishek Goyal</t>
        </is>
      </c>
      <c r="N484" t="inlineStr">
        <is>
          <t>entrackr | inc42</t>
        </is>
      </c>
      <c r="O484" s="20" t="n">
        <v>2</v>
      </c>
      <c r="P484" s="21" t="n">
        <v>0.2</v>
      </c>
      <c r="Q484" t="inlineStr"/>
      <c r="R484" s="22" t="inlineStr">
        <is>
          <t>https://entrackr.com/snippets/titan-capital-leads-seed-round-in-contravault-ai-9067397</t>
        </is>
      </c>
    </row>
    <row r="485">
      <c r="A485" t="inlineStr">
        <is>
          <t>R250514-karanbajaj</t>
        </is>
      </c>
      <c r="B485" t="inlineStr">
        <is>
          <t>Karan Bajaj</t>
        </is>
      </c>
      <c r="C485" s="17" t="n">
        <v>45791</v>
      </c>
      <c r="D485" s="18" t="n">
        <v>45778</v>
      </c>
      <c r="E485" s="19" t="n">
        <v>16</v>
      </c>
      <c r="F485" s="19" t="n">
        <v>136.62</v>
      </c>
      <c r="G485" t="inlineStr">
        <is>
          <t>$16 million</t>
        </is>
      </c>
      <c r="H485" t="inlineStr">
        <is>
          <t>Seed</t>
        </is>
      </c>
      <c r="I485" t="inlineStr">
        <is>
          <t>Early</t>
        </is>
      </c>
      <c r="J485" t="inlineStr">
        <is>
          <t>Unclassified</t>
        </is>
      </c>
      <c r="K485" t="inlineStr">
        <is>
          <t>Unknown</t>
        </is>
      </c>
      <c r="L485" t="inlineStr">
        <is>
          <t>Owl Ventures; Blume Ventures</t>
        </is>
      </c>
      <c r="M485" t="inlineStr">
        <is>
          <t>Owl Ventures; Blume Ventures</t>
        </is>
      </c>
      <c r="N485" t="inlineStr">
        <is>
          <t>entrackr</t>
        </is>
      </c>
      <c r="O485" s="20" t="n">
        <v>1</v>
      </c>
      <c r="P485" s="21" t="n">
        <v>0</v>
      </c>
      <c r="Q485" t="inlineStr">
        <is>
          <t>C06 C07</t>
        </is>
      </c>
      <c r="R485" s="22" t="inlineStr">
        <is>
          <t>https://entrackr.com/news/whitehat-jr-founder-karan-bajaj-raises-16-mn-for-new-startup-complement1-9067572</t>
        </is>
      </c>
    </row>
    <row r="486">
      <c r="A486" t="inlineStr">
        <is>
          <t>R250514-medvital</t>
        </is>
      </c>
      <c r="B486" t="inlineStr">
        <is>
          <t>MedVital</t>
        </is>
      </c>
      <c r="C486" s="17" t="n">
        <v>45791</v>
      </c>
      <c r="D486" s="18" t="n">
        <v>45778</v>
      </c>
      <c r="E486" s="19" t="n">
        <v>0.984</v>
      </c>
      <c r="F486" s="19" t="n">
        <v>8.4</v>
      </c>
      <c r="G486" t="inlineStr">
        <is>
          <t>Rs 8.4 crore</t>
        </is>
      </c>
      <c r="H486" t="inlineStr">
        <is>
          <t>Pre-Seed</t>
        </is>
      </c>
      <c r="I486" t="inlineStr">
        <is>
          <t>Early</t>
        </is>
      </c>
      <c r="J486" t="inlineStr">
        <is>
          <t>Healthtech</t>
        </is>
      </c>
      <c r="K486" t="inlineStr">
        <is>
          <t>Unknown</t>
        </is>
      </c>
      <c r="L486" t="inlineStr">
        <is>
          <t>4point0 Health Ventures</t>
        </is>
      </c>
      <c r="M486" t="inlineStr">
        <is>
          <t>4point0 Health Ventures; NephroPlus; SafeExpress; Eye Q Hospital; Hexa Health; AstroTalk</t>
        </is>
      </c>
      <c r="N486" t="inlineStr">
        <is>
          <t>entrackr | inc42</t>
        </is>
      </c>
      <c r="O486" s="20" t="n">
        <v>2</v>
      </c>
      <c r="P486" s="21" t="n">
        <v>0.3</v>
      </c>
      <c r="Q486" t="inlineStr">
        <is>
          <t>C07</t>
        </is>
      </c>
      <c r="R486" s="22" t="inlineStr">
        <is>
          <t>https://inc42.com/buzz/from-farmley-to-stashfin-indian-startups-raised-152-mn-this-week/</t>
        </is>
      </c>
    </row>
    <row r="487">
      <c r="A487" t="inlineStr">
        <is>
          <t>R250514-reelsaga</t>
        </is>
      </c>
      <c r="B487" t="inlineStr">
        <is>
          <t>ReelSaga</t>
        </is>
      </c>
      <c r="C487" s="17" t="n">
        <v>45791</v>
      </c>
      <c r="D487" s="18" t="n">
        <v>45778</v>
      </c>
      <c r="E487" s="19" t="n">
        <v>2.1</v>
      </c>
      <c r="F487" s="19" t="n">
        <v>17.93</v>
      </c>
      <c r="G487" t="inlineStr">
        <is>
          <t>$2.1 million</t>
        </is>
      </c>
      <c r="H487" t="inlineStr">
        <is>
          <t>Seed</t>
        </is>
      </c>
      <c r="I487" t="inlineStr">
        <is>
          <t>Early</t>
        </is>
      </c>
      <c r="J487" t="inlineStr">
        <is>
          <t>Media &amp; Entertainment</t>
        </is>
      </c>
      <c r="K487" t="inlineStr">
        <is>
          <t>Unknown</t>
        </is>
      </c>
      <c r="L487" t="inlineStr">
        <is>
          <t>Picus Capital</t>
        </is>
      </c>
      <c r="M487" t="inlineStr">
        <is>
          <t>Picus Capital; ITI Growth Opportunities Fund; Nazara Technologies; 8i Ventures; Waveform Ventures; Warmup Ventures; Bombay54; Bharat Founders Fund</t>
        </is>
      </c>
      <c r="N487" t="inlineStr">
        <is>
          <t>entrackr | inc42</t>
        </is>
      </c>
      <c r="O487" s="20" t="n">
        <v>2</v>
      </c>
      <c r="P487" s="21" t="n">
        <v>0</v>
      </c>
      <c r="Q487" t="inlineStr">
        <is>
          <t>C07</t>
        </is>
      </c>
      <c r="R487" s="22" t="inlineStr">
        <is>
          <t>https://entrackr.com/snippets/reelsaga-raises-21-mn-in-seed-round-led-by-picus-capital-9067336</t>
        </is>
      </c>
    </row>
    <row r="488">
      <c r="A488" t="inlineStr">
        <is>
          <t>R250514-thirdbracket</t>
        </is>
      </c>
      <c r="B488" t="inlineStr">
        <is>
          <t>Third Bracket</t>
        </is>
      </c>
      <c r="C488" s="17" t="n">
        <v>45791</v>
      </c>
      <c r="D488" s="18" t="n">
        <v>45778</v>
      </c>
      <c r="E488" s="19" t="n">
        <v>0.586</v>
      </c>
      <c r="F488" s="19" t="n">
        <v>5</v>
      </c>
      <c r="G488" t="inlineStr">
        <is>
          <t>Rs 5 crore</t>
        </is>
      </c>
      <c r="H488" t="inlineStr">
        <is>
          <t>Seed</t>
        </is>
      </c>
      <c r="I488" t="inlineStr">
        <is>
          <t>Early</t>
        </is>
      </c>
      <c r="J488" t="inlineStr">
        <is>
          <t>Enterprise Tech</t>
        </is>
      </c>
      <c r="K488" t="inlineStr">
        <is>
          <t>Unknown</t>
        </is>
      </c>
      <c r="L488" t="inlineStr"/>
      <c r="M488" t="inlineStr"/>
      <c r="N488" t="inlineStr">
        <is>
          <t>entrackr | inc42</t>
        </is>
      </c>
      <c r="O488" s="20" t="n">
        <v>2</v>
      </c>
      <c r="P488" s="21" t="n">
        <v>0.3</v>
      </c>
      <c r="Q488" t="inlineStr">
        <is>
          <t>C05 C07</t>
        </is>
      </c>
      <c r="R488" s="22" t="inlineStr">
        <is>
          <t>https://entrackr.com/snippets/hiring-platform-third-bracket-raises-rs-5-cr-in-seed-round-9067442</t>
        </is>
      </c>
    </row>
    <row r="489">
      <c r="A489" t="inlineStr">
        <is>
          <t>R250514-vflowtech</t>
        </is>
      </c>
      <c r="B489" t="inlineStr">
        <is>
          <t>VFlowTech</t>
        </is>
      </c>
      <c r="C489" s="17" t="n">
        <v>45791</v>
      </c>
      <c r="D489" s="18" t="n">
        <v>45778</v>
      </c>
      <c r="E489" s="19" t="n">
        <v>20.5</v>
      </c>
      <c r="F489" s="19" t="n">
        <v>175.05</v>
      </c>
      <c r="G489" t="inlineStr">
        <is>
          <t>$20.5 million</t>
        </is>
      </c>
      <c r="H489" t="inlineStr">
        <is>
          <t>Undisclosed</t>
        </is>
      </c>
      <c r="I489" t="inlineStr">
        <is>
          <t>Undisclosed</t>
        </is>
      </c>
      <c r="J489" t="inlineStr">
        <is>
          <t>Cleantech</t>
        </is>
      </c>
      <c r="K489" t="inlineStr">
        <is>
          <t>Unknown</t>
        </is>
      </c>
      <c r="L489" t="inlineStr">
        <is>
          <t>Granite Asia</t>
        </is>
      </c>
      <c r="M489" t="inlineStr">
        <is>
          <t>Granite Asia; Antares Ventures; EDBI; MOL PLUS; PSA Ventures; UntroD Capital; Pappas Capital; Wavemaker Partners; SEEDS Capital; Entrepreneurs First</t>
        </is>
      </c>
      <c r="N489" t="inlineStr">
        <is>
          <t>entrackr</t>
        </is>
      </c>
      <c r="O489" s="20" t="n">
        <v>1</v>
      </c>
      <c r="P489" s="21" t="n">
        <v>0</v>
      </c>
      <c r="Q489" t="inlineStr">
        <is>
          <t>C04 C07</t>
        </is>
      </c>
      <c r="R489" s="22" t="inlineStr">
        <is>
          <t>https://entrackr.com/snippets/vflowtech-raises-205-mn-led-by-granite-asia-9067409</t>
        </is>
      </c>
    </row>
    <row r="490">
      <c r="A490" t="inlineStr">
        <is>
          <t>R250515-1indiafamilyma</t>
        </is>
      </c>
      <c r="B490" t="inlineStr">
        <is>
          <t>1-India Family Mart</t>
        </is>
      </c>
      <c r="C490" s="17" t="n">
        <v>45792</v>
      </c>
      <c r="D490" s="18" t="n">
        <v>45778</v>
      </c>
      <c r="E490" s="19" t="n">
        <v>12</v>
      </c>
      <c r="F490" s="19" t="n">
        <v>102.62</v>
      </c>
      <c r="G490" t="inlineStr">
        <is>
          <t>$12 million</t>
        </is>
      </c>
      <c r="H490" t="inlineStr">
        <is>
          <t>Series D</t>
        </is>
      </c>
      <c r="I490" t="inlineStr">
        <is>
          <t>Late</t>
        </is>
      </c>
      <c r="J490" t="inlineStr">
        <is>
          <t>Ecommerce</t>
        </is>
      </c>
      <c r="K490" t="inlineStr">
        <is>
          <t>Unknown</t>
        </is>
      </c>
      <c r="L490" t="inlineStr"/>
      <c r="M490" t="inlineStr">
        <is>
          <t>Gulf Islamic Investments; Foundation Private Equity; Carpediem Capital Partners; Capri Global Holdings; JP Shukla</t>
        </is>
      </c>
      <c r="N490" t="inlineStr">
        <is>
          <t>entrackr | vccircle</t>
        </is>
      </c>
      <c r="O490" s="20" t="n">
        <v>2</v>
      </c>
      <c r="P490" s="21" t="n">
        <v>0</v>
      </c>
      <c r="Q490" t="inlineStr">
        <is>
          <t>C07</t>
        </is>
      </c>
      <c r="R490" s="22" t="inlineStr">
        <is>
          <t>https://entrackr.com/snippets/value-retail-chain-1-india-family-mart-raises-12-mn-in-series-d-round-9071077</t>
        </is>
      </c>
    </row>
    <row r="491">
      <c r="A491" t="inlineStr">
        <is>
          <t>R250515-hocco</t>
        </is>
      </c>
      <c r="B491" t="inlineStr">
        <is>
          <t>Hocco</t>
        </is>
      </c>
      <c r="C491" s="17" t="n">
        <v>45792</v>
      </c>
      <c r="D491" s="18" t="n">
        <v>45778</v>
      </c>
      <c r="E491" s="19" t="n">
        <v>10</v>
      </c>
      <c r="F491" s="19" t="n">
        <v>85.52</v>
      </c>
      <c r="G491" t="inlineStr">
        <is>
          <t>$10 million</t>
        </is>
      </c>
      <c r="H491" t="inlineStr">
        <is>
          <t>Series B</t>
        </is>
      </c>
      <c r="I491" t="inlineStr">
        <is>
          <t>Growth</t>
        </is>
      </c>
      <c r="J491" t="inlineStr">
        <is>
          <t>Ecommerce</t>
        </is>
      </c>
      <c r="K491" t="inlineStr">
        <is>
          <t>Ahmedabad</t>
        </is>
      </c>
      <c r="L491" t="inlineStr">
        <is>
          <t>Sauce.vc; Chona Family Office</t>
        </is>
      </c>
      <c r="M491" t="inlineStr">
        <is>
          <t>Sauce.vc; Chona Family Office</t>
        </is>
      </c>
      <c r="N491" t="inlineStr">
        <is>
          <t>entrackr | inc42 | et</t>
        </is>
      </c>
      <c r="O491" s="20" t="n">
        <v>3</v>
      </c>
      <c r="P491" s="21" t="n">
        <v>0</v>
      </c>
      <c r="Q491" t="inlineStr">
        <is>
          <t>C17</t>
        </is>
      </c>
      <c r="R491" s="22" t="inlineStr">
        <is>
          <t>https://entrackr.com/news/ice-cream-brand-hocco-raises-10-mn-in-first-close-of-series-b-round-9070468</t>
        </is>
      </c>
    </row>
    <row r="492">
      <c r="A492" t="inlineStr">
        <is>
          <t>R250515-naptapgo</t>
        </is>
      </c>
      <c r="B492" t="inlineStr">
        <is>
          <t>Naptapgo</t>
        </is>
      </c>
      <c r="C492" s="17" t="n">
        <v>45792</v>
      </c>
      <c r="D492" s="18" t="n">
        <v>45778</v>
      </c>
      <c r="E492" s="19" t="n">
        <v>0.234</v>
      </c>
      <c r="F492" s="19" t="n">
        <v>2</v>
      </c>
      <c r="G492" t="inlineStr">
        <is>
          <t>Rs 2 crore</t>
        </is>
      </c>
      <c r="H492" t="inlineStr">
        <is>
          <t>Pre-Seed</t>
        </is>
      </c>
      <c r="I492" t="inlineStr">
        <is>
          <t>Early</t>
        </is>
      </c>
      <c r="J492" t="inlineStr">
        <is>
          <t>Travel Tech</t>
        </is>
      </c>
      <c r="K492" t="inlineStr">
        <is>
          <t>Unknown</t>
        </is>
      </c>
      <c r="L492" t="inlineStr">
        <is>
          <t>Inflection Point Ventures</t>
        </is>
      </c>
      <c r="M492" t="inlineStr">
        <is>
          <t>Inflection Point Ventures</t>
        </is>
      </c>
      <c r="N492" t="inlineStr">
        <is>
          <t>entrackr | inc42</t>
        </is>
      </c>
      <c r="O492" s="20" t="n">
        <v>2</v>
      </c>
      <c r="P492" s="21" t="n">
        <v>0.1</v>
      </c>
      <c r="Q492" t="inlineStr">
        <is>
          <t>C07</t>
        </is>
      </c>
      <c r="R492" s="22" t="inlineStr">
        <is>
          <t>https://entrackr.com/snippets/pod-hotel-startup-naptapgo-raises-pre-seed-round-led-by-ipv-9070508</t>
        </is>
      </c>
    </row>
    <row r="493">
      <c r="A493" t="inlineStr">
        <is>
          <t>R250515-rohaltechnolog</t>
        </is>
      </c>
      <c r="B493" t="inlineStr">
        <is>
          <t>Rohal Technologies</t>
        </is>
      </c>
      <c r="C493" s="17" t="n">
        <v>45792</v>
      </c>
      <c r="D493" s="18" t="n">
        <v>45778</v>
      </c>
      <c r="E493" s="19" t="n">
        <v>1</v>
      </c>
      <c r="F493" s="19" t="n">
        <v>8.550000000000001</v>
      </c>
      <c r="G493" t="inlineStr">
        <is>
          <t>$1 Mn</t>
        </is>
      </c>
      <c r="H493" t="inlineStr">
        <is>
          <t>Seed</t>
        </is>
      </c>
      <c r="I493" t="inlineStr">
        <is>
          <t>Early</t>
        </is>
      </c>
      <c r="J493" t="inlineStr">
        <is>
          <t>Cleantech</t>
        </is>
      </c>
      <c r="K493" t="inlineStr">
        <is>
          <t>Unknown</t>
        </is>
      </c>
      <c r="L493" t="inlineStr">
        <is>
          <t>India Accelerator</t>
        </is>
      </c>
      <c r="M493" t="inlineStr">
        <is>
          <t>India Accelerator</t>
        </is>
      </c>
      <c r="N493" t="inlineStr">
        <is>
          <t>inc42</t>
        </is>
      </c>
      <c r="O493" s="20" t="n">
        <v>1</v>
      </c>
      <c r="P493" s="21" t="n">
        <v>0</v>
      </c>
      <c r="Q493" t="inlineStr">
        <is>
          <t>C07</t>
        </is>
      </c>
      <c r="R493" s="22" t="inlineStr">
        <is>
          <t>https://inc42.com/buzz/from-farmley-to-stashfin-indian-startups-raised-152-mn-this-week/</t>
        </is>
      </c>
    </row>
    <row r="494">
      <c r="A494" t="inlineStr">
        <is>
          <t>R250515-zenergize</t>
        </is>
      </c>
      <c r="B494" t="inlineStr">
        <is>
          <t>Zenergize</t>
        </is>
      </c>
      <c r="C494" s="17" t="n">
        <v>45792</v>
      </c>
      <c r="D494" s="18" t="n">
        <v>45778</v>
      </c>
      <c r="E494" s="19" t="n">
        <v>2</v>
      </c>
      <c r="F494" s="19" t="n">
        <v>17.1</v>
      </c>
      <c r="G494" t="inlineStr">
        <is>
          <t>$2 Mn</t>
        </is>
      </c>
      <c r="H494" t="inlineStr">
        <is>
          <t>Seed</t>
        </is>
      </c>
      <c r="I494" t="inlineStr">
        <is>
          <t>Early</t>
        </is>
      </c>
      <c r="J494" t="inlineStr">
        <is>
          <t>Cleantech</t>
        </is>
      </c>
      <c r="K494" t="inlineStr">
        <is>
          <t>Delhi NCR</t>
        </is>
      </c>
      <c r="L494" t="inlineStr">
        <is>
          <t>Mohit Tandon; Himanshu Aggarwal</t>
        </is>
      </c>
      <c r="M494" t="inlineStr">
        <is>
          <t>Mohit Tandon; Himanshu Aggarwal</t>
        </is>
      </c>
      <c r="N494" t="inlineStr">
        <is>
          <t>inc42</t>
        </is>
      </c>
      <c r="O494" s="20" t="n">
        <v>1</v>
      </c>
      <c r="P494" s="21" t="n">
        <v>0</v>
      </c>
      <c r="Q494" t="inlineStr"/>
      <c r="R494" s="22" t="inlineStr">
        <is>
          <t>https://inc42.com/buzz/from-farmley-to-stashfin-indian-startups-raised-152-mn-this-week/</t>
        </is>
      </c>
    </row>
    <row r="495">
      <c r="A495" t="inlineStr">
        <is>
          <t>R250516-nobelhygiene</t>
        </is>
      </c>
      <c r="B495" t="inlineStr">
        <is>
          <t>Nobel Hygiene</t>
        </is>
      </c>
      <c r="C495" s="17" t="n">
        <v>45792</v>
      </c>
      <c r="D495" s="18" t="n">
        <v>45778</v>
      </c>
      <c r="E495" s="19" t="n">
        <v>19.878</v>
      </c>
      <c r="F495" s="19" t="n">
        <v>170</v>
      </c>
      <c r="G495" t="inlineStr">
        <is>
          <t>Rs 170 crore</t>
        </is>
      </c>
      <c r="H495" t="inlineStr">
        <is>
          <t>Undisclosed</t>
        </is>
      </c>
      <c r="I495" t="inlineStr">
        <is>
          <t>Undisclosed</t>
        </is>
      </c>
      <c r="J495" t="inlineStr">
        <is>
          <t>Unclassified</t>
        </is>
      </c>
      <c r="K495" t="inlineStr">
        <is>
          <t>Mumbai</t>
        </is>
      </c>
      <c r="L495" t="inlineStr"/>
      <c r="M495" t="inlineStr">
        <is>
          <t>Neo Asset Management</t>
        </is>
      </c>
      <c r="N495" t="inlineStr">
        <is>
          <t>entrackr | vccircle</t>
        </is>
      </c>
      <c r="O495" s="20" t="n">
        <v>2</v>
      </c>
      <c r="P495" s="21" t="n">
        <v>0.6</v>
      </c>
      <c r="Q495" t="inlineStr">
        <is>
          <t>C04 C06</t>
        </is>
      </c>
      <c r="R495" s="22" t="inlineStr">
        <is>
          <t>https://www.vccircle.com/neoasset-management-invests-20-mn-in-diaper-maker-nobel-hygiene</t>
        </is>
      </c>
    </row>
    <row r="496">
      <c r="A496" t="inlineStr">
        <is>
          <t>R250516-airbotsaerospa</t>
        </is>
      </c>
      <c r="B496" t="inlineStr">
        <is>
          <t>Airbots Aerospace</t>
        </is>
      </c>
      <c r="C496" s="17" t="n">
        <v>45793</v>
      </c>
      <c r="D496" s="18" t="n">
        <v>45778</v>
      </c>
      <c r="E496" s="19" t="n"/>
      <c r="F496" s="19" t="n"/>
      <c r="G496" t="inlineStr"/>
      <c r="H496" t="inlineStr">
        <is>
          <t>Undisclosed</t>
        </is>
      </c>
      <c r="I496" t="inlineStr">
        <is>
          <t>Undisclosed</t>
        </is>
      </c>
      <c r="J496" t="inlineStr">
        <is>
          <t>Deeptech</t>
        </is>
      </c>
      <c r="K496" t="inlineStr">
        <is>
          <t>Unknown</t>
        </is>
      </c>
      <c r="L496" t="inlineStr">
        <is>
          <t>Technology Innovation Hub Foundation</t>
        </is>
      </c>
      <c r="M496" t="inlineStr">
        <is>
          <t>Technology Innovation Hub Foundation</t>
        </is>
      </c>
      <c r="N496" t="inlineStr">
        <is>
          <t>inc42</t>
        </is>
      </c>
      <c r="O496" s="20" t="n">
        <v>1</v>
      </c>
      <c r="P496" s="21" t="n"/>
      <c r="Q496" t="inlineStr">
        <is>
          <t>C03 C04 C07</t>
        </is>
      </c>
      <c r="R496" s="22" t="inlineStr">
        <is>
          <t>https://inc42.com/buzz/from-farmley-to-stashfin-indian-startups-raised-152-mn-this-week/</t>
        </is>
      </c>
    </row>
    <row r="497">
      <c r="A497" t="inlineStr">
        <is>
          <t>R250516-pronto</t>
        </is>
      </c>
      <c r="B497" t="inlineStr">
        <is>
          <t>Pronto</t>
        </is>
      </c>
      <c r="C497" s="17" t="n">
        <v>45793</v>
      </c>
      <c r="D497" s="18" t="n">
        <v>45778</v>
      </c>
      <c r="E497" s="19" t="n">
        <v>2</v>
      </c>
      <c r="F497" s="19" t="n">
        <v>17.12</v>
      </c>
      <c r="G497" t="inlineStr">
        <is>
          <t>$2 Mn</t>
        </is>
      </c>
      <c r="H497" t="inlineStr">
        <is>
          <t>Undisclosed</t>
        </is>
      </c>
      <c r="I497" t="inlineStr">
        <is>
          <t>Undisclosed</t>
        </is>
      </c>
      <c r="J497" t="inlineStr">
        <is>
          <t>Consumer Services</t>
        </is>
      </c>
      <c r="K497" t="inlineStr">
        <is>
          <t>Unknown</t>
        </is>
      </c>
      <c r="L497" t="inlineStr">
        <is>
          <t>Bain Capital Ventures</t>
        </is>
      </c>
      <c r="M497" t="inlineStr">
        <is>
          <t>Bain Capital Ventures</t>
        </is>
      </c>
      <c r="N497" t="inlineStr">
        <is>
          <t>inc42</t>
        </is>
      </c>
      <c r="O497" s="20" t="n">
        <v>1</v>
      </c>
      <c r="P497" s="21" t="n">
        <v>0</v>
      </c>
      <c r="Q497" t="inlineStr">
        <is>
          <t>C04 C07</t>
        </is>
      </c>
      <c r="R497" s="22" t="inlineStr">
        <is>
          <t>https://inc42.com/buzz/from-farmley-to-stashfin-indian-startups-raised-152-mn-this-week/</t>
        </is>
      </c>
    </row>
    <row r="498">
      <c r="A498" t="inlineStr">
        <is>
          <t>R250517-fynmobility</t>
        </is>
      </c>
      <c r="B498" t="inlineStr">
        <is>
          <t>Fyn Mobility</t>
        </is>
      </c>
      <c r="C498" s="17" t="n">
        <v>45794</v>
      </c>
      <c r="D498" s="18" t="n">
        <v>45778</v>
      </c>
      <c r="E498" s="19" t="n">
        <v>2.5</v>
      </c>
      <c r="F498" s="19" t="n">
        <v>21.4</v>
      </c>
      <c r="G498" t="inlineStr">
        <is>
          <t>$2.5 million</t>
        </is>
      </c>
      <c r="H498" t="inlineStr">
        <is>
          <t>Undisclosed</t>
        </is>
      </c>
      <c r="I498" t="inlineStr">
        <is>
          <t>Undisclosed</t>
        </is>
      </c>
      <c r="J498" t="inlineStr">
        <is>
          <t>Unclassified</t>
        </is>
      </c>
      <c r="K498" t="inlineStr">
        <is>
          <t>Chennai</t>
        </is>
      </c>
      <c r="L498" t="inlineStr">
        <is>
          <t>Vijay Kedia; Lloyd Balajadia; Rahul Bothra</t>
        </is>
      </c>
      <c r="M498" t="inlineStr">
        <is>
          <t>Vijay Kedia; Lloyd Balajadia; Rahul Bothra</t>
        </is>
      </c>
      <c r="N498" t="inlineStr">
        <is>
          <t>et</t>
        </is>
      </c>
      <c r="O498" s="20" t="n">
        <v>1</v>
      </c>
      <c r="P498" s="21" t="n">
        <v>0</v>
      </c>
      <c r="Q498" t="inlineStr">
        <is>
          <t>C04 C06</t>
        </is>
      </c>
      <c r="R498" s="22" t="inlineStr">
        <is>
          <t>https://economictimes.indiatimes.com/tech/funding/evaas-startup-fyn-mobility-raises-2-5-million-eyes-global-markets/articleshow/121219146.cms</t>
        </is>
      </c>
    </row>
    <row r="499">
      <c r="A499" t="inlineStr">
        <is>
          <t>R250519-eulermotors</t>
        </is>
      </c>
      <c r="B499" t="inlineStr">
        <is>
          <t>Euler Motors</t>
        </is>
      </c>
      <c r="C499" s="17" t="n">
        <v>45796</v>
      </c>
      <c r="D499" s="18" t="n">
        <v>45778</v>
      </c>
      <c r="E499" s="19" t="n">
        <v>74.672</v>
      </c>
      <c r="F499" s="19" t="n">
        <v>638</v>
      </c>
      <c r="G499" t="inlineStr">
        <is>
          <t>Rs 638 crore</t>
        </is>
      </c>
      <c r="H499" t="inlineStr">
        <is>
          <t>Series D</t>
        </is>
      </c>
      <c r="I499" t="inlineStr">
        <is>
          <t>Late</t>
        </is>
      </c>
      <c r="J499" t="inlineStr">
        <is>
          <t>Cleantech</t>
        </is>
      </c>
      <c r="K499" t="inlineStr">
        <is>
          <t>Delhi NCR</t>
        </is>
      </c>
      <c r="L499" t="inlineStr">
        <is>
          <t>Hero MotoCorp; British International Investment</t>
        </is>
      </c>
      <c r="M499" t="inlineStr">
        <is>
          <t>Hero MotoCorp; British International Investment</t>
        </is>
      </c>
      <c r="N499" t="inlineStr">
        <is>
          <t>entrackr | inc42 | et | vccircle</t>
        </is>
      </c>
      <c r="O499" s="20" t="n">
        <v>4</v>
      </c>
      <c r="P499" s="21" t="n">
        <v>0.4</v>
      </c>
      <c r="Q499" t="inlineStr"/>
      <c r="R499" s="22" t="inlineStr">
        <is>
          <t>https://entrackr.com/news/euler-motors-raises-rs-638-cr-in-series-d-funding-round-9083850</t>
        </is>
      </c>
    </row>
    <row r="500">
      <c r="A500" t="inlineStr">
        <is>
          <t>R250519-vivritiassetma</t>
        </is>
      </c>
      <c r="B500" t="inlineStr">
        <is>
          <t>Vivriti Asset Management</t>
        </is>
      </c>
      <c r="C500" s="17" t="n">
        <v>45796</v>
      </c>
      <c r="D500" s="18" t="n">
        <v>45778</v>
      </c>
      <c r="E500" s="19" t="n">
        <v>20</v>
      </c>
      <c r="F500" s="19" t="n">
        <v>170.88</v>
      </c>
      <c r="G500" t="inlineStr">
        <is>
          <t>$20 million</t>
        </is>
      </c>
      <c r="H500" t="inlineStr">
        <is>
          <t>Debt</t>
        </is>
      </c>
      <c r="I500" t="inlineStr">
        <is>
          <t>Debt</t>
        </is>
      </c>
      <c r="J500" t="inlineStr">
        <is>
          <t>Fintech</t>
        </is>
      </c>
      <c r="K500" t="inlineStr">
        <is>
          <t>Unknown</t>
        </is>
      </c>
      <c r="L500" t="inlineStr"/>
      <c r="M500" t="inlineStr">
        <is>
          <t>Development Bank of Austria</t>
        </is>
      </c>
      <c r="N500" t="inlineStr">
        <is>
          <t>entrackr</t>
        </is>
      </c>
      <c r="O500" s="20" t="n">
        <v>1</v>
      </c>
      <c r="P500" s="21" t="n">
        <v>0</v>
      </c>
      <c r="Q500" t="inlineStr">
        <is>
          <t>C07</t>
        </is>
      </c>
      <c r="R500" s="22" t="inlineStr">
        <is>
          <t>https://entrackr.com/snippets/vivriti-asset-management-raises-20-mn-from-development-bank-of-austria-9083487</t>
        </is>
      </c>
    </row>
    <row r="501">
      <c r="A501" t="inlineStr">
        <is>
          <t>R250520-cloudsek</t>
        </is>
      </c>
      <c r="B501" t="inlineStr">
        <is>
          <t>CloudSEK</t>
        </is>
      </c>
      <c r="C501" s="17" t="n">
        <v>45797</v>
      </c>
      <c r="D501" s="18" t="n">
        <v>45778</v>
      </c>
      <c r="E501" s="19" t="n">
        <v>19</v>
      </c>
      <c r="F501" s="19" t="n">
        <v>162.56</v>
      </c>
      <c r="G501" t="inlineStr">
        <is>
          <t>$ 19 million</t>
        </is>
      </c>
      <c r="H501" t="inlineStr">
        <is>
          <t>Series A</t>
        </is>
      </c>
      <c r="I501" t="inlineStr">
        <is>
          <t>Early</t>
        </is>
      </c>
      <c r="J501" t="inlineStr">
        <is>
          <t>Enterprise Tech</t>
        </is>
      </c>
      <c r="K501" t="inlineStr">
        <is>
          <t>Bengaluru</t>
        </is>
      </c>
      <c r="L501" t="inlineStr">
        <is>
          <t>Tenacity Ventures; Commvault</t>
        </is>
      </c>
      <c r="M501" t="inlineStr">
        <is>
          <t>MassMutual Ventures; Inflexor Ventures; Prana Ventures; Tenacity Ventures; Commvault; Meeran Family; StartupXSeed; Neon Fund; Exfinity Ventures</t>
        </is>
      </c>
      <c r="N501" t="inlineStr">
        <is>
          <t>entrackr | inc42 | et | vccircle</t>
        </is>
      </c>
      <c r="O501" s="20" t="n">
        <v>4</v>
      </c>
      <c r="P501" s="21" t="n">
        <v>0</v>
      </c>
      <c r="Q501" t="inlineStr"/>
      <c r="R501" s="22" t="inlineStr">
        <is>
          <t>https://entrackr.com/news/cybersecurity-startup-cloudsek-raises-19-mn-9085770</t>
        </is>
      </c>
    </row>
    <row r="502">
      <c r="A502" t="inlineStr">
        <is>
          <t>R250520-curebay</t>
        </is>
      </c>
      <c r="B502" t="inlineStr">
        <is>
          <t>CureBay</t>
        </is>
      </c>
      <c r="C502" s="17" t="n">
        <v>45797</v>
      </c>
      <c r="D502" s="18" t="n">
        <v>45778</v>
      </c>
      <c r="E502" s="19" t="n">
        <v>21</v>
      </c>
      <c r="F502" s="19" t="n">
        <v>179.68</v>
      </c>
      <c r="G502" t="inlineStr">
        <is>
          <t>$21 million</t>
        </is>
      </c>
      <c r="H502" t="inlineStr">
        <is>
          <t>Series B</t>
        </is>
      </c>
      <c r="I502" t="inlineStr">
        <is>
          <t>Growth</t>
        </is>
      </c>
      <c r="J502" t="inlineStr">
        <is>
          <t>Healthtech</t>
        </is>
      </c>
      <c r="K502" t="inlineStr">
        <is>
          <t>Unknown</t>
        </is>
      </c>
      <c r="L502" t="inlineStr">
        <is>
          <t>Bertelsmann India Investments</t>
        </is>
      </c>
      <c r="M502" t="inlineStr">
        <is>
          <t>Bertelsmann India Investments; Elevar Equity; British International Investment</t>
        </is>
      </c>
      <c r="N502" t="inlineStr">
        <is>
          <t>entrackr | inc42 | et</t>
        </is>
      </c>
      <c r="O502" s="20" t="n">
        <v>3</v>
      </c>
      <c r="P502" s="21" t="n">
        <v>0</v>
      </c>
      <c r="Q502" t="inlineStr">
        <is>
          <t>C07</t>
        </is>
      </c>
      <c r="R502" s="22" t="inlineStr">
        <is>
          <t>https://entrackr.com/news/curebay-raises-21-mn-in-series-b-round-led-by-bertelsmann-india-9085603</t>
        </is>
      </c>
    </row>
    <row r="503">
      <c r="A503" t="inlineStr">
        <is>
          <t>R250520-miraggio</t>
        </is>
      </c>
      <c r="B503" t="inlineStr">
        <is>
          <t>Miraggio</t>
        </is>
      </c>
      <c r="C503" s="17" t="n">
        <v>45797</v>
      </c>
      <c r="D503" s="18" t="n">
        <v>45778</v>
      </c>
      <c r="E503" s="19" t="n">
        <v>6.5</v>
      </c>
      <c r="F503" s="19" t="n">
        <v>55.61</v>
      </c>
      <c r="G503" t="inlineStr">
        <is>
          <t>$6.5 million</t>
        </is>
      </c>
      <c r="H503" t="inlineStr">
        <is>
          <t>Series A</t>
        </is>
      </c>
      <c r="I503" t="inlineStr">
        <is>
          <t>Early</t>
        </is>
      </c>
      <c r="J503" t="inlineStr">
        <is>
          <t>Ecommerce</t>
        </is>
      </c>
      <c r="K503" t="inlineStr">
        <is>
          <t>Delhi NCR</t>
        </is>
      </c>
      <c r="L503" t="inlineStr">
        <is>
          <t>RPSG Capital Ventures; Client Associates Alternate Fund</t>
        </is>
      </c>
      <c r="M503" t="inlineStr">
        <is>
          <t>RPSG Capital Ventures; Client Associates Alternate Fund; Prath Ventures</t>
        </is>
      </c>
      <c r="N503" t="inlineStr">
        <is>
          <t>entrackr | inc42 | et</t>
        </is>
      </c>
      <c r="O503" s="20" t="n">
        <v>3</v>
      </c>
      <c r="P503" s="21" t="n">
        <v>0</v>
      </c>
      <c r="Q503" t="inlineStr"/>
      <c r="R503" s="22" t="inlineStr">
        <is>
          <t>https://entrackr.com/snippets/miraggio-raises-65-mn-led-by-rpsg-capital-9086396</t>
        </is>
      </c>
    </row>
    <row r="504">
      <c r="A504" t="inlineStr">
        <is>
          <t>R250520-misfits</t>
        </is>
      </c>
      <c r="B504" t="inlineStr">
        <is>
          <t>Misfits</t>
        </is>
      </c>
      <c r="C504" s="17" t="n">
        <v>45797</v>
      </c>
      <c r="D504" s="18" t="n">
        <v>45778</v>
      </c>
      <c r="E504" s="19" t="n">
        <v>0.584</v>
      </c>
      <c r="F504" s="19" t="n">
        <v>5</v>
      </c>
      <c r="G504" t="inlineStr">
        <is>
          <t>Rs 5 crore</t>
        </is>
      </c>
      <c r="H504" t="inlineStr">
        <is>
          <t>Seed</t>
        </is>
      </c>
      <c r="I504" t="inlineStr">
        <is>
          <t>Early</t>
        </is>
      </c>
      <c r="J504" t="inlineStr">
        <is>
          <t>Consumer Services</t>
        </is>
      </c>
      <c r="K504" t="inlineStr">
        <is>
          <t>Delhi NCR</t>
        </is>
      </c>
      <c r="L504" t="inlineStr">
        <is>
          <t>Info Edge Ventures; Better Capital</t>
        </is>
      </c>
      <c r="M504" t="inlineStr">
        <is>
          <t>Info Edge Ventures; Better Capital</t>
        </is>
      </c>
      <c r="N504" t="inlineStr">
        <is>
          <t>entrackr | inc42</t>
        </is>
      </c>
      <c r="O504" s="20" t="n">
        <v>2</v>
      </c>
      <c r="P504" s="21" t="n">
        <v>0.3</v>
      </c>
      <c r="Q504" t="inlineStr"/>
      <c r="R504" s="22" t="inlineStr">
        <is>
          <t>https://entrackr.com/snippets/misfits-raises-seed-round-co-led-by-info-edge-ventures-and-better-capital-9087722</t>
        </is>
      </c>
    </row>
    <row r="505">
      <c r="A505" t="inlineStr">
        <is>
          <t>R250520-paysprint</t>
        </is>
      </c>
      <c r="B505" t="inlineStr">
        <is>
          <t>PaySprint</t>
        </is>
      </c>
      <c r="C505" s="17" t="n">
        <v>45797</v>
      </c>
      <c r="D505" s="18" t="n">
        <v>45778</v>
      </c>
      <c r="E505" s="19" t="n">
        <v>1.2</v>
      </c>
      <c r="F505" s="19" t="n">
        <v>10.27</v>
      </c>
      <c r="G505" t="inlineStr">
        <is>
          <t>$1.2 Mn</t>
        </is>
      </c>
      <c r="H505" t="inlineStr">
        <is>
          <t>Series A</t>
        </is>
      </c>
      <c r="I505" t="inlineStr">
        <is>
          <t>Early</t>
        </is>
      </c>
      <c r="J505" t="inlineStr">
        <is>
          <t>Fintech</t>
        </is>
      </c>
      <c r="K505" t="inlineStr">
        <is>
          <t>Unknown</t>
        </is>
      </c>
      <c r="L505" t="inlineStr"/>
      <c r="M505" t="inlineStr"/>
      <c r="N505" t="inlineStr">
        <is>
          <t>inc42</t>
        </is>
      </c>
      <c r="O505" s="20" t="n">
        <v>1</v>
      </c>
      <c r="P505" s="21" t="n">
        <v>0</v>
      </c>
      <c r="Q505" t="inlineStr">
        <is>
          <t>C05 C07</t>
        </is>
      </c>
      <c r="R505" s="22" t="inlineStr">
        <is>
          <t>https://inc42.com/buzz/from-euler-motors-to-cloudsek-indian-startups-raised-232-mn-this-week/</t>
        </is>
      </c>
    </row>
    <row r="506">
      <c r="A506" t="inlineStr">
        <is>
          <t>R250520-tan90</t>
        </is>
      </c>
      <c r="B506" t="inlineStr">
        <is>
          <t>Tan90 Thermal Solutions</t>
        </is>
      </c>
      <c r="C506" s="17" t="n">
        <v>45797</v>
      </c>
      <c r="D506" s="18" t="n">
        <v>45778</v>
      </c>
      <c r="E506" s="19" t="n">
        <v>2.338</v>
      </c>
      <c r="F506" s="19" t="n">
        <v>20</v>
      </c>
      <c r="G506" t="inlineStr">
        <is>
          <t>Rs 20 crore</t>
        </is>
      </c>
      <c r="H506" t="inlineStr">
        <is>
          <t>Series A</t>
        </is>
      </c>
      <c r="I506" t="inlineStr">
        <is>
          <t>Early</t>
        </is>
      </c>
      <c r="J506" t="inlineStr">
        <is>
          <t>Logistics</t>
        </is>
      </c>
      <c r="K506" t="inlineStr">
        <is>
          <t>Chennai</t>
        </is>
      </c>
      <c r="L506" t="inlineStr">
        <is>
          <t>NABVENTURES; Capital-A; 3i Partners</t>
        </is>
      </c>
      <c r="M506" t="inlineStr">
        <is>
          <t>NABVENTURES; Blue Ashva Capital; Capital-A; 3i Partners</t>
        </is>
      </c>
      <c r="N506" t="inlineStr">
        <is>
          <t>entrackr | inc42</t>
        </is>
      </c>
      <c r="O506" s="20" t="n">
        <v>2</v>
      </c>
      <c r="P506" s="21" t="n">
        <v>1.6</v>
      </c>
      <c r="Q506" t="inlineStr"/>
      <c r="R506" s="22" t="inlineStr">
        <is>
          <t>https://entrackr.com/snippets/nabventures-leads-rs-20-cr-round-in-deep-tech-startup-tan90-9086785</t>
        </is>
      </c>
    </row>
    <row r="507">
      <c r="A507" t="inlineStr">
        <is>
          <t>R250521-mythik</t>
        </is>
      </c>
      <c r="B507" t="inlineStr">
        <is>
          <t>Mythik</t>
        </is>
      </c>
      <c r="C507" s="17" t="n">
        <v>45798</v>
      </c>
      <c r="D507" s="18" t="n">
        <v>45778</v>
      </c>
      <c r="E507" s="19" t="n">
        <v>15</v>
      </c>
      <c r="F507" s="19" t="n">
        <v>128.35</v>
      </c>
      <c r="G507" t="inlineStr">
        <is>
          <t>$15 million</t>
        </is>
      </c>
      <c r="H507" t="inlineStr">
        <is>
          <t>Seed</t>
        </is>
      </c>
      <c r="I507" t="inlineStr">
        <is>
          <t>Early</t>
        </is>
      </c>
      <c r="J507" t="inlineStr">
        <is>
          <t>Media &amp; Entertainment</t>
        </is>
      </c>
      <c r="K507" t="inlineStr">
        <is>
          <t>Mumbai</t>
        </is>
      </c>
      <c r="L507" t="inlineStr"/>
      <c r="M507" t="inlineStr">
        <is>
          <t>Sakal Media Group; BITKRAFT; VC Grid; Visceral Capital; Shah Rukh Khan Family Office; Patni Family Office; Jason Kothari; Saif Saeed Ghobash; Jayanti Kannai; Pravin Jain; Marc Younan; Deepen Parikh; Samir Vora; Samarth Parekh; Anurag Goel; Nishant Aggarwal</t>
        </is>
      </c>
      <c r="N507" t="inlineStr">
        <is>
          <t>entrackr | inc42 | et</t>
        </is>
      </c>
      <c r="O507" s="20" t="n">
        <v>3</v>
      </c>
      <c r="P507" s="21" t="n">
        <v>0</v>
      </c>
      <c r="Q507" t="inlineStr"/>
      <c r="R507" s="22" t="inlineStr">
        <is>
          <t>https://entrackr.com/snippets/jason-kotharis-new-startup-mythik-raises-15-mn-in-seed-round-9089926</t>
        </is>
      </c>
    </row>
    <row r="508">
      <c r="A508" t="inlineStr">
        <is>
          <t>R250521-thesockstreet</t>
        </is>
      </c>
      <c r="B508" t="inlineStr">
        <is>
          <t>The Sock Street</t>
        </is>
      </c>
      <c r="C508" s="17" t="n">
        <v>45798</v>
      </c>
      <c r="D508" s="18" t="n">
        <v>45778</v>
      </c>
      <c r="E508" s="19" t="n"/>
      <c r="F508" s="19" t="n"/>
      <c r="G508" t="inlineStr"/>
      <c r="H508" t="inlineStr">
        <is>
          <t>Undisclosed</t>
        </is>
      </c>
      <c r="I508" t="inlineStr">
        <is>
          <t>Undisclosed</t>
        </is>
      </c>
      <c r="J508" t="inlineStr">
        <is>
          <t>Ecommerce</t>
        </is>
      </c>
      <c r="K508" t="inlineStr">
        <is>
          <t>Unknown</t>
        </is>
      </c>
      <c r="L508" t="inlineStr">
        <is>
          <t>Knit World Inc</t>
        </is>
      </c>
      <c r="M508" t="inlineStr">
        <is>
          <t>Knit World Inc</t>
        </is>
      </c>
      <c r="N508" t="inlineStr">
        <is>
          <t>inc42</t>
        </is>
      </c>
      <c r="O508" s="20" t="n">
        <v>1</v>
      </c>
      <c r="P508" s="21" t="n"/>
      <c r="Q508" t="inlineStr">
        <is>
          <t>C03 C04 C07</t>
        </is>
      </c>
      <c r="R508" s="22" t="inlineStr">
        <is>
          <t>https://inc42.com/buzz/from-euler-motors-to-cloudsek-indian-startups-raised-232-mn-this-week/</t>
        </is>
      </c>
    </row>
    <row r="509">
      <c r="A509" t="inlineStr">
        <is>
          <t>R250522-zoca</t>
        </is>
      </c>
      <c r="B509" t="inlineStr">
        <is>
          <t>Zoca</t>
        </is>
      </c>
      <c r="C509" s="17" t="n">
        <v>45798</v>
      </c>
      <c r="D509" s="18" t="n">
        <v>45778</v>
      </c>
      <c r="E509" s="19" t="n">
        <v>6</v>
      </c>
      <c r="F509" s="19" t="n">
        <v>51.34</v>
      </c>
      <c r="G509" t="inlineStr">
        <is>
          <t>$6 million</t>
        </is>
      </c>
      <c r="H509" t="inlineStr">
        <is>
          <t>Undisclosed</t>
        </is>
      </c>
      <c r="I509" t="inlineStr">
        <is>
          <t>Undisclosed</t>
        </is>
      </c>
      <c r="J509" t="inlineStr">
        <is>
          <t>Artificial Intelligence</t>
        </is>
      </c>
      <c r="K509" t="inlineStr">
        <is>
          <t>Unknown</t>
        </is>
      </c>
      <c r="L509" t="inlineStr">
        <is>
          <t>Accel; Elevation Capital; Better Capital</t>
        </is>
      </c>
      <c r="M509" t="inlineStr">
        <is>
          <t>Accel; Elevation Capital; Better Capital; GTMfund</t>
        </is>
      </c>
      <c r="N509" t="inlineStr">
        <is>
          <t>entrackr | et</t>
        </is>
      </c>
      <c r="O509" s="20" t="n">
        <v>2</v>
      </c>
      <c r="P509" s="21" t="n">
        <v>0</v>
      </c>
      <c r="Q509" t="inlineStr">
        <is>
          <t>C04 C07</t>
        </is>
      </c>
      <c r="R509" s="22" t="inlineStr">
        <is>
          <t>https://economictimes.indiatimes.com/tech/funding/ai-startup-zoca-raises-6-million-from-accel-elevation-capital-others/articleshow/121318583.cms</t>
        </is>
      </c>
    </row>
    <row r="510">
      <c r="A510" t="inlineStr">
        <is>
          <t>R250522-altcarbon</t>
        </is>
      </c>
      <c r="B510" t="inlineStr">
        <is>
          <t>Alt Carbon</t>
        </is>
      </c>
      <c r="C510" s="17" t="n">
        <v>45799</v>
      </c>
      <c r="D510" s="18" t="n">
        <v>45778</v>
      </c>
      <c r="E510" s="19" t="n">
        <v>12</v>
      </c>
      <c r="F510" s="19" t="n">
        <v>103.18</v>
      </c>
      <c r="G510" t="inlineStr">
        <is>
          <t>$12 million</t>
        </is>
      </c>
      <c r="H510" t="inlineStr">
        <is>
          <t>Seed</t>
        </is>
      </c>
      <c r="I510" t="inlineStr">
        <is>
          <t>Early</t>
        </is>
      </c>
      <c r="J510" t="inlineStr">
        <is>
          <t>Cleantech</t>
        </is>
      </c>
      <c r="K510" t="inlineStr">
        <is>
          <t>Bengaluru</t>
        </is>
      </c>
      <c r="L510" t="inlineStr">
        <is>
          <t>Lachy Groom; Jason Zhao; Amrendra Singh; Tanmay Bhat; Arjun Soin; Nakuul Mehta; Arjun Ramani; Advaith Vishwanath; Rahul Seth</t>
        </is>
      </c>
      <c r="M510" t="inlineStr">
        <is>
          <t>Lachy Groom; Jason Zhao; Amrendra Singh; Tanmay Bhat; Arjun Soin; Nakuul Mehta; Arjun Ramani; Advaith Vishwanath; Rahul Seth; Shastra VC</t>
        </is>
      </c>
      <c r="N510" t="inlineStr">
        <is>
          <t>entrackr | inc42</t>
        </is>
      </c>
      <c r="O510" s="20" t="n">
        <v>2</v>
      </c>
      <c r="P510" s="21" t="n">
        <v>0</v>
      </c>
      <c r="Q510" t="inlineStr"/>
      <c r="R510" s="22" t="inlineStr">
        <is>
          <t>https://entrackr.com/snippets/deeptech-startup-alt-carbon-raises-12-mn-in-seed-round-9187389</t>
        </is>
      </c>
    </row>
    <row r="511">
      <c r="A511" t="inlineStr">
        <is>
          <t>R250522-blackcarrot</t>
        </is>
      </c>
      <c r="B511" t="inlineStr">
        <is>
          <t>BlackCarrot</t>
        </is>
      </c>
      <c r="C511" s="17" t="n">
        <v>45799</v>
      </c>
      <c r="D511" s="18" t="n">
        <v>45778</v>
      </c>
      <c r="E511" s="19" t="n"/>
      <c r="F511" s="19" t="n"/>
      <c r="G511" t="inlineStr"/>
      <c r="H511" t="inlineStr">
        <is>
          <t>Pre-Seed</t>
        </is>
      </c>
      <c r="I511" t="inlineStr">
        <is>
          <t>Early</t>
        </is>
      </c>
      <c r="J511" t="inlineStr">
        <is>
          <t>Ecommerce</t>
        </is>
      </c>
      <c r="K511" t="inlineStr">
        <is>
          <t>Unknown</t>
        </is>
      </c>
      <c r="L511" t="inlineStr">
        <is>
          <t>Venture Catalyst</t>
        </is>
      </c>
      <c r="M511" t="inlineStr">
        <is>
          <t>Venture Catalysts; Circle; EvolveX Accelerator; GX Ventures; Suraj Nalin; Neha Dhupia; Agnello Dias</t>
        </is>
      </c>
      <c r="N511" t="inlineStr">
        <is>
          <t>inc42</t>
        </is>
      </c>
      <c r="O511" s="20" t="n">
        <v>1</v>
      </c>
      <c r="P511" s="21" t="n"/>
      <c r="Q511" t="inlineStr">
        <is>
          <t>C03 C07</t>
        </is>
      </c>
      <c r="R511" s="22" t="inlineStr">
        <is>
          <t>https://inc42.com/buzz/from-euler-motors-to-cloudsek-indian-startups-raised-232-mn-this-week/</t>
        </is>
      </c>
    </row>
    <row r="512">
      <c r="A512" t="inlineStr">
        <is>
          <t>R250522-datasutram</t>
        </is>
      </c>
      <c r="B512" t="inlineStr">
        <is>
          <t>Data Sutram</t>
        </is>
      </c>
      <c r="C512" s="17" t="n">
        <v>45799</v>
      </c>
      <c r="D512" s="18" t="n">
        <v>45778</v>
      </c>
      <c r="E512" s="19" t="n">
        <v>9</v>
      </c>
      <c r="F512" s="19" t="n">
        <v>77.38</v>
      </c>
      <c r="G512" t="inlineStr">
        <is>
          <t>$9 million</t>
        </is>
      </c>
      <c r="H512" t="inlineStr">
        <is>
          <t>Series A</t>
        </is>
      </c>
      <c r="I512" t="inlineStr">
        <is>
          <t>Early</t>
        </is>
      </c>
      <c r="J512" t="inlineStr">
        <is>
          <t>Enterprise Tech</t>
        </is>
      </c>
      <c r="K512" t="inlineStr">
        <is>
          <t>Mumbai</t>
        </is>
      </c>
      <c r="L512" t="inlineStr">
        <is>
          <t>Lightspeed Venture Partners; B Capital</t>
        </is>
      </c>
      <c r="M512" t="inlineStr">
        <is>
          <t>Lightspeed Venture Partners; B Capital</t>
        </is>
      </c>
      <c r="N512" t="inlineStr">
        <is>
          <t>entrackr | inc42 | et</t>
        </is>
      </c>
      <c r="O512" s="20" t="n">
        <v>3</v>
      </c>
      <c r="P512" s="21" t="n">
        <v>0</v>
      </c>
      <c r="Q512" t="inlineStr"/>
      <c r="R512" s="22" t="inlineStr">
        <is>
          <t>https://entrackr.com/news/data-sutram-raises-9-mn-in-series-a-round-9149674</t>
        </is>
      </c>
    </row>
    <row r="513">
      <c r="A513" t="inlineStr">
        <is>
          <t>R250522-oxyzo</t>
        </is>
      </c>
      <c r="B513" t="inlineStr">
        <is>
          <t>Oxyzo</t>
        </is>
      </c>
      <c r="C513" s="17" t="n">
        <v>45799</v>
      </c>
      <c r="D513" s="18" t="n">
        <v>45778</v>
      </c>
      <c r="E513" s="19" t="n">
        <v>62.4</v>
      </c>
      <c r="F513" s="19" t="n">
        <v>536.52</v>
      </c>
      <c r="G513" t="inlineStr">
        <is>
          <t>$62.4 Mn</t>
        </is>
      </c>
      <c r="H513" t="inlineStr">
        <is>
          <t>Debt</t>
        </is>
      </c>
      <c r="I513" t="inlineStr">
        <is>
          <t>Debt</t>
        </is>
      </c>
      <c r="J513" t="inlineStr">
        <is>
          <t>Fintech</t>
        </is>
      </c>
      <c r="K513" t="inlineStr">
        <is>
          <t>Delhi NCR</t>
        </is>
      </c>
      <c r="L513" t="inlineStr">
        <is>
          <t>Neo Group</t>
        </is>
      </c>
      <c r="M513" t="inlineStr">
        <is>
          <t>Neo Group</t>
        </is>
      </c>
      <c r="N513" t="inlineStr">
        <is>
          <t>inc42 | vccircle</t>
        </is>
      </c>
      <c r="O513" s="20" t="n">
        <v>2</v>
      </c>
      <c r="P513" s="21" t="n">
        <v>0</v>
      </c>
      <c r="Q513" t="inlineStr">
        <is>
          <t>C16</t>
        </is>
      </c>
      <c r="R513" s="22" t="inlineStr">
        <is>
          <t>https://inc42.com/buzz/from-euler-motors-to-cloudsek-indian-startups-raised-232-mn-this-week/</t>
        </is>
      </c>
    </row>
    <row r="514">
      <c r="A514" t="inlineStr">
        <is>
          <t>R250522-prometheanener</t>
        </is>
      </c>
      <c r="B514" t="inlineStr">
        <is>
          <t>Promethean Energy</t>
        </is>
      </c>
      <c r="C514" s="17" t="n">
        <v>45799</v>
      </c>
      <c r="D514" s="18" t="n">
        <v>45778</v>
      </c>
      <c r="E514" s="19" t="n">
        <v>2</v>
      </c>
      <c r="F514" s="19" t="n">
        <v>17.2</v>
      </c>
      <c r="G514" t="inlineStr">
        <is>
          <t>$2 million</t>
        </is>
      </c>
      <c r="H514" t="inlineStr">
        <is>
          <t>Pre-Series A</t>
        </is>
      </c>
      <c r="I514" t="inlineStr">
        <is>
          <t>Early</t>
        </is>
      </c>
      <c r="J514" t="inlineStr">
        <is>
          <t>Cleantech</t>
        </is>
      </c>
      <c r="K514" t="inlineStr">
        <is>
          <t>Mumbai</t>
        </is>
      </c>
      <c r="L514" t="inlineStr">
        <is>
          <t>Transition VC</t>
        </is>
      </c>
      <c r="M514" t="inlineStr">
        <is>
          <t>Transition VC; Sangam Venture; Sagana Capital; Fondation Botnar</t>
        </is>
      </c>
      <c r="N514" t="inlineStr">
        <is>
          <t>entrackr | inc42</t>
        </is>
      </c>
      <c r="O514" s="20" t="n">
        <v>2</v>
      </c>
      <c r="P514" s="21" t="n">
        <v>0</v>
      </c>
      <c r="Q514" t="inlineStr"/>
      <c r="R514" s="22" t="inlineStr">
        <is>
          <t>https://entrackr.com/snippets/promethean-energy-raises-2-mn-in-pre-series-a-round-9149741</t>
        </is>
      </c>
    </row>
    <row r="515">
      <c r="A515" t="inlineStr">
        <is>
          <t>R250522-shuru</t>
        </is>
      </c>
      <c r="B515" t="inlineStr">
        <is>
          <t>Shuru</t>
        </is>
      </c>
      <c r="C515" s="17" t="n">
        <v>45799</v>
      </c>
      <c r="D515" s="18" t="n">
        <v>45778</v>
      </c>
      <c r="E515" s="19" t="n">
        <v>3.373</v>
      </c>
      <c r="F515" s="19" t="n">
        <v>29</v>
      </c>
      <c r="G515" t="inlineStr">
        <is>
          <t>Rs 29 crore</t>
        </is>
      </c>
      <c r="H515" t="inlineStr">
        <is>
          <t>Undisclosed</t>
        </is>
      </c>
      <c r="I515" t="inlineStr">
        <is>
          <t>Undisclosed</t>
        </is>
      </c>
      <c r="J515" t="inlineStr">
        <is>
          <t>Consumer Services</t>
        </is>
      </c>
      <c r="K515" t="inlineStr">
        <is>
          <t>Unknown</t>
        </is>
      </c>
      <c r="L515" t="inlineStr">
        <is>
          <t>KRAFTON</t>
        </is>
      </c>
      <c r="M515" t="inlineStr">
        <is>
          <t>KRAFTON; Omidyar Network India; Eximius Ventures</t>
        </is>
      </c>
      <c r="N515" t="inlineStr">
        <is>
          <t>entrackr | inc42</t>
        </is>
      </c>
      <c r="O515" s="20" t="n">
        <v>2</v>
      </c>
      <c r="P515" s="21" t="n">
        <v>0.8</v>
      </c>
      <c r="Q515" t="inlineStr">
        <is>
          <t>C04 C07</t>
        </is>
      </c>
      <c r="R515" s="22" t="inlineStr">
        <is>
          <t>https://entrackr.com/exclusive/exclusive-krafton-leads-rs-29-cr-round-in-shuru-at-rs-135-cr-valuation-9155102</t>
        </is>
      </c>
    </row>
    <row r="516">
      <c r="A516" t="inlineStr">
        <is>
          <t>R250523-borderless</t>
        </is>
      </c>
      <c r="B516" t="inlineStr">
        <is>
          <t>Borderless</t>
        </is>
      </c>
      <c r="C516" s="17" t="n">
        <v>45800</v>
      </c>
      <c r="D516" s="18" t="n">
        <v>45778</v>
      </c>
      <c r="E516" s="19" t="n">
        <v>2.3</v>
      </c>
      <c r="F516" s="19" t="n">
        <v>19.65</v>
      </c>
      <c r="G516" t="inlineStr">
        <is>
          <t>$2.3 Mn</t>
        </is>
      </c>
      <c r="H516" t="inlineStr">
        <is>
          <t>Undisclosed</t>
        </is>
      </c>
      <c r="I516" t="inlineStr">
        <is>
          <t>Undisclosed</t>
        </is>
      </c>
      <c r="J516" t="inlineStr">
        <is>
          <t>Fintech</t>
        </is>
      </c>
      <c r="K516" t="inlineStr">
        <is>
          <t>Unknown</t>
        </is>
      </c>
      <c r="L516" t="inlineStr">
        <is>
          <t>Equirus Credence Family Office</t>
        </is>
      </c>
      <c r="M516" t="inlineStr">
        <is>
          <t>Equirus; Credence Family Office; July Ventures</t>
        </is>
      </c>
      <c r="N516" t="inlineStr">
        <is>
          <t>inc42</t>
        </is>
      </c>
      <c r="O516" s="20" t="n">
        <v>1</v>
      </c>
      <c r="P516" s="21" t="n">
        <v>0</v>
      </c>
      <c r="Q516" t="inlineStr">
        <is>
          <t>C04 C07</t>
        </is>
      </c>
      <c r="R516" s="22" t="inlineStr">
        <is>
          <t>https://inc42.com/buzz/from-euler-motors-to-cloudsek-indian-startups-raised-232-mn-this-week/</t>
        </is>
      </c>
    </row>
    <row r="517">
      <c r="A517" t="inlineStr">
        <is>
          <t>R250523-kskt</t>
        </is>
      </c>
      <c r="B517" t="inlineStr">
        <is>
          <t>KSKT</t>
        </is>
      </c>
      <c r="C517" s="17" t="n">
        <v>45800</v>
      </c>
      <c r="D517" s="18" t="n">
        <v>45778</v>
      </c>
      <c r="E517" s="19" t="n">
        <v>1.3</v>
      </c>
      <c r="F517" s="19" t="n">
        <v>11.11</v>
      </c>
      <c r="G517" t="inlineStr">
        <is>
          <t>$1.3 million</t>
        </is>
      </c>
      <c r="H517" t="inlineStr">
        <is>
          <t>Undisclosed</t>
        </is>
      </c>
      <c r="I517" t="inlineStr">
        <is>
          <t>Undisclosed</t>
        </is>
      </c>
      <c r="J517" t="inlineStr">
        <is>
          <t>Ecommerce</t>
        </is>
      </c>
      <c r="K517" t="inlineStr">
        <is>
          <t>Unknown</t>
        </is>
      </c>
      <c r="L517" t="inlineStr">
        <is>
          <t>Keiretsu Forum; 1stCheque Angel Network</t>
        </is>
      </c>
      <c r="M517" t="inlineStr">
        <is>
          <t>Keiretsu Forum; 1stCheque Angel Network</t>
        </is>
      </c>
      <c r="N517" t="inlineStr">
        <is>
          <t>entrackr</t>
        </is>
      </c>
      <c r="O517" s="20" t="n">
        <v>1</v>
      </c>
      <c r="P517" s="21" t="n">
        <v>0</v>
      </c>
      <c r="Q517" t="inlineStr">
        <is>
          <t>C04 C07</t>
        </is>
      </c>
      <c r="R517" s="22" t="inlineStr">
        <is>
          <t>https://entrackr.com/snippets/kskt-raises-13-mn-in-equity-and-debt-round-9300612</t>
        </is>
      </c>
    </row>
    <row r="518">
      <c r="A518" t="inlineStr">
        <is>
          <t>R250527-citykart</t>
        </is>
      </c>
      <c r="B518" t="inlineStr">
        <is>
          <t>Citykart</t>
        </is>
      </c>
      <c r="C518" s="17" t="n">
        <v>45804</v>
      </c>
      <c r="D518" s="18" t="n">
        <v>45778</v>
      </c>
      <c r="E518" s="19" t="n">
        <v>62.998</v>
      </c>
      <c r="F518" s="19" t="n">
        <v>538</v>
      </c>
      <c r="G518" t="inlineStr">
        <is>
          <t>Rs 538 crore</t>
        </is>
      </c>
      <c r="H518" t="inlineStr">
        <is>
          <t>Series B</t>
        </is>
      </c>
      <c r="I518" t="inlineStr">
        <is>
          <t>Growth</t>
        </is>
      </c>
      <c r="J518" t="inlineStr">
        <is>
          <t>Unclassified</t>
        </is>
      </c>
      <c r="K518" t="inlineStr">
        <is>
          <t>Delhi NCR</t>
        </is>
      </c>
      <c r="L518" t="inlineStr">
        <is>
          <t>TPG NewQuest; A91 Partners</t>
        </is>
      </c>
      <c r="M518" t="inlineStr">
        <is>
          <t>TPG NewQuest; A91 Partners; Investcorp</t>
        </is>
      </c>
      <c r="N518" t="inlineStr">
        <is>
          <t>entrackr</t>
        </is>
      </c>
      <c r="O518" s="20" t="n">
        <v>1</v>
      </c>
      <c r="P518" s="21" t="n">
        <v>0</v>
      </c>
      <c r="Q518" t="inlineStr">
        <is>
          <t>C06</t>
        </is>
      </c>
      <c r="R518" s="22" t="inlineStr">
        <is>
          <t>https://entrackr.com/news/citykart-raises-rs-538-cr-led-by-tpg-newquest-and-a91-partner-9309720</t>
        </is>
      </c>
    </row>
    <row r="519">
      <c r="A519" t="inlineStr">
        <is>
          <t>R250527-contineu</t>
        </is>
      </c>
      <c r="B519" t="inlineStr">
        <is>
          <t>Contineu</t>
        </is>
      </c>
      <c r="C519" s="17" t="n">
        <v>45804</v>
      </c>
      <c r="D519" s="18" t="n">
        <v>45778</v>
      </c>
      <c r="E519" s="19" t="n">
        <v>1.2</v>
      </c>
      <c r="F519" s="19" t="n">
        <v>10.25</v>
      </c>
      <c r="G519" t="inlineStr">
        <is>
          <t>$1.2 million</t>
        </is>
      </c>
      <c r="H519" t="inlineStr">
        <is>
          <t>Seed</t>
        </is>
      </c>
      <c r="I519" t="inlineStr">
        <is>
          <t>Early</t>
        </is>
      </c>
      <c r="J519" t="inlineStr">
        <is>
          <t>Artificial Intelligence</t>
        </is>
      </c>
      <c r="K519" t="inlineStr">
        <is>
          <t>Bengaluru</t>
        </is>
      </c>
      <c r="L519" t="inlineStr">
        <is>
          <t>SenseAI Ventures</t>
        </is>
      </c>
      <c r="M519" t="inlineStr">
        <is>
          <t>SenseAI Ventures; Piper Serica Angel Fund</t>
        </is>
      </c>
      <c r="N519" t="inlineStr">
        <is>
          <t>entrackr | inc42 | et</t>
        </is>
      </c>
      <c r="O519" s="20" t="n">
        <v>3</v>
      </c>
      <c r="P519" s="21" t="n">
        <v>0</v>
      </c>
      <c r="Q519" t="inlineStr"/>
      <c r="R519" s="22" t="inlineStr">
        <is>
          <t>https://entrackr.com/snippets/deep-tech-startup-contineu-raises-12-mn-led-by-senseai-ventures-9310309</t>
        </is>
      </c>
    </row>
    <row r="520">
      <c r="A520" t="inlineStr">
        <is>
          <t>R250527-eume</t>
        </is>
      </c>
      <c r="B520" t="inlineStr">
        <is>
          <t>EUME</t>
        </is>
      </c>
      <c r="C520" s="17" t="n">
        <v>45804</v>
      </c>
      <c r="D520" s="18" t="n">
        <v>45778</v>
      </c>
      <c r="E520" s="19" t="n">
        <v>2.927</v>
      </c>
      <c r="F520" s="19" t="n">
        <v>25</v>
      </c>
      <c r="G520" t="inlineStr">
        <is>
          <t>Rs 25 crore</t>
        </is>
      </c>
      <c r="H520" t="inlineStr">
        <is>
          <t>Series A</t>
        </is>
      </c>
      <c r="I520" t="inlineStr">
        <is>
          <t>Early</t>
        </is>
      </c>
      <c r="J520" t="inlineStr">
        <is>
          <t>Ecommerce</t>
        </is>
      </c>
      <c r="K520" t="inlineStr">
        <is>
          <t>Mumbai</t>
        </is>
      </c>
      <c r="L520" t="inlineStr">
        <is>
          <t>Ashish Kacholia</t>
        </is>
      </c>
      <c r="M520" t="inlineStr">
        <is>
          <t>Ashish Kacholia</t>
        </is>
      </c>
      <c r="N520" t="inlineStr">
        <is>
          <t>entrackr | inc42</t>
        </is>
      </c>
      <c r="O520" s="20" t="n">
        <v>2</v>
      </c>
      <c r="P520" s="21" t="n">
        <v>2.5</v>
      </c>
      <c r="Q520" t="inlineStr"/>
      <c r="R520" s="22" t="inlineStr">
        <is>
          <t>https://entrackr.com/snippets/travel-accessories-brand-eume-raises-rs-25-cr-in-series-a-9310121</t>
        </is>
      </c>
    </row>
    <row r="521">
      <c r="A521" t="inlineStr">
        <is>
          <t>R250527-fleetx</t>
        </is>
      </c>
      <c r="B521" t="inlineStr">
        <is>
          <t>Fleetx</t>
        </is>
      </c>
      <c r="C521" s="17" t="n">
        <v>45804</v>
      </c>
      <c r="D521" s="18" t="n">
        <v>45778</v>
      </c>
      <c r="E521" s="19" t="n">
        <v>13.232</v>
      </c>
      <c r="F521" s="19" t="n">
        <v>113</v>
      </c>
      <c r="G521" t="inlineStr">
        <is>
          <t>Rs 113 crore</t>
        </is>
      </c>
      <c r="H521" t="inlineStr">
        <is>
          <t>Series C</t>
        </is>
      </c>
      <c r="I521" t="inlineStr">
        <is>
          <t>Growth</t>
        </is>
      </c>
      <c r="J521" t="inlineStr">
        <is>
          <t>Logistics</t>
        </is>
      </c>
      <c r="K521" t="inlineStr">
        <is>
          <t>Delhi NCR</t>
        </is>
      </c>
      <c r="L521" t="inlineStr">
        <is>
          <t>IndiaMART Intermesh; BEENEXT Accelerate Fund</t>
        </is>
      </c>
      <c r="M521" t="inlineStr">
        <is>
          <t>IndiaMART Intermesh; BEENEXT Accelerate Fund; IndiaQuotient; BEENEXT in February 2022</t>
        </is>
      </c>
      <c r="N521" t="inlineStr">
        <is>
          <t>entrackr | inc42 | et | vccircle</t>
        </is>
      </c>
      <c r="O521" s="20" t="n">
        <v>4</v>
      </c>
      <c r="P521" s="21" t="n">
        <v>0.2</v>
      </c>
      <c r="Q521" t="inlineStr"/>
      <c r="R521" s="22" t="inlineStr">
        <is>
          <t>https://entrackr.com/news/fleetx-raises-rs-113-cr-in-series-c-led-by-indiamart-and-beenext-9309763</t>
        </is>
      </c>
    </row>
    <row r="522">
      <c r="A522" t="inlineStr">
        <is>
          <t>R250527-frinksai</t>
        </is>
      </c>
      <c r="B522" t="inlineStr">
        <is>
          <t>Frinks AI</t>
        </is>
      </c>
      <c r="C522" s="17" t="n">
        <v>45804</v>
      </c>
      <c r="D522" s="18" t="n">
        <v>45778</v>
      </c>
      <c r="E522" s="19" t="n">
        <v>5.4</v>
      </c>
      <c r="F522" s="19" t="n">
        <v>46.12</v>
      </c>
      <c r="G522" t="inlineStr">
        <is>
          <t>$5.4 million</t>
        </is>
      </c>
      <c r="H522" t="inlineStr">
        <is>
          <t>Pre-Series A</t>
        </is>
      </c>
      <c r="I522" t="inlineStr">
        <is>
          <t>Early</t>
        </is>
      </c>
      <c r="J522" t="inlineStr">
        <is>
          <t>Artificial Intelligence</t>
        </is>
      </c>
      <c r="K522" t="inlineStr">
        <is>
          <t>Unknown</t>
        </is>
      </c>
      <c r="L522" t="inlineStr">
        <is>
          <t>Prime Venture Partners</t>
        </is>
      </c>
      <c r="M522" t="inlineStr">
        <is>
          <t>Prime Venture Partners; Chiratae Ventures; Navam Capital; Ashok Atluri</t>
        </is>
      </c>
      <c r="N522" t="inlineStr">
        <is>
          <t>entrackr | inc42 | et</t>
        </is>
      </c>
      <c r="O522" s="20" t="n">
        <v>3</v>
      </c>
      <c r="P522" s="21" t="n">
        <v>0</v>
      </c>
      <c r="Q522" t="inlineStr">
        <is>
          <t>C07</t>
        </is>
      </c>
      <c r="R522" s="22" t="inlineStr">
        <is>
          <t>https://entrackr.com/snippets/frinks-ai-raises-54-mn-in-pre-series-a-round-9310766</t>
        </is>
      </c>
    </row>
    <row r="523">
      <c r="A523" t="inlineStr">
        <is>
          <t>R250527-slikk</t>
        </is>
      </c>
      <c r="B523" t="inlineStr">
        <is>
          <t>Slikk</t>
        </is>
      </c>
      <c r="C523" s="17" t="n">
        <v>45804</v>
      </c>
      <c r="D523" s="18" t="n">
        <v>45778</v>
      </c>
      <c r="E523" s="19" t="n">
        <v>10</v>
      </c>
      <c r="F523" s="19" t="n">
        <v>85.40000000000001</v>
      </c>
      <c r="G523" t="inlineStr">
        <is>
          <t>$10 million</t>
        </is>
      </c>
      <c r="H523" t="inlineStr">
        <is>
          <t>Series A</t>
        </is>
      </c>
      <c r="I523" t="inlineStr">
        <is>
          <t>Early</t>
        </is>
      </c>
      <c r="J523" t="inlineStr">
        <is>
          <t>Consumer Services</t>
        </is>
      </c>
      <c r="K523" t="inlineStr">
        <is>
          <t>Bengaluru</t>
        </is>
      </c>
      <c r="L523" t="inlineStr">
        <is>
          <t>Nexus Venture Partners</t>
        </is>
      </c>
      <c r="M523" t="inlineStr">
        <is>
          <t>Nexus Venture Partners; Lightspeed Ventures; Multiply Ventures</t>
        </is>
      </c>
      <c r="N523" t="inlineStr">
        <is>
          <t>entrackr | inc42 | et</t>
        </is>
      </c>
      <c r="O523" s="20" t="n">
        <v>3</v>
      </c>
      <c r="P523" s="21" t="n">
        <v>0</v>
      </c>
      <c r="Q523" t="inlineStr"/>
      <c r="R523" s="22" t="inlineStr">
        <is>
          <t>https://entrackr.com/news/quick-fashion-delivery-startup-slikk-raises-10-mn-led-by-nexus-9309173</t>
        </is>
      </c>
    </row>
    <row r="524">
      <c r="A524" t="inlineStr">
        <is>
          <t>R250527-tova</t>
        </is>
      </c>
      <c r="B524" t="inlineStr">
        <is>
          <t>TOVA</t>
        </is>
      </c>
      <c r="C524" s="17" t="n">
        <v>45804</v>
      </c>
      <c r="D524" s="18" t="n">
        <v>45778</v>
      </c>
      <c r="E524" s="19" t="n"/>
      <c r="F524" s="19" t="n"/>
      <c r="G524" t="inlineStr"/>
      <c r="H524" t="inlineStr">
        <is>
          <t>Undisclosed</t>
        </is>
      </c>
      <c r="I524" t="inlineStr">
        <is>
          <t>Undisclosed</t>
        </is>
      </c>
      <c r="J524" t="inlineStr">
        <is>
          <t>Ecommerce</t>
        </is>
      </c>
      <c r="K524" t="inlineStr">
        <is>
          <t>Unknown</t>
        </is>
      </c>
      <c r="L524" t="inlineStr">
        <is>
          <t>Poonawalla Group</t>
        </is>
      </c>
      <c r="M524" t="inlineStr">
        <is>
          <t>Poonawalla Group</t>
        </is>
      </c>
      <c r="N524" t="inlineStr">
        <is>
          <t>inc42</t>
        </is>
      </c>
      <c r="O524" s="20" t="n">
        <v>1</v>
      </c>
      <c r="P524" s="21" t="n"/>
      <c r="Q524" t="inlineStr">
        <is>
          <t>C03 C04 C07</t>
        </is>
      </c>
      <c r="R524" s="22" t="inlineStr">
        <is>
          <t>https://inc42.com/buzz/from-battery-smart-to-chalo-indian-startups-raised-93-mn-this-week/</t>
        </is>
      </c>
    </row>
    <row r="525">
      <c r="A525" t="inlineStr">
        <is>
          <t>R250528-growit</t>
        </is>
      </c>
      <c r="B525" t="inlineStr">
        <is>
          <t>GROWiT</t>
        </is>
      </c>
      <c r="C525" s="17" t="n">
        <v>45805</v>
      </c>
      <c r="D525" s="18" t="n">
        <v>45778</v>
      </c>
      <c r="E525" s="19" t="n">
        <v>3</v>
      </c>
      <c r="F525" s="19" t="n">
        <v>25.62</v>
      </c>
      <c r="G525" t="inlineStr">
        <is>
          <t>$3 million</t>
        </is>
      </c>
      <c r="H525" t="inlineStr">
        <is>
          <t>Series A</t>
        </is>
      </c>
      <c r="I525" t="inlineStr">
        <is>
          <t>Early</t>
        </is>
      </c>
      <c r="J525" t="inlineStr">
        <is>
          <t>Agritech</t>
        </is>
      </c>
      <c r="K525" t="inlineStr">
        <is>
          <t>Surat</t>
        </is>
      </c>
      <c r="L525" t="inlineStr">
        <is>
          <t>GVFL</t>
        </is>
      </c>
      <c r="M525" t="inlineStr">
        <is>
          <t>GVFL; Veloce Opportunities Fund; JITO; Circle; Sunicon Ventures Fund; Progrowth Ventures</t>
        </is>
      </c>
      <c r="N525" t="inlineStr">
        <is>
          <t>entrackr | inc42 | et</t>
        </is>
      </c>
      <c r="O525" s="20" t="n">
        <v>3</v>
      </c>
      <c r="P525" s="21" t="n">
        <v>0</v>
      </c>
      <c r="Q525" t="inlineStr"/>
      <c r="R525" s="22" t="inlineStr">
        <is>
          <t>https://entrackr.com/snippets/growit-raises-3-mn-in-series-a-round-led-by-gvfl-9313488</t>
        </is>
      </c>
    </row>
    <row r="526">
      <c r="A526" t="inlineStr">
        <is>
          <t>R250528-ilios72alterna</t>
        </is>
      </c>
      <c r="B526" t="inlineStr">
        <is>
          <t>ILIOS 72 Alternative Capital</t>
        </is>
      </c>
      <c r="C526" s="17" t="n">
        <v>45805</v>
      </c>
      <c r="D526" s="18" t="n">
        <v>45778</v>
      </c>
      <c r="E526" s="19" t="n">
        <v>0.117</v>
      </c>
      <c r="F526" s="19" t="n">
        <v>1</v>
      </c>
      <c r="G526" t="inlineStr">
        <is>
          <t>Rs 1 crore</t>
        </is>
      </c>
      <c r="H526" t="inlineStr">
        <is>
          <t>Seed</t>
        </is>
      </c>
      <c r="I526" t="inlineStr">
        <is>
          <t>Early</t>
        </is>
      </c>
      <c r="J526" t="inlineStr">
        <is>
          <t>Fintech</t>
        </is>
      </c>
      <c r="K526" t="inlineStr">
        <is>
          <t>Unknown</t>
        </is>
      </c>
      <c r="L526" t="inlineStr"/>
      <c r="M526" t="inlineStr"/>
      <c r="N526" t="inlineStr">
        <is>
          <t>entrackr</t>
        </is>
      </c>
      <c r="O526" s="20" t="n">
        <v>1</v>
      </c>
      <c r="P526" s="21" t="n">
        <v>0</v>
      </c>
      <c r="Q526" t="inlineStr">
        <is>
          <t>C05 C07</t>
        </is>
      </c>
      <c r="R526" s="22" t="inlineStr">
        <is>
          <t>https://entrackr.com/snippets/wealth-management-firm-ilios-72-alternative-capital-raises-seed-round-9314010</t>
        </is>
      </c>
    </row>
    <row r="527">
      <c r="A527" t="inlineStr">
        <is>
          <t>R250528-orbittspace</t>
        </is>
      </c>
      <c r="B527" t="inlineStr">
        <is>
          <t>Orbitt Space</t>
        </is>
      </c>
      <c r="C527" s="17" t="n">
        <v>45805</v>
      </c>
      <c r="D527" s="18" t="n">
        <v>45778</v>
      </c>
      <c r="E527" s="19" t="n">
        <v>1</v>
      </c>
      <c r="F527" s="19" t="n">
        <v>8.539999999999999</v>
      </c>
      <c r="G527" t="inlineStr">
        <is>
          <t>$1 million</t>
        </is>
      </c>
      <c r="H527" t="inlineStr">
        <is>
          <t>Pre-Seed</t>
        </is>
      </c>
      <c r="I527" t="inlineStr">
        <is>
          <t>Early</t>
        </is>
      </c>
      <c r="J527" t="inlineStr">
        <is>
          <t>Deeptech</t>
        </is>
      </c>
      <c r="K527" t="inlineStr">
        <is>
          <t>Ahmedabad</t>
        </is>
      </c>
      <c r="L527" t="inlineStr">
        <is>
          <t>Pi Ventures</t>
        </is>
      </c>
      <c r="M527" t="inlineStr">
        <is>
          <t>IIMA Ventures; Pi Ventures</t>
        </is>
      </c>
      <c r="N527" t="inlineStr">
        <is>
          <t>entrackr | inc42 | et</t>
        </is>
      </c>
      <c r="O527" s="20" t="n">
        <v>3</v>
      </c>
      <c r="P527" s="21" t="n">
        <v>0</v>
      </c>
      <c r="Q527" t="inlineStr"/>
      <c r="R527" s="22" t="inlineStr">
        <is>
          <t>https://entrackr.com/snippets/orbitt-space-raises-1-mn-in-pre-seed-round-led-by-pi-ventures-9313216</t>
        </is>
      </c>
    </row>
    <row r="528">
      <c r="A528" t="inlineStr">
        <is>
          <t>R250528-saarathifinanc</t>
        </is>
      </c>
      <c r="B528" t="inlineStr">
        <is>
          <t>Saarathi Finance</t>
        </is>
      </c>
      <c r="C528" s="17" t="n">
        <v>45805</v>
      </c>
      <c r="D528" s="18" t="n">
        <v>45778</v>
      </c>
      <c r="E528" s="19" t="n">
        <v>55.627</v>
      </c>
      <c r="F528" s="19" t="n">
        <v>475</v>
      </c>
      <c r="G528" t="inlineStr">
        <is>
          <t>Rs 475 crore</t>
        </is>
      </c>
      <c r="H528" t="inlineStr">
        <is>
          <t>Series A</t>
        </is>
      </c>
      <c r="I528" t="inlineStr">
        <is>
          <t>Early</t>
        </is>
      </c>
      <c r="J528" t="inlineStr">
        <is>
          <t>Fintech</t>
        </is>
      </c>
      <c r="K528" t="inlineStr">
        <is>
          <t>Unknown</t>
        </is>
      </c>
      <c r="L528" t="inlineStr">
        <is>
          <t>Lok Capital; Evolvence Equity Partners; Paragon Partners</t>
        </is>
      </c>
      <c r="M528" t="inlineStr">
        <is>
          <t>Lok Capital; Evolvence Equity Partners; Paragon Partners</t>
        </is>
      </c>
      <c r="N528" t="inlineStr">
        <is>
          <t>entrackr</t>
        </is>
      </c>
      <c r="O528" s="20" t="n">
        <v>1</v>
      </c>
      <c r="P528" s="21" t="n">
        <v>0</v>
      </c>
      <c r="Q528" t="inlineStr">
        <is>
          <t>C07 C11</t>
        </is>
      </c>
      <c r="R528" s="22" t="inlineStr">
        <is>
          <t>https://entrackr.com/snippets/saarathi-finance-secures-rs-475-cr-equity-capital-9313667</t>
        </is>
      </c>
    </row>
    <row r="529">
      <c r="A529" t="inlineStr">
        <is>
          <t>R250529-cleevo</t>
        </is>
      </c>
      <c r="B529" t="inlineStr">
        <is>
          <t>Cleevo</t>
        </is>
      </c>
      <c r="C529" s="17" t="n">
        <v>45806</v>
      </c>
      <c r="D529" s="18" t="n">
        <v>45778</v>
      </c>
      <c r="E529" s="19" t="n">
        <v>1</v>
      </c>
      <c r="F529" s="19" t="n">
        <v>8.550000000000001</v>
      </c>
      <c r="G529" t="inlineStr">
        <is>
          <t>$1 million</t>
        </is>
      </c>
      <c r="H529" t="inlineStr">
        <is>
          <t>Seed</t>
        </is>
      </c>
      <c r="I529" t="inlineStr">
        <is>
          <t>Early</t>
        </is>
      </c>
      <c r="J529" t="inlineStr">
        <is>
          <t>Ecommerce</t>
        </is>
      </c>
      <c r="K529" t="inlineStr">
        <is>
          <t>Unknown</t>
        </is>
      </c>
      <c r="L529" t="inlineStr">
        <is>
          <t>Eternal Capital</t>
        </is>
      </c>
      <c r="M529" t="inlineStr">
        <is>
          <t>Eternal Capital; Utsav Somani; Suhail Sameer; Zeca Capital; DeVC</t>
        </is>
      </c>
      <c r="N529" t="inlineStr">
        <is>
          <t>entrackr | inc42</t>
        </is>
      </c>
      <c r="O529" s="20" t="n">
        <v>2</v>
      </c>
      <c r="P529" s="21" t="n">
        <v>0</v>
      </c>
      <c r="Q529" t="inlineStr">
        <is>
          <t>C07</t>
        </is>
      </c>
      <c r="R529" s="22" t="inlineStr">
        <is>
          <t>https://entrackr.com/snippets/cleevo-raises-1-mn-in-seed-round-led-by-eternal-capital-9316482</t>
        </is>
      </c>
    </row>
    <row r="530">
      <c r="A530" t="inlineStr">
        <is>
          <t>R250529-gydexp</t>
        </is>
      </c>
      <c r="B530" t="inlineStr">
        <is>
          <t>GydeXP</t>
        </is>
      </c>
      <c r="C530" s="17" t="n">
        <v>45806</v>
      </c>
      <c r="D530" s="18" t="n">
        <v>45778</v>
      </c>
      <c r="E530" s="19" t="n"/>
      <c r="F530" s="19" t="n"/>
      <c r="G530" t="inlineStr"/>
      <c r="H530" t="inlineStr">
        <is>
          <t>Pre-Seed</t>
        </is>
      </c>
      <c r="I530" t="inlineStr">
        <is>
          <t>Early</t>
        </is>
      </c>
      <c r="J530" t="inlineStr">
        <is>
          <t>Travel Tech</t>
        </is>
      </c>
      <c r="K530" t="inlineStr">
        <is>
          <t>Unknown</t>
        </is>
      </c>
      <c r="L530" t="inlineStr">
        <is>
          <t>Rukam Sitara</t>
        </is>
      </c>
      <c r="M530" t="inlineStr">
        <is>
          <t>Rukam Sitara</t>
        </is>
      </c>
      <c r="N530" t="inlineStr">
        <is>
          <t>inc42</t>
        </is>
      </c>
      <c r="O530" s="20" t="n">
        <v>1</v>
      </c>
      <c r="P530" s="21" t="n"/>
      <c r="Q530" t="inlineStr">
        <is>
          <t>C03 C07</t>
        </is>
      </c>
      <c r="R530" s="22" t="inlineStr">
        <is>
          <t>https://inc42.com/buzz/from-battery-smart-to-chalo-indian-startups-raised-93-mn-this-week/</t>
        </is>
      </c>
    </row>
    <row r="531">
      <c r="A531" t="inlineStr">
        <is>
          <t>R250529-khiladipro</t>
        </is>
      </c>
      <c r="B531" t="inlineStr">
        <is>
          <t>KhiladiPro</t>
        </is>
      </c>
      <c r="C531" s="17" t="n">
        <v>45806</v>
      </c>
      <c r="D531" s="18" t="n">
        <v>45778</v>
      </c>
      <c r="E531" s="19" t="n">
        <v>1</v>
      </c>
      <c r="F531" s="19" t="n">
        <v>8.550000000000001</v>
      </c>
      <c r="G531" t="inlineStr">
        <is>
          <t>$1 million</t>
        </is>
      </c>
      <c r="H531" t="inlineStr">
        <is>
          <t>Pre-Seed</t>
        </is>
      </c>
      <c r="I531" t="inlineStr">
        <is>
          <t>Early</t>
        </is>
      </c>
      <c r="J531" t="inlineStr">
        <is>
          <t>Consumer Services</t>
        </is>
      </c>
      <c r="K531" t="inlineStr">
        <is>
          <t>Bengaluru</t>
        </is>
      </c>
      <c r="L531" t="inlineStr">
        <is>
          <t>Shastra VC; MGA Ventures</t>
        </is>
      </c>
      <c r="M531" t="inlineStr">
        <is>
          <t>Shastra VC; MGA Ventures; M Pallonji; Jeena; Co; Ayaz Billawala; Nimesh Kampani; Jaimin Bhat</t>
        </is>
      </c>
      <c r="N531" t="inlineStr">
        <is>
          <t>entrackr | inc42 | et</t>
        </is>
      </c>
      <c r="O531" s="20" t="n">
        <v>3</v>
      </c>
      <c r="P531" s="21" t="n">
        <v>0</v>
      </c>
      <c r="Q531" t="inlineStr">
        <is>
          <t>C17</t>
        </is>
      </c>
      <c r="R531" s="22" t="inlineStr">
        <is>
          <t>https://entrackr.com/snippets/sports-tech-startup-khiladipro-secures-1mn-in-pre-seed-round-9317219</t>
        </is>
      </c>
    </row>
    <row r="532">
      <c r="A532" t="inlineStr">
        <is>
          <t>R250529-snabbit</t>
        </is>
      </c>
      <c r="B532" t="inlineStr">
        <is>
          <t>Snabbit</t>
        </is>
      </c>
      <c r="C532" s="17" t="n">
        <v>45806</v>
      </c>
      <c r="D532" s="18" t="n">
        <v>45778</v>
      </c>
      <c r="E532" s="19" t="n">
        <v>19</v>
      </c>
      <c r="F532" s="19" t="n">
        <v>162.39</v>
      </c>
      <c r="G532" t="inlineStr">
        <is>
          <t>$19 million</t>
        </is>
      </c>
      <c r="H532" t="inlineStr">
        <is>
          <t>Series B</t>
        </is>
      </c>
      <c r="I532" t="inlineStr">
        <is>
          <t>Growth</t>
        </is>
      </c>
      <c r="J532" t="inlineStr">
        <is>
          <t>Consumer Services</t>
        </is>
      </c>
      <c r="K532" t="inlineStr">
        <is>
          <t>Mumbai</t>
        </is>
      </c>
      <c r="L532" t="inlineStr">
        <is>
          <t>Lightspeed Ventures</t>
        </is>
      </c>
      <c r="M532" t="inlineStr">
        <is>
          <t>Lightspeed Ventures; Elevation Capital; Nexus Venture Partners</t>
        </is>
      </c>
      <c r="N532" t="inlineStr">
        <is>
          <t>entrackr | inc42 | et | vccircle</t>
        </is>
      </c>
      <c r="O532" s="20" t="n">
        <v>4</v>
      </c>
      <c r="P532" s="21" t="n">
        <v>0</v>
      </c>
      <c r="Q532" t="inlineStr"/>
      <c r="R532" s="22" t="inlineStr">
        <is>
          <t>https://entrackr.com/news/quick-service-platform-snabbit-raises-19-mn-led-by-lightspeed-9316145</t>
        </is>
      </c>
    </row>
    <row r="533">
      <c r="A533" t="inlineStr">
        <is>
          <t>R250529-snitch</t>
        </is>
      </c>
      <c r="B533" t="inlineStr">
        <is>
          <t>Snitch</t>
        </is>
      </c>
      <c r="C533" s="17" t="n">
        <v>45806</v>
      </c>
      <c r="D533" s="18" t="n">
        <v>45778</v>
      </c>
      <c r="E533" s="19" t="n">
        <v>40</v>
      </c>
      <c r="F533" s="19" t="n">
        <v>341.88</v>
      </c>
      <c r="G533" t="inlineStr">
        <is>
          <t>$40 million</t>
        </is>
      </c>
      <c r="H533" t="inlineStr">
        <is>
          <t>Series B</t>
        </is>
      </c>
      <c r="I533" t="inlineStr">
        <is>
          <t>Growth</t>
        </is>
      </c>
      <c r="J533" t="inlineStr">
        <is>
          <t>Ecommerce</t>
        </is>
      </c>
      <c r="K533" t="inlineStr">
        <is>
          <t>Bengaluru</t>
        </is>
      </c>
      <c r="L533" t="inlineStr">
        <is>
          <t>360One Asset</t>
        </is>
      </c>
      <c r="M533" t="inlineStr">
        <is>
          <t>360One Asset; Ravi Modi Family Office; IvyCap Ventures; SWC Global</t>
        </is>
      </c>
      <c r="N533" t="inlineStr">
        <is>
          <t>entrackr | inc42 | et | vccircle</t>
        </is>
      </c>
      <c r="O533" s="20" t="n">
        <v>4</v>
      </c>
      <c r="P533" s="21" t="n">
        <v>23</v>
      </c>
      <c r="Q533" t="inlineStr">
        <is>
          <t>C15</t>
        </is>
      </c>
      <c r="R533" s="22" t="inlineStr">
        <is>
          <t>https://economictimes.indiatimes.com/tech/funding/menswear-brand-snitch-reveals-it-has-raised-rs-278-crore-from-360-one-asset-others/articleshow/121488082.cms</t>
        </is>
      </c>
    </row>
    <row r="534">
      <c r="A534" t="inlineStr">
        <is>
          <t>R250529-unbound</t>
        </is>
      </c>
      <c r="B534" t="inlineStr">
        <is>
          <t>Unbound</t>
        </is>
      </c>
      <c r="C534" s="17" t="n">
        <v>45806</v>
      </c>
      <c r="D534" s="18" t="n">
        <v>45778</v>
      </c>
      <c r="E534" s="19" t="n">
        <v>4</v>
      </c>
      <c r="F534" s="19" t="n">
        <v>34.19</v>
      </c>
      <c r="G534" t="inlineStr">
        <is>
          <t>$4 million</t>
        </is>
      </c>
      <c r="H534" t="inlineStr">
        <is>
          <t>Seed</t>
        </is>
      </c>
      <c r="I534" t="inlineStr">
        <is>
          <t>Early</t>
        </is>
      </c>
      <c r="J534" t="inlineStr">
        <is>
          <t>Ecommerce</t>
        </is>
      </c>
      <c r="K534" t="inlineStr">
        <is>
          <t>Bengaluru</t>
        </is>
      </c>
      <c r="L534" t="inlineStr">
        <is>
          <t>Race Capital; Y Combinator; Massive Tech Ventures</t>
        </is>
      </c>
      <c r="M534" t="inlineStr">
        <is>
          <t>Race Capital; Y Combinator; Massive Tech Ventures; Wayfinder Ventures; Alpha Square Group; Northside Ventures</t>
        </is>
      </c>
      <c r="N534" t="inlineStr">
        <is>
          <t>entrackr | et</t>
        </is>
      </c>
      <c r="O534" s="20" t="n">
        <v>2</v>
      </c>
      <c r="P534" s="21" t="n">
        <v>0</v>
      </c>
      <c r="Q534" t="inlineStr"/>
      <c r="R534" s="22" t="inlineStr">
        <is>
          <t>https://entrackr.com/snippets/unbound-raises-4-mn-in-seed-round-led-by-race-capital-9317863</t>
        </is>
      </c>
    </row>
    <row r="535">
      <c r="A535" t="inlineStr">
        <is>
          <t>R250529-ziniosa</t>
        </is>
      </c>
      <c r="B535" t="inlineStr">
        <is>
          <t>Ziniosa</t>
        </is>
      </c>
      <c r="C535" s="17" t="n">
        <v>45806</v>
      </c>
      <c r="D535" s="18" t="n">
        <v>45778</v>
      </c>
      <c r="E535" s="19" t="n"/>
      <c r="F535" s="19" t="n"/>
      <c r="G535" t="inlineStr"/>
      <c r="H535" t="inlineStr">
        <is>
          <t>Undisclosed</t>
        </is>
      </c>
      <c r="I535" t="inlineStr">
        <is>
          <t>Undisclosed</t>
        </is>
      </c>
      <c r="J535" t="inlineStr">
        <is>
          <t>Ecommerce</t>
        </is>
      </c>
      <c r="K535" t="inlineStr">
        <is>
          <t>Unknown</t>
        </is>
      </c>
      <c r="L535" t="inlineStr">
        <is>
          <t>Inflection Point Ventures</t>
        </is>
      </c>
      <c r="M535" t="inlineStr">
        <is>
          <t>Inflection Point Ventures</t>
        </is>
      </c>
      <c r="N535" t="inlineStr">
        <is>
          <t>inc42</t>
        </is>
      </c>
      <c r="O535" s="20" t="n">
        <v>1</v>
      </c>
      <c r="P535" s="21" t="n"/>
      <c r="Q535" t="inlineStr">
        <is>
          <t>C03 C04 C07</t>
        </is>
      </c>
      <c r="R535" s="22" t="inlineStr">
        <is>
          <t>https://inc42.com/buzz/from-battery-smart-to-chalo-indian-startups-raised-93-mn-this-week/</t>
        </is>
      </c>
    </row>
    <row r="536">
      <c r="A536" t="inlineStr">
        <is>
          <t>R250530-batterysmart</t>
        </is>
      </c>
      <c r="B536" t="inlineStr">
        <is>
          <t>Battery Smart</t>
        </is>
      </c>
      <c r="C536" s="17" t="n">
        <v>45807</v>
      </c>
      <c r="D536" s="18" t="n">
        <v>45778</v>
      </c>
      <c r="E536" s="19" t="n">
        <v>21</v>
      </c>
      <c r="F536" s="19" t="n">
        <v>179.68</v>
      </c>
      <c r="G536" t="inlineStr">
        <is>
          <t>$21 million</t>
        </is>
      </c>
      <c r="H536" t="inlineStr">
        <is>
          <t>Series B</t>
        </is>
      </c>
      <c r="I536" t="inlineStr">
        <is>
          <t>Growth</t>
        </is>
      </c>
      <c r="J536" t="inlineStr">
        <is>
          <t>Cleantech</t>
        </is>
      </c>
      <c r="K536" t="inlineStr">
        <is>
          <t>Delhi NCR</t>
        </is>
      </c>
      <c r="L536" t="inlineStr">
        <is>
          <t>Rising Tide Energy</t>
        </is>
      </c>
      <c r="M536" t="inlineStr">
        <is>
          <t>Rising Tide Energy; responsAbility; Ecosystem Integrity Fund; LeapFrog Investments; Asia Climate Fund</t>
        </is>
      </c>
      <c r="N536" t="inlineStr">
        <is>
          <t>entrackr | inc42</t>
        </is>
      </c>
      <c r="O536" s="20" t="n">
        <v>2</v>
      </c>
      <c r="P536" s="21" t="n">
        <v>38.1</v>
      </c>
      <c r="Q536" t="inlineStr">
        <is>
          <t>C15 C16</t>
        </is>
      </c>
      <c r="R536" s="22" t="inlineStr">
        <is>
          <t>https://inc42.com/buzz/from-battery-smart-to-chalo-indian-startups-raised-93-mn-this-week/</t>
        </is>
      </c>
    </row>
    <row r="537">
      <c r="A537" t="inlineStr">
        <is>
          <t>R250530-chalo</t>
        </is>
      </c>
      <c r="B537" t="inlineStr">
        <is>
          <t>Chalo</t>
        </is>
      </c>
      <c r="C537" s="17" t="n">
        <v>45807</v>
      </c>
      <c r="D537" s="18" t="n">
        <v>45778</v>
      </c>
      <c r="E537" s="19" t="n">
        <v>6.1</v>
      </c>
      <c r="F537" s="19" t="n">
        <v>52.19</v>
      </c>
      <c r="G537" t="inlineStr">
        <is>
          <t>$6.1 Mn</t>
        </is>
      </c>
      <c r="H537" t="inlineStr">
        <is>
          <t>Undisclosed</t>
        </is>
      </c>
      <c r="I537" t="inlineStr">
        <is>
          <t>Undisclosed</t>
        </is>
      </c>
      <c r="J537" t="inlineStr">
        <is>
          <t>Travel Tech</t>
        </is>
      </c>
      <c r="K537" t="inlineStr">
        <is>
          <t>Unknown</t>
        </is>
      </c>
      <c r="L537" t="inlineStr"/>
      <c r="M537" t="inlineStr">
        <is>
          <t>Filter Capital; Mohit Dubey; Priya Singh; Vinayak Bhavnani</t>
        </is>
      </c>
      <c r="N537" t="inlineStr">
        <is>
          <t>inc42</t>
        </is>
      </c>
      <c r="O537" s="20" t="n">
        <v>1</v>
      </c>
      <c r="P537" s="21" t="n">
        <v>0</v>
      </c>
      <c r="Q537" t="inlineStr">
        <is>
          <t>C04 C07</t>
        </is>
      </c>
      <c r="R537" s="22" t="inlineStr">
        <is>
          <t>https://inc42.com/buzz/from-battery-smart-to-chalo-indian-startups-raised-93-mn-this-week/</t>
        </is>
      </c>
    </row>
    <row r="538">
      <c r="A538" t="inlineStr">
        <is>
          <t>R250530-neysa</t>
        </is>
      </c>
      <c r="B538" t="inlineStr">
        <is>
          <t>Neysa</t>
        </is>
      </c>
      <c r="C538" s="17" t="n">
        <v>45807</v>
      </c>
      <c r="D538" s="18" t="n">
        <v>45778</v>
      </c>
      <c r="E538" s="19" t="n">
        <v>30</v>
      </c>
      <c r="F538" s="19" t="n">
        <v>256.68</v>
      </c>
      <c r="G538" t="inlineStr">
        <is>
          <t>$30 million</t>
        </is>
      </c>
      <c r="H538" t="inlineStr">
        <is>
          <t>Series A</t>
        </is>
      </c>
      <c r="I538" t="inlineStr">
        <is>
          <t>Early</t>
        </is>
      </c>
      <c r="J538" t="inlineStr">
        <is>
          <t>Artificial Intelligence</t>
        </is>
      </c>
      <c r="K538" t="inlineStr">
        <is>
          <t>Mumbai</t>
        </is>
      </c>
      <c r="L538" t="inlineStr">
        <is>
          <t>NTT Venture Capital</t>
        </is>
      </c>
      <c r="M538" t="inlineStr">
        <is>
          <t>NTT Venture Capital; Nexus Venture Partners; Z47</t>
        </is>
      </c>
      <c r="N538" t="inlineStr">
        <is>
          <t>entrackr</t>
        </is>
      </c>
      <c r="O538" s="20" t="n">
        <v>1</v>
      </c>
      <c r="P538" s="21" t="n">
        <v>0</v>
      </c>
      <c r="Q538" t="inlineStr"/>
      <c r="R538" s="22" t="inlineStr">
        <is>
          <t>https://entrackr.com/fintrackr/decoding-neysas-series-a-round-valuation-and-shareholding-pattern-9319868</t>
        </is>
      </c>
    </row>
    <row r="539">
      <c r="A539" t="inlineStr">
        <is>
          <t>R250602-pepperfry</t>
        </is>
      </c>
      <c r="B539" t="inlineStr">
        <is>
          <t>Pepperfry</t>
        </is>
      </c>
      <c r="C539" s="17" t="n">
        <v>45810</v>
      </c>
      <c r="D539" s="18" t="n">
        <v>45809</v>
      </c>
      <c r="E539" s="19" t="n">
        <v>5.071</v>
      </c>
      <c r="F539" s="19" t="n">
        <v>43.3</v>
      </c>
      <c r="G539" t="inlineStr">
        <is>
          <t>Rs 43.3 crore</t>
        </is>
      </c>
      <c r="H539" t="inlineStr">
        <is>
          <t>Undisclosed</t>
        </is>
      </c>
      <c r="I539" t="inlineStr">
        <is>
          <t>Undisclosed</t>
        </is>
      </c>
      <c r="J539" t="inlineStr">
        <is>
          <t>Ecommerce</t>
        </is>
      </c>
      <c r="K539" t="inlineStr">
        <is>
          <t>Mumbai</t>
        </is>
      </c>
      <c r="L539" t="inlineStr"/>
      <c r="M539" t="inlineStr"/>
      <c r="N539" t="inlineStr">
        <is>
          <t>et</t>
        </is>
      </c>
      <c r="O539" s="20" t="n">
        <v>1</v>
      </c>
      <c r="P539" s="21" t="n">
        <v>0</v>
      </c>
      <c r="Q539" t="inlineStr">
        <is>
          <t>C04 C05</t>
        </is>
      </c>
      <c r="R539" s="22" t="inlineStr">
        <is>
          <t>https://economictimes.indiatimes.com/tech/startups/furniture-retailer-pepperfry-raises-rs-43-crore-from-existing-investors/articleshow/121570857.cms</t>
        </is>
      </c>
    </row>
    <row r="540">
      <c r="A540" t="inlineStr">
        <is>
          <t>R250602-spense</t>
        </is>
      </c>
      <c r="B540" t="inlineStr">
        <is>
          <t>Spense</t>
        </is>
      </c>
      <c r="C540" s="17" t="n">
        <v>45810</v>
      </c>
      <c r="D540" s="18" t="n">
        <v>45809</v>
      </c>
      <c r="E540" s="19" t="n">
        <v>1.85</v>
      </c>
      <c r="F540" s="19" t="n">
        <v>15.8</v>
      </c>
      <c r="G540" t="inlineStr">
        <is>
          <t>$1.85 million</t>
        </is>
      </c>
      <c r="H540" t="inlineStr">
        <is>
          <t>Pre-Seed</t>
        </is>
      </c>
      <c r="I540" t="inlineStr">
        <is>
          <t>Early</t>
        </is>
      </c>
      <c r="J540" t="inlineStr">
        <is>
          <t>Fintech</t>
        </is>
      </c>
      <c r="K540" t="inlineStr">
        <is>
          <t>Bengaluru</t>
        </is>
      </c>
      <c r="L540" t="inlineStr">
        <is>
          <t>GrowthCap Ventures</t>
        </is>
      </c>
      <c r="M540" t="inlineStr">
        <is>
          <t>GrowthCap Ventures; Kunal Shah; Sayandeb Banerjee; Suresh Rayasam; Ravi Sudhakar</t>
        </is>
      </c>
      <c r="N540" t="inlineStr">
        <is>
          <t>entrackr | inc42</t>
        </is>
      </c>
      <c r="O540" s="20" t="n">
        <v>2</v>
      </c>
      <c r="P540" s="21" t="n">
        <v>2.7</v>
      </c>
      <c r="Q540" t="inlineStr"/>
      <c r="R540" s="22" t="inlineStr">
        <is>
          <t>https://entrackr.com/snippets/growthcap-leads-185-mn-pre-seed-round-in-spense-9327516</t>
        </is>
      </c>
    </row>
    <row r="541">
      <c r="A541" t="inlineStr">
        <is>
          <t>R250602-udaan</t>
        </is>
      </c>
      <c r="B541" t="inlineStr">
        <is>
          <t>Udaan</t>
        </is>
      </c>
      <c r="C541" s="17" t="n">
        <v>45810</v>
      </c>
      <c r="D541" s="18" t="n">
        <v>45809</v>
      </c>
      <c r="E541" s="19" t="n">
        <v>114</v>
      </c>
      <c r="F541" s="19" t="n">
        <v>973.33</v>
      </c>
      <c r="G541" t="inlineStr">
        <is>
          <t>$114 million</t>
        </is>
      </c>
      <c r="H541" t="inlineStr">
        <is>
          <t>Series G</t>
        </is>
      </c>
      <c r="I541" t="inlineStr">
        <is>
          <t>Late</t>
        </is>
      </c>
      <c r="J541" t="inlineStr">
        <is>
          <t>Ecommerce</t>
        </is>
      </c>
      <c r="K541" t="inlineStr">
        <is>
          <t>Bengaluru</t>
        </is>
      </c>
      <c r="L541" t="inlineStr">
        <is>
          <t>M&amp;G Investments; Lightspeed; M&amp;amp</t>
        </is>
      </c>
      <c r="M541" t="inlineStr">
        <is>
          <t>M&amp;G Investments; Lightspeed; M&amp;G Plc; M&amp;amp</t>
        </is>
      </c>
      <c r="N541" t="inlineStr">
        <is>
          <t>entrackr | inc42 | et | vccircle</t>
        </is>
      </c>
      <c r="O541" s="20" t="n">
        <v>4</v>
      </c>
      <c r="P541" s="21" t="n">
        <v>192.3</v>
      </c>
      <c r="Q541" t="inlineStr">
        <is>
          <t>C15 C17</t>
        </is>
      </c>
      <c r="R541" s="22" t="inlineStr">
        <is>
          <t>https://entrackr.com/news/udaan-closes-series-g-round-at-114-mn-9327813</t>
        </is>
      </c>
    </row>
    <row r="542">
      <c r="A542" t="inlineStr">
        <is>
          <t>R250603-gullylabs</t>
        </is>
      </c>
      <c r="B542" t="inlineStr">
        <is>
          <t>Gully Labs</t>
        </is>
      </c>
      <c r="C542" s="17" t="n">
        <v>45811</v>
      </c>
      <c r="D542" s="18" t="n">
        <v>45809</v>
      </c>
      <c r="E542" s="19" t="n">
        <v>1.016</v>
      </c>
      <c r="F542" s="19" t="n">
        <v>8.699999999999999</v>
      </c>
      <c r="G542" t="inlineStr">
        <is>
          <t>Rs 8.7 crore</t>
        </is>
      </c>
      <c r="H542" t="inlineStr">
        <is>
          <t>Seed</t>
        </is>
      </c>
      <c r="I542" t="inlineStr">
        <is>
          <t>Early</t>
        </is>
      </c>
      <c r="J542" t="inlineStr">
        <is>
          <t>Ecommerce</t>
        </is>
      </c>
      <c r="K542" t="inlineStr">
        <is>
          <t>Unknown</t>
        </is>
      </c>
      <c r="L542" t="inlineStr">
        <is>
          <t>Zeropearl VC; Atrium Ventures; Vivekananda Hallekere; Suhasini Sampath; Nishchay AG; Ashutosh Valani; Anurag Ramadasan; Rahul Seth</t>
        </is>
      </c>
      <c r="M542" t="inlineStr">
        <is>
          <t>Zeropearl VC; Vivekananda Hallekere; Suhasini Sampath; Nishchay AG; Ashutosh Valani; Anurag Ramadasan; Rahul Seth; Untitled Ventures; Atrium Ventures; Stride Ventures</t>
        </is>
      </c>
      <c r="N542" t="inlineStr">
        <is>
          <t>entrackr | inc42</t>
        </is>
      </c>
      <c r="O542" s="20" t="n">
        <v>2</v>
      </c>
      <c r="P542" s="21" t="n">
        <v>1.6</v>
      </c>
      <c r="Q542" t="inlineStr">
        <is>
          <t>C07</t>
        </is>
      </c>
      <c r="R542" s="22" t="inlineStr">
        <is>
          <t>https://entrackr.com/snippets/gully-labs-raises-rs-87-cr-in-seed-round-led-by-zeropearl-vc-9331170</t>
        </is>
      </c>
    </row>
    <row r="543">
      <c r="A543" t="inlineStr">
        <is>
          <t>R250603-gyandhan</t>
        </is>
      </c>
      <c r="B543" t="inlineStr">
        <is>
          <t>GyanDhan</t>
        </is>
      </c>
      <c r="C543" s="17" t="n">
        <v>45811</v>
      </c>
      <c r="D543" s="18" t="n">
        <v>45809</v>
      </c>
      <c r="E543" s="19" t="n">
        <v>5.84</v>
      </c>
      <c r="F543" s="19" t="n">
        <v>50</v>
      </c>
      <c r="G543" t="inlineStr">
        <is>
          <t>Rs 50 crore</t>
        </is>
      </c>
      <c r="H543" t="inlineStr">
        <is>
          <t>Series A</t>
        </is>
      </c>
      <c r="I543" t="inlineStr">
        <is>
          <t>Early</t>
        </is>
      </c>
      <c r="J543" t="inlineStr">
        <is>
          <t>Fintech</t>
        </is>
      </c>
      <c r="K543" t="inlineStr">
        <is>
          <t>Delhi NCR</t>
        </is>
      </c>
      <c r="L543" t="inlineStr"/>
      <c r="M543" t="inlineStr">
        <is>
          <t>Classplus; Pravega Ventures</t>
        </is>
      </c>
      <c r="N543" t="inlineStr">
        <is>
          <t>entrackr | inc42 | et</t>
        </is>
      </c>
      <c r="O543" s="20" t="n">
        <v>3</v>
      </c>
      <c r="P543" s="21" t="n">
        <v>0.7</v>
      </c>
      <c r="Q543" t="inlineStr"/>
      <c r="R543" s="22" t="inlineStr">
        <is>
          <t>https://economictimes.indiatimes.com/tech/funding/education-financing-startup-gyandhan-raises-rs-50-crore-from-edtech-firm-classplus-vc-fund-pravega-ventures/articleshow/121603219.cms</t>
        </is>
      </c>
    </row>
    <row r="544">
      <c r="A544" t="inlineStr">
        <is>
          <t>R250603-plush</t>
        </is>
      </c>
      <c r="B544" t="inlineStr">
        <is>
          <t>Plush</t>
        </is>
      </c>
      <c r="C544" s="17" t="n">
        <v>45811</v>
      </c>
      <c r="D544" s="18" t="n">
        <v>45809</v>
      </c>
      <c r="E544" s="19" t="n">
        <v>4.672</v>
      </c>
      <c r="F544" s="19" t="n">
        <v>40</v>
      </c>
      <c r="G544" t="inlineStr">
        <is>
          <t>Rs 40 crore</t>
        </is>
      </c>
      <c r="H544" t="inlineStr">
        <is>
          <t>Series B</t>
        </is>
      </c>
      <c r="I544" t="inlineStr">
        <is>
          <t>Growth</t>
        </is>
      </c>
      <c r="J544" t="inlineStr">
        <is>
          <t>Ecommerce</t>
        </is>
      </c>
      <c r="K544" t="inlineStr">
        <is>
          <t>Chennai</t>
        </is>
      </c>
      <c r="L544" t="inlineStr">
        <is>
          <t>Rahul Garg</t>
        </is>
      </c>
      <c r="M544" t="inlineStr">
        <is>
          <t>Rahul Garg; Blume Founders Fund; OTP Ventures; Careernet; Patni Family Office; Sumit Jalan; Ajay Kumar Aggarwal</t>
        </is>
      </c>
      <c r="N544" t="inlineStr">
        <is>
          <t>entrackr | inc42 | vccircle</t>
        </is>
      </c>
      <c r="O544" s="20" t="n">
        <v>3</v>
      </c>
      <c r="P544" s="21" t="n">
        <v>0.6</v>
      </c>
      <c r="Q544" t="inlineStr"/>
      <c r="R544" s="22" t="inlineStr">
        <is>
          <t>https://entrackr.com/exclusive/exclusive-feminine-care-brand-plush-to-kick-off-series-b-round-at-3x-valuation-surge-9330660</t>
        </is>
      </c>
    </row>
    <row r="545">
      <c r="A545" t="inlineStr">
        <is>
          <t>R250603-serveclub</t>
        </is>
      </c>
      <c r="B545" t="inlineStr">
        <is>
          <t>ServeClub</t>
        </is>
      </c>
      <c r="C545" s="17" t="n">
        <v>45811</v>
      </c>
      <c r="D545" s="18" t="n">
        <v>45809</v>
      </c>
      <c r="E545" s="19" t="n"/>
      <c r="F545" s="19" t="n"/>
      <c r="G545" t="inlineStr"/>
      <c r="H545" t="inlineStr">
        <is>
          <t>Seed</t>
        </is>
      </c>
      <c r="I545" t="inlineStr">
        <is>
          <t>Early</t>
        </is>
      </c>
      <c r="J545" t="inlineStr">
        <is>
          <t>Ecommerce</t>
        </is>
      </c>
      <c r="K545" t="inlineStr">
        <is>
          <t>Unknown</t>
        </is>
      </c>
      <c r="L545" t="inlineStr"/>
      <c r="M545" t="inlineStr">
        <is>
          <t>Manish Poddar</t>
        </is>
      </c>
      <c r="N545" t="inlineStr">
        <is>
          <t>entrackr</t>
        </is>
      </c>
      <c r="O545" s="20" t="n">
        <v>1</v>
      </c>
      <c r="P545" s="21" t="n"/>
      <c r="Q545" t="inlineStr">
        <is>
          <t>C03 C07</t>
        </is>
      </c>
      <c r="R545" s="22" t="inlineStr">
        <is>
          <t>https://entrackr.com/snippets/serveclub-raises-seed-round-from-rare-rabbit-the-moms-co-founders-9331008</t>
        </is>
      </c>
    </row>
    <row r="546">
      <c r="A546" t="inlineStr">
        <is>
          <t>R250603-stablemoney</t>
        </is>
      </c>
      <c r="B546" t="inlineStr">
        <is>
          <t>Stable Money</t>
        </is>
      </c>
      <c r="C546" s="17" t="n">
        <v>45811</v>
      </c>
      <c r="D546" s="18" t="n">
        <v>45809</v>
      </c>
      <c r="E546" s="19" t="n">
        <v>20</v>
      </c>
      <c r="F546" s="19" t="n">
        <v>171.24</v>
      </c>
      <c r="G546" t="inlineStr">
        <is>
          <t>$20 million</t>
        </is>
      </c>
      <c r="H546" t="inlineStr">
        <is>
          <t>Series B</t>
        </is>
      </c>
      <c r="I546" t="inlineStr">
        <is>
          <t>Growth</t>
        </is>
      </c>
      <c r="J546" t="inlineStr">
        <is>
          <t>Fintech</t>
        </is>
      </c>
      <c r="K546" t="inlineStr">
        <is>
          <t>Bengaluru</t>
        </is>
      </c>
      <c r="L546" t="inlineStr">
        <is>
          <t>Fundamentum Partnership; Z47; RTP Global; Lightspeed</t>
        </is>
      </c>
      <c r="M546" t="inlineStr">
        <is>
          <t>Fundamentum Partnership; Aditya Birla Ventures; Z47; RTP Global Lightspeed</t>
        </is>
      </c>
      <c r="N546" t="inlineStr">
        <is>
          <t>entrackr | inc42 | et</t>
        </is>
      </c>
      <c r="O546" s="20" t="n">
        <v>3</v>
      </c>
      <c r="P546" s="21" t="n">
        <v>0</v>
      </c>
      <c r="Q546" t="inlineStr"/>
      <c r="R546" s="22" t="inlineStr">
        <is>
          <t>https://entrackr.com/news/stable-money-raises-20-mn-led-by-fundamentum-9330477</t>
        </is>
      </c>
    </row>
    <row r="547">
      <c r="A547" t="inlineStr">
        <is>
          <t>R250603-truediamond</t>
        </is>
      </c>
      <c r="B547" t="inlineStr">
        <is>
          <t>True Diamond</t>
        </is>
      </c>
      <c r="C547" s="17" t="n">
        <v>45811</v>
      </c>
      <c r="D547" s="18" t="n">
        <v>45809</v>
      </c>
      <c r="E547" s="19" t="n">
        <v>3.037</v>
      </c>
      <c r="F547" s="19" t="n">
        <v>26</v>
      </c>
      <c r="G547" t="inlineStr">
        <is>
          <t>Rs 26 crore</t>
        </is>
      </c>
      <c r="H547" t="inlineStr">
        <is>
          <t>Pre-Series A</t>
        </is>
      </c>
      <c r="I547" t="inlineStr">
        <is>
          <t>Early</t>
        </is>
      </c>
      <c r="J547" t="inlineStr">
        <is>
          <t>Ecommerce</t>
        </is>
      </c>
      <c r="K547" t="inlineStr">
        <is>
          <t>Mumbai</t>
        </is>
      </c>
      <c r="L547" t="inlineStr">
        <is>
          <t>India Quotient; Titan Capital Winners Fund; Huddle Ventures</t>
        </is>
      </c>
      <c r="M547" t="inlineStr">
        <is>
          <t>India Quotient; Titan Capital; Huddle Ventures; Zeropearl Ventures; Priyank Shah; Aashka Goradia Goble; Ghazal Alagh; Abhishek Goyal; Anmol Jain; Ashutosh Valani</t>
        </is>
      </c>
      <c r="N547" t="inlineStr">
        <is>
          <t>entrackr | inc42 | vccircle</t>
        </is>
      </c>
      <c r="O547" s="20" t="n">
        <v>3</v>
      </c>
      <c r="P547" s="21" t="n">
        <v>1.2</v>
      </c>
      <c r="Q547" t="inlineStr"/>
      <c r="R547" s="22" t="inlineStr">
        <is>
          <t>https://inc42.com/buzz/from-snitch-to-stable-money-indian-startups-raised-134-mn-this-week/</t>
        </is>
      </c>
    </row>
    <row r="548">
      <c r="A548" t="inlineStr">
        <is>
          <t>R250604-naagin</t>
        </is>
      </c>
      <c r="B548" t="inlineStr">
        <is>
          <t>Naagin</t>
        </is>
      </c>
      <c r="C548" s="17" t="n">
        <v>45812</v>
      </c>
      <c r="D548" s="18" t="n">
        <v>45809</v>
      </c>
      <c r="E548" s="19" t="n">
        <v>2.1</v>
      </c>
      <c r="F548" s="19" t="n">
        <v>18.04</v>
      </c>
      <c r="G548" t="inlineStr">
        <is>
          <t>$2.1 Mn</t>
        </is>
      </c>
      <c r="H548" t="inlineStr">
        <is>
          <t>Undisclosed</t>
        </is>
      </c>
      <c r="I548" t="inlineStr">
        <is>
          <t>Undisclosed</t>
        </is>
      </c>
      <c r="J548" t="inlineStr">
        <is>
          <t>Ecommerce</t>
        </is>
      </c>
      <c r="K548" t="inlineStr">
        <is>
          <t>Unknown</t>
        </is>
      </c>
      <c r="L548" t="inlineStr">
        <is>
          <t>360One Asset</t>
        </is>
      </c>
      <c r="M548" t="inlineStr">
        <is>
          <t>360One Asset</t>
        </is>
      </c>
      <c r="N548" t="inlineStr">
        <is>
          <t>inc42</t>
        </is>
      </c>
      <c r="O548" s="20" t="n">
        <v>1</v>
      </c>
      <c r="P548" s="21" t="n">
        <v>0</v>
      </c>
      <c r="Q548" t="inlineStr">
        <is>
          <t>C04 C07</t>
        </is>
      </c>
      <c r="R548" s="22" t="inlineStr">
        <is>
          <t>https://inc42.com/buzz/from-snitch-to-stable-money-indian-startups-raised-134-mn-this-week/</t>
        </is>
      </c>
    </row>
    <row r="549">
      <c r="A549" t="inlineStr">
        <is>
          <t>R250605-biglilpeople</t>
        </is>
      </c>
      <c r="B549" t="inlineStr">
        <is>
          <t>Biglilpeople</t>
        </is>
      </c>
      <c r="C549" s="17" t="n">
        <v>45813</v>
      </c>
      <c r="D549" s="18" t="n">
        <v>45809</v>
      </c>
      <c r="E549" s="19" t="n">
        <v>0.466</v>
      </c>
      <c r="F549" s="19" t="n">
        <v>4</v>
      </c>
      <c r="G549" t="inlineStr">
        <is>
          <t>$466K</t>
        </is>
      </c>
      <c r="H549" t="inlineStr">
        <is>
          <t>Seed</t>
        </is>
      </c>
      <c r="I549" t="inlineStr">
        <is>
          <t>Early</t>
        </is>
      </c>
      <c r="J549" t="inlineStr">
        <is>
          <t>Ecommerce</t>
        </is>
      </c>
      <c r="K549" t="inlineStr">
        <is>
          <t>Unknown</t>
        </is>
      </c>
      <c r="L549" t="inlineStr"/>
      <c r="M549" t="inlineStr">
        <is>
          <t>Capwise Financial Services</t>
        </is>
      </c>
      <c r="N549" t="inlineStr">
        <is>
          <t>inc42</t>
        </is>
      </c>
      <c r="O549" s="20" t="n">
        <v>1</v>
      </c>
      <c r="P549" s="21" t="n">
        <v>0</v>
      </c>
      <c r="Q549" t="inlineStr">
        <is>
          <t>C07</t>
        </is>
      </c>
      <c r="R549" s="22" t="inlineStr">
        <is>
          <t>https://inc42.com/buzz/from-snitch-to-stable-money-indian-startups-raised-134-mn-this-week/</t>
        </is>
      </c>
    </row>
    <row r="550">
      <c r="A550" t="inlineStr">
        <is>
          <t>R250605-kharifoods</t>
        </is>
      </c>
      <c r="B550" t="inlineStr">
        <is>
          <t>Khari Foods</t>
        </is>
      </c>
      <c r="C550" s="17" t="n">
        <v>45813</v>
      </c>
      <c r="D550" s="18" t="n">
        <v>45809</v>
      </c>
      <c r="E550" s="19" t="n">
        <v>0.35</v>
      </c>
      <c r="F550" s="19" t="n">
        <v>3</v>
      </c>
      <c r="G550" t="inlineStr">
        <is>
          <t>Rs 3 crore</t>
        </is>
      </c>
      <c r="H550" t="inlineStr">
        <is>
          <t>Seed</t>
        </is>
      </c>
      <c r="I550" t="inlineStr">
        <is>
          <t>Early</t>
        </is>
      </c>
      <c r="J550" t="inlineStr">
        <is>
          <t>Ecommerce</t>
        </is>
      </c>
      <c r="K550" t="inlineStr">
        <is>
          <t>Delhi NCR</t>
        </is>
      </c>
      <c r="L550" t="inlineStr">
        <is>
          <t>Meri Punji IMF</t>
        </is>
      </c>
      <c r="M550" t="inlineStr">
        <is>
          <t>Meri Punji IMF</t>
        </is>
      </c>
      <c r="N550" t="inlineStr">
        <is>
          <t>entrackr | inc42</t>
        </is>
      </c>
      <c r="O550" s="20" t="n">
        <v>2</v>
      </c>
      <c r="P550" s="21" t="n">
        <v>0.1</v>
      </c>
      <c r="Q550" t="inlineStr"/>
      <c r="R550" s="22" t="inlineStr">
        <is>
          <t>https://entrackr.com/snippets/khari-foods-raises-rs-3-cr-in-seed-round-9336946</t>
        </is>
      </c>
    </row>
    <row r="551">
      <c r="A551" t="inlineStr">
        <is>
          <t>R250605-loantap</t>
        </is>
      </c>
      <c r="B551" t="inlineStr">
        <is>
          <t>LoanTap</t>
        </is>
      </c>
      <c r="C551" s="17" t="n">
        <v>45813</v>
      </c>
      <c r="D551" s="18" t="n">
        <v>45809</v>
      </c>
      <c r="E551" s="19" t="n">
        <v>6.2</v>
      </c>
      <c r="F551" s="19" t="n">
        <v>53.21</v>
      </c>
      <c r="G551" t="inlineStr">
        <is>
          <t>$6.2 million</t>
        </is>
      </c>
      <c r="H551" t="inlineStr">
        <is>
          <t>Pre-Series C</t>
        </is>
      </c>
      <c r="I551" t="inlineStr">
        <is>
          <t>Growth</t>
        </is>
      </c>
      <c r="J551" t="inlineStr">
        <is>
          <t>Fintech</t>
        </is>
      </c>
      <c r="K551" t="inlineStr">
        <is>
          <t>Pune</t>
        </is>
      </c>
      <c r="L551" t="inlineStr">
        <is>
          <t>July Ventures</t>
        </is>
      </c>
      <c r="M551" t="inlineStr">
        <is>
          <t>July Ventures; 3one4 Capital; Avaana Capital; Kae Capital; Swapurna Family Office</t>
        </is>
      </c>
      <c r="N551" t="inlineStr">
        <is>
          <t>entrackr | inc42 | et | vccircle</t>
        </is>
      </c>
      <c r="O551" s="20" t="n">
        <v>4</v>
      </c>
      <c r="P551" s="21" t="n">
        <v>38.7</v>
      </c>
      <c r="Q551" t="inlineStr">
        <is>
          <t>C15</t>
        </is>
      </c>
      <c r="R551" s="22" t="inlineStr">
        <is>
          <t>https://entrackr.com/snippets/loantap-raises-62-mn-led-by-july-ventures-9336604</t>
        </is>
      </c>
    </row>
    <row r="552">
      <c r="A552" t="inlineStr">
        <is>
          <t>R250605-stridegreen</t>
        </is>
      </c>
      <c r="B552" t="inlineStr">
        <is>
          <t>Stride Green</t>
        </is>
      </c>
      <c r="C552" s="17" t="n">
        <v>45813</v>
      </c>
      <c r="D552" s="18" t="n">
        <v>45809</v>
      </c>
      <c r="E552" s="19" t="n">
        <v>3.5</v>
      </c>
      <c r="F552" s="19" t="n">
        <v>30.04</v>
      </c>
      <c r="G552" t="inlineStr">
        <is>
          <t>$3.5 million</t>
        </is>
      </c>
      <c r="H552" t="inlineStr">
        <is>
          <t>Seed</t>
        </is>
      </c>
      <c r="I552" t="inlineStr">
        <is>
          <t>Early</t>
        </is>
      </c>
      <c r="J552" t="inlineStr">
        <is>
          <t>Cleantech</t>
        </is>
      </c>
      <c r="K552" t="inlineStr">
        <is>
          <t>Delhi NCR</t>
        </is>
      </c>
      <c r="L552" t="inlineStr">
        <is>
          <t>Micelio Technology Fund; Incubate Fund Asia</t>
        </is>
      </c>
      <c r="M552" t="inlineStr">
        <is>
          <t>Micelio Technology Fund; Incubate Fund Asia</t>
        </is>
      </c>
      <c r="N552" t="inlineStr">
        <is>
          <t>entrackr | et</t>
        </is>
      </c>
      <c r="O552" s="20" t="n">
        <v>2</v>
      </c>
      <c r="P552" s="21" t="n">
        <v>0</v>
      </c>
      <c r="Q552" t="inlineStr"/>
      <c r="R552" s="22" t="inlineStr">
        <is>
          <t>https://entrackr.com/snippets/stride-green-raises-35-mn-in-seed-round-9336653</t>
        </is>
      </c>
    </row>
    <row r="553">
      <c r="A553" t="inlineStr">
        <is>
          <t>R250605-syfe</t>
        </is>
      </c>
      <c r="B553" t="inlineStr">
        <is>
          <t>Syfe</t>
        </is>
      </c>
      <c r="C553" s="17" t="n">
        <v>45813</v>
      </c>
      <c r="D553" s="18" t="n">
        <v>45809</v>
      </c>
      <c r="E553" s="19" t="n">
        <v>80</v>
      </c>
      <c r="F553" s="19" t="n">
        <v>686.64</v>
      </c>
      <c r="G553" t="inlineStr">
        <is>
          <t>$80 million</t>
        </is>
      </c>
      <c r="H553" t="inlineStr">
        <is>
          <t>Series C</t>
        </is>
      </c>
      <c r="I553" t="inlineStr">
        <is>
          <t>Growth</t>
        </is>
      </c>
      <c r="J553" t="inlineStr">
        <is>
          <t>Fintech</t>
        </is>
      </c>
      <c r="K553" t="inlineStr">
        <is>
          <t>Outside India</t>
        </is>
      </c>
      <c r="L553" t="inlineStr"/>
      <c r="M553" t="inlineStr">
        <is>
          <t>Unbound; Valar Ventures</t>
        </is>
      </c>
      <c r="N553" t="inlineStr">
        <is>
          <t>entrackr | et | vccircle</t>
        </is>
      </c>
      <c r="O553" s="20" t="n">
        <v>3</v>
      </c>
      <c r="P553" s="21" t="n">
        <v>50.9</v>
      </c>
      <c r="Q553" t="inlineStr">
        <is>
          <t>C15</t>
        </is>
      </c>
      <c r="R553" s="22" t="inlineStr">
        <is>
          <t>https://entrackr.com/news/wealth-management-platform-syfe-raises-80-mn-in-series-c-9336626</t>
        </is>
      </c>
    </row>
    <row r="554">
      <c r="A554" t="inlineStr">
        <is>
          <t>R250605-thetarzanway</t>
        </is>
      </c>
      <c r="B554" t="inlineStr">
        <is>
          <t>The Tarzan Way</t>
        </is>
      </c>
      <c r="C554" s="17" t="n">
        <v>45813</v>
      </c>
      <c r="D554" s="18" t="n">
        <v>45809</v>
      </c>
      <c r="E554" s="19" t="n">
        <v>0.233</v>
      </c>
      <c r="F554" s="19" t="n">
        <v>2</v>
      </c>
      <c r="G554" t="inlineStr">
        <is>
          <t>Rs 2 crore</t>
        </is>
      </c>
      <c r="H554" t="inlineStr">
        <is>
          <t>Seed</t>
        </is>
      </c>
      <c r="I554" t="inlineStr">
        <is>
          <t>Early</t>
        </is>
      </c>
      <c r="J554" t="inlineStr">
        <is>
          <t>Travel Tech</t>
        </is>
      </c>
      <c r="K554" t="inlineStr">
        <is>
          <t>Delhi NCR</t>
        </is>
      </c>
      <c r="L554" t="inlineStr">
        <is>
          <t>Inflection Point Venture</t>
        </is>
      </c>
      <c r="M554" t="inlineStr">
        <is>
          <t>Inflection Point Venture; Your Trips; Prateek Maheshwari</t>
        </is>
      </c>
      <c r="N554" t="inlineStr">
        <is>
          <t>entrackr | inc42</t>
        </is>
      </c>
      <c r="O554" s="20" t="n">
        <v>2</v>
      </c>
      <c r="P554" s="21" t="n">
        <v>0</v>
      </c>
      <c r="Q554" t="inlineStr"/>
      <c r="R554" s="22" t="inlineStr">
        <is>
          <t>https://entrackr.com/snippets/travel-tech-startup-the-tarzan-way-raises-rs-2-cr-led-by-ipv-9336938</t>
        </is>
      </c>
    </row>
    <row r="555">
      <c r="A555" t="inlineStr">
        <is>
          <t>R250606-biopeak</t>
        </is>
      </c>
      <c r="B555" t="inlineStr">
        <is>
          <t>Biopeak</t>
        </is>
      </c>
      <c r="C555" s="17" t="n">
        <v>45814</v>
      </c>
      <c r="D555" s="18" t="n">
        <v>45809</v>
      </c>
      <c r="E555" s="19" t="n">
        <v>3.5</v>
      </c>
      <c r="F555" s="19" t="n">
        <v>30.01</v>
      </c>
      <c r="G555" t="inlineStr">
        <is>
          <t>$3.5 Mn</t>
        </is>
      </c>
      <c r="H555" t="inlineStr">
        <is>
          <t>Seed</t>
        </is>
      </c>
      <c r="I555" t="inlineStr">
        <is>
          <t>Early</t>
        </is>
      </c>
      <c r="J555" t="inlineStr">
        <is>
          <t>Healthtech</t>
        </is>
      </c>
      <c r="K555" t="inlineStr">
        <is>
          <t>Bengaluru</t>
        </is>
      </c>
      <c r="L555" t="inlineStr">
        <is>
          <t>Prashanth Prakash</t>
        </is>
      </c>
      <c r="M555" t="inlineStr">
        <is>
          <t>Prashanth Prakash; Nikhil Kamath; Nithin Kamath; Claypond Capital; Ranjan Pai; Rainmatter</t>
        </is>
      </c>
      <c r="N555" t="inlineStr">
        <is>
          <t>inc42 | et</t>
        </is>
      </c>
      <c r="O555" s="20" t="n">
        <v>2</v>
      </c>
      <c r="P555" s="21" t="n">
        <v>16.7</v>
      </c>
      <c r="Q555" t="inlineStr">
        <is>
          <t>C15</t>
        </is>
      </c>
      <c r="R555" s="22" t="inlineStr">
        <is>
          <t>https://economictimes.indiatimes.com/tech/funding/wellness-and-longevity-startup-biopeak-raises-3-million-from-ranjan-pais-claypond-capital-accels-prashanth-prakash-others/articleshow/121675811.cms</t>
        </is>
      </c>
    </row>
    <row r="556">
      <c r="A556" t="inlineStr">
        <is>
          <t>R250606-decentro</t>
        </is>
      </c>
      <c r="B556" t="inlineStr">
        <is>
          <t>Decentro</t>
        </is>
      </c>
      <c r="C556" s="17" t="n">
        <v>45814</v>
      </c>
      <c r="D556" s="18" t="n">
        <v>45809</v>
      </c>
      <c r="E556" s="19" t="n">
        <v>3.499</v>
      </c>
      <c r="F556" s="19" t="n">
        <v>30</v>
      </c>
      <c r="G556" t="inlineStr">
        <is>
          <t>Rs 30 crore</t>
        </is>
      </c>
      <c r="H556" t="inlineStr">
        <is>
          <t>Series B</t>
        </is>
      </c>
      <c r="I556" t="inlineStr">
        <is>
          <t>Growth</t>
        </is>
      </c>
      <c r="J556" t="inlineStr">
        <is>
          <t>Fintech</t>
        </is>
      </c>
      <c r="K556" t="inlineStr">
        <is>
          <t>Bengaluru</t>
        </is>
      </c>
      <c r="L556" t="inlineStr">
        <is>
          <t>InfoEdge Ventures</t>
        </is>
      </c>
      <c r="M556" t="inlineStr">
        <is>
          <t>InfoEdge Ventures; Stargazer Growth; Uncorrelated Venture; Lalit Keshre</t>
        </is>
      </c>
      <c r="N556" t="inlineStr">
        <is>
          <t>entrackr | inc42 | et | vccircle</t>
        </is>
      </c>
      <c r="O556" s="20" t="n">
        <v>4</v>
      </c>
      <c r="P556" s="21" t="n">
        <v>0</v>
      </c>
      <c r="Q556" t="inlineStr"/>
      <c r="R556" s="22" t="inlineStr">
        <is>
          <t>https://entrackr.com/snippets/decentro-raises-rs-30-cr-in-series-b-to-shift-domicile-to-india-9339941</t>
        </is>
      </c>
    </row>
    <row r="557">
      <c r="A557" t="inlineStr">
        <is>
          <t>R250606-kosmcai</t>
        </is>
      </c>
      <c r="B557" t="inlineStr">
        <is>
          <t>Kosmc AI</t>
        </is>
      </c>
      <c r="C557" s="17" t="n">
        <v>45814</v>
      </c>
      <c r="D557" s="18" t="n">
        <v>45809</v>
      </c>
      <c r="E557" s="19" t="n">
        <v>0.2</v>
      </c>
      <c r="F557" s="19" t="n">
        <v>1.71</v>
      </c>
      <c r="G557" t="inlineStr">
        <is>
          <t>$200K</t>
        </is>
      </c>
      <c r="H557" t="inlineStr">
        <is>
          <t>Pre-Seed</t>
        </is>
      </c>
      <c r="I557" t="inlineStr">
        <is>
          <t>Early</t>
        </is>
      </c>
      <c r="J557" t="inlineStr">
        <is>
          <t>Enterprise Tech</t>
        </is>
      </c>
      <c r="K557" t="inlineStr">
        <is>
          <t>Delhi NCR</t>
        </is>
      </c>
      <c r="L557" t="inlineStr"/>
      <c r="M557" t="inlineStr"/>
      <c r="N557" t="inlineStr">
        <is>
          <t>entrackr | inc42</t>
        </is>
      </c>
      <c r="O557" s="20" t="n">
        <v>2</v>
      </c>
      <c r="P557" s="21" t="n">
        <v>0</v>
      </c>
      <c r="Q557" t="inlineStr">
        <is>
          <t>C05</t>
        </is>
      </c>
      <c r="R557" s="22" t="inlineStr">
        <is>
          <t>https://entrackr.com/snippets/social-commerce-infrastructure-startup-kosmc-ai-raises-pre-seed-round-9340447</t>
        </is>
      </c>
    </row>
    <row r="558">
      <c r="A558" t="inlineStr">
        <is>
          <t>R250609-cred</t>
        </is>
      </c>
      <c r="B558" t="inlineStr">
        <is>
          <t>CRED</t>
        </is>
      </c>
      <c r="C558" s="17" t="n">
        <v>45817</v>
      </c>
      <c r="D558" s="18" t="n">
        <v>45809</v>
      </c>
      <c r="E558" s="19" t="n">
        <v>72.029</v>
      </c>
      <c r="F558" s="19" t="n">
        <v>617</v>
      </c>
      <c r="G558" t="inlineStr">
        <is>
          <t>Rs 617 crore</t>
        </is>
      </c>
      <c r="H558" t="inlineStr">
        <is>
          <t>Series G</t>
        </is>
      </c>
      <c r="I558" t="inlineStr">
        <is>
          <t>Late</t>
        </is>
      </c>
      <c r="J558" t="inlineStr">
        <is>
          <t>Fintech</t>
        </is>
      </c>
      <c r="K558" t="inlineStr">
        <is>
          <t>Unknown</t>
        </is>
      </c>
      <c r="L558" t="inlineStr">
        <is>
          <t>Lathe Investment</t>
        </is>
      </c>
      <c r="M558" t="inlineStr">
        <is>
          <t>Lathe Investment; RTP Capital; Sofina; QED Innovation Labs</t>
        </is>
      </c>
      <c r="N558" t="inlineStr">
        <is>
          <t>entrackr | inc42</t>
        </is>
      </c>
      <c r="O558" s="20" t="n">
        <v>2</v>
      </c>
      <c r="P558" s="21" t="n">
        <v>0</v>
      </c>
      <c r="Q558" t="inlineStr">
        <is>
          <t>C07</t>
        </is>
      </c>
      <c r="R558" s="22" t="inlineStr">
        <is>
          <t>https://entrackr.com/news/cred-raises-72-mn-from-lathe-kunal-shahs-qed-and-others-9349417</t>
        </is>
      </c>
    </row>
    <row r="559">
      <c r="A559" t="inlineStr">
        <is>
          <t>R250609-roomstoryai</t>
        </is>
      </c>
      <c r="B559" t="inlineStr">
        <is>
          <t>Roomstory.ai</t>
        </is>
      </c>
      <c r="C559" s="17" t="n">
        <v>45817</v>
      </c>
      <c r="D559" s="18" t="n">
        <v>45809</v>
      </c>
      <c r="E559" s="19" t="n">
        <v>0.35</v>
      </c>
      <c r="F559" s="19" t="n">
        <v>3</v>
      </c>
      <c r="G559" t="inlineStr">
        <is>
          <t>Rs 3 crore</t>
        </is>
      </c>
      <c r="H559" t="inlineStr">
        <is>
          <t>Pre-Seed</t>
        </is>
      </c>
      <c r="I559" t="inlineStr">
        <is>
          <t>Early</t>
        </is>
      </c>
      <c r="J559" t="inlineStr">
        <is>
          <t>Consumer Services</t>
        </is>
      </c>
      <c r="K559" t="inlineStr">
        <is>
          <t>Unknown</t>
        </is>
      </c>
      <c r="L559" t="inlineStr">
        <is>
          <t>Rukam Sitara Fund; Aakash Anand; Wolfpack Labs</t>
        </is>
      </c>
      <c r="M559" t="inlineStr">
        <is>
          <t>Rukam Sitara Fund; Aakash Anand; Wolfpack Labs</t>
        </is>
      </c>
      <c r="N559" t="inlineStr">
        <is>
          <t>entrackr | inc42</t>
        </is>
      </c>
      <c r="O559" s="20" t="n">
        <v>2</v>
      </c>
      <c r="P559" s="21" t="n">
        <v>0.6</v>
      </c>
      <c r="Q559" t="inlineStr">
        <is>
          <t>C07</t>
        </is>
      </c>
      <c r="R559" s="22" t="inlineStr">
        <is>
          <t>https://entrackr.com/snippets/interior-discovery-platform-roomstoryai-raises-pre-seed-round-led-by-rukam-sitara-fund-9347781</t>
        </is>
      </c>
    </row>
    <row r="560">
      <c r="A560" t="inlineStr">
        <is>
          <t>R250609-sanlayan</t>
        </is>
      </c>
      <c r="B560" t="inlineStr">
        <is>
          <t>Sanlayan</t>
        </is>
      </c>
      <c r="C560" s="17" t="n">
        <v>45817</v>
      </c>
      <c r="D560" s="18" t="n">
        <v>45809</v>
      </c>
      <c r="E560" s="19" t="n">
        <v>21.714</v>
      </c>
      <c r="F560" s="19" t="n">
        <v>186</v>
      </c>
      <c r="G560" t="inlineStr">
        <is>
          <t>Rs 186 crore</t>
        </is>
      </c>
      <c r="H560" t="inlineStr">
        <is>
          <t>Series A</t>
        </is>
      </c>
      <c r="I560" t="inlineStr">
        <is>
          <t>Early</t>
        </is>
      </c>
      <c r="J560" t="inlineStr">
        <is>
          <t>Advanced Hardware &amp; Technology</t>
        </is>
      </c>
      <c r="K560" t="inlineStr">
        <is>
          <t>Unknown</t>
        </is>
      </c>
      <c r="L560" t="inlineStr">
        <is>
          <t>Ashish Kacholia; Lashit Sanghvi; Jungle Ventures</t>
        </is>
      </c>
      <c r="M560" t="inlineStr">
        <is>
          <t>Ashish Kacholia; Lashit Sanghvi; Jungle Ventures; Gemba Capital; Singularity Ventures; Shastra VC</t>
        </is>
      </c>
      <c r="N560" t="inlineStr">
        <is>
          <t>entrackr | inc42 | vccircle</t>
        </is>
      </c>
      <c r="O560" s="20" t="n">
        <v>3</v>
      </c>
      <c r="P560" s="21" t="n">
        <v>0.1</v>
      </c>
      <c r="Q560" t="inlineStr">
        <is>
          <t>C07</t>
        </is>
      </c>
      <c r="R560" s="22" t="inlineStr">
        <is>
          <t>https://entrackr.com/news/defence-electronics-startup-sanlayan-raises-rs-186-cr-in-series-a-9347529</t>
        </is>
      </c>
    </row>
    <row r="561">
      <c r="A561" t="inlineStr">
        <is>
          <t>R250609-vecmocon</t>
        </is>
      </c>
      <c r="B561" t="inlineStr">
        <is>
          <t>Vecmocon</t>
        </is>
      </c>
      <c r="C561" s="17" t="n">
        <v>45817</v>
      </c>
      <c r="D561" s="18" t="n">
        <v>45809</v>
      </c>
      <c r="E561" s="19" t="n">
        <v>18</v>
      </c>
      <c r="F561" s="19" t="n">
        <v>154.19</v>
      </c>
      <c r="G561" t="inlineStr">
        <is>
          <t>$18 million</t>
        </is>
      </c>
      <c r="H561" t="inlineStr">
        <is>
          <t>Series A</t>
        </is>
      </c>
      <c r="I561" t="inlineStr">
        <is>
          <t>Early</t>
        </is>
      </c>
      <c r="J561" t="inlineStr">
        <is>
          <t>Cleantech</t>
        </is>
      </c>
      <c r="K561" t="inlineStr">
        <is>
          <t>Delhi NCR</t>
        </is>
      </c>
      <c r="L561" t="inlineStr">
        <is>
          <t>Ecosystem Integrity Fund; Aavishkaar Capital</t>
        </is>
      </c>
      <c r="M561" t="inlineStr">
        <is>
          <t>Ecosystem Integrity Fund; Aavishkaar Capital; British International Investment</t>
        </is>
      </c>
      <c r="N561" t="inlineStr">
        <is>
          <t>entrackr | inc42 | et</t>
        </is>
      </c>
      <c r="O561" s="20" t="n">
        <v>3</v>
      </c>
      <c r="P561" s="21" t="n">
        <v>0</v>
      </c>
      <c r="Q561" t="inlineStr"/>
      <c r="R561" s="22" t="inlineStr">
        <is>
          <t>https://entrackr.com/snippets/vecmocon-raises-18-mn-in-series-a-round-led-by-eif-9348232</t>
        </is>
      </c>
    </row>
    <row r="562">
      <c r="A562" t="inlineStr">
        <is>
          <t>R250610-flexiloans</t>
        </is>
      </c>
      <c r="B562" t="inlineStr">
        <is>
          <t>FlexiLoans</t>
        </is>
      </c>
      <c r="C562" s="17" t="n">
        <v>45818</v>
      </c>
      <c r="D562" s="18" t="n">
        <v>45809</v>
      </c>
      <c r="E562" s="19" t="n">
        <v>43.819</v>
      </c>
      <c r="F562" s="19" t="n">
        <v>375</v>
      </c>
      <c r="G562" t="inlineStr">
        <is>
          <t>Rs 375 crore</t>
        </is>
      </c>
      <c r="H562" t="inlineStr">
        <is>
          <t>Series C</t>
        </is>
      </c>
      <c r="I562" t="inlineStr">
        <is>
          <t>Growth</t>
        </is>
      </c>
      <c r="J562" t="inlineStr">
        <is>
          <t>Fintech</t>
        </is>
      </c>
      <c r="K562" t="inlineStr">
        <is>
          <t>Unknown</t>
        </is>
      </c>
      <c r="L562" t="inlineStr">
        <is>
          <t>Nuveen; Fundamentum; Accion Digital Transformation; Maj Invest</t>
        </is>
      </c>
      <c r="M562" t="inlineStr">
        <is>
          <t>Nuveen; Fundamentum; Accion Digital Transformation; Maj Invest; British International Investment</t>
        </is>
      </c>
      <c r="N562" t="inlineStr">
        <is>
          <t>entrackr | inc42 | et</t>
        </is>
      </c>
      <c r="O562" s="20" t="n">
        <v>3</v>
      </c>
      <c r="P562" s="21" t="n">
        <v>0</v>
      </c>
      <c r="Q562" t="inlineStr">
        <is>
          <t>C07</t>
        </is>
      </c>
      <c r="R562" s="22" t="inlineStr">
        <is>
          <t>https://inc42.com/buzz/from-groww-to-sanlayan-indian-startups-raised-559-mn-this-week/</t>
        </is>
      </c>
    </row>
    <row r="563">
      <c r="A563" t="inlineStr">
        <is>
          <t>R250610-flicktv</t>
        </is>
      </c>
      <c r="B563" t="inlineStr">
        <is>
          <t>Flick TV</t>
        </is>
      </c>
      <c r="C563" s="17" t="n">
        <v>45818</v>
      </c>
      <c r="D563" s="18" t="n">
        <v>45809</v>
      </c>
      <c r="E563" s="19" t="n">
        <v>2.3</v>
      </c>
      <c r="F563" s="19" t="n">
        <v>19.68</v>
      </c>
      <c r="G563" t="inlineStr">
        <is>
          <t>$2.3 million</t>
        </is>
      </c>
      <c r="H563" t="inlineStr">
        <is>
          <t>Seed</t>
        </is>
      </c>
      <c r="I563" t="inlineStr">
        <is>
          <t>Early</t>
        </is>
      </c>
      <c r="J563" t="inlineStr">
        <is>
          <t>Media &amp; Entertainment</t>
        </is>
      </c>
      <c r="K563" t="inlineStr">
        <is>
          <t>Bengaluru</t>
        </is>
      </c>
      <c r="L563" t="inlineStr">
        <is>
          <t>Stellaris Venture Partners</t>
        </is>
      </c>
      <c r="M563" t="inlineStr">
        <is>
          <t>Stellaris Venture Partners; Gemba Capital; Titan Capital</t>
        </is>
      </c>
      <c r="N563" t="inlineStr">
        <is>
          <t>entrackr | inc42 | et</t>
        </is>
      </c>
      <c r="O563" s="20" t="n">
        <v>3</v>
      </c>
      <c r="P563" s="21" t="n">
        <v>0</v>
      </c>
      <c r="Q563" t="inlineStr"/>
      <c r="R563" s="22" t="inlineStr">
        <is>
          <t>https://entrackr.com/snippets/flick-tv-raises-23-mn-in-seed-round-led-by-stellaris-ventures-9350145</t>
        </is>
      </c>
    </row>
    <row r="564">
      <c r="A564" t="inlineStr">
        <is>
          <t>R250610-kisahapparels</t>
        </is>
      </c>
      <c r="B564" t="inlineStr">
        <is>
          <t>Kisah Apparels</t>
        </is>
      </c>
      <c r="C564" s="17" t="n">
        <v>45818</v>
      </c>
      <c r="D564" s="18" t="n">
        <v>45809</v>
      </c>
      <c r="E564" s="19" t="n">
        <v>1.519</v>
      </c>
      <c r="F564" s="19" t="n">
        <v>13</v>
      </c>
      <c r="G564" t="inlineStr">
        <is>
          <t>Rs 13 crore</t>
        </is>
      </c>
      <c r="H564" t="inlineStr">
        <is>
          <t>Pre-Series A</t>
        </is>
      </c>
      <c r="I564" t="inlineStr">
        <is>
          <t>Early</t>
        </is>
      </c>
      <c r="J564" t="inlineStr">
        <is>
          <t>Ecommerce</t>
        </is>
      </c>
      <c r="K564" t="inlineStr">
        <is>
          <t>Kolkata</t>
        </is>
      </c>
      <c r="L564" t="inlineStr">
        <is>
          <t>Sagar Daryani; Rahul Todi; Vinod Dugar; Inflection Point Ventures</t>
        </is>
      </c>
      <c r="M564" t="inlineStr">
        <is>
          <t>Sagar Daryani; Apoorv Salarpuria; Rahul Todi; Vinod Dugar; Inflection Point Ventures</t>
        </is>
      </c>
      <c r="N564" t="inlineStr">
        <is>
          <t>entrackr | inc42 | et | vccircle</t>
        </is>
      </c>
      <c r="O564" s="20" t="n">
        <v>4</v>
      </c>
      <c r="P564" s="21" t="n">
        <v>1.3</v>
      </c>
      <c r="Q564" t="inlineStr"/>
      <c r="R564" s="22" t="inlineStr">
        <is>
          <t>https://inc42.com/buzz/from-groww-to-sanlayan-indian-startups-raised-559-mn-this-week/</t>
        </is>
      </c>
    </row>
    <row r="565">
      <c r="A565" t="inlineStr">
        <is>
          <t>R250610-wowmomo</t>
        </is>
      </c>
      <c r="B565" t="inlineStr">
        <is>
          <t>Wow! Momo</t>
        </is>
      </c>
      <c r="C565" s="17" t="n">
        <v>45818</v>
      </c>
      <c r="D565" s="18" t="n">
        <v>45809</v>
      </c>
      <c r="E565" s="19" t="n">
        <v>9.932</v>
      </c>
      <c r="F565" s="19" t="n">
        <v>85</v>
      </c>
      <c r="G565" t="inlineStr">
        <is>
          <t>Rs 85 crore</t>
        </is>
      </c>
      <c r="H565" t="inlineStr">
        <is>
          <t>Debt</t>
        </is>
      </c>
      <c r="I565" t="inlineStr">
        <is>
          <t>Debt</t>
        </is>
      </c>
      <c r="J565" t="inlineStr">
        <is>
          <t>Foodtech</t>
        </is>
      </c>
      <c r="K565" t="inlineStr">
        <is>
          <t>Unknown</t>
        </is>
      </c>
      <c r="L565" t="inlineStr">
        <is>
          <t>Stride Ventures</t>
        </is>
      </c>
      <c r="M565" t="inlineStr">
        <is>
          <t>Stride Ventures</t>
        </is>
      </c>
      <c r="N565" t="inlineStr">
        <is>
          <t>entrackr | inc42</t>
        </is>
      </c>
      <c r="O565" s="20" t="n">
        <v>2</v>
      </c>
      <c r="P565" s="21" t="n">
        <v>0.7</v>
      </c>
      <c r="Q565" t="inlineStr">
        <is>
          <t>C07</t>
        </is>
      </c>
      <c r="R565" s="22" t="inlineStr">
        <is>
          <t>https://entrackr.com/snippets/wow-momo-raises-rs-85-cr-in-debt-from-stride-ventures-9351425</t>
        </is>
      </c>
    </row>
    <row r="566">
      <c r="A566" t="inlineStr">
        <is>
          <t>R250611-garudaaerospac</t>
        </is>
      </c>
      <c r="B566" t="inlineStr">
        <is>
          <t>Garuda Aerospace</t>
        </is>
      </c>
      <c r="C566" s="17" t="n">
        <v>45819</v>
      </c>
      <c r="D566" s="18" t="n">
        <v>45809</v>
      </c>
      <c r="E566" s="19" t="n">
        <v>1</v>
      </c>
      <c r="F566" s="19" t="n">
        <v>8.550000000000001</v>
      </c>
      <c r="G566" t="inlineStr">
        <is>
          <t>$1 million</t>
        </is>
      </c>
      <c r="H566" t="inlineStr">
        <is>
          <t>Undisclosed</t>
        </is>
      </c>
      <c r="I566" t="inlineStr">
        <is>
          <t>Undisclosed</t>
        </is>
      </c>
      <c r="J566" t="inlineStr">
        <is>
          <t>Deeptech</t>
        </is>
      </c>
      <c r="K566" t="inlineStr">
        <is>
          <t>Chennai</t>
        </is>
      </c>
      <c r="L566" t="inlineStr"/>
      <c r="M566" t="inlineStr">
        <is>
          <t>Narotam Sekhsaria Family Office; WFC</t>
        </is>
      </c>
      <c r="N566" t="inlineStr">
        <is>
          <t>et</t>
        </is>
      </c>
      <c r="O566" s="20" t="n">
        <v>1</v>
      </c>
      <c r="P566" s="21" t="n">
        <v>0</v>
      </c>
      <c r="Q566" t="inlineStr">
        <is>
          <t>C04</t>
        </is>
      </c>
      <c r="R566" s="22" t="inlineStr">
        <is>
          <t>https://economictimes.indiatimes.com/tech/funding/garuda-aerospace-raises-1-million-from-narotam-sekhsaria-family-office-others/articleshow/121760187.cms</t>
        </is>
      </c>
    </row>
    <row r="567">
      <c r="A567" t="inlineStr">
        <is>
          <t>R250611-leumas</t>
        </is>
      </c>
      <c r="B567" t="inlineStr">
        <is>
          <t>Leumas</t>
        </is>
      </c>
      <c r="C567" s="17" t="n">
        <v>45819</v>
      </c>
      <c r="D567" s="18" t="n">
        <v>45809</v>
      </c>
      <c r="E567" s="19" t="n">
        <v>2.2</v>
      </c>
      <c r="F567" s="19" t="n">
        <v>18.82</v>
      </c>
      <c r="G567" t="inlineStr">
        <is>
          <t>$2.2 million</t>
        </is>
      </c>
      <c r="H567" t="inlineStr">
        <is>
          <t>Seed</t>
        </is>
      </c>
      <c r="I567" t="inlineStr">
        <is>
          <t>Early</t>
        </is>
      </c>
      <c r="J567" t="inlineStr">
        <is>
          <t>Enterprise Tech</t>
        </is>
      </c>
      <c r="K567" t="inlineStr">
        <is>
          <t>Unknown</t>
        </is>
      </c>
      <c r="L567" t="inlineStr">
        <is>
          <t>Capital 2B; Temasek; Anicut Capital</t>
        </is>
      </c>
      <c r="M567" t="inlineStr">
        <is>
          <t>Capital 2B; Capital-A; Anicut Capital; Temasek; Info Edge</t>
        </is>
      </c>
      <c r="N567" t="inlineStr">
        <is>
          <t>entrackr | inc42</t>
        </is>
      </c>
      <c r="O567" s="20" t="n">
        <v>2</v>
      </c>
      <c r="P567" s="21" t="n">
        <v>0</v>
      </c>
      <c r="Q567" t="inlineStr">
        <is>
          <t>C07</t>
        </is>
      </c>
      <c r="R567" s="22" t="inlineStr">
        <is>
          <t>https://entrackr.com/snippets/deeptech-manufacturing-startup-leumas-raises-22-mn-in-seed-round-9353444</t>
        </is>
      </c>
    </row>
    <row r="568">
      <c r="A568" t="inlineStr">
        <is>
          <t>R250611-machaxi</t>
        </is>
      </c>
      <c r="B568" t="inlineStr">
        <is>
          <t>Machaxi</t>
        </is>
      </c>
      <c r="C568" s="17" t="n">
        <v>45819</v>
      </c>
      <c r="D568" s="18" t="n">
        <v>45809</v>
      </c>
      <c r="E568" s="19" t="n">
        <v>1.5</v>
      </c>
      <c r="F568" s="19" t="n">
        <v>12.83</v>
      </c>
      <c r="G568" t="inlineStr">
        <is>
          <t>$1.5 million</t>
        </is>
      </c>
      <c r="H568" t="inlineStr">
        <is>
          <t>Undisclosed</t>
        </is>
      </c>
      <c r="I568" t="inlineStr">
        <is>
          <t>Undisclosed</t>
        </is>
      </c>
      <c r="J568" t="inlineStr">
        <is>
          <t>Consumer Services</t>
        </is>
      </c>
      <c r="K568" t="inlineStr">
        <is>
          <t>Bengaluru</t>
        </is>
      </c>
      <c r="L568" t="inlineStr">
        <is>
          <t>Rainmatter</t>
        </is>
      </c>
      <c r="M568" t="inlineStr">
        <is>
          <t>Rainmatter; Prakash Padukone</t>
        </is>
      </c>
      <c r="N568" t="inlineStr">
        <is>
          <t>entrackr | inc42 | et</t>
        </is>
      </c>
      <c r="O568" s="20" t="n">
        <v>3</v>
      </c>
      <c r="P568" s="21" t="n">
        <v>0</v>
      </c>
      <c r="Q568" t="inlineStr">
        <is>
          <t>C04</t>
        </is>
      </c>
      <c r="R568" s="22" t="inlineStr">
        <is>
          <t>https://entrackr.com/snippets/machaxi-raises-15-mn-from-rainmatter-prakash-padukone-others-9353316</t>
        </is>
      </c>
    </row>
    <row r="569">
      <c r="A569" t="inlineStr">
        <is>
          <t>R250611-piston</t>
        </is>
      </c>
      <c r="B569" t="inlineStr">
        <is>
          <t>Piston</t>
        </is>
      </c>
      <c r="C569" s="17" t="n">
        <v>45819</v>
      </c>
      <c r="D569" s="18" t="n">
        <v>45809</v>
      </c>
      <c r="E569" s="19" t="n">
        <v>7.5</v>
      </c>
      <c r="F569" s="19" t="n">
        <v>64.16</v>
      </c>
      <c r="G569" t="inlineStr">
        <is>
          <t>$7.5 million</t>
        </is>
      </c>
      <c r="H569" t="inlineStr">
        <is>
          <t>Pre-Seed</t>
        </is>
      </c>
      <c r="I569" t="inlineStr">
        <is>
          <t>Early</t>
        </is>
      </c>
      <c r="J569" t="inlineStr">
        <is>
          <t>Fintech</t>
        </is>
      </c>
      <c r="K569" t="inlineStr">
        <is>
          <t>Unknown</t>
        </is>
      </c>
      <c r="L569" t="inlineStr">
        <is>
          <t>Spark Capital</t>
        </is>
      </c>
      <c r="M569" t="inlineStr">
        <is>
          <t>Spark Capital; Pear VC; BOND</t>
        </is>
      </c>
      <c r="N569" t="inlineStr">
        <is>
          <t>entrackr</t>
        </is>
      </c>
      <c r="O569" s="20" t="n">
        <v>1</v>
      </c>
      <c r="P569" s="21" t="n">
        <v>0</v>
      </c>
      <c r="Q569" t="inlineStr">
        <is>
          <t>C07 C11</t>
        </is>
      </c>
      <c r="R569" s="22" t="inlineStr">
        <is>
          <t>https://entrackr.com/snippets/piston-closes-75-mn-seed-round-led-by-spark-capital-9353235</t>
        </is>
      </c>
    </row>
    <row r="570">
      <c r="A570" t="inlineStr">
        <is>
          <t>R250611-powerupmoney</t>
        </is>
      </c>
      <c r="B570" t="inlineStr">
        <is>
          <t>PowerUp Money</t>
        </is>
      </c>
      <c r="C570" s="17" t="n">
        <v>45819</v>
      </c>
      <c r="D570" s="18" t="n">
        <v>45809</v>
      </c>
      <c r="E570" s="19" t="n">
        <v>7.1</v>
      </c>
      <c r="F570" s="19" t="n">
        <v>60.73</v>
      </c>
      <c r="G570" t="inlineStr">
        <is>
          <t>$7.1 million</t>
        </is>
      </c>
      <c r="H570" t="inlineStr">
        <is>
          <t>Seed</t>
        </is>
      </c>
      <c r="I570" t="inlineStr">
        <is>
          <t>Early</t>
        </is>
      </c>
      <c r="J570" t="inlineStr">
        <is>
          <t>Fintech</t>
        </is>
      </c>
      <c r="K570" t="inlineStr">
        <is>
          <t>Bengaluru</t>
        </is>
      </c>
      <c r="L570" t="inlineStr">
        <is>
          <t>Accel; Blume Ventures; Kae Capital</t>
        </is>
      </c>
      <c r="M570" t="inlineStr">
        <is>
          <t>Accel; Blume Ventures; Kae Capital; 8i Ventures; DeVC</t>
        </is>
      </c>
      <c r="N570" t="inlineStr">
        <is>
          <t>entrackr | inc42 | et</t>
        </is>
      </c>
      <c r="O570" s="20" t="n">
        <v>3</v>
      </c>
      <c r="P570" s="21" t="n">
        <v>0</v>
      </c>
      <c r="Q570" t="inlineStr"/>
      <c r="R570" s="22" t="inlineStr">
        <is>
          <t>https://entrackr.com/snippets/powerup-money-raises-71-mn-from-accel-blume-and-others-9353039</t>
        </is>
      </c>
    </row>
    <row r="571">
      <c r="A571" t="inlineStr">
        <is>
          <t>R250611-refyne</t>
        </is>
      </c>
      <c r="B571" t="inlineStr">
        <is>
          <t>Refyne</t>
        </is>
      </c>
      <c r="C571" s="17" t="n">
        <v>45819</v>
      </c>
      <c r="D571" s="18" t="n">
        <v>45809</v>
      </c>
      <c r="E571" s="19" t="n">
        <v>4</v>
      </c>
      <c r="F571" s="19" t="n">
        <v>34.22</v>
      </c>
      <c r="G571" t="inlineStr">
        <is>
          <t>$4 Mn</t>
        </is>
      </c>
      <c r="H571" t="inlineStr">
        <is>
          <t>Debt</t>
        </is>
      </c>
      <c r="I571" t="inlineStr">
        <is>
          <t>Debt</t>
        </is>
      </c>
      <c r="J571" t="inlineStr">
        <is>
          <t>Fintech</t>
        </is>
      </c>
      <c r="K571" t="inlineStr">
        <is>
          <t>Unknown</t>
        </is>
      </c>
      <c r="L571" t="inlineStr">
        <is>
          <t>Stride Ventures</t>
        </is>
      </c>
      <c r="M571" t="inlineStr">
        <is>
          <t>Stride Ventures</t>
        </is>
      </c>
      <c r="N571" t="inlineStr">
        <is>
          <t>inc42</t>
        </is>
      </c>
      <c r="O571" s="20" t="n">
        <v>1</v>
      </c>
      <c r="P571" s="21" t="n">
        <v>0</v>
      </c>
      <c r="Q571" t="inlineStr">
        <is>
          <t>C07</t>
        </is>
      </c>
      <c r="R571" s="22" t="inlineStr">
        <is>
          <t>https://inc42.com/buzz/from-groww-to-sanlayan-indian-startups-raised-559-mn-this-week/</t>
        </is>
      </c>
    </row>
    <row r="572">
      <c r="A572" t="inlineStr">
        <is>
          <t>R250611-zolo</t>
        </is>
      </c>
      <c r="B572" t="inlineStr">
        <is>
          <t>Zolo</t>
        </is>
      </c>
      <c r="C572" s="17" t="n">
        <v>45819</v>
      </c>
      <c r="D572" s="18" t="n">
        <v>45809</v>
      </c>
      <c r="E572" s="19" t="n"/>
      <c r="F572" s="19" t="n"/>
      <c r="G572" t="inlineStr"/>
      <c r="H572" t="inlineStr">
        <is>
          <t>Debt</t>
        </is>
      </c>
      <c r="I572" t="inlineStr">
        <is>
          <t>Debt</t>
        </is>
      </c>
      <c r="J572" t="inlineStr">
        <is>
          <t>Consumer Services</t>
        </is>
      </c>
      <c r="K572" t="inlineStr">
        <is>
          <t>Unknown</t>
        </is>
      </c>
      <c r="L572" t="inlineStr">
        <is>
          <t>VentureSoul Partners</t>
        </is>
      </c>
      <c r="M572" t="inlineStr">
        <is>
          <t>VentureSoul Partners</t>
        </is>
      </c>
      <c r="N572" t="inlineStr">
        <is>
          <t>inc42</t>
        </is>
      </c>
      <c r="O572" s="20" t="n">
        <v>1</v>
      </c>
      <c r="P572" s="21" t="n"/>
      <c r="Q572" t="inlineStr">
        <is>
          <t>C03 C07</t>
        </is>
      </c>
      <c r="R572" s="22" t="inlineStr">
        <is>
          <t>https://inc42.com/buzz/from-groww-to-sanlayan-indian-startups-raised-559-mn-this-week/</t>
        </is>
      </c>
    </row>
    <row r="573">
      <c r="A573" t="inlineStr">
        <is>
          <t>R250612-iombioworks</t>
        </is>
      </c>
      <c r="B573" t="inlineStr">
        <is>
          <t>Iom Bioworks</t>
        </is>
      </c>
      <c r="C573" s="17" t="n">
        <v>45820</v>
      </c>
      <c r="D573" s="18" t="n">
        <v>45809</v>
      </c>
      <c r="E573" s="19" t="n">
        <v>0.468</v>
      </c>
      <c r="F573" s="19" t="n">
        <v>4</v>
      </c>
      <c r="G573" t="inlineStr">
        <is>
          <t>Rs 4 crore</t>
        </is>
      </c>
      <c r="H573" t="inlineStr">
        <is>
          <t>Seed</t>
        </is>
      </c>
      <c r="I573" t="inlineStr">
        <is>
          <t>Early</t>
        </is>
      </c>
      <c r="J573" t="inlineStr">
        <is>
          <t>Ecommerce</t>
        </is>
      </c>
      <c r="K573" t="inlineStr">
        <is>
          <t>Bengaluru</t>
        </is>
      </c>
      <c r="L573" t="inlineStr">
        <is>
          <t>Inflection Point Ventures</t>
        </is>
      </c>
      <c r="M573" t="inlineStr">
        <is>
          <t>Inflection Point Ventures</t>
        </is>
      </c>
      <c r="N573" t="inlineStr">
        <is>
          <t>entrackr | inc42</t>
        </is>
      </c>
      <c r="O573" s="20" t="n">
        <v>2</v>
      </c>
      <c r="P573" s="21" t="n">
        <v>0.6</v>
      </c>
      <c r="Q573" t="inlineStr"/>
      <c r="R573" s="22" t="inlineStr">
        <is>
          <t>https://entrackr.com/snippets/iom-bioworks-raises-rs-4-cr-in-seed-round-led-by-ipv-9356438</t>
        </is>
      </c>
    </row>
    <row r="574">
      <c r="A574" t="inlineStr">
        <is>
          <t>R250612-plutope</t>
        </is>
      </c>
      <c r="B574" t="inlineStr">
        <is>
          <t>PlutoPe</t>
        </is>
      </c>
      <c r="C574" s="17" t="n">
        <v>45820</v>
      </c>
      <c r="D574" s="18" t="n">
        <v>45809</v>
      </c>
      <c r="E574" s="19" t="n">
        <v>0.5</v>
      </c>
      <c r="F574" s="19" t="n">
        <v>4.28</v>
      </c>
      <c r="G574" t="inlineStr">
        <is>
          <t>$500K</t>
        </is>
      </c>
      <c r="H574" t="inlineStr">
        <is>
          <t>Pre-Seed</t>
        </is>
      </c>
      <c r="I574" t="inlineStr">
        <is>
          <t>Early</t>
        </is>
      </c>
      <c r="J574" t="inlineStr">
        <is>
          <t>Web3</t>
        </is>
      </c>
      <c r="K574" t="inlineStr">
        <is>
          <t>Unknown</t>
        </is>
      </c>
      <c r="L574" t="inlineStr">
        <is>
          <t>Manit Gupta</t>
        </is>
      </c>
      <c r="M574" t="inlineStr">
        <is>
          <t>Manit Gupta</t>
        </is>
      </c>
      <c r="N574" t="inlineStr">
        <is>
          <t>entrackr | inc42</t>
        </is>
      </c>
      <c r="O574" s="20" t="n">
        <v>2</v>
      </c>
      <c r="P574" s="21" t="n">
        <v>0</v>
      </c>
      <c r="Q574" t="inlineStr">
        <is>
          <t>C07</t>
        </is>
      </c>
      <c r="R574" s="22" t="inlineStr">
        <is>
          <t>https://entrackr.com/snippets/defi-startup-plutope-raises-500k-in-pre-seed-round-9357153</t>
        </is>
      </c>
    </row>
    <row r="575">
      <c r="A575" t="inlineStr">
        <is>
          <t>R250612-repello</t>
        </is>
      </c>
      <c r="B575" t="inlineStr">
        <is>
          <t>Repello AI</t>
        </is>
      </c>
      <c r="C575" s="17" t="n">
        <v>45820</v>
      </c>
      <c r="D575" s="18" t="n">
        <v>45809</v>
      </c>
      <c r="E575" s="19" t="n">
        <v>1.2</v>
      </c>
      <c r="F575" s="19" t="n">
        <v>10.26</v>
      </c>
      <c r="G575" t="inlineStr">
        <is>
          <t>$1.2 million</t>
        </is>
      </c>
      <c r="H575" t="inlineStr">
        <is>
          <t>Seed</t>
        </is>
      </c>
      <c r="I575" t="inlineStr">
        <is>
          <t>Early</t>
        </is>
      </c>
      <c r="J575" t="inlineStr">
        <is>
          <t>Artificial Intelligence</t>
        </is>
      </c>
      <c r="K575" t="inlineStr">
        <is>
          <t>Unknown</t>
        </is>
      </c>
      <c r="L575" t="inlineStr">
        <is>
          <t>Venture Highway; Pi Ventures; Entrepreneur First</t>
        </is>
      </c>
      <c r="M575" t="inlineStr">
        <is>
          <t>Venture Highway; Entrepreneur First; Charles Songhurst; Vivek Raghavan; Satya Vyas; Pi Ventures</t>
        </is>
      </c>
      <c r="N575" t="inlineStr">
        <is>
          <t>entrackr | inc42 | et</t>
        </is>
      </c>
      <c r="O575" s="20" t="n">
        <v>3</v>
      </c>
      <c r="P575" s="21" t="n">
        <v>0</v>
      </c>
      <c r="Q575" t="inlineStr">
        <is>
          <t>C07</t>
        </is>
      </c>
      <c r="R575" s="22" t="inlineStr">
        <is>
          <t>https://entrackr.com/snippets/repello-raises-12-mn-seed-round-led-by-venture-highway-and-others-9356170</t>
        </is>
      </c>
    </row>
    <row r="576">
      <c r="A576" t="inlineStr">
        <is>
          <t>R250612-spinny</t>
        </is>
      </c>
      <c r="B576" t="inlineStr">
        <is>
          <t>Spinny</t>
        </is>
      </c>
      <c r="C576" s="17" t="n">
        <v>45820</v>
      </c>
      <c r="D576" s="18" t="n">
        <v>45809</v>
      </c>
      <c r="E576" s="19" t="n">
        <v>30.484</v>
      </c>
      <c r="F576" s="19" t="n">
        <v>260.76</v>
      </c>
      <c r="G576" t="inlineStr">
        <is>
          <t>Rs 260.76 crore</t>
        </is>
      </c>
      <c r="H576" t="inlineStr">
        <is>
          <t>Series F</t>
        </is>
      </c>
      <c r="I576" t="inlineStr">
        <is>
          <t>Late</t>
        </is>
      </c>
      <c r="J576" t="inlineStr">
        <is>
          <t>Ecommerce</t>
        </is>
      </c>
      <c r="K576" t="inlineStr">
        <is>
          <t>Delhi NCR</t>
        </is>
      </c>
      <c r="L576" t="inlineStr">
        <is>
          <t>Accel Leaders Fund</t>
        </is>
      </c>
      <c r="M576" t="inlineStr">
        <is>
          <t>Accel Leaders Fund; Fundamentum; WestBridge</t>
        </is>
      </c>
      <c r="N576" t="inlineStr">
        <is>
          <t>entrackr | inc42</t>
        </is>
      </c>
      <c r="O576" s="20" t="n">
        <v>2</v>
      </c>
      <c r="P576" s="21" t="n">
        <v>457.7</v>
      </c>
      <c r="Q576" t="inlineStr">
        <is>
          <t>C15</t>
        </is>
      </c>
      <c r="R576" s="22" t="inlineStr">
        <is>
          <t>https://inc42.com/buzz/from-groww-to-sanlayan-indian-startups-raised-559-mn-this-week/</t>
        </is>
      </c>
    </row>
    <row r="577">
      <c r="A577" t="inlineStr">
        <is>
          <t>R250612-zype</t>
        </is>
      </c>
      <c r="B577" t="inlineStr">
        <is>
          <t>Zype</t>
        </is>
      </c>
      <c r="C577" s="17" t="n">
        <v>45820</v>
      </c>
      <c r="D577" s="18" t="n">
        <v>45809</v>
      </c>
      <c r="E577" s="19" t="n">
        <v>3.975</v>
      </c>
      <c r="F577" s="19" t="n">
        <v>34</v>
      </c>
      <c r="G577" t="inlineStr">
        <is>
          <t>Rs 34 crore</t>
        </is>
      </c>
      <c r="H577" t="inlineStr">
        <is>
          <t>Debt</t>
        </is>
      </c>
      <c r="I577" t="inlineStr">
        <is>
          <t>Debt</t>
        </is>
      </c>
      <c r="J577" t="inlineStr">
        <is>
          <t>Fintech</t>
        </is>
      </c>
      <c r="K577" t="inlineStr">
        <is>
          <t>Mumbai</t>
        </is>
      </c>
      <c r="L577" t="inlineStr"/>
      <c r="M577" t="inlineStr"/>
      <c r="N577" t="inlineStr">
        <is>
          <t>entrackr</t>
        </is>
      </c>
      <c r="O577" s="20" t="n">
        <v>1</v>
      </c>
      <c r="P577" s="21" t="n">
        <v>0</v>
      </c>
      <c r="Q577" t="inlineStr">
        <is>
          <t>C05</t>
        </is>
      </c>
      <c r="R577" s="22" t="inlineStr">
        <is>
          <t>https://entrackr.com/exclusive/exclusive-fintech-startup-zype-secures-debt-9357436</t>
        </is>
      </c>
    </row>
    <row r="578">
      <c r="A578" t="inlineStr">
        <is>
          <t>R250613-groww</t>
        </is>
      </c>
      <c r="B578" t="inlineStr">
        <is>
          <t>Groww</t>
        </is>
      </c>
      <c r="C578" s="17" t="n">
        <v>45821</v>
      </c>
      <c r="D578" s="18" t="n">
        <v>45809</v>
      </c>
      <c r="E578" s="19" t="n">
        <v>202.3</v>
      </c>
      <c r="F578" s="19" t="n">
        <v>1741.6</v>
      </c>
      <c r="G578" t="inlineStr">
        <is>
          <t>$202.3 Mn</t>
        </is>
      </c>
      <c r="H578" t="inlineStr">
        <is>
          <t>Series F</t>
        </is>
      </c>
      <c r="I578" t="inlineStr">
        <is>
          <t>Late</t>
        </is>
      </c>
      <c r="J578" t="inlineStr">
        <is>
          <t>Fintech</t>
        </is>
      </c>
      <c r="K578" t="inlineStr">
        <is>
          <t>Unknown</t>
        </is>
      </c>
      <c r="L578" t="inlineStr"/>
      <c r="M578" t="inlineStr">
        <is>
          <t>GIC; ICONIQ Capital</t>
        </is>
      </c>
      <c r="N578" t="inlineStr">
        <is>
          <t>inc42 | vccircle</t>
        </is>
      </c>
      <c r="O578" s="20" t="n">
        <v>2</v>
      </c>
      <c r="P578" s="21" t="n">
        <v>1.2</v>
      </c>
      <c r="Q578" t="inlineStr">
        <is>
          <t>C07</t>
        </is>
      </c>
      <c r="R578" s="22" t="inlineStr">
        <is>
          <t>https://inc42.com/buzz/from-groww-to-sanlayan-indian-startups-raised-559-mn-this-week/</t>
        </is>
      </c>
    </row>
    <row r="579">
      <c r="A579" t="inlineStr">
        <is>
          <t>R250613-pehlejaisa</t>
        </is>
      </c>
      <c r="B579" t="inlineStr">
        <is>
          <t>Pehla Jaisa</t>
        </is>
      </c>
      <c r="C579" s="17" t="n">
        <v>45821</v>
      </c>
      <c r="D579" s="18" t="n">
        <v>45809</v>
      </c>
      <c r="E579" s="19" t="n">
        <v>0.3</v>
      </c>
      <c r="F579" s="19" t="n">
        <v>2.58</v>
      </c>
      <c r="G579" t="inlineStr">
        <is>
          <t>$300K</t>
        </is>
      </c>
      <c r="H579" t="inlineStr">
        <is>
          <t>Pre-Series A</t>
        </is>
      </c>
      <c r="I579" t="inlineStr">
        <is>
          <t>Early</t>
        </is>
      </c>
      <c r="J579" t="inlineStr">
        <is>
          <t>Agritech</t>
        </is>
      </c>
      <c r="K579" t="inlineStr">
        <is>
          <t>Delhi NCR</t>
        </is>
      </c>
      <c r="L579" t="inlineStr">
        <is>
          <t>Pantnagar Capital</t>
        </is>
      </c>
      <c r="M579" t="inlineStr">
        <is>
          <t>Pantnagar Capital</t>
        </is>
      </c>
      <c r="N579" t="inlineStr">
        <is>
          <t>entrackr | inc42</t>
        </is>
      </c>
      <c r="O579" s="20" t="n">
        <v>2</v>
      </c>
      <c r="P579" s="21" t="n">
        <v>0</v>
      </c>
      <c r="Q579" t="inlineStr"/>
      <c r="R579" s="22" t="inlineStr">
        <is>
          <t>https://entrackr.com/snippets/pehle-jaisa-raises-300k-in-pre-series-a-round-9359940</t>
        </is>
      </c>
    </row>
    <row r="580">
      <c r="A580" t="inlineStr">
        <is>
          <t>R250616-aspora</t>
        </is>
      </c>
      <c r="B580" t="inlineStr">
        <is>
          <t>Aspora</t>
        </is>
      </c>
      <c r="C580" s="17" t="n">
        <v>45824</v>
      </c>
      <c r="D580" s="18" t="n">
        <v>45809</v>
      </c>
      <c r="E580" s="19" t="n">
        <v>53</v>
      </c>
      <c r="F580" s="19" t="n">
        <v>456.01</v>
      </c>
      <c r="G580" t="inlineStr">
        <is>
          <t>$53 million</t>
        </is>
      </c>
      <c r="H580" t="inlineStr">
        <is>
          <t>Series B</t>
        </is>
      </c>
      <c r="I580" t="inlineStr">
        <is>
          <t>Growth</t>
        </is>
      </c>
      <c r="J580" t="inlineStr">
        <is>
          <t>Fintech</t>
        </is>
      </c>
      <c r="K580" t="inlineStr">
        <is>
          <t>Outside India</t>
        </is>
      </c>
      <c r="L580" t="inlineStr">
        <is>
          <t>Sequoia; Greylock</t>
        </is>
      </c>
      <c r="M580" t="inlineStr">
        <is>
          <t>Sequoia; Greylock; Hummingbird; Quantum Light Ventures; Y Combinator</t>
        </is>
      </c>
      <c r="N580" t="inlineStr">
        <is>
          <t>entrackr | et</t>
        </is>
      </c>
      <c r="O580" s="20" t="n">
        <v>2</v>
      </c>
      <c r="P580" s="21" t="n">
        <v>75.5</v>
      </c>
      <c r="Q580" t="inlineStr">
        <is>
          <t>C15</t>
        </is>
      </c>
      <c r="R580" s="22" t="inlineStr">
        <is>
          <t>https://entrackr.com/news/sequoia-and-greylock-lead-53-mn-round-in-aspora-9367516</t>
        </is>
      </c>
    </row>
    <row r="581">
      <c r="A581" t="inlineStr">
        <is>
          <t>R250616-fundbyatomicca</t>
        </is>
      </c>
      <c r="B581" t="inlineStr">
        <is>
          <t>fund by Atomic Capital</t>
        </is>
      </c>
      <c r="C581" s="17" t="n">
        <v>45824</v>
      </c>
      <c r="D581" s="18" t="n">
        <v>45809</v>
      </c>
      <c r="E581" s="19" t="n">
        <v>3.08</v>
      </c>
      <c r="F581" s="19" t="n">
        <v>26.5</v>
      </c>
      <c r="G581" t="inlineStr">
        <is>
          <t>Rs 26.5 crore</t>
        </is>
      </c>
      <c r="H581" t="inlineStr">
        <is>
          <t>Undisclosed</t>
        </is>
      </c>
      <c r="I581" t="inlineStr">
        <is>
          <t>Undisclosed</t>
        </is>
      </c>
      <c r="J581" t="inlineStr">
        <is>
          <t>Unclassified</t>
        </is>
      </c>
      <c r="K581" t="inlineStr">
        <is>
          <t>Unknown</t>
        </is>
      </c>
      <c r="L581" t="inlineStr"/>
      <c r="M581" t="inlineStr"/>
      <c r="N581" t="inlineStr">
        <is>
          <t>entrackr</t>
        </is>
      </c>
      <c r="O581" s="20" t="n">
        <v>1</v>
      </c>
      <c r="P581" s="21" t="n">
        <v>0</v>
      </c>
      <c r="Q581" t="inlineStr">
        <is>
          <t>C04 C05 C06 C07</t>
        </is>
      </c>
      <c r="R581" s="22" t="inlineStr">
        <is>
          <t>https://entrackr.com/snippets/jiif-investors-invest-in-rs-350-cr-consumer-focused-fund-by-atomic-capital-9367123</t>
        </is>
      </c>
    </row>
    <row r="582">
      <c r="A582" t="inlineStr">
        <is>
          <t>R250616-nuvie</t>
        </is>
      </c>
      <c r="B582" t="inlineStr">
        <is>
          <t>Nuvie</t>
        </is>
      </c>
      <c r="C582" s="17" t="n">
        <v>45824</v>
      </c>
      <c r="D582" s="18" t="n">
        <v>45809</v>
      </c>
      <c r="E582" s="19" t="n">
        <v>0.45</v>
      </c>
      <c r="F582" s="19" t="n">
        <v>3.87</v>
      </c>
      <c r="G582" t="inlineStr">
        <is>
          <t>$450K</t>
        </is>
      </c>
      <c r="H582" t="inlineStr">
        <is>
          <t>Pre-Seed</t>
        </is>
      </c>
      <c r="I582" t="inlineStr">
        <is>
          <t>Early</t>
        </is>
      </c>
      <c r="J582" t="inlineStr">
        <is>
          <t>Ecommerce</t>
        </is>
      </c>
      <c r="K582" t="inlineStr">
        <is>
          <t>Bengaluru</t>
        </is>
      </c>
      <c r="L582" t="inlineStr">
        <is>
          <t>PedalStart</t>
        </is>
      </c>
      <c r="M582" t="inlineStr">
        <is>
          <t>PedalStart; Mukesh Bansal</t>
        </is>
      </c>
      <c r="N582" t="inlineStr">
        <is>
          <t>entrackr | inc42</t>
        </is>
      </c>
      <c r="O582" s="20" t="n">
        <v>2</v>
      </c>
      <c r="P582" s="21" t="n">
        <v>0</v>
      </c>
      <c r="Q582" t="inlineStr"/>
      <c r="R582" s="22" t="inlineStr">
        <is>
          <t>https://entrackr.com/snippets/fb-startup-nuvie-raises-450k-in-pre-seed-round-led-by-pedalstart-9367474</t>
        </is>
      </c>
    </row>
    <row r="583">
      <c r="A583" t="inlineStr">
        <is>
          <t>R250617-coralogix</t>
        </is>
      </c>
      <c r="B583" t="inlineStr">
        <is>
          <t>Coralogix</t>
        </is>
      </c>
      <c r="C583" s="17" t="n">
        <v>45825</v>
      </c>
      <c r="D583" s="18" t="n">
        <v>45809</v>
      </c>
      <c r="E583" s="19" t="n">
        <v>115</v>
      </c>
      <c r="F583" s="19" t="n">
        <v>991.99</v>
      </c>
      <c r="G583" t="inlineStr">
        <is>
          <t>$115 million</t>
        </is>
      </c>
      <c r="H583" t="inlineStr">
        <is>
          <t>Series E</t>
        </is>
      </c>
      <c r="I583" t="inlineStr">
        <is>
          <t>Late</t>
        </is>
      </c>
      <c r="J583" t="inlineStr">
        <is>
          <t>Unclassified</t>
        </is>
      </c>
      <c r="K583" t="inlineStr">
        <is>
          <t>Outside India</t>
        </is>
      </c>
      <c r="L583" t="inlineStr">
        <is>
          <t>NewView Capital</t>
        </is>
      </c>
      <c r="M583" t="inlineStr">
        <is>
          <t>NewView Capital</t>
        </is>
      </c>
      <c r="N583" t="inlineStr">
        <is>
          <t>et</t>
        </is>
      </c>
      <c r="O583" s="20" t="n">
        <v>1</v>
      </c>
      <c r="P583" s="21" t="n">
        <v>0</v>
      </c>
      <c r="Q583" t="inlineStr">
        <is>
          <t>C06</t>
        </is>
      </c>
      <c r="R583" s="22" t="inlineStr">
        <is>
          <t>https://economictimes.indiatimes.com/tech/funding/israeli-data-security-platform-coralogix-raises-115-million/articleshow/121910092.cms</t>
        </is>
      </c>
    </row>
    <row r="584">
      <c r="A584" t="inlineStr">
        <is>
          <t>R250617-darwixai</t>
        </is>
      </c>
      <c r="B584" t="inlineStr">
        <is>
          <t>Darwix AI</t>
        </is>
      </c>
      <c r="C584" s="17" t="n">
        <v>45825</v>
      </c>
      <c r="D584" s="18" t="n">
        <v>45809</v>
      </c>
      <c r="E584" s="19" t="n">
        <v>1.5</v>
      </c>
      <c r="F584" s="19" t="n">
        <v>12.94</v>
      </c>
      <c r="G584" t="inlineStr">
        <is>
          <t>$1.5 million</t>
        </is>
      </c>
      <c r="H584" t="inlineStr">
        <is>
          <t>Seed</t>
        </is>
      </c>
      <c r="I584" t="inlineStr">
        <is>
          <t>Early</t>
        </is>
      </c>
      <c r="J584" t="inlineStr">
        <is>
          <t>Artificial Intelligence</t>
        </is>
      </c>
      <c r="K584" t="inlineStr">
        <is>
          <t>Unknown</t>
        </is>
      </c>
      <c r="L584" t="inlineStr">
        <is>
          <t>Rebalance; IPV; JITO Incubation; Innovation Foundation</t>
        </is>
      </c>
      <c r="M584" t="inlineStr">
        <is>
          <t>Rebalance; IPV; JITO Incubation; Innovation Foundation; Growth Sense; Growth91; Ankit Nagori; Sanjay Suri; Amit Lakhotia; Mekin Maheshwari</t>
        </is>
      </c>
      <c r="N584" t="inlineStr">
        <is>
          <t>entrackr | inc42 | et</t>
        </is>
      </c>
      <c r="O584" s="20" t="n">
        <v>3</v>
      </c>
      <c r="P584" s="21" t="n">
        <v>0</v>
      </c>
      <c r="Q584" t="inlineStr">
        <is>
          <t>C07</t>
        </is>
      </c>
      <c r="R584" s="22" t="inlineStr">
        <is>
          <t>https://entrackr.com/snippets/darwix-ai-raises-15-mn-in-seed-funding-round-9370903</t>
        </is>
      </c>
    </row>
    <row r="585">
      <c r="A585" t="inlineStr">
        <is>
          <t>R250617-israelcoralogi</t>
        </is>
      </c>
      <c r="B585" t="inlineStr">
        <is>
          <t>Israel's Coralogix</t>
        </is>
      </c>
      <c r="C585" s="17" t="n">
        <v>45825</v>
      </c>
      <c r="D585" s="18" t="n">
        <v>45809</v>
      </c>
      <c r="E585" s="19" t="n">
        <v>115</v>
      </c>
      <c r="F585" s="19" t="n">
        <v>991.99</v>
      </c>
      <c r="G585" t="inlineStr">
        <is>
          <t>$115 million</t>
        </is>
      </c>
      <c r="H585" t="inlineStr">
        <is>
          <t>Series E</t>
        </is>
      </c>
      <c r="I585" t="inlineStr">
        <is>
          <t>Late</t>
        </is>
      </c>
      <c r="J585" t="inlineStr">
        <is>
          <t>Unclassified</t>
        </is>
      </c>
      <c r="K585" t="inlineStr">
        <is>
          <t>Outside India</t>
        </is>
      </c>
      <c r="L585" t="inlineStr">
        <is>
          <t>NewView Capital; NextEquity</t>
        </is>
      </c>
      <c r="M585" t="inlineStr">
        <is>
          <t>NewView Capital; NextEquity; Canada Pension Plan Investment Board</t>
        </is>
      </c>
      <c r="N585" t="inlineStr">
        <is>
          <t>entrackr</t>
        </is>
      </c>
      <c r="O585" s="20" t="n">
        <v>1</v>
      </c>
      <c r="P585" s="21" t="n">
        <v>0</v>
      </c>
      <c r="Q585" t="inlineStr">
        <is>
          <t>C06</t>
        </is>
      </c>
      <c r="R585" s="22" t="inlineStr">
        <is>
          <t>https://entrackr.com/snippets/israels-coralogix-raises-115-mn-to-fuel-india-expansion-9371623</t>
        </is>
      </c>
    </row>
    <row r="586">
      <c r="A586" t="inlineStr">
        <is>
          <t>R250617-nbfcdugarfinan</t>
        </is>
      </c>
      <c r="B586" t="inlineStr">
        <is>
          <t>NBFC Dugar Finance</t>
        </is>
      </c>
      <c r="C586" s="17" t="n">
        <v>45825</v>
      </c>
      <c r="D586" s="18" t="n">
        <v>45809</v>
      </c>
      <c r="E586" s="19" t="n">
        <v>3</v>
      </c>
      <c r="F586" s="19" t="n">
        <v>25.88</v>
      </c>
      <c r="G586" t="inlineStr">
        <is>
          <t>$3 million</t>
        </is>
      </c>
      <c r="H586" t="inlineStr">
        <is>
          <t>Debt</t>
        </is>
      </c>
      <c r="I586" t="inlineStr">
        <is>
          <t>Debt</t>
        </is>
      </c>
      <c r="J586" t="inlineStr">
        <is>
          <t>Unclassified</t>
        </is>
      </c>
      <c r="K586" t="inlineStr">
        <is>
          <t>Unknown</t>
        </is>
      </c>
      <c r="L586" t="inlineStr"/>
      <c r="M586" t="inlineStr"/>
      <c r="N586" t="inlineStr">
        <is>
          <t>entrackr</t>
        </is>
      </c>
      <c r="O586" s="20" t="n">
        <v>1</v>
      </c>
      <c r="P586" s="21" t="n">
        <v>0</v>
      </c>
      <c r="Q586" t="inlineStr">
        <is>
          <t>C05 C06 C07</t>
        </is>
      </c>
      <c r="R586" s="22" t="inlineStr">
        <is>
          <t>https://entrackr.com/snippets/rooftop-solar-focused-nbfc-dugar-finance-raises-3-mn-in-debt-9370189</t>
        </is>
      </c>
    </row>
    <row r="587">
      <c r="A587" t="inlineStr">
        <is>
          <t>R250617-pop</t>
        </is>
      </c>
      <c r="B587" t="inlineStr">
        <is>
          <t>POP</t>
        </is>
      </c>
      <c r="C587" s="17" t="n">
        <v>45825</v>
      </c>
      <c r="D587" s="18" t="n">
        <v>45809</v>
      </c>
      <c r="E587" s="19" t="n">
        <v>30</v>
      </c>
      <c r="F587" s="19" t="n">
        <v>258.78</v>
      </c>
      <c r="G587" t="inlineStr">
        <is>
          <t>$30 Mn</t>
        </is>
      </c>
      <c r="H587" t="inlineStr">
        <is>
          <t>Undisclosed</t>
        </is>
      </c>
      <c r="I587" t="inlineStr">
        <is>
          <t>Undisclosed</t>
        </is>
      </c>
      <c r="J587" t="inlineStr">
        <is>
          <t>Fintech</t>
        </is>
      </c>
      <c r="K587" t="inlineStr">
        <is>
          <t>Unknown</t>
        </is>
      </c>
      <c r="L587" t="inlineStr">
        <is>
          <t>Razorpay</t>
        </is>
      </c>
      <c r="M587" t="inlineStr">
        <is>
          <t>Razorpay</t>
        </is>
      </c>
      <c r="N587" t="inlineStr">
        <is>
          <t>inc42</t>
        </is>
      </c>
      <c r="O587" s="20" t="n">
        <v>1</v>
      </c>
      <c r="P587" s="21" t="n">
        <v>0</v>
      </c>
      <c r="Q587" t="inlineStr">
        <is>
          <t>C04 C07</t>
        </is>
      </c>
      <c r="R587" s="22" t="inlineStr">
        <is>
          <t>https://inc42.com/buzz/from-wiom-to-oben-electric-indian-startups-raised-92-mn-this-week/</t>
        </is>
      </c>
    </row>
    <row r="588">
      <c r="A588" t="inlineStr">
        <is>
          <t>R250617-saswatfinance</t>
        </is>
      </c>
      <c r="B588" t="inlineStr">
        <is>
          <t>Saswat Finance</t>
        </is>
      </c>
      <c r="C588" s="17" t="n">
        <v>45825</v>
      </c>
      <c r="D588" s="18" t="n">
        <v>45809</v>
      </c>
      <c r="E588" s="19" t="n">
        <v>2.6</v>
      </c>
      <c r="F588" s="19" t="n">
        <v>22.43</v>
      </c>
      <c r="G588" t="inlineStr">
        <is>
          <t>$2.6 million</t>
        </is>
      </c>
      <c r="H588" t="inlineStr">
        <is>
          <t>Pre-Series A</t>
        </is>
      </c>
      <c r="I588" t="inlineStr">
        <is>
          <t>Early</t>
        </is>
      </c>
      <c r="J588" t="inlineStr">
        <is>
          <t>Fintech</t>
        </is>
      </c>
      <c r="K588" t="inlineStr">
        <is>
          <t>Mumbai</t>
        </is>
      </c>
      <c r="L588" t="inlineStr">
        <is>
          <t>Ankur Capital</t>
        </is>
      </c>
      <c r="M588" t="inlineStr">
        <is>
          <t>Ankur Capital; Incubate Fund Asia; Seedstars VC; Sparrow VC</t>
        </is>
      </c>
      <c r="N588" t="inlineStr">
        <is>
          <t>entrackr | inc42 | et</t>
        </is>
      </c>
      <c r="O588" s="20" t="n">
        <v>3</v>
      </c>
      <c r="P588" s="21" t="n">
        <v>0</v>
      </c>
      <c r="Q588" t="inlineStr"/>
      <c r="R588" s="22" t="inlineStr">
        <is>
          <t>https://entrackr.com/snippets/saswat-finance-raises-26-mn-led-by-ankur-capital-9369946</t>
        </is>
      </c>
    </row>
    <row r="589">
      <c r="A589" t="inlineStr">
        <is>
          <t>R250617-xportel</t>
        </is>
      </c>
      <c r="B589" t="inlineStr">
        <is>
          <t>Xportel</t>
        </is>
      </c>
      <c r="C589" s="17" t="n">
        <v>45825</v>
      </c>
      <c r="D589" s="18" t="n">
        <v>45809</v>
      </c>
      <c r="E589" s="19" t="n"/>
      <c r="F589" s="19" t="n"/>
      <c r="G589" t="inlineStr"/>
      <c r="H589" t="inlineStr">
        <is>
          <t>Seed</t>
        </is>
      </c>
      <c r="I589" t="inlineStr">
        <is>
          <t>Early</t>
        </is>
      </c>
      <c r="J589" t="inlineStr">
        <is>
          <t>Logistics</t>
        </is>
      </c>
      <c r="K589" t="inlineStr">
        <is>
          <t>Unknown</t>
        </is>
      </c>
      <c r="L589" t="inlineStr">
        <is>
          <t>Rukam Sitara; Flipkart Ventures</t>
        </is>
      </c>
      <c r="M589" t="inlineStr">
        <is>
          <t>Rukam Sitara; Flipkart Ventures</t>
        </is>
      </c>
      <c r="N589" t="inlineStr">
        <is>
          <t>inc42</t>
        </is>
      </c>
      <c r="O589" s="20" t="n">
        <v>1</v>
      </c>
      <c r="P589" s="21" t="n"/>
      <c r="Q589" t="inlineStr">
        <is>
          <t>C03 C07</t>
        </is>
      </c>
      <c r="R589" s="22" t="inlineStr">
        <is>
          <t>https://inc42.com/buzz/from-wiom-to-oben-electric-indian-startups-raised-92-mn-this-week/</t>
        </is>
      </c>
    </row>
    <row r="590">
      <c r="A590" t="inlineStr">
        <is>
          <t>R250618-7ring</t>
        </is>
      </c>
      <c r="B590" t="inlineStr">
        <is>
          <t>7 Ring</t>
        </is>
      </c>
      <c r="C590" s="17" t="n">
        <v>45826</v>
      </c>
      <c r="D590" s="18" t="n">
        <v>45809</v>
      </c>
      <c r="E590" s="19" t="n">
        <v>0.462</v>
      </c>
      <c r="F590" s="19" t="n">
        <v>3.99</v>
      </c>
      <c r="G590" t="inlineStr">
        <is>
          <t>$462K</t>
        </is>
      </c>
      <c r="H590" t="inlineStr">
        <is>
          <t>Pre-Series A</t>
        </is>
      </c>
      <c r="I590" t="inlineStr">
        <is>
          <t>Early</t>
        </is>
      </c>
      <c r="J590" t="inlineStr">
        <is>
          <t>Ecommerce</t>
        </is>
      </c>
      <c r="K590" t="inlineStr">
        <is>
          <t>Unknown</t>
        </is>
      </c>
      <c r="L590" t="inlineStr">
        <is>
          <t>Venture Catalysts</t>
        </is>
      </c>
      <c r="M590" t="inlineStr">
        <is>
          <t>Venture Catalysts; Anchorage Capital Partners</t>
        </is>
      </c>
      <c r="N590" t="inlineStr">
        <is>
          <t>inc42</t>
        </is>
      </c>
      <c r="O590" s="20" t="n">
        <v>1</v>
      </c>
      <c r="P590" s="21" t="n">
        <v>0</v>
      </c>
      <c r="Q590" t="inlineStr">
        <is>
          <t>C07</t>
        </is>
      </c>
      <c r="R590" s="22" t="inlineStr">
        <is>
          <t>https://inc42.com/buzz/from-wiom-to-oben-electric-indian-startups-raised-92-mn-this-week/</t>
        </is>
      </c>
    </row>
    <row r="591">
      <c r="A591" t="inlineStr">
        <is>
          <t>R250618-clrfacilityser</t>
        </is>
      </c>
      <c r="B591" t="inlineStr">
        <is>
          <t>CLR Facility Services</t>
        </is>
      </c>
      <c r="C591" s="17" t="n">
        <v>45826</v>
      </c>
      <c r="D591" s="18" t="n">
        <v>45809</v>
      </c>
      <c r="E591" s="19" t="n">
        <v>15</v>
      </c>
      <c r="F591" s="19" t="n">
        <v>129.65</v>
      </c>
      <c r="G591" t="inlineStr">
        <is>
          <t>$15 million</t>
        </is>
      </c>
      <c r="H591" t="inlineStr">
        <is>
          <t>Undisclosed</t>
        </is>
      </c>
      <c r="I591" t="inlineStr">
        <is>
          <t>Undisclosed</t>
        </is>
      </c>
      <c r="J591" t="inlineStr">
        <is>
          <t>Unclassified</t>
        </is>
      </c>
      <c r="K591" t="inlineStr">
        <is>
          <t>Unknown</t>
        </is>
      </c>
      <c r="L591" t="inlineStr"/>
      <c r="M591" t="inlineStr">
        <is>
          <t>British International Investment</t>
        </is>
      </c>
      <c r="N591" t="inlineStr">
        <is>
          <t>entrackr</t>
        </is>
      </c>
      <c r="O591" s="20" t="n">
        <v>1</v>
      </c>
      <c r="P591" s="21" t="n">
        <v>0</v>
      </c>
      <c r="Q591" t="inlineStr">
        <is>
          <t>C04 C06 C07</t>
        </is>
      </c>
      <c r="R591" s="22" t="inlineStr">
        <is>
          <t>https://entrackr.com/snippets/clr-facility-services-raises-15-mn-from-bii-9373271</t>
        </is>
      </c>
    </row>
    <row r="592">
      <c r="A592" t="inlineStr">
        <is>
          <t>R250618-illumine</t>
        </is>
      </c>
      <c r="B592" t="inlineStr">
        <is>
          <t>illumine</t>
        </is>
      </c>
      <c r="C592" s="17" t="n">
        <v>45826</v>
      </c>
      <c r="D592" s="18" t="n">
        <v>45809</v>
      </c>
      <c r="E592" s="19" t="n">
        <v>2.5</v>
      </c>
      <c r="F592" s="19" t="n">
        <v>21.61</v>
      </c>
      <c r="G592" t="inlineStr">
        <is>
          <t>$2.5 million</t>
        </is>
      </c>
      <c r="H592" t="inlineStr">
        <is>
          <t>Seed</t>
        </is>
      </c>
      <c r="I592" t="inlineStr">
        <is>
          <t>Early</t>
        </is>
      </c>
      <c r="J592" t="inlineStr">
        <is>
          <t>Enterprise Tech</t>
        </is>
      </c>
      <c r="K592" t="inlineStr">
        <is>
          <t>Bengaluru</t>
        </is>
      </c>
      <c r="L592" t="inlineStr">
        <is>
          <t>Prime Venture Partners</t>
        </is>
      </c>
      <c r="M592" t="inlineStr">
        <is>
          <t>Prime Venture Partners</t>
        </is>
      </c>
      <c r="N592" t="inlineStr">
        <is>
          <t>entrackr | inc42</t>
        </is>
      </c>
      <c r="O592" s="20" t="n">
        <v>2</v>
      </c>
      <c r="P592" s="21" t="n">
        <v>0</v>
      </c>
      <c r="Q592" t="inlineStr"/>
      <c r="R592" s="22" t="inlineStr">
        <is>
          <t>https://entrackr.com/snippets/illumine-raises-25-mn-seed-funding-round-led-by-prime-venture-partners-9373606</t>
        </is>
      </c>
    </row>
    <row r="593">
      <c r="A593" t="inlineStr">
        <is>
          <t>R250618-obenelectric</t>
        </is>
      </c>
      <c r="B593" t="inlineStr">
        <is>
          <t>Oben Electric</t>
        </is>
      </c>
      <c r="C593" s="17" t="n">
        <v>45826</v>
      </c>
      <c r="D593" s="18" t="n">
        <v>45809</v>
      </c>
      <c r="E593" s="19" t="n">
        <v>5.785</v>
      </c>
      <c r="F593" s="19" t="n">
        <v>50</v>
      </c>
      <c r="G593" t="inlineStr">
        <is>
          <t>Rs 50 crore</t>
        </is>
      </c>
      <c r="H593" t="inlineStr">
        <is>
          <t>Series A</t>
        </is>
      </c>
      <c r="I593" t="inlineStr">
        <is>
          <t>Early</t>
        </is>
      </c>
      <c r="J593" t="inlineStr">
        <is>
          <t>Cleantech</t>
        </is>
      </c>
      <c r="K593" t="inlineStr">
        <is>
          <t>Bengaluru</t>
        </is>
      </c>
      <c r="L593" t="inlineStr"/>
      <c r="M593" t="inlineStr">
        <is>
          <t>Helios Holdings; Kay family</t>
        </is>
      </c>
      <c r="N593" t="inlineStr">
        <is>
          <t>entrackr | inc42 | et</t>
        </is>
      </c>
      <c r="O593" s="20" t="n">
        <v>3</v>
      </c>
      <c r="P593" s="21" t="n">
        <v>98.8</v>
      </c>
      <c r="Q593" t="inlineStr">
        <is>
          <t>C15</t>
        </is>
      </c>
      <c r="R593" s="22" t="inlineStr">
        <is>
          <t>https://entrackr.com/snippets/oben-electric-closes-rs-100-cr-series-a-round-9373375</t>
        </is>
      </c>
    </row>
    <row r="594">
      <c r="A594" t="inlineStr">
        <is>
          <t>R250618-seven</t>
        </is>
      </c>
      <c r="B594" t="inlineStr">
        <is>
          <t>Seven</t>
        </is>
      </c>
      <c r="C594" s="17" t="n">
        <v>45826</v>
      </c>
      <c r="D594" s="18" t="n">
        <v>45809</v>
      </c>
      <c r="E594" s="19" t="n">
        <v>0.463</v>
      </c>
      <c r="F594" s="19" t="n">
        <v>4</v>
      </c>
      <c r="G594" t="inlineStr">
        <is>
          <t>Rs 4 crore</t>
        </is>
      </c>
      <c r="H594" t="inlineStr">
        <is>
          <t>Pre-Series A</t>
        </is>
      </c>
      <c r="I594" t="inlineStr">
        <is>
          <t>Early</t>
        </is>
      </c>
      <c r="J594" t="inlineStr">
        <is>
          <t>Fintech</t>
        </is>
      </c>
      <c r="K594" t="inlineStr">
        <is>
          <t>Mumbai</t>
        </is>
      </c>
      <c r="L594" t="inlineStr">
        <is>
          <t>Venture Catalysts</t>
        </is>
      </c>
      <c r="M594" t="inlineStr">
        <is>
          <t>Venture Catalysts; Vinners; Anchorage Capital Partners</t>
        </is>
      </c>
      <c r="N594" t="inlineStr">
        <is>
          <t>entrackr</t>
        </is>
      </c>
      <c r="O594" s="20" t="n">
        <v>1</v>
      </c>
      <c r="P594" s="21" t="n">
        <v>0</v>
      </c>
      <c r="Q594" t="inlineStr"/>
      <c r="R594" s="22" t="inlineStr">
        <is>
          <t>https://entrackr.com/snippets/venture-catalysts-leads-pre-series-a-round-in-payment-ring-startup-seven-9374111</t>
        </is>
      </c>
    </row>
    <row r="595">
      <c r="A595" t="inlineStr">
        <is>
          <t>R250618-techfino</t>
        </is>
      </c>
      <c r="B595" t="inlineStr">
        <is>
          <t>Techfino</t>
        </is>
      </c>
      <c r="C595" s="17" t="n">
        <v>45826</v>
      </c>
      <c r="D595" s="18" t="n">
        <v>45809</v>
      </c>
      <c r="E595" s="19" t="n">
        <v>7.521</v>
      </c>
      <c r="F595" s="19" t="n">
        <v>65</v>
      </c>
      <c r="G595" t="inlineStr">
        <is>
          <t>Rs 65 crore</t>
        </is>
      </c>
      <c r="H595" t="inlineStr">
        <is>
          <t>Undisclosed</t>
        </is>
      </c>
      <c r="I595" t="inlineStr">
        <is>
          <t>Undisclosed</t>
        </is>
      </c>
      <c r="J595" t="inlineStr">
        <is>
          <t>Fintech</t>
        </is>
      </c>
      <c r="K595" t="inlineStr">
        <is>
          <t>Bengaluru</t>
        </is>
      </c>
      <c r="L595" t="inlineStr"/>
      <c r="M595" t="inlineStr">
        <is>
          <t>Stellaris Venture Partners; Saison Capital</t>
        </is>
      </c>
      <c r="N595" t="inlineStr">
        <is>
          <t>entrackr | inc42</t>
        </is>
      </c>
      <c r="O595" s="20" t="n">
        <v>2</v>
      </c>
      <c r="P595" s="21" t="n">
        <v>0.3</v>
      </c>
      <c r="Q595" t="inlineStr">
        <is>
          <t>C04</t>
        </is>
      </c>
      <c r="R595" s="22" t="inlineStr">
        <is>
          <t>https://entrackr.com/snippets/techfino-raises-rs-65-cr-from-stellaris-saison-capital-9373005</t>
        </is>
      </c>
    </row>
    <row r="596">
      <c r="A596" t="inlineStr">
        <is>
          <t>R250618-wiom</t>
        </is>
      </c>
      <c r="B596" t="inlineStr">
        <is>
          <t>WIOM</t>
        </is>
      </c>
      <c r="C596" s="17" t="n">
        <v>45826</v>
      </c>
      <c r="D596" s="18" t="n">
        <v>45809</v>
      </c>
      <c r="E596" s="19" t="n">
        <v>40</v>
      </c>
      <c r="F596" s="19" t="n">
        <v>345.72</v>
      </c>
      <c r="G596" t="inlineStr">
        <is>
          <t>$40 million</t>
        </is>
      </c>
      <c r="H596" t="inlineStr">
        <is>
          <t>Undisclosed</t>
        </is>
      </c>
      <c r="I596" t="inlineStr">
        <is>
          <t>Undisclosed</t>
        </is>
      </c>
      <c r="J596" t="inlineStr">
        <is>
          <t>Consumer Services</t>
        </is>
      </c>
      <c r="K596" t="inlineStr">
        <is>
          <t>Delhi NCR</t>
        </is>
      </c>
      <c r="L596" t="inlineStr">
        <is>
          <t>Accel; Prosus; Bertelsmann India Investments</t>
        </is>
      </c>
      <c r="M596" t="inlineStr">
        <is>
          <t>Bertelsmann India Investments; Accel; Prosus; Promaft Partners; RTP global</t>
        </is>
      </c>
      <c r="N596" t="inlineStr">
        <is>
          <t>entrackr | inc42</t>
        </is>
      </c>
      <c r="O596" s="20" t="n">
        <v>2</v>
      </c>
      <c r="P596" s="21" t="n">
        <v>14.3</v>
      </c>
      <c r="Q596" t="inlineStr">
        <is>
          <t>C04 C15 C16</t>
        </is>
      </c>
      <c r="R596" s="22" t="inlineStr">
        <is>
          <t>https://inc42.com/buzz/from-wiom-to-oben-electric-indian-startups-raised-92-mn-this-week/</t>
        </is>
      </c>
    </row>
    <row r="597">
      <c r="A597" t="inlineStr">
        <is>
          <t>R250619-mahaveerfinanc</t>
        </is>
      </c>
      <c r="B597" t="inlineStr">
        <is>
          <t>Mahaveer Finance</t>
        </is>
      </c>
      <c r="C597" s="17" t="n">
        <v>45827</v>
      </c>
      <c r="D597" s="18" t="n">
        <v>45809</v>
      </c>
      <c r="E597" s="19" t="n">
        <v>23.057</v>
      </c>
      <c r="F597" s="19" t="n">
        <v>200</v>
      </c>
      <c r="G597" t="inlineStr">
        <is>
          <t>Rs 200 crore</t>
        </is>
      </c>
      <c r="H597" t="inlineStr">
        <is>
          <t>Bridge</t>
        </is>
      </c>
      <c r="I597" t="inlineStr">
        <is>
          <t>Other</t>
        </is>
      </c>
      <c r="J597" t="inlineStr">
        <is>
          <t>Fintech</t>
        </is>
      </c>
      <c r="K597" t="inlineStr">
        <is>
          <t>Chennai</t>
        </is>
      </c>
      <c r="L597" t="inlineStr">
        <is>
          <t>Elevation Capital; First Bridge Capital</t>
        </is>
      </c>
      <c r="M597" t="inlineStr">
        <is>
          <t>Elevation Capital; Banyan Tree Finance; First Bridge Capital</t>
        </is>
      </c>
      <c r="N597" t="inlineStr">
        <is>
          <t>entrackr | et</t>
        </is>
      </c>
      <c r="O597" s="20" t="n">
        <v>2</v>
      </c>
      <c r="P597" s="21" t="n">
        <v>0</v>
      </c>
      <c r="Q597" t="inlineStr"/>
      <c r="R597" s="22" t="inlineStr">
        <is>
          <t>https://entrackr.com/news/mahaveer-finance-raises-rs-200-cr-led-by-elevation-capital-9376076</t>
        </is>
      </c>
    </row>
    <row r="598">
      <c r="A598" t="inlineStr">
        <is>
          <t>R250619-okinawa</t>
        </is>
      </c>
      <c r="B598" t="inlineStr">
        <is>
          <t>Okinawa</t>
        </is>
      </c>
      <c r="C598" s="17" t="n">
        <v>45827</v>
      </c>
      <c r="D598" s="18" t="n">
        <v>45809</v>
      </c>
      <c r="E598" s="19" t="n">
        <v>6.917</v>
      </c>
      <c r="F598" s="19" t="n">
        <v>60</v>
      </c>
      <c r="G598" t="inlineStr">
        <is>
          <t>Rs 60 crore</t>
        </is>
      </c>
      <c r="H598" t="inlineStr">
        <is>
          <t>Undisclosed</t>
        </is>
      </c>
      <c r="I598" t="inlineStr">
        <is>
          <t>Undisclosed</t>
        </is>
      </c>
      <c r="J598" t="inlineStr">
        <is>
          <t>Cleantech</t>
        </is>
      </c>
      <c r="K598" t="inlineStr">
        <is>
          <t>Unknown</t>
        </is>
      </c>
      <c r="L598" t="inlineStr"/>
      <c r="M598" t="inlineStr"/>
      <c r="N598" t="inlineStr">
        <is>
          <t>entrackr</t>
        </is>
      </c>
      <c r="O598" s="20" t="n">
        <v>1</v>
      </c>
      <c r="P598" s="21" t="n">
        <v>0</v>
      </c>
      <c r="Q598" t="inlineStr">
        <is>
          <t>C04 C05 C07</t>
        </is>
      </c>
      <c r="R598" s="22" t="inlineStr">
        <is>
          <t>https://entrackr.com/exclusive/exclusive-okinawa-secures-7-mn-from-existing-investor-9376298</t>
        </is>
      </c>
    </row>
    <row r="599">
      <c r="A599" t="inlineStr">
        <is>
          <t>R250619-onehandclapmed</t>
        </is>
      </c>
      <c r="B599" t="inlineStr">
        <is>
          <t>One Hand Clap Media</t>
        </is>
      </c>
      <c r="C599" s="17" t="n">
        <v>45827</v>
      </c>
      <c r="D599" s="18" t="n">
        <v>45809</v>
      </c>
      <c r="E599" s="19" t="n"/>
      <c r="F599" s="19" t="n"/>
      <c r="G599" t="inlineStr"/>
      <c r="H599" t="inlineStr">
        <is>
          <t>Undisclosed</t>
        </is>
      </c>
      <c r="I599" t="inlineStr">
        <is>
          <t>Undisclosed</t>
        </is>
      </c>
      <c r="J599" t="inlineStr">
        <is>
          <t>Unclassified</t>
        </is>
      </c>
      <c r="K599" t="inlineStr">
        <is>
          <t>Unknown</t>
        </is>
      </c>
      <c r="L599" t="inlineStr"/>
      <c r="M599" t="inlineStr"/>
      <c r="N599" t="inlineStr">
        <is>
          <t>entrackr</t>
        </is>
      </c>
      <c r="O599" s="20" t="n">
        <v>1</v>
      </c>
      <c r="P599" s="21" t="n"/>
      <c r="Q599" t="inlineStr">
        <is>
          <t>C03 C04 C05 C06 C07</t>
        </is>
      </c>
      <c r="R599" s="22" t="inlineStr">
        <is>
          <t>https://entrackr.com/snippets/nikhil-kamath-invests-in-creative-agency-one-hand-clap-media-9377579</t>
        </is>
      </c>
    </row>
    <row r="600">
      <c r="A600" t="inlineStr">
        <is>
          <t>R250620-renewbuy</t>
        </is>
      </c>
      <c r="B600" t="inlineStr">
        <is>
          <t>Renewbuy</t>
        </is>
      </c>
      <c r="C600" s="17" t="n">
        <v>45828</v>
      </c>
      <c r="D600" s="18" t="n">
        <v>45809</v>
      </c>
      <c r="E600" s="19" t="n">
        <v>10</v>
      </c>
      <c r="F600" s="19" t="n">
        <v>86.62</v>
      </c>
      <c r="G600" t="inlineStr">
        <is>
          <t>$10 million</t>
        </is>
      </c>
      <c r="H600" t="inlineStr">
        <is>
          <t>Undisclosed</t>
        </is>
      </c>
      <c r="I600" t="inlineStr">
        <is>
          <t>Undisclosed</t>
        </is>
      </c>
      <c r="J600" t="inlineStr">
        <is>
          <t>Fintech</t>
        </is>
      </c>
      <c r="K600" t="inlineStr">
        <is>
          <t>Delhi NCR</t>
        </is>
      </c>
      <c r="L600" t="inlineStr"/>
      <c r="M600" t="inlineStr">
        <is>
          <t>Apis Partners; 360 One</t>
        </is>
      </c>
      <c r="N600" t="inlineStr">
        <is>
          <t>entrackr | et</t>
        </is>
      </c>
      <c r="O600" s="20" t="n">
        <v>2</v>
      </c>
      <c r="P600" s="21" t="n">
        <v>0</v>
      </c>
      <c r="Q600" t="inlineStr">
        <is>
          <t>C04</t>
        </is>
      </c>
      <c r="R600" s="22" t="inlineStr">
        <is>
          <t>https://entrackr.com/snippets/renewbuy-raises-10-mn-from-apis-partners-and-360-one-report-9379957</t>
        </is>
      </c>
    </row>
    <row r="601">
      <c r="A601" t="inlineStr">
        <is>
          <t>R250623-ekamobility</t>
        </is>
      </c>
      <c r="B601" t="inlineStr">
        <is>
          <t>EKA Mobility</t>
        </is>
      </c>
      <c r="C601" s="17" t="n">
        <v>45831</v>
      </c>
      <c r="D601" s="18" t="n">
        <v>45809</v>
      </c>
      <c r="E601" s="19" t="n">
        <v>23</v>
      </c>
      <c r="F601" s="19" t="n">
        <v>199.57</v>
      </c>
      <c r="G601" t="inlineStr">
        <is>
          <t>$23 Mn</t>
        </is>
      </c>
      <c r="H601" t="inlineStr">
        <is>
          <t>Undisclosed</t>
        </is>
      </c>
      <c r="I601" t="inlineStr">
        <is>
          <t>Undisclosed</t>
        </is>
      </c>
      <c r="J601" t="inlineStr">
        <is>
          <t>Cleantech</t>
        </is>
      </c>
      <c r="K601" t="inlineStr">
        <is>
          <t>Unknown</t>
        </is>
      </c>
      <c r="L601" t="inlineStr">
        <is>
          <t>Enam Holdings</t>
        </is>
      </c>
      <c r="M601" t="inlineStr">
        <is>
          <t>Enam Holdings</t>
        </is>
      </c>
      <c r="N601" t="inlineStr">
        <is>
          <t>inc42</t>
        </is>
      </c>
      <c r="O601" s="20" t="n">
        <v>1</v>
      </c>
      <c r="P601" s="21" t="n">
        <v>0</v>
      </c>
      <c r="Q601" t="inlineStr">
        <is>
          <t>C04 C07</t>
        </is>
      </c>
      <c r="R601" s="22" t="inlineStr">
        <is>
          <t>https://inc42.com/buzz/from-raphe-mphibr-to-gokwik-indian-startups-raised-278-mn-this-week/</t>
        </is>
      </c>
    </row>
    <row r="602">
      <c r="A602" t="inlineStr">
        <is>
          <t>R250623-incredholdings</t>
        </is>
      </c>
      <c r="B602" t="inlineStr">
        <is>
          <t>InCred Holdings</t>
        </is>
      </c>
      <c r="C602" s="17" t="n">
        <v>45831</v>
      </c>
      <c r="D602" s="18" t="n">
        <v>45809</v>
      </c>
      <c r="E602" s="19" t="n">
        <v>28.812</v>
      </c>
      <c r="F602" s="19" t="n">
        <v>250</v>
      </c>
      <c r="G602" t="inlineStr">
        <is>
          <t>Rs 250 crore</t>
        </is>
      </c>
      <c r="H602" t="inlineStr">
        <is>
          <t>Undisclosed</t>
        </is>
      </c>
      <c r="I602" t="inlineStr">
        <is>
          <t>Undisclosed</t>
        </is>
      </c>
      <c r="J602" t="inlineStr">
        <is>
          <t>Unclassified</t>
        </is>
      </c>
      <c r="K602" t="inlineStr">
        <is>
          <t>Unknown</t>
        </is>
      </c>
      <c r="L602" t="inlineStr"/>
      <c r="M602" t="inlineStr"/>
      <c r="N602" t="inlineStr">
        <is>
          <t>et</t>
        </is>
      </c>
      <c r="O602" s="20" t="n">
        <v>1</v>
      </c>
      <c r="P602" s="21" t="n">
        <v>0</v>
      </c>
      <c r="Q602" t="inlineStr">
        <is>
          <t>C04 C05 C06 C07</t>
        </is>
      </c>
      <c r="R602" s="22" t="inlineStr">
        <is>
          <t>https://economictimes.indiatimes.com/tech/funding/zerodhas-kamath-brothers-invest-rs-250-crore-in-incred-holdings/articleshow/122027507.cms</t>
        </is>
      </c>
    </row>
    <row r="603">
      <c r="A603" t="inlineStr">
        <is>
          <t>R250623-kazam</t>
        </is>
      </c>
      <c r="B603" t="inlineStr">
        <is>
          <t>Kazam</t>
        </is>
      </c>
      <c r="C603" s="17" t="n">
        <v>45831</v>
      </c>
      <c r="D603" s="18" t="n">
        <v>45809</v>
      </c>
      <c r="E603" s="19" t="n">
        <v>6.2</v>
      </c>
      <c r="F603" s="19" t="n">
        <v>53.8</v>
      </c>
      <c r="G603" t="inlineStr">
        <is>
          <t>$6.2 million</t>
        </is>
      </c>
      <c r="H603" t="inlineStr">
        <is>
          <t>Series B</t>
        </is>
      </c>
      <c r="I603" t="inlineStr">
        <is>
          <t>Growth</t>
        </is>
      </c>
      <c r="J603" t="inlineStr">
        <is>
          <t>Cleantech</t>
        </is>
      </c>
      <c r="K603" t="inlineStr">
        <is>
          <t>Bengaluru</t>
        </is>
      </c>
      <c r="L603" t="inlineStr">
        <is>
          <t>International Finance Corporation</t>
        </is>
      </c>
      <c r="M603" t="inlineStr">
        <is>
          <t>International Finance Corporation; Vertex Ventures SEA &amp; India; Avaana Capital; Vertex Ventures Southeast Asia &amp;amp</t>
        </is>
      </c>
      <c r="N603" t="inlineStr">
        <is>
          <t>entrackr | inc42 | et</t>
        </is>
      </c>
      <c r="O603" s="20" t="n">
        <v>3</v>
      </c>
      <c r="P603" s="21" t="n">
        <v>0</v>
      </c>
      <c r="Q603" t="inlineStr"/>
      <c r="R603" s="22" t="inlineStr">
        <is>
          <t>https://entrackr.com/snippets/ev-startup-kazam-raises-62-mn-from-ifc-vertex-and-avaana-capital-9389336</t>
        </is>
      </c>
    </row>
    <row r="604">
      <c r="A604" t="inlineStr">
        <is>
          <t>R250623-rabitat</t>
        </is>
      </c>
      <c r="B604" t="inlineStr">
        <is>
          <t>Rabitat</t>
        </is>
      </c>
      <c r="C604" s="17" t="n">
        <v>45831</v>
      </c>
      <c r="D604" s="18" t="n">
        <v>45809</v>
      </c>
      <c r="E604" s="19" t="n">
        <v>4.61</v>
      </c>
      <c r="F604" s="19" t="n">
        <v>40</v>
      </c>
      <c r="G604" t="inlineStr">
        <is>
          <t>Rs 40 crore</t>
        </is>
      </c>
      <c r="H604" t="inlineStr">
        <is>
          <t>Series A</t>
        </is>
      </c>
      <c r="I604" t="inlineStr">
        <is>
          <t>Early</t>
        </is>
      </c>
      <c r="J604" t="inlineStr">
        <is>
          <t>Ecommerce</t>
        </is>
      </c>
      <c r="K604" t="inlineStr">
        <is>
          <t>Unknown</t>
        </is>
      </c>
      <c r="L604" t="inlineStr">
        <is>
          <t>RPSG Capital; DSG Consumer Partners</t>
        </is>
      </c>
      <c r="M604" t="inlineStr">
        <is>
          <t>RPSG Capital; DSG Consumer Partners; Capital A; Accurize Syndicate; Flair Writing Family Office; Eagle Venture Fund; AG Ventures; Vedang Patel; Harsh Lal; Rohin Samtaney; Ramakant Sharma; Sourabh Jain; Ankit Nagori; LivSpace; Cult.fit</t>
        </is>
      </c>
      <c r="N604" t="inlineStr">
        <is>
          <t>entrackr | inc42</t>
        </is>
      </c>
      <c r="O604" s="20" t="n">
        <v>2</v>
      </c>
      <c r="P604" s="21" t="n">
        <v>0.2</v>
      </c>
      <c r="Q604" t="inlineStr">
        <is>
          <t>C07</t>
        </is>
      </c>
      <c r="R604" s="22" t="inlineStr">
        <is>
          <t>https://entrackr.com/snippets/d2c-brand-rabitat-raises-rs-40-cr-in-series-a-round-9389652</t>
        </is>
      </c>
    </row>
    <row r="605">
      <c r="A605" t="inlineStr">
        <is>
          <t>R250623-truliv</t>
        </is>
      </c>
      <c r="B605" t="inlineStr">
        <is>
          <t>Truliv</t>
        </is>
      </c>
      <c r="C605" s="17" t="n">
        <v>45831</v>
      </c>
      <c r="D605" s="18" t="n">
        <v>45809</v>
      </c>
      <c r="E605" s="19" t="n"/>
      <c r="F605" s="19" t="n"/>
      <c r="G605" t="inlineStr"/>
      <c r="H605" t="inlineStr">
        <is>
          <t>Undisclosed</t>
        </is>
      </c>
      <c r="I605" t="inlineStr">
        <is>
          <t>Undisclosed</t>
        </is>
      </c>
      <c r="J605" t="inlineStr">
        <is>
          <t>Real Estate Tech</t>
        </is>
      </c>
      <c r="K605" t="inlineStr">
        <is>
          <t>Chennai</t>
        </is>
      </c>
      <c r="L605" t="inlineStr">
        <is>
          <t>Bennett; Coleman &amp; Co</t>
        </is>
      </c>
      <c r="M605" t="inlineStr">
        <is>
          <t>Bennett; Coleman &amp; Co; BCCL</t>
        </is>
      </c>
      <c r="N605" t="inlineStr">
        <is>
          <t>entrackr | inc42</t>
        </is>
      </c>
      <c r="O605" s="20" t="n">
        <v>2</v>
      </c>
      <c r="P605" s="21" t="n"/>
      <c r="Q605" t="inlineStr">
        <is>
          <t>C03 C04</t>
        </is>
      </c>
      <c r="R605" s="22" t="inlineStr">
        <is>
          <t>https://entrackr.com/snippets/co-living-startup-truliv-raises-strategic-investment-from-bccl-9392137</t>
        </is>
      </c>
    </row>
    <row r="606">
      <c r="A606" t="inlineStr">
        <is>
          <t>R250624-everacabs</t>
        </is>
      </c>
      <c r="B606" t="inlineStr">
        <is>
          <t>Evera Cabs</t>
        </is>
      </c>
      <c r="C606" s="17" t="n">
        <v>45832</v>
      </c>
      <c r="D606" s="18" t="n">
        <v>45809</v>
      </c>
      <c r="E606" s="19" t="n">
        <v>4</v>
      </c>
      <c r="F606" s="19" t="n">
        <v>34.41</v>
      </c>
      <c r="G606" t="inlineStr">
        <is>
          <t>$4 million</t>
        </is>
      </c>
      <c r="H606" t="inlineStr">
        <is>
          <t>Debt</t>
        </is>
      </c>
      <c r="I606" t="inlineStr">
        <is>
          <t>Debt</t>
        </is>
      </c>
      <c r="J606" t="inlineStr">
        <is>
          <t>Travel Tech</t>
        </is>
      </c>
      <c r="K606" t="inlineStr">
        <is>
          <t>Delhi NCR</t>
        </is>
      </c>
      <c r="L606" t="inlineStr">
        <is>
          <t>Mufin Green Finance</t>
        </is>
      </c>
      <c r="M606" t="inlineStr">
        <is>
          <t>Mufin Green Finance</t>
        </is>
      </c>
      <c r="N606" t="inlineStr">
        <is>
          <t>entrackr | inc42</t>
        </is>
      </c>
      <c r="O606" s="20" t="n">
        <v>2</v>
      </c>
      <c r="P606" s="21" t="n">
        <v>0</v>
      </c>
      <c r="Q606" t="inlineStr"/>
      <c r="R606" s="22" t="inlineStr">
        <is>
          <t>https://entrackr.com/snippets/evera-cabs-secures-4-mn-from-mufin-green-finance-9396942</t>
        </is>
      </c>
    </row>
    <row r="607">
      <c r="A607" t="inlineStr">
        <is>
          <t>R250624-fabheads</t>
        </is>
      </c>
      <c r="B607" t="inlineStr">
        <is>
          <t>Fabheads</t>
        </is>
      </c>
      <c r="C607" s="17" t="n">
        <v>45832</v>
      </c>
      <c r="D607" s="18" t="n">
        <v>45809</v>
      </c>
      <c r="E607" s="19" t="n">
        <v>10</v>
      </c>
      <c r="F607" s="19" t="n">
        <v>86.03</v>
      </c>
      <c r="G607" t="inlineStr">
        <is>
          <t>$10 million</t>
        </is>
      </c>
      <c r="H607" t="inlineStr">
        <is>
          <t>Series A</t>
        </is>
      </c>
      <c r="I607" t="inlineStr">
        <is>
          <t>Early</t>
        </is>
      </c>
      <c r="J607" t="inlineStr">
        <is>
          <t>Advanced Hardware &amp; Technology</t>
        </is>
      </c>
      <c r="K607" t="inlineStr">
        <is>
          <t>Chennai</t>
        </is>
      </c>
      <c r="L607" t="inlineStr">
        <is>
          <t>Accel</t>
        </is>
      </c>
      <c r="M607" t="inlineStr">
        <is>
          <t>Accel; Trifecta Capital</t>
        </is>
      </c>
      <c r="N607" t="inlineStr">
        <is>
          <t>entrackr | inc42 | et</t>
        </is>
      </c>
      <c r="O607" s="20" t="n">
        <v>3</v>
      </c>
      <c r="P607" s="21" t="n">
        <v>0</v>
      </c>
      <c r="Q607" t="inlineStr"/>
      <c r="R607" s="22" t="inlineStr">
        <is>
          <t>https://entrackr.com/snippets/fabheads-raises-10-mn-in-series-a-round-led-by-accel-9396012</t>
        </is>
      </c>
    </row>
    <row r="608">
      <c r="A608" t="inlineStr">
        <is>
          <t>R250624-fantail</t>
        </is>
      </c>
      <c r="B608" t="inlineStr">
        <is>
          <t>Fantail</t>
        </is>
      </c>
      <c r="C608" s="17" t="n">
        <v>45832</v>
      </c>
      <c r="D608" s="18" t="n">
        <v>45809</v>
      </c>
      <c r="E608" s="19" t="n">
        <v>1.598</v>
      </c>
      <c r="F608" s="19" t="n">
        <v>13.75</v>
      </c>
      <c r="G608" t="inlineStr">
        <is>
          <t>Rs 13.75 crore</t>
        </is>
      </c>
      <c r="H608" t="inlineStr">
        <is>
          <t>Seed</t>
        </is>
      </c>
      <c r="I608" t="inlineStr">
        <is>
          <t>Early</t>
        </is>
      </c>
      <c r="J608" t="inlineStr">
        <is>
          <t>Enterprise Tech</t>
        </is>
      </c>
      <c r="K608" t="inlineStr">
        <is>
          <t>Surat</t>
        </is>
      </c>
      <c r="L608" t="inlineStr">
        <is>
          <t>Riverwalk Holdings; Incubate Fund Asia; All in Capital</t>
        </is>
      </c>
      <c r="M608" t="inlineStr">
        <is>
          <t>Riverwalk Holdings; Incubate Fund Asia; All in Capital</t>
        </is>
      </c>
      <c r="N608" t="inlineStr">
        <is>
          <t>entrackr | inc42</t>
        </is>
      </c>
      <c r="O608" s="20" t="n">
        <v>2</v>
      </c>
      <c r="P608" s="21" t="n">
        <v>0.1</v>
      </c>
      <c r="Q608" t="inlineStr"/>
      <c r="R608" s="22" t="inlineStr">
        <is>
          <t>https://entrackr.com/snippets/b2b-textile-manufacturing-startup-fantail-raises-rs-1375-cr-in-seed-round-9396255</t>
        </is>
      </c>
    </row>
    <row r="609">
      <c r="A609" t="inlineStr">
        <is>
          <t>R250624-gokwik</t>
        </is>
      </c>
      <c r="B609" t="inlineStr">
        <is>
          <t>GoKwik</t>
        </is>
      </c>
      <c r="C609" s="17" t="n">
        <v>45832</v>
      </c>
      <c r="D609" s="18" t="n">
        <v>45809</v>
      </c>
      <c r="E609" s="19" t="n">
        <v>13</v>
      </c>
      <c r="F609" s="19" t="n">
        <v>111.84</v>
      </c>
      <c r="G609" t="inlineStr">
        <is>
          <t>$13 million</t>
        </is>
      </c>
      <c r="H609" t="inlineStr">
        <is>
          <t>Undisclosed</t>
        </is>
      </c>
      <c r="I609" t="inlineStr">
        <is>
          <t>Undisclosed</t>
        </is>
      </c>
      <c r="J609" t="inlineStr">
        <is>
          <t>Fintech</t>
        </is>
      </c>
      <c r="K609" t="inlineStr">
        <is>
          <t>Delhi NCR</t>
        </is>
      </c>
      <c r="L609" t="inlineStr">
        <is>
          <t>RTP Global</t>
        </is>
      </c>
      <c r="M609" t="inlineStr">
        <is>
          <t>RTP Global; Z47; Peak XV Partners; Think Investments</t>
        </is>
      </c>
      <c r="N609" t="inlineStr">
        <is>
          <t>entrackr | inc42 | et</t>
        </is>
      </c>
      <c r="O609" s="20" t="n">
        <v>3</v>
      </c>
      <c r="P609" s="21" t="n">
        <v>0</v>
      </c>
      <c r="Q609" t="inlineStr">
        <is>
          <t>C04</t>
        </is>
      </c>
      <c r="R609" s="22" t="inlineStr">
        <is>
          <t>https://entrackr.com/snippets/e-commerce-enabler-gokwik-raises-13-mn-led-by-rtp-global-9396485</t>
        </is>
      </c>
    </row>
    <row r="610">
      <c r="A610" t="inlineStr">
        <is>
          <t>R250624-innovodigm</t>
        </is>
      </c>
      <c r="B610" t="inlineStr">
        <is>
          <t>Innovodigm</t>
        </is>
      </c>
      <c r="C610" s="17" t="n">
        <v>45832</v>
      </c>
      <c r="D610" s="18" t="n">
        <v>45809</v>
      </c>
      <c r="E610" s="19" t="n">
        <v>0.639</v>
      </c>
      <c r="F610" s="19" t="n">
        <v>5.5</v>
      </c>
      <c r="G610" t="inlineStr">
        <is>
          <t>Rs 5.5 crore</t>
        </is>
      </c>
      <c r="H610" t="inlineStr">
        <is>
          <t>Seed</t>
        </is>
      </c>
      <c r="I610" t="inlineStr">
        <is>
          <t>Early</t>
        </is>
      </c>
      <c r="J610" t="inlineStr">
        <is>
          <t>Healthtech</t>
        </is>
      </c>
      <c r="K610" t="inlineStr">
        <is>
          <t>Unknown</t>
        </is>
      </c>
      <c r="L610" t="inlineStr">
        <is>
          <t>IAN Group</t>
        </is>
      </c>
      <c r="M610" t="inlineStr">
        <is>
          <t>IAN Group</t>
        </is>
      </c>
      <c r="N610" t="inlineStr">
        <is>
          <t>entrackr | inc42</t>
        </is>
      </c>
      <c r="O610" s="20" t="n">
        <v>2</v>
      </c>
      <c r="P610" s="21" t="n">
        <v>0.6</v>
      </c>
      <c r="Q610" t="inlineStr">
        <is>
          <t>C07</t>
        </is>
      </c>
      <c r="R610" s="22" t="inlineStr">
        <is>
          <t>https://entrackr.com/snippets/med-tech-startup-innovodigm-raises-seed-funding-round-led-by-ian-group-9402512</t>
        </is>
      </c>
    </row>
    <row r="611">
      <c r="A611" t="inlineStr">
        <is>
          <t>R250624-skippi</t>
        </is>
      </c>
      <c r="B611" t="inlineStr">
        <is>
          <t>Skippi</t>
        </is>
      </c>
      <c r="C611" s="17" t="n">
        <v>45832</v>
      </c>
      <c r="D611" s="18" t="n">
        <v>45809</v>
      </c>
      <c r="E611" s="19" t="n">
        <v>1.395</v>
      </c>
      <c r="F611" s="19" t="n">
        <v>12</v>
      </c>
      <c r="G611" t="inlineStr">
        <is>
          <t>Rs 12 crore</t>
        </is>
      </c>
      <c r="H611" t="inlineStr">
        <is>
          <t>Pre-Series A</t>
        </is>
      </c>
      <c r="I611" t="inlineStr">
        <is>
          <t>Early</t>
        </is>
      </c>
      <c r="J611" t="inlineStr">
        <is>
          <t>Ecommerce</t>
        </is>
      </c>
      <c r="K611" t="inlineStr">
        <is>
          <t>Outside India</t>
        </is>
      </c>
      <c r="L611" t="inlineStr"/>
      <c r="M611" t="inlineStr"/>
      <c r="N611" t="inlineStr">
        <is>
          <t>entrackr | inc42</t>
        </is>
      </c>
      <c r="O611" s="20" t="n">
        <v>2</v>
      </c>
      <c r="P611" s="21" t="n">
        <v>0.4</v>
      </c>
      <c r="Q611" t="inlineStr">
        <is>
          <t>C05</t>
        </is>
      </c>
      <c r="R611" s="22" t="inlineStr">
        <is>
          <t>https://entrackr.com/snippets/ice-popsicle-brand-skippi-raises-rs-12-cr-in-extended-pre-series-a-round-9396900</t>
        </is>
      </c>
    </row>
    <row r="612">
      <c r="A612" t="inlineStr">
        <is>
          <t>R250624-utopiatherapeu</t>
        </is>
      </c>
      <c r="B612" t="inlineStr">
        <is>
          <t>Utopia Therapeutics</t>
        </is>
      </c>
      <c r="C612" s="17" t="n">
        <v>45832</v>
      </c>
      <c r="D612" s="18" t="n">
        <v>45809</v>
      </c>
      <c r="E612" s="19" t="n">
        <v>1.5</v>
      </c>
      <c r="F612" s="19" t="n">
        <v>12.9</v>
      </c>
      <c r="G612" t="inlineStr">
        <is>
          <t>$1.5 million</t>
        </is>
      </c>
      <c r="H612" t="inlineStr">
        <is>
          <t>Seed</t>
        </is>
      </c>
      <c r="I612" t="inlineStr">
        <is>
          <t>Early</t>
        </is>
      </c>
      <c r="J612" t="inlineStr">
        <is>
          <t>Unclassified</t>
        </is>
      </c>
      <c r="K612" t="inlineStr">
        <is>
          <t>Hyderabad</t>
        </is>
      </c>
      <c r="L612" t="inlineStr"/>
      <c r="M612" t="inlineStr">
        <is>
          <t>Whale Tank</t>
        </is>
      </c>
      <c r="N612" t="inlineStr">
        <is>
          <t>entrackr</t>
        </is>
      </c>
      <c r="O612" s="20" t="n">
        <v>1</v>
      </c>
      <c r="P612" s="21" t="n">
        <v>0</v>
      </c>
      <c r="Q612" t="inlineStr">
        <is>
          <t>C06</t>
        </is>
      </c>
      <c r="R612" s="22" t="inlineStr">
        <is>
          <t>https://entrackr.com/snippets/bio-tech-startup-utopia-therapeutics-raises-15-mn-led-by-whale-tank-9396662</t>
        </is>
      </c>
    </row>
    <row r="613">
      <c r="A613" t="inlineStr">
        <is>
          <t>R250625-armory</t>
        </is>
      </c>
      <c r="B613" t="inlineStr">
        <is>
          <t>Armory</t>
        </is>
      </c>
      <c r="C613" s="17" t="n">
        <v>45833</v>
      </c>
      <c r="D613" s="18" t="n">
        <v>45809</v>
      </c>
      <c r="E613" s="19" t="n">
        <v>1.51</v>
      </c>
      <c r="F613" s="19" t="n">
        <v>13</v>
      </c>
      <c r="G613" t="inlineStr">
        <is>
          <t>Rs 13 crore</t>
        </is>
      </c>
      <c r="H613" t="inlineStr">
        <is>
          <t>Undisclosed</t>
        </is>
      </c>
      <c r="I613" t="inlineStr">
        <is>
          <t>Undisclosed</t>
        </is>
      </c>
      <c r="J613" t="inlineStr">
        <is>
          <t>Advanced Hardware &amp; Technology</t>
        </is>
      </c>
      <c r="K613" t="inlineStr">
        <is>
          <t>Unknown</t>
        </is>
      </c>
      <c r="L613" t="inlineStr">
        <is>
          <t>GrowX Ventures</t>
        </is>
      </c>
      <c r="M613" t="inlineStr">
        <is>
          <t>Industrial 47; Antler; AC Ventures; Dexter Ventures; GrowX Ventures</t>
        </is>
      </c>
      <c r="N613" t="inlineStr">
        <is>
          <t>entrackr | inc42 | et</t>
        </is>
      </c>
      <c r="O613" s="20" t="n">
        <v>3</v>
      </c>
      <c r="P613" s="21" t="n">
        <v>0.7</v>
      </c>
      <c r="Q613" t="inlineStr">
        <is>
          <t>C04 C07</t>
        </is>
      </c>
      <c r="R613" s="22" t="inlineStr">
        <is>
          <t>https://entrackr.com/snippets/defence-tech-startup-armory-raises-rs-13-cr-led-by-growx-ventures-9404571</t>
        </is>
      </c>
    </row>
    <row r="614">
      <c r="A614" t="inlineStr">
        <is>
          <t>R250625-auraml</t>
        </is>
      </c>
      <c r="B614" t="inlineStr">
        <is>
          <t>AuraML</t>
        </is>
      </c>
      <c r="C614" s="17" t="n">
        <v>45833</v>
      </c>
      <c r="D614" s="18" t="n">
        <v>45809</v>
      </c>
      <c r="E614" s="19" t="n">
        <v>1</v>
      </c>
      <c r="F614" s="19" t="n">
        <v>8.609999999999999</v>
      </c>
      <c r="G614" t="inlineStr">
        <is>
          <t>$1 million</t>
        </is>
      </c>
      <c r="H614" t="inlineStr">
        <is>
          <t>Pre-Seed</t>
        </is>
      </c>
      <c r="I614" t="inlineStr">
        <is>
          <t>Early</t>
        </is>
      </c>
      <c r="J614" t="inlineStr">
        <is>
          <t>Artificial Intelligence</t>
        </is>
      </c>
      <c r="K614" t="inlineStr">
        <is>
          <t>Unknown</t>
        </is>
      </c>
      <c r="L614" t="inlineStr">
        <is>
          <t>Turbostart</t>
        </is>
      </c>
      <c r="M614" t="inlineStr">
        <is>
          <t>Turbostart; DeVC; GSF Accelerator; Indian Angel Network</t>
        </is>
      </c>
      <c r="N614" t="inlineStr">
        <is>
          <t>entrackr | inc42</t>
        </is>
      </c>
      <c r="O614" s="20" t="n">
        <v>2</v>
      </c>
      <c r="P614" s="21" t="n">
        <v>0</v>
      </c>
      <c r="Q614" t="inlineStr">
        <is>
          <t>C07</t>
        </is>
      </c>
      <c r="R614" s="22" t="inlineStr">
        <is>
          <t>https://entrackr.com/snippets/auraml-raises-1-mn-in-pre-seed-round-led-by-turbostart-9404901</t>
        </is>
      </c>
    </row>
    <row r="615">
      <c r="A615" t="inlineStr">
        <is>
          <t>R250625-giva</t>
        </is>
      </c>
      <c r="B615" t="inlineStr">
        <is>
          <t>GIVA</t>
        </is>
      </c>
      <c r="C615" s="17" t="n">
        <v>45833</v>
      </c>
      <c r="D615" s="18" t="n">
        <v>45809</v>
      </c>
      <c r="E615" s="19" t="n">
        <v>61.556</v>
      </c>
      <c r="F615" s="19" t="n">
        <v>530</v>
      </c>
      <c r="G615" t="inlineStr">
        <is>
          <t>Rs 530 crore</t>
        </is>
      </c>
      <c r="H615" t="inlineStr">
        <is>
          <t>Series C</t>
        </is>
      </c>
      <c r="I615" t="inlineStr">
        <is>
          <t>Growth</t>
        </is>
      </c>
      <c r="J615" t="inlineStr">
        <is>
          <t>Ecommerce</t>
        </is>
      </c>
      <c r="K615" t="inlineStr">
        <is>
          <t>Bengaluru</t>
        </is>
      </c>
      <c r="L615" t="inlineStr">
        <is>
          <t>Creaegis</t>
        </is>
      </c>
      <c r="M615" t="inlineStr">
        <is>
          <t>Creaegis; Premji Invest; Epiq Capital; Edelweiss Discovery Fund</t>
        </is>
      </c>
      <c r="N615" t="inlineStr">
        <is>
          <t>entrackr | inc42</t>
        </is>
      </c>
      <c r="O615" s="20" t="n">
        <v>2</v>
      </c>
      <c r="P615" s="21" t="n">
        <v>0.7</v>
      </c>
      <c r="Q615" t="inlineStr"/>
      <c r="R615" s="22" t="inlineStr">
        <is>
          <t>https://entrackr.com/news/giva-raises-rs-530-cr-in-series-c-round-led-by-creaegis-9407202</t>
        </is>
      </c>
    </row>
    <row r="616">
      <c r="A616" t="inlineStr">
        <is>
          <t>R250625-indiabonds</t>
        </is>
      </c>
      <c r="B616" t="inlineStr">
        <is>
          <t>IndiaBonds</t>
        </is>
      </c>
      <c r="C616" s="17" t="n">
        <v>45833</v>
      </c>
      <c r="D616" s="18" t="n">
        <v>45809</v>
      </c>
      <c r="E616" s="19" t="n">
        <v>3.775</v>
      </c>
      <c r="F616" s="19" t="n">
        <v>32.5</v>
      </c>
      <c r="G616" t="inlineStr">
        <is>
          <t>Rs 32.5 crore</t>
        </is>
      </c>
      <c r="H616" t="inlineStr">
        <is>
          <t>Undisclosed</t>
        </is>
      </c>
      <c r="I616" t="inlineStr">
        <is>
          <t>Undisclosed</t>
        </is>
      </c>
      <c r="J616" t="inlineStr">
        <is>
          <t>Fintech</t>
        </is>
      </c>
      <c r="K616" t="inlineStr">
        <is>
          <t>Mumbai</t>
        </is>
      </c>
      <c r="L616" t="inlineStr"/>
      <c r="M616" t="inlineStr"/>
      <c r="N616" t="inlineStr">
        <is>
          <t>et</t>
        </is>
      </c>
      <c r="O616" s="20" t="n">
        <v>1</v>
      </c>
      <c r="P616" s="21" t="n">
        <v>0</v>
      </c>
      <c r="Q616" t="inlineStr">
        <is>
          <t>C04 C05</t>
        </is>
      </c>
      <c r="R616" s="22" t="inlineStr">
        <is>
          <t>https://economictimes.indiatimes.com/tech/funding/indiabonds-raises-rs-32-5-crore-from-individual-investors/articleshow/122065869.cms</t>
        </is>
      </c>
    </row>
    <row r="617">
      <c r="A617" t="inlineStr">
        <is>
          <t>R250625-indiansnackhou</t>
        </is>
      </c>
      <c r="B617" t="inlineStr">
        <is>
          <t>Indian Snack House</t>
        </is>
      </c>
      <c r="C617" s="17" t="n">
        <v>45833</v>
      </c>
      <c r="D617" s="18" t="n">
        <v>45809</v>
      </c>
      <c r="E617" s="19" t="n">
        <v>0.256</v>
      </c>
      <c r="F617" s="19" t="n">
        <v>2.2</v>
      </c>
      <c r="G617" t="inlineStr">
        <is>
          <t>Rs 2.2 crore</t>
        </is>
      </c>
      <c r="H617" t="inlineStr">
        <is>
          <t>Pre-Seed</t>
        </is>
      </c>
      <c r="I617" t="inlineStr">
        <is>
          <t>Early</t>
        </is>
      </c>
      <c r="J617" t="inlineStr">
        <is>
          <t>Ecommerce</t>
        </is>
      </c>
      <c r="K617" t="inlineStr">
        <is>
          <t>Chennai</t>
        </is>
      </c>
      <c r="L617" t="inlineStr">
        <is>
          <t>Titan Capital</t>
        </is>
      </c>
      <c r="M617" t="inlineStr">
        <is>
          <t>Titan Capital</t>
        </is>
      </c>
      <c r="N617" t="inlineStr">
        <is>
          <t>entrackr</t>
        </is>
      </c>
      <c r="O617" s="20" t="n">
        <v>1</v>
      </c>
      <c r="P617" s="21" t="n">
        <v>0</v>
      </c>
      <c r="Q617" t="inlineStr"/>
      <c r="R617" s="22" t="inlineStr">
        <is>
          <t>https://entrackr.com/snippets/d2c-brand-indian-snack-house-raises-pre-seed-funding-round-led-by-titan-capital-9405715</t>
        </is>
      </c>
    </row>
    <row r="618">
      <c r="A618" t="inlineStr">
        <is>
          <t>R250625-pazy</t>
        </is>
      </c>
      <c r="B618" t="inlineStr">
        <is>
          <t>Pazy</t>
        </is>
      </c>
      <c r="C618" s="17" t="n">
        <v>45833</v>
      </c>
      <c r="D618" s="18" t="n">
        <v>45809</v>
      </c>
      <c r="E618" s="19" t="n">
        <v>0.697</v>
      </c>
      <c r="F618" s="19" t="n">
        <v>6</v>
      </c>
      <c r="G618" t="inlineStr">
        <is>
          <t>Rs 6 crore</t>
        </is>
      </c>
      <c r="H618" t="inlineStr">
        <is>
          <t>Pre-Seed</t>
        </is>
      </c>
      <c r="I618" t="inlineStr">
        <is>
          <t>Early</t>
        </is>
      </c>
      <c r="J618" t="inlineStr">
        <is>
          <t>Fintech</t>
        </is>
      </c>
      <c r="K618" t="inlineStr">
        <is>
          <t>Bengaluru</t>
        </is>
      </c>
      <c r="L618" t="inlineStr">
        <is>
          <t>Inuka Capital</t>
        </is>
      </c>
      <c r="M618" t="inlineStr">
        <is>
          <t>Inuka Capital; Gemba Capital</t>
        </is>
      </c>
      <c r="N618" t="inlineStr">
        <is>
          <t>entrackr</t>
        </is>
      </c>
      <c r="O618" s="20" t="n">
        <v>1</v>
      </c>
      <c r="P618" s="21" t="n">
        <v>0</v>
      </c>
      <c r="Q618" t="inlineStr"/>
      <c r="R618" s="22" t="inlineStr">
        <is>
          <t>https://entrackr.com/snippets/business-payments-platform-pazy-raises-pre-seed-funding-round-9410494</t>
        </is>
      </c>
    </row>
    <row r="619">
      <c r="A619" t="inlineStr">
        <is>
          <t>R250625-sahi</t>
        </is>
      </c>
      <c r="B619" t="inlineStr">
        <is>
          <t>Sahi</t>
        </is>
      </c>
      <c r="C619" s="17" t="n">
        <v>45833</v>
      </c>
      <c r="D619" s="18" t="n">
        <v>45809</v>
      </c>
      <c r="E619" s="19" t="n">
        <v>10.5</v>
      </c>
      <c r="F619" s="19" t="n">
        <v>90.40000000000001</v>
      </c>
      <c r="G619" t="inlineStr">
        <is>
          <t>$10.5 million</t>
        </is>
      </c>
      <c r="H619" t="inlineStr">
        <is>
          <t>Series A</t>
        </is>
      </c>
      <c r="I619" t="inlineStr">
        <is>
          <t>Early</t>
        </is>
      </c>
      <c r="J619" t="inlineStr">
        <is>
          <t>Fintech</t>
        </is>
      </c>
      <c r="K619" t="inlineStr">
        <is>
          <t>Bengaluru</t>
        </is>
      </c>
      <c r="L619" t="inlineStr">
        <is>
          <t>Accel; Elevation Capital</t>
        </is>
      </c>
      <c r="M619" t="inlineStr">
        <is>
          <t>Accel; Elevation Capital</t>
        </is>
      </c>
      <c r="N619" t="inlineStr">
        <is>
          <t>entrackr | inc42 | et</t>
        </is>
      </c>
      <c r="O619" s="20" t="n">
        <v>3</v>
      </c>
      <c r="P619" s="21" t="n">
        <v>0</v>
      </c>
      <c r="Q619" t="inlineStr"/>
      <c r="R619" s="22" t="inlineStr">
        <is>
          <t>https://entrackr.com/news/former-swiggy-ctos-stock-trading-app-sahi-raises-105-mn-led-by-accel-and-elevation-9404619</t>
        </is>
      </c>
    </row>
    <row r="620">
      <c r="A620" t="inlineStr">
        <is>
          <t>R250625-sthyrenergy</t>
        </is>
      </c>
      <c r="B620" t="inlineStr">
        <is>
          <t>Sthyr Energy</t>
        </is>
      </c>
      <c r="C620" s="17" t="n">
        <v>45833</v>
      </c>
      <c r="D620" s="18" t="n">
        <v>45809</v>
      </c>
      <c r="E620" s="19" t="n">
        <v>1</v>
      </c>
      <c r="F620" s="19" t="n">
        <v>8.609999999999999</v>
      </c>
      <c r="G620" t="inlineStr">
        <is>
          <t>$1 million</t>
        </is>
      </c>
      <c r="H620" t="inlineStr">
        <is>
          <t>Seed</t>
        </is>
      </c>
      <c r="I620" t="inlineStr">
        <is>
          <t>Early</t>
        </is>
      </c>
      <c r="J620" t="inlineStr">
        <is>
          <t>Cleantech</t>
        </is>
      </c>
      <c r="K620" t="inlineStr">
        <is>
          <t>Chennai</t>
        </is>
      </c>
      <c r="L620" t="inlineStr">
        <is>
          <t>Speciale Invest</t>
        </is>
      </c>
      <c r="M620" t="inlineStr">
        <is>
          <t>Speciale Invest; Antares Ventures</t>
        </is>
      </c>
      <c r="N620" t="inlineStr">
        <is>
          <t>entrackr | inc42 | et</t>
        </is>
      </c>
      <c r="O620" s="20" t="n">
        <v>3</v>
      </c>
      <c r="P620" s="21" t="n">
        <v>0</v>
      </c>
      <c r="Q620" t="inlineStr"/>
      <c r="R620" s="22" t="inlineStr">
        <is>
          <t>https://entrackr.com/snippets/deeptech-startup-sthyr-energy-raises-1-mn-in-seed-round-9405438</t>
        </is>
      </c>
    </row>
    <row r="621">
      <c r="A621" t="inlineStr">
        <is>
          <t>R250626-flipspaces</t>
        </is>
      </c>
      <c r="B621" t="inlineStr">
        <is>
          <t>Flipspaces</t>
        </is>
      </c>
      <c r="C621" s="17" t="n">
        <v>45834</v>
      </c>
      <c r="D621" s="18" t="n">
        <v>45809</v>
      </c>
      <c r="E621" s="19" t="n">
        <v>5.831</v>
      </c>
      <c r="F621" s="19" t="n">
        <v>50</v>
      </c>
      <c r="G621" t="inlineStr">
        <is>
          <t>Rs 50 crore</t>
        </is>
      </c>
      <c r="H621" t="inlineStr">
        <is>
          <t>Undisclosed</t>
        </is>
      </c>
      <c r="I621" t="inlineStr">
        <is>
          <t>Undisclosed</t>
        </is>
      </c>
      <c r="J621" t="inlineStr">
        <is>
          <t>Real Estate Tech</t>
        </is>
      </c>
      <c r="K621" t="inlineStr">
        <is>
          <t>Mumbai</t>
        </is>
      </c>
      <c r="L621" t="inlineStr">
        <is>
          <t>Asiana Fund</t>
        </is>
      </c>
      <c r="M621" t="inlineStr">
        <is>
          <t>Asiana Fund</t>
        </is>
      </c>
      <c r="N621" t="inlineStr">
        <is>
          <t>entrackr | inc42</t>
        </is>
      </c>
      <c r="O621" s="20" t="n">
        <v>2</v>
      </c>
      <c r="P621" s="21" t="n">
        <v>1.2</v>
      </c>
      <c r="Q621" t="inlineStr">
        <is>
          <t>C04</t>
        </is>
      </c>
      <c r="R621" s="22" t="inlineStr">
        <is>
          <t>https://entrackr.com/snippets/flipspaces-raises-rs-50-cr-from-asiana-fund-9420511</t>
        </is>
      </c>
    </row>
    <row r="622">
      <c r="A622" t="inlineStr">
        <is>
          <t>R250626-jobizo</t>
        </is>
      </c>
      <c r="B622" t="inlineStr">
        <is>
          <t>Jobizo</t>
        </is>
      </c>
      <c r="C622" s="17" t="n">
        <v>45834</v>
      </c>
      <c r="D622" s="18" t="n">
        <v>45809</v>
      </c>
      <c r="E622" s="19" t="n">
        <v>1.4</v>
      </c>
      <c r="F622" s="19" t="n">
        <v>12</v>
      </c>
      <c r="G622" t="inlineStr">
        <is>
          <t>$1.4 Mn</t>
        </is>
      </c>
      <c r="H622" t="inlineStr">
        <is>
          <t>Pre-Series A</t>
        </is>
      </c>
      <c r="I622" t="inlineStr">
        <is>
          <t>Early</t>
        </is>
      </c>
      <c r="J622" t="inlineStr">
        <is>
          <t>Enterprise Tech</t>
        </is>
      </c>
      <c r="K622" t="inlineStr">
        <is>
          <t>Unknown</t>
        </is>
      </c>
      <c r="L622" t="inlineStr">
        <is>
          <t>Inflection Point Ventures; Alkemi Ventures</t>
        </is>
      </c>
      <c r="M622" t="inlineStr">
        <is>
          <t>Inflection Point Ventures; Alkemi Ventures</t>
        </is>
      </c>
      <c r="N622" t="inlineStr">
        <is>
          <t>inc42</t>
        </is>
      </c>
      <c r="O622" s="20" t="n">
        <v>1</v>
      </c>
      <c r="P622" s="21" t="n">
        <v>0</v>
      </c>
      <c r="Q622" t="inlineStr">
        <is>
          <t>C07</t>
        </is>
      </c>
      <c r="R622" s="22" t="inlineStr">
        <is>
          <t>https://inc42.com/buzz/from-raphe-mphibr-to-gokwik-indian-startups-raised-278-mn-this-week/</t>
        </is>
      </c>
    </row>
    <row r="623">
      <c r="A623" t="inlineStr">
        <is>
          <t>R250626-raphemphibr</t>
        </is>
      </c>
      <c r="B623" t="inlineStr">
        <is>
          <t>Raphe mPhibr</t>
        </is>
      </c>
      <c r="C623" s="17" t="n">
        <v>45834</v>
      </c>
      <c r="D623" s="18" t="n">
        <v>45809</v>
      </c>
      <c r="E623" s="19" t="n">
        <v>100</v>
      </c>
      <c r="F623" s="19" t="n">
        <v>857.5</v>
      </c>
      <c r="G623" t="inlineStr">
        <is>
          <t>$100 million</t>
        </is>
      </c>
      <c r="H623" t="inlineStr">
        <is>
          <t>Undisclosed</t>
        </is>
      </c>
      <c r="I623" t="inlineStr">
        <is>
          <t>Undisclosed</t>
        </is>
      </c>
      <c r="J623" t="inlineStr">
        <is>
          <t>Advanced Hardware &amp; Technology</t>
        </is>
      </c>
      <c r="K623" t="inlineStr">
        <is>
          <t>Delhi NCR</t>
        </is>
      </c>
      <c r="L623" t="inlineStr">
        <is>
          <t>General Catalyst</t>
        </is>
      </c>
      <c r="M623" t="inlineStr">
        <is>
          <t>General Catalyst; Think Investments; Amal Parikh</t>
        </is>
      </c>
      <c r="N623" t="inlineStr">
        <is>
          <t>entrackr | inc42 | et | vccircle</t>
        </is>
      </c>
      <c r="O623" s="20" t="n">
        <v>4</v>
      </c>
      <c r="P623" s="21" t="n">
        <v>0</v>
      </c>
      <c r="Q623" t="inlineStr">
        <is>
          <t>C04</t>
        </is>
      </c>
      <c r="R623" s="22" t="inlineStr">
        <is>
          <t>https://entrackr.com/news/defence-tech-startup-raphe-mphibr-raises-100-mn-led-by-general-catalyst-9438924</t>
        </is>
      </c>
    </row>
    <row r="624">
      <c r="A624" t="inlineStr">
        <is>
          <t>R250626-shopos</t>
        </is>
      </c>
      <c r="B624" t="inlineStr">
        <is>
          <t>ShopOS</t>
        </is>
      </c>
      <c r="C624" s="17" t="n">
        <v>45834</v>
      </c>
      <c r="D624" s="18" t="n">
        <v>45809</v>
      </c>
      <c r="E624" s="19" t="n">
        <v>20</v>
      </c>
      <c r="F624" s="19" t="n">
        <v>171.5</v>
      </c>
      <c r="G624" t="inlineStr">
        <is>
          <t>$20 million</t>
        </is>
      </c>
      <c r="H624" t="inlineStr">
        <is>
          <t>Seed</t>
        </is>
      </c>
      <c r="I624" t="inlineStr">
        <is>
          <t>Early</t>
        </is>
      </c>
      <c r="J624" t="inlineStr">
        <is>
          <t>Artificial Intelligence</t>
        </is>
      </c>
      <c r="K624" t="inlineStr">
        <is>
          <t>Bengaluru</t>
        </is>
      </c>
      <c r="L624" t="inlineStr">
        <is>
          <t>3STATE Ventures</t>
        </is>
      </c>
      <c r="M624" t="inlineStr">
        <is>
          <t>3STATE Ventures</t>
        </is>
      </c>
      <c r="N624" t="inlineStr">
        <is>
          <t>entrackr | inc42</t>
        </is>
      </c>
      <c r="O624" s="20" t="n">
        <v>2</v>
      </c>
      <c r="P624" s="21" t="n">
        <v>0</v>
      </c>
      <c r="Q624" t="inlineStr"/>
      <c r="R624" s="22" t="inlineStr">
        <is>
          <t>https://entrackr.com/news/binny-bansal-invests-20-mn-in-e-comm-os-startup-shopos-9429597</t>
        </is>
      </c>
    </row>
    <row r="625">
      <c r="A625" t="inlineStr">
        <is>
          <t>R250626-solarsquare</t>
        </is>
      </c>
      <c r="B625" t="inlineStr">
        <is>
          <t>SolarSquare</t>
        </is>
      </c>
      <c r="C625" s="17" t="n">
        <v>45834</v>
      </c>
      <c r="D625" s="18" t="n">
        <v>45809</v>
      </c>
      <c r="E625" s="19" t="n">
        <v>40</v>
      </c>
      <c r="F625" s="19" t="n">
        <v>343</v>
      </c>
      <c r="G625" t="inlineStr">
        <is>
          <t>$40 million</t>
        </is>
      </c>
      <c r="H625" t="inlineStr">
        <is>
          <t>Series B</t>
        </is>
      </c>
      <c r="I625" t="inlineStr">
        <is>
          <t>Growth</t>
        </is>
      </c>
      <c r="J625" t="inlineStr">
        <is>
          <t>Cleantech</t>
        </is>
      </c>
      <c r="K625" t="inlineStr">
        <is>
          <t>Mumbai</t>
        </is>
      </c>
      <c r="L625" t="inlineStr">
        <is>
          <t>Lightspeed</t>
        </is>
      </c>
      <c r="M625" t="inlineStr">
        <is>
          <t>Lightspeed; Lowercarbon; Elevation Capital; Zerodha; Gruhas Proptech</t>
        </is>
      </c>
      <c r="N625" t="inlineStr">
        <is>
          <t>entrackr</t>
        </is>
      </c>
      <c r="O625" s="20" t="n">
        <v>1</v>
      </c>
      <c r="P625" s="21" t="n">
        <v>0</v>
      </c>
      <c r="Q625" t="inlineStr"/>
      <c r="R625" s="22" t="inlineStr">
        <is>
          <t>https://entrackr.com/decoding/decoding-solarsquares-series-b-round-valuation-and-captable-9424228</t>
        </is>
      </c>
    </row>
    <row r="626">
      <c r="A626" t="inlineStr">
        <is>
          <t>R250626-stayvista</t>
        </is>
      </c>
      <c r="B626" t="inlineStr">
        <is>
          <t>StayVista</t>
        </is>
      </c>
      <c r="C626" s="17" t="n">
        <v>45834</v>
      </c>
      <c r="D626" s="18" t="n">
        <v>45809</v>
      </c>
      <c r="E626" s="19" t="n">
        <v>4.665</v>
      </c>
      <c r="F626" s="19" t="n">
        <v>40</v>
      </c>
      <c r="G626" t="inlineStr">
        <is>
          <t>Rs 40 crore</t>
        </is>
      </c>
      <c r="H626" t="inlineStr">
        <is>
          <t>Series B</t>
        </is>
      </c>
      <c r="I626" t="inlineStr">
        <is>
          <t>Growth</t>
        </is>
      </c>
      <c r="J626" t="inlineStr">
        <is>
          <t>Travel Tech</t>
        </is>
      </c>
      <c r="K626" t="inlineStr">
        <is>
          <t>Mumbai</t>
        </is>
      </c>
      <c r="L626" t="inlineStr">
        <is>
          <t>JSW Ventures</t>
        </is>
      </c>
      <c r="M626" t="inlineStr">
        <is>
          <t>JSW Ventures; DSG Consumer Partners; Capri Global Family Office</t>
        </is>
      </c>
      <c r="N626" t="inlineStr">
        <is>
          <t>entrackr | inc42</t>
        </is>
      </c>
      <c r="O626" s="20" t="n">
        <v>2</v>
      </c>
      <c r="P626" s="21" t="n">
        <v>7.2</v>
      </c>
      <c r="Q626" t="inlineStr"/>
      <c r="R626" s="22" t="inlineStr">
        <is>
          <t>https://entrackr.com/snippets/stayvista-raises-rs-40-cr-in-series-b-round-led-by-jsw-ventures-9439300</t>
        </is>
      </c>
    </row>
    <row r="627">
      <c r="A627" t="inlineStr">
        <is>
          <t>R250627-coratiatechnol</t>
        </is>
      </c>
      <c r="B627" t="inlineStr">
        <is>
          <t>Coratia Technologies</t>
        </is>
      </c>
      <c r="C627" s="17" t="n">
        <v>45835</v>
      </c>
      <c r="D627" s="18" t="n">
        <v>45809</v>
      </c>
      <c r="E627" s="19" t="n">
        <v>2</v>
      </c>
      <c r="F627" s="19" t="n">
        <v>17.1</v>
      </c>
      <c r="G627" t="inlineStr">
        <is>
          <t>$2 Mn</t>
        </is>
      </c>
      <c r="H627" t="inlineStr">
        <is>
          <t>Pre-Series A</t>
        </is>
      </c>
      <c r="I627" t="inlineStr">
        <is>
          <t>Early</t>
        </is>
      </c>
      <c r="J627" t="inlineStr">
        <is>
          <t>Advanced Hardware &amp; Technology</t>
        </is>
      </c>
      <c r="K627" t="inlineStr">
        <is>
          <t>Unknown</t>
        </is>
      </c>
      <c r="L627" t="inlineStr">
        <is>
          <t>MGF-Kavachh</t>
        </is>
      </c>
      <c r="M627" t="inlineStr">
        <is>
          <t>MGF-Kavachh</t>
        </is>
      </c>
      <c r="N627" t="inlineStr">
        <is>
          <t>inc42</t>
        </is>
      </c>
      <c r="O627" s="20" t="n">
        <v>1</v>
      </c>
      <c r="P627" s="21" t="n">
        <v>0</v>
      </c>
      <c r="Q627" t="inlineStr">
        <is>
          <t>C07</t>
        </is>
      </c>
      <c r="R627" s="22" t="inlineStr">
        <is>
          <t>https://inc42.com/buzz/from-raphe-mphibr-to-gokwik-indian-startups-raised-278-mn-this-week/</t>
        </is>
      </c>
    </row>
    <row r="628">
      <c r="A628" t="inlineStr">
        <is>
          <t>R250627-zilo</t>
        </is>
      </c>
      <c r="B628" t="inlineStr">
        <is>
          <t>ZILO</t>
        </is>
      </c>
      <c r="C628" s="17" t="n">
        <v>45835</v>
      </c>
      <c r="D628" s="18" t="n">
        <v>45809</v>
      </c>
      <c r="E628" s="19" t="n">
        <v>4.5</v>
      </c>
      <c r="F628" s="19" t="n">
        <v>38.48</v>
      </c>
      <c r="G628" t="inlineStr">
        <is>
          <t>$4.5 million</t>
        </is>
      </c>
      <c r="H628" t="inlineStr">
        <is>
          <t>Seed</t>
        </is>
      </c>
      <c r="I628" t="inlineStr">
        <is>
          <t>Early</t>
        </is>
      </c>
      <c r="J628" t="inlineStr">
        <is>
          <t>Consumer Services</t>
        </is>
      </c>
      <c r="K628" t="inlineStr">
        <is>
          <t>Mumbai</t>
        </is>
      </c>
      <c r="L628" t="inlineStr">
        <is>
          <t>Info Edge Ventures; Chiratae Ventures</t>
        </is>
      </c>
      <c r="M628" t="inlineStr">
        <is>
          <t>Info Edge Ventures; Chiratae Ventures</t>
        </is>
      </c>
      <c r="N628" t="inlineStr">
        <is>
          <t>entrackr | inc42 | et</t>
        </is>
      </c>
      <c r="O628" s="20" t="n">
        <v>3</v>
      </c>
      <c r="P628" s="21" t="n">
        <v>0</v>
      </c>
      <c r="Q628" t="inlineStr"/>
      <c r="R628" s="22" t="inlineStr">
        <is>
          <t>https://entrackr.com/snippets/quick-fashion-delivery-startup-zilo-raises-45-mn-in-seed-round-9441409</t>
        </is>
      </c>
    </row>
    <row r="629">
      <c r="A629" t="inlineStr">
        <is>
          <t>R250630-aukera</t>
        </is>
      </c>
      <c r="B629" t="inlineStr">
        <is>
          <t>Aukera</t>
        </is>
      </c>
      <c r="C629" s="17" t="n">
        <v>45838</v>
      </c>
      <c r="D629" s="18" t="n">
        <v>45809</v>
      </c>
      <c r="E629" s="19" t="n">
        <v>15</v>
      </c>
      <c r="F629" s="19" t="n">
        <v>128.7</v>
      </c>
      <c r="G629" t="inlineStr">
        <is>
          <t>$15 million</t>
        </is>
      </c>
      <c r="H629" t="inlineStr">
        <is>
          <t>Series B</t>
        </is>
      </c>
      <c r="I629" t="inlineStr">
        <is>
          <t>Growth</t>
        </is>
      </c>
      <c r="J629" t="inlineStr">
        <is>
          <t>Ecommerce</t>
        </is>
      </c>
      <c r="K629" t="inlineStr">
        <is>
          <t>Bengaluru</t>
        </is>
      </c>
      <c r="L629" t="inlineStr">
        <is>
          <t>Peak XV Partners</t>
        </is>
      </c>
      <c r="M629" t="inlineStr">
        <is>
          <t>Peak XV Partners; Fireside Ventures; Sparrow Capital; Prath Ventures; Alteria Capital</t>
        </is>
      </c>
      <c r="N629" t="inlineStr">
        <is>
          <t>entrackr | inc42 | et</t>
        </is>
      </c>
      <c r="O629" s="20" t="n">
        <v>3</v>
      </c>
      <c r="P629" s="21" t="n">
        <v>0</v>
      </c>
      <c r="Q629" t="inlineStr"/>
      <c r="R629" s="22" t="inlineStr">
        <is>
          <t>https://entrackr.com/news/lab-grown-diamond-brand-aukera-raises-15-mn-led-by-peak-xv-9449078</t>
        </is>
      </c>
    </row>
    <row r="630">
      <c r="A630" t="inlineStr">
        <is>
          <t>R250630-blostem</t>
        </is>
      </c>
      <c r="B630" t="inlineStr">
        <is>
          <t>Blostem</t>
        </is>
      </c>
      <c r="C630" s="17" t="n">
        <v>45838</v>
      </c>
      <c r="D630" s="18" t="n">
        <v>45809</v>
      </c>
      <c r="E630" s="19" t="n">
        <v>0.466</v>
      </c>
      <c r="F630" s="19" t="n">
        <v>4</v>
      </c>
      <c r="G630" t="inlineStr">
        <is>
          <t>Rs 4 crore</t>
        </is>
      </c>
      <c r="H630" t="inlineStr">
        <is>
          <t>Seed</t>
        </is>
      </c>
      <c r="I630" t="inlineStr">
        <is>
          <t>Early</t>
        </is>
      </c>
      <c r="J630" t="inlineStr">
        <is>
          <t>Fintech</t>
        </is>
      </c>
      <c r="K630" t="inlineStr">
        <is>
          <t>Delhi NCR</t>
        </is>
      </c>
      <c r="L630" t="inlineStr"/>
      <c r="M630" t="inlineStr">
        <is>
          <t>AC Ventures; Mobikwik; Kapil Bharti</t>
        </is>
      </c>
      <c r="N630" t="inlineStr">
        <is>
          <t>entrackr</t>
        </is>
      </c>
      <c r="O630" s="20" t="n">
        <v>1</v>
      </c>
      <c r="P630" s="21" t="n">
        <v>0</v>
      </c>
      <c r="Q630" t="inlineStr"/>
      <c r="R630" s="22" t="inlineStr">
        <is>
          <t>https://entrackr.com/snippets/blostem-raises-seed-round-led-by-ac-ventures-9449740</t>
        </is>
      </c>
    </row>
    <row r="631">
      <c r="A631" t="inlineStr">
        <is>
          <t>R250630-eggoz</t>
        </is>
      </c>
      <c r="B631" t="inlineStr">
        <is>
          <t>Eggoz</t>
        </is>
      </c>
      <c r="C631" s="17" t="n">
        <v>45838</v>
      </c>
      <c r="D631" s="18" t="n">
        <v>45809</v>
      </c>
      <c r="E631" s="19" t="n">
        <v>20</v>
      </c>
      <c r="F631" s="19" t="n">
        <v>171.6</v>
      </c>
      <c r="G631" t="inlineStr">
        <is>
          <t>$20 million</t>
        </is>
      </c>
      <c r="H631" t="inlineStr">
        <is>
          <t>Series C</t>
        </is>
      </c>
      <c r="I631" t="inlineStr">
        <is>
          <t>Growth</t>
        </is>
      </c>
      <c r="J631" t="inlineStr">
        <is>
          <t>Ecommerce</t>
        </is>
      </c>
      <c r="K631" t="inlineStr">
        <is>
          <t>Delhi NCR</t>
        </is>
      </c>
      <c r="L631" t="inlineStr">
        <is>
          <t>Gaja Capital</t>
        </is>
      </c>
      <c r="M631" t="inlineStr">
        <is>
          <t>Gaja Capital; IvyCap Ventures; Rebright Partners; Avaana Capital; NABVENTURES; Merisis Opportunities Fund; Arvind Thakur; S Ramadorai; Artek Chemicals; Blue Dot Capital</t>
        </is>
      </c>
      <c r="N631" t="inlineStr">
        <is>
          <t>entrackr | inc42 | et</t>
        </is>
      </c>
      <c r="O631" s="20" t="n">
        <v>3</v>
      </c>
      <c r="P631" s="21" t="n">
        <v>0</v>
      </c>
      <c r="Q631" t="inlineStr"/>
      <c r="R631" s="22" t="inlineStr">
        <is>
          <t>https://entrackr.com/snippets/eggoz-raises-20-mn-in-series-c-round-led-by-gaja-capital-9449466</t>
        </is>
      </c>
    </row>
    <row r="632">
      <c r="A632" t="inlineStr">
        <is>
          <t>R250630-inframarket</t>
        </is>
      </c>
      <c r="B632" t="inlineStr">
        <is>
          <t>Infra.Market</t>
        </is>
      </c>
      <c r="C632" s="17" t="n">
        <v>45838</v>
      </c>
      <c r="D632" s="18" t="n">
        <v>45809</v>
      </c>
      <c r="E632" s="19" t="n">
        <v>150</v>
      </c>
      <c r="F632" s="19" t="n">
        <v>1287</v>
      </c>
      <c r="G632" t="inlineStr">
        <is>
          <t>$150 million</t>
        </is>
      </c>
      <c r="H632" t="inlineStr">
        <is>
          <t>Debt</t>
        </is>
      </c>
      <c r="I632" t="inlineStr">
        <is>
          <t>Debt</t>
        </is>
      </c>
      <c r="J632" t="inlineStr">
        <is>
          <t>Real Estate Tech</t>
        </is>
      </c>
      <c r="K632" t="inlineStr">
        <is>
          <t>Mumbai</t>
        </is>
      </c>
      <c r="L632" t="inlineStr">
        <is>
          <t>Mars Growth Capital</t>
        </is>
      </c>
      <c r="M632" t="inlineStr">
        <is>
          <t>Mars Growth Capital; MUFG Bank</t>
        </is>
      </c>
      <c r="N632" t="inlineStr">
        <is>
          <t>entrackr | inc42 | et | vccircle</t>
        </is>
      </c>
      <c r="O632" s="20" t="n">
        <v>4</v>
      </c>
      <c r="P632" s="21" t="n">
        <v>200</v>
      </c>
      <c r="Q632" t="inlineStr">
        <is>
          <t>C15</t>
        </is>
      </c>
      <c r="R632" s="22" t="inlineStr">
        <is>
          <t>https://entrackr.com/news/inframarket-secures-150-mn-from-mars-growth-capital-9449081</t>
        </is>
      </c>
    </row>
    <row r="633">
      <c r="A633" t="inlineStr">
        <is>
          <t>R250630-jumbotail</t>
        </is>
      </c>
      <c r="B633" t="inlineStr">
        <is>
          <t>Jumbotail</t>
        </is>
      </c>
      <c r="C633" s="17" t="n">
        <v>45838</v>
      </c>
      <c r="D633" s="18" t="n">
        <v>45809</v>
      </c>
      <c r="E633" s="19" t="n">
        <v>120</v>
      </c>
      <c r="F633" s="19" t="n">
        <v>1029.6</v>
      </c>
      <c r="G633" t="inlineStr">
        <is>
          <t>$120 million</t>
        </is>
      </c>
      <c r="H633" t="inlineStr">
        <is>
          <t>Series D</t>
        </is>
      </c>
      <c r="I633" t="inlineStr">
        <is>
          <t>Late</t>
        </is>
      </c>
      <c r="J633" t="inlineStr">
        <is>
          <t>Ecommerce</t>
        </is>
      </c>
      <c r="K633" t="inlineStr">
        <is>
          <t>Bengaluru</t>
        </is>
      </c>
      <c r="L633" t="inlineStr">
        <is>
          <t>SC Ventures; Standard Chartered</t>
        </is>
      </c>
      <c r="M633" t="inlineStr">
        <is>
          <t>SC Ventures; Artal Asia; Standard Chartered</t>
        </is>
      </c>
      <c r="N633" t="inlineStr">
        <is>
          <t>entrackr | inc42 | et</t>
        </is>
      </c>
      <c r="O633" s="20" t="n">
        <v>3</v>
      </c>
      <c r="P633" s="21" t="n">
        <v>0</v>
      </c>
      <c r="Q633" t="inlineStr"/>
      <c r="R633" s="22" t="inlineStr">
        <is>
          <t>https://entrackr.com/news/jumbotail-turns-unicorn-after-120-mn-series-d-round-9449623</t>
        </is>
      </c>
    </row>
    <row r="634">
      <c r="A634" t="inlineStr">
        <is>
          <t>R250701-appsforbharat</t>
        </is>
      </c>
      <c r="B634" t="inlineStr">
        <is>
          <t>AppsForBharat</t>
        </is>
      </c>
      <c r="C634" s="17" t="n">
        <v>45839</v>
      </c>
      <c r="D634" s="18" t="n">
        <v>45839</v>
      </c>
      <c r="E634" s="19" t="n">
        <v>20.453</v>
      </c>
      <c r="F634" s="19" t="n">
        <v>175</v>
      </c>
      <c r="G634" t="inlineStr">
        <is>
          <t>Rs 175 crore</t>
        </is>
      </c>
      <c r="H634" t="inlineStr">
        <is>
          <t>Series C</t>
        </is>
      </c>
      <c r="I634" t="inlineStr">
        <is>
          <t>Growth</t>
        </is>
      </c>
      <c r="J634" t="inlineStr">
        <is>
          <t>Consumer Services</t>
        </is>
      </c>
      <c r="K634" t="inlineStr">
        <is>
          <t>Bengaluru</t>
        </is>
      </c>
      <c r="L634" t="inlineStr">
        <is>
          <t>Susquehanna Asia VC</t>
        </is>
      </c>
      <c r="M634" t="inlineStr">
        <is>
          <t>Susquehanna Asia VC; Fundamentum; Elevation Capital; Peak XV Partners</t>
        </is>
      </c>
      <c r="N634" t="inlineStr">
        <is>
          <t>entrackr | inc42 | et</t>
        </is>
      </c>
      <c r="O634" s="20" t="n">
        <v>3</v>
      </c>
      <c r="P634" s="21" t="n">
        <v>2.3</v>
      </c>
      <c r="Q634" t="inlineStr"/>
      <c r="R634" s="22" t="inlineStr">
        <is>
          <t>https://entrackr.com/news/appsforbharat-raises-20-mn-in-series-c-round-9451578</t>
        </is>
      </c>
    </row>
    <row r="635">
      <c r="A635" t="inlineStr">
        <is>
          <t>R250701-astrophelaeros</t>
        </is>
      </c>
      <c r="B635" t="inlineStr">
        <is>
          <t>Astrophel Aerospace</t>
        </is>
      </c>
      <c r="C635" s="17" t="n">
        <v>45839</v>
      </c>
      <c r="D635" s="18" t="n">
        <v>45839</v>
      </c>
      <c r="E635" s="19" t="n">
        <v>0.799</v>
      </c>
      <c r="F635" s="19" t="n">
        <v>6.84</v>
      </c>
      <c r="G635" t="inlineStr">
        <is>
          <t>Rs 6.84 crore</t>
        </is>
      </c>
      <c r="H635" t="inlineStr">
        <is>
          <t>Pre-Seed</t>
        </is>
      </c>
      <c r="I635" t="inlineStr">
        <is>
          <t>Early</t>
        </is>
      </c>
      <c r="J635" t="inlineStr">
        <is>
          <t>Advanced Hardware &amp; Technology</t>
        </is>
      </c>
      <c r="K635" t="inlineStr">
        <is>
          <t>Pune</t>
        </is>
      </c>
      <c r="L635" t="inlineStr"/>
      <c r="M635" t="inlineStr"/>
      <c r="N635" t="inlineStr">
        <is>
          <t>entrackr | inc42</t>
        </is>
      </c>
      <c r="O635" s="20" t="n">
        <v>2</v>
      </c>
      <c r="P635" s="21" t="n">
        <v>0.1</v>
      </c>
      <c r="Q635" t="inlineStr">
        <is>
          <t>C05</t>
        </is>
      </c>
      <c r="R635" s="22" t="inlineStr">
        <is>
          <t>https://entrackr.com/snippets/astrophel-aerospace-raises-rs-684-cr-in-pre-seed-round-9452911</t>
        </is>
      </c>
    </row>
    <row r="636">
      <c r="A636" t="inlineStr">
        <is>
          <t>R250701-bambrew</t>
        </is>
      </c>
      <c r="B636" t="inlineStr">
        <is>
          <t>Bambrew</t>
        </is>
      </c>
      <c r="C636" s="17" t="n">
        <v>45839</v>
      </c>
      <c r="D636" s="18" t="n">
        <v>45839</v>
      </c>
      <c r="E636" s="19" t="n">
        <v>10.519</v>
      </c>
      <c r="F636" s="19" t="n">
        <v>90</v>
      </c>
      <c r="G636" t="inlineStr">
        <is>
          <t>Rs 90 crore</t>
        </is>
      </c>
      <c r="H636" t="inlineStr">
        <is>
          <t>Series B</t>
        </is>
      </c>
      <c r="I636" t="inlineStr">
        <is>
          <t>Growth</t>
        </is>
      </c>
      <c r="J636" t="inlineStr">
        <is>
          <t>Enterprise Tech</t>
        </is>
      </c>
      <c r="K636" t="inlineStr">
        <is>
          <t>Bengaluru</t>
        </is>
      </c>
      <c r="L636" t="inlineStr">
        <is>
          <t>Ashok Goel; Enrission India Capital</t>
        </is>
      </c>
      <c r="M636" t="inlineStr">
        <is>
          <t>Ashok Goel; Enrission India Capital</t>
        </is>
      </c>
      <c r="N636" t="inlineStr">
        <is>
          <t>entrackr | inc42</t>
        </is>
      </c>
      <c r="O636" s="20" t="n">
        <v>2</v>
      </c>
      <c r="P636" s="21" t="n">
        <v>0.2</v>
      </c>
      <c r="Q636" t="inlineStr"/>
      <c r="R636" s="22" t="inlineStr">
        <is>
          <t>https://entrackr.com/snippets/bambrew-raises-rs-90-cr-led-by-ashok-goel-and-enrission-india-capital-9452773</t>
        </is>
      </c>
    </row>
    <row r="637">
      <c r="A637" t="inlineStr">
        <is>
          <t>R250701-eeki</t>
        </is>
      </c>
      <c r="B637" t="inlineStr">
        <is>
          <t>Eeki</t>
        </is>
      </c>
      <c r="C637" s="17" t="n">
        <v>45839</v>
      </c>
      <c r="D637" s="18" t="n">
        <v>45839</v>
      </c>
      <c r="E637" s="19" t="n">
        <v>7</v>
      </c>
      <c r="F637" s="19" t="n">
        <v>59.89</v>
      </c>
      <c r="G637" t="inlineStr">
        <is>
          <t>$7 million</t>
        </is>
      </c>
      <c r="H637" t="inlineStr">
        <is>
          <t>Series A</t>
        </is>
      </c>
      <c r="I637" t="inlineStr">
        <is>
          <t>Early</t>
        </is>
      </c>
      <c r="J637" t="inlineStr">
        <is>
          <t>Agritech</t>
        </is>
      </c>
      <c r="K637" t="inlineStr">
        <is>
          <t>Kota</t>
        </is>
      </c>
      <c r="L637" t="inlineStr">
        <is>
          <t>Sixth Sense Ventures</t>
        </is>
      </c>
      <c r="M637" t="inlineStr">
        <is>
          <t>Sixth Sense Ventures</t>
        </is>
      </c>
      <c r="N637" t="inlineStr">
        <is>
          <t>entrackr | inc42 | et</t>
        </is>
      </c>
      <c r="O637" s="20" t="n">
        <v>3</v>
      </c>
      <c r="P637" s="21" t="n">
        <v>0</v>
      </c>
      <c r="Q637" t="inlineStr"/>
      <c r="R637" s="22" t="inlineStr">
        <is>
          <t>https://entrackr.com/snippets/agritech-startup-eeki-raises-7-mn-from-sixth-sense-ventures-9452600</t>
        </is>
      </c>
    </row>
    <row r="638">
      <c r="A638" t="inlineStr">
        <is>
          <t>R250701-fincfriends</t>
        </is>
      </c>
      <c r="B638" t="inlineStr">
        <is>
          <t>FincFriends</t>
        </is>
      </c>
      <c r="C638" s="17" t="n">
        <v>45839</v>
      </c>
      <c r="D638" s="18" t="n">
        <v>45839</v>
      </c>
      <c r="E638" s="19" t="n">
        <v>11.512</v>
      </c>
      <c r="F638" s="19" t="n">
        <v>98.5</v>
      </c>
      <c r="G638" t="inlineStr">
        <is>
          <t>Rs 98.5 crore</t>
        </is>
      </c>
      <c r="H638" t="inlineStr">
        <is>
          <t>Debt</t>
        </is>
      </c>
      <c r="I638" t="inlineStr">
        <is>
          <t>Debt</t>
        </is>
      </c>
      <c r="J638" t="inlineStr">
        <is>
          <t>Fintech</t>
        </is>
      </c>
      <c r="K638" t="inlineStr">
        <is>
          <t>Unknown</t>
        </is>
      </c>
      <c r="L638" t="inlineStr"/>
      <c r="M638" t="inlineStr">
        <is>
          <t>NBFCs; IBL Finance; Incred Financial Services; Real Touch Finance; Shine Star Build-Cap; Western Capital Advisors Private Limited</t>
        </is>
      </c>
      <c r="N638" t="inlineStr">
        <is>
          <t>entrackr</t>
        </is>
      </c>
      <c r="O638" s="20" t="n">
        <v>1</v>
      </c>
      <c r="P638" s="21" t="n">
        <v>0</v>
      </c>
      <c r="Q638" t="inlineStr">
        <is>
          <t>C07</t>
        </is>
      </c>
      <c r="R638" s="22" t="inlineStr">
        <is>
          <t>https://entrackr.com/snippets/fincfriends-closes-115-mn-debt-funding-round-9452878</t>
        </is>
      </c>
    </row>
    <row r="639">
      <c r="A639" t="inlineStr">
        <is>
          <t>R250701-garaaz</t>
        </is>
      </c>
      <c r="B639" t="inlineStr">
        <is>
          <t>Garaaz</t>
        </is>
      </c>
      <c r="C639" s="17" t="n">
        <v>45839</v>
      </c>
      <c r="D639" s="18" t="n">
        <v>45839</v>
      </c>
      <c r="E639" s="19" t="n">
        <v>0.532</v>
      </c>
      <c r="F639" s="19" t="n">
        <v>4.55</v>
      </c>
      <c r="G639" t="inlineStr">
        <is>
          <t>Rs 4.55 crore</t>
        </is>
      </c>
      <c r="H639" t="inlineStr">
        <is>
          <t>Seed</t>
        </is>
      </c>
      <c r="I639" t="inlineStr">
        <is>
          <t>Early</t>
        </is>
      </c>
      <c r="J639" t="inlineStr">
        <is>
          <t>Enterprise Tech</t>
        </is>
      </c>
      <c r="K639" t="inlineStr">
        <is>
          <t>Jaipur</t>
        </is>
      </c>
      <c r="L639" t="inlineStr">
        <is>
          <t>GVFL</t>
        </is>
      </c>
      <c r="M639" t="inlineStr">
        <is>
          <t>GVFL</t>
        </is>
      </c>
      <c r="N639" t="inlineStr">
        <is>
          <t>entrackr | inc42</t>
        </is>
      </c>
      <c r="O639" s="20" t="n">
        <v>2</v>
      </c>
      <c r="P639" s="21" t="n">
        <v>0.1</v>
      </c>
      <c r="Q639" t="inlineStr"/>
      <c r="R639" s="22" t="inlineStr">
        <is>
          <t>https://entrackr.com/snippets/automotive-spare-parts-aggregator-garaaz-raises-rs-455-cr-in-seed-round-9452385</t>
        </is>
      </c>
    </row>
    <row r="640">
      <c r="A640" t="inlineStr">
        <is>
          <t>R250701-lamarkbiotech</t>
        </is>
      </c>
      <c r="B640" t="inlineStr">
        <is>
          <t>Lamark Biotech</t>
        </is>
      </c>
      <c r="C640" s="17" t="n">
        <v>45839</v>
      </c>
      <c r="D640" s="18" t="n">
        <v>45839</v>
      </c>
      <c r="E640" s="19" t="n">
        <v>0.76</v>
      </c>
      <c r="F640" s="19" t="n">
        <v>6.5</v>
      </c>
      <c r="G640" t="inlineStr">
        <is>
          <t>Rs 6.5 crore</t>
        </is>
      </c>
      <c r="H640" t="inlineStr">
        <is>
          <t>Pre-Series A</t>
        </is>
      </c>
      <c r="I640" t="inlineStr">
        <is>
          <t>Early</t>
        </is>
      </c>
      <c r="J640" t="inlineStr">
        <is>
          <t>Healthtech</t>
        </is>
      </c>
      <c r="K640" t="inlineStr">
        <is>
          <t>Ahmedabad</t>
        </is>
      </c>
      <c r="L640" t="inlineStr">
        <is>
          <t>IAN Alpha Fund; Vinayender Tulla; Nita Roy; Venkataraman KNK</t>
        </is>
      </c>
      <c r="M640" t="inlineStr">
        <is>
          <t>IAN Alpha Fund; Vinayender Tulla; Nita Roy; Venkataraman KNK</t>
        </is>
      </c>
      <c r="N640" t="inlineStr">
        <is>
          <t>entrackr | inc42</t>
        </is>
      </c>
      <c r="O640" s="20" t="n">
        <v>2</v>
      </c>
      <c r="P640" s="21" t="n">
        <v>1</v>
      </c>
      <c r="Q640" t="inlineStr"/>
      <c r="R640" s="22" t="inlineStr">
        <is>
          <t>https://entrackr.com/snippets/lamark-biotech-raises-rs-65-cr-in-pre-series-a-round-led-by-ian-group-9453084</t>
        </is>
      </c>
    </row>
    <row r="641">
      <c r="A641" t="inlineStr">
        <is>
          <t>R250701-loopworm</t>
        </is>
      </c>
      <c r="B641" t="inlineStr">
        <is>
          <t>Loopworm</t>
        </is>
      </c>
      <c r="C641" s="17" t="n">
        <v>45839</v>
      </c>
      <c r="D641" s="18" t="n">
        <v>45839</v>
      </c>
      <c r="E641" s="19" t="n">
        <v>3.25</v>
      </c>
      <c r="F641" s="19" t="n">
        <v>27.81</v>
      </c>
      <c r="G641" t="inlineStr">
        <is>
          <t>$3.25 million</t>
        </is>
      </c>
      <c r="H641" t="inlineStr">
        <is>
          <t>Pre-Series A</t>
        </is>
      </c>
      <c r="I641" t="inlineStr">
        <is>
          <t>Early</t>
        </is>
      </c>
      <c r="J641" t="inlineStr">
        <is>
          <t>Healthtech</t>
        </is>
      </c>
      <c r="K641" t="inlineStr">
        <is>
          <t>Bengaluru</t>
        </is>
      </c>
      <c r="L641" t="inlineStr">
        <is>
          <t>WaterBridge Ventures; Enrission India Capital</t>
        </is>
      </c>
      <c r="M641" t="inlineStr">
        <is>
          <t>WaterBridge Ventures; Enrission India Capital</t>
        </is>
      </c>
      <c r="N641" t="inlineStr">
        <is>
          <t>entrackr | inc42</t>
        </is>
      </c>
      <c r="O641" s="20" t="n">
        <v>2</v>
      </c>
      <c r="P641" s="21" t="n">
        <v>1.5</v>
      </c>
      <c r="Q641" t="inlineStr"/>
      <c r="R641" s="22" t="inlineStr">
        <is>
          <t>https://entrackr.com/snippets/biomanufacturing-startup-loopworm-raises-325-mn-in-pre-series-a-round-9453681</t>
        </is>
      </c>
    </row>
    <row r="642">
      <c r="A642" t="inlineStr">
        <is>
          <t>R250701-zangoai</t>
        </is>
      </c>
      <c r="B642" t="inlineStr">
        <is>
          <t>Zango AI</t>
        </is>
      </c>
      <c r="C642" s="17" t="n">
        <v>45839</v>
      </c>
      <c r="D642" s="18" t="n">
        <v>45839</v>
      </c>
      <c r="E642" s="19" t="n">
        <v>4.8</v>
      </c>
      <c r="F642" s="19" t="n">
        <v>41.07</v>
      </c>
      <c r="G642" t="inlineStr">
        <is>
          <t>$4.8 million</t>
        </is>
      </c>
      <c r="H642" t="inlineStr">
        <is>
          <t>Seed</t>
        </is>
      </c>
      <c r="I642" t="inlineStr">
        <is>
          <t>Early</t>
        </is>
      </c>
      <c r="J642" t="inlineStr">
        <is>
          <t>Artificial Intelligence</t>
        </is>
      </c>
      <c r="K642" t="inlineStr">
        <is>
          <t>Unknown</t>
        </is>
      </c>
      <c r="L642" t="inlineStr">
        <is>
          <t>Nexus Venture Partners</t>
        </is>
      </c>
      <c r="M642" t="inlineStr">
        <is>
          <t>Nexus Venture Partners; South Park Commons; Notion Capital; No Label Ventures; Start Ventures; Richard Davies; Alan Morgan</t>
        </is>
      </c>
      <c r="N642" t="inlineStr">
        <is>
          <t>entrackr | inc42 | et</t>
        </is>
      </c>
      <c r="O642" s="20" t="n">
        <v>3</v>
      </c>
      <c r="P642" s="21" t="n">
        <v>0</v>
      </c>
      <c r="Q642" t="inlineStr">
        <is>
          <t>C07</t>
        </is>
      </c>
      <c r="R642" s="22" t="inlineStr">
        <is>
          <t>https://entrackr.com/snippets/zango-ai-raises-48-mn-in-seed-round-led-by-nexus-venture-partners-9452864</t>
        </is>
      </c>
    </row>
    <row r="643">
      <c r="A643" t="inlineStr">
        <is>
          <t>R250702-cimware</t>
        </is>
      </c>
      <c r="B643" t="inlineStr">
        <is>
          <t>CIMware</t>
        </is>
      </c>
      <c r="C643" s="17" t="n">
        <v>45840</v>
      </c>
      <c r="D643" s="18" t="n">
        <v>45839</v>
      </c>
      <c r="E643" s="19" t="n">
        <v>2.3</v>
      </c>
      <c r="F643" s="19" t="n">
        <v>19.7</v>
      </c>
      <c r="G643" t="inlineStr">
        <is>
          <t>$2.3 million</t>
        </is>
      </c>
      <c r="H643" t="inlineStr">
        <is>
          <t>Pre-Series A</t>
        </is>
      </c>
      <c r="I643" t="inlineStr">
        <is>
          <t>Early</t>
        </is>
      </c>
      <c r="J643" t="inlineStr">
        <is>
          <t>Advanced Hardware &amp; Technology</t>
        </is>
      </c>
      <c r="K643" t="inlineStr">
        <is>
          <t>Bengaluru</t>
        </is>
      </c>
      <c r="L643" t="inlineStr">
        <is>
          <t>Transition VC</t>
        </is>
      </c>
      <c r="M643" t="inlineStr">
        <is>
          <t>Transition VC</t>
        </is>
      </c>
      <c r="N643" t="inlineStr">
        <is>
          <t>entrackr | inc42 | et</t>
        </is>
      </c>
      <c r="O643" s="20" t="n">
        <v>3</v>
      </c>
      <c r="P643" s="21" t="n">
        <v>0</v>
      </c>
      <c r="Q643" t="inlineStr"/>
      <c r="R643" s="22" t="inlineStr">
        <is>
          <t>https://entrackr.com/snippets/cimware-raises-23-mn-from-transition-vc-9455272</t>
        </is>
      </c>
    </row>
    <row r="644">
      <c r="A644" t="inlineStr">
        <is>
          <t>R250702-iora</t>
        </is>
      </c>
      <c r="B644" t="inlineStr">
        <is>
          <t>IORA</t>
        </is>
      </c>
      <c r="C644" s="17" t="n">
        <v>45840</v>
      </c>
      <c r="D644" s="18" t="n">
        <v>45839</v>
      </c>
      <c r="E644" s="19" t="n">
        <v>0.992</v>
      </c>
      <c r="F644" s="19" t="n">
        <v>8.5</v>
      </c>
      <c r="G644" t="inlineStr">
        <is>
          <t>Rs 8.5 crore</t>
        </is>
      </c>
      <c r="H644" t="inlineStr">
        <is>
          <t>Debt</t>
        </is>
      </c>
      <c r="I644" t="inlineStr">
        <is>
          <t>Debt</t>
        </is>
      </c>
      <c r="J644" t="inlineStr">
        <is>
          <t>Unclassified</t>
        </is>
      </c>
      <c r="K644" t="inlineStr">
        <is>
          <t>Unknown</t>
        </is>
      </c>
      <c r="L644" t="inlineStr"/>
      <c r="M644" t="inlineStr">
        <is>
          <t>Caspian Impact Investments</t>
        </is>
      </c>
      <c r="N644" t="inlineStr">
        <is>
          <t>entrackr</t>
        </is>
      </c>
      <c r="O644" s="20" t="n">
        <v>1</v>
      </c>
      <c r="P644" s="21" t="n">
        <v>0</v>
      </c>
      <c r="Q644" t="inlineStr">
        <is>
          <t>C06 C07</t>
        </is>
      </c>
      <c r="R644" s="22" t="inlineStr">
        <is>
          <t>https://entrackr.com/snippets/iora-raises-rs-85-cr-funding-from-caspian-debt-9456330</t>
        </is>
      </c>
    </row>
    <row r="645">
      <c r="A645" t="inlineStr">
        <is>
          <t>R250703-fescafe</t>
        </is>
      </c>
      <c r="B645" t="inlineStr">
        <is>
          <t>FES Cafe</t>
        </is>
      </c>
      <c r="C645" s="17" t="n">
        <v>45841</v>
      </c>
      <c r="D645" s="18" t="n">
        <v>45839</v>
      </c>
      <c r="E645" s="19" t="n">
        <v>0.351</v>
      </c>
      <c r="F645" s="19" t="n">
        <v>3</v>
      </c>
      <c r="G645" t="inlineStr">
        <is>
          <t>Rs 3 crore</t>
        </is>
      </c>
      <c r="H645" t="inlineStr">
        <is>
          <t>Seed</t>
        </is>
      </c>
      <c r="I645" t="inlineStr">
        <is>
          <t>Early</t>
        </is>
      </c>
      <c r="J645" t="inlineStr">
        <is>
          <t>Foodtech</t>
        </is>
      </c>
      <c r="K645" t="inlineStr">
        <is>
          <t>Delhi NCR</t>
        </is>
      </c>
      <c r="L645" t="inlineStr">
        <is>
          <t>Wolfpack Labs; Aakash Anand</t>
        </is>
      </c>
      <c r="M645" t="inlineStr">
        <is>
          <t>Wolfpack Labs; Aakash Anand</t>
        </is>
      </c>
      <c r="N645" t="inlineStr">
        <is>
          <t>entrackr | inc42</t>
        </is>
      </c>
      <c r="O645" s="20" t="n">
        <v>2</v>
      </c>
      <c r="P645" s="21" t="n">
        <v>0.1</v>
      </c>
      <c r="Q645" t="inlineStr">
        <is>
          <t>C17</t>
        </is>
      </c>
      <c r="R645" s="22" t="inlineStr">
        <is>
          <t>https://entrackr.com/snippets/fes-cafe-raises-seed-round-led-by-aakash-anand-and-wolfpack-labs-9459270</t>
        </is>
      </c>
    </row>
    <row r="646">
      <c r="A646" t="inlineStr">
        <is>
          <t>R250703-fitfeast</t>
        </is>
      </c>
      <c r="B646" t="inlineStr">
        <is>
          <t>FitFeast</t>
        </is>
      </c>
      <c r="C646" s="17" t="n">
        <v>45841</v>
      </c>
      <c r="D646" s="18" t="n">
        <v>45839</v>
      </c>
      <c r="E646" s="19" t="n">
        <v>0.644</v>
      </c>
      <c r="F646" s="19" t="n">
        <v>5.5</v>
      </c>
      <c r="G646" t="inlineStr">
        <is>
          <t>Rs 5.5 crore</t>
        </is>
      </c>
      <c r="H646" t="inlineStr">
        <is>
          <t>Seed</t>
        </is>
      </c>
      <c r="I646" t="inlineStr">
        <is>
          <t>Early</t>
        </is>
      </c>
      <c r="J646" t="inlineStr">
        <is>
          <t>Ecommerce</t>
        </is>
      </c>
      <c r="K646" t="inlineStr">
        <is>
          <t>Delhi NCR</t>
        </is>
      </c>
      <c r="L646" t="inlineStr">
        <is>
          <t>Inflection Point Ventures</t>
        </is>
      </c>
      <c r="M646" t="inlineStr">
        <is>
          <t>Inflection Point Ventures; Raghav Singhal; Santosh Govindaraju; Abhishek Chopra; Aabhas Khanna</t>
        </is>
      </c>
      <c r="N646" t="inlineStr">
        <is>
          <t>entrackr | inc42</t>
        </is>
      </c>
      <c r="O646" s="20" t="n">
        <v>2</v>
      </c>
      <c r="P646" s="21" t="n">
        <v>0</v>
      </c>
      <c r="Q646" t="inlineStr"/>
      <c r="R646" s="22" t="inlineStr">
        <is>
          <t>https://entrackr.com/snippets/fitfeast-raises-rs-55-cr-from-ipv-ropes-in-shane-watson-and-axar-patel-as-investors-9458574</t>
        </is>
      </c>
    </row>
    <row r="647">
      <c r="A647" t="inlineStr">
        <is>
          <t>R250703-gobblecube</t>
        </is>
      </c>
      <c r="B647" t="inlineStr">
        <is>
          <t>GobbleCube</t>
        </is>
      </c>
      <c r="C647" s="17" t="n">
        <v>45841</v>
      </c>
      <c r="D647" s="18" t="n">
        <v>45839</v>
      </c>
      <c r="E647" s="19" t="n">
        <v>3.5</v>
      </c>
      <c r="F647" s="19" t="n">
        <v>29.88</v>
      </c>
      <c r="G647" t="inlineStr">
        <is>
          <t>$3.5 million</t>
        </is>
      </c>
      <c r="H647" t="inlineStr">
        <is>
          <t>Pre-Series A</t>
        </is>
      </c>
      <c r="I647" t="inlineStr">
        <is>
          <t>Early</t>
        </is>
      </c>
      <c r="J647" t="inlineStr">
        <is>
          <t>Artificial Intelligence</t>
        </is>
      </c>
      <c r="K647" t="inlineStr">
        <is>
          <t>Delhi NCR</t>
        </is>
      </c>
      <c r="L647" t="inlineStr">
        <is>
          <t>InfoEdge Ventures</t>
        </is>
      </c>
      <c r="M647" t="inlineStr">
        <is>
          <t>InfoEdge Ventures; Kae Capital</t>
        </is>
      </c>
      <c r="N647" t="inlineStr">
        <is>
          <t>entrackr | inc42</t>
        </is>
      </c>
      <c r="O647" s="20" t="n">
        <v>2</v>
      </c>
      <c r="P647" s="21" t="n">
        <v>0</v>
      </c>
      <c r="Q647" t="inlineStr"/>
      <c r="R647" s="22" t="inlineStr">
        <is>
          <t>https://entrackr.com/snippets/gobblecube-raises-35-mn-led-by-infoedge-ventures-9458254</t>
        </is>
      </c>
    </row>
    <row r="648">
      <c r="A648" t="inlineStr">
        <is>
          <t>R250703-incredfinance</t>
        </is>
      </c>
      <c r="B648" t="inlineStr">
        <is>
          <t>InCred Finance</t>
        </is>
      </c>
      <c r="C648" s="17" t="n">
        <v>45841</v>
      </c>
      <c r="D648" s="18" t="n">
        <v>45839</v>
      </c>
      <c r="E648" s="19" t="n">
        <v>46.8</v>
      </c>
      <c r="F648" s="19" t="n">
        <v>399.58</v>
      </c>
      <c r="G648" t="inlineStr">
        <is>
          <t>$46.8 Mn</t>
        </is>
      </c>
      <c r="H648" t="inlineStr">
        <is>
          <t>Debt</t>
        </is>
      </c>
      <c r="I648" t="inlineStr">
        <is>
          <t>Debt</t>
        </is>
      </c>
      <c r="J648" t="inlineStr">
        <is>
          <t>Fintech</t>
        </is>
      </c>
      <c r="K648" t="inlineStr">
        <is>
          <t>Unknown</t>
        </is>
      </c>
      <c r="L648" t="inlineStr"/>
      <c r="M648" t="inlineStr">
        <is>
          <t>Morgan Stanley; Nippon Life India</t>
        </is>
      </c>
      <c r="N648" t="inlineStr">
        <is>
          <t>inc42</t>
        </is>
      </c>
      <c r="O648" s="20" t="n">
        <v>1</v>
      </c>
      <c r="P648" s="21" t="n">
        <v>0</v>
      </c>
      <c r="Q648" t="inlineStr">
        <is>
          <t>C07 C09</t>
        </is>
      </c>
      <c r="R648" s="22" t="inlineStr">
        <is>
          <t>https://inc42.com/buzz/from-jumbotail-to-incred-finance-indian-startups-raised-315-mn-this-week/</t>
        </is>
      </c>
    </row>
    <row r="649">
      <c r="A649" t="inlineStr">
        <is>
          <t>R250703-lumafertility</t>
        </is>
      </c>
      <c r="B649" t="inlineStr">
        <is>
          <t>Luma Fertility</t>
        </is>
      </c>
      <c r="C649" s="17" t="n">
        <v>45841</v>
      </c>
      <c r="D649" s="18" t="n">
        <v>45839</v>
      </c>
      <c r="E649" s="19" t="n">
        <v>4</v>
      </c>
      <c r="F649" s="19" t="n">
        <v>34.15</v>
      </c>
      <c r="G649" t="inlineStr">
        <is>
          <t>$4 million</t>
        </is>
      </c>
      <c r="H649" t="inlineStr">
        <is>
          <t>Seed</t>
        </is>
      </c>
      <c r="I649" t="inlineStr">
        <is>
          <t>Early</t>
        </is>
      </c>
      <c r="J649" t="inlineStr">
        <is>
          <t>Healthtech</t>
        </is>
      </c>
      <c r="K649" t="inlineStr">
        <is>
          <t>Mumbai</t>
        </is>
      </c>
      <c r="L649" t="inlineStr">
        <is>
          <t>Peak XV; Surge</t>
        </is>
      </c>
      <c r="M649" t="inlineStr">
        <is>
          <t>Peak XV; Ameera Shah; Vijay Taparia; Surge</t>
        </is>
      </c>
      <c r="N649" t="inlineStr">
        <is>
          <t>entrackr | inc42 | et</t>
        </is>
      </c>
      <c r="O649" s="20" t="n">
        <v>3</v>
      </c>
      <c r="P649" s="21" t="n">
        <v>0</v>
      </c>
      <c r="Q649" t="inlineStr">
        <is>
          <t>C17</t>
        </is>
      </c>
      <c r="R649" s="22" t="inlineStr">
        <is>
          <t>https://entrackr.com/snippets/luma-fertility-raises-4-mn-led-by-peak-xvs-surge-9458476</t>
        </is>
      </c>
    </row>
    <row r="650">
      <c r="A650" t="inlineStr">
        <is>
          <t>R250703-maieuticsemico</t>
        </is>
      </c>
      <c r="B650" t="inlineStr">
        <is>
          <t>Maieutic Semiconductor</t>
        </is>
      </c>
      <c r="C650" s="17" t="n">
        <v>45841</v>
      </c>
      <c r="D650" s="18" t="n">
        <v>45839</v>
      </c>
      <c r="E650" s="19" t="n">
        <v>4.15</v>
      </c>
      <c r="F650" s="19" t="n">
        <v>35.43</v>
      </c>
      <c r="G650" t="inlineStr">
        <is>
          <t>$4.15 million</t>
        </is>
      </c>
      <c r="H650" t="inlineStr">
        <is>
          <t>Seed</t>
        </is>
      </c>
      <c r="I650" t="inlineStr">
        <is>
          <t>Early</t>
        </is>
      </c>
      <c r="J650" t="inlineStr">
        <is>
          <t>Advanced Hardware &amp; Technology</t>
        </is>
      </c>
      <c r="K650" t="inlineStr">
        <is>
          <t>Bengaluru</t>
        </is>
      </c>
      <c r="L650" t="inlineStr">
        <is>
          <t>Endiya Partners; Exfinity Venture Partners</t>
        </is>
      </c>
      <c r="M650" t="inlineStr">
        <is>
          <t>Endiya Partners; Exfinity Venture Partners</t>
        </is>
      </c>
      <c r="N650" t="inlineStr">
        <is>
          <t>entrackr | inc42 | et</t>
        </is>
      </c>
      <c r="O650" s="20" t="n">
        <v>3</v>
      </c>
      <c r="P650" s="21" t="n">
        <v>1.2</v>
      </c>
      <c r="Q650" t="inlineStr"/>
      <c r="R650" s="22" t="inlineStr">
        <is>
          <t>https://entrackr.com/snippets/deep-tech-startup-maieutic-semiconductor-raises-415-mn-seed-round-9458859</t>
        </is>
      </c>
    </row>
    <row r="651">
      <c r="A651" t="inlineStr">
        <is>
          <t>R250704-ajnalens</t>
        </is>
      </c>
      <c r="B651" t="inlineStr">
        <is>
          <t>AjnaLens</t>
        </is>
      </c>
      <c r="C651" s="17" t="n">
        <v>45842</v>
      </c>
      <c r="D651" s="18" t="n">
        <v>45839</v>
      </c>
      <c r="E651" s="19" t="n"/>
      <c r="F651" s="19" t="n"/>
      <c r="G651" t="inlineStr"/>
      <c r="H651" t="inlineStr">
        <is>
          <t>Undisclosed</t>
        </is>
      </c>
      <c r="I651" t="inlineStr">
        <is>
          <t>Undisclosed</t>
        </is>
      </c>
      <c r="J651" t="inlineStr">
        <is>
          <t>Advanced Hardware &amp; Technology</t>
        </is>
      </c>
      <c r="K651" t="inlineStr">
        <is>
          <t>Mumbai</t>
        </is>
      </c>
      <c r="L651" t="inlineStr">
        <is>
          <t>Lenskart</t>
        </is>
      </c>
      <c r="M651" t="inlineStr">
        <is>
          <t>Lenskart</t>
        </is>
      </c>
      <c r="N651" t="inlineStr">
        <is>
          <t>entrackr | inc42 | vccircle</t>
        </is>
      </c>
      <c r="O651" s="20" t="n">
        <v>3</v>
      </c>
      <c r="P651" s="21" t="n"/>
      <c r="Q651" t="inlineStr">
        <is>
          <t>C03 C04</t>
        </is>
      </c>
      <c r="R651" s="22" t="inlineStr">
        <is>
          <t>https://entrackr.com/snippets/lenskart-invests-in-deep-tech-xr-startup-ajna-lens-9462282</t>
        </is>
      </c>
    </row>
    <row r="652">
      <c r="A652" t="inlineStr">
        <is>
          <t>R250707-amama</t>
        </is>
      </c>
      <c r="B652" t="inlineStr">
        <is>
          <t>AMAMA</t>
        </is>
      </c>
      <c r="C652" s="17" t="n">
        <v>45845</v>
      </c>
      <c r="D652" s="18" t="n">
        <v>45839</v>
      </c>
      <c r="E652" s="19" t="n">
        <v>1</v>
      </c>
      <c r="F652" s="19" t="n">
        <v>8.59</v>
      </c>
      <c r="G652" t="inlineStr">
        <is>
          <t>$1 Mn</t>
        </is>
      </c>
      <c r="H652" t="inlineStr">
        <is>
          <t>Undisclosed</t>
        </is>
      </c>
      <c r="I652" t="inlineStr">
        <is>
          <t>Undisclosed</t>
        </is>
      </c>
      <c r="J652" t="inlineStr">
        <is>
          <t>Ecommerce</t>
        </is>
      </c>
      <c r="K652" t="inlineStr">
        <is>
          <t>Unknown</t>
        </is>
      </c>
      <c r="L652" t="inlineStr">
        <is>
          <t>Mistry Ventures</t>
        </is>
      </c>
      <c r="M652" t="inlineStr">
        <is>
          <t>Mistry Ventures</t>
        </is>
      </c>
      <c r="N652" t="inlineStr">
        <is>
          <t>inc42</t>
        </is>
      </c>
      <c r="O652" s="20" t="n">
        <v>1</v>
      </c>
      <c r="P652" s="21" t="n">
        <v>0</v>
      </c>
      <c r="Q652" t="inlineStr">
        <is>
          <t>C04 C07</t>
        </is>
      </c>
      <c r="R652" s="22" t="inlineStr">
        <is>
          <t>https://inc42.com/buzz/from-infinity-fincorp-to-chai-bisket-indian-startups-raised-133-mn-this-week/</t>
        </is>
      </c>
    </row>
    <row r="653">
      <c r="A653" t="inlineStr">
        <is>
          <t>R250707-cookd</t>
        </is>
      </c>
      <c r="B653" t="inlineStr">
        <is>
          <t>Cookd</t>
        </is>
      </c>
      <c r="C653" s="17" t="n">
        <v>45845</v>
      </c>
      <c r="D653" s="18" t="n">
        <v>45839</v>
      </c>
      <c r="E653" s="19" t="n">
        <v>1.862</v>
      </c>
      <c r="F653" s="19" t="n">
        <v>16</v>
      </c>
      <c r="G653" t="inlineStr">
        <is>
          <t>Rs 16 crore</t>
        </is>
      </c>
      <c r="H653" t="inlineStr">
        <is>
          <t>Pre-Series A</t>
        </is>
      </c>
      <c r="I653" t="inlineStr">
        <is>
          <t>Early</t>
        </is>
      </c>
      <c r="J653" t="inlineStr">
        <is>
          <t>Ecommerce</t>
        </is>
      </c>
      <c r="K653" t="inlineStr">
        <is>
          <t>Chennai</t>
        </is>
      </c>
      <c r="L653" t="inlineStr">
        <is>
          <t>Spring Marketing Capital</t>
        </is>
      </c>
      <c r="M653" t="inlineStr">
        <is>
          <t>Spring Marketing Capital; Eternal Capital; Sun Icon Ventures; PeerCheque</t>
        </is>
      </c>
      <c r="N653" t="inlineStr">
        <is>
          <t>entrackr | inc42</t>
        </is>
      </c>
      <c r="O653" s="20" t="n">
        <v>2</v>
      </c>
      <c r="P653" s="21" t="n">
        <v>7.4</v>
      </c>
      <c r="Q653" t="inlineStr"/>
      <c r="R653" s="22" t="inlineStr">
        <is>
          <t>https://inc42.com/buzz/from-infinity-fincorp-to-chai-bisket-indian-startups-raised-133-mn-this-week/</t>
        </is>
      </c>
    </row>
    <row r="654">
      <c r="A654" t="inlineStr">
        <is>
          <t>R250707-divinehindu</t>
        </is>
      </c>
      <c r="B654" t="inlineStr">
        <is>
          <t>Divine Hindu</t>
        </is>
      </c>
      <c r="C654" s="17" t="n">
        <v>45845</v>
      </c>
      <c r="D654" s="18" t="n">
        <v>45839</v>
      </c>
      <c r="E654" s="19" t="n">
        <v>0.182</v>
      </c>
      <c r="F654" s="19" t="n">
        <v>1.56</v>
      </c>
      <c r="G654" t="inlineStr">
        <is>
          <t>Rs 1.56 crore</t>
        </is>
      </c>
      <c r="H654" t="inlineStr">
        <is>
          <t>Seed</t>
        </is>
      </c>
      <c r="I654" t="inlineStr">
        <is>
          <t>Early</t>
        </is>
      </c>
      <c r="J654" t="inlineStr">
        <is>
          <t>Ecommerce</t>
        </is>
      </c>
      <c r="K654" t="inlineStr">
        <is>
          <t>Unknown</t>
        </is>
      </c>
      <c r="L654" t="inlineStr"/>
      <c r="M654" t="inlineStr">
        <is>
          <t>BeyondSeed; Signal Ventures</t>
        </is>
      </c>
      <c r="N654" t="inlineStr">
        <is>
          <t>entrackr | inc42</t>
        </is>
      </c>
      <c r="O654" s="20" t="n">
        <v>2</v>
      </c>
      <c r="P654" s="21" t="n">
        <v>0.3</v>
      </c>
      <c r="Q654" t="inlineStr">
        <is>
          <t>C07</t>
        </is>
      </c>
      <c r="R654" s="22" t="inlineStr">
        <is>
          <t>https://entrackr.com/snippets/spiritual-lifestyle-brand-divine-hindu-raises-seed-round-9470543</t>
        </is>
      </c>
    </row>
    <row r="655">
      <c r="A655" t="inlineStr">
        <is>
          <t>R250707-inprimefinserv</t>
        </is>
      </c>
      <c r="B655" t="inlineStr">
        <is>
          <t>InPrime Finserv</t>
        </is>
      </c>
      <c r="C655" s="17" t="n">
        <v>45845</v>
      </c>
      <c r="D655" s="18" t="n">
        <v>45839</v>
      </c>
      <c r="E655" s="19" t="n">
        <v>5.819</v>
      </c>
      <c r="F655" s="19" t="n">
        <v>50</v>
      </c>
      <c r="G655" t="inlineStr">
        <is>
          <t>Rs 50 crore</t>
        </is>
      </c>
      <c r="H655" t="inlineStr">
        <is>
          <t>Series A</t>
        </is>
      </c>
      <c r="I655" t="inlineStr">
        <is>
          <t>Early</t>
        </is>
      </c>
      <c r="J655" t="inlineStr">
        <is>
          <t>Fintech</t>
        </is>
      </c>
      <c r="K655" t="inlineStr">
        <is>
          <t>Bengaluru</t>
        </is>
      </c>
      <c r="L655" t="inlineStr">
        <is>
          <t>Pravega Ventures; Z47; InfoEdge Ventures; Kettleborough VC</t>
        </is>
      </c>
      <c r="M655" t="inlineStr">
        <is>
          <t>Pravega Ventures; Z47; InfoEdge Ventures; Kettleborough VC</t>
        </is>
      </c>
      <c r="N655" t="inlineStr">
        <is>
          <t>entrackr | inc42</t>
        </is>
      </c>
      <c r="O655" s="20" t="n">
        <v>2</v>
      </c>
      <c r="P655" s="21" t="n">
        <v>3.1</v>
      </c>
      <c r="Q655" t="inlineStr"/>
      <c r="R655" s="22" t="inlineStr">
        <is>
          <t>https://entrackr.com/snippets/inprime-finserv-raises-rs-50-cr-in-series-a1-round-led-by-pravega-ventures-9470068</t>
        </is>
      </c>
    </row>
    <row r="656">
      <c r="A656" t="inlineStr">
        <is>
          <t>R250707-khetika</t>
        </is>
      </c>
      <c r="B656" t="inlineStr">
        <is>
          <t>Khetika</t>
        </is>
      </c>
      <c r="C656" s="17" t="n">
        <v>45845</v>
      </c>
      <c r="D656" s="18" t="n">
        <v>45839</v>
      </c>
      <c r="E656" s="19" t="n">
        <v>18</v>
      </c>
      <c r="F656" s="19" t="n">
        <v>154.67</v>
      </c>
      <c r="G656" t="inlineStr">
        <is>
          <t>$18 million</t>
        </is>
      </c>
      <c r="H656" t="inlineStr">
        <is>
          <t>Series B</t>
        </is>
      </c>
      <c r="I656" t="inlineStr">
        <is>
          <t>Growth</t>
        </is>
      </c>
      <c r="J656" t="inlineStr">
        <is>
          <t>Ecommerce</t>
        </is>
      </c>
      <c r="K656" t="inlineStr">
        <is>
          <t>Mumbai</t>
        </is>
      </c>
      <c r="L656" t="inlineStr">
        <is>
          <t>Narotam Sekhsaria Family Office; Anicut Capital</t>
        </is>
      </c>
      <c r="M656" t="inlineStr">
        <is>
          <t>Narotam Sekhsaria Family Office; Anicut Capital; Incofin India Progress Fund; Rajasthan Gum; Shree Ram India Gums; SIDBI Venture Capital</t>
        </is>
      </c>
      <c r="N656" t="inlineStr">
        <is>
          <t>entrackr | inc42 | et | vccircle</t>
        </is>
      </c>
      <c r="O656" s="20" t="n">
        <v>4</v>
      </c>
      <c r="P656" s="21" t="n">
        <v>0</v>
      </c>
      <c r="Q656" t="inlineStr"/>
      <c r="R656" s="22" t="inlineStr">
        <is>
          <t>https://entrackr.com/snippets/khetika-raises-18-mn-led-by-narotam-sekhsaria-family-office-and-anicut-capital-9469606</t>
        </is>
      </c>
    </row>
    <row r="657">
      <c r="A657" t="inlineStr">
        <is>
          <t>R250707-wiselife</t>
        </is>
      </c>
      <c r="B657" t="inlineStr">
        <is>
          <t>WiseLife</t>
        </is>
      </c>
      <c r="C657" s="17" t="n">
        <v>45845</v>
      </c>
      <c r="D657" s="18" t="n">
        <v>45839</v>
      </c>
      <c r="E657" s="19" t="n">
        <v>0.931</v>
      </c>
      <c r="F657" s="19" t="n">
        <v>8</v>
      </c>
      <c r="G657" t="inlineStr">
        <is>
          <t>Rs 8 crore</t>
        </is>
      </c>
      <c r="H657" t="inlineStr">
        <is>
          <t>Seed</t>
        </is>
      </c>
      <c r="I657" t="inlineStr">
        <is>
          <t>Early</t>
        </is>
      </c>
      <c r="J657" t="inlineStr">
        <is>
          <t>Ecommerce</t>
        </is>
      </c>
      <c r="K657" t="inlineStr">
        <is>
          <t>Unknown</t>
        </is>
      </c>
      <c r="L657" t="inlineStr">
        <is>
          <t>Rukam Capital</t>
        </is>
      </c>
      <c r="M657" t="inlineStr">
        <is>
          <t>Rukam Capital</t>
        </is>
      </c>
      <c r="N657" t="inlineStr">
        <is>
          <t>entrackr | inc42</t>
        </is>
      </c>
      <c r="O657" s="20" t="n">
        <v>2</v>
      </c>
      <c r="P657" s="21" t="n">
        <v>0.1</v>
      </c>
      <c r="Q657" t="inlineStr">
        <is>
          <t>C07 C18</t>
        </is>
      </c>
      <c r="R657" s="22" t="inlineStr">
        <is>
          <t>https://entrackr.com/snippets/wiselife-raises-rs-8-cr-led-by-rukam-capital-in-pre-series-a-round-9470240</t>
        </is>
      </c>
    </row>
    <row r="658">
      <c r="A658" t="inlineStr">
        <is>
          <t>R250708-creditwisecapi</t>
        </is>
      </c>
      <c r="B658" t="inlineStr">
        <is>
          <t>Credit Wise Capital</t>
        </is>
      </c>
      <c r="C658" s="17" t="n">
        <v>45846</v>
      </c>
      <c r="D658" s="18" t="n">
        <v>45839</v>
      </c>
      <c r="E658" s="19" t="n">
        <v>14.007</v>
      </c>
      <c r="F658" s="19" t="n">
        <v>120</v>
      </c>
      <c r="G658" t="inlineStr">
        <is>
          <t>Rs 120 crore</t>
        </is>
      </c>
      <c r="H658" t="inlineStr">
        <is>
          <t>Undisclosed</t>
        </is>
      </c>
      <c r="I658" t="inlineStr">
        <is>
          <t>Undisclosed</t>
        </is>
      </c>
      <c r="J658" t="inlineStr">
        <is>
          <t>Unclassified</t>
        </is>
      </c>
      <c r="K658" t="inlineStr">
        <is>
          <t>Mumbai</t>
        </is>
      </c>
      <c r="L658" t="inlineStr"/>
      <c r="M658" t="inlineStr"/>
      <c r="N658" t="inlineStr">
        <is>
          <t>entrackr | vccircle</t>
        </is>
      </c>
      <c r="O658" s="20" t="n">
        <v>2</v>
      </c>
      <c r="P658" s="21" t="n">
        <v>0</v>
      </c>
      <c r="Q658" t="inlineStr">
        <is>
          <t>C04 C05 C06</t>
        </is>
      </c>
      <c r="R658" s="22" t="inlineStr">
        <is>
          <t>https://entrackr.com/news/trident-growth-partners-leads-rs-200-cr-round-in-credit-wise-capital-9473019</t>
        </is>
      </c>
    </row>
    <row r="659">
      <c r="A659" t="inlineStr">
        <is>
          <t>R250708-linkrunner</t>
        </is>
      </c>
      <c r="B659" t="inlineStr">
        <is>
          <t>Linkrunner</t>
        </is>
      </c>
      <c r="C659" s="17" t="n">
        <v>45846</v>
      </c>
      <c r="D659" s="18" t="n">
        <v>45839</v>
      </c>
      <c r="E659" s="19" t="n">
        <v>0.584</v>
      </c>
      <c r="F659" s="19" t="n">
        <v>5</v>
      </c>
      <c r="G659" t="inlineStr">
        <is>
          <t>Rs 5 crore</t>
        </is>
      </c>
      <c r="H659" t="inlineStr">
        <is>
          <t>Pre-Seed</t>
        </is>
      </c>
      <c r="I659" t="inlineStr">
        <is>
          <t>Early</t>
        </is>
      </c>
      <c r="J659" t="inlineStr">
        <is>
          <t>Artificial Intelligence</t>
        </is>
      </c>
      <c r="K659" t="inlineStr">
        <is>
          <t>Bengaluru</t>
        </is>
      </c>
      <c r="L659" t="inlineStr">
        <is>
          <t>Titan Capital; Samir Sood; 2AM.VC</t>
        </is>
      </c>
      <c r="M659" t="inlineStr">
        <is>
          <t>Titan Capital; 2am VC; Samir Sood</t>
        </is>
      </c>
      <c r="N659" t="inlineStr">
        <is>
          <t>entrackr | inc42</t>
        </is>
      </c>
      <c r="O659" s="20" t="n">
        <v>2</v>
      </c>
      <c r="P659" s="21" t="n">
        <v>4.2</v>
      </c>
      <c r="Q659" t="inlineStr"/>
      <c r="R659" s="22" t="inlineStr">
        <is>
          <t>https://entrackr.com/snippets/linkrunner-raises-pre-seed-round-led-by-titan-capital-9473366</t>
        </is>
      </c>
    </row>
    <row r="660">
      <c r="A660" t="inlineStr">
        <is>
          <t>R250708-qoruz</t>
        </is>
      </c>
      <c r="B660" t="inlineStr">
        <is>
          <t>Qoruz</t>
        </is>
      </c>
      <c r="C660" s="17" t="n">
        <v>45846</v>
      </c>
      <c r="D660" s="18" t="n">
        <v>45839</v>
      </c>
      <c r="E660" s="19" t="n">
        <v>0.5</v>
      </c>
      <c r="F660" s="19" t="n">
        <v>4.28</v>
      </c>
      <c r="G660" t="inlineStr">
        <is>
          <t>$500K</t>
        </is>
      </c>
      <c r="H660" t="inlineStr">
        <is>
          <t>Pre-Series A</t>
        </is>
      </c>
      <c r="I660" t="inlineStr">
        <is>
          <t>Early</t>
        </is>
      </c>
      <c r="J660" t="inlineStr">
        <is>
          <t>Media &amp; Entertainment</t>
        </is>
      </c>
      <c r="K660" t="inlineStr">
        <is>
          <t>Bengaluru</t>
        </is>
      </c>
      <c r="L660" t="inlineStr"/>
      <c r="M660" t="inlineStr"/>
      <c r="N660" t="inlineStr">
        <is>
          <t>entrackr | inc42</t>
        </is>
      </c>
      <c r="O660" s="20" t="n">
        <v>2</v>
      </c>
      <c r="P660" s="21" t="n">
        <v>0</v>
      </c>
      <c r="Q660" t="inlineStr">
        <is>
          <t>C05</t>
        </is>
      </c>
      <c r="R660" s="22" t="inlineStr">
        <is>
          <t>https://entrackr.com/snippets/qoruz-raises-500k-in-pre-series-a-round-led-by-the-chennai-angels-9472988</t>
        </is>
      </c>
    </row>
    <row r="661">
      <c r="A661" t="inlineStr">
        <is>
          <t>R250709-belong</t>
        </is>
      </c>
      <c r="B661" t="inlineStr">
        <is>
          <t>Belong</t>
        </is>
      </c>
      <c r="C661" s="17" t="n">
        <v>45847</v>
      </c>
      <c r="D661" s="18" t="n">
        <v>45839</v>
      </c>
      <c r="E661" s="19" t="n">
        <v>5</v>
      </c>
      <c r="F661" s="19" t="n">
        <v>42.86</v>
      </c>
      <c r="G661" t="inlineStr">
        <is>
          <t>$5 million</t>
        </is>
      </c>
      <c r="H661" t="inlineStr">
        <is>
          <t>Seed</t>
        </is>
      </c>
      <c r="I661" t="inlineStr">
        <is>
          <t>Early</t>
        </is>
      </c>
      <c r="J661" t="inlineStr">
        <is>
          <t>Fintech</t>
        </is>
      </c>
      <c r="K661" t="inlineStr">
        <is>
          <t>Unknown</t>
        </is>
      </c>
      <c r="L661" t="inlineStr">
        <is>
          <t>Elevation Capital</t>
        </is>
      </c>
      <c r="M661" t="inlineStr">
        <is>
          <t>Elevation Capital; Relentless Ventures; Abhiraj Singh Bahl; Varun Khaitan; Akshant Goyal; Varun Alagh; Vineet Sethi; Aditya Sharma</t>
        </is>
      </c>
      <c r="N661" t="inlineStr">
        <is>
          <t>entrackr | inc42 | et</t>
        </is>
      </c>
      <c r="O661" s="20" t="n">
        <v>3</v>
      </c>
      <c r="P661" s="21" t="n">
        <v>0</v>
      </c>
      <c r="Q661" t="inlineStr">
        <is>
          <t>C07</t>
        </is>
      </c>
      <c r="R661" s="22" t="inlineStr">
        <is>
          <t>https://entrackr.com/snippets/nri-focused-fintech-startup-belong-raises-5-mn-led-by-elevation-capital-9476695</t>
        </is>
      </c>
    </row>
    <row r="662">
      <c r="A662" t="inlineStr">
        <is>
          <t>R250709-chaibisket</t>
        </is>
      </c>
      <c r="B662" t="inlineStr">
        <is>
          <t>Chai Bisket</t>
        </is>
      </c>
      <c r="C662" s="17" t="n">
        <v>45847</v>
      </c>
      <c r="D662" s="18" t="n">
        <v>45839</v>
      </c>
      <c r="E662" s="19" t="n">
        <v>5</v>
      </c>
      <c r="F662" s="19" t="n">
        <v>42.86</v>
      </c>
      <c r="G662" t="inlineStr">
        <is>
          <t>$5 million</t>
        </is>
      </c>
      <c r="H662" t="inlineStr">
        <is>
          <t>Seed</t>
        </is>
      </c>
      <c r="I662" t="inlineStr">
        <is>
          <t>Early</t>
        </is>
      </c>
      <c r="J662" t="inlineStr">
        <is>
          <t>Media &amp; Entertainment</t>
        </is>
      </c>
      <c r="K662" t="inlineStr">
        <is>
          <t>Hyderabad</t>
        </is>
      </c>
      <c r="L662" t="inlineStr">
        <is>
          <t>InfoEdge Ventures; General Catalyst</t>
        </is>
      </c>
      <c r="M662" t="inlineStr">
        <is>
          <t>InfoEdge Ventures; General Catalyst; Sriharsha Majety; Nandan Reddy; Phanindra Sama; Rohit Chennamaneni; Alakh Pandey; Prateek Maheshwari; Aravind Sanka; Rishikesh SR; Pavan Guntupalli; Amar Nagaram; Rana Daggubati; Swiggy co-founders Sri Harsha Majety; Rapido co-founders</t>
        </is>
      </c>
      <c r="N662" t="inlineStr">
        <is>
          <t>entrackr | inc42 | et</t>
        </is>
      </c>
      <c r="O662" s="20" t="n">
        <v>3</v>
      </c>
      <c r="P662" s="21" t="n">
        <v>0</v>
      </c>
      <c r="Q662" t="inlineStr"/>
      <c r="R662" s="22" t="inlineStr">
        <is>
          <t>https://entrackr.com/snippets/chai-bisket-raises-5-mn-led-by-infoedge-ventures-and-general-catalyst-to-launch-chai-shots-9477331</t>
        </is>
      </c>
    </row>
    <row r="663">
      <c r="A663" t="inlineStr">
        <is>
          <t>R250709-enercomp</t>
        </is>
      </c>
      <c r="B663" t="inlineStr">
        <is>
          <t>Enercomp</t>
        </is>
      </c>
      <c r="C663" s="17" t="n">
        <v>45847</v>
      </c>
      <c r="D663" s="18" t="n">
        <v>45839</v>
      </c>
      <c r="E663" s="19" t="n">
        <v>0.233</v>
      </c>
      <c r="F663" s="19" t="n">
        <v>2</v>
      </c>
      <c r="G663" t="inlineStr">
        <is>
          <t>Rs 2 crore</t>
        </is>
      </c>
      <c r="H663" t="inlineStr">
        <is>
          <t>Bridge</t>
        </is>
      </c>
      <c r="I663" t="inlineStr">
        <is>
          <t>Other</t>
        </is>
      </c>
      <c r="J663" t="inlineStr">
        <is>
          <t>Advanced Hardware &amp; Technology</t>
        </is>
      </c>
      <c r="K663" t="inlineStr">
        <is>
          <t>Unknown</t>
        </is>
      </c>
      <c r="L663" t="inlineStr"/>
      <c r="M663" t="inlineStr"/>
      <c r="N663" t="inlineStr">
        <is>
          <t>entrackr | inc42</t>
        </is>
      </c>
      <c r="O663" s="20" t="n">
        <v>2</v>
      </c>
      <c r="P663" s="21" t="n">
        <v>0.6</v>
      </c>
      <c r="Q663" t="inlineStr">
        <is>
          <t>C05 C07</t>
        </is>
      </c>
      <c r="R663" s="22" t="inlineStr">
        <is>
          <t>https://entrackr.com/snippets/drone-tech-startup-enercomp-raises-rs-2-cr-in-bridge-round-9477028</t>
        </is>
      </c>
    </row>
    <row r="664">
      <c r="A664" t="inlineStr">
        <is>
          <t>R250709-greenaero</t>
        </is>
      </c>
      <c r="B664" t="inlineStr">
        <is>
          <t>Green Aero</t>
        </is>
      </c>
      <c r="C664" s="17" t="n">
        <v>45847</v>
      </c>
      <c r="D664" s="18" t="n">
        <v>45839</v>
      </c>
      <c r="E664" s="19" t="n">
        <v>1.6</v>
      </c>
      <c r="F664" s="19" t="n">
        <v>13.72</v>
      </c>
      <c r="G664" t="inlineStr">
        <is>
          <t>$1.6 million</t>
        </is>
      </c>
      <c r="H664" t="inlineStr">
        <is>
          <t>Seed</t>
        </is>
      </c>
      <c r="I664" t="inlineStr">
        <is>
          <t>Early</t>
        </is>
      </c>
      <c r="J664" t="inlineStr">
        <is>
          <t>Advanced Hardware &amp; Technology</t>
        </is>
      </c>
      <c r="K664" t="inlineStr">
        <is>
          <t>Delhi NCR</t>
        </is>
      </c>
      <c r="L664" t="inlineStr"/>
      <c r="M664" t="inlineStr">
        <is>
          <t>Antler</t>
        </is>
      </c>
      <c r="N664" t="inlineStr">
        <is>
          <t>entrackr | inc42 | et</t>
        </is>
      </c>
      <c r="O664" s="20" t="n">
        <v>3</v>
      </c>
      <c r="P664" s="21" t="n">
        <v>0</v>
      </c>
      <c r="Q664" t="inlineStr"/>
      <c r="R664" s="22" t="inlineStr">
        <is>
          <t>https://entrackr.com/snippets/green-aero-raises-16-mn-in-seed-round-led-by-pi-ventures-9477236</t>
        </is>
      </c>
    </row>
    <row r="665">
      <c r="A665" t="inlineStr">
        <is>
          <t>R250709-jehaerospace</t>
        </is>
      </c>
      <c r="B665" t="inlineStr">
        <is>
          <t>Jeh Aerospace</t>
        </is>
      </c>
      <c r="C665" s="17" t="n">
        <v>45847</v>
      </c>
      <c r="D665" s="18" t="n">
        <v>45839</v>
      </c>
      <c r="E665" s="19" t="n"/>
      <c r="F665" s="19" t="n"/>
      <c r="G665" t="inlineStr"/>
      <c r="H665" t="inlineStr">
        <is>
          <t>Undisclosed</t>
        </is>
      </c>
      <c r="I665" t="inlineStr">
        <is>
          <t>Undisclosed</t>
        </is>
      </c>
      <c r="J665" t="inlineStr">
        <is>
          <t>Advanced Hardware &amp; Technology</t>
        </is>
      </c>
      <c r="K665" t="inlineStr">
        <is>
          <t>Unknown</t>
        </is>
      </c>
      <c r="L665" t="inlineStr">
        <is>
          <t>Indigo Ventures</t>
        </is>
      </c>
      <c r="M665" t="inlineStr">
        <is>
          <t>Indigo Ventures</t>
        </is>
      </c>
      <c r="N665" t="inlineStr">
        <is>
          <t>inc42</t>
        </is>
      </c>
      <c r="O665" s="20" t="n">
        <v>1</v>
      </c>
      <c r="P665" s="21" t="n"/>
      <c r="Q665" t="inlineStr">
        <is>
          <t>C03 C04 C07</t>
        </is>
      </c>
      <c r="R665" s="22" t="inlineStr">
        <is>
          <t>https://inc42.com/buzz/from-infinity-fincorp-to-chai-bisket-indian-startups-raised-133-mn-this-week/</t>
        </is>
      </c>
    </row>
    <row r="666">
      <c r="A666" t="inlineStr">
        <is>
          <t>R250709-ldotr</t>
        </is>
      </c>
      <c r="B666" t="inlineStr">
        <is>
          <t>LdotR</t>
        </is>
      </c>
      <c r="C666" s="17" t="n">
        <v>45847</v>
      </c>
      <c r="D666" s="18" t="n">
        <v>45839</v>
      </c>
      <c r="E666" s="19" t="n"/>
      <c r="F666" s="19" t="n"/>
      <c r="G666" t="inlineStr"/>
      <c r="H666" t="inlineStr">
        <is>
          <t>Undisclosed</t>
        </is>
      </c>
      <c r="I666" t="inlineStr">
        <is>
          <t>Undisclosed</t>
        </is>
      </c>
      <c r="J666" t="inlineStr">
        <is>
          <t>Enterprise Tech</t>
        </is>
      </c>
      <c r="K666" t="inlineStr">
        <is>
          <t>Unknown</t>
        </is>
      </c>
      <c r="L666" t="inlineStr">
        <is>
          <t>Basil Moftah; Mark Garlinghouse</t>
        </is>
      </c>
      <c r="M666" t="inlineStr">
        <is>
          <t>Basil Moftah; Mark Garlinghouse; Jerry Lim; David Yu Liu; Vinay Hebbar</t>
        </is>
      </c>
      <c r="N666" t="inlineStr">
        <is>
          <t>inc42</t>
        </is>
      </c>
      <c r="O666" s="20" t="n">
        <v>1</v>
      </c>
      <c r="P666" s="21" t="n"/>
      <c r="Q666" t="inlineStr">
        <is>
          <t>C03 C04 C07</t>
        </is>
      </c>
      <c r="R666" s="22" t="inlineStr">
        <is>
          <t>https://inc42.com/buzz/from-infinity-fincorp-to-chai-bisket-indian-startups-raised-133-mn-this-week/</t>
        </is>
      </c>
    </row>
    <row r="667">
      <c r="A667" t="inlineStr">
        <is>
          <t>R250709-varthana</t>
        </is>
      </c>
      <c r="B667" t="inlineStr">
        <is>
          <t>Varthana</t>
        </is>
      </c>
      <c r="C667" s="17" t="n">
        <v>45847</v>
      </c>
      <c r="D667" s="18" t="n">
        <v>45839</v>
      </c>
      <c r="E667" s="19" t="n">
        <v>18.549</v>
      </c>
      <c r="F667" s="19" t="n">
        <v>159</v>
      </c>
      <c r="G667" t="inlineStr">
        <is>
          <t>Rs 159 crore</t>
        </is>
      </c>
      <c r="H667" t="inlineStr">
        <is>
          <t>Debt</t>
        </is>
      </c>
      <c r="I667" t="inlineStr">
        <is>
          <t>Debt</t>
        </is>
      </c>
      <c r="J667" t="inlineStr">
        <is>
          <t>Fintech</t>
        </is>
      </c>
      <c r="K667" t="inlineStr">
        <is>
          <t>Bengaluru</t>
        </is>
      </c>
      <c r="L667" t="inlineStr"/>
      <c r="M667" t="inlineStr">
        <is>
          <t>BlueEarth Capital; Franklin Templeton AIF; responsAbility</t>
        </is>
      </c>
      <c r="N667" t="inlineStr">
        <is>
          <t>entrackr | inc42 | vccircle</t>
        </is>
      </c>
      <c r="O667" s="20" t="n">
        <v>3</v>
      </c>
      <c r="P667" s="21" t="n">
        <v>0.3</v>
      </c>
      <c r="Q667" t="inlineStr"/>
      <c r="R667" s="22" t="inlineStr">
        <is>
          <t>https://entrackr.com/snippets/nbfc-varthana-secures-rs-159-cr-in-debt-funding-9477464</t>
        </is>
      </c>
    </row>
    <row r="668">
      <c r="A668" t="inlineStr">
        <is>
          <t>R250710-arteriatechnol</t>
        </is>
      </c>
      <c r="B668" t="inlineStr">
        <is>
          <t>Arteria Technologies</t>
        </is>
      </c>
      <c r="C668" s="17" t="n">
        <v>45848</v>
      </c>
      <c r="D668" s="18" t="n">
        <v>45839</v>
      </c>
      <c r="E668" s="19" t="n">
        <v>11.66</v>
      </c>
      <c r="F668" s="19" t="n">
        <v>100</v>
      </c>
      <c r="G668" t="inlineStr">
        <is>
          <t>Rs 100 crore</t>
        </is>
      </c>
      <c r="H668" t="inlineStr">
        <is>
          <t>Series B</t>
        </is>
      </c>
      <c r="I668" t="inlineStr">
        <is>
          <t>Growth</t>
        </is>
      </c>
      <c r="J668" t="inlineStr">
        <is>
          <t>Logistics</t>
        </is>
      </c>
      <c r="K668" t="inlineStr">
        <is>
          <t>Unknown</t>
        </is>
      </c>
      <c r="L668" t="inlineStr"/>
      <c r="M668" t="inlineStr">
        <is>
          <t>ICICI Venture</t>
        </is>
      </c>
      <c r="N668" t="inlineStr">
        <is>
          <t>et | vccircle</t>
        </is>
      </c>
      <c r="O668" s="20" t="n">
        <v>2</v>
      </c>
      <c r="P668" s="21" t="n">
        <v>2.9</v>
      </c>
      <c r="Q668" t="inlineStr">
        <is>
          <t>C07</t>
        </is>
      </c>
      <c r="R668" s="22" t="inlineStr">
        <is>
          <t>https://economictimes.indiatimes.com/tech/funding/saas-fintech-platform-arteria-technologies-raises-rs-100-crore-funding-from-icici-venture/articleshow/122364309.cms</t>
        </is>
      </c>
    </row>
    <row r="669">
      <c r="A669" t="inlineStr">
        <is>
          <t>R250710-cleanfanatics</t>
        </is>
      </c>
      <c r="B669" t="inlineStr">
        <is>
          <t>Clean Fanatics</t>
        </is>
      </c>
      <c r="C669" s="17" t="n">
        <v>45848</v>
      </c>
      <c r="D669" s="18" t="n">
        <v>45839</v>
      </c>
      <c r="E669" s="19" t="n">
        <v>1.982</v>
      </c>
      <c r="F669" s="19" t="n">
        <v>17</v>
      </c>
      <c r="G669" t="inlineStr">
        <is>
          <t>Rs 17 crore</t>
        </is>
      </c>
      <c r="H669" t="inlineStr">
        <is>
          <t>Seed</t>
        </is>
      </c>
      <c r="I669" t="inlineStr">
        <is>
          <t>Early</t>
        </is>
      </c>
      <c r="J669" t="inlineStr">
        <is>
          <t>Consumer Services</t>
        </is>
      </c>
      <c r="K669" t="inlineStr">
        <is>
          <t>Unknown</t>
        </is>
      </c>
      <c r="L669" t="inlineStr">
        <is>
          <t>Inflection Point Ventures</t>
        </is>
      </c>
      <c r="M669" t="inlineStr">
        <is>
          <t>Inflection Point Ventures; Blume Ventures; Trica</t>
        </is>
      </c>
      <c r="N669" t="inlineStr">
        <is>
          <t>entrackr | inc42</t>
        </is>
      </c>
      <c r="O669" s="20" t="n">
        <v>2</v>
      </c>
      <c r="P669" s="21" t="n">
        <v>0.9</v>
      </c>
      <c r="Q669" t="inlineStr">
        <is>
          <t>C07</t>
        </is>
      </c>
      <c r="R669" s="22" t="inlineStr">
        <is>
          <t>https://entrackr.com/snippets/clean-fanatics-raises-2-mn-in-seed-round-led-by-inflection-point-ventures-9480496</t>
        </is>
      </c>
    </row>
    <row r="670">
      <c r="A670" t="inlineStr">
        <is>
          <t>R250710-infinityfincor</t>
        </is>
      </c>
      <c r="B670" t="inlineStr">
        <is>
          <t>Infinity Fincorp</t>
        </is>
      </c>
      <c r="C670" s="17" t="n">
        <v>45848</v>
      </c>
      <c r="D670" s="18" t="n">
        <v>45839</v>
      </c>
      <c r="E670" s="19" t="n">
        <v>70</v>
      </c>
      <c r="F670" s="19" t="n">
        <v>600.3200000000001</v>
      </c>
      <c r="G670" t="inlineStr">
        <is>
          <t>$70 Mn</t>
        </is>
      </c>
      <c r="H670" t="inlineStr">
        <is>
          <t>Undisclosed</t>
        </is>
      </c>
      <c r="I670" t="inlineStr">
        <is>
          <t>Undisclosed</t>
        </is>
      </c>
      <c r="J670" t="inlineStr">
        <is>
          <t>Fintech</t>
        </is>
      </c>
      <c r="K670" t="inlineStr">
        <is>
          <t>Mumbai</t>
        </is>
      </c>
      <c r="L670" t="inlineStr"/>
      <c r="M670" t="inlineStr"/>
      <c r="N670" t="inlineStr">
        <is>
          <t>inc42</t>
        </is>
      </c>
      <c r="O670" s="20" t="n">
        <v>1</v>
      </c>
      <c r="P670" s="21" t="n">
        <v>0</v>
      </c>
      <c r="Q670" t="inlineStr">
        <is>
          <t>C04 C05</t>
        </is>
      </c>
      <c r="R670" s="22" t="inlineStr">
        <is>
          <t>https://inc42.com/buzz/from-infinity-fincorp-to-chai-bisket-indian-startups-raised-133-mn-this-week/</t>
        </is>
      </c>
    </row>
    <row r="671">
      <c r="A671" t="inlineStr">
        <is>
          <t>R250711-gramik</t>
        </is>
      </c>
      <c r="B671" t="inlineStr">
        <is>
          <t>Gramik</t>
        </is>
      </c>
      <c r="C671" s="17" t="n">
        <v>45849</v>
      </c>
      <c r="D671" s="18" t="n">
        <v>45839</v>
      </c>
      <c r="E671" s="19" t="n">
        <v>2</v>
      </c>
      <c r="F671" s="19" t="n">
        <v>17.17</v>
      </c>
      <c r="G671" t="inlineStr">
        <is>
          <t>$2 Mn</t>
        </is>
      </c>
      <c r="H671" t="inlineStr">
        <is>
          <t>Undisclosed</t>
        </is>
      </c>
      <c r="I671" t="inlineStr">
        <is>
          <t>Undisclosed</t>
        </is>
      </c>
      <c r="J671" t="inlineStr">
        <is>
          <t>Agritech</t>
        </is>
      </c>
      <c r="K671" t="inlineStr">
        <is>
          <t>Unknown</t>
        </is>
      </c>
      <c r="L671" t="inlineStr"/>
      <c r="M671" t="inlineStr">
        <is>
          <t>Sammaan Global Ventures; Money Creeper Investment; Gev Aryaton; Irfan Alam; Nikhil Bhagat; Salvia Siddiqui; Balram Yadav</t>
        </is>
      </c>
      <c r="N671" t="inlineStr">
        <is>
          <t>inc42</t>
        </is>
      </c>
      <c r="O671" s="20" t="n">
        <v>1</v>
      </c>
      <c r="P671" s="21" t="n">
        <v>0</v>
      </c>
      <c r="Q671" t="inlineStr">
        <is>
          <t>C04 C07</t>
        </is>
      </c>
      <c r="R671" s="22" t="inlineStr">
        <is>
          <t>https://inc42.com/buzz/from-infinity-fincorp-to-chai-bisket-indian-startups-raised-133-mn-this-week/</t>
        </is>
      </c>
    </row>
    <row r="672">
      <c r="A672" t="inlineStr">
        <is>
          <t>R250712-vaaree</t>
        </is>
      </c>
      <c r="B672" t="inlineStr">
        <is>
          <t>Vaaree</t>
        </is>
      </c>
      <c r="C672" s="17" t="n">
        <v>45850</v>
      </c>
      <c r="D672" s="18" t="n">
        <v>45839</v>
      </c>
      <c r="E672" s="19" t="n">
        <v>2.1</v>
      </c>
      <c r="F672" s="19" t="n">
        <v>18.02</v>
      </c>
      <c r="G672" t="inlineStr">
        <is>
          <t>$2.1 Mn</t>
        </is>
      </c>
      <c r="H672" t="inlineStr">
        <is>
          <t>Pre-Series A</t>
        </is>
      </c>
      <c r="I672" t="inlineStr">
        <is>
          <t>Early</t>
        </is>
      </c>
      <c r="J672" t="inlineStr">
        <is>
          <t>Ecommerce</t>
        </is>
      </c>
      <c r="K672" t="inlineStr">
        <is>
          <t>Bengaluru</t>
        </is>
      </c>
      <c r="L672" t="inlineStr">
        <is>
          <t>PeerCapital; Peak XV Surge; Peer Capital</t>
        </is>
      </c>
      <c r="M672" t="inlineStr">
        <is>
          <t>PeerCapital; Peak XV Surge; Sattva Family Office; Satyadharma Investments; Castle Investment; Peer Capital; All India Capital</t>
        </is>
      </c>
      <c r="N672" t="inlineStr">
        <is>
          <t>inc42 | et</t>
        </is>
      </c>
      <c r="O672" s="20" t="n">
        <v>2</v>
      </c>
      <c r="P672" s="21" t="n">
        <v>119</v>
      </c>
      <c r="Q672" t="inlineStr">
        <is>
          <t>C15 C17</t>
        </is>
      </c>
      <c r="R672" s="22" t="inlineStr">
        <is>
          <t>https://inc42.com/buzz/from-qpiai-to-knot-indian-startups-raised-80-mn-this-week/</t>
        </is>
      </c>
    </row>
    <row r="673">
      <c r="A673" t="inlineStr">
        <is>
          <t>R250714-gibran</t>
        </is>
      </c>
      <c r="B673" t="inlineStr">
        <is>
          <t>Gibran</t>
        </is>
      </c>
      <c r="C673" s="17" t="n">
        <v>45852</v>
      </c>
      <c r="D673" s="18" t="n">
        <v>45839</v>
      </c>
      <c r="E673" s="19" t="n">
        <v>2.6</v>
      </c>
      <c r="F673" s="19" t="n">
        <v>22.36</v>
      </c>
      <c r="G673" t="inlineStr">
        <is>
          <t>$2.6 million</t>
        </is>
      </c>
      <c r="H673" t="inlineStr">
        <is>
          <t>Seed</t>
        </is>
      </c>
      <c r="I673" t="inlineStr">
        <is>
          <t>Early</t>
        </is>
      </c>
      <c r="J673" t="inlineStr">
        <is>
          <t>Artificial Intelligence</t>
        </is>
      </c>
      <c r="K673" t="inlineStr">
        <is>
          <t>Unknown</t>
        </is>
      </c>
      <c r="L673" t="inlineStr"/>
      <c r="M673" t="inlineStr">
        <is>
          <t>Together Fund</t>
        </is>
      </c>
      <c r="N673" t="inlineStr">
        <is>
          <t>entrackr | et</t>
        </is>
      </c>
      <c r="O673" s="20" t="n">
        <v>2</v>
      </c>
      <c r="P673" s="21" t="n">
        <v>0</v>
      </c>
      <c r="Q673" t="inlineStr">
        <is>
          <t>C07</t>
        </is>
      </c>
      <c r="R673" s="22" t="inlineStr">
        <is>
          <t>https://entrackr.com/snippets/gibran-raises-26-mn-in-seed-round-from-together-fund-9496114</t>
        </is>
      </c>
    </row>
    <row r="674">
      <c r="A674" t="inlineStr">
        <is>
          <t>R250714-unibose</t>
        </is>
      </c>
      <c r="B674" t="inlineStr">
        <is>
          <t>Unibose</t>
        </is>
      </c>
      <c r="C674" s="17" t="n">
        <v>45852</v>
      </c>
      <c r="D674" s="18" t="n">
        <v>45839</v>
      </c>
      <c r="E674" s="19" t="n">
        <v>0.639</v>
      </c>
      <c r="F674" s="19" t="n">
        <v>5.5</v>
      </c>
      <c r="G674" t="inlineStr">
        <is>
          <t>$639K</t>
        </is>
      </c>
      <c r="H674" t="inlineStr">
        <is>
          <t>Pre-Series A</t>
        </is>
      </c>
      <c r="I674" t="inlineStr">
        <is>
          <t>Early</t>
        </is>
      </c>
      <c r="J674" t="inlineStr">
        <is>
          <t>Advanced Hardware &amp; Technology</t>
        </is>
      </c>
      <c r="K674" t="inlineStr">
        <is>
          <t>Unknown</t>
        </is>
      </c>
      <c r="L674" t="inlineStr"/>
      <c r="M674" t="inlineStr">
        <is>
          <t>IN44 Capital; Coimbatore Innovation; Business Incubator</t>
        </is>
      </c>
      <c r="N674" t="inlineStr">
        <is>
          <t>inc42</t>
        </is>
      </c>
      <c r="O674" s="20" t="n">
        <v>1</v>
      </c>
      <c r="P674" s="21" t="n">
        <v>0</v>
      </c>
      <c r="Q674" t="inlineStr">
        <is>
          <t>C07</t>
        </is>
      </c>
      <c r="R674" s="22" t="inlineStr">
        <is>
          <t>https://inc42.com/buzz/from-qpiai-to-knot-indian-startups-raised-80-mn-this-week/</t>
        </is>
      </c>
    </row>
    <row r="675">
      <c r="A675" t="inlineStr">
        <is>
          <t>R250715-cosmoss</t>
        </is>
      </c>
      <c r="B675" t="inlineStr">
        <is>
          <t>CosMoss</t>
        </is>
      </c>
      <c r="C675" s="17" t="n">
        <v>45853</v>
      </c>
      <c r="D675" s="18" t="n">
        <v>45839</v>
      </c>
      <c r="E675" s="19" t="n"/>
      <c r="F675" s="19" t="n"/>
      <c r="G675" t="inlineStr"/>
      <c r="H675" t="inlineStr">
        <is>
          <t>Seed</t>
        </is>
      </c>
      <c r="I675" t="inlineStr">
        <is>
          <t>Early</t>
        </is>
      </c>
      <c r="J675" t="inlineStr">
        <is>
          <t>Ecommerce</t>
        </is>
      </c>
      <c r="K675" t="inlineStr">
        <is>
          <t>Unknown</t>
        </is>
      </c>
      <c r="L675" t="inlineStr">
        <is>
          <t>Malika Sadani</t>
        </is>
      </c>
      <c r="M675" t="inlineStr">
        <is>
          <t>Malika Sadani</t>
        </is>
      </c>
      <c r="N675" t="inlineStr">
        <is>
          <t>inc42</t>
        </is>
      </c>
      <c r="O675" s="20" t="n">
        <v>1</v>
      </c>
      <c r="P675" s="21" t="n"/>
      <c r="Q675" t="inlineStr">
        <is>
          <t>C03 C07</t>
        </is>
      </c>
      <c r="R675" s="22" t="inlineStr">
        <is>
          <t>https://inc42.com/buzz/from-qpiai-to-knot-indian-startups-raised-80-mn-this-week/</t>
        </is>
      </c>
    </row>
    <row r="676">
      <c r="A676" t="inlineStr">
        <is>
          <t>R250715-dial4242</t>
        </is>
      </c>
      <c r="B676" t="inlineStr">
        <is>
          <t>Dial4242</t>
        </is>
      </c>
      <c r="C676" s="17" t="n">
        <v>45853</v>
      </c>
      <c r="D676" s="18" t="n">
        <v>45839</v>
      </c>
      <c r="E676" s="19" t="n">
        <v>1.048</v>
      </c>
      <c r="F676" s="19" t="n">
        <v>9</v>
      </c>
      <c r="G676" t="inlineStr">
        <is>
          <t>Rs 9 crore</t>
        </is>
      </c>
      <c r="H676" t="inlineStr">
        <is>
          <t>Pre-Series A</t>
        </is>
      </c>
      <c r="I676" t="inlineStr">
        <is>
          <t>Early</t>
        </is>
      </c>
      <c r="J676" t="inlineStr">
        <is>
          <t>Healthtech</t>
        </is>
      </c>
      <c r="K676" t="inlineStr">
        <is>
          <t>Unknown</t>
        </is>
      </c>
      <c r="L676" t="inlineStr">
        <is>
          <t>IAN Group</t>
        </is>
      </c>
      <c r="M676" t="inlineStr">
        <is>
          <t>IAN Group; BioAngels; NSRCEL</t>
        </is>
      </c>
      <c r="N676" t="inlineStr">
        <is>
          <t>entrackr | inc42</t>
        </is>
      </c>
      <c r="O676" s="20" t="n">
        <v>2</v>
      </c>
      <c r="P676" s="21" t="n">
        <v>4.9</v>
      </c>
      <c r="Q676" t="inlineStr">
        <is>
          <t>C07</t>
        </is>
      </c>
      <c r="R676" s="22" t="inlineStr">
        <is>
          <t>https://entrackr.com/snippets/ambulance-startup-dial4242-raises-rs-9-cr-in-pre-series-a-round-9498560</t>
        </is>
      </c>
    </row>
    <row r="677">
      <c r="A677" t="inlineStr">
        <is>
          <t>R250715-fractal</t>
        </is>
      </c>
      <c r="B677" t="inlineStr">
        <is>
          <t>Fractal</t>
        </is>
      </c>
      <c r="C677" s="17" t="n">
        <v>45853</v>
      </c>
      <c r="D677" s="18" t="n">
        <v>45839</v>
      </c>
      <c r="E677" s="19" t="n">
        <v>170</v>
      </c>
      <c r="F677" s="19" t="n">
        <v>1459.62</v>
      </c>
      <c r="G677" t="inlineStr">
        <is>
          <t>$170 million</t>
        </is>
      </c>
      <c r="H677" t="inlineStr">
        <is>
          <t>Undisclosed</t>
        </is>
      </c>
      <c r="I677" t="inlineStr">
        <is>
          <t>Undisclosed</t>
        </is>
      </c>
      <c r="J677" t="inlineStr">
        <is>
          <t>Artificial Intelligence</t>
        </is>
      </c>
      <c r="K677" t="inlineStr">
        <is>
          <t>Unknown</t>
        </is>
      </c>
      <c r="L677" t="inlineStr"/>
      <c r="M677" t="inlineStr"/>
      <c r="N677" t="inlineStr">
        <is>
          <t>et</t>
        </is>
      </c>
      <c r="O677" s="20" t="n">
        <v>1</v>
      </c>
      <c r="P677" s="21" t="n">
        <v>0</v>
      </c>
      <c r="Q677" t="inlineStr">
        <is>
          <t>C04 C05 C07</t>
        </is>
      </c>
      <c r="R677" s="22" t="inlineStr">
        <is>
          <t>https://economictimes.indiatimes.com/tech/funding/ipo-bound-ai-company-fractal-bags-170-million-at-2-44-billion-valuation/articleshow/122455396.cms</t>
        </is>
      </c>
    </row>
    <row r="678">
      <c r="A678" t="inlineStr">
        <is>
          <t>R250715-navanaai</t>
        </is>
      </c>
      <c r="B678" t="inlineStr">
        <is>
          <t>Navana.ai</t>
        </is>
      </c>
      <c r="C678" s="17" t="n">
        <v>45853</v>
      </c>
      <c r="D678" s="18" t="n">
        <v>45839</v>
      </c>
      <c r="E678" s="19" t="n">
        <v>0.8149999999999999</v>
      </c>
      <c r="F678" s="19" t="n">
        <v>7</v>
      </c>
      <c r="G678" t="inlineStr">
        <is>
          <t>Rs 7 crore</t>
        </is>
      </c>
      <c r="H678" t="inlineStr">
        <is>
          <t>Pre-Series A</t>
        </is>
      </c>
      <c r="I678" t="inlineStr">
        <is>
          <t>Early</t>
        </is>
      </c>
      <c r="J678" t="inlineStr">
        <is>
          <t>Artificial Intelligence</t>
        </is>
      </c>
      <c r="K678" t="inlineStr">
        <is>
          <t>Unknown</t>
        </is>
      </c>
      <c r="L678" t="inlineStr">
        <is>
          <t>Antler India; Ajay Agarwal; Ronnie Screwvala; Sandeep Singhal</t>
        </is>
      </c>
      <c r="M678" t="inlineStr">
        <is>
          <t>Antler India; Ajay Agarwal; Ronnie Screwvala; Sandeep Singhal</t>
        </is>
      </c>
      <c r="N678" t="inlineStr">
        <is>
          <t>entrackr | inc42 | et</t>
        </is>
      </c>
      <c r="O678" s="20" t="n">
        <v>3</v>
      </c>
      <c r="P678" s="21" t="n">
        <v>0.4</v>
      </c>
      <c r="Q678" t="inlineStr">
        <is>
          <t>C07</t>
        </is>
      </c>
      <c r="R678" s="22" t="inlineStr">
        <is>
          <t>https://entrackr.com/snippets/voice-ai-startup-navanaai-raises-rs-7-cr-in-pre-series-a-round-9500014</t>
        </is>
      </c>
    </row>
    <row r="679">
      <c r="A679" t="inlineStr">
        <is>
          <t>R250715-theweddingcomp</t>
        </is>
      </c>
      <c r="B679" t="inlineStr">
        <is>
          <t>The Wedding Company</t>
        </is>
      </c>
      <c r="C679" s="17" t="n">
        <v>45853</v>
      </c>
      <c r="D679" s="18" t="n">
        <v>45839</v>
      </c>
      <c r="E679" s="19" t="n">
        <v>1</v>
      </c>
      <c r="F679" s="19" t="n">
        <v>8.59</v>
      </c>
      <c r="G679" t="inlineStr">
        <is>
          <t>$1 million</t>
        </is>
      </c>
      <c r="H679" t="inlineStr">
        <is>
          <t>Pre-Seed</t>
        </is>
      </c>
      <c r="I679" t="inlineStr">
        <is>
          <t>Early</t>
        </is>
      </c>
      <c r="J679" t="inlineStr">
        <is>
          <t>Consumer Services</t>
        </is>
      </c>
      <c r="K679" t="inlineStr">
        <is>
          <t>Bengaluru</t>
        </is>
      </c>
      <c r="L679" t="inlineStr">
        <is>
          <t>LVX</t>
        </is>
      </c>
      <c r="M679" t="inlineStr">
        <is>
          <t>LVX; Tremis Capital; Chaitanya Ramalingegowda; Ajith Pai; Arash Ferdowsi</t>
        </is>
      </c>
      <c r="N679" t="inlineStr">
        <is>
          <t>entrackr | inc42</t>
        </is>
      </c>
      <c r="O679" s="20" t="n">
        <v>2</v>
      </c>
      <c r="P679" s="21" t="n">
        <v>0</v>
      </c>
      <c r="Q679" t="inlineStr"/>
      <c r="R679" s="22" t="inlineStr">
        <is>
          <t>https://entrackr.com/snippets/the-wedding-company-raises-1-mn-in-pre-seed-round-9496868</t>
        </is>
      </c>
    </row>
    <row r="680">
      <c r="A680" t="inlineStr">
        <is>
          <t>R250715-trupeer</t>
        </is>
      </c>
      <c r="B680" t="inlineStr">
        <is>
          <t>Trupeer.AI</t>
        </is>
      </c>
      <c r="C680" s="17" t="n">
        <v>45853</v>
      </c>
      <c r="D680" s="18" t="n">
        <v>45839</v>
      </c>
      <c r="E680" s="19" t="n">
        <v>3</v>
      </c>
      <c r="F680" s="19" t="n">
        <v>25.76</v>
      </c>
      <c r="G680" t="inlineStr">
        <is>
          <t>$3 million</t>
        </is>
      </c>
      <c r="H680" t="inlineStr">
        <is>
          <t>Seed</t>
        </is>
      </c>
      <c r="I680" t="inlineStr">
        <is>
          <t>Early</t>
        </is>
      </c>
      <c r="J680" t="inlineStr">
        <is>
          <t>Artificial Intelligence</t>
        </is>
      </c>
      <c r="K680" t="inlineStr">
        <is>
          <t>Bengaluru</t>
        </is>
      </c>
      <c r="L680" t="inlineStr">
        <is>
          <t>RTP Global</t>
        </is>
      </c>
      <c r="M680" t="inlineStr">
        <is>
          <t>RTP Global; Salesforce Ventures</t>
        </is>
      </c>
      <c r="N680" t="inlineStr">
        <is>
          <t>entrackr | inc42 | et</t>
        </is>
      </c>
      <c r="O680" s="20" t="n">
        <v>3</v>
      </c>
      <c r="P680" s="21" t="n">
        <v>0</v>
      </c>
      <c r="Q680" t="inlineStr"/>
      <c r="R680" s="22" t="inlineStr">
        <is>
          <t>https://entrackr.com/snippets/trupeer-bags-3-mn-seed-round-led-by-rtp-global-9498489</t>
        </is>
      </c>
    </row>
    <row r="681">
      <c r="A681" t="inlineStr">
        <is>
          <t>R250716-culturecircle</t>
        </is>
      </c>
      <c r="B681" t="inlineStr">
        <is>
          <t>Culture Circle</t>
        </is>
      </c>
      <c r="C681" s="17" t="n">
        <v>45854</v>
      </c>
      <c r="D681" s="18" t="n">
        <v>45839</v>
      </c>
      <c r="E681" s="19" t="n">
        <v>11.629</v>
      </c>
      <c r="F681" s="19" t="n">
        <v>100</v>
      </c>
      <c r="G681" t="inlineStr">
        <is>
          <t>Rs 100 crore</t>
        </is>
      </c>
      <c r="H681" t="inlineStr">
        <is>
          <t>Undisclosed</t>
        </is>
      </c>
      <c r="I681" t="inlineStr">
        <is>
          <t>Undisclosed</t>
        </is>
      </c>
      <c r="J681" t="inlineStr">
        <is>
          <t>Ecommerce</t>
        </is>
      </c>
      <c r="K681" t="inlineStr">
        <is>
          <t>Unknown</t>
        </is>
      </c>
      <c r="L681" t="inlineStr"/>
      <c r="M681" t="inlineStr">
        <is>
          <t>Ritesh Agarwal; Kunal Bahl</t>
        </is>
      </c>
      <c r="N681" t="inlineStr">
        <is>
          <t>entrackr</t>
        </is>
      </c>
      <c r="O681" s="20" t="n">
        <v>1</v>
      </c>
      <c r="P681" s="21" t="n">
        <v>0</v>
      </c>
      <c r="Q681" t="inlineStr">
        <is>
          <t>C04 C07</t>
        </is>
      </c>
      <c r="R681" s="22" t="inlineStr">
        <is>
          <t>https://entrackr.com/snippets/oyos-ritesh-agarwal-invests-in-culture-circle-at-over-rs-100-cr-valuation-9503107</t>
        </is>
      </c>
    </row>
    <row r="682">
      <c r="A682" t="inlineStr">
        <is>
          <t>R250716-deepalgorithm</t>
        </is>
      </c>
      <c r="B682" t="inlineStr">
        <is>
          <t>Deep Algorithm</t>
        </is>
      </c>
      <c r="C682" s="17" t="n">
        <v>45854</v>
      </c>
      <c r="D682" s="18" t="n">
        <v>45839</v>
      </c>
      <c r="E682" s="19" t="n">
        <v>1.256</v>
      </c>
      <c r="F682" s="19" t="n">
        <v>10.8</v>
      </c>
      <c r="G682" t="inlineStr">
        <is>
          <t>Rs 10.8 crore</t>
        </is>
      </c>
      <c r="H682" t="inlineStr">
        <is>
          <t>Seed</t>
        </is>
      </c>
      <c r="I682" t="inlineStr">
        <is>
          <t>Early</t>
        </is>
      </c>
      <c r="J682" t="inlineStr">
        <is>
          <t>Enterprise Tech</t>
        </is>
      </c>
      <c r="K682" t="inlineStr">
        <is>
          <t>Mumbai</t>
        </is>
      </c>
      <c r="L682" t="inlineStr">
        <is>
          <t>Unicorn India Ventures</t>
        </is>
      </c>
      <c r="M682" t="inlineStr">
        <is>
          <t>Unicorn India Ventures</t>
        </is>
      </c>
      <c r="N682" t="inlineStr">
        <is>
          <t>entrackr | inc42 | et</t>
        </is>
      </c>
      <c r="O682" s="20" t="n">
        <v>3</v>
      </c>
      <c r="P682" s="21" t="n">
        <v>3.5</v>
      </c>
      <c r="Q682" t="inlineStr"/>
      <c r="R682" s="22" t="inlineStr">
        <is>
          <t>https://entrackr.com/snippets/cybersecurity-startup-deep-algorithm-raises-rs-108-cr-in-seed-round-9501281</t>
        </is>
      </c>
    </row>
    <row r="683">
      <c r="A683" t="inlineStr">
        <is>
          <t>R250716-fireai</t>
        </is>
      </c>
      <c r="B683" t="inlineStr">
        <is>
          <t>Fire AI</t>
        </is>
      </c>
      <c r="C683" s="17" t="n">
        <v>45854</v>
      </c>
      <c r="D683" s="18" t="n">
        <v>45839</v>
      </c>
      <c r="E683" s="19" t="n"/>
      <c r="F683" s="19" t="n"/>
      <c r="G683" t="inlineStr"/>
      <c r="H683" t="inlineStr">
        <is>
          <t>Pre-Seed</t>
        </is>
      </c>
      <c r="I683" t="inlineStr">
        <is>
          <t>Early</t>
        </is>
      </c>
      <c r="J683" t="inlineStr">
        <is>
          <t>Artificial Intelligence</t>
        </is>
      </c>
      <c r="K683" t="inlineStr">
        <is>
          <t>Mumbai</t>
        </is>
      </c>
      <c r="L683" t="inlineStr">
        <is>
          <t>Venture Catalysts</t>
        </is>
      </c>
      <c r="M683" t="inlineStr">
        <is>
          <t>Venture Catalysts</t>
        </is>
      </c>
      <c r="N683" t="inlineStr">
        <is>
          <t>inc42</t>
        </is>
      </c>
      <c r="O683" s="20" t="n">
        <v>1</v>
      </c>
      <c r="P683" s="21" t="n"/>
      <c r="Q683" t="inlineStr">
        <is>
          <t>C03</t>
        </is>
      </c>
      <c r="R683" s="22" t="inlineStr">
        <is>
          <t>https://inc42.com/buzz/from-qpiai-to-knot-indian-startups-raised-80-mn-this-week/</t>
        </is>
      </c>
    </row>
    <row r="684">
      <c r="A684" t="inlineStr">
        <is>
          <t>R250716-knot</t>
        </is>
      </c>
      <c r="B684" t="inlineStr">
        <is>
          <t>KNOT</t>
        </is>
      </c>
      <c r="C684" s="17" t="n">
        <v>45854</v>
      </c>
      <c r="D684" s="18" t="n">
        <v>45839</v>
      </c>
      <c r="E684" s="19" t="n">
        <v>3</v>
      </c>
      <c r="F684" s="19" t="n">
        <v>25.8</v>
      </c>
      <c r="G684" t="inlineStr">
        <is>
          <t>$3 million</t>
        </is>
      </c>
      <c r="H684" t="inlineStr">
        <is>
          <t>Pre-Series A</t>
        </is>
      </c>
      <c r="I684" t="inlineStr">
        <is>
          <t>Early</t>
        </is>
      </c>
      <c r="J684" t="inlineStr">
        <is>
          <t>Consumer Services</t>
        </is>
      </c>
      <c r="K684" t="inlineStr">
        <is>
          <t>Mumbai</t>
        </is>
      </c>
      <c r="L684" t="inlineStr">
        <is>
          <t>Kae Capital</t>
        </is>
      </c>
      <c r="M684" t="inlineStr">
        <is>
          <t>Kae Capital; Sparrow Capital; Boundless VC; Kumar Saurabh; WEH Ventures; All In Capital; Bonkers Corner</t>
        </is>
      </c>
      <c r="N684" t="inlineStr">
        <is>
          <t>entrackr | inc42</t>
        </is>
      </c>
      <c r="O684" s="20" t="n">
        <v>2</v>
      </c>
      <c r="P684" s="21" t="n">
        <v>0</v>
      </c>
      <c r="Q684" t="inlineStr"/>
      <c r="R684" s="22" t="inlineStr">
        <is>
          <t>https://entrackr.com/snippets/quick-fashion-delivery-startup-knot-raises-3-mn-led-by-kae-capital-9500840</t>
        </is>
      </c>
    </row>
    <row r="685">
      <c r="A685" t="inlineStr">
        <is>
          <t>R250716-phicommerce</t>
        </is>
      </c>
      <c r="B685" t="inlineStr">
        <is>
          <t>Phi Commerce</t>
        </is>
      </c>
      <c r="C685" s="17" t="n">
        <v>45854</v>
      </c>
      <c r="D685" s="18" t="n">
        <v>45839</v>
      </c>
      <c r="E685" s="19" t="n">
        <v>5.97</v>
      </c>
      <c r="F685" s="19" t="n">
        <v>51.34</v>
      </c>
      <c r="G685" t="inlineStr">
        <is>
          <t>Rs 51.34 crore</t>
        </is>
      </c>
      <c r="H685" t="inlineStr">
        <is>
          <t>Series B</t>
        </is>
      </c>
      <c r="I685" t="inlineStr">
        <is>
          <t>Growth</t>
        </is>
      </c>
      <c r="J685" t="inlineStr">
        <is>
          <t>Fintech</t>
        </is>
      </c>
      <c r="K685" t="inlineStr">
        <is>
          <t>Pune</t>
        </is>
      </c>
      <c r="L685" t="inlineStr">
        <is>
          <t>BEENEXT</t>
        </is>
      </c>
      <c r="M685" t="inlineStr">
        <is>
          <t>BEENEXT</t>
        </is>
      </c>
      <c r="N685" t="inlineStr">
        <is>
          <t>entrackr | inc42</t>
        </is>
      </c>
      <c r="O685" s="20" t="n">
        <v>2</v>
      </c>
      <c r="P685" s="21" t="n">
        <v>1.2</v>
      </c>
      <c r="Q685" t="inlineStr"/>
      <c r="R685" s="22" t="inlineStr">
        <is>
          <t>https://entrackr.com/exclusive/exclusive-phi-commerce-tops-up-series-b-with-fresh-funding-9501296</t>
        </is>
      </c>
    </row>
    <row r="686">
      <c r="A686" t="inlineStr">
        <is>
          <t>R250716-qpiai</t>
        </is>
      </c>
      <c r="B686" t="inlineStr">
        <is>
          <t>QpiAI</t>
        </is>
      </c>
      <c r="C686" s="17" t="n">
        <v>45854</v>
      </c>
      <c r="D686" s="18" t="n">
        <v>45839</v>
      </c>
      <c r="E686" s="19" t="n">
        <v>32</v>
      </c>
      <c r="F686" s="19" t="n">
        <v>275.17</v>
      </c>
      <c r="G686" t="inlineStr">
        <is>
          <t>$32 Mn</t>
        </is>
      </c>
      <c r="H686" t="inlineStr">
        <is>
          <t>Series A</t>
        </is>
      </c>
      <c r="I686" t="inlineStr">
        <is>
          <t>Early</t>
        </is>
      </c>
      <c r="J686" t="inlineStr">
        <is>
          <t>Advanced Hardware &amp; Technology</t>
        </is>
      </c>
      <c r="K686" t="inlineStr">
        <is>
          <t>Bengaluru</t>
        </is>
      </c>
      <c r="L686" t="inlineStr">
        <is>
          <t>Avataar Ventures; National Quantum Mission</t>
        </is>
      </c>
      <c r="M686" t="inlineStr">
        <is>
          <t>Avataar Ventures; National Quantum Mission</t>
        </is>
      </c>
      <c r="N686" t="inlineStr">
        <is>
          <t>inc42</t>
        </is>
      </c>
      <c r="O686" s="20" t="n">
        <v>1</v>
      </c>
      <c r="P686" s="21" t="n">
        <v>0</v>
      </c>
      <c r="Q686" t="inlineStr"/>
      <c r="R686" s="22" t="inlineStr">
        <is>
          <t>https://inc42.com/buzz/from-qpiai-to-knot-indian-startups-raised-80-mn-this-week/</t>
        </is>
      </c>
    </row>
    <row r="687">
      <c r="A687" t="inlineStr">
        <is>
          <t>R250716-truemeds</t>
        </is>
      </c>
      <c r="B687" t="inlineStr">
        <is>
          <t>Truemeds</t>
        </is>
      </c>
      <c r="C687" s="17" t="n">
        <v>45854</v>
      </c>
      <c r="D687" s="18" t="n">
        <v>45839</v>
      </c>
      <c r="E687" s="19" t="n">
        <v>20</v>
      </c>
      <c r="F687" s="19" t="n">
        <v>171.98</v>
      </c>
      <c r="G687" t="inlineStr">
        <is>
          <t>$20 million</t>
        </is>
      </c>
      <c r="H687" t="inlineStr">
        <is>
          <t>Series C</t>
        </is>
      </c>
      <c r="I687" t="inlineStr">
        <is>
          <t>Growth</t>
        </is>
      </c>
      <c r="J687" t="inlineStr">
        <is>
          <t>Healthtech</t>
        </is>
      </c>
      <c r="K687" t="inlineStr">
        <is>
          <t>Mumbai</t>
        </is>
      </c>
      <c r="L687" t="inlineStr">
        <is>
          <t>Peak XV Partners; Accel</t>
        </is>
      </c>
      <c r="M687" t="inlineStr">
        <is>
          <t>Peak XV Partners; Accel; WestBridge Capital; Info Edge Ventures</t>
        </is>
      </c>
      <c r="N687" t="inlineStr">
        <is>
          <t>entrackr | inc42 | et</t>
        </is>
      </c>
      <c r="O687" s="20" t="n">
        <v>3</v>
      </c>
      <c r="P687" s="21" t="n">
        <v>325</v>
      </c>
      <c r="Q687" t="inlineStr">
        <is>
          <t>C15 C16</t>
        </is>
      </c>
      <c r="R687" s="22" t="inlineStr">
        <is>
          <t>https://entrackr.com/exclusive/exclusive-peak-xv-joins-truemeds-series-c-round-with-20-mn-9500136</t>
        </is>
      </c>
    </row>
    <row r="688">
      <c r="A688" t="inlineStr">
        <is>
          <t>R250716-zeushygia</t>
        </is>
      </c>
      <c r="B688" t="inlineStr">
        <is>
          <t>Zeus Hygia</t>
        </is>
      </c>
      <c r="C688" s="17" t="n">
        <v>45854</v>
      </c>
      <c r="D688" s="18" t="n">
        <v>45839</v>
      </c>
      <c r="E688" s="19" t="n">
        <v>2.5</v>
      </c>
      <c r="F688" s="19" t="n">
        <v>21.5</v>
      </c>
      <c r="G688" t="inlineStr">
        <is>
          <t>$2.5 million</t>
        </is>
      </c>
      <c r="H688" t="inlineStr">
        <is>
          <t>Series A</t>
        </is>
      </c>
      <c r="I688" t="inlineStr">
        <is>
          <t>Early</t>
        </is>
      </c>
      <c r="J688" t="inlineStr">
        <is>
          <t>Unclassified</t>
        </is>
      </c>
      <c r="K688" t="inlineStr">
        <is>
          <t>Hyderabad</t>
        </is>
      </c>
      <c r="L688" t="inlineStr"/>
      <c r="M688" t="inlineStr">
        <is>
          <t>NABVENTURES</t>
        </is>
      </c>
      <c r="N688" t="inlineStr">
        <is>
          <t>entrackr</t>
        </is>
      </c>
      <c r="O688" s="20" t="n">
        <v>1</v>
      </c>
      <c r="P688" s="21" t="n">
        <v>0</v>
      </c>
      <c r="Q688" t="inlineStr">
        <is>
          <t>C06</t>
        </is>
      </c>
      <c r="R688" s="22" t="inlineStr">
        <is>
          <t>https://entrackr.com/snippets/zeus-hygia-raises-25-mn-from-nabventures-9501055</t>
        </is>
      </c>
    </row>
    <row r="689">
      <c r="A689" t="inlineStr">
        <is>
          <t>R250716-zuluclub</t>
        </is>
      </c>
      <c r="B689" t="inlineStr">
        <is>
          <t>Zulu Club</t>
        </is>
      </c>
      <c r="C689" s="17" t="n">
        <v>45854</v>
      </c>
      <c r="D689" s="18" t="n">
        <v>45839</v>
      </c>
      <c r="E689" s="19" t="n">
        <v>0.25</v>
      </c>
      <c r="F689" s="19" t="n">
        <v>2.15</v>
      </c>
      <c r="G689" t="inlineStr">
        <is>
          <t>$250K</t>
        </is>
      </c>
      <c r="H689" t="inlineStr">
        <is>
          <t>Pre-Seed</t>
        </is>
      </c>
      <c r="I689" t="inlineStr">
        <is>
          <t>Early</t>
        </is>
      </c>
      <c r="J689" t="inlineStr">
        <is>
          <t>Consumer Services</t>
        </is>
      </c>
      <c r="K689" t="inlineStr">
        <is>
          <t>Unknown</t>
        </is>
      </c>
      <c r="L689" t="inlineStr">
        <is>
          <t>TDV Partners</t>
        </is>
      </c>
      <c r="M689" t="inlineStr">
        <is>
          <t>TDV Partners</t>
        </is>
      </c>
      <c r="N689" t="inlineStr">
        <is>
          <t>entrackr | inc42</t>
        </is>
      </c>
      <c r="O689" s="20" t="n">
        <v>2</v>
      </c>
      <c r="P689" s="21" t="n">
        <v>0</v>
      </c>
      <c r="Q689" t="inlineStr">
        <is>
          <t>C07</t>
        </is>
      </c>
      <c r="R689" s="22" t="inlineStr">
        <is>
          <t>https://entrackr.com/snippets/zulu-club-raises-250k-in-pre-seed-round-from-tdv-partners-9501275</t>
        </is>
      </c>
    </row>
    <row r="690">
      <c r="A690" t="inlineStr">
        <is>
          <t>R250716-zuppa</t>
        </is>
      </c>
      <c r="B690" t="inlineStr">
        <is>
          <t>Zuppa</t>
        </is>
      </c>
      <c r="C690" s="17" t="n">
        <v>45854</v>
      </c>
      <c r="D690" s="18" t="n">
        <v>45839</v>
      </c>
      <c r="E690" s="19" t="n">
        <v>1.5</v>
      </c>
      <c r="F690" s="19" t="n">
        <v>12.9</v>
      </c>
      <c r="G690" t="inlineStr">
        <is>
          <t>$1.5 million</t>
        </is>
      </c>
      <c r="H690" t="inlineStr">
        <is>
          <t>Bridge</t>
        </is>
      </c>
      <c r="I690" t="inlineStr">
        <is>
          <t>Other</t>
        </is>
      </c>
      <c r="J690" t="inlineStr">
        <is>
          <t>Advanced Hardware &amp; Technology</t>
        </is>
      </c>
      <c r="K690" t="inlineStr">
        <is>
          <t>Chennai</t>
        </is>
      </c>
      <c r="L690" t="inlineStr">
        <is>
          <t>Rahul Dewan</t>
        </is>
      </c>
      <c r="M690" t="inlineStr">
        <is>
          <t>Rahul Dewan; Ajay Gupta</t>
        </is>
      </c>
      <c r="N690" t="inlineStr">
        <is>
          <t>entrackr | inc42</t>
        </is>
      </c>
      <c r="O690" s="20" t="n">
        <v>2</v>
      </c>
      <c r="P690" s="21" t="n">
        <v>0</v>
      </c>
      <c r="Q690" t="inlineStr"/>
      <c r="R690" s="22" t="inlineStr">
        <is>
          <t>https://entrackr.com/snippets/dronetech-startup-zuppa-raises-15-mn-in-bridge-round-9502008</t>
        </is>
      </c>
    </row>
    <row r="691">
      <c r="A691" t="inlineStr">
        <is>
          <t>R250717-dcgtech</t>
        </is>
      </c>
      <c r="B691" t="inlineStr">
        <is>
          <t>DCG Tech</t>
        </is>
      </c>
      <c r="C691" s="17" t="n">
        <v>45855</v>
      </c>
      <c r="D691" s="18" t="n">
        <v>45839</v>
      </c>
      <c r="E691" s="19" t="n">
        <v>1.743</v>
      </c>
      <c r="F691" s="19" t="n">
        <v>15</v>
      </c>
      <c r="G691" t="inlineStr">
        <is>
          <t>Rs 15 crore</t>
        </is>
      </c>
      <c r="H691" t="inlineStr">
        <is>
          <t>Pre-Series A</t>
        </is>
      </c>
      <c r="I691" t="inlineStr">
        <is>
          <t>Early</t>
        </is>
      </c>
      <c r="J691" t="inlineStr">
        <is>
          <t>Ecommerce</t>
        </is>
      </c>
      <c r="K691" t="inlineStr">
        <is>
          <t>Delhi NCR</t>
        </is>
      </c>
      <c r="L691" t="inlineStr">
        <is>
          <t>GVFL; GVF</t>
        </is>
      </c>
      <c r="M691" t="inlineStr">
        <is>
          <t>GVFL; Auxano Capital; GVF</t>
        </is>
      </c>
      <c r="N691" t="inlineStr">
        <is>
          <t>entrackr | inc42</t>
        </is>
      </c>
      <c r="O691" s="20" t="n">
        <v>2</v>
      </c>
      <c r="P691" s="21" t="n">
        <v>2.5</v>
      </c>
      <c r="Q691" t="inlineStr">
        <is>
          <t>C17</t>
        </is>
      </c>
      <c r="R691" s="22" t="inlineStr">
        <is>
          <t>https://entrackr.com/snippets/gvfl-leads-rs-15-cr-round-in-b2b-packaging-platform-dcg-tech-9505558</t>
        </is>
      </c>
    </row>
    <row r="692">
      <c r="A692" t="inlineStr">
        <is>
          <t>R250717-lofoods</t>
        </is>
      </c>
      <c r="B692" t="inlineStr">
        <is>
          <t>Lo! Foods</t>
        </is>
      </c>
      <c r="C692" s="17" t="n">
        <v>45855</v>
      </c>
      <c r="D692" s="18" t="n">
        <v>45839</v>
      </c>
      <c r="E692" s="19" t="n">
        <v>3.5</v>
      </c>
      <c r="F692" s="19" t="n">
        <v>30.13</v>
      </c>
      <c r="G692" t="inlineStr">
        <is>
          <t>$3.5 million</t>
        </is>
      </c>
      <c r="H692" t="inlineStr">
        <is>
          <t>Series B</t>
        </is>
      </c>
      <c r="I692" t="inlineStr">
        <is>
          <t>Growth</t>
        </is>
      </c>
      <c r="J692" t="inlineStr">
        <is>
          <t>Unclassified</t>
        </is>
      </c>
      <c r="K692" t="inlineStr">
        <is>
          <t>Bengaluru</t>
        </is>
      </c>
      <c r="L692" t="inlineStr">
        <is>
          <t>Rainmatter Health</t>
        </is>
      </c>
      <c r="M692" t="inlineStr">
        <is>
          <t>Rainmatter Health; Mount Judy Ventures; Ice.VC; KPB Ventures</t>
        </is>
      </c>
      <c r="N692" t="inlineStr">
        <is>
          <t>entrackr</t>
        </is>
      </c>
      <c r="O692" s="20" t="n">
        <v>1</v>
      </c>
      <c r="P692" s="21" t="n">
        <v>0</v>
      </c>
      <c r="Q692" t="inlineStr">
        <is>
          <t>C06</t>
        </is>
      </c>
      <c r="R692" s="22" t="inlineStr">
        <is>
          <t>https://entrackr.com/snippets/lo-foods-raises-35-mn-in-series-b-round-9504677</t>
        </is>
      </c>
    </row>
    <row r="693">
      <c r="A693" t="inlineStr">
        <is>
          <t>R250717-onetabai</t>
        </is>
      </c>
      <c r="B693" t="inlineStr">
        <is>
          <t>Onetab.ai</t>
        </is>
      </c>
      <c r="C693" s="17" t="n">
        <v>45855</v>
      </c>
      <c r="D693" s="18" t="n">
        <v>45839</v>
      </c>
      <c r="E693" s="19" t="n"/>
      <c r="F693" s="19" t="n"/>
      <c r="G693" t="inlineStr"/>
      <c r="H693" t="inlineStr">
        <is>
          <t>Undisclosed</t>
        </is>
      </c>
      <c r="I693" t="inlineStr">
        <is>
          <t>Undisclosed</t>
        </is>
      </c>
      <c r="J693" t="inlineStr">
        <is>
          <t>Artificial Intelligence</t>
        </is>
      </c>
      <c r="K693" t="inlineStr">
        <is>
          <t>Unknown</t>
        </is>
      </c>
      <c r="L693" t="inlineStr">
        <is>
          <t>Hyperscope; Elrise</t>
        </is>
      </c>
      <c r="M693" t="inlineStr">
        <is>
          <t>Hyperscope; Elrise</t>
        </is>
      </c>
      <c r="N693" t="inlineStr">
        <is>
          <t>inc42</t>
        </is>
      </c>
      <c r="O693" s="20" t="n">
        <v>1</v>
      </c>
      <c r="P693" s="21" t="n"/>
      <c r="Q693" t="inlineStr">
        <is>
          <t>C03 C04 C07</t>
        </is>
      </c>
      <c r="R693" s="22" t="inlineStr">
        <is>
          <t>https://inc42.com/buzz/from-qpiai-to-knot-indian-startups-raised-80-mn-this-week/</t>
        </is>
      </c>
    </row>
    <row r="694">
      <c r="A694" t="inlineStr">
        <is>
          <t>R250717-parkobot</t>
        </is>
      </c>
      <c r="B694" t="inlineStr">
        <is>
          <t>Parkobot</t>
        </is>
      </c>
      <c r="C694" s="17" t="n">
        <v>45855</v>
      </c>
      <c r="D694" s="18" t="n">
        <v>45839</v>
      </c>
      <c r="E694" s="19" t="n">
        <v>0.243</v>
      </c>
      <c r="F694" s="19" t="n">
        <v>2.09</v>
      </c>
      <c r="G694" t="inlineStr">
        <is>
          <t>Rs 2.09 crore</t>
        </is>
      </c>
      <c r="H694" t="inlineStr">
        <is>
          <t>Seed</t>
        </is>
      </c>
      <c r="I694" t="inlineStr">
        <is>
          <t>Early</t>
        </is>
      </c>
      <c r="J694" t="inlineStr">
        <is>
          <t>Advanced Hardware &amp; Technology</t>
        </is>
      </c>
      <c r="K694" t="inlineStr">
        <is>
          <t>Unknown</t>
        </is>
      </c>
      <c r="L694" t="inlineStr">
        <is>
          <t>Inflection Point Ventures</t>
        </is>
      </c>
      <c r="M694" t="inlineStr">
        <is>
          <t>Inflection Point Ventures</t>
        </is>
      </c>
      <c r="N694" t="inlineStr">
        <is>
          <t>entrackr | inc42</t>
        </is>
      </c>
      <c r="O694" s="20" t="n">
        <v>2</v>
      </c>
      <c r="P694" s="21" t="n">
        <v>0.1</v>
      </c>
      <c r="Q694" t="inlineStr">
        <is>
          <t>C07</t>
        </is>
      </c>
      <c r="R694" s="22" t="inlineStr">
        <is>
          <t>https://entrackr.com/snippets/parkobot-raises-rs-209-cr-in-seed-round-led-by-ipv-9504985</t>
        </is>
      </c>
    </row>
    <row r="695">
      <c r="A695" t="inlineStr">
        <is>
          <t>R250717-zetwerk</t>
        </is>
      </c>
      <c r="B695" t="inlineStr">
        <is>
          <t>Zetwerk</t>
        </is>
      </c>
      <c r="C695" s="17" t="n">
        <v>45855</v>
      </c>
      <c r="D695" s="18" t="n">
        <v>45839</v>
      </c>
      <c r="E695" s="19" t="n">
        <v>8.712999999999999</v>
      </c>
      <c r="F695" s="19" t="n">
        <v>75</v>
      </c>
      <c r="G695" t="inlineStr">
        <is>
          <t>Rs 75 crore</t>
        </is>
      </c>
      <c r="H695" t="inlineStr">
        <is>
          <t>Debt</t>
        </is>
      </c>
      <c r="I695" t="inlineStr">
        <is>
          <t>Debt</t>
        </is>
      </c>
      <c r="J695" t="inlineStr">
        <is>
          <t>Enterprise Tech</t>
        </is>
      </c>
      <c r="K695" t="inlineStr">
        <is>
          <t>Bengaluru</t>
        </is>
      </c>
      <c r="L695" t="inlineStr"/>
      <c r="M695" t="inlineStr">
        <is>
          <t>JM Financial</t>
        </is>
      </c>
      <c r="N695" t="inlineStr">
        <is>
          <t>entrackr</t>
        </is>
      </c>
      <c r="O695" s="20" t="n">
        <v>1</v>
      </c>
      <c r="P695" s="21" t="n">
        <v>0</v>
      </c>
      <c r="Q695" t="inlineStr"/>
      <c r="R695" s="22" t="inlineStr">
        <is>
          <t>https://entrackr.com/exclusive/exclusive-zetwerk-secures-debt-from-jm-financial-9505667</t>
        </is>
      </c>
    </row>
    <row r="696">
      <c r="A696" t="inlineStr">
        <is>
          <t>R250718-bqp</t>
        </is>
      </c>
      <c r="B696" t="inlineStr">
        <is>
          <t>BQP</t>
        </is>
      </c>
      <c r="C696" s="17" t="n">
        <v>45856</v>
      </c>
      <c r="D696" s="18" t="n">
        <v>45839</v>
      </c>
      <c r="E696" s="19" t="n">
        <v>4.9</v>
      </c>
      <c r="F696" s="19" t="n">
        <v>42.21</v>
      </c>
      <c r="G696" t="inlineStr">
        <is>
          <t>$4.9 million</t>
        </is>
      </c>
      <c r="H696" t="inlineStr">
        <is>
          <t>Seed</t>
        </is>
      </c>
      <c r="I696" t="inlineStr">
        <is>
          <t>Early</t>
        </is>
      </c>
      <c r="J696" t="inlineStr">
        <is>
          <t>Deeptech</t>
        </is>
      </c>
      <c r="K696" t="inlineStr">
        <is>
          <t>Unknown</t>
        </is>
      </c>
      <c r="L696" t="inlineStr">
        <is>
          <t>Monta Vista Capital</t>
        </is>
      </c>
      <c r="M696" t="inlineStr">
        <is>
          <t>Monta Vista Capital; New York Ventures; Arc Ventures; Emergent Ventures; Alumni Ventures</t>
        </is>
      </c>
      <c r="N696" t="inlineStr">
        <is>
          <t>entrackr</t>
        </is>
      </c>
      <c r="O696" s="20" t="n">
        <v>1</v>
      </c>
      <c r="P696" s="21" t="n">
        <v>0</v>
      </c>
      <c r="Q696" t="inlineStr">
        <is>
          <t>C07</t>
        </is>
      </c>
      <c r="R696" s="22" t="inlineStr">
        <is>
          <t>https://entrackr.com/snippets/deeptech-startup-bqp-raises-49-mn-in-seed-round-led-by-monta-vista-capital-9510915</t>
        </is>
      </c>
    </row>
    <row r="697">
      <c r="A697" t="inlineStr">
        <is>
          <t>R250718-curefit</t>
        </is>
      </c>
      <c r="B697" t="inlineStr">
        <is>
          <t>CureFit</t>
        </is>
      </c>
      <c r="C697" s="17" t="n">
        <v>45856</v>
      </c>
      <c r="D697" s="18" t="n">
        <v>45839</v>
      </c>
      <c r="E697" s="19" t="n">
        <v>2</v>
      </c>
      <c r="F697" s="19" t="n">
        <v>17.23</v>
      </c>
      <c r="G697" t="inlineStr">
        <is>
          <t>$2 Mn</t>
        </is>
      </c>
      <c r="H697" t="inlineStr">
        <is>
          <t>Undisclosed</t>
        </is>
      </c>
      <c r="I697" t="inlineStr">
        <is>
          <t>Undisclosed</t>
        </is>
      </c>
      <c r="J697" t="inlineStr">
        <is>
          <t>Healthtech</t>
        </is>
      </c>
      <c r="K697" t="inlineStr">
        <is>
          <t>Unknown</t>
        </is>
      </c>
      <c r="L697" t="inlineStr">
        <is>
          <t>First Luxembourg SCA</t>
        </is>
      </c>
      <c r="M697" t="inlineStr">
        <is>
          <t>First Luxembourg SCA</t>
        </is>
      </c>
      <c r="N697" t="inlineStr">
        <is>
          <t>inc42</t>
        </is>
      </c>
      <c r="O697" s="20" t="n">
        <v>1</v>
      </c>
      <c r="P697" s="21" t="n">
        <v>0</v>
      </c>
      <c r="Q697" t="inlineStr">
        <is>
          <t>C04 C07</t>
        </is>
      </c>
      <c r="R697" s="22" t="inlineStr">
        <is>
          <t>https://inc42.com/buzz/from-qpiai-to-knot-indian-startups-raised-80-mn-this-week/</t>
        </is>
      </c>
    </row>
    <row r="698">
      <c r="A698" t="inlineStr">
        <is>
          <t>R250718-omspace</t>
        </is>
      </c>
      <c r="B698" t="inlineStr">
        <is>
          <t>Omspace Rocket &amp; Exploration</t>
        </is>
      </c>
      <c r="C698" s="17" t="n">
        <v>45856</v>
      </c>
      <c r="D698" s="18" t="n">
        <v>45839</v>
      </c>
      <c r="E698" s="19" t="n">
        <v>3</v>
      </c>
      <c r="F698" s="19" t="n">
        <v>25.84</v>
      </c>
      <c r="G698" t="inlineStr">
        <is>
          <t>$3 million</t>
        </is>
      </c>
      <c r="H698" t="inlineStr">
        <is>
          <t>Pre-Seed</t>
        </is>
      </c>
      <c r="I698" t="inlineStr">
        <is>
          <t>Early</t>
        </is>
      </c>
      <c r="J698" t="inlineStr">
        <is>
          <t>Advanced Hardware &amp; Technology</t>
        </is>
      </c>
      <c r="K698" t="inlineStr">
        <is>
          <t>Ahmedabad</t>
        </is>
      </c>
      <c r="L698" t="inlineStr"/>
      <c r="M698" t="inlineStr"/>
      <c r="N698" t="inlineStr">
        <is>
          <t>entrackr | inc42</t>
        </is>
      </c>
      <c r="O698" s="20" t="n">
        <v>2</v>
      </c>
      <c r="P698" s="21" t="n">
        <v>0</v>
      </c>
      <c r="Q698" t="inlineStr">
        <is>
          <t>C05</t>
        </is>
      </c>
      <c r="R698" s="22" t="inlineStr">
        <is>
          <t>https://entrackr.com/snippets/space-tech-startup-omspace-raises-3-mn-in-pre-seed-round-9510349</t>
        </is>
      </c>
    </row>
    <row r="699">
      <c r="A699" t="inlineStr">
        <is>
          <t>R250721-anny</t>
        </is>
      </c>
      <c r="B699" t="inlineStr">
        <is>
          <t>ANNY</t>
        </is>
      </c>
      <c r="C699" s="17" t="n">
        <v>45859</v>
      </c>
      <c r="D699" s="18" t="n">
        <v>45839</v>
      </c>
      <c r="E699" s="19" t="n">
        <v>1.159</v>
      </c>
      <c r="F699" s="19" t="n">
        <v>10</v>
      </c>
      <c r="G699" t="inlineStr">
        <is>
          <t>Rs 10 crore</t>
        </is>
      </c>
      <c r="H699" t="inlineStr">
        <is>
          <t>Pre-Series A</t>
        </is>
      </c>
      <c r="I699" t="inlineStr">
        <is>
          <t>Early</t>
        </is>
      </c>
      <c r="J699" t="inlineStr">
        <is>
          <t>Ecommerce</t>
        </is>
      </c>
      <c r="K699" t="inlineStr">
        <is>
          <t>Unknown</t>
        </is>
      </c>
      <c r="L699" t="inlineStr">
        <is>
          <t>Atomic Capital</t>
        </is>
      </c>
      <c r="M699" t="inlineStr">
        <is>
          <t>Atomic Capital</t>
        </is>
      </c>
      <c r="N699" t="inlineStr">
        <is>
          <t>entrackr | inc42</t>
        </is>
      </c>
      <c r="O699" s="20" t="n">
        <v>2</v>
      </c>
      <c r="P699" s="21" t="n">
        <v>3.5</v>
      </c>
      <c r="Q699" t="inlineStr">
        <is>
          <t>C07</t>
        </is>
      </c>
      <c r="R699" s="22" t="inlineStr">
        <is>
          <t>https://entrackr.com/snippets/anny-raises-rs-10-cr-in-pre-series-a-round-led-by-atomic-capital-9519017</t>
        </is>
      </c>
    </row>
    <row r="700">
      <c r="A700" t="inlineStr">
        <is>
          <t>R250721-edufund</t>
        </is>
      </c>
      <c r="B700" t="inlineStr">
        <is>
          <t>EduFund</t>
        </is>
      </c>
      <c r="C700" s="17" t="n">
        <v>45859</v>
      </c>
      <c r="D700" s="18" t="n">
        <v>45839</v>
      </c>
      <c r="E700" s="19" t="n">
        <v>6</v>
      </c>
      <c r="F700" s="19" t="n">
        <v>51.77</v>
      </c>
      <c r="G700" t="inlineStr">
        <is>
          <t>$6 million</t>
        </is>
      </c>
      <c r="H700" t="inlineStr">
        <is>
          <t>Series A</t>
        </is>
      </c>
      <c r="I700" t="inlineStr">
        <is>
          <t>Early</t>
        </is>
      </c>
      <c r="J700" t="inlineStr">
        <is>
          <t>Fintech</t>
        </is>
      </c>
      <c r="K700" t="inlineStr">
        <is>
          <t>Unknown</t>
        </is>
      </c>
      <c r="L700" t="inlineStr">
        <is>
          <t>Cercano Management; MassMutual Ventures</t>
        </is>
      </c>
      <c r="M700" t="inlineStr">
        <is>
          <t>Cercano Management; MassMutual Ventures</t>
        </is>
      </c>
      <c r="N700" t="inlineStr">
        <is>
          <t>entrackr | inc42 | et</t>
        </is>
      </c>
      <c r="O700" s="20" t="n">
        <v>3</v>
      </c>
      <c r="P700" s="21" t="n">
        <v>0</v>
      </c>
      <c r="Q700" t="inlineStr">
        <is>
          <t>C07</t>
        </is>
      </c>
      <c r="R700" s="22" t="inlineStr">
        <is>
          <t>https://entrackr.com/snippets/edufund-raises-6-mn-series-a-round-led-by-cercano-management-9518911</t>
        </is>
      </c>
    </row>
    <row r="701">
      <c r="A701" t="inlineStr">
        <is>
          <t>R250721-hudle</t>
        </is>
      </c>
      <c r="B701" t="inlineStr">
        <is>
          <t>Hudle</t>
        </is>
      </c>
      <c r="C701" s="17" t="n">
        <v>45859</v>
      </c>
      <c r="D701" s="18" t="n">
        <v>45839</v>
      </c>
      <c r="E701" s="19" t="n">
        <v>2.5</v>
      </c>
      <c r="F701" s="19" t="n">
        <v>21.57</v>
      </c>
      <c r="G701" t="inlineStr">
        <is>
          <t>$2.5 million</t>
        </is>
      </c>
      <c r="H701" t="inlineStr">
        <is>
          <t>Series A</t>
        </is>
      </c>
      <c r="I701" t="inlineStr">
        <is>
          <t>Early</t>
        </is>
      </c>
      <c r="J701" t="inlineStr">
        <is>
          <t>Enterprise Tech</t>
        </is>
      </c>
      <c r="K701" t="inlineStr">
        <is>
          <t>Unknown</t>
        </is>
      </c>
      <c r="L701" t="inlineStr">
        <is>
          <t>Sky Impact Capital</t>
        </is>
      </c>
      <c r="M701" t="inlineStr">
        <is>
          <t>Sky Impact Capital; Physis Capital; Atrium Venture; Blue Tokai; Mahesh Bhupathi; Gaurav Kapur; Nitro Commerce</t>
        </is>
      </c>
      <c r="N701" t="inlineStr">
        <is>
          <t>entrackr | inc42</t>
        </is>
      </c>
      <c r="O701" s="20" t="n">
        <v>2</v>
      </c>
      <c r="P701" s="21" t="n">
        <v>0</v>
      </c>
      <c r="Q701" t="inlineStr">
        <is>
          <t>C07</t>
        </is>
      </c>
      <c r="R701" s="22" t="inlineStr">
        <is>
          <t>https://entrackr.com/snippets/hudle-raises-25-mn-in-series-a-round-led-by-sky-impact-capital-9518419</t>
        </is>
      </c>
    </row>
    <row r="702">
      <c r="A702" t="inlineStr">
        <is>
          <t>R250721-plenometechnol</t>
        </is>
      </c>
      <c r="B702" t="inlineStr">
        <is>
          <t>Plenome Technologies</t>
        </is>
      </c>
      <c r="C702" s="17" t="n">
        <v>45859</v>
      </c>
      <c r="D702" s="18" t="n">
        <v>45839</v>
      </c>
      <c r="E702" s="19" t="n">
        <v>0.753</v>
      </c>
      <c r="F702" s="19" t="n">
        <v>6.5</v>
      </c>
      <c r="G702" t="inlineStr">
        <is>
          <t>Rs 6.5 crore</t>
        </is>
      </c>
      <c r="H702" t="inlineStr">
        <is>
          <t>Seed</t>
        </is>
      </c>
      <c r="I702" t="inlineStr">
        <is>
          <t>Early</t>
        </is>
      </c>
      <c r="J702" t="inlineStr">
        <is>
          <t>Enterprise Tech</t>
        </is>
      </c>
      <c r="K702" t="inlineStr">
        <is>
          <t>Unknown</t>
        </is>
      </c>
      <c r="L702" t="inlineStr">
        <is>
          <t>Ovington Capital Partners</t>
        </is>
      </c>
      <c r="M702" t="inlineStr">
        <is>
          <t>Ovington Capital Partners; AADI; Manish Gandhi; Indian</t>
        </is>
      </c>
      <c r="N702" t="inlineStr">
        <is>
          <t>entrackr | inc42 | et</t>
        </is>
      </c>
      <c r="O702" s="20" t="n">
        <v>3</v>
      </c>
      <c r="P702" s="21" t="n">
        <v>0.2</v>
      </c>
      <c r="Q702" t="inlineStr">
        <is>
          <t>C07</t>
        </is>
      </c>
      <c r="R702" s="22" t="inlineStr">
        <is>
          <t>https://entrackr.com/snippets/plenome-technologies-raises-rs-65-cr-in-seed-round-9519354</t>
        </is>
      </c>
    </row>
    <row r="703">
      <c r="A703" t="inlineStr">
        <is>
          <t>R250722-apclub</t>
        </is>
      </c>
      <c r="B703" t="inlineStr">
        <is>
          <t>ApClub</t>
        </is>
      </c>
      <c r="C703" s="17" t="n">
        <v>45860</v>
      </c>
      <c r="D703" s="18" t="n">
        <v>45839</v>
      </c>
      <c r="E703" s="19" t="n">
        <v>0.231</v>
      </c>
      <c r="F703" s="19" t="n">
        <v>2</v>
      </c>
      <c r="G703" t="inlineStr">
        <is>
          <t>Rs 2 crore</t>
        </is>
      </c>
      <c r="H703" t="inlineStr">
        <is>
          <t>Pre-Seed</t>
        </is>
      </c>
      <c r="I703" t="inlineStr">
        <is>
          <t>Early</t>
        </is>
      </c>
      <c r="J703" t="inlineStr">
        <is>
          <t>Consumer Services</t>
        </is>
      </c>
      <c r="K703" t="inlineStr">
        <is>
          <t>Bengaluru</t>
        </is>
      </c>
      <c r="L703" t="inlineStr">
        <is>
          <t>Curefit</t>
        </is>
      </c>
      <c r="M703" t="inlineStr">
        <is>
          <t>Curefit; Pranay Jivrajka</t>
        </is>
      </c>
      <c r="N703" t="inlineStr">
        <is>
          <t>entrackr | inc42</t>
        </is>
      </c>
      <c r="O703" s="20" t="n">
        <v>2</v>
      </c>
      <c r="P703" s="21" t="n">
        <v>0.2</v>
      </c>
      <c r="Q703" t="inlineStr"/>
      <c r="R703" s="22" t="inlineStr">
        <is>
          <t>https://entrackr.com/snippets/apclub-raises-rs-2-cr-in-pre-seed-round-led-by-curefit-healthcare-9522522</t>
        </is>
      </c>
    </row>
    <row r="704">
      <c r="A704" t="inlineStr">
        <is>
          <t>R250722-composio</t>
        </is>
      </c>
      <c r="B704" t="inlineStr">
        <is>
          <t>Composio</t>
        </is>
      </c>
      <c r="C704" s="17" t="n">
        <v>45860</v>
      </c>
      <c r="D704" s="18" t="n">
        <v>45839</v>
      </c>
      <c r="E704" s="19" t="n">
        <v>25</v>
      </c>
      <c r="F704" s="19" t="n">
        <v>216.08</v>
      </c>
      <c r="G704" t="inlineStr">
        <is>
          <t>$25 million</t>
        </is>
      </c>
      <c r="H704" t="inlineStr">
        <is>
          <t>Undisclosed</t>
        </is>
      </c>
      <c r="I704" t="inlineStr">
        <is>
          <t>Undisclosed</t>
        </is>
      </c>
      <c r="J704" t="inlineStr">
        <is>
          <t>Artificial Intelligence</t>
        </is>
      </c>
      <c r="K704" t="inlineStr">
        <is>
          <t>Unknown</t>
        </is>
      </c>
      <c r="L704" t="inlineStr">
        <is>
          <t>Lightspeed Venture Partners; Soham Ganatra</t>
        </is>
      </c>
      <c r="M704" t="inlineStr">
        <is>
          <t>Lightspeed Venture Partners; Elevation Capital; Together Fund; Gokul Rajaram; Sohum Mazumdar; Dharmesh Shah; Soham Ganatra</t>
        </is>
      </c>
      <c r="N704" t="inlineStr">
        <is>
          <t>entrackr | et</t>
        </is>
      </c>
      <c r="O704" s="20" t="n">
        <v>2</v>
      </c>
      <c r="P704" s="21" t="n">
        <v>0</v>
      </c>
      <c r="Q704" t="inlineStr">
        <is>
          <t>C04 C07</t>
        </is>
      </c>
      <c r="R704" s="22" t="inlineStr">
        <is>
          <t>https://entrackr.com/news/agentic-ai-startup-composio-raises-25-mn-led-by-lightspeed-9525112</t>
        </is>
      </c>
    </row>
    <row r="705">
      <c r="A705" t="inlineStr">
        <is>
          <t>R250722-escape</t>
        </is>
      </c>
      <c r="B705" t="inlineStr">
        <is>
          <t>Escape</t>
        </is>
      </c>
      <c r="C705" s="17" t="n">
        <v>45860</v>
      </c>
      <c r="D705" s="18" t="n">
        <v>45839</v>
      </c>
      <c r="E705" s="19" t="n">
        <v>5</v>
      </c>
      <c r="F705" s="19" t="n">
        <v>43.22</v>
      </c>
      <c r="G705" t="inlineStr">
        <is>
          <t>$5 million</t>
        </is>
      </c>
      <c r="H705" t="inlineStr">
        <is>
          <t>Seed</t>
        </is>
      </c>
      <c r="I705" t="inlineStr">
        <is>
          <t>Early</t>
        </is>
      </c>
      <c r="J705" t="inlineStr">
        <is>
          <t>Ecommerce</t>
        </is>
      </c>
      <c r="K705" t="inlineStr">
        <is>
          <t>Bengaluru</t>
        </is>
      </c>
      <c r="L705" t="inlineStr">
        <is>
          <t>Jungle Ventures; Fireside Ventures</t>
        </is>
      </c>
      <c r="M705" t="inlineStr">
        <is>
          <t>Jungle Ventures; Fireside Ventures</t>
        </is>
      </c>
      <c r="N705" t="inlineStr">
        <is>
          <t>entrackr | inc42 | et</t>
        </is>
      </c>
      <c r="O705" s="20" t="n">
        <v>3</v>
      </c>
      <c r="P705" s="21" t="n">
        <v>0</v>
      </c>
      <c r="Q705" t="inlineStr"/>
      <c r="R705" s="22" t="inlineStr">
        <is>
          <t>https://entrackr.com/snippets/escape-plan-raises-5-mn-in-new-round-led-by-jungle-ventures-9522469</t>
        </is>
      </c>
    </row>
    <row r="706">
      <c r="A706" t="inlineStr">
        <is>
          <t>R250722-klugklug</t>
        </is>
      </c>
      <c r="B706" t="inlineStr">
        <is>
          <t>KlugKlug</t>
        </is>
      </c>
      <c r="C706" s="17" t="n">
        <v>45860</v>
      </c>
      <c r="D706" s="18" t="n">
        <v>45839</v>
      </c>
      <c r="E706" s="19" t="n"/>
      <c r="F706" s="19" t="n"/>
      <c r="G706" t="inlineStr"/>
      <c r="H706" t="inlineStr">
        <is>
          <t>Undisclosed</t>
        </is>
      </c>
      <c r="I706" t="inlineStr">
        <is>
          <t>Undisclosed</t>
        </is>
      </c>
      <c r="J706" t="inlineStr">
        <is>
          <t>Enterprise Tech</t>
        </is>
      </c>
      <c r="K706" t="inlineStr">
        <is>
          <t>Unknown</t>
        </is>
      </c>
      <c r="L706" t="inlineStr"/>
      <c r="M706" t="inlineStr"/>
      <c r="N706" t="inlineStr">
        <is>
          <t>inc42</t>
        </is>
      </c>
      <c r="O706" s="20" t="n">
        <v>1</v>
      </c>
      <c r="P706" s="21" t="n"/>
      <c r="Q706" t="inlineStr">
        <is>
          <t>C03 C04 C05 C07</t>
        </is>
      </c>
      <c r="R706" s="22" t="inlineStr">
        <is>
          <t>https://inc42.com/buzz/from-gupshup-to-eveez-indian-startups-raised-134-mn-this-week/</t>
        </is>
      </c>
    </row>
    <row r="707">
      <c r="A707" t="inlineStr">
        <is>
          <t>R250722-magma</t>
        </is>
      </c>
      <c r="B707" t="inlineStr">
        <is>
          <t>Magma</t>
        </is>
      </c>
      <c r="C707" s="17" t="n">
        <v>45860</v>
      </c>
      <c r="D707" s="18" t="n">
        <v>45839</v>
      </c>
      <c r="E707" s="19" t="n"/>
      <c r="F707" s="19" t="n"/>
      <c r="G707" t="inlineStr"/>
      <c r="H707" t="inlineStr">
        <is>
          <t>Series A</t>
        </is>
      </c>
      <c r="I707" t="inlineStr">
        <is>
          <t>Early</t>
        </is>
      </c>
      <c r="J707" t="inlineStr">
        <is>
          <t>Enterprise Tech</t>
        </is>
      </c>
      <c r="K707" t="inlineStr">
        <is>
          <t>Ahmedabad</t>
        </is>
      </c>
      <c r="L707" t="inlineStr">
        <is>
          <t>GVFL Limited</t>
        </is>
      </c>
      <c r="M707" t="inlineStr">
        <is>
          <t>GVFL Limited; General Catalyst; Accion Venture Lab</t>
        </is>
      </c>
      <c r="N707" t="inlineStr">
        <is>
          <t>entrackr | inc42</t>
        </is>
      </c>
      <c r="O707" s="20" t="n">
        <v>2</v>
      </c>
      <c r="P707" s="21" t="n"/>
      <c r="Q707" t="inlineStr">
        <is>
          <t>C03</t>
        </is>
      </c>
      <c r="R707" s="22" t="inlineStr">
        <is>
          <t>https://inc42.com/buzz/from-gupshup-to-eveez-indian-startups-raised-134-mn-this-week/</t>
        </is>
      </c>
    </row>
    <row r="708">
      <c r="A708" t="inlineStr">
        <is>
          <t>R250723-coluxe</t>
        </is>
      </c>
      <c r="B708" t="inlineStr">
        <is>
          <t>Coluxe</t>
        </is>
      </c>
      <c r="C708" s="17" t="n">
        <v>45861</v>
      </c>
      <c r="D708" s="18" t="n">
        <v>45839</v>
      </c>
      <c r="E708" s="19" t="n"/>
      <c r="F708" s="19" t="n"/>
      <c r="G708" t="inlineStr"/>
      <c r="H708" t="inlineStr">
        <is>
          <t>Undisclosed</t>
        </is>
      </c>
      <c r="I708" t="inlineStr">
        <is>
          <t>Undisclosed</t>
        </is>
      </c>
      <c r="J708" t="inlineStr">
        <is>
          <t>Ecommerce</t>
        </is>
      </c>
      <c r="K708" t="inlineStr">
        <is>
          <t>Unknown</t>
        </is>
      </c>
      <c r="L708" t="inlineStr"/>
      <c r="M708" t="inlineStr">
        <is>
          <t>Startup Sherpas; Ajai Chowdhry; Tej Kapoor; Sairee Chahal; Kunal Chowdhry; Rachin Dewan; Kunal Milwani</t>
        </is>
      </c>
      <c r="N708" t="inlineStr">
        <is>
          <t>entrackr | inc42</t>
        </is>
      </c>
      <c r="O708" s="20" t="n">
        <v>2</v>
      </c>
      <c r="P708" s="21" t="n"/>
      <c r="Q708" t="inlineStr">
        <is>
          <t>C03 C04 C07</t>
        </is>
      </c>
      <c r="R708" s="22" t="inlineStr">
        <is>
          <t>https://entrackr.com/snippets/coluxe-closes-friends-and-family-round-to-launch-everyday-fine-jewellery-platform-9526895</t>
        </is>
      </c>
    </row>
    <row r="709">
      <c r="A709" t="inlineStr">
        <is>
          <t>R250723-grexaai</t>
        </is>
      </c>
      <c r="B709" t="inlineStr">
        <is>
          <t>Grexa AI</t>
        </is>
      </c>
      <c r="C709" s="17" t="n">
        <v>45861</v>
      </c>
      <c r="D709" s="18" t="n">
        <v>45839</v>
      </c>
      <c r="E709" s="19" t="n">
        <v>1.794</v>
      </c>
      <c r="F709" s="19" t="n">
        <v>15.5</v>
      </c>
      <c r="G709" t="inlineStr">
        <is>
          <t>Rs 15.5 crore</t>
        </is>
      </c>
      <c r="H709" t="inlineStr">
        <is>
          <t>Seed</t>
        </is>
      </c>
      <c r="I709" t="inlineStr">
        <is>
          <t>Early</t>
        </is>
      </c>
      <c r="J709" t="inlineStr">
        <is>
          <t>Artificial Intelligence</t>
        </is>
      </c>
      <c r="K709" t="inlineStr">
        <is>
          <t>Mumbai</t>
        </is>
      </c>
      <c r="L709" t="inlineStr">
        <is>
          <t>Utsav Somani</t>
        </is>
      </c>
      <c r="M709" t="inlineStr">
        <is>
          <t>Utsav Somani; DeVC; Bharat Founders Fund; Vernalis Capital; Revant Bhate; Vaibhav Domkundwar; Sumit Gupta; Ramakant Sharma</t>
        </is>
      </c>
      <c r="N709" t="inlineStr">
        <is>
          <t>entrackr | inc42</t>
        </is>
      </c>
      <c r="O709" s="20" t="n">
        <v>2</v>
      </c>
      <c r="P709" s="21" t="n">
        <v>0.4</v>
      </c>
      <c r="Q709" t="inlineStr"/>
      <c r="R709" s="22" t="inlineStr">
        <is>
          <t>https://entrackr.com/snippets/marketing-platform-grexa-ai-raises-185-mn-in-seed-round-9526001</t>
        </is>
      </c>
    </row>
    <row r="710">
      <c r="A710" t="inlineStr">
        <is>
          <t>R250723-gupshup</t>
        </is>
      </c>
      <c r="B710" t="inlineStr">
        <is>
          <t>Gupshup</t>
        </is>
      </c>
      <c r="C710" s="17" t="n">
        <v>45861</v>
      </c>
      <c r="D710" s="18" t="n">
        <v>45839</v>
      </c>
      <c r="E710" s="19" t="n">
        <v>60</v>
      </c>
      <c r="F710" s="19" t="n">
        <v>518.52</v>
      </c>
      <c r="G710" t="inlineStr">
        <is>
          <t>$60 million</t>
        </is>
      </c>
      <c r="H710" t="inlineStr">
        <is>
          <t>Undisclosed</t>
        </is>
      </c>
      <c r="I710" t="inlineStr">
        <is>
          <t>Undisclosed</t>
        </is>
      </c>
      <c r="J710" t="inlineStr">
        <is>
          <t>Enterprise Tech</t>
        </is>
      </c>
      <c r="K710" t="inlineStr">
        <is>
          <t>Outside India</t>
        </is>
      </c>
      <c r="L710" t="inlineStr"/>
      <c r="M710" t="inlineStr">
        <is>
          <t>Globespan Capital Partners; EvolutionX Debt Capital</t>
        </is>
      </c>
      <c r="N710" t="inlineStr">
        <is>
          <t>entrackr | inc42 | et</t>
        </is>
      </c>
      <c r="O710" s="20" t="n">
        <v>3</v>
      </c>
      <c r="P710" s="21" t="n">
        <v>0</v>
      </c>
      <c r="Q710" t="inlineStr">
        <is>
          <t>C04</t>
        </is>
      </c>
      <c r="R710" s="22" t="inlineStr">
        <is>
          <t>https://entrackr.com/news/gupshup-raises-60-mn-from-globespan-and-evolutionx-9526766</t>
        </is>
      </c>
    </row>
    <row r="711">
      <c r="A711" t="inlineStr">
        <is>
          <t>R250723-inboundaerospa</t>
        </is>
      </c>
      <c r="B711" t="inlineStr">
        <is>
          <t>Inbound Aerospace</t>
        </is>
      </c>
      <c r="C711" s="17" t="n">
        <v>45861</v>
      </c>
      <c r="D711" s="18" t="n">
        <v>45839</v>
      </c>
      <c r="E711" s="19" t="n">
        <v>1</v>
      </c>
      <c r="F711" s="19" t="n">
        <v>8.640000000000001</v>
      </c>
      <c r="G711" t="inlineStr">
        <is>
          <t>$1 million</t>
        </is>
      </c>
      <c r="H711" t="inlineStr">
        <is>
          <t>Pre-Seed</t>
        </is>
      </c>
      <c r="I711" t="inlineStr">
        <is>
          <t>Early</t>
        </is>
      </c>
      <c r="J711" t="inlineStr">
        <is>
          <t>Advanced Hardware &amp; Technology</t>
        </is>
      </c>
      <c r="K711" t="inlineStr">
        <is>
          <t>Unknown</t>
        </is>
      </c>
      <c r="L711" t="inlineStr">
        <is>
          <t>Speciale Invest</t>
        </is>
      </c>
      <c r="M711" t="inlineStr">
        <is>
          <t>Speciale Invest; Piper Serica</t>
        </is>
      </c>
      <c r="N711" t="inlineStr">
        <is>
          <t>entrackr | inc42 | et</t>
        </is>
      </c>
      <c r="O711" s="20" t="n">
        <v>3</v>
      </c>
      <c r="P711" s="21" t="n">
        <v>0</v>
      </c>
      <c r="Q711" t="inlineStr">
        <is>
          <t>C07</t>
        </is>
      </c>
      <c r="R711" s="22" t="inlineStr">
        <is>
          <t>https://entrackr.com/snippets/space-tech-startup-inbound-aerospace-raises-1-mn-in-seed-funding-round-9526624</t>
        </is>
      </c>
    </row>
    <row r="712">
      <c r="A712" t="inlineStr">
        <is>
          <t>R250723-ituring</t>
        </is>
      </c>
      <c r="B712" t="inlineStr">
        <is>
          <t>iTuring.AI</t>
        </is>
      </c>
      <c r="C712" s="17" t="n">
        <v>45861</v>
      </c>
      <c r="D712" s="18" t="n">
        <v>45839</v>
      </c>
      <c r="E712" s="19" t="n">
        <v>5</v>
      </c>
      <c r="F712" s="19" t="n">
        <v>43.21</v>
      </c>
      <c r="G712" t="inlineStr">
        <is>
          <t>$5 million</t>
        </is>
      </c>
      <c r="H712" t="inlineStr">
        <is>
          <t>Series A</t>
        </is>
      </c>
      <c r="I712" t="inlineStr">
        <is>
          <t>Early</t>
        </is>
      </c>
      <c r="J712" t="inlineStr">
        <is>
          <t>Artificial Intelligence</t>
        </is>
      </c>
      <c r="K712" t="inlineStr">
        <is>
          <t>Unknown</t>
        </is>
      </c>
      <c r="L712" t="inlineStr">
        <is>
          <t>Dallas Venture Capital; Mela Ventures</t>
        </is>
      </c>
      <c r="M712" t="inlineStr">
        <is>
          <t>Dallas Venture Capital; Mela Ventures; SenseAI; Pentathlon Ventures; Ghosal Ventures</t>
        </is>
      </c>
      <c r="N712" t="inlineStr">
        <is>
          <t>entrackr | inc42</t>
        </is>
      </c>
      <c r="O712" s="20" t="n">
        <v>2</v>
      </c>
      <c r="P712" s="21" t="n">
        <v>0</v>
      </c>
      <c r="Q712" t="inlineStr">
        <is>
          <t>C07</t>
        </is>
      </c>
      <c r="R712" s="22" t="inlineStr">
        <is>
          <t>https://entrackr.com/snippets/ituring-raises-5-mn-in-series-a-round-led-by-dallas-venture-and-mela-ventures-9527330</t>
        </is>
      </c>
    </row>
    <row r="713">
      <c r="A713" t="inlineStr">
        <is>
          <t>R250723-kluiszai</t>
        </is>
      </c>
      <c r="B713" t="inlineStr">
        <is>
          <t>Kluisz.ai</t>
        </is>
      </c>
      <c r="C713" s="17" t="n">
        <v>45861</v>
      </c>
      <c r="D713" s="18" t="n">
        <v>45839</v>
      </c>
      <c r="E713" s="19" t="n">
        <v>9.6</v>
      </c>
      <c r="F713" s="19" t="n">
        <v>82.95999999999999</v>
      </c>
      <c r="G713" t="inlineStr">
        <is>
          <t>$9.6 million</t>
        </is>
      </c>
      <c r="H713" t="inlineStr">
        <is>
          <t>Seed</t>
        </is>
      </c>
      <c r="I713" t="inlineStr">
        <is>
          <t>Early</t>
        </is>
      </c>
      <c r="J713" t="inlineStr">
        <is>
          <t>Artificial Intelligence</t>
        </is>
      </c>
      <c r="K713" t="inlineStr">
        <is>
          <t>Unknown</t>
        </is>
      </c>
      <c r="L713" t="inlineStr">
        <is>
          <t>RTP Global</t>
        </is>
      </c>
      <c r="M713" t="inlineStr">
        <is>
          <t>RTP Global; Unicorn India Ventures; Blume Founders Fund; Climber Capital; Ritesh Agarwal; Ritesh Malik; Aditya Virwani</t>
        </is>
      </c>
      <c r="N713" t="inlineStr">
        <is>
          <t>entrackr | inc42 | et</t>
        </is>
      </c>
      <c r="O713" s="20" t="n">
        <v>3</v>
      </c>
      <c r="P713" s="21" t="n">
        <v>0</v>
      </c>
      <c r="Q713" t="inlineStr">
        <is>
          <t>C07</t>
        </is>
      </c>
      <c r="R713" s="22" t="inlineStr">
        <is>
          <t>https://entrackr.com/news/kluiszai-raises-96-mn-in-seed-round-led-by-rtp-global-9526543</t>
        </is>
      </c>
    </row>
    <row r="714">
      <c r="A714" t="inlineStr">
        <is>
          <t>R250723-pristyncare</t>
        </is>
      </c>
      <c r="B714" t="inlineStr">
        <is>
          <t>Pristyn Care</t>
        </is>
      </c>
      <c r="C714" s="17" t="n">
        <v>45861</v>
      </c>
      <c r="D714" s="18" t="n">
        <v>45839</v>
      </c>
      <c r="E714" s="19" t="n">
        <v>4</v>
      </c>
      <c r="F714" s="19" t="n">
        <v>34.57</v>
      </c>
      <c r="G714" t="inlineStr">
        <is>
          <t>$4 million</t>
        </is>
      </c>
      <c r="H714" t="inlineStr">
        <is>
          <t>Undisclosed</t>
        </is>
      </c>
      <c r="I714" t="inlineStr">
        <is>
          <t>Undisclosed</t>
        </is>
      </c>
      <c r="J714" t="inlineStr">
        <is>
          <t>Healthtech</t>
        </is>
      </c>
      <c r="K714" t="inlineStr">
        <is>
          <t>Unknown</t>
        </is>
      </c>
      <c r="L714" t="inlineStr"/>
      <c r="M714" t="inlineStr"/>
      <c r="N714" t="inlineStr">
        <is>
          <t>entrackr</t>
        </is>
      </c>
      <c r="O714" s="20" t="n">
        <v>1</v>
      </c>
      <c r="P714" s="21" t="n">
        <v>0</v>
      </c>
      <c r="Q714" t="inlineStr">
        <is>
          <t>C04 C05 C07</t>
        </is>
      </c>
      <c r="R714" s="22" t="inlineStr">
        <is>
          <t>https://entrackr.com/exclusive/exclusive-pristyn-care-raises-4-mn-to-scale-in-house-hospitals-preps-for-larger-round-9527708</t>
        </is>
      </c>
    </row>
    <row r="715">
      <c r="A715" t="inlineStr">
        <is>
          <t>R250723-sugarcosmetics</t>
        </is>
      </c>
      <c r="B715" t="inlineStr">
        <is>
          <t>Sugar Cosmetics</t>
        </is>
      </c>
      <c r="C715" s="17" t="n">
        <v>45861</v>
      </c>
      <c r="D715" s="18" t="n">
        <v>45839</v>
      </c>
      <c r="E715" s="19" t="n">
        <v>5</v>
      </c>
      <c r="F715" s="19" t="n">
        <v>43.21</v>
      </c>
      <c r="G715" t="inlineStr">
        <is>
          <t>$5 Mn</t>
        </is>
      </c>
      <c r="H715" t="inlineStr">
        <is>
          <t>Undisclosed</t>
        </is>
      </c>
      <c r="I715" t="inlineStr">
        <is>
          <t>Undisclosed</t>
        </is>
      </c>
      <c r="J715" t="inlineStr">
        <is>
          <t>Ecommerce</t>
        </is>
      </c>
      <c r="K715" t="inlineStr">
        <is>
          <t>Unknown</t>
        </is>
      </c>
      <c r="L715" t="inlineStr">
        <is>
          <t>Anicut Capital</t>
        </is>
      </c>
      <c r="M715" t="inlineStr">
        <is>
          <t>Anicut Capital; Stride Ventures; L Catterton</t>
        </is>
      </c>
      <c r="N715" t="inlineStr">
        <is>
          <t>inc42</t>
        </is>
      </c>
      <c r="O715" s="20" t="n">
        <v>1</v>
      </c>
      <c r="P715" s="21" t="n">
        <v>0</v>
      </c>
      <c r="Q715" t="inlineStr">
        <is>
          <t>C04 C07</t>
        </is>
      </c>
      <c r="R715" s="22" t="inlineStr">
        <is>
          <t>https://inc42.com/buzz/from-gupshup-to-eveez-indian-startups-raised-134-mn-this-week/</t>
        </is>
      </c>
    </row>
    <row r="716">
      <c r="A716" t="inlineStr">
        <is>
          <t>R250724-bharatsure</t>
        </is>
      </c>
      <c r="B716" t="inlineStr">
        <is>
          <t>Bharatsure</t>
        </is>
      </c>
      <c r="C716" s="17" t="n">
        <v>45862</v>
      </c>
      <c r="D716" s="18" t="n">
        <v>45839</v>
      </c>
      <c r="E716" s="19" t="n">
        <v>0.695</v>
      </c>
      <c r="F716" s="19" t="n">
        <v>6</v>
      </c>
      <c r="G716" t="inlineStr">
        <is>
          <t>Rs 6 crore</t>
        </is>
      </c>
      <c r="H716" t="inlineStr">
        <is>
          <t>Undisclosed</t>
        </is>
      </c>
      <c r="I716" t="inlineStr">
        <is>
          <t>Undisclosed</t>
        </is>
      </c>
      <c r="J716" t="inlineStr">
        <is>
          <t>Fintech</t>
        </is>
      </c>
      <c r="K716" t="inlineStr">
        <is>
          <t>Unknown</t>
        </is>
      </c>
      <c r="L716" t="inlineStr">
        <is>
          <t>Inflection Point Ventures</t>
        </is>
      </c>
      <c r="M716" t="inlineStr">
        <is>
          <t>Inflection Point Ventures; Capital A</t>
        </is>
      </c>
      <c r="N716" t="inlineStr">
        <is>
          <t>entrackr | inc42</t>
        </is>
      </c>
      <c r="O716" s="20" t="n">
        <v>2</v>
      </c>
      <c r="P716" s="21" t="n">
        <v>0.1</v>
      </c>
      <c r="Q716" t="inlineStr">
        <is>
          <t>C04 C07</t>
        </is>
      </c>
      <c r="R716" s="22" t="inlineStr">
        <is>
          <t>https://entrackr.com/snippets/insurtech-startup-bharatsure-raises-rs-6-cr-led-by-ipv-9530132</t>
        </is>
      </c>
    </row>
    <row r="717">
      <c r="A717" t="inlineStr">
        <is>
          <t>R250724-enlite</t>
        </is>
      </c>
      <c r="B717" t="inlineStr">
        <is>
          <t>Enlite</t>
        </is>
      </c>
      <c r="C717" s="17" t="n">
        <v>45862</v>
      </c>
      <c r="D717" s="18" t="n">
        <v>45839</v>
      </c>
      <c r="E717" s="19" t="n">
        <v>5.325</v>
      </c>
      <c r="F717" s="19" t="n">
        <v>46</v>
      </c>
      <c r="G717" t="inlineStr">
        <is>
          <t>Rs 46 crore</t>
        </is>
      </c>
      <c r="H717" t="inlineStr">
        <is>
          <t>Series A</t>
        </is>
      </c>
      <c r="I717" t="inlineStr">
        <is>
          <t>Early</t>
        </is>
      </c>
      <c r="J717" t="inlineStr">
        <is>
          <t>Enterprise Tech</t>
        </is>
      </c>
      <c r="K717" t="inlineStr">
        <is>
          <t>Mumbai</t>
        </is>
      </c>
      <c r="L717" t="inlineStr">
        <is>
          <t>Avaana Capital</t>
        </is>
      </c>
      <c r="M717" t="inlineStr">
        <is>
          <t>Avaana Capital; Claypond Capital; Ranjan Pai</t>
        </is>
      </c>
      <c r="N717" t="inlineStr">
        <is>
          <t>entrackr | inc42 | et</t>
        </is>
      </c>
      <c r="O717" s="20" t="n">
        <v>3</v>
      </c>
      <c r="P717" s="21" t="n">
        <v>0.5</v>
      </c>
      <c r="Q717" t="inlineStr"/>
      <c r="R717" s="22" t="inlineStr">
        <is>
          <t>https://entrackr.com/snippets/enlite-raises-rs-46-cr-in-series-a-round-led-by-avaana-capital-9529908</t>
        </is>
      </c>
    </row>
    <row r="718">
      <c r="A718" t="inlineStr">
        <is>
          <t>R250724-eveez</t>
        </is>
      </c>
      <c r="B718" t="inlineStr">
        <is>
          <t>EVeez</t>
        </is>
      </c>
      <c r="C718" s="17" t="n">
        <v>45862</v>
      </c>
      <c r="D718" s="18" t="n">
        <v>45839</v>
      </c>
      <c r="E718" s="19" t="n">
        <v>5.4</v>
      </c>
      <c r="F718" s="19" t="n">
        <v>46.65</v>
      </c>
      <c r="G718" t="inlineStr">
        <is>
          <t>$5.4 million</t>
        </is>
      </c>
      <c r="H718" t="inlineStr">
        <is>
          <t>Series A</t>
        </is>
      </c>
      <c r="I718" t="inlineStr">
        <is>
          <t>Early</t>
        </is>
      </c>
      <c r="J718" t="inlineStr">
        <is>
          <t>Travel Tech</t>
        </is>
      </c>
      <c r="K718" t="inlineStr">
        <is>
          <t>Delhi NCR</t>
        </is>
      </c>
      <c r="L718" t="inlineStr">
        <is>
          <t>Michael &amp; Susan Dell Foundation</t>
        </is>
      </c>
      <c r="M718" t="inlineStr">
        <is>
          <t>Michael &amp; Susan Dell Foundation; Caret Capital; ThinKuvate; Ev2 Ventures; Barbershop With Shantanu; SailThru Ventures</t>
        </is>
      </c>
      <c r="N718" t="inlineStr">
        <is>
          <t>entrackr | inc42</t>
        </is>
      </c>
      <c r="O718" s="20" t="n">
        <v>2</v>
      </c>
      <c r="P718" s="21" t="n">
        <v>0</v>
      </c>
      <c r="Q718" t="inlineStr"/>
      <c r="R718" s="22" t="inlineStr">
        <is>
          <t>https://entrackr.com/snippets/eveez-raises-54-mn-in-series-a-led-by-michael-susan-dell-foundation-9531676</t>
        </is>
      </c>
    </row>
    <row r="719">
      <c r="A719" t="inlineStr">
        <is>
          <t>R250724-netrasemi</t>
        </is>
      </c>
      <c r="B719" t="inlineStr">
        <is>
          <t>Netrasemi</t>
        </is>
      </c>
      <c r="C719" s="17" t="n">
        <v>45862</v>
      </c>
      <c r="D719" s="18" t="n">
        <v>45839</v>
      </c>
      <c r="E719" s="19" t="n">
        <v>12.386</v>
      </c>
      <c r="F719" s="19" t="n">
        <v>107</v>
      </c>
      <c r="G719" t="inlineStr">
        <is>
          <t>Rs 107 crore</t>
        </is>
      </c>
      <c r="H719" t="inlineStr">
        <is>
          <t>Series A</t>
        </is>
      </c>
      <c r="I719" t="inlineStr">
        <is>
          <t>Early</t>
        </is>
      </c>
      <c r="J719" t="inlineStr">
        <is>
          <t>Advanced Hardware &amp; Technology</t>
        </is>
      </c>
      <c r="K719" t="inlineStr">
        <is>
          <t>Unknown</t>
        </is>
      </c>
      <c r="L719" t="inlineStr">
        <is>
          <t>Zoho Corporation; Unicorn India Ventures</t>
        </is>
      </c>
      <c r="M719" t="inlineStr">
        <is>
          <t>Zoho Corporation; Unicorn India Ventures</t>
        </is>
      </c>
      <c r="N719" t="inlineStr">
        <is>
          <t>entrackr | inc42 | et</t>
        </is>
      </c>
      <c r="O719" s="20" t="n">
        <v>3</v>
      </c>
      <c r="P719" s="21" t="n">
        <v>0.1</v>
      </c>
      <c r="Q719" t="inlineStr">
        <is>
          <t>C07</t>
        </is>
      </c>
      <c r="R719" s="22" t="inlineStr">
        <is>
          <t>https://entrackr.com/snippets/semiconductor-startup-netrasemi-raises-rs-107-cr-led-by-zoho-corp-and-unicorn-india-ventures-9530646</t>
        </is>
      </c>
    </row>
    <row r="720">
      <c r="A720" t="inlineStr">
        <is>
          <t>R250724-roastfoods</t>
        </is>
      </c>
      <c r="B720" t="inlineStr">
        <is>
          <t>Roast Foods</t>
        </is>
      </c>
      <c r="C720" s="17" t="n">
        <v>45862</v>
      </c>
      <c r="D720" s="18" t="n">
        <v>45839</v>
      </c>
      <c r="E720" s="19" t="n"/>
      <c r="F720" s="19" t="n"/>
      <c r="G720" t="inlineStr"/>
      <c r="H720" t="inlineStr">
        <is>
          <t>Undisclosed</t>
        </is>
      </c>
      <c r="I720" t="inlineStr">
        <is>
          <t>Undisclosed</t>
        </is>
      </c>
      <c r="J720" t="inlineStr">
        <is>
          <t>Ecommerce</t>
        </is>
      </c>
      <c r="K720" t="inlineStr">
        <is>
          <t>Unknown</t>
        </is>
      </c>
      <c r="L720" t="inlineStr">
        <is>
          <t>Pagariya Exports Pvt Ltd</t>
        </is>
      </c>
      <c r="M720" t="inlineStr">
        <is>
          <t>Pagariya Exports Pvt Ltd</t>
        </is>
      </c>
      <c r="N720" t="inlineStr">
        <is>
          <t>inc42</t>
        </is>
      </c>
      <c r="O720" s="20" t="n">
        <v>1</v>
      </c>
      <c r="P720" s="21" t="n"/>
      <c r="Q720" t="inlineStr">
        <is>
          <t>C03 C04 C07</t>
        </is>
      </c>
      <c r="R720" s="22" t="inlineStr">
        <is>
          <t>https://inc42.com/buzz/from-gupshup-to-eveez-indian-startups-raised-134-mn-this-week/</t>
        </is>
      </c>
    </row>
    <row r="721">
      <c r="A721" t="inlineStr">
        <is>
          <t>R250724-superk</t>
        </is>
      </c>
      <c r="B721" t="inlineStr">
        <is>
          <t>SuperK</t>
        </is>
      </c>
      <c r="C721" s="17" t="n">
        <v>45862</v>
      </c>
      <c r="D721" s="18" t="n">
        <v>45839</v>
      </c>
      <c r="E721" s="19" t="n">
        <v>11.575</v>
      </c>
      <c r="F721" s="19" t="n">
        <v>100</v>
      </c>
      <c r="G721" t="inlineStr">
        <is>
          <t>Rs 100 crore</t>
        </is>
      </c>
      <c r="H721" t="inlineStr">
        <is>
          <t>Series B</t>
        </is>
      </c>
      <c r="I721" t="inlineStr">
        <is>
          <t>Growth</t>
        </is>
      </c>
      <c r="J721" t="inlineStr">
        <is>
          <t>Consumer Services</t>
        </is>
      </c>
      <c r="K721" t="inlineStr">
        <is>
          <t>Bengaluru</t>
        </is>
      </c>
      <c r="L721" t="inlineStr">
        <is>
          <t>3STATE Ventures; Mithun Sancheti; 021 Capital; FPGA Family Foundation</t>
        </is>
      </c>
      <c r="M721" t="inlineStr">
        <is>
          <t>3STATE Ventures; Mithun Sacheti; Shubman Gill; Blume Ventures; Xeed Ventures; Indian batter; 021 Capital; FPGA Family Foundation; Siddharth Sacheti</t>
        </is>
      </c>
      <c r="N721" t="inlineStr">
        <is>
          <t>entrackr | inc42 | et | vccircle</t>
        </is>
      </c>
      <c r="O721" s="20" t="n">
        <v>4</v>
      </c>
      <c r="P721" s="21" t="n">
        <v>4.3</v>
      </c>
      <c r="Q721" t="inlineStr">
        <is>
          <t>C16</t>
        </is>
      </c>
      <c r="R721" s="22" t="inlineStr">
        <is>
          <t>https://entrackr.com/news/superk-raises-rs-100-cr-led-by-binny-bansal-and-mithun-sacheti-9529906</t>
        </is>
      </c>
    </row>
    <row r="722">
      <c r="A722" t="inlineStr">
        <is>
          <t>R250725-ammunicsystems</t>
        </is>
      </c>
      <c r="B722" t="inlineStr">
        <is>
          <t>Ammunic Systems</t>
        </is>
      </c>
      <c r="C722" s="17" t="n">
        <v>45863</v>
      </c>
      <c r="D722" s="18" t="n">
        <v>45839</v>
      </c>
      <c r="E722" s="19" t="n">
        <v>1.1</v>
      </c>
      <c r="F722" s="19" t="n">
        <v>9.52</v>
      </c>
      <c r="G722" t="inlineStr">
        <is>
          <t>$1.1 million</t>
        </is>
      </c>
      <c r="H722" t="inlineStr">
        <is>
          <t>Seed</t>
        </is>
      </c>
      <c r="I722" t="inlineStr">
        <is>
          <t>Early</t>
        </is>
      </c>
      <c r="J722" t="inlineStr">
        <is>
          <t>Advanced Hardware &amp; Technology</t>
        </is>
      </c>
      <c r="K722" t="inlineStr">
        <is>
          <t>Bengaluru</t>
        </is>
      </c>
      <c r="L722" t="inlineStr">
        <is>
          <t>India Accelerator; Finvolve</t>
        </is>
      </c>
      <c r="M722" t="inlineStr">
        <is>
          <t>India Accelerator; Finvolve</t>
        </is>
      </c>
      <c r="N722" t="inlineStr">
        <is>
          <t>entrackr | inc42</t>
        </is>
      </c>
      <c r="O722" s="20" t="n">
        <v>2</v>
      </c>
      <c r="P722" s="21" t="n">
        <v>0</v>
      </c>
      <c r="Q722" t="inlineStr"/>
      <c r="R722" s="22" t="inlineStr">
        <is>
          <t>https://entrackr.com/snippets/defence-tech-startup-ammunic-systems-raises-11-mn-in-seed-round-9536371</t>
        </is>
      </c>
    </row>
    <row r="723">
      <c r="A723" t="inlineStr">
        <is>
          <t>R250728-drizz</t>
        </is>
      </c>
      <c r="B723" t="inlineStr">
        <is>
          <t>Drizz</t>
        </is>
      </c>
      <c r="C723" s="17" t="n">
        <v>45866</v>
      </c>
      <c r="D723" s="18" t="n">
        <v>45839</v>
      </c>
      <c r="E723" s="19" t="n">
        <v>2.7</v>
      </c>
      <c r="F723" s="19" t="n">
        <v>23.41</v>
      </c>
      <c r="G723" t="inlineStr">
        <is>
          <t>$2.7 million</t>
        </is>
      </c>
      <c r="H723" t="inlineStr">
        <is>
          <t>Seed</t>
        </is>
      </c>
      <c r="I723" t="inlineStr">
        <is>
          <t>Early</t>
        </is>
      </c>
      <c r="J723" t="inlineStr">
        <is>
          <t>Artificial Intelligence</t>
        </is>
      </c>
      <c r="K723" t="inlineStr">
        <is>
          <t>Bengaluru</t>
        </is>
      </c>
      <c r="L723" t="inlineStr">
        <is>
          <t>Stellaris Venture Partners</t>
        </is>
      </c>
      <c r="M723" t="inlineStr">
        <is>
          <t>Stellaris Venture Partners; Shastra VC; Anuj Rathi; Vaibhav Domkundwar</t>
        </is>
      </c>
      <c r="N723" t="inlineStr">
        <is>
          <t>entrackr | inc42 | et</t>
        </is>
      </c>
      <c r="O723" s="20" t="n">
        <v>3</v>
      </c>
      <c r="P723" s="21" t="n">
        <v>0</v>
      </c>
      <c r="Q723" t="inlineStr"/>
      <c r="R723" s="22" t="inlineStr">
        <is>
          <t>https://entrackr.com/snippets/mobile-app-testing-platform-drizz-raises-27-mn-led-by-stellaris-9587008</t>
        </is>
      </c>
    </row>
    <row r="724">
      <c r="A724" t="inlineStr">
        <is>
          <t>R250728-genexisbiotech</t>
        </is>
      </c>
      <c r="B724" t="inlineStr">
        <is>
          <t>Genexis Biotech</t>
        </is>
      </c>
      <c r="C724" s="17" t="n">
        <v>45866</v>
      </c>
      <c r="D724" s="18" t="n">
        <v>45839</v>
      </c>
      <c r="E724" s="19" t="n">
        <v>0.461</v>
      </c>
      <c r="F724" s="19" t="n">
        <v>4</v>
      </c>
      <c r="G724" t="inlineStr">
        <is>
          <t>Rs 4 crore</t>
        </is>
      </c>
      <c r="H724" t="inlineStr">
        <is>
          <t>Seed</t>
        </is>
      </c>
      <c r="I724" t="inlineStr">
        <is>
          <t>Early</t>
        </is>
      </c>
      <c r="J724" t="inlineStr">
        <is>
          <t>Healthtech</t>
        </is>
      </c>
      <c r="K724" t="inlineStr">
        <is>
          <t>Vadodara</t>
        </is>
      </c>
      <c r="L724" t="inlineStr">
        <is>
          <t>GVFL</t>
        </is>
      </c>
      <c r="M724" t="inlineStr">
        <is>
          <t>GVFL; Benzai10</t>
        </is>
      </c>
      <c r="N724" t="inlineStr">
        <is>
          <t>entrackr | inc42</t>
        </is>
      </c>
      <c r="O724" s="20" t="n">
        <v>2</v>
      </c>
      <c r="P724" s="21" t="n">
        <v>1</v>
      </c>
      <c r="Q724" t="inlineStr"/>
      <c r="R724" s="22" t="inlineStr">
        <is>
          <t>https://entrackr.com/snippets/genexis-biotech-raises-rs-4-cr-in-seed-round-led-by-gvfl-9585883</t>
        </is>
      </c>
    </row>
    <row r="725">
      <c r="A725" t="inlineStr">
        <is>
          <t>R250728-navi</t>
        </is>
      </c>
      <c r="B725" t="inlineStr">
        <is>
          <t>Navi</t>
        </is>
      </c>
      <c r="C725" s="17" t="n">
        <v>45866</v>
      </c>
      <c r="D725" s="18" t="n">
        <v>45839</v>
      </c>
      <c r="E725" s="19" t="n">
        <v>19.608</v>
      </c>
      <c r="F725" s="19" t="n">
        <v>170</v>
      </c>
      <c r="G725" t="inlineStr">
        <is>
          <t>Rs 170 crore</t>
        </is>
      </c>
      <c r="H725" t="inlineStr">
        <is>
          <t>Debt</t>
        </is>
      </c>
      <c r="I725" t="inlineStr">
        <is>
          <t>Debt</t>
        </is>
      </c>
      <c r="J725" t="inlineStr">
        <is>
          <t>Fintech</t>
        </is>
      </c>
      <c r="K725" t="inlineStr">
        <is>
          <t>Bengaluru</t>
        </is>
      </c>
      <c r="L725" t="inlineStr">
        <is>
          <t>PhillipCapital</t>
        </is>
      </c>
      <c r="M725" t="inlineStr">
        <is>
          <t>PhillipCapital; NDX Finserve; Arpee Group</t>
        </is>
      </c>
      <c r="N725" t="inlineStr">
        <is>
          <t>entrackr | et</t>
        </is>
      </c>
      <c r="O725" s="20" t="n">
        <v>2</v>
      </c>
      <c r="P725" s="21" t="n">
        <v>0</v>
      </c>
      <c r="Q725" t="inlineStr"/>
      <c r="R725" s="22" t="inlineStr">
        <is>
          <t>https://entrackr.com/exclusive/exclusive-sachin-bansals-navi-raises-20-mn-debt-9585170</t>
        </is>
      </c>
    </row>
    <row r="726">
      <c r="A726" t="inlineStr">
        <is>
          <t>R250729-optiproai</t>
        </is>
      </c>
      <c r="B726" t="inlineStr">
        <is>
          <t>Optipro AI</t>
        </is>
      </c>
      <c r="C726" s="17" t="n">
        <v>45867</v>
      </c>
      <c r="D726" s="18" t="n">
        <v>45839</v>
      </c>
      <c r="E726" s="19" t="n"/>
      <c r="F726" s="19" t="n"/>
      <c r="G726" t="inlineStr"/>
      <c r="H726" t="inlineStr">
        <is>
          <t>Undisclosed</t>
        </is>
      </c>
      <c r="I726" t="inlineStr">
        <is>
          <t>Undisclosed</t>
        </is>
      </c>
      <c r="J726" t="inlineStr">
        <is>
          <t>Foodtech</t>
        </is>
      </c>
      <c r="K726" t="inlineStr">
        <is>
          <t>Bengaluru</t>
        </is>
      </c>
      <c r="L726" t="inlineStr"/>
      <c r="M726" t="inlineStr"/>
      <c r="N726" t="inlineStr">
        <is>
          <t>entrackr</t>
        </is>
      </c>
      <c r="O726" s="20" t="n">
        <v>1</v>
      </c>
      <c r="P726" s="21" t="n"/>
      <c r="Q726" t="inlineStr">
        <is>
          <t>C03 C04 C05</t>
        </is>
      </c>
      <c r="R726" s="22" t="inlineStr">
        <is>
          <t>https://entrackr.com/snippets/saas-startup-optipro-ai-raises-fresh-funding-9601217</t>
        </is>
      </c>
    </row>
    <row r="727">
      <c r="A727" t="inlineStr">
        <is>
          <t>R250729-passprttrips</t>
        </is>
      </c>
      <c r="B727" t="inlineStr">
        <is>
          <t>Passprt Trips</t>
        </is>
      </c>
      <c r="C727" s="17" t="n">
        <v>45867</v>
      </c>
      <c r="D727" s="18" t="n">
        <v>45839</v>
      </c>
      <c r="E727" s="19" t="n">
        <v>0.5</v>
      </c>
      <c r="F727" s="19" t="n">
        <v>4.34</v>
      </c>
      <c r="G727" t="inlineStr">
        <is>
          <t>$500K</t>
        </is>
      </c>
      <c r="H727" t="inlineStr">
        <is>
          <t>Pre-Seed</t>
        </is>
      </c>
      <c r="I727" t="inlineStr">
        <is>
          <t>Early</t>
        </is>
      </c>
      <c r="J727" t="inlineStr">
        <is>
          <t>Travel Tech</t>
        </is>
      </c>
      <c r="K727" t="inlineStr">
        <is>
          <t>Unknown</t>
        </is>
      </c>
      <c r="L727" t="inlineStr">
        <is>
          <t>Aroa Venture Partners</t>
        </is>
      </c>
      <c r="M727" t="inlineStr">
        <is>
          <t>Aroa Venture Partners</t>
        </is>
      </c>
      <c r="N727" t="inlineStr">
        <is>
          <t>entrackr | inc42</t>
        </is>
      </c>
      <c r="O727" s="20" t="n">
        <v>2</v>
      </c>
      <c r="P727" s="21" t="n">
        <v>0</v>
      </c>
      <c r="Q727" t="inlineStr">
        <is>
          <t>C07</t>
        </is>
      </c>
      <c r="R727" s="22" t="inlineStr">
        <is>
          <t>https://entrackr.com/snippets/passprt-trips-raises-500k-in-pre-seed-round-led-by-aroa-venture-partners-9601885</t>
        </is>
      </c>
    </row>
    <row r="728">
      <c r="A728" t="inlineStr">
        <is>
          <t>R250729-sharpsellai</t>
        </is>
      </c>
      <c r="B728" t="inlineStr">
        <is>
          <t>Sharpsell.ai</t>
        </is>
      </c>
      <c r="C728" s="17" t="n">
        <v>45867</v>
      </c>
      <c r="D728" s="18" t="n">
        <v>45839</v>
      </c>
      <c r="E728" s="19" t="n">
        <v>3.454</v>
      </c>
      <c r="F728" s="19" t="n">
        <v>30</v>
      </c>
      <c r="G728" t="inlineStr">
        <is>
          <t>Rs 30 crore</t>
        </is>
      </c>
      <c r="H728" t="inlineStr">
        <is>
          <t>Series A</t>
        </is>
      </c>
      <c r="I728" t="inlineStr">
        <is>
          <t>Early</t>
        </is>
      </c>
      <c r="J728" t="inlineStr">
        <is>
          <t>Enterprise Tech</t>
        </is>
      </c>
      <c r="K728" t="inlineStr">
        <is>
          <t>Unknown</t>
        </is>
      </c>
      <c r="L728" t="inlineStr">
        <is>
          <t>Equentis Angel Fund</t>
        </is>
      </c>
      <c r="M728" t="inlineStr">
        <is>
          <t>Equentis Angel Fund; Cornerstone Venture Partners; Mistry Ventures</t>
        </is>
      </c>
      <c r="N728" t="inlineStr">
        <is>
          <t>entrackr | inc42 | et</t>
        </is>
      </c>
      <c r="O728" s="20" t="n">
        <v>3</v>
      </c>
      <c r="P728" s="21" t="n">
        <v>1.6</v>
      </c>
      <c r="Q728" t="inlineStr">
        <is>
          <t>C07</t>
        </is>
      </c>
      <c r="R728" s="22" t="inlineStr">
        <is>
          <t>https://entrackr.com/snippets/sharpsellai-raises-rs-30-cr-in-series-a-led-by-equentis-angel-fund-9601921</t>
        </is>
      </c>
    </row>
    <row r="729">
      <c r="A729" t="inlineStr">
        <is>
          <t>R250729-zepto</t>
        </is>
      </c>
      <c r="B729" t="inlineStr">
        <is>
          <t>Zepto</t>
        </is>
      </c>
      <c r="C729" s="17" t="n">
        <v>45867</v>
      </c>
      <c r="D729" s="18" t="n">
        <v>45839</v>
      </c>
      <c r="E729" s="19" t="n">
        <v>0.864</v>
      </c>
      <c r="F729" s="19" t="n">
        <v>7.5</v>
      </c>
      <c r="G729" t="inlineStr">
        <is>
          <t>Rs 7.5 crore</t>
        </is>
      </c>
      <c r="H729" t="inlineStr">
        <is>
          <t>Undisclosed</t>
        </is>
      </c>
      <c r="I729" t="inlineStr">
        <is>
          <t>Undisclosed</t>
        </is>
      </c>
      <c r="J729" t="inlineStr">
        <is>
          <t>Consumer Services</t>
        </is>
      </c>
      <c r="K729" t="inlineStr">
        <is>
          <t>Mumbai</t>
        </is>
      </c>
      <c r="L729" t="inlineStr">
        <is>
          <t>Elcid Investments; MapmyIndia; Motilal Oswal Financial Services Ltd</t>
        </is>
      </c>
      <c r="M729" t="inlineStr">
        <is>
          <t>Elcid Investments; MapmyIndia; Motilal Oswal Financial Services Ltd</t>
        </is>
      </c>
      <c r="N729" t="inlineStr">
        <is>
          <t>entrackr | inc42 | et</t>
        </is>
      </c>
      <c r="O729" s="20" t="n">
        <v>3</v>
      </c>
      <c r="P729" s="21" t="n">
        <v>5274.1</v>
      </c>
      <c r="Q729" t="inlineStr">
        <is>
          <t>C04 C15 C16</t>
        </is>
      </c>
      <c r="R729" s="22" t="inlineStr">
        <is>
          <t>https://entrackr.com/zepto-raises-fresh-funds-from-elcid-investment-5-bn-valuation-9601713</t>
        </is>
      </c>
    </row>
    <row r="730">
      <c r="A730" t="inlineStr">
        <is>
          <t>R250730-acko</t>
        </is>
      </c>
      <c r="B730" t="inlineStr">
        <is>
          <t>Acko</t>
        </is>
      </c>
      <c r="C730" s="17" t="n">
        <v>45868</v>
      </c>
      <c r="D730" s="18" t="n">
        <v>45839</v>
      </c>
      <c r="E730" s="19" t="n"/>
      <c r="F730" s="19" t="n"/>
      <c r="G730" t="inlineStr"/>
      <c r="H730" t="inlineStr">
        <is>
          <t>Undisclosed</t>
        </is>
      </c>
      <c r="I730" t="inlineStr">
        <is>
          <t>Undisclosed</t>
        </is>
      </c>
      <c r="J730" t="inlineStr">
        <is>
          <t>Fintech</t>
        </is>
      </c>
      <c r="K730" t="inlineStr">
        <is>
          <t>Unknown</t>
        </is>
      </c>
      <c r="L730" t="inlineStr"/>
      <c r="M730" t="inlineStr"/>
      <c r="N730" t="inlineStr">
        <is>
          <t>entrackr</t>
        </is>
      </c>
      <c r="O730" s="20" t="n">
        <v>1</v>
      </c>
      <c r="P730" s="21" t="n"/>
      <c r="Q730" t="inlineStr">
        <is>
          <t>C03 C04 C05 C07</t>
        </is>
      </c>
      <c r="R730" s="22" t="inlineStr">
        <is>
          <t>https://entrackr.com/snippets/ms-dhonis-family-office-invests-in-acko-9606172</t>
        </is>
      </c>
    </row>
    <row r="731">
      <c r="A731" t="inlineStr">
        <is>
          <t>R250730-designx</t>
        </is>
      </c>
      <c r="B731" t="inlineStr">
        <is>
          <t>DesignX</t>
        </is>
      </c>
      <c r="C731" s="17" t="n">
        <v>45868</v>
      </c>
      <c r="D731" s="18" t="n">
        <v>45839</v>
      </c>
      <c r="E731" s="19" t="n">
        <v>2</v>
      </c>
      <c r="F731" s="19" t="n">
        <v>17.5</v>
      </c>
      <c r="G731" t="inlineStr">
        <is>
          <t>$2 million</t>
        </is>
      </c>
      <c r="H731" t="inlineStr">
        <is>
          <t>Pre-Series A</t>
        </is>
      </c>
      <c r="I731" t="inlineStr">
        <is>
          <t>Early</t>
        </is>
      </c>
      <c r="J731" t="inlineStr">
        <is>
          <t>Enterprise Tech</t>
        </is>
      </c>
      <c r="K731" t="inlineStr">
        <is>
          <t>Delhi NCR</t>
        </is>
      </c>
      <c r="L731" t="inlineStr">
        <is>
          <t>Rockstud Capital</t>
        </is>
      </c>
      <c r="M731" t="inlineStr">
        <is>
          <t>Rockstud Capital; Circle; Piper Serica</t>
        </is>
      </c>
      <c r="N731" t="inlineStr">
        <is>
          <t>entrackr | inc42</t>
        </is>
      </c>
      <c r="O731" s="20" t="n">
        <v>2</v>
      </c>
      <c r="P731" s="21" t="n">
        <v>0</v>
      </c>
      <c r="Q731" t="inlineStr"/>
      <c r="R731" s="22" t="inlineStr">
        <is>
          <t>https://entrackr.com/snippets/designx-raises-2-mn-in-pre-series-a-round-led-by-rockstud-capital-9606526</t>
        </is>
      </c>
    </row>
    <row r="732">
      <c r="A732" t="inlineStr">
        <is>
          <t>R250730-flexprice</t>
        </is>
      </c>
      <c r="B732" t="inlineStr">
        <is>
          <t>Flexprice</t>
        </is>
      </c>
      <c r="C732" s="17" t="n">
        <v>45868</v>
      </c>
      <c r="D732" s="18" t="n">
        <v>45839</v>
      </c>
      <c r="E732" s="19" t="n">
        <v>0.5</v>
      </c>
      <c r="F732" s="19" t="n">
        <v>4.37</v>
      </c>
      <c r="G732" t="inlineStr">
        <is>
          <t>$500K</t>
        </is>
      </c>
      <c r="H732" t="inlineStr">
        <is>
          <t>Pre-Seed</t>
        </is>
      </c>
      <c r="I732" t="inlineStr">
        <is>
          <t>Early</t>
        </is>
      </c>
      <c r="J732" t="inlineStr">
        <is>
          <t>Artificial Intelligence</t>
        </is>
      </c>
      <c r="K732" t="inlineStr">
        <is>
          <t>Unknown</t>
        </is>
      </c>
      <c r="L732" t="inlineStr">
        <is>
          <t>TDV Partners</t>
        </is>
      </c>
      <c r="M732" t="inlineStr">
        <is>
          <t>TDV Partners; Magicpin; Zomato; Innovaccer; Aftershoot</t>
        </is>
      </c>
      <c r="N732" t="inlineStr">
        <is>
          <t>entrackr</t>
        </is>
      </c>
      <c r="O732" s="20" t="n">
        <v>1</v>
      </c>
      <c r="P732" s="21" t="n">
        <v>0</v>
      </c>
      <c r="Q732" t="inlineStr">
        <is>
          <t>C07</t>
        </is>
      </c>
      <c r="R732" s="22" t="inlineStr">
        <is>
          <t>https://entrackr.com/snippets/flexprice-raises-500k-in-pre-seed-round-led-by-tdv-partners-9605294</t>
        </is>
      </c>
    </row>
    <row r="733">
      <c r="A733" t="inlineStr">
        <is>
          <t>R250730-heizen</t>
        </is>
      </c>
      <c r="B733" t="inlineStr">
        <is>
          <t>Heizen</t>
        </is>
      </c>
      <c r="C733" s="17" t="n">
        <v>45868</v>
      </c>
      <c r="D733" s="18" t="n">
        <v>45839</v>
      </c>
      <c r="E733" s="19" t="n">
        <v>0.5</v>
      </c>
      <c r="F733" s="19" t="n">
        <v>4.37</v>
      </c>
      <c r="G733" t="inlineStr">
        <is>
          <t>$500,000</t>
        </is>
      </c>
      <c r="H733" t="inlineStr">
        <is>
          <t>Pre-Seed</t>
        </is>
      </c>
      <c r="I733" t="inlineStr">
        <is>
          <t>Early</t>
        </is>
      </c>
      <c r="J733" t="inlineStr">
        <is>
          <t>Enterprise Tech</t>
        </is>
      </c>
      <c r="K733" t="inlineStr">
        <is>
          <t>Unknown</t>
        </is>
      </c>
      <c r="L733" t="inlineStr">
        <is>
          <t>Titan Capital; Varun Alagh</t>
        </is>
      </c>
      <c r="M733" t="inlineStr">
        <is>
          <t>Titan Capital; Varun Alagh; Abhishek Goyal</t>
        </is>
      </c>
      <c r="N733" t="inlineStr">
        <is>
          <t>entrackr | inc42</t>
        </is>
      </c>
      <c r="O733" s="20" t="n">
        <v>2</v>
      </c>
      <c r="P733" s="21" t="n">
        <v>0</v>
      </c>
      <c r="Q733" t="inlineStr">
        <is>
          <t>C07</t>
        </is>
      </c>
      <c r="R733" s="22" t="inlineStr">
        <is>
          <t>https://entrackr.com/snippets/software-delivery-startup-heizen-raises-seed-round-led-by-titan-capital-9606453</t>
        </is>
      </c>
    </row>
    <row r="734">
      <c r="A734" t="inlineStr">
        <is>
          <t>R250730-iline</t>
        </is>
      </c>
      <c r="B734" t="inlineStr">
        <is>
          <t>ILine</t>
        </is>
      </c>
      <c r="C734" s="17" t="n">
        <v>45868</v>
      </c>
      <c r="D734" s="18" t="n">
        <v>45839</v>
      </c>
      <c r="E734" s="19" t="n">
        <v>0.5</v>
      </c>
      <c r="F734" s="19" t="n">
        <v>4.37</v>
      </c>
      <c r="G734" t="inlineStr">
        <is>
          <t>$500K</t>
        </is>
      </c>
      <c r="H734" t="inlineStr">
        <is>
          <t>Angel</t>
        </is>
      </c>
      <c r="I734" t="inlineStr">
        <is>
          <t>Early</t>
        </is>
      </c>
      <c r="J734" t="inlineStr">
        <is>
          <t>Logistics</t>
        </is>
      </c>
      <c r="K734" t="inlineStr">
        <is>
          <t>Delhi NCR</t>
        </is>
      </c>
      <c r="L734" t="inlineStr"/>
      <c r="M734" t="inlineStr"/>
      <c r="N734" t="inlineStr">
        <is>
          <t>entrackr | inc42</t>
        </is>
      </c>
      <c r="O734" s="20" t="n">
        <v>2</v>
      </c>
      <c r="P734" s="21" t="n">
        <v>0</v>
      </c>
      <c r="Q734" t="inlineStr">
        <is>
          <t>C05</t>
        </is>
      </c>
      <c r="R734" s="22" t="inlineStr">
        <is>
          <t>https://inc42.com/buzz/from-safe-security-to-stan-indian-startups-raised-104-mn-this-week/</t>
        </is>
      </c>
    </row>
    <row r="735">
      <c r="A735" t="inlineStr">
        <is>
          <t>R250730-littlebox</t>
        </is>
      </c>
      <c r="B735" t="inlineStr">
        <is>
          <t>Littlebox</t>
        </is>
      </c>
      <c r="C735" s="17" t="n">
        <v>45868</v>
      </c>
      <c r="D735" s="18" t="n">
        <v>45839</v>
      </c>
      <c r="E735" s="19" t="n">
        <v>2</v>
      </c>
      <c r="F735" s="19" t="n">
        <v>17.5</v>
      </c>
      <c r="G735" t="inlineStr">
        <is>
          <t>Rs 17.5 crore</t>
        </is>
      </c>
      <c r="H735" t="inlineStr">
        <is>
          <t>Seed</t>
        </is>
      </c>
      <c r="I735" t="inlineStr">
        <is>
          <t>Early</t>
        </is>
      </c>
      <c r="J735" t="inlineStr">
        <is>
          <t>Ecommerce</t>
        </is>
      </c>
      <c r="K735" t="inlineStr">
        <is>
          <t>Guwahati</t>
        </is>
      </c>
      <c r="L735" t="inlineStr">
        <is>
          <t>Huddle Ventures; Prath Ventures</t>
        </is>
      </c>
      <c r="M735" t="inlineStr">
        <is>
          <t>Huddle Ventures; Prath Ventures</t>
        </is>
      </c>
      <c r="N735" t="inlineStr">
        <is>
          <t>entrackr | inc42</t>
        </is>
      </c>
      <c r="O735" s="20" t="n">
        <v>2</v>
      </c>
      <c r="P735" s="21" t="n">
        <v>5</v>
      </c>
      <c r="Q735" t="inlineStr"/>
      <c r="R735" s="22" t="inlineStr">
        <is>
          <t>https://entrackr.com/snippets/fashion-startup-littlebox-raises-21-mn-led-by-huddle-and-prath-ventures-9606016</t>
        </is>
      </c>
    </row>
    <row r="736">
      <c r="A736" t="inlineStr">
        <is>
          <t>R250730-vahanai</t>
        </is>
      </c>
      <c r="B736" t="inlineStr">
        <is>
          <t>Vahan.ai</t>
        </is>
      </c>
      <c r="C736" s="17" t="n">
        <v>45868</v>
      </c>
      <c r="D736" s="18" t="n">
        <v>45839</v>
      </c>
      <c r="E736" s="19" t="n"/>
      <c r="F736" s="19" t="n"/>
      <c r="G736" t="inlineStr"/>
      <c r="H736" t="inlineStr">
        <is>
          <t>Undisclosed</t>
        </is>
      </c>
      <c r="I736" t="inlineStr">
        <is>
          <t>Undisclosed</t>
        </is>
      </c>
      <c r="J736" t="inlineStr">
        <is>
          <t>Artificial Intelligence</t>
        </is>
      </c>
      <c r="K736" t="inlineStr">
        <is>
          <t>Unknown</t>
        </is>
      </c>
      <c r="L736" t="inlineStr">
        <is>
          <t>Temasek</t>
        </is>
      </c>
      <c r="M736" t="inlineStr">
        <is>
          <t>Temasek; LemmaTree</t>
        </is>
      </c>
      <c r="N736" t="inlineStr">
        <is>
          <t>entrackr | inc42</t>
        </is>
      </c>
      <c r="O736" s="20" t="n">
        <v>2</v>
      </c>
      <c r="P736" s="21" t="n"/>
      <c r="Q736" t="inlineStr">
        <is>
          <t>C03 C04 C07</t>
        </is>
      </c>
      <c r="R736" s="22" t="inlineStr">
        <is>
          <t>https://entrackr.com/snippets/vahanai-secures-strategic-investment-from-temaseks-lemmatree-acquires-learn-9605746</t>
        </is>
      </c>
    </row>
    <row r="737">
      <c r="A737" t="inlineStr">
        <is>
          <t>R250731-arivihan</t>
        </is>
      </c>
      <c r="B737" t="inlineStr">
        <is>
          <t>Arivihan</t>
        </is>
      </c>
      <c r="C737" s="17" t="n">
        <v>45869</v>
      </c>
      <c r="D737" s="18" t="n">
        <v>45839</v>
      </c>
      <c r="E737" s="19" t="n">
        <v>4.17</v>
      </c>
      <c r="F737" s="19" t="n">
        <v>36.54</v>
      </c>
      <c r="G737" t="inlineStr">
        <is>
          <t>$4.17 million</t>
        </is>
      </c>
      <c r="H737" t="inlineStr">
        <is>
          <t>Pre-Series A</t>
        </is>
      </c>
      <c r="I737" t="inlineStr">
        <is>
          <t>Early</t>
        </is>
      </c>
      <c r="J737" t="inlineStr">
        <is>
          <t>Edtech</t>
        </is>
      </c>
      <c r="K737" t="inlineStr">
        <is>
          <t>Bengaluru</t>
        </is>
      </c>
      <c r="L737" t="inlineStr">
        <is>
          <t>Prosus; Accel</t>
        </is>
      </c>
      <c r="M737" t="inlineStr">
        <is>
          <t>Prosus; Accel</t>
        </is>
      </c>
      <c r="N737" t="inlineStr">
        <is>
          <t>entrackr | inc42 | et</t>
        </is>
      </c>
      <c r="O737" s="20" t="n">
        <v>3</v>
      </c>
      <c r="P737" s="21" t="n">
        <v>0.7</v>
      </c>
      <c r="Q737" t="inlineStr"/>
      <c r="R737" s="22" t="inlineStr">
        <is>
          <t>https://entrackr.com/snippets/arivihan-raises-417-mn-in-pre-series-a-round-from-prosus-accel-9609066</t>
        </is>
      </c>
    </row>
    <row r="738">
      <c r="A738" t="inlineStr">
        <is>
          <t>R250731-metaforms</t>
        </is>
      </c>
      <c r="B738" t="inlineStr">
        <is>
          <t>Metaforms</t>
        </is>
      </c>
      <c r="C738" s="17" t="n">
        <v>45869</v>
      </c>
      <c r="D738" s="18" t="n">
        <v>45839</v>
      </c>
      <c r="E738" s="19" t="n">
        <v>9</v>
      </c>
      <c r="F738" s="19" t="n">
        <v>78.87</v>
      </c>
      <c r="G738" t="inlineStr">
        <is>
          <t>$9 million</t>
        </is>
      </c>
      <c r="H738" t="inlineStr">
        <is>
          <t>Series A</t>
        </is>
      </c>
      <c r="I738" t="inlineStr">
        <is>
          <t>Early</t>
        </is>
      </c>
      <c r="J738" t="inlineStr">
        <is>
          <t>Artificial Intelligence</t>
        </is>
      </c>
      <c r="K738" t="inlineStr">
        <is>
          <t>Bengaluru</t>
        </is>
      </c>
      <c r="L738" t="inlineStr">
        <is>
          <t>Peak XV Partners</t>
        </is>
      </c>
      <c r="M738" t="inlineStr">
        <is>
          <t>Peak XV Partners; Nexus Venture Partners; Together Fund</t>
        </is>
      </c>
      <c r="N738" t="inlineStr">
        <is>
          <t>entrackr | inc42 | et</t>
        </is>
      </c>
      <c r="O738" s="20" t="n">
        <v>3</v>
      </c>
      <c r="P738" s="21" t="n">
        <v>0</v>
      </c>
      <c r="Q738" t="inlineStr"/>
      <c r="R738" s="22" t="inlineStr">
        <is>
          <t>https://entrackr.com/snippets/metaforms-raises-9-mn-from-peak-xv-nexus-and-together-fund-9610798</t>
        </is>
      </c>
    </row>
    <row r="739">
      <c r="A739" t="inlineStr">
        <is>
          <t>R250731-safesecurity</t>
        </is>
      </c>
      <c r="B739" t="inlineStr">
        <is>
          <t>Safe Security</t>
        </is>
      </c>
      <c r="C739" s="17" t="n">
        <v>45869</v>
      </c>
      <c r="D739" s="18" t="n">
        <v>45839</v>
      </c>
      <c r="E739" s="19" t="n">
        <v>70</v>
      </c>
      <c r="F739" s="19" t="n">
        <v>613.41</v>
      </c>
      <c r="G739" t="inlineStr">
        <is>
          <t>$70 million</t>
        </is>
      </c>
      <c r="H739" t="inlineStr">
        <is>
          <t>Series C</t>
        </is>
      </c>
      <c r="I739" t="inlineStr">
        <is>
          <t>Growth</t>
        </is>
      </c>
      <c r="J739" t="inlineStr">
        <is>
          <t>Enterprise Tech</t>
        </is>
      </c>
      <c r="K739" t="inlineStr">
        <is>
          <t>Outside India</t>
        </is>
      </c>
      <c r="L739" t="inlineStr">
        <is>
          <t>Avataar Venture Partners</t>
        </is>
      </c>
      <c r="M739" t="inlineStr">
        <is>
          <t>Avataar Venture Partners; Susquehanna Asia Venture Capital; NextEquity Partners; Prosperity7 Ventures; Eight Roads; John Chambers; Sorenson Capital</t>
        </is>
      </c>
      <c r="N739" t="inlineStr">
        <is>
          <t>entrackr | inc42 | et</t>
        </is>
      </c>
      <c r="O739" s="20" t="n">
        <v>3</v>
      </c>
      <c r="P739" s="21" t="n">
        <v>0</v>
      </c>
      <c r="Q739" t="inlineStr"/>
      <c r="R739" s="22" t="inlineStr">
        <is>
          <t>https://entrackr.com/news/safe-security-raises-70-mn-in-series-c-led-by-avataar-ventures-9611500</t>
        </is>
      </c>
    </row>
    <row r="740">
      <c r="A740" t="inlineStr">
        <is>
          <t>R250731-snooplay</t>
        </is>
      </c>
      <c r="B740" t="inlineStr">
        <is>
          <t>Snooplay</t>
        </is>
      </c>
      <c r="C740" s="17" t="n">
        <v>45869</v>
      </c>
      <c r="D740" s="18" t="n">
        <v>45839</v>
      </c>
      <c r="E740" s="19" t="n">
        <v>0.913</v>
      </c>
      <c r="F740" s="19" t="n">
        <v>8</v>
      </c>
      <c r="G740" t="inlineStr">
        <is>
          <t>Rs 8 crore</t>
        </is>
      </c>
      <c r="H740" t="inlineStr">
        <is>
          <t>Pre-Series A</t>
        </is>
      </c>
      <c r="I740" t="inlineStr">
        <is>
          <t>Early</t>
        </is>
      </c>
      <c r="J740" t="inlineStr">
        <is>
          <t>Ecommerce</t>
        </is>
      </c>
      <c r="K740" t="inlineStr">
        <is>
          <t>Delhi NCR</t>
        </is>
      </c>
      <c r="L740" t="inlineStr">
        <is>
          <t>Pravek Family Office</t>
        </is>
      </c>
      <c r="M740" t="inlineStr">
        <is>
          <t>Pravek Family Office</t>
        </is>
      </c>
      <c r="N740" t="inlineStr">
        <is>
          <t>entrackr | inc42</t>
        </is>
      </c>
      <c r="O740" s="20" t="n">
        <v>2</v>
      </c>
      <c r="P740" s="21" t="n">
        <v>0.3</v>
      </c>
      <c r="Q740" t="inlineStr"/>
      <c r="R740" s="22" t="inlineStr">
        <is>
          <t>https://entrackr.com/snippets/toy-marketplace-snooplay-raises-pre-series-a1-round-led-by-pravek-family-office-9609864</t>
        </is>
      </c>
    </row>
    <row r="741">
      <c r="A741" t="inlineStr">
        <is>
          <t>R250731-stan</t>
        </is>
      </c>
      <c r="B741" t="inlineStr">
        <is>
          <t>STAN</t>
        </is>
      </c>
      <c r="C741" s="17" t="n">
        <v>45869</v>
      </c>
      <c r="D741" s="18" t="n">
        <v>45839</v>
      </c>
      <c r="E741" s="19" t="n">
        <v>8.5</v>
      </c>
      <c r="F741" s="19" t="n">
        <v>74.48999999999999</v>
      </c>
      <c r="G741" t="inlineStr">
        <is>
          <t>$8.5 million</t>
        </is>
      </c>
      <c r="H741" t="inlineStr">
        <is>
          <t>Series A</t>
        </is>
      </c>
      <c r="I741" t="inlineStr">
        <is>
          <t>Early</t>
        </is>
      </c>
      <c r="J741" t="inlineStr">
        <is>
          <t>Media &amp; Entertainment</t>
        </is>
      </c>
      <c r="K741" t="inlineStr">
        <is>
          <t>Unknown</t>
        </is>
      </c>
      <c r="L741" t="inlineStr"/>
      <c r="M741" t="inlineStr">
        <is>
          <t>Bandai Namco; Square Enix; Reazon Holdings; Google; Aptos Labs; General Catalyst; GFR Fund; T-Accelerate Capital; Pix Capital; Maelstrom Fund; Nazara</t>
        </is>
      </c>
      <c r="N741" t="inlineStr">
        <is>
          <t>entrackr | inc42 | et</t>
        </is>
      </c>
      <c r="O741" s="20" t="n">
        <v>3</v>
      </c>
      <c r="P741" s="21" t="n">
        <v>0</v>
      </c>
      <c r="Q741" t="inlineStr">
        <is>
          <t>C07</t>
        </is>
      </c>
      <c r="R741" s="22" t="inlineStr">
        <is>
          <t>https://entrackr.com/snippets/social-gaming-platform-stan-raises-85-mn-in-series-a-round-9611968</t>
        </is>
      </c>
    </row>
    <row r="742">
      <c r="A742" t="inlineStr">
        <is>
          <t>R250801-bhindiio</t>
        </is>
      </c>
      <c r="B742" t="inlineStr">
        <is>
          <t>Bhindi.io</t>
        </is>
      </c>
      <c r="C742" s="17" t="n">
        <v>45870</v>
      </c>
      <c r="D742" s="18" t="n">
        <v>45870</v>
      </c>
      <c r="E742" s="19" t="n">
        <v>4</v>
      </c>
      <c r="F742" s="19" t="n">
        <v>35</v>
      </c>
      <c r="G742" t="inlineStr">
        <is>
          <t>$4 million</t>
        </is>
      </c>
      <c r="H742" t="inlineStr">
        <is>
          <t>Pre-Seed</t>
        </is>
      </c>
      <c r="I742" t="inlineStr">
        <is>
          <t>Early</t>
        </is>
      </c>
      <c r="J742" t="inlineStr">
        <is>
          <t>Artificial Intelligence</t>
        </is>
      </c>
      <c r="K742" t="inlineStr">
        <is>
          <t>Unknown</t>
        </is>
      </c>
      <c r="L742" t="inlineStr">
        <is>
          <t>Cyber Fund</t>
        </is>
      </c>
      <c r="M742" t="inlineStr">
        <is>
          <t>Cyber Fund</t>
        </is>
      </c>
      <c r="N742" t="inlineStr">
        <is>
          <t>entrackr</t>
        </is>
      </c>
      <c r="O742" s="20" t="n">
        <v>1</v>
      </c>
      <c r="P742" s="21" t="n">
        <v>0</v>
      </c>
      <c r="Q742" t="inlineStr">
        <is>
          <t>C07</t>
        </is>
      </c>
      <c r="R742" s="22" t="inlineStr">
        <is>
          <t>https://entrackr.com/snippets/bhindiio-raises-4-mn-in-pre-seed-round-led-by-cyber-fund-9614155</t>
        </is>
      </c>
    </row>
    <row r="743">
      <c r="A743" t="inlineStr">
        <is>
          <t>R250804-mitigata</t>
        </is>
      </c>
      <c r="B743" t="inlineStr">
        <is>
          <t>Mitigata</t>
        </is>
      </c>
      <c r="C743" s="17" t="n">
        <v>45873</v>
      </c>
      <c r="D743" s="18" t="n">
        <v>45870</v>
      </c>
      <c r="E743" s="19" t="n">
        <v>5.9</v>
      </c>
      <c r="F743" s="19" t="n">
        <v>51.71</v>
      </c>
      <c r="G743" t="inlineStr">
        <is>
          <t>$5.9 million</t>
        </is>
      </c>
      <c r="H743" t="inlineStr">
        <is>
          <t>Series A</t>
        </is>
      </c>
      <c r="I743" t="inlineStr">
        <is>
          <t>Early</t>
        </is>
      </c>
      <c r="J743" t="inlineStr">
        <is>
          <t>Fintech</t>
        </is>
      </c>
      <c r="K743" t="inlineStr">
        <is>
          <t>Bengaluru</t>
        </is>
      </c>
      <c r="L743" t="inlineStr">
        <is>
          <t>Nexus Venture Partners</t>
        </is>
      </c>
      <c r="M743" t="inlineStr">
        <is>
          <t>Nexus Venture Partners; Titan Capital; WEH Ventures</t>
        </is>
      </c>
      <c r="N743" t="inlineStr">
        <is>
          <t>entrackr | inc42 | et</t>
        </is>
      </c>
      <c r="O743" s="20" t="n">
        <v>3</v>
      </c>
      <c r="P743" s="21" t="n">
        <v>0</v>
      </c>
      <c r="Q743" t="inlineStr"/>
      <c r="R743" s="22" t="inlineStr">
        <is>
          <t>https://entrackr.com/snippets/cyber-resilience-startup-mitigata-raises-59-mn-led-by-nexus-9623583</t>
        </is>
      </c>
    </row>
    <row r="744">
      <c r="A744" t="inlineStr">
        <is>
          <t>R250805-eonspacelabs</t>
        </is>
      </c>
      <c r="B744" t="inlineStr">
        <is>
          <t>EON Space Labs</t>
        </is>
      </c>
      <c r="C744" s="17" t="n">
        <v>45874</v>
      </c>
      <c r="D744" s="18" t="n">
        <v>45870</v>
      </c>
      <c r="E744" s="19" t="n">
        <v>1.2</v>
      </c>
      <c r="F744" s="19" t="n">
        <v>10.53</v>
      </c>
      <c r="G744" t="inlineStr">
        <is>
          <t>$1.2 million</t>
        </is>
      </c>
      <c r="H744" t="inlineStr">
        <is>
          <t>Pre-Series A</t>
        </is>
      </c>
      <c r="I744" t="inlineStr">
        <is>
          <t>Early</t>
        </is>
      </c>
      <c r="J744" t="inlineStr">
        <is>
          <t>Advanced Hardware &amp; Technology</t>
        </is>
      </c>
      <c r="K744" t="inlineStr">
        <is>
          <t>Hyderabad</t>
        </is>
      </c>
      <c r="L744" t="inlineStr">
        <is>
          <t>MGF Kavachh</t>
        </is>
      </c>
      <c r="M744" t="inlineStr">
        <is>
          <t>MGF Kavachh; HHV Advanced Technologies</t>
        </is>
      </c>
      <c r="N744" t="inlineStr">
        <is>
          <t>entrackr | inc42</t>
        </is>
      </c>
      <c r="O744" s="20" t="n">
        <v>2</v>
      </c>
      <c r="P744" s="21" t="n">
        <v>0</v>
      </c>
      <c r="Q744" t="inlineStr"/>
      <c r="R744" s="22" t="inlineStr">
        <is>
          <t>https://entrackr.com/snippets/eon-space-labs-bags-12-mn-in-pre-series-a-round-9628241</t>
        </is>
      </c>
    </row>
    <row r="745">
      <c r="A745" t="inlineStr">
        <is>
          <t>R250805-fibelendingarm</t>
        </is>
      </c>
      <c r="B745" t="inlineStr">
        <is>
          <t>Fibe</t>
        </is>
      </c>
      <c r="C745" s="17" t="n">
        <v>45874</v>
      </c>
      <c r="D745" s="18" t="n">
        <v>45870</v>
      </c>
      <c r="E745" s="19" t="n">
        <v>28.48</v>
      </c>
      <c r="F745" s="19" t="n">
        <v>250</v>
      </c>
      <c r="G745" t="inlineStr">
        <is>
          <t>Rs 250 crore</t>
        </is>
      </c>
      <c r="H745" t="inlineStr">
        <is>
          <t>Debt</t>
        </is>
      </c>
      <c r="I745" t="inlineStr">
        <is>
          <t>Debt</t>
        </is>
      </c>
      <c r="J745" t="inlineStr">
        <is>
          <t>Fintech</t>
        </is>
      </c>
      <c r="K745" t="inlineStr">
        <is>
          <t>Unknown</t>
        </is>
      </c>
      <c r="L745" t="inlineStr">
        <is>
          <t>Franklin Templeton Alternative Investments Fund</t>
        </is>
      </c>
      <c r="M745" t="inlineStr">
        <is>
          <t>Franklin Templeton Alternative Investments Fund; AK Capital Finance; Franklin Templeton AIF; Vivriti Alpha; Incred Capital; MAS Financial Services; IB Future Tech</t>
        </is>
      </c>
      <c r="N745" t="inlineStr">
        <is>
          <t>entrackr | inc42</t>
        </is>
      </c>
      <c r="O745" s="20" t="n">
        <v>2</v>
      </c>
      <c r="P745" s="21" t="n">
        <v>13.9</v>
      </c>
      <c r="Q745" t="inlineStr">
        <is>
          <t>C07 C15</t>
        </is>
      </c>
      <c r="R745" s="22" t="inlineStr">
        <is>
          <t>https://entrackr.com/news/fibes-lending-arm-raises-rs-225-cr-in-debt-9627953</t>
        </is>
      </c>
    </row>
    <row r="746">
      <c r="A746" t="inlineStr">
        <is>
          <t>R250805-fraganote</t>
        </is>
      </c>
      <c r="B746" t="inlineStr">
        <is>
          <t>Fraganote</t>
        </is>
      </c>
      <c r="C746" s="17" t="n">
        <v>45874</v>
      </c>
      <c r="D746" s="18" t="n">
        <v>45870</v>
      </c>
      <c r="E746" s="19" t="n">
        <v>1</v>
      </c>
      <c r="F746" s="19" t="n">
        <v>8.779999999999999</v>
      </c>
      <c r="G746" t="inlineStr">
        <is>
          <t>$1 million</t>
        </is>
      </c>
      <c r="H746" t="inlineStr">
        <is>
          <t>Pre-Series A</t>
        </is>
      </c>
      <c r="I746" t="inlineStr">
        <is>
          <t>Early</t>
        </is>
      </c>
      <c r="J746" t="inlineStr">
        <is>
          <t>Ecommerce</t>
        </is>
      </c>
      <c r="K746" t="inlineStr">
        <is>
          <t>Delhi NCR</t>
        </is>
      </c>
      <c r="L746" t="inlineStr">
        <is>
          <t>Rukam Capital</t>
        </is>
      </c>
      <c r="M746" t="inlineStr">
        <is>
          <t>Rukam Capital</t>
        </is>
      </c>
      <c r="N746" t="inlineStr">
        <is>
          <t>entrackr | inc42</t>
        </is>
      </c>
      <c r="O746" s="20" t="n">
        <v>2</v>
      </c>
      <c r="P746" s="21" t="n">
        <v>0</v>
      </c>
      <c r="Q746" t="inlineStr"/>
      <c r="R746" s="22" t="inlineStr">
        <is>
          <t>https://entrackr.com/snippets/fraganote-raises-1-mn-in-pre-series-a-round-led-by-rukam-capital-9627733</t>
        </is>
      </c>
    </row>
    <row r="747">
      <c r="A747" t="inlineStr">
        <is>
          <t>R250805-gameramp</t>
        </is>
      </c>
      <c r="B747" t="inlineStr">
        <is>
          <t>GameRamp</t>
        </is>
      </c>
      <c r="C747" s="17" t="n">
        <v>45874</v>
      </c>
      <c r="D747" s="18" t="n">
        <v>45870</v>
      </c>
      <c r="E747" s="19" t="n">
        <v>5.4</v>
      </c>
      <c r="F747" s="19" t="n">
        <v>47.4</v>
      </c>
      <c r="G747" t="inlineStr">
        <is>
          <t>$5.4 million</t>
        </is>
      </c>
      <c r="H747" t="inlineStr">
        <is>
          <t>Pre-Seed</t>
        </is>
      </c>
      <c r="I747" t="inlineStr">
        <is>
          <t>Early</t>
        </is>
      </c>
      <c r="J747" t="inlineStr">
        <is>
          <t>Unclassified</t>
        </is>
      </c>
      <c r="K747" t="inlineStr">
        <is>
          <t>Outside India</t>
        </is>
      </c>
      <c r="L747" t="inlineStr">
        <is>
          <t>BITKRAFT Ventures; Mixi; DeVC</t>
        </is>
      </c>
      <c r="M747" t="inlineStr">
        <is>
          <t>BITKRAFT Ventures; Mixi; DeVC; South Park Commons</t>
        </is>
      </c>
      <c r="N747" t="inlineStr">
        <is>
          <t>entrackr | et</t>
        </is>
      </c>
      <c r="O747" s="20" t="n">
        <v>2</v>
      </c>
      <c r="P747" s="21" t="n">
        <v>0</v>
      </c>
      <c r="Q747" t="inlineStr">
        <is>
          <t>C06</t>
        </is>
      </c>
      <c r="R747" s="22" t="inlineStr">
        <is>
          <t>https://entrackr.com/snippets/gameramp-raises-54-mn-in-pre-seed-round-led-by-bitkraft-ventures-9627957</t>
        </is>
      </c>
    </row>
    <row r="748">
      <c r="A748" t="inlineStr">
        <is>
          <t>R250805-jehaerospace</t>
        </is>
      </c>
      <c r="B748" t="inlineStr">
        <is>
          <t>Jeh Aerospace</t>
        </is>
      </c>
      <c r="C748" s="17" t="n">
        <v>45874</v>
      </c>
      <c r="D748" s="18" t="n">
        <v>45870</v>
      </c>
      <c r="E748" s="19" t="n">
        <v>11</v>
      </c>
      <c r="F748" s="19" t="n">
        <v>96.56</v>
      </c>
      <c r="G748" t="inlineStr">
        <is>
          <t>$11 million</t>
        </is>
      </c>
      <c r="H748" t="inlineStr">
        <is>
          <t>Series A</t>
        </is>
      </c>
      <c r="I748" t="inlineStr">
        <is>
          <t>Early</t>
        </is>
      </c>
      <c r="J748" t="inlineStr">
        <is>
          <t>Advanced Hardware &amp; Technology</t>
        </is>
      </c>
      <c r="K748" t="inlineStr">
        <is>
          <t>Unknown</t>
        </is>
      </c>
      <c r="L748" t="inlineStr">
        <is>
          <t>Elevation Capital; General Catalyst</t>
        </is>
      </c>
      <c r="M748" t="inlineStr">
        <is>
          <t>Elevation Capital; General Catalyst; Dwarkanath Srinivas; IndiGo Ventures; Pratyush Kumar</t>
        </is>
      </c>
      <c r="N748" t="inlineStr">
        <is>
          <t>entrackr | inc42 | et</t>
        </is>
      </c>
      <c r="O748" s="20" t="n">
        <v>3</v>
      </c>
      <c r="P748" s="21" t="n">
        <v>0</v>
      </c>
      <c r="Q748" t="inlineStr">
        <is>
          <t>C07 C09</t>
        </is>
      </c>
      <c r="R748" s="22" t="inlineStr">
        <is>
          <t>https://entrackr.com/snippets/jeh-aerospace-raises-11-mn-led-by-elevation-capital-9627545</t>
        </is>
      </c>
    </row>
    <row r="749">
      <c r="A749" t="inlineStr">
        <is>
          <t>R250805-politepowertec</t>
        </is>
      </c>
      <c r="B749" t="inlineStr">
        <is>
          <t>Polite Powertech</t>
        </is>
      </c>
      <c r="C749" s="17" t="n">
        <v>45874</v>
      </c>
      <c r="D749" s="18" t="n">
        <v>45870</v>
      </c>
      <c r="E749" s="19" t="n"/>
      <c r="F749" s="19" t="n"/>
      <c r="G749" t="inlineStr"/>
      <c r="H749" t="inlineStr">
        <is>
          <t>Pre-IPO</t>
        </is>
      </c>
      <c r="I749" t="inlineStr">
        <is>
          <t>Late</t>
        </is>
      </c>
      <c r="J749" t="inlineStr">
        <is>
          <t>Unclassified</t>
        </is>
      </c>
      <c r="K749" t="inlineStr">
        <is>
          <t>Unknown</t>
        </is>
      </c>
      <c r="L749" t="inlineStr"/>
      <c r="M749" t="inlineStr"/>
      <c r="N749" t="inlineStr">
        <is>
          <t>entrackr</t>
        </is>
      </c>
      <c r="O749" s="20" t="n">
        <v>1</v>
      </c>
      <c r="P749" s="21" t="n"/>
      <c r="Q749" t="inlineStr">
        <is>
          <t>C03 C05 C06 C07</t>
        </is>
      </c>
      <c r="R749" s="22" t="inlineStr">
        <is>
          <t>https://entrackr.com/snippets/chanakya-opportunities-fund-backs-polite-powertech-in-pre-ipo-round-9627721</t>
        </is>
      </c>
    </row>
    <row r="750">
      <c r="A750" t="inlineStr">
        <is>
          <t>R250805-prozo</t>
        </is>
      </c>
      <c r="B750" t="inlineStr">
        <is>
          <t>Prozo</t>
        </is>
      </c>
      <c r="C750" s="17" t="n">
        <v>45874</v>
      </c>
      <c r="D750" s="18" t="n">
        <v>45870</v>
      </c>
      <c r="E750" s="19" t="n"/>
      <c r="F750" s="19" t="n"/>
      <c r="G750" t="inlineStr"/>
      <c r="H750" t="inlineStr">
        <is>
          <t>Undisclosed</t>
        </is>
      </c>
      <c r="I750" t="inlineStr">
        <is>
          <t>Undisclosed</t>
        </is>
      </c>
      <c r="J750" t="inlineStr">
        <is>
          <t>Logistics</t>
        </is>
      </c>
      <c r="K750" t="inlineStr">
        <is>
          <t>Unknown</t>
        </is>
      </c>
      <c r="L750" t="inlineStr">
        <is>
          <t>Ranbir Kapoor</t>
        </is>
      </c>
      <c r="M750" t="inlineStr">
        <is>
          <t>Ranbir Kapoor</t>
        </is>
      </c>
      <c r="N750" t="inlineStr">
        <is>
          <t>inc42</t>
        </is>
      </c>
      <c r="O750" s="20" t="n">
        <v>1</v>
      </c>
      <c r="P750" s="21" t="n"/>
      <c r="Q750" t="inlineStr">
        <is>
          <t>C03 C04 C07</t>
        </is>
      </c>
      <c r="R750" s="22" t="inlineStr">
        <is>
          <t>https://inc42.com/buzz/from-the-sleep-company-to-jeh-aerospace-indian-startups-raised-197-mn-this-week/</t>
        </is>
      </c>
    </row>
    <row r="751">
      <c r="A751" t="inlineStr">
        <is>
          <t>R250805-rifaai</t>
        </is>
      </c>
      <c r="B751" t="inlineStr">
        <is>
          <t>Rifa AI</t>
        </is>
      </c>
      <c r="C751" s="17" t="n">
        <v>45874</v>
      </c>
      <c r="D751" s="18" t="n">
        <v>45870</v>
      </c>
      <c r="E751" s="19" t="n">
        <v>1.1</v>
      </c>
      <c r="F751" s="19" t="n">
        <v>9.66</v>
      </c>
      <c r="G751" t="inlineStr">
        <is>
          <t>$1.1 million</t>
        </is>
      </c>
      <c r="H751" t="inlineStr">
        <is>
          <t>Undisclosed</t>
        </is>
      </c>
      <c r="I751" t="inlineStr">
        <is>
          <t>Undisclosed</t>
        </is>
      </c>
      <c r="J751" t="inlineStr">
        <is>
          <t>Artificial Intelligence</t>
        </is>
      </c>
      <c r="K751" t="inlineStr">
        <is>
          <t>Unknown</t>
        </is>
      </c>
      <c r="L751" t="inlineStr">
        <is>
          <t>Seaborne Capital; FalconX</t>
        </is>
      </c>
      <c r="M751" t="inlineStr">
        <is>
          <t>Seaborne Capital; FalconX; NASSCOM</t>
        </is>
      </c>
      <c r="N751" t="inlineStr">
        <is>
          <t>entrackr | et</t>
        </is>
      </c>
      <c r="O751" s="20" t="n">
        <v>2</v>
      </c>
      <c r="P751" s="21" t="n">
        <v>0</v>
      </c>
      <c r="Q751" t="inlineStr">
        <is>
          <t>C04 C07</t>
        </is>
      </c>
      <c r="R751" s="22" t="inlineStr">
        <is>
          <t>https://entrackr.com/snippets/rifa-ai-raises-11-mn-led-by-seaborne-capital-9627182</t>
        </is>
      </c>
    </row>
    <row r="752">
      <c r="A752" t="inlineStr">
        <is>
          <t>R250805-shortgun</t>
        </is>
      </c>
      <c r="B752" t="inlineStr">
        <is>
          <t>Shortgun Games</t>
        </is>
      </c>
      <c r="C752" s="17" t="n">
        <v>45874</v>
      </c>
      <c r="D752" s="18" t="n">
        <v>45870</v>
      </c>
      <c r="E752" s="19" t="n">
        <v>1</v>
      </c>
      <c r="F752" s="19" t="n">
        <v>8.779999999999999</v>
      </c>
      <c r="G752" t="inlineStr">
        <is>
          <t>$1 million</t>
        </is>
      </c>
      <c r="H752" t="inlineStr">
        <is>
          <t>Seed</t>
        </is>
      </c>
      <c r="I752" t="inlineStr">
        <is>
          <t>Early</t>
        </is>
      </c>
      <c r="J752" t="inlineStr">
        <is>
          <t>Media &amp; Entertainment</t>
        </is>
      </c>
      <c r="K752" t="inlineStr">
        <is>
          <t>Unknown</t>
        </is>
      </c>
      <c r="L752" t="inlineStr"/>
      <c r="M752" t="inlineStr"/>
      <c r="N752" t="inlineStr">
        <is>
          <t>entrackr | inc42</t>
        </is>
      </c>
      <c r="O752" s="20" t="n">
        <v>2</v>
      </c>
      <c r="P752" s="21" t="n">
        <v>0</v>
      </c>
      <c r="Q752" t="inlineStr">
        <is>
          <t>C05 C07</t>
        </is>
      </c>
      <c r="R752" s="22" t="inlineStr">
        <is>
          <t>https://entrackr.com/snippets/game-development-studio-shortgun-raises-1-mn-in-seed-round-9627976</t>
        </is>
      </c>
    </row>
    <row r="753">
      <c r="A753" t="inlineStr">
        <is>
          <t>R250805-terafac</t>
        </is>
      </c>
      <c r="B753" t="inlineStr">
        <is>
          <t>Terafac</t>
        </is>
      </c>
      <c r="C753" s="17" t="n">
        <v>45874</v>
      </c>
      <c r="D753" s="18" t="n">
        <v>45870</v>
      </c>
      <c r="E753" s="19" t="n">
        <v>0.74</v>
      </c>
      <c r="F753" s="19" t="n">
        <v>6.5</v>
      </c>
      <c r="G753" t="inlineStr">
        <is>
          <t>Rs 6.5 crore</t>
        </is>
      </c>
      <c r="H753" t="inlineStr">
        <is>
          <t>Pre-Seed</t>
        </is>
      </c>
      <c r="I753" t="inlineStr">
        <is>
          <t>Early</t>
        </is>
      </c>
      <c r="J753" t="inlineStr">
        <is>
          <t>Advanced Hardware &amp; Technology</t>
        </is>
      </c>
      <c r="K753" t="inlineStr">
        <is>
          <t>Chandigarh</t>
        </is>
      </c>
      <c r="L753" t="inlineStr">
        <is>
          <t>Inuka Capital</t>
        </is>
      </c>
      <c r="M753" t="inlineStr">
        <is>
          <t>Inuka Capital; DeVC; Bharat Founders Fund; Innovation Mission Punjab</t>
        </is>
      </c>
      <c r="N753" t="inlineStr">
        <is>
          <t>entrackr | inc42</t>
        </is>
      </c>
      <c r="O753" s="20" t="n">
        <v>2</v>
      </c>
      <c r="P753" s="21" t="n">
        <v>8</v>
      </c>
      <c r="Q753" t="inlineStr"/>
      <c r="R753" s="22" t="inlineStr">
        <is>
          <t>https://entrackr.com/snippets/terafac-raises-rs-65-cr-in-pre-seed-round-led-by-inuka-capital-9628896</t>
        </is>
      </c>
    </row>
    <row r="754">
      <c r="A754" t="inlineStr">
        <is>
          <t>R250805-tryo</t>
        </is>
      </c>
      <c r="B754" t="inlineStr">
        <is>
          <t>Tryo</t>
        </is>
      </c>
      <c r="C754" s="17" t="n">
        <v>45874</v>
      </c>
      <c r="D754" s="18" t="n">
        <v>45870</v>
      </c>
      <c r="E754" s="19" t="n">
        <v>0.342</v>
      </c>
      <c r="F754" s="19" t="n">
        <v>3</v>
      </c>
      <c r="G754" t="inlineStr">
        <is>
          <t>Rs 3 crore</t>
        </is>
      </c>
      <c r="H754" t="inlineStr">
        <is>
          <t>Pre-Seed</t>
        </is>
      </c>
      <c r="I754" t="inlineStr">
        <is>
          <t>Early</t>
        </is>
      </c>
      <c r="J754" t="inlineStr">
        <is>
          <t>Ecommerce</t>
        </is>
      </c>
      <c r="K754" t="inlineStr">
        <is>
          <t>Unknown</t>
        </is>
      </c>
      <c r="L754" t="inlineStr">
        <is>
          <t>Zeropearl VC</t>
        </is>
      </c>
      <c r="M754" t="inlineStr">
        <is>
          <t>Zeropearl VC</t>
        </is>
      </c>
      <c r="N754" t="inlineStr">
        <is>
          <t>entrackr</t>
        </is>
      </c>
      <c r="O754" s="20" t="n">
        <v>1</v>
      </c>
      <c r="P754" s="21" t="n">
        <v>0</v>
      </c>
      <c r="Q754" t="inlineStr">
        <is>
          <t>C07</t>
        </is>
      </c>
      <c r="R754" s="22" t="inlineStr">
        <is>
          <t>https://entrackr.com/snippets/fashion-startup-tyro-raises-pre-seed-round-led-by-zeropearl-vc-9628769</t>
        </is>
      </c>
    </row>
    <row r="755">
      <c r="A755" t="inlineStr">
        <is>
          <t>R250805-turbohire</t>
        </is>
      </c>
      <c r="B755" t="inlineStr">
        <is>
          <t>TurboHire</t>
        </is>
      </c>
      <c r="C755" s="17" t="n">
        <v>45874</v>
      </c>
      <c r="D755" s="18" t="n">
        <v>45870</v>
      </c>
      <c r="E755" s="19" t="n">
        <v>6</v>
      </c>
      <c r="F755" s="19" t="n">
        <v>52.67</v>
      </c>
      <c r="G755" t="inlineStr">
        <is>
          <t>$6 million</t>
        </is>
      </c>
      <c r="H755" t="inlineStr">
        <is>
          <t>Series A</t>
        </is>
      </c>
      <c r="I755" t="inlineStr">
        <is>
          <t>Early</t>
        </is>
      </c>
      <c r="J755" t="inlineStr">
        <is>
          <t>Artificial Intelligence</t>
        </is>
      </c>
      <c r="K755" t="inlineStr">
        <is>
          <t>Hyderabad</t>
        </is>
      </c>
      <c r="L755" t="inlineStr">
        <is>
          <t>IvyCap Ventures</t>
        </is>
      </c>
      <c r="M755" t="inlineStr">
        <is>
          <t>IvyCap Ventures</t>
        </is>
      </c>
      <c r="N755" t="inlineStr">
        <is>
          <t>entrackr | inc42</t>
        </is>
      </c>
      <c r="O755" s="20" t="n">
        <v>2</v>
      </c>
      <c r="P755" s="21" t="n">
        <v>0</v>
      </c>
      <c r="Q755" t="inlineStr"/>
      <c r="R755" s="22" t="inlineStr">
        <is>
          <t>https://entrackr.com/snippets/turbohire-raises-6-mn-in-series-a-round-led-by-ivycap-ventures-9627690</t>
        </is>
      </c>
    </row>
    <row r="756">
      <c r="A756" t="inlineStr">
        <is>
          <t>R250806-cautio</t>
        </is>
      </c>
      <c r="B756" t="inlineStr">
        <is>
          <t>Cautio</t>
        </is>
      </c>
      <c r="C756" s="17" t="n">
        <v>45875</v>
      </c>
      <c r="D756" s="18" t="n">
        <v>45870</v>
      </c>
      <c r="E756" s="19" t="n">
        <v>1.8</v>
      </c>
      <c r="F756" s="19" t="n">
        <v>15.79</v>
      </c>
      <c r="G756" t="inlineStr">
        <is>
          <t>$1.8 million</t>
        </is>
      </c>
      <c r="H756" t="inlineStr">
        <is>
          <t>Seed</t>
        </is>
      </c>
      <c r="I756" t="inlineStr">
        <is>
          <t>Early</t>
        </is>
      </c>
      <c r="J756" t="inlineStr">
        <is>
          <t>Advanced Hardware &amp; Technology</t>
        </is>
      </c>
      <c r="K756" t="inlineStr">
        <is>
          <t>Bengaluru</t>
        </is>
      </c>
      <c r="L756" t="inlineStr">
        <is>
          <t>Amal Parikh</t>
        </is>
      </c>
      <c r="M756" t="inlineStr">
        <is>
          <t>100Unicorns; Venture Catalysts; Antler India; Infinyte Club; PIEDS-BITS Pilani; Gajendra Jangid; Vikram Chopra; Amal Parikh; 8i Ventures; AU Small Finance Bank; Vibha Chetan; Raveen Sastry; Vivekananda Hallekere; Nishchay AG</t>
        </is>
      </c>
      <c r="N756" t="inlineStr">
        <is>
          <t>entrackr | inc42 | et</t>
        </is>
      </c>
      <c r="O756" s="20" t="n">
        <v>3</v>
      </c>
      <c r="P756" s="21" t="n">
        <v>66.7</v>
      </c>
      <c r="Q756" t="inlineStr">
        <is>
          <t>C15</t>
        </is>
      </c>
      <c r="R756" s="22" t="inlineStr">
        <is>
          <t>https://entrackr.com/snippets/cautio-raises-3-mn-in-seed-round-led-by-amal-parikh-9631046</t>
        </is>
      </c>
    </row>
    <row r="757">
      <c r="A757" t="inlineStr">
        <is>
          <t>R250806-codekarma</t>
        </is>
      </c>
      <c r="B757" t="inlineStr">
        <is>
          <t>CodeKarma</t>
        </is>
      </c>
      <c r="C757" s="17" t="n">
        <v>45875</v>
      </c>
      <c r="D757" s="18" t="n">
        <v>45870</v>
      </c>
      <c r="E757" s="19" t="n">
        <v>2.5</v>
      </c>
      <c r="F757" s="19" t="n">
        <v>21.93</v>
      </c>
      <c r="G757" t="inlineStr">
        <is>
          <t>$2.5 million</t>
        </is>
      </c>
      <c r="H757" t="inlineStr">
        <is>
          <t>Pre-Seed</t>
        </is>
      </c>
      <c r="I757" t="inlineStr">
        <is>
          <t>Early</t>
        </is>
      </c>
      <c r="J757" t="inlineStr">
        <is>
          <t>Artificial Intelligence</t>
        </is>
      </c>
      <c r="K757" t="inlineStr">
        <is>
          <t>Bengaluru</t>
        </is>
      </c>
      <c r="L757" t="inlineStr">
        <is>
          <t>Prosus; Accel; Xeed Ventures</t>
        </is>
      </c>
      <c r="M757" t="inlineStr">
        <is>
          <t>Prosus; Accel; Xeed Ventures; SenseAI Ventures; Stargazer Ventures</t>
        </is>
      </c>
      <c r="N757" t="inlineStr">
        <is>
          <t>entrackr | inc42 | et</t>
        </is>
      </c>
      <c r="O757" s="20" t="n">
        <v>3</v>
      </c>
      <c r="P757" s="21" t="n">
        <v>0</v>
      </c>
      <c r="Q757" t="inlineStr"/>
      <c r="R757" s="22" t="inlineStr">
        <is>
          <t>https://entrackr.com/snippets/prosus-accel-and-xeed-lead-pre-seed-round-in-codekarma-9631126</t>
        </is>
      </c>
    </row>
    <row r="758">
      <c r="A758" t="inlineStr">
        <is>
          <t>R250806-dpdzero</t>
        </is>
      </c>
      <c r="B758" t="inlineStr">
        <is>
          <t>DPDzero</t>
        </is>
      </c>
      <c r="C758" s="17" t="n">
        <v>45875</v>
      </c>
      <c r="D758" s="18" t="n">
        <v>45870</v>
      </c>
      <c r="E758" s="19" t="n">
        <v>7</v>
      </c>
      <c r="F758" s="19" t="n">
        <v>61.4</v>
      </c>
      <c r="G758" t="inlineStr">
        <is>
          <t>$7 million</t>
        </is>
      </c>
      <c r="H758" t="inlineStr">
        <is>
          <t>Series A</t>
        </is>
      </c>
      <c r="I758" t="inlineStr">
        <is>
          <t>Early</t>
        </is>
      </c>
      <c r="J758" t="inlineStr">
        <is>
          <t>Fintech</t>
        </is>
      </c>
      <c r="K758" t="inlineStr">
        <is>
          <t>Bengaluru</t>
        </is>
      </c>
      <c r="L758" t="inlineStr">
        <is>
          <t>GMO Venture Partners</t>
        </is>
      </c>
      <c r="M758" t="inlineStr">
        <is>
          <t>GMO Venture Partners; India Quotient; Sinarmas Group; SMBC Asia Rising Fund; Blume Venture; Better Capital; Anmol Maini Ventures</t>
        </is>
      </c>
      <c r="N758" t="inlineStr">
        <is>
          <t>entrackr | inc42 | et</t>
        </is>
      </c>
      <c r="O758" s="20" t="n">
        <v>3</v>
      </c>
      <c r="P758" s="21" t="n">
        <v>0</v>
      </c>
      <c r="Q758" t="inlineStr">
        <is>
          <t>C16</t>
        </is>
      </c>
      <c r="R758" s="22" t="inlineStr">
        <is>
          <t>https://entrackr.com/snippets/dpdzero-raises-7-mn-led-by-gmo-venture-partners-9631116</t>
        </is>
      </c>
    </row>
    <row r="759">
      <c r="A759" t="inlineStr">
        <is>
          <t>R250806-gladful</t>
        </is>
      </c>
      <c r="B759" t="inlineStr">
        <is>
          <t>Gladful</t>
        </is>
      </c>
      <c r="C759" s="17" t="n">
        <v>45875</v>
      </c>
      <c r="D759" s="18" t="n">
        <v>45870</v>
      </c>
      <c r="E759" s="19" t="n">
        <v>0.912</v>
      </c>
      <c r="F759" s="19" t="n">
        <v>8</v>
      </c>
      <c r="G759" t="inlineStr">
        <is>
          <t>Rs 8 crore</t>
        </is>
      </c>
      <c r="H759" t="inlineStr">
        <is>
          <t>Undisclosed</t>
        </is>
      </c>
      <c r="I759" t="inlineStr">
        <is>
          <t>Undisclosed</t>
        </is>
      </c>
      <c r="J759" t="inlineStr">
        <is>
          <t>Ecommerce</t>
        </is>
      </c>
      <c r="K759" t="inlineStr">
        <is>
          <t>Unknown</t>
        </is>
      </c>
      <c r="L759" t="inlineStr">
        <is>
          <t>Eternal Capital</t>
        </is>
      </c>
      <c r="M759" t="inlineStr">
        <is>
          <t>Eternal Capital; Antler India; Venture Catalysts; RWA Advisors; Arav Ventures; Aman Tekriwal; Sairam Krishnamurthy</t>
        </is>
      </c>
      <c r="N759" t="inlineStr">
        <is>
          <t>entrackr | inc42</t>
        </is>
      </c>
      <c r="O759" s="20" t="n">
        <v>2</v>
      </c>
      <c r="P759" s="21" t="n">
        <v>0.1</v>
      </c>
      <c r="Q759" t="inlineStr">
        <is>
          <t>C04 C07</t>
        </is>
      </c>
      <c r="R759" s="22" t="inlineStr">
        <is>
          <t>https://entrackr.com/snippets/gladful-raises-rs-8-cr-led-by-eternal-capital-9631040</t>
        </is>
      </c>
    </row>
    <row r="760">
      <c r="A760" t="inlineStr">
        <is>
          <t>R250806-hylenr</t>
        </is>
      </c>
      <c r="B760" t="inlineStr">
        <is>
          <t>HYLENR</t>
        </is>
      </c>
      <c r="C760" s="17" t="n">
        <v>45875</v>
      </c>
      <c r="D760" s="18" t="n">
        <v>45870</v>
      </c>
      <c r="E760" s="19" t="n">
        <v>3</v>
      </c>
      <c r="F760" s="19" t="n">
        <v>26.32</v>
      </c>
      <c r="G760" t="inlineStr">
        <is>
          <t>$3 million</t>
        </is>
      </c>
      <c r="H760" t="inlineStr">
        <is>
          <t>Pre-Series A</t>
        </is>
      </c>
      <c r="I760" t="inlineStr">
        <is>
          <t>Early</t>
        </is>
      </c>
      <c r="J760" t="inlineStr">
        <is>
          <t>Cleantech</t>
        </is>
      </c>
      <c r="K760" t="inlineStr">
        <is>
          <t>Unknown</t>
        </is>
      </c>
      <c r="L760" t="inlineStr">
        <is>
          <t>Valour Capital; Chhattisgarh Investments</t>
        </is>
      </c>
      <c r="M760" t="inlineStr">
        <is>
          <t>Valour Capital; Chhattisgarh Investments; Karthik Sundar Iyer; Anant Sarda</t>
        </is>
      </c>
      <c r="N760" t="inlineStr">
        <is>
          <t>entrackr | inc42</t>
        </is>
      </c>
      <c r="O760" s="20" t="n">
        <v>2</v>
      </c>
      <c r="P760" s="21" t="n">
        <v>0</v>
      </c>
      <c r="Q760" t="inlineStr">
        <is>
          <t>C07</t>
        </is>
      </c>
      <c r="R760" s="22" t="inlineStr">
        <is>
          <t>https://entrackr.com/snippets/clean-tech-startup-hylenr-raises-3-mn-in-pre-series-a-round-9631632</t>
        </is>
      </c>
    </row>
    <row r="761">
      <c r="A761" t="inlineStr">
        <is>
          <t>R250806-supergaming</t>
        </is>
      </c>
      <c r="B761" t="inlineStr">
        <is>
          <t>SuperGaming</t>
        </is>
      </c>
      <c r="C761" s="17" t="n">
        <v>45875</v>
      </c>
      <c r="D761" s="18" t="n">
        <v>45870</v>
      </c>
      <c r="E761" s="19" t="n">
        <v>15</v>
      </c>
      <c r="F761" s="19" t="n">
        <v>131.58</v>
      </c>
      <c r="G761" t="inlineStr">
        <is>
          <t>$15 million</t>
        </is>
      </c>
      <c r="H761" t="inlineStr">
        <is>
          <t>Series A</t>
        </is>
      </c>
      <c r="I761" t="inlineStr">
        <is>
          <t>Early</t>
        </is>
      </c>
      <c r="J761" t="inlineStr">
        <is>
          <t>Media &amp; Entertainment</t>
        </is>
      </c>
      <c r="K761" t="inlineStr">
        <is>
          <t>Pune</t>
        </is>
      </c>
      <c r="L761" t="inlineStr">
        <is>
          <t>Skycatcher; Steadview Capital</t>
        </is>
      </c>
      <c r="M761" t="inlineStr">
        <is>
          <t>Skycatcher; Steadview Capital; Bandai Namco 021 Fund; Neowiz; Polygon Ventures; Sandeep Nailwal; 4th Revolution Capital; 32-Bit Ventures; Ryze Labs; Ed3n Ventures; Visceral Capital; AET Japan; BACE Capital; Speedrun; GFR Fund; IVC Japan; Loud.GG</t>
        </is>
      </c>
      <c r="N761" t="inlineStr">
        <is>
          <t>entrackr | inc42 | et</t>
        </is>
      </c>
      <c r="O761" s="20" t="n">
        <v>3</v>
      </c>
      <c r="P761" s="21" t="n">
        <v>0</v>
      </c>
      <c r="Q761" t="inlineStr">
        <is>
          <t>C18</t>
        </is>
      </c>
      <c r="R761" s="22" t="inlineStr">
        <is>
          <t>https://entrackr.com/news/supergaming-raises-15-mn-led-by-skycatcher-and-steadview-9631851</t>
        </is>
      </c>
    </row>
    <row r="762">
      <c r="A762" t="inlineStr">
        <is>
          <t>R250806-thesleepcompan</t>
        </is>
      </c>
      <c r="B762" t="inlineStr">
        <is>
          <t>The Sleep Company</t>
        </is>
      </c>
      <c r="C762" s="17" t="n">
        <v>45875</v>
      </c>
      <c r="D762" s="18" t="n">
        <v>45870</v>
      </c>
      <c r="E762" s="19" t="n">
        <v>54.72</v>
      </c>
      <c r="F762" s="19" t="n">
        <v>480</v>
      </c>
      <c r="G762" t="inlineStr">
        <is>
          <t>Rs 480 crore</t>
        </is>
      </c>
      <c r="H762" t="inlineStr">
        <is>
          <t>Series D</t>
        </is>
      </c>
      <c r="I762" t="inlineStr">
        <is>
          <t>Late</t>
        </is>
      </c>
      <c r="J762" t="inlineStr">
        <is>
          <t>Ecommerce</t>
        </is>
      </c>
      <c r="K762" t="inlineStr">
        <is>
          <t>Mumbai</t>
        </is>
      </c>
      <c r="L762" t="inlineStr">
        <is>
          <t>ChrysCapital; 360 One Asset</t>
        </is>
      </c>
      <c r="M762" t="inlineStr">
        <is>
          <t>ChrysCapital; 360 ONE Asset</t>
        </is>
      </c>
      <c r="N762" t="inlineStr">
        <is>
          <t>entrackr | inc42 | et | vccircle</t>
        </is>
      </c>
      <c r="O762" s="20" t="n">
        <v>4</v>
      </c>
      <c r="P762" s="21" t="n">
        <v>0.2</v>
      </c>
      <c r="Q762" t="inlineStr"/>
      <c r="R762" s="22" t="inlineStr">
        <is>
          <t>https://entrackr.com/news/the-sleep-company-raises-rs-480-cr-in-primary-and-secondary-funding-9631069</t>
        </is>
      </c>
    </row>
    <row r="763">
      <c r="A763" t="inlineStr">
        <is>
          <t>R250806-tplusaindia</t>
        </is>
      </c>
      <c r="B763" t="inlineStr">
        <is>
          <t>TPlusA India</t>
        </is>
      </c>
      <c r="C763" s="17" t="n">
        <v>45875</v>
      </c>
      <c r="D763" s="18" t="n">
        <v>45870</v>
      </c>
      <c r="E763" s="19" t="n">
        <v>5.8</v>
      </c>
      <c r="F763" s="19" t="n">
        <v>50.88</v>
      </c>
      <c r="G763" t="inlineStr">
        <is>
          <t>$5.8 Mn</t>
        </is>
      </c>
      <c r="H763" t="inlineStr">
        <is>
          <t>Seed</t>
        </is>
      </c>
      <c r="I763" t="inlineStr">
        <is>
          <t>Early</t>
        </is>
      </c>
      <c r="J763" t="inlineStr">
        <is>
          <t>Ecommerce</t>
        </is>
      </c>
      <c r="K763" t="inlineStr">
        <is>
          <t>Unknown</t>
        </is>
      </c>
      <c r="L763" t="inlineStr">
        <is>
          <t>Livspace</t>
        </is>
      </c>
      <c r="M763" t="inlineStr">
        <is>
          <t>Livspace; Ramkant Sharma; Nishant Sharma</t>
        </is>
      </c>
      <c r="N763" t="inlineStr">
        <is>
          <t>inc42</t>
        </is>
      </c>
      <c r="O763" s="20" t="n">
        <v>1</v>
      </c>
      <c r="P763" s="21" t="n">
        <v>0</v>
      </c>
      <c r="Q763" t="inlineStr">
        <is>
          <t>C07</t>
        </is>
      </c>
      <c r="R763" s="22" t="inlineStr">
        <is>
          <t>https://inc42.com/buzz/from-the-sleep-company-to-jeh-aerospace-indian-startups-raised-197-mn-this-week/</t>
        </is>
      </c>
    </row>
    <row r="764">
      <c r="A764" t="inlineStr">
        <is>
          <t>R250806-xovian</t>
        </is>
      </c>
      <c r="B764" t="inlineStr">
        <is>
          <t>Xovian Aerospace</t>
        </is>
      </c>
      <c r="C764" s="17" t="n">
        <v>45875</v>
      </c>
      <c r="D764" s="18" t="n">
        <v>45870</v>
      </c>
      <c r="E764" s="19" t="n">
        <v>2.5</v>
      </c>
      <c r="F764" s="19" t="n">
        <v>21.93</v>
      </c>
      <c r="G764" t="inlineStr">
        <is>
          <t>$2.5 million</t>
        </is>
      </c>
      <c r="H764" t="inlineStr">
        <is>
          <t>Pre-Seed</t>
        </is>
      </c>
      <c r="I764" t="inlineStr">
        <is>
          <t>Early</t>
        </is>
      </c>
      <c r="J764" t="inlineStr">
        <is>
          <t>Advanced Hardware &amp; Technology</t>
        </is>
      </c>
      <c r="K764" t="inlineStr">
        <is>
          <t>Bengaluru</t>
        </is>
      </c>
      <c r="L764" t="inlineStr">
        <is>
          <t>Piper Serica; Turbostart</t>
        </is>
      </c>
      <c r="M764" t="inlineStr">
        <is>
          <t>Piper Serica; Turbostart; Inflection Point Ventures; Eaglewings Ventures</t>
        </is>
      </c>
      <c r="N764" t="inlineStr">
        <is>
          <t>entrackr | inc42 | et</t>
        </is>
      </c>
      <c r="O764" s="20" t="n">
        <v>3</v>
      </c>
      <c r="P764" s="21" t="n">
        <v>0</v>
      </c>
      <c r="Q764" t="inlineStr"/>
      <c r="R764" s="22" t="inlineStr">
        <is>
          <t>https://economictimes.indiatimes.com/tech/funding/spacetech-startup-xovian-raises-2-5-million-to-build-radio-frequency-satellites/articleshow/123144931.cms</t>
        </is>
      </c>
    </row>
    <row r="765">
      <c r="A765" t="inlineStr">
        <is>
          <t>R250806-zype</t>
        </is>
      </c>
      <c r="B765" t="inlineStr">
        <is>
          <t>Zype</t>
        </is>
      </c>
      <c r="C765" s="17" t="n">
        <v>45875</v>
      </c>
      <c r="D765" s="18" t="n">
        <v>45870</v>
      </c>
      <c r="E765" s="19" t="n">
        <v>10.26</v>
      </c>
      <c r="F765" s="19" t="n">
        <v>90</v>
      </c>
      <c r="G765" t="inlineStr">
        <is>
          <t>Rs 90 crore</t>
        </is>
      </c>
      <c r="H765" t="inlineStr">
        <is>
          <t>Undisclosed</t>
        </is>
      </c>
      <c r="I765" t="inlineStr">
        <is>
          <t>Undisclosed</t>
        </is>
      </c>
      <c r="J765" t="inlineStr">
        <is>
          <t>Fintech</t>
        </is>
      </c>
      <c r="K765" t="inlineStr">
        <is>
          <t>Mumbai</t>
        </is>
      </c>
      <c r="L765" t="inlineStr">
        <is>
          <t>Unleash Capital Partners</t>
        </is>
      </c>
      <c r="M765" t="inlineStr">
        <is>
          <t>Unleash Capital Partners; Xponentia Capital Partners; Tejinder Singh Hara</t>
        </is>
      </c>
      <c r="N765" t="inlineStr">
        <is>
          <t>entrackr | inc42 | et</t>
        </is>
      </c>
      <c r="O765" s="20" t="n">
        <v>3</v>
      </c>
      <c r="P765" s="21" t="n">
        <v>0.4</v>
      </c>
      <c r="Q765" t="inlineStr">
        <is>
          <t>C04</t>
        </is>
      </c>
      <c r="R765" s="22" t="inlineStr">
        <is>
          <t>https://entrackr.com/snippets/digital-lending-startup-zype-raises-rs-90-cr-led-by-unleash-capital-9631063</t>
        </is>
      </c>
    </row>
    <row r="766">
      <c r="A766" t="inlineStr">
        <is>
          <t>R250807-aukera</t>
        </is>
      </c>
      <c r="B766" t="inlineStr">
        <is>
          <t>Aukera</t>
        </is>
      </c>
      <c r="C766" s="17" t="n">
        <v>45876</v>
      </c>
      <c r="D766" s="18" t="n">
        <v>45870</v>
      </c>
      <c r="E766" s="19" t="n">
        <v>15</v>
      </c>
      <c r="F766" s="19" t="n">
        <v>131.23</v>
      </c>
      <c r="G766" t="inlineStr">
        <is>
          <t>$15 million</t>
        </is>
      </c>
      <c r="H766" t="inlineStr">
        <is>
          <t>Series B</t>
        </is>
      </c>
      <c r="I766" t="inlineStr">
        <is>
          <t>Growth</t>
        </is>
      </c>
      <c r="J766" t="inlineStr">
        <is>
          <t>Ecommerce</t>
        </is>
      </c>
      <c r="K766" t="inlineStr">
        <is>
          <t>Bengaluru</t>
        </is>
      </c>
      <c r="L766" t="inlineStr">
        <is>
          <t>Peak XV Partners</t>
        </is>
      </c>
      <c r="M766" t="inlineStr">
        <is>
          <t>Peak XV Partners; Fireside Ventures; Sparrow Capital; Prath Ventures; Alteria Capital</t>
        </is>
      </c>
      <c r="N766" t="inlineStr">
        <is>
          <t>entrackr</t>
        </is>
      </c>
      <c r="O766" s="20" t="n">
        <v>1</v>
      </c>
      <c r="P766" s="21" t="n">
        <v>0</v>
      </c>
      <c r="Q766" t="inlineStr">
        <is>
          <t>C09</t>
        </is>
      </c>
      <c r="R766" s="22" t="inlineStr">
        <is>
          <t>https://entrackr.com/analysis/aukeras-valuation-surges-over-45x-in-series-b-round-9635106</t>
        </is>
      </c>
    </row>
    <row r="767">
      <c r="A767" t="inlineStr">
        <is>
          <t>R250807-mangopoint</t>
        </is>
      </c>
      <c r="B767" t="inlineStr">
        <is>
          <t>MangoPoint</t>
        </is>
      </c>
      <c r="C767" s="17" t="n">
        <v>45876</v>
      </c>
      <c r="D767" s="18" t="n">
        <v>45870</v>
      </c>
      <c r="E767" s="19" t="n">
        <v>1</v>
      </c>
      <c r="F767" s="19" t="n">
        <v>8.75</v>
      </c>
      <c r="G767" t="inlineStr">
        <is>
          <t>$1 million</t>
        </is>
      </c>
      <c r="H767" t="inlineStr">
        <is>
          <t>Pre-Series A</t>
        </is>
      </c>
      <c r="I767" t="inlineStr">
        <is>
          <t>Early</t>
        </is>
      </c>
      <c r="J767" t="inlineStr">
        <is>
          <t>Ecommerce</t>
        </is>
      </c>
      <c r="K767" t="inlineStr">
        <is>
          <t>Chennai</t>
        </is>
      </c>
      <c r="L767" t="inlineStr">
        <is>
          <t>Inflection Point Ventures</t>
        </is>
      </c>
      <c r="M767" t="inlineStr">
        <is>
          <t>Inflection Point Ventures; Native Angel Network; Keiretsu Forum India; Fondation Botnar; IIM-CAN; Metis Family Office; JITO Incubation; Innovation Foundation</t>
        </is>
      </c>
      <c r="N767" t="inlineStr">
        <is>
          <t>entrackr | inc42</t>
        </is>
      </c>
      <c r="O767" s="20" t="n">
        <v>2</v>
      </c>
      <c r="P767" s="21" t="n">
        <v>0</v>
      </c>
      <c r="Q767" t="inlineStr"/>
      <c r="R767" s="22" t="inlineStr">
        <is>
          <t>https://entrackr.com/snippets/mangopoint-raises-1-mn-in-pre-series-a-round-led-by-ipv-9635234</t>
        </is>
      </c>
    </row>
    <row r="768">
      <c r="A768" t="inlineStr">
        <is>
          <t>R250807-nprep</t>
        </is>
      </c>
      <c r="B768" t="inlineStr">
        <is>
          <t>NPrep</t>
        </is>
      </c>
      <c r="C768" s="17" t="n">
        <v>45876</v>
      </c>
      <c r="D768" s="18" t="n">
        <v>45870</v>
      </c>
      <c r="E768" s="19" t="n"/>
      <c r="F768" s="19" t="n"/>
      <c r="G768" t="inlineStr"/>
      <c r="H768" t="inlineStr">
        <is>
          <t>Pre-Seed</t>
        </is>
      </c>
      <c r="I768" t="inlineStr">
        <is>
          <t>Early</t>
        </is>
      </c>
      <c r="J768" t="inlineStr">
        <is>
          <t>Edtech</t>
        </is>
      </c>
      <c r="K768" t="inlineStr">
        <is>
          <t>Jodhpur</t>
        </is>
      </c>
      <c r="L768" t="inlineStr">
        <is>
          <t>All In Capital; Aayush Phumbhra</t>
        </is>
      </c>
      <c r="M768" t="inlineStr">
        <is>
          <t>All In Capital; Aayush Phumbhra; IIMA Ventures; Chegg</t>
        </is>
      </c>
      <c r="N768" t="inlineStr">
        <is>
          <t>entrackr | et</t>
        </is>
      </c>
      <c r="O768" s="20" t="n">
        <v>2</v>
      </c>
      <c r="P768" s="21" t="n"/>
      <c r="Q768" t="inlineStr">
        <is>
          <t>C03</t>
        </is>
      </c>
      <c r="R768" s="22" t="inlineStr">
        <is>
          <t>https://entrackr.com/snippets/placement-focused-startup-nprep-raises-pre-seed-round-led-by-all-in-capital-9635214</t>
        </is>
      </c>
    </row>
    <row r="769">
      <c r="A769" t="inlineStr">
        <is>
          <t>R250807-nuuk</t>
        </is>
      </c>
      <c r="B769" t="inlineStr">
        <is>
          <t>Nuuk</t>
        </is>
      </c>
      <c r="C769" s="17" t="n">
        <v>45876</v>
      </c>
      <c r="D769" s="18" t="n">
        <v>45870</v>
      </c>
      <c r="E769" s="19" t="n">
        <v>2</v>
      </c>
      <c r="F769" s="19" t="n">
        <v>17.5</v>
      </c>
      <c r="G769" t="inlineStr">
        <is>
          <t>$2 million</t>
        </is>
      </c>
      <c r="H769" t="inlineStr">
        <is>
          <t>Series A</t>
        </is>
      </c>
      <c r="I769" t="inlineStr">
        <is>
          <t>Early</t>
        </is>
      </c>
      <c r="J769" t="inlineStr">
        <is>
          <t>Ecommerce</t>
        </is>
      </c>
      <c r="K769" t="inlineStr">
        <is>
          <t>Unknown</t>
        </is>
      </c>
      <c r="L769" t="inlineStr">
        <is>
          <t>Vertex Ventures SEA; Good Capital</t>
        </is>
      </c>
      <c r="M769" t="inlineStr">
        <is>
          <t>Vertex Ventures SEA; Good Capital</t>
        </is>
      </c>
      <c r="N769" t="inlineStr">
        <is>
          <t>entrackr | inc42</t>
        </is>
      </c>
      <c r="O769" s="20" t="n">
        <v>2</v>
      </c>
      <c r="P769" s="21" t="n">
        <v>0</v>
      </c>
      <c r="Q769" t="inlineStr">
        <is>
          <t>C07</t>
        </is>
      </c>
      <c r="R769" s="22" t="inlineStr">
        <is>
          <t>https://entrackr.com/snippets/nuuk-raises-2-mn-from-vertex-ventures-sea-and-good-capital-9635614</t>
        </is>
      </c>
    </row>
    <row r="770">
      <c r="A770" t="inlineStr">
        <is>
          <t>R250807-outzidr</t>
        </is>
      </c>
      <c r="B770" t="inlineStr">
        <is>
          <t>OUTZIDR</t>
        </is>
      </c>
      <c r="C770" s="17" t="n">
        <v>45876</v>
      </c>
      <c r="D770" s="18" t="n">
        <v>45870</v>
      </c>
      <c r="E770" s="19" t="n">
        <v>3.086</v>
      </c>
      <c r="F770" s="19" t="n">
        <v>27</v>
      </c>
      <c r="G770" t="inlineStr">
        <is>
          <t>Rs 27 crore</t>
        </is>
      </c>
      <c r="H770" t="inlineStr">
        <is>
          <t>Pre-Series A</t>
        </is>
      </c>
      <c r="I770" t="inlineStr">
        <is>
          <t>Early</t>
        </is>
      </c>
      <c r="J770" t="inlineStr">
        <is>
          <t>Ecommerce</t>
        </is>
      </c>
      <c r="K770" t="inlineStr">
        <is>
          <t>Bengaluru</t>
        </is>
      </c>
      <c r="L770" t="inlineStr">
        <is>
          <t>RTP Global; Stellaris Venture Partners</t>
        </is>
      </c>
      <c r="M770" t="inlineStr">
        <is>
          <t>RTP Global; Stellaris Venture Partners</t>
        </is>
      </c>
      <c r="N770" t="inlineStr">
        <is>
          <t>entrackr | inc42 | et</t>
        </is>
      </c>
      <c r="O770" s="20" t="n">
        <v>3</v>
      </c>
      <c r="P770" s="21" t="n">
        <v>3.3</v>
      </c>
      <c r="Q770" t="inlineStr"/>
      <c r="R770" s="22" t="inlineStr">
        <is>
          <t>https://entrackr.com/snippets/fashion-brand-outzidr-raises-31-mn-led-by-rtp-global-9634019</t>
        </is>
      </c>
    </row>
    <row r="771">
      <c r="A771" t="inlineStr">
        <is>
          <t>R250807-reneecosmetics</t>
        </is>
      </c>
      <c r="B771" t="inlineStr">
        <is>
          <t>RENEE Cosmetics</t>
        </is>
      </c>
      <c r="C771" s="17" t="n">
        <v>45876</v>
      </c>
      <c r="D771" s="18" t="n">
        <v>45870</v>
      </c>
      <c r="E771" s="19" t="n">
        <v>30</v>
      </c>
      <c r="F771" s="19" t="n">
        <v>262.47</v>
      </c>
      <c r="G771" t="inlineStr">
        <is>
          <t>$30 million</t>
        </is>
      </c>
      <c r="H771" t="inlineStr">
        <is>
          <t>Series C</t>
        </is>
      </c>
      <c r="I771" t="inlineStr">
        <is>
          <t>Growth</t>
        </is>
      </c>
      <c r="J771" t="inlineStr">
        <is>
          <t>Ecommerce</t>
        </is>
      </c>
      <c r="K771" t="inlineStr">
        <is>
          <t>Unknown</t>
        </is>
      </c>
      <c r="L771" t="inlineStr">
        <is>
          <t>Playbook Partners</t>
        </is>
      </c>
      <c r="M771" t="inlineStr">
        <is>
          <t>Playbook Partners; Midas Capital</t>
        </is>
      </c>
      <c r="N771" t="inlineStr">
        <is>
          <t>entrackr | inc42</t>
        </is>
      </c>
      <c r="O771" s="20" t="n">
        <v>2</v>
      </c>
      <c r="P771" s="21" t="n">
        <v>0</v>
      </c>
      <c r="Q771" t="inlineStr">
        <is>
          <t>C07</t>
        </is>
      </c>
      <c r="R771" s="22" t="inlineStr">
        <is>
          <t>https://entrackr.com/news/renée-cosmetics-raises-30-mn-in-series-c-at-200-mn-valuation-9634943</t>
        </is>
      </c>
    </row>
    <row r="772">
      <c r="A772" t="inlineStr">
        <is>
          <t>R250810-neuralzomecybe</t>
        </is>
      </c>
      <c r="B772" t="inlineStr">
        <is>
          <t>Neuralzome Cybernetic</t>
        </is>
      </c>
      <c r="C772" s="17" t="n">
        <v>45879</v>
      </c>
      <c r="D772" s="18" t="n">
        <v>45870</v>
      </c>
      <c r="E772" s="19" t="n">
        <v>2.4</v>
      </c>
      <c r="F772" s="19" t="n">
        <v>21.03</v>
      </c>
      <c r="G772" t="inlineStr">
        <is>
          <t>$2.4 million</t>
        </is>
      </c>
      <c r="H772" t="inlineStr">
        <is>
          <t>Pre-Seed</t>
        </is>
      </c>
      <c r="I772" t="inlineStr">
        <is>
          <t>Early</t>
        </is>
      </c>
      <c r="J772" t="inlineStr">
        <is>
          <t>Deeptech</t>
        </is>
      </c>
      <c r="K772" t="inlineStr">
        <is>
          <t>Bengaluru</t>
        </is>
      </c>
      <c r="L772" t="inlineStr">
        <is>
          <t>8X Ventures</t>
        </is>
      </c>
      <c r="M772" t="inlineStr">
        <is>
          <t>8X Ventures; Turbostart; Avinya Ventures; Saka Ventures; Appreciate Capital; Astir Ventures; CIIE; SIDBI; Heston Castelino; Centre for Innovation Incubation; Entrepreneurship</t>
        </is>
      </c>
      <c r="N772" t="inlineStr">
        <is>
          <t>entrackr | et</t>
        </is>
      </c>
      <c r="O772" s="20" t="n">
        <v>2</v>
      </c>
      <c r="P772" s="21" t="n">
        <v>0</v>
      </c>
      <c r="Q772" t="inlineStr"/>
      <c r="R772" s="22" t="inlineStr">
        <is>
          <t>https://economictimes.indiatimes.com/tech/funding/robotics-deeptech-startup-neuralzome-cybernetic-raises-2-4-million/articleshow/123217768.cms</t>
        </is>
      </c>
    </row>
    <row r="773">
      <c r="A773" t="inlineStr">
        <is>
          <t>R250811-graasai</t>
        </is>
      </c>
      <c r="B773" t="inlineStr">
        <is>
          <t>Graas.ai</t>
        </is>
      </c>
      <c r="C773" s="17" t="n">
        <v>45880</v>
      </c>
      <c r="D773" s="18" t="n">
        <v>45870</v>
      </c>
      <c r="E773" s="19" t="n">
        <v>9</v>
      </c>
      <c r="F773" s="19" t="n">
        <v>78.97</v>
      </c>
      <c r="G773" t="inlineStr">
        <is>
          <t>$9 million</t>
        </is>
      </c>
      <c r="H773" t="inlineStr">
        <is>
          <t>Series B</t>
        </is>
      </c>
      <c r="I773" t="inlineStr">
        <is>
          <t>Growth</t>
        </is>
      </c>
      <c r="J773" t="inlineStr">
        <is>
          <t>Artificial Intelligence</t>
        </is>
      </c>
      <c r="K773" t="inlineStr">
        <is>
          <t>Outside India</t>
        </is>
      </c>
      <c r="L773" t="inlineStr">
        <is>
          <t>Tin Men Capital; Incred Wealth; Orzon; Integra Partners; Yuj Ventures</t>
        </is>
      </c>
      <c r="M773" t="inlineStr">
        <is>
          <t>Tin Men Capital; Incred Wealth; Orzon; Integra Partners; Yuj Ventures</t>
        </is>
      </c>
      <c r="N773" t="inlineStr">
        <is>
          <t>entrackr | inc42 | et</t>
        </is>
      </c>
      <c r="O773" s="20" t="n">
        <v>3</v>
      </c>
      <c r="P773" s="21" t="n">
        <v>0</v>
      </c>
      <c r="Q773" t="inlineStr"/>
      <c r="R773" s="22" t="inlineStr">
        <is>
          <t>https://entrackr.com/snippets/ecommerce-tech-startup-graas-ai-raises-9-mn-9648424</t>
        </is>
      </c>
    </row>
    <row r="774">
      <c r="A774" t="inlineStr">
        <is>
          <t>R250812-aceblend</t>
        </is>
      </c>
      <c r="B774" t="inlineStr">
        <is>
          <t>Ace Blend</t>
        </is>
      </c>
      <c r="C774" s="17" t="n">
        <v>45881</v>
      </c>
      <c r="D774" s="18" t="n">
        <v>45870</v>
      </c>
      <c r="E774" s="19" t="n">
        <v>3.3</v>
      </c>
      <c r="F774" s="19" t="n">
        <v>28.94</v>
      </c>
      <c r="G774" t="inlineStr">
        <is>
          <t>$3.3 million</t>
        </is>
      </c>
      <c r="H774" t="inlineStr">
        <is>
          <t>Pre-Series A</t>
        </is>
      </c>
      <c r="I774" t="inlineStr">
        <is>
          <t>Early</t>
        </is>
      </c>
      <c r="J774" t="inlineStr">
        <is>
          <t>Ecommerce</t>
        </is>
      </c>
      <c r="K774" t="inlineStr">
        <is>
          <t>Mumbai</t>
        </is>
      </c>
      <c r="L774" t="inlineStr">
        <is>
          <t>Fireside Ventures</t>
        </is>
      </c>
      <c r="M774" t="inlineStr">
        <is>
          <t>Fireside Ventures</t>
        </is>
      </c>
      <c r="N774" t="inlineStr">
        <is>
          <t>entrackr</t>
        </is>
      </c>
      <c r="O774" s="20" t="n">
        <v>1</v>
      </c>
      <c r="P774" s="21" t="n">
        <v>0</v>
      </c>
      <c r="Q774" t="inlineStr"/>
      <c r="R774" s="22" t="inlineStr">
        <is>
          <t>https://entrackr.com/snippets/nutrition-brand-ace-blend-raises-33-mn-led-by-fireside-ventures-9652792</t>
        </is>
      </c>
    </row>
    <row r="775">
      <c r="A775" t="inlineStr">
        <is>
          <t>R250812-brandworkstech</t>
        </is>
      </c>
      <c r="B775" t="inlineStr">
        <is>
          <t>Brandworks Technologies</t>
        </is>
      </c>
      <c r="C775" s="17" t="n">
        <v>45881</v>
      </c>
      <c r="D775" s="18" t="n">
        <v>45870</v>
      </c>
      <c r="E775" s="19" t="n">
        <v>7</v>
      </c>
      <c r="F775" s="19" t="n">
        <v>61.39</v>
      </c>
      <c r="G775" t="inlineStr">
        <is>
          <t>$7 million</t>
        </is>
      </c>
      <c r="H775" t="inlineStr">
        <is>
          <t>Series A</t>
        </is>
      </c>
      <c r="I775" t="inlineStr">
        <is>
          <t>Early</t>
        </is>
      </c>
      <c r="J775" t="inlineStr">
        <is>
          <t>Enterprise Tech</t>
        </is>
      </c>
      <c r="K775" t="inlineStr">
        <is>
          <t>Mumbai</t>
        </is>
      </c>
      <c r="L775" t="inlineStr"/>
      <c r="M775" t="inlineStr">
        <is>
          <t>Gujarat Venture Finance Limited</t>
        </is>
      </c>
      <c r="N775" t="inlineStr">
        <is>
          <t>entrackr</t>
        </is>
      </c>
      <c r="O775" s="20" t="n">
        <v>1</v>
      </c>
      <c r="P775" s="21" t="n">
        <v>0</v>
      </c>
      <c r="Q775" t="inlineStr"/>
      <c r="R775" s="22" t="inlineStr">
        <is>
          <t>https://entrackr.com/snippets/cactus-partners-leads-7-mn-series-a-round-in-brandworks-technologies-9652921</t>
        </is>
      </c>
    </row>
    <row r="776">
      <c r="A776" t="inlineStr">
        <is>
          <t>R250812-dashverse</t>
        </is>
      </c>
      <c r="B776" t="inlineStr">
        <is>
          <t>Dashverse</t>
        </is>
      </c>
      <c r="C776" s="17" t="n">
        <v>45881</v>
      </c>
      <c r="D776" s="18" t="n">
        <v>45870</v>
      </c>
      <c r="E776" s="19" t="n">
        <v>13</v>
      </c>
      <c r="F776" s="19" t="n">
        <v>114.01</v>
      </c>
      <c r="G776" t="inlineStr">
        <is>
          <t>$13 million</t>
        </is>
      </c>
      <c r="H776" t="inlineStr">
        <is>
          <t>Series A</t>
        </is>
      </c>
      <c r="I776" t="inlineStr">
        <is>
          <t>Early</t>
        </is>
      </c>
      <c r="J776" t="inlineStr">
        <is>
          <t>Media &amp; Entertainment</t>
        </is>
      </c>
      <c r="K776" t="inlineStr">
        <is>
          <t>Bengaluru</t>
        </is>
      </c>
      <c r="L776" t="inlineStr">
        <is>
          <t>Peak XV Partners</t>
        </is>
      </c>
      <c r="M776" t="inlineStr">
        <is>
          <t>Peak XV Partners; Z47; Stellaris Venture Partners</t>
        </is>
      </c>
      <c r="N776" t="inlineStr">
        <is>
          <t>entrackr | inc42 | et</t>
        </is>
      </c>
      <c r="O776" s="20" t="n">
        <v>3</v>
      </c>
      <c r="P776" s="21" t="n">
        <v>0</v>
      </c>
      <c r="Q776" t="inlineStr"/>
      <c r="R776" s="22" t="inlineStr">
        <is>
          <t>https://entrackr.com/news/peak-xv-leads-13-mn-series-a-round-in-dashtoon-maker-dashverse-9651035</t>
        </is>
      </c>
    </row>
    <row r="777">
      <c r="A777" t="inlineStr">
        <is>
          <t>R250812-elever</t>
        </is>
      </c>
      <c r="B777" t="inlineStr">
        <is>
          <t>Elever</t>
        </is>
      </c>
      <c r="C777" s="17" t="n">
        <v>45881</v>
      </c>
      <c r="D777" s="18" t="n">
        <v>45870</v>
      </c>
      <c r="E777" s="19" t="n">
        <v>1.1</v>
      </c>
      <c r="F777" s="19" t="n">
        <v>9.65</v>
      </c>
      <c r="G777" t="inlineStr">
        <is>
          <t>$1.1 million</t>
        </is>
      </c>
      <c r="H777" t="inlineStr">
        <is>
          <t>Pre-Series A</t>
        </is>
      </c>
      <c r="I777" t="inlineStr">
        <is>
          <t>Early</t>
        </is>
      </c>
      <c r="J777" t="inlineStr">
        <is>
          <t>Unclassified</t>
        </is>
      </c>
      <c r="K777" t="inlineStr">
        <is>
          <t>Bengaluru</t>
        </is>
      </c>
      <c r="L777" t="inlineStr"/>
      <c r="M777" t="inlineStr">
        <is>
          <t>Brand Capital</t>
        </is>
      </c>
      <c r="N777" t="inlineStr">
        <is>
          <t>entrackr | et</t>
        </is>
      </c>
      <c r="O777" s="20" t="n">
        <v>2</v>
      </c>
      <c r="P777" s="21" t="n">
        <v>0</v>
      </c>
      <c r="Q777" t="inlineStr">
        <is>
          <t>C06</t>
        </is>
      </c>
      <c r="R777" s="22" t="inlineStr">
        <is>
          <t>https://entrackr.com/snippets/elever-raises-11-mn-in-pre-series-a-round-led-by-brand-capital-9651899</t>
        </is>
      </c>
    </row>
    <row r="778">
      <c r="A778" t="inlineStr">
        <is>
          <t>R250812-elivaas</t>
        </is>
      </c>
      <c r="B778" t="inlineStr">
        <is>
          <t>Elivaas</t>
        </is>
      </c>
      <c r="C778" s="17" t="n">
        <v>45881</v>
      </c>
      <c r="D778" s="18" t="n">
        <v>45870</v>
      </c>
      <c r="E778" s="19" t="n">
        <v>9.92</v>
      </c>
      <c r="F778" s="19" t="n">
        <v>87</v>
      </c>
      <c r="G778" t="inlineStr">
        <is>
          <t>Rs 87 crore</t>
        </is>
      </c>
      <c r="H778" t="inlineStr">
        <is>
          <t>Series B</t>
        </is>
      </c>
      <c r="I778" t="inlineStr">
        <is>
          <t>Growth</t>
        </is>
      </c>
      <c r="J778" t="inlineStr">
        <is>
          <t>Travel Tech</t>
        </is>
      </c>
      <c r="K778" t="inlineStr">
        <is>
          <t>Delhi NCR</t>
        </is>
      </c>
      <c r="L778" t="inlineStr">
        <is>
          <t>Vertex Ventures</t>
        </is>
      </c>
      <c r="M778" t="inlineStr">
        <is>
          <t>Vertex Ventures; Peak XV Partners; 3one4 Capital</t>
        </is>
      </c>
      <c r="N778" t="inlineStr">
        <is>
          <t>entrackr | inc42 | et</t>
        </is>
      </c>
      <c r="O778" s="20" t="n">
        <v>3</v>
      </c>
      <c r="P778" s="21" t="n">
        <v>4.8</v>
      </c>
      <c r="Q778" t="inlineStr"/>
      <c r="R778" s="22" t="inlineStr">
        <is>
          <t>https://entrackr.com/news/elivaas-raises-rs-87-cr-in-series-b-round-led-by-vertex-ventures-9650847</t>
        </is>
      </c>
    </row>
    <row r="779">
      <c r="A779" t="inlineStr">
        <is>
          <t>R250812-fairdeal</t>
        </is>
      </c>
      <c r="B779" t="inlineStr">
        <is>
          <t>Fairdeal.Market</t>
        </is>
      </c>
      <c r="C779" s="17" t="n">
        <v>45881</v>
      </c>
      <c r="D779" s="18" t="n">
        <v>45870</v>
      </c>
      <c r="E779" s="19" t="n">
        <v>3</v>
      </c>
      <c r="F779" s="19" t="n">
        <v>26.31</v>
      </c>
      <c r="G779" t="inlineStr">
        <is>
          <t>$3 million</t>
        </is>
      </c>
      <c r="H779" t="inlineStr">
        <is>
          <t>Pre-Series A</t>
        </is>
      </c>
      <c r="I779" t="inlineStr">
        <is>
          <t>Early</t>
        </is>
      </c>
      <c r="J779" t="inlineStr">
        <is>
          <t>Ecommerce</t>
        </is>
      </c>
      <c r="K779" t="inlineStr">
        <is>
          <t>Delhi NCR</t>
        </is>
      </c>
      <c r="L779" t="inlineStr">
        <is>
          <t>Incubate Fund Asia; Waterbridge Ventures</t>
        </is>
      </c>
      <c r="M779" t="inlineStr">
        <is>
          <t>Incubate Fund Asia; Waterbridge Ventures</t>
        </is>
      </c>
      <c r="N779" t="inlineStr">
        <is>
          <t>entrackr | inc42</t>
        </is>
      </c>
      <c r="O779" s="20" t="n">
        <v>2</v>
      </c>
      <c r="P779" s="21" t="n">
        <v>0</v>
      </c>
      <c r="Q779" t="inlineStr"/>
      <c r="R779" s="22" t="inlineStr">
        <is>
          <t>https://entrackr.com/snippets/fairdeal-raises-3-mn-led-by-incubate-fund-asia-and-waterbridge-9651122</t>
        </is>
      </c>
    </row>
    <row r="780">
      <c r="A780" t="inlineStr">
        <is>
          <t>R250812-holidaytribe</t>
        </is>
      </c>
      <c r="B780" t="inlineStr">
        <is>
          <t>Holiday Tribe</t>
        </is>
      </c>
      <c r="C780" s="17" t="n">
        <v>45881</v>
      </c>
      <c r="D780" s="18" t="n">
        <v>45870</v>
      </c>
      <c r="E780" s="19" t="n">
        <v>2.851</v>
      </c>
      <c r="F780" s="19" t="n">
        <v>25</v>
      </c>
      <c r="G780" t="inlineStr">
        <is>
          <t>Rs 25 crore</t>
        </is>
      </c>
      <c r="H780" t="inlineStr">
        <is>
          <t>Pre-Series A</t>
        </is>
      </c>
      <c r="I780" t="inlineStr">
        <is>
          <t>Early</t>
        </is>
      </c>
      <c r="J780" t="inlineStr">
        <is>
          <t>Travel Tech</t>
        </is>
      </c>
      <c r="K780" t="inlineStr">
        <is>
          <t>Unknown</t>
        </is>
      </c>
      <c r="L780" t="inlineStr">
        <is>
          <t>Powerhouse Ventures; GSF</t>
        </is>
      </c>
      <c r="M780" t="inlineStr">
        <is>
          <t>Powerhouse Ventures; GSF</t>
        </is>
      </c>
      <c r="N780" t="inlineStr">
        <is>
          <t>entrackr | inc42</t>
        </is>
      </c>
      <c r="O780" s="20" t="n">
        <v>2</v>
      </c>
      <c r="P780" s="21" t="n">
        <v>5.2</v>
      </c>
      <c r="Q780" t="inlineStr">
        <is>
          <t>C07</t>
        </is>
      </c>
      <c r="R780" s="22" t="inlineStr">
        <is>
          <t>https://entrackr.com/snippets/holiday-tribe-raises-rs-25-cr-in-pre-series-a-round-9653385</t>
        </is>
      </c>
    </row>
    <row r="781">
      <c r="A781" t="inlineStr">
        <is>
          <t>R250812-kimirica</t>
        </is>
      </c>
      <c r="B781" t="inlineStr">
        <is>
          <t>Kimirica</t>
        </is>
      </c>
      <c r="C781" s="17" t="n">
        <v>45881</v>
      </c>
      <c r="D781" s="18" t="n">
        <v>45870</v>
      </c>
      <c r="E781" s="19" t="n">
        <v>15</v>
      </c>
      <c r="F781" s="19" t="n">
        <v>131.55</v>
      </c>
      <c r="G781" t="inlineStr">
        <is>
          <t>$15 million</t>
        </is>
      </c>
      <c r="H781" t="inlineStr">
        <is>
          <t>Undisclosed</t>
        </is>
      </c>
      <c r="I781" t="inlineStr">
        <is>
          <t>Undisclosed</t>
        </is>
      </c>
      <c r="J781" t="inlineStr">
        <is>
          <t>Ecommerce</t>
        </is>
      </c>
      <c r="K781" t="inlineStr">
        <is>
          <t>Unknown</t>
        </is>
      </c>
      <c r="L781" t="inlineStr">
        <is>
          <t>Vikas Khemani; Carnelian Asset Management</t>
        </is>
      </c>
      <c r="M781" t="inlineStr">
        <is>
          <t>Vikas Khemani; Carnelian Asset Management</t>
        </is>
      </c>
      <c r="N781" t="inlineStr">
        <is>
          <t>entrackr | et</t>
        </is>
      </c>
      <c r="O781" s="20" t="n">
        <v>2</v>
      </c>
      <c r="P781" s="21" t="n">
        <v>0</v>
      </c>
      <c r="Q781" t="inlineStr">
        <is>
          <t>C04 C07 C17</t>
        </is>
      </c>
      <c r="R781" s="22" t="inlineStr">
        <is>
          <t>https://entrackr.com/snippets/vikas-khemanis-carnelian-invests-15-mn-in-kimirica-9652283</t>
        </is>
      </c>
    </row>
    <row r="782">
      <c r="A782" t="inlineStr">
        <is>
          <t>R250812-manastuspace</t>
        </is>
      </c>
      <c r="B782" t="inlineStr">
        <is>
          <t>Manastu Space</t>
        </is>
      </c>
      <c r="C782" s="17" t="n">
        <v>45881</v>
      </c>
      <c r="D782" s="18" t="n">
        <v>45870</v>
      </c>
      <c r="E782" s="19" t="n">
        <v>3</v>
      </c>
      <c r="F782" s="19" t="n">
        <v>26.31</v>
      </c>
      <c r="G782" t="inlineStr">
        <is>
          <t>$3 million</t>
        </is>
      </c>
      <c r="H782" t="inlineStr">
        <is>
          <t>Series A</t>
        </is>
      </c>
      <c r="I782" t="inlineStr">
        <is>
          <t>Early</t>
        </is>
      </c>
      <c r="J782" t="inlineStr">
        <is>
          <t>Advanced Hardware &amp; Technology</t>
        </is>
      </c>
      <c r="K782" t="inlineStr">
        <is>
          <t>Mumbai</t>
        </is>
      </c>
      <c r="L782" t="inlineStr">
        <is>
          <t>Capital-A; Capital 2B; Indian Angel Network</t>
        </is>
      </c>
      <c r="M782" t="inlineStr">
        <is>
          <t>Capital-A; Capital 2B; Indian Angel Network; E2MC</t>
        </is>
      </c>
      <c r="N782" t="inlineStr">
        <is>
          <t>entrackr | inc42 | et</t>
        </is>
      </c>
      <c r="O782" s="20" t="n">
        <v>3</v>
      </c>
      <c r="P782" s="21" t="n">
        <v>0</v>
      </c>
      <c r="Q782" t="inlineStr">
        <is>
          <t>C17</t>
        </is>
      </c>
      <c r="R782" s="22" t="inlineStr">
        <is>
          <t>https://entrackr.com/snippets/spacetech-startup-manastu-space-raises-3-mn-led-by-capital-a-9651060</t>
        </is>
      </c>
    </row>
    <row r="783">
      <c r="A783" t="inlineStr">
        <is>
          <t>R250812-pronto</t>
        </is>
      </c>
      <c r="B783" t="inlineStr">
        <is>
          <t>Pronto</t>
        </is>
      </c>
      <c r="C783" s="17" t="n">
        <v>45881</v>
      </c>
      <c r="D783" s="18" t="n">
        <v>45870</v>
      </c>
      <c r="E783" s="19" t="n">
        <v>11</v>
      </c>
      <c r="F783" s="19" t="n">
        <v>96.47</v>
      </c>
      <c r="G783" t="inlineStr">
        <is>
          <t>$11 million</t>
        </is>
      </c>
      <c r="H783" t="inlineStr">
        <is>
          <t>Series A</t>
        </is>
      </c>
      <c r="I783" t="inlineStr">
        <is>
          <t>Early</t>
        </is>
      </c>
      <c r="J783" t="inlineStr">
        <is>
          <t>Consumer Services</t>
        </is>
      </c>
      <c r="K783" t="inlineStr">
        <is>
          <t>Unknown</t>
        </is>
      </c>
      <c r="L783" t="inlineStr">
        <is>
          <t>General Catalyst; Glade Brook Capital</t>
        </is>
      </c>
      <c r="M783" t="inlineStr">
        <is>
          <t>General Catalyst; Glade Brook Capital; Bain Capital Ventures</t>
        </is>
      </c>
      <c r="N783" t="inlineStr">
        <is>
          <t>entrackr | inc42 | et</t>
        </is>
      </c>
      <c r="O783" s="20" t="n">
        <v>3</v>
      </c>
      <c r="P783" s="21" t="n">
        <v>0</v>
      </c>
      <c r="Q783" t="inlineStr">
        <is>
          <t>C07</t>
        </is>
      </c>
      <c r="R783" s="22" t="inlineStr">
        <is>
          <t>https://entrackr.com/news/home-services-startup-pronto-raises-11-mn-led-by-general-catalyst-9650959</t>
        </is>
      </c>
    </row>
    <row r="784">
      <c r="A784" t="inlineStr">
        <is>
          <t>R250812-seedsfincap</t>
        </is>
      </c>
      <c r="B784" t="inlineStr">
        <is>
          <t>Seeds Fincap</t>
        </is>
      </c>
      <c r="C784" s="17" t="n">
        <v>45881</v>
      </c>
      <c r="D784" s="18" t="n">
        <v>45870</v>
      </c>
      <c r="E784" s="19" t="n">
        <v>5.701</v>
      </c>
      <c r="F784" s="19" t="n">
        <v>50</v>
      </c>
      <c r="G784" t="inlineStr">
        <is>
          <t>Rs 50 crore</t>
        </is>
      </c>
      <c r="H784" t="inlineStr">
        <is>
          <t>Undisclosed</t>
        </is>
      </c>
      <c r="I784" t="inlineStr">
        <is>
          <t>Undisclosed</t>
        </is>
      </c>
      <c r="J784" t="inlineStr">
        <is>
          <t>Fintech</t>
        </is>
      </c>
      <c r="K784" t="inlineStr">
        <is>
          <t>Delhi NCR</t>
        </is>
      </c>
      <c r="L784" t="inlineStr">
        <is>
          <t>Z47; Lok Capital</t>
        </is>
      </c>
      <c r="M784" t="inlineStr">
        <is>
          <t>Z47; Lok Capital; Norinchukin Capital; Alteria Capital</t>
        </is>
      </c>
      <c r="N784" t="inlineStr">
        <is>
          <t>et</t>
        </is>
      </c>
      <c r="O784" s="20" t="n">
        <v>1</v>
      </c>
      <c r="P784" s="21" t="n">
        <v>0</v>
      </c>
      <c r="Q784" t="inlineStr">
        <is>
          <t>C04</t>
        </is>
      </c>
      <c r="R784" s="22" t="inlineStr">
        <is>
          <t>https://economictimes.indiatimes.com/tech/funding/nbfc-seeds-fincap-raises-rs-50-crore-funding-in-round-led-by-z47-lok-capital/articleshow/123255946.cms</t>
        </is>
      </c>
    </row>
    <row r="785">
      <c r="A785" t="inlineStr">
        <is>
          <t>R250812-spikeai</t>
        </is>
      </c>
      <c r="B785" t="inlineStr">
        <is>
          <t>Spike AI</t>
        </is>
      </c>
      <c r="C785" s="17" t="n">
        <v>45881</v>
      </c>
      <c r="D785" s="18" t="n">
        <v>45870</v>
      </c>
      <c r="E785" s="19" t="n">
        <v>1.9</v>
      </c>
      <c r="F785" s="19" t="n">
        <v>16.66</v>
      </c>
      <c r="G785" t="inlineStr">
        <is>
          <t>$1.9 million</t>
        </is>
      </c>
      <c r="H785" t="inlineStr">
        <is>
          <t>Pre-Seed</t>
        </is>
      </c>
      <c r="I785" t="inlineStr">
        <is>
          <t>Early</t>
        </is>
      </c>
      <c r="J785" t="inlineStr">
        <is>
          <t>Artificial Intelligence</t>
        </is>
      </c>
      <c r="K785" t="inlineStr">
        <is>
          <t>Unknown</t>
        </is>
      </c>
      <c r="L785" t="inlineStr">
        <is>
          <t>Sorin Investments; Angad Banga</t>
        </is>
      </c>
      <c r="M785" t="inlineStr">
        <is>
          <t>Sorin Investments; Principal Venture Partners; GSI; Angad Banga</t>
        </is>
      </c>
      <c r="N785" t="inlineStr">
        <is>
          <t>entrackr | inc42</t>
        </is>
      </c>
      <c r="O785" s="20" t="n">
        <v>2</v>
      </c>
      <c r="P785" s="21" t="n">
        <v>0</v>
      </c>
      <c r="Q785" t="inlineStr">
        <is>
          <t>C07</t>
        </is>
      </c>
      <c r="R785" s="22" t="inlineStr">
        <is>
          <t>https://entrackr.com/snippets/spike-ai-raises-19-mn-in-pre-seed-round-led-by-sorin-investment-9651700</t>
        </is>
      </c>
    </row>
    <row r="786">
      <c r="A786" t="inlineStr">
        <is>
          <t>R250812-trackk</t>
        </is>
      </c>
      <c r="B786" t="inlineStr">
        <is>
          <t>Trackk</t>
        </is>
      </c>
      <c r="C786" s="17" t="n">
        <v>45881</v>
      </c>
      <c r="D786" s="18" t="n">
        <v>45870</v>
      </c>
      <c r="E786" s="19" t="n">
        <v>1</v>
      </c>
      <c r="F786" s="19" t="n">
        <v>8.77</v>
      </c>
      <c r="G786" t="inlineStr">
        <is>
          <t>$1 million</t>
        </is>
      </c>
      <c r="H786" t="inlineStr">
        <is>
          <t>Seed</t>
        </is>
      </c>
      <c r="I786" t="inlineStr">
        <is>
          <t>Early</t>
        </is>
      </c>
      <c r="J786" t="inlineStr">
        <is>
          <t>Fintech</t>
        </is>
      </c>
      <c r="K786" t="inlineStr">
        <is>
          <t>Mumbai</t>
        </is>
      </c>
      <c r="L786" t="inlineStr"/>
      <c r="M786" t="inlineStr">
        <is>
          <t>Mga Ventures; GSF Ventures; GNP Group; Paras Defence</t>
        </is>
      </c>
      <c r="N786" t="inlineStr">
        <is>
          <t>entrackr | inc42</t>
        </is>
      </c>
      <c r="O786" s="20" t="n">
        <v>2</v>
      </c>
      <c r="P786" s="21" t="n">
        <v>0</v>
      </c>
      <c r="Q786" t="inlineStr"/>
      <c r="R786" s="22" t="inlineStr">
        <is>
          <t>https://entrackr.com/snippets/trading-platform-trackk-raises-1-mn-in-seed-round-9652110</t>
        </is>
      </c>
    </row>
    <row r="787">
      <c r="A787" t="inlineStr">
        <is>
          <t>R250812-ultraviolette</t>
        </is>
      </c>
      <c r="B787" t="inlineStr">
        <is>
          <t>Ultraviolette</t>
        </is>
      </c>
      <c r="C787" s="17" t="n">
        <v>45881</v>
      </c>
      <c r="D787" s="18" t="n">
        <v>45870</v>
      </c>
      <c r="E787" s="19" t="n">
        <v>21</v>
      </c>
      <c r="F787" s="19" t="n">
        <v>184.17</v>
      </c>
      <c r="G787" t="inlineStr">
        <is>
          <t>$21 million</t>
        </is>
      </c>
      <c r="H787" t="inlineStr">
        <is>
          <t>Undisclosed</t>
        </is>
      </c>
      <c r="I787" t="inlineStr">
        <is>
          <t>Undisclosed</t>
        </is>
      </c>
      <c r="J787" t="inlineStr">
        <is>
          <t>Cleantech</t>
        </is>
      </c>
      <c r="K787" t="inlineStr">
        <is>
          <t>Bengaluru</t>
        </is>
      </c>
      <c r="L787" t="inlineStr">
        <is>
          <t>TDK Ventures</t>
        </is>
      </c>
      <c r="M787" t="inlineStr">
        <is>
          <t>TDK Ventures; Sriharsha Majety</t>
        </is>
      </c>
      <c r="N787" t="inlineStr">
        <is>
          <t>entrackr | inc42</t>
        </is>
      </c>
      <c r="O787" s="20" t="n">
        <v>2</v>
      </c>
      <c r="P787" s="21" t="n">
        <v>0</v>
      </c>
      <c r="Q787" t="inlineStr">
        <is>
          <t>C04</t>
        </is>
      </c>
      <c r="R787" s="22" t="inlineStr">
        <is>
          <t>https://entrackr.com/news/electric-bike-startup-ultraviolette-raises-21-mn-led-by-tdk-ventures-9653374</t>
        </is>
      </c>
    </row>
    <row r="788">
      <c r="A788" t="inlineStr">
        <is>
          <t>R250813-arintra</t>
        </is>
      </c>
      <c r="B788" t="inlineStr">
        <is>
          <t>Arintra</t>
        </is>
      </c>
      <c r="C788" s="17" t="n">
        <v>45882</v>
      </c>
      <c r="D788" s="18" t="n">
        <v>45870</v>
      </c>
      <c r="E788" s="19" t="n">
        <v>21</v>
      </c>
      <c r="F788" s="19" t="n">
        <v>183.64</v>
      </c>
      <c r="G788" t="inlineStr">
        <is>
          <t>$21 million</t>
        </is>
      </c>
      <c r="H788" t="inlineStr">
        <is>
          <t>Series A</t>
        </is>
      </c>
      <c r="I788" t="inlineStr">
        <is>
          <t>Early</t>
        </is>
      </c>
      <c r="J788" t="inlineStr">
        <is>
          <t>Enterprise Tech</t>
        </is>
      </c>
      <c r="K788" t="inlineStr">
        <is>
          <t>Outside India</t>
        </is>
      </c>
      <c r="L788" t="inlineStr">
        <is>
          <t>Peak XV Partners</t>
        </is>
      </c>
      <c r="M788" t="inlineStr">
        <is>
          <t>Peak XV Partners; Endeavor Health Ventures; Y Combinator; Counterpart Ventures; Spider Capital; Ten13</t>
        </is>
      </c>
      <c r="N788" t="inlineStr">
        <is>
          <t>entrackr | inc42 | et</t>
        </is>
      </c>
      <c r="O788" s="20" t="n">
        <v>3</v>
      </c>
      <c r="P788" s="21" t="n">
        <v>0</v>
      </c>
      <c r="Q788" t="inlineStr"/>
      <c r="R788" s="22" t="inlineStr">
        <is>
          <t>https://entrackr.com/news/arintra-raises-21-mn-in-series-a-round-led-by-peak-xv-9655031</t>
        </is>
      </c>
    </row>
    <row r="789">
      <c r="A789" t="inlineStr">
        <is>
          <t>R250813-comminent</t>
        </is>
      </c>
      <c r="B789" t="inlineStr">
        <is>
          <t>Comminent</t>
        </is>
      </c>
      <c r="C789" s="17" t="n">
        <v>45882</v>
      </c>
      <c r="D789" s="18" t="n">
        <v>45870</v>
      </c>
      <c r="E789" s="19" t="n">
        <v>2</v>
      </c>
      <c r="F789" s="19" t="n">
        <v>17.49</v>
      </c>
      <c r="G789" t="inlineStr">
        <is>
          <t>$2 million</t>
        </is>
      </c>
      <c r="H789" t="inlineStr">
        <is>
          <t>Undisclosed</t>
        </is>
      </c>
      <c r="I789" t="inlineStr">
        <is>
          <t>Undisclosed</t>
        </is>
      </c>
      <c r="J789" t="inlineStr">
        <is>
          <t>Advanced Hardware &amp; Technology</t>
        </is>
      </c>
      <c r="K789" t="inlineStr">
        <is>
          <t>Bengaluru</t>
        </is>
      </c>
      <c r="L789" t="inlineStr">
        <is>
          <t>Transition VC</t>
        </is>
      </c>
      <c r="M789" t="inlineStr">
        <is>
          <t>Transition VC</t>
        </is>
      </c>
      <c r="N789" t="inlineStr">
        <is>
          <t>entrackr | inc42 | et</t>
        </is>
      </c>
      <c r="O789" s="20" t="n">
        <v>3</v>
      </c>
      <c r="P789" s="21" t="n">
        <v>0</v>
      </c>
      <c r="Q789" t="inlineStr">
        <is>
          <t>C04</t>
        </is>
      </c>
      <c r="R789" s="22" t="inlineStr">
        <is>
          <t>https://entrackr.com/snippets/deeptech-startup-comminent-raises-2-mn-from-transition-vc-9654918</t>
        </is>
      </c>
    </row>
    <row r="790">
      <c r="A790" t="inlineStr">
        <is>
          <t>R250813-cureouslabs</t>
        </is>
      </c>
      <c r="B790" t="inlineStr">
        <is>
          <t>Cureous Labs</t>
        </is>
      </c>
      <c r="C790" s="17" t="n">
        <v>45882</v>
      </c>
      <c r="D790" s="18" t="n">
        <v>45870</v>
      </c>
      <c r="E790" s="19" t="n">
        <v>0.19</v>
      </c>
      <c r="F790" s="19" t="n">
        <v>1.66</v>
      </c>
      <c r="G790" t="inlineStr">
        <is>
          <t>Rs 1.66 crore</t>
        </is>
      </c>
      <c r="H790" t="inlineStr">
        <is>
          <t>Seed</t>
        </is>
      </c>
      <c r="I790" t="inlineStr">
        <is>
          <t>Early</t>
        </is>
      </c>
      <c r="J790" t="inlineStr">
        <is>
          <t>Healthtech</t>
        </is>
      </c>
      <c r="K790" t="inlineStr">
        <is>
          <t>Bengaluru</t>
        </is>
      </c>
      <c r="L790" t="inlineStr">
        <is>
          <t>Inflection Point Ventures</t>
        </is>
      </c>
      <c r="M790" t="inlineStr">
        <is>
          <t>Inflection Point Ventures; Anthill Ventures</t>
        </is>
      </c>
      <c r="N790" t="inlineStr">
        <is>
          <t>entrackr</t>
        </is>
      </c>
      <c r="O790" s="20" t="n">
        <v>1</v>
      </c>
      <c r="P790" s="21" t="n">
        <v>0</v>
      </c>
      <c r="Q790" t="inlineStr"/>
      <c r="R790" s="22" t="inlineStr">
        <is>
          <t>https://entrackr.com/snippets/cureous-labs-raises-rs-166-cr-in-seed-round-9655177</t>
        </is>
      </c>
    </row>
    <row r="791">
      <c r="A791" t="inlineStr">
        <is>
          <t>R250813-oleespace</t>
        </is>
      </c>
      <c r="B791" t="inlineStr">
        <is>
          <t>Olee Space</t>
        </is>
      </c>
      <c r="C791" s="17" t="n">
        <v>45882</v>
      </c>
      <c r="D791" s="18" t="n">
        <v>45870</v>
      </c>
      <c r="E791" s="19" t="n">
        <v>3</v>
      </c>
      <c r="F791" s="19" t="n">
        <v>26.24</v>
      </c>
      <c r="G791" t="inlineStr">
        <is>
          <t>$3 million</t>
        </is>
      </c>
      <c r="H791" t="inlineStr">
        <is>
          <t>Seed</t>
        </is>
      </c>
      <c r="I791" t="inlineStr">
        <is>
          <t>Early</t>
        </is>
      </c>
      <c r="J791" t="inlineStr">
        <is>
          <t>Advanced Hardware &amp; Technology</t>
        </is>
      </c>
      <c r="K791" t="inlineStr">
        <is>
          <t>Pune</t>
        </is>
      </c>
      <c r="L791" t="inlineStr"/>
      <c r="M791" t="inlineStr">
        <is>
          <t>Rockstud Capital</t>
        </is>
      </c>
      <c r="N791" t="inlineStr">
        <is>
          <t>entrackr | inc42</t>
        </is>
      </c>
      <c r="O791" s="20" t="n">
        <v>2</v>
      </c>
      <c r="P791" s="21" t="n">
        <v>0</v>
      </c>
      <c r="Q791" t="inlineStr"/>
      <c r="R791" s="22" t="inlineStr">
        <is>
          <t>https://entrackr.com/snippets/oleespace-raises-3-mn-in-seed-round-led-by-rockstud-capital-9655137</t>
        </is>
      </c>
    </row>
    <row r="792">
      <c r="A792" t="inlineStr">
        <is>
          <t>R250813-refoldai</t>
        </is>
      </c>
      <c r="B792" t="inlineStr">
        <is>
          <t>Refold AI</t>
        </is>
      </c>
      <c r="C792" s="17" t="n">
        <v>45882</v>
      </c>
      <c r="D792" s="18" t="n">
        <v>45870</v>
      </c>
      <c r="E792" s="19" t="n">
        <v>6.5</v>
      </c>
      <c r="F792" s="19" t="n">
        <v>56.84</v>
      </c>
      <c r="G792" t="inlineStr">
        <is>
          <t>$6.5 million</t>
        </is>
      </c>
      <c r="H792" t="inlineStr">
        <is>
          <t>Seed</t>
        </is>
      </c>
      <c r="I792" t="inlineStr">
        <is>
          <t>Early</t>
        </is>
      </c>
      <c r="J792" t="inlineStr">
        <is>
          <t>Artificial Intelligence</t>
        </is>
      </c>
      <c r="K792" t="inlineStr">
        <is>
          <t>Unknown</t>
        </is>
      </c>
      <c r="L792" t="inlineStr">
        <is>
          <t>Eniac Ventures; Tidal Ventures</t>
        </is>
      </c>
      <c r="M792" t="inlineStr">
        <is>
          <t>Eniac Ventures; Tidal Ventures; Better Capital; Ahead VC; Karman Ventures; Z21</t>
        </is>
      </c>
      <c r="N792" t="inlineStr">
        <is>
          <t>entrackr | inc42 | et</t>
        </is>
      </c>
      <c r="O792" s="20" t="n">
        <v>3</v>
      </c>
      <c r="P792" s="21" t="n">
        <v>0</v>
      </c>
      <c r="Q792" t="inlineStr">
        <is>
          <t>C07</t>
        </is>
      </c>
      <c r="R792" s="22" t="inlineStr">
        <is>
          <t>https://entrackr.com/snippets/refold-ai-raises-65-mn-in-seed-round-9657427</t>
        </is>
      </c>
    </row>
    <row r="793">
      <c r="A793" t="inlineStr">
        <is>
          <t>R250814-darwinbox</t>
        </is>
      </c>
      <c r="B793" t="inlineStr">
        <is>
          <t>Darwinbox</t>
        </is>
      </c>
      <c r="C793" s="17" t="n">
        <v>45883</v>
      </c>
      <c r="D793" s="18" t="n">
        <v>45870</v>
      </c>
      <c r="E793" s="19" t="n">
        <v>40</v>
      </c>
      <c r="F793" s="19" t="n">
        <v>350.28</v>
      </c>
      <c r="G793" t="inlineStr">
        <is>
          <t>$40 million</t>
        </is>
      </c>
      <c r="H793" t="inlineStr">
        <is>
          <t>Undisclosed</t>
        </is>
      </c>
      <c r="I793" t="inlineStr">
        <is>
          <t>Undisclosed</t>
        </is>
      </c>
      <c r="J793" t="inlineStr">
        <is>
          <t>Enterprise Tech</t>
        </is>
      </c>
      <c r="K793" t="inlineStr">
        <is>
          <t>Hyderabad</t>
        </is>
      </c>
      <c r="L793" t="inlineStr">
        <is>
          <t>Ontario Teachers’ Pension Plan</t>
        </is>
      </c>
      <c r="M793" t="inlineStr">
        <is>
          <t>Ontario Teachers’ Pension Plan; Teachers’ Venture Growth; KKR; Gravity Holdings</t>
        </is>
      </c>
      <c r="N793" t="inlineStr">
        <is>
          <t>entrackr | inc42 | et</t>
        </is>
      </c>
      <c r="O793" s="20" t="n">
        <v>3</v>
      </c>
      <c r="P793" s="21" t="n">
        <v>0</v>
      </c>
      <c r="Q793" t="inlineStr">
        <is>
          <t>C04</t>
        </is>
      </c>
      <c r="R793" s="22" t="inlineStr">
        <is>
          <t>https://entrackr.com/news/darwinbox-raises-40-mn-funding-from-canadas-otpp-9661041</t>
        </is>
      </c>
    </row>
    <row r="794">
      <c r="A794" t="inlineStr">
        <is>
          <t>R250814-lifelongonline</t>
        </is>
      </c>
      <c r="B794" t="inlineStr">
        <is>
          <t>Lifelong Online</t>
        </is>
      </c>
      <c r="C794" s="17" t="n">
        <v>45883</v>
      </c>
      <c r="D794" s="18" t="n">
        <v>45870</v>
      </c>
      <c r="E794" s="19" t="n">
        <v>13</v>
      </c>
      <c r="F794" s="19" t="n">
        <v>113.84</v>
      </c>
      <c r="G794" t="inlineStr">
        <is>
          <t>$13 Mn</t>
        </is>
      </c>
      <c r="H794" t="inlineStr">
        <is>
          <t>Undisclosed</t>
        </is>
      </c>
      <c r="I794" t="inlineStr">
        <is>
          <t>Undisclosed</t>
        </is>
      </c>
      <c r="J794" t="inlineStr">
        <is>
          <t>Ecommerce</t>
        </is>
      </c>
      <c r="K794" t="inlineStr">
        <is>
          <t>Unknown</t>
        </is>
      </c>
      <c r="L794" t="inlineStr"/>
      <c r="M794" t="inlineStr">
        <is>
          <t>Sunil Kant Munjal; Tanglin Ventures</t>
        </is>
      </c>
      <c r="N794" t="inlineStr">
        <is>
          <t>inc42</t>
        </is>
      </c>
      <c r="O794" s="20" t="n">
        <v>1</v>
      </c>
      <c r="P794" s="21" t="n">
        <v>0</v>
      </c>
      <c r="Q794" t="inlineStr">
        <is>
          <t>C04 C07</t>
        </is>
      </c>
      <c r="R794" s="22" t="inlineStr">
        <is>
          <t>https://inc42.com/buzz/from-truemeds-to-ultraviolette-indian-startups-raised-272-mn-this-week/</t>
        </is>
      </c>
    </row>
    <row r="795">
      <c r="A795" t="inlineStr">
        <is>
          <t>R250814-shivaliksmallf</t>
        </is>
      </c>
      <c r="B795" t="inlineStr">
        <is>
          <t>Shivalik Small Finance Bank</t>
        </is>
      </c>
      <c r="C795" s="17" t="n">
        <v>45883</v>
      </c>
      <c r="D795" s="18" t="n">
        <v>45870</v>
      </c>
      <c r="E795" s="19" t="n">
        <v>11.419</v>
      </c>
      <c r="F795" s="19" t="n">
        <v>100</v>
      </c>
      <c r="G795" t="inlineStr">
        <is>
          <t>Rs 100 crore</t>
        </is>
      </c>
      <c r="H795" t="inlineStr">
        <is>
          <t>Undisclosed</t>
        </is>
      </c>
      <c r="I795" t="inlineStr">
        <is>
          <t>Undisclosed</t>
        </is>
      </c>
      <c r="J795" t="inlineStr">
        <is>
          <t>Unclassified</t>
        </is>
      </c>
      <c r="K795" t="inlineStr">
        <is>
          <t>Unknown</t>
        </is>
      </c>
      <c r="L795" t="inlineStr">
        <is>
          <t>SMBC Asia Rising Fund- Japan</t>
        </is>
      </c>
      <c r="M795" t="inlineStr">
        <is>
          <t>SMBC Asia Rising Fund- Japan; Accel; Quona Capital; Lightspeed; Sorin Investments</t>
        </is>
      </c>
      <c r="N795" t="inlineStr">
        <is>
          <t>entrackr</t>
        </is>
      </c>
      <c r="O795" s="20" t="n">
        <v>1</v>
      </c>
      <c r="P795" s="21" t="n">
        <v>0</v>
      </c>
      <c r="Q795" t="inlineStr">
        <is>
          <t>C04 C06 C07</t>
        </is>
      </c>
      <c r="R795" s="22" t="inlineStr">
        <is>
          <t>https://entrackr.com/snippets/shivalik-small-finance-bank-raises-rs-100-cr-from-smbc-accel-lightspeed-others-9658708</t>
        </is>
      </c>
    </row>
    <row r="796">
      <c r="A796" t="inlineStr">
        <is>
          <t>R250814-shreetech</t>
        </is>
      </c>
      <c r="B796" t="inlineStr">
        <is>
          <t>Shreetech</t>
        </is>
      </c>
      <c r="C796" s="17" t="n">
        <v>45883</v>
      </c>
      <c r="D796" s="18" t="n">
        <v>45870</v>
      </c>
      <c r="E796" s="19" t="n">
        <v>4.5</v>
      </c>
      <c r="F796" s="19" t="n">
        <v>39.41</v>
      </c>
      <c r="G796" t="inlineStr">
        <is>
          <t>$4.5 million</t>
        </is>
      </c>
      <c r="H796" t="inlineStr">
        <is>
          <t>Undisclosed</t>
        </is>
      </c>
      <c r="I796" t="inlineStr">
        <is>
          <t>Undisclosed</t>
        </is>
      </c>
      <c r="J796" t="inlineStr">
        <is>
          <t>Unclassified</t>
        </is>
      </c>
      <c r="K796" t="inlineStr">
        <is>
          <t>Mumbai</t>
        </is>
      </c>
      <c r="L796" t="inlineStr"/>
      <c r="M796" t="inlineStr">
        <is>
          <t>Aarii Ventures; Cello Family Office</t>
        </is>
      </c>
      <c r="N796" t="inlineStr">
        <is>
          <t>entrackr</t>
        </is>
      </c>
      <c r="O796" s="20" t="n">
        <v>1</v>
      </c>
      <c r="P796" s="21" t="n">
        <v>0</v>
      </c>
      <c r="Q796" t="inlineStr">
        <is>
          <t>C04 C06</t>
        </is>
      </c>
      <c r="R796" s="22" t="inlineStr">
        <is>
          <t>https://entrackr.com/snippets/shreetech-raises-45-mn-from-aarii-ventures-and-cello-family-office-9659234</t>
        </is>
      </c>
    </row>
    <row r="797">
      <c r="A797" t="inlineStr">
        <is>
          <t>R250818-amnex</t>
        </is>
      </c>
      <c r="B797" t="inlineStr">
        <is>
          <t>Amnex</t>
        </is>
      </c>
      <c r="C797" s="17" t="n">
        <v>45887</v>
      </c>
      <c r="D797" s="18" t="n">
        <v>45870</v>
      </c>
      <c r="E797" s="19" t="n">
        <v>52.644</v>
      </c>
      <c r="F797" s="19" t="n">
        <v>460</v>
      </c>
      <c r="G797" t="inlineStr">
        <is>
          <t>Rs 460 crore</t>
        </is>
      </c>
      <c r="H797" t="inlineStr">
        <is>
          <t>Undisclosed</t>
        </is>
      </c>
      <c r="I797" t="inlineStr">
        <is>
          <t>Undisclosed</t>
        </is>
      </c>
      <c r="J797" t="inlineStr">
        <is>
          <t>Unclassified</t>
        </is>
      </c>
      <c r="K797" t="inlineStr">
        <is>
          <t>Ahmedabad</t>
        </is>
      </c>
      <c r="L797" t="inlineStr"/>
      <c r="M797" t="inlineStr"/>
      <c r="N797" t="inlineStr">
        <is>
          <t>entrackr | vccircle</t>
        </is>
      </c>
      <c r="O797" s="20" t="n">
        <v>2</v>
      </c>
      <c r="P797" s="21" t="n">
        <v>1.2</v>
      </c>
      <c r="Q797" t="inlineStr">
        <is>
          <t>C04 C05 C06</t>
        </is>
      </c>
      <c r="R797" s="22" t="inlineStr">
        <is>
          <t>https://entrackr.com/snippets/the-wealth-company-invests-rs-460-cr-in-ahmedabad-based-amnex-9672151</t>
        </is>
      </c>
    </row>
    <row r="798">
      <c r="A798" t="inlineStr">
        <is>
          <t>R250818-arthaselectfun</t>
        </is>
      </c>
      <c r="B798" t="inlineStr">
        <is>
          <t>Artha Select Fund</t>
        </is>
      </c>
      <c r="C798" s="17" t="n">
        <v>45887</v>
      </c>
      <c r="D798" s="18" t="n">
        <v>45870</v>
      </c>
      <c r="E798" s="19" t="n">
        <v>49.439</v>
      </c>
      <c r="F798" s="19" t="n">
        <v>432</v>
      </c>
      <c r="G798" t="inlineStr">
        <is>
          <t>Rs 432 crore</t>
        </is>
      </c>
      <c r="H798" t="inlineStr">
        <is>
          <t>Series B</t>
        </is>
      </c>
      <c r="I798" t="inlineStr">
        <is>
          <t>Growth</t>
        </is>
      </c>
      <c r="J798" t="inlineStr">
        <is>
          <t>Unclassified</t>
        </is>
      </c>
      <c r="K798" t="inlineStr">
        <is>
          <t>Unknown</t>
        </is>
      </c>
      <c r="L798" t="inlineStr"/>
      <c r="M798" t="inlineStr"/>
      <c r="N798" t="inlineStr">
        <is>
          <t>entrackr | et</t>
        </is>
      </c>
      <c r="O798" s="20" t="n">
        <v>2</v>
      </c>
      <c r="P798" s="21" t="n">
        <v>0</v>
      </c>
      <c r="Q798" t="inlineStr">
        <is>
          <t>C05 C06 C07</t>
        </is>
      </c>
      <c r="R798" s="22" t="inlineStr">
        <is>
          <t>https://entrackr.com/snippets/artha-select-fund-closes-at-rs-432-cr-aum-crosses-rs-1200-cr-9671131</t>
        </is>
      </c>
    </row>
    <row r="799">
      <c r="A799" t="inlineStr">
        <is>
          <t>R250818-dobra</t>
        </is>
      </c>
      <c r="B799" t="inlineStr">
        <is>
          <t>DOBRA</t>
        </is>
      </c>
      <c r="C799" s="17" t="n">
        <v>45887</v>
      </c>
      <c r="D799" s="18" t="n">
        <v>45870</v>
      </c>
      <c r="E799" s="19" t="n">
        <v>0.172</v>
      </c>
      <c r="F799" s="19" t="n">
        <v>1.5</v>
      </c>
      <c r="G799" t="inlineStr">
        <is>
          <t>Rs 1.5 crore</t>
        </is>
      </c>
      <c r="H799" t="inlineStr">
        <is>
          <t>Seed</t>
        </is>
      </c>
      <c r="I799" t="inlineStr">
        <is>
          <t>Early</t>
        </is>
      </c>
      <c r="J799" t="inlineStr">
        <is>
          <t>Ecommerce</t>
        </is>
      </c>
      <c r="K799" t="inlineStr">
        <is>
          <t>Unknown</t>
        </is>
      </c>
      <c r="L799" t="inlineStr">
        <is>
          <t>D2C Insider Super Angels Fund</t>
        </is>
      </c>
      <c r="M799" t="inlineStr">
        <is>
          <t>D2C Insider Super Angels Fund</t>
        </is>
      </c>
      <c r="N799" t="inlineStr">
        <is>
          <t>entrackr</t>
        </is>
      </c>
      <c r="O799" s="20" t="n">
        <v>1</v>
      </c>
      <c r="P799" s="21" t="n">
        <v>0</v>
      </c>
      <c r="Q799" t="inlineStr">
        <is>
          <t>C07</t>
        </is>
      </c>
      <c r="R799" s="22" t="inlineStr">
        <is>
          <t>https://entrackr.com/snippets/dobra-raises-rs-15-cr-in-seed-round-from-d2c-insider-super-angels-fund-9672950</t>
        </is>
      </c>
    </row>
    <row r="800">
      <c r="A800" t="inlineStr">
        <is>
          <t>R250818-famyo</t>
        </is>
      </c>
      <c r="B800" t="inlineStr">
        <is>
          <t>Famyo</t>
        </is>
      </c>
      <c r="C800" s="17" t="n">
        <v>45887</v>
      </c>
      <c r="D800" s="18" t="n">
        <v>45870</v>
      </c>
      <c r="E800" s="19" t="n">
        <v>0.458</v>
      </c>
      <c r="F800" s="19" t="n">
        <v>4</v>
      </c>
      <c r="G800" t="inlineStr">
        <is>
          <t>Rs 4 crore</t>
        </is>
      </c>
      <c r="H800" t="inlineStr">
        <is>
          <t>Seed</t>
        </is>
      </c>
      <c r="I800" t="inlineStr">
        <is>
          <t>Early</t>
        </is>
      </c>
      <c r="J800" t="inlineStr">
        <is>
          <t>Ecommerce</t>
        </is>
      </c>
      <c r="K800" t="inlineStr">
        <is>
          <t>Bengaluru</t>
        </is>
      </c>
      <c r="L800" t="inlineStr">
        <is>
          <t>IAN Angel Fund</t>
        </is>
      </c>
      <c r="M800" t="inlineStr">
        <is>
          <t>IAN Angel Fund; Shivali Vij; Deepank Kumar; Pratik Mathurkar; Uday Sodhi; Stoffer Norden</t>
        </is>
      </c>
      <c r="N800" t="inlineStr">
        <is>
          <t>entrackr | inc42</t>
        </is>
      </c>
      <c r="O800" s="20" t="n">
        <v>2</v>
      </c>
      <c r="P800" s="21" t="n">
        <v>0.2</v>
      </c>
      <c r="Q800" t="inlineStr"/>
      <c r="R800" s="22" t="inlineStr">
        <is>
          <t>https://inc42.com/buzz/from-r-for-rabbit-to-house-of-biryan-indian-startups-raised-62-mn-this-week/</t>
        </is>
      </c>
    </row>
    <row r="801">
      <c r="A801" t="inlineStr">
        <is>
          <t>R250818-goldisolar</t>
        </is>
      </c>
      <c r="B801" t="inlineStr">
        <is>
          <t>Goldi Solar</t>
        </is>
      </c>
      <c r="C801" s="17" t="n">
        <v>45887</v>
      </c>
      <c r="D801" s="18" t="n">
        <v>45870</v>
      </c>
      <c r="E801" s="19" t="n">
        <v>15.736</v>
      </c>
      <c r="F801" s="19" t="n">
        <v>137.5</v>
      </c>
      <c r="G801" t="inlineStr">
        <is>
          <t>Rs 137.5 crore</t>
        </is>
      </c>
      <c r="H801" t="inlineStr">
        <is>
          <t>Undisclosed</t>
        </is>
      </c>
      <c r="I801" t="inlineStr">
        <is>
          <t>Undisclosed</t>
        </is>
      </c>
      <c r="J801" t="inlineStr">
        <is>
          <t>Cleantech</t>
        </is>
      </c>
      <c r="K801" t="inlineStr">
        <is>
          <t>Surat</t>
        </is>
      </c>
      <c r="L801" t="inlineStr"/>
      <c r="M801" t="inlineStr">
        <is>
          <t>Nikhil Kamath</t>
        </is>
      </c>
      <c r="N801" t="inlineStr">
        <is>
          <t>entrackr</t>
        </is>
      </c>
      <c r="O801" s="20" t="n">
        <v>1</v>
      </c>
      <c r="P801" s="21" t="n">
        <v>0</v>
      </c>
      <c r="Q801" t="inlineStr">
        <is>
          <t>C04</t>
        </is>
      </c>
      <c r="R801" s="22" t="inlineStr">
        <is>
          <t>https://entrackr.com/snippets/nikhil-kamath-invests-rs-1375-cr-in-goldi-solar-9673936</t>
        </is>
      </c>
    </row>
    <row r="802">
      <c r="A802" t="inlineStr">
        <is>
          <t>R250818-stanzaliving</t>
        </is>
      </c>
      <c r="B802" t="inlineStr">
        <is>
          <t>Stanza Living</t>
        </is>
      </c>
      <c r="C802" s="17" t="n">
        <v>45887</v>
      </c>
      <c r="D802" s="18" t="n">
        <v>45870</v>
      </c>
      <c r="E802" s="19" t="n">
        <v>6.867</v>
      </c>
      <c r="F802" s="19" t="n">
        <v>60</v>
      </c>
      <c r="G802" t="inlineStr">
        <is>
          <t>Rs 60 crore</t>
        </is>
      </c>
      <c r="H802" t="inlineStr">
        <is>
          <t>Debt</t>
        </is>
      </c>
      <c r="I802" t="inlineStr">
        <is>
          <t>Debt</t>
        </is>
      </c>
      <c r="J802" t="inlineStr">
        <is>
          <t>Unclassified</t>
        </is>
      </c>
      <c r="K802" t="inlineStr">
        <is>
          <t>Delhi NCR</t>
        </is>
      </c>
      <c r="L802" t="inlineStr"/>
      <c r="M802" t="inlineStr">
        <is>
          <t>Alteria Capital; Innoven Capital</t>
        </is>
      </c>
      <c r="N802" t="inlineStr">
        <is>
          <t>entrackr</t>
        </is>
      </c>
      <c r="O802" s="20" t="n">
        <v>1</v>
      </c>
      <c r="P802" s="21" t="n">
        <v>0</v>
      </c>
      <c r="Q802" t="inlineStr">
        <is>
          <t>C06</t>
        </is>
      </c>
      <c r="R802" s="22" t="inlineStr">
        <is>
          <t>https://entrackr.com/exclusive/exclusive-stanza-living-secures-debt-from-alteria-and-innoven-capital-9672824</t>
        </is>
      </c>
    </row>
    <row r="803">
      <c r="A803" t="inlineStr">
        <is>
          <t>R250819-beyondapplianc</t>
        </is>
      </c>
      <c r="B803" t="inlineStr">
        <is>
          <t>Beyond Appliances</t>
        </is>
      </c>
      <c r="C803" s="17" t="n">
        <v>45888</v>
      </c>
      <c r="D803" s="18" t="n">
        <v>45870</v>
      </c>
      <c r="E803" s="19" t="n">
        <v>4</v>
      </c>
      <c r="F803" s="19" t="n">
        <v>34.84</v>
      </c>
      <c r="G803" t="inlineStr">
        <is>
          <t>$4 million</t>
        </is>
      </c>
      <c r="H803" t="inlineStr">
        <is>
          <t>Series A</t>
        </is>
      </c>
      <c r="I803" t="inlineStr">
        <is>
          <t>Early</t>
        </is>
      </c>
      <c r="J803" t="inlineStr">
        <is>
          <t>Ecommerce</t>
        </is>
      </c>
      <c r="K803" t="inlineStr">
        <is>
          <t>Bengaluru</t>
        </is>
      </c>
      <c r="L803" t="inlineStr">
        <is>
          <t>Fireside Ventures</t>
        </is>
      </c>
      <c r="M803" t="inlineStr">
        <is>
          <t>Fireside Ventures; Dharana Capital</t>
        </is>
      </c>
      <c r="N803" t="inlineStr">
        <is>
          <t>entrackr | inc42 | et</t>
        </is>
      </c>
      <c r="O803" s="20" t="n">
        <v>3</v>
      </c>
      <c r="P803" s="21" t="n">
        <v>0</v>
      </c>
      <c r="Q803" t="inlineStr"/>
      <c r="R803" s="22" t="inlineStr">
        <is>
          <t>https://entrackr.com/snippets/beyond-appliances-raises-4-mn-in-series-a-round-led-by-fireside-ventures-9674988</t>
        </is>
      </c>
    </row>
    <row r="804">
      <c r="A804" t="inlineStr">
        <is>
          <t>R250819-hexafun</t>
        </is>
      </c>
      <c r="B804" t="inlineStr">
        <is>
          <t>Hexafun</t>
        </is>
      </c>
      <c r="C804" s="17" t="n">
        <v>45888</v>
      </c>
      <c r="D804" s="18" t="n">
        <v>45870</v>
      </c>
      <c r="E804" s="19" t="n">
        <v>0.517</v>
      </c>
      <c r="F804" s="19" t="n">
        <v>4.5</v>
      </c>
      <c r="G804" t="inlineStr">
        <is>
          <t>Rs 4.5 crore</t>
        </is>
      </c>
      <c r="H804" t="inlineStr">
        <is>
          <t>Seed</t>
        </is>
      </c>
      <c r="I804" t="inlineStr">
        <is>
          <t>Early</t>
        </is>
      </c>
      <c r="J804" t="inlineStr">
        <is>
          <t>Ecommerce</t>
        </is>
      </c>
      <c r="K804" t="inlineStr">
        <is>
          <t>Unknown</t>
        </is>
      </c>
      <c r="L804" t="inlineStr">
        <is>
          <t>Prajay Advisors</t>
        </is>
      </c>
      <c r="M804" t="inlineStr">
        <is>
          <t>Prajay Advisors</t>
        </is>
      </c>
      <c r="N804" t="inlineStr">
        <is>
          <t>entrackr | inc42</t>
        </is>
      </c>
      <c r="O804" s="20" t="n">
        <v>2</v>
      </c>
      <c r="P804" s="21" t="n">
        <v>1.3</v>
      </c>
      <c r="Q804" t="inlineStr">
        <is>
          <t>C07</t>
        </is>
      </c>
      <c r="R804" s="22" t="inlineStr">
        <is>
          <t>https://inc42.com/buzz/from-r-for-rabbit-to-house-of-biryan-indian-startups-raised-62-mn-this-week/</t>
        </is>
      </c>
    </row>
    <row r="805">
      <c r="A805" t="inlineStr">
        <is>
          <t>R250819-houseofbiryan</t>
        </is>
      </c>
      <c r="B805" t="inlineStr">
        <is>
          <t>House Of Biryan</t>
        </is>
      </c>
      <c r="C805" s="17" t="n">
        <v>45888</v>
      </c>
      <c r="D805" s="18" t="n">
        <v>45870</v>
      </c>
      <c r="E805" s="19" t="n">
        <v>3.674</v>
      </c>
      <c r="F805" s="19" t="n">
        <v>32</v>
      </c>
      <c r="G805" t="inlineStr">
        <is>
          <t>Rs 32 crore</t>
        </is>
      </c>
      <c r="H805" t="inlineStr">
        <is>
          <t>Undisclosed</t>
        </is>
      </c>
      <c r="I805" t="inlineStr">
        <is>
          <t>Undisclosed</t>
        </is>
      </c>
      <c r="J805" t="inlineStr">
        <is>
          <t>Consumer Services</t>
        </is>
      </c>
      <c r="K805" t="inlineStr">
        <is>
          <t>Unknown</t>
        </is>
      </c>
      <c r="L805" t="inlineStr"/>
      <c r="M805" t="inlineStr">
        <is>
          <t>Bestvantage Investments; MS Dhoni; Mohit Goyal; Abhineet Singh; SoftBank; Kedara; APAX</t>
        </is>
      </c>
      <c r="N805" t="inlineStr">
        <is>
          <t>entrackr | inc42</t>
        </is>
      </c>
      <c r="O805" s="20" t="n">
        <v>2</v>
      </c>
      <c r="P805" s="21" t="n">
        <v>2.1</v>
      </c>
      <c r="Q805" t="inlineStr">
        <is>
          <t>C04 C07</t>
        </is>
      </c>
      <c r="R805" s="22" t="inlineStr">
        <is>
          <t>https://entrackr.com/snippets/house-of-biryan-raises-rs-32-cr-from-ms-dhoni-bestvantage-and-others-9675275</t>
        </is>
      </c>
    </row>
    <row r="806">
      <c r="A806" t="inlineStr">
        <is>
          <t>R250819-rforrabbit</t>
        </is>
      </c>
      <c r="B806" t="inlineStr">
        <is>
          <t>R For Rabbit</t>
        </is>
      </c>
      <c r="C806" s="17" t="n">
        <v>45888</v>
      </c>
      <c r="D806" s="18" t="n">
        <v>45870</v>
      </c>
      <c r="E806" s="19" t="n">
        <v>27</v>
      </c>
      <c r="F806" s="19" t="n">
        <v>235.14</v>
      </c>
      <c r="G806" t="inlineStr">
        <is>
          <t>$27 million</t>
        </is>
      </c>
      <c r="H806" t="inlineStr">
        <is>
          <t>Series B</t>
        </is>
      </c>
      <c r="I806" t="inlineStr">
        <is>
          <t>Growth</t>
        </is>
      </c>
      <c r="J806" t="inlineStr">
        <is>
          <t>Ecommerce</t>
        </is>
      </c>
      <c r="K806" t="inlineStr">
        <is>
          <t>Unknown</t>
        </is>
      </c>
      <c r="L806" t="inlineStr">
        <is>
          <t>Filter Capital; 3one4 Capital</t>
        </is>
      </c>
      <c r="M806" t="inlineStr">
        <is>
          <t>Filter Capital; 3one4 Capital; Xponentia Capital</t>
        </is>
      </c>
      <c r="N806" t="inlineStr">
        <is>
          <t>entrackr | inc42</t>
        </is>
      </c>
      <c r="O806" s="20" t="n">
        <v>2</v>
      </c>
      <c r="P806" s="21" t="n">
        <v>0</v>
      </c>
      <c r="Q806" t="inlineStr">
        <is>
          <t>C07</t>
        </is>
      </c>
      <c r="R806" s="22" t="inlineStr">
        <is>
          <t>https://entrackr.com/news/r-for-rabbit-raises-27-mn-led-by-filter-capital-and-3one4-capital-9676064</t>
        </is>
      </c>
    </row>
    <row r="807">
      <c r="A807" t="inlineStr">
        <is>
          <t>R250819-weaverservices</t>
        </is>
      </c>
      <c r="B807" t="inlineStr">
        <is>
          <t>Weaver Services</t>
        </is>
      </c>
      <c r="C807" s="17" t="n">
        <v>45888</v>
      </c>
      <c r="D807" s="18" t="n">
        <v>45870</v>
      </c>
      <c r="E807" s="19" t="n">
        <v>170</v>
      </c>
      <c r="F807" s="19" t="n">
        <v>1480.53</v>
      </c>
      <c r="G807" t="inlineStr">
        <is>
          <t>$170 million</t>
        </is>
      </c>
      <c r="H807" t="inlineStr">
        <is>
          <t>Undisclosed</t>
        </is>
      </c>
      <c r="I807" t="inlineStr">
        <is>
          <t>Undisclosed</t>
        </is>
      </c>
      <c r="J807" t="inlineStr">
        <is>
          <t>Fintech</t>
        </is>
      </c>
      <c r="K807" t="inlineStr">
        <is>
          <t>Mumbai</t>
        </is>
      </c>
      <c r="L807" t="inlineStr">
        <is>
          <t>Lightspeed; Premji Invest</t>
        </is>
      </c>
      <c r="M807" t="inlineStr">
        <is>
          <t>Lightspeed; Premji Invest; Gaja Capital</t>
        </is>
      </c>
      <c r="N807" t="inlineStr">
        <is>
          <t>entrackr</t>
        </is>
      </c>
      <c r="O807" s="20" t="n">
        <v>1</v>
      </c>
      <c r="P807" s="21" t="n">
        <v>0</v>
      </c>
      <c r="Q807" t="inlineStr">
        <is>
          <t>C04</t>
        </is>
      </c>
      <c r="R807" s="22" t="inlineStr">
        <is>
          <t>https://entrackr.com/snippets/lightspeed-and-premji-invest-lead-170-mn-round-in-weaver-services-9675044</t>
        </is>
      </c>
    </row>
    <row r="808">
      <c r="A808" t="inlineStr">
        <is>
          <t>R250819-zenzebra</t>
        </is>
      </c>
      <c r="B808" t="inlineStr">
        <is>
          <t>ZenZebra</t>
        </is>
      </c>
      <c r="C808" s="17" t="n">
        <v>45888</v>
      </c>
      <c r="D808" s="18" t="n">
        <v>45870</v>
      </c>
      <c r="E808" s="19" t="n"/>
      <c r="F808" s="19" t="n"/>
      <c r="G808" t="inlineStr"/>
      <c r="H808" t="inlineStr">
        <is>
          <t>Seed</t>
        </is>
      </c>
      <c r="I808" t="inlineStr">
        <is>
          <t>Early</t>
        </is>
      </c>
      <c r="J808" t="inlineStr">
        <is>
          <t>Consumer Services</t>
        </is>
      </c>
      <c r="K808" t="inlineStr">
        <is>
          <t>Unknown</t>
        </is>
      </c>
      <c r="L808" t="inlineStr">
        <is>
          <t>Rukam Capital</t>
        </is>
      </c>
      <c r="M808" t="inlineStr">
        <is>
          <t>Rukam Capital</t>
        </is>
      </c>
      <c r="N808" t="inlineStr">
        <is>
          <t>inc42</t>
        </is>
      </c>
      <c r="O808" s="20" t="n">
        <v>1</v>
      </c>
      <c r="P808" s="21" t="n"/>
      <c r="Q808" t="inlineStr">
        <is>
          <t>C03 C07</t>
        </is>
      </c>
      <c r="R808" s="22" t="inlineStr">
        <is>
          <t>https://inc42.com/buzz/from-r-for-rabbit-to-house-of-biryan-indian-startups-raised-62-mn-this-week/</t>
        </is>
      </c>
    </row>
    <row r="809">
      <c r="A809" t="inlineStr">
        <is>
          <t>R250820-kiwi</t>
        </is>
      </c>
      <c r="B809" t="inlineStr">
        <is>
          <t>Kiwi</t>
        </is>
      </c>
      <c r="C809" s="17" t="n">
        <v>45889</v>
      </c>
      <c r="D809" s="18" t="n">
        <v>45870</v>
      </c>
      <c r="E809" s="19" t="n">
        <v>24</v>
      </c>
      <c r="F809" s="19" t="n">
        <v>208.94</v>
      </c>
      <c r="G809" t="inlineStr">
        <is>
          <t>$24 million</t>
        </is>
      </c>
      <c r="H809" t="inlineStr">
        <is>
          <t>Series B</t>
        </is>
      </c>
      <c r="I809" t="inlineStr">
        <is>
          <t>Growth</t>
        </is>
      </c>
      <c r="J809" t="inlineStr">
        <is>
          <t>Fintech</t>
        </is>
      </c>
      <c r="K809" t="inlineStr">
        <is>
          <t>Unknown</t>
        </is>
      </c>
      <c r="L809" t="inlineStr">
        <is>
          <t>Vertex Ventures</t>
        </is>
      </c>
      <c r="M809" t="inlineStr">
        <is>
          <t>Vertex Ventures; Nexus Ventures; Stellaris Venture Partners; Omidyar Network</t>
        </is>
      </c>
      <c r="N809" t="inlineStr">
        <is>
          <t>entrackr | inc42 | et</t>
        </is>
      </c>
      <c r="O809" s="20" t="n">
        <v>3</v>
      </c>
      <c r="P809" s="21" t="n">
        <v>0</v>
      </c>
      <c r="Q809" t="inlineStr">
        <is>
          <t>C07</t>
        </is>
      </c>
      <c r="R809" s="22" t="inlineStr">
        <is>
          <t>https://inc42.com/buzz/from-r-for-rabbit-to-house-of-biryan-indian-startups-raised-62-mn-this-week/</t>
        </is>
      </c>
    </row>
    <row r="810">
      <c r="A810" t="inlineStr">
        <is>
          <t>R250820-mithilafoods</t>
        </is>
      </c>
      <c r="B810" t="inlineStr">
        <is>
          <t>Mithila Foods</t>
        </is>
      </c>
      <c r="C810" s="17" t="n">
        <v>45889</v>
      </c>
      <c r="D810" s="18" t="n">
        <v>45870</v>
      </c>
      <c r="E810" s="19" t="n">
        <v>0.172</v>
      </c>
      <c r="F810" s="19" t="n">
        <v>1.5</v>
      </c>
      <c r="G810" t="inlineStr">
        <is>
          <t>Rs 1.5 crore</t>
        </is>
      </c>
      <c r="H810" t="inlineStr">
        <is>
          <t>Seed</t>
        </is>
      </c>
      <c r="I810" t="inlineStr">
        <is>
          <t>Early</t>
        </is>
      </c>
      <c r="J810" t="inlineStr">
        <is>
          <t>Unclassified</t>
        </is>
      </c>
      <c r="K810" t="inlineStr">
        <is>
          <t>Unknown</t>
        </is>
      </c>
      <c r="L810" t="inlineStr"/>
      <c r="M810" t="inlineStr">
        <is>
          <t>AJVC</t>
        </is>
      </c>
      <c r="N810" t="inlineStr">
        <is>
          <t>entrackr</t>
        </is>
      </c>
      <c r="O810" s="20" t="n">
        <v>1</v>
      </c>
      <c r="P810" s="21" t="n">
        <v>0</v>
      </c>
      <c r="Q810" t="inlineStr">
        <is>
          <t>C06 C07</t>
        </is>
      </c>
      <c r="R810" s="22" t="inlineStr">
        <is>
          <t>https://entrackr.com/snippets/mithila-foods-raises-rs-15-cr-in-seed-round-from-aviral-bhatnagars-ajvc-9679031</t>
        </is>
      </c>
    </row>
    <row r="811">
      <c r="A811" t="inlineStr">
        <is>
          <t>R250820-peelon</t>
        </is>
      </c>
      <c r="B811" t="inlineStr">
        <is>
          <t>PeelON</t>
        </is>
      </c>
      <c r="C811" s="17" t="n">
        <v>45889</v>
      </c>
      <c r="D811" s="18" t="n">
        <v>45870</v>
      </c>
      <c r="E811" s="19" t="n">
        <v>1</v>
      </c>
      <c r="F811" s="19" t="n">
        <v>8.710000000000001</v>
      </c>
      <c r="G811" t="inlineStr">
        <is>
          <t>$1 million</t>
        </is>
      </c>
      <c r="H811" t="inlineStr">
        <is>
          <t>Seed</t>
        </is>
      </c>
      <c r="I811" t="inlineStr">
        <is>
          <t>Early</t>
        </is>
      </c>
      <c r="J811" t="inlineStr">
        <is>
          <t>Enterprise Tech</t>
        </is>
      </c>
      <c r="K811" t="inlineStr">
        <is>
          <t>Outside India</t>
        </is>
      </c>
      <c r="L811" t="inlineStr">
        <is>
          <t>Clean Energy Venture Group; GrowX Ventures</t>
        </is>
      </c>
      <c r="M811" t="inlineStr">
        <is>
          <t>Boston Venture Group; Clean Energy Venture Group; GrowX Ventures</t>
        </is>
      </c>
      <c r="N811" t="inlineStr">
        <is>
          <t>entrackr | inc42 | et</t>
        </is>
      </c>
      <c r="O811" s="20" t="n">
        <v>3</v>
      </c>
      <c r="P811" s="21" t="n">
        <v>0</v>
      </c>
      <c r="Q811" t="inlineStr">
        <is>
          <t>C17</t>
        </is>
      </c>
      <c r="R811" s="22" t="inlineStr">
        <is>
          <t>https://entrackr.com/snippets/bio-tech-startup-peelon-raises-1-mn-in-seed-round-led-by-growx-ventures-9678818</t>
        </is>
      </c>
    </row>
    <row r="812">
      <c r="A812" t="inlineStr">
        <is>
          <t>R250821-edgehax</t>
        </is>
      </c>
      <c r="B812" t="inlineStr">
        <is>
          <t>Edgehax</t>
        </is>
      </c>
      <c r="C812" s="17" t="n">
        <v>45890</v>
      </c>
      <c r="D812" s="18" t="n">
        <v>45870</v>
      </c>
      <c r="E812" s="19" t="n">
        <v>0.159</v>
      </c>
      <c r="F812" s="19" t="n">
        <v>1.39</v>
      </c>
      <c r="G812" t="inlineStr">
        <is>
          <t>Rs 1.39 crore</t>
        </is>
      </c>
      <c r="H812" t="inlineStr">
        <is>
          <t>Seed</t>
        </is>
      </c>
      <c r="I812" t="inlineStr">
        <is>
          <t>Early</t>
        </is>
      </c>
      <c r="J812" t="inlineStr">
        <is>
          <t>Advanced Hardware &amp; Technology</t>
        </is>
      </c>
      <c r="K812" t="inlineStr">
        <is>
          <t>Unknown</t>
        </is>
      </c>
      <c r="L812" t="inlineStr">
        <is>
          <t>Inflection Point Ventures</t>
        </is>
      </c>
      <c r="M812" t="inlineStr">
        <is>
          <t>Inflection Point Ventures</t>
        </is>
      </c>
      <c r="N812" t="inlineStr">
        <is>
          <t>entrackr | inc42</t>
        </is>
      </c>
      <c r="O812" s="20" t="n">
        <v>2</v>
      </c>
      <c r="P812" s="21" t="n">
        <v>0.8</v>
      </c>
      <c r="Q812" t="inlineStr">
        <is>
          <t>C07 C16</t>
        </is>
      </c>
      <c r="R812" s="22" t="inlineStr">
        <is>
          <t>https://entrackr.com/snippets/edge-ai-startup-edgehax-raises-rs-139-cr-in-seed-round-led-by-ipv-9683044</t>
        </is>
      </c>
    </row>
    <row r="813">
      <c r="A813" t="inlineStr">
        <is>
          <t>R250821-mitra</t>
        </is>
      </c>
      <c r="B813" t="inlineStr">
        <is>
          <t>Mitra</t>
        </is>
      </c>
      <c r="C813" s="17" t="n">
        <v>45890</v>
      </c>
      <c r="D813" s="18" t="n">
        <v>45870</v>
      </c>
      <c r="E813" s="19" t="n">
        <v>1.604</v>
      </c>
      <c r="F813" s="19" t="n">
        <v>14</v>
      </c>
      <c r="G813" t="inlineStr">
        <is>
          <t>Rs 14 crore</t>
        </is>
      </c>
      <c r="H813" t="inlineStr">
        <is>
          <t>Bridge</t>
        </is>
      </c>
      <c r="I813" t="inlineStr">
        <is>
          <t>Other</t>
        </is>
      </c>
      <c r="J813" t="inlineStr">
        <is>
          <t>Ecommerce</t>
        </is>
      </c>
      <c r="K813" t="inlineStr">
        <is>
          <t>Delhi NCR</t>
        </is>
      </c>
      <c r="L813" t="inlineStr">
        <is>
          <t>Bestvantage Investments</t>
        </is>
      </c>
      <c r="M813" t="inlineStr">
        <is>
          <t>Bestvantage Investments</t>
        </is>
      </c>
      <c r="N813" t="inlineStr">
        <is>
          <t>entrackr | inc42 | et</t>
        </is>
      </c>
      <c r="O813" s="20" t="n">
        <v>3</v>
      </c>
      <c r="P813" s="21" t="n">
        <v>0.3</v>
      </c>
      <c r="Q813" t="inlineStr"/>
      <c r="R813" s="22" t="inlineStr">
        <is>
          <t>https://entrackr.com/snippets/fmcg-startup-mitra-raises-rs-14-cr-in-bridge-round-led-by-bestvantage-9682768</t>
        </is>
      </c>
    </row>
    <row r="814">
      <c r="A814" t="inlineStr">
        <is>
          <t>R250825-altumcredo</t>
        </is>
      </c>
      <c r="B814" t="inlineStr">
        <is>
          <t>Altum Credo</t>
        </is>
      </c>
      <c r="C814" s="17" t="n">
        <v>45894</v>
      </c>
      <c r="D814" s="18" t="n">
        <v>45870</v>
      </c>
      <c r="E814" s="19" t="n">
        <v>19.415</v>
      </c>
      <c r="F814" s="19" t="n">
        <v>170</v>
      </c>
      <c r="G814" t="inlineStr">
        <is>
          <t>Rs 170 crore</t>
        </is>
      </c>
      <c r="H814" t="inlineStr">
        <is>
          <t>Undisclosed</t>
        </is>
      </c>
      <c r="I814" t="inlineStr">
        <is>
          <t>Undisclosed</t>
        </is>
      </c>
      <c r="J814" t="inlineStr">
        <is>
          <t>Fintech</t>
        </is>
      </c>
      <c r="K814" t="inlineStr">
        <is>
          <t>Pune</t>
        </is>
      </c>
      <c r="L814" t="inlineStr">
        <is>
          <t>British International Investment</t>
        </is>
      </c>
      <c r="M814" t="inlineStr">
        <is>
          <t>British International Investment</t>
        </is>
      </c>
      <c r="N814" t="inlineStr">
        <is>
          <t>entrackr | inc42</t>
        </is>
      </c>
      <c r="O814" s="20" t="n">
        <v>2</v>
      </c>
      <c r="P814" s="21" t="n">
        <v>0.1</v>
      </c>
      <c r="Q814" t="inlineStr">
        <is>
          <t>C04</t>
        </is>
      </c>
      <c r="R814" s="22" t="inlineStr">
        <is>
          <t>https://entrackr.com/news/altum-credo-raises-over-19-mn-from-british-international-investment-9730805</t>
        </is>
      </c>
    </row>
    <row r="815">
      <c r="A815" t="inlineStr">
        <is>
          <t>R250825-credright</t>
        </is>
      </c>
      <c r="B815" t="inlineStr">
        <is>
          <t>CredRight</t>
        </is>
      </c>
      <c r="C815" s="17" t="n">
        <v>45894</v>
      </c>
      <c r="D815" s="18" t="n">
        <v>45870</v>
      </c>
      <c r="E815" s="19" t="n">
        <v>10</v>
      </c>
      <c r="F815" s="19" t="n">
        <v>87.56</v>
      </c>
      <c r="G815" t="inlineStr">
        <is>
          <t>$10 million</t>
        </is>
      </c>
      <c r="H815" t="inlineStr">
        <is>
          <t>Series B</t>
        </is>
      </c>
      <c r="I815" t="inlineStr">
        <is>
          <t>Growth</t>
        </is>
      </c>
      <c r="J815" t="inlineStr">
        <is>
          <t>Fintech</t>
        </is>
      </c>
      <c r="K815" t="inlineStr">
        <is>
          <t>Hyderabad</t>
        </is>
      </c>
      <c r="L815" t="inlineStr">
        <is>
          <t>Abler Nordic</t>
        </is>
      </c>
      <c r="M815" t="inlineStr">
        <is>
          <t>Abler Nordic; Michael &amp; Susan Dell Foundation; Unleash Capital; Michael &amp;amp</t>
        </is>
      </c>
      <c r="N815" t="inlineStr">
        <is>
          <t>entrackr | inc42 | et</t>
        </is>
      </c>
      <c r="O815" s="20" t="n">
        <v>3</v>
      </c>
      <c r="P815" s="21" t="n">
        <v>0</v>
      </c>
      <c r="Q815" t="inlineStr"/>
      <c r="R815" s="22" t="inlineStr">
        <is>
          <t>https://entrackr.com/snippets/credright-raises-10-mn-in-series-b-led-by-abler-nordic-9731330</t>
        </is>
      </c>
    </row>
    <row r="816">
      <c r="A816" t="inlineStr">
        <is>
          <t>R250825-enmovil</t>
        </is>
      </c>
      <c r="B816" t="inlineStr">
        <is>
          <t>Enmovil</t>
        </is>
      </c>
      <c r="C816" s="17" t="n">
        <v>45894</v>
      </c>
      <c r="D816" s="18" t="n">
        <v>45870</v>
      </c>
      <c r="E816" s="19" t="n">
        <v>6</v>
      </c>
      <c r="F816" s="19" t="n">
        <v>52.54</v>
      </c>
      <c r="G816" t="inlineStr">
        <is>
          <t>$6 million</t>
        </is>
      </c>
      <c r="H816" t="inlineStr">
        <is>
          <t>Series A</t>
        </is>
      </c>
      <c r="I816" t="inlineStr">
        <is>
          <t>Early</t>
        </is>
      </c>
      <c r="J816" t="inlineStr">
        <is>
          <t>Logistics</t>
        </is>
      </c>
      <c r="K816" t="inlineStr">
        <is>
          <t>Hyderabad</t>
        </is>
      </c>
      <c r="L816" t="inlineStr">
        <is>
          <t>Sorin Investments; Twynam; Angad Banga</t>
        </is>
      </c>
      <c r="M816" t="inlineStr">
        <is>
          <t>Sorin Investments; Capria Ventures; Twynam; Angad Banga</t>
        </is>
      </c>
      <c r="N816" t="inlineStr">
        <is>
          <t>entrackr | inc42 | et</t>
        </is>
      </c>
      <c r="O816" s="20" t="n">
        <v>3</v>
      </c>
      <c r="P816" s="21" t="n">
        <v>0</v>
      </c>
      <c r="Q816" t="inlineStr"/>
      <c r="R816" s="22" t="inlineStr">
        <is>
          <t>https://entrackr.com/snippets/sorin-investments-leads-6-mn-series-a-round-in-enmovil-9731102</t>
        </is>
      </c>
    </row>
    <row r="817">
      <c r="A817" t="inlineStr">
        <is>
          <t>R250825-harajukutokyoc</t>
        </is>
      </c>
      <c r="B817" t="inlineStr">
        <is>
          <t>Harajuku Tokyo Cafe</t>
        </is>
      </c>
      <c r="C817" s="17" t="n">
        <v>45894</v>
      </c>
      <c r="D817" s="18" t="n">
        <v>45870</v>
      </c>
      <c r="E817" s="19" t="n">
        <v>2</v>
      </c>
      <c r="F817" s="19" t="n">
        <v>17.51</v>
      </c>
      <c r="G817" t="inlineStr">
        <is>
          <t>$2 million</t>
        </is>
      </c>
      <c r="H817" t="inlineStr">
        <is>
          <t>Seed</t>
        </is>
      </c>
      <c r="I817" t="inlineStr">
        <is>
          <t>Early</t>
        </is>
      </c>
      <c r="J817" t="inlineStr">
        <is>
          <t>Foodtech</t>
        </is>
      </c>
      <c r="K817" t="inlineStr">
        <is>
          <t>Unknown</t>
        </is>
      </c>
      <c r="L817" t="inlineStr">
        <is>
          <t>Indian Angel Network</t>
        </is>
      </c>
      <c r="M817" t="inlineStr">
        <is>
          <t>Indian Angel Network; Samved VC; LetsVenture; Capitar Ventures</t>
        </is>
      </c>
      <c r="N817" t="inlineStr">
        <is>
          <t>entrackr | inc42 | et</t>
        </is>
      </c>
      <c r="O817" s="20" t="n">
        <v>3</v>
      </c>
      <c r="P817" s="21" t="n">
        <v>0</v>
      </c>
      <c r="Q817" t="inlineStr">
        <is>
          <t>C07</t>
        </is>
      </c>
      <c r="R817" s="22" t="inlineStr">
        <is>
          <t>https://entrackr.com/snippets/harajuku-tokyo-café-raises-2-mn-in-seed-round-9734204</t>
        </is>
      </c>
    </row>
    <row r="818">
      <c r="A818" t="inlineStr">
        <is>
          <t>R250825-nugen</t>
        </is>
      </c>
      <c r="B818" t="inlineStr">
        <is>
          <t>Nugen</t>
        </is>
      </c>
      <c r="C818" s="17" t="n">
        <v>45894</v>
      </c>
      <c r="D818" s="18" t="n">
        <v>45870</v>
      </c>
      <c r="E818" s="19" t="n">
        <v>1</v>
      </c>
      <c r="F818" s="19" t="n">
        <v>8.76</v>
      </c>
      <c r="G818" t="inlineStr">
        <is>
          <t>$1 Mn</t>
        </is>
      </c>
      <c r="H818" t="inlineStr">
        <is>
          <t>Pre-Seed</t>
        </is>
      </c>
      <c r="I818" t="inlineStr">
        <is>
          <t>Early</t>
        </is>
      </c>
      <c r="J818" t="inlineStr">
        <is>
          <t>Artificial Intelligence</t>
        </is>
      </c>
      <c r="K818" t="inlineStr">
        <is>
          <t>Unknown</t>
        </is>
      </c>
      <c r="L818" t="inlineStr">
        <is>
          <t>Antler</t>
        </is>
      </c>
      <c r="M818" t="inlineStr">
        <is>
          <t>Antler</t>
        </is>
      </c>
      <c r="N818" t="inlineStr">
        <is>
          <t>inc42</t>
        </is>
      </c>
      <c r="O818" s="20" t="n">
        <v>1</v>
      </c>
      <c r="P818" s="21" t="n">
        <v>0</v>
      </c>
      <c r="Q818" t="inlineStr">
        <is>
          <t>C07</t>
        </is>
      </c>
      <c r="R818" s="22" t="inlineStr">
        <is>
          <t>https://inc42.com/buzz/from-transbnk-to-wizcommerce-indian-startups-raised-98-mn-this-week/</t>
        </is>
      </c>
    </row>
    <row r="819">
      <c r="A819" t="inlineStr">
        <is>
          <t>R250825-palmonas</t>
        </is>
      </c>
      <c r="B819" t="inlineStr">
        <is>
          <t>Palmonas</t>
        </is>
      </c>
      <c r="C819" s="17" t="n">
        <v>45894</v>
      </c>
      <c r="D819" s="18" t="n">
        <v>45870</v>
      </c>
      <c r="E819" s="19" t="n">
        <v>6.281</v>
      </c>
      <c r="F819" s="19" t="n">
        <v>55</v>
      </c>
      <c r="G819" t="inlineStr">
        <is>
          <t>Rs 55 crore</t>
        </is>
      </c>
      <c r="H819" t="inlineStr">
        <is>
          <t>Series A</t>
        </is>
      </c>
      <c r="I819" t="inlineStr">
        <is>
          <t>Early</t>
        </is>
      </c>
      <c r="J819" t="inlineStr">
        <is>
          <t>Ecommerce</t>
        </is>
      </c>
      <c r="K819" t="inlineStr">
        <is>
          <t>Unknown</t>
        </is>
      </c>
      <c r="L819" t="inlineStr">
        <is>
          <t>Vertex Ventures Southeast Asia &amp; India</t>
        </is>
      </c>
      <c r="M819" t="inlineStr">
        <is>
          <t>Vertex Ventures Southeast Asia &amp; India</t>
        </is>
      </c>
      <c r="N819" t="inlineStr">
        <is>
          <t>entrackr | inc42</t>
        </is>
      </c>
      <c r="O819" s="20" t="n">
        <v>2</v>
      </c>
      <c r="P819" s="21" t="n">
        <v>1.3</v>
      </c>
      <c r="Q819" t="inlineStr">
        <is>
          <t>C07</t>
        </is>
      </c>
      <c r="R819" s="22" t="inlineStr">
        <is>
          <t>https://entrackr.com/snippets/palmonas-raises-rs-55-cr-in-series-a-round-led-by-vertex-ventures-9743288</t>
        </is>
      </c>
    </row>
    <row r="820">
      <c r="A820" t="inlineStr">
        <is>
          <t>R250825-vaave</t>
        </is>
      </c>
      <c r="B820" t="inlineStr">
        <is>
          <t>Vaave</t>
        </is>
      </c>
      <c r="C820" s="17" t="n">
        <v>45894</v>
      </c>
      <c r="D820" s="18" t="n">
        <v>45870</v>
      </c>
      <c r="E820" s="19" t="n">
        <v>0.754</v>
      </c>
      <c r="F820" s="19" t="n">
        <v>6.6</v>
      </c>
      <c r="G820" t="inlineStr">
        <is>
          <t>Rs 6.6 crore</t>
        </is>
      </c>
      <c r="H820" t="inlineStr">
        <is>
          <t>Undisclosed</t>
        </is>
      </c>
      <c r="I820" t="inlineStr">
        <is>
          <t>Undisclosed</t>
        </is>
      </c>
      <c r="J820" t="inlineStr">
        <is>
          <t>Enterprise Tech</t>
        </is>
      </c>
      <c r="K820" t="inlineStr">
        <is>
          <t>Hyderabad</t>
        </is>
      </c>
      <c r="L820" t="inlineStr">
        <is>
          <t>VCMint; Aditya Vuchi</t>
        </is>
      </c>
      <c r="M820" t="inlineStr">
        <is>
          <t>VCMint; Raj Narayanam; Aditya Vuchi</t>
        </is>
      </c>
      <c r="N820" t="inlineStr">
        <is>
          <t>entrackr | inc42</t>
        </is>
      </c>
      <c r="O820" s="20" t="n">
        <v>2</v>
      </c>
      <c r="P820" s="21" t="n">
        <v>0.8</v>
      </c>
      <c r="Q820" t="inlineStr">
        <is>
          <t>C04 C17</t>
        </is>
      </c>
      <c r="R820" s="22" t="inlineStr">
        <is>
          <t>https://inc42.com/buzz/from-transbnk-to-wizcommerce-indian-startups-raised-98-mn-this-week/</t>
        </is>
      </c>
    </row>
    <row r="821">
      <c r="A821" t="inlineStr">
        <is>
          <t>R250825-wastelink</t>
        </is>
      </c>
      <c r="B821" t="inlineStr">
        <is>
          <t>Wastelink</t>
        </is>
      </c>
      <c r="C821" s="17" t="n">
        <v>45894</v>
      </c>
      <c r="D821" s="18" t="n">
        <v>45870</v>
      </c>
      <c r="E821" s="19" t="n">
        <v>3.084</v>
      </c>
      <c r="F821" s="19" t="n">
        <v>27</v>
      </c>
      <c r="G821" t="inlineStr">
        <is>
          <t>Rs 27 crore</t>
        </is>
      </c>
      <c r="H821" t="inlineStr">
        <is>
          <t>Series A</t>
        </is>
      </c>
      <c r="I821" t="inlineStr">
        <is>
          <t>Early</t>
        </is>
      </c>
      <c r="J821" t="inlineStr">
        <is>
          <t>Cleantech</t>
        </is>
      </c>
      <c r="K821" t="inlineStr">
        <is>
          <t>Delhi NCR</t>
        </is>
      </c>
      <c r="L821" t="inlineStr">
        <is>
          <t>Avaana Capital</t>
        </is>
      </c>
      <c r="M821" t="inlineStr">
        <is>
          <t>Avaana Capital</t>
        </is>
      </c>
      <c r="N821" t="inlineStr">
        <is>
          <t>entrackr | inc42 | et</t>
        </is>
      </c>
      <c r="O821" s="20" t="n">
        <v>3</v>
      </c>
      <c r="P821" s="21" t="n">
        <v>2.8</v>
      </c>
      <c r="Q821" t="inlineStr"/>
      <c r="R821" s="22" t="inlineStr">
        <is>
          <t>https://entrackr.com/snippets/clean-tech-startup-wastelink-raises-3-mn-led-by-avaana-capital-9734075</t>
        </is>
      </c>
    </row>
    <row r="822">
      <c r="A822" t="inlineStr">
        <is>
          <t>R250825-wizcommerce</t>
        </is>
      </c>
      <c r="B822" t="inlineStr">
        <is>
          <t>WizCommerce</t>
        </is>
      </c>
      <c r="C822" s="17" t="n">
        <v>45894</v>
      </c>
      <c r="D822" s="18" t="n">
        <v>45870</v>
      </c>
      <c r="E822" s="19" t="n">
        <v>8</v>
      </c>
      <c r="F822" s="19" t="n">
        <v>70.05</v>
      </c>
      <c r="G822" t="inlineStr">
        <is>
          <t>$8 million</t>
        </is>
      </c>
      <c r="H822" t="inlineStr">
        <is>
          <t>Series A</t>
        </is>
      </c>
      <c r="I822" t="inlineStr">
        <is>
          <t>Early</t>
        </is>
      </c>
      <c r="J822" t="inlineStr">
        <is>
          <t>Enterprise Tech</t>
        </is>
      </c>
      <c r="K822" t="inlineStr">
        <is>
          <t>Bengaluru</t>
        </is>
      </c>
      <c r="L822" t="inlineStr">
        <is>
          <t>Peak XV Partners</t>
        </is>
      </c>
      <c r="M822" t="inlineStr">
        <is>
          <t>Peak XV Partners; Blume Ventures; Z47; Alpha Wave</t>
        </is>
      </c>
      <c r="N822" t="inlineStr">
        <is>
          <t>entrackr | inc42 | et</t>
        </is>
      </c>
      <c r="O822" s="20" t="n">
        <v>3</v>
      </c>
      <c r="P822" s="21" t="n">
        <v>0</v>
      </c>
      <c r="Q822" t="inlineStr"/>
      <c r="R822" s="22" t="inlineStr">
        <is>
          <t>https://entrackr.com/snippets/wizcommerce-raises-8-mn-in-series-a-round-led-by-peak-xv-9734199</t>
        </is>
      </c>
    </row>
    <row r="823">
      <c r="A823" t="inlineStr">
        <is>
          <t>R250826-matiks</t>
        </is>
      </c>
      <c r="B823" t="inlineStr">
        <is>
          <t>Matiks</t>
        </is>
      </c>
      <c r="C823" s="17" t="n">
        <v>45895</v>
      </c>
      <c r="D823" s="18" t="n">
        <v>45870</v>
      </c>
      <c r="E823" s="19" t="n">
        <v>3.1</v>
      </c>
      <c r="F823" s="19" t="n">
        <v>27.16</v>
      </c>
      <c r="G823" t="inlineStr">
        <is>
          <t>$3.1 million</t>
        </is>
      </c>
      <c r="H823" t="inlineStr">
        <is>
          <t>Pre-Series A</t>
        </is>
      </c>
      <c r="I823" t="inlineStr">
        <is>
          <t>Early</t>
        </is>
      </c>
      <c r="J823" t="inlineStr">
        <is>
          <t>Media &amp; Entertainment</t>
        </is>
      </c>
      <c r="K823" t="inlineStr">
        <is>
          <t>Bengaluru</t>
        </is>
      </c>
      <c r="L823" t="inlineStr">
        <is>
          <t>Tanglin Ventures; Aman Gupta; Unacademy co-founders Gaurav Munjal; Roman Saini; Anil Goteti</t>
        </is>
      </c>
      <c r="M823" t="inlineStr">
        <is>
          <t>Tanglin Ventures; Info Edge Ventures; Aman Gupta; Gaurav Munjal; Roman Saini; Anil Goteti</t>
        </is>
      </c>
      <c r="N823" t="inlineStr">
        <is>
          <t>entrackr | inc42</t>
        </is>
      </c>
      <c r="O823" s="20" t="n">
        <v>2</v>
      </c>
      <c r="P823" s="21" t="n">
        <v>0</v>
      </c>
      <c r="Q823" t="inlineStr"/>
      <c r="R823" s="22" t="inlineStr">
        <is>
          <t>https://entrackr.com/snippets/matiks-raises-31-mn-in-pre-series-a-round-led-by-tanglin-ventures-9757041</t>
        </is>
      </c>
    </row>
    <row r="824">
      <c r="A824" t="inlineStr">
        <is>
          <t>R250826-peeko</t>
        </is>
      </c>
      <c r="B824" t="inlineStr">
        <is>
          <t>Peeko</t>
        </is>
      </c>
      <c r="C824" s="17" t="n">
        <v>45895</v>
      </c>
      <c r="D824" s="18" t="n">
        <v>45870</v>
      </c>
      <c r="E824" s="19" t="n">
        <v>3.2</v>
      </c>
      <c r="F824" s="19" t="n">
        <v>28.04</v>
      </c>
      <c r="G824" t="inlineStr">
        <is>
          <t>$3.2 million</t>
        </is>
      </c>
      <c r="H824" t="inlineStr">
        <is>
          <t>Seed</t>
        </is>
      </c>
      <c r="I824" t="inlineStr">
        <is>
          <t>Early</t>
        </is>
      </c>
      <c r="J824" t="inlineStr">
        <is>
          <t>Consumer Services</t>
        </is>
      </c>
      <c r="K824" t="inlineStr">
        <is>
          <t>Bengaluru</t>
        </is>
      </c>
      <c r="L824" t="inlineStr">
        <is>
          <t>Stellaris Venture Partners; Maninder Gulati; Kunal Bahl &amp; Rohit Bansal; Abhishek Goyal; Nitin Gupta; Arjun Vaidya</t>
        </is>
      </c>
      <c r="M824" t="inlineStr">
        <is>
          <t>Stellaris Venture Partners; Maninder Gulati; Abhishek Goyal; Nitin Gupta; Arjun Vaidya; Kunal Bahl; Rohit Bansal</t>
        </is>
      </c>
      <c r="N824" t="inlineStr">
        <is>
          <t>entrackr | inc42 | et</t>
        </is>
      </c>
      <c r="O824" s="20" t="n">
        <v>3</v>
      </c>
      <c r="P824" s="21" t="n">
        <v>0</v>
      </c>
      <c r="Q824" t="inlineStr"/>
      <c r="R824" s="22" t="inlineStr">
        <is>
          <t>https://entrackr.com/snippets/babycare-quick-commerce-platform-peeko-raises-32-mn-led-by-stellaris-9754576</t>
        </is>
      </c>
    </row>
    <row r="825">
      <c r="A825" t="inlineStr">
        <is>
          <t>R250827-anmasa</t>
        </is>
      </c>
      <c r="B825" t="inlineStr">
        <is>
          <t>Anmasa</t>
        </is>
      </c>
      <c r="C825" s="17" t="n">
        <v>45895</v>
      </c>
      <c r="D825" s="18" t="n">
        <v>45870</v>
      </c>
      <c r="E825" s="19" t="n">
        <v>1.1</v>
      </c>
      <c r="F825" s="19" t="n">
        <v>9.640000000000001</v>
      </c>
      <c r="G825" t="inlineStr">
        <is>
          <t>$1.1 million</t>
        </is>
      </c>
      <c r="H825" t="inlineStr">
        <is>
          <t>Pre-Seed</t>
        </is>
      </c>
      <c r="I825" t="inlineStr">
        <is>
          <t>Early</t>
        </is>
      </c>
      <c r="J825" t="inlineStr">
        <is>
          <t>Ecommerce</t>
        </is>
      </c>
      <c r="K825" t="inlineStr">
        <is>
          <t>Delhi NCR</t>
        </is>
      </c>
      <c r="L825" t="inlineStr">
        <is>
          <t>Snow Leopard Technology Ventures; Veltis Capital; Blume Ventures; Indigram Lab</t>
        </is>
      </c>
      <c r="M825" t="inlineStr">
        <is>
          <t>Chris Kolenaty; Veltis Capital; Blume Ventures; Indigram Labs Foundation; Snow Leopard Technology Ventures; Indigram Lab</t>
        </is>
      </c>
      <c r="N825" t="inlineStr">
        <is>
          <t>entrackr | inc42 | et</t>
        </is>
      </c>
      <c r="O825" s="20" t="n">
        <v>3</v>
      </c>
      <c r="P825" s="21" t="n">
        <v>0</v>
      </c>
      <c r="Q825" t="inlineStr"/>
      <c r="R825" s="22" t="inlineStr">
        <is>
          <t>https://economictimes.indiatimes.com/tech/funding/d2c-grocery-startup-anmasa-raises-1-1-million-in-pre-seed-funding/articleshow/123528002.cms</t>
        </is>
      </c>
    </row>
    <row r="826">
      <c r="A826" t="inlineStr">
        <is>
          <t>R250827-bhaobhao</t>
        </is>
      </c>
      <c r="B826" t="inlineStr">
        <is>
          <t>BhaoBhao</t>
        </is>
      </c>
      <c r="C826" s="17" t="n">
        <v>45896</v>
      </c>
      <c r="D826" s="18" t="n">
        <v>45870</v>
      </c>
      <c r="E826" s="19" t="n">
        <v>0.2</v>
      </c>
      <c r="F826" s="19" t="n">
        <v>1.76</v>
      </c>
      <c r="G826" t="inlineStr">
        <is>
          <t>$200,000</t>
        </is>
      </c>
      <c r="H826" t="inlineStr">
        <is>
          <t>Undisclosed</t>
        </is>
      </c>
      <c r="I826" t="inlineStr">
        <is>
          <t>Undisclosed</t>
        </is>
      </c>
      <c r="J826" t="inlineStr">
        <is>
          <t>Consumer Services</t>
        </is>
      </c>
      <c r="K826" t="inlineStr">
        <is>
          <t>Mumbai</t>
        </is>
      </c>
      <c r="L826" t="inlineStr"/>
      <c r="M826" t="inlineStr"/>
      <c r="N826" t="inlineStr">
        <is>
          <t>entrackr | inc42</t>
        </is>
      </c>
      <c r="O826" s="20" t="n">
        <v>2</v>
      </c>
      <c r="P826" s="21" t="n">
        <v>0</v>
      </c>
      <c r="Q826" t="inlineStr">
        <is>
          <t>C04 C05</t>
        </is>
      </c>
      <c r="R826" s="22" t="inlineStr">
        <is>
          <t>https://inc42.com/buzz/from-transbnk-to-wizcommerce-indian-startups-raised-98-mn-this-week/</t>
        </is>
      </c>
    </row>
    <row r="827">
      <c r="A827" t="inlineStr">
        <is>
          <t>R250827-cuminco</t>
        </is>
      </c>
      <c r="B827" t="inlineStr">
        <is>
          <t>Cumin Co</t>
        </is>
      </c>
      <c r="C827" s="17" t="n">
        <v>45896</v>
      </c>
      <c r="D827" s="18" t="n">
        <v>45870</v>
      </c>
      <c r="E827" s="19" t="n">
        <v>1.5</v>
      </c>
      <c r="F827" s="19" t="n">
        <v>13.16</v>
      </c>
      <c r="G827" t="inlineStr">
        <is>
          <t>$1.5 million</t>
        </is>
      </c>
      <c r="H827" t="inlineStr">
        <is>
          <t>Undisclosed</t>
        </is>
      </c>
      <c r="I827" t="inlineStr">
        <is>
          <t>Undisclosed</t>
        </is>
      </c>
      <c r="J827" t="inlineStr">
        <is>
          <t>Ecommerce</t>
        </is>
      </c>
      <c r="K827" t="inlineStr">
        <is>
          <t>Delhi NCR</t>
        </is>
      </c>
      <c r="L827" t="inlineStr">
        <is>
          <t>Fireside Ventures</t>
        </is>
      </c>
      <c r="M827" t="inlineStr">
        <is>
          <t>Fireside Ventures; Huddle Ventures</t>
        </is>
      </c>
      <c r="N827" t="inlineStr">
        <is>
          <t>entrackr | inc42 | et</t>
        </is>
      </c>
      <c r="O827" s="20" t="n">
        <v>3</v>
      </c>
      <c r="P827" s="21" t="n">
        <v>0</v>
      </c>
      <c r="Q827" t="inlineStr">
        <is>
          <t>C04</t>
        </is>
      </c>
      <c r="R827" s="22" t="inlineStr">
        <is>
          <t>https://entrackr.com/snippets/kitchenware-brand-cumin-co-raises-15-mn-led-by-fireside-ventures-9758193</t>
        </is>
      </c>
    </row>
    <row r="828">
      <c r="A828" t="inlineStr">
        <is>
          <t>R250827-nuyug</t>
        </is>
      </c>
      <c r="B828" t="inlineStr">
        <is>
          <t>Nuyug</t>
        </is>
      </c>
      <c r="C828" s="17" t="n">
        <v>45896</v>
      </c>
      <c r="D828" s="18" t="n">
        <v>45870</v>
      </c>
      <c r="E828" s="19" t="n">
        <v>0.285</v>
      </c>
      <c r="F828" s="19" t="n">
        <v>2.5</v>
      </c>
      <c r="G828" t="inlineStr">
        <is>
          <t>Rs 2.5 crore</t>
        </is>
      </c>
      <c r="H828" t="inlineStr">
        <is>
          <t>Pre-Seed</t>
        </is>
      </c>
      <c r="I828" t="inlineStr">
        <is>
          <t>Early</t>
        </is>
      </c>
      <c r="J828" t="inlineStr">
        <is>
          <t>Ecommerce</t>
        </is>
      </c>
      <c r="K828" t="inlineStr">
        <is>
          <t>Unknown</t>
        </is>
      </c>
      <c r="L828" t="inlineStr">
        <is>
          <t>AJVC</t>
        </is>
      </c>
      <c r="M828" t="inlineStr">
        <is>
          <t>AJVC</t>
        </is>
      </c>
      <c r="N828" t="inlineStr">
        <is>
          <t>entrackr | inc42</t>
        </is>
      </c>
      <c r="O828" s="20" t="n">
        <v>2</v>
      </c>
      <c r="P828" s="21" t="n">
        <v>0.7</v>
      </c>
      <c r="Q828" t="inlineStr">
        <is>
          <t>C07</t>
        </is>
      </c>
      <c r="R828" s="22" t="inlineStr">
        <is>
          <t>https://entrackr.com/snippets/jewellery-brand-nuyug-raises-pre-seed-round-led-by-ajvc-9758459</t>
        </is>
      </c>
    </row>
    <row r="829">
      <c r="A829" t="inlineStr">
        <is>
          <t>R250828-savemicrofinan</t>
        </is>
      </c>
      <c r="B829" t="inlineStr">
        <is>
          <t>SAVE Microfinance</t>
        </is>
      </c>
      <c r="C829" s="17" t="n">
        <v>45897</v>
      </c>
      <c r="D829" s="18" t="n">
        <v>45870</v>
      </c>
      <c r="E829" s="19" t="n">
        <v>3</v>
      </c>
      <c r="F829" s="19" t="n">
        <v>26.27</v>
      </c>
      <c r="G829" t="inlineStr">
        <is>
          <t>$3 million</t>
        </is>
      </c>
      <c r="H829" t="inlineStr">
        <is>
          <t>Debt</t>
        </is>
      </c>
      <c r="I829" t="inlineStr">
        <is>
          <t>Debt</t>
        </is>
      </c>
      <c r="J829" t="inlineStr">
        <is>
          <t>Unclassified</t>
        </is>
      </c>
      <c r="K829" t="inlineStr">
        <is>
          <t>Unknown</t>
        </is>
      </c>
      <c r="L829" t="inlineStr"/>
      <c r="M829" t="inlineStr">
        <is>
          <t>Impact Investment Exchange’s</t>
        </is>
      </c>
      <c r="N829" t="inlineStr">
        <is>
          <t>entrackr</t>
        </is>
      </c>
      <c r="O829" s="20" t="n">
        <v>1</v>
      </c>
      <c r="P829" s="21" t="n">
        <v>0</v>
      </c>
      <c r="Q829" t="inlineStr">
        <is>
          <t>C06 C07</t>
        </is>
      </c>
      <c r="R829" s="22" t="inlineStr">
        <is>
          <t>https://entrackr.com/snippets/save-microfinance-raises-3-mn-via-iixs-wlb7-9761815</t>
        </is>
      </c>
    </row>
    <row r="830">
      <c r="A830" t="inlineStr">
        <is>
          <t>R250828-transbnk</t>
        </is>
      </c>
      <c r="B830" t="inlineStr">
        <is>
          <t>TransBnk</t>
        </is>
      </c>
      <c r="C830" s="17" t="n">
        <v>45897</v>
      </c>
      <c r="D830" s="18" t="n">
        <v>45870</v>
      </c>
      <c r="E830" s="19" t="n">
        <v>25</v>
      </c>
      <c r="F830" s="19" t="n">
        <v>218.92</v>
      </c>
      <c r="G830" t="inlineStr">
        <is>
          <t>$25 million</t>
        </is>
      </c>
      <c r="H830" t="inlineStr">
        <is>
          <t>Series B</t>
        </is>
      </c>
      <c r="I830" t="inlineStr">
        <is>
          <t>Growth</t>
        </is>
      </c>
      <c r="J830" t="inlineStr">
        <is>
          <t>Fintech</t>
        </is>
      </c>
      <c r="K830" t="inlineStr">
        <is>
          <t>Mumbai</t>
        </is>
      </c>
      <c r="L830" t="inlineStr">
        <is>
          <t>Bessemer Venture Partners</t>
        </is>
      </c>
      <c r="M830" t="inlineStr">
        <is>
          <t>Bessemer Venture Partners; Arkam Ventures; Fundamentum Partnership; 8i Ventures; Accion Venture Labs; GMO Venture Partners; Existing backers 8i Ventures</t>
        </is>
      </c>
      <c r="N830" t="inlineStr">
        <is>
          <t>entrackr | inc42 | et</t>
        </is>
      </c>
      <c r="O830" s="20" t="n">
        <v>3</v>
      </c>
      <c r="P830" s="21" t="n">
        <v>0</v>
      </c>
      <c r="Q830" t="inlineStr"/>
      <c r="R830" s="22" t="inlineStr">
        <is>
          <t>https://entrackr.com/news/transbnk-raises-25-mn-in-series-b-led-by-bessemer-9761128</t>
        </is>
      </c>
    </row>
    <row r="831">
      <c r="A831" t="inlineStr">
        <is>
          <t>R250829-vutto</t>
        </is>
      </c>
      <c r="B831" t="inlineStr">
        <is>
          <t>Vutto</t>
        </is>
      </c>
      <c r="C831" s="17" t="n">
        <v>45898</v>
      </c>
      <c r="D831" s="18" t="n">
        <v>45870</v>
      </c>
      <c r="E831" s="19" t="n">
        <v>7</v>
      </c>
      <c r="F831" s="19" t="n">
        <v>61.73</v>
      </c>
      <c r="G831" t="inlineStr">
        <is>
          <t>$7 million</t>
        </is>
      </c>
      <c r="H831" t="inlineStr">
        <is>
          <t>Series A</t>
        </is>
      </c>
      <c r="I831" t="inlineStr">
        <is>
          <t>Early</t>
        </is>
      </c>
      <c r="J831" t="inlineStr">
        <is>
          <t>Ecommerce</t>
        </is>
      </c>
      <c r="K831" t="inlineStr">
        <is>
          <t>Delhi NCR</t>
        </is>
      </c>
      <c r="L831" t="inlineStr">
        <is>
          <t>RTP Global; Blume Ventures</t>
        </is>
      </c>
      <c r="M831" t="inlineStr">
        <is>
          <t>RTP Global; Blume Ventures</t>
        </is>
      </c>
      <c r="N831" t="inlineStr">
        <is>
          <t>entrackr | inc42</t>
        </is>
      </c>
      <c r="O831" s="20" t="n">
        <v>2</v>
      </c>
      <c r="P831" s="21" t="n">
        <v>0</v>
      </c>
      <c r="Q831" t="inlineStr"/>
      <c r="R831" s="22" t="inlineStr">
        <is>
          <t>https://entrackr.com/snippets/used-two-wheeler-marketplace-vutto-raises-7-mn-in-series-a-round-9765499</t>
        </is>
      </c>
    </row>
    <row r="832">
      <c r="A832" t="inlineStr">
        <is>
          <t>R250901-bluetokai</t>
        </is>
      </c>
      <c r="B832" t="inlineStr">
        <is>
          <t>Blue Tokai Coffee Roasters</t>
        </is>
      </c>
      <c r="C832" s="17" t="n">
        <v>45901</v>
      </c>
      <c r="D832" s="18" t="n">
        <v>45901</v>
      </c>
      <c r="E832" s="19" t="n">
        <v>25</v>
      </c>
      <c r="F832" s="19" t="n">
        <v>220.48</v>
      </c>
      <c r="G832" t="inlineStr">
        <is>
          <t>$25 million</t>
        </is>
      </c>
      <c r="H832" t="inlineStr">
        <is>
          <t>Bridge</t>
        </is>
      </c>
      <c r="I832" t="inlineStr">
        <is>
          <t>Other</t>
        </is>
      </c>
      <c r="J832" t="inlineStr">
        <is>
          <t>Ecommerce</t>
        </is>
      </c>
      <c r="K832" t="inlineStr">
        <is>
          <t>Unknown</t>
        </is>
      </c>
      <c r="L832" t="inlineStr"/>
      <c r="M832" t="inlineStr">
        <is>
          <t>A91 Partners; Anicut; Verlinvest; 12 Flags</t>
        </is>
      </c>
      <c r="N832" t="inlineStr">
        <is>
          <t>entrackr | inc42</t>
        </is>
      </c>
      <c r="O832" s="20" t="n">
        <v>2</v>
      </c>
      <c r="P832" s="21" t="n">
        <v>0</v>
      </c>
      <c r="Q832" t="inlineStr">
        <is>
          <t>C07</t>
        </is>
      </c>
      <c r="R832" s="22" t="inlineStr">
        <is>
          <t>https://entrackr.com/news/blue-tokai-raises-25-mn-in-a-bridge-funding-round-from-existing-investors-9776061</t>
        </is>
      </c>
    </row>
    <row r="833">
      <c r="A833" t="inlineStr">
        <is>
          <t>R250901-citymall</t>
        </is>
      </c>
      <c r="B833" t="inlineStr">
        <is>
          <t>CityMall</t>
        </is>
      </c>
      <c r="C833" s="17" t="n">
        <v>45901</v>
      </c>
      <c r="D833" s="18" t="n">
        <v>45901</v>
      </c>
      <c r="E833" s="19" t="n">
        <v>47</v>
      </c>
      <c r="F833" s="19" t="n">
        <v>414.49</v>
      </c>
      <c r="G833" t="inlineStr">
        <is>
          <t>$47 Mn</t>
        </is>
      </c>
      <c r="H833" t="inlineStr">
        <is>
          <t>Series D</t>
        </is>
      </c>
      <c r="I833" t="inlineStr">
        <is>
          <t>Late</t>
        </is>
      </c>
      <c r="J833" t="inlineStr">
        <is>
          <t>Ecommerce</t>
        </is>
      </c>
      <c r="K833" t="inlineStr">
        <is>
          <t>Delhi NCR</t>
        </is>
      </c>
      <c r="L833" t="inlineStr">
        <is>
          <t>Accel</t>
        </is>
      </c>
      <c r="M833" t="inlineStr">
        <is>
          <t>Accel; Waterbridge Ventures; Citius; General Catalyst; Elevation Capital; Norwest Venture Partners; Jungle Ventures</t>
        </is>
      </c>
      <c r="N833" t="inlineStr">
        <is>
          <t>inc42 | et</t>
        </is>
      </c>
      <c r="O833" s="20" t="n">
        <v>2</v>
      </c>
      <c r="P833" s="21" t="n">
        <v>0</v>
      </c>
      <c r="Q833" t="inlineStr"/>
      <c r="R833" s="22" t="inlineStr">
        <is>
          <t>https://economictimes.indiatimes.com/tech/funding/community-ecommerce-startup-citymall-raises-47-million-at-flat-value/articleshow/123636551.cms</t>
        </is>
      </c>
    </row>
    <row r="834">
      <c r="A834" t="inlineStr">
        <is>
          <t>R250901-cuzor</t>
        </is>
      </c>
      <c r="B834" t="inlineStr">
        <is>
          <t>Cuzor</t>
        </is>
      </c>
      <c r="C834" s="17" t="n">
        <v>45901</v>
      </c>
      <c r="D834" s="18" t="n">
        <v>45901</v>
      </c>
      <c r="E834" s="19" t="n">
        <v>0.5669999999999999</v>
      </c>
      <c r="F834" s="19" t="n">
        <v>5</v>
      </c>
      <c r="G834" t="inlineStr">
        <is>
          <t>Rs 5 crore</t>
        </is>
      </c>
      <c r="H834" t="inlineStr">
        <is>
          <t>Seed</t>
        </is>
      </c>
      <c r="I834" t="inlineStr">
        <is>
          <t>Early</t>
        </is>
      </c>
      <c r="J834" t="inlineStr">
        <is>
          <t>Ecommerce</t>
        </is>
      </c>
      <c r="K834" t="inlineStr">
        <is>
          <t>Bengaluru</t>
        </is>
      </c>
      <c r="L834" t="inlineStr">
        <is>
          <t>Ramesh Kannan (MD; Kaynes Technology)</t>
        </is>
      </c>
      <c r="M834" t="inlineStr">
        <is>
          <t>Ramesh Kannan (MD; Kaynes Technology)</t>
        </is>
      </c>
      <c r="N834" t="inlineStr">
        <is>
          <t>entrackr | inc42</t>
        </is>
      </c>
      <c r="O834" s="20" t="n">
        <v>2</v>
      </c>
      <c r="P834" s="21" t="n">
        <v>0.2</v>
      </c>
      <c r="Q834" t="inlineStr"/>
      <c r="R834" s="22" t="inlineStr">
        <is>
          <t>https://entrackr.com/snippets/consumer-electronics-brand-cuzor-raises-rs-5-cr-in-seed-round-9774557</t>
        </is>
      </c>
    </row>
    <row r="835">
      <c r="A835" t="inlineStr">
        <is>
          <t>R250901-tessolve</t>
        </is>
      </c>
      <c r="B835" t="inlineStr">
        <is>
          <t>Tessolve</t>
        </is>
      </c>
      <c r="C835" s="17" t="n">
        <v>45901</v>
      </c>
      <c r="D835" s="18" t="n">
        <v>45901</v>
      </c>
      <c r="E835" s="19" t="n">
        <v>150</v>
      </c>
      <c r="F835" s="19" t="n">
        <v>1322.85</v>
      </c>
      <c r="G835" t="inlineStr">
        <is>
          <t>$150 million</t>
        </is>
      </c>
      <c r="H835" t="inlineStr">
        <is>
          <t>Undisclosed</t>
        </is>
      </c>
      <c r="I835" t="inlineStr">
        <is>
          <t>Undisclosed</t>
        </is>
      </c>
      <c r="J835" t="inlineStr">
        <is>
          <t>Unclassified</t>
        </is>
      </c>
      <c r="K835" t="inlineStr">
        <is>
          <t>Unknown</t>
        </is>
      </c>
      <c r="L835" t="inlineStr"/>
      <c r="M835" t="inlineStr">
        <is>
          <t>TPG</t>
        </is>
      </c>
      <c r="N835" t="inlineStr">
        <is>
          <t>entrackr</t>
        </is>
      </c>
      <c r="O835" s="20" t="n">
        <v>1</v>
      </c>
      <c r="P835" s="21" t="n">
        <v>0</v>
      </c>
      <c r="Q835" t="inlineStr">
        <is>
          <t>C04 C06 C07</t>
        </is>
      </c>
      <c r="R835" s="22" t="inlineStr">
        <is>
          <t>https://entrackr.com/snippets/hero-electronixs-semiconductor-firm-tessolve-raises-150-mn-from-tpg-9773853</t>
        </is>
      </c>
    </row>
    <row r="836">
      <c r="A836" t="inlineStr">
        <is>
          <t>R250902-leafybus</t>
        </is>
      </c>
      <c r="B836" t="inlineStr">
        <is>
          <t>LeafyBus</t>
        </is>
      </c>
      <c r="C836" s="17" t="n">
        <v>45902</v>
      </c>
      <c r="D836" s="18" t="n">
        <v>45901</v>
      </c>
      <c r="E836" s="19" t="n">
        <v>4.1</v>
      </c>
      <c r="F836" s="19" t="n">
        <v>36.11</v>
      </c>
      <c r="G836" t="inlineStr">
        <is>
          <t>$4.1 Mn</t>
        </is>
      </c>
      <c r="H836" t="inlineStr">
        <is>
          <t>Pre-Series A</t>
        </is>
      </c>
      <c r="I836" t="inlineStr">
        <is>
          <t>Early</t>
        </is>
      </c>
      <c r="J836" t="inlineStr">
        <is>
          <t>Travel Tech</t>
        </is>
      </c>
      <c r="K836" t="inlineStr">
        <is>
          <t>Delhi NCR</t>
        </is>
      </c>
      <c r="L836" t="inlineStr">
        <is>
          <t>Enetra India</t>
        </is>
      </c>
      <c r="M836" t="inlineStr">
        <is>
          <t>Enetra India; Impact Capital Asia Management</t>
        </is>
      </c>
      <c r="N836" t="inlineStr">
        <is>
          <t>entrackr | inc42</t>
        </is>
      </c>
      <c r="O836" s="20" t="n">
        <v>2</v>
      </c>
      <c r="P836" s="21" t="n">
        <v>0</v>
      </c>
      <c r="Q836" t="inlineStr"/>
      <c r="R836" s="22" t="inlineStr">
        <is>
          <t>https://entrackr.com/snippets/intercity-ev-bus-startup-leafybus-raises-41-mn-from-enetra-ev-9777526</t>
        </is>
      </c>
    </row>
    <row r="837">
      <c r="A837" t="inlineStr">
        <is>
          <t>R250902-offgridenergyl</t>
        </is>
      </c>
      <c r="B837" t="inlineStr">
        <is>
          <t>Offgrid Energy Labs</t>
        </is>
      </c>
      <c r="C837" s="17" t="n">
        <v>45902</v>
      </c>
      <c r="D837" s="18" t="n">
        <v>45901</v>
      </c>
      <c r="E837" s="19" t="n">
        <v>15</v>
      </c>
      <c r="F837" s="19" t="n">
        <v>132.12</v>
      </c>
      <c r="G837" t="inlineStr">
        <is>
          <t>$15 million</t>
        </is>
      </c>
      <c r="H837" t="inlineStr">
        <is>
          <t>Series A</t>
        </is>
      </c>
      <c r="I837" t="inlineStr">
        <is>
          <t>Early</t>
        </is>
      </c>
      <c r="J837" t="inlineStr">
        <is>
          <t>Cleantech</t>
        </is>
      </c>
      <c r="K837" t="inlineStr">
        <is>
          <t>Delhi NCR</t>
        </is>
      </c>
      <c r="L837" t="inlineStr">
        <is>
          <t>Archean Chemicals Industries</t>
        </is>
      </c>
      <c r="M837" t="inlineStr">
        <is>
          <t>Archean Chemicals Industries; Ankur Capital</t>
        </is>
      </c>
      <c r="N837" t="inlineStr">
        <is>
          <t>entrackr | inc42 | et</t>
        </is>
      </c>
      <c r="O837" s="20" t="n">
        <v>3</v>
      </c>
      <c r="P837" s="21" t="n">
        <v>0</v>
      </c>
      <c r="Q837" t="inlineStr"/>
      <c r="R837" s="22" t="inlineStr">
        <is>
          <t>https://entrackr.com/snippets/offgrid-energy-labs-raises-15-mn-led-by-archean-chemical-industries-9776981</t>
        </is>
      </c>
    </row>
    <row r="838">
      <c r="A838" t="inlineStr">
        <is>
          <t>R250902-tucokids</t>
        </is>
      </c>
      <c r="B838" t="inlineStr">
        <is>
          <t>Tuco Kids</t>
        </is>
      </c>
      <c r="C838" s="17" t="n">
        <v>45902</v>
      </c>
      <c r="D838" s="18" t="n">
        <v>45901</v>
      </c>
      <c r="E838" s="19" t="n">
        <v>4</v>
      </c>
      <c r="F838" s="19" t="n">
        <v>35.23</v>
      </c>
      <c r="G838" t="inlineStr">
        <is>
          <t>$4 million</t>
        </is>
      </c>
      <c r="H838" t="inlineStr">
        <is>
          <t>Series A</t>
        </is>
      </c>
      <c r="I838" t="inlineStr">
        <is>
          <t>Early</t>
        </is>
      </c>
      <c r="J838" t="inlineStr">
        <is>
          <t>Ecommerce</t>
        </is>
      </c>
      <c r="K838" t="inlineStr">
        <is>
          <t>Bengaluru</t>
        </is>
      </c>
      <c r="L838" t="inlineStr">
        <is>
          <t>RTP Global</t>
        </is>
      </c>
      <c r="M838" t="inlineStr">
        <is>
          <t>RTP Global; MG Investments; Whiteboard Capital; Fireside Ventures</t>
        </is>
      </c>
      <c r="N838" t="inlineStr">
        <is>
          <t>entrackr | inc42 | et</t>
        </is>
      </c>
      <c r="O838" s="20" t="n">
        <v>3</v>
      </c>
      <c r="P838" s="21" t="n">
        <v>0</v>
      </c>
      <c r="Q838" t="inlineStr"/>
      <c r="R838" s="22" t="inlineStr">
        <is>
          <t>https://entrackr.com/snippets/tuco-kids-raises-4-mn-led-by-rtp-global-9776941</t>
        </is>
      </c>
    </row>
    <row r="839">
      <c r="A839" t="inlineStr">
        <is>
          <t>R250902-zanskar</t>
        </is>
      </c>
      <c r="B839" t="inlineStr">
        <is>
          <t>Zanskar</t>
        </is>
      </c>
      <c r="C839" s="17" t="n">
        <v>45902</v>
      </c>
      <c r="D839" s="18" t="n">
        <v>45901</v>
      </c>
      <c r="E839" s="19" t="n">
        <v>0.318</v>
      </c>
      <c r="F839" s="19" t="n">
        <v>2.8</v>
      </c>
      <c r="G839" t="inlineStr">
        <is>
          <t>Rs 2.8 crore</t>
        </is>
      </c>
      <c r="H839" t="inlineStr">
        <is>
          <t>Seed</t>
        </is>
      </c>
      <c r="I839" t="inlineStr">
        <is>
          <t>Early</t>
        </is>
      </c>
      <c r="J839" t="inlineStr">
        <is>
          <t>Ecommerce</t>
        </is>
      </c>
      <c r="K839" t="inlineStr">
        <is>
          <t>Delhi NCR</t>
        </is>
      </c>
      <c r="L839" t="inlineStr">
        <is>
          <t>Zeropearl VC</t>
        </is>
      </c>
      <c r="M839" t="inlineStr">
        <is>
          <t>Zeropearl VC; Pawan Gupta (founder; Fashinza); 10X Growth Ventures); Nidhish Mundra (SVP; Oaktree Capital); Amit Baid</t>
        </is>
      </c>
      <c r="N839" t="inlineStr">
        <is>
          <t>entrackr | inc42</t>
        </is>
      </c>
      <c r="O839" s="20" t="n">
        <v>2</v>
      </c>
      <c r="P839" s="21" t="n">
        <v>0.3</v>
      </c>
      <c r="Q839" t="inlineStr"/>
      <c r="R839" s="22" t="inlineStr">
        <is>
          <t>https://entrackr.com/snippets/zanskar-raises-rs-28-cr-seed-round-led-by-zeropearl-vc-9779156</t>
        </is>
      </c>
    </row>
    <row r="840">
      <c r="A840" t="inlineStr">
        <is>
          <t>R250903-onlinepharmacy</t>
        </is>
      </c>
      <c r="B840" t="inlineStr">
        <is>
          <t>Online pharmacy PlatinumRx</t>
        </is>
      </c>
      <c r="C840" s="17" t="n">
        <v>45903</v>
      </c>
      <c r="D840" s="18" t="n">
        <v>45901</v>
      </c>
      <c r="E840" s="19" t="n">
        <v>6</v>
      </c>
      <c r="F840" s="19" t="n">
        <v>52.82</v>
      </c>
      <c r="G840" t="inlineStr">
        <is>
          <t>$6 million</t>
        </is>
      </c>
      <c r="H840" t="inlineStr">
        <is>
          <t>Undisclosed</t>
        </is>
      </c>
      <c r="I840" t="inlineStr">
        <is>
          <t>Undisclosed</t>
        </is>
      </c>
      <c r="J840" t="inlineStr">
        <is>
          <t>Unclassified</t>
        </is>
      </c>
      <c r="K840" t="inlineStr">
        <is>
          <t>Bengaluru</t>
        </is>
      </c>
      <c r="L840" t="inlineStr">
        <is>
          <t>Stellaris Venture Partners; India Quotient</t>
        </is>
      </c>
      <c r="M840" t="inlineStr">
        <is>
          <t>Stellaris Venture Partners; India Quotient</t>
        </is>
      </c>
      <c r="N840" t="inlineStr">
        <is>
          <t>entrackr</t>
        </is>
      </c>
      <c r="O840" s="20" t="n">
        <v>1</v>
      </c>
      <c r="P840" s="21" t="n">
        <v>0</v>
      </c>
      <c r="Q840" t="inlineStr">
        <is>
          <t>C04 C06</t>
        </is>
      </c>
      <c r="R840" s="22" t="inlineStr">
        <is>
          <t>https://entrackr.com/snippets/online-pharmacy-platinumrx-raises-6-mn-led-by-stellaris-9780418</t>
        </is>
      </c>
    </row>
    <row r="841">
      <c r="A841" t="inlineStr">
        <is>
          <t>R250903-pbhealthcare</t>
        </is>
      </c>
      <c r="B841" t="inlineStr">
        <is>
          <t>PB Healthcare</t>
        </is>
      </c>
      <c r="C841" s="17" t="n">
        <v>45903</v>
      </c>
      <c r="D841" s="18" t="n">
        <v>45901</v>
      </c>
      <c r="E841" s="19" t="n">
        <v>218</v>
      </c>
      <c r="F841" s="19" t="n">
        <v>1919.05</v>
      </c>
      <c r="G841" t="inlineStr">
        <is>
          <t>$218 million</t>
        </is>
      </c>
      <c r="H841" t="inlineStr">
        <is>
          <t>Seed</t>
        </is>
      </c>
      <c r="I841" t="inlineStr">
        <is>
          <t>Early</t>
        </is>
      </c>
      <c r="J841" t="inlineStr">
        <is>
          <t>Healthtech</t>
        </is>
      </c>
      <c r="K841" t="inlineStr">
        <is>
          <t>Unknown</t>
        </is>
      </c>
      <c r="L841" t="inlineStr">
        <is>
          <t>General Catalyst</t>
        </is>
      </c>
      <c r="M841" t="inlineStr">
        <is>
          <t>General Catalyst; PB Fintech</t>
        </is>
      </c>
      <c r="N841" t="inlineStr">
        <is>
          <t>entrackr</t>
        </is>
      </c>
      <c r="O841" s="20" t="n">
        <v>1</v>
      </c>
      <c r="P841" s="21" t="n">
        <v>0</v>
      </c>
      <c r="Q841" t="inlineStr">
        <is>
          <t>C07 C11</t>
        </is>
      </c>
      <c r="R841" s="22" t="inlineStr">
        <is>
          <t>https://entrackr.com/decoding/decoding-pb-healthcares-218-mn-seed-round-shareholding-pattern-and-valuation-9782051</t>
        </is>
      </c>
    </row>
    <row r="842">
      <c r="A842" t="inlineStr">
        <is>
          <t>R250903-platinumrx</t>
        </is>
      </c>
      <c r="B842" t="inlineStr">
        <is>
          <t>PlatinumRx</t>
        </is>
      </c>
      <c r="C842" s="17" t="n">
        <v>45903</v>
      </c>
      <c r="D842" s="18" t="n">
        <v>45901</v>
      </c>
      <c r="E842" s="19" t="n">
        <v>6</v>
      </c>
      <c r="F842" s="19" t="n">
        <v>52.82</v>
      </c>
      <c r="G842" t="inlineStr">
        <is>
          <t>$6 Mn</t>
        </is>
      </c>
      <c r="H842" t="inlineStr">
        <is>
          <t>Series A</t>
        </is>
      </c>
      <c r="I842" t="inlineStr">
        <is>
          <t>Early</t>
        </is>
      </c>
      <c r="J842" t="inlineStr">
        <is>
          <t>Healthtech</t>
        </is>
      </c>
      <c r="K842" t="inlineStr">
        <is>
          <t>Bengaluru</t>
        </is>
      </c>
      <c r="L842" t="inlineStr">
        <is>
          <t>Stellaris Venture Partners</t>
        </is>
      </c>
      <c r="M842" t="inlineStr">
        <is>
          <t>Stellaris Venture Partners; India Quotient</t>
        </is>
      </c>
      <c r="N842" t="inlineStr">
        <is>
          <t>inc42 | et</t>
        </is>
      </c>
      <c r="O842" s="20" t="n">
        <v>2</v>
      </c>
      <c r="P842" s="21" t="n">
        <v>0</v>
      </c>
      <c r="Q842" t="inlineStr"/>
      <c r="R842" s="22" t="inlineStr">
        <is>
          <t>https://economictimes.indiatimes.com/tech/funding/online-pharmacy-platinumrx-raises-6-million-in-round-led-by-stellaris-venture-partners/articleshow/123663937.cms</t>
        </is>
      </c>
    </row>
    <row r="843">
      <c r="A843" t="inlineStr">
        <is>
          <t>R250903-seekho</t>
        </is>
      </c>
      <c r="B843" t="inlineStr">
        <is>
          <t>Seekho</t>
        </is>
      </c>
      <c r="C843" s="17" t="n">
        <v>45903</v>
      </c>
      <c r="D843" s="18" t="n">
        <v>45901</v>
      </c>
      <c r="E843" s="19" t="n">
        <v>28</v>
      </c>
      <c r="F843" s="19" t="n">
        <v>246.48</v>
      </c>
      <c r="G843" t="inlineStr">
        <is>
          <t>$28 Mn</t>
        </is>
      </c>
      <c r="H843" t="inlineStr">
        <is>
          <t>Series B</t>
        </is>
      </c>
      <c r="I843" t="inlineStr">
        <is>
          <t>Growth</t>
        </is>
      </c>
      <c r="J843" t="inlineStr">
        <is>
          <t>Media &amp; Entertainment</t>
        </is>
      </c>
      <c r="K843" t="inlineStr">
        <is>
          <t>Unknown</t>
        </is>
      </c>
      <c r="L843" t="inlineStr">
        <is>
          <t>Bessemer Venture Partners</t>
        </is>
      </c>
      <c r="M843" t="inlineStr">
        <is>
          <t>Bessemer Venture Partners; Goodwater Capital; Lightspeed Venture Partners; Elevation Capital</t>
        </is>
      </c>
      <c r="N843" t="inlineStr">
        <is>
          <t>inc42</t>
        </is>
      </c>
      <c r="O843" s="20" t="n">
        <v>1</v>
      </c>
      <c r="P843" s="21" t="n">
        <v>0</v>
      </c>
      <c r="Q843" t="inlineStr">
        <is>
          <t>C07</t>
        </is>
      </c>
      <c r="R843" s="22" t="inlineStr">
        <is>
          <t>https://inc42.com/buzz/from-citymall-to-firstclub-indian-startups-raised-186-mn-this-week/</t>
        </is>
      </c>
    </row>
    <row r="844">
      <c r="A844" t="inlineStr">
        <is>
          <t>R250903-stockgro</t>
        </is>
      </c>
      <c r="B844" t="inlineStr">
        <is>
          <t>StockGro</t>
        </is>
      </c>
      <c r="C844" s="17" t="n">
        <v>45903</v>
      </c>
      <c r="D844" s="18" t="n">
        <v>45901</v>
      </c>
      <c r="E844" s="19" t="n">
        <v>5.68</v>
      </c>
      <c r="F844" s="19" t="n">
        <v>50</v>
      </c>
      <c r="G844" t="inlineStr">
        <is>
          <t>Rs 50 crore</t>
        </is>
      </c>
      <c r="H844" t="inlineStr">
        <is>
          <t>Debt</t>
        </is>
      </c>
      <c r="I844" t="inlineStr">
        <is>
          <t>Debt</t>
        </is>
      </c>
      <c r="J844" t="inlineStr">
        <is>
          <t>Fintech</t>
        </is>
      </c>
      <c r="K844" t="inlineStr">
        <is>
          <t>Bengaluru</t>
        </is>
      </c>
      <c r="L844" t="inlineStr"/>
      <c r="M844" t="inlineStr">
        <is>
          <t>Trifecta</t>
        </is>
      </c>
      <c r="N844" t="inlineStr">
        <is>
          <t>entrackr</t>
        </is>
      </c>
      <c r="O844" s="20" t="n">
        <v>1</v>
      </c>
      <c r="P844" s="21" t="n">
        <v>0</v>
      </c>
      <c r="Q844" t="inlineStr"/>
      <c r="R844" s="22" t="inlineStr">
        <is>
          <t>https://entrackr.com/exclusive/exclusive-stockgro-secures-rs-50-cr-debt-from-trifecta-9780883</t>
        </is>
      </c>
    </row>
    <row r="845">
      <c r="A845" t="inlineStr">
        <is>
          <t>R250903-waterscience</t>
        </is>
      </c>
      <c r="B845" t="inlineStr">
        <is>
          <t>Waterscience</t>
        </is>
      </c>
      <c r="C845" s="17" t="n">
        <v>45903</v>
      </c>
      <c r="D845" s="18" t="n">
        <v>45901</v>
      </c>
      <c r="E845" s="19" t="n">
        <v>0.159</v>
      </c>
      <c r="F845" s="19" t="n">
        <v>1.4</v>
      </c>
      <c r="G845" t="inlineStr">
        <is>
          <t>Rs 1.4 crore</t>
        </is>
      </c>
      <c r="H845" t="inlineStr">
        <is>
          <t>Undisclosed</t>
        </is>
      </c>
      <c r="I845" t="inlineStr">
        <is>
          <t>Undisclosed</t>
        </is>
      </c>
      <c r="J845" t="inlineStr">
        <is>
          <t>Ecommerce</t>
        </is>
      </c>
      <c r="K845" t="inlineStr">
        <is>
          <t>Unknown</t>
        </is>
      </c>
      <c r="L845" t="inlineStr">
        <is>
          <t>Valar Ventures</t>
        </is>
      </c>
      <c r="M845" t="inlineStr">
        <is>
          <t>Valar Ventures; Velocity</t>
        </is>
      </c>
      <c r="N845" t="inlineStr">
        <is>
          <t>entrackr | inc42</t>
        </is>
      </c>
      <c r="O845" s="20" t="n">
        <v>2</v>
      </c>
      <c r="P845" s="21" t="n">
        <v>0</v>
      </c>
      <c r="Q845" t="inlineStr">
        <is>
          <t>C04 C07</t>
        </is>
      </c>
      <c r="R845" s="22" t="inlineStr">
        <is>
          <t>https://entrackr.com/snippets/non-drinking-water-filtration-brand-waterscience-secures-funding-from-velocity-9780424</t>
        </is>
      </c>
    </row>
    <row r="846">
      <c r="A846" t="inlineStr">
        <is>
          <t>R250904-autodukan</t>
        </is>
      </c>
      <c r="B846" t="inlineStr">
        <is>
          <t>AutoDukan</t>
        </is>
      </c>
      <c r="C846" s="17" t="n">
        <v>45904</v>
      </c>
      <c r="D846" s="18" t="n">
        <v>45901</v>
      </c>
      <c r="E846" s="19" t="n">
        <v>1</v>
      </c>
      <c r="F846" s="19" t="n">
        <v>8.81</v>
      </c>
      <c r="G846" t="inlineStr">
        <is>
          <t>$1 million</t>
        </is>
      </c>
      <c r="H846" t="inlineStr">
        <is>
          <t>Pre-Series A</t>
        </is>
      </c>
      <c r="I846" t="inlineStr">
        <is>
          <t>Early</t>
        </is>
      </c>
      <c r="J846" t="inlineStr">
        <is>
          <t>Ecommerce</t>
        </is>
      </c>
      <c r="K846" t="inlineStr">
        <is>
          <t>Unknown</t>
        </is>
      </c>
      <c r="L846" t="inlineStr">
        <is>
          <t>Choice Group</t>
        </is>
      </c>
      <c r="M846" t="inlineStr">
        <is>
          <t>Windrose Capital); Raghu Venkatraman; Choice Group</t>
        </is>
      </c>
      <c r="N846" t="inlineStr">
        <is>
          <t>entrackr | inc42</t>
        </is>
      </c>
      <c r="O846" s="20" t="n">
        <v>2</v>
      </c>
      <c r="P846" s="21" t="n">
        <v>0</v>
      </c>
      <c r="Q846" t="inlineStr">
        <is>
          <t>C07</t>
        </is>
      </c>
      <c r="R846" s="22" t="inlineStr">
        <is>
          <t>https://entrackr.com/snippets/autodukan-raises-1-mn-in-pre-series-a-round-9893438</t>
        </is>
      </c>
    </row>
    <row r="847">
      <c r="A847" t="inlineStr">
        <is>
          <t>R250904-colive</t>
        </is>
      </c>
      <c r="B847" t="inlineStr">
        <is>
          <t>Colive</t>
        </is>
      </c>
      <c r="C847" s="17" t="n">
        <v>45904</v>
      </c>
      <c r="D847" s="18" t="n">
        <v>45901</v>
      </c>
      <c r="E847" s="19" t="n">
        <v>20</v>
      </c>
      <c r="F847" s="19" t="n">
        <v>176.24</v>
      </c>
      <c r="G847" t="inlineStr">
        <is>
          <t>$20 million</t>
        </is>
      </c>
      <c r="H847" t="inlineStr">
        <is>
          <t>Series B</t>
        </is>
      </c>
      <c r="I847" t="inlineStr">
        <is>
          <t>Growth</t>
        </is>
      </c>
      <c r="J847" t="inlineStr">
        <is>
          <t>Real Estate Tech</t>
        </is>
      </c>
      <c r="K847" t="inlineStr">
        <is>
          <t>Unknown</t>
        </is>
      </c>
      <c r="L847" t="inlineStr">
        <is>
          <t>Bain Capital</t>
        </is>
      </c>
      <c r="M847" t="inlineStr">
        <is>
          <t>Bain Capital; Sattva Group</t>
        </is>
      </c>
      <c r="N847" t="inlineStr">
        <is>
          <t>entrackr | inc42</t>
        </is>
      </c>
      <c r="O847" s="20" t="n">
        <v>2</v>
      </c>
      <c r="P847" s="21" t="n">
        <v>0</v>
      </c>
      <c r="Q847" t="inlineStr">
        <is>
          <t>C07</t>
        </is>
      </c>
      <c r="R847" s="22" t="inlineStr">
        <is>
          <t>https://entrackr.com/snippets/colive-raises-20-mn-led-by-bain-capital-9894671</t>
        </is>
      </c>
    </row>
    <row r="848">
      <c r="A848" t="inlineStr">
        <is>
          <t>R250904-firstclub</t>
        </is>
      </c>
      <c r="B848" t="inlineStr">
        <is>
          <t>FirstClub</t>
        </is>
      </c>
      <c r="C848" s="17" t="n">
        <v>45904</v>
      </c>
      <c r="D848" s="18" t="n">
        <v>45901</v>
      </c>
      <c r="E848" s="19" t="n">
        <v>23</v>
      </c>
      <c r="F848" s="19" t="n">
        <v>202.68</v>
      </c>
      <c r="G848" t="inlineStr">
        <is>
          <t>$23 million</t>
        </is>
      </c>
      <c r="H848" t="inlineStr">
        <is>
          <t>Series A</t>
        </is>
      </c>
      <c r="I848" t="inlineStr">
        <is>
          <t>Early</t>
        </is>
      </c>
      <c r="J848" t="inlineStr">
        <is>
          <t>Consumer Services</t>
        </is>
      </c>
      <c r="K848" t="inlineStr">
        <is>
          <t>Bengaluru</t>
        </is>
      </c>
      <c r="L848" t="inlineStr">
        <is>
          <t>Accel; RTP Global</t>
        </is>
      </c>
      <c r="M848" t="inlineStr">
        <is>
          <t>Accel; RTP Global; Blume; 2am VC; Paramark Ventures; Aditya Birla Ventures</t>
        </is>
      </c>
      <c r="N848" t="inlineStr">
        <is>
          <t>entrackr | inc42 | et</t>
        </is>
      </c>
      <c r="O848" s="20" t="n">
        <v>3</v>
      </c>
      <c r="P848" s="21" t="n">
        <v>0</v>
      </c>
      <c r="Q848" t="inlineStr"/>
      <c r="R848" s="22" t="inlineStr">
        <is>
          <t>https://entrackr.com/news/firstclub-raises-23-mn-in-series-a-round-at-120-mn-valuation-9885513</t>
        </is>
      </c>
    </row>
    <row r="849">
      <c r="A849" t="inlineStr">
        <is>
          <t>R250904-flexifyme</t>
        </is>
      </c>
      <c r="B849" t="inlineStr">
        <is>
          <t>FlexifyMe</t>
        </is>
      </c>
      <c r="C849" s="17" t="n">
        <v>45904</v>
      </c>
      <c r="D849" s="18" t="n">
        <v>45901</v>
      </c>
      <c r="E849" s="19" t="n">
        <v>2.27</v>
      </c>
      <c r="F849" s="19" t="n">
        <v>20</v>
      </c>
      <c r="G849" t="inlineStr">
        <is>
          <t>Rs 20 crore</t>
        </is>
      </c>
      <c r="H849" t="inlineStr">
        <is>
          <t>Pre-Series A</t>
        </is>
      </c>
      <c r="I849" t="inlineStr">
        <is>
          <t>Early</t>
        </is>
      </c>
      <c r="J849" t="inlineStr">
        <is>
          <t>Healthtech</t>
        </is>
      </c>
      <c r="K849" t="inlineStr">
        <is>
          <t>Pune</t>
        </is>
      </c>
      <c r="L849" t="inlineStr">
        <is>
          <t>IvyCap Ventures</t>
        </is>
      </c>
      <c r="M849" t="inlineStr">
        <is>
          <t>IvyCap Ventures; Signal Ventures</t>
        </is>
      </c>
      <c r="N849" t="inlineStr">
        <is>
          <t>entrackr | inc42</t>
        </is>
      </c>
      <c r="O849" s="20" t="n">
        <v>2</v>
      </c>
      <c r="P849" s="21" t="n">
        <v>1.3</v>
      </c>
      <c r="Q849" t="inlineStr"/>
      <c r="R849" s="22" t="inlineStr">
        <is>
          <t>https://entrackr.com/snippets/flexifyme-raises-20-cr-in-pre-series-a-round-led-by-ivycap-ventures-9888299</t>
        </is>
      </c>
    </row>
    <row r="850">
      <c r="A850" t="inlineStr">
        <is>
          <t>R250904-houseofzelena</t>
        </is>
      </c>
      <c r="B850" t="inlineStr">
        <is>
          <t>House of Zelena</t>
        </is>
      </c>
      <c r="C850" s="17" t="n">
        <v>45904</v>
      </c>
      <c r="D850" s="18" t="n">
        <v>45901</v>
      </c>
      <c r="E850" s="19" t="n">
        <v>0.794</v>
      </c>
      <c r="F850" s="19" t="n">
        <v>7</v>
      </c>
      <c r="G850" t="inlineStr">
        <is>
          <t>Rs 7 crore</t>
        </is>
      </c>
      <c r="H850" t="inlineStr">
        <is>
          <t>Seed</t>
        </is>
      </c>
      <c r="I850" t="inlineStr">
        <is>
          <t>Early</t>
        </is>
      </c>
      <c r="J850" t="inlineStr">
        <is>
          <t>Ecommerce</t>
        </is>
      </c>
      <c r="K850" t="inlineStr">
        <is>
          <t>Unknown</t>
        </is>
      </c>
      <c r="L850" t="inlineStr">
        <is>
          <t>Sprout Venture Partners; M Venture Partners</t>
        </is>
      </c>
      <c r="M850" t="inlineStr">
        <is>
          <t>Sprout Venture Partners; M Venture Partners; GSF</t>
        </is>
      </c>
      <c r="N850" t="inlineStr">
        <is>
          <t>entrackr | inc42</t>
        </is>
      </c>
      <c r="O850" s="20" t="n">
        <v>2</v>
      </c>
      <c r="P850" s="21" t="n">
        <v>0.2</v>
      </c>
      <c r="Q850" t="inlineStr">
        <is>
          <t>C07</t>
        </is>
      </c>
      <c r="R850" s="22" t="inlineStr">
        <is>
          <t>https://entrackr.com/snippets/house-of-zelena-raises-rs-7-cr-in-seed-round-9888630</t>
        </is>
      </c>
    </row>
    <row r="851">
      <c r="A851" t="inlineStr">
        <is>
          <t>R250904-quanteenergy</t>
        </is>
      </c>
      <c r="B851" t="inlineStr">
        <is>
          <t>QuantE Energy</t>
        </is>
      </c>
      <c r="C851" s="17" t="n">
        <v>45904</v>
      </c>
      <c r="D851" s="18" t="n">
        <v>45901</v>
      </c>
      <c r="E851" s="19" t="n">
        <v>0.5</v>
      </c>
      <c r="F851" s="19" t="n">
        <v>4.41</v>
      </c>
      <c r="G851" t="inlineStr">
        <is>
          <t>$500K</t>
        </is>
      </c>
      <c r="H851" t="inlineStr">
        <is>
          <t>Seed</t>
        </is>
      </c>
      <c r="I851" t="inlineStr">
        <is>
          <t>Early</t>
        </is>
      </c>
      <c r="J851" t="inlineStr">
        <is>
          <t>Cleantech</t>
        </is>
      </c>
      <c r="K851" t="inlineStr">
        <is>
          <t>Delhi NCR</t>
        </is>
      </c>
      <c r="L851" t="inlineStr">
        <is>
          <t>Trillion Dollar Venture Partners</t>
        </is>
      </c>
      <c r="M851" t="inlineStr">
        <is>
          <t>Trillion Dollar Venture Partners; Raghunandan G (founder; Zolve); Amit Lakhotia (founder; Park+) Ankit Gupta (ex-CEO; OYO); Hari Krishnan Nair (cofounder; Great Learning); TDV Partners</t>
        </is>
      </c>
      <c r="N851" t="inlineStr">
        <is>
          <t>entrackr | inc42 | et</t>
        </is>
      </c>
      <c r="O851" s="20" t="n">
        <v>3</v>
      </c>
      <c r="P851" s="21" t="n">
        <v>0</v>
      </c>
      <c r="Q851" t="inlineStr"/>
      <c r="R851" s="22" t="inlineStr">
        <is>
          <t>https://entrackr.com/snippets/solar-startup-quante-energy-raises-500k-in-seed-round-9885620</t>
        </is>
      </c>
    </row>
    <row r="852">
      <c r="A852" t="inlineStr">
        <is>
          <t>R250904-revealhealthte</t>
        </is>
      </c>
      <c r="B852" t="inlineStr">
        <is>
          <t>Reveal Healthtech</t>
        </is>
      </c>
      <c r="C852" s="17" t="n">
        <v>45904</v>
      </c>
      <c r="D852" s="18" t="n">
        <v>45901</v>
      </c>
      <c r="E852" s="19" t="n">
        <v>7.2</v>
      </c>
      <c r="F852" s="19" t="n">
        <v>63.45</v>
      </c>
      <c r="G852" t="inlineStr">
        <is>
          <t>$7.2 Mn</t>
        </is>
      </c>
      <c r="H852" t="inlineStr">
        <is>
          <t>Series A</t>
        </is>
      </c>
      <c r="I852" t="inlineStr">
        <is>
          <t>Early</t>
        </is>
      </c>
      <c r="J852" t="inlineStr">
        <is>
          <t>Artificial Intelligence</t>
        </is>
      </c>
      <c r="K852" t="inlineStr">
        <is>
          <t>Outside India</t>
        </is>
      </c>
      <c r="L852" t="inlineStr">
        <is>
          <t>Leo Capital</t>
        </is>
      </c>
      <c r="M852" t="inlineStr">
        <is>
          <t>Leo Capital; Sanos Capital</t>
        </is>
      </c>
      <c r="N852" t="inlineStr">
        <is>
          <t>inc42 | et</t>
        </is>
      </c>
      <c r="O852" s="20" t="n">
        <v>2</v>
      </c>
      <c r="P852" s="21" t="n">
        <v>0</v>
      </c>
      <c r="Q852" t="inlineStr"/>
      <c r="R852" s="22" t="inlineStr">
        <is>
          <t>https://economictimes.indiatimes.com/tech/funding/ai-led-healthcare-startup-reveal-healthtech-raises-7-2-million-in-round-led-by-leo-capital/articleshow/123682385.cms</t>
        </is>
      </c>
    </row>
    <row r="853">
      <c r="A853" t="inlineStr">
        <is>
          <t>R250904-rxmen</t>
        </is>
      </c>
      <c r="B853" t="inlineStr">
        <is>
          <t>RxMen</t>
        </is>
      </c>
      <c r="C853" s="17" t="n">
        <v>45904</v>
      </c>
      <c r="D853" s="18" t="n">
        <v>45901</v>
      </c>
      <c r="E853" s="19" t="n">
        <v>0.5669999999999999</v>
      </c>
      <c r="F853" s="19" t="n">
        <v>5</v>
      </c>
      <c r="G853" t="inlineStr">
        <is>
          <t>Rs 5 crore</t>
        </is>
      </c>
      <c r="H853" t="inlineStr">
        <is>
          <t>Seed</t>
        </is>
      </c>
      <c r="I853" t="inlineStr">
        <is>
          <t>Early</t>
        </is>
      </c>
      <c r="J853" t="inlineStr">
        <is>
          <t>Healthtech</t>
        </is>
      </c>
      <c r="K853" t="inlineStr">
        <is>
          <t>Delhi NCR</t>
        </is>
      </c>
      <c r="L853" t="inlineStr">
        <is>
          <t>Inflection Point Ventures</t>
        </is>
      </c>
      <c r="M853" t="inlineStr">
        <is>
          <t>Inflection Point Ventures; Family Ventures; Ankit Goel; Seven Square Ventures; Prosus</t>
        </is>
      </c>
      <c r="N853" t="inlineStr">
        <is>
          <t>entrackr | inc42</t>
        </is>
      </c>
      <c r="O853" s="20" t="n">
        <v>2</v>
      </c>
      <c r="P853" s="21" t="n">
        <v>0.2</v>
      </c>
      <c r="Q853" t="inlineStr"/>
      <c r="R853" s="22" t="inlineStr">
        <is>
          <t>https://entrackr.com/snippets/mens-health-startup-rxmen-raises-rs-5-cr-in-seed-round-led-by-ipv-9888031</t>
        </is>
      </c>
    </row>
    <row r="854">
      <c r="A854" t="inlineStr">
        <is>
          <t>R250905-dectrocel</t>
        </is>
      </c>
      <c r="B854" t="inlineStr">
        <is>
          <t>Dectrocel</t>
        </is>
      </c>
      <c r="C854" s="17" t="n">
        <v>45905</v>
      </c>
      <c r="D854" s="18" t="n">
        <v>45901</v>
      </c>
      <c r="E854" s="19" t="n">
        <v>0.453</v>
      </c>
      <c r="F854" s="19" t="n">
        <v>4</v>
      </c>
      <c r="G854" t="inlineStr">
        <is>
          <t>Rs 4 crore</t>
        </is>
      </c>
      <c r="H854" t="inlineStr">
        <is>
          <t>Undisclosed</t>
        </is>
      </c>
      <c r="I854" t="inlineStr">
        <is>
          <t>Undisclosed</t>
        </is>
      </c>
      <c r="J854" t="inlineStr">
        <is>
          <t>Healthtech</t>
        </is>
      </c>
      <c r="K854" t="inlineStr">
        <is>
          <t>Lucknow</t>
        </is>
      </c>
      <c r="L854" t="inlineStr">
        <is>
          <t>BioAngels; Vinners</t>
        </is>
      </c>
      <c r="M854" t="inlineStr">
        <is>
          <t>BioAngels; PadUp Ventures; Vinners; Samir Kalia; Mitesh Shah</t>
        </is>
      </c>
      <c r="N854" t="inlineStr">
        <is>
          <t>entrackr | inc42</t>
        </is>
      </c>
      <c r="O854" s="20" t="n">
        <v>2</v>
      </c>
      <c r="P854" s="21" t="n">
        <v>0.1</v>
      </c>
      <c r="Q854" t="inlineStr">
        <is>
          <t>C04</t>
        </is>
      </c>
      <c r="R854" s="22" t="inlineStr">
        <is>
          <t>https://entrackr.com/snippets/health-tech-startup-dectrocel-raises-4-cr-led-by-ian-group-backed-boiangels-9999600</t>
        </is>
      </c>
    </row>
    <row r="855">
      <c r="A855" t="inlineStr">
        <is>
          <t>R250905-ecosoul</t>
        </is>
      </c>
      <c r="B855" t="inlineStr">
        <is>
          <t>Ecosoul</t>
        </is>
      </c>
      <c r="C855" s="17" t="n">
        <v>45905</v>
      </c>
      <c r="D855" s="18" t="n">
        <v>45901</v>
      </c>
      <c r="E855" s="19" t="n">
        <v>5.1</v>
      </c>
      <c r="F855" s="19" t="n">
        <v>45</v>
      </c>
      <c r="G855" t="inlineStr">
        <is>
          <t>Rs 45 crore</t>
        </is>
      </c>
      <c r="H855" t="inlineStr">
        <is>
          <t>Debt</t>
        </is>
      </c>
      <c r="I855" t="inlineStr">
        <is>
          <t>Debt</t>
        </is>
      </c>
      <c r="J855" t="inlineStr">
        <is>
          <t>Ecommerce</t>
        </is>
      </c>
      <c r="K855" t="inlineStr">
        <is>
          <t>Outside India</t>
        </is>
      </c>
      <c r="L855" t="inlineStr"/>
      <c r="M855" t="inlineStr">
        <is>
          <t>Bajaj Financial Securities</t>
        </is>
      </c>
      <c r="N855" t="inlineStr">
        <is>
          <t>entrackr</t>
        </is>
      </c>
      <c r="O855" s="20" t="n">
        <v>1</v>
      </c>
      <c r="P855" s="21" t="n">
        <v>0</v>
      </c>
      <c r="Q855" t="inlineStr"/>
      <c r="R855" s="22" t="inlineStr">
        <is>
          <t>https://entrackr.com/exclusive/exclusive-d2c-brand-ecosoul-secures-rs-45-cr-debt-from-bajaj-9999795</t>
        </is>
      </c>
    </row>
    <row r="856">
      <c r="A856" t="inlineStr">
        <is>
          <t>R250908-flipspaces</t>
        </is>
      </c>
      <c r="B856" t="inlineStr">
        <is>
          <t>Flipspaces</t>
        </is>
      </c>
      <c r="C856" s="17" t="n">
        <v>45908</v>
      </c>
      <c r="D856" s="18" t="n">
        <v>45901</v>
      </c>
      <c r="E856" s="19" t="n">
        <v>50</v>
      </c>
      <c r="F856" s="19" t="n">
        <v>440.2</v>
      </c>
      <c r="G856" t="inlineStr">
        <is>
          <t>$50 million</t>
        </is>
      </c>
      <c r="H856" t="inlineStr">
        <is>
          <t>Series C</t>
        </is>
      </c>
      <c r="I856" t="inlineStr">
        <is>
          <t>Growth</t>
        </is>
      </c>
      <c r="J856" t="inlineStr">
        <is>
          <t>Real Estate Tech</t>
        </is>
      </c>
      <c r="K856" t="inlineStr">
        <is>
          <t>Mumbai</t>
        </is>
      </c>
      <c r="L856" t="inlineStr"/>
      <c r="M856" t="inlineStr">
        <is>
          <t>CE-Invests; Panthera Growth Partners; SMBC Asia Rising Fund; Iron Pillar; Synergy Capital Partners; Prashasta Seth</t>
        </is>
      </c>
      <c r="N856" t="inlineStr">
        <is>
          <t>entrackr | inc42</t>
        </is>
      </c>
      <c r="O856" s="20" t="n">
        <v>2</v>
      </c>
      <c r="P856" s="21" t="n">
        <v>455.6</v>
      </c>
      <c r="Q856" t="inlineStr">
        <is>
          <t>C15</t>
        </is>
      </c>
      <c r="R856" s="22" t="inlineStr">
        <is>
          <t>https://entrackr.com/news/flipspaces-raises-50-mn-in-expanded-series-c-round-10060919</t>
        </is>
      </c>
    </row>
    <row r="857">
      <c r="A857" t="inlineStr">
        <is>
          <t>R250908-indrajaal</t>
        </is>
      </c>
      <c r="B857" t="inlineStr">
        <is>
          <t>Indrajaal</t>
        </is>
      </c>
      <c r="C857" s="17" t="n">
        <v>45908</v>
      </c>
      <c r="D857" s="18" t="n">
        <v>45901</v>
      </c>
      <c r="E857" s="19" t="n">
        <v>5.5</v>
      </c>
      <c r="F857" s="19" t="n">
        <v>48.42</v>
      </c>
      <c r="G857" t="inlineStr">
        <is>
          <t>$5.5 Mn</t>
        </is>
      </c>
      <c r="H857" t="inlineStr">
        <is>
          <t>Pre-Series A</t>
        </is>
      </c>
      <c r="I857" t="inlineStr">
        <is>
          <t>Early</t>
        </is>
      </c>
      <c r="J857" t="inlineStr">
        <is>
          <t>Advanced Hardware &amp; Technology</t>
        </is>
      </c>
      <c r="K857" t="inlineStr">
        <is>
          <t>Unknown</t>
        </is>
      </c>
      <c r="L857" t="inlineStr">
        <is>
          <t>India Accelerator; Finvolve</t>
        </is>
      </c>
      <c r="M857" t="inlineStr">
        <is>
          <t>India Accelerator; Finvolve</t>
        </is>
      </c>
      <c r="N857" t="inlineStr">
        <is>
          <t>inc42</t>
        </is>
      </c>
      <c r="O857" s="20" t="n">
        <v>1</v>
      </c>
      <c r="P857" s="21" t="n">
        <v>0</v>
      </c>
      <c r="Q857" t="inlineStr">
        <is>
          <t>C07</t>
        </is>
      </c>
      <c r="R857" s="22" t="inlineStr">
        <is>
          <t>https://inc42.com/buzz/from-flipspaces-to-indrajaal-indian-startups-raised-48-mn-this-week/</t>
        </is>
      </c>
    </row>
    <row r="858">
      <c r="A858" t="inlineStr">
        <is>
          <t>R250908-misfits</t>
        </is>
      </c>
      <c r="B858" t="inlineStr">
        <is>
          <t>Misfits</t>
        </is>
      </c>
      <c r="C858" s="17" t="n">
        <v>45908</v>
      </c>
      <c r="D858" s="18" t="n">
        <v>45901</v>
      </c>
      <c r="E858" s="19" t="n"/>
      <c r="F858" s="19" t="n"/>
      <c r="G858" t="inlineStr"/>
      <c r="H858" t="inlineStr">
        <is>
          <t>Seed</t>
        </is>
      </c>
      <c r="I858" t="inlineStr">
        <is>
          <t>Early</t>
        </is>
      </c>
      <c r="J858" t="inlineStr">
        <is>
          <t>Ecommerce</t>
        </is>
      </c>
      <c r="K858" t="inlineStr">
        <is>
          <t>Delhi NCR</t>
        </is>
      </c>
      <c r="L858" t="inlineStr">
        <is>
          <t>Nu Ventures</t>
        </is>
      </c>
      <c r="M858" t="inlineStr">
        <is>
          <t>Nu Ventures; Subba Rao Telidevara; Bijoy Daga (MD; Turiya Advisory Services)</t>
        </is>
      </c>
      <c r="N858" t="inlineStr">
        <is>
          <t>inc42</t>
        </is>
      </c>
      <c r="O858" s="20" t="n">
        <v>1</v>
      </c>
      <c r="P858" s="21" t="n"/>
      <c r="Q858" t="inlineStr">
        <is>
          <t>C03</t>
        </is>
      </c>
      <c r="R858" s="22" t="inlineStr">
        <is>
          <t>https://inc42.com/buzz/from-flipspaces-to-indrajaal-indian-startups-raised-48-mn-this-week/</t>
        </is>
      </c>
    </row>
    <row r="859">
      <c r="A859" t="inlineStr">
        <is>
          <t>R250908-trufrostandbut</t>
        </is>
      </c>
      <c r="B859" t="inlineStr">
        <is>
          <t>Trufrost &amp; Butler</t>
        </is>
      </c>
      <c r="C859" s="17" t="n">
        <v>45908</v>
      </c>
      <c r="D859" s="18" t="n">
        <v>45901</v>
      </c>
      <c r="E859" s="19" t="n">
        <v>7</v>
      </c>
      <c r="F859" s="19" t="n">
        <v>61.63</v>
      </c>
      <c r="G859" t="inlineStr">
        <is>
          <t>$7 million</t>
        </is>
      </c>
      <c r="H859" t="inlineStr">
        <is>
          <t>Undisclosed</t>
        </is>
      </c>
      <c r="I859" t="inlineStr">
        <is>
          <t>Undisclosed</t>
        </is>
      </c>
      <c r="J859" t="inlineStr">
        <is>
          <t>Unclassified</t>
        </is>
      </c>
      <c r="K859" t="inlineStr">
        <is>
          <t>Unknown</t>
        </is>
      </c>
      <c r="L859" t="inlineStr"/>
      <c r="M859" t="inlineStr">
        <is>
          <t>Carpediem Capital</t>
        </is>
      </c>
      <c r="N859" t="inlineStr">
        <is>
          <t>entrackr</t>
        </is>
      </c>
      <c r="O859" s="20" t="n">
        <v>1</v>
      </c>
      <c r="P859" s="21" t="n">
        <v>0</v>
      </c>
      <c r="Q859" t="inlineStr">
        <is>
          <t>C04 C06 C07</t>
        </is>
      </c>
      <c r="R859" s="22" t="inlineStr">
        <is>
          <t>https://entrackr.com/snippets/trufrost-butler-raises-7-mn-from-carpediem-capital-10059879</t>
        </is>
      </c>
    </row>
    <row r="860">
      <c r="A860" t="inlineStr">
        <is>
          <t>R250908-ziffichess</t>
        </is>
      </c>
      <c r="B860" t="inlineStr">
        <is>
          <t>Ziffi Chess</t>
        </is>
      </c>
      <c r="C860" s="17" t="n">
        <v>45908</v>
      </c>
      <c r="D860" s="18" t="n">
        <v>45901</v>
      </c>
      <c r="E860" s="19" t="n">
        <v>5.02</v>
      </c>
      <c r="F860" s="19" t="n">
        <v>44.2</v>
      </c>
      <c r="G860" t="inlineStr">
        <is>
          <t>Rs 44.2 crore</t>
        </is>
      </c>
      <c r="H860" t="inlineStr">
        <is>
          <t>Series A</t>
        </is>
      </c>
      <c r="I860" t="inlineStr">
        <is>
          <t>Early</t>
        </is>
      </c>
      <c r="J860" t="inlineStr">
        <is>
          <t>Media &amp; Entertainment</t>
        </is>
      </c>
      <c r="K860" t="inlineStr">
        <is>
          <t>Delhi NCR</t>
        </is>
      </c>
      <c r="L860" t="inlineStr">
        <is>
          <t>Tanglin Venture Partners; India Quotient; DeVC</t>
        </is>
      </c>
      <c r="M860" t="inlineStr">
        <is>
          <t>Tanglin Venture Partners; India Quotient; DeVC</t>
        </is>
      </c>
      <c r="N860" t="inlineStr">
        <is>
          <t>entrackr</t>
        </is>
      </c>
      <c r="O860" s="20" t="n">
        <v>1</v>
      </c>
      <c r="P860" s="21" t="n">
        <v>0</v>
      </c>
      <c r="Q860" t="inlineStr"/>
      <c r="R860" s="22" t="inlineStr">
        <is>
          <t>https://entrackr.com/exclusive/exclusive-ziffi-chess-raises-over-5-mn-led-by-tanglin-ventures-10059353</t>
        </is>
      </c>
    </row>
    <row r="861">
      <c r="A861" t="inlineStr">
        <is>
          <t>R250909-aurva</t>
        </is>
      </c>
      <c r="B861" t="inlineStr">
        <is>
          <t>Aurva</t>
        </is>
      </c>
      <c r="C861" s="17" t="n">
        <v>45909</v>
      </c>
      <c r="D861" s="18" t="n">
        <v>45901</v>
      </c>
      <c r="E861" s="19" t="n">
        <v>2.2</v>
      </c>
      <c r="F861" s="19" t="n">
        <v>19.4</v>
      </c>
      <c r="G861" t="inlineStr">
        <is>
          <t>$2.2 million</t>
        </is>
      </c>
      <c r="H861" t="inlineStr">
        <is>
          <t>Seed</t>
        </is>
      </c>
      <c r="I861" t="inlineStr">
        <is>
          <t>Early</t>
        </is>
      </c>
      <c r="J861" t="inlineStr">
        <is>
          <t>Enterprise Tech</t>
        </is>
      </c>
      <c r="K861" t="inlineStr">
        <is>
          <t>Unknown</t>
        </is>
      </c>
      <c r="L861" t="inlineStr">
        <is>
          <t>Nexus Venture Partners</t>
        </is>
      </c>
      <c r="M861" t="inlineStr">
        <is>
          <t>Nexus Venture Partners; DeVC; Chris Bream (ex-director; Meta); Rahul Sood (CPO; Pindrop); Ankit Sobti (cofounder; Postman); Abhinav Asthana (cofounder; AI ecosystem</t>
        </is>
      </c>
      <c r="N861" t="inlineStr">
        <is>
          <t>entrackr | inc42</t>
        </is>
      </c>
      <c r="O861" s="20" t="n">
        <v>2</v>
      </c>
      <c r="P861" s="21" t="n">
        <v>0</v>
      </c>
      <c r="Q861" t="inlineStr">
        <is>
          <t>C07</t>
        </is>
      </c>
      <c r="R861" s="22" t="inlineStr">
        <is>
          <t>https://entrackr.com/snippets/aurva-raises-22-mn-in-seed-round-led-by-nexus-vp-10066219</t>
        </is>
      </c>
    </row>
    <row r="862">
      <c r="A862" t="inlineStr">
        <is>
          <t>R250909-indigrid</t>
        </is>
      </c>
      <c r="B862" t="inlineStr">
        <is>
          <t>Indigrid Technology</t>
        </is>
      </c>
      <c r="C862" s="17" t="n">
        <v>45909</v>
      </c>
      <c r="D862" s="18" t="n">
        <v>45901</v>
      </c>
      <c r="E862" s="19" t="n">
        <v>4</v>
      </c>
      <c r="F862" s="19" t="n">
        <v>35.27</v>
      </c>
      <c r="G862" t="inlineStr">
        <is>
          <t>$4 million</t>
        </is>
      </c>
      <c r="H862" t="inlineStr">
        <is>
          <t>Undisclosed</t>
        </is>
      </c>
      <c r="I862" t="inlineStr">
        <is>
          <t>Undisclosed</t>
        </is>
      </c>
      <c r="J862" t="inlineStr">
        <is>
          <t>Enterprise Tech</t>
        </is>
      </c>
      <c r="K862" t="inlineStr">
        <is>
          <t>Delhi NCR</t>
        </is>
      </c>
      <c r="L862" t="inlineStr">
        <is>
          <t>Cactus Partners</t>
        </is>
      </c>
      <c r="M862" t="inlineStr">
        <is>
          <t>Cactus Partners</t>
        </is>
      </c>
      <c r="N862" t="inlineStr">
        <is>
          <t>entrackr | inc42 | et</t>
        </is>
      </c>
      <c r="O862" s="20" t="n">
        <v>3</v>
      </c>
      <c r="P862" s="21" t="n">
        <v>0</v>
      </c>
      <c r="Q862" t="inlineStr">
        <is>
          <t>C04</t>
        </is>
      </c>
      <c r="R862" s="22" t="inlineStr">
        <is>
          <t>https://entrackr.com/snippets/indigrid-raises-4-mn-led-by-cactus-venture-partners-10063654</t>
        </is>
      </c>
    </row>
    <row r="863">
      <c r="A863" t="inlineStr">
        <is>
          <t>R250909-prowrrap</t>
        </is>
      </c>
      <c r="B863" t="inlineStr">
        <is>
          <t>Prowrrap</t>
        </is>
      </c>
      <c r="C863" s="17" t="n">
        <v>45909</v>
      </c>
      <c r="D863" s="18" t="n">
        <v>45901</v>
      </c>
      <c r="E863" s="19" t="n">
        <v>0.454</v>
      </c>
      <c r="F863" s="19" t="n">
        <v>4</v>
      </c>
      <c r="G863" t="inlineStr">
        <is>
          <t>Rs 4 crore</t>
        </is>
      </c>
      <c r="H863" t="inlineStr">
        <is>
          <t>Pre-Series A</t>
        </is>
      </c>
      <c r="I863" t="inlineStr">
        <is>
          <t>Early</t>
        </is>
      </c>
      <c r="J863" t="inlineStr">
        <is>
          <t>Enterprise Tech</t>
        </is>
      </c>
      <c r="K863" t="inlineStr">
        <is>
          <t>Delhi NCR</t>
        </is>
      </c>
      <c r="L863" t="inlineStr">
        <is>
          <t>Calance Software; Amit Govil (chairman; Calance Corporation)</t>
        </is>
      </c>
      <c r="M863" t="inlineStr">
        <is>
          <t>Calance Software; Amit Govil (chairman; Calance Corporation)</t>
        </is>
      </c>
      <c r="N863" t="inlineStr">
        <is>
          <t>entrackr | inc42</t>
        </is>
      </c>
      <c r="O863" s="20" t="n">
        <v>2</v>
      </c>
      <c r="P863" s="21" t="n">
        <v>0.1</v>
      </c>
      <c r="Q863" t="inlineStr">
        <is>
          <t>C18</t>
        </is>
      </c>
      <c r="R863" s="22" t="inlineStr">
        <is>
          <t>https://entrackr.com/snippets/b2b-procurement-startup-prowrrap-raises-rs-4-cr-in-seed-round-10064332</t>
        </is>
      </c>
    </row>
    <row r="864">
      <c r="A864" t="inlineStr">
        <is>
          <t>R250909-traqcheck</t>
        </is>
      </c>
      <c r="B864" t="inlineStr">
        <is>
          <t>TraqCheck</t>
        </is>
      </c>
      <c r="C864" s="17" t="n">
        <v>45909</v>
      </c>
      <c r="D864" s="18" t="n">
        <v>45901</v>
      </c>
      <c r="E864" s="19" t="n"/>
      <c r="F864" s="19" t="n"/>
      <c r="G864" t="inlineStr"/>
      <c r="H864" t="inlineStr">
        <is>
          <t>Bridge</t>
        </is>
      </c>
      <c r="I864" t="inlineStr">
        <is>
          <t>Other</t>
        </is>
      </c>
      <c r="J864" t="inlineStr">
        <is>
          <t>Artificial Intelligence</t>
        </is>
      </c>
      <c r="K864" t="inlineStr">
        <is>
          <t>Unknown</t>
        </is>
      </c>
      <c r="L864" t="inlineStr">
        <is>
          <t>Alok Oberoi (chairman; Everstone Capital); Siddharth Mehta (founder; Bay Capital)</t>
        </is>
      </c>
      <c r="M864" t="inlineStr">
        <is>
          <t>Alok Oberoi (chairman; Everstone Capital); Siddharth Mehta (founder; Bay Capital); Sivaramakrishnan S. Iyer (advisor</t>
        </is>
      </c>
      <c r="N864" t="inlineStr">
        <is>
          <t>entrackr | inc42</t>
        </is>
      </c>
      <c r="O864" s="20" t="n">
        <v>2</v>
      </c>
      <c r="P864" s="21" t="n"/>
      <c r="Q864" t="inlineStr">
        <is>
          <t>C03 C07</t>
        </is>
      </c>
      <c r="R864" s="22" t="inlineStr">
        <is>
          <t>https://entrackr.com/snippets/traqcheck-raises-bridge-round-at-17-mn-valuation-10065607</t>
        </is>
      </c>
    </row>
    <row r="865">
      <c r="A865" t="inlineStr">
        <is>
          <t>R250910-asaya</t>
        </is>
      </c>
      <c r="B865" t="inlineStr">
        <is>
          <t>Asaya</t>
        </is>
      </c>
      <c r="C865" s="17" t="n">
        <v>45910</v>
      </c>
      <c r="D865" s="18" t="n">
        <v>45901</v>
      </c>
      <c r="E865" s="19" t="n">
        <v>3.177</v>
      </c>
      <c r="F865" s="19" t="n">
        <v>28</v>
      </c>
      <c r="G865" t="inlineStr">
        <is>
          <t>Rs 28 crore</t>
        </is>
      </c>
      <c r="H865" t="inlineStr">
        <is>
          <t>Pre-Series A</t>
        </is>
      </c>
      <c r="I865" t="inlineStr">
        <is>
          <t>Early</t>
        </is>
      </c>
      <c r="J865" t="inlineStr">
        <is>
          <t>Ecommerce</t>
        </is>
      </c>
      <c r="K865" t="inlineStr">
        <is>
          <t>Bengaluru</t>
        </is>
      </c>
      <c r="L865" t="inlineStr">
        <is>
          <t>RPSG Capital</t>
        </is>
      </c>
      <c r="M865" t="inlineStr">
        <is>
          <t>RPSG Capital; OTP Ventures; Huddle Ventures; Suyash Saraf (cofounder; Dot &amp; Key); Anisha Agarwal Saraf (cofounder</t>
        </is>
      </c>
      <c r="N865" t="inlineStr">
        <is>
          <t>entrackr | inc42</t>
        </is>
      </c>
      <c r="O865" s="20" t="n">
        <v>2</v>
      </c>
      <c r="P865" s="21" t="n">
        <v>0.7</v>
      </c>
      <c r="Q865" t="inlineStr"/>
      <c r="R865" s="22" t="inlineStr">
        <is>
          <t>https://entrackr.com/snippets/asaya-raises-3-mn-in-pre-series-a-round-led-by-rpsg-capital-10068246</t>
        </is>
      </c>
    </row>
    <row r="866">
      <c r="A866" t="inlineStr">
        <is>
          <t>R250910-endureair</t>
        </is>
      </c>
      <c r="B866" t="inlineStr">
        <is>
          <t>EndureAir Systems</t>
        </is>
      </c>
      <c r="C866" s="17" t="n">
        <v>45910</v>
      </c>
      <c r="D866" s="18" t="n">
        <v>45901</v>
      </c>
      <c r="E866" s="19" t="n">
        <v>2.837</v>
      </c>
      <c r="F866" s="19" t="n">
        <v>25</v>
      </c>
      <c r="G866" t="inlineStr">
        <is>
          <t>Rs 25 crore</t>
        </is>
      </c>
      <c r="H866" t="inlineStr">
        <is>
          <t>Undisclosed</t>
        </is>
      </c>
      <c r="I866" t="inlineStr">
        <is>
          <t>Undisclosed</t>
        </is>
      </c>
      <c r="J866" t="inlineStr">
        <is>
          <t>Advanced Hardware &amp; Technology</t>
        </is>
      </c>
      <c r="K866" t="inlineStr">
        <is>
          <t>Delhi NCR</t>
        </is>
      </c>
      <c r="L866" t="inlineStr">
        <is>
          <t>Indian Angel Network; IAN Alpha Fund</t>
        </is>
      </c>
      <c r="M866" t="inlineStr">
        <is>
          <t>Indian Angel Network; IAN Alpha Fund; IAN Angel Fund</t>
        </is>
      </c>
      <c r="N866" t="inlineStr">
        <is>
          <t>entrackr | inc42</t>
        </is>
      </c>
      <c r="O866" s="20" t="n">
        <v>2</v>
      </c>
      <c r="P866" s="21" t="n">
        <v>1.3</v>
      </c>
      <c r="Q866" t="inlineStr">
        <is>
          <t>C04 C17</t>
        </is>
      </c>
      <c r="R866" s="22" t="inlineStr">
        <is>
          <t>https://entrackr.com/snippets/endureair-raises-285-mn-led-by-ian-alpha-fund-10068245</t>
        </is>
      </c>
    </row>
    <row r="867">
      <c r="A867" t="inlineStr">
        <is>
          <t>R250910-presolv360</t>
        </is>
      </c>
      <c r="B867" t="inlineStr">
        <is>
          <t>Presolv360</t>
        </is>
      </c>
      <c r="C867" s="17" t="n">
        <v>45910</v>
      </c>
      <c r="D867" s="18" t="n">
        <v>45901</v>
      </c>
      <c r="E867" s="19" t="n">
        <v>4.7</v>
      </c>
      <c r="F867" s="19" t="n">
        <v>41.42</v>
      </c>
      <c r="G867" t="inlineStr">
        <is>
          <t>$4.7 million</t>
        </is>
      </c>
      <c r="H867" t="inlineStr">
        <is>
          <t>Series A</t>
        </is>
      </c>
      <c r="I867" t="inlineStr">
        <is>
          <t>Early</t>
        </is>
      </c>
      <c r="J867" t="inlineStr">
        <is>
          <t>Enterprise Tech</t>
        </is>
      </c>
      <c r="K867" t="inlineStr">
        <is>
          <t>Mumbai</t>
        </is>
      </c>
      <c r="L867" t="inlineStr">
        <is>
          <t>Elevation Capital; MGA Ventures</t>
        </is>
      </c>
      <c r="M867" t="inlineStr">
        <is>
          <t>Elevation Capital; MGA Ventures</t>
        </is>
      </c>
      <c r="N867" t="inlineStr">
        <is>
          <t>entrackr | inc42 | et</t>
        </is>
      </c>
      <c r="O867" s="20" t="n">
        <v>3</v>
      </c>
      <c r="P867" s="21" t="n">
        <v>0</v>
      </c>
      <c r="Q867" t="inlineStr"/>
      <c r="R867" s="22" t="inlineStr">
        <is>
          <t>https://entrackr.com/snippets/presolv360-raises-47-mn-led-by-elevation-capital-10067726</t>
        </is>
      </c>
    </row>
    <row r="868">
      <c r="A868" t="inlineStr">
        <is>
          <t>R250910-terngroup</t>
        </is>
      </c>
      <c r="B868" t="inlineStr">
        <is>
          <t>TERN Group</t>
        </is>
      </c>
      <c r="C868" s="17" t="n">
        <v>45910</v>
      </c>
      <c r="D868" s="18" t="n">
        <v>45901</v>
      </c>
      <c r="E868" s="19" t="n">
        <v>24</v>
      </c>
      <c r="F868" s="19" t="n">
        <v>211.49</v>
      </c>
      <c r="G868" t="inlineStr">
        <is>
          <t>$24 million</t>
        </is>
      </c>
      <c r="H868" t="inlineStr">
        <is>
          <t>Series A</t>
        </is>
      </c>
      <c r="I868" t="inlineStr">
        <is>
          <t>Early</t>
        </is>
      </c>
      <c r="J868" t="inlineStr">
        <is>
          <t>Healthtech</t>
        </is>
      </c>
      <c r="K868" t="inlineStr">
        <is>
          <t>Unknown</t>
        </is>
      </c>
      <c r="L868" t="inlineStr">
        <is>
          <t>Notion Capital</t>
        </is>
      </c>
      <c r="M868" t="inlineStr">
        <is>
          <t>Notion Capital; RTP Global; LocalGlobe; EQ2 Ventures; Leo Capital; Presight; Tom Stafford</t>
        </is>
      </c>
      <c r="N868" t="inlineStr">
        <is>
          <t>entrackr | et</t>
        </is>
      </c>
      <c r="O868" s="20" t="n">
        <v>2</v>
      </c>
      <c r="P868" s="21" t="n">
        <v>0</v>
      </c>
      <c r="Q868" t="inlineStr">
        <is>
          <t>C07</t>
        </is>
      </c>
      <c r="R868" s="22" t="inlineStr">
        <is>
          <t>https://entrackr.com/snippets/tern-group-raises-24-mn-in-series-a-round-led-by-notion-capital-10067976</t>
        </is>
      </c>
    </row>
    <row r="869">
      <c r="A869" t="inlineStr">
        <is>
          <t>R250911-ember</t>
        </is>
      </c>
      <c r="B869" t="inlineStr">
        <is>
          <t>Ember</t>
        </is>
      </c>
      <c r="C869" s="17" t="n">
        <v>45910</v>
      </c>
      <c r="D869" s="18" t="n">
        <v>45901</v>
      </c>
      <c r="E869" s="19" t="n">
        <v>3.2</v>
      </c>
      <c r="F869" s="19" t="n">
        <v>28.2</v>
      </c>
      <c r="G869" t="inlineStr">
        <is>
          <t>$3.2 million</t>
        </is>
      </c>
      <c r="H869" t="inlineStr">
        <is>
          <t>Seed</t>
        </is>
      </c>
      <c r="I869" t="inlineStr">
        <is>
          <t>Early</t>
        </is>
      </c>
      <c r="J869" t="inlineStr">
        <is>
          <t>Ecommerce</t>
        </is>
      </c>
      <c r="K869" t="inlineStr">
        <is>
          <t>Unknown</t>
        </is>
      </c>
      <c r="L869" t="inlineStr"/>
      <c r="M869" t="inlineStr">
        <is>
          <t>Suhasini Sampath (cofounder; Yoga Bar); Apurva Salarpuria (MD; Chef; Saransh Goila</t>
        </is>
      </c>
      <c r="N869" t="inlineStr">
        <is>
          <t>entrackr | inc42 | et</t>
        </is>
      </c>
      <c r="O869" s="20" t="n">
        <v>3</v>
      </c>
      <c r="P869" s="21" t="n">
        <v>0</v>
      </c>
      <c r="Q869" t="inlineStr">
        <is>
          <t>C07</t>
        </is>
      </c>
      <c r="R869" s="22" t="inlineStr">
        <is>
          <t>https://economictimes.indiatimes.com/tech/funding/cookware-brand-ember-raises-3-2-million/articleshow/123811110.cms</t>
        </is>
      </c>
    </row>
    <row r="870">
      <c r="A870" t="inlineStr">
        <is>
          <t>R250911-bacaltbioscien</t>
        </is>
      </c>
      <c r="B870" t="inlineStr">
        <is>
          <t>BacAlt Biosciences</t>
        </is>
      </c>
      <c r="C870" s="17" t="n">
        <v>45911</v>
      </c>
      <c r="D870" s="18" t="n">
        <v>45901</v>
      </c>
      <c r="E870" s="19" t="n">
        <v>2</v>
      </c>
      <c r="F870" s="19" t="n">
        <v>17.69</v>
      </c>
      <c r="G870" t="inlineStr">
        <is>
          <t>$2 million</t>
        </is>
      </c>
      <c r="H870" t="inlineStr">
        <is>
          <t>Pre-Seed</t>
        </is>
      </c>
      <c r="I870" t="inlineStr">
        <is>
          <t>Early</t>
        </is>
      </c>
      <c r="J870" t="inlineStr">
        <is>
          <t>Healthtech</t>
        </is>
      </c>
      <c r="K870" t="inlineStr">
        <is>
          <t>Bengaluru</t>
        </is>
      </c>
      <c r="L870" t="inlineStr">
        <is>
          <t>Avaana Capital</t>
        </is>
      </c>
      <c r="M870" t="inlineStr">
        <is>
          <t>Avaana Capital; Lubrizol InnoVentures</t>
        </is>
      </c>
      <c r="N870" t="inlineStr">
        <is>
          <t>entrackr | inc42 | et</t>
        </is>
      </c>
      <c r="O870" s="20" t="n">
        <v>3</v>
      </c>
      <c r="P870" s="21" t="n">
        <v>1.8</v>
      </c>
      <c r="Q870" t="inlineStr"/>
      <c r="R870" s="22" t="inlineStr">
        <is>
          <t>https://entrackr.com/snippets/bacalt-biosciences-raises-2-mn-in-pre-seed-round-led-by-avaana-capital-10229378</t>
        </is>
      </c>
    </row>
    <row r="871">
      <c r="A871" t="inlineStr">
        <is>
          <t>R250911-biokraft</t>
        </is>
      </c>
      <c r="B871" t="inlineStr">
        <is>
          <t>Biokraft Foods</t>
        </is>
      </c>
      <c r="C871" s="17" t="n">
        <v>45911</v>
      </c>
      <c r="D871" s="18" t="n">
        <v>45901</v>
      </c>
      <c r="E871" s="19" t="n">
        <v>0.226</v>
      </c>
      <c r="F871" s="19" t="n">
        <v>2</v>
      </c>
      <c r="G871" t="inlineStr">
        <is>
          <t>Rs 2 crore</t>
        </is>
      </c>
      <c r="H871" t="inlineStr">
        <is>
          <t>Seed</t>
        </is>
      </c>
      <c r="I871" t="inlineStr">
        <is>
          <t>Early</t>
        </is>
      </c>
      <c r="J871" t="inlineStr">
        <is>
          <t>Cleantech</t>
        </is>
      </c>
      <c r="K871" t="inlineStr">
        <is>
          <t>Unknown</t>
        </is>
      </c>
      <c r="L871" t="inlineStr">
        <is>
          <t>GVFL</t>
        </is>
      </c>
      <c r="M871" t="inlineStr">
        <is>
          <t>GVFL</t>
        </is>
      </c>
      <c r="N871" t="inlineStr">
        <is>
          <t>entrackr | inc42</t>
        </is>
      </c>
      <c r="O871" s="20" t="n">
        <v>2</v>
      </c>
      <c r="P871" s="21" t="n">
        <v>0.4</v>
      </c>
      <c r="Q871" t="inlineStr">
        <is>
          <t>C07 C18</t>
        </is>
      </c>
      <c r="R871" s="22" t="inlineStr">
        <is>
          <t>https://entrackr.com/snippets/biokraft-raises-rs-2-cr-in-pre-seed-round-from-gvfl-10243848</t>
        </is>
      </c>
    </row>
    <row r="872">
      <c r="A872" t="inlineStr">
        <is>
          <t>R250911-criontechnolog</t>
        </is>
      </c>
      <c r="B872" t="inlineStr">
        <is>
          <t>Crion Technologies</t>
        </is>
      </c>
      <c r="C872" s="17" t="n">
        <v>45911</v>
      </c>
      <c r="D872" s="18" t="n">
        <v>45901</v>
      </c>
      <c r="E872" s="19" t="n">
        <v>0.396</v>
      </c>
      <c r="F872" s="19" t="n">
        <v>3.5</v>
      </c>
      <c r="G872" t="inlineStr">
        <is>
          <t>Rs 3.5 Cr</t>
        </is>
      </c>
      <c r="H872" t="inlineStr">
        <is>
          <t>Undisclosed</t>
        </is>
      </c>
      <c r="I872" t="inlineStr">
        <is>
          <t>Undisclosed</t>
        </is>
      </c>
      <c r="J872" t="inlineStr">
        <is>
          <t>Advanced Hardware &amp; Technology</t>
        </is>
      </c>
      <c r="K872" t="inlineStr">
        <is>
          <t>Unknown</t>
        </is>
      </c>
      <c r="L872" t="inlineStr">
        <is>
          <t>SIG Tattva</t>
        </is>
      </c>
      <c r="M872" t="inlineStr">
        <is>
          <t>SIG Tattva</t>
        </is>
      </c>
      <c r="N872" t="inlineStr">
        <is>
          <t>entrackr</t>
        </is>
      </c>
      <c r="O872" s="20" t="n">
        <v>1</v>
      </c>
      <c r="P872" s="21" t="n">
        <v>0</v>
      </c>
      <c r="Q872" t="inlineStr">
        <is>
          <t>C04 C07</t>
        </is>
      </c>
      <c r="R872" s="22" t="inlineStr">
        <is>
          <t>https://entrackr.com/snippets/crion-technologies-raises-rs-35-cr-led-by-sig-tattva-10253147</t>
        </is>
      </c>
    </row>
    <row r="873">
      <c r="A873" t="inlineStr">
        <is>
          <t>R250911-eruditus</t>
        </is>
      </c>
      <c r="B873" t="inlineStr">
        <is>
          <t>Eruditus</t>
        </is>
      </c>
      <c r="C873" s="17" t="n">
        <v>45911</v>
      </c>
      <c r="D873" s="18" t="n">
        <v>45901</v>
      </c>
      <c r="E873" s="19" t="n">
        <v>150</v>
      </c>
      <c r="F873" s="19" t="n">
        <v>1326.45</v>
      </c>
      <c r="G873" t="inlineStr">
        <is>
          <t>$150 million</t>
        </is>
      </c>
      <c r="H873" t="inlineStr">
        <is>
          <t>Undisclosed</t>
        </is>
      </c>
      <c r="I873" t="inlineStr">
        <is>
          <t>Undisclosed</t>
        </is>
      </c>
      <c r="J873" t="inlineStr">
        <is>
          <t>Edtech</t>
        </is>
      </c>
      <c r="K873" t="inlineStr">
        <is>
          <t>Unknown</t>
        </is>
      </c>
      <c r="L873" t="inlineStr">
        <is>
          <t>Mars Growth Capital; MUFG Bank</t>
        </is>
      </c>
      <c r="M873" t="inlineStr">
        <is>
          <t>Mars Growth Capital; MUFG Bank</t>
        </is>
      </c>
      <c r="N873" t="inlineStr">
        <is>
          <t>entrackr | vccircle</t>
        </is>
      </c>
      <c r="O873" s="20" t="n">
        <v>2</v>
      </c>
      <c r="P873" s="21" t="n">
        <v>0</v>
      </c>
      <c r="Q873" t="inlineStr">
        <is>
          <t>C04 C07</t>
        </is>
      </c>
      <c r="R873" s="22" t="inlineStr">
        <is>
          <t>https://entrackr.com/news/eruditus-secures-150-mn-refinancing-amid-dry-edtech-funding-environment-10440866</t>
        </is>
      </c>
    </row>
    <row r="874">
      <c r="A874" t="inlineStr">
        <is>
          <t>R250911-inamo</t>
        </is>
      </c>
      <c r="B874" t="inlineStr">
        <is>
          <t>Inamo</t>
        </is>
      </c>
      <c r="C874" s="17" t="n">
        <v>45911</v>
      </c>
      <c r="D874" s="18" t="n">
        <v>45901</v>
      </c>
      <c r="E874" s="19" t="n">
        <v>3</v>
      </c>
      <c r="F874" s="19" t="n">
        <v>26.53</v>
      </c>
      <c r="G874" t="inlineStr">
        <is>
          <t>$3 Mn</t>
        </is>
      </c>
      <c r="H874" t="inlineStr">
        <is>
          <t>Seed</t>
        </is>
      </c>
      <c r="I874" t="inlineStr">
        <is>
          <t>Early</t>
        </is>
      </c>
      <c r="J874" t="inlineStr">
        <is>
          <t>Enterprise Tech</t>
        </is>
      </c>
      <c r="K874" t="inlineStr">
        <is>
          <t>Mumbai</t>
        </is>
      </c>
      <c r="L874" t="inlineStr">
        <is>
          <t>Shastra VC</t>
        </is>
      </c>
      <c r="M874" t="inlineStr">
        <is>
          <t>Shastra VC; Antler India; Gemba Capital; Scope Promoters</t>
        </is>
      </c>
      <c r="N874" t="inlineStr">
        <is>
          <t>inc42</t>
        </is>
      </c>
      <c r="O874" s="20" t="n">
        <v>1</v>
      </c>
      <c r="P874" s="21" t="n">
        <v>0</v>
      </c>
      <c r="Q874" t="inlineStr"/>
      <c r="R874" s="22" t="inlineStr">
        <is>
          <t>https://inc42.com/buzz/from-flipspaces-to-indrajaal-indian-startups-raised-48-mn-this-week/</t>
        </is>
      </c>
    </row>
    <row r="875">
      <c r="A875" t="inlineStr">
        <is>
          <t>R250911-peakamp</t>
        </is>
      </c>
      <c r="B875" t="inlineStr">
        <is>
          <t>PeakAmp</t>
        </is>
      </c>
      <c r="C875" s="17" t="n">
        <v>45911</v>
      </c>
      <c r="D875" s="18" t="n">
        <v>45901</v>
      </c>
      <c r="E875" s="19" t="n">
        <v>1.357</v>
      </c>
      <c r="F875" s="19" t="n">
        <v>12</v>
      </c>
      <c r="G875" t="inlineStr">
        <is>
          <t>Rs 12 crore</t>
        </is>
      </c>
      <c r="H875" t="inlineStr">
        <is>
          <t>Seed</t>
        </is>
      </c>
      <c r="I875" t="inlineStr">
        <is>
          <t>Early</t>
        </is>
      </c>
      <c r="J875" t="inlineStr">
        <is>
          <t>Cleantech</t>
        </is>
      </c>
      <c r="K875" t="inlineStr">
        <is>
          <t>Unknown</t>
        </is>
      </c>
      <c r="L875" t="inlineStr">
        <is>
          <t>Caret Capital</t>
        </is>
      </c>
      <c r="M875" t="inlineStr">
        <is>
          <t>Caret Capital; IIM Ahmedabad Ventures; Basant Sharma (senior consultant; TCS); IIMA Ventures</t>
        </is>
      </c>
      <c r="N875" t="inlineStr">
        <is>
          <t>entrackr | inc42</t>
        </is>
      </c>
      <c r="O875" s="20" t="n">
        <v>2</v>
      </c>
      <c r="P875" s="21" t="n">
        <v>3.2</v>
      </c>
      <c r="Q875" t="inlineStr">
        <is>
          <t>C07</t>
        </is>
      </c>
      <c r="R875" s="22" t="inlineStr">
        <is>
          <t>https://inc42.com/buzz/from-flipspaces-to-indrajaal-indian-startups-raised-48-mn-this-week/</t>
        </is>
      </c>
    </row>
    <row r="876">
      <c r="A876" t="inlineStr">
        <is>
          <t>R250911-snapecabs</t>
        </is>
      </c>
      <c r="B876" t="inlineStr">
        <is>
          <t>Snap-E-Cabs</t>
        </is>
      </c>
      <c r="C876" s="17" t="n">
        <v>45911</v>
      </c>
      <c r="D876" s="18" t="n">
        <v>45901</v>
      </c>
      <c r="E876" s="19" t="n">
        <v>2.5</v>
      </c>
      <c r="F876" s="19" t="n">
        <v>22.11</v>
      </c>
      <c r="G876" t="inlineStr">
        <is>
          <t>$2.5 million</t>
        </is>
      </c>
      <c r="H876" t="inlineStr">
        <is>
          <t>Bridge</t>
        </is>
      </c>
      <c r="I876" t="inlineStr">
        <is>
          <t>Other</t>
        </is>
      </c>
      <c r="J876" t="inlineStr">
        <is>
          <t>Travel Tech</t>
        </is>
      </c>
      <c r="K876" t="inlineStr">
        <is>
          <t>Unknown</t>
        </is>
      </c>
      <c r="L876" t="inlineStr">
        <is>
          <t>Inflection Point Ventures</t>
        </is>
      </c>
      <c r="M876" t="inlineStr">
        <is>
          <t>Inflection Point Ventures; Shish Kharesiya (founder; Beybee); Praveen Chand (director; Jaspreet Kaur (director; JIS Group)</t>
        </is>
      </c>
      <c r="N876" t="inlineStr">
        <is>
          <t>entrackr | inc42</t>
        </is>
      </c>
      <c r="O876" s="20" t="n">
        <v>2</v>
      </c>
      <c r="P876" s="21" t="n">
        <v>0</v>
      </c>
      <c r="Q876" t="inlineStr">
        <is>
          <t>C07</t>
        </is>
      </c>
      <c r="R876" s="22" t="inlineStr">
        <is>
          <t>https://entrackr.com/snippets/snap-e-cabs-raises-25-mn-in-bridge-round-led-by-ipv-10387917</t>
        </is>
      </c>
    </row>
    <row r="877">
      <c r="A877" t="inlineStr">
        <is>
          <t>R250911-ugxai</t>
        </is>
      </c>
      <c r="B877" t="inlineStr">
        <is>
          <t>UGX.ai</t>
        </is>
      </c>
      <c r="C877" s="17" t="n">
        <v>45911</v>
      </c>
      <c r="D877" s="18" t="n">
        <v>45901</v>
      </c>
      <c r="E877" s="19" t="n">
        <v>1</v>
      </c>
      <c r="F877" s="19" t="n">
        <v>8.84</v>
      </c>
      <c r="G877" t="inlineStr">
        <is>
          <t>$1 Mn</t>
        </is>
      </c>
      <c r="H877" t="inlineStr">
        <is>
          <t>Seed</t>
        </is>
      </c>
      <c r="I877" t="inlineStr">
        <is>
          <t>Early</t>
        </is>
      </c>
      <c r="J877" t="inlineStr">
        <is>
          <t>Artificial Intelligence</t>
        </is>
      </c>
      <c r="K877" t="inlineStr">
        <is>
          <t>Unknown</t>
        </is>
      </c>
      <c r="L877" t="inlineStr">
        <is>
          <t>Blue Ocean Venture Partners</t>
        </is>
      </c>
      <c r="M877" t="inlineStr">
        <is>
          <t>Blue Ocean Venture Partners; DeVC; iSeed; Atrium Ventures; Point One Capital; Livspace); Prateek Maheshwari (Cofounder; PhysicsWallah); Lovleen Bhatia (Cofounder; Edureka); Meghna Agarwal (Cofounder; IndiQube); Varun Pahwa; LambdaTest); Dinesh Prasad (ex-India &amp; SA Head; Qualcomm); Sai Yagnyamurthy (ex-Head of Partnerships; Ford Motor Company); Gopi Prashant (ex-SVP – AI; Salesforce); Shekhar Vemuri (Founder; Emerge-In); Manish Agarwal (Co-Founder; KGeN)</t>
        </is>
      </c>
      <c r="N877" t="inlineStr">
        <is>
          <t>inc42</t>
        </is>
      </c>
      <c r="O877" s="20" t="n">
        <v>1</v>
      </c>
      <c r="P877" s="21" t="n">
        <v>0</v>
      </c>
      <c r="Q877" t="inlineStr">
        <is>
          <t>C07</t>
        </is>
      </c>
      <c r="R877" s="22" t="inlineStr">
        <is>
          <t>https://inc42.com/buzz/from-infra-market-to-blue-energy-motors-indian-startups-raised-317-mn-this-week/</t>
        </is>
      </c>
    </row>
    <row r="878">
      <c r="A878" t="inlineStr">
        <is>
          <t>R250911-wehouse</t>
        </is>
      </c>
      <c r="B878" t="inlineStr">
        <is>
          <t>WeHouse</t>
        </is>
      </c>
      <c r="C878" s="17" t="n">
        <v>45911</v>
      </c>
      <c r="D878" s="18" t="n">
        <v>45901</v>
      </c>
      <c r="E878" s="19" t="n">
        <v>2.827</v>
      </c>
      <c r="F878" s="19" t="n">
        <v>25</v>
      </c>
      <c r="G878" t="inlineStr">
        <is>
          <t>Rs 25 crore</t>
        </is>
      </c>
      <c r="H878" t="inlineStr">
        <is>
          <t>Series A</t>
        </is>
      </c>
      <c r="I878" t="inlineStr">
        <is>
          <t>Early</t>
        </is>
      </c>
      <c r="J878" t="inlineStr">
        <is>
          <t>Real Estate Tech</t>
        </is>
      </c>
      <c r="K878" t="inlineStr">
        <is>
          <t>Hyderabad</t>
        </is>
      </c>
      <c r="L878" t="inlineStr"/>
      <c r="M878" t="inlineStr">
        <is>
          <t>Anthill Ventures; Suresh Babu Daggubati; Gaurav Marya (founder; Franchise India Holdings); Mohnish Yerra (founder; Leaders For India); Pinnupreddy Jaya Aditya Reddy</t>
        </is>
      </c>
      <c r="N878" t="inlineStr">
        <is>
          <t>entrackr | inc42 | et</t>
        </is>
      </c>
      <c r="O878" s="20" t="n">
        <v>3</v>
      </c>
      <c r="P878" s="21" t="n">
        <v>1</v>
      </c>
      <c r="Q878" t="inlineStr"/>
      <c r="R878" s="22" t="inlineStr">
        <is>
          <t>https://entrackr.com/snippets/prop-tech-startup-wehouse-raises-rs-25-cr-from-anthill-ventures-and-others-10441100</t>
        </is>
      </c>
    </row>
    <row r="879">
      <c r="A879" t="inlineStr">
        <is>
          <t>R250912-farmdidi</t>
        </is>
      </c>
      <c r="B879" t="inlineStr">
        <is>
          <t>FarmDidi</t>
        </is>
      </c>
      <c r="C879" s="17" t="n">
        <v>45912</v>
      </c>
      <c r="D879" s="18" t="n">
        <v>45901</v>
      </c>
      <c r="E879" s="19" t="n">
        <v>0.793</v>
      </c>
      <c r="F879" s="19" t="n">
        <v>7</v>
      </c>
      <c r="G879" t="inlineStr">
        <is>
          <t>Rs 7 crore</t>
        </is>
      </c>
      <c r="H879" t="inlineStr">
        <is>
          <t>Seed</t>
        </is>
      </c>
      <c r="I879" t="inlineStr">
        <is>
          <t>Early</t>
        </is>
      </c>
      <c r="J879" t="inlineStr">
        <is>
          <t>Ecommerce</t>
        </is>
      </c>
      <c r="K879" t="inlineStr">
        <is>
          <t>Unknown</t>
        </is>
      </c>
      <c r="L879" t="inlineStr">
        <is>
          <t>Samved Ventures</t>
        </is>
      </c>
      <c r="M879" t="inlineStr">
        <is>
          <t>Samved Ventures; LetsVenture; Indigram Labs; IIM Calcutta Innovation Park; Symbiosis</t>
        </is>
      </c>
      <c r="N879" t="inlineStr">
        <is>
          <t>entrackr | inc42</t>
        </is>
      </c>
      <c r="O879" s="20" t="n">
        <v>2</v>
      </c>
      <c r="P879" s="21" t="n">
        <v>0</v>
      </c>
      <c r="Q879" t="inlineStr">
        <is>
          <t>C07</t>
        </is>
      </c>
      <c r="R879" s="22" t="inlineStr">
        <is>
          <t>https://entrackr.com/snippets/d2c-pickle-brand-farmdidi-raises-rs-7-cr-led-by-samved-ventures-10445947</t>
        </is>
      </c>
    </row>
    <row r="880">
      <c r="A880" t="inlineStr">
        <is>
          <t>R250912-zunroof</t>
        </is>
      </c>
      <c r="B880" t="inlineStr">
        <is>
          <t>Zunroof</t>
        </is>
      </c>
      <c r="C880" s="17" t="n">
        <v>45912</v>
      </c>
      <c r="D880" s="18" t="n">
        <v>45901</v>
      </c>
      <c r="E880" s="19" t="n">
        <v>2.832</v>
      </c>
      <c r="F880" s="19" t="n">
        <v>25</v>
      </c>
      <c r="G880" t="inlineStr">
        <is>
          <t>Rs 25 crore</t>
        </is>
      </c>
      <c r="H880" t="inlineStr">
        <is>
          <t>Undisclosed</t>
        </is>
      </c>
      <c r="I880" t="inlineStr">
        <is>
          <t>Undisclosed</t>
        </is>
      </c>
      <c r="J880" t="inlineStr">
        <is>
          <t>Cleantech</t>
        </is>
      </c>
      <c r="K880" t="inlineStr">
        <is>
          <t>Delhi NCR</t>
        </is>
      </c>
      <c r="L880" t="inlineStr">
        <is>
          <t>ANBG Enterprise LLP</t>
        </is>
      </c>
      <c r="M880" t="inlineStr">
        <is>
          <t>ANBG Enterprise LLP; John Diaz; S Sunil Edwards</t>
        </is>
      </c>
      <c r="N880" t="inlineStr">
        <is>
          <t>entrackr</t>
        </is>
      </c>
      <c r="O880" s="20" t="n">
        <v>1</v>
      </c>
      <c r="P880" s="21" t="n">
        <v>0</v>
      </c>
      <c r="Q880" t="inlineStr">
        <is>
          <t>C04</t>
        </is>
      </c>
      <c r="R880" s="22" t="inlineStr">
        <is>
          <t>https://entrackr.com/exclusive/exclusive-zunroof-secures-fresh-funds-from-godrej-10452934</t>
        </is>
      </c>
    </row>
    <row r="881">
      <c r="A881" t="inlineStr">
        <is>
          <t>R250915-mynaksh</t>
        </is>
      </c>
      <c r="B881" t="inlineStr">
        <is>
          <t>MyNaksh</t>
        </is>
      </c>
      <c r="C881" s="17" t="n">
        <v>45915</v>
      </c>
      <c r="D881" s="18" t="n">
        <v>45901</v>
      </c>
      <c r="E881" s="19" t="n">
        <v>0.851</v>
      </c>
      <c r="F881" s="19" t="n">
        <v>7.5</v>
      </c>
      <c r="G881" t="inlineStr">
        <is>
          <t>Rs 7.5 crore</t>
        </is>
      </c>
      <c r="H881" t="inlineStr">
        <is>
          <t>Pre-Seed</t>
        </is>
      </c>
      <c r="I881" t="inlineStr">
        <is>
          <t>Early</t>
        </is>
      </c>
      <c r="J881" t="inlineStr">
        <is>
          <t>Consumer Services</t>
        </is>
      </c>
      <c r="K881" t="inlineStr">
        <is>
          <t>Unknown</t>
        </is>
      </c>
      <c r="L881" t="inlineStr">
        <is>
          <t>Eximius Ventures; Gemba Capital</t>
        </is>
      </c>
      <c r="M881" t="inlineStr">
        <is>
          <t>Eximius Ventures; Gemba Capital; Infinyte Club</t>
        </is>
      </c>
      <c r="N881" t="inlineStr">
        <is>
          <t>entrackr | inc42</t>
        </is>
      </c>
      <c r="O881" s="20" t="n">
        <v>2</v>
      </c>
      <c r="P881" s="21" t="n">
        <v>0.1</v>
      </c>
      <c r="Q881" t="inlineStr">
        <is>
          <t>C07</t>
        </is>
      </c>
      <c r="R881" s="22" t="inlineStr">
        <is>
          <t>https://entrackr.com/snippets/astrotech-startup-mynaksh-raises-rs-75-cr-led-by-eximius-ventures-10465510</t>
        </is>
      </c>
    </row>
    <row r="882">
      <c r="A882" t="inlineStr">
        <is>
          <t>R250915-pascalailabs</t>
        </is>
      </c>
      <c r="B882" t="inlineStr">
        <is>
          <t>Pascal AI Labs</t>
        </is>
      </c>
      <c r="C882" s="17" t="n">
        <v>45915</v>
      </c>
      <c r="D882" s="18" t="n">
        <v>45901</v>
      </c>
      <c r="E882" s="19" t="n">
        <v>3.1</v>
      </c>
      <c r="F882" s="19" t="n">
        <v>27.32</v>
      </c>
      <c r="G882" t="inlineStr">
        <is>
          <t>$3.1 Mn</t>
        </is>
      </c>
      <c r="H882" t="inlineStr">
        <is>
          <t>Seed</t>
        </is>
      </c>
      <c r="I882" t="inlineStr">
        <is>
          <t>Early</t>
        </is>
      </c>
      <c r="J882" t="inlineStr">
        <is>
          <t>Artificial Intelligence</t>
        </is>
      </c>
      <c r="K882" t="inlineStr">
        <is>
          <t>Unknown</t>
        </is>
      </c>
      <c r="L882" t="inlineStr">
        <is>
          <t>Kalaari Capital</t>
        </is>
      </c>
      <c r="M882" t="inlineStr">
        <is>
          <t>Kalaari Capital; Norwest Venture Partners; Info Edge Ventures; Antler</t>
        </is>
      </c>
      <c r="N882" t="inlineStr">
        <is>
          <t>inc42</t>
        </is>
      </c>
      <c r="O882" s="20" t="n">
        <v>1</v>
      </c>
      <c r="P882" s="21" t="n">
        <v>0</v>
      </c>
      <c r="Q882" t="inlineStr">
        <is>
          <t>C07</t>
        </is>
      </c>
      <c r="R882" s="22" t="inlineStr">
        <is>
          <t>https://inc42.com/buzz/from-infra-market-to-blue-energy-motors-indian-startups-raised-317-mn-this-week/</t>
        </is>
      </c>
    </row>
    <row r="883">
      <c r="A883" t="inlineStr">
        <is>
          <t>R250916-amaani</t>
        </is>
      </c>
      <c r="B883" t="inlineStr">
        <is>
          <t>Amaani</t>
        </is>
      </c>
      <c r="C883" s="17" t="n">
        <v>45916</v>
      </c>
      <c r="D883" s="18" t="n">
        <v>45901</v>
      </c>
      <c r="E883" s="19" t="n">
        <v>3</v>
      </c>
      <c r="F883" s="19" t="n">
        <v>26.42</v>
      </c>
      <c r="G883" t="inlineStr">
        <is>
          <t>$3 million</t>
        </is>
      </c>
      <c r="H883" t="inlineStr">
        <is>
          <t>Seed</t>
        </is>
      </c>
      <c r="I883" t="inlineStr">
        <is>
          <t>Early</t>
        </is>
      </c>
      <c r="J883" t="inlineStr">
        <is>
          <t>Ecommerce</t>
        </is>
      </c>
      <c r="K883" t="inlineStr">
        <is>
          <t>Unknown</t>
        </is>
      </c>
      <c r="L883" t="inlineStr"/>
      <c r="M883" t="inlineStr">
        <is>
          <t>Middle East; Surge</t>
        </is>
      </c>
      <c r="N883" t="inlineStr">
        <is>
          <t>entrackr</t>
        </is>
      </c>
      <c r="O883" s="20" t="n">
        <v>1</v>
      </c>
      <c r="P883" s="21" t="n">
        <v>0</v>
      </c>
      <c r="Q883" t="inlineStr">
        <is>
          <t>C07</t>
        </is>
      </c>
      <c r="R883" s="22" t="inlineStr">
        <is>
          <t>https://entrackr.com/snippets/amaani-raises-3-mn-from-peak-xvs-surge-10469000</t>
        </is>
      </c>
    </row>
    <row r="884">
      <c r="A884" t="inlineStr">
        <is>
          <t>R250916-beyondsquare</t>
        </is>
      </c>
      <c r="B884" t="inlineStr">
        <is>
          <t>BeyondSquare</t>
        </is>
      </c>
      <c r="C884" s="17" t="n">
        <v>45916</v>
      </c>
      <c r="D884" s="18" t="n">
        <v>45901</v>
      </c>
      <c r="E884" s="19" t="n">
        <v>4</v>
      </c>
      <c r="F884" s="19" t="n">
        <v>35.22</v>
      </c>
      <c r="G884" t="inlineStr">
        <is>
          <t>$4 million</t>
        </is>
      </c>
      <c r="H884" t="inlineStr">
        <is>
          <t>Series A</t>
        </is>
      </c>
      <c r="I884" t="inlineStr">
        <is>
          <t>Early</t>
        </is>
      </c>
      <c r="J884" t="inlineStr">
        <is>
          <t>Enterprise Tech</t>
        </is>
      </c>
      <c r="K884" t="inlineStr">
        <is>
          <t>Unknown</t>
        </is>
      </c>
      <c r="L884" t="inlineStr">
        <is>
          <t>Avant Global Corporation</t>
        </is>
      </c>
      <c r="M884" t="inlineStr">
        <is>
          <t>Avant Global Corporation</t>
        </is>
      </c>
      <c r="N884" t="inlineStr">
        <is>
          <t>entrackr</t>
        </is>
      </c>
      <c r="O884" s="20" t="n">
        <v>1</v>
      </c>
      <c r="P884" s="21" t="n">
        <v>0</v>
      </c>
      <c r="Q884" t="inlineStr">
        <is>
          <t>C07</t>
        </is>
      </c>
      <c r="R884" s="22" t="inlineStr">
        <is>
          <t>https://entrackr.com/snippets/beyondsquare-raises-4-mn-in-series-a-led-by-avant-global-10468922</t>
        </is>
      </c>
    </row>
    <row r="885">
      <c r="A885" t="inlineStr">
        <is>
          <t>R250916-genovationsolu</t>
        </is>
      </c>
      <c r="B885" t="inlineStr">
        <is>
          <t>Genovation Solutions</t>
        </is>
      </c>
      <c r="C885" s="17" t="n">
        <v>45916</v>
      </c>
      <c r="D885" s="18" t="n">
        <v>45901</v>
      </c>
      <c r="E885" s="19" t="n">
        <v>0.15</v>
      </c>
      <c r="F885" s="19" t="n">
        <v>1.32</v>
      </c>
      <c r="G885" t="inlineStr">
        <is>
          <t>$150,000</t>
        </is>
      </c>
      <c r="H885" t="inlineStr">
        <is>
          <t>Pre-Seed</t>
        </is>
      </c>
      <c r="I885" t="inlineStr">
        <is>
          <t>Early</t>
        </is>
      </c>
      <c r="J885" t="inlineStr">
        <is>
          <t>Unclassified</t>
        </is>
      </c>
      <c r="K885" t="inlineStr">
        <is>
          <t>Unknown</t>
        </is>
      </c>
      <c r="L885" t="inlineStr"/>
      <c r="M885" t="inlineStr"/>
      <c r="N885" t="inlineStr">
        <is>
          <t>entrackr</t>
        </is>
      </c>
      <c r="O885" s="20" t="n">
        <v>1</v>
      </c>
      <c r="P885" s="21" t="n">
        <v>0</v>
      </c>
      <c r="Q885" t="inlineStr">
        <is>
          <t>C05 C06 C07</t>
        </is>
      </c>
      <c r="R885" s="22" t="inlineStr">
        <is>
          <t>https://entrackr.com/snippets/genovation-solutions-raises-150k-in-pre-seed-round-10469902</t>
        </is>
      </c>
    </row>
    <row r="886">
      <c r="A886" t="inlineStr">
        <is>
          <t>R250916-idodevices</t>
        </is>
      </c>
      <c r="B886" t="inlineStr">
        <is>
          <t>iDO Devices</t>
        </is>
      </c>
      <c r="C886" s="17" t="n">
        <v>45916</v>
      </c>
      <c r="D886" s="18" t="n">
        <v>45901</v>
      </c>
      <c r="E886" s="19" t="n">
        <v>4</v>
      </c>
      <c r="F886" s="19" t="n">
        <v>35.22</v>
      </c>
      <c r="G886" t="inlineStr">
        <is>
          <t>$4 Mn</t>
        </is>
      </c>
      <c r="H886" t="inlineStr">
        <is>
          <t>Undisclosed</t>
        </is>
      </c>
      <c r="I886" t="inlineStr">
        <is>
          <t>Undisclosed</t>
        </is>
      </c>
      <c r="J886" t="inlineStr">
        <is>
          <t>Ecommerce</t>
        </is>
      </c>
      <c r="K886" t="inlineStr">
        <is>
          <t>Unknown</t>
        </is>
      </c>
      <c r="L886" t="inlineStr">
        <is>
          <t>Blume Ventures; Merak Ventures</t>
        </is>
      </c>
      <c r="M886" t="inlineStr">
        <is>
          <t>Blume Ventures; Merak Ventures</t>
        </is>
      </c>
      <c r="N886" t="inlineStr">
        <is>
          <t>inc42 | vccircle</t>
        </is>
      </c>
      <c r="O886" s="20" t="n">
        <v>2</v>
      </c>
      <c r="P886" s="21" t="n">
        <v>0</v>
      </c>
      <c r="Q886" t="inlineStr">
        <is>
          <t>C04 C07</t>
        </is>
      </c>
      <c r="R886" s="22" t="inlineStr">
        <is>
          <t>https://inc42.com/buzz/from-infra-market-to-blue-energy-motors-indian-startups-raised-317-mn-this-week/</t>
        </is>
      </c>
    </row>
    <row r="887">
      <c r="A887" t="inlineStr">
        <is>
          <t>R250916-incredmoney</t>
        </is>
      </c>
      <c r="B887" t="inlineStr">
        <is>
          <t>InCred Money</t>
        </is>
      </c>
      <c r="C887" s="17" t="n">
        <v>45916</v>
      </c>
      <c r="D887" s="18" t="n">
        <v>45901</v>
      </c>
      <c r="E887" s="19" t="n">
        <v>28.393</v>
      </c>
      <c r="F887" s="19" t="n">
        <v>250</v>
      </c>
      <c r="G887" t="inlineStr">
        <is>
          <t>Rs 250 crore</t>
        </is>
      </c>
      <c r="H887" t="inlineStr">
        <is>
          <t>Undisclosed</t>
        </is>
      </c>
      <c r="I887" t="inlineStr">
        <is>
          <t>Undisclosed</t>
        </is>
      </c>
      <c r="J887" t="inlineStr">
        <is>
          <t>Fintech</t>
        </is>
      </c>
      <c r="K887" t="inlineStr">
        <is>
          <t>Unknown</t>
        </is>
      </c>
      <c r="L887" t="inlineStr"/>
      <c r="M887" t="inlineStr">
        <is>
          <t>Ranjan Pai (Chairman; Manipal Group); Ram Nayak (Ex-Investment Bank Head; Deutsche Bank); Mankind Family Office; MMG Family Office; Ravi Pillai Family Office; Raj Vattikutti Foundation</t>
        </is>
      </c>
      <c r="N887" t="inlineStr">
        <is>
          <t>entrackr | inc42</t>
        </is>
      </c>
      <c r="O887" s="20" t="n">
        <v>2</v>
      </c>
      <c r="P887" s="21" t="n">
        <v>5.7</v>
      </c>
      <c r="Q887" t="inlineStr">
        <is>
          <t>C04 C07</t>
        </is>
      </c>
      <c r="R887" s="22" t="inlineStr">
        <is>
          <t>https://entrackr.com/exclusive/exclusive-incred-money-secures-rs-250-cr-from-marquee-investors-at-rs-1650-cr-valuation-10468795</t>
        </is>
      </c>
    </row>
    <row r="888">
      <c r="A888" t="inlineStr">
        <is>
          <t>R250916-indkal</t>
        </is>
      </c>
      <c r="B888" t="inlineStr">
        <is>
          <t>Indkal</t>
        </is>
      </c>
      <c r="C888" s="17" t="n">
        <v>45916</v>
      </c>
      <c r="D888" s="18" t="n">
        <v>45901</v>
      </c>
      <c r="E888" s="19" t="n">
        <v>20</v>
      </c>
      <c r="F888" s="19" t="n">
        <v>176.1</v>
      </c>
      <c r="G888" t="inlineStr">
        <is>
          <t>$20 Mn</t>
        </is>
      </c>
      <c r="H888" t="inlineStr">
        <is>
          <t>Undisclosed</t>
        </is>
      </c>
      <c r="I888" t="inlineStr">
        <is>
          <t>Undisclosed</t>
        </is>
      </c>
      <c r="J888" t="inlineStr">
        <is>
          <t>Ecommerce</t>
        </is>
      </c>
      <c r="K888" t="inlineStr">
        <is>
          <t>Unknown</t>
        </is>
      </c>
      <c r="L888" t="inlineStr"/>
      <c r="M888" t="inlineStr">
        <is>
          <t>Aries Opportunities Fund</t>
        </is>
      </c>
      <c r="N888" t="inlineStr">
        <is>
          <t>inc42</t>
        </is>
      </c>
      <c r="O888" s="20" t="n">
        <v>1</v>
      </c>
      <c r="P888" s="21" t="n">
        <v>0</v>
      </c>
      <c r="Q888" t="inlineStr">
        <is>
          <t>C04 C07</t>
        </is>
      </c>
      <c r="R888" s="22" t="inlineStr">
        <is>
          <t>https://inc42.com/buzz/from-infra-market-to-blue-energy-motors-indian-startups-raised-317-mn-this-week/</t>
        </is>
      </c>
    </row>
    <row r="889">
      <c r="A889" t="inlineStr">
        <is>
          <t>R250916-pelocal</t>
        </is>
      </c>
      <c r="B889" t="inlineStr">
        <is>
          <t>Pelocal</t>
        </is>
      </c>
      <c r="C889" s="17" t="n">
        <v>45916</v>
      </c>
      <c r="D889" s="18" t="n">
        <v>45901</v>
      </c>
      <c r="E889" s="19" t="n">
        <v>5</v>
      </c>
      <c r="F889" s="19" t="n">
        <v>44.02</v>
      </c>
      <c r="G889" t="inlineStr">
        <is>
          <t>$5 million</t>
        </is>
      </c>
      <c r="H889" t="inlineStr">
        <is>
          <t>Series A</t>
        </is>
      </c>
      <c r="I889" t="inlineStr">
        <is>
          <t>Early</t>
        </is>
      </c>
      <c r="J889" t="inlineStr">
        <is>
          <t>Fintech</t>
        </is>
      </c>
      <c r="K889" t="inlineStr">
        <is>
          <t>Delhi NCR</t>
        </is>
      </c>
      <c r="L889" t="inlineStr">
        <is>
          <t>UNLEASH Capital Partners; Unicorn India Ventures</t>
        </is>
      </c>
      <c r="M889" t="inlineStr">
        <is>
          <t>UNLEASH Capital Partners; Unicorn India Ventures</t>
        </is>
      </c>
      <c r="N889" t="inlineStr">
        <is>
          <t>entrackr | inc42 | et</t>
        </is>
      </c>
      <c r="O889" s="20" t="n">
        <v>3</v>
      </c>
      <c r="P889" s="21" t="n">
        <v>0</v>
      </c>
      <c r="Q889" t="inlineStr"/>
      <c r="R889" s="22" t="inlineStr">
        <is>
          <t>https://entrackr.com/snippets/fintech-startup-pelocal-secures-5-mn-in-series-a-funding-10469141</t>
        </is>
      </c>
    </row>
    <row r="890">
      <c r="A890" t="inlineStr">
        <is>
          <t>R250916-pharmeasy</t>
        </is>
      </c>
      <c r="B890" t="inlineStr">
        <is>
          <t>PharmEasy</t>
        </is>
      </c>
      <c r="C890" s="17" t="n">
        <v>45916</v>
      </c>
      <c r="D890" s="18" t="n">
        <v>45901</v>
      </c>
      <c r="E890" s="19" t="n">
        <v>193.072</v>
      </c>
      <c r="F890" s="19" t="n">
        <v>1700</v>
      </c>
      <c r="G890" t="inlineStr">
        <is>
          <t>Rs 1,700 crore</t>
        </is>
      </c>
      <c r="H890" t="inlineStr">
        <is>
          <t>Debt</t>
        </is>
      </c>
      <c r="I890" t="inlineStr">
        <is>
          <t>Debt</t>
        </is>
      </c>
      <c r="J890" t="inlineStr">
        <is>
          <t>Healthtech</t>
        </is>
      </c>
      <c r="K890" t="inlineStr">
        <is>
          <t>Mumbai</t>
        </is>
      </c>
      <c r="L890" t="inlineStr">
        <is>
          <t>360 One</t>
        </is>
      </c>
      <c r="M890" t="inlineStr">
        <is>
          <t>360 One; Alkram Ventures; MVS Ventures; Bennett Coleman</t>
        </is>
      </c>
      <c r="N890" t="inlineStr">
        <is>
          <t>entrackr | inc42</t>
        </is>
      </c>
      <c r="O890" s="20" t="n">
        <v>2</v>
      </c>
      <c r="P890" s="21" t="n">
        <v>0.7</v>
      </c>
      <c r="Q890" t="inlineStr">
        <is>
          <t>C11 C16</t>
        </is>
      </c>
      <c r="R890" s="22" t="inlineStr">
        <is>
          <t>https://entrackr.com/news/pharmeasy-raises-fresh-debt-to-clear-goldman-sachs-loan-after-90-valuation-cut-10469652</t>
        </is>
      </c>
    </row>
    <row r="891">
      <c r="A891" t="inlineStr">
        <is>
          <t>R250916-playsuper</t>
        </is>
      </c>
      <c r="B891" t="inlineStr">
        <is>
          <t>PlaySuper</t>
        </is>
      </c>
      <c r="C891" s="17" t="n">
        <v>45916</v>
      </c>
      <c r="D891" s="18" t="n">
        <v>45901</v>
      </c>
      <c r="E891" s="19" t="n">
        <v>1</v>
      </c>
      <c r="F891" s="19" t="n">
        <v>8.800000000000001</v>
      </c>
      <c r="G891" t="inlineStr">
        <is>
          <t>$1 million</t>
        </is>
      </c>
      <c r="H891" t="inlineStr">
        <is>
          <t>Seed</t>
        </is>
      </c>
      <c r="I891" t="inlineStr">
        <is>
          <t>Early</t>
        </is>
      </c>
      <c r="J891" t="inlineStr">
        <is>
          <t>Media &amp; Entertainment</t>
        </is>
      </c>
      <c r="K891" t="inlineStr">
        <is>
          <t>Unknown</t>
        </is>
      </c>
      <c r="L891" t="inlineStr">
        <is>
          <t>Chimera</t>
        </is>
      </c>
      <c r="M891" t="inlineStr">
        <is>
          <t>Chimera; Audacity VC; India Angel Network; Meta); IAN Capital Fund; Dhruv Vohra</t>
        </is>
      </c>
      <c r="N891" t="inlineStr">
        <is>
          <t>entrackr | inc42</t>
        </is>
      </c>
      <c r="O891" s="20" t="n">
        <v>2</v>
      </c>
      <c r="P891" s="21" t="n">
        <v>0</v>
      </c>
      <c r="Q891" t="inlineStr">
        <is>
          <t>C07</t>
        </is>
      </c>
      <c r="R891" s="22" t="inlineStr">
        <is>
          <t>https://inc42.com/buzz/from-infra-market-to-blue-energy-motors-indian-startups-raised-317-mn-this-week/</t>
        </is>
      </c>
    </row>
    <row r="892">
      <c r="A892" t="inlineStr">
        <is>
          <t>R250916-scalekit</t>
        </is>
      </c>
      <c r="B892" t="inlineStr">
        <is>
          <t>Scalekit</t>
        </is>
      </c>
      <c r="C892" s="17" t="n">
        <v>45916</v>
      </c>
      <c r="D892" s="18" t="n">
        <v>45901</v>
      </c>
      <c r="E892" s="19" t="n">
        <v>5.5</v>
      </c>
      <c r="F892" s="19" t="n">
        <v>48.43</v>
      </c>
      <c r="G892" t="inlineStr">
        <is>
          <t>$5.5 million</t>
        </is>
      </c>
      <c r="H892" t="inlineStr">
        <is>
          <t>Seed</t>
        </is>
      </c>
      <c r="I892" t="inlineStr">
        <is>
          <t>Early</t>
        </is>
      </c>
      <c r="J892" t="inlineStr">
        <is>
          <t>Artificial Intelligence</t>
        </is>
      </c>
      <c r="K892" t="inlineStr">
        <is>
          <t>Unknown</t>
        </is>
      </c>
      <c r="L892" t="inlineStr">
        <is>
          <t>Together Fund; Z47</t>
        </is>
      </c>
      <c r="M892" t="inlineStr">
        <is>
          <t>Together Fund; Z47; Adam Frankl; Oliver Jay (MD; OpenAI); Jagadeesh Kunda (Cofounder; Oleria Security)</t>
        </is>
      </c>
      <c r="N892" t="inlineStr">
        <is>
          <t>entrackr | inc42</t>
        </is>
      </c>
      <c r="O892" s="20" t="n">
        <v>2</v>
      </c>
      <c r="P892" s="21" t="n">
        <v>0</v>
      </c>
      <c r="Q892" t="inlineStr">
        <is>
          <t>C07</t>
        </is>
      </c>
      <c r="R892" s="22" t="inlineStr">
        <is>
          <t>https://entrackr.com/snippets/saas-startup-scalekit-raises-55-mn-in-seed-round-led-by-together-fund-and-z47-10470901</t>
        </is>
      </c>
    </row>
    <row r="893">
      <c r="A893" t="inlineStr">
        <is>
          <t>R250916-uknowva</t>
        </is>
      </c>
      <c r="B893" t="inlineStr">
        <is>
          <t>uKnowva</t>
        </is>
      </c>
      <c r="C893" s="17" t="n">
        <v>45916</v>
      </c>
      <c r="D893" s="18" t="n">
        <v>45901</v>
      </c>
      <c r="E893" s="19" t="n">
        <v>0.5</v>
      </c>
      <c r="F893" s="19" t="n">
        <v>4.4</v>
      </c>
      <c r="G893" t="inlineStr">
        <is>
          <t>$0.5 million</t>
        </is>
      </c>
      <c r="H893" t="inlineStr">
        <is>
          <t>Pre-Series A</t>
        </is>
      </c>
      <c r="I893" t="inlineStr">
        <is>
          <t>Early</t>
        </is>
      </c>
      <c r="J893" t="inlineStr">
        <is>
          <t>Enterprise Tech</t>
        </is>
      </c>
      <c r="K893" t="inlineStr">
        <is>
          <t>Mumbai</t>
        </is>
      </c>
      <c r="L893" t="inlineStr">
        <is>
          <t>Parv Network; Growth 91; Aapna Infotech</t>
        </is>
      </c>
      <c r="M893" t="inlineStr">
        <is>
          <t>Parv Network; Growth 91; Aapna Infotech</t>
        </is>
      </c>
      <c r="N893" t="inlineStr">
        <is>
          <t>entrackr | inc42</t>
        </is>
      </c>
      <c r="O893" s="20" t="n">
        <v>2</v>
      </c>
      <c r="P893" s="21" t="n">
        <v>0</v>
      </c>
      <c r="Q893" t="inlineStr"/>
      <c r="R893" s="22" t="inlineStr">
        <is>
          <t>https://entrackr.com/snippets/uknowva-raises-05-mn-in-pre-series-a-round-10469229</t>
        </is>
      </c>
    </row>
    <row r="894">
      <c r="A894" t="inlineStr">
        <is>
          <t>R250917-ecosoulhome</t>
        </is>
      </c>
      <c r="B894" t="inlineStr">
        <is>
          <t>EcoSoul</t>
        </is>
      </c>
      <c r="C894" s="17" t="n">
        <v>45916</v>
      </c>
      <c r="D894" s="18" t="n">
        <v>45901</v>
      </c>
      <c r="E894" s="19" t="n">
        <v>20</v>
      </c>
      <c r="F894" s="19" t="n">
        <v>176.1</v>
      </c>
      <c r="G894" t="inlineStr">
        <is>
          <t>$20 million</t>
        </is>
      </c>
      <c r="H894" t="inlineStr">
        <is>
          <t>Series B</t>
        </is>
      </c>
      <c r="I894" t="inlineStr">
        <is>
          <t>Growth</t>
        </is>
      </c>
      <c r="J894" t="inlineStr">
        <is>
          <t>Ecommerce</t>
        </is>
      </c>
      <c r="K894" t="inlineStr">
        <is>
          <t>Outside India</t>
        </is>
      </c>
      <c r="L894" t="inlineStr">
        <is>
          <t>Accel; Bajaj Financial Securities</t>
        </is>
      </c>
      <c r="M894" t="inlineStr">
        <is>
          <t>Accel; Bajaj Financial Securities; StartupXseed Ventures; JSW Ventures; CK Birla Group; Singh Capital Partner; Alteria Capital; SIDBI</t>
        </is>
      </c>
      <c r="N894" t="inlineStr">
        <is>
          <t>entrackr | inc42 | et</t>
        </is>
      </c>
      <c r="O894" s="20" t="n">
        <v>3</v>
      </c>
      <c r="P894" s="21" t="n">
        <v>0</v>
      </c>
      <c r="Q894" t="inlineStr">
        <is>
          <t>C09</t>
        </is>
      </c>
      <c r="R894" s="22" t="inlineStr">
        <is>
          <t>https://economictimes.indiatimes.com/tech/funding/sustainability-focused-homeware-brand-ecosoul-raises-20-million-from-accel-bajaj-fin-securities-others/articleshow/123919050.cms</t>
        </is>
      </c>
    </row>
    <row r="895">
      <c r="A895" t="inlineStr">
        <is>
          <t>R250917-evoluteiq</t>
        </is>
      </c>
      <c r="B895" t="inlineStr">
        <is>
          <t>EvoluteIQ</t>
        </is>
      </c>
      <c r="C895" s="17" t="n">
        <v>45917</v>
      </c>
      <c r="D895" s="18" t="n">
        <v>45901</v>
      </c>
      <c r="E895" s="19" t="n">
        <v>53</v>
      </c>
      <c r="F895" s="19" t="n">
        <v>465.6</v>
      </c>
      <c r="G895" t="inlineStr">
        <is>
          <t>$53 Mn</t>
        </is>
      </c>
      <c r="H895" t="inlineStr">
        <is>
          <t>Undisclosed</t>
        </is>
      </c>
      <c r="I895" t="inlineStr">
        <is>
          <t>Undisclosed</t>
        </is>
      </c>
      <c r="J895" t="inlineStr">
        <is>
          <t>Enterprise Tech</t>
        </is>
      </c>
      <c r="K895" t="inlineStr">
        <is>
          <t>Unknown</t>
        </is>
      </c>
      <c r="L895" t="inlineStr">
        <is>
          <t>Baird Capital</t>
        </is>
      </c>
      <c r="M895" t="inlineStr">
        <is>
          <t>Baird Capital</t>
        </is>
      </c>
      <c r="N895" t="inlineStr">
        <is>
          <t>inc42</t>
        </is>
      </c>
      <c r="O895" s="20" t="n">
        <v>1</v>
      </c>
      <c r="P895" s="21" t="n">
        <v>0</v>
      </c>
      <c r="Q895" t="inlineStr">
        <is>
          <t>C04 C07</t>
        </is>
      </c>
      <c r="R895" s="22" t="inlineStr">
        <is>
          <t>https://inc42.com/buzz/from-infra-market-to-blue-energy-motors-indian-startups-raised-317-mn-this-week/</t>
        </is>
      </c>
    </row>
    <row r="896">
      <c r="A896" t="inlineStr">
        <is>
          <t>R250917-finbox</t>
        </is>
      </c>
      <c r="B896" t="inlineStr">
        <is>
          <t>FinBox</t>
        </is>
      </c>
      <c r="C896" s="17" t="n">
        <v>45917</v>
      </c>
      <c r="D896" s="18" t="n">
        <v>45901</v>
      </c>
      <c r="E896" s="19" t="n">
        <v>40</v>
      </c>
      <c r="F896" s="19" t="n">
        <v>351.4</v>
      </c>
      <c r="G896" t="inlineStr">
        <is>
          <t>$40 million</t>
        </is>
      </c>
      <c r="H896" t="inlineStr">
        <is>
          <t>Series B</t>
        </is>
      </c>
      <c r="I896" t="inlineStr">
        <is>
          <t>Growth</t>
        </is>
      </c>
      <c r="J896" t="inlineStr">
        <is>
          <t>Fintech</t>
        </is>
      </c>
      <c r="K896" t="inlineStr">
        <is>
          <t>Bengaluru</t>
        </is>
      </c>
      <c r="L896" t="inlineStr">
        <is>
          <t>WestBridge Capital</t>
        </is>
      </c>
      <c r="M896" t="inlineStr">
        <is>
          <t>WestBridge Capital; A91 Partners; Aditya Birla Ventures</t>
        </is>
      </c>
      <c r="N896" t="inlineStr">
        <is>
          <t>entrackr | inc42 | et</t>
        </is>
      </c>
      <c r="O896" s="20" t="n">
        <v>3</v>
      </c>
      <c r="P896" s="21" t="n">
        <v>0</v>
      </c>
      <c r="Q896" t="inlineStr"/>
      <c r="R896" s="22" t="inlineStr">
        <is>
          <t>https://entrackr.com/news/finbox-raises-40-mn-in-series-b-round-led-by-westbridge-10471935</t>
        </is>
      </c>
    </row>
    <row r="897">
      <c r="A897" t="inlineStr">
        <is>
          <t>R250917-lucira</t>
        </is>
      </c>
      <c r="B897" t="inlineStr">
        <is>
          <t>Lucira</t>
        </is>
      </c>
      <c r="C897" s="17" t="n">
        <v>45917</v>
      </c>
      <c r="D897" s="18" t="n">
        <v>45901</v>
      </c>
      <c r="E897" s="19" t="n">
        <v>5.5</v>
      </c>
      <c r="F897" s="19" t="n">
        <v>48.32</v>
      </c>
      <c r="G897" t="inlineStr">
        <is>
          <t>$5.5 million</t>
        </is>
      </c>
      <c r="H897" t="inlineStr">
        <is>
          <t>Seed</t>
        </is>
      </c>
      <c r="I897" t="inlineStr">
        <is>
          <t>Early</t>
        </is>
      </c>
      <c r="J897" t="inlineStr">
        <is>
          <t>Ecommerce</t>
        </is>
      </c>
      <c r="K897" t="inlineStr">
        <is>
          <t>Unknown</t>
        </is>
      </c>
      <c r="L897" t="inlineStr">
        <is>
          <t>Blume Ventures; Spring Marketing Capital; Key; Livspace; Snitch</t>
        </is>
      </c>
      <c r="M897" t="inlineStr">
        <is>
          <t>Blume Ventures; Spring Marketing Capital; SiriusOne Capital; Key; Livspace; Snitch</t>
        </is>
      </c>
      <c r="N897" t="inlineStr">
        <is>
          <t>entrackr | inc42</t>
        </is>
      </c>
      <c r="O897" s="20" t="n">
        <v>2</v>
      </c>
      <c r="P897" s="21" t="n">
        <v>0</v>
      </c>
      <c r="Q897" t="inlineStr">
        <is>
          <t>C07</t>
        </is>
      </c>
      <c r="R897" s="22" t="inlineStr">
        <is>
          <t>https://entrackr.com/snippets/lab-grown-diamond-jewellery-startup-lucira-raises-55-mn-10472259</t>
        </is>
      </c>
    </row>
    <row r="898">
      <c r="A898" t="inlineStr">
        <is>
          <t>R250917-rebelfoods</t>
        </is>
      </c>
      <c r="B898" t="inlineStr">
        <is>
          <t>Rebel Foods</t>
        </is>
      </c>
      <c r="C898" s="17" t="n">
        <v>45917</v>
      </c>
      <c r="D898" s="18" t="n">
        <v>45901</v>
      </c>
      <c r="E898" s="19" t="n">
        <v>17.075</v>
      </c>
      <c r="F898" s="19" t="n">
        <v>150</v>
      </c>
      <c r="G898" t="inlineStr">
        <is>
          <t>Rs 150 crore</t>
        </is>
      </c>
      <c r="H898" t="inlineStr">
        <is>
          <t>Debt</t>
        </is>
      </c>
      <c r="I898" t="inlineStr">
        <is>
          <t>Debt</t>
        </is>
      </c>
      <c r="J898" t="inlineStr">
        <is>
          <t>Foodtech</t>
        </is>
      </c>
      <c r="K898" t="inlineStr">
        <is>
          <t>Mumbai</t>
        </is>
      </c>
      <c r="L898" t="inlineStr"/>
      <c r="M898" t="inlineStr">
        <is>
          <t>Qatar Investment Authority; Alteria Capital</t>
        </is>
      </c>
      <c r="N898" t="inlineStr">
        <is>
          <t>entrackr</t>
        </is>
      </c>
      <c r="O898" s="20" t="n">
        <v>1</v>
      </c>
      <c r="P898" s="21" t="n">
        <v>0</v>
      </c>
      <c r="Q898" t="inlineStr"/>
      <c r="R898" s="22" t="inlineStr">
        <is>
          <t>https://entrackr.com/exclusive/exclusive-rebel-foods-raises-rs-150-cr-debt-from-alteria-and-innoven-10473113</t>
        </is>
      </c>
    </row>
    <row r="899">
      <c r="A899" t="inlineStr">
        <is>
          <t>R250917-supply6</t>
        </is>
      </c>
      <c r="B899" t="inlineStr">
        <is>
          <t>Supply6</t>
        </is>
      </c>
      <c r="C899" s="17" t="n">
        <v>45917</v>
      </c>
      <c r="D899" s="18" t="n">
        <v>45901</v>
      </c>
      <c r="E899" s="19" t="n">
        <v>1.1</v>
      </c>
      <c r="F899" s="19" t="n">
        <v>9.66</v>
      </c>
      <c r="G899" t="inlineStr">
        <is>
          <t>$1.1 million</t>
        </is>
      </c>
      <c r="H899" t="inlineStr">
        <is>
          <t>Seed</t>
        </is>
      </c>
      <c r="I899" t="inlineStr">
        <is>
          <t>Early</t>
        </is>
      </c>
      <c r="J899" t="inlineStr">
        <is>
          <t>Ecommerce</t>
        </is>
      </c>
      <c r="K899" t="inlineStr">
        <is>
          <t>Unknown</t>
        </is>
      </c>
      <c r="L899" t="inlineStr">
        <is>
          <t>Zeropearl VC</t>
        </is>
      </c>
      <c r="M899" t="inlineStr">
        <is>
          <t>Zeropearl VC; Kunal Shah (Founder; CRED); Ashutosh Valani (Cofounder; Beardo); Priyank Shah (Cofounder; Renee Cosmetics); Yogesh Kabra (Founder; XYXX)</t>
        </is>
      </c>
      <c r="N899" t="inlineStr">
        <is>
          <t>entrackr | inc42</t>
        </is>
      </c>
      <c r="O899" s="20" t="n">
        <v>2</v>
      </c>
      <c r="P899" s="21" t="n">
        <v>0</v>
      </c>
      <c r="Q899" t="inlineStr">
        <is>
          <t>C07</t>
        </is>
      </c>
      <c r="R899" s="22" t="inlineStr">
        <is>
          <t>https://entrackr.com/snippets/supply6-raises-11-mn-in-seed-round-led-by-zeropearl-vc-10473465</t>
        </is>
      </c>
    </row>
    <row r="900">
      <c r="A900" t="inlineStr">
        <is>
          <t>R250918-inframarket</t>
        </is>
      </c>
      <c r="B900" t="inlineStr">
        <is>
          <t>Infra.Market</t>
        </is>
      </c>
      <c r="C900" s="17" t="n">
        <v>45918</v>
      </c>
      <c r="D900" s="18" t="n">
        <v>45901</v>
      </c>
      <c r="E900" s="19" t="n">
        <v>83</v>
      </c>
      <c r="F900" s="19" t="n">
        <v>731.3099999999999</v>
      </c>
      <c r="G900" t="inlineStr">
        <is>
          <t>$83 Mn</t>
        </is>
      </c>
      <c r="H900" t="inlineStr">
        <is>
          <t>Series G</t>
        </is>
      </c>
      <c r="I900" t="inlineStr">
        <is>
          <t>Late</t>
        </is>
      </c>
      <c r="J900" t="inlineStr">
        <is>
          <t>Real Estate Tech</t>
        </is>
      </c>
      <c r="K900" t="inlineStr">
        <is>
          <t>Mumbai</t>
        </is>
      </c>
      <c r="L900" t="inlineStr"/>
      <c r="M900" t="inlineStr">
        <is>
          <t>Silverline Homes Pvt Ltd; NK Squared; Tiger Global; Accel; Nexus; Founders Aaditya Sharda</t>
        </is>
      </c>
      <c r="N900" t="inlineStr">
        <is>
          <t>inc42 | et | vccircle</t>
        </is>
      </c>
      <c r="O900" s="20" t="n">
        <v>3</v>
      </c>
      <c r="P900" s="21" t="n">
        <v>0.1</v>
      </c>
      <c r="Q900" t="inlineStr"/>
      <c r="R900" s="22" t="inlineStr">
        <is>
          <t>https://economictimes.indiatimes.com/tech/funding/infra-market-raises-rs-732-crore-from-promoters-existing-investors/articleshow/123965170.cms</t>
        </is>
      </c>
    </row>
    <row r="901">
      <c r="A901" t="inlineStr">
        <is>
          <t>R250918-rapteehv</t>
        </is>
      </c>
      <c r="B901" t="inlineStr">
        <is>
          <t>Raptee.HV</t>
        </is>
      </c>
      <c r="C901" s="17" t="n">
        <v>45918</v>
      </c>
      <c r="D901" s="18" t="n">
        <v>45901</v>
      </c>
      <c r="E901" s="19" t="n"/>
      <c r="F901" s="19" t="n"/>
      <c r="G901" t="inlineStr"/>
      <c r="H901" t="inlineStr">
        <is>
          <t>Undisclosed</t>
        </is>
      </c>
      <c r="I901" t="inlineStr">
        <is>
          <t>Undisclosed</t>
        </is>
      </c>
      <c r="J901" t="inlineStr">
        <is>
          <t>Cleantech</t>
        </is>
      </c>
      <c r="K901" t="inlineStr">
        <is>
          <t>Unknown</t>
        </is>
      </c>
      <c r="L901" t="inlineStr">
        <is>
          <t>Technology Development Board</t>
        </is>
      </c>
      <c r="M901" t="inlineStr">
        <is>
          <t>Technology Development Board</t>
        </is>
      </c>
      <c r="N901" t="inlineStr">
        <is>
          <t>inc42</t>
        </is>
      </c>
      <c r="O901" s="20" t="n">
        <v>1</v>
      </c>
      <c r="P901" s="21" t="n"/>
      <c r="Q901" t="inlineStr">
        <is>
          <t>C03 C04 C07</t>
        </is>
      </c>
      <c r="R901" s="22" t="inlineStr">
        <is>
          <t>https://inc42.com/buzz/from-infra-market-to-blue-energy-motors-indian-startups-raised-317-mn-this-week/</t>
        </is>
      </c>
    </row>
    <row r="902">
      <c r="A902" t="inlineStr">
        <is>
          <t>R250918-spacefields</t>
        </is>
      </c>
      <c r="B902" t="inlineStr">
        <is>
          <t>SpaceFields</t>
        </is>
      </c>
      <c r="C902" s="17" t="n">
        <v>45918</v>
      </c>
      <c r="D902" s="18" t="n">
        <v>45901</v>
      </c>
      <c r="E902" s="19" t="n">
        <v>5</v>
      </c>
      <c r="F902" s="19" t="n">
        <v>44.06</v>
      </c>
      <c r="G902" t="inlineStr">
        <is>
          <t>$5 million</t>
        </is>
      </c>
      <c r="H902" t="inlineStr">
        <is>
          <t>Pre-Series A</t>
        </is>
      </c>
      <c r="I902" t="inlineStr">
        <is>
          <t>Early</t>
        </is>
      </c>
      <c r="J902" t="inlineStr">
        <is>
          <t>Advanced Hardware &amp; Technology</t>
        </is>
      </c>
      <c r="K902" t="inlineStr">
        <is>
          <t>Bengaluru</t>
        </is>
      </c>
      <c r="L902" t="inlineStr">
        <is>
          <t>Globaz Technologies</t>
        </is>
      </c>
      <c r="M902" t="inlineStr">
        <is>
          <t>Globaz Technologies; Rockstud Capital; Venture Catalysts; Rainmatter; Burla Angel Network; Faad Capital; SIDBI; MeitY Startup Hub</t>
        </is>
      </c>
      <c r="N902" t="inlineStr">
        <is>
          <t>entrackr | inc42 | et</t>
        </is>
      </c>
      <c r="O902" s="20" t="n">
        <v>3</v>
      </c>
      <c r="P902" s="21" t="n">
        <v>0</v>
      </c>
      <c r="Q902" t="inlineStr"/>
      <c r="R902" s="22" t="inlineStr">
        <is>
          <t>https://inc42.com/buzz/from-infra-market-to-blue-energy-motors-indian-startups-raised-317-mn-this-week/</t>
        </is>
      </c>
    </row>
    <row r="903">
      <c r="A903" t="inlineStr">
        <is>
          <t>R250919-blinkitai</t>
        </is>
      </c>
      <c r="B903" t="inlineStr">
        <is>
          <t>Blinkit-AI</t>
        </is>
      </c>
      <c r="C903" s="17" t="n">
        <v>45919</v>
      </c>
      <c r="D903" s="18" t="n">
        <v>45901</v>
      </c>
      <c r="E903" s="19" t="n">
        <v>1.2</v>
      </c>
      <c r="F903" s="19" t="n">
        <v>10.58</v>
      </c>
      <c r="G903" t="inlineStr">
        <is>
          <t>$1.2 Mn</t>
        </is>
      </c>
      <c r="H903" t="inlineStr">
        <is>
          <t>Seed</t>
        </is>
      </c>
      <c r="I903" t="inlineStr">
        <is>
          <t>Early</t>
        </is>
      </c>
      <c r="J903" t="inlineStr">
        <is>
          <t>Artificial Intelligence</t>
        </is>
      </c>
      <c r="K903" t="inlineStr">
        <is>
          <t>Unknown</t>
        </is>
      </c>
      <c r="L903" t="inlineStr">
        <is>
          <t>Foliflex Cables</t>
        </is>
      </c>
      <c r="M903" t="inlineStr">
        <is>
          <t>Foliflex Cables</t>
        </is>
      </c>
      <c r="N903" t="inlineStr">
        <is>
          <t>inc42 | vccircle</t>
        </is>
      </c>
      <c r="O903" s="20" t="n">
        <v>2</v>
      </c>
      <c r="P903" s="21" t="n">
        <v>0</v>
      </c>
      <c r="Q903" t="inlineStr">
        <is>
          <t>C07 C16</t>
        </is>
      </c>
      <c r="R903" s="22" t="inlineStr">
        <is>
          <t>https://inc42.com/buzz/from-infra-market-to-blue-energy-motors-indian-startups-raised-317-mn-this-week/</t>
        </is>
      </c>
    </row>
    <row r="904">
      <c r="A904" t="inlineStr">
        <is>
          <t>R250919-blueenergymoto</t>
        </is>
      </c>
      <c r="B904" t="inlineStr">
        <is>
          <t>Blue Energy Motors</t>
        </is>
      </c>
      <c r="C904" s="17" t="n">
        <v>45919</v>
      </c>
      <c r="D904" s="18" t="n">
        <v>45901</v>
      </c>
      <c r="E904" s="19" t="n">
        <v>30</v>
      </c>
      <c r="F904" s="19" t="n">
        <v>264.48</v>
      </c>
      <c r="G904" t="inlineStr">
        <is>
          <t>$30 Mn</t>
        </is>
      </c>
      <c r="H904" t="inlineStr">
        <is>
          <t>Undisclosed</t>
        </is>
      </c>
      <c r="I904" t="inlineStr">
        <is>
          <t>Undisclosed</t>
        </is>
      </c>
      <c r="J904" t="inlineStr">
        <is>
          <t>Cleantech</t>
        </is>
      </c>
      <c r="K904" t="inlineStr">
        <is>
          <t>Unknown</t>
        </is>
      </c>
      <c r="L904" t="inlineStr">
        <is>
          <t>Nikhil Kamath (Cofounder; Zerodha); Omnitex Industries</t>
        </is>
      </c>
      <c r="M904" t="inlineStr">
        <is>
          <t>Nikhil Kamath (Cofounder; Zerodha); Omnitex Industries</t>
        </is>
      </c>
      <c r="N904" t="inlineStr">
        <is>
          <t>inc42</t>
        </is>
      </c>
      <c r="O904" s="20" t="n">
        <v>1</v>
      </c>
      <c r="P904" s="21" t="n">
        <v>0</v>
      </c>
      <c r="Q904" t="inlineStr">
        <is>
          <t>C04 C07</t>
        </is>
      </c>
      <c r="R904" s="22" t="inlineStr">
        <is>
          <t>https://inc42.com/buzz/from-infra-market-to-blue-energy-motors-indian-startups-raised-317-mn-this-week/</t>
        </is>
      </c>
    </row>
    <row r="905">
      <c r="A905" t="inlineStr">
        <is>
          <t>R250919-equilibrium</t>
        </is>
      </c>
      <c r="B905" t="inlineStr">
        <is>
          <t>Equilibrium</t>
        </is>
      </c>
      <c r="C905" s="17" t="n">
        <v>45919</v>
      </c>
      <c r="D905" s="18" t="n">
        <v>45901</v>
      </c>
      <c r="E905" s="19" t="n">
        <v>3</v>
      </c>
      <c r="F905" s="19" t="n">
        <v>26.45</v>
      </c>
      <c r="G905" t="inlineStr">
        <is>
          <t>$3 million</t>
        </is>
      </c>
      <c r="H905" t="inlineStr">
        <is>
          <t>Seed</t>
        </is>
      </c>
      <c r="I905" t="inlineStr">
        <is>
          <t>Early</t>
        </is>
      </c>
      <c r="J905" t="inlineStr">
        <is>
          <t>Cleantech</t>
        </is>
      </c>
      <c r="K905" t="inlineStr">
        <is>
          <t>Unknown</t>
        </is>
      </c>
      <c r="L905" t="inlineStr"/>
      <c r="M905" t="inlineStr">
        <is>
          <t>Kalaari Capital; Peak XV Partners; Avaana Capital</t>
        </is>
      </c>
      <c r="N905" t="inlineStr">
        <is>
          <t>entrackr | inc42</t>
        </is>
      </c>
      <c r="O905" s="20" t="n">
        <v>2</v>
      </c>
      <c r="P905" s="21" t="n">
        <v>0</v>
      </c>
      <c r="Q905" t="inlineStr">
        <is>
          <t>C07</t>
        </is>
      </c>
      <c r="R905" s="22" t="inlineStr">
        <is>
          <t>https://entrackr.com/snippets/equilibrium-raises-3-mn-from-kalaari-avaana-and-peak-xv-10478460</t>
        </is>
      </c>
    </row>
    <row r="906">
      <c r="A906" t="inlineStr">
        <is>
          <t>R250919-includ</t>
        </is>
      </c>
      <c r="B906" t="inlineStr">
        <is>
          <t>INCLUD</t>
        </is>
      </c>
      <c r="C906" s="17" t="n">
        <v>45919</v>
      </c>
      <c r="D906" s="18" t="n">
        <v>45901</v>
      </c>
      <c r="E906" s="19" t="n">
        <v>2.9</v>
      </c>
      <c r="F906" s="19" t="n">
        <v>25.57</v>
      </c>
      <c r="G906" t="inlineStr">
        <is>
          <t>$2.9 Mn</t>
        </is>
      </c>
      <c r="H906" t="inlineStr">
        <is>
          <t>Pre-Series A</t>
        </is>
      </c>
      <c r="I906" t="inlineStr">
        <is>
          <t>Early</t>
        </is>
      </c>
      <c r="J906" t="inlineStr">
        <is>
          <t>Ecommerce</t>
        </is>
      </c>
      <c r="K906" t="inlineStr">
        <is>
          <t>Unknown</t>
        </is>
      </c>
      <c r="L906" t="inlineStr">
        <is>
          <t>3one4 Capital</t>
        </is>
      </c>
      <c r="M906" t="inlineStr">
        <is>
          <t>3one4 Capital; Incubate Fund Asia</t>
        </is>
      </c>
      <c r="N906" t="inlineStr">
        <is>
          <t>inc42</t>
        </is>
      </c>
      <c r="O906" s="20" t="n">
        <v>1</v>
      </c>
      <c r="P906" s="21" t="n">
        <v>0</v>
      </c>
      <c r="Q906" t="inlineStr">
        <is>
          <t>C07</t>
        </is>
      </c>
      <c r="R906" s="22" t="inlineStr">
        <is>
          <t>https://inc42.com/buzz/from-infra-market-to-blue-energy-motors-indian-startups-raised-317-mn-this-week/</t>
        </is>
      </c>
    </row>
    <row r="907">
      <c r="A907" t="inlineStr">
        <is>
          <t>R250919-wankelenergysy</t>
        </is>
      </c>
      <c r="B907" t="inlineStr">
        <is>
          <t>Wankel Energy Systems</t>
        </is>
      </c>
      <c r="C907" s="17" t="n">
        <v>45919</v>
      </c>
      <c r="D907" s="18" t="n">
        <v>45901</v>
      </c>
      <c r="E907" s="19" t="n">
        <v>1</v>
      </c>
      <c r="F907" s="19" t="n">
        <v>8.82</v>
      </c>
      <c r="G907" t="inlineStr">
        <is>
          <t>$1 Mn</t>
        </is>
      </c>
      <c r="H907" t="inlineStr">
        <is>
          <t>Pre-Seed</t>
        </is>
      </c>
      <c r="I907" t="inlineStr">
        <is>
          <t>Early</t>
        </is>
      </c>
      <c r="J907" t="inlineStr">
        <is>
          <t>Cleantech</t>
        </is>
      </c>
      <c r="K907" t="inlineStr">
        <is>
          <t>Unknown</t>
        </is>
      </c>
      <c r="L907" t="inlineStr">
        <is>
          <t>Shastra VC</t>
        </is>
      </c>
      <c r="M907" t="inlineStr">
        <is>
          <t>Shastra VC</t>
        </is>
      </c>
      <c r="N907" t="inlineStr">
        <is>
          <t>inc42</t>
        </is>
      </c>
      <c r="O907" s="20" t="n">
        <v>1</v>
      </c>
      <c r="P907" s="21" t="n">
        <v>0</v>
      </c>
      <c r="Q907" t="inlineStr">
        <is>
          <t>C07</t>
        </is>
      </c>
      <c r="R907" s="22" t="inlineStr">
        <is>
          <t>https://inc42.com/buzz/from-infra-market-to-blue-energy-motors-indian-startups-raised-317-mn-this-week/</t>
        </is>
      </c>
    </row>
    <row r="908">
      <c r="A908" t="inlineStr">
        <is>
          <t>R250922-allthingspeopl</t>
        </is>
      </c>
      <c r="B908" t="inlineStr">
        <is>
          <t>All Things People</t>
        </is>
      </c>
      <c r="C908" s="17" t="n">
        <v>45922</v>
      </c>
      <c r="D908" s="18" t="n">
        <v>45901</v>
      </c>
      <c r="E908" s="19" t="n">
        <v>0.793</v>
      </c>
      <c r="F908" s="19" t="n">
        <v>7</v>
      </c>
      <c r="G908" t="inlineStr">
        <is>
          <t>Rs 7 crore</t>
        </is>
      </c>
      <c r="H908" t="inlineStr">
        <is>
          <t>Seed</t>
        </is>
      </c>
      <c r="I908" t="inlineStr">
        <is>
          <t>Early</t>
        </is>
      </c>
      <c r="J908" t="inlineStr">
        <is>
          <t>Unclassified</t>
        </is>
      </c>
      <c r="K908" t="inlineStr">
        <is>
          <t>Unknown</t>
        </is>
      </c>
      <c r="L908" t="inlineStr"/>
      <c r="M908" t="inlineStr">
        <is>
          <t>Varun Alagh; Amit Dalmia; Alex von Behr; Vivek Gambhir; Amit Sinha</t>
        </is>
      </c>
      <c r="N908" t="inlineStr">
        <is>
          <t>entrackr</t>
        </is>
      </c>
      <c r="O908" s="20" t="n">
        <v>1</v>
      </c>
      <c r="P908" s="21" t="n">
        <v>0</v>
      </c>
      <c r="Q908" t="inlineStr">
        <is>
          <t>C06 C07</t>
        </is>
      </c>
      <c r="R908" s="22" t="inlineStr">
        <is>
          <t>https://entrackr.com/snippets/hr-tech-startup-all-things-people-raises-seed-funding-round-10486638</t>
        </is>
      </c>
    </row>
    <row r="909">
      <c r="A909" t="inlineStr">
        <is>
          <t>R250922-carbonmasters</t>
        </is>
      </c>
      <c r="B909" t="inlineStr">
        <is>
          <t>Carbon Masters</t>
        </is>
      </c>
      <c r="C909" s="17" t="n">
        <v>45922</v>
      </c>
      <c r="D909" s="18" t="n">
        <v>45901</v>
      </c>
      <c r="E909" s="19" t="n"/>
      <c r="F909" s="19" t="n"/>
      <c r="G909" t="inlineStr"/>
      <c r="H909" t="inlineStr">
        <is>
          <t>Undisclosed</t>
        </is>
      </c>
      <c r="I909" t="inlineStr">
        <is>
          <t>Undisclosed</t>
        </is>
      </c>
      <c r="J909" t="inlineStr">
        <is>
          <t>Cleantech</t>
        </is>
      </c>
      <c r="K909" t="inlineStr">
        <is>
          <t>Unknown</t>
        </is>
      </c>
      <c r="L909" t="inlineStr">
        <is>
          <t>Schneider Electric Energy Access Asia</t>
        </is>
      </c>
      <c r="M909" t="inlineStr">
        <is>
          <t>Schneider Electric Energy Access Asia; Muthu Murugappan; Vikram Raman; Sriram Sankaran</t>
        </is>
      </c>
      <c r="N909" t="inlineStr">
        <is>
          <t>entrackr</t>
        </is>
      </c>
      <c r="O909" s="20" t="n">
        <v>1</v>
      </c>
      <c r="P909" s="21" t="n"/>
      <c r="Q909" t="inlineStr">
        <is>
          <t>C03 C04 C07</t>
        </is>
      </c>
      <c r="R909" s="22" t="inlineStr">
        <is>
          <t>https://entrackr.com/snippets/carbon-masters-raises-funds-led-by-schneider-electric-10486946</t>
        </is>
      </c>
    </row>
    <row r="910">
      <c r="A910" t="inlineStr">
        <is>
          <t>R250922-chakrinnovatio</t>
        </is>
      </c>
      <c r="B910" t="inlineStr">
        <is>
          <t>Chakr Innovation</t>
        </is>
      </c>
      <c r="C910" s="17" t="n">
        <v>45922</v>
      </c>
      <c r="D910" s="18" t="n">
        <v>45901</v>
      </c>
      <c r="E910" s="19" t="n">
        <v>23</v>
      </c>
      <c r="F910" s="19" t="n">
        <v>203.04</v>
      </c>
      <c r="G910" t="inlineStr">
        <is>
          <t>$23 million</t>
        </is>
      </c>
      <c r="H910" t="inlineStr">
        <is>
          <t>Series C</t>
        </is>
      </c>
      <c r="I910" t="inlineStr">
        <is>
          <t>Growth</t>
        </is>
      </c>
      <c r="J910" t="inlineStr">
        <is>
          <t>Cleantech</t>
        </is>
      </c>
      <c r="K910" t="inlineStr">
        <is>
          <t>Delhi NCR</t>
        </is>
      </c>
      <c r="L910" t="inlineStr">
        <is>
          <t>Iron Pillar</t>
        </is>
      </c>
      <c r="M910" t="inlineStr">
        <is>
          <t>Iron Pillar; SBI Cap Ventures; ONGC; IAN; Inflexor</t>
        </is>
      </c>
      <c r="N910" t="inlineStr">
        <is>
          <t>entrackr | inc42 | et | vccircle</t>
        </is>
      </c>
      <c r="O910" s="20" t="n">
        <v>4</v>
      </c>
      <c r="P910" s="21" t="n">
        <v>0</v>
      </c>
      <c r="Q910" t="inlineStr"/>
      <c r="R910" s="22" t="inlineStr">
        <is>
          <t>https://entrackr.com/news/cleantech-startup-chakr-innovation-raises-23-mn-led-by-iron-pillar-10490485</t>
        </is>
      </c>
    </row>
    <row r="911">
      <c r="A911" t="inlineStr">
        <is>
          <t>R250922-onfinanceai</t>
        </is>
      </c>
      <c r="B911" t="inlineStr">
        <is>
          <t>OnFinance AI</t>
        </is>
      </c>
      <c r="C911" s="17" t="n">
        <v>45922</v>
      </c>
      <c r="D911" s="18" t="n">
        <v>45901</v>
      </c>
      <c r="E911" s="19" t="n">
        <v>4.2</v>
      </c>
      <c r="F911" s="19" t="n">
        <v>37.08</v>
      </c>
      <c r="G911" t="inlineStr">
        <is>
          <t>$4.2 million</t>
        </is>
      </c>
      <c r="H911" t="inlineStr">
        <is>
          <t>Pre-Series A</t>
        </is>
      </c>
      <c r="I911" t="inlineStr">
        <is>
          <t>Early</t>
        </is>
      </c>
      <c r="J911" t="inlineStr">
        <is>
          <t>Artificial Intelligence</t>
        </is>
      </c>
      <c r="K911" t="inlineStr">
        <is>
          <t>Bengaluru</t>
        </is>
      </c>
      <c r="L911" t="inlineStr">
        <is>
          <t>Peak XV; Surge</t>
        </is>
      </c>
      <c r="M911" t="inlineStr">
        <is>
          <t>Peak XV; MarsShot VC; Climber Capital; Shyamal Hitesh Anadkat (head of Applied AI; OpenAI); Indian Angel Network; Silverneedle Ventures; Surge; Groww Founders’ Fund</t>
        </is>
      </c>
      <c r="N911" t="inlineStr">
        <is>
          <t>entrackr | inc42 | et</t>
        </is>
      </c>
      <c r="O911" s="20" t="n">
        <v>3</v>
      </c>
      <c r="P911" s="21" t="n">
        <v>0</v>
      </c>
      <c r="Q911" t="inlineStr">
        <is>
          <t>C17</t>
        </is>
      </c>
      <c r="R911" s="22" t="inlineStr">
        <is>
          <t>https://entrackr.com/snippets/onfinance-ai-raises-42-mn-led-by-peak-xvs-surge-10487159</t>
        </is>
      </c>
    </row>
    <row r="912">
      <c r="A912" t="inlineStr">
        <is>
          <t>R250922-vyomic</t>
        </is>
      </c>
      <c r="B912" t="inlineStr">
        <is>
          <t>VyomIC</t>
        </is>
      </c>
      <c r="C912" s="17" t="n">
        <v>45922</v>
      </c>
      <c r="D912" s="18" t="n">
        <v>45901</v>
      </c>
      <c r="E912" s="19" t="n">
        <v>1.586</v>
      </c>
      <c r="F912" s="19" t="n">
        <v>14</v>
      </c>
      <c r="G912" t="inlineStr">
        <is>
          <t>Rs 14 crore</t>
        </is>
      </c>
      <c r="H912" t="inlineStr">
        <is>
          <t>Pre-Seed</t>
        </is>
      </c>
      <c r="I912" t="inlineStr">
        <is>
          <t>Early</t>
        </is>
      </c>
      <c r="J912" t="inlineStr">
        <is>
          <t>Advanced Hardware &amp; Technology</t>
        </is>
      </c>
      <c r="K912" t="inlineStr">
        <is>
          <t>Chennai</t>
        </is>
      </c>
      <c r="L912" t="inlineStr">
        <is>
          <t>Speciale Invest; DeVC</t>
        </is>
      </c>
      <c r="M912" t="inlineStr">
        <is>
          <t>Speciale Invest; BYT Capital; DeVC</t>
        </is>
      </c>
      <c r="N912" t="inlineStr">
        <is>
          <t>entrackr | inc42</t>
        </is>
      </c>
      <c r="O912" s="20" t="n">
        <v>2</v>
      </c>
      <c r="P912" s="21" t="n">
        <v>0.9</v>
      </c>
      <c r="Q912" t="inlineStr"/>
      <c r="R912" s="22" t="inlineStr">
        <is>
          <t>https://entrackr.com/snippets/deep-tech-startup-vyomic-bags-16-mn-led-by-speciale-invest-10487621</t>
        </is>
      </c>
    </row>
    <row r="913">
      <c r="A913" t="inlineStr">
        <is>
          <t>R250923-amwoodo</t>
        </is>
      </c>
      <c r="B913" t="inlineStr">
        <is>
          <t>Amwoodo</t>
        </is>
      </c>
      <c r="C913" s="17" t="n">
        <v>45923</v>
      </c>
      <c r="D913" s="18" t="n">
        <v>45901</v>
      </c>
      <c r="E913" s="19" t="n">
        <v>4</v>
      </c>
      <c r="F913" s="19" t="n">
        <v>35.51</v>
      </c>
      <c r="G913" t="inlineStr">
        <is>
          <t>$4 Mn</t>
        </is>
      </c>
      <c r="H913" t="inlineStr">
        <is>
          <t>Pre-Series A</t>
        </is>
      </c>
      <c r="I913" t="inlineStr">
        <is>
          <t>Early</t>
        </is>
      </c>
      <c r="J913" t="inlineStr">
        <is>
          <t>Ecommerce</t>
        </is>
      </c>
      <c r="K913" t="inlineStr">
        <is>
          <t>Kolkata</t>
        </is>
      </c>
      <c r="L913" t="inlineStr">
        <is>
          <t>Rainmatter</t>
        </is>
      </c>
      <c r="M913" t="inlineStr">
        <is>
          <t>Rainmatter; Adventz Group; Thinkuvate; Caspian</t>
        </is>
      </c>
      <c r="N913" t="inlineStr">
        <is>
          <t>inc42 | et</t>
        </is>
      </c>
      <c r="O913" s="20" t="n">
        <v>2</v>
      </c>
      <c r="P913" s="21" t="n">
        <v>0</v>
      </c>
      <c r="Q913" t="inlineStr"/>
      <c r="R913" s="22" t="inlineStr">
        <is>
          <t>https://economictimes.indiatimes.com/tech/funding/amwoodo-raises-4-million-from-rainmatter-others/articleshow/124074771.cms</t>
        </is>
      </c>
    </row>
    <row r="914">
      <c r="A914" t="inlineStr">
        <is>
          <t>R250923-distil</t>
        </is>
      </c>
      <c r="B914" t="inlineStr">
        <is>
          <t>Distil</t>
        </is>
      </c>
      <c r="C914" s="17" t="n">
        <v>45923</v>
      </c>
      <c r="D914" s="18" t="n">
        <v>45901</v>
      </c>
      <c r="E914" s="19" t="n">
        <v>7.7</v>
      </c>
      <c r="F914" s="19" t="n">
        <v>68.34999999999999</v>
      </c>
      <c r="G914" t="inlineStr">
        <is>
          <t>$7.7 million</t>
        </is>
      </c>
      <c r="H914" t="inlineStr">
        <is>
          <t>Series A</t>
        </is>
      </c>
      <c r="I914" t="inlineStr">
        <is>
          <t>Early</t>
        </is>
      </c>
      <c r="J914" t="inlineStr">
        <is>
          <t>Ecommerce</t>
        </is>
      </c>
      <c r="K914" t="inlineStr">
        <is>
          <t>Unknown</t>
        </is>
      </c>
      <c r="L914" t="inlineStr">
        <is>
          <t>Jungle Ventures; CE-Ventures</t>
        </is>
      </c>
      <c r="M914" t="inlineStr">
        <is>
          <t>Jungle Ventures; CE-Ventures; Rubamin; IndiaQuotient; PI Industries); Mayank Singhal; India Quotient</t>
        </is>
      </c>
      <c r="N914" t="inlineStr">
        <is>
          <t>entrackr | inc42</t>
        </is>
      </c>
      <c r="O914" s="20" t="n">
        <v>2</v>
      </c>
      <c r="P914" s="21" t="n">
        <v>0</v>
      </c>
      <c r="Q914" t="inlineStr">
        <is>
          <t>C07</t>
        </is>
      </c>
      <c r="R914" s="22" t="inlineStr">
        <is>
          <t>https://entrackr.com/snippets/distil-raises-77-mn-in-series-a-led-by-jungle-and-ce-ventures-10492413</t>
        </is>
      </c>
    </row>
    <row r="915">
      <c r="A915" t="inlineStr">
        <is>
          <t>R250923-gabit</t>
        </is>
      </c>
      <c r="B915" t="inlineStr">
        <is>
          <t>Gabit</t>
        </is>
      </c>
      <c r="C915" s="17" t="n">
        <v>45923</v>
      </c>
      <c r="D915" s="18" t="n">
        <v>45901</v>
      </c>
      <c r="E915" s="19" t="n"/>
      <c r="F915" s="19" t="n"/>
      <c r="G915" t="inlineStr"/>
      <c r="H915" t="inlineStr">
        <is>
          <t>Undisclosed</t>
        </is>
      </c>
      <c r="I915" t="inlineStr">
        <is>
          <t>Undisclosed</t>
        </is>
      </c>
      <c r="J915" t="inlineStr">
        <is>
          <t>Ecommerce</t>
        </is>
      </c>
      <c r="K915" t="inlineStr">
        <is>
          <t>Unknown</t>
        </is>
      </c>
      <c r="L915" t="inlineStr"/>
      <c r="M915" t="inlineStr">
        <is>
          <t>Ranbir Kapoor; Badshah</t>
        </is>
      </c>
      <c r="N915" t="inlineStr">
        <is>
          <t>inc42</t>
        </is>
      </c>
      <c r="O915" s="20" t="n">
        <v>1</v>
      </c>
      <c r="P915" s="21" t="n"/>
      <c r="Q915" t="inlineStr">
        <is>
          <t>C03 C04 C07</t>
        </is>
      </c>
      <c r="R915" s="22" t="inlineStr">
        <is>
          <t>https://inc42.com/buzz/from-pharmeasy-to-curefoods-indian-startups-raised-377-mn-this-week/</t>
        </is>
      </c>
    </row>
    <row r="916">
      <c r="A916" t="inlineStr">
        <is>
          <t>R250923-grest</t>
        </is>
      </c>
      <c r="B916" t="inlineStr">
        <is>
          <t>Grest</t>
        </is>
      </c>
      <c r="C916" s="17" t="n">
        <v>45923</v>
      </c>
      <c r="D916" s="18" t="n">
        <v>45901</v>
      </c>
      <c r="E916" s="19" t="n">
        <v>1.802</v>
      </c>
      <c r="F916" s="19" t="n">
        <v>16</v>
      </c>
      <c r="G916" t="inlineStr">
        <is>
          <t>Rs 16 crore</t>
        </is>
      </c>
      <c r="H916" t="inlineStr">
        <is>
          <t>Undisclosed</t>
        </is>
      </c>
      <c r="I916" t="inlineStr">
        <is>
          <t>Undisclosed</t>
        </is>
      </c>
      <c r="J916" t="inlineStr">
        <is>
          <t>Ecommerce</t>
        </is>
      </c>
      <c r="K916" t="inlineStr">
        <is>
          <t>Delhi NCR</t>
        </is>
      </c>
      <c r="L916" t="inlineStr">
        <is>
          <t>Equentis</t>
        </is>
      </c>
      <c r="M916" t="inlineStr">
        <is>
          <t>Equentis; Lead Invest; India Accelerator</t>
        </is>
      </c>
      <c r="N916" t="inlineStr">
        <is>
          <t>entrackr | inc42</t>
        </is>
      </c>
      <c r="O916" s="20" t="n">
        <v>2</v>
      </c>
      <c r="P916" s="21" t="n">
        <v>0.1</v>
      </c>
      <c r="Q916" t="inlineStr">
        <is>
          <t>C04</t>
        </is>
      </c>
      <c r="R916" s="22" t="inlineStr">
        <is>
          <t>https://entrackr.com/snippets/electronics-re-commerce-startup-grest-raises-rs-16-cr-led-by-equentis-10494148</t>
        </is>
      </c>
    </row>
    <row r="917">
      <c r="A917" t="inlineStr">
        <is>
          <t>R250923-navo</t>
        </is>
      </c>
      <c r="B917" t="inlineStr">
        <is>
          <t>Navo</t>
        </is>
      </c>
      <c r="C917" s="17" t="n">
        <v>45923</v>
      </c>
      <c r="D917" s="18" t="n">
        <v>45901</v>
      </c>
      <c r="E917" s="19" t="n">
        <v>0.901</v>
      </c>
      <c r="F917" s="19" t="n">
        <v>8</v>
      </c>
      <c r="G917" t="inlineStr">
        <is>
          <t>Rs 8 crore</t>
        </is>
      </c>
      <c r="H917" t="inlineStr">
        <is>
          <t>Seed</t>
        </is>
      </c>
      <c r="I917" t="inlineStr">
        <is>
          <t>Early</t>
        </is>
      </c>
      <c r="J917" t="inlineStr">
        <is>
          <t>Ecommerce</t>
        </is>
      </c>
      <c r="K917" t="inlineStr">
        <is>
          <t>Unknown</t>
        </is>
      </c>
      <c r="L917" t="inlineStr">
        <is>
          <t>IndiaQuotient</t>
        </is>
      </c>
      <c r="M917" t="inlineStr">
        <is>
          <t>IndiaQuotient; Antler; Bharat Founders Fund</t>
        </is>
      </c>
      <c r="N917" t="inlineStr">
        <is>
          <t>entrackr | inc42</t>
        </is>
      </c>
      <c r="O917" s="20" t="n">
        <v>2</v>
      </c>
      <c r="P917" s="21" t="n">
        <v>0.1</v>
      </c>
      <c r="Q917" t="inlineStr">
        <is>
          <t>C07</t>
        </is>
      </c>
      <c r="R917" s="22" t="inlineStr">
        <is>
          <t>https://entrackr.com/snippets/navo-raises-rs-8-cr-in-seed-round-led-by-indiaquotient-10494174</t>
        </is>
      </c>
    </row>
    <row r="918">
      <c r="A918" t="inlineStr">
        <is>
          <t>R250923-paarautonomy</t>
        </is>
      </c>
      <c r="B918" t="inlineStr">
        <is>
          <t>Paar Autonomy</t>
        </is>
      </c>
      <c r="C918" s="17" t="n">
        <v>45923</v>
      </c>
      <c r="D918" s="18" t="n">
        <v>45901</v>
      </c>
      <c r="E918" s="19" t="n">
        <v>0.394</v>
      </c>
      <c r="F918" s="19" t="n">
        <v>3.5</v>
      </c>
      <c r="G918" t="inlineStr">
        <is>
          <t>Rs 3.5 crore</t>
        </is>
      </c>
      <c r="H918" t="inlineStr">
        <is>
          <t>Seed</t>
        </is>
      </c>
      <c r="I918" t="inlineStr">
        <is>
          <t>Early</t>
        </is>
      </c>
      <c r="J918" t="inlineStr">
        <is>
          <t>Advanced Hardware &amp; Technology</t>
        </is>
      </c>
      <c r="K918" t="inlineStr">
        <is>
          <t>Unknown</t>
        </is>
      </c>
      <c r="L918" t="inlineStr">
        <is>
          <t>Venture Catalysts</t>
        </is>
      </c>
      <c r="M918" t="inlineStr">
        <is>
          <t>Venture Catalysts</t>
        </is>
      </c>
      <c r="N918" t="inlineStr">
        <is>
          <t>entrackr | inc42</t>
        </is>
      </c>
      <c r="O918" s="20" t="n">
        <v>2</v>
      </c>
      <c r="P918" s="21" t="n">
        <v>26.8</v>
      </c>
      <c r="Q918" t="inlineStr">
        <is>
          <t>C07 C15 C18</t>
        </is>
      </c>
      <c r="R918" s="22" t="inlineStr">
        <is>
          <t>https://entrackr.com/snippets/paar-autonomy-raises-rs-35-cr-led-by-venture-catalysts-10492645</t>
        </is>
      </c>
    </row>
    <row r="919">
      <c r="A919" t="inlineStr">
        <is>
          <t>R250923-prism</t>
        </is>
      </c>
      <c r="B919" t="inlineStr">
        <is>
          <t>PRISM</t>
        </is>
      </c>
      <c r="C919" s="17" t="n">
        <v>45923</v>
      </c>
      <c r="D919" s="18" t="n">
        <v>45901</v>
      </c>
      <c r="E919" s="19" t="n">
        <v>5.6</v>
      </c>
      <c r="F919" s="19" t="n">
        <v>49.71</v>
      </c>
      <c r="G919" t="inlineStr">
        <is>
          <t>$5.6 Mn</t>
        </is>
      </c>
      <c r="H919" t="inlineStr">
        <is>
          <t>Undisclosed</t>
        </is>
      </c>
      <c r="I919" t="inlineStr">
        <is>
          <t>Undisclosed</t>
        </is>
      </c>
      <c r="J919" t="inlineStr">
        <is>
          <t>Travel Tech</t>
        </is>
      </c>
      <c r="K919" t="inlineStr">
        <is>
          <t>Unknown</t>
        </is>
      </c>
      <c r="L919" t="inlineStr">
        <is>
          <t>InCred; Analah Capital</t>
        </is>
      </c>
      <c r="M919" t="inlineStr">
        <is>
          <t>InCred; Analah Capital</t>
        </is>
      </c>
      <c r="N919" t="inlineStr">
        <is>
          <t>inc42</t>
        </is>
      </c>
      <c r="O919" s="20" t="n">
        <v>1</v>
      </c>
      <c r="P919" s="21" t="n">
        <v>0</v>
      </c>
      <c r="Q919" t="inlineStr">
        <is>
          <t>C04 C07</t>
        </is>
      </c>
      <c r="R919" s="22" t="inlineStr">
        <is>
          <t>https://inc42.com/buzz/from-pharmeasy-to-curefoods-indian-startups-raised-377-mn-this-week/</t>
        </is>
      </c>
    </row>
    <row r="920">
      <c r="A920" t="inlineStr">
        <is>
          <t>R250923-rocket</t>
        </is>
      </c>
      <c r="B920" t="inlineStr">
        <is>
          <t>Rocket</t>
        </is>
      </c>
      <c r="C920" s="17" t="n">
        <v>45923</v>
      </c>
      <c r="D920" s="18" t="n">
        <v>45901</v>
      </c>
      <c r="E920" s="19" t="n">
        <v>15</v>
      </c>
      <c r="F920" s="19" t="n">
        <v>133.16</v>
      </c>
      <c r="G920" t="inlineStr">
        <is>
          <t>$15 million</t>
        </is>
      </c>
      <c r="H920" t="inlineStr">
        <is>
          <t>Seed</t>
        </is>
      </c>
      <c r="I920" t="inlineStr">
        <is>
          <t>Early</t>
        </is>
      </c>
      <c r="J920" t="inlineStr">
        <is>
          <t>Artificial Intelligence</t>
        </is>
      </c>
      <c r="K920" t="inlineStr">
        <is>
          <t>Unknown</t>
        </is>
      </c>
      <c r="L920" t="inlineStr">
        <is>
          <t>Salesforce Ventures; Accel</t>
        </is>
      </c>
      <c r="M920" t="inlineStr">
        <is>
          <t>Salesforce Ventures; Accel; Together Fund; India Quotient; Dholakia Ventures; Surat</t>
        </is>
      </c>
      <c r="N920" t="inlineStr">
        <is>
          <t>entrackr | inc42 | et</t>
        </is>
      </c>
      <c r="O920" s="20" t="n">
        <v>3</v>
      </c>
      <c r="P920" s="21" t="n">
        <v>0</v>
      </c>
      <c r="Q920" t="inlineStr">
        <is>
          <t>C07</t>
        </is>
      </c>
      <c r="R920" s="22" t="inlineStr">
        <is>
          <t>https://entrackr.com/snippets/rocket-raises-15-mn-in-seed-round-led-by-salesforce-ventures-10492642</t>
        </is>
      </c>
    </row>
    <row r="921">
      <c r="A921" t="inlineStr">
        <is>
          <t>R250923-zealthix</t>
        </is>
      </c>
      <c r="B921" t="inlineStr">
        <is>
          <t>Zealthix</t>
        </is>
      </c>
      <c r="C921" s="17" t="n">
        <v>45923</v>
      </c>
      <c r="D921" s="18" t="n">
        <v>45901</v>
      </c>
      <c r="E921" s="19" t="n">
        <v>1.1</v>
      </c>
      <c r="F921" s="19" t="n">
        <v>9.76</v>
      </c>
      <c r="G921" t="inlineStr">
        <is>
          <t>$1.1 million</t>
        </is>
      </c>
      <c r="H921" t="inlineStr">
        <is>
          <t>Seed</t>
        </is>
      </c>
      <c r="I921" t="inlineStr">
        <is>
          <t>Early</t>
        </is>
      </c>
      <c r="J921" t="inlineStr">
        <is>
          <t>Healthtech</t>
        </is>
      </c>
      <c r="K921" t="inlineStr">
        <is>
          <t>Delhi NCR</t>
        </is>
      </c>
      <c r="L921" t="inlineStr">
        <is>
          <t>Unicorn India Ventures</t>
        </is>
      </c>
      <c r="M921" t="inlineStr">
        <is>
          <t>Unicorn India Ventures; AlphaGen Venture Capital</t>
        </is>
      </c>
      <c r="N921" t="inlineStr">
        <is>
          <t>entrackr</t>
        </is>
      </c>
      <c r="O921" s="20" t="n">
        <v>1</v>
      </c>
      <c r="P921" s="21" t="n">
        <v>0</v>
      </c>
      <c r="Q921" t="inlineStr"/>
      <c r="R921" s="22" t="inlineStr">
        <is>
          <t>https://entrackr.com/snippets/zealthix-raises-11-mn-in-seed-round-led-by-unicorn-india-ventures-10492908</t>
        </is>
      </c>
    </row>
    <row r="922">
      <c r="A922" t="inlineStr">
        <is>
          <t>R250924-emergent</t>
        </is>
      </c>
      <c r="B922" t="inlineStr">
        <is>
          <t>Emergent</t>
        </is>
      </c>
      <c r="C922" s="17" t="n">
        <v>45924</v>
      </c>
      <c r="D922" s="18" t="n">
        <v>45901</v>
      </c>
      <c r="E922" s="19" t="n">
        <v>23</v>
      </c>
      <c r="F922" s="19" t="n">
        <v>204.01</v>
      </c>
      <c r="G922" t="inlineStr">
        <is>
          <t>$23 million</t>
        </is>
      </c>
      <c r="H922" t="inlineStr">
        <is>
          <t>Series A</t>
        </is>
      </c>
      <c r="I922" t="inlineStr">
        <is>
          <t>Early</t>
        </is>
      </c>
      <c r="J922" t="inlineStr">
        <is>
          <t>Artificial Intelligence</t>
        </is>
      </c>
      <c r="K922" t="inlineStr">
        <is>
          <t>Bengaluru</t>
        </is>
      </c>
      <c r="L922" t="inlineStr">
        <is>
          <t>Lightspeed Ventures</t>
        </is>
      </c>
      <c r="M922" t="inlineStr">
        <is>
          <t>Lightspeed; Y Combinator; Together Fund; Prosus; Jeff Dean; Devendra Chaplot; Balaji Srinivasan (cofounder; Coinbase)</t>
        </is>
      </c>
      <c r="N922" t="inlineStr">
        <is>
          <t>entrackr | inc42 | et</t>
        </is>
      </c>
      <c r="O922" s="20" t="n">
        <v>3</v>
      </c>
      <c r="P922" s="21" t="n">
        <v>0</v>
      </c>
      <c r="Q922" t="inlineStr"/>
      <c r="R922" s="22" t="inlineStr">
        <is>
          <t>https://entrackr.com/news/emergent-raises-23-mn-in-series-a-round-led-by-lightspeed-10498639</t>
        </is>
      </c>
    </row>
    <row r="923">
      <c r="A923" t="inlineStr">
        <is>
          <t>R250924-gullak</t>
        </is>
      </c>
      <c r="B923" t="inlineStr">
        <is>
          <t>Gullak</t>
        </is>
      </c>
      <c r="C923" s="17" t="n">
        <v>45924</v>
      </c>
      <c r="D923" s="18" t="n">
        <v>45901</v>
      </c>
      <c r="E923" s="19" t="n">
        <v>7.5</v>
      </c>
      <c r="F923" s="19" t="n">
        <v>66.53</v>
      </c>
      <c r="G923" t="inlineStr">
        <is>
          <t>$7.5 million</t>
        </is>
      </c>
      <c r="H923" t="inlineStr">
        <is>
          <t>Series A</t>
        </is>
      </c>
      <c r="I923" t="inlineStr">
        <is>
          <t>Early</t>
        </is>
      </c>
      <c r="J923" t="inlineStr">
        <is>
          <t>Fintech</t>
        </is>
      </c>
      <c r="K923" t="inlineStr">
        <is>
          <t>Bengaluru</t>
        </is>
      </c>
      <c r="L923" t="inlineStr">
        <is>
          <t>Chiratae Ventures</t>
        </is>
      </c>
      <c r="M923" t="inlineStr">
        <is>
          <t>Chiratae Ventures; White Venture Capital; Samved Ventures; Y Combinator; GMO Venture Partners; Better Capital; Stellaris Venture Partners; Rebel Partners; Goodwater Capital; TRTL Ventures; Kunal Shah</t>
        </is>
      </c>
      <c r="N923" t="inlineStr">
        <is>
          <t>entrackr | inc42 | et</t>
        </is>
      </c>
      <c r="O923" s="20" t="n">
        <v>3</v>
      </c>
      <c r="P923" s="21" t="n">
        <v>0</v>
      </c>
      <c r="Q923" t="inlineStr"/>
      <c r="R923" s="22" t="inlineStr">
        <is>
          <t>https://entrackr.com/news/gold-savings-app-gullak-raises-75-mn-led-by-chiratae-10495967</t>
        </is>
      </c>
    </row>
    <row r="924">
      <c r="A924" t="inlineStr">
        <is>
          <t>R250924-oolka</t>
        </is>
      </c>
      <c r="B924" t="inlineStr">
        <is>
          <t>Oolka</t>
        </is>
      </c>
      <c r="C924" s="17" t="n">
        <v>45924</v>
      </c>
      <c r="D924" s="18" t="n">
        <v>45901</v>
      </c>
      <c r="E924" s="19" t="n">
        <v>7</v>
      </c>
      <c r="F924" s="19" t="n">
        <v>62.09</v>
      </c>
      <c r="G924" t="inlineStr">
        <is>
          <t>$7 million</t>
        </is>
      </c>
      <c r="H924" t="inlineStr">
        <is>
          <t>Seed</t>
        </is>
      </c>
      <c r="I924" t="inlineStr">
        <is>
          <t>Early</t>
        </is>
      </c>
      <c r="J924" t="inlineStr">
        <is>
          <t>Fintech</t>
        </is>
      </c>
      <c r="K924" t="inlineStr">
        <is>
          <t>Bengaluru</t>
        </is>
      </c>
      <c r="L924" t="inlineStr">
        <is>
          <t>Lightspeed India; Z47</t>
        </is>
      </c>
      <c r="M924" t="inlineStr">
        <is>
          <t>Lightspeed; Z47; 8i Ventures; Vidit Aatrey (cofounder; Meesho); Sanjeev Barnwal (cofounder; Ramakant Sharma (cofounder; Livspace); Abhishek Goyal (cofounder; Tracxn); Rajesh Yabaji (cofounder; BlackBuck); Nitin Gupta (cofounder; Uni Cards); Madhusudan R (cofounder; M2P Fintech); Anil Goteti (founder; Scapia); Arnav Kumar (cofounder; Leap)</t>
        </is>
      </c>
      <c r="N924" t="inlineStr">
        <is>
          <t>entrackr | inc42 | et</t>
        </is>
      </c>
      <c r="O924" s="20" t="n">
        <v>3</v>
      </c>
      <c r="P924" s="21" t="n">
        <v>0</v>
      </c>
      <c r="Q924" t="inlineStr"/>
      <c r="R924" s="22" t="inlineStr">
        <is>
          <t>https://entrackr.com/snippets/oolka-raises-7-mn-in-seed-round-led-by-lightspeed-and-z47-10497497</t>
        </is>
      </c>
    </row>
    <row r="925">
      <c r="A925" t="inlineStr">
        <is>
          <t>R250924-ptal</t>
        </is>
      </c>
      <c r="B925" t="inlineStr">
        <is>
          <t>P-TAL</t>
        </is>
      </c>
      <c r="C925" s="17" t="n">
        <v>45924</v>
      </c>
      <c r="D925" s="18" t="n">
        <v>45901</v>
      </c>
      <c r="E925" s="19" t="n">
        <v>3</v>
      </c>
      <c r="F925" s="19" t="n">
        <v>26.61</v>
      </c>
      <c r="G925" t="inlineStr">
        <is>
          <t>$3 million</t>
        </is>
      </c>
      <c r="H925" t="inlineStr">
        <is>
          <t>Series A</t>
        </is>
      </c>
      <c r="I925" t="inlineStr">
        <is>
          <t>Early</t>
        </is>
      </c>
      <c r="J925" t="inlineStr">
        <is>
          <t>Ecommerce</t>
        </is>
      </c>
      <c r="K925" t="inlineStr">
        <is>
          <t>Unknown</t>
        </is>
      </c>
      <c r="L925" t="inlineStr">
        <is>
          <t>Venture Catalysts; Rainmatter; VC Grid</t>
        </is>
      </c>
      <c r="M925" t="inlineStr">
        <is>
          <t>Venture Catalysts; Rainmatter; Connecticut Innovations; Zero Pearl; Anicut Capital; Jaipur Rugs Family Office; Ramakant Sharma (cofounder; Livspace); Sanjay Kapoor (founder; Genesis Luxury); Singularity AMC); Sibabrata Das (cofounder; Atomberg); Ritesh Malik (founder; Innov8); VC Grid</t>
        </is>
      </c>
      <c r="N925" t="inlineStr">
        <is>
          <t>entrackr | inc42 | et</t>
        </is>
      </c>
      <c r="O925" s="20" t="n">
        <v>3</v>
      </c>
      <c r="P925" s="21" t="n">
        <v>0</v>
      </c>
      <c r="Q925" t="inlineStr">
        <is>
          <t>C07</t>
        </is>
      </c>
      <c r="R925" s="22" t="inlineStr">
        <is>
          <t>https://entrackr.com/snippets/kitchenware-brand-p-tal-raises-3-mn-led-by-vc-grid-and-rainmatter-10495972</t>
        </is>
      </c>
    </row>
    <row r="926">
      <c r="A926" t="inlineStr">
        <is>
          <t>R250924-xbattery</t>
        </is>
      </c>
      <c r="B926" t="inlineStr">
        <is>
          <t>Xbattery</t>
        </is>
      </c>
      <c r="C926" s="17" t="n">
        <v>45924</v>
      </c>
      <c r="D926" s="18" t="n">
        <v>45901</v>
      </c>
      <c r="E926" s="19" t="n">
        <v>2.3</v>
      </c>
      <c r="F926" s="19" t="n">
        <v>20.4</v>
      </c>
      <c r="G926" t="inlineStr">
        <is>
          <t>$2.3 million</t>
        </is>
      </c>
      <c r="H926" t="inlineStr">
        <is>
          <t>Seed</t>
        </is>
      </c>
      <c r="I926" t="inlineStr">
        <is>
          <t>Early</t>
        </is>
      </c>
      <c r="J926" t="inlineStr">
        <is>
          <t>Cleantech</t>
        </is>
      </c>
      <c r="K926" t="inlineStr">
        <is>
          <t>Hyderabad</t>
        </is>
      </c>
      <c r="L926" t="inlineStr">
        <is>
          <t>Bipin Patel Family Office</t>
        </is>
      </c>
      <c r="M926" t="inlineStr">
        <is>
          <t>Bipin Patel Family Office; Jhaveri Credits</t>
        </is>
      </c>
      <c r="N926" t="inlineStr">
        <is>
          <t>entrackr | inc42 | et</t>
        </is>
      </c>
      <c r="O926" s="20" t="n">
        <v>3</v>
      </c>
      <c r="P926" s="21" t="n">
        <v>0</v>
      </c>
      <c r="Q926" t="inlineStr"/>
      <c r="R926" s="22" t="inlineStr">
        <is>
          <t>https://entrackr.com/snippets/deep-tech-startup-xbattery-raises-23-mn-in-seed-round-10496834</t>
        </is>
      </c>
    </row>
    <row r="927">
      <c r="A927" t="inlineStr">
        <is>
          <t>R250925-akashalabdhi</t>
        </is>
      </c>
      <c r="B927" t="inlineStr">
        <is>
          <t>Akashalabdhi</t>
        </is>
      </c>
      <c r="C927" s="17" t="n">
        <v>45925</v>
      </c>
      <c r="D927" s="18" t="n">
        <v>45901</v>
      </c>
      <c r="E927" s="19" t="n">
        <v>1.2</v>
      </c>
      <c r="F927" s="19" t="n">
        <v>10.64</v>
      </c>
      <c r="G927" t="inlineStr">
        <is>
          <t>$1.2 million</t>
        </is>
      </c>
      <c r="H927" t="inlineStr">
        <is>
          <t>Pre-Seed</t>
        </is>
      </c>
      <c r="I927" t="inlineStr">
        <is>
          <t>Early</t>
        </is>
      </c>
      <c r="J927" t="inlineStr">
        <is>
          <t>Advanced Hardware &amp; Technology</t>
        </is>
      </c>
      <c r="K927" t="inlineStr">
        <is>
          <t>Bengaluru</t>
        </is>
      </c>
      <c r="L927" t="inlineStr"/>
      <c r="M927" t="inlineStr">
        <is>
          <t>LVX; 1Crowd; Riceberg Ventures; Aeroflex Enterprises; Uday Chatterjee; Romesh Sobti; Suraj Nalin</t>
        </is>
      </c>
      <c r="N927" t="inlineStr">
        <is>
          <t>entrackr | inc42 | et</t>
        </is>
      </c>
      <c r="O927" s="20" t="n">
        <v>3</v>
      </c>
      <c r="P927" s="21" t="n">
        <v>0</v>
      </c>
      <c r="Q927" t="inlineStr"/>
      <c r="R927" s="22" t="inlineStr">
        <is>
          <t>https://entrackr.com/snippets/space-tech-startup-akashalabdhi-raises-12-mn-in-pre-seed-round-10501032</t>
        </is>
      </c>
    </row>
    <row r="928">
      <c r="A928" t="inlineStr">
        <is>
          <t>R250925-bharatintellig</t>
        </is>
      </c>
      <c r="B928" t="inlineStr">
        <is>
          <t>Bharat Intelligence</t>
        </is>
      </c>
      <c r="C928" s="17" t="n">
        <v>45925</v>
      </c>
      <c r="D928" s="18" t="n">
        <v>45901</v>
      </c>
      <c r="E928" s="19" t="n">
        <v>0.789</v>
      </c>
      <c r="F928" s="19" t="n">
        <v>7</v>
      </c>
      <c r="G928" t="inlineStr">
        <is>
          <t>Rs 7 crore</t>
        </is>
      </c>
      <c r="H928" t="inlineStr">
        <is>
          <t>Pre-Seed</t>
        </is>
      </c>
      <c r="I928" t="inlineStr">
        <is>
          <t>Early</t>
        </is>
      </c>
      <c r="J928" t="inlineStr">
        <is>
          <t>Agritech</t>
        </is>
      </c>
      <c r="K928" t="inlineStr">
        <is>
          <t>Unknown</t>
        </is>
      </c>
      <c r="L928" t="inlineStr">
        <is>
          <t>Sahyadri Farms</t>
        </is>
      </c>
      <c r="M928" t="inlineStr">
        <is>
          <t>Sahyadri Farms</t>
        </is>
      </c>
      <c r="N928" t="inlineStr">
        <is>
          <t>entrackr | inc42</t>
        </is>
      </c>
      <c r="O928" s="20" t="n">
        <v>2</v>
      </c>
      <c r="P928" s="21" t="n">
        <v>0.1</v>
      </c>
      <c r="Q928" t="inlineStr">
        <is>
          <t>C07</t>
        </is>
      </c>
      <c r="R928" s="22" t="inlineStr">
        <is>
          <t>https://entrackr.com/snippets/agritech-startup-bharat-intelligence-raises-funding-led-by-sahyadri-farms-10500153</t>
        </is>
      </c>
    </row>
    <row r="929">
      <c r="A929" t="inlineStr">
        <is>
          <t>R250925-cosmoservespac</t>
        </is>
      </c>
      <c r="B929" t="inlineStr">
        <is>
          <t>Cosmoserve Space</t>
        </is>
      </c>
      <c r="C929" s="17" t="n">
        <v>45925</v>
      </c>
      <c r="D929" s="18" t="n">
        <v>45901</v>
      </c>
      <c r="E929" s="19" t="n">
        <v>3.17</v>
      </c>
      <c r="F929" s="19" t="n">
        <v>28.11</v>
      </c>
      <c r="G929" t="inlineStr">
        <is>
          <t>$3.17 million</t>
        </is>
      </c>
      <c r="H929" t="inlineStr">
        <is>
          <t>Pre-Seed</t>
        </is>
      </c>
      <c r="I929" t="inlineStr">
        <is>
          <t>Early</t>
        </is>
      </c>
      <c r="J929" t="inlineStr">
        <is>
          <t>Advanced Hardware &amp; Technology</t>
        </is>
      </c>
      <c r="K929" t="inlineStr">
        <is>
          <t>Hyderabad</t>
        </is>
      </c>
      <c r="L929" t="inlineStr">
        <is>
          <t>AVCF; Alan Rutledge</t>
        </is>
      </c>
      <c r="M929" t="inlineStr">
        <is>
          <t>AVCF; AUM Ventures; Shakti VC; Ram Shriram; Alan Rutledge</t>
        </is>
      </c>
      <c r="N929" t="inlineStr">
        <is>
          <t>entrackr | inc42</t>
        </is>
      </c>
      <c r="O929" s="20" t="n">
        <v>2</v>
      </c>
      <c r="P929" s="21" t="n">
        <v>0.9</v>
      </c>
      <c r="Q929" t="inlineStr">
        <is>
          <t>C17</t>
        </is>
      </c>
      <c r="R929" s="22" t="inlineStr">
        <is>
          <t>https://entrackr.com/snippets/cosmoserve-space-raises-317-mn-in-pre-seed-round-10500126</t>
        </is>
      </c>
    </row>
    <row r="930">
      <c r="A930" t="inlineStr">
        <is>
          <t>R250925-handpickd</t>
        </is>
      </c>
      <c r="B930" t="inlineStr">
        <is>
          <t>Handpickd</t>
        </is>
      </c>
      <c r="C930" s="17" t="n">
        <v>45925</v>
      </c>
      <c r="D930" s="18" t="n">
        <v>45901</v>
      </c>
      <c r="E930" s="19" t="n">
        <v>15</v>
      </c>
      <c r="F930" s="19" t="n">
        <v>133.04</v>
      </c>
      <c r="G930" t="inlineStr">
        <is>
          <t>$15 million</t>
        </is>
      </c>
      <c r="H930" t="inlineStr">
        <is>
          <t>Series A</t>
        </is>
      </c>
      <c r="I930" t="inlineStr">
        <is>
          <t>Early</t>
        </is>
      </c>
      <c r="J930" t="inlineStr">
        <is>
          <t>Consumer Services</t>
        </is>
      </c>
      <c r="K930" t="inlineStr">
        <is>
          <t>Unknown</t>
        </is>
      </c>
      <c r="L930" t="inlineStr">
        <is>
          <t>Bertelsmann India Investments</t>
        </is>
      </c>
      <c r="M930" t="inlineStr">
        <is>
          <t>Bertelsmann India Investments; Titan Capital</t>
        </is>
      </c>
      <c r="N930" t="inlineStr">
        <is>
          <t>entrackr | inc42 | et</t>
        </is>
      </c>
      <c r="O930" s="20" t="n">
        <v>3</v>
      </c>
      <c r="P930" s="21" t="n">
        <v>0</v>
      </c>
      <c r="Q930" t="inlineStr">
        <is>
          <t>C07</t>
        </is>
      </c>
      <c r="R930" s="22" t="inlineStr">
        <is>
          <t>https://entrackr.com/news/handpickd-raises-15-mn-from-bertelsmann-and-titan-capital-winners-fund-10499839</t>
        </is>
      </c>
    </row>
    <row r="931">
      <c r="A931" t="inlineStr">
        <is>
          <t>R250925-kisankonnect</t>
        </is>
      </c>
      <c r="B931" t="inlineStr">
        <is>
          <t>KisanKonnect</t>
        </is>
      </c>
      <c r="C931" s="17" t="n">
        <v>45925</v>
      </c>
      <c r="D931" s="18" t="n">
        <v>45901</v>
      </c>
      <c r="E931" s="19" t="n">
        <v>8.118</v>
      </c>
      <c r="F931" s="19" t="n">
        <v>72</v>
      </c>
      <c r="G931" t="inlineStr">
        <is>
          <t>Rs 72 crore</t>
        </is>
      </c>
      <c r="H931" t="inlineStr">
        <is>
          <t>Pre-Series A</t>
        </is>
      </c>
      <c r="I931" t="inlineStr">
        <is>
          <t>Early</t>
        </is>
      </c>
      <c r="J931" t="inlineStr">
        <is>
          <t>Agritech</t>
        </is>
      </c>
      <c r="K931" t="inlineStr">
        <is>
          <t>Unknown</t>
        </is>
      </c>
      <c r="L931" t="inlineStr">
        <is>
          <t>Bajaj Finserv Group</t>
        </is>
      </c>
      <c r="M931" t="inlineStr">
        <is>
          <t>Bajaj Finserv Group; Mistry Ventures; Desai Foods; Dhanuka Agritech; Action Tessa Family Office</t>
        </is>
      </c>
      <c r="N931" t="inlineStr">
        <is>
          <t>entrackr | inc42</t>
        </is>
      </c>
      <c r="O931" s="20" t="n">
        <v>2</v>
      </c>
      <c r="P931" s="21" t="n">
        <v>0.2</v>
      </c>
      <c r="Q931" t="inlineStr">
        <is>
          <t>C07 C18</t>
        </is>
      </c>
      <c r="R931" s="22" t="inlineStr">
        <is>
          <t>https://entrackr.com/snippets/kisankonnect-raises-rs-72-cr-led-by-bajaj-finserv-ventures-10502036</t>
        </is>
      </c>
    </row>
    <row r="932">
      <c r="A932" t="inlineStr">
        <is>
          <t>R250925-kiwirecently</t>
        </is>
      </c>
      <c r="B932" t="inlineStr">
        <is>
          <t>Kiwi recently</t>
        </is>
      </c>
      <c r="C932" s="17" t="n">
        <v>45925</v>
      </c>
      <c r="D932" s="18" t="n">
        <v>45901</v>
      </c>
      <c r="E932" s="19" t="n">
        <v>24</v>
      </c>
      <c r="F932" s="19" t="n">
        <v>212.86</v>
      </c>
      <c r="G932" t="inlineStr">
        <is>
          <t>$24 million</t>
        </is>
      </c>
      <c r="H932" t="inlineStr">
        <is>
          <t>Series B</t>
        </is>
      </c>
      <c r="I932" t="inlineStr">
        <is>
          <t>Growth</t>
        </is>
      </c>
      <c r="J932" t="inlineStr">
        <is>
          <t>Fintech</t>
        </is>
      </c>
      <c r="K932" t="inlineStr">
        <is>
          <t>Bengaluru</t>
        </is>
      </c>
      <c r="L932" t="inlineStr"/>
      <c r="M932" t="inlineStr">
        <is>
          <t>Vertex Ventures; Stellaris Venture Partners; Omidyar Network</t>
        </is>
      </c>
      <c r="N932" t="inlineStr">
        <is>
          <t>entrackr</t>
        </is>
      </c>
      <c r="O932" s="20" t="n">
        <v>1</v>
      </c>
      <c r="P932" s="21" t="n">
        <v>0</v>
      </c>
      <c r="Q932" t="inlineStr"/>
      <c r="R932" s="22" t="inlineStr">
        <is>
          <t>https://entrackr.com/decoding/virtual-credit-card-app-kiwis-valuation-jumps-to-100-mn-in-series-b-round-10500656</t>
        </is>
      </c>
    </row>
    <row r="933">
      <c r="A933" t="inlineStr">
        <is>
          <t>R250925-recove</t>
        </is>
      </c>
      <c r="B933" t="inlineStr">
        <is>
          <t>Recove</t>
        </is>
      </c>
      <c r="C933" s="17" t="n">
        <v>45925</v>
      </c>
      <c r="D933" s="18" t="n">
        <v>45901</v>
      </c>
      <c r="E933" s="19" t="n">
        <v>0.598</v>
      </c>
      <c r="F933" s="19" t="n">
        <v>5.3</v>
      </c>
      <c r="G933" t="inlineStr">
        <is>
          <t>Rs 5.3 crore</t>
        </is>
      </c>
      <c r="H933" t="inlineStr">
        <is>
          <t>Pre-Seed</t>
        </is>
      </c>
      <c r="I933" t="inlineStr">
        <is>
          <t>Early</t>
        </is>
      </c>
      <c r="J933" t="inlineStr">
        <is>
          <t>Cleantech</t>
        </is>
      </c>
      <c r="K933" t="inlineStr">
        <is>
          <t>Bengaluru</t>
        </is>
      </c>
      <c r="L933" t="inlineStr">
        <is>
          <t>Momentum Capital</t>
        </is>
      </c>
      <c r="M933" t="inlineStr">
        <is>
          <t>Momentum Capital; Ganesh Natarajan (ex-CEO; Aptech &amp; Zensar); Ashish Goel (cofounder; Urban Ladder)</t>
        </is>
      </c>
      <c r="N933" t="inlineStr">
        <is>
          <t>entrackr | inc42 | et</t>
        </is>
      </c>
      <c r="O933" s="20" t="n">
        <v>3</v>
      </c>
      <c r="P933" s="21" t="n">
        <v>0.1</v>
      </c>
      <c r="Q933" t="inlineStr"/>
      <c r="R933" s="22" t="inlineStr">
        <is>
          <t>https://entrackr.com/snippets/recove-raises-rs-53-cr-in-pre-seed-round-led-by-momentum-capital-10499569</t>
        </is>
      </c>
    </row>
    <row r="934">
      <c r="A934" t="inlineStr">
        <is>
          <t>R250925-samaaro</t>
        </is>
      </c>
      <c r="B934" t="inlineStr">
        <is>
          <t>Samaaro</t>
        </is>
      </c>
      <c r="C934" s="17" t="n">
        <v>45925</v>
      </c>
      <c r="D934" s="18" t="n">
        <v>45901</v>
      </c>
      <c r="E934" s="19" t="n">
        <v>0.5</v>
      </c>
      <c r="F934" s="19" t="n">
        <v>4.43</v>
      </c>
      <c r="G934" t="inlineStr">
        <is>
          <t>$500K</t>
        </is>
      </c>
      <c r="H934" t="inlineStr">
        <is>
          <t>Pre-Series A</t>
        </is>
      </c>
      <c r="I934" t="inlineStr">
        <is>
          <t>Early</t>
        </is>
      </c>
      <c r="J934" t="inlineStr">
        <is>
          <t>Enterprise Tech</t>
        </is>
      </c>
      <c r="K934" t="inlineStr">
        <is>
          <t>Bengaluru</t>
        </is>
      </c>
      <c r="L934" t="inlineStr">
        <is>
          <t>Inflection Point Ventures</t>
        </is>
      </c>
      <c r="M934" t="inlineStr">
        <is>
          <t>Inflection Point Ventures; Silver Needle Ventures; Lets Venture; SucSEED Indovation Fund; Sagar Narola; Suryansh Jalan; Gautam Kumar</t>
        </is>
      </c>
      <c r="N934" t="inlineStr">
        <is>
          <t>entrackr | inc42</t>
        </is>
      </c>
      <c r="O934" s="20" t="n">
        <v>2</v>
      </c>
      <c r="P934" s="21" t="n">
        <v>0</v>
      </c>
      <c r="Q934" t="inlineStr"/>
      <c r="R934" s="22" t="inlineStr">
        <is>
          <t>https://entrackr.com/snippets/event-marketing-platform-samaaro-raises-500k-in-pre-series-a-round-10499926</t>
        </is>
      </c>
    </row>
    <row r="935">
      <c r="A935" t="inlineStr">
        <is>
          <t>R250925-simpleenergy</t>
        </is>
      </c>
      <c r="B935" t="inlineStr">
        <is>
          <t>Simple Energy</t>
        </is>
      </c>
      <c r="C935" s="17" t="n">
        <v>45925</v>
      </c>
      <c r="D935" s="18" t="n">
        <v>45901</v>
      </c>
      <c r="E935" s="19" t="n">
        <v>10</v>
      </c>
      <c r="F935" s="19" t="n">
        <v>88.69</v>
      </c>
      <c r="G935" t="inlineStr">
        <is>
          <t>$10 million</t>
        </is>
      </c>
      <c r="H935" t="inlineStr">
        <is>
          <t>Bridge</t>
        </is>
      </c>
      <c r="I935" t="inlineStr">
        <is>
          <t>Other</t>
        </is>
      </c>
      <c r="J935" t="inlineStr">
        <is>
          <t>Cleantech</t>
        </is>
      </c>
      <c r="K935" t="inlineStr">
        <is>
          <t>Bengaluru</t>
        </is>
      </c>
      <c r="L935" t="inlineStr">
        <is>
          <t>Dr Arokiaswamy Velumani (founder; Thyrocare); Dr</t>
        </is>
      </c>
      <c r="M935" t="inlineStr">
        <is>
          <t>Dr Arokiaswamy Velumani (founder; Thyrocare); Dr; Balamurugan Arumugam</t>
        </is>
      </c>
      <c r="N935" t="inlineStr">
        <is>
          <t>entrackr | inc42 | et | vccircle</t>
        </is>
      </c>
      <c r="O935" s="20" t="n">
        <v>4</v>
      </c>
      <c r="P935" s="21" t="n">
        <v>0</v>
      </c>
      <c r="Q935" t="inlineStr">
        <is>
          <t>C17</t>
        </is>
      </c>
      <c r="R935" s="22" t="inlineStr">
        <is>
          <t>https://entrackr.com/snippets/simple-energy-raises-10-mn-in-bridge-round-10499888</t>
        </is>
      </c>
    </row>
    <row r="936">
      <c r="A936" t="inlineStr">
        <is>
          <t>R250926-curefoods</t>
        </is>
      </c>
      <c r="B936" t="inlineStr">
        <is>
          <t>Curefoods</t>
        </is>
      </c>
      <c r="C936" s="17" t="n">
        <v>45926</v>
      </c>
      <c r="D936" s="18" t="n">
        <v>45901</v>
      </c>
      <c r="E936" s="19" t="n">
        <v>18.034</v>
      </c>
      <c r="F936" s="19" t="n">
        <v>160</v>
      </c>
      <c r="G936" t="inlineStr">
        <is>
          <t>Rs 160 crore</t>
        </is>
      </c>
      <c r="H936" t="inlineStr">
        <is>
          <t>Pre-IPO</t>
        </is>
      </c>
      <c r="I936" t="inlineStr">
        <is>
          <t>Late</t>
        </is>
      </c>
      <c r="J936" t="inlineStr">
        <is>
          <t>Foodtech</t>
        </is>
      </c>
      <c r="K936" t="inlineStr">
        <is>
          <t>Bengaluru</t>
        </is>
      </c>
      <c r="L936" t="inlineStr">
        <is>
          <t>3State Ventures</t>
        </is>
      </c>
      <c r="M936" t="inlineStr">
        <is>
          <t>3State Ventures; Binny Bansal</t>
        </is>
      </c>
      <c r="N936" t="inlineStr">
        <is>
          <t>entrackr | inc42 | et | vccircle</t>
        </is>
      </c>
      <c r="O936" s="20" t="n">
        <v>4</v>
      </c>
      <c r="P936" s="21" t="n">
        <v>2400</v>
      </c>
      <c r="Q936" t="inlineStr">
        <is>
          <t>C15</t>
        </is>
      </c>
      <c r="R936" s="22" t="inlineStr">
        <is>
          <t>https://entrackr.com/news/curefoods-raises-rs-160-cr-in-pre-ipo-placement-from-binny-bansals-3state-ventures-10503307</t>
        </is>
      </c>
    </row>
    <row r="937">
      <c r="A937" t="inlineStr">
        <is>
          <t>R250926-gaadimech</t>
        </is>
      </c>
      <c r="B937" t="inlineStr">
        <is>
          <t>Gaadimech</t>
        </is>
      </c>
      <c r="C937" s="17" t="n">
        <v>45926</v>
      </c>
      <c r="D937" s="18" t="n">
        <v>45901</v>
      </c>
      <c r="E937" s="19" t="n">
        <v>0.169</v>
      </c>
      <c r="F937" s="19" t="n">
        <v>1.5</v>
      </c>
      <c r="G937" t="inlineStr">
        <is>
          <t>Rs 1.5 crore</t>
        </is>
      </c>
      <c r="H937" t="inlineStr">
        <is>
          <t>Pre-Seed</t>
        </is>
      </c>
      <c r="I937" t="inlineStr">
        <is>
          <t>Early</t>
        </is>
      </c>
      <c r="J937" t="inlineStr">
        <is>
          <t>Consumer Services</t>
        </is>
      </c>
      <c r="K937" t="inlineStr">
        <is>
          <t>Unknown</t>
        </is>
      </c>
      <c r="L937" t="inlineStr">
        <is>
          <t>AJVC</t>
        </is>
      </c>
      <c r="M937" t="inlineStr">
        <is>
          <t>AJVC</t>
        </is>
      </c>
      <c r="N937" t="inlineStr">
        <is>
          <t>entrackr | inc42</t>
        </is>
      </c>
      <c r="O937" s="20" t="n">
        <v>2</v>
      </c>
      <c r="P937" s="21" t="n">
        <v>0</v>
      </c>
      <c r="Q937" t="inlineStr">
        <is>
          <t>C07</t>
        </is>
      </c>
      <c r="R937" s="22" t="inlineStr">
        <is>
          <t>https://entrackr.com/snippets/car-servicing-startup-gaadimech-raises-pre-seed-round-led-by-ajvc-10504385</t>
        </is>
      </c>
    </row>
    <row r="938">
      <c r="A938" t="inlineStr">
        <is>
          <t>R250926-vedantu</t>
        </is>
      </c>
      <c r="B938" t="inlineStr">
        <is>
          <t>Vedantu</t>
        </is>
      </c>
      <c r="C938" s="17" t="n">
        <v>45926</v>
      </c>
      <c r="D938" s="18" t="n">
        <v>45901</v>
      </c>
      <c r="E938" s="19" t="n">
        <v>11</v>
      </c>
      <c r="F938" s="19" t="n">
        <v>97.59</v>
      </c>
      <c r="G938" t="inlineStr">
        <is>
          <t>$11 million</t>
        </is>
      </c>
      <c r="H938" t="inlineStr">
        <is>
          <t>Undisclosed</t>
        </is>
      </c>
      <c r="I938" t="inlineStr">
        <is>
          <t>Undisclosed</t>
        </is>
      </c>
      <c r="J938" t="inlineStr">
        <is>
          <t>Edtech</t>
        </is>
      </c>
      <c r="K938" t="inlineStr">
        <is>
          <t>Bengaluru</t>
        </is>
      </c>
      <c r="L938" t="inlineStr">
        <is>
          <t>ABC World Asia</t>
        </is>
      </c>
      <c r="M938" t="inlineStr">
        <is>
          <t>ABC World Asia; Accel India; Omidyar; Chinese; Temasek</t>
        </is>
      </c>
      <c r="N938" t="inlineStr">
        <is>
          <t>entrackr | inc42 | et</t>
        </is>
      </c>
      <c r="O938" s="20" t="n">
        <v>3</v>
      </c>
      <c r="P938" s="21" t="n">
        <v>0</v>
      </c>
      <c r="Q938" t="inlineStr">
        <is>
          <t>C04</t>
        </is>
      </c>
      <c r="R938" s="22" t="inlineStr">
        <is>
          <t>https://entrackr.com/news/vedantu-raises-11-mn-from-internal-investors-in-ongoing-round-10503228</t>
        </is>
      </c>
    </row>
    <row r="939">
      <c r="A939" t="inlineStr">
        <is>
          <t>R250927-plazza</t>
        </is>
      </c>
      <c r="B939" t="inlineStr">
        <is>
          <t>Plazza</t>
        </is>
      </c>
      <c r="C939" s="17" t="n">
        <v>45927</v>
      </c>
      <c r="D939" s="18" t="n">
        <v>45901</v>
      </c>
      <c r="E939" s="19" t="n">
        <v>1.4</v>
      </c>
      <c r="F939" s="19" t="n">
        <v>12.42</v>
      </c>
      <c r="G939" t="inlineStr">
        <is>
          <t>$1.4 million</t>
        </is>
      </c>
      <c r="H939" t="inlineStr">
        <is>
          <t>Undisclosed</t>
        </is>
      </c>
      <c r="I939" t="inlineStr">
        <is>
          <t>Undisclosed</t>
        </is>
      </c>
      <c r="J939" t="inlineStr">
        <is>
          <t>Consumer Services</t>
        </is>
      </c>
      <c r="K939" t="inlineStr">
        <is>
          <t>Bengaluru</t>
        </is>
      </c>
      <c r="L939" t="inlineStr">
        <is>
          <t>All In Capital; Better Capital</t>
        </is>
      </c>
      <c r="M939" t="inlineStr">
        <is>
          <t>All In Capital; Better Capital; Abhishek Goyal; Vivekananda Hallekere</t>
        </is>
      </c>
      <c r="N939" t="inlineStr">
        <is>
          <t>entrackr | inc42 | et</t>
        </is>
      </c>
      <c r="O939" s="20" t="n">
        <v>3</v>
      </c>
      <c r="P939" s="21" t="n">
        <v>0</v>
      </c>
      <c r="Q939" t="inlineStr">
        <is>
          <t>C04</t>
        </is>
      </c>
      <c r="R939" s="22" t="inlineStr">
        <is>
          <t>https://entrackr.com/snippets/quick-medicine-delivery-startup-plazza-raises-14-mn-led-by-all-in-capital-10507362</t>
        </is>
      </c>
    </row>
    <row r="940">
      <c r="A940" t="inlineStr">
        <is>
          <t>R250929-hocco</t>
        </is>
      </c>
      <c r="B940" t="inlineStr">
        <is>
          <t>Hocco</t>
        </is>
      </c>
      <c r="C940" s="17" t="n">
        <v>45929</v>
      </c>
      <c r="D940" s="18" t="n">
        <v>45901</v>
      </c>
      <c r="E940" s="19" t="n">
        <v>12.958</v>
      </c>
      <c r="F940" s="19" t="n">
        <v>115</v>
      </c>
      <c r="G940" t="inlineStr">
        <is>
          <t>Rs 115 crore</t>
        </is>
      </c>
      <c r="H940" t="inlineStr">
        <is>
          <t>Undisclosed</t>
        </is>
      </c>
      <c r="I940" t="inlineStr">
        <is>
          <t>Undisclosed</t>
        </is>
      </c>
      <c r="J940" t="inlineStr">
        <is>
          <t>Ecommerce</t>
        </is>
      </c>
      <c r="K940" t="inlineStr">
        <is>
          <t>Ahmedabad</t>
        </is>
      </c>
      <c r="L940" t="inlineStr">
        <is>
          <t>Sauce.VC</t>
        </is>
      </c>
      <c r="M940" t="inlineStr">
        <is>
          <t>Sauce.VC</t>
        </is>
      </c>
      <c r="N940" t="inlineStr">
        <is>
          <t>entrackr | inc42 | vccircle</t>
        </is>
      </c>
      <c r="O940" s="20" t="n">
        <v>3</v>
      </c>
      <c r="P940" s="21" t="n">
        <v>0.8</v>
      </c>
      <c r="Q940" t="inlineStr">
        <is>
          <t>C04</t>
        </is>
      </c>
      <c r="R940" s="22" t="inlineStr">
        <is>
          <t>https://entrackr.com/news/ice-cream-brand-hocco-raises-rs-115-cr-at-rs-2000-cr-valuation-10511951</t>
        </is>
      </c>
    </row>
    <row r="941">
      <c r="A941" t="inlineStr">
        <is>
          <t>R250929-igowisemobilit</t>
        </is>
      </c>
      <c r="B941" t="inlineStr">
        <is>
          <t>iGoWise Mobility</t>
        </is>
      </c>
      <c r="C941" s="17" t="n">
        <v>45929</v>
      </c>
      <c r="D941" s="18" t="n">
        <v>45901</v>
      </c>
      <c r="E941" s="19" t="n">
        <v>0.924</v>
      </c>
      <c r="F941" s="19" t="n">
        <v>8.199999999999999</v>
      </c>
      <c r="G941" t="inlineStr">
        <is>
          <t>Rs 8.2 crore</t>
        </is>
      </c>
      <c r="H941" t="inlineStr">
        <is>
          <t>Pre-Seed</t>
        </is>
      </c>
      <c r="I941" t="inlineStr">
        <is>
          <t>Early</t>
        </is>
      </c>
      <c r="J941" t="inlineStr">
        <is>
          <t>Enterprise Tech</t>
        </is>
      </c>
      <c r="K941" t="inlineStr">
        <is>
          <t>Bengaluru</t>
        </is>
      </c>
      <c r="L941" t="inlineStr"/>
      <c r="M941" t="inlineStr"/>
      <c r="N941" t="inlineStr">
        <is>
          <t>entrackr</t>
        </is>
      </c>
      <c r="O941" s="20" t="n">
        <v>1</v>
      </c>
      <c r="P941" s="21" t="n">
        <v>0</v>
      </c>
      <c r="Q941" t="inlineStr">
        <is>
          <t>C05</t>
        </is>
      </c>
      <c r="R941" s="22" t="inlineStr">
        <is>
          <t>https://entrackr.com/snippets/igowise-mobility-raises-rs-82-cr-in-pre-seed-round-10513050</t>
        </is>
      </c>
    </row>
    <row r="942">
      <c r="A942" t="inlineStr">
        <is>
          <t>R250929-kapiva</t>
        </is>
      </c>
      <c r="B942" t="inlineStr">
        <is>
          <t>Kapiva</t>
        </is>
      </c>
      <c r="C942" s="17" t="n">
        <v>45929</v>
      </c>
      <c r="D942" s="18" t="n">
        <v>45901</v>
      </c>
      <c r="E942" s="19" t="n">
        <v>60</v>
      </c>
      <c r="F942" s="19" t="n">
        <v>532.5</v>
      </c>
      <c r="G942" t="inlineStr">
        <is>
          <t>$60 million</t>
        </is>
      </c>
      <c r="H942" t="inlineStr">
        <is>
          <t>Series D</t>
        </is>
      </c>
      <c r="I942" t="inlineStr">
        <is>
          <t>Late</t>
        </is>
      </c>
      <c r="J942" t="inlineStr">
        <is>
          <t>Ecommerce</t>
        </is>
      </c>
      <c r="K942" t="inlineStr">
        <is>
          <t>Unknown</t>
        </is>
      </c>
      <c r="L942" t="inlineStr">
        <is>
          <t>360 ONE Asset; Vertex Growth</t>
        </is>
      </c>
      <c r="M942" t="inlineStr">
        <is>
          <t>360 ONE Asset; Vertex Growth; 3one4 Capital; Vertex Ventures Southeast Asia</t>
        </is>
      </c>
      <c r="N942" t="inlineStr">
        <is>
          <t>entrackr | inc42 | vccircle</t>
        </is>
      </c>
      <c r="O942" s="20" t="n">
        <v>3</v>
      </c>
      <c r="P942" s="21" t="n">
        <v>0</v>
      </c>
      <c r="Q942" t="inlineStr">
        <is>
          <t>C07</t>
        </is>
      </c>
      <c r="R942" s="22" t="inlineStr">
        <is>
          <t>https://entrackr.com/news/d2c-brand-kapiva-raises-60-mn-in-series-d-fireside-ventures-exits-10511610</t>
        </is>
      </c>
    </row>
    <row r="943">
      <c r="A943" t="inlineStr">
        <is>
          <t>R250929-petpooja</t>
        </is>
      </c>
      <c r="B943" t="inlineStr">
        <is>
          <t>Petpooja</t>
        </is>
      </c>
      <c r="C943" s="17" t="n">
        <v>45929</v>
      </c>
      <c r="D943" s="18" t="n">
        <v>45901</v>
      </c>
      <c r="E943" s="19" t="n">
        <v>15.437</v>
      </c>
      <c r="F943" s="19" t="n">
        <v>137</v>
      </c>
      <c r="G943" t="inlineStr">
        <is>
          <t>Rs 137 crore</t>
        </is>
      </c>
      <c r="H943" t="inlineStr">
        <is>
          <t>Series C</t>
        </is>
      </c>
      <c r="I943" t="inlineStr">
        <is>
          <t>Growth</t>
        </is>
      </c>
      <c r="J943" t="inlineStr">
        <is>
          <t>Enterprise Tech</t>
        </is>
      </c>
      <c r="K943" t="inlineStr">
        <is>
          <t>Ahmedabad</t>
        </is>
      </c>
      <c r="L943" t="inlineStr">
        <is>
          <t>Dharana Capital</t>
        </is>
      </c>
      <c r="M943" t="inlineStr">
        <is>
          <t>Dharana Capital; Ashish Gupta; Abhiraj Singh Bhal; Varun Khaitan; Raghav Chandra; Mukund Kulashekaran</t>
        </is>
      </c>
      <c r="N943" t="inlineStr">
        <is>
          <t>entrackr | inc42 | vccircle</t>
        </is>
      </c>
      <c r="O943" s="20" t="n">
        <v>3</v>
      </c>
      <c r="P943" s="21" t="n">
        <v>0.2</v>
      </c>
      <c r="Q943" t="inlineStr"/>
      <c r="R943" s="22" t="inlineStr">
        <is>
          <t>https://entrackr.com/news/petpooja-raises-155-mn-series-c-at-over-3x-valuation-premium-10512396</t>
        </is>
      </c>
    </row>
    <row r="944">
      <c r="A944" t="inlineStr">
        <is>
          <t>R250929-recurclub</t>
        </is>
      </c>
      <c r="B944" t="inlineStr">
        <is>
          <t>Recur Club</t>
        </is>
      </c>
      <c r="C944" s="17" t="n">
        <v>45929</v>
      </c>
      <c r="D944" s="18" t="n">
        <v>45901</v>
      </c>
      <c r="E944" s="19" t="n">
        <v>50</v>
      </c>
      <c r="F944" s="19" t="n">
        <v>443.75</v>
      </c>
      <c r="G944" t="inlineStr">
        <is>
          <t>$50 Mn</t>
        </is>
      </c>
      <c r="H944" t="inlineStr">
        <is>
          <t>Debt</t>
        </is>
      </c>
      <c r="I944" t="inlineStr">
        <is>
          <t>Debt</t>
        </is>
      </c>
      <c r="J944" t="inlineStr">
        <is>
          <t>Fintech</t>
        </is>
      </c>
      <c r="K944" t="inlineStr">
        <is>
          <t>Delhi NCR</t>
        </is>
      </c>
      <c r="L944" t="inlineStr"/>
      <c r="M944" t="inlineStr">
        <is>
          <t>InfoEdge Ventures; LC Nueva; Physis Capital; String Ventures; Incred; Ugro; Lighthouse Canton</t>
        </is>
      </c>
      <c r="N944" t="inlineStr">
        <is>
          <t>inc42 | et</t>
        </is>
      </c>
      <c r="O944" s="20" t="n">
        <v>2</v>
      </c>
      <c r="P944" s="21" t="n">
        <v>0</v>
      </c>
      <c r="Q944" t="inlineStr"/>
      <c r="R944" s="22" t="inlineStr">
        <is>
          <t>https://economictimes.indiatimes.com/tech/funding/debt-marketplace-recur-club-raises-50-million-from-infoedge-ventures-others/articleshow/124213970.cms</t>
        </is>
      </c>
    </row>
    <row r="945">
      <c r="A945" t="inlineStr">
        <is>
          <t>R250929-rugrfintech</t>
        </is>
      </c>
      <c r="B945" t="inlineStr">
        <is>
          <t>RUGR Fintech</t>
        </is>
      </c>
      <c r="C945" s="17" t="n">
        <v>45929</v>
      </c>
      <c r="D945" s="18" t="n">
        <v>45901</v>
      </c>
      <c r="E945" s="19" t="n">
        <v>5</v>
      </c>
      <c r="F945" s="19" t="n">
        <v>44.38</v>
      </c>
      <c r="G945" t="inlineStr">
        <is>
          <t>$5 million</t>
        </is>
      </c>
      <c r="H945" t="inlineStr">
        <is>
          <t>Pre-Series A</t>
        </is>
      </c>
      <c r="I945" t="inlineStr">
        <is>
          <t>Early</t>
        </is>
      </c>
      <c r="J945" t="inlineStr">
        <is>
          <t>Unclassified</t>
        </is>
      </c>
      <c r="K945" t="inlineStr">
        <is>
          <t>Unknown</t>
        </is>
      </c>
      <c r="L945" t="inlineStr"/>
      <c r="M945" t="inlineStr">
        <is>
          <t>Vikasa India EIF I Fund</t>
        </is>
      </c>
      <c r="N945" t="inlineStr">
        <is>
          <t>entrackr</t>
        </is>
      </c>
      <c r="O945" s="20" t="n">
        <v>1</v>
      </c>
      <c r="P945" s="21" t="n">
        <v>0</v>
      </c>
      <c r="Q945" t="inlineStr">
        <is>
          <t>C06 C07</t>
        </is>
      </c>
      <c r="R945" s="22" t="inlineStr">
        <is>
          <t>https://entrackr.com/snippets/rugr-fintech-raises-5-mn-in-pre-series-a-round-led-by-vikasa-india-eif-i-fund-10513861</t>
        </is>
      </c>
    </row>
    <row r="946">
      <c r="A946" t="inlineStr">
        <is>
          <t>R250929-vaaniairesearc</t>
        </is>
      </c>
      <c r="B946" t="inlineStr">
        <is>
          <t>Vaani AI</t>
        </is>
      </c>
      <c r="C946" s="17" t="n">
        <v>45929</v>
      </c>
      <c r="D946" s="18" t="n">
        <v>45901</v>
      </c>
      <c r="E946" s="19" t="n">
        <v>0.4</v>
      </c>
      <c r="F946" s="19" t="n">
        <v>3.55</v>
      </c>
      <c r="G946" t="inlineStr">
        <is>
          <t>$400,000</t>
        </is>
      </c>
      <c r="H946" t="inlineStr">
        <is>
          <t>Pre-Seed</t>
        </is>
      </c>
      <c r="I946" t="inlineStr">
        <is>
          <t>Early</t>
        </is>
      </c>
      <c r="J946" t="inlineStr">
        <is>
          <t>Artificial Intelligence</t>
        </is>
      </c>
      <c r="K946" t="inlineStr">
        <is>
          <t>Unknown</t>
        </is>
      </c>
      <c r="L946" t="inlineStr">
        <is>
          <t>Venture Catalysts</t>
        </is>
      </c>
      <c r="M946" t="inlineStr">
        <is>
          <t>Venture Catalysts; Dr Abhishek Sharma; Dr Viveka Kulharia; Shashikant Chaudhary; Ejaz Ahmed; Nikhil Tripathi; Uday Sodhi; KK Venkata; Swapnil Sheth; Michele Barbazza; Dr</t>
        </is>
      </c>
      <c r="N946" t="inlineStr">
        <is>
          <t>entrackr | inc42</t>
        </is>
      </c>
      <c r="O946" s="20" t="n">
        <v>2</v>
      </c>
      <c r="P946" s="21" t="n">
        <v>0</v>
      </c>
      <c r="Q946" t="inlineStr">
        <is>
          <t>C07</t>
        </is>
      </c>
      <c r="R946" s="22" t="inlineStr">
        <is>
          <t>https://entrackr.com/snippets/vaani-ai-research-raises-400k-pre-seed-round-led-by-venture-catalysts-10512994</t>
        </is>
      </c>
    </row>
    <row r="947">
      <c r="A947" t="inlineStr">
        <is>
          <t>R250930-assessli</t>
        </is>
      </c>
      <c r="B947" t="inlineStr">
        <is>
          <t>Assessli</t>
        </is>
      </c>
      <c r="C947" s="17" t="n">
        <v>45930</v>
      </c>
      <c r="D947" s="18" t="n">
        <v>45901</v>
      </c>
      <c r="E947" s="19" t="n">
        <v>5</v>
      </c>
      <c r="F947" s="19" t="n">
        <v>44.4</v>
      </c>
      <c r="G947" t="inlineStr">
        <is>
          <t>$5 Mn</t>
        </is>
      </c>
      <c r="H947" t="inlineStr">
        <is>
          <t>Undisclosed</t>
        </is>
      </c>
      <c r="I947" t="inlineStr">
        <is>
          <t>Undisclosed</t>
        </is>
      </c>
      <c r="J947" t="inlineStr">
        <is>
          <t>Artificial Intelligence</t>
        </is>
      </c>
      <c r="K947" t="inlineStr">
        <is>
          <t>Unknown</t>
        </is>
      </c>
      <c r="L947" t="inlineStr">
        <is>
          <t>Foxhog Ventures</t>
        </is>
      </c>
      <c r="M947" t="inlineStr">
        <is>
          <t>Foxhog Ventures</t>
        </is>
      </c>
      <c r="N947" t="inlineStr">
        <is>
          <t>inc42</t>
        </is>
      </c>
      <c r="O947" s="20" t="n">
        <v>1</v>
      </c>
      <c r="P947" s="21" t="n">
        <v>0</v>
      </c>
      <c r="Q947" t="inlineStr">
        <is>
          <t>C04 C07</t>
        </is>
      </c>
      <c r="R947" s="22" t="inlineStr">
        <is>
          <t>https://inc42.com/buzz/from-kapiva-to-petpooja-indian-startups-raised-160-mn-this-week/</t>
        </is>
      </c>
    </row>
    <row r="948">
      <c r="A948" t="inlineStr">
        <is>
          <t>R250930-climatyai</t>
        </is>
      </c>
      <c r="B948" t="inlineStr">
        <is>
          <t>Climaty AI</t>
        </is>
      </c>
      <c r="C948" s="17" t="n">
        <v>45930</v>
      </c>
      <c r="D948" s="18" t="n">
        <v>45901</v>
      </c>
      <c r="E948" s="19" t="n">
        <v>2</v>
      </c>
      <c r="F948" s="19" t="n">
        <v>17.76</v>
      </c>
      <c r="G948" t="inlineStr">
        <is>
          <t>$2 million</t>
        </is>
      </c>
      <c r="H948" t="inlineStr">
        <is>
          <t>Undisclosed</t>
        </is>
      </c>
      <c r="I948" t="inlineStr">
        <is>
          <t>Undisclosed</t>
        </is>
      </c>
      <c r="J948" t="inlineStr">
        <is>
          <t>Artificial Intelligence</t>
        </is>
      </c>
      <c r="K948" t="inlineStr">
        <is>
          <t>Unknown</t>
        </is>
      </c>
      <c r="L948" t="inlineStr">
        <is>
          <t>Turbostart</t>
        </is>
      </c>
      <c r="M948" t="inlineStr">
        <is>
          <t>Turbostart</t>
        </is>
      </c>
      <c r="N948" t="inlineStr">
        <is>
          <t>entrackr | inc42</t>
        </is>
      </c>
      <c r="O948" s="20" t="n">
        <v>2</v>
      </c>
      <c r="P948" s="21" t="n">
        <v>0</v>
      </c>
      <c r="Q948" t="inlineStr">
        <is>
          <t>C04 C07</t>
        </is>
      </c>
      <c r="R948" s="22" t="inlineStr">
        <is>
          <t>https://entrackr.com/snippets/climaty-ai-raises-2-mn-led-by-turbostart-10515528</t>
        </is>
      </c>
    </row>
    <row r="949">
      <c r="A949" t="inlineStr">
        <is>
          <t>R250930-fyno</t>
        </is>
      </c>
      <c r="B949" t="inlineStr">
        <is>
          <t>Fyno</t>
        </is>
      </c>
      <c r="C949" s="17" t="n">
        <v>45930</v>
      </c>
      <c r="D949" s="18" t="n">
        <v>45901</v>
      </c>
      <c r="E949" s="19" t="n">
        <v>4</v>
      </c>
      <c r="F949" s="19" t="n">
        <v>35.52</v>
      </c>
      <c r="G949" t="inlineStr">
        <is>
          <t>$4 million</t>
        </is>
      </c>
      <c r="H949" t="inlineStr">
        <is>
          <t>Seed</t>
        </is>
      </c>
      <c r="I949" t="inlineStr">
        <is>
          <t>Early</t>
        </is>
      </c>
      <c r="J949" t="inlineStr">
        <is>
          <t>Enterprise Tech</t>
        </is>
      </c>
      <c r="K949" t="inlineStr">
        <is>
          <t>Unknown</t>
        </is>
      </c>
      <c r="L949" t="inlineStr">
        <is>
          <t>Arkam Ventures; 3one4 Capital</t>
        </is>
      </c>
      <c r="M949" t="inlineStr">
        <is>
          <t>Arkam Ventures; 3one4 Capital</t>
        </is>
      </c>
      <c r="N949" t="inlineStr">
        <is>
          <t>entrackr | inc42</t>
        </is>
      </c>
      <c r="O949" s="20" t="n">
        <v>2</v>
      </c>
      <c r="P949" s="21" t="n">
        <v>0</v>
      </c>
      <c r="Q949" t="inlineStr">
        <is>
          <t>C07</t>
        </is>
      </c>
      <c r="R949" s="22" t="inlineStr">
        <is>
          <t>https://entrackr.com/snippets/enterprise-messaging-startup-fyno-bags-4-mn-in-seed-round-10516360</t>
        </is>
      </c>
    </row>
    <row r="950">
      <c r="A950" t="inlineStr">
        <is>
          <t>R250930-ignosis</t>
        </is>
      </c>
      <c r="B950" t="inlineStr">
        <is>
          <t>Ignosis</t>
        </is>
      </c>
      <c r="C950" s="17" t="n">
        <v>45930</v>
      </c>
      <c r="D950" s="18" t="n">
        <v>45901</v>
      </c>
      <c r="E950" s="19" t="n">
        <v>4</v>
      </c>
      <c r="F950" s="19" t="n">
        <v>35.52</v>
      </c>
      <c r="G950" t="inlineStr">
        <is>
          <t>$4 million</t>
        </is>
      </c>
      <c r="H950" t="inlineStr">
        <is>
          <t>Pre-Series A</t>
        </is>
      </c>
      <c r="I950" t="inlineStr">
        <is>
          <t>Early</t>
        </is>
      </c>
      <c r="J950" t="inlineStr">
        <is>
          <t>Fintech</t>
        </is>
      </c>
      <c r="K950" t="inlineStr">
        <is>
          <t>Ahmedabad</t>
        </is>
      </c>
      <c r="L950" t="inlineStr">
        <is>
          <t>Peak XV Partners ]; Surge; Razorpay Ventures; Kunal Shah of Cred</t>
        </is>
      </c>
      <c r="M950" t="inlineStr">
        <is>
          <t>Peak XV Partners; Razorpay Ventures; Force Ventures; Kunal Shah; Surge</t>
        </is>
      </c>
      <c r="N950" t="inlineStr">
        <is>
          <t>entrackr | inc42 | et</t>
        </is>
      </c>
      <c r="O950" s="20" t="n">
        <v>3</v>
      </c>
      <c r="P950" s="21" t="n">
        <v>0</v>
      </c>
      <c r="Q950" t="inlineStr">
        <is>
          <t>C17</t>
        </is>
      </c>
      <c r="R950" s="22" t="inlineStr">
        <is>
          <t>https://entrackr.com/snippets/ignosis-raises-4-mn-in-pre-series-a-led-by-peak-xvs-surge-10515879</t>
        </is>
      </c>
    </row>
    <row r="951">
      <c r="A951" t="inlineStr">
        <is>
          <t>R250930-superfam</t>
        </is>
      </c>
      <c r="B951" t="inlineStr">
        <is>
          <t>SuperFam</t>
        </is>
      </c>
      <c r="C951" s="17" t="n">
        <v>45930</v>
      </c>
      <c r="D951" s="18" t="n">
        <v>45901</v>
      </c>
      <c r="E951" s="19" t="n">
        <v>0.4</v>
      </c>
      <c r="F951" s="19" t="n">
        <v>3.55</v>
      </c>
      <c r="G951" t="inlineStr">
        <is>
          <t>$400K</t>
        </is>
      </c>
      <c r="H951" t="inlineStr">
        <is>
          <t>Pre-Seed</t>
        </is>
      </c>
      <c r="I951" t="inlineStr">
        <is>
          <t>Early</t>
        </is>
      </c>
      <c r="J951" t="inlineStr">
        <is>
          <t>Consumer Services</t>
        </is>
      </c>
      <c r="K951" t="inlineStr">
        <is>
          <t>Unknown</t>
        </is>
      </c>
      <c r="L951" t="inlineStr">
        <is>
          <t>Fundamental VC; SSV Fund</t>
        </is>
      </c>
      <c r="M951" t="inlineStr">
        <is>
          <t>Fundamental VC; Untitled Ventures; SSV Fund</t>
        </is>
      </c>
      <c r="N951" t="inlineStr">
        <is>
          <t>entrackr | inc42</t>
        </is>
      </c>
      <c r="O951" s="20" t="n">
        <v>2</v>
      </c>
      <c r="P951" s="21" t="n">
        <v>0</v>
      </c>
      <c r="Q951" t="inlineStr">
        <is>
          <t>C07</t>
        </is>
      </c>
      <c r="R951" s="22" t="inlineStr">
        <is>
          <t>https://entrackr.com/snippets/superfam-raises-pre-seed-round-led-by-fundamental-vc-10515666</t>
        </is>
      </c>
    </row>
    <row r="952">
      <c r="A952" t="inlineStr">
        <is>
          <t>R250930-unmannd</t>
        </is>
      </c>
      <c r="B952" t="inlineStr">
        <is>
          <t>Unmannd</t>
        </is>
      </c>
      <c r="C952" s="17" t="n">
        <v>45930</v>
      </c>
      <c r="D952" s="18" t="n">
        <v>45901</v>
      </c>
      <c r="E952" s="19" t="n">
        <v>2</v>
      </c>
      <c r="F952" s="19" t="n">
        <v>17.76</v>
      </c>
      <c r="G952" t="inlineStr">
        <is>
          <t>$2 million</t>
        </is>
      </c>
      <c r="H952" t="inlineStr">
        <is>
          <t>Pre-Seed</t>
        </is>
      </c>
      <c r="I952" t="inlineStr">
        <is>
          <t>Early</t>
        </is>
      </c>
      <c r="J952" t="inlineStr">
        <is>
          <t>Advanced Hardware &amp; Technology</t>
        </is>
      </c>
      <c r="K952" t="inlineStr">
        <is>
          <t>Bengaluru</t>
        </is>
      </c>
      <c r="L952" t="inlineStr">
        <is>
          <t>Speciale Invest; Accel</t>
        </is>
      </c>
      <c r="M952" t="inlineStr">
        <is>
          <t>Speciale Invest; Accel</t>
        </is>
      </c>
      <c r="N952" t="inlineStr">
        <is>
          <t>entrackr | inc42 | et</t>
        </is>
      </c>
      <c r="O952" s="20" t="n">
        <v>3</v>
      </c>
      <c r="P952" s="21" t="n">
        <v>0</v>
      </c>
      <c r="Q952" t="inlineStr"/>
      <c r="R952" s="22" t="inlineStr">
        <is>
          <t>https://entrackr.com/snippets/unmannd-raises-2-mn-in-pre-seed-round-led-by-speciale-invest-and-accel-10515234</t>
        </is>
      </c>
    </row>
    <row r="953">
      <c r="A953" t="inlineStr">
        <is>
          <t>R250930-vama</t>
        </is>
      </c>
      <c r="B953" t="inlineStr">
        <is>
          <t>VAMA</t>
        </is>
      </c>
      <c r="C953" s="17" t="n">
        <v>45930</v>
      </c>
      <c r="D953" s="18" t="n">
        <v>45901</v>
      </c>
      <c r="E953" s="19" t="n">
        <v>2.478</v>
      </c>
      <c r="F953" s="19" t="n">
        <v>22</v>
      </c>
      <c r="G953" t="inlineStr">
        <is>
          <t>Rs 22 crore</t>
        </is>
      </c>
      <c r="H953" t="inlineStr">
        <is>
          <t>Pre-Series A</t>
        </is>
      </c>
      <c r="I953" t="inlineStr">
        <is>
          <t>Early</t>
        </is>
      </c>
      <c r="J953" t="inlineStr">
        <is>
          <t>Consumer Services</t>
        </is>
      </c>
      <c r="K953" t="inlineStr">
        <is>
          <t>Unknown</t>
        </is>
      </c>
      <c r="L953" t="inlineStr">
        <is>
          <t>Wavemaker Partners</t>
        </is>
      </c>
      <c r="M953" t="inlineStr">
        <is>
          <t>Wavemaker Partners; 500 Global; Sadev Ventures; Venture Catalysts; Silverneedle Ventures; Alok Nanavaty; Harit Nagpal; Swati Parikh; Mahesh Kamdar</t>
        </is>
      </c>
      <c r="N953" t="inlineStr">
        <is>
          <t>entrackr | inc42</t>
        </is>
      </c>
      <c r="O953" s="20" t="n">
        <v>2</v>
      </c>
      <c r="P953" s="21" t="n">
        <v>0.9</v>
      </c>
      <c r="Q953" t="inlineStr">
        <is>
          <t>C07</t>
        </is>
      </c>
      <c r="R953" s="22" t="inlineStr">
        <is>
          <t>https://entrackr.com/snippets/vama-raises-rs-22-cr-in-pre-series-a-round-led-by-wavemaker-partners-10515347</t>
        </is>
      </c>
    </row>
    <row r="954">
      <c r="A954" t="inlineStr">
        <is>
          <t>R251001-growxcdfinance</t>
        </is>
      </c>
      <c r="B954" t="inlineStr">
        <is>
          <t>GrowXCD Finance</t>
        </is>
      </c>
      <c r="C954" s="17" t="n">
        <v>45931</v>
      </c>
      <c r="D954" s="18" t="n">
        <v>45931</v>
      </c>
      <c r="E954" s="19" t="n">
        <v>22.543</v>
      </c>
      <c r="F954" s="19" t="n">
        <v>200</v>
      </c>
      <c r="G954" t="inlineStr">
        <is>
          <t>Rs 200 crore</t>
        </is>
      </c>
      <c r="H954" t="inlineStr">
        <is>
          <t>Undisclosed</t>
        </is>
      </c>
      <c r="I954" t="inlineStr">
        <is>
          <t>Undisclosed</t>
        </is>
      </c>
      <c r="J954" t="inlineStr">
        <is>
          <t>Fintech</t>
        </is>
      </c>
      <c r="K954" t="inlineStr">
        <is>
          <t>Unknown</t>
        </is>
      </c>
      <c r="L954" t="inlineStr"/>
      <c r="M954" t="inlineStr">
        <is>
          <t>Blue Earth Capital; Prosus Ventures; UC Impower. Lok Capital</t>
        </is>
      </c>
      <c r="N954" t="inlineStr">
        <is>
          <t>entrackr | vccircle</t>
        </is>
      </c>
      <c r="O954" s="20" t="n">
        <v>2</v>
      </c>
      <c r="P954" s="21" t="n">
        <v>0</v>
      </c>
      <c r="Q954" t="inlineStr">
        <is>
          <t>C04 C07</t>
        </is>
      </c>
      <c r="R954" s="22" t="inlineStr">
        <is>
          <t>https://entrackr.com/snippets/growxcd-finance-raises-rs-200-cr-led-by-blue-earth-capital-10518886</t>
        </is>
      </c>
    </row>
    <row r="955">
      <c r="A955" t="inlineStr">
        <is>
          <t>R251001-mishmashnatura</t>
        </is>
      </c>
      <c r="B955" t="inlineStr">
        <is>
          <t>Mishmash Naturals</t>
        </is>
      </c>
      <c r="C955" s="17" t="n">
        <v>45931</v>
      </c>
      <c r="D955" s="18" t="n">
        <v>45931</v>
      </c>
      <c r="E955" s="19" t="n">
        <v>0.27</v>
      </c>
      <c r="F955" s="19" t="n">
        <v>2.4</v>
      </c>
      <c r="G955" t="inlineStr">
        <is>
          <t>$270K</t>
        </is>
      </c>
      <c r="H955" t="inlineStr">
        <is>
          <t>Pre-Seed</t>
        </is>
      </c>
      <c r="I955" t="inlineStr">
        <is>
          <t>Early</t>
        </is>
      </c>
      <c r="J955" t="inlineStr">
        <is>
          <t>Ecommerce</t>
        </is>
      </c>
      <c r="K955" t="inlineStr">
        <is>
          <t>Unknown</t>
        </is>
      </c>
      <c r="L955" t="inlineStr">
        <is>
          <t>Inflection Point Ventures</t>
        </is>
      </c>
      <c r="M955" t="inlineStr">
        <is>
          <t>Inflection Point Ventures; IIT Delhi Angels Network; Nihit Jain; Rahul Anurag; Kamlakar Rao; Piyush Kumar; Riddhi Verma Ayyagari; Anurag Tayal</t>
        </is>
      </c>
      <c r="N955" t="inlineStr">
        <is>
          <t>inc42</t>
        </is>
      </c>
      <c r="O955" s="20" t="n">
        <v>1</v>
      </c>
      <c r="P955" s="21" t="n">
        <v>0</v>
      </c>
      <c r="Q955" t="inlineStr">
        <is>
          <t>C07</t>
        </is>
      </c>
      <c r="R955" s="22" t="inlineStr">
        <is>
          <t>https://inc42.com/buzz/from-kapiva-to-petpooja-indian-startups-raised-160-mn-this-week/</t>
        </is>
      </c>
    </row>
    <row r="956">
      <c r="A956" t="inlineStr">
        <is>
          <t>R251003-artoftime</t>
        </is>
      </c>
      <c r="B956" t="inlineStr">
        <is>
          <t>Art of Time</t>
        </is>
      </c>
      <c r="C956" s="17" t="n">
        <v>45933</v>
      </c>
      <c r="D956" s="18" t="n">
        <v>45931</v>
      </c>
      <c r="E956" s="19" t="n">
        <v>19.712</v>
      </c>
      <c r="F956" s="19" t="n">
        <v>175</v>
      </c>
      <c r="G956" t="inlineStr">
        <is>
          <t>Rs 175 crore</t>
        </is>
      </c>
      <c r="H956" t="inlineStr">
        <is>
          <t>Series B</t>
        </is>
      </c>
      <c r="I956" t="inlineStr">
        <is>
          <t>Growth</t>
        </is>
      </c>
      <c r="J956" t="inlineStr">
        <is>
          <t>Ecommerce</t>
        </is>
      </c>
      <c r="K956" t="inlineStr">
        <is>
          <t>Mumbai</t>
        </is>
      </c>
      <c r="L956" t="inlineStr"/>
      <c r="M956" t="inlineStr">
        <is>
          <t>Mithun Sacheti; Siddhartha Sacheti; Girish Mathrubootham; Plutus Wealth Management</t>
        </is>
      </c>
      <c r="N956" t="inlineStr">
        <is>
          <t>entrackr | et | vccircle</t>
        </is>
      </c>
      <c r="O956" s="20" t="n">
        <v>3</v>
      </c>
      <c r="P956" s="21" t="n">
        <v>1.1</v>
      </c>
      <c r="Q956" t="inlineStr"/>
      <c r="R956" s="22" t="inlineStr">
        <is>
          <t>https://entrackr.com/snippets/luxury-watch-retailer-art-of-time-raises-rs-175-cr-in-fresh-round-10524495</t>
        </is>
      </c>
    </row>
    <row r="957">
      <c r="A957" t="inlineStr">
        <is>
          <t>R251007-kgen</t>
        </is>
      </c>
      <c r="B957" t="inlineStr">
        <is>
          <t>KGen</t>
        </is>
      </c>
      <c r="C957" s="17" t="n">
        <v>45933</v>
      </c>
      <c r="D957" s="18" t="n">
        <v>45931</v>
      </c>
      <c r="E957" s="19" t="n">
        <v>13.5</v>
      </c>
      <c r="F957" s="19" t="n">
        <v>119.85</v>
      </c>
      <c r="G957" t="inlineStr">
        <is>
          <t>$13.5 Mn</t>
        </is>
      </c>
      <c r="H957" t="inlineStr">
        <is>
          <t>Undisclosed</t>
        </is>
      </c>
      <c r="I957" t="inlineStr">
        <is>
          <t>Undisclosed</t>
        </is>
      </c>
      <c r="J957" t="inlineStr">
        <is>
          <t>Web3</t>
        </is>
      </c>
      <c r="K957" t="inlineStr">
        <is>
          <t>Unknown</t>
        </is>
      </c>
      <c r="L957" t="inlineStr"/>
      <c r="M957" t="inlineStr">
        <is>
          <t>Prosus; Jump Crypto; Accel</t>
        </is>
      </c>
      <c r="N957" t="inlineStr">
        <is>
          <t>inc42 | et</t>
        </is>
      </c>
      <c r="O957" s="20" t="n">
        <v>2</v>
      </c>
      <c r="P957" s="21" t="n">
        <v>0</v>
      </c>
      <c r="Q957" t="inlineStr">
        <is>
          <t>C04 C07</t>
        </is>
      </c>
      <c r="R957" s="22" t="inlineStr">
        <is>
          <t>https://economictimes.indiatimes.com/tech/funding/kgen-raises-13-5-million-from-prosus-jump-crypto-accel/articleshow/124294056.cms</t>
        </is>
      </c>
    </row>
    <row r="958">
      <c r="A958" t="inlineStr">
        <is>
          <t>R251006-affluenseai</t>
        </is>
      </c>
      <c r="B958" t="inlineStr">
        <is>
          <t>Affluense AI</t>
        </is>
      </c>
      <c r="C958" s="17" t="n">
        <v>45936</v>
      </c>
      <c r="D958" s="18" t="n">
        <v>45931</v>
      </c>
      <c r="E958" s="19" t="n">
        <v>0.338</v>
      </c>
      <c r="F958" s="19" t="n">
        <v>3</v>
      </c>
      <c r="G958" t="inlineStr">
        <is>
          <t>Rs 3 crore</t>
        </is>
      </c>
      <c r="H958" t="inlineStr">
        <is>
          <t>Pre-Seed</t>
        </is>
      </c>
      <c r="I958" t="inlineStr">
        <is>
          <t>Early</t>
        </is>
      </c>
      <c r="J958" t="inlineStr">
        <is>
          <t>Unclassified</t>
        </is>
      </c>
      <c r="K958" t="inlineStr">
        <is>
          <t>Unknown</t>
        </is>
      </c>
      <c r="L958" t="inlineStr">
        <is>
          <t>Zeropearl VC; Pravin Jadhav</t>
        </is>
      </c>
      <c r="M958" t="inlineStr">
        <is>
          <t>Zeropearl VC; Pravin Jadhav; Kunal Shah</t>
        </is>
      </c>
      <c r="N958" t="inlineStr">
        <is>
          <t>entrackr</t>
        </is>
      </c>
      <c r="O958" s="20" t="n">
        <v>1</v>
      </c>
      <c r="P958" s="21" t="n">
        <v>0</v>
      </c>
      <c r="Q958" t="inlineStr">
        <is>
          <t>C06 C07</t>
        </is>
      </c>
      <c r="R958" s="22" t="inlineStr">
        <is>
          <t>https://entrackr.com/snippets/affluense-ai-raises-pre-seed-round-led-by-zeropearl-vc-10533601</t>
        </is>
      </c>
    </row>
    <row r="959">
      <c r="A959" t="inlineStr">
        <is>
          <t>R251006-decortwist</t>
        </is>
      </c>
      <c r="B959" t="inlineStr">
        <is>
          <t>DecorTwist</t>
        </is>
      </c>
      <c r="C959" s="17" t="n">
        <v>45936</v>
      </c>
      <c r="D959" s="18" t="n">
        <v>45931</v>
      </c>
      <c r="E959" s="19" t="n">
        <v>0.2</v>
      </c>
      <c r="F959" s="19" t="n">
        <v>1.78</v>
      </c>
      <c r="G959" t="inlineStr">
        <is>
          <t>$200K</t>
        </is>
      </c>
      <c r="H959" t="inlineStr">
        <is>
          <t>Pre-Series A</t>
        </is>
      </c>
      <c r="I959" t="inlineStr">
        <is>
          <t>Early</t>
        </is>
      </c>
      <c r="J959" t="inlineStr">
        <is>
          <t>Ecommerce</t>
        </is>
      </c>
      <c r="K959" t="inlineStr">
        <is>
          <t>Unknown</t>
        </is>
      </c>
      <c r="L959" t="inlineStr">
        <is>
          <t>Tejas Paresh Lodaya</t>
        </is>
      </c>
      <c r="M959" t="inlineStr">
        <is>
          <t>Tejas Paresh Lodaya</t>
        </is>
      </c>
      <c r="N959" t="inlineStr">
        <is>
          <t>entrackr</t>
        </is>
      </c>
      <c r="O959" s="20" t="n">
        <v>1</v>
      </c>
      <c r="P959" s="21" t="n">
        <v>0</v>
      </c>
      <c r="Q959" t="inlineStr">
        <is>
          <t>C07 C11</t>
        </is>
      </c>
      <c r="R959" s="22" t="inlineStr">
        <is>
          <t>https://entrackr.com/snippets/d2c-home-decor-brand-decortwist-raises-200k-10533888</t>
        </is>
      </c>
    </row>
    <row r="960">
      <c r="A960" t="inlineStr">
        <is>
          <t>R251006-dhan</t>
        </is>
      </c>
      <c r="B960" t="inlineStr">
        <is>
          <t>Dhan</t>
        </is>
      </c>
      <c r="C960" s="17" t="n">
        <v>45936</v>
      </c>
      <c r="D960" s="18" t="n">
        <v>45931</v>
      </c>
      <c r="E960" s="19" t="n">
        <v>120</v>
      </c>
      <c r="F960" s="19" t="n">
        <v>1065.36</v>
      </c>
      <c r="G960" t="inlineStr">
        <is>
          <t>$120 million</t>
        </is>
      </c>
      <c r="H960" t="inlineStr">
        <is>
          <t>Series B</t>
        </is>
      </c>
      <c r="I960" t="inlineStr">
        <is>
          <t>Growth</t>
        </is>
      </c>
      <c r="J960" t="inlineStr">
        <is>
          <t>Fintech</t>
        </is>
      </c>
      <c r="K960" t="inlineStr">
        <is>
          <t>Unknown</t>
        </is>
      </c>
      <c r="L960" t="inlineStr">
        <is>
          <t>Hornbill Capital; MUFG</t>
        </is>
      </c>
      <c r="M960" t="inlineStr">
        <is>
          <t>Hornbill Capital; MUFG; BEENEXT; Ramesh Damani (founder; DMart); DSP Family Office; JM Financial Family Office; Aashish Somaiyaa; Mirae Asset</t>
        </is>
      </c>
      <c r="N960" t="inlineStr">
        <is>
          <t>entrackr | inc42</t>
        </is>
      </c>
      <c r="O960" s="20" t="n">
        <v>2</v>
      </c>
      <c r="P960" s="21" t="n">
        <v>0</v>
      </c>
      <c r="Q960" t="inlineStr">
        <is>
          <t>C07</t>
        </is>
      </c>
      <c r="R960" s="22" t="inlineStr">
        <is>
          <t>https://entrackr.com/news/dhan-turns-unicorn-after-120-mn-fundraise-led-by-hornbill-capital-10532947</t>
        </is>
      </c>
    </row>
    <row r="961">
      <c r="A961" t="inlineStr">
        <is>
          <t>R251006-ecoex</t>
        </is>
      </c>
      <c r="B961" t="inlineStr">
        <is>
          <t>EcoEx</t>
        </is>
      </c>
      <c r="C961" s="17" t="n">
        <v>45936</v>
      </c>
      <c r="D961" s="18" t="n">
        <v>45931</v>
      </c>
      <c r="E961" s="19" t="n">
        <v>4</v>
      </c>
      <c r="F961" s="19" t="n">
        <v>35.51</v>
      </c>
      <c r="G961" t="inlineStr">
        <is>
          <t>$4 million</t>
        </is>
      </c>
      <c r="H961" t="inlineStr">
        <is>
          <t>Seed</t>
        </is>
      </c>
      <c r="I961" t="inlineStr">
        <is>
          <t>Early</t>
        </is>
      </c>
      <c r="J961" t="inlineStr">
        <is>
          <t>Cleantech</t>
        </is>
      </c>
      <c r="K961" t="inlineStr">
        <is>
          <t>Unknown</t>
        </is>
      </c>
      <c r="L961" t="inlineStr">
        <is>
          <t>Dovetail Global Fund PCC; Navbharat Investment Fund; Narnolia Velox Fund</t>
        </is>
      </c>
      <c r="M961" t="inlineStr">
        <is>
          <t>Dovetail Global Fund PCC; Navbharat Investment Fund; Narnolia Velox Fund</t>
        </is>
      </c>
      <c r="N961" t="inlineStr">
        <is>
          <t>entrackr | inc42 | et</t>
        </is>
      </c>
      <c r="O961" s="20" t="n">
        <v>3</v>
      </c>
      <c r="P961" s="21" t="n">
        <v>0</v>
      </c>
      <c r="Q961" t="inlineStr">
        <is>
          <t>C07</t>
        </is>
      </c>
      <c r="R961" s="22" t="inlineStr">
        <is>
          <t>https://entrackr.com/snippets/ecoex-raises-4-mn-in-seed-funding-round-10533403</t>
        </is>
      </c>
    </row>
    <row r="962">
      <c r="A962" t="inlineStr">
        <is>
          <t>R251006-finarkein</t>
        </is>
      </c>
      <c r="B962" t="inlineStr">
        <is>
          <t>Finarkein Analytics</t>
        </is>
      </c>
      <c r="C962" s="17" t="n">
        <v>45936</v>
      </c>
      <c r="D962" s="18" t="n">
        <v>45931</v>
      </c>
      <c r="E962" s="19" t="n">
        <v>1.5</v>
      </c>
      <c r="F962" s="19" t="n">
        <v>13.32</v>
      </c>
      <c r="G962" t="inlineStr">
        <is>
          <t>$1.5 million</t>
        </is>
      </c>
      <c r="H962" t="inlineStr">
        <is>
          <t>Pre-Series A</t>
        </is>
      </c>
      <c r="I962" t="inlineStr">
        <is>
          <t>Early</t>
        </is>
      </c>
      <c r="J962" t="inlineStr">
        <is>
          <t>Artificial Intelligence</t>
        </is>
      </c>
      <c r="K962" t="inlineStr">
        <is>
          <t>Pune</t>
        </is>
      </c>
      <c r="L962" t="inlineStr">
        <is>
          <t>DSP Group Family Office</t>
        </is>
      </c>
      <c r="M962" t="inlineStr">
        <is>
          <t>DSP Group Family Office; Capital 2B</t>
        </is>
      </c>
      <c r="N962" t="inlineStr">
        <is>
          <t>entrackr | inc42</t>
        </is>
      </c>
      <c r="O962" s="20" t="n">
        <v>2</v>
      </c>
      <c r="P962" s="21" t="n">
        <v>0</v>
      </c>
      <c r="Q962" t="inlineStr"/>
      <c r="R962" s="22" t="inlineStr">
        <is>
          <t>https://entrackr.com/snippets/finarkein-raises-15-mn-in-pre-series-a-round-led-by-dsp-group-family-office-10534094</t>
        </is>
      </c>
    </row>
    <row r="963">
      <c r="A963" t="inlineStr">
        <is>
          <t>R251006-greylabsai</t>
        </is>
      </c>
      <c r="B963" t="inlineStr">
        <is>
          <t>GreyLabs AI</t>
        </is>
      </c>
      <c r="C963" s="17" t="n">
        <v>45936</v>
      </c>
      <c r="D963" s="18" t="n">
        <v>45931</v>
      </c>
      <c r="E963" s="19" t="n">
        <v>9.574</v>
      </c>
      <c r="F963" s="19" t="n">
        <v>85</v>
      </c>
      <c r="G963" t="inlineStr">
        <is>
          <t>Rs 85 crore</t>
        </is>
      </c>
      <c r="H963" t="inlineStr">
        <is>
          <t>Series A</t>
        </is>
      </c>
      <c r="I963" t="inlineStr">
        <is>
          <t>Early</t>
        </is>
      </c>
      <c r="J963" t="inlineStr">
        <is>
          <t>Artificial Intelligence</t>
        </is>
      </c>
      <c r="K963" t="inlineStr">
        <is>
          <t>Mumbai</t>
        </is>
      </c>
      <c r="L963" t="inlineStr">
        <is>
          <t>Elevation Capital</t>
        </is>
      </c>
      <c r="M963" t="inlineStr">
        <is>
          <t>Elevation Capital; Z47</t>
        </is>
      </c>
      <c r="N963" t="inlineStr">
        <is>
          <t>entrackr | inc42 | et</t>
        </is>
      </c>
      <c r="O963" s="20" t="n">
        <v>3</v>
      </c>
      <c r="P963" s="21" t="n">
        <v>4.4</v>
      </c>
      <c r="Q963" t="inlineStr"/>
      <c r="R963" s="22" t="inlineStr">
        <is>
          <t>https://entrackr.com/news/greylabs-ai-raises-rs-85-cr-led-by-elevation-to-launch-voice-ai-agents-for-bfsi-10532249</t>
        </is>
      </c>
    </row>
    <row r="964">
      <c r="A964" t="inlineStr">
        <is>
          <t>R251006-iifl</t>
        </is>
      </c>
      <c r="B964" t="inlineStr">
        <is>
          <t>IIFL</t>
        </is>
      </c>
      <c r="C964" s="17" t="n">
        <v>45936</v>
      </c>
      <c r="D964" s="18" t="n">
        <v>45931</v>
      </c>
      <c r="E964" s="19" t="n"/>
      <c r="F964" s="19" t="n"/>
      <c r="G964" t="inlineStr"/>
      <c r="H964" t="inlineStr">
        <is>
          <t>Undisclosed</t>
        </is>
      </c>
      <c r="I964" t="inlineStr">
        <is>
          <t>Undisclosed</t>
        </is>
      </c>
      <c r="J964" t="inlineStr">
        <is>
          <t>Fintech</t>
        </is>
      </c>
      <c r="K964" t="inlineStr">
        <is>
          <t>Unknown</t>
        </is>
      </c>
      <c r="L964" t="inlineStr"/>
      <c r="M964" t="inlineStr"/>
      <c r="N964" t="inlineStr">
        <is>
          <t>entrackr</t>
        </is>
      </c>
      <c r="O964" s="20" t="n">
        <v>1</v>
      </c>
      <c r="P964" s="21" t="n"/>
      <c r="Q964" t="inlineStr">
        <is>
          <t>C03 C04 C05 C07</t>
        </is>
      </c>
      <c r="R964" s="22" t="inlineStr">
        <is>
          <t>https://entrackr.com/snippets/iifl-fintech-fund-partially-exits-finbox-achieving-5x-returns-on-initial-tranche-10533736</t>
        </is>
      </c>
    </row>
    <row r="965">
      <c r="A965" t="inlineStr">
        <is>
          <t>R251006-jswoneplatform</t>
        </is>
      </c>
      <c r="B965" t="inlineStr">
        <is>
          <t>JSW One Platforms</t>
        </is>
      </c>
      <c r="C965" s="17" t="n">
        <v>45936</v>
      </c>
      <c r="D965" s="18" t="n">
        <v>45931</v>
      </c>
      <c r="E965" s="19" t="n">
        <v>64.767</v>
      </c>
      <c r="F965" s="19" t="n">
        <v>575</v>
      </c>
      <c r="G965" t="inlineStr">
        <is>
          <t>Rs 575 crore</t>
        </is>
      </c>
      <c r="H965" t="inlineStr">
        <is>
          <t>Undisclosed</t>
        </is>
      </c>
      <c r="I965" t="inlineStr">
        <is>
          <t>Undisclosed</t>
        </is>
      </c>
      <c r="J965" t="inlineStr">
        <is>
          <t>Ecommerce</t>
        </is>
      </c>
      <c r="K965" t="inlineStr">
        <is>
          <t>Unknown</t>
        </is>
      </c>
      <c r="L965" t="inlineStr"/>
      <c r="M965" t="inlineStr">
        <is>
          <t>State Bank of India</t>
        </is>
      </c>
      <c r="N965" t="inlineStr">
        <is>
          <t>et</t>
        </is>
      </c>
      <c r="O965" s="20" t="n">
        <v>1</v>
      </c>
      <c r="P965" s="21" t="n">
        <v>0</v>
      </c>
      <c r="Q965" t="inlineStr">
        <is>
          <t>C04 C07</t>
        </is>
      </c>
      <c r="R965" s="22" t="inlineStr">
        <is>
          <t>https://economictimes.indiatimes.com/tech/funding/jsw-one-platforms-raises-rs-575-crore-from-sbi-jsw-steel-principal-asset-management-others/articleshow/124323976.cms</t>
        </is>
      </c>
    </row>
    <row r="966">
      <c r="A966" t="inlineStr">
        <is>
          <t>R251006-morphingmachin</t>
        </is>
      </c>
      <c r="B966" t="inlineStr">
        <is>
          <t>Morphing Machines</t>
        </is>
      </c>
      <c r="C966" s="17" t="n">
        <v>45936</v>
      </c>
      <c r="D966" s="18" t="n">
        <v>45931</v>
      </c>
      <c r="E966" s="19" t="n">
        <v>4.321</v>
      </c>
      <c r="F966" s="19" t="n">
        <v>38.36</v>
      </c>
      <c r="G966" t="inlineStr">
        <is>
          <t>Rs 38.36 crore</t>
        </is>
      </c>
      <c r="H966" t="inlineStr">
        <is>
          <t>Series A</t>
        </is>
      </c>
      <c r="I966" t="inlineStr">
        <is>
          <t>Early</t>
        </is>
      </c>
      <c r="J966" t="inlineStr">
        <is>
          <t>Advanced Hardware &amp; Technology</t>
        </is>
      </c>
      <c r="K966" t="inlineStr">
        <is>
          <t>Bengaluru</t>
        </is>
      </c>
      <c r="L966" t="inlineStr">
        <is>
          <t>IAN Alpha Fund</t>
        </is>
      </c>
      <c r="M966" t="inlineStr">
        <is>
          <t>IAN Alpha Fund; Speciale Invest; IvyCap Ventures; Navam Capital; Golden Sparrow Ventures; IIMA Ventures; DeVC</t>
        </is>
      </c>
      <c r="N966" t="inlineStr">
        <is>
          <t>entrackr | inc42</t>
        </is>
      </c>
      <c r="O966" s="20" t="n">
        <v>2</v>
      </c>
      <c r="P966" s="21" t="n">
        <v>0.5</v>
      </c>
      <c r="Q966" t="inlineStr"/>
      <c r="R966" s="22" t="inlineStr">
        <is>
          <t>https://entrackr.com/snippets/morphing-machines-raises-rs-3836-cr-in-series-a-round-led-by-ian-alpha-fund-10533760</t>
        </is>
      </c>
    </row>
    <row r="967">
      <c r="A967" t="inlineStr">
        <is>
          <t>R251006-navatasupplych</t>
        </is>
      </c>
      <c r="B967" t="inlineStr">
        <is>
          <t>Navata Supply Chain Solution</t>
        </is>
      </c>
      <c r="C967" s="17" t="n">
        <v>45936</v>
      </c>
      <c r="D967" s="18" t="n">
        <v>45931</v>
      </c>
      <c r="E967" s="19" t="n">
        <v>1.521</v>
      </c>
      <c r="F967" s="19" t="n">
        <v>13.5</v>
      </c>
      <c r="G967" t="inlineStr">
        <is>
          <t>Rs 13.5 crore</t>
        </is>
      </c>
      <c r="H967" t="inlineStr">
        <is>
          <t>Undisclosed</t>
        </is>
      </c>
      <c r="I967" t="inlineStr">
        <is>
          <t>Undisclosed</t>
        </is>
      </c>
      <c r="J967" t="inlineStr">
        <is>
          <t>Logistics</t>
        </is>
      </c>
      <c r="K967" t="inlineStr">
        <is>
          <t>Unknown</t>
        </is>
      </c>
      <c r="L967" t="inlineStr">
        <is>
          <t>Abyro Capital</t>
        </is>
      </c>
      <c r="M967" t="inlineStr">
        <is>
          <t>Abyro Capital; Equanimity Investments</t>
        </is>
      </c>
      <c r="N967" t="inlineStr">
        <is>
          <t>entrackr | inc42</t>
        </is>
      </c>
      <c r="O967" s="20" t="n">
        <v>2</v>
      </c>
      <c r="P967" s="21" t="n">
        <v>1.4</v>
      </c>
      <c r="Q967" t="inlineStr">
        <is>
          <t>C04 C07</t>
        </is>
      </c>
      <c r="R967" s="22" t="inlineStr">
        <is>
          <t>https://entrackr.com/snippets/navata-supply-chain-solutions-raises-rs-135-cr-led-by-abyro-capital-10533000</t>
        </is>
      </c>
    </row>
    <row r="968">
      <c r="A968" t="inlineStr">
        <is>
          <t>R251006-ozi</t>
        </is>
      </c>
      <c r="B968" t="inlineStr">
        <is>
          <t>OZi</t>
        </is>
      </c>
      <c r="C968" s="17" t="n">
        <v>45936</v>
      </c>
      <c r="D968" s="18" t="n">
        <v>45931</v>
      </c>
      <c r="E968" s="19" t="n">
        <v>3.3</v>
      </c>
      <c r="F968" s="19" t="n">
        <v>29.3</v>
      </c>
      <c r="G968" t="inlineStr">
        <is>
          <t>$3.3 Mn</t>
        </is>
      </c>
      <c r="H968" t="inlineStr">
        <is>
          <t>Seed</t>
        </is>
      </c>
      <c r="I968" t="inlineStr">
        <is>
          <t>Early</t>
        </is>
      </c>
      <c r="J968" t="inlineStr">
        <is>
          <t>Consumer Services</t>
        </is>
      </c>
      <c r="K968" t="inlineStr">
        <is>
          <t>Delhi NCR</t>
        </is>
      </c>
      <c r="L968" t="inlineStr">
        <is>
          <t>Blume Ventures</t>
        </is>
      </c>
      <c r="M968" t="inlineStr">
        <is>
          <t>Blume Ventures; Huddle Ventures; Zeropearl VC; Untitled</t>
        </is>
      </c>
      <c r="N968" t="inlineStr">
        <is>
          <t>inc42</t>
        </is>
      </c>
      <c r="O968" s="20" t="n">
        <v>1</v>
      </c>
      <c r="P968" s="21" t="n">
        <v>0</v>
      </c>
      <c r="Q968" t="inlineStr"/>
      <c r="R968" s="22" t="inlineStr">
        <is>
          <t>https://inc42.com/buzz/from-dhan-to-intangles-indian-startups-raised-285-mn-this-week/</t>
        </is>
      </c>
    </row>
    <row r="969">
      <c r="A969" t="inlineStr">
        <is>
          <t>R251007-augustai</t>
        </is>
      </c>
      <c r="B969" t="inlineStr">
        <is>
          <t>August AI</t>
        </is>
      </c>
      <c r="C969" s="17" t="n">
        <v>45937</v>
      </c>
      <c r="D969" s="18" t="n">
        <v>45931</v>
      </c>
      <c r="E969" s="19" t="n">
        <v>3</v>
      </c>
      <c r="F969" s="19" t="n">
        <v>26.62</v>
      </c>
      <c r="G969" t="inlineStr">
        <is>
          <t>$3 million</t>
        </is>
      </c>
      <c r="H969" t="inlineStr">
        <is>
          <t>Seed</t>
        </is>
      </c>
      <c r="I969" t="inlineStr">
        <is>
          <t>Early</t>
        </is>
      </c>
      <c r="J969" t="inlineStr">
        <is>
          <t>Artificial Intelligence</t>
        </is>
      </c>
      <c r="K969" t="inlineStr">
        <is>
          <t>Unknown</t>
        </is>
      </c>
      <c r="L969" t="inlineStr"/>
      <c r="M969" t="inlineStr">
        <is>
          <t>Accel; Claypond Capital</t>
        </is>
      </c>
      <c r="N969" t="inlineStr">
        <is>
          <t>entrackr | inc42 | et</t>
        </is>
      </c>
      <c r="O969" s="20" t="n">
        <v>3</v>
      </c>
      <c r="P969" s="21" t="n">
        <v>0</v>
      </c>
      <c r="Q969" t="inlineStr">
        <is>
          <t>C07</t>
        </is>
      </c>
      <c r="R969" s="22" t="inlineStr">
        <is>
          <t>https://entrackr.com/snippets/august-ai-raises-3-mn-from-accel-and-claypond-capital-10536084</t>
        </is>
      </c>
    </row>
    <row r="970">
      <c r="A970" t="inlineStr">
        <is>
          <t>R251007-contrailsai</t>
        </is>
      </c>
      <c r="B970" t="inlineStr">
        <is>
          <t>Contrails AI</t>
        </is>
      </c>
      <c r="C970" s="17" t="n">
        <v>45937</v>
      </c>
      <c r="D970" s="18" t="n">
        <v>45931</v>
      </c>
      <c r="E970" s="19" t="n">
        <v>1</v>
      </c>
      <c r="F970" s="19" t="n">
        <v>8.880000000000001</v>
      </c>
      <c r="G970" t="inlineStr">
        <is>
          <t>$1 million</t>
        </is>
      </c>
      <c r="H970" t="inlineStr">
        <is>
          <t>Pre-Seed</t>
        </is>
      </c>
      <c r="I970" t="inlineStr">
        <is>
          <t>Early</t>
        </is>
      </c>
      <c r="J970" t="inlineStr">
        <is>
          <t>Artificial Intelligence</t>
        </is>
      </c>
      <c r="K970" t="inlineStr">
        <is>
          <t>Bengaluru</t>
        </is>
      </c>
      <c r="L970" t="inlineStr">
        <is>
          <t>Huddle Ventures; IAN Group</t>
        </is>
      </c>
      <c r="M970" t="inlineStr">
        <is>
          <t>Huddle Ventures; IAN Group</t>
        </is>
      </c>
      <c r="N970" t="inlineStr">
        <is>
          <t>entrackr | inc42</t>
        </is>
      </c>
      <c r="O970" s="20" t="n">
        <v>2</v>
      </c>
      <c r="P970" s="21" t="n">
        <v>0</v>
      </c>
      <c r="Q970" t="inlineStr"/>
      <c r="R970" s="22" t="inlineStr">
        <is>
          <t>https://entrackr.com/snippets/contrails-ai-raises-1-mn-in-pre-seed-round-from-huddle-ventures-and-ian-group-10537705</t>
        </is>
      </c>
    </row>
    <row r="971">
      <c r="A971" t="inlineStr">
        <is>
          <t>R251007-h2carbonzero</t>
        </is>
      </c>
      <c r="B971" t="inlineStr">
        <is>
          <t>H2 Carbon Zero</t>
        </is>
      </c>
      <c r="C971" s="17" t="n">
        <v>45937</v>
      </c>
      <c r="D971" s="18" t="n">
        <v>45931</v>
      </c>
      <c r="E971" s="19" t="n">
        <v>0.85</v>
      </c>
      <c r="F971" s="19" t="n">
        <v>7.54</v>
      </c>
      <c r="G971" t="inlineStr">
        <is>
          <t>$850K</t>
        </is>
      </c>
      <c r="H971" t="inlineStr">
        <is>
          <t>Seed</t>
        </is>
      </c>
      <c r="I971" t="inlineStr">
        <is>
          <t>Early</t>
        </is>
      </c>
      <c r="J971" t="inlineStr">
        <is>
          <t>Cleantech</t>
        </is>
      </c>
      <c r="K971" t="inlineStr">
        <is>
          <t>Unknown</t>
        </is>
      </c>
      <c r="L971" t="inlineStr">
        <is>
          <t>Venture Catalysts</t>
        </is>
      </c>
      <c r="M971" t="inlineStr">
        <is>
          <t>Venture Catalysts; Faad Networks</t>
        </is>
      </c>
      <c r="N971" t="inlineStr">
        <is>
          <t>inc42</t>
        </is>
      </c>
      <c r="O971" s="20" t="n">
        <v>1</v>
      </c>
      <c r="P971" s="21" t="n">
        <v>0</v>
      </c>
      <c r="Q971" t="inlineStr">
        <is>
          <t>C07</t>
        </is>
      </c>
      <c r="R971" s="22" t="inlineStr">
        <is>
          <t>https://inc42.com/buzz/from-dhan-to-intangles-indian-startups-raised-285-mn-this-week/</t>
        </is>
      </c>
    </row>
    <row r="972">
      <c r="A972" t="inlineStr">
        <is>
          <t>R251007-intangles</t>
        </is>
      </c>
      <c r="B972" t="inlineStr">
        <is>
          <t>Intangles</t>
        </is>
      </c>
      <c r="C972" s="17" t="n">
        <v>45937</v>
      </c>
      <c r="D972" s="18" t="n">
        <v>45931</v>
      </c>
      <c r="E972" s="19" t="n">
        <v>30</v>
      </c>
      <c r="F972" s="19" t="n">
        <v>266.25</v>
      </c>
      <c r="G972" t="inlineStr">
        <is>
          <t>$30 million</t>
        </is>
      </c>
      <c r="H972" t="inlineStr">
        <is>
          <t>Series B</t>
        </is>
      </c>
      <c r="I972" t="inlineStr">
        <is>
          <t>Growth</t>
        </is>
      </c>
      <c r="J972" t="inlineStr">
        <is>
          <t>Enterprise Tech</t>
        </is>
      </c>
      <c r="K972" t="inlineStr">
        <is>
          <t>Unknown</t>
        </is>
      </c>
      <c r="L972" t="inlineStr">
        <is>
          <t>Avataar Venture Partners</t>
        </is>
      </c>
      <c r="M972" t="inlineStr">
        <is>
          <t>Avataar Venture Partners; Baring Private Equity Partners India; Cactus Partners</t>
        </is>
      </c>
      <c r="N972" t="inlineStr">
        <is>
          <t>entrackr | inc42</t>
        </is>
      </c>
      <c r="O972" s="20" t="n">
        <v>2</v>
      </c>
      <c r="P972" s="21" t="n">
        <v>0</v>
      </c>
      <c r="Q972" t="inlineStr">
        <is>
          <t>C07</t>
        </is>
      </c>
      <c r="R972" s="22" t="inlineStr">
        <is>
          <t>https://entrackr.com/snippets/intangles-raises-30-mn-in-series-b-round-led-by-avataar-venture-10537356</t>
        </is>
      </c>
    </row>
    <row r="973">
      <c r="A973" t="inlineStr">
        <is>
          <t>R251007-jaagrukbharat</t>
        </is>
      </c>
      <c r="B973" t="inlineStr">
        <is>
          <t>Jaagruk Bharat</t>
        </is>
      </c>
      <c r="C973" s="17" t="n">
        <v>45937</v>
      </c>
      <c r="D973" s="18" t="n">
        <v>45931</v>
      </c>
      <c r="E973" s="19" t="n">
        <v>0.169</v>
      </c>
      <c r="F973" s="19" t="n">
        <v>1.5</v>
      </c>
      <c r="G973" t="inlineStr">
        <is>
          <t>Rs 1.5 crore</t>
        </is>
      </c>
      <c r="H973" t="inlineStr">
        <is>
          <t>Pre-Seed</t>
        </is>
      </c>
      <c r="I973" t="inlineStr">
        <is>
          <t>Early</t>
        </is>
      </c>
      <c r="J973" t="inlineStr">
        <is>
          <t>Consumer Services</t>
        </is>
      </c>
      <c r="K973" t="inlineStr">
        <is>
          <t>Unknown</t>
        </is>
      </c>
      <c r="L973" t="inlineStr">
        <is>
          <t>AJVC</t>
        </is>
      </c>
      <c r="M973" t="inlineStr">
        <is>
          <t>AJVC</t>
        </is>
      </c>
      <c r="N973" t="inlineStr">
        <is>
          <t>entrackr | inc42</t>
        </is>
      </c>
      <c r="O973" s="20" t="n">
        <v>2</v>
      </c>
      <c r="P973" s="21" t="n">
        <v>0</v>
      </c>
      <c r="Q973" t="inlineStr">
        <is>
          <t>C07</t>
        </is>
      </c>
      <c r="R973" s="22" t="inlineStr">
        <is>
          <t>https://inc42.com/buzz/from-dhan-to-intangles-indian-startups-raised-285-mn-this-week/</t>
        </is>
      </c>
    </row>
    <row r="974">
      <c r="A974" t="inlineStr">
        <is>
          <t>R251007-lucio</t>
        </is>
      </c>
      <c r="B974" t="inlineStr">
        <is>
          <t>Lucio</t>
        </is>
      </c>
      <c r="C974" s="17" t="n">
        <v>45937</v>
      </c>
      <c r="D974" s="18" t="n">
        <v>45931</v>
      </c>
      <c r="E974" s="19" t="n">
        <v>5</v>
      </c>
      <c r="F974" s="19" t="n">
        <v>44.38</v>
      </c>
      <c r="G974" t="inlineStr">
        <is>
          <t>$5 million</t>
        </is>
      </c>
      <c r="H974" t="inlineStr">
        <is>
          <t>Seed</t>
        </is>
      </c>
      <c r="I974" t="inlineStr">
        <is>
          <t>Early</t>
        </is>
      </c>
      <c r="J974" t="inlineStr">
        <is>
          <t>Artificial Intelligence</t>
        </is>
      </c>
      <c r="K974" t="inlineStr">
        <is>
          <t>Unknown</t>
        </is>
      </c>
      <c r="L974" t="inlineStr">
        <is>
          <t>DeVC</t>
        </is>
      </c>
      <c r="M974" t="inlineStr">
        <is>
          <t>DeVC; Ashish Kacholia (cofounder; Lucky Investment Manager); Lashit Sanghvi (cofounder; Alchemy Capital)</t>
        </is>
      </c>
      <c r="N974" t="inlineStr">
        <is>
          <t>entrackr | inc42</t>
        </is>
      </c>
      <c r="O974" s="20" t="n">
        <v>2</v>
      </c>
      <c r="P974" s="21" t="n">
        <v>0</v>
      </c>
      <c r="Q974" t="inlineStr">
        <is>
          <t>C07</t>
        </is>
      </c>
      <c r="R974" s="22" t="inlineStr">
        <is>
          <t>https://entrackr.com/snippets/legal-tech-startup-lucio-raises-5-mn-led-by-devc-10536460</t>
        </is>
      </c>
    </row>
    <row r="975">
      <c r="A975" t="inlineStr">
        <is>
          <t>R251007-themedicaltrav</t>
        </is>
      </c>
      <c r="B975" t="inlineStr">
        <is>
          <t>The Medical Travel Company</t>
        </is>
      </c>
      <c r="C975" s="17" t="n">
        <v>45937</v>
      </c>
      <c r="D975" s="18" t="n">
        <v>45931</v>
      </c>
      <c r="E975" s="19" t="n">
        <v>4.5</v>
      </c>
      <c r="F975" s="19" t="n">
        <v>39.94</v>
      </c>
      <c r="G975" t="inlineStr">
        <is>
          <t>$4.5 Mn</t>
        </is>
      </c>
      <c r="H975" t="inlineStr">
        <is>
          <t>Seed</t>
        </is>
      </c>
      <c r="I975" t="inlineStr">
        <is>
          <t>Early</t>
        </is>
      </c>
      <c r="J975" t="inlineStr">
        <is>
          <t>Travel Tech</t>
        </is>
      </c>
      <c r="K975" t="inlineStr">
        <is>
          <t>Unknown</t>
        </is>
      </c>
      <c r="L975" t="inlineStr">
        <is>
          <t>Nexus Venture Partners</t>
        </is>
      </c>
      <c r="M975" t="inlineStr">
        <is>
          <t>Nexus Venture Partners; Kriscore Capital; Ben Stokes; Jofra Archer; Stuart Broad; KL Rahul; Sriharsha Majety (cofounder; Swiggy); Abhishek Goyal (cofounder; Tracxn); Ritesh Malik (cofounder; Innov8); Smile Group); Arjun Vaidya (cofounder; V3 Ventures)</t>
        </is>
      </c>
      <c r="N975" t="inlineStr">
        <is>
          <t>inc42</t>
        </is>
      </c>
      <c r="O975" s="20" t="n">
        <v>1</v>
      </c>
      <c r="P975" s="21" t="n">
        <v>0</v>
      </c>
      <c r="Q975" t="inlineStr">
        <is>
          <t>C07</t>
        </is>
      </c>
      <c r="R975" s="22" t="inlineStr">
        <is>
          <t>https://inc42.com/buzz/from-dhan-to-intangles-indian-startups-raised-285-mn-this-week/</t>
        </is>
      </c>
    </row>
    <row r="976">
      <c r="A976" t="inlineStr">
        <is>
          <t>R251007-thrustworksdyn</t>
        </is>
      </c>
      <c r="B976" t="inlineStr">
        <is>
          <t>Thrustworks Dynetics</t>
        </is>
      </c>
      <c r="C976" s="17" t="n">
        <v>45937</v>
      </c>
      <c r="D976" s="18" t="n">
        <v>45931</v>
      </c>
      <c r="E976" s="19" t="n">
        <v>0.789</v>
      </c>
      <c r="F976" s="19" t="n">
        <v>7</v>
      </c>
      <c r="G976" t="inlineStr">
        <is>
          <t>Rs 7 crore</t>
        </is>
      </c>
      <c r="H976" t="inlineStr">
        <is>
          <t>Seed</t>
        </is>
      </c>
      <c r="I976" t="inlineStr">
        <is>
          <t>Early</t>
        </is>
      </c>
      <c r="J976" t="inlineStr">
        <is>
          <t>Advanced Hardware &amp; Technology</t>
        </is>
      </c>
      <c r="K976" t="inlineStr">
        <is>
          <t>Pune</t>
        </is>
      </c>
      <c r="L976" t="inlineStr">
        <is>
          <t>Jamwant Venture; SINE-IIT Bombay</t>
        </is>
      </c>
      <c r="M976" t="inlineStr">
        <is>
          <t>Jamwant Venture; Piper Serica; SINE-IIT Bombay</t>
        </is>
      </c>
      <c r="N976" t="inlineStr">
        <is>
          <t>entrackr | inc42</t>
        </is>
      </c>
      <c r="O976" s="20" t="n">
        <v>2</v>
      </c>
      <c r="P976" s="21" t="n">
        <v>0.2</v>
      </c>
      <c r="Q976" t="inlineStr"/>
      <c r="R976" s="22" t="inlineStr">
        <is>
          <t>https://entrackr.com/snippets/thrustworks-dynetics-raises-seed-round-led-by-jamwant-ventures-10536990</t>
        </is>
      </c>
    </row>
    <row r="977">
      <c r="A977" t="inlineStr">
        <is>
          <t>R251007-trusterra</t>
        </is>
      </c>
      <c r="B977" t="inlineStr">
        <is>
          <t>TrusTerra</t>
        </is>
      </c>
      <c r="C977" s="17" t="n">
        <v>45937</v>
      </c>
      <c r="D977" s="18" t="n">
        <v>45931</v>
      </c>
      <c r="E977" s="19" t="n">
        <v>1.014</v>
      </c>
      <c r="F977" s="19" t="n">
        <v>9</v>
      </c>
      <c r="G977" t="inlineStr">
        <is>
          <t>Rs 9 crore</t>
        </is>
      </c>
      <c r="H977" t="inlineStr">
        <is>
          <t>Pre-Seed</t>
        </is>
      </c>
      <c r="I977" t="inlineStr">
        <is>
          <t>Early</t>
        </is>
      </c>
      <c r="J977" t="inlineStr">
        <is>
          <t>Ecommerce</t>
        </is>
      </c>
      <c r="K977" t="inlineStr">
        <is>
          <t>Delhi NCR</t>
        </is>
      </c>
      <c r="L977" t="inlineStr">
        <is>
          <t>Finvolve; India Accelerator</t>
        </is>
      </c>
      <c r="M977" t="inlineStr">
        <is>
          <t>Finvolve; India Accelerator; GrowthCap Ventures; Shishir Maheswari (MD; Eversource Capital); Samrath Jit Singh (founder; Trontek Batteries); Ayush Lohia (CEO; Lohia Auto); Kapil Nirmal</t>
        </is>
      </c>
      <c r="N977" t="inlineStr">
        <is>
          <t>entrackr | inc42</t>
        </is>
      </c>
      <c r="O977" s="20" t="n">
        <v>2</v>
      </c>
      <c r="P977" s="21" t="n">
        <v>1.4</v>
      </c>
      <c r="Q977" t="inlineStr"/>
      <c r="R977" s="22" t="inlineStr">
        <is>
          <t>https://entrackr.com/snippets/trusterra-bags-1-mn-in-pre-seed-round-co-led-by-finvolve-india-accelerator-10537428</t>
        </is>
      </c>
    </row>
    <row r="978">
      <c r="A978" t="inlineStr">
        <is>
          <t>R251007-zillout</t>
        </is>
      </c>
      <c r="B978" t="inlineStr">
        <is>
          <t>ZillOut</t>
        </is>
      </c>
      <c r="C978" s="17" t="n">
        <v>45937</v>
      </c>
      <c r="D978" s="18" t="n">
        <v>45931</v>
      </c>
      <c r="E978" s="19" t="n">
        <v>0.31</v>
      </c>
      <c r="F978" s="19" t="n">
        <v>2.75</v>
      </c>
      <c r="G978" t="inlineStr">
        <is>
          <t>Rs 2.75 crores</t>
        </is>
      </c>
      <c r="H978" t="inlineStr">
        <is>
          <t>Seed</t>
        </is>
      </c>
      <c r="I978" t="inlineStr">
        <is>
          <t>Early</t>
        </is>
      </c>
      <c r="J978" t="inlineStr">
        <is>
          <t>Enterprise Tech</t>
        </is>
      </c>
      <c r="K978" t="inlineStr">
        <is>
          <t>Bengaluru</t>
        </is>
      </c>
      <c r="L978" t="inlineStr"/>
      <c r="M978" t="inlineStr">
        <is>
          <t>Jindagi Live Angel Fund; Anshul Jhawar (cofounder; ZillOut)</t>
        </is>
      </c>
      <c r="N978" t="inlineStr">
        <is>
          <t>entrackr | inc42</t>
        </is>
      </c>
      <c r="O978" s="20" t="n">
        <v>2</v>
      </c>
      <c r="P978" s="21" t="n">
        <v>0</v>
      </c>
      <c r="Q978" t="inlineStr"/>
      <c r="R978" s="22" t="inlineStr">
        <is>
          <t>https://entrackr.com/snippets/zillout-raises-seed-funding-round-10537272</t>
        </is>
      </c>
    </row>
    <row r="979">
      <c r="A979" t="inlineStr">
        <is>
          <t>R251008-meolaa</t>
        </is>
      </c>
      <c r="B979" t="inlineStr">
        <is>
          <t>Meolaa</t>
        </is>
      </c>
      <c r="C979" s="17" t="n">
        <v>45938</v>
      </c>
      <c r="D979" s="18" t="n">
        <v>45931</v>
      </c>
      <c r="E979" s="19" t="n">
        <v>6</v>
      </c>
      <c r="F979" s="19" t="n">
        <v>53.26</v>
      </c>
      <c r="G979" t="inlineStr">
        <is>
          <t>$6 million</t>
        </is>
      </c>
      <c r="H979" t="inlineStr">
        <is>
          <t>Pre-Series A</t>
        </is>
      </c>
      <c r="I979" t="inlineStr">
        <is>
          <t>Early</t>
        </is>
      </c>
      <c r="J979" t="inlineStr">
        <is>
          <t>Ecommerce</t>
        </is>
      </c>
      <c r="K979" t="inlineStr">
        <is>
          <t>Bengaluru</t>
        </is>
      </c>
      <c r="L979" t="inlineStr">
        <is>
          <t>General Catalyst; Colossa Ventures; Kunal Shah; Turbostart Global</t>
        </is>
      </c>
      <c r="M979" t="inlineStr">
        <is>
          <t>General Catalyst; Claypond Capital; Colossa Ventures; Kunal Shah (founder; CRED); Turbostart Global</t>
        </is>
      </c>
      <c r="N979" t="inlineStr">
        <is>
          <t>entrackr | inc42</t>
        </is>
      </c>
      <c r="O979" s="20" t="n">
        <v>2</v>
      </c>
      <c r="P979" s="21" t="n">
        <v>0</v>
      </c>
      <c r="Q979" t="inlineStr"/>
      <c r="R979" s="22" t="inlineStr">
        <is>
          <t>https://entrackr.com/snippets/fmcg-company-meolaa-raises-6-mn-led-by-general-catalyst-10540872</t>
        </is>
      </c>
    </row>
    <row r="980">
      <c r="A980" t="inlineStr">
        <is>
          <t>R251008-newtral</t>
        </is>
      </c>
      <c r="B980" t="inlineStr">
        <is>
          <t>Newtral</t>
        </is>
      </c>
      <c r="C980" s="17" t="n">
        <v>45938</v>
      </c>
      <c r="D980" s="18" t="n">
        <v>45931</v>
      </c>
      <c r="E980" s="19" t="n">
        <v>0.6</v>
      </c>
      <c r="F980" s="19" t="n">
        <v>5.33</v>
      </c>
      <c r="G980" t="inlineStr">
        <is>
          <t>$600K</t>
        </is>
      </c>
      <c r="H980" t="inlineStr">
        <is>
          <t>Seed</t>
        </is>
      </c>
      <c r="I980" t="inlineStr">
        <is>
          <t>Early</t>
        </is>
      </c>
      <c r="J980" t="inlineStr">
        <is>
          <t>Cleantech</t>
        </is>
      </c>
      <c r="K980" t="inlineStr">
        <is>
          <t>Bengaluru</t>
        </is>
      </c>
      <c r="L980" t="inlineStr">
        <is>
          <t>NOW Venture Studios</t>
        </is>
      </c>
      <c r="M980" t="inlineStr">
        <is>
          <t>NOW Venture Studios; NOW Accelerate</t>
        </is>
      </c>
      <c r="N980" t="inlineStr">
        <is>
          <t>entrackr | inc42</t>
        </is>
      </c>
      <c r="O980" s="20" t="n">
        <v>2</v>
      </c>
      <c r="P980" s="21" t="n">
        <v>0</v>
      </c>
      <c r="Q980" t="inlineStr"/>
      <c r="R980" s="22" t="inlineStr">
        <is>
          <t>https://entrackr.com/snippets/climate-tech-startup-newtral-raises-600k-from-now-accelerate-10540860</t>
        </is>
      </c>
    </row>
    <row r="981">
      <c r="A981" t="inlineStr">
        <is>
          <t>R251008-qapita</t>
        </is>
      </c>
      <c r="B981" t="inlineStr">
        <is>
          <t>Qapita</t>
        </is>
      </c>
      <c r="C981" s="17" t="n">
        <v>45938</v>
      </c>
      <c r="D981" s="18" t="n">
        <v>45931</v>
      </c>
      <c r="E981" s="19" t="n">
        <v>26.5</v>
      </c>
      <c r="F981" s="19" t="n">
        <v>235.21</v>
      </c>
      <c r="G981" t="inlineStr">
        <is>
          <t>$26.5 million</t>
        </is>
      </c>
      <c r="H981" t="inlineStr">
        <is>
          <t>Series B</t>
        </is>
      </c>
      <c r="I981" t="inlineStr">
        <is>
          <t>Growth</t>
        </is>
      </c>
      <c r="J981" t="inlineStr">
        <is>
          <t>Fintech</t>
        </is>
      </c>
      <c r="K981" t="inlineStr">
        <is>
          <t>Outside India</t>
        </is>
      </c>
      <c r="L981" t="inlineStr">
        <is>
          <t>Charles Schwab Corporation</t>
        </is>
      </c>
      <c r="M981" t="inlineStr">
        <is>
          <t>Charles Schwab Corporation; Citi; MassMutual Ventures</t>
        </is>
      </c>
      <c r="N981" t="inlineStr">
        <is>
          <t>entrackr | inc42</t>
        </is>
      </c>
      <c r="O981" s="20" t="n">
        <v>2</v>
      </c>
      <c r="P981" s="21" t="n">
        <v>0</v>
      </c>
      <c r="Q981" t="inlineStr"/>
      <c r="R981" s="22" t="inlineStr">
        <is>
          <t>https://entrackr.com/news/equity-management-platform-qapita-raises-265-mn-in-series-b-round-10542364</t>
        </is>
      </c>
    </row>
    <row r="982">
      <c r="A982" t="inlineStr">
        <is>
          <t>R251009-askmyguru</t>
        </is>
      </c>
      <c r="B982" t="inlineStr">
        <is>
          <t>Ask My Guru</t>
        </is>
      </c>
      <c r="C982" s="17" t="n">
        <v>45939</v>
      </c>
      <c r="D982" s="18" t="n">
        <v>45931</v>
      </c>
      <c r="E982" s="19" t="n">
        <v>0.5</v>
      </c>
      <c r="F982" s="19" t="n">
        <v>4.44</v>
      </c>
      <c r="G982" t="inlineStr">
        <is>
          <t>$500,000</t>
        </is>
      </c>
      <c r="H982" t="inlineStr">
        <is>
          <t>Seed</t>
        </is>
      </c>
      <c r="I982" t="inlineStr">
        <is>
          <t>Early</t>
        </is>
      </c>
      <c r="J982" t="inlineStr">
        <is>
          <t>Consumer Services</t>
        </is>
      </c>
      <c r="K982" t="inlineStr">
        <is>
          <t>Unknown</t>
        </is>
      </c>
      <c r="L982" t="inlineStr">
        <is>
          <t>Matrimony.com</t>
        </is>
      </c>
      <c r="M982" t="inlineStr">
        <is>
          <t>Matrimony.com</t>
        </is>
      </c>
      <c r="N982" t="inlineStr">
        <is>
          <t>entrackr | inc42</t>
        </is>
      </c>
      <c r="O982" s="20" t="n">
        <v>2</v>
      </c>
      <c r="P982" s="21" t="n">
        <v>0</v>
      </c>
      <c r="Q982" t="inlineStr">
        <is>
          <t>C07</t>
        </is>
      </c>
      <c r="R982" s="22" t="inlineStr">
        <is>
          <t>https://entrackr.com/snippets/bharat-matrimony-invests-500k-in-ask-my-guru-10544886</t>
        </is>
      </c>
    </row>
    <row r="983">
      <c r="A983" t="inlineStr">
        <is>
          <t>R251009-reodev</t>
        </is>
      </c>
      <c r="B983" t="inlineStr">
        <is>
          <t>Reo.Dev</t>
        </is>
      </c>
      <c r="C983" s="17" t="n">
        <v>45939</v>
      </c>
      <c r="D983" s="18" t="n">
        <v>45931</v>
      </c>
      <c r="E983" s="19" t="n">
        <v>4</v>
      </c>
      <c r="F983" s="19" t="n">
        <v>35.52</v>
      </c>
      <c r="G983" t="inlineStr">
        <is>
          <t>$4 million</t>
        </is>
      </c>
      <c r="H983" t="inlineStr">
        <is>
          <t>Seed</t>
        </is>
      </c>
      <c r="I983" t="inlineStr">
        <is>
          <t>Early</t>
        </is>
      </c>
      <c r="J983" t="inlineStr">
        <is>
          <t>Artificial Intelligence</t>
        </is>
      </c>
      <c r="K983" t="inlineStr">
        <is>
          <t>Unknown</t>
        </is>
      </c>
      <c r="L983" t="inlineStr">
        <is>
          <t>Heavybit</t>
        </is>
      </c>
      <c r="M983" t="inlineStr">
        <is>
          <t>Heavybit; Foster Ventures; India Quotient</t>
        </is>
      </c>
      <c r="N983" t="inlineStr">
        <is>
          <t>entrackr | inc42</t>
        </is>
      </c>
      <c r="O983" s="20" t="n">
        <v>2</v>
      </c>
      <c r="P983" s="21" t="n">
        <v>0</v>
      </c>
      <c r="Q983" t="inlineStr">
        <is>
          <t>C07</t>
        </is>
      </c>
      <c r="R983" s="22" t="inlineStr">
        <is>
          <t>https://entrackr.com/snippets/reodev-raises-4-mn-in-seed-round-led-by-heavybit-10543976</t>
        </is>
      </c>
    </row>
    <row r="984">
      <c r="A984" t="inlineStr">
        <is>
          <t>R251009-ruskmedia</t>
        </is>
      </c>
      <c r="B984" t="inlineStr">
        <is>
          <t>Rusk Media</t>
        </is>
      </c>
      <c r="C984" s="17" t="n">
        <v>45939</v>
      </c>
      <c r="D984" s="18" t="n">
        <v>45931</v>
      </c>
      <c r="E984" s="19" t="n">
        <v>11.599</v>
      </c>
      <c r="F984" s="19" t="n">
        <v>103</v>
      </c>
      <c r="G984" t="inlineStr">
        <is>
          <t>Rs 103 crore</t>
        </is>
      </c>
      <c r="H984" t="inlineStr">
        <is>
          <t>Series B</t>
        </is>
      </c>
      <c r="I984" t="inlineStr">
        <is>
          <t>Growth</t>
        </is>
      </c>
      <c r="J984" t="inlineStr">
        <is>
          <t>Media &amp; Entertainment</t>
        </is>
      </c>
      <c r="K984" t="inlineStr">
        <is>
          <t>Delhi NCR</t>
        </is>
      </c>
      <c r="L984" t="inlineStr">
        <is>
          <t>IvyCap Ventures</t>
        </is>
      </c>
      <c r="M984" t="inlineStr">
        <is>
          <t>IvyCap Ventures; LC Nueva; InfoEdge Ventures; Woori Venture Partners</t>
        </is>
      </c>
      <c r="N984" t="inlineStr">
        <is>
          <t>entrackr | inc42 | et | vccircle</t>
        </is>
      </c>
      <c r="O984" s="20" t="n">
        <v>4</v>
      </c>
      <c r="P984" s="21" t="n">
        <v>0</v>
      </c>
      <c r="Q984" t="inlineStr"/>
      <c r="R984" s="22" t="inlineStr">
        <is>
          <t>https://entrackr.com/news/rusk-media-raises-rs-103-cr-in-series-b-round-10544942</t>
        </is>
      </c>
    </row>
    <row r="985">
      <c r="A985" t="inlineStr">
        <is>
          <t>R251010-fslife</t>
        </is>
      </c>
      <c r="B985" t="inlineStr">
        <is>
          <t>FS Life</t>
        </is>
      </c>
      <c r="C985" s="17" t="n">
        <v>45940</v>
      </c>
      <c r="D985" s="18" t="n">
        <v>45931</v>
      </c>
      <c r="E985" s="19" t="n">
        <v>5.636</v>
      </c>
      <c r="F985" s="19" t="n">
        <v>50</v>
      </c>
      <c r="G985" t="inlineStr">
        <is>
          <t>Rs 50 crore</t>
        </is>
      </c>
      <c r="H985" t="inlineStr">
        <is>
          <t>Series B</t>
        </is>
      </c>
      <c r="I985" t="inlineStr">
        <is>
          <t>Growth</t>
        </is>
      </c>
      <c r="J985" t="inlineStr">
        <is>
          <t>Ecommerce</t>
        </is>
      </c>
      <c r="K985" t="inlineStr">
        <is>
          <t>Delhi NCR</t>
        </is>
      </c>
      <c r="L985" t="inlineStr">
        <is>
          <t>Colossa Ventures; Rahul Garg</t>
        </is>
      </c>
      <c r="M985" t="inlineStr">
        <is>
          <t>Colossa Ventures; Rahul Garg (founder; IGNITE Growth); Fireside Ventures; Mirabilis Investment Trust; HirePro Consulting; ASA Holdings; NKA Resources</t>
        </is>
      </c>
      <c r="N985" t="inlineStr">
        <is>
          <t>entrackr | inc42</t>
        </is>
      </c>
      <c r="O985" s="20" t="n">
        <v>2</v>
      </c>
      <c r="P985" s="21" t="n">
        <v>0.6</v>
      </c>
      <c r="Q985" t="inlineStr"/>
      <c r="R985" s="22" t="inlineStr">
        <is>
          <t>https://entrackr.com/exclusive/exclusive-fablestreet-parent-fs-life-to-raise-4-mn-in-series-b-10547455</t>
        </is>
      </c>
    </row>
    <row r="986">
      <c r="A986" t="inlineStr">
        <is>
          <t>R251010-hunger</t>
        </is>
      </c>
      <c r="B986" t="inlineStr">
        <is>
          <t>Hunger Inc</t>
        </is>
      </c>
      <c r="C986" s="17" t="n">
        <v>45940</v>
      </c>
      <c r="D986" s="18" t="n">
        <v>45931</v>
      </c>
      <c r="E986" s="19" t="n">
        <v>25</v>
      </c>
      <c r="F986" s="19" t="n">
        <v>221.78</v>
      </c>
      <c r="G986" t="inlineStr">
        <is>
          <t>$25 Mn</t>
        </is>
      </c>
      <c r="H986" t="inlineStr">
        <is>
          <t>Undisclosed</t>
        </is>
      </c>
      <c r="I986" t="inlineStr">
        <is>
          <t>Undisclosed</t>
        </is>
      </c>
      <c r="J986" t="inlineStr">
        <is>
          <t>Foodtech</t>
        </is>
      </c>
      <c r="K986" t="inlineStr">
        <is>
          <t>Unknown</t>
        </is>
      </c>
      <c r="L986" t="inlineStr"/>
      <c r="M986" t="inlineStr">
        <is>
          <t>Lighthouse; DSG Consumer Partners</t>
        </is>
      </c>
      <c r="N986" t="inlineStr">
        <is>
          <t>inc42</t>
        </is>
      </c>
      <c r="O986" s="20" t="n">
        <v>1</v>
      </c>
      <c r="P986" s="21" t="n">
        <v>0</v>
      </c>
      <c r="Q986" t="inlineStr">
        <is>
          <t>C04 C07</t>
        </is>
      </c>
      <c r="R986" s="22" t="inlineStr">
        <is>
          <t>https://inc42.com/buzz/from-dhan-to-intangles-indian-startups-raised-285-mn-this-week/</t>
        </is>
      </c>
    </row>
    <row r="987">
      <c r="A987" t="inlineStr">
        <is>
          <t>R251013-aiensured</t>
        </is>
      </c>
      <c r="B987" t="inlineStr">
        <is>
          <t>AIensured</t>
        </is>
      </c>
      <c r="C987" s="17" t="n">
        <v>45943</v>
      </c>
      <c r="D987" s="18" t="n">
        <v>45931</v>
      </c>
      <c r="E987" s="19" t="n"/>
      <c r="F987" s="19" t="n"/>
      <c r="G987" t="inlineStr"/>
      <c r="H987" t="inlineStr">
        <is>
          <t>Undisclosed</t>
        </is>
      </c>
      <c r="I987" t="inlineStr">
        <is>
          <t>Undisclosed</t>
        </is>
      </c>
      <c r="J987" t="inlineStr">
        <is>
          <t>Artificial Intelligence</t>
        </is>
      </c>
      <c r="K987" t="inlineStr">
        <is>
          <t>Unknown</t>
        </is>
      </c>
      <c r="L987" t="inlineStr">
        <is>
          <t>Software Technology Parks of India; Pontaq</t>
        </is>
      </c>
      <c r="M987" t="inlineStr">
        <is>
          <t>Software Technology Parks of India; Pontaq</t>
        </is>
      </c>
      <c r="N987" t="inlineStr">
        <is>
          <t>inc42</t>
        </is>
      </c>
      <c r="O987" s="20" t="n">
        <v>1</v>
      </c>
      <c r="P987" s="21" t="n"/>
      <c r="Q987" t="inlineStr">
        <is>
          <t>C03 C04 C07</t>
        </is>
      </c>
      <c r="R987" s="22" t="inlineStr">
        <is>
          <t>https://inc42.com/buzz/from-zepto-to-kuku-fm-indian-startups-raised-737-mn-this-week/</t>
        </is>
      </c>
    </row>
    <row r="988">
      <c r="A988" t="inlineStr">
        <is>
          <t>R251013-charatechnolog</t>
        </is>
      </c>
      <c r="B988" t="inlineStr">
        <is>
          <t>Chara Technologies</t>
        </is>
      </c>
      <c r="C988" s="17" t="n">
        <v>45943</v>
      </c>
      <c r="D988" s="18" t="n">
        <v>45931</v>
      </c>
      <c r="E988" s="19" t="n">
        <v>5.863</v>
      </c>
      <c r="F988" s="19" t="n">
        <v>52</v>
      </c>
      <c r="G988" t="inlineStr">
        <is>
          <t>Rs 52 crore</t>
        </is>
      </c>
      <c r="H988" t="inlineStr">
        <is>
          <t>Series A</t>
        </is>
      </c>
      <c r="I988" t="inlineStr">
        <is>
          <t>Early</t>
        </is>
      </c>
      <c r="J988" t="inlineStr">
        <is>
          <t>Cleantech</t>
        </is>
      </c>
      <c r="K988" t="inlineStr">
        <is>
          <t>Bengaluru</t>
        </is>
      </c>
      <c r="L988" t="inlineStr">
        <is>
          <t>Arkam Ventures; Kalaari Capital; IIMA Ventures</t>
        </is>
      </c>
      <c r="M988" t="inlineStr">
        <is>
          <t>Arkam Ventures; IIMA Ventures; Exfinity Venture Partners; Kalaari Capital</t>
        </is>
      </c>
      <c r="N988" t="inlineStr">
        <is>
          <t>entrackr | inc42 | et</t>
        </is>
      </c>
      <c r="O988" s="20" t="n">
        <v>3</v>
      </c>
      <c r="P988" s="21" t="n">
        <v>6.9</v>
      </c>
      <c r="Q988" t="inlineStr"/>
      <c r="R988" s="22" t="inlineStr">
        <is>
          <t>https://entrackr.com/snippets/chara-technologies-raises-6-mn-in-series-a-led-by-arkam-ventures-10556040</t>
        </is>
      </c>
    </row>
    <row r="989">
      <c r="A989" t="inlineStr">
        <is>
          <t>R251013-dezerv</t>
        </is>
      </c>
      <c r="B989" t="inlineStr">
        <is>
          <t>Dezerv</t>
        </is>
      </c>
      <c r="C989" s="17" t="n">
        <v>45943</v>
      </c>
      <c r="D989" s="18" t="n">
        <v>45931</v>
      </c>
      <c r="E989" s="19" t="n">
        <v>39.463</v>
      </c>
      <c r="F989" s="19" t="n">
        <v>350</v>
      </c>
      <c r="G989" t="inlineStr">
        <is>
          <t>Rs 350 crore</t>
        </is>
      </c>
      <c r="H989" t="inlineStr">
        <is>
          <t>Series C</t>
        </is>
      </c>
      <c r="I989" t="inlineStr">
        <is>
          <t>Growth</t>
        </is>
      </c>
      <c r="J989" t="inlineStr">
        <is>
          <t>Fintech</t>
        </is>
      </c>
      <c r="K989" t="inlineStr">
        <is>
          <t>Mumbai</t>
        </is>
      </c>
      <c r="L989" t="inlineStr">
        <is>
          <t>Premji Invest; Accel; Global Growth Fund</t>
        </is>
      </c>
      <c r="M989" t="inlineStr">
        <is>
          <t>Premji Invest; Accel; Elevation Capital; Z47; Global Growth Fund</t>
        </is>
      </c>
      <c r="N989" t="inlineStr">
        <is>
          <t>entrackr | inc42 | et</t>
        </is>
      </c>
      <c r="O989" s="20" t="n">
        <v>3</v>
      </c>
      <c r="P989" s="21" t="n">
        <v>0.2</v>
      </c>
      <c r="Q989" t="inlineStr"/>
      <c r="R989" s="22" t="inlineStr">
        <is>
          <t>https://entrackr.com/news/wealthtech-firm-dezerv-raises-40-mn-led-by-premji-invest-and-accel-10555803</t>
        </is>
      </c>
    </row>
    <row r="990">
      <c r="A990" t="inlineStr">
        <is>
          <t>R251013-goodscore</t>
        </is>
      </c>
      <c r="B990" t="inlineStr">
        <is>
          <t>GoodScore</t>
        </is>
      </c>
      <c r="C990" s="17" t="n">
        <v>45943</v>
      </c>
      <c r="D990" s="18" t="n">
        <v>45931</v>
      </c>
      <c r="E990" s="19" t="n">
        <v>13</v>
      </c>
      <c r="F990" s="19" t="n">
        <v>115.3</v>
      </c>
      <c r="G990" t="inlineStr">
        <is>
          <t>$13 million</t>
        </is>
      </c>
      <c r="H990" t="inlineStr">
        <is>
          <t>Series A</t>
        </is>
      </c>
      <c r="I990" t="inlineStr">
        <is>
          <t>Early</t>
        </is>
      </c>
      <c r="J990" t="inlineStr">
        <is>
          <t>Fintech</t>
        </is>
      </c>
      <c r="K990" t="inlineStr">
        <is>
          <t>Bengaluru</t>
        </is>
      </c>
      <c r="L990" t="inlineStr">
        <is>
          <t>Peak XV Partners</t>
        </is>
      </c>
      <c r="M990" t="inlineStr">
        <is>
          <t>Peak XV Partners; Stellaris Venture Partners; Saison Capital</t>
        </is>
      </c>
      <c r="N990" t="inlineStr">
        <is>
          <t>entrackr | inc42 | et</t>
        </is>
      </c>
      <c r="O990" s="20" t="n">
        <v>3</v>
      </c>
      <c r="P990" s="21" t="n">
        <v>0</v>
      </c>
      <c r="Q990" t="inlineStr"/>
      <c r="R990" s="22" t="inlineStr">
        <is>
          <t>https://entrackr.com/news/goodscore-raises-13-mn-in-series-a-round-led-by-peak-xv-10556674</t>
        </is>
      </c>
    </row>
    <row r="991">
      <c r="A991" t="inlineStr">
        <is>
          <t>R251013-reiadiamonds</t>
        </is>
      </c>
      <c r="B991" t="inlineStr">
        <is>
          <t>Réia Diamonds</t>
        </is>
      </c>
      <c r="C991" s="17" t="n">
        <v>45943</v>
      </c>
      <c r="D991" s="18" t="n">
        <v>45931</v>
      </c>
      <c r="E991" s="19" t="n">
        <v>0.226</v>
      </c>
      <c r="F991" s="19" t="n">
        <v>2</v>
      </c>
      <c r="G991" t="inlineStr">
        <is>
          <t>Rs 2 crore</t>
        </is>
      </c>
      <c r="H991" t="inlineStr">
        <is>
          <t>Pre-Seed</t>
        </is>
      </c>
      <c r="I991" t="inlineStr">
        <is>
          <t>Early</t>
        </is>
      </c>
      <c r="J991" t="inlineStr">
        <is>
          <t>Ecommerce</t>
        </is>
      </c>
      <c r="K991" t="inlineStr">
        <is>
          <t>Unknown</t>
        </is>
      </c>
      <c r="L991" t="inlineStr">
        <is>
          <t>Dinesh Talera</t>
        </is>
      </c>
      <c r="M991" t="inlineStr">
        <is>
          <t>Dinesh Talera (founder; Mysore Saree Udyog); Venture Catalysts</t>
        </is>
      </c>
      <c r="N991" t="inlineStr">
        <is>
          <t>entrackr | inc42</t>
        </is>
      </c>
      <c r="O991" s="20" t="n">
        <v>2</v>
      </c>
      <c r="P991" s="21" t="n">
        <v>0.7</v>
      </c>
      <c r="Q991" t="inlineStr">
        <is>
          <t>C07</t>
        </is>
      </c>
      <c r="R991" s="22" t="inlineStr">
        <is>
          <t>https://inc42.com/buzz/from-zepto-to-kuku-fm-indian-startups-raised-737-mn-this-week/</t>
        </is>
      </c>
    </row>
    <row r="992">
      <c r="A992" t="inlineStr">
        <is>
          <t>R251013-smallestai</t>
        </is>
      </c>
      <c r="B992" t="inlineStr">
        <is>
          <t>smallest.ai</t>
        </is>
      </c>
      <c r="C992" s="17" t="n">
        <v>45943</v>
      </c>
      <c r="D992" s="18" t="n">
        <v>45931</v>
      </c>
      <c r="E992" s="19" t="n">
        <v>8</v>
      </c>
      <c r="F992" s="19" t="n">
        <v>70.95</v>
      </c>
      <c r="G992" t="inlineStr">
        <is>
          <t>$8 million</t>
        </is>
      </c>
      <c r="H992" t="inlineStr">
        <is>
          <t>Seed</t>
        </is>
      </c>
      <c r="I992" t="inlineStr">
        <is>
          <t>Early</t>
        </is>
      </c>
      <c r="J992" t="inlineStr">
        <is>
          <t>Artificial Intelligence</t>
        </is>
      </c>
      <c r="K992" t="inlineStr">
        <is>
          <t>Unknown</t>
        </is>
      </c>
      <c r="L992" t="inlineStr">
        <is>
          <t>Sierra Ventures</t>
        </is>
      </c>
      <c r="M992" t="inlineStr">
        <is>
          <t>Sierra Ventures; 3one4 Capital; Better Capital; Upsparks Capital; Schema Ventures; DeVC; Mission Street Capital; Boris Wertz (founder; Version One Ventures); Multiply Ventures); Shyamal Hitesh Anadkat (applied AI; OpenAI)</t>
        </is>
      </c>
      <c r="N992" t="inlineStr">
        <is>
          <t>entrackr | inc42</t>
        </is>
      </c>
      <c r="O992" s="20" t="n">
        <v>2</v>
      </c>
      <c r="P992" s="21" t="n">
        <v>0</v>
      </c>
      <c r="Q992" t="inlineStr">
        <is>
          <t>C07 C16</t>
        </is>
      </c>
      <c r="R992" s="22" t="inlineStr">
        <is>
          <t>https://inc42.com/buzz/from-zepto-to-kuku-fm-indian-startups-raised-737-mn-this-week/</t>
        </is>
      </c>
    </row>
    <row r="993">
      <c r="A993" t="inlineStr">
        <is>
          <t>R251013-twobrothersorg</t>
        </is>
      </c>
      <c r="B993" t="inlineStr">
        <is>
          <t>Two Brothers Organic Farms</t>
        </is>
      </c>
      <c r="C993" s="17" t="n">
        <v>45943</v>
      </c>
      <c r="D993" s="18" t="n">
        <v>45931</v>
      </c>
      <c r="E993" s="19" t="n">
        <v>12.403</v>
      </c>
      <c r="F993" s="19" t="n">
        <v>110</v>
      </c>
      <c r="G993" t="inlineStr">
        <is>
          <t>Rs 110 crore</t>
        </is>
      </c>
      <c r="H993" t="inlineStr">
        <is>
          <t>Series B</t>
        </is>
      </c>
      <c r="I993" t="inlineStr">
        <is>
          <t>Growth</t>
        </is>
      </c>
      <c r="J993" t="inlineStr">
        <is>
          <t>Ecommerce</t>
        </is>
      </c>
      <c r="K993" t="inlineStr">
        <is>
          <t>Pune</t>
        </is>
      </c>
      <c r="L993" t="inlineStr">
        <is>
          <t>360 ONE Asset</t>
        </is>
      </c>
      <c r="M993" t="inlineStr">
        <is>
          <t>360 ONE Asset; Rainmatter; Narotam Sekhsaria Family Office; IGNITE Growth Solutions)</t>
        </is>
      </c>
      <c r="N993" t="inlineStr">
        <is>
          <t>entrackr | inc42 | et | vccircle</t>
        </is>
      </c>
      <c r="O993" s="20" t="n">
        <v>4</v>
      </c>
      <c r="P993" s="21" t="n">
        <v>0</v>
      </c>
      <c r="Q993" t="inlineStr"/>
      <c r="R993" s="22" t="inlineStr">
        <is>
          <t>https://inc42.com/buzz/from-zepto-to-kuku-fm-indian-startups-raised-737-mn-this-week/</t>
        </is>
      </c>
    </row>
    <row r="994">
      <c r="A994" t="inlineStr">
        <is>
          <t>R251013-without</t>
        </is>
      </c>
      <c r="B994" t="inlineStr">
        <is>
          <t>Without</t>
        </is>
      </c>
      <c r="C994" s="17" t="n">
        <v>45943</v>
      </c>
      <c r="D994" s="18" t="n">
        <v>45931</v>
      </c>
      <c r="E994" s="19" t="n">
        <v>1.9</v>
      </c>
      <c r="F994" s="19" t="n">
        <v>16.85</v>
      </c>
      <c r="G994" t="inlineStr">
        <is>
          <t>$1.9 Mn</t>
        </is>
      </c>
      <c r="H994" t="inlineStr">
        <is>
          <t>Seed</t>
        </is>
      </c>
      <c r="I994" t="inlineStr">
        <is>
          <t>Early</t>
        </is>
      </c>
      <c r="J994" t="inlineStr">
        <is>
          <t>Cleantech</t>
        </is>
      </c>
      <c r="K994" t="inlineStr">
        <is>
          <t>Unknown</t>
        </is>
      </c>
      <c r="L994" t="inlineStr">
        <is>
          <t>Rewilding Wealth</t>
        </is>
      </c>
      <c r="M994" t="inlineStr">
        <is>
          <t>Rewilding Wealth; Spectrum Impact; Dia Mirza; Veena More; Vishwanath Ramarao (cofounder; Acko)</t>
        </is>
      </c>
      <c r="N994" t="inlineStr">
        <is>
          <t>inc42</t>
        </is>
      </c>
      <c r="O994" s="20" t="n">
        <v>1</v>
      </c>
      <c r="P994" s="21" t="n">
        <v>0</v>
      </c>
      <c r="Q994" t="inlineStr">
        <is>
          <t>C07</t>
        </is>
      </c>
      <c r="R994" s="22" t="inlineStr">
        <is>
          <t>https://inc42.com/buzz/from-zepto-to-kuku-fm-indian-startups-raised-737-mn-this-week/</t>
        </is>
      </c>
    </row>
    <row r="995">
      <c r="A995" t="inlineStr">
        <is>
          <t>R251014-airbound</t>
        </is>
      </c>
      <c r="B995" t="inlineStr">
        <is>
          <t>Airbound</t>
        </is>
      </c>
      <c r="C995" s="17" t="n">
        <v>45944</v>
      </c>
      <c r="D995" s="18" t="n">
        <v>45931</v>
      </c>
      <c r="E995" s="19" t="n">
        <v>8.65</v>
      </c>
      <c r="F995" s="19" t="n">
        <v>76.8</v>
      </c>
      <c r="G995" t="inlineStr">
        <is>
          <t>$8.65 million</t>
        </is>
      </c>
      <c r="H995" t="inlineStr">
        <is>
          <t>Seed</t>
        </is>
      </c>
      <c r="I995" t="inlineStr">
        <is>
          <t>Early</t>
        </is>
      </c>
      <c r="J995" t="inlineStr">
        <is>
          <t>Advanced Hardware &amp; Technology</t>
        </is>
      </c>
      <c r="K995" t="inlineStr">
        <is>
          <t>Bengaluru</t>
        </is>
      </c>
      <c r="L995" t="inlineStr">
        <is>
          <t>Lachy Groom</t>
        </is>
      </c>
      <c r="M995" t="inlineStr">
        <is>
          <t>Lachy Groom (founder; Physical Intelligence); Humba Ventures; Lightspeed; Anduril; Ather Energy; Tesla</t>
        </is>
      </c>
      <c r="N995" t="inlineStr">
        <is>
          <t>entrackr | inc42 | et</t>
        </is>
      </c>
      <c r="O995" s="20" t="n">
        <v>3</v>
      </c>
      <c r="P995" s="21" t="n">
        <v>0.6</v>
      </c>
      <c r="Q995" t="inlineStr"/>
      <c r="R995" s="22" t="inlineStr">
        <is>
          <t>https://entrackr.com/snippets/airbound-raises-865-mn-in-seed-funding-round-10561322</t>
        </is>
      </c>
    </row>
    <row r="996">
      <c r="A996" t="inlineStr">
        <is>
          <t>R251014-airoclip</t>
        </is>
      </c>
      <c r="B996" t="inlineStr">
        <is>
          <t>Airoclip</t>
        </is>
      </c>
      <c r="C996" s="17" t="n">
        <v>45944</v>
      </c>
      <c r="D996" s="18" t="n">
        <v>45931</v>
      </c>
      <c r="E996" s="19" t="n">
        <v>2.75</v>
      </c>
      <c r="F996" s="19" t="n">
        <v>24.42</v>
      </c>
      <c r="G996" t="inlineStr">
        <is>
          <t>$2.75 million</t>
        </is>
      </c>
      <c r="H996" t="inlineStr">
        <is>
          <t>Seed</t>
        </is>
      </c>
      <c r="I996" t="inlineStr">
        <is>
          <t>Early</t>
        </is>
      </c>
      <c r="J996" t="inlineStr">
        <is>
          <t>Media &amp; Entertainment</t>
        </is>
      </c>
      <c r="K996" t="inlineStr">
        <is>
          <t>Unknown</t>
        </is>
      </c>
      <c r="L996" t="inlineStr">
        <is>
          <t>T-Accelerate Capital; Centre Court Capital; BITKRAFT Ventures</t>
        </is>
      </c>
      <c r="M996" t="inlineStr">
        <is>
          <t>T-Accelerate Capital; Centre Court Capital; BITKRAFT Ventures</t>
        </is>
      </c>
      <c r="N996" t="inlineStr">
        <is>
          <t>entrackr | inc42</t>
        </is>
      </c>
      <c r="O996" s="20" t="n">
        <v>2</v>
      </c>
      <c r="P996" s="21" t="n">
        <v>1.8</v>
      </c>
      <c r="Q996" t="inlineStr">
        <is>
          <t>C07</t>
        </is>
      </c>
      <c r="R996" s="22" t="inlineStr">
        <is>
          <t>https://entrackr.com/snippets/airoclip-raises-275-mn-in-seed-round-led-by-t-accelerate-capital-10560589</t>
        </is>
      </c>
    </row>
    <row r="997">
      <c r="A997" t="inlineStr">
        <is>
          <t>R251014-currently</t>
        </is>
      </c>
      <c r="B997" t="inlineStr">
        <is>
          <t>Currently</t>
        </is>
      </c>
      <c r="C997" s="17" t="n">
        <v>45944</v>
      </c>
      <c r="D997" s="18" t="n">
        <v>45931</v>
      </c>
      <c r="E997" s="19" t="n">
        <v>1</v>
      </c>
      <c r="F997" s="19" t="n">
        <v>8.880000000000001</v>
      </c>
      <c r="G997" t="inlineStr">
        <is>
          <t>$1 million</t>
        </is>
      </c>
      <c r="H997" t="inlineStr">
        <is>
          <t>Undisclosed</t>
        </is>
      </c>
      <c r="I997" t="inlineStr">
        <is>
          <t>Undisclosed</t>
        </is>
      </c>
      <c r="J997" t="inlineStr">
        <is>
          <t>Media &amp; Entertainment</t>
        </is>
      </c>
      <c r="K997" t="inlineStr">
        <is>
          <t>Unknown</t>
        </is>
      </c>
      <c r="L997" t="inlineStr">
        <is>
          <t>Aarvi Family Office LLP; Dhruv Patel; Pratik Patel; Neerav Dad; Arpit Patel; Priyank Parmar</t>
        </is>
      </c>
      <c r="M997" t="inlineStr">
        <is>
          <t>Aarvi Family Office LLP; LJ Knowledge Foundation; Dhruv Patel; Pratik Patel; Neerav Dad (founder; FinFirst); Arpit Patel; Priyank Parmar</t>
        </is>
      </c>
      <c r="N997" t="inlineStr">
        <is>
          <t>entrackr | inc42</t>
        </is>
      </c>
      <c r="O997" s="20" t="n">
        <v>2</v>
      </c>
      <c r="P997" s="21" t="n">
        <v>0</v>
      </c>
      <c r="Q997" t="inlineStr">
        <is>
          <t>C04 C07</t>
        </is>
      </c>
      <c r="R997" s="22" t="inlineStr">
        <is>
          <t>https://entrackr.com/snippets/social-network-app-currently-raises-1-mn-led-by-aarvi-family-office-10560015</t>
        </is>
      </c>
    </row>
    <row r="998">
      <c r="A998" t="inlineStr">
        <is>
          <t>R251014-feryrides</t>
        </is>
      </c>
      <c r="B998" t="inlineStr">
        <is>
          <t>Fery Rides</t>
        </is>
      </c>
      <c r="C998" s="17" t="n">
        <v>45944</v>
      </c>
      <c r="D998" s="18" t="n">
        <v>45931</v>
      </c>
      <c r="E998" s="19" t="n">
        <v>0.236</v>
      </c>
      <c r="F998" s="19" t="n">
        <v>2.1</v>
      </c>
      <c r="G998" t="inlineStr">
        <is>
          <t>$236K</t>
        </is>
      </c>
      <c r="H998" t="inlineStr">
        <is>
          <t>Seed</t>
        </is>
      </c>
      <c r="I998" t="inlineStr">
        <is>
          <t>Early</t>
        </is>
      </c>
      <c r="J998" t="inlineStr">
        <is>
          <t>Travel Tech</t>
        </is>
      </c>
      <c r="K998" t="inlineStr">
        <is>
          <t>Unknown</t>
        </is>
      </c>
      <c r="L998" t="inlineStr">
        <is>
          <t>IAN Group</t>
        </is>
      </c>
      <c r="M998" t="inlineStr">
        <is>
          <t>IAN Group</t>
        </is>
      </c>
      <c r="N998" t="inlineStr">
        <is>
          <t>inc42</t>
        </is>
      </c>
      <c r="O998" s="20" t="n">
        <v>1</v>
      </c>
      <c r="P998" s="21" t="n">
        <v>0</v>
      </c>
      <c r="Q998" t="inlineStr">
        <is>
          <t>C07</t>
        </is>
      </c>
      <c r="R998" s="22" t="inlineStr">
        <is>
          <t>https://inc42.com/buzz/from-zepto-to-kuku-fm-indian-startups-raised-737-mn-this-week/</t>
        </is>
      </c>
    </row>
    <row r="999">
      <c r="A999" t="inlineStr">
        <is>
          <t>R251014-houseeazy</t>
        </is>
      </c>
      <c r="B999" t="inlineStr">
        <is>
          <t>HouseEazy</t>
        </is>
      </c>
      <c r="C999" s="17" t="n">
        <v>45944</v>
      </c>
      <c r="D999" s="18" t="n">
        <v>45931</v>
      </c>
      <c r="E999" s="19" t="n">
        <v>16.894</v>
      </c>
      <c r="F999" s="19" t="n">
        <v>150</v>
      </c>
      <c r="G999" t="inlineStr">
        <is>
          <t>Rs 150 crore</t>
        </is>
      </c>
      <c r="H999" t="inlineStr">
        <is>
          <t>Series B</t>
        </is>
      </c>
      <c r="I999" t="inlineStr">
        <is>
          <t>Growth</t>
        </is>
      </c>
      <c r="J999" t="inlineStr">
        <is>
          <t>Real Estate Tech</t>
        </is>
      </c>
      <c r="K999" t="inlineStr">
        <is>
          <t>Unknown</t>
        </is>
      </c>
      <c r="L999" t="inlineStr">
        <is>
          <t>Accel</t>
        </is>
      </c>
      <c r="M999" t="inlineStr">
        <is>
          <t>Accel; Chiratae Ventures; Antler</t>
        </is>
      </c>
      <c r="N999" t="inlineStr">
        <is>
          <t>entrackr | inc42 | et</t>
        </is>
      </c>
      <c r="O999" s="20" t="n">
        <v>3</v>
      </c>
      <c r="P999" s="21" t="n">
        <v>0.6</v>
      </c>
      <c r="Q999" t="inlineStr">
        <is>
          <t>C07 C18</t>
        </is>
      </c>
      <c r="R999" s="22" t="inlineStr">
        <is>
          <t>https://entrackr.com/news/houseeazy-raises-rs-150-cr-in-series-b-round-led-by-accel-10560758</t>
        </is>
      </c>
    </row>
    <row r="1000">
      <c r="A1000" t="inlineStr">
        <is>
          <t>R251014-muttleycrew</t>
        </is>
      </c>
      <c r="B1000" t="inlineStr">
        <is>
          <t>Muttley Crew</t>
        </is>
      </c>
      <c r="C1000" s="17" t="n">
        <v>45944</v>
      </c>
      <c r="D1000" s="18" t="n">
        <v>45931</v>
      </c>
      <c r="E1000" s="19" t="n">
        <v>0.425</v>
      </c>
      <c r="F1000" s="19" t="n">
        <v>3.77</v>
      </c>
      <c r="G1000" t="inlineStr">
        <is>
          <t>$425K</t>
        </is>
      </c>
      <c r="H1000" t="inlineStr">
        <is>
          <t>Seed</t>
        </is>
      </c>
      <c r="I1000" t="inlineStr">
        <is>
          <t>Early</t>
        </is>
      </c>
      <c r="J1000" t="inlineStr">
        <is>
          <t>Ecommerce</t>
        </is>
      </c>
      <c r="K1000" t="inlineStr">
        <is>
          <t>Unknown</t>
        </is>
      </c>
      <c r="L1000" t="inlineStr"/>
      <c r="M1000" t="inlineStr"/>
      <c r="N1000" t="inlineStr">
        <is>
          <t>inc42</t>
        </is>
      </c>
      <c r="O1000" s="20" t="n">
        <v>1</v>
      </c>
      <c r="P1000" s="21" t="n">
        <v>0</v>
      </c>
      <c r="Q1000" t="inlineStr">
        <is>
          <t>C05 C07</t>
        </is>
      </c>
      <c r="R1000" s="22" t="inlineStr">
        <is>
          <t>https://inc42.com/buzz/from-zepto-to-kuku-fm-indian-startups-raised-737-mn-this-week/</t>
        </is>
      </c>
    </row>
    <row r="1001">
      <c r="A1001" t="inlineStr">
        <is>
          <t>R251014-orangesugar</t>
        </is>
      </c>
      <c r="B1001" t="inlineStr">
        <is>
          <t>Orange Sugar</t>
        </is>
      </c>
      <c r="C1001" s="17" t="n">
        <v>45944</v>
      </c>
      <c r="D1001" s="18" t="n">
        <v>45931</v>
      </c>
      <c r="E1001" s="19" t="n">
        <v>0.451</v>
      </c>
      <c r="F1001" s="19" t="n">
        <v>4</v>
      </c>
      <c r="G1001" t="inlineStr">
        <is>
          <t>Rs 4 crore</t>
        </is>
      </c>
      <c r="H1001" t="inlineStr">
        <is>
          <t>Pre-Seed</t>
        </is>
      </c>
      <c r="I1001" t="inlineStr">
        <is>
          <t>Early</t>
        </is>
      </c>
      <c r="J1001" t="inlineStr">
        <is>
          <t>Ecommerce</t>
        </is>
      </c>
      <c r="K1001" t="inlineStr">
        <is>
          <t>Unknown</t>
        </is>
      </c>
      <c r="L1001" t="inlineStr">
        <is>
          <t>Ramakant Sharma (cofounder; Livspace); Saurabh Jain (cofounder; Srivatsan Chari (cofounder; Cleartax); Kunal Mahipal (cofounder; Onsitego) Meghana Agarwal (cofounder; Goldman Sachs)</t>
        </is>
      </c>
      <c r="M1001" t="inlineStr">
        <is>
          <t>Ramakant Sharma (cofounder; Livspace); Saurabh Jain (cofounder; Srivatsan Chari (cofounder; Cleartax); Kunal Mahipal (cofounder; Onsitego) Meghana Agarwal (cofounder; Goldman Sachs); Sunil Khaitan</t>
        </is>
      </c>
      <c r="N1001" t="inlineStr">
        <is>
          <t>entrackr | inc42</t>
        </is>
      </c>
      <c r="O1001" s="20" t="n">
        <v>2</v>
      </c>
      <c r="P1001" s="21" t="n">
        <v>1</v>
      </c>
      <c r="Q1001" t="inlineStr">
        <is>
          <t>C07</t>
        </is>
      </c>
      <c r="R1001" s="22" t="inlineStr">
        <is>
          <t>https://entrackr.com/snippets/kidswear-brand-orange-sugar-raises-pre-seed-round-10560853</t>
        </is>
      </c>
    </row>
    <row r="1002">
      <c r="A1002" t="inlineStr">
        <is>
          <t>R251014-speakx</t>
        </is>
      </c>
      <c r="B1002" t="inlineStr">
        <is>
          <t>SpeakX</t>
        </is>
      </c>
      <c r="C1002" s="17" t="n">
        <v>45944</v>
      </c>
      <c r="D1002" s="18" t="n">
        <v>45931</v>
      </c>
      <c r="E1002" s="19" t="n">
        <v>16</v>
      </c>
      <c r="F1002" s="19" t="n">
        <v>142.06</v>
      </c>
      <c r="G1002" t="inlineStr">
        <is>
          <t>$16 million</t>
        </is>
      </c>
      <c r="H1002" t="inlineStr">
        <is>
          <t>Pre-Series B</t>
        </is>
      </c>
      <c r="I1002" t="inlineStr">
        <is>
          <t>Growth</t>
        </is>
      </c>
      <c r="J1002" t="inlineStr">
        <is>
          <t>Edtech</t>
        </is>
      </c>
      <c r="K1002" t="inlineStr">
        <is>
          <t>Delhi NCR</t>
        </is>
      </c>
      <c r="L1002" t="inlineStr">
        <is>
          <t>WestBridge Capital; Arpit Mittal told ET</t>
        </is>
      </c>
      <c r="M1002" t="inlineStr">
        <is>
          <t>WestBridge Capital; Goodwater Capital; Elevation Capital; Ronnie Screwvala (cofounder; upGrad); Shyamal Anadkat (executive; OpenAI); Arpit Mittal told ET; India Quotient</t>
        </is>
      </c>
      <c r="N1002" t="inlineStr">
        <is>
          <t>entrackr | inc42 | et</t>
        </is>
      </c>
      <c r="O1002" s="20" t="n">
        <v>3</v>
      </c>
      <c r="P1002" s="21" t="n">
        <v>0</v>
      </c>
      <c r="Q1002" t="inlineStr"/>
      <c r="R1002" s="22" t="inlineStr">
        <is>
          <t>https://entrackr.com/news/edtech-startup-speakx-raises-16-mn-led-by-westbridge-10559891</t>
        </is>
      </c>
    </row>
    <row r="1003">
      <c r="A1003" t="inlineStr">
        <is>
          <t>R251015-coindcx</t>
        </is>
      </c>
      <c r="B1003" t="inlineStr">
        <is>
          <t>CoinDCX</t>
        </is>
      </c>
      <c r="C1003" s="17" t="n">
        <v>45945</v>
      </c>
      <c r="D1003" s="18" t="n">
        <v>45931</v>
      </c>
      <c r="E1003" s="19" t="n"/>
      <c r="F1003" s="19" t="n"/>
      <c r="G1003" t="inlineStr"/>
      <c r="H1003" t="inlineStr">
        <is>
          <t>Undisclosed</t>
        </is>
      </c>
      <c r="I1003" t="inlineStr">
        <is>
          <t>Undisclosed</t>
        </is>
      </c>
      <c r="J1003" t="inlineStr">
        <is>
          <t>Web3</t>
        </is>
      </c>
      <c r="K1003" t="inlineStr">
        <is>
          <t>Unknown</t>
        </is>
      </c>
      <c r="L1003" t="inlineStr">
        <is>
          <t>Coinbase</t>
        </is>
      </c>
      <c r="M1003" t="inlineStr">
        <is>
          <t>Coinbase</t>
        </is>
      </c>
      <c r="N1003" t="inlineStr">
        <is>
          <t>inc42</t>
        </is>
      </c>
      <c r="O1003" s="20" t="n">
        <v>1</v>
      </c>
      <c r="P1003" s="21" t="n"/>
      <c r="Q1003" t="inlineStr">
        <is>
          <t>C03 C04 C07</t>
        </is>
      </c>
      <c r="R1003" s="22" t="inlineStr">
        <is>
          <t>https://inc42.com/buzz/from-zepto-to-kuku-fm-indian-startups-raised-737-mn-this-week/</t>
        </is>
      </c>
    </row>
    <row r="1004">
      <c r="A1004" t="inlineStr">
        <is>
          <t>R251015-consuma</t>
        </is>
      </c>
      <c r="B1004" t="inlineStr">
        <is>
          <t>Consuma</t>
        </is>
      </c>
      <c r="C1004" s="17" t="n">
        <v>45945</v>
      </c>
      <c r="D1004" s="18" t="n">
        <v>45931</v>
      </c>
      <c r="E1004" s="19" t="n">
        <v>1.3</v>
      </c>
      <c r="F1004" s="19" t="n">
        <v>11.45</v>
      </c>
      <c r="G1004" t="inlineStr">
        <is>
          <t>$1.3 million</t>
        </is>
      </c>
      <c r="H1004" t="inlineStr">
        <is>
          <t>Seed</t>
        </is>
      </c>
      <c r="I1004" t="inlineStr">
        <is>
          <t>Early</t>
        </is>
      </c>
      <c r="J1004" t="inlineStr">
        <is>
          <t>Artificial Intelligence</t>
        </is>
      </c>
      <c r="K1004" t="inlineStr">
        <is>
          <t>Bengaluru</t>
        </is>
      </c>
      <c r="L1004" t="inlineStr">
        <is>
          <t>Equirus InnovateX; Abhishek Goyal; Mekin Maheshwari; Bhavik Dholakia; Harsh Shah; Arnav Kumar; Biswa Kalyan Rath</t>
        </is>
      </c>
      <c r="M1004" t="inlineStr">
        <is>
          <t>Equirus InnovateX; Abhishek Goyal (cofounder; Tracxn); Mekin Maheshwari (ex-CPO; Flipkart); Bhavik Dholakia (founder; Swatantra Wealth); Harsh Shah (founder; Fynd); Arnav Kumar (founder; Leap Finance); Shiv Kapoor (VP; Titan Capital); Biswa Kalyan Rath</t>
        </is>
      </c>
      <c r="N1004" t="inlineStr">
        <is>
          <t>entrackr | inc42 | et</t>
        </is>
      </c>
      <c r="O1004" s="20" t="n">
        <v>3</v>
      </c>
      <c r="P1004" s="21" t="n">
        <v>4.8</v>
      </c>
      <c r="Q1004" t="inlineStr"/>
      <c r="R1004" s="22" t="inlineStr">
        <is>
          <t>https://entrackr.com/snippets/consuma-raises-13-mn-in-seed-round-led-by-equirus-innovatex-fund-10564332</t>
        </is>
      </c>
    </row>
    <row r="1005">
      <c r="A1005" t="inlineStr">
        <is>
          <t>R251015-everbrightheal</t>
        </is>
      </c>
      <c r="B1005" t="inlineStr">
        <is>
          <t>Everbright Health</t>
        </is>
      </c>
      <c r="C1005" s="17" t="n">
        <v>45945</v>
      </c>
      <c r="D1005" s="18" t="n">
        <v>45931</v>
      </c>
      <c r="E1005" s="19" t="n">
        <v>7</v>
      </c>
      <c r="F1005" s="19" t="n">
        <v>61.64</v>
      </c>
      <c r="G1005" t="inlineStr">
        <is>
          <t>$7 million</t>
        </is>
      </c>
      <c r="H1005" t="inlineStr">
        <is>
          <t>Seed</t>
        </is>
      </c>
      <c r="I1005" t="inlineStr">
        <is>
          <t>Early</t>
        </is>
      </c>
      <c r="J1005" t="inlineStr">
        <is>
          <t>Healthtech</t>
        </is>
      </c>
      <c r="K1005" t="inlineStr">
        <is>
          <t>Unknown</t>
        </is>
      </c>
      <c r="L1005" t="inlineStr">
        <is>
          <t>W Health Ventures; Sanos Capital</t>
        </is>
      </c>
      <c r="M1005" t="inlineStr">
        <is>
          <t>W Health Ventures; Sanos Capital</t>
        </is>
      </c>
      <c r="N1005" t="inlineStr">
        <is>
          <t>entrackr</t>
        </is>
      </c>
      <c r="O1005" s="20" t="n">
        <v>1</v>
      </c>
      <c r="P1005" s="21" t="n">
        <v>0</v>
      </c>
      <c r="Q1005" t="inlineStr">
        <is>
          <t>C07</t>
        </is>
      </c>
      <c r="R1005" s="22" t="inlineStr">
        <is>
          <t>https://entrackr.com/snippets/everbright-health-raises-7-mn-in-seed-round-led-by-w-health-ventures-10564665</t>
        </is>
      </c>
    </row>
    <row r="1006">
      <c r="A1006" t="inlineStr">
        <is>
          <t>R251015-flowatt</t>
        </is>
      </c>
      <c r="B1006" t="inlineStr">
        <is>
          <t>Flowatt Battery Science</t>
        </is>
      </c>
      <c r="C1006" s="17" t="n">
        <v>45945</v>
      </c>
      <c r="D1006" s="18" t="n">
        <v>45931</v>
      </c>
      <c r="E1006" s="19" t="n">
        <v>0.25</v>
      </c>
      <c r="F1006" s="19" t="n">
        <v>2.2</v>
      </c>
      <c r="G1006" t="inlineStr">
        <is>
          <t>Rs 2.2 crore</t>
        </is>
      </c>
      <c r="H1006" t="inlineStr">
        <is>
          <t>Pre-Seed</t>
        </is>
      </c>
      <c r="I1006" t="inlineStr">
        <is>
          <t>Early</t>
        </is>
      </c>
      <c r="J1006" t="inlineStr">
        <is>
          <t>Cleantech</t>
        </is>
      </c>
      <c r="K1006" t="inlineStr">
        <is>
          <t>Bengaluru</t>
        </is>
      </c>
      <c r="L1006" t="inlineStr">
        <is>
          <t>PedalStart</t>
        </is>
      </c>
      <c r="M1006" t="inlineStr">
        <is>
          <t>PedalStart</t>
        </is>
      </c>
      <c r="N1006" t="inlineStr">
        <is>
          <t>entrackr | inc42</t>
        </is>
      </c>
      <c r="O1006" s="20" t="n">
        <v>2</v>
      </c>
      <c r="P1006" s="21" t="n">
        <v>0.3</v>
      </c>
      <c r="Q1006" t="inlineStr"/>
      <c r="R1006" s="22" t="inlineStr">
        <is>
          <t>https://entrackr.com/snippets/flowatt-raises-pre-seed-round-led-by-pedalstart-10564782</t>
        </is>
      </c>
    </row>
    <row r="1007">
      <c r="A1007" t="inlineStr">
        <is>
          <t>R251015-fragariafruits</t>
        </is>
      </c>
      <c r="B1007" t="inlineStr">
        <is>
          <t>Fragaria</t>
        </is>
      </c>
      <c r="C1007" s="17" t="n">
        <v>45945</v>
      </c>
      <c r="D1007" s="18" t="n">
        <v>45931</v>
      </c>
      <c r="E1007" s="19" t="n">
        <v>2</v>
      </c>
      <c r="F1007" s="19" t="n">
        <v>17.61</v>
      </c>
      <c r="G1007" t="inlineStr">
        <is>
          <t>$2 million</t>
        </is>
      </c>
      <c r="H1007" t="inlineStr">
        <is>
          <t>Seed</t>
        </is>
      </c>
      <c r="I1007" t="inlineStr">
        <is>
          <t>Early</t>
        </is>
      </c>
      <c r="J1007" t="inlineStr">
        <is>
          <t>Agritech</t>
        </is>
      </c>
      <c r="K1007" t="inlineStr">
        <is>
          <t>Chennai</t>
        </is>
      </c>
      <c r="L1007" t="inlineStr">
        <is>
          <t>WEH Ventures; Spiral Ventures; Sashi Kumar</t>
        </is>
      </c>
      <c r="M1007" t="inlineStr">
        <is>
          <t>WEH Ventures; Rainmatter; Spiral Ventures; Sashi Kumar (founder; Akshayakalpa Organic)</t>
        </is>
      </c>
      <c r="N1007" t="inlineStr">
        <is>
          <t>entrackr | inc42</t>
        </is>
      </c>
      <c r="O1007" s="20" t="n">
        <v>2</v>
      </c>
      <c r="P1007" s="21" t="n">
        <v>0</v>
      </c>
      <c r="Q1007" t="inlineStr"/>
      <c r="R1007" s="22" t="inlineStr">
        <is>
          <t>https://entrackr.com/snippets/fragaria-fruits-raises-2-mn-in-seed-round-led-by-weh-ventures-10564047</t>
        </is>
      </c>
    </row>
    <row r="1008">
      <c r="A1008" t="inlineStr">
        <is>
          <t>R251015-mattersai</t>
        </is>
      </c>
      <c r="B1008" t="inlineStr">
        <is>
          <t>Matters.AI</t>
        </is>
      </c>
      <c r="C1008" s="17" t="n">
        <v>45945</v>
      </c>
      <c r="D1008" s="18" t="n">
        <v>45931</v>
      </c>
      <c r="E1008" s="19" t="n">
        <v>6.246</v>
      </c>
      <c r="F1008" s="19" t="n">
        <v>55</v>
      </c>
      <c r="G1008" t="inlineStr">
        <is>
          <t>Rs 55 crore</t>
        </is>
      </c>
      <c r="H1008" t="inlineStr">
        <is>
          <t>Seed</t>
        </is>
      </c>
      <c r="I1008" t="inlineStr">
        <is>
          <t>Early</t>
        </is>
      </c>
      <c r="J1008" t="inlineStr">
        <is>
          <t>Artificial Intelligence</t>
        </is>
      </c>
      <c r="K1008" t="inlineStr">
        <is>
          <t>Bengaluru</t>
        </is>
      </c>
      <c r="L1008" t="inlineStr">
        <is>
          <t>Kalaari Capital; Endiya Partners; Carya Venture Partners</t>
        </is>
      </c>
      <c r="M1008" t="inlineStr">
        <is>
          <t>Kalaari Capital; Endiya Partners; Better Capital; Carya Venture Partners</t>
        </is>
      </c>
      <c r="N1008" t="inlineStr">
        <is>
          <t>entrackr | inc42 | et</t>
        </is>
      </c>
      <c r="O1008" s="20" t="n">
        <v>3</v>
      </c>
      <c r="P1008" s="21" t="n">
        <v>32.9</v>
      </c>
      <c r="Q1008" t="inlineStr">
        <is>
          <t>C15</t>
        </is>
      </c>
      <c r="R1008" s="22" t="inlineStr">
        <is>
          <t>https://entrackr.com/snippets/mattersai-raises-rs-55-cr-led-by-kalaari-and-endia-partners-10563796</t>
        </is>
      </c>
    </row>
    <row r="1009">
      <c r="A1009" t="inlineStr">
        <is>
          <t>R251015-rarabarefoot</t>
        </is>
      </c>
      <c r="B1009" t="inlineStr">
        <is>
          <t>RARA Barefoot</t>
        </is>
      </c>
      <c r="C1009" s="17" t="n">
        <v>45945</v>
      </c>
      <c r="D1009" s="18" t="n">
        <v>45931</v>
      </c>
      <c r="E1009" s="19" t="n">
        <v>0.5</v>
      </c>
      <c r="F1009" s="19" t="n">
        <v>4.4</v>
      </c>
      <c r="G1009" t="inlineStr">
        <is>
          <t>$500K</t>
        </is>
      </c>
      <c r="H1009" t="inlineStr">
        <is>
          <t>Pre-Seed</t>
        </is>
      </c>
      <c r="I1009" t="inlineStr">
        <is>
          <t>Early</t>
        </is>
      </c>
      <c r="J1009" t="inlineStr">
        <is>
          <t>Ecommerce</t>
        </is>
      </c>
      <c r="K1009" t="inlineStr">
        <is>
          <t>Unknown</t>
        </is>
      </c>
      <c r="L1009" t="inlineStr">
        <is>
          <t>Urban Company; Tata 1mg; Shyft; HexaHealth; Managing Directors; Partners from ChrysCapital; BCG</t>
        </is>
      </c>
      <c r="M1009" t="inlineStr">
        <is>
          <t>Prashant Tandon (cofounder; Tata 1mg); ChrysCapital); Urban Company; Shyft; HexaHealth; Managing Directors; BCG; Zomato</t>
        </is>
      </c>
      <c r="N1009" t="inlineStr">
        <is>
          <t>entrackr | inc42</t>
        </is>
      </c>
      <c r="O1009" s="20" t="n">
        <v>2</v>
      </c>
      <c r="P1009" s="21" t="n">
        <v>0</v>
      </c>
      <c r="Q1009" t="inlineStr">
        <is>
          <t>C07</t>
        </is>
      </c>
      <c r="R1009" s="22" t="inlineStr">
        <is>
          <t>https://entrackr.com/snippets/footwear-startup-rara-barefoot-raises-500k-in-seed-round-10565365</t>
        </is>
      </c>
    </row>
    <row r="1010">
      <c r="A1010" t="inlineStr">
        <is>
          <t>R251016-dashamlabs</t>
        </is>
      </c>
      <c r="B1010" t="inlineStr">
        <is>
          <t>Dashamlabs</t>
        </is>
      </c>
      <c r="C1010" s="17" t="n">
        <v>45946</v>
      </c>
      <c r="D1010" s="18" t="n">
        <v>45931</v>
      </c>
      <c r="E1010" s="19" t="n">
        <v>1.365</v>
      </c>
      <c r="F1010" s="19" t="n">
        <v>12</v>
      </c>
      <c r="G1010" t="inlineStr">
        <is>
          <t>Rs 12 crore</t>
        </is>
      </c>
      <c r="H1010" t="inlineStr">
        <is>
          <t>Seed</t>
        </is>
      </c>
      <c r="I1010" t="inlineStr">
        <is>
          <t>Early</t>
        </is>
      </c>
      <c r="J1010" t="inlineStr">
        <is>
          <t>Advanced Hardware &amp; Technology</t>
        </is>
      </c>
      <c r="K1010" t="inlineStr">
        <is>
          <t>Delhi NCR</t>
        </is>
      </c>
      <c r="L1010" t="inlineStr">
        <is>
          <t>Speciale Invest</t>
        </is>
      </c>
      <c r="M1010" t="inlineStr">
        <is>
          <t>Speciale Invest; IIMA Ventures</t>
        </is>
      </c>
      <c r="N1010" t="inlineStr">
        <is>
          <t>entrackr | inc42</t>
        </is>
      </c>
      <c r="O1010" s="20" t="n">
        <v>2</v>
      </c>
      <c r="P1010" s="21" t="n">
        <v>2.6</v>
      </c>
      <c r="Q1010" t="inlineStr"/>
      <c r="R1010" s="22" t="inlineStr">
        <is>
          <t>https://entrackr.com/snippets/dashamlabs-raises-rs-12-cr-in-seed-round-led-by-speciale-invest-10568073</t>
        </is>
      </c>
    </row>
    <row r="1011">
      <c r="A1011" t="inlineStr">
        <is>
          <t>R251016-fireai</t>
        </is>
      </c>
      <c r="B1011" t="inlineStr">
        <is>
          <t>FireAI</t>
        </is>
      </c>
      <c r="C1011" s="17" t="n">
        <v>45946</v>
      </c>
      <c r="D1011" s="18" t="n">
        <v>45931</v>
      </c>
      <c r="E1011" s="19" t="n">
        <v>0.455</v>
      </c>
      <c r="F1011" s="19" t="n">
        <v>4</v>
      </c>
      <c r="G1011" t="inlineStr">
        <is>
          <t>Rs 4 crore</t>
        </is>
      </c>
      <c r="H1011" t="inlineStr">
        <is>
          <t>Seed</t>
        </is>
      </c>
      <c r="I1011" t="inlineStr">
        <is>
          <t>Early</t>
        </is>
      </c>
      <c r="J1011" t="inlineStr">
        <is>
          <t>Artificial Intelligence</t>
        </is>
      </c>
      <c r="K1011" t="inlineStr">
        <is>
          <t>Mumbai</t>
        </is>
      </c>
      <c r="L1011" t="inlineStr">
        <is>
          <t>Inflection Point Ventures</t>
        </is>
      </c>
      <c r="M1011" t="inlineStr">
        <is>
          <t>Inflection Point Ventures</t>
        </is>
      </c>
      <c r="N1011" t="inlineStr">
        <is>
          <t>entrackr | inc42</t>
        </is>
      </c>
      <c r="O1011" s="20" t="n">
        <v>2</v>
      </c>
      <c r="P1011" s="21" t="n">
        <v>0</v>
      </c>
      <c r="Q1011" t="inlineStr"/>
      <c r="R1011" s="22" t="inlineStr">
        <is>
          <t>https://entrackr.com/snippets/fireai-raises-rs-4-cr-in-seed-round-led-by-ipv-10567350</t>
        </is>
      </c>
    </row>
    <row r="1012">
      <c r="A1012" t="inlineStr">
        <is>
          <t>R251016-graphai</t>
        </is>
      </c>
      <c r="B1012" t="inlineStr">
        <is>
          <t>Graph AI</t>
        </is>
      </c>
      <c r="C1012" s="17" t="n">
        <v>45946</v>
      </c>
      <c r="D1012" s="18" t="n">
        <v>45931</v>
      </c>
      <c r="E1012" s="19" t="n">
        <v>3</v>
      </c>
      <c r="F1012" s="19" t="n">
        <v>26.38</v>
      </c>
      <c r="G1012" t="inlineStr">
        <is>
          <t>$3 million</t>
        </is>
      </c>
      <c r="H1012" t="inlineStr">
        <is>
          <t>Seed</t>
        </is>
      </c>
      <c r="I1012" t="inlineStr">
        <is>
          <t>Early</t>
        </is>
      </c>
      <c r="J1012" t="inlineStr">
        <is>
          <t>Artificial Intelligence</t>
        </is>
      </c>
      <c r="K1012" t="inlineStr">
        <is>
          <t>Outside India</t>
        </is>
      </c>
      <c r="L1012" t="inlineStr">
        <is>
          <t>Bessemer Venture Partners</t>
        </is>
      </c>
      <c r="M1012" t="inlineStr">
        <is>
          <t>Bessemer Venture Partners</t>
        </is>
      </c>
      <c r="N1012" t="inlineStr">
        <is>
          <t>entrackr | inc42 | et</t>
        </is>
      </c>
      <c r="O1012" s="20" t="n">
        <v>3</v>
      </c>
      <c r="P1012" s="21" t="n">
        <v>0</v>
      </c>
      <c r="Q1012" t="inlineStr"/>
      <c r="R1012" s="22" t="inlineStr">
        <is>
          <t>https://entrackr.com/snippets/graph-ai-raises-3-mn-in-seed-round-from-bessemer-venture-partners-10566895</t>
        </is>
      </c>
    </row>
    <row r="1013">
      <c r="A1013" t="inlineStr">
        <is>
          <t>R251016-kukufm</t>
        </is>
      </c>
      <c r="B1013" t="inlineStr">
        <is>
          <t>Kuku FM</t>
        </is>
      </c>
      <c r="C1013" s="17" t="n">
        <v>45946</v>
      </c>
      <c r="D1013" s="18" t="n">
        <v>45931</v>
      </c>
      <c r="E1013" s="19" t="n">
        <v>85</v>
      </c>
      <c r="F1013" s="19" t="n">
        <v>747.4</v>
      </c>
      <c r="G1013" t="inlineStr">
        <is>
          <t>$85 million</t>
        </is>
      </c>
      <c r="H1013" t="inlineStr">
        <is>
          <t>Series C</t>
        </is>
      </c>
      <c r="I1013" t="inlineStr">
        <is>
          <t>Growth</t>
        </is>
      </c>
      <c r="J1013" t="inlineStr">
        <is>
          <t>Media &amp; Entertainment</t>
        </is>
      </c>
      <c r="K1013" t="inlineStr">
        <is>
          <t>Unknown</t>
        </is>
      </c>
      <c r="L1013" t="inlineStr">
        <is>
          <t>Granite Asia</t>
        </is>
      </c>
      <c r="M1013" t="inlineStr">
        <is>
          <t>Granite Asia; Vertex Growth Fund; Krafton; International Finance Corporation; Paramark; Tribe Capital India; Bitkraft; IFC</t>
        </is>
      </c>
      <c r="N1013" t="inlineStr">
        <is>
          <t>entrackr | inc42 | et</t>
        </is>
      </c>
      <c r="O1013" s="20" t="n">
        <v>3</v>
      </c>
      <c r="P1013" s="21" t="n">
        <v>0</v>
      </c>
      <c r="Q1013" t="inlineStr">
        <is>
          <t>C07 C18</t>
        </is>
      </c>
      <c r="R1013" s="22" t="inlineStr">
        <is>
          <t>https://entrackr.com/news/kuku-fm-raises-85-mn-from-granite-asia-and-others-10567713</t>
        </is>
      </c>
    </row>
    <row r="1014">
      <c r="A1014" t="inlineStr">
        <is>
          <t>R251016-zepto</t>
        </is>
      </c>
      <c r="B1014" t="inlineStr">
        <is>
          <t>Zepto</t>
        </is>
      </c>
      <c r="C1014" s="17" t="n">
        <v>45946</v>
      </c>
      <c r="D1014" s="18" t="n">
        <v>45931</v>
      </c>
      <c r="E1014" s="19" t="n">
        <v>450</v>
      </c>
      <c r="F1014" s="19" t="n">
        <v>3956.85</v>
      </c>
      <c r="G1014" t="inlineStr">
        <is>
          <t>$450 million</t>
        </is>
      </c>
      <c r="H1014" t="inlineStr">
        <is>
          <t>Undisclosed</t>
        </is>
      </c>
      <c r="I1014" t="inlineStr">
        <is>
          <t>Undisclosed</t>
        </is>
      </c>
      <c r="J1014" t="inlineStr">
        <is>
          <t>Consumer Services</t>
        </is>
      </c>
      <c r="K1014" t="inlineStr">
        <is>
          <t>Mumbai</t>
        </is>
      </c>
      <c r="L1014" t="inlineStr">
        <is>
          <t>California Public Employees Retirement System</t>
        </is>
      </c>
      <c r="M1014" t="inlineStr">
        <is>
          <t>California Public Employees Retirement System; Avenir; Avra; Lightspeed; Glade Brook; Stepstone Group; Nexus Venture Partners</t>
        </is>
      </c>
      <c r="N1014" t="inlineStr">
        <is>
          <t>entrackr | inc42</t>
        </is>
      </c>
      <c r="O1014" s="20" t="n">
        <v>2</v>
      </c>
      <c r="P1014" s="21" t="n">
        <v>0</v>
      </c>
      <c r="Q1014" t="inlineStr">
        <is>
          <t>C04</t>
        </is>
      </c>
      <c r="R1014" s="22" t="inlineStr">
        <is>
          <t>https://entrackr.com/news/zepto-raises-450-mn-led-by-calpers-plans-ipo-next-year-10568597</t>
        </is>
      </c>
    </row>
    <row r="1015">
      <c r="A1015" t="inlineStr">
        <is>
          <t>R251017-ekamobility</t>
        </is>
      </c>
      <c r="B1015" t="inlineStr">
        <is>
          <t>EKA Mobility</t>
        </is>
      </c>
      <c r="C1015" s="17" t="n">
        <v>45947</v>
      </c>
      <c r="D1015" s="18" t="n">
        <v>45931</v>
      </c>
      <c r="E1015" s="19" t="n">
        <v>56.9</v>
      </c>
      <c r="F1015" s="19" t="n">
        <v>500.72</v>
      </c>
      <c r="G1015" t="inlineStr">
        <is>
          <t>$56.9 Mn</t>
        </is>
      </c>
      <c r="H1015" t="inlineStr">
        <is>
          <t>Undisclosed</t>
        </is>
      </c>
      <c r="I1015" t="inlineStr">
        <is>
          <t>Undisclosed</t>
        </is>
      </c>
      <c r="J1015" t="inlineStr">
        <is>
          <t>Cleantech</t>
        </is>
      </c>
      <c r="K1015" t="inlineStr">
        <is>
          <t>Unknown</t>
        </is>
      </c>
      <c r="L1015" t="inlineStr">
        <is>
          <t>National Investment; Infrastructure Fund</t>
        </is>
      </c>
      <c r="M1015" t="inlineStr">
        <is>
          <t>National Investment; Infrastructure Fund</t>
        </is>
      </c>
      <c r="N1015" t="inlineStr">
        <is>
          <t>inc42 | vccircle</t>
        </is>
      </c>
      <c r="O1015" s="20" t="n">
        <v>2</v>
      </c>
      <c r="P1015" s="21" t="n">
        <v>0</v>
      </c>
      <c r="Q1015" t="inlineStr">
        <is>
          <t>C04 C07</t>
        </is>
      </c>
      <c r="R1015" s="22" t="inlineStr">
        <is>
          <t>https://inc42.com/buzz/from-zepto-to-kuku-fm-indian-startups-raised-737-mn-this-week/</t>
        </is>
      </c>
    </row>
    <row r="1016">
      <c r="A1016" t="inlineStr">
        <is>
          <t>R251017-hooliv</t>
        </is>
      </c>
      <c r="B1016" t="inlineStr">
        <is>
          <t>HooLiv</t>
        </is>
      </c>
      <c r="C1016" s="17" t="n">
        <v>45947</v>
      </c>
      <c r="D1016" s="18" t="n">
        <v>45931</v>
      </c>
      <c r="E1016" s="19" t="n">
        <v>2.727</v>
      </c>
      <c r="F1016" s="19" t="n">
        <v>24</v>
      </c>
      <c r="G1016" t="inlineStr">
        <is>
          <t>Rs 24 crore</t>
        </is>
      </c>
      <c r="H1016" t="inlineStr">
        <is>
          <t>Pre-Series A</t>
        </is>
      </c>
      <c r="I1016" t="inlineStr">
        <is>
          <t>Early</t>
        </is>
      </c>
      <c r="J1016" t="inlineStr">
        <is>
          <t>Real Estate Tech</t>
        </is>
      </c>
      <c r="K1016" t="inlineStr">
        <is>
          <t>Unknown</t>
        </is>
      </c>
      <c r="L1016" t="inlineStr">
        <is>
          <t>Negen Capital</t>
        </is>
      </c>
      <c r="M1016" t="inlineStr">
        <is>
          <t>Negen Capital</t>
        </is>
      </c>
      <c r="N1016" t="inlineStr">
        <is>
          <t>entrackr | inc42 | et</t>
        </is>
      </c>
      <c r="O1016" s="20" t="n">
        <v>3</v>
      </c>
      <c r="P1016" s="21" t="n">
        <v>1</v>
      </c>
      <c r="Q1016" t="inlineStr">
        <is>
          <t>C07</t>
        </is>
      </c>
      <c r="R1016" s="22" t="inlineStr">
        <is>
          <t>https://entrackr.com/snippets/hooliv-raises-rs-24-cr-in-pre-series-a-round-led-by-negen-capital-10571190</t>
        </is>
      </c>
    </row>
    <row r="1017">
      <c r="A1017" t="inlineStr">
        <is>
          <t>R251018-fundamento</t>
        </is>
      </c>
      <c r="B1017" t="inlineStr">
        <is>
          <t>Fundamento</t>
        </is>
      </c>
      <c r="C1017" s="17" t="n">
        <v>45947</v>
      </c>
      <c r="D1017" s="18" t="n">
        <v>45931</v>
      </c>
      <c r="E1017" s="19" t="n">
        <v>1.9</v>
      </c>
      <c r="F1017" s="19" t="n">
        <v>16.72</v>
      </c>
      <c r="G1017" t="inlineStr">
        <is>
          <t>$1.9 million</t>
        </is>
      </c>
      <c r="H1017" t="inlineStr">
        <is>
          <t>Pre-Series A</t>
        </is>
      </c>
      <c r="I1017" t="inlineStr">
        <is>
          <t>Early</t>
        </is>
      </c>
      <c r="J1017" t="inlineStr">
        <is>
          <t>Artificial Intelligence</t>
        </is>
      </c>
      <c r="K1017" t="inlineStr">
        <is>
          <t>Unknown</t>
        </is>
      </c>
      <c r="L1017" t="inlineStr">
        <is>
          <t>IIFL Fintech Fund</t>
        </is>
      </c>
      <c r="M1017" t="inlineStr">
        <is>
          <t>IIFL; Venture Catalysts; Lead Invest; KL Rahul; Ben Stokes; Players Fund</t>
        </is>
      </c>
      <c r="N1017" t="inlineStr">
        <is>
          <t>entrackr | inc42 | et</t>
        </is>
      </c>
      <c r="O1017" s="20" t="n">
        <v>3</v>
      </c>
      <c r="P1017" s="21" t="n">
        <v>0</v>
      </c>
      <c r="Q1017" t="inlineStr">
        <is>
          <t>C07</t>
        </is>
      </c>
      <c r="R1017" s="22" t="inlineStr">
        <is>
          <t>https://economictimes.indiatimes.com/tech/funding/voice-ai-startup-fundamento-raises-1-9-million-led-by-iifl-fintech-fund/articleshow/124635440.cms</t>
        </is>
      </c>
    </row>
    <row r="1018">
      <c r="A1018" t="inlineStr">
        <is>
          <t>R251022-unifyapps</t>
        </is>
      </c>
      <c r="B1018" t="inlineStr">
        <is>
          <t>UnifyApps</t>
        </is>
      </c>
      <c r="C1018" s="17" t="n">
        <v>45952</v>
      </c>
      <c r="D1018" s="18" t="n">
        <v>45931</v>
      </c>
      <c r="E1018" s="19" t="n">
        <v>50</v>
      </c>
      <c r="F1018" s="19" t="n">
        <v>442.1</v>
      </c>
      <c r="G1018" t="inlineStr">
        <is>
          <t>$50 million</t>
        </is>
      </c>
      <c r="H1018" t="inlineStr">
        <is>
          <t>Series B</t>
        </is>
      </c>
      <c r="I1018" t="inlineStr">
        <is>
          <t>Growth</t>
        </is>
      </c>
      <c r="J1018" t="inlineStr">
        <is>
          <t>Artificial Intelligence</t>
        </is>
      </c>
      <c r="K1018" t="inlineStr">
        <is>
          <t>Outside India</t>
        </is>
      </c>
      <c r="L1018" t="inlineStr">
        <is>
          <t>WestBridge Capital</t>
        </is>
      </c>
      <c r="M1018" t="inlineStr">
        <is>
          <t>WestBridge Capital; ICONIQ; As part of the round; Ragy Thomas</t>
        </is>
      </c>
      <c r="N1018" t="inlineStr">
        <is>
          <t>entrackr | inc42 | et</t>
        </is>
      </c>
      <c r="O1018" s="20" t="n">
        <v>3</v>
      </c>
      <c r="P1018" s="21" t="n">
        <v>0</v>
      </c>
      <c r="Q1018" t="inlineStr"/>
      <c r="R1018" s="22" t="inlineStr">
        <is>
          <t>https://entrackr.com/news/unifyapps-raises-50-mn-in-series-b-led-by-westbridge-10584514</t>
        </is>
      </c>
    </row>
    <row r="1019">
      <c r="A1019" t="inlineStr">
        <is>
          <t>R251022-uniphore</t>
        </is>
      </c>
      <c r="B1019" t="inlineStr">
        <is>
          <t>Uniphore</t>
        </is>
      </c>
      <c r="C1019" s="17" t="n">
        <v>45952</v>
      </c>
      <c r="D1019" s="18" t="n">
        <v>45931</v>
      </c>
      <c r="E1019" s="19" t="n">
        <v>260</v>
      </c>
      <c r="F1019" s="19" t="n">
        <v>2298.92</v>
      </c>
      <c r="G1019" t="inlineStr">
        <is>
          <t>$260 million</t>
        </is>
      </c>
      <c r="H1019" t="inlineStr">
        <is>
          <t>Series F</t>
        </is>
      </c>
      <c r="I1019" t="inlineStr">
        <is>
          <t>Late</t>
        </is>
      </c>
      <c r="J1019" t="inlineStr">
        <is>
          <t>Enterprise Tech</t>
        </is>
      </c>
      <c r="K1019" t="inlineStr">
        <is>
          <t>Outside India</t>
        </is>
      </c>
      <c r="L1019" t="inlineStr"/>
      <c r="M1019" t="inlineStr">
        <is>
          <t>NVIDIA; Advanced Micro Devices; Snowflake; Databricks; New Enterprise Associates; March Capital; BNF Capital; National Grid Partners; Prosperity7 VC; AMD; NEA</t>
        </is>
      </c>
      <c r="N1019" t="inlineStr">
        <is>
          <t>entrackr | inc42 | et</t>
        </is>
      </c>
      <c r="O1019" s="20" t="n">
        <v>3</v>
      </c>
      <c r="P1019" s="21" t="n">
        <v>0</v>
      </c>
      <c r="Q1019" t="inlineStr"/>
      <c r="R1019" s="22" t="inlineStr">
        <is>
          <t>https://inc42.com/buzz/from-uniphore-to-unifyapps-indian-startups-raised-312-mn-this-week/</t>
        </is>
      </c>
    </row>
    <row r="1020">
      <c r="A1020" t="inlineStr">
        <is>
          <t>R251023-michezosports</t>
        </is>
      </c>
      <c r="B1020" t="inlineStr">
        <is>
          <t>Michezo Sports</t>
        </is>
      </c>
      <c r="C1020" s="17" t="n">
        <v>45953</v>
      </c>
      <c r="D1020" s="18" t="n">
        <v>45931</v>
      </c>
      <c r="E1020" s="19" t="n">
        <v>2.5</v>
      </c>
      <c r="F1020" s="19" t="n">
        <v>21.96</v>
      </c>
      <c r="G1020" t="inlineStr">
        <is>
          <t>$2.5 million</t>
        </is>
      </c>
      <c r="H1020" t="inlineStr">
        <is>
          <t>Pre-Series A</t>
        </is>
      </c>
      <c r="I1020" t="inlineStr">
        <is>
          <t>Early</t>
        </is>
      </c>
      <c r="J1020" t="inlineStr">
        <is>
          <t>Consumer Services</t>
        </is>
      </c>
      <c r="K1020" t="inlineStr">
        <is>
          <t>Bengaluru</t>
        </is>
      </c>
      <c r="L1020" t="inlineStr">
        <is>
          <t>Centre Court Capital</t>
        </is>
      </c>
      <c r="M1020" t="inlineStr">
        <is>
          <t>Centre Court Capital; Rainmatter</t>
        </is>
      </c>
      <c r="N1020" t="inlineStr">
        <is>
          <t>entrackr | inc42</t>
        </is>
      </c>
      <c r="O1020" s="20" t="n">
        <v>2</v>
      </c>
      <c r="P1020" s="21" t="n">
        <v>0</v>
      </c>
      <c r="Q1020" t="inlineStr"/>
      <c r="R1020" s="22" t="inlineStr">
        <is>
          <t>https://inc42.com/buzz/from-uniphore-to-unifyapps-indian-startups-raised-312-mn-this-week/</t>
        </is>
      </c>
    </row>
    <row r="1021">
      <c r="A1021" t="inlineStr">
        <is>
          <t>R251023-pavebank</t>
        </is>
      </c>
      <c r="B1021" t="inlineStr">
        <is>
          <t>Pave Bank</t>
        </is>
      </c>
      <c r="C1021" s="17" t="n">
        <v>45953</v>
      </c>
      <c r="D1021" s="18" t="n">
        <v>45931</v>
      </c>
      <c r="E1021" s="19" t="n">
        <v>39</v>
      </c>
      <c r="F1021" s="19" t="n">
        <v>342.5</v>
      </c>
      <c r="G1021" t="inlineStr">
        <is>
          <t>$39 million</t>
        </is>
      </c>
      <c r="H1021" t="inlineStr">
        <is>
          <t>Undisclosed</t>
        </is>
      </c>
      <c r="I1021" t="inlineStr">
        <is>
          <t>Undisclosed</t>
        </is>
      </c>
      <c r="J1021" t="inlineStr">
        <is>
          <t>Unclassified</t>
        </is>
      </c>
      <c r="K1021" t="inlineStr">
        <is>
          <t>Unknown</t>
        </is>
      </c>
      <c r="L1021" t="inlineStr">
        <is>
          <t>Accel</t>
        </is>
      </c>
      <c r="M1021" t="inlineStr">
        <is>
          <t>Accel; Tether Investments; Quona Capital; Wintermute; Helios Digital Ventures; Financial Technology; Yolo Investments; Kazea Capital; GC&amp;amp</t>
        </is>
      </c>
      <c r="N1021" t="inlineStr">
        <is>
          <t>et</t>
        </is>
      </c>
      <c r="O1021" s="20" t="n">
        <v>1</v>
      </c>
      <c r="P1021" s="21" t="n">
        <v>0</v>
      </c>
      <c r="Q1021" t="inlineStr">
        <is>
          <t>C04 C06 C07</t>
        </is>
      </c>
      <c r="R1021" s="22" t="inlineStr">
        <is>
          <t>https://economictimes.indiatimes.com/tech/funding/pave-bank-raises-39-million-in-funding-round-led-by-accel/articleshow/124761864.cms</t>
        </is>
      </c>
    </row>
    <row r="1022">
      <c r="A1022" t="inlineStr">
        <is>
          <t>R251024-lenskart</t>
        </is>
      </c>
      <c r="B1022" t="inlineStr">
        <is>
          <t>Lenskart</t>
        </is>
      </c>
      <c r="C1022" s="17" t="n">
        <v>45954</v>
      </c>
      <c r="D1022" s="18" t="n">
        <v>45931</v>
      </c>
      <c r="E1022" s="19" t="n">
        <v>10.249</v>
      </c>
      <c r="F1022" s="19" t="n">
        <v>90</v>
      </c>
      <c r="G1022" t="inlineStr">
        <is>
          <t>Rs 90 crore</t>
        </is>
      </c>
      <c r="H1022" t="inlineStr">
        <is>
          <t>Pre-IPO</t>
        </is>
      </c>
      <c r="I1022" t="inlineStr">
        <is>
          <t>Late</t>
        </is>
      </c>
      <c r="J1022" t="inlineStr">
        <is>
          <t>Ecommerce</t>
        </is>
      </c>
      <c r="K1022" t="inlineStr">
        <is>
          <t>Unknown</t>
        </is>
      </c>
      <c r="L1022" t="inlineStr"/>
      <c r="M1022" t="inlineStr">
        <is>
          <t>Radhakishan Damani</t>
        </is>
      </c>
      <c r="N1022" t="inlineStr">
        <is>
          <t>et</t>
        </is>
      </c>
      <c r="O1022" s="20" t="n">
        <v>1</v>
      </c>
      <c r="P1022" s="21" t="n">
        <v>0</v>
      </c>
      <c r="Q1022" t="inlineStr">
        <is>
          <t>C07</t>
        </is>
      </c>
      <c r="R1022" s="22" t="inlineStr">
        <is>
          <t>https://economictimes.indiatimes.com/tech/startups/dmarts-radhakishan-damani-invests-rs-90-crore-in-lenskart-ahead-of-ipo/articleshow/124784168.cms</t>
        </is>
      </c>
    </row>
    <row r="1023">
      <c r="A1023" t="inlineStr">
        <is>
          <t>R251025-relianceintell</t>
        </is>
      </c>
      <c r="B1023" t="inlineStr">
        <is>
          <t>Reliance Intelligence Limited (RIL)</t>
        </is>
      </c>
      <c r="C1023" s="17" t="n">
        <v>45955</v>
      </c>
      <c r="D1023" s="18" t="n">
        <v>45931</v>
      </c>
      <c r="E1023" s="19" t="n">
        <v>97.369</v>
      </c>
      <c r="F1023" s="19" t="n">
        <v>855</v>
      </c>
      <c r="G1023" t="inlineStr">
        <is>
          <t>Rs 855 Cr</t>
        </is>
      </c>
      <c r="H1023" t="inlineStr">
        <is>
          <t>Undisclosed</t>
        </is>
      </c>
      <c r="I1023" t="inlineStr">
        <is>
          <t>Undisclosed</t>
        </is>
      </c>
      <c r="J1023" t="inlineStr">
        <is>
          <t>Unclassified</t>
        </is>
      </c>
      <c r="K1023" t="inlineStr">
        <is>
          <t>Unknown</t>
        </is>
      </c>
      <c r="L1023" t="inlineStr"/>
      <c r="M1023" t="inlineStr"/>
      <c r="N1023" t="inlineStr">
        <is>
          <t>entrackr</t>
        </is>
      </c>
      <c r="O1023" s="20" t="n">
        <v>1</v>
      </c>
      <c r="P1023" s="21" t="n">
        <v>0</v>
      </c>
      <c r="Q1023" t="inlineStr">
        <is>
          <t>C04 C05 C06 C07</t>
        </is>
      </c>
      <c r="R1023" s="22" t="inlineStr">
        <is>
          <t>https://entrackr.com/news/reliance-and-facebook-form-joint-venture-to-launch-ai-firm-invest-rs-855-cr-10592396</t>
        </is>
      </c>
    </row>
    <row r="1024">
      <c r="A1024" t="inlineStr">
        <is>
          <t>R251027-bananaclub</t>
        </is>
      </c>
      <c r="B1024" t="inlineStr">
        <is>
          <t>Banana Club</t>
        </is>
      </c>
      <c r="C1024" s="17" t="n">
        <v>45957</v>
      </c>
      <c r="D1024" s="18" t="n">
        <v>45931</v>
      </c>
      <c r="E1024" s="19" t="n">
        <v>1.388</v>
      </c>
      <c r="F1024" s="19" t="n">
        <v>12.25</v>
      </c>
      <c r="G1024" t="inlineStr">
        <is>
          <t>Rs 12.25 crore</t>
        </is>
      </c>
      <c r="H1024" t="inlineStr">
        <is>
          <t>Seed</t>
        </is>
      </c>
      <c r="I1024" t="inlineStr">
        <is>
          <t>Early</t>
        </is>
      </c>
      <c r="J1024" t="inlineStr">
        <is>
          <t>Ecommerce</t>
        </is>
      </c>
      <c r="K1024" t="inlineStr">
        <is>
          <t>Bengaluru</t>
        </is>
      </c>
      <c r="L1024" t="inlineStr"/>
      <c r="M1024" t="inlineStr"/>
      <c r="N1024" t="inlineStr">
        <is>
          <t>entrackr</t>
        </is>
      </c>
      <c r="O1024" s="20" t="n">
        <v>1</v>
      </c>
      <c r="P1024" s="21" t="n">
        <v>0</v>
      </c>
      <c r="Q1024" t="inlineStr">
        <is>
          <t>C05</t>
        </is>
      </c>
      <c r="R1024" s="22" t="inlineStr">
        <is>
          <t>https://entrackr.com/snippets/clothing-brand-banana-club-raises-rs-1225-cr-at-rs-245-cr-valuation-10597654</t>
        </is>
      </c>
    </row>
    <row r="1025">
      <c r="A1025" t="inlineStr">
        <is>
          <t>R251027-finallayer</t>
        </is>
      </c>
      <c r="B1025" t="inlineStr">
        <is>
          <t>FinalLayer</t>
        </is>
      </c>
      <c r="C1025" s="17" t="n">
        <v>45957</v>
      </c>
      <c r="D1025" s="18" t="n">
        <v>45931</v>
      </c>
      <c r="E1025" s="19" t="n"/>
      <c r="F1025" s="19" t="n"/>
      <c r="G1025" t="inlineStr"/>
      <c r="H1025" t="inlineStr">
        <is>
          <t>Undisclosed</t>
        </is>
      </c>
      <c r="I1025" t="inlineStr">
        <is>
          <t>Undisclosed</t>
        </is>
      </c>
      <c r="J1025" t="inlineStr">
        <is>
          <t>Artificial Intelligence</t>
        </is>
      </c>
      <c r="K1025" t="inlineStr">
        <is>
          <t>Unknown</t>
        </is>
      </c>
      <c r="L1025" t="inlineStr">
        <is>
          <t>Beyond Next Ventures</t>
        </is>
      </c>
      <c r="M1025" t="inlineStr">
        <is>
          <t>Beyond Next Ventures</t>
        </is>
      </c>
      <c r="N1025" t="inlineStr">
        <is>
          <t>inc42</t>
        </is>
      </c>
      <c r="O1025" s="20" t="n">
        <v>1</v>
      </c>
      <c r="P1025" s="21" t="n"/>
      <c r="Q1025" t="inlineStr">
        <is>
          <t>C03 C04 C07</t>
        </is>
      </c>
      <c r="R1025" s="22" t="inlineStr">
        <is>
          <t>https://inc42.com/buzz/from-snapmint-to-snabbit-indian-startups-raised-371-mn-this-week/</t>
        </is>
      </c>
    </row>
    <row r="1026">
      <c r="A1026" t="inlineStr">
        <is>
          <t>R251027-hydgen</t>
        </is>
      </c>
      <c r="B1026" t="inlineStr">
        <is>
          <t>HYDGEN</t>
        </is>
      </c>
      <c r="C1026" s="17" t="n">
        <v>45957</v>
      </c>
      <c r="D1026" s="18" t="n">
        <v>45931</v>
      </c>
      <c r="E1026" s="19" t="n">
        <v>5</v>
      </c>
      <c r="F1026" s="19" t="n">
        <v>44.12</v>
      </c>
      <c r="G1026" t="inlineStr">
        <is>
          <t>$5 million</t>
        </is>
      </c>
      <c r="H1026" t="inlineStr">
        <is>
          <t>Pre-Series A</t>
        </is>
      </c>
      <c r="I1026" t="inlineStr">
        <is>
          <t>Early</t>
        </is>
      </c>
      <c r="J1026" t="inlineStr">
        <is>
          <t>Cleantech</t>
        </is>
      </c>
      <c r="K1026" t="inlineStr">
        <is>
          <t>Mangaluru</t>
        </is>
      </c>
      <c r="L1026" t="inlineStr">
        <is>
          <t>Transition VC</t>
        </is>
      </c>
      <c r="M1026" t="inlineStr">
        <is>
          <t>Transition VC; Cloudberry Pioneer Investments; Moringa Ventures; Singapore</t>
        </is>
      </c>
      <c r="N1026" t="inlineStr">
        <is>
          <t>entrackr | inc42 | et</t>
        </is>
      </c>
      <c r="O1026" s="20" t="n">
        <v>3</v>
      </c>
      <c r="P1026" s="21" t="n">
        <v>0</v>
      </c>
      <c r="Q1026" t="inlineStr"/>
      <c r="R1026" s="22" t="inlineStr">
        <is>
          <t>https://entrackr.com/snippets/hydgen-raises-5-mn-led-by-transition-vc-10596575</t>
        </is>
      </c>
    </row>
    <row r="1027">
      <c r="A1027" t="inlineStr">
        <is>
          <t>R251027-neulife</t>
        </is>
      </c>
      <c r="B1027" t="inlineStr">
        <is>
          <t>Neulife</t>
        </is>
      </c>
      <c r="C1027" s="17" t="n">
        <v>45957</v>
      </c>
      <c r="D1027" s="18" t="n">
        <v>45931</v>
      </c>
      <c r="E1027" s="19" t="n">
        <v>1</v>
      </c>
      <c r="F1027" s="19" t="n">
        <v>8.82</v>
      </c>
      <c r="G1027" t="inlineStr">
        <is>
          <t>$1 million</t>
        </is>
      </c>
      <c r="H1027" t="inlineStr">
        <is>
          <t>Seed</t>
        </is>
      </c>
      <c r="I1027" t="inlineStr">
        <is>
          <t>Early</t>
        </is>
      </c>
      <c r="J1027" t="inlineStr">
        <is>
          <t>Ecommerce</t>
        </is>
      </c>
      <c r="K1027" t="inlineStr">
        <is>
          <t>Mumbai</t>
        </is>
      </c>
      <c r="L1027" t="inlineStr">
        <is>
          <t>Subhkam Ventures; Singularity Ventures</t>
        </is>
      </c>
      <c r="M1027" t="inlineStr">
        <is>
          <t>Subhkam Ventures; Singularity Ventures; Sunicon Ventures; Cosma Ventures</t>
        </is>
      </c>
      <c r="N1027" t="inlineStr">
        <is>
          <t>entrackr | inc42</t>
        </is>
      </c>
      <c r="O1027" s="20" t="n">
        <v>2</v>
      </c>
      <c r="P1027" s="21" t="n">
        <v>0</v>
      </c>
      <c r="Q1027" t="inlineStr"/>
      <c r="R1027" s="22" t="inlineStr">
        <is>
          <t>https://entrackr.com/snippets/performance-nutrition-brand-neulife-raises-1-mn-in-seed-round-10597182</t>
        </is>
      </c>
    </row>
    <row r="1028">
      <c r="A1028" t="inlineStr">
        <is>
          <t>R251027-versabytedatas</t>
        </is>
      </c>
      <c r="B1028" t="inlineStr">
        <is>
          <t>Versabyte Data Systems</t>
        </is>
      </c>
      <c r="C1028" s="17" t="n">
        <v>45957</v>
      </c>
      <c r="D1028" s="18" t="n">
        <v>45931</v>
      </c>
      <c r="E1028" s="19" t="n"/>
      <c r="F1028" s="19" t="n"/>
      <c r="G1028" t="inlineStr"/>
      <c r="H1028" t="inlineStr">
        <is>
          <t>Undisclosed</t>
        </is>
      </c>
      <c r="I1028" t="inlineStr">
        <is>
          <t>Undisclosed</t>
        </is>
      </c>
      <c r="J1028" t="inlineStr">
        <is>
          <t>Unclassified</t>
        </is>
      </c>
      <c r="K1028" t="inlineStr">
        <is>
          <t>Bengaluru</t>
        </is>
      </c>
      <c r="L1028" t="inlineStr"/>
      <c r="M1028" t="inlineStr"/>
      <c r="N1028" t="inlineStr">
        <is>
          <t>entrackr</t>
        </is>
      </c>
      <c r="O1028" s="20" t="n">
        <v>1</v>
      </c>
      <c r="P1028" s="21" t="n"/>
      <c r="Q1028" t="inlineStr">
        <is>
          <t>C03 C04 C05 C06</t>
        </is>
      </c>
      <c r="R1028" s="22" t="inlineStr">
        <is>
          <t>https://entrackr.com/snippets/sanlayan-technologies-invests-in-versabyte-data-systems-10596885</t>
        </is>
      </c>
    </row>
    <row r="1029">
      <c r="A1029" t="inlineStr">
        <is>
          <t>R251028-cybrilla</t>
        </is>
      </c>
      <c r="B1029" t="inlineStr">
        <is>
          <t>Cybrilla</t>
        </is>
      </c>
      <c r="C1029" s="17" t="n">
        <v>45958</v>
      </c>
      <c r="D1029" s="18" t="n">
        <v>45931</v>
      </c>
      <c r="E1029" s="19" t="n"/>
      <c r="F1029" s="19" t="n"/>
      <c r="G1029" t="inlineStr"/>
      <c r="H1029" t="inlineStr">
        <is>
          <t>Pre-Series A</t>
        </is>
      </c>
      <c r="I1029" t="inlineStr">
        <is>
          <t>Early</t>
        </is>
      </c>
      <c r="J1029" t="inlineStr">
        <is>
          <t>Fintech</t>
        </is>
      </c>
      <c r="K1029" t="inlineStr">
        <is>
          <t>Unknown</t>
        </is>
      </c>
      <c r="L1029" t="inlineStr">
        <is>
          <t>360 ONE WAM</t>
        </is>
      </c>
      <c r="M1029" t="inlineStr">
        <is>
          <t>360 ONE WAM; Peak XV Partners; Groww</t>
        </is>
      </c>
      <c r="N1029" t="inlineStr">
        <is>
          <t>entrackr | inc42</t>
        </is>
      </c>
      <c r="O1029" s="20" t="n">
        <v>2</v>
      </c>
      <c r="P1029" s="21" t="n"/>
      <c r="Q1029" t="inlineStr">
        <is>
          <t>C03 C07</t>
        </is>
      </c>
      <c r="R1029" s="22" t="inlineStr">
        <is>
          <t>https://entrackr.com/snippets/360-one-asset-invests-in-cybrillas-pre-series-a-round-10600054</t>
        </is>
      </c>
    </row>
    <row r="1030">
      <c r="A1030" t="inlineStr">
        <is>
          <t>R251028-gubbachhi</t>
        </is>
      </c>
      <c r="B1030" t="inlineStr">
        <is>
          <t>Gubbachhi</t>
        </is>
      </c>
      <c r="C1030" s="17" t="n">
        <v>45958</v>
      </c>
      <c r="D1030" s="18" t="n">
        <v>45931</v>
      </c>
      <c r="E1030" s="19" t="n"/>
      <c r="F1030" s="19" t="n"/>
      <c r="G1030" t="inlineStr"/>
      <c r="H1030" t="inlineStr">
        <is>
          <t>Pre-Seed</t>
        </is>
      </c>
      <c r="I1030" t="inlineStr">
        <is>
          <t>Early</t>
        </is>
      </c>
      <c r="J1030" t="inlineStr">
        <is>
          <t>Ecommerce</t>
        </is>
      </c>
      <c r="K1030" t="inlineStr">
        <is>
          <t>Unknown</t>
        </is>
      </c>
      <c r="L1030" t="inlineStr"/>
      <c r="M1030" t="inlineStr">
        <is>
          <t>D2C Insider Super Angels Fund</t>
        </is>
      </c>
      <c r="N1030" t="inlineStr">
        <is>
          <t>entrackr</t>
        </is>
      </c>
      <c r="O1030" s="20" t="n">
        <v>1</v>
      </c>
      <c r="P1030" s="21" t="n"/>
      <c r="Q1030" t="inlineStr">
        <is>
          <t>C03 C07</t>
        </is>
      </c>
      <c r="R1030" s="22" t="inlineStr">
        <is>
          <t>https://entrackr.com/snippets/gubbachhi-raises-pre-seed-round-from-d2c-insider-super-angels-fund-10598883</t>
        </is>
      </c>
    </row>
    <row r="1031">
      <c r="A1031" t="inlineStr">
        <is>
          <t>R251028-optimocapital</t>
        </is>
      </c>
      <c r="B1031" t="inlineStr">
        <is>
          <t>Optimo Capital</t>
        </is>
      </c>
      <c r="C1031" s="17" t="n">
        <v>45958</v>
      </c>
      <c r="D1031" s="18" t="n">
        <v>45931</v>
      </c>
      <c r="E1031" s="19" t="n">
        <v>16.986</v>
      </c>
      <c r="F1031" s="19" t="n">
        <v>150</v>
      </c>
      <c r="G1031" t="inlineStr">
        <is>
          <t>Rs 150 crore</t>
        </is>
      </c>
      <c r="H1031" t="inlineStr">
        <is>
          <t>Series A</t>
        </is>
      </c>
      <c r="I1031" t="inlineStr">
        <is>
          <t>Early</t>
        </is>
      </c>
      <c r="J1031" t="inlineStr">
        <is>
          <t>Fintech</t>
        </is>
      </c>
      <c r="K1031" t="inlineStr">
        <is>
          <t>Bengaluru</t>
        </is>
      </c>
      <c r="L1031" t="inlineStr">
        <is>
          <t>Prashant Pitti</t>
        </is>
      </c>
      <c r="M1031" t="inlineStr">
        <is>
          <t>Prashant Pitti; Blume Ventures; Omnivore</t>
        </is>
      </c>
      <c r="N1031" t="inlineStr">
        <is>
          <t>entrackr | inc42 | et</t>
        </is>
      </c>
      <c r="O1031" s="20" t="n">
        <v>3</v>
      </c>
      <c r="P1031" s="21" t="n">
        <v>3</v>
      </c>
      <c r="Q1031" t="inlineStr"/>
      <c r="R1031" s="22" t="inlineStr">
        <is>
          <t>https://entrackr.com/news/prashant-pittis-optimo-capital-raises-rs-150-cr-in-series-a-round-10600487</t>
        </is>
      </c>
    </row>
    <row r="1032">
      <c r="A1032" t="inlineStr">
        <is>
          <t>R251028-satarkai</t>
        </is>
      </c>
      <c r="B1032" t="inlineStr">
        <is>
          <t>Satark AI</t>
        </is>
      </c>
      <c r="C1032" s="17" t="n">
        <v>45958</v>
      </c>
      <c r="D1032" s="18" t="n">
        <v>45931</v>
      </c>
      <c r="E1032" s="19" t="n">
        <v>3</v>
      </c>
      <c r="F1032" s="19" t="n">
        <v>26.49</v>
      </c>
      <c r="G1032" t="inlineStr">
        <is>
          <t>$3 million</t>
        </is>
      </c>
      <c r="H1032" t="inlineStr">
        <is>
          <t>Pre-Seed</t>
        </is>
      </c>
      <c r="I1032" t="inlineStr">
        <is>
          <t>Early</t>
        </is>
      </c>
      <c r="J1032" t="inlineStr">
        <is>
          <t>Artificial Intelligence</t>
        </is>
      </c>
      <c r="K1032" t="inlineStr">
        <is>
          <t>Ahmedabad</t>
        </is>
      </c>
      <c r="L1032" t="inlineStr">
        <is>
          <t>Infynno Solutions</t>
        </is>
      </c>
      <c r="M1032" t="inlineStr">
        <is>
          <t>Infynno Solutions</t>
        </is>
      </c>
      <c r="N1032" t="inlineStr">
        <is>
          <t>entrackr | inc42</t>
        </is>
      </c>
      <c r="O1032" s="20" t="n">
        <v>2</v>
      </c>
      <c r="P1032" s="21" t="n">
        <v>0</v>
      </c>
      <c r="Q1032" t="inlineStr"/>
      <c r="R1032" s="22" t="inlineStr">
        <is>
          <t>https://entrackr.com/snippets/cyber-security-startup-satark-ai-raises-pre-seed-round-10600228</t>
        </is>
      </c>
    </row>
    <row r="1033">
      <c r="A1033" t="inlineStr">
        <is>
          <t>R251028-ticket9</t>
        </is>
      </c>
      <c r="B1033" t="inlineStr">
        <is>
          <t>Ticket9</t>
        </is>
      </c>
      <c r="C1033" s="17" t="n">
        <v>45958</v>
      </c>
      <c r="D1033" s="18" t="n">
        <v>45931</v>
      </c>
      <c r="E1033" s="19" t="n"/>
      <c r="F1033" s="19" t="n"/>
      <c r="G1033" t="inlineStr"/>
      <c r="H1033" t="inlineStr">
        <is>
          <t>Undisclosed</t>
        </is>
      </c>
      <c r="I1033" t="inlineStr">
        <is>
          <t>Undisclosed</t>
        </is>
      </c>
      <c r="J1033" t="inlineStr">
        <is>
          <t>Unclassified</t>
        </is>
      </c>
      <c r="K1033" t="inlineStr">
        <is>
          <t>Unknown</t>
        </is>
      </c>
      <c r="L1033" t="inlineStr"/>
      <c r="M1033" t="inlineStr">
        <is>
          <t>Vignesh Shivan</t>
        </is>
      </c>
      <c r="N1033" t="inlineStr">
        <is>
          <t>entrackr</t>
        </is>
      </c>
      <c r="O1033" s="20" t="n">
        <v>1</v>
      </c>
      <c r="P1033" s="21" t="n"/>
      <c r="Q1033" t="inlineStr">
        <is>
          <t>C03 C04 C06 C07</t>
        </is>
      </c>
      <c r="R1033" s="22" t="inlineStr">
        <is>
          <t>https://entrackr.com/snippets/event-tech-startup-ticket9-raises-fresh-funds-10600064</t>
        </is>
      </c>
    </row>
    <row r="1034">
      <c r="A1034" t="inlineStr">
        <is>
          <t>R251029-fambo</t>
        </is>
      </c>
      <c r="B1034" t="inlineStr">
        <is>
          <t>Fambo</t>
        </is>
      </c>
      <c r="C1034" s="17" t="n">
        <v>45959</v>
      </c>
      <c r="D1034" s="18" t="n">
        <v>45931</v>
      </c>
      <c r="E1034" s="19" t="n">
        <v>2.442</v>
      </c>
      <c r="F1034" s="19" t="n">
        <v>21.55</v>
      </c>
      <c r="G1034" t="inlineStr">
        <is>
          <t>Rs 21.55 crore</t>
        </is>
      </c>
      <c r="H1034" t="inlineStr">
        <is>
          <t>Series A</t>
        </is>
      </c>
      <c r="I1034" t="inlineStr">
        <is>
          <t>Early</t>
        </is>
      </c>
      <c r="J1034" t="inlineStr">
        <is>
          <t>Agritech</t>
        </is>
      </c>
      <c r="K1034" t="inlineStr">
        <is>
          <t>Delhi NCR</t>
        </is>
      </c>
      <c r="L1034" t="inlineStr">
        <is>
          <t>AgriSURE Fund</t>
        </is>
      </c>
      <c r="M1034" t="inlineStr">
        <is>
          <t>AgriSURE Fund; EV2 Ventures</t>
        </is>
      </c>
      <c r="N1034" t="inlineStr">
        <is>
          <t>entrackr | inc42</t>
        </is>
      </c>
      <c r="O1034" s="20" t="n">
        <v>2</v>
      </c>
      <c r="P1034" s="21" t="n">
        <v>1.8</v>
      </c>
      <c r="Q1034" t="inlineStr"/>
      <c r="R1034" s="22" t="inlineStr">
        <is>
          <t>https://entrackr.com/snippets/fambo-raises-rs-2155-cr-series-a-round-led-by-agrisure-fund-10602888</t>
        </is>
      </c>
    </row>
    <row r="1035">
      <c r="A1035" t="inlineStr">
        <is>
          <t>R251029-happiplanet</t>
        </is>
      </c>
      <c r="B1035" t="inlineStr">
        <is>
          <t>Happi Planet</t>
        </is>
      </c>
      <c r="C1035" s="17" t="n">
        <v>45959</v>
      </c>
      <c r="D1035" s="18" t="n">
        <v>45931</v>
      </c>
      <c r="E1035" s="19" t="n">
        <v>2</v>
      </c>
      <c r="F1035" s="19" t="n">
        <v>17.65</v>
      </c>
      <c r="G1035" t="inlineStr">
        <is>
          <t>$2 million</t>
        </is>
      </c>
      <c r="H1035" t="inlineStr">
        <is>
          <t>Undisclosed</t>
        </is>
      </c>
      <c r="I1035" t="inlineStr">
        <is>
          <t>Undisclosed</t>
        </is>
      </c>
      <c r="J1035" t="inlineStr">
        <is>
          <t>Ecommerce</t>
        </is>
      </c>
      <c r="K1035" t="inlineStr">
        <is>
          <t>Mumbai</t>
        </is>
      </c>
      <c r="L1035" t="inlineStr">
        <is>
          <t>Fireside Ventures; Prath Ventures</t>
        </is>
      </c>
      <c r="M1035" t="inlineStr">
        <is>
          <t>Fireside Ventures; Prath Ventures</t>
        </is>
      </c>
      <c r="N1035" t="inlineStr">
        <is>
          <t>entrackr | inc42 | et</t>
        </is>
      </c>
      <c r="O1035" s="20" t="n">
        <v>3</v>
      </c>
      <c r="P1035" s="21" t="n">
        <v>2</v>
      </c>
      <c r="Q1035" t="inlineStr">
        <is>
          <t>C04</t>
        </is>
      </c>
      <c r="R1035" s="22" t="inlineStr">
        <is>
          <t>https://entrackr.com/snippets/home-care-products-maker-happi-planet-raises-2-mn-10602925</t>
        </is>
      </c>
    </row>
    <row r="1036">
      <c r="A1036" t="inlineStr">
        <is>
          <t>R251029-jupiter</t>
        </is>
      </c>
      <c r="B1036" t="inlineStr">
        <is>
          <t>Jupiter</t>
        </is>
      </c>
      <c r="C1036" s="17" t="n">
        <v>45959</v>
      </c>
      <c r="D1036" s="18" t="n">
        <v>45931</v>
      </c>
      <c r="E1036" s="19" t="n">
        <v>15</v>
      </c>
      <c r="F1036" s="19" t="n">
        <v>132.34</v>
      </c>
      <c r="G1036" t="inlineStr">
        <is>
          <t>$15 million</t>
        </is>
      </c>
      <c r="H1036" t="inlineStr">
        <is>
          <t>Undisclosed</t>
        </is>
      </c>
      <c r="I1036" t="inlineStr">
        <is>
          <t>Undisclosed</t>
        </is>
      </c>
      <c r="J1036" t="inlineStr">
        <is>
          <t>Fintech</t>
        </is>
      </c>
      <c r="K1036" t="inlineStr">
        <is>
          <t>Bengaluru</t>
        </is>
      </c>
      <c r="L1036" t="inlineStr"/>
      <c r="M1036" t="inlineStr">
        <is>
          <t>Mirae Asset Venture Investments; BEENEXT; 3one4 Capital; Jitendra Gupta (founder; Jupiter)</t>
        </is>
      </c>
      <c r="N1036" t="inlineStr">
        <is>
          <t>entrackr | inc42 | et | vccircle</t>
        </is>
      </c>
      <c r="O1036" s="20" t="n">
        <v>4</v>
      </c>
      <c r="P1036" s="21" t="n">
        <v>15.4</v>
      </c>
      <c r="Q1036" t="inlineStr">
        <is>
          <t>C04 C13 C15</t>
        </is>
      </c>
      <c r="R1036" s="22" t="inlineStr">
        <is>
          <t>https://economictimes.indiatimes.com/tech/funding/jupiter-secures-15-million-from-existing-investors-valuation-remains-flat-at-600-million/articleshow/124908900.cms</t>
        </is>
      </c>
    </row>
    <row r="1037">
      <c r="A1037" t="inlineStr">
        <is>
          <t>R251029-lyzr</t>
        </is>
      </c>
      <c r="B1037" t="inlineStr">
        <is>
          <t>Lyzr</t>
        </is>
      </c>
      <c r="C1037" s="17" t="n">
        <v>45959</v>
      </c>
      <c r="D1037" s="18" t="n">
        <v>45931</v>
      </c>
      <c r="E1037" s="19" t="n">
        <v>8</v>
      </c>
      <c r="F1037" s="19" t="n">
        <v>70.58</v>
      </c>
      <c r="G1037" t="inlineStr">
        <is>
          <t>$8 Mn</t>
        </is>
      </c>
      <c r="H1037" t="inlineStr">
        <is>
          <t>Series A</t>
        </is>
      </c>
      <c r="I1037" t="inlineStr">
        <is>
          <t>Early</t>
        </is>
      </c>
      <c r="J1037" t="inlineStr">
        <is>
          <t>Artificial Intelligence</t>
        </is>
      </c>
      <c r="K1037" t="inlineStr">
        <is>
          <t>Unknown</t>
        </is>
      </c>
      <c r="L1037" t="inlineStr">
        <is>
          <t>Rocketship.vc</t>
        </is>
      </c>
      <c r="M1037" t="inlineStr">
        <is>
          <t>Rocketship.vc; Accenture; Firstsource; Plug; Play Tech Center; GFT Ventures; BGV; PFNYC</t>
        </is>
      </c>
      <c r="N1037" t="inlineStr">
        <is>
          <t>inc42</t>
        </is>
      </c>
      <c r="O1037" s="20" t="n">
        <v>1</v>
      </c>
      <c r="P1037" s="21" t="n">
        <v>0</v>
      </c>
      <c r="Q1037" t="inlineStr">
        <is>
          <t>C07</t>
        </is>
      </c>
      <c r="R1037" s="22" t="inlineStr">
        <is>
          <t>https://inc42.com/buzz/from-snapmint-to-snabbit-indian-startups-raised-371-mn-this-week/</t>
        </is>
      </c>
    </row>
    <row r="1038">
      <c r="A1038" t="inlineStr">
        <is>
          <t>R251029-mem0</t>
        </is>
      </c>
      <c r="B1038" t="inlineStr">
        <is>
          <t>Mem0</t>
        </is>
      </c>
      <c r="C1038" s="17" t="n">
        <v>45959</v>
      </c>
      <c r="D1038" s="18" t="n">
        <v>45931</v>
      </c>
      <c r="E1038" s="19" t="n">
        <v>24</v>
      </c>
      <c r="F1038" s="19" t="n">
        <v>211.75</v>
      </c>
      <c r="G1038" t="inlineStr">
        <is>
          <t>$24 million</t>
        </is>
      </c>
      <c r="H1038" t="inlineStr">
        <is>
          <t>Series A</t>
        </is>
      </c>
      <c r="I1038" t="inlineStr">
        <is>
          <t>Early</t>
        </is>
      </c>
      <c r="J1038" t="inlineStr">
        <is>
          <t>Artificial Intelligence</t>
        </is>
      </c>
      <c r="K1038" t="inlineStr">
        <is>
          <t>Outside India</t>
        </is>
      </c>
      <c r="L1038" t="inlineStr">
        <is>
          <t>Basis Set Ventures</t>
        </is>
      </c>
      <c r="M1038" t="inlineStr">
        <is>
          <t>Basis Set Ventures; Peak XV Partners; Kindred Ventures; GitHub Fund; Y Combinator; Scott Belsky; Dharmesh Shah; Olivier Pomel</t>
        </is>
      </c>
      <c r="N1038" t="inlineStr">
        <is>
          <t>entrackr | inc42 | et</t>
        </is>
      </c>
      <c r="O1038" s="20" t="n">
        <v>3</v>
      </c>
      <c r="P1038" s="21" t="n">
        <v>0</v>
      </c>
      <c r="Q1038" t="inlineStr"/>
      <c r="R1038" s="22" t="inlineStr">
        <is>
          <t>https://entrackr.com/snippets/mem0-raises-24-mn-in-series-a-round-10602602</t>
        </is>
      </c>
    </row>
    <row r="1039">
      <c r="A1039" t="inlineStr">
        <is>
          <t>R251029-novanova</t>
        </is>
      </c>
      <c r="B1039" t="inlineStr">
        <is>
          <t>Nova Nova</t>
        </is>
      </c>
      <c r="C1039" s="17" t="n">
        <v>45959</v>
      </c>
      <c r="D1039" s="18" t="n">
        <v>45931</v>
      </c>
      <c r="E1039" s="19" t="n"/>
      <c r="F1039" s="19" t="n"/>
      <c r="G1039" t="inlineStr"/>
      <c r="H1039" t="inlineStr">
        <is>
          <t>Pre-Series A</t>
        </is>
      </c>
      <c r="I1039" t="inlineStr">
        <is>
          <t>Early</t>
        </is>
      </c>
      <c r="J1039" t="inlineStr">
        <is>
          <t>Ecommerce</t>
        </is>
      </c>
      <c r="K1039" t="inlineStr">
        <is>
          <t>Unknown</t>
        </is>
      </c>
      <c r="L1039" t="inlineStr">
        <is>
          <t>Enrission India Capital</t>
        </is>
      </c>
      <c r="M1039" t="inlineStr">
        <is>
          <t>Enrission India Capital</t>
        </is>
      </c>
      <c r="N1039" t="inlineStr">
        <is>
          <t>inc42</t>
        </is>
      </c>
      <c r="O1039" s="20" t="n">
        <v>1</v>
      </c>
      <c r="P1039" s="21" t="n"/>
      <c r="Q1039" t="inlineStr">
        <is>
          <t>C03 C07</t>
        </is>
      </c>
      <c r="R1039" s="22" t="inlineStr">
        <is>
          <t>https://inc42.com/buzz/from-snapmint-to-snabbit-indian-startups-raised-371-mn-this-week/</t>
        </is>
      </c>
    </row>
    <row r="1040">
      <c r="A1040" t="inlineStr">
        <is>
          <t>R251029-oroos</t>
        </is>
      </c>
      <c r="B1040" t="inlineStr">
        <is>
          <t>Oroos</t>
        </is>
      </c>
      <c r="C1040" s="17" t="n">
        <v>45959</v>
      </c>
      <c r="D1040" s="18" t="n">
        <v>45931</v>
      </c>
      <c r="E1040" s="19" t="n">
        <v>2.267</v>
      </c>
      <c r="F1040" s="19" t="n">
        <v>20</v>
      </c>
      <c r="G1040" t="inlineStr">
        <is>
          <t>Rs 20 crore</t>
        </is>
      </c>
      <c r="H1040" t="inlineStr">
        <is>
          <t>Undisclosed</t>
        </is>
      </c>
      <c r="I1040" t="inlineStr">
        <is>
          <t>Undisclosed</t>
        </is>
      </c>
      <c r="J1040" t="inlineStr">
        <is>
          <t>Ecommerce</t>
        </is>
      </c>
      <c r="K1040" t="inlineStr">
        <is>
          <t>Delhi NCR</t>
        </is>
      </c>
      <c r="L1040" t="inlineStr">
        <is>
          <t>Fireside Ventures</t>
        </is>
      </c>
      <c r="M1040" t="inlineStr">
        <is>
          <t>Fireside Ventures; SBI; State Bank of India</t>
        </is>
      </c>
      <c r="N1040" t="inlineStr">
        <is>
          <t>entrackr | inc42</t>
        </is>
      </c>
      <c r="O1040" s="20" t="n">
        <v>2</v>
      </c>
      <c r="P1040" s="21" t="n">
        <v>1.5</v>
      </c>
      <c r="Q1040" t="inlineStr">
        <is>
          <t>C04</t>
        </is>
      </c>
      <c r="R1040" s="22" t="inlineStr">
        <is>
          <t>https://entrackr.com/snippets/confectionery-brand-oroos-raises-rs-20-cr-from-fireside-sbi-others-10603381</t>
        </is>
      </c>
    </row>
    <row r="1041">
      <c r="A1041" t="inlineStr">
        <is>
          <t>R251029-savesage</t>
        </is>
      </c>
      <c r="B1041" t="inlineStr">
        <is>
          <t>SaveSage</t>
        </is>
      </c>
      <c r="C1041" s="17" t="n">
        <v>45959</v>
      </c>
      <c r="D1041" s="18" t="n">
        <v>45931</v>
      </c>
      <c r="E1041" s="19" t="n">
        <v>1</v>
      </c>
      <c r="F1041" s="19" t="n">
        <v>8.82</v>
      </c>
      <c r="G1041" t="inlineStr">
        <is>
          <t>$1 million</t>
        </is>
      </c>
      <c r="H1041" t="inlineStr">
        <is>
          <t>Pre-Seed</t>
        </is>
      </c>
      <c r="I1041" t="inlineStr">
        <is>
          <t>Early</t>
        </is>
      </c>
      <c r="J1041" t="inlineStr">
        <is>
          <t>Fintech</t>
        </is>
      </c>
      <c r="K1041" t="inlineStr">
        <is>
          <t>Unknown</t>
        </is>
      </c>
      <c r="L1041" t="inlineStr">
        <is>
          <t>Bhavesh Gupta; N.R. Narayanan; Lalit Wadhwa; DSP Family Office; Venture Catalysts; Suvrat Sehgal</t>
        </is>
      </c>
      <c r="M1041" t="inlineStr">
        <is>
          <t>DSP Family Office; Venture Catalysts; Bhavesh Gupta; NR Narayanan; Lalit Wadhwa; Suvrat Sehgal</t>
        </is>
      </c>
      <c r="N1041" t="inlineStr">
        <is>
          <t>entrackr | inc42</t>
        </is>
      </c>
      <c r="O1041" s="20" t="n">
        <v>2</v>
      </c>
      <c r="P1041" s="21" t="n">
        <v>0</v>
      </c>
      <c r="Q1041" t="inlineStr">
        <is>
          <t>C07</t>
        </is>
      </c>
      <c r="R1041" s="22" t="inlineStr">
        <is>
          <t>https://entrackr.com/snippets/savesage-raises-1-mn-in-pre-seed-round-10604410</t>
        </is>
      </c>
    </row>
    <row r="1042">
      <c r="A1042" t="inlineStr">
        <is>
          <t>R251029-stampmyvisa</t>
        </is>
      </c>
      <c r="B1042" t="inlineStr">
        <is>
          <t>StampMyVisa</t>
        </is>
      </c>
      <c r="C1042" s="17" t="n">
        <v>45959</v>
      </c>
      <c r="D1042" s="18" t="n">
        <v>45931</v>
      </c>
      <c r="E1042" s="19" t="n">
        <v>0.453</v>
      </c>
      <c r="F1042" s="19" t="n">
        <v>4</v>
      </c>
      <c r="G1042" t="inlineStr">
        <is>
          <t>Rs 4 crore</t>
        </is>
      </c>
      <c r="H1042" t="inlineStr">
        <is>
          <t>Bridge</t>
        </is>
      </c>
      <c r="I1042" t="inlineStr">
        <is>
          <t>Other</t>
        </is>
      </c>
      <c r="J1042" t="inlineStr">
        <is>
          <t>Travel Tech</t>
        </is>
      </c>
      <c r="K1042" t="inlineStr">
        <is>
          <t>Mumbai</t>
        </is>
      </c>
      <c r="L1042" t="inlineStr">
        <is>
          <t>Unicorn India Ventures</t>
        </is>
      </c>
      <c r="M1042" t="inlineStr">
        <is>
          <t>Unicorn India Ventures</t>
        </is>
      </c>
      <c r="N1042" t="inlineStr">
        <is>
          <t>entrackr | inc42 | et</t>
        </is>
      </c>
      <c r="O1042" s="20" t="n">
        <v>3</v>
      </c>
      <c r="P1042" s="21" t="n">
        <v>0.5</v>
      </c>
      <c r="Q1042" t="inlineStr"/>
      <c r="R1042" s="22" t="inlineStr">
        <is>
          <t>https://entrackr.com/snippets/stampmyvisa-raises-rs-4-cr-in-bridge-round-led-by-unicorn-india-ventures-10602971</t>
        </is>
      </c>
    </row>
    <row r="1043">
      <c r="A1043" t="inlineStr">
        <is>
          <t>R251029-tsuyomanufactu</t>
        </is>
      </c>
      <c r="B1043" t="inlineStr">
        <is>
          <t>TSUYO Manufacturing</t>
        </is>
      </c>
      <c r="C1043" s="17" t="n">
        <v>45959</v>
      </c>
      <c r="D1043" s="18" t="n">
        <v>45931</v>
      </c>
      <c r="E1043" s="19" t="n">
        <v>4.5</v>
      </c>
      <c r="F1043" s="19" t="n">
        <v>39.7</v>
      </c>
      <c r="G1043" t="inlineStr">
        <is>
          <t>$4.5 million</t>
        </is>
      </c>
      <c r="H1043" t="inlineStr">
        <is>
          <t>Pre-Series A</t>
        </is>
      </c>
      <c r="I1043" t="inlineStr">
        <is>
          <t>Early</t>
        </is>
      </c>
      <c r="J1043" t="inlineStr">
        <is>
          <t>Cleantech</t>
        </is>
      </c>
      <c r="K1043" t="inlineStr">
        <is>
          <t>Delhi NCR</t>
        </is>
      </c>
      <c r="L1043" t="inlineStr">
        <is>
          <t>Avaana Capital</t>
        </is>
      </c>
      <c r="M1043" t="inlineStr">
        <is>
          <t>Avaana Capital</t>
        </is>
      </c>
      <c r="N1043" t="inlineStr">
        <is>
          <t>entrackr | inc42 | et</t>
        </is>
      </c>
      <c r="O1043" s="20" t="n">
        <v>3</v>
      </c>
      <c r="P1043" s="21" t="n">
        <v>0</v>
      </c>
      <c r="Q1043" t="inlineStr"/>
      <c r="R1043" s="22" t="inlineStr">
        <is>
          <t>https://entrackr.com/snippets/tsuyo-manufacturing-raises-45-mn-round-led-by-avaana-capital-10602912</t>
        </is>
      </c>
    </row>
    <row r="1044">
      <c r="A1044" t="inlineStr">
        <is>
          <t>R251030-beyondrenewabl</t>
        </is>
      </c>
      <c r="B1044" t="inlineStr">
        <is>
          <t>Beyond Renewables &amp; Recycling</t>
        </is>
      </c>
      <c r="C1044" s="17" t="n">
        <v>45960</v>
      </c>
      <c r="D1044" s="18" t="n">
        <v>45931</v>
      </c>
      <c r="E1044" s="19" t="n">
        <v>0.5639999999999999</v>
      </c>
      <c r="F1044" s="19" t="n">
        <v>5</v>
      </c>
      <c r="G1044" t="inlineStr">
        <is>
          <t>Rs 5 crore</t>
        </is>
      </c>
      <c r="H1044" t="inlineStr">
        <is>
          <t>Pre-Seed</t>
        </is>
      </c>
      <c r="I1044" t="inlineStr">
        <is>
          <t>Early</t>
        </is>
      </c>
      <c r="J1044" t="inlineStr">
        <is>
          <t>Cleantech</t>
        </is>
      </c>
      <c r="K1044" t="inlineStr">
        <is>
          <t>Unknown</t>
        </is>
      </c>
      <c r="L1044" t="inlineStr">
        <is>
          <t>Momentum Capital; IIMA Ventures; Oorjan Cleantech; Gautam Das</t>
        </is>
      </c>
      <c r="M1044" t="inlineStr">
        <is>
          <t>Momentum Capital; Venture Catalysts; IIMA Ventures; Oorjan Cleantech; Gautam Das (founder</t>
        </is>
      </c>
      <c r="N1044" t="inlineStr">
        <is>
          <t>entrackr | inc42</t>
        </is>
      </c>
      <c r="O1044" s="20" t="n">
        <v>2</v>
      </c>
      <c r="P1044" s="21" t="n">
        <v>0.1</v>
      </c>
      <c r="Q1044" t="inlineStr">
        <is>
          <t>C07</t>
        </is>
      </c>
      <c r="R1044" s="22" t="inlineStr">
        <is>
          <t>https://entrackr.com/snippets/beyond-renewables-recycling-raises-pre-seed-round-led-by-momentum-capital-10606880</t>
        </is>
      </c>
    </row>
    <row r="1045">
      <c r="A1045" t="inlineStr">
        <is>
          <t>R251030-dripcapital</t>
        </is>
      </c>
      <c r="B1045" t="inlineStr">
        <is>
          <t>Drip Capital</t>
        </is>
      </c>
      <c r="C1045" s="17" t="n">
        <v>45960</v>
      </c>
      <c r="D1045" s="18" t="n">
        <v>45931</v>
      </c>
      <c r="E1045" s="19" t="n">
        <v>50</v>
      </c>
      <c r="F1045" s="19" t="n">
        <v>443.6</v>
      </c>
      <c r="G1045" t="inlineStr">
        <is>
          <t>$50 Mn</t>
        </is>
      </c>
      <c r="H1045" t="inlineStr">
        <is>
          <t>Debt</t>
        </is>
      </c>
      <c r="I1045" t="inlineStr">
        <is>
          <t>Debt</t>
        </is>
      </c>
      <c r="J1045" t="inlineStr">
        <is>
          <t>Fintech</t>
        </is>
      </c>
      <c r="K1045" t="inlineStr">
        <is>
          <t>Unknown</t>
        </is>
      </c>
      <c r="L1045" t="inlineStr">
        <is>
          <t>Toronto-Dominion Bank</t>
        </is>
      </c>
      <c r="M1045" t="inlineStr">
        <is>
          <t>Toronto-Dominion Bank</t>
        </is>
      </c>
      <c r="N1045" t="inlineStr">
        <is>
          <t>inc42</t>
        </is>
      </c>
      <c r="O1045" s="20" t="n">
        <v>1</v>
      </c>
      <c r="P1045" s="21" t="n">
        <v>0</v>
      </c>
      <c r="Q1045" t="inlineStr">
        <is>
          <t>C07</t>
        </is>
      </c>
      <c r="R1045" s="22" t="inlineStr">
        <is>
          <t>https://inc42.com/buzz/from-snapmint-to-snabbit-indian-startups-raised-371-mn-this-week/</t>
        </is>
      </c>
    </row>
    <row r="1046">
      <c r="A1046" t="inlineStr">
        <is>
          <t>R251030-exilesinteract</t>
        </is>
      </c>
      <c r="B1046" t="inlineStr">
        <is>
          <t>Exiles Interactives</t>
        </is>
      </c>
      <c r="C1046" s="17" t="n">
        <v>45960</v>
      </c>
      <c r="D1046" s="18" t="n">
        <v>45931</v>
      </c>
      <c r="E1046" s="19" t="n">
        <v>0.355</v>
      </c>
      <c r="F1046" s="19" t="n">
        <v>3.15</v>
      </c>
      <c r="G1046" t="inlineStr">
        <is>
          <t>$355,000</t>
        </is>
      </c>
      <c r="H1046" t="inlineStr">
        <is>
          <t>Pre-Seed</t>
        </is>
      </c>
      <c r="I1046" t="inlineStr">
        <is>
          <t>Early</t>
        </is>
      </c>
      <c r="J1046" t="inlineStr">
        <is>
          <t>Media &amp; Entertainment</t>
        </is>
      </c>
      <c r="K1046" t="inlineStr">
        <is>
          <t>Unknown</t>
        </is>
      </c>
      <c r="L1046" t="inlineStr">
        <is>
          <t>Chimera VC</t>
        </is>
      </c>
      <c r="M1046" t="inlineStr">
        <is>
          <t>Chimera VC; Warmup Ventures; IndigoEdge; Dhruv Vohra; Sourav Gupta</t>
        </is>
      </c>
      <c r="N1046" t="inlineStr">
        <is>
          <t>entrackr | inc42</t>
        </is>
      </c>
      <c r="O1046" s="20" t="n">
        <v>2</v>
      </c>
      <c r="P1046" s="21" t="n">
        <v>0</v>
      </c>
      <c r="Q1046" t="inlineStr">
        <is>
          <t>C07</t>
        </is>
      </c>
      <c r="R1046" s="22" t="inlineStr">
        <is>
          <t>https://entrackr.com/snippets/gaming-startup-exiles-interactives-raises-355k-in-pre-seed-round-10606500</t>
        </is>
      </c>
    </row>
    <row r="1047">
      <c r="A1047" t="inlineStr">
        <is>
          <t>R251030-helex</t>
        </is>
      </c>
      <c r="B1047" t="inlineStr">
        <is>
          <t>Helex</t>
        </is>
      </c>
      <c r="C1047" s="17" t="n">
        <v>45960</v>
      </c>
      <c r="D1047" s="18" t="n">
        <v>45931</v>
      </c>
      <c r="E1047" s="19" t="n">
        <v>3.5</v>
      </c>
      <c r="F1047" s="19" t="n">
        <v>31.05</v>
      </c>
      <c r="G1047" t="inlineStr">
        <is>
          <t>$3.5 million</t>
        </is>
      </c>
      <c r="H1047" t="inlineStr">
        <is>
          <t>Seed</t>
        </is>
      </c>
      <c r="I1047" t="inlineStr">
        <is>
          <t>Early</t>
        </is>
      </c>
      <c r="J1047" t="inlineStr">
        <is>
          <t>Healthtech</t>
        </is>
      </c>
      <c r="K1047" t="inlineStr">
        <is>
          <t>Outside India</t>
        </is>
      </c>
      <c r="L1047" t="inlineStr">
        <is>
          <t>SOSV</t>
        </is>
      </c>
      <c r="M1047" t="inlineStr">
        <is>
          <t>Bluehill VC; SOSV</t>
        </is>
      </c>
      <c r="N1047" t="inlineStr">
        <is>
          <t>entrackr | inc42 | et</t>
        </is>
      </c>
      <c r="O1047" s="20" t="n">
        <v>3</v>
      </c>
      <c r="P1047" s="21" t="n">
        <v>0</v>
      </c>
      <c r="Q1047" t="inlineStr"/>
      <c r="R1047" s="22" t="inlineStr">
        <is>
          <t>https://entrackr.com/snippets/helex-raises-35-mn-in-seed-round-led-by-pi-ventures-10608261</t>
        </is>
      </c>
    </row>
    <row r="1048">
      <c r="A1048" t="inlineStr">
        <is>
          <t>R251030-intrcitysmartb</t>
        </is>
      </c>
      <c r="B1048" t="inlineStr">
        <is>
          <t>IntrCity SmartBus</t>
        </is>
      </c>
      <c r="C1048" s="17" t="n">
        <v>45960</v>
      </c>
      <c r="D1048" s="18" t="n">
        <v>45931</v>
      </c>
      <c r="E1048" s="19" t="n">
        <v>28.179</v>
      </c>
      <c r="F1048" s="19" t="n">
        <v>250</v>
      </c>
      <c r="G1048" t="inlineStr">
        <is>
          <t>Rs 250 crore</t>
        </is>
      </c>
      <c r="H1048" t="inlineStr">
        <is>
          <t>Series D</t>
        </is>
      </c>
      <c r="I1048" t="inlineStr">
        <is>
          <t>Late</t>
        </is>
      </c>
      <c r="J1048" t="inlineStr">
        <is>
          <t>Travel Tech</t>
        </is>
      </c>
      <c r="K1048" t="inlineStr">
        <is>
          <t>Delhi NCR</t>
        </is>
      </c>
      <c r="L1048" t="inlineStr">
        <is>
          <t>A91 Partners</t>
        </is>
      </c>
      <c r="M1048" t="inlineStr">
        <is>
          <t>A91 Partners</t>
        </is>
      </c>
      <c r="N1048" t="inlineStr">
        <is>
          <t>entrackr | inc42 | et</t>
        </is>
      </c>
      <c r="O1048" s="20" t="n">
        <v>3</v>
      </c>
      <c r="P1048" s="21" t="n">
        <v>0.1</v>
      </c>
      <c r="Q1048" t="inlineStr"/>
      <c r="R1048" s="22" t="inlineStr">
        <is>
          <t>https://entrackr.com/news/intrcity-smartbus-raises-rs-250-cr-in-series-d-led-by-a91-partners-10606649</t>
        </is>
      </c>
    </row>
    <row r="1049">
      <c r="A1049" t="inlineStr">
        <is>
          <t>R251030-openhouse</t>
        </is>
      </c>
      <c r="B1049" t="inlineStr">
        <is>
          <t>Openhouse</t>
        </is>
      </c>
      <c r="C1049" s="17" t="n">
        <v>45960</v>
      </c>
      <c r="D1049" s="18" t="n">
        <v>45931</v>
      </c>
      <c r="E1049" s="19" t="n">
        <v>2</v>
      </c>
      <c r="F1049" s="19" t="n">
        <v>17.74</v>
      </c>
      <c r="G1049" t="inlineStr">
        <is>
          <t>$2 million</t>
        </is>
      </c>
      <c r="H1049" t="inlineStr">
        <is>
          <t>Seed</t>
        </is>
      </c>
      <c r="I1049" t="inlineStr">
        <is>
          <t>Early</t>
        </is>
      </c>
      <c r="J1049" t="inlineStr">
        <is>
          <t>Real Estate Tech</t>
        </is>
      </c>
      <c r="K1049" t="inlineStr">
        <is>
          <t>Unknown</t>
        </is>
      </c>
      <c r="L1049" t="inlineStr">
        <is>
          <t>IndiaQuotient; India Quotient Ventures</t>
        </is>
      </c>
      <c r="M1049" t="inlineStr">
        <is>
          <t>IndiaQuotient; Mohit Gupta; Gunjan Patidar; Gaurav Sharma; Ramanshu Mahaur; India Quotient Ventures</t>
        </is>
      </c>
      <c r="N1049" t="inlineStr">
        <is>
          <t>entrackr | inc42</t>
        </is>
      </c>
      <c r="O1049" s="20" t="n">
        <v>2</v>
      </c>
      <c r="P1049" s="21" t="n">
        <v>0</v>
      </c>
      <c r="Q1049" t="inlineStr">
        <is>
          <t>C07 C17</t>
        </is>
      </c>
      <c r="R1049" s="22" t="inlineStr">
        <is>
          <t>https://entrackr.com/snippets/proptech-startup-openhouse-raises-2-mn-in-seed-round-10606190</t>
        </is>
      </c>
    </row>
    <row r="1050">
      <c r="A1050" t="inlineStr">
        <is>
          <t>R251030-pointai</t>
        </is>
      </c>
      <c r="B1050" t="inlineStr">
        <is>
          <t>Point AI</t>
        </is>
      </c>
      <c r="C1050" s="17" t="n">
        <v>45960</v>
      </c>
      <c r="D1050" s="18" t="n">
        <v>45931</v>
      </c>
      <c r="E1050" s="19" t="n">
        <v>5.3</v>
      </c>
      <c r="F1050" s="19" t="n">
        <v>47.02</v>
      </c>
      <c r="G1050" t="inlineStr">
        <is>
          <t>$5.3 million</t>
        </is>
      </c>
      <c r="H1050" t="inlineStr">
        <is>
          <t>Pre-Series A</t>
        </is>
      </c>
      <c r="I1050" t="inlineStr">
        <is>
          <t>Early</t>
        </is>
      </c>
      <c r="J1050" t="inlineStr">
        <is>
          <t>Artificial Intelligence</t>
        </is>
      </c>
      <c r="K1050" t="inlineStr">
        <is>
          <t>Bengaluru</t>
        </is>
      </c>
      <c r="L1050" t="inlineStr">
        <is>
          <t>Yali Capital; Nitin Vats told ET.Lip-Bu Tan; Tremis Capital</t>
        </is>
      </c>
      <c r="M1050" t="inlineStr">
        <is>
          <t>Yali Capital; Tremis Capital; Lip-Bu Tan</t>
        </is>
      </c>
      <c r="N1050" t="inlineStr">
        <is>
          <t>entrackr | inc42 | et</t>
        </is>
      </c>
      <c r="O1050" s="20" t="n">
        <v>3</v>
      </c>
      <c r="P1050" s="21" t="n">
        <v>0</v>
      </c>
      <c r="Q1050" t="inlineStr"/>
      <c r="R1050" s="22" t="inlineStr">
        <is>
          <t>https://entrackr.com/snippets/point-ai-raises-53-mn-led-by-yali-capital-10605801</t>
        </is>
      </c>
    </row>
    <row r="1051">
      <c r="A1051" t="inlineStr">
        <is>
          <t>R251030-redacto</t>
        </is>
      </c>
      <c r="B1051" t="inlineStr">
        <is>
          <t>Redacto</t>
        </is>
      </c>
      <c r="C1051" s="17" t="n">
        <v>45960</v>
      </c>
      <c r="D1051" s="18" t="n">
        <v>45931</v>
      </c>
      <c r="E1051" s="19" t="n">
        <v>1.353</v>
      </c>
      <c r="F1051" s="19" t="n">
        <v>12</v>
      </c>
      <c r="G1051" t="inlineStr">
        <is>
          <t>Rs 12 crore</t>
        </is>
      </c>
      <c r="H1051" t="inlineStr">
        <is>
          <t>Seed</t>
        </is>
      </c>
      <c r="I1051" t="inlineStr">
        <is>
          <t>Early</t>
        </is>
      </c>
      <c r="J1051" t="inlineStr">
        <is>
          <t>Artificial Intelligence</t>
        </is>
      </c>
      <c r="K1051" t="inlineStr">
        <is>
          <t>Unknown</t>
        </is>
      </c>
      <c r="L1051" t="inlineStr">
        <is>
          <t>PeerCapital; Antler India</t>
        </is>
      </c>
      <c r="M1051" t="inlineStr">
        <is>
          <t>PeerCapital; Antler India</t>
        </is>
      </c>
      <c r="N1051" t="inlineStr">
        <is>
          <t>entrackr | inc42</t>
        </is>
      </c>
      <c r="O1051" s="20" t="n">
        <v>2</v>
      </c>
      <c r="P1051" s="21" t="n">
        <v>3.5</v>
      </c>
      <c r="Q1051" t="inlineStr">
        <is>
          <t>C07</t>
        </is>
      </c>
      <c r="R1051" s="22" t="inlineStr">
        <is>
          <t>https://entrackr.com/snippets/redacto-raises-rs-12-cr-in-seed-round-led-by-peercapital-10606066</t>
        </is>
      </c>
    </row>
    <row r="1052">
      <c r="A1052" t="inlineStr">
        <is>
          <t>R251030-salaryse</t>
        </is>
      </c>
      <c r="B1052" t="inlineStr">
        <is>
          <t>SalarySe</t>
        </is>
      </c>
      <c r="C1052" s="17" t="n">
        <v>45960</v>
      </c>
      <c r="D1052" s="18" t="n">
        <v>45931</v>
      </c>
      <c r="E1052" s="19" t="n">
        <v>11.3</v>
      </c>
      <c r="F1052" s="19" t="n">
        <v>100.25</v>
      </c>
      <c r="G1052" t="inlineStr">
        <is>
          <t>$11.3 million</t>
        </is>
      </c>
      <c r="H1052" t="inlineStr">
        <is>
          <t>Series A</t>
        </is>
      </c>
      <c r="I1052" t="inlineStr">
        <is>
          <t>Early</t>
        </is>
      </c>
      <c r="J1052" t="inlineStr">
        <is>
          <t>Fintech</t>
        </is>
      </c>
      <c r="K1052" t="inlineStr">
        <is>
          <t>Delhi NCR</t>
        </is>
      </c>
      <c r="L1052" t="inlineStr">
        <is>
          <t>Flourish Ventures; SIG Venture Capital</t>
        </is>
      </c>
      <c r="M1052" t="inlineStr">
        <is>
          <t>Flourish Ventures; Susquehanna Asia VC; Peak XV Partners; Pravega Ventures; SIG Venture Capital; Surge Ventures</t>
        </is>
      </c>
      <c r="N1052" t="inlineStr">
        <is>
          <t>entrackr | inc42 | et</t>
        </is>
      </c>
      <c r="O1052" s="20" t="n">
        <v>3</v>
      </c>
      <c r="P1052" s="21" t="n">
        <v>0</v>
      </c>
      <c r="Q1052" t="inlineStr"/>
      <c r="R1052" s="22" t="inlineStr">
        <is>
          <t>https://entrackr.com/news/salaryse-raises-113-mn-led-by-flourish-ventures-10605825</t>
        </is>
      </c>
    </row>
    <row r="1053">
      <c r="A1053" t="inlineStr">
        <is>
          <t>R251030-snabbit</t>
        </is>
      </c>
      <c r="B1053" t="inlineStr">
        <is>
          <t>Snabbit</t>
        </is>
      </c>
      <c r="C1053" s="17" t="n">
        <v>45960</v>
      </c>
      <c r="D1053" s="18" t="n">
        <v>45931</v>
      </c>
      <c r="E1053" s="19" t="n">
        <v>30</v>
      </c>
      <c r="F1053" s="19" t="n">
        <v>266.16</v>
      </c>
      <c r="G1053" t="inlineStr">
        <is>
          <t>$30 Mn</t>
        </is>
      </c>
      <c r="H1053" t="inlineStr">
        <is>
          <t>Series C</t>
        </is>
      </c>
      <c r="I1053" t="inlineStr">
        <is>
          <t>Growth</t>
        </is>
      </c>
      <c r="J1053" t="inlineStr">
        <is>
          <t>Consumer Services</t>
        </is>
      </c>
      <c r="K1053" t="inlineStr">
        <is>
          <t>Mumbai</t>
        </is>
      </c>
      <c r="L1053" t="inlineStr">
        <is>
          <t>Bertelsmann India Investments</t>
        </is>
      </c>
      <c r="M1053" t="inlineStr">
        <is>
          <t>Bertelsmann India Investments; Lightspeed; Elevation Capital; Nexus Venture Partners</t>
        </is>
      </c>
      <c r="N1053" t="inlineStr">
        <is>
          <t>inc42 | vccircle</t>
        </is>
      </c>
      <c r="O1053" s="20" t="n">
        <v>2</v>
      </c>
      <c r="P1053" s="21" t="n">
        <v>0</v>
      </c>
      <c r="Q1053" t="inlineStr"/>
      <c r="R1053" s="22" t="inlineStr">
        <is>
          <t>https://inc42.com/buzz/from-snapmint-to-snabbit-indian-startups-raised-371-mn-this-week/</t>
        </is>
      </c>
    </row>
    <row r="1054">
      <c r="A1054" t="inlineStr">
        <is>
          <t>R251030-vijyafintech</t>
        </is>
      </c>
      <c r="B1054" t="inlineStr">
        <is>
          <t>Vijya Fintech</t>
        </is>
      </c>
      <c r="C1054" s="17" t="n">
        <v>45960</v>
      </c>
      <c r="D1054" s="18" t="n">
        <v>45931</v>
      </c>
      <c r="E1054" s="19" t="n">
        <v>1.4</v>
      </c>
      <c r="F1054" s="19" t="n">
        <v>12.42</v>
      </c>
      <c r="G1054" t="inlineStr">
        <is>
          <t>$1.4 Mn</t>
        </is>
      </c>
      <c r="H1054" t="inlineStr">
        <is>
          <t>Seed</t>
        </is>
      </c>
      <c r="I1054" t="inlineStr">
        <is>
          <t>Early</t>
        </is>
      </c>
      <c r="J1054" t="inlineStr">
        <is>
          <t>Fintech</t>
        </is>
      </c>
      <c r="K1054" t="inlineStr">
        <is>
          <t>Unknown</t>
        </is>
      </c>
      <c r="L1054" t="inlineStr"/>
      <c r="M1054" t="inlineStr"/>
      <c r="N1054" t="inlineStr">
        <is>
          <t>inc42</t>
        </is>
      </c>
      <c r="O1054" s="20" t="n">
        <v>1</v>
      </c>
      <c r="P1054" s="21" t="n">
        <v>0</v>
      </c>
      <c r="Q1054" t="inlineStr">
        <is>
          <t>C05 C07</t>
        </is>
      </c>
      <c r="R1054" s="22" t="inlineStr">
        <is>
          <t>https://inc42.com/buzz/from-snapmint-to-snabbit-indian-startups-raised-371-mn-this-week/</t>
        </is>
      </c>
    </row>
    <row r="1055">
      <c r="A1055" t="inlineStr">
        <is>
          <t>R251031-goyaz</t>
        </is>
      </c>
      <c r="B1055" t="inlineStr">
        <is>
          <t>GOYAZ</t>
        </is>
      </c>
      <c r="C1055" s="17" t="n">
        <v>45961</v>
      </c>
      <c r="D1055" s="18" t="n">
        <v>45931</v>
      </c>
      <c r="E1055" s="19" t="n">
        <v>14.653</v>
      </c>
      <c r="F1055" s="19" t="n">
        <v>130</v>
      </c>
      <c r="G1055" t="inlineStr">
        <is>
          <t>Rs 130 crore</t>
        </is>
      </c>
      <c r="H1055" t="inlineStr">
        <is>
          <t>Series A</t>
        </is>
      </c>
      <c r="I1055" t="inlineStr">
        <is>
          <t>Early</t>
        </is>
      </c>
      <c r="J1055" t="inlineStr">
        <is>
          <t>Ecommerce</t>
        </is>
      </c>
      <c r="K1055" t="inlineStr">
        <is>
          <t>Hyderabad</t>
        </is>
      </c>
      <c r="L1055" t="inlineStr">
        <is>
          <t>Norwest</t>
        </is>
      </c>
      <c r="M1055" t="inlineStr">
        <is>
          <t>Norwest</t>
        </is>
      </c>
      <c r="N1055" t="inlineStr">
        <is>
          <t>entrackr | inc42</t>
        </is>
      </c>
      <c r="O1055" s="20" t="n">
        <v>2</v>
      </c>
      <c r="P1055" s="21" t="n">
        <v>0.3</v>
      </c>
      <c r="Q1055" t="inlineStr"/>
      <c r="R1055" s="22" t="inlineStr">
        <is>
          <t>https://entrackr.com/snippets/gold-plated-silver-jewellery-brand-goyaz-raises-rs-130-cr-led-by-norwest-10610308</t>
        </is>
      </c>
    </row>
    <row r="1056">
      <c r="A1056" t="inlineStr">
        <is>
          <t>R251031-madoverbuildin</t>
        </is>
      </c>
      <c r="B1056" t="inlineStr">
        <is>
          <t>Mad Over Buildings</t>
        </is>
      </c>
      <c r="C1056" s="17" t="n">
        <v>45961</v>
      </c>
      <c r="D1056" s="18" t="n">
        <v>45931</v>
      </c>
      <c r="E1056" s="19" t="n">
        <v>0.676</v>
      </c>
      <c r="F1056" s="19" t="n">
        <v>6</v>
      </c>
      <c r="G1056" t="inlineStr">
        <is>
          <t>Rs 6 crore</t>
        </is>
      </c>
      <c r="H1056" t="inlineStr">
        <is>
          <t>Seed</t>
        </is>
      </c>
      <c r="I1056" t="inlineStr">
        <is>
          <t>Early</t>
        </is>
      </c>
      <c r="J1056" t="inlineStr">
        <is>
          <t>Fintech</t>
        </is>
      </c>
      <c r="K1056" t="inlineStr">
        <is>
          <t>Unknown</t>
        </is>
      </c>
      <c r="L1056" t="inlineStr">
        <is>
          <t>SIG Tattva</t>
        </is>
      </c>
      <c r="M1056" t="inlineStr">
        <is>
          <t>SIG Tattva</t>
        </is>
      </c>
      <c r="N1056" t="inlineStr">
        <is>
          <t>entrackr</t>
        </is>
      </c>
      <c r="O1056" s="20" t="n">
        <v>1</v>
      </c>
      <c r="P1056" s="21" t="n">
        <v>0</v>
      </c>
      <c r="Q1056" t="inlineStr">
        <is>
          <t>C07</t>
        </is>
      </c>
      <c r="R1056" s="22" t="inlineStr">
        <is>
          <t>https://entrackr.com/snippets/mad-over-buildings-raises-seed-round-led-by-sig-tattva-10610026</t>
        </is>
      </c>
    </row>
    <row r="1057">
      <c r="A1057" t="inlineStr">
        <is>
          <t>R251031-plurofertility</t>
        </is>
      </c>
      <c r="B1057" t="inlineStr">
        <is>
          <t>Pluro Fertility</t>
        </is>
      </c>
      <c r="C1057" s="17" t="n">
        <v>45961</v>
      </c>
      <c r="D1057" s="18" t="n">
        <v>45931</v>
      </c>
      <c r="E1057" s="19" t="n">
        <v>14.089</v>
      </c>
      <c r="F1057" s="19" t="n">
        <v>125</v>
      </c>
      <c r="G1057" t="inlineStr">
        <is>
          <t>Rs 125 crore</t>
        </is>
      </c>
      <c r="H1057" t="inlineStr">
        <is>
          <t>Series A</t>
        </is>
      </c>
      <c r="I1057" t="inlineStr">
        <is>
          <t>Early</t>
        </is>
      </c>
      <c r="J1057" t="inlineStr">
        <is>
          <t>Healthtech</t>
        </is>
      </c>
      <c r="K1057" t="inlineStr">
        <is>
          <t>Unknown</t>
        </is>
      </c>
      <c r="L1057" t="inlineStr">
        <is>
          <t>Bessemer Venture Partners</t>
        </is>
      </c>
      <c r="M1057" t="inlineStr">
        <is>
          <t>Bessemer Venture Partners; Vikram Chatwal (chairman; Medi Assist); Dharmil Sheth (cofounder; PharmEasy); Hardik Dedhia (cofounder; AllHome Bharat Platform); Salil Musale; Shalibhadra Shah; Niket Shah; Karan Kapur (director; K Hospitality)</t>
        </is>
      </c>
      <c r="N1057" t="inlineStr">
        <is>
          <t>entrackr | inc42</t>
        </is>
      </c>
      <c r="O1057" s="20" t="n">
        <v>2</v>
      </c>
      <c r="P1057" s="21" t="n">
        <v>0.1</v>
      </c>
      <c r="Q1057" t="inlineStr">
        <is>
          <t>C07</t>
        </is>
      </c>
      <c r="R1057" s="22" t="inlineStr">
        <is>
          <t>https://entrackr.com/news/pluro-fertility-raises-rs-125-cr-at-rs-1000-cr-valuation-10609211</t>
        </is>
      </c>
    </row>
    <row r="1058">
      <c r="A1058" t="inlineStr">
        <is>
          <t>R251031-snapmint</t>
        </is>
      </c>
      <c r="B1058" t="inlineStr">
        <is>
          <t>Snapmint</t>
        </is>
      </c>
      <c r="C1058" s="17" t="n">
        <v>45961</v>
      </c>
      <c r="D1058" s="18" t="n">
        <v>45931</v>
      </c>
      <c r="E1058" s="19" t="n">
        <v>125</v>
      </c>
      <c r="F1058" s="19" t="n">
        <v>1109</v>
      </c>
      <c r="G1058" t="inlineStr">
        <is>
          <t>$125 million</t>
        </is>
      </c>
      <c r="H1058" t="inlineStr">
        <is>
          <t>Series B</t>
        </is>
      </c>
      <c r="I1058" t="inlineStr">
        <is>
          <t>Growth</t>
        </is>
      </c>
      <c r="J1058" t="inlineStr">
        <is>
          <t>Fintech</t>
        </is>
      </c>
      <c r="K1058" t="inlineStr">
        <is>
          <t>Mumbai</t>
        </is>
      </c>
      <c r="L1058" t="inlineStr">
        <is>
          <t>General Atlantic</t>
        </is>
      </c>
      <c r="M1058" t="inlineStr">
        <is>
          <t>General Atlantic; Prudent Investment Managers; Kae Capital; Elev8 Venture Partners</t>
        </is>
      </c>
      <c r="N1058" t="inlineStr">
        <is>
          <t>entrackr | inc42 | et | vccircle</t>
        </is>
      </c>
      <c r="O1058" s="20" t="n">
        <v>4</v>
      </c>
      <c r="P1058" s="21" t="n">
        <v>0</v>
      </c>
      <c r="Q1058" t="inlineStr"/>
      <c r="R1058" s="22" t="inlineStr">
        <is>
          <t>https://entrackr.com/news/bnpl-startup-snapmint-raises-125-mn-led-by-general-atlantic-10609243</t>
        </is>
      </c>
    </row>
    <row r="1059">
      <c r="A1059" t="inlineStr">
        <is>
          <t>R251104-blyp</t>
        </is>
      </c>
      <c r="B1059" t="inlineStr">
        <is>
          <t>Blyp</t>
        </is>
      </c>
      <c r="C1059" s="17" t="n">
        <v>45965</v>
      </c>
      <c r="D1059" s="18" t="n">
        <v>45962</v>
      </c>
      <c r="E1059" s="19" t="n">
        <v>0.056</v>
      </c>
      <c r="F1059" s="19" t="n">
        <v>0.5</v>
      </c>
      <c r="G1059" t="inlineStr">
        <is>
          <t>Rs 50 lakh</t>
        </is>
      </c>
      <c r="H1059" t="inlineStr">
        <is>
          <t>Pre-Series A</t>
        </is>
      </c>
      <c r="I1059" t="inlineStr">
        <is>
          <t>Early</t>
        </is>
      </c>
      <c r="J1059" t="inlineStr">
        <is>
          <t>Travel Tech</t>
        </is>
      </c>
      <c r="K1059" t="inlineStr">
        <is>
          <t>Unknown</t>
        </is>
      </c>
      <c r="L1059" t="inlineStr">
        <is>
          <t>Sandesh Sharda</t>
        </is>
      </c>
      <c r="M1059" t="inlineStr">
        <is>
          <t>Sandesh Sharda</t>
        </is>
      </c>
      <c r="N1059" t="inlineStr">
        <is>
          <t>entrackr | inc42</t>
        </is>
      </c>
      <c r="O1059" s="20" t="n">
        <v>2</v>
      </c>
      <c r="P1059" s="21" t="n">
        <v>0.6</v>
      </c>
      <c r="Q1059" t="inlineStr">
        <is>
          <t>C07 C11</t>
        </is>
      </c>
      <c r="R1059" s="22" t="inlineStr">
        <is>
          <t>https://entrackr.com/snippets/parking-solutions-startup-blyp-raises-bridge-round-10620794</t>
        </is>
      </c>
    </row>
    <row r="1060">
      <c r="A1060" t="inlineStr">
        <is>
          <t>R251104-protouch</t>
        </is>
      </c>
      <c r="B1060" t="inlineStr">
        <is>
          <t>Protouch</t>
        </is>
      </c>
      <c r="C1060" s="17" t="n">
        <v>45965</v>
      </c>
      <c r="D1060" s="18" t="n">
        <v>45962</v>
      </c>
      <c r="E1060" s="19" t="n">
        <v>2</v>
      </c>
      <c r="F1060" s="19" t="n">
        <v>17.74</v>
      </c>
      <c r="G1060" t="inlineStr">
        <is>
          <t>$2 million</t>
        </is>
      </c>
      <c r="H1060" t="inlineStr">
        <is>
          <t>Pre-Series A</t>
        </is>
      </c>
      <c r="I1060" t="inlineStr">
        <is>
          <t>Early</t>
        </is>
      </c>
      <c r="J1060" t="inlineStr">
        <is>
          <t>Ecommerce</t>
        </is>
      </c>
      <c r="K1060" t="inlineStr">
        <is>
          <t>Unknown</t>
        </is>
      </c>
      <c r="L1060" t="inlineStr">
        <is>
          <t>GVFL</t>
        </is>
      </c>
      <c r="M1060" t="inlineStr">
        <is>
          <t>GVFL; Enrission India Capital; Anicut Capital</t>
        </is>
      </c>
      <c r="N1060" t="inlineStr">
        <is>
          <t>entrackr | inc42</t>
        </is>
      </c>
      <c r="O1060" s="20" t="n">
        <v>2</v>
      </c>
      <c r="P1060" s="21" t="n">
        <v>0</v>
      </c>
      <c r="Q1060" t="inlineStr">
        <is>
          <t>C07</t>
        </is>
      </c>
      <c r="R1060" s="22" t="inlineStr">
        <is>
          <t>https://entrackr.com/snippets/gvfl-leads-2-mn-pre-series-a-round-in-protouch-10621080</t>
        </is>
      </c>
    </row>
    <row r="1061">
      <c r="A1061" t="inlineStr">
        <is>
          <t>R251104-quickads</t>
        </is>
      </c>
      <c r="B1061" t="inlineStr">
        <is>
          <t>QuickAds</t>
        </is>
      </c>
      <c r="C1061" s="17" t="n">
        <v>45965</v>
      </c>
      <c r="D1061" s="18" t="n">
        <v>45962</v>
      </c>
      <c r="E1061" s="19" t="n">
        <v>1.7</v>
      </c>
      <c r="F1061" s="19" t="n">
        <v>15.08</v>
      </c>
      <c r="G1061" t="inlineStr">
        <is>
          <t>$1.7 Mn</t>
        </is>
      </c>
      <c r="H1061" t="inlineStr">
        <is>
          <t>Undisclosed</t>
        </is>
      </c>
      <c r="I1061" t="inlineStr">
        <is>
          <t>Undisclosed</t>
        </is>
      </c>
      <c r="J1061" t="inlineStr">
        <is>
          <t>Artificial Intelligence</t>
        </is>
      </c>
      <c r="K1061" t="inlineStr">
        <is>
          <t>Outside India</t>
        </is>
      </c>
      <c r="L1061" t="inlineStr">
        <is>
          <t>Kae Capital</t>
        </is>
      </c>
      <c r="M1061" t="inlineStr">
        <is>
          <t>Kae Capital</t>
        </is>
      </c>
      <c r="N1061" t="inlineStr">
        <is>
          <t>inc42 | et</t>
        </is>
      </c>
      <c r="O1061" s="20" t="n">
        <v>2</v>
      </c>
      <c r="P1061" s="21" t="n">
        <v>0</v>
      </c>
      <c r="Q1061" t="inlineStr">
        <is>
          <t>C04</t>
        </is>
      </c>
      <c r="R1061" s="22" t="inlineStr">
        <is>
          <t>https://economictimes.indiatimes.com/tech/funding/genai-led-content-creation-platform-quickads-raises-1-7-million-from-kae-capital-others/articleshow/125081123.cms</t>
        </is>
      </c>
    </row>
    <row r="1062">
      <c r="A1062" t="inlineStr">
        <is>
          <t>R251104-tabpsnacksandb</t>
        </is>
      </c>
      <c r="B1062" t="inlineStr">
        <is>
          <t>TABP Snacks and Beverages</t>
        </is>
      </c>
      <c r="C1062" s="17" t="n">
        <v>45965</v>
      </c>
      <c r="D1062" s="18" t="n">
        <v>45962</v>
      </c>
      <c r="E1062" s="19" t="n">
        <v>3</v>
      </c>
      <c r="F1062" s="19" t="n">
        <v>26.61</v>
      </c>
      <c r="G1062" t="inlineStr">
        <is>
          <t>$3 million</t>
        </is>
      </c>
      <c r="H1062" t="inlineStr">
        <is>
          <t>Undisclosed</t>
        </is>
      </c>
      <c r="I1062" t="inlineStr">
        <is>
          <t>Undisclosed</t>
        </is>
      </c>
      <c r="J1062" t="inlineStr">
        <is>
          <t>Unclassified</t>
        </is>
      </c>
      <c r="K1062" t="inlineStr">
        <is>
          <t>Unknown</t>
        </is>
      </c>
      <c r="L1062" t="inlineStr">
        <is>
          <t>LC Nueva</t>
        </is>
      </c>
      <c r="M1062" t="inlineStr">
        <is>
          <t>LC Nueva; Entrust Family Office; Arun Mukherjee; Soumya Malani</t>
        </is>
      </c>
      <c r="N1062" t="inlineStr">
        <is>
          <t>entrackr</t>
        </is>
      </c>
      <c r="O1062" s="20" t="n">
        <v>1</v>
      </c>
      <c r="P1062" s="21" t="n">
        <v>0</v>
      </c>
      <c r="Q1062" t="inlineStr">
        <is>
          <t>C04 C06 C07</t>
        </is>
      </c>
      <c r="R1062" s="22" t="inlineStr">
        <is>
          <t>https://entrackr.com/snippets/tabp-snacks-and-beverages-raises-3-mn-led-by-lc-nueva-10620487</t>
        </is>
      </c>
    </row>
    <row r="1063">
      <c r="A1063" t="inlineStr">
        <is>
          <t>R251104-tsallaaerospac</t>
        </is>
      </c>
      <c r="B1063" t="inlineStr">
        <is>
          <t>Tsalla Aerospace</t>
        </is>
      </c>
      <c r="C1063" s="17" t="n">
        <v>45965</v>
      </c>
      <c r="D1063" s="18" t="n">
        <v>45962</v>
      </c>
      <c r="E1063" s="19" t="n">
        <v>1</v>
      </c>
      <c r="F1063" s="19" t="n">
        <v>8.869999999999999</v>
      </c>
      <c r="G1063" t="inlineStr">
        <is>
          <t>$1 Mn</t>
        </is>
      </c>
      <c r="H1063" t="inlineStr">
        <is>
          <t>Undisclosed</t>
        </is>
      </c>
      <c r="I1063" t="inlineStr">
        <is>
          <t>Undisclosed</t>
        </is>
      </c>
      <c r="J1063" t="inlineStr">
        <is>
          <t>Advanced Hardware &amp; Technology</t>
        </is>
      </c>
      <c r="K1063" t="inlineStr">
        <is>
          <t>Unknown</t>
        </is>
      </c>
      <c r="L1063" t="inlineStr">
        <is>
          <t>Sunny Stalnaker</t>
        </is>
      </c>
      <c r="M1063" t="inlineStr">
        <is>
          <t>Sunny Stalnaker; SIDBI</t>
        </is>
      </c>
      <c r="N1063" t="inlineStr">
        <is>
          <t>inc42</t>
        </is>
      </c>
      <c r="O1063" s="20" t="n">
        <v>1</v>
      </c>
      <c r="P1063" s="21" t="n">
        <v>0</v>
      </c>
      <c r="Q1063" t="inlineStr">
        <is>
          <t>C04 C07</t>
        </is>
      </c>
      <c r="R1063" s="22" t="inlineStr">
        <is>
          <t>https://inc42.com/buzz/from-moengage-to-agnikul-indian-startups-raised-238-mn-this-week/</t>
        </is>
      </c>
    </row>
    <row r="1064">
      <c r="A1064" t="inlineStr">
        <is>
          <t>R251104-zynk</t>
        </is>
      </c>
      <c r="B1064" t="inlineStr">
        <is>
          <t>Zynk</t>
        </is>
      </c>
      <c r="C1064" s="17" t="n">
        <v>45965</v>
      </c>
      <c r="D1064" s="18" t="n">
        <v>45962</v>
      </c>
      <c r="E1064" s="19" t="n">
        <v>5</v>
      </c>
      <c r="F1064" s="19" t="n">
        <v>44.36</v>
      </c>
      <c r="G1064" t="inlineStr">
        <is>
          <t>$5 million</t>
        </is>
      </c>
      <c r="H1064" t="inlineStr">
        <is>
          <t>Seed</t>
        </is>
      </c>
      <c r="I1064" t="inlineStr">
        <is>
          <t>Early</t>
        </is>
      </c>
      <c r="J1064" t="inlineStr">
        <is>
          <t>Fintech</t>
        </is>
      </c>
      <c r="K1064" t="inlineStr">
        <is>
          <t>Hyderabad</t>
        </is>
      </c>
      <c r="L1064" t="inlineStr">
        <is>
          <t>Hivemind Capital</t>
        </is>
      </c>
      <c r="M1064" t="inlineStr">
        <is>
          <t>Hivemind Capital; Coinbase Ventures; Transpose Platform VC; Polymorphic Capital; Tykhe Ventures; Alliance DAO; Contribution Capital</t>
        </is>
      </c>
      <c r="N1064" t="inlineStr">
        <is>
          <t>entrackr | inc42 | et</t>
        </is>
      </c>
      <c r="O1064" s="20" t="n">
        <v>3</v>
      </c>
      <c r="P1064" s="21" t="n">
        <v>0</v>
      </c>
      <c r="Q1064" t="inlineStr"/>
      <c r="R1064" s="22" t="inlineStr">
        <is>
          <t>https://entrackr.com/snippets/cross-border-fintech-startup-zynk-raises-5-mn-in-seed-round-10622400</t>
        </is>
      </c>
    </row>
    <row r="1065">
      <c r="A1065" t="inlineStr">
        <is>
          <t>R251105-babyorgano</t>
        </is>
      </c>
      <c r="B1065" t="inlineStr">
        <is>
          <t>BabyOrgano</t>
        </is>
      </c>
      <c r="C1065" s="17" t="n">
        <v>45966</v>
      </c>
      <c r="D1065" s="18" t="n">
        <v>45962</v>
      </c>
      <c r="E1065" s="19" t="n">
        <v>2.256</v>
      </c>
      <c r="F1065" s="19" t="n">
        <v>20</v>
      </c>
      <c r="G1065" t="inlineStr">
        <is>
          <t>Rs 20 crore</t>
        </is>
      </c>
      <c r="H1065" t="inlineStr">
        <is>
          <t>Pre-Series A</t>
        </is>
      </c>
      <c r="I1065" t="inlineStr">
        <is>
          <t>Early</t>
        </is>
      </c>
      <c r="J1065" t="inlineStr">
        <is>
          <t>Ecommerce</t>
        </is>
      </c>
      <c r="K1065" t="inlineStr">
        <is>
          <t>Unknown</t>
        </is>
      </c>
      <c r="L1065" t="inlineStr">
        <is>
          <t>RPSG Capital Ventures</t>
        </is>
      </c>
      <c r="M1065" t="inlineStr">
        <is>
          <t>RPSG Capital Ventures; Sauce.vc</t>
        </is>
      </c>
      <c r="N1065" t="inlineStr">
        <is>
          <t>entrackr | inc42 | et</t>
        </is>
      </c>
      <c r="O1065" s="20" t="n">
        <v>3</v>
      </c>
      <c r="P1065" s="21" t="n">
        <v>4.5</v>
      </c>
      <c r="Q1065" t="inlineStr">
        <is>
          <t>C07</t>
        </is>
      </c>
      <c r="R1065" s="22" t="inlineStr">
        <is>
          <t>https://entrackr.com/snippets/babyorgano-raises-rs-20-cr-led-by-rpsg-capital-ventures-10624239</t>
        </is>
      </c>
    </row>
    <row r="1066">
      <c r="A1066" t="inlineStr">
        <is>
          <t>R251105-krieya</t>
        </is>
      </c>
      <c r="B1066" t="inlineStr">
        <is>
          <t>Krieya Beauty &amp; Wellness</t>
        </is>
      </c>
      <c r="C1066" s="17" t="n">
        <v>45966</v>
      </c>
      <c r="D1066" s="18" t="n">
        <v>45962</v>
      </c>
      <c r="E1066" s="19" t="n">
        <v>0.79</v>
      </c>
      <c r="F1066" s="19" t="n">
        <v>7</v>
      </c>
      <c r="G1066" t="inlineStr">
        <is>
          <t>Rs 7 crore</t>
        </is>
      </c>
      <c r="H1066" t="inlineStr">
        <is>
          <t>Undisclosed</t>
        </is>
      </c>
      <c r="I1066" t="inlineStr">
        <is>
          <t>Undisclosed</t>
        </is>
      </c>
      <c r="J1066" t="inlineStr">
        <is>
          <t>Ecommerce</t>
        </is>
      </c>
      <c r="K1066" t="inlineStr">
        <is>
          <t>Unknown</t>
        </is>
      </c>
      <c r="L1066" t="inlineStr">
        <is>
          <t>Sauce.vc; Riverwalk Holdings</t>
        </is>
      </c>
      <c r="M1066" t="inlineStr">
        <is>
          <t>Sauce.vc; Riverwalk Holdings; Aneesh Sheth</t>
        </is>
      </c>
      <c r="N1066" t="inlineStr">
        <is>
          <t>entrackr | inc42</t>
        </is>
      </c>
      <c r="O1066" s="20" t="n">
        <v>2</v>
      </c>
      <c r="P1066" s="21" t="n">
        <v>0.1</v>
      </c>
      <c r="Q1066" t="inlineStr">
        <is>
          <t>C04 C07</t>
        </is>
      </c>
      <c r="R1066" s="22" t="inlineStr">
        <is>
          <t>https://entrackr.com/snippets/krieya-raises-rs-7-cr-led-by-sauce-and-riverwalk-holdings-10624147</t>
        </is>
      </c>
    </row>
    <row r="1067">
      <c r="A1067" t="inlineStr">
        <is>
          <t>R251105-lighthousecant</t>
        </is>
      </c>
      <c r="B1067" t="inlineStr">
        <is>
          <t>Lighthouse Canton</t>
        </is>
      </c>
      <c r="C1067" s="17" t="n">
        <v>45966</v>
      </c>
      <c r="D1067" s="18" t="n">
        <v>45962</v>
      </c>
      <c r="E1067" s="19" t="n">
        <v>40</v>
      </c>
      <c r="F1067" s="19" t="n">
        <v>354.56</v>
      </c>
      <c r="G1067" t="inlineStr">
        <is>
          <t>$40 million</t>
        </is>
      </c>
      <c r="H1067" t="inlineStr">
        <is>
          <t>Undisclosed</t>
        </is>
      </c>
      <c r="I1067" t="inlineStr">
        <is>
          <t>Undisclosed</t>
        </is>
      </c>
      <c r="J1067" t="inlineStr">
        <is>
          <t>Unclassified</t>
        </is>
      </c>
      <c r="K1067" t="inlineStr">
        <is>
          <t>Unknown</t>
        </is>
      </c>
      <c r="L1067" t="inlineStr">
        <is>
          <t>Peak XV Partners</t>
        </is>
      </c>
      <c r="M1067" t="inlineStr">
        <is>
          <t>Peak XV Partners; Nextinfinity</t>
        </is>
      </c>
      <c r="N1067" t="inlineStr">
        <is>
          <t>entrackr | et | vccircle</t>
        </is>
      </c>
      <c r="O1067" s="20" t="n">
        <v>3</v>
      </c>
      <c r="P1067" s="21" t="n">
        <v>0</v>
      </c>
      <c r="Q1067" t="inlineStr">
        <is>
          <t>C04 C06 C07</t>
        </is>
      </c>
      <c r="R1067" s="22" t="inlineStr">
        <is>
          <t>https://entrackr.com/snippets/lighthouse-canton-raises-40-mn-led-by-peak-xv-partners-10623898</t>
        </is>
      </c>
    </row>
    <row r="1068">
      <c r="A1068" t="inlineStr">
        <is>
          <t>R251105-medyseva</t>
        </is>
      </c>
      <c r="B1068" t="inlineStr">
        <is>
          <t>MedySeva</t>
        </is>
      </c>
      <c r="C1068" s="17" t="n">
        <v>45966</v>
      </c>
      <c r="D1068" s="18" t="n">
        <v>45962</v>
      </c>
      <c r="E1068" s="19" t="n">
        <v>0.451</v>
      </c>
      <c r="F1068" s="19" t="n">
        <v>4</v>
      </c>
      <c r="G1068" t="inlineStr">
        <is>
          <t>Rs 4 crore</t>
        </is>
      </c>
      <c r="H1068" t="inlineStr">
        <is>
          <t>Seed</t>
        </is>
      </c>
      <c r="I1068" t="inlineStr">
        <is>
          <t>Early</t>
        </is>
      </c>
      <c r="J1068" t="inlineStr">
        <is>
          <t>Healthtech</t>
        </is>
      </c>
      <c r="K1068" t="inlineStr">
        <is>
          <t>Unknown</t>
        </is>
      </c>
      <c r="L1068" t="inlineStr">
        <is>
          <t>Unicorn India Ventures</t>
        </is>
      </c>
      <c r="M1068" t="inlineStr">
        <is>
          <t>Unicorn India Ventures</t>
        </is>
      </c>
      <c r="N1068" t="inlineStr">
        <is>
          <t>entrackr | inc42</t>
        </is>
      </c>
      <c r="O1068" s="20" t="n">
        <v>2</v>
      </c>
      <c r="P1068" s="21" t="n">
        <v>0.1</v>
      </c>
      <c r="Q1068" t="inlineStr">
        <is>
          <t>C07</t>
        </is>
      </c>
      <c r="R1068" s="22" t="inlineStr">
        <is>
          <t>https://entrackr.com/snippets/medyseva-raises-rs-4-cr-led-by-unicorn-india-ventures-10623932</t>
        </is>
      </c>
    </row>
    <row r="1069">
      <c r="A1069" t="inlineStr">
        <is>
          <t>R251105-moengage</t>
        </is>
      </c>
      <c r="B1069" t="inlineStr">
        <is>
          <t>MoEngage</t>
        </is>
      </c>
      <c r="C1069" s="17" t="n">
        <v>45966</v>
      </c>
      <c r="D1069" s="18" t="n">
        <v>45962</v>
      </c>
      <c r="E1069" s="19" t="n">
        <v>100</v>
      </c>
      <c r="F1069" s="19" t="n">
        <v>886.4</v>
      </c>
      <c r="G1069" t="inlineStr">
        <is>
          <t>$100 million</t>
        </is>
      </c>
      <c r="H1069" t="inlineStr">
        <is>
          <t>Series F</t>
        </is>
      </c>
      <c r="I1069" t="inlineStr">
        <is>
          <t>Late</t>
        </is>
      </c>
      <c r="J1069" t="inlineStr">
        <is>
          <t>Enterprise Tech</t>
        </is>
      </c>
      <c r="K1069" t="inlineStr">
        <is>
          <t>Outside India</t>
        </is>
      </c>
      <c r="L1069" t="inlineStr">
        <is>
          <t>Goldman Sachs Alternatives; A91 Partners</t>
        </is>
      </c>
      <c r="M1069" t="inlineStr">
        <is>
          <t>Goldman Sachs Alternatives; A91 Partners</t>
        </is>
      </c>
      <c r="N1069" t="inlineStr">
        <is>
          <t>entrackr | inc42 | et</t>
        </is>
      </c>
      <c r="O1069" s="20" t="n">
        <v>3</v>
      </c>
      <c r="P1069" s="21" t="n">
        <v>0</v>
      </c>
      <c r="Q1069" t="inlineStr"/>
      <c r="R1069" s="22" t="inlineStr">
        <is>
          <t>https://entrackr.com/news/moengage-raises-100-mn-from-goldman-sachs-and-a91-partners-10623758</t>
        </is>
      </c>
    </row>
    <row r="1070">
      <c r="A1070" t="inlineStr">
        <is>
          <t>R251105-spacewood</t>
        </is>
      </c>
      <c r="B1070" t="inlineStr">
        <is>
          <t>Spacewood Furnishers</t>
        </is>
      </c>
      <c r="C1070" s="17" t="n">
        <v>45966</v>
      </c>
      <c r="D1070" s="18" t="n">
        <v>45962</v>
      </c>
      <c r="E1070" s="19" t="n">
        <v>33.845</v>
      </c>
      <c r="F1070" s="19" t="n">
        <v>300</v>
      </c>
      <c r="G1070" t="inlineStr">
        <is>
          <t>Rs 300 crore</t>
        </is>
      </c>
      <c r="H1070" t="inlineStr">
        <is>
          <t>Undisclosed</t>
        </is>
      </c>
      <c r="I1070" t="inlineStr">
        <is>
          <t>Undisclosed</t>
        </is>
      </c>
      <c r="J1070" t="inlineStr">
        <is>
          <t>Ecommerce</t>
        </is>
      </c>
      <c r="K1070" t="inlineStr">
        <is>
          <t>Nagpur</t>
        </is>
      </c>
      <c r="L1070" t="inlineStr">
        <is>
          <t>A91 Partners</t>
        </is>
      </c>
      <c r="M1070" t="inlineStr">
        <is>
          <t>A91 Partners</t>
        </is>
      </c>
      <c r="N1070" t="inlineStr">
        <is>
          <t>entrackr | inc42 | et | vccircle</t>
        </is>
      </c>
      <c r="O1070" s="20" t="n">
        <v>4</v>
      </c>
      <c r="P1070" s="21" t="n">
        <v>0.1</v>
      </c>
      <c r="Q1070" t="inlineStr">
        <is>
          <t>C04</t>
        </is>
      </c>
      <c r="R1070" s="22" t="inlineStr">
        <is>
          <t>https://entrackr.com/news/spacewood-raises-rs-300-cr-at-rs-1200-cr-valuation-10624897</t>
        </is>
      </c>
    </row>
    <row r="1071">
      <c r="A1071" t="inlineStr">
        <is>
          <t>R251105-stackbox</t>
        </is>
      </c>
      <c r="B1071" t="inlineStr">
        <is>
          <t>StackBOX</t>
        </is>
      </c>
      <c r="C1071" s="17" t="n">
        <v>45966</v>
      </c>
      <c r="D1071" s="18" t="n">
        <v>45962</v>
      </c>
      <c r="E1071" s="19" t="n">
        <v>4</v>
      </c>
      <c r="F1071" s="19" t="n">
        <v>35.46</v>
      </c>
      <c r="G1071" t="inlineStr">
        <is>
          <t>$4 million</t>
        </is>
      </c>
      <c r="H1071" t="inlineStr">
        <is>
          <t>Undisclosed</t>
        </is>
      </c>
      <c r="I1071" t="inlineStr">
        <is>
          <t>Undisclosed</t>
        </is>
      </c>
      <c r="J1071" t="inlineStr">
        <is>
          <t>Logistics</t>
        </is>
      </c>
      <c r="K1071" t="inlineStr">
        <is>
          <t>Mumbai</t>
        </is>
      </c>
      <c r="L1071" t="inlineStr">
        <is>
          <t>Enrission India Capital</t>
        </is>
      </c>
      <c r="M1071" t="inlineStr">
        <is>
          <t>Enrission India Capital</t>
        </is>
      </c>
      <c r="N1071" t="inlineStr">
        <is>
          <t>entrackr | inc42</t>
        </is>
      </c>
      <c r="O1071" s="20" t="n">
        <v>2</v>
      </c>
      <c r="P1071" s="21" t="n">
        <v>0</v>
      </c>
      <c r="Q1071" t="inlineStr">
        <is>
          <t>C04</t>
        </is>
      </c>
      <c r="R1071" s="22" t="inlineStr">
        <is>
          <t>https://entrackr.com/snippets/stackbox-raises-4-mn-led-by-enrission-india-capital-10624945</t>
        </is>
      </c>
    </row>
    <row r="1072">
      <c r="A1072" t="inlineStr">
        <is>
          <t>R251105-wyzardai</t>
        </is>
      </c>
      <c r="B1072" t="inlineStr">
        <is>
          <t>WYZARD.AI</t>
        </is>
      </c>
      <c r="C1072" s="17" t="n">
        <v>45966</v>
      </c>
      <c r="D1072" s="18" t="n">
        <v>45962</v>
      </c>
      <c r="E1072" s="19" t="n">
        <v>0.5</v>
      </c>
      <c r="F1072" s="19" t="n">
        <v>4.43</v>
      </c>
      <c r="G1072" t="inlineStr">
        <is>
          <t>$500,000</t>
        </is>
      </c>
      <c r="H1072" t="inlineStr">
        <is>
          <t>Angel</t>
        </is>
      </c>
      <c r="I1072" t="inlineStr">
        <is>
          <t>Early</t>
        </is>
      </c>
      <c r="J1072" t="inlineStr">
        <is>
          <t>Artificial Intelligence</t>
        </is>
      </c>
      <c r="K1072" t="inlineStr">
        <is>
          <t>Unknown</t>
        </is>
      </c>
      <c r="L1072" t="inlineStr"/>
      <c r="M1072" t="inlineStr">
        <is>
          <t>Tim Davis; Ambarish Kenghe; Bhuvan Gupta; Rajul Jain; Manav Kamboj; Andrew Garrihy; Puja Kapoor</t>
        </is>
      </c>
      <c r="N1072" t="inlineStr">
        <is>
          <t>entrackr | inc42</t>
        </is>
      </c>
      <c r="O1072" s="20" t="n">
        <v>2</v>
      </c>
      <c r="P1072" s="21" t="n">
        <v>0</v>
      </c>
      <c r="Q1072" t="inlineStr">
        <is>
          <t>C07</t>
        </is>
      </c>
      <c r="R1072" s="22" t="inlineStr">
        <is>
          <t>https://entrackr.com/snippets/wyzardai-raises-500k-in-angel-round-10623728</t>
        </is>
      </c>
    </row>
    <row r="1073">
      <c r="A1073" t="inlineStr">
        <is>
          <t>R251106-gamestatelabs</t>
        </is>
      </c>
      <c r="B1073" t="inlineStr">
        <is>
          <t>Game State Labs</t>
        </is>
      </c>
      <c r="C1073" s="17" t="n">
        <v>45967</v>
      </c>
      <c r="D1073" s="18" t="n">
        <v>45962</v>
      </c>
      <c r="E1073" s="19" t="n">
        <v>2</v>
      </c>
      <c r="F1073" s="19" t="n">
        <v>17.71</v>
      </c>
      <c r="G1073" t="inlineStr">
        <is>
          <t>$2 million</t>
        </is>
      </c>
      <c r="H1073" t="inlineStr">
        <is>
          <t>Seed</t>
        </is>
      </c>
      <c r="I1073" t="inlineStr">
        <is>
          <t>Early</t>
        </is>
      </c>
      <c r="J1073" t="inlineStr">
        <is>
          <t>Artificial Intelligence</t>
        </is>
      </c>
      <c r="K1073" t="inlineStr">
        <is>
          <t>Bengaluru</t>
        </is>
      </c>
      <c r="L1073" t="inlineStr">
        <is>
          <t>PeerCapital; Neon Fund</t>
        </is>
      </c>
      <c r="M1073" t="inlineStr">
        <is>
          <t>PeerCapital; Neon Fund</t>
        </is>
      </c>
      <c r="N1073" t="inlineStr">
        <is>
          <t>entrackr | inc42</t>
        </is>
      </c>
      <c r="O1073" s="20" t="n">
        <v>2</v>
      </c>
      <c r="P1073" s="21" t="n">
        <v>0</v>
      </c>
      <c r="Q1073" t="inlineStr"/>
      <c r="R1073" s="22" t="inlineStr">
        <is>
          <t>https://entrackr.com/snippets/game-state-labs-raises-2-mn-in-seed-round-10626752</t>
        </is>
      </c>
    </row>
    <row r="1074">
      <c r="A1074" t="inlineStr">
        <is>
          <t>R251106-giga</t>
        </is>
      </c>
      <c r="B1074" t="inlineStr">
        <is>
          <t>Giga</t>
        </is>
      </c>
      <c r="C1074" s="17" t="n">
        <v>45967</v>
      </c>
      <c r="D1074" s="18" t="n">
        <v>45962</v>
      </c>
      <c r="E1074" s="19" t="n">
        <v>61</v>
      </c>
      <c r="F1074" s="19" t="n">
        <v>540.28</v>
      </c>
      <c r="G1074" t="inlineStr">
        <is>
          <t>$61 Mn</t>
        </is>
      </c>
      <c r="H1074" t="inlineStr">
        <is>
          <t>Series A</t>
        </is>
      </c>
      <c r="I1074" t="inlineStr">
        <is>
          <t>Early</t>
        </is>
      </c>
      <c r="J1074" t="inlineStr">
        <is>
          <t>Artificial Intelligence</t>
        </is>
      </c>
      <c r="K1074" t="inlineStr">
        <is>
          <t>Unknown</t>
        </is>
      </c>
      <c r="L1074" t="inlineStr">
        <is>
          <t>Redpoint Ventures</t>
        </is>
      </c>
      <c r="M1074" t="inlineStr">
        <is>
          <t>Redpoint Ventures; Y Combinator; Nexus Venture Partners</t>
        </is>
      </c>
      <c r="N1074" t="inlineStr">
        <is>
          <t>inc42</t>
        </is>
      </c>
      <c r="O1074" s="20" t="n">
        <v>1</v>
      </c>
      <c r="P1074" s="21" t="n">
        <v>0</v>
      </c>
      <c r="Q1074" t="inlineStr">
        <is>
          <t>C07 C11</t>
        </is>
      </c>
      <c r="R1074" s="22" t="inlineStr">
        <is>
          <t>https://inc42.com/buzz/from-moengage-to-agnikul-indian-startups-raised-238-mn-this-week/</t>
        </is>
      </c>
    </row>
    <row r="1075">
      <c r="A1075" t="inlineStr">
        <is>
          <t>R251106-insightai</t>
        </is>
      </c>
      <c r="B1075" t="inlineStr">
        <is>
          <t>InsightAI</t>
        </is>
      </c>
      <c r="C1075" s="17" t="n">
        <v>45967</v>
      </c>
      <c r="D1075" s="18" t="n">
        <v>45962</v>
      </c>
      <c r="E1075" s="19" t="n">
        <v>0.124</v>
      </c>
      <c r="F1075" s="19" t="n">
        <v>1.1</v>
      </c>
      <c r="G1075" t="inlineStr">
        <is>
          <t>$124K</t>
        </is>
      </c>
      <c r="H1075" t="inlineStr">
        <is>
          <t>Pre-Seed</t>
        </is>
      </c>
      <c r="I1075" t="inlineStr">
        <is>
          <t>Early</t>
        </is>
      </c>
      <c r="J1075" t="inlineStr">
        <is>
          <t>Artificial Intelligence</t>
        </is>
      </c>
      <c r="K1075" t="inlineStr">
        <is>
          <t>Unknown</t>
        </is>
      </c>
      <c r="L1075" t="inlineStr">
        <is>
          <t>PedalStart</t>
        </is>
      </c>
      <c r="M1075" t="inlineStr">
        <is>
          <t>PedalStart</t>
        </is>
      </c>
      <c r="N1075" t="inlineStr">
        <is>
          <t>inc42</t>
        </is>
      </c>
      <c r="O1075" s="20" t="n">
        <v>1</v>
      </c>
      <c r="P1075" s="21" t="n">
        <v>0</v>
      </c>
      <c r="Q1075" t="inlineStr">
        <is>
          <t>C07</t>
        </is>
      </c>
      <c r="R1075" s="22" t="inlineStr">
        <is>
          <t>https://inc42.com/buzz/from-moengage-to-agnikul-indian-startups-raised-238-mn-this-week/</t>
        </is>
      </c>
    </row>
    <row r="1076">
      <c r="A1076" t="inlineStr">
        <is>
          <t>R251106-meshdefend</t>
        </is>
      </c>
      <c r="B1076" t="inlineStr">
        <is>
          <t>MeshDefend</t>
        </is>
      </c>
      <c r="C1076" s="17" t="n">
        <v>45967</v>
      </c>
      <c r="D1076" s="18" t="n">
        <v>45962</v>
      </c>
      <c r="E1076" s="19" t="n">
        <v>2.3</v>
      </c>
      <c r="F1076" s="19" t="n">
        <v>20.37</v>
      </c>
      <c r="G1076" t="inlineStr">
        <is>
          <t>$2.3 million</t>
        </is>
      </c>
      <c r="H1076" t="inlineStr">
        <is>
          <t>Pre-Seed</t>
        </is>
      </c>
      <c r="I1076" t="inlineStr">
        <is>
          <t>Early</t>
        </is>
      </c>
      <c r="J1076" t="inlineStr">
        <is>
          <t>Artificial Intelligence</t>
        </is>
      </c>
      <c r="K1076" t="inlineStr">
        <is>
          <t>Bengaluru</t>
        </is>
      </c>
      <c r="L1076" t="inlineStr">
        <is>
          <t>Kalaari Capital</t>
        </is>
      </c>
      <c r="M1076" t="inlineStr">
        <is>
          <t>Kalaari Capital; Kettleborough VC</t>
        </is>
      </c>
      <c r="N1076" t="inlineStr">
        <is>
          <t>entrackr | inc42 | et</t>
        </is>
      </c>
      <c r="O1076" s="20" t="n">
        <v>3</v>
      </c>
      <c r="P1076" s="21" t="n">
        <v>0</v>
      </c>
      <c r="Q1076" t="inlineStr"/>
      <c r="R1076" s="22" t="inlineStr">
        <is>
          <t>https://entrackr.com/snippets/meshdefend-raises-23-mn-in-pre-seed-round-led-by-kalaari-capital-10626621</t>
        </is>
      </c>
    </row>
    <row r="1077">
      <c r="A1077" t="inlineStr">
        <is>
          <t>R251106-theartment</t>
        </is>
      </c>
      <c r="B1077" t="inlineStr">
        <is>
          <t>The Artment</t>
        </is>
      </c>
      <c r="C1077" s="17" t="n">
        <v>45967</v>
      </c>
      <c r="D1077" s="18" t="n">
        <v>45962</v>
      </c>
      <c r="E1077" s="19" t="n">
        <v>1.129</v>
      </c>
      <c r="F1077" s="19" t="n">
        <v>10</v>
      </c>
      <c r="G1077" t="inlineStr">
        <is>
          <t>Rs 10 crore</t>
        </is>
      </c>
      <c r="H1077" t="inlineStr">
        <is>
          <t>Pre-Series A</t>
        </is>
      </c>
      <c r="I1077" t="inlineStr">
        <is>
          <t>Early</t>
        </is>
      </c>
      <c r="J1077" t="inlineStr">
        <is>
          <t>Ecommerce</t>
        </is>
      </c>
      <c r="K1077" t="inlineStr">
        <is>
          <t>Delhi NCR</t>
        </is>
      </c>
      <c r="L1077" t="inlineStr">
        <is>
          <t>Inflection Point Ventures</t>
        </is>
      </c>
      <c r="M1077" t="inlineStr">
        <is>
          <t>Inflection Point Ventures; Siyaram Family Office; ESV; Capitar Ventures</t>
        </is>
      </c>
      <c r="N1077" t="inlineStr">
        <is>
          <t>entrackr | inc42</t>
        </is>
      </c>
      <c r="O1077" s="20" t="n">
        <v>2</v>
      </c>
      <c r="P1077" s="21" t="n">
        <v>2.6</v>
      </c>
      <c r="Q1077" t="inlineStr"/>
      <c r="R1077" s="22" t="inlineStr">
        <is>
          <t>https://entrackr.com/snippets/the-artment-raises-rs-10-cr-in-pre-series-a-round-led-by-ipv-10627232</t>
        </is>
      </c>
    </row>
    <row r="1078">
      <c r="A1078" t="inlineStr">
        <is>
          <t>R251106-ulook</t>
        </is>
      </c>
      <c r="B1078" t="inlineStr">
        <is>
          <t>ULOOK</t>
        </is>
      </c>
      <c r="C1078" s="17" t="n">
        <v>45967</v>
      </c>
      <c r="D1078" s="18" t="n">
        <v>45962</v>
      </c>
      <c r="E1078" s="19" t="n">
        <v>2.145</v>
      </c>
      <c r="F1078" s="19" t="n">
        <v>19</v>
      </c>
      <c r="G1078" t="inlineStr">
        <is>
          <t>Rs 19 crore</t>
        </is>
      </c>
      <c r="H1078" t="inlineStr">
        <is>
          <t>Seed</t>
        </is>
      </c>
      <c r="I1078" t="inlineStr">
        <is>
          <t>Early</t>
        </is>
      </c>
      <c r="J1078" t="inlineStr">
        <is>
          <t>Advanced Hardware &amp; Technology</t>
        </is>
      </c>
      <c r="K1078" t="inlineStr">
        <is>
          <t>Bengaluru</t>
        </is>
      </c>
      <c r="L1078" t="inlineStr">
        <is>
          <t>Info Edge Ventures; GrowX Ventures</t>
        </is>
      </c>
      <c r="M1078" t="inlineStr">
        <is>
          <t>Info Edge Ventures; GrowX Ventures</t>
        </is>
      </c>
      <c r="N1078" t="inlineStr">
        <is>
          <t>entrackr | inc42 | et</t>
        </is>
      </c>
      <c r="O1078" s="20" t="n">
        <v>3</v>
      </c>
      <c r="P1078" s="21" t="n">
        <v>2.2</v>
      </c>
      <c r="Q1078" t="inlineStr"/>
      <c r="R1078" s="22" t="inlineStr">
        <is>
          <t>https://entrackr.com/snippets/space-tech-startup-ulook-raises-rs-19-cr-led-by-growx-and-infoedge-ventures-10626626</t>
        </is>
      </c>
    </row>
    <row r="1079">
      <c r="A1079" t="inlineStr">
        <is>
          <t>R251107-agnikul</t>
        </is>
      </c>
      <c r="B1079" t="inlineStr">
        <is>
          <t>Agnikul Cosmos</t>
        </is>
      </c>
      <c r="C1079" s="17" t="n">
        <v>45968</v>
      </c>
      <c r="D1079" s="18" t="n">
        <v>45962</v>
      </c>
      <c r="E1079" s="19" t="n">
        <v>6.766</v>
      </c>
      <c r="F1079" s="19" t="n">
        <v>60</v>
      </c>
      <c r="G1079" t="inlineStr">
        <is>
          <t>Rs 60 crore</t>
        </is>
      </c>
      <c r="H1079" t="inlineStr">
        <is>
          <t>Undisclosed</t>
        </is>
      </c>
      <c r="I1079" t="inlineStr">
        <is>
          <t>Undisclosed</t>
        </is>
      </c>
      <c r="J1079" t="inlineStr">
        <is>
          <t>Advanced Hardware &amp; Technology</t>
        </is>
      </c>
      <c r="K1079" t="inlineStr">
        <is>
          <t>Chennai</t>
        </is>
      </c>
      <c r="L1079" t="inlineStr">
        <is>
          <t>Advenza Global Limited</t>
        </is>
      </c>
      <c r="M1079" t="inlineStr">
        <is>
          <t>Advenza Global Limited; Atharva Green Ecotech; Pratithi Investments</t>
        </is>
      </c>
      <c r="N1079" t="inlineStr">
        <is>
          <t>entrackr | inc42</t>
        </is>
      </c>
      <c r="O1079" s="20" t="n">
        <v>2</v>
      </c>
      <c r="P1079" s="21" t="n">
        <v>12.3</v>
      </c>
      <c r="Q1079" t="inlineStr">
        <is>
          <t>C04 C15</t>
        </is>
      </c>
      <c r="R1079" s="22" t="inlineStr">
        <is>
          <t>https://entrackr.com/exclusive/exclusive-agnikul-raises-rs-60-cr-in-series-new-round-10635844</t>
        </is>
      </c>
    </row>
    <row r="1080">
      <c r="A1080" t="inlineStr">
        <is>
          <t>R251107-miko</t>
        </is>
      </c>
      <c r="B1080" t="inlineStr">
        <is>
          <t>Miko</t>
        </is>
      </c>
      <c r="C1080" s="17" t="n">
        <v>45968</v>
      </c>
      <c r="D1080" s="18" t="n">
        <v>45962</v>
      </c>
      <c r="E1080" s="19" t="n">
        <v>10.5</v>
      </c>
      <c r="F1080" s="19" t="n">
        <v>93.11</v>
      </c>
      <c r="G1080" t="inlineStr">
        <is>
          <t>$10.5 million</t>
        </is>
      </c>
      <c r="H1080" t="inlineStr">
        <is>
          <t>Undisclosed</t>
        </is>
      </c>
      <c r="I1080" t="inlineStr">
        <is>
          <t>Undisclosed</t>
        </is>
      </c>
      <c r="J1080" t="inlineStr">
        <is>
          <t>Advanced Hardware &amp; Technology</t>
        </is>
      </c>
      <c r="K1080" t="inlineStr">
        <is>
          <t>Mumbai</t>
        </is>
      </c>
      <c r="L1080" t="inlineStr">
        <is>
          <t>iHeartMedia</t>
        </is>
      </c>
      <c r="M1080" t="inlineStr">
        <is>
          <t>iHeartMedia</t>
        </is>
      </c>
      <c r="N1080" t="inlineStr">
        <is>
          <t>entrackr | inc42 | et</t>
        </is>
      </c>
      <c r="O1080" s="20" t="n">
        <v>3</v>
      </c>
      <c r="P1080" s="21" t="n">
        <v>5</v>
      </c>
      <c r="Q1080" t="inlineStr">
        <is>
          <t>C04</t>
        </is>
      </c>
      <c r="R1080" s="22" t="inlineStr">
        <is>
          <t>https://entrackr.com/snippets/robotics-startup-miko-raises-105-mn-led-by-iheartmedia-10636274</t>
        </is>
      </c>
    </row>
    <row r="1081">
      <c r="A1081" t="inlineStr">
        <is>
          <t>R251110-trishulspace</t>
        </is>
      </c>
      <c r="B1081" t="inlineStr">
        <is>
          <t>Trishul Space</t>
        </is>
      </c>
      <c r="C1081" s="17" t="n">
        <v>45971</v>
      </c>
      <c r="D1081" s="18" t="n">
        <v>45962</v>
      </c>
      <c r="E1081" s="19" t="n">
        <v>0.451</v>
      </c>
      <c r="F1081" s="19" t="n">
        <v>4</v>
      </c>
      <c r="G1081" t="inlineStr">
        <is>
          <t>Rs 4 crore</t>
        </is>
      </c>
      <c r="H1081" t="inlineStr">
        <is>
          <t>Pre-Seed</t>
        </is>
      </c>
      <c r="I1081" t="inlineStr">
        <is>
          <t>Early</t>
        </is>
      </c>
      <c r="J1081" t="inlineStr">
        <is>
          <t>Advanced Hardware &amp; Technology</t>
        </is>
      </c>
      <c r="K1081" t="inlineStr">
        <is>
          <t>Chandigarh</t>
        </is>
      </c>
      <c r="L1081" t="inlineStr">
        <is>
          <t>IAN Angel Fund</t>
        </is>
      </c>
      <c r="M1081" t="inlineStr">
        <is>
          <t>IAN Angel Fund; 8X Ventures; ITEL; Immersive Technology; Entrepreneurship Labs</t>
        </is>
      </c>
      <c r="N1081" t="inlineStr">
        <is>
          <t>entrackr | inc42 | et</t>
        </is>
      </c>
      <c r="O1081" s="20" t="n">
        <v>3</v>
      </c>
      <c r="P1081" s="21" t="n">
        <v>0</v>
      </c>
      <c r="Q1081" t="inlineStr"/>
      <c r="R1081" s="22" t="inlineStr">
        <is>
          <t>https://inc42.com/buzz/from-finnable-to-bombay-shaving-company-indian-startups-raised-163-mn-this-week/</t>
        </is>
      </c>
    </row>
    <row r="1082">
      <c r="A1082" t="inlineStr">
        <is>
          <t>R251111-finnable</t>
        </is>
      </c>
      <c r="B1082" t="inlineStr">
        <is>
          <t>Finnable</t>
        </is>
      </c>
      <c r="C1082" s="17" t="n">
        <v>45972</v>
      </c>
      <c r="D1082" s="18" t="n">
        <v>45962</v>
      </c>
      <c r="E1082" s="19" t="n">
        <v>56.504</v>
      </c>
      <c r="F1082" s="19" t="n">
        <v>500</v>
      </c>
      <c r="G1082" t="inlineStr">
        <is>
          <t>Rs 500 crore</t>
        </is>
      </c>
      <c r="H1082" t="inlineStr">
        <is>
          <t>Undisclosed</t>
        </is>
      </c>
      <c r="I1082" t="inlineStr">
        <is>
          <t>Undisclosed</t>
        </is>
      </c>
      <c r="J1082" t="inlineStr">
        <is>
          <t>Fintech</t>
        </is>
      </c>
      <c r="K1082" t="inlineStr">
        <is>
          <t>Bengaluru</t>
        </is>
      </c>
      <c r="L1082" t="inlineStr">
        <is>
          <t>Z47; TVS Capital; Ranjan Pai</t>
        </is>
      </c>
      <c r="M1082" t="inlineStr">
        <is>
          <t>Z47; TVS Capital; Ranjan Pai</t>
        </is>
      </c>
      <c r="N1082" t="inlineStr">
        <is>
          <t>entrackr | inc42 | et | vccircle</t>
        </is>
      </c>
      <c r="O1082" s="20" t="n">
        <v>4</v>
      </c>
      <c r="P1082" s="21" t="n">
        <v>100</v>
      </c>
      <c r="Q1082" t="inlineStr">
        <is>
          <t>C04 C15</t>
        </is>
      </c>
      <c r="R1082" s="22" t="inlineStr">
        <is>
          <t>https://entrackr.com/news/finnable-raises-rs-250-cr-led-by-z47-and-tvs-capital-10646294</t>
        </is>
      </c>
    </row>
    <row r="1083">
      <c r="A1083" t="inlineStr">
        <is>
          <t>R251111-greenfi</t>
        </is>
      </c>
      <c r="B1083" t="inlineStr">
        <is>
          <t>GreenFi</t>
        </is>
      </c>
      <c r="C1083" s="17" t="n">
        <v>45972</v>
      </c>
      <c r="D1083" s="18" t="n">
        <v>45962</v>
      </c>
      <c r="E1083" s="19" t="n">
        <v>2</v>
      </c>
      <c r="F1083" s="19" t="n">
        <v>17.7</v>
      </c>
      <c r="G1083" t="inlineStr">
        <is>
          <t>$2 million</t>
        </is>
      </c>
      <c r="H1083" t="inlineStr">
        <is>
          <t>Seed</t>
        </is>
      </c>
      <c r="I1083" t="inlineStr">
        <is>
          <t>Early</t>
        </is>
      </c>
      <c r="J1083" t="inlineStr">
        <is>
          <t>Fintech</t>
        </is>
      </c>
      <c r="K1083" t="inlineStr">
        <is>
          <t>Unknown</t>
        </is>
      </c>
      <c r="L1083" t="inlineStr">
        <is>
          <t>Transition VC</t>
        </is>
      </c>
      <c r="M1083" t="inlineStr">
        <is>
          <t>Transition VC</t>
        </is>
      </c>
      <c r="N1083" t="inlineStr">
        <is>
          <t>entrackr | inc42 | et</t>
        </is>
      </c>
      <c r="O1083" s="20" t="n">
        <v>3</v>
      </c>
      <c r="P1083" s="21" t="n">
        <v>0</v>
      </c>
      <c r="Q1083" t="inlineStr">
        <is>
          <t>C07</t>
        </is>
      </c>
      <c r="R1083" s="22" t="inlineStr">
        <is>
          <t>https://entrackr.com/snippets/greenfi-raises-2-mn-led-by-transition-vc-10646474</t>
        </is>
      </c>
    </row>
    <row r="1084">
      <c r="A1084" t="inlineStr">
        <is>
          <t>R251111-hausandkinder</t>
        </is>
      </c>
      <c r="B1084" t="inlineStr">
        <is>
          <t>Haus &amp; Kinder</t>
        </is>
      </c>
      <c r="C1084" s="17" t="n">
        <v>45972</v>
      </c>
      <c r="D1084" s="18" t="n">
        <v>45962</v>
      </c>
      <c r="E1084" s="19" t="n">
        <v>3.39</v>
      </c>
      <c r="F1084" s="19" t="n">
        <v>30</v>
      </c>
      <c r="G1084" t="inlineStr">
        <is>
          <t>Rs 30 crore</t>
        </is>
      </c>
      <c r="H1084" t="inlineStr">
        <is>
          <t>Undisclosed</t>
        </is>
      </c>
      <c r="I1084" t="inlineStr">
        <is>
          <t>Undisclosed</t>
        </is>
      </c>
      <c r="J1084" t="inlineStr">
        <is>
          <t>Ecommerce</t>
        </is>
      </c>
      <c r="K1084" t="inlineStr">
        <is>
          <t>Mumbai</t>
        </is>
      </c>
      <c r="L1084" t="inlineStr">
        <is>
          <t>Sauce.vc; Yogesh Kabra; Sangeet Agrawal; Navin Parwal; Chona Family</t>
        </is>
      </c>
      <c r="M1084" t="inlineStr">
        <is>
          <t>Sauce.vc; Yogesh Kabra; Sangeet Agrawal; Navin Parwal; Chona Family</t>
        </is>
      </c>
      <c r="N1084" t="inlineStr">
        <is>
          <t>entrackr | inc42 | et</t>
        </is>
      </c>
      <c r="O1084" s="20" t="n">
        <v>3</v>
      </c>
      <c r="P1084" s="21" t="n">
        <v>3</v>
      </c>
      <c r="Q1084" t="inlineStr">
        <is>
          <t>C04</t>
        </is>
      </c>
      <c r="R1084" s="22" t="inlineStr">
        <is>
          <t>https://economictimes.indiatimes.com/tech/funding/home-and-lifestyle-brand-haus-kinder-raises-3-3-million-in-round-led-by-sauce-vc/articleshow/125252266.cms</t>
        </is>
      </c>
    </row>
    <row r="1085">
      <c r="A1085" t="inlineStr">
        <is>
          <t>R251111-mindtalk</t>
        </is>
      </c>
      <c r="B1085" t="inlineStr">
        <is>
          <t>MindTalk</t>
        </is>
      </c>
      <c r="C1085" s="17" t="n">
        <v>45972</v>
      </c>
      <c r="D1085" s="18" t="n">
        <v>45962</v>
      </c>
      <c r="E1085" s="19" t="n">
        <v>7.3</v>
      </c>
      <c r="F1085" s="19" t="n">
        <v>64.59999999999999</v>
      </c>
      <c r="G1085" t="inlineStr">
        <is>
          <t>$7.3 million</t>
        </is>
      </c>
      <c r="H1085" t="inlineStr">
        <is>
          <t>Undisclosed</t>
        </is>
      </c>
      <c r="I1085" t="inlineStr">
        <is>
          <t>Undisclosed</t>
        </is>
      </c>
      <c r="J1085" t="inlineStr">
        <is>
          <t>Unclassified</t>
        </is>
      </c>
      <c r="K1085" t="inlineStr">
        <is>
          <t>Unknown</t>
        </is>
      </c>
      <c r="L1085" t="inlineStr"/>
      <c r="M1085" t="inlineStr">
        <is>
          <t>Cadabams Group</t>
        </is>
      </c>
      <c r="N1085" t="inlineStr">
        <is>
          <t>entrackr</t>
        </is>
      </c>
      <c r="O1085" s="20" t="n">
        <v>1</v>
      </c>
      <c r="P1085" s="21" t="n">
        <v>0</v>
      </c>
      <c r="Q1085" t="inlineStr">
        <is>
          <t>C04 C06 C07</t>
        </is>
      </c>
      <c r="R1085" s="22" t="inlineStr">
        <is>
          <t>https://entrackr.com/snippets/digital-mental-health-platform-mindtalk-raises-73-mn-from-cadabams-group-10647850</t>
        </is>
      </c>
    </row>
    <row r="1086">
      <c r="A1086" t="inlineStr">
        <is>
          <t>R251111-praanhealth</t>
        </is>
      </c>
      <c r="B1086" t="inlineStr">
        <is>
          <t>Praan Health</t>
        </is>
      </c>
      <c r="C1086" s="17" t="n">
        <v>45972</v>
      </c>
      <c r="D1086" s="18" t="n">
        <v>45962</v>
      </c>
      <c r="E1086" s="19" t="n">
        <v>0.961</v>
      </c>
      <c r="F1086" s="19" t="n">
        <v>8.5</v>
      </c>
      <c r="G1086" t="inlineStr">
        <is>
          <t>Rs 8.5 crore</t>
        </is>
      </c>
      <c r="H1086" t="inlineStr">
        <is>
          <t>Seed</t>
        </is>
      </c>
      <c r="I1086" t="inlineStr">
        <is>
          <t>Early</t>
        </is>
      </c>
      <c r="J1086" t="inlineStr">
        <is>
          <t>Healthtech</t>
        </is>
      </c>
      <c r="K1086" t="inlineStr">
        <is>
          <t>Bengaluru</t>
        </is>
      </c>
      <c r="L1086" t="inlineStr">
        <is>
          <t>Rainmatter Investments</t>
        </is>
      </c>
      <c r="M1086" t="inlineStr">
        <is>
          <t>Rainmatter Investments; WEH Ventures; Alakh Pandey; Prateek Maheshwari; Arjun Vaidya</t>
        </is>
      </c>
      <c r="N1086" t="inlineStr">
        <is>
          <t>entrackr | inc42</t>
        </is>
      </c>
      <c r="O1086" s="20" t="n">
        <v>2</v>
      </c>
      <c r="P1086" s="21" t="n">
        <v>0.3</v>
      </c>
      <c r="Q1086" t="inlineStr"/>
      <c r="R1086" s="22" t="inlineStr">
        <is>
          <t>https://entrackr.com/snippets/praan-health-raises-85-cr-in-seed-round-led-by-rainmatter-investments-10646601</t>
        </is>
      </c>
    </row>
    <row r="1087">
      <c r="A1087" t="inlineStr">
        <is>
          <t>R251111-quickshift</t>
        </is>
      </c>
      <c r="B1087" t="inlineStr">
        <is>
          <t>QuickShift</t>
        </is>
      </c>
      <c r="C1087" s="17" t="n">
        <v>45972</v>
      </c>
      <c r="D1087" s="18" t="n">
        <v>45962</v>
      </c>
      <c r="E1087" s="19" t="n">
        <v>2.486</v>
      </c>
      <c r="F1087" s="19" t="n">
        <v>22</v>
      </c>
      <c r="G1087" t="inlineStr">
        <is>
          <t>Rs 22 crore</t>
        </is>
      </c>
      <c r="H1087" t="inlineStr">
        <is>
          <t>Pre-Series A</t>
        </is>
      </c>
      <c r="I1087" t="inlineStr">
        <is>
          <t>Early</t>
        </is>
      </c>
      <c r="J1087" t="inlineStr">
        <is>
          <t>Logistics</t>
        </is>
      </c>
      <c r="K1087" t="inlineStr">
        <is>
          <t>Pune</t>
        </is>
      </c>
      <c r="L1087" t="inlineStr">
        <is>
          <t>Atomic Capital</t>
        </is>
      </c>
      <c r="M1087" t="inlineStr">
        <is>
          <t>Atomic Capital; Axilor Ventures</t>
        </is>
      </c>
      <c r="N1087" t="inlineStr">
        <is>
          <t>entrackr | inc42 | et</t>
        </is>
      </c>
      <c r="O1087" s="20" t="n">
        <v>3</v>
      </c>
      <c r="P1087" s="21" t="n">
        <v>4.2</v>
      </c>
      <c r="Q1087" t="inlineStr"/>
      <c r="R1087" s="22" t="inlineStr">
        <is>
          <t>https://entrackr.com/snippets/quickshift-raises-rs-22-cr-in-pre-series-a-round-led-by-atomic-capital-10646544</t>
        </is>
      </c>
    </row>
    <row r="1088">
      <c r="A1088" t="inlineStr">
        <is>
          <t>R251111-shoppin</t>
        </is>
      </c>
      <c r="B1088" t="inlineStr">
        <is>
          <t>shoppin’</t>
        </is>
      </c>
      <c r="C1088" s="17" t="n">
        <v>45972</v>
      </c>
      <c r="D1088" s="18" t="n">
        <v>45962</v>
      </c>
      <c r="E1088" s="19" t="n">
        <v>3</v>
      </c>
      <c r="F1088" s="19" t="n">
        <v>26.55</v>
      </c>
      <c r="G1088" t="inlineStr">
        <is>
          <t>$3 Mn</t>
        </is>
      </c>
      <c r="H1088" t="inlineStr">
        <is>
          <t>Seed</t>
        </is>
      </c>
      <c r="I1088" t="inlineStr">
        <is>
          <t>Early</t>
        </is>
      </c>
      <c r="J1088" t="inlineStr">
        <is>
          <t>Ecommerce</t>
        </is>
      </c>
      <c r="K1088" t="inlineStr">
        <is>
          <t>Unknown</t>
        </is>
      </c>
      <c r="L1088" t="inlineStr">
        <is>
          <t>Mixi Global Investments</t>
        </is>
      </c>
      <c r="M1088" t="inlineStr">
        <is>
          <t>Mixi Global Investments; Info Edge Ventures</t>
        </is>
      </c>
      <c r="N1088" t="inlineStr">
        <is>
          <t>inc42</t>
        </is>
      </c>
      <c r="O1088" s="20" t="n">
        <v>1</v>
      </c>
      <c r="P1088" s="21" t="n">
        <v>0</v>
      </c>
      <c r="Q1088" t="inlineStr">
        <is>
          <t>C07</t>
        </is>
      </c>
      <c r="R1088" s="22" t="inlineStr">
        <is>
          <t>https://inc42.com/buzz/from-finnable-to-bombay-shaving-company-indian-startups-raised-163-mn-this-week/</t>
        </is>
      </c>
    </row>
    <row r="1089">
      <c r="A1089" t="inlineStr">
        <is>
          <t>R251112-alive</t>
        </is>
      </c>
      <c r="B1089" t="inlineStr">
        <is>
          <t>Alive</t>
        </is>
      </c>
      <c r="C1089" s="17" t="n">
        <v>45973</v>
      </c>
      <c r="D1089" s="18" t="n">
        <v>45962</v>
      </c>
      <c r="E1089" s="19" t="n">
        <v>0.677</v>
      </c>
      <c r="F1089" s="19" t="n">
        <v>6</v>
      </c>
      <c r="G1089" t="inlineStr">
        <is>
          <t>Rs 6 crore</t>
        </is>
      </c>
      <c r="H1089" t="inlineStr">
        <is>
          <t>Undisclosed</t>
        </is>
      </c>
      <c r="I1089" t="inlineStr">
        <is>
          <t>Undisclosed</t>
        </is>
      </c>
      <c r="J1089" t="inlineStr">
        <is>
          <t>Consumer Services</t>
        </is>
      </c>
      <c r="K1089" t="inlineStr">
        <is>
          <t>Unknown</t>
        </is>
      </c>
      <c r="L1089" t="inlineStr">
        <is>
          <t>Powerhouse Ventures</t>
        </is>
      </c>
      <c r="M1089" t="inlineStr">
        <is>
          <t>Powerhouse Ventures</t>
        </is>
      </c>
      <c r="N1089" t="inlineStr">
        <is>
          <t>entrackr | inc42</t>
        </is>
      </c>
      <c r="O1089" s="20" t="n">
        <v>2</v>
      </c>
      <c r="P1089" s="21" t="n">
        <v>0.2</v>
      </c>
      <c r="Q1089" t="inlineStr">
        <is>
          <t>C04 C07</t>
        </is>
      </c>
      <c r="R1089" s="22" t="inlineStr">
        <is>
          <t>https://inc42.com/buzz/from-finnable-to-bombay-shaving-company-indian-startups-raised-163-mn-this-week/</t>
        </is>
      </c>
    </row>
    <row r="1090">
      <c r="A1090" t="inlineStr">
        <is>
          <t>R251112-anddone</t>
        </is>
      </c>
      <c r="B1090" t="inlineStr">
        <is>
          <t>&amp;Done</t>
        </is>
      </c>
      <c r="C1090" s="17" t="n">
        <v>45973</v>
      </c>
      <c r="D1090" s="18" t="n">
        <v>45962</v>
      </c>
      <c r="E1090" s="19" t="n">
        <v>0.734</v>
      </c>
      <c r="F1090" s="19" t="n">
        <v>6.5</v>
      </c>
      <c r="G1090" t="inlineStr">
        <is>
          <t>Rs 6.5 crore</t>
        </is>
      </c>
      <c r="H1090" t="inlineStr">
        <is>
          <t>Pre-Seed</t>
        </is>
      </c>
      <c r="I1090" t="inlineStr">
        <is>
          <t>Early</t>
        </is>
      </c>
      <c r="J1090" t="inlineStr">
        <is>
          <t>Ecommerce</t>
        </is>
      </c>
      <c r="K1090" t="inlineStr">
        <is>
          <t>Delhi NCR</t>
        </is>
      </c>
      <c r="L1090" t="inlineStr">
        <is>
          <t>All In Capital</t>
        </is>
      </c>
      <c r="M1090" t="inlineStr">
        <is>
          <t>All In Capital; MG Investments</t>
        </is>
      </c>
      <c r="N1090" t="inlineStr">
        <is>
          <t>entrackr | inc42</t>
        </is>
      </c>
      <c r="O1090" s="20" t="n">
        <v>2</v>
      </c>
      <c r="P1090" s="21" t="n">
        <v>0.1</v>
      </c>
      <c r="Q1090" t="inlineStr"/>
      <c r="R1090" s="22" t="inlineStr">
        <is>
          <t>https://entrackr.com/snippets/haircare-brand-done-raises-rs-65-cr-led-by-all-in-capital-10649633</t>
        </is>
      </c>
    </row>
    <row r="1091">
      <c r="A1091" t="inlineStr">
        <is>
          <t>R251112-bombayshavingc</t>
        </is>
      </c>
      <c r="B1091" t="inlineStr">
        <is>
          <t>Bombay Shaving Company</t>
        </is>
      </c>
      <c r="C1091" s="17" t="n">
        <v>45973</v>
      </c>
      <c r="D1091" s="18" t="n">
        <v>45962</v>
      </c>
      <c r="E1091" s="19" t="n">
        <v>15.348</v>
      </c>
      <c r="F1091" s="19" t="n">
        <v>136</v>
      </c>
      <c r="G1091" t="inlineStr">
        <is>
          <t>Rs 136 crore</t>
        </is>
      </c>
      <c r="H1091" t="inlineStr">
        <is>
          <t>Undisclosed</t>
        </is>
      </c>
      <c r="I1091" t="inlineStr">
        <is>
          <t>Undisclosed</t>
        </is>
      </c>
      <c r="J1091" t="inlineStr">
        <is>
          <t>Ecommerce</t>
        </is>
      </c>
      <c r="K1091" t="inlineStr">
        <is>
          <t>Delhi NCR</t>
        </is>
      </c>
      <c r="L1091" t="inlineStr">
        <is>
          <t>Sixth Sense Ventures</t>
        </is>
      </c>
      <c r="M1091" t="inlineStr">
        <is>
          <t>Sixth Sense Ventures; Shantanu Deshpande (founder; BSC); Rahul Dravid; Patni Family Office; GII; Gulf Islamic Investments</t>
        </is>
      </c>
      <c r="N1091" t="inlineStr">
        <is>
          <t>entrackr | inc42 | et | vccircle</t>
        </is>
      </c>
      <c r="O1091" s="20" t="n">
        <v>4</v>
      </c>
      <c r="P1091" s="21" t="n">
        <v>6.2</v>
      </c>
      <c r="Q1091" t="inlineStr">
        <is>
          <t>C04</t>
        </is>
      </c>
      <c r="R1091" s="22" t="inlineStr">
        <is>
          <t>https://entrackr.com/news/bombay-shaving-company-raises-rs-136-cr-ahead-of-planned-ipo-10650346</t>
        </is>
      </c>
    </row>
    <row r="1092">
      <c r="A1092" t="inlineStr">
        <is>
          <t>R251112-coratiatechnol</t>
        </is>
      </c>
      <c r="B1092" t="inlineStr">
        <is>
          <t>Coratia Technologies</t>
        </is>
      </c>
      <c r="C1092" s="17" t="n">
        <v>45973</v>
      </c>
      <c r="D1092" s="18" t="n">
        <v>45962</v>
      </c>
      <c r="E1092" s="19" t="n">
        <v>0.5639999999999999</v>
      </c>
      <c r="F1092" s="19" t="n">
        <v>5</v>
      </c>
      <c r="G1092" t="inlineStr">
        <is>
          <t>Rs 5 crore</t>
        </is>
      </c>
      <c r="H1092" t="inlineStr">
        <is>
          <t>Undisclosed</t>
        </is>
      </c>
      <c r="I1092" t="inlineStr">
        <is>
          <t>Undisclosed</t>
        </is>
      </c>
      <c r="J1092" t="inlineStr">
        <is>
          <t>Advanced Hardware &amp; Technology</t>
        </is>
      </c>
      <c r="K1092" t="inlineStr">
        <is>
          <t>Unknown</t>
        </is>
      </c>
      <c r="L1092" t="inlineStr">
        <is>
          <t>Piper Serica</t>
        </is>
      </c>
      <c r="M1092" t="inlineStr">
        <is>
          <t>Piper Serica; Pontaq Ventures</t>
        </is>
      </c>
      <c r="N1092" t="inlineStr">
        <is>
          <t>entrackr | inc42</t>
        </is>
      </c>
      <c r="O1092" s="20" t="n">
        <v>2</v>
      </c>
      <c r="P1092" s="21" t="n">
        <v>0.1</v>
      </c>
      <c r="Q1092" t="inlineStr">
        <is>
          <t>C04 C07</t>
        </is>
      </c>
      <c r="R1092" s="22" t="inlineStr">
        <is>
          <t>https://entrackr.com/snippets/coratia-technologies-raises-rs-5-cr-led-by-piper-serica-angel-fund-10650913</t>
        </is>
      </c>
    </row>
    <row r="1093">
      <c r="A1093" t="inlineStr">
        <is>
          <t>R251112-couchcommerce</t>
        </is>
      </c>
      <c r="B1093" t="inlineStr">
        <is>
          <t>Couch Commerce</t>
        </is>
      </c>
      <c r="C1093" s="17" t="n">
        <v>45973</v>
      </c>
      <c r="D1093" s="18" t="n">
        <v>45962</v>
      </c>
      <c r="E1093" s="19" t="n">
        <v>1.129</v>
      </c>
      <c r="F1093" s="19" t="n">
        <v>10</v>
      </c>
      <c r="G1093" t="inlineStr">
        <is>
          <t>Rs 10 crore</t>
        </is>
      </c>
      <c r="H1093" t="inlineStr">
        <is>
          <t>Undisclosed</t>
        </is>
      </c>
      <c r="I1093" t="inlineStr">
        <is>
          <t>Undisclosed</t>
        </is>
      </c>
      <c r="J1093" t="inlineStr">
        <is>
          <t>Unclassified</t>
        </is>
      </c>
      <c r="K1093" t="inlineStr">
        <is>
          <t>Mumbai</t>
        </is>
      </c>
      <c r="L1093" t="inlineStr"/>
      <c r="M1093" t="inlineStr"/>
      <c r="N1093" t="inlineStr">
        <is>
          <t>et</t>
        </is>
      </c>
      <c r="O1093" s="20" t="n">
        <v>1</v>
      </c>
      <c r="P1093" s="21" t="n">
        <v>0</v>
      </c>
      <c r="Q1093" t="inlineStr">
        <is>
          <t>C04 C05 C06</t>
        </is>
      </c>
      <c r="R1093" s="22" t="inlineStr">
        <is>
          <t>https://economictimes.indiatimes.com/tech/startups/mamaearth-parent-invests-in-couch-commerce-to-boost-oral-care-play/articleshow/125277892.cms</t>
        </is>
      </c>
    </row>
    <row r="1094">
      <c r="A1094" t="inlineStr">
        <is>
          <t>R251112-doco</t>
        </is>
      </c>
      <c r="B1094" t="inlineStr">
        <is>
          <t>DOCO</t>
        </is>
      </c>
      <c r="C1094" s="17" t="n">
        <v>45973</v>
      </c>
      <c r="D1094" s="18" t="n">
        <v>45962</v>
      </c>
      <c r="E1094" s="19" t="n">
        <v>0.508</v>
      </c>
      <c r="F1094" s="19" t="n">
        <v>4.5</v>
      </c>
      <c r="G1094" t="inlineStr">
        <is>
          <t>Rs 4.5 crore</t>
        </is>
      </c>
      <c r="H1094" t="inlineStr">
        <is>
          <t>Pre-Seed</t>
        </is>
      </c>
      <c r="I1094" t="inlineStr">
        <is>
          <t>Early</t>
        </is>
      </c>
      <c r="J1094" t="inlineStr">
        <is>
          <t>Ecommerce</t>
        </is>
      </c>
      <c r="K1094" t="inlineStr">
        <is>
          <t>Unknown</t>
        </is>
      </c>
      <c r="L1094" t="inlineStr">
        <is>
          <t>GVFL</t>
        </is>
      </c>
      <c r="M1094" t="inlineStr">
        <is>
          <t>GVFL; Malpani Ventures; Kunwar Asheesh Saxena</t>
        </is>
      </c>
      <c r="N1094" t="inlineStr">
        <is>
          <t>entrackr | inc42</t>
        </is>
      </c>
      <c r="O1094" s="20" t="n">
        <v>2</v>
      </c>
      <c r="P1094" s="21" t="n">
        <v>0.2</v>
      </c>
      <c r="Q1094" t="inlineStr">
        <is>
          <t>C07</t>
        </is>
      </c>
      <c r="R1094" s="22" t="inlineStr">
        <is>
          <t>https://entrackr.com/snippets/gvfl-and-malpani-ventures-lead-pre-seed-round-in-doco-10650190</t>
        </is>
      </c>
    </row>
    <row r="1095">
      <c r="A1095" t="inlineStr">
        <is>
          <t>R251112-fescafe</t>
        </is>
      </c>
      <c r="B1095" t="inlineStr">
        <is>
          <t>FES Café</t>
        </is>
      </c>
      <c r="C1095" s="17" t="n">
        <v>45973</v>
      </c>
      <c r="D1095" s="18" t="n">
        <v>45962</v>
      </c>
      <c r="E1095" s="19" t="n">
        <v>1</v>
      </c>
      <c r="F1095" s="19" t="n">
        <v>8.859999999999999</v>
      </c>
      <c r="G1095" t="inlineStr">
        <is>
          <t>$1 million</t>
        </is>
      </c>
      <c r="H1095" t="inlineStr">
        <is>
          <t>Pre-Series A</t>
        </is>
      </c>
      <c r="I1095" t="inlineStr">
        <is>
          <t>Early</t>
        </is>
      </c>
      <c r="J1095" t="inlineStr">
        <is>
          <t>Ecommerce</t>
        </is>
      </c>
      <c r="K1095" t="inlineStr">
        <is>
          <t>Mumbai</t>
        </is>
      </c>
      <c r="L1095" t="inlineStr">
        <is>
          <t>12 Flags</t>
        </is>
      </c>
      <c r="M1095" t="inlineStr">
        <is>
          <t>12 Flags; Wolfpack Labs</t>
        </is>
      </c>
      <c r="N1095" t="inlineStr">
        <is>
          <t>entrackr | inc42</t>
        </is>
      </c>
      <c r="O1095" s="20" t="n">
        <v>2</v>
      </c>
      <c r="P1095" s="21" t="n">
        <v>0</v>
      </c>
      <c r="Q1095" t="inlineStr"/>
      <c r="R1095" s="22" t="inlineStr">
        <is>
          <t>https://entrackr.com/snippets/fes-cafe-raises-pre-series-a-round-led-by-12-flags-10650706</t>
        </is>
      </c>
    </row>
    <row r="1096">
      <c r="A1096" t="inlineStr">
        <is>
          <t>R251112-hrsnavigation</t>
        </is>
      </c>
      <c r="B1096" t="inlineStr">
        <is>
          <t>HRS Navigation</t>
        </is>
      </c>
      <c r="C1096" s="17" t="n">
        <v>45973</v>
      </c>
      <c r="D1096" s="18" t="n">
        <v>45962</v>
      </c>
      <c r="E1096" s="19" t="n">
        <v>5</v>
      </c>
      <c r="F1096" s="19" t="n">
        <v>44.3</v>
      </c>
      <c r="G1096" t="inlineStr">
        <is>
          <t>$5 Mn</t>
        </is>
      </c>
      <c r="H1096" t="inlineStr">
        <is>
          <t>Pre-Series A</t>
        </is>
      </c>
      <c r="I1096" t="inlineStr">
        <is>
          <t>Early</t>
        </is>
      </c>
      <c r="J1096" t="inlineStr">
        <is>
          <t>Healthtech</t>
        </is>
      </c>
      <c r="K1096" t="inlineStr">
        <is>
          <t>Bengaluru</t>
        </is>
      </c>
      <c r="L1096" t="inlineStr">
        <is>
          <t>GVFL; Physis Capital; Sathguru Catalysers</t>
        </is>
      </c>
      <c r="M1096" t="inlineStr">
        <is>
          <t>GVFL; Physis Capital; Sathguru Catalysers; India EXIM Bank; KITVEN</t>
        </is>
      </c>
      <c r="N1096" t="inlineStr">
        <is>
          <t>entrackr | inc42</t>
        </is>
      </c>
      <c r="O1096" s="20" t="n">
        <v>2</v>
      </c>
      <c r="P1096" s="21" t="n">
        <v>0</v>
      </c>
      <c r="Q1096" t="inlineStr"/>
      <c r="R1096" s="22" t="inlineStr">
        <is>
          <t>https://entrackr.com/snippets/med-tech-company-hrs-navigation-raises-5-mn-in-pre-series-a-round-10650219</t>
        </is>
      </c>
    </row>
    <row r="1097">
      <c r="A1097" t="inlineStr">
        <is>
          <t>R251112-nyayanidhi</t>
        </is>
      </c>
      <c r="B1097" t="inlineStr">
        <is>
          <t>Nyayanidhi</t>
        </is>
      </c>
      <c r="C1097" s="17" t="n">
        <v>45973</v>
      </c>
      <c r="D1097" s="18" t="n">
        <v>45962</v>
      </c>
      <c r="E1097" s="19" t="n">
        <v>2</v>
      </c>
      <c r="F1097" s="19" t="n">
        <v>17.72</v>
      </c>
      <c r="G1097" t="inlineStr">
        <is>
          <t>$2 million</t>
        </is>
      </c>
      <c r="H1097" t="inlineStr">
        <is>
          <t>Seed</t>
        </is>
      </c>
      <c r="I1097" t="inlineStr">
        <is>
          <t>Early</t>
        </is>
      </c>
      <c r="J1097" t="inlineStr">
        <is>
          <t>Artificial Intelligence</t>
        </is>
      </c>
      <c r="K1097" t="inlineStr">
        <is>
          <t>Bengaluru</t>
        </is>
      </c>
      <c r="L1097" t="inlineStr">
        <is>
          <t>3one4 Capital</t>
        </is>
      </c>
      <c r="M1097" t="inlineStr">
        <is>
          <t>3one4 Capital; DeVC; PeerCheque; Force Ventures; Nishchay AG (cofounder; Jar)</t>
        </is>
      </c>
      <c r="N1097" t="inlineStr">
        <is>
          <t>entrackr | inc42 | et</t>
        </is>
      </c>
      <c r="O1097" s="20" t="n">
        <v>3</v>
      </c>
      <c r="P1097" s="21" t="n">
        <v>0</v>
      </c>
      <c r="Q1097" t="inlineStr"/>
      <c r="R1097" s="22" t="inlineStr">
        <is>
          <t>https://entrackr.com/snippets/legal-tech-startup-nyayanidhi-raises-2-mn-led-by-3one4-capital-10650103</t>
        </is>
      </c>
    </row>
    <row r="1098">
      <c r="A1098" t="inlineStr">
        <is>
          <t>R251112-tetrcollege</t>
        </is>
      </c>
      <c r="B1098" t="inlineStr">
        <is>
          <t>Tetr College</t>
        </is>
      </c>
      <c r="C1098" s="17" t="n">
        <v>45973</v>
      </c>
      <c r="D1098" s="18" t="n">
        <v>45962</v>
      </c>
      <c r="E1098" s="19" t="n">
        <v>18</v>
      </c>
      <c r="F1098" s="19" t="n">
        <v>159.5</v>
      </c>
      <c r="G1098" t="inlineStr">
        <is>
          <t>$18 Mn</t>
        </is>
      </c>
      <c r="H1098" t="inlineStr">
        <is>
          <t>Undisclosed</t>
        </is>
      </c>
      <c r="I1098" t="inlineStr">
        <is>
          <t>Undisclosed</t>
        </is>
      </c>
      <c r="J1098" t="inlineStr">
        <is>
          <t>Edtech</t>
        </is>
      </c>
      <c r="K1098" t="inlineStr">
        <is>
          <t>Unknown</t>
        </is>
      </c>
      <c r="L1098" t="inlineStr">
        <is>
          <t>Owl Ventures; Bertelsmann India Investments</t>
        </is>
      </c>
      <c r="M1098" t="inlineStr">
        <is>
          <t>Owl Ventures; Bertelsmann India Investments</t>
        </is>
      </c>
      <c r="N1098" t="inlineStr">
        <is>
          <t>inc42</t>
        </is>
      </c>
      <c r="O1098" s="20" t="n">
        <v>1</v>
      </c>
      <c r="P1098" s="21" t="n">
        <v>0</v>
      </c>
      <c r="Q1098" t="inlineStr">
        <is>
          <t>C04 C07</t>
        </is>
      </c>
      <c r="R1098" s="22" t="inlineStr">
        <is>
          <t>https://inc42.com/buzz/from-finnable-to-bombay-shaving-company-indian-startups-raised-163-mn-this-week/</t>
        </is>
      </c>
    </row>
    <row r="1099">
      <c r="A1099" t="inlineStr">
        <is>
          <t>R251113-acsenergy</t>
        </is>
      </c>
      <c r="B1099" t="inlineStr">
        <is>
          <t>ACS Energy</t>
        </is>
      </c>
      <c r="C1099" s="17" t="n">
        <v>45974</v>
      </c>
      <c r="D1099" s="18" t="n">
        <v>45962</v>
      </c>
      <c r="E1099" s="19" t="n">
        <v>0.124</v>
      </c>
      <c r="F1099" s="19" t="n">
        <v>1.1</v>
      </c>
      <c r="G1099" t="inlineStr">
        <is>
          <t>Rs 1.1 crore</t>
        </is>
      </c>
      <c r="H1099" t="inlineStr">
        <is>
          <t>Pre-Seed</t>
        </is>
      </c>
      <c r="I1099" t="inlineStr">
        <is>
          <t>Early</t>
        </is>
      </c>
      <c r="J1099" t="inlineStr">
        <is>
          <t>Cleantech</t>
        </is>
      </c>
      <c r="K1099" t="inlineStr">
        <is>
          <t>Unknown</t>
        </is>
      </c>
      <c r="L1099" t="inlineStr">
        <is>
          <t>Inflection Point Ventures</t>
        </is>
      </c>
      <c r="M1099" t="inlineStr">
        <is>
          <t>Inflection Point Ventures</t>
        </is>
      </c>
      <c r="N1099" t="inlineStr">
        <is>
          <t>entrackr | inc42</t>
        </is>
      </c>
      <c r="O1099" s="20" t="n">
        <v>2</v>
      </c>
      <c r="P1099" s="21" t="n">
        <v>0</v>
      </c>
      <c r="Q1099" t="inlineStr">
        <is>
          <t>C07</t>
        </is>
      </c>
      <c r="R1099" s="22" t="inlineStr">
        <is>
          <t>https://entrackr.com/snippets/acs-energy-raises-rs-11-cr-in-pre-seed-round-led-by-ipv-10653164</t>
        </is>
      </c>
    </row>
    <row r="1100">
      <c r="A1100" t="inlineStr">
        <is>
          <t>R251113-attentiveai</t>
        </is>
      </c>
      <c r="B1100" t="inlineStr">
        <is>
          <t>Attentive AI</t>
        </is>
      </c>
      <c r="C1100" s="17" t="n">
        <v>45974</v>
      </c>
      <c r="D1100" s="18" t="n">
        <v>45962</v>
      </c>
      <c r="E1100" s="19" t="n">
        <v>30.5</v>
      </c>
      <c r="F1100" s="19" t="n">
        <v>270.5</v>
      </c>
      <c r="G1100" t="inlineStr">
        <is>
          <t>$30.5 Mn</t>
        </is>
      </c>
      <c r="H1100" t="inlineStr">
        <is>
          <t>Series B</t>
        </is>
      </c>
      <c r="I1100" t="inlineStr">
        <is>
          <t>Growth</t>
        </is>
      </c>
      <c r="J1100" t="inlineStr">
        <is>
          <t>Artificial Intelligence</t>
        </is>
      </c>
      <c r="K1100" t="inlineStr">
        <is>
          <t>Unknown</t>
        </is>
      </c>
      <c r="L1100" t="inlineStr">
        <is>
          <t>Insight Partners</t>
        </is>
      </c>
      <c r="M1100" t="inlineStr">
        <is>
          <t>Insight Partners; Vertex Ventures; Tenacity Ventures; Info Edge Ventures</t>
        </is>
      </c>
      <c r="N1100" t="inlineStr">
        <is>
          <t>inc42</t>
        </is>
      </c>
      <c r="O1100" s="20" t="n">
        <v>1</v>
      </c>
      <c r="P1100" s="21" t="n">
        <v>0</v>
      </c>
      <c r="Q1100" t="inlineStr">
        <is>
          <t>C07</t>
        </is>
      </c>
      <c r="R1100" s="22" t="inlineStr">
        <is>
          <t>https://inc42.com/buzz/from-finnable-to-bombay-shaving-company-indian-startups-raised-163-mn-this-week/</t>
        </is>
      </c>
    </row>
    <row r="1101">
      <c r="A1101" t="inlineStr">
        <is>
          <t>R251113-brandworkstech</t>
        </is>
      </c>
      <c r="B1101" t="inlineStr">
        <is>
          <t>Brandworks Technologies</t>
        </is>
      </c>
      <c r="C1101" s="17" t="n">
        <v>45974</v>
      </c>
      <c r="D1101" s="18" t="n">
        <v>45962</v>
      </c>
      <c r="E1101" s="19" t="n">
        <v>11</v>
      </c>
      <c r="F1101" s="19" t="n">
        <v>97.56</v>
      </c>
      <c r="G1101" t="inlineStr">
        <is>
          <t>$11 million</t>
        </is>
      </c>
      <c r="H1101" t="inlineStr">
        <is>
          <t>Series A</t>
        </is>
      </c>
      <c r="I1101" t="inlineStr">
        <is>
          <t>Early</t>
        </is>
      </c>
      <c r="J1101" t="inlineStr">
        <is>
          <t>Enterprise Tech</t>
        </is>
      </c>
      <c r="K1101" t="inlineStr">
        <is>
          <t>Mumbai</t>
        </is>
      </c>
      <c r="L1101" t="inlineStr"/>
      <c r="M1101" t="inlineStr">
        <is>
          <t>Roha Family Office; Cactus Partners; GVFL</t>
        </is>
      </c>
      <c r="N1101" t="inlineStr">
        <is>
          <t>entrackr | inc42 | et | vccircle</t>
        </is>
      </c>
      <c r="O1101" s="20" t="n">
        <v>4</v>
      </c>
      <c r="P1101" s="21" t="n">
        <v>175</v>
      </c>
      <c r="Q1101" t="inlineStr">
        <is>
          <t>C15</t>
        </is>
      </c>
      <c r="R1101" s="22" t="inlineStr">
        <is>
          <t>https://entrackr.com/snippets/brandworks-technologies-closes-11-mn-series-a-round-10652969</t>
        </is>
      </c>
    </row>
    <row r="1102">
      <c r="A1102" t="inlineStr">
        <is>
          <t>R251113-eventplanettec</t>
        </is>
      </c>
      <c r="B1102" t="inlineStr">
        <is>
          <t>Event Planet Technologies</t>
        </is>
      </c>
      <c r="C1102" s="17" t="n">
        <v>45974</v>
      </c>
      <c r="D1102" s="18" t="n">
        <v>45962</v>
      </c>
      <c r="E1102" s="19" t="n">
        <v>0.25</v>
      </c>
      <c r="F1102" s="19" t="n">
        <v>2.22</v>
      </c>
      <c r="G1102" t="inlineStr">
        <is>
          <t>$250,000</t>
        </is>
      </c>
      <c r="H1102" t="inlineStr">
        <is>
          <t>Angel</t>
        </is>
      </c>
      <c r="I1102" t="inlineStr">
        <is>
          <t>Early</t>
        </is>
      </c>
      <c r="J1102" t="inlineStr">
        <is>
          <t>Unclassified</t>
        </is>
      </c>
      <c r="K1102" t="inlineStr">
        <is>
          <t>Unknown</t>
        </is>
      </c>
      <c r="L1102" t="inlineStr"/>
      <c r="M1102" t="inlineStr">
        <is>
          <t>Virendra Prasad</t>
        </is>
      </c>
      <c r="N1102" t="inlineStr">
        <is>
          <t>entrackr</t>
        </is>
      </c>
      <c r="O1102" s="20" t="n">
        <v>1</v>
      </c>
      <c r="P1102" s="21" t="n">
        <v>0</v>
      </c>
      <c r="Q1102" t="inlineStr">
        <is>
          <t>C06 C07</t>
        </is>
      </c>
      <c r="R1102" s="22" t="inlineStr">
        <is>
          <t>https://entrackr.com/snippets/event-planet-technologies-raises-250k-in-angel-round-10653489</t>
        </is>
      </c>
    </row>
    <row r="1103">
      <c r="A1103" t="inlineStr">
        <is>
          <t>R251113-niaone</t>
        </is>
      </c>
      <c r="B1103" t="inlineStr">
        <is>
          <t>Nia.one</t>
        </is>
      </c>
      <c r="C1103" s="17" t="n">
        <v>45974</v>
      </c>
      <c r="D1103" s="18" t="n">
        <v>45962</v>
      </c>
      <c r="E1103" s="19" t="n">
        <v>2.4</v>
      </c>
      <c r="F1103" s="19" t="n">
        <v>21.29</v>
      </c>
      <c r="G1103" t="inlineStr">
        <is>
          <t>$2.4 million</t>
        </is>
      </c>
      <c r="H1103" t="inlineStr">
        <is>
          <t>Seed</t>
        </is>
      </c>
      <c r="I1103" t="inlineStr">
        <is>
          <t>Early</t>
        </is>
      </c>
      <c r="J1103" t="inlineStr">
        <is>
          <t>Enterprise Tech</t>
        </is>
      </c>
      <c r="K1103" t="inlineStr">
        <is>
          <t>Unknown</t>
        </is>
      </c>
      <c r="L1103" t="inlineStr">
        <is>
          <t>Elevar Equity</t>
        </is>
      </c>
      <c r="M1103" t="inlineStr">
        <is>
          <t>Elevar Equity</t>
        </is>
      </c>
      <c r="N1103" t="inlineStr">
        <is>
          <t>entrackr | inc42</t>
        </is>
      </c>
      <c r="O1103" s="20" t="n">
        <v>2</v>
      </c>
      <c r="P1103" s="21" t="n">
        <v>0</v>
      </c>
      <c r="Q1103" t="inlineStr">
        <is>
          <t>C07</t>
        </is>
      </c>
      <c r="R1103" s="22" t="inlineStr">
        <is>
          <t>https://inc42.com/buzz/from-finnable-to-bombay-shaving-company-indian-startups-raised-163-mn-this-week/</t>
        </is>
      </c>
    </row>
    <row r="1104">
      <c r="A1104" t="inlineStr">
        <is>
          <t>R251113-parallelwebsys</t>
        </is>
      </c>
      <c r="B1104" t="inlineStr">
        <is>
          <t>Parallel Web Systems</t>
        </is>
      </c>
      <c r="C1104" s="17" t="n">
        <v>45974</v>
      </c>
      <c r="D1104" s="18" t="n">
        <v>45962</v>
      </c>
      <c r="E1104" s="19" t="n">
        <v>100</v>
      </c>
      <c r="F1104" s="19" t="n">
        <v>886.9</v>
      </c>
      <c r="G1104" t="inlineStr">
        <is>
          <t>$100 million</t>
        </is>
      </c>
      <c r="H1104" t="inlineStr">
        <is>
          <t>Series A</t>
        </is>
      </c>
      <c r="I1104" t="inlineStr">
        <is>
          <t>Early</t>
        </is>
      </c>
      <c r="J1104" t="inlineStr">
        <is>
          <t>Unclassified</t>
        </is>
      </c>
      <c r="K1104" t="inlineStr">
        <is>
          <t>Unknown</t>
        </is>
      </c>
      <c r="L1104" t="inlineStr">
        <is>
          <t>Kleiner Perkins; Index Ventures</t>
        </is>
      </c>
      <c r="M1104" t="inlineStr">
        <is>
          <t>Kleiner Perkins; Index Ventures; Khosla Ventures</t>
        </is>
      </c>
      <c r="N1104" t="inlineStr">
        <is>
          <t>entrackr</t>
        </is>
      </c>
      <c r="O1104" s="20" t="n">
        <v>1</v>
      </c>
      <c r="P1104" s="21" t="n">
        <v>0</v>
      </c>
      <c r="Q1104" t="inlineStr">
        <is>
          <t>C06 C07 C11</t>
        </is>
      </c>
      <c r="R1104" s="22" t="inlineStr">
        <is>
          <t>https://entrackr.com/snippets/parag-agrawals-parallel-web-systems-raises-100-mn-in-series-a-round-10653183</t>
        </is>
      </c>
    </row>
    <row r="1105">
      <c r="A1105" t="inlineStr">
        <is>
          <t>R251113-varaha</t>
        </is>
      </c>
      <c r="B1105" t="inlineStr">
        <is>
          <t>Varaha</t>
        </is>
      </c>
      <c r="C1105" s="17" t="n">
        <v>45974</v>
      </c>
      <c r="D1105" s="18" t="n">
        <v>45962</v>
      </c>
      <c r="E1105" s="19" t="n">
        <v>30</v>
      </c>
      <c r="F1105" s="19" t="n">
        <v>266.07</v>
      </c>
      <c r="G1105" t="inlineStr">
        <is>
          <t>$30 million</t>
        </is>
      </c>
      <c r="H1105" t="inlineStr">
        <is>
          <t>Undisclosed</t>
        </is>
      </c>
      <c r="I1105" t="inlineStr">
        <is>
          <t>Undisclosed</t>
        </is>
      </c>
      <c r="J1105" t="inlineStr">
        <is>
          <t>Cleantech</t>
        </is>
      </c>
      <c r="K1105" t="inlineStr">
        <is>
          <t>Delhi NCR</t>
        </is>
      </c>
      <c r="L1105" t="inlineStr"/>
      <c r="M1105" t="inlineStr"/>
      <c r="N1105" t="inlineStr">
        <is>
          <t>et</t>
        </is>
      </c>
      <c r="O1105" s="20" t="n">
        <v>1</v>
      </c>
      <c r="P1105" s="21" t="n">
        <v>0</v>
      </c>
      <c r="Q1105" t="inlineStr">
        <is>
          <t>C04 C05</t>
        </is>
      </c>
      <c r="R1105" s="22" t="inlineStr">
        <is>
          <t>https://economictimes.indiatimes.com/tech/startups/paris-based-mirova-invests-30-million-in-varahas-regenerative-agriculture-project/articleshow/125303536.cms</t>
        </is>
      </c>
    </row>
    <row r="1106">
      <c r="A1106" t="inlineStr">
        <is>
          <t>R251114-codeyoung</t>
        </is>
      </c>
      <c r="B1106" t="inlineStr">
        <is>
          <t>Codeyoung</t>
        </is>
      </c>
      <c r="C1106" s="17" t="n">
        <v>45975</v>
      </c>
      <c r="D1106" s="18" t="n">
        <v>45962</v>
      </c>
      <c r="E1106" s="19" t="n">
        <v>5</v>
      </c>
      <c r="F1106" s="19" t="n">
        <v>44.34</v>
      </c>
      <c r="G1106" t="inlineStr">
        <is>
          <t>$5 million</t>
        </is>
      </c>
      <c r="H1106" t="inlineStr">
        <is>
          <t>Series A</t>
        </is>
      </c>
      <c r="I1106" t="inlineStr">
        <is>
          <t>Early</t>
        </is>
      </c>
      <c r="J1106" t="inlineStr">
        <is>
          <t>Edtech</t>
        </is>
      </c>
      <c r="K1106" t="inlineStr">
        <is>
          <t>Bengaluru</t>
        </is>
      </c>
      <c r="L1106" t="inlineStr">
        <is>
          <t>12 Flags Group; Enzia Ventures</t>
        </is>
      </c>
      <c r="M1106" t="inlineStr">
        <is>
          <t>12 Flags Group; Enzia Ventures</t>
        </is>
      </c>
      <c r="N1106" t="inlineStr">
        <is>
          <t>entrackr | inc42</t>
        </is>
      </c>
      <c r="O1106" s="20" t="n">
        <v>2</v>
      </c>
      <c r="P1106" s="21" t="n">
        <v>0</v>
      </c>
      <c r="Q1106" t="inlineStr"/>
      <c r="R1106" s="22" t="inlineStr">
        <is>
          <t>https://entrackr.com/snippets/codeyoung-raises-5-mn-in-series-a-round-from-12-flags-and-enzia-ventures-10759413</t>
        </is>
      </c>
    </row>
    <row r="1107">
      <c r="A1107" t="inlineStr">
        <is>
          <t>R251114-extramileplay</t>
        </is>
      </c>
      <c r="B1107" t="inlineStr">
        <is>
          <t>ExtraMile Play</t>
        </is>
      </c>
      <c r="C1107" s="17" t="n">
        <v>45975</v>
      </c>
      <c r="D1107" s="18" t="n">
        <v>45962</v>
      </c>
      <c r="E1107" s="19" t="n">
        <v>0.5</v>
      </c>
      <c r="F1107" s="19" t="n">
        <v>4.43</v>
      </c>
      <c r="G1107" t="inlineStr">
        <is>
          <t>$500K</t>
        </is>
      </c>
      <c r="H1107" t="inlineStr">
        <is>
          <t>Seed</t>
        </is>
      </c>
      <c r="I1107" t="inlineStr">
        <is>
          <t>Early</t>
        </is>
      </c>
      <c r="J1107" t="inlineStr">
        <is>
          <t>Enterprise Tech</t>
        </is>
      </c>
      <c r="K1107" t="inlineStr">
        <is>
          <t>Mumbai</t>
        </is>
      </c>
      <c r="L1107" t="inlineStr">
        <is>
          <t>GSF; GrowthSense; Growth91</t>
        </is>
      </c>
      <c r="M1107" t="inlineStr">
        <is>
          <t>GSF; Mount Judi Ventures; GrowthSense; Growth91</t>
        </is>
      </c>
      <c r="N1107" t="inlineStr">
        <is>
          <t>entrackr | inc42</t>
        </is>
      </c>
      <c r="O1107" s="20" t="n">
        <v>2</v>
      </c>
      <c r="P1107" s="21" t="n">
        <v>0</v>
      </c>
      <c r="Q1107" t="inlineStr"/>
      <c r="R1107" s="22" t="inlineStr">
        <is>
          <t>https://entrackr.com/snippets/extramile-play-raises-500k-in-seed-round-led-by-gsf-10691021</t>
        </is>
      </c>
    </row>
    <row r="1108">
      <c r="A1108" t="inlineStr">
        <is>
          <t>R251114-isprava</t>
        </is>
      </c>
      <c r="B1108" t="inlineStr">
        <is>
          <t>Isprava</t>
        </is>
      </c>
      <c r="C1108" s="17" t="n">
        <v>45975</v>
      </c>
      <c r="D1108" s="18" t="n">
        <v>45962</v>
      </c>
      <c r="E1108" s="19" t="n">
        <v>28.191</v>
      </c>
      <c r="F1108" s="19" t="n">
        <v>250</v>
      </c>
      <c r="G1108" t="inlineStr">
        <is>
          <t>Rs 250 crore</t>
        </is>
      </c>
      <c r="H1108" t="inlineStr">
        <is>
          <t>Debt</t>
        </is>
      </c>
      <c r="I1108" t="inlineStr">
        <is>
          <t>Debt</t>
        </is>
      </c>
      <c r="J1108" t="inlineStr">
        <is>
          <t>Unclassified</t>
        </is>
      </c>
      <c r="K1108" t="inlineStr">
        <is>
          <t>Mumbai</t>
        </is>
      </c>
      <c r="L1108" t="inlineStr"/>
      <c r="M1108" t="inlineStr">
        <is>
          <t>Luxe Opco Holdings</t>
        </is>
      </c>
      <c r="N1108" t="inlineStr">
        <is>
          <t>entrackr</t>
        </is>
      </c>
      <c r="O1108" s="20" t="n">
        <v>1</v>
      </c>
      <c r="P1108" s="21" t="n">
        <v>0</v>
      </c>
      <c r="Q1108" t="inlineStr">
        <is>
          <t>C06</t>
        </is>
      </c>
      <c r="R1108" s="22" t="inlineStr">
        <is>
          <t>https://entrackr.com/exclusive/exclusive-isprava-raises-rs-250-cr-debt-10681506</t>
        </is>
      </c>
    </row>
    <row r="1109">
      <c r="A1109" t="inlineStr">
        <is>
          <t>R251117-hoopr</t>
        </is>
      </c>
      <c r="B1109" t="inlineStr">
        <is>
          <t>Hoopr</t>
        </is>
      </c>
      <c r="C1109" s="17" t="n">
        <v>45978</v>
      </c>
      <c r="D1109" s="18" t="n">
        <v>45962</v>
      </c>
      <c r="E1109" s="19" t="n">
        <v>0.451</v>
      </c>
      <c r="F1109" s="19" t="n">
        <v>4</v>
      </c>
      <c r="G1109" t="inlineStr">
        <is>
          <t>Rs 4 crore</t>
        </is>
      </c>
      <c r="H1109" t="inlineStr">
        <is>
          <t>Pre-Series A</t>
        </is>
      </c>
      <c r="I1109" t="inlineStr">
        <is>
          <t>Early</t>
        </is>
      </c>
      <c r="J1109" t="inlineStr">
        <is>
          <t>Media &amp; Entertainment</t>
        </is>
      </c>
      <c r="K1109" t="inlineStr">
        <is>
          <t>Mumbai</t>
        </is>
      </c>
      <c r="L1109" t="inlineStr">
        <is>
          <t>Inflection Point Ventures</t>
        </is>
      </c>
      <c r="M1109" t="inlineStr">
        <is>
          <t>Inflection Point Ventures</t>
        </is>
      </c>
      <c r="N1109" t="inlineStr">
        <is>
          <t>entrackr | inc42</t>
        </is>
      </c>
      <c r="O1109" s="20" t="n">
        <v>2</v>
      </c>
      <c r="P1109" s="21" t="n">
        <v>0.1</v>
      </c>
      <c r="Q1109" t="inlineStr"/>
      <c r="R1109" s="22" t="inlineStr">
        <is>
          <t>https://entrackr.com/snippets/music-licensing-platform-hoopr-raises-funds-in-extended-pre-series-a-round-10782011</t>
        </is>
      </c>
    </row>
    <row r="1110">
      <c r="A1110" t="inlineStr">
        <is>
          <t>R251117-tribestays</t>
        </is>
      </c>
      <c r="B1110" t="inlineStr">
        <is>
          <t>Tribe Stays</t>
        </is>
      </c>
      <c r="C1110" s="17" t="n">
        <v>45978</v>
      </c>
      <c r="D1110" s="18" t="n">
        <v>45962</v>
      </c>
      <c r="E1110" s="19" t="n">
        <v>2.8</v>
      </c>
      <c r="F1110" s="19" t="n">
        <v>24.81</v>
      </c>
      <c r="G1110" t="inlineStr">
        <is>
          <t>$2.8 million</t>
        </is>
      </c>
      <c r="H1110" t="inlineStr">
        <is>
          <t>Seed</t>
        </is>
      </c>
      <c r="I1110" t="inlineStr">
        <is>
          <t>Early</t>
        </is>
      </c>
      <c r="J1110" t="inlineStr">
        <is>
          <t>Real Estate Tech</t>
        </is>
      </c>
      <c r="K1110" t="inlineStr">
        <is>
          <t>Unknown</t>
        </is>
      </c>
      <c r="L1110" t="inlineStr">
        <is>
          <t>Artha Venture Fund; Riverwalk Holdings</t>
        </is>
      </c>
      <c r="M1110" t="inlineStr">
        <is>
          <t>Artha Venture Fund; Riverwalk Holdings; Kunal Khanna; Krishna Jain</t>
        </is>
      </c>
      <c r="N1110" t="inlineStr">
        <is>
          <t>entrackr | inc42 | vccircle</t>
        </is>
      </c>
      <c r="O1110" s="20" t="n">
        <v>3</v>
      </c>
      <c r="P1110" s="21" t="n">
        <v>0</v>
      </c>
      <c r="Q1110" t="inlineStr">
        <is>
          <t>C07</t>
        </is>
      </c>
      <c r="R1110" s="22" t="inlineStr">
        <is>
          <t>https://entrackr.com/snippets/tribe-stays-raises-28-mn-led-by-artha-venture-and-riverwalk-10780904</t>
        </is>
      </c>
    </row>
    <row r="1111">
      <c r="A1111" t="inlineStr">
        <is>
          <t>R251117-unlimitr</t>
        </is>
      </c>
      <c r="B1111" t="inlineStr">
        <is>
          <t>Unlimitr</t>
        </is>
      </c>
      <c r="C1111" s="17" t="n">
        <v>45978</v>
      </c>
      <c r="D1111" s="18" t="n">
        <v>45962</v>
      </c>
      <c r="E1111" s="19" t="n">
        <v>1.1</v>
      </c>
      <c r="F1111" s="19" t="n">
        <v>9.75</v>
      </c>
      <c r="G1111" t="inlineStr">
        <is>
          <t>$1.1 million</t>
        </is>
      </c>
      <c r="H1111" t="inlineStr">
        <is>
          <t>Seed</t>
        </is>
      </c>
      <c r="I1111" t="inlineStr">
        <is>
          <t>Early</t>
        </is>
      </c>
      <c r="J1111" t="inlineStr">
        <is>
          <t>Healthtech</t>
        </is>
      </c>
      <c r="K1111" t="inlineStr">
        <is>
          <t>Unknown</t>
        </is>
      </c>
      <c r="L1111" t="inlineStr"/>
      <c r="M1111" t="inlineStr"/>
      <c r="N1111" t="inlineStr">
        <is>
          <t>entrackr</t>
        </is>
      </c>
      <c r="O1111" s="20" t="n">
        <v>1</v>
      </c>
      <c r="P1111" s="21" t="n">
        <v>0</v>
      </c>
      <c r="Q1111" t="inlineStr">
        <is>
          <t>C05 C07</t>
        </is>
      </c>
      <c r="R1111" s="22" t="inlineStr">
        <is>
          <t>https://entrackr.com/snippets/wellness-platform-unlimitr-raises-11-mn-in-seed-round-10782932</t>
        </is>
      </c>
    </row>
    <row r="1112">
      <c r="A1112" t="inlineStr">
        <is>
          <t>R251118-axiriumaerospa</t>
        </is>
      </c>
      <c r="B1112" t="inlineStr">
        <is>
          <t>Axirium Aerospace</t>
        </is>
      </c>
      <c r="C1112" s="17" t="n">
        <v>45979</v>
      </c>
      <c r="D1112" s="18" t="n">
        <v>45962</v>
      </c>
      <c r="E1112" s="19" t="n">
        <v>3.5</v>
      </c>
      <c r="F1112" s="19" t="n">
        <v>31</v>
      </c>
      <c r="G1112" t="inlineStr">
        <is>
          <t>$3.5 million</t>
        </is>
      </c>
      <c r="H1112" t="inlineStr">
        <is>
          <t>Seed</t>
        </is>
      </c>
      <c r="I1112" t="inlineStr">
        <is>
          <t>Early</t>
        </is>
      </c>
      <c r="J1112" t="inlineStr">
        <is>
          <t>Advanced Hardware &amp; Technology</t>
        </is>
      </c>
      <c r="K1112" t="inlineStr">
        <is>
          <t>Unknown</t>
        </is>
      </c>
      <c r="L1112" t="inlineStr">
        <is>
          <t>Shastra VC; BEENEXT</t>
        </is>
      </c>
      <c r="M1112" t="inlineStr">
        <is>
          <t>Shastra VC; BEENEXT; Ashish Gupta; PVS Raju</t>
        </is>
      </c>
      <c r="N1112" t="inlineStr">
        <is>
          <t>entrackr | inc42</t>
        </is>
      </c>
      <c r="O1112" s="20" t="n">
        <v>2</v>
      </c>
      <c r="P1112" s="21" t="n">
        <v>0</v>
      </c>
      <c r="Q1112" t="inlineStr">
        <is>
          <t>C07</t>
        </is>
      </c>
      <c r="R1112" s="22" t="inlineStr">
        <is>
          <t>https://entrackr.com/snippets/axirium-aerospace-raises-35-mn-in-seed-round-10785238</t>
        </is>
      </c>
    </row>
    <row r="1113">
      <c r="A1113" t="inlineStr">
        <is>
          <t>R251118-pypeai</t>
        </is>
      </c>
      <c r="B1113" t="inlineStr">
        <is>
          <t>Pype AI</t>
        </is>
      </c>
      <c r="C1113" s="17" t="n">
        <v>45979</v>
      </c>
      <c r="D1113" s="18" t="n">
        <v>45962</v>
      </c>
      <c r="E1113" s="19" t="n">
        <v>1.2</v>
      </c>
      <c r="F1113" s="19" t="n">
        <v>10.63</v>
      </c>
      <c r="G1113" t="inlineStr">
        <is>
          <t>$1.2 million</t>
        </is>
      </c>
      <c r="H1113" t="inlineStr">
        <is>
          <t>Pre-Seed</t>
        </is>
      </c>
      <c r="I1113" t="inlineStr">
        <is>
          <t>Early</t>
        </is>
      </c>
      <c r="J1113" t="inlineStr">
        <is>
          <t>Artificial Intelligence</t>
        </is>
      </c>
      <c r="K1113" t="inlineStr">
        <is>
          <t>Bengaluru</t>
        </is>
      </c>
      <c r="L1113" t="inlineStr">
        <is>
          <t>Kalaari Capital</t>
        </is>
      </c>
      <c r="M1113" t="inlineStr">
        <is>
          <t>Kalaari Capital; Wyser Capital; Tenity</t>
        </is>
      </c>
      <c r="N1113" t="inlineStr">
        <is>
          <t>entrackr | inc42 | et</t>
        </is>
      </c>
      <c r="O1113" s="20" t="n">
        <v>3</v>
      </c>
      <c r="P1113" s="21" t="n">
        <v>0</v>
      </c>
      <c r="Q1113" t="inlineStr"/>
      <c r="R1113" s="22" t="inlineStr">
        <is>
          <t>https://entrackr.com/snippets/pype-ai-raises-12-mn-in-pre-seed-round-led-by-kalaari-capital-10783582</t>
        </is>
      </c>
    </row>
    <row r="1114">
      <c r="A1114" t="inlineStr">
        <is>
          <t>R251118-yubigroup</t>
        </is>
      </c>
      <c r="B1114" t="inlineStr">
        <is>
          <t>Yubi</t>
        </is>
      </c>
      <c r="C1114" s="17" t="n">
        <v>45979</v>
      </c>
      <c r="D1114" s="18" t="n">
        <v>45962</v>
      </c>
      <c r="E1114" s="19" t="n">
        <v>46.409</v>
      </c>
      <c r="F1114" s="19" t="n">
        <v>411</v>
      </c>
      <c r="G1114" t="inlineStr">
        <is>
          <t>Rs 411 crore</t>
        </is>
      </c>
      <c r="H1114" t="inlineStr">
        <is>
          <t>Undisclosed</t>
        </is>
      </c>
      <c r="I1114" t="inlineStr">
        <is>
          <t>Undisclosed</t>
        </is>
      </c>
      <c r="J1114" t="inlineStr">
        <is>
          <t>Fintech</t>
        </is>
      </c>
      <c r="K1114" t="inlineStr">
        <is>
          <t>Chennai</t>
        </is>
      </c>
      <c r="L1114" t="inlineStr"/>
      <c r="M1114" t="inlineStr">
        <is>
          <t>EvolutionX Debt Capital; Gaurav Kumar</t>
        </is>
      </c>
      <c r="N1114" t="inlineStr">
        <is>
          <t>entrackr | inc42 | et | vccircle</t>
        </is>
      </c>
      <c r="O1114" s="20" t="n">
        <v>4</v>
      </c>
      <c r="P1114" s="21" t="n">
        <v>448</v>
      </c>
      <c r="Q1114" t="inlineStr">
        <is>
          <t>C04 C15</t>
        </is>
      </c>
      <c r="R1114" s="22" t="inlineStr">
        <is>
          <t>https://entrackr.com/news/yubi-group-raises-rs-411-cr-in-new-round-10784431</t>
        </is>
      </c>
    </row>
    <row r="1115">
      <c r="A1115" t="inlineStr">
        <is>
          <t>R251119-homerun</t>
        </is>
      </c>
      <c r="B1115" t="inlineStr">
        <is>
          <t>HomeRun</t>
        </is>
      </c>
      <c r="C1115" s="17" t="n">
        <v>45980</v>
      </c>
      <c r="D1115" s="18" t="n">
        <v>45962</v>
      </c>
      <c r="E1115" s="19" t="n">
        <v>1.017</v>
      </c>
      <c r="F1115" s="19" t="n">
        <v>9</v>
      </c>
      <c r="G1115" t="inlineStr">
        <is>
          <t>Rs 9 crore</t>
        </is>
      </c>
      <c r="H1115" t="inlineStr">
        <is>
          <t>Seed</t>
        </is>
      </c>
      <c r="I1115" t="inlineStr">
        <is>
          <t>Early</t>
        </is>
      </c>
      <c r="J1115" t="inlineStr">
        <is>
          <t>Real Estate Tech</t>
        </is>
      </c>
      <c r="K1115" t="inlineStr">
        <is>
          <t>Bengaluru</t>
        </is>
      </c>
      <c r="L1115" t="inlineStr">
        <is>
          <t>Titan Capital; Sparrow Capital; Anupam Mittal; Abhishek Goyal of Tracxn; Suraj Nalin; Raj Sheth; Gautam Shewakramanil</t>
        </is>
      </c>
      <c r="M1115" t="inlineStr">
        <is>
          <t>Titan Capital; Sparrow Capital; Anupam Mittal; Abhishek Goyal; Suraj Nalin; Raj Sheth; Gautam Shewakramani</t>
        </is>
      </c>
      <c r="N1115" t="inlineStr">
        <is>
          <t>entrackr | inc42</t>
        </is>
      </c>
      <c r="O1115" s="20" t="n">
        <v>2</v>
      </c>
      <c r="P1115" s="21" t="n">
        <v>1.7</v>
      </c>
      <c r="Q1115" t="inlineStr"/>
      <c r="R1115" s="22" t="inlineStr">
        <is>
          <t>https://entrackr.com/snippets/homerun-raises-rs-9-cr-in-seed-round-led-by-titan-and-sparrow-capital-10788591</t>
        </is>
      </c>
    </row>
    <row r="1116">
      <c r="A1116" t="inlineStr">
        <is>
          <t>R251119-pidge</t>
        </is>
      </c>
      <c r="B1116" t="inlineStr">
        <is>
          <t>Pidge</t>
        </is>
      </c>
      <c r="C1116" s="17" t="n">
        <v>45980</v>
      </c>
      <c r="D1116" s="18" t="n">
        <v>45962</v>
      </c>
      <c r="E1116" s="19" t="n">
        <v>13.559</v>
      </c>
      <c r="F1116" s="19" t="n">
        <v>120</v>
      </c>
      <c r="G1116" t="inlineStr">
        <is>
          <t>Rs 120 crore</t>
        </is>
      </c>
      <c r="H1116" t="inlineStr">
        <is>
          <t>Series A</t>
        </is>
      </c>
      <c r="I1116" t="inlineStr">
        <is>
          <t>Early</t>
        </is>
      </c>
      <c r="J1116" t="inlineStr">
        <is>
          <t>Logistics</t>
        </is>
      </c>
      <c r="K1116" t="inlineStr">
        <is>
          <t>Delhi NCR</t>
        </is>
      </c>
      <c r="L1116" t="inlineStr">
        <is>
          <t>La Vida es Chula</t>
        </is>
      </c>
      <c r="M1116" t="inlineStr">
        <is>
          <t>La Vida es Chula</t>
        </is>
      </c>
      <c r="N1116" t="inlineStr">
        <is>
          <t>entrackr | inc42</t>
        </is>
      </c>
      <c r="O1116" s="20" t="n">
        <v>2</v>
      </c>
      <c r="P1116" s="21" t="n">
        <v>0.3</v>
      </c>
      <c r="Q1116" t="inlineStr"/>
      <c r="R1116" s="22" t="inlineStr">
        <is>
          <t>https://entrackr.com/snippets/pidge-raises-rs-120-cr-in-growth-capital-led-by-lvec-10788193</t>
        </is>
      </c>
    </row>
    <row r="1117">
      <c r="A1117" t="inlineStr">
        <is>
          <t>R251119-stan</t>
        </is>
      </c>
      <c r="B1117" t="inlineStr">
        <is>
          <t>STAN</t>
        </is>
      </c>
      <c r="C1117" s="17" t="n">
        <v>45980</v>
      </c>
      <c r="D1117" s="18" t="n">
        <v>45962</v>
      </c>
      <c r="E1117" s="19" t="n">
        <v>2</v>
      </c>
      <c r="F1117" s="19" t="n">
        <v>17.7</v>
      </c>
      <c r="G1117" t="inlineStr">
        <is>
          <t>$2 Mn</t>
        </is>
      </c>
      <c r="H1117" t="inlineStr">
        <is>
          <t>Series A</t>
        </is>
      </c>
      <c r="I1117" t="inlineStr">
        <is>
          <t>Early</t>
        </is>
      </c>
      <c r="J1117" t="inlineStr">
        <is>
          <t>Media &amp; Entertainment</t>
        </is>
      </c>
      <c r="K1117" t="inlineStr">
        <is>
          <t>Unknown</t>
        </is>
      </c>
      <c r="L1117" t="inlineStr"/>
      <c r="M1117" t="inlineStr">
        <is>
          <t>Sony Innovation Fund; Hyderabad Angels Fund</t>
        </is>
      </c>
      <c r="N1117" t="inlineStr">
        <is>
          <t>inc42</t>
        </is>
      </c>
      <c r="O1117" s="20" t="n">
        <v>1</v>
      </c>
      <c r="P1117" s="21" t="n">
        <v>0</v>
      </c>
      <c r="Q1117" t="inlineStr">
        <is>
          <t>C07</t>
        </is>
      </c>
      <c r="R1117" s="22" t="inlineStr">
        <is>
          <t>https://inc42.com/buzz/from-yubi-to-agrostar-indian-startups-raised-171-mn-funding-this-week/</t>
        </is>
      </c>
    </row>
    <row r="1118">
      <c r="A1118" t="inlineStr">
        <is>
          <t>R251119-stylework</t>
        </is>
      </c>
      <c r="B1118" t="inlineStr">
        <is>
          <t>Stylework</t>
        </is>
      </c>
      <c r="C1118" s="17" t="n">
        <v>45980</v>
      </c>
      <c r="D1118" s="18" t="n">
        <v>45962</v>
      </c>
      <c r="E1118" s="19" t="n">
        <v>3.39</v>
      </c>
      <c r="F1118" s="19" t="n">
        <v>30</v>
      </c>
      <c r="G1118" t="inlineStr">
        <is>
          <t>Rs 30 crore</t>
        </is>
      </c>
      <c r="H1118" t="inlineStr">
        <is>
          <t>Pre-Series B</t>
        </is>
      </c>
      <c r="I1118" t="inlineStr">
        <is>
          <t>Growth</t>
        </is>
      </c>
      <c r="J1118" t="inlineStr">
        <is>
          <t>Real Estate Tech</t>
        </is>
      </c>
      <c r="K1118" t="inlineStr">
        <is>
          <t>Unknown</t>
        </is>
      </c>
      <c r="L1118" t="inlineStr">
        <is>
          <t>Equentis Angel Fund</t>
        </is>
      </c>
      <c r="M1118" t="inlineStr">
        <is>
          <t>Equentis Angel Fund; Karekeba Ventures; Cogniphy AIF Fund; LetsVenture Fund; MoneyVyapaar</t>
        </is>
      </c>
      <c r="N1118" t="inlineStr">
        <is>
          <t>entrackr | inc42</t>
        </is>
      </c>
      <c r="O1118" s="20" t="n">
        <v>2</v>
      </c>
      <c r="P1118" s="21" t="n">
        <v>0.3</v>
      </c>
      <c r="Q1118" t="inlineStr">
        <is>
          <t>C07</t>
        </is>
      </c>
      <c r="R1118" s="22" t="inlineStr">
        <is>
          <t>https://entrackr.com/snippets/stylework-raises-rs-30-cr-in-pre-series-b-led-by-equentis-10790194</t>
        </is>
      </c>
    </row>
    <row r="1119">
      <c r="A1119" t="inlineStr">
        <is>
          <t>R251119-synthiolabs</t>
        </is>
      </c>
      <c r="B1119" t="inlineStr">
        <is>
          <t>Synthio Labs</t>
        </is>
      </c>
      <c r="C1119" s="17" t="n">
        <v>45980</v>
      </c>
      <c r="D1119" s="18" t="n">
        <v>45962</v>
      </c>
      <c r="E1119" s="19" t="n">
        <v>5</v>
      </c>
      <c r="F1119" s="19" t="n">
        <v>44.25</v>
      </c>
      <c r="G1119" t="inlineStr">
        <is>
          <t>$5 million</t>
        </is>
      </c>
      <c r="H1119" t="inlineStr">
        <is>
          <t>Seed</t>
        </is>
      </c>
      <c r="I1119" t="inlineStr">
        <is>
          <t>Early</t>
        </is>
      </c>
      <c r="J1119" t="inlineStr">
        <is>
          <t>Artificial Intelligence</t>
        </is>
      </c>
      <c r="K1119" t="inlineStr">
        <is>
          <t>Unknown</t>
        </is>
      </c>
      <c r="L1119" t="inlineStr">
        <is>
          <t>Elevation Capital</t>
        </is>
      </c>
      <c r="M1119" t="inlineStr">
        <is>
          <t>Elevation Capital; Peak XV Partners; Y Combinator; 1984 Ventures</t>
        </is>
      </c>
      <c r="N1119" t="inlineStr">
        <is>
          <t>entrackr | inc42 | et</t>
        </is>
      </c>
      <c r="O1119" s="20" t="n">
        <v>3</v>
      </c>
      <c r="P1119" s="21" t="n">
        <v>0</v>
      </c>
      <c r="Q1119" t="inlineStr">
        <is>
          <t>C07</t>
        </is>
      </c>
      <c r="R1119" s="22" t="inlineStr">
        <is>
          <t>https://entrackr.com/snippets/synthio-labs-raises-5-mn-in-seed-round-led-by-elevation-capital-10787826</t>
        </is>
      </c>
    </row>
    <row r="1120">
      <c r="A1120" t="inlineStr">
        <is>
          <t>R251119-tractorjunctio</t>
        </is>
      </c>
      <c r="B1120" t="inlineStr">
        <is>
          <t>Tractor Junction</t>
        </is>
      </c>
      <c r="C1120" s="17" t="n">
        <v>45980</v>
      </c>
      <c r="D1120" s="18" t="n">
        <v>45962</v>
      </c>
      <c r="E1120" s="19" t="n">
        <v>22</v>
      </c>
      <c r="F1120" s="19" t="n">
        <v>194.7</v>
      </c>
      <c r="G1120" t="inlineStr">
        <is>
          <t>$22 million</t>
        </is>
      </c>
      <c r="H1120" t="inlineStr">
        <is>
          <t>Series A</t>
        </is>
      </c>
      <c r="I1120" t="inlineStr">
        <is>
          <t>Early</t>
        </is>
      </c>
      <c r="J1120" t="inlineStr">
        <is>
          <t>Ecommerce</t>
        </is>
      </c>
      <c r="K1120" t="inlineStr">
        <is>
          <t>Unknown</t>
        </is>
      </c>
      <c r="L1120" t="inlineStr">
        <is>
          <t>Astanor</t>
        </is>
      </c>
      <c r="M1120" t="inlineStr">
        <is>
          <t>Astanor; Info Edge Ventures; Omnivore</t>
        </is>
      </c>
      <c r="N1120" t="inlineStr">
        <is>
          <t>entrackr | inc42 | et</t>
        </is>
      </c>
      <c r="O1120" s="20" t="n">
        <v>3</v>
      </c>
      <c r="P1120" s="21" t="n">
        <v>2.3</v>
      </c>
      <c r="Q1120" t="inlineStr">
        <is>
          <t>C07</t>
        </is>
      </c>
      <c r="R1120" s="22" t="inlineStr">
        <is>
          <t>https://entrackr.com/news/tractor-junction-raises-22-mn-led-by-astanor-10787648</t>
        </is>
      </c>
    </row>
    <row r="1121">
      <c r="A1121" t="inlineStr">
        <is>
          <t>R251120-agraga</t>
        </is>
      </c>
      <c r="B1121" t="inlineStr">
        <is>
          <t>Agraga</t>
        </is>
      </c>
      <c r="C1121" s="17" t="n">
        <v>45981</v>
      </c>
      <c r="D1121" s="18" t="n">
        <v>45962</v>
      </c>
      <c r="E1121" s="19" t="n">
        <v>11.273</v>
      </c>
      <c r="F1121" s="19" t="n">
        <v>100</v>
      </c>
      <c r="G1121" t="inlineStr">
        <is>
          <t>Rs 100 crore</t>
        </is>
      </c>
      <c r="H1121" t="inlineStr">
        <is>
          <t>Pre-Series B</t>
        </is>
      </c>
      <c r="I1121" t="inlineStr">
        <is>
          <t>Growth</t>
        </is>
      </c>
      <c r="J1121" t="inlineStr">
        <is>
          <t>Logistics</t>
        </is>
      </c>
      <c r="K1121" t="inlineStr">
        <is>
          <t>Unknown</t>
        </is>
      </c>
      <c r="L1121" t="inlineStr">
        <is>
          <t>Bajaj Finserv Group</t>
        </is>
      </c>
      <c r="M1121" t="inlineStr">
        <is>
          <t>Bajaj Finserv Group; IvyCap Ventures; Alteria</t>
        </is>
      </c>
      <c r="N1121" t="inlineStr">
        <is>
          <t>entrackr | inc42</t>
        </is>
      </c>
      <c r="O1121" s="20" t="n">
        <v>2</v>
      </c>
      <c r="P1121" s="21" t="n">
        <v>0.2</v>
      </c>
      <c r="Q1121" t="inlineStr">
        <is>
          <t>C07</t>
        </is>
      </c>
      <c r="R1121" s="22" t="inlineStr">
        <is>
          <t>https://entrackr.com/news/agraga-raises-rs-100-cr-in-pre-series-b-led-by-bajaj-finserv-group-10791728</t>
        </is>
      </c>
    </row>
    <row r="1122">
      <c r="A1122" t="inlineStr">
        <is>
          <t>R251120-agrostar</t>
        </is>
      </c>
      <c r="B1122" t="inlineStr">
        <is>
          <t>AgroStar</t>
        </is>
      </c>
      <c r="C1122" s="17" t="n">
        <v>45981</v>
      </c>
      <c r="D1122" s="18" t="n">
        <v>45962</v>
      </c>
      <c r="E1122" s="19" t="n">
        <v>30</v>
      </c>
      <c r="F1122" s="19" t="n">
        <v>266.13</v>
      </c>
      <c r="G1122" t="inlineStr">
        <is>
          <t>$30 million</t>
        </is>
      </c>
      <c r="H1122" t="inlineStr">
        <is>
          <t>Undisclosed</t>
        </is>
      </c>
      <c r="I1122" t="inlineStr">
        <is>
          <t>Undisclosed</t>
        </is>
      </c>
      <c r="J1122" t="inlineStr">
        <is>
          <t>Agritech</t>
        </is>
      </c>
      <c r="K1122" t="inlineStr">
        <is>
          <t>Pune</t>
        </is>
      </c>
      <c r="L1122" t="inlineStr">
        <is>
          <t>Just Climate</t>
        </is>
      </c>
      <c r="M1122" t="inlineStr">
        <is>
          <t>Just Climate; Bertelsmann; Evolvence India; Chiratae Ventures; Hero Enterprises</t>
        </is>
      </c>
      <c r="N1122" t="inlineStr">
        <is>
          <t>entrackr | inc42 | et</t>
        </is>
      </c>
      <c r="O1122" s="20" t="n">
        <v>3</v>
      </c>
      <c r="P1122" s="21" t="n">
        <v>0</v>
      </c>
      <c r="Q1122" t="inlineStr">
        <is>
          <t>C04</t>
        </is>
      </c>
      <c r="R1122" s="22" t="inlineStr">
        <is>
          <t>https://entrackr.com/news/agrostar-raises-30-mn-led-by-just-climate-10791229</t>
        </is>
      </c>
    </row>
    <row r="1123">
      <c r="A1123" t="inlineStr">
        <is>
          <t>R251120-bigbasket</t>
        </is>
      </c>
      <c r="B1123" t="inlineStr">
        <is>
          <t>BigBasket</t>
        </is>
      </c>
      <c r="C1123" s="17" t="n">
        <v>45981</v>
      </c>
      <c r="D1123" s="18" t="n">
        <v>45962</v>
      </c>
      <c r="E1123" s="19" t="n">
        <v>22.545</v>
      </c>
      <c r="F1123" s="19" t="n">
        <v>200</v>
      </c>
      <c r="G1123" t="inlineStr">
        <is>
          <t>Rs 200 crore</t>
        </is>
      </c>
      <c r="H1123" t="inlineStr">
        <is>
          <t>Debt</t>
        </is>
      </c>
      <c r="I1123" t="inlineStr">
        <is>
          <t>Debt</t>
        </is>
      </c>
      <c r="J1123" t="inlineStr">
        <is>
          <t>Ecommerce</t>
        </is>
      </c>
      <c r="K1123" t="inlineStr">
        <is>
          <t>Unknown</t>
        </is>
      </c>
      <c r="L1123" t="inlineStr">
        <is>
          <t>Tata Digital in December 2022</t>
        </is>
      </c>
      <c r="M1123" t="inlineStr">
        <is>
          <t>Tata Digital in December 2022; DBS Bank Ltd</t>
        </is>
      </c>
      <c r="N1123" t="inlineStr">
        <is>
          <t>entrackr | et</t>
        </is>
      </c>
      <c r="O1123" s="20" t="n">
        <v>2</v>
      </c>
      <c r="P1123" s="21" t="n">
        <v>0</v>
      </c>
      <c r="Q1123" t="inlineStr">
        <is>
          <t>C07</t>
        </is>
      </c>
      <c r="R1123" s="22" t="inlineStr">
        <is>
          <t>https://entrackr.com/exclusive/exclusive-bigbasket-secures-rs-200-cr-debt-10791340</t>
        </is>
      </c>
    </row>
    <row r="1124">
      <c r="A1124" t="inlineStr">
        <is>
          <t>R251120-ctrlb</t>
        </is>
      </c>
      <c r="B1124" t="inlineStr">
        <is>
          <t>CtrlB</t>
        </is>
      </c>
      <c r="C1124" s="17" t="n">
        <v>45981</v>
      </c>
      <c r="D1124" s="18" t="n">
        <v>45962</v>
      </c>
      <c r="E1124" s="19" t="n">
        <v>2.5</v>
      </c>
      <c r="F1124" s="19" t="n">
        <v>22.18</v>
      </c>
      <c r="G1124" t="inlineStr">
        <is>
          <t>$2.5 million</t>
        </is>
      </c>
      <c r="H1124" t="inlineStr">
        <is>
          <t>Seed</t>
        </is>
      </c>
      <c r="I1124" t="inlineStr">
        <is>
          <t>Early</t>
        </is>
      </c>
      <c r="J1124" t="inlineStr">
        <is>
          <t>Enterprise Tech</t>
        </is>
      </c>
      <c r="K1124" t="inlineStr">
        <is>
          <t>Unknown</t>
        </is>
      </c>
      <c r="L1124" t="inlineStr">
        <is>
          <t>Chiratae Ventures</t>
        </is>
      </c>
      <c r="M1124" t="inlineStr">
        <is>
          <t>Chiratae Ventures; Equirus; InnovateX Fund; Campus Fund; Point One Capital</t>
        </is>
      </c>
      <c r="N1124" t="inlineStr">
        <is>
          <t>entrackr | inc42 | et</t>
        </is>
      </c>
      <c r="O1124" s="20" t="n">
        <v>3</v>
      </c>
      <c r="P1124" s="21" t="n">
        <v>0</v>
      </c>
      <c r="Q1124" t="inlineStr">
        <is>
          <t>C07</t>
        </is>
      </c>
      <c r="R1124" s="22" t="inlineStr">
        <is>
          <t>https://entrackr.com/snippets/ctrlb-raises-25-mn-in-seed-round-led-by-chiratae-ventures-10791356</t>
        </is>
      </c>
    </row>
    <row r="1125">
      <c r="A1125" t="inlineStr">
        <is>
          <t>R251120-kaaj</t>
        </is>
      </c>
      <c r="B1125" t="inlineStr">
        <is>
          <t>Kaaj</t>
        </is>
      </c>
      <c r="C1125" s="17" t="n">
        <v>45981</v>
      </c>
      <c r="D1125" s="18" t="n">
        <v>45962</v>
      </c>
      <c r="E1125" s="19" t="n">
        <v>3.8</v>
      </c>
      <c r="F1125" s="19" t="n">
        <v>33.71</v>
      </c>
      <c r="G1125" t="inlineStr">
        <is>
          <t>$3.8 million</t>
        </is>
      </c>
      <c r="H1125" t="inlineStr">
        <is>
          <t>Seed</t>
        </is>
      </c>
      <c r="I1125" t="inlineStr">
        <is>
          <t>Early</t>
        </is>
      </c>
      <c r="J1125" t="inlineStr">
        <is>
          <t>Artificial Intelligence</t>
        </is>
      </c>
      <c r="K1125" t="inlineStr">
        <is>
          <t>Unknown</t>
        </is>
      </c>
      <c r="L1125" t="inlineStr">
        <is>
          <t>Kindred Ventures</t>
        </is>
      </c>
      <c r="M1125" t="inlineStr">
        <is>
          <t>Kindred Ventures; Better Tomorrow Ventures; Karman Ventures; Pythia Ventures; Coughdrop Capital</t>
        </is>
      </c>
      <c r="N1125" t="inlineStr">
        <is>
          <t>entrackr | inc42 | et</t>
        </is>
      </c>
      <c r="O1125" s="20" t="n">
        <v>3</v>
      </c>
      <c r="P1125" s="21" t="n">
        <v>0</v>
      </c>
      <c r="Q1125" t="inlineStr">
        <is>
          <t>C07</t>
        </is>
      </c>
      <c r="R1125" s="22" t="inlineStr">
        <is>
          <t>https://entrackr.com/snippets/fintech-startup-kaaj-raises-38-mn-led-by-kindred-ventures-10791234</t>
        </is>
      </c>
    </row>
    <row r="1126">
      <c r="A1126" t="inlineStr">
        <is>
          <t>R251120-pibitai</t>
        </is>
      </c>
      <c r="B1126" t="inlineStr">
        <is>
          <t>Pibit.AI</t>
        </is>
      </c>
      <c r="C1126" s="17" t="n">
        <v>45981</v>
      </c>
      <c r="D1126" s="18" t="n">
        <v>45962</v>
      </c>
      <c r="E1126" s="19" t="n">
        <v>7</v>
      </c>
      <c r="F1126" s="19" t="n">
        <v>62.1</v>
      </c>
      <c r="G1126" t="inlineStr">
        <is>
          <t>$7 million</t>
        </is>
      </c>
      <c r="H1126" t="inlineStr">
        <is>
          <t>Series A</t>
        </is>
      </c>
      <c r="I1126" t="inlineStr">
        <is>
          <t>Early</t>
        </is>
      </c>
      <c r="J1126" t="inlineStr">
        <is>
          <t>Fintech</t>
        </is>
      </c>
      <c r="K1126" t="inlineStr">
        <is>
          <t>Outside India</t>
        </is>
      </c>
      <c r="L1126" t="inlineStr">
        <is>
          <t>Stellaris Venture Partners</t>
        </is>
      </c>
      <c r="M1126" t="inlineStr">
        <is>
          <t>Stellaris Venture Partners; Y Combinator; Arali Ventures</t>
        </is>
      </c>
      <c r="N1126" t="inlineStr">
        <is>
          <t>entrackr | inc42 | et</t>
        </is>
      </c>
      <c r="O1126" s="20" t="n">
        <v>3</v>
      </c>
      <c r="P1126" s="21" t="n">
        <v>0</v>
      </c>
      <c r="Q1126" t="inlineStr"/>
      <c r="R1126" s="22" t="inlineStr">
        <is>
          <t>https://economictimes.indiatimes.com/tech/funding/insurtech-startup-pibit-ai-raises-7-million-from-stellaris-others/articleshow/125465379.cms</t>
        </is>
      </c>
    </row>
    <row r="1127">
      <c r="A1127" t="inlineStr">
        <is>
          <t>R251120-sophrosynetech</t>
        </is>
      </c>
      <c r="B1127" t="inlineStr">
        <is>
          <t>Sophrosyne Technologies</t>
        </is>
      </c>
      <c r="C1127" s="17" t="n">
        <v>45981</v>
      </c>
      <c r="D1127" s="18" t="n">
        <v>45962</v>
      </c>
      <c r="E1127" s="19" t="n">
        <v>2</v>
      </c>
      <c r="F1127" s="19" t="n">
        <v>17.74</v>
      </c>
      <c r="G1127" t="inlineStr">
        <is>
          <t>$2 million</t>
        </is>
      </c>
      <c r="H1127" t="inlineStr">
        <is>
          <t>Seed</t>
        </is>
      </c>
      <c r="I1127" t="inlineStr">
        <is>
          <t>Early</t>
        </is>
      </c>
      <c r="J1127" t="inlineStr">
        <is>
          <t>Advanced Hardware &amp; Technology</t>
        </is>
      </c>
      <c r="K1127" t="inlineStr">
        <is>
          <t>Bengaluru</t>
        </is>
      </c>
      <c r="L1127" t="inlineStr">
        <is>
          <t>Bluehill Capital</t>
        </is>
      </c>
      <c r="M1127" t="inlineStr">
        <is>
          <t>Bluehill Capital</t>
        </is>
      </c>
      <c r="N1127" t="inlineStr">
        <is>
          <t>entrackr | inc42 | et</t>
        </is>
      </c>
      <c r="O1127" s="20" t="n">
        <v>3</v>
      </c>
      <c r="P1127" s="21" t="n">
        <v>0</v>
      </c>
      <c r="Q1127" t="inlineStr"/>
      <c r="R1127" s="22" t="inlineStr">
        <is>
          <t>https://economictimes.indiatimes.com/tech/funding/semiconductor-startup-sophrosyne-technologies-raises-2-million-from-bluehill-vc/articleshow/125466494.cms</t>
        </is>
      </c>
    </row>
    <row r="1128">
      <c r="A1128" t="inlineStr">
        <is>
          <t>R251120-thimblerr</t>
        </is>
      </c>
      <c r="B1128" t="inlineStr">
        <is>
          <t>Thimblerr</t>
        </is>
      </c>
      <c r="C1128" s="17" t="n">
        <v>45981</v>
      </c>
      <c r="D1128" s="18" t="n">
        <v>45962</v>
      </c>
      <c r="E1128" s="19" t="n">
        <v>1.4</v>
      </c>
      <c r="F1128" s="19" t="n">
        <v>12.42</v>
      </c>
      <c r="G1128" t="inlineStr">
        <is>
          <t>$1.4 million</t>
        </is>
      </c>
      <c r="H1128" t="inlineStr">
        <is>
          <t>Bridge</t>
        </is>
      </c>
      <c r="I1128" t="inlineStr">
        <is>
          <t>Other</t>
        </is>
      </c>
      <c r="J1128" t="inlineStr">
        <is>
          <t>Enterprise Tech</t>
        </is>
      </c>
      <c r="K1128" t="inlineStr">
        <is>
          <t>Bengaluru</t>
        </is>
      </c>
      <c r="L1128" t="inlineStr">
        <is>
          <t>Inflection Point Ventures</t>
        </is>
      </c>
      <c r="M1128" t="inlineStr">
        <is>
          <t>Inflection Point Ventures; 3one4 Capital; Mount Judi Ventures; Venture Catalysts; Circle</t>
        </is>
      </c>
      <c r="N1128" t="inlineStr">
        <is>
          <t>entrackr | inc42</t>
        </is>
      </c>
      <c r="O1128" s="20" t="n">
        <v>2</v>
      </c>
      <c r="P1128" s="21" t="n">
        <v>0</v>
      </c>
      <c r="Q1128" t="inlineStr"/>
      <c r="R1128" s="22" t="inlineStr">
        <is>
          <t>https://entrackr.com/snippets/thimblerr-raises-14-mn-led-by-inflection-point-ventures-10791498</t>
        </is>
      </c>
    </row>
    <row r="1129">
      <c r="A1129" t="inlineStr">
        <is>
          <t>R251120-ultrahuman</t>
        </is>
      </c>
      <c r="B1129" t="inlineStr">
        <is>
          <t>Ultrahuman</t>
        </is>
      </c>
      <c r="C1129" s="17" t="n">
        <v>45981</v>
      </c>
      <c r="D1129" s="18" t="n">
        <v>45962</v>
      </c>
      <c r="E1129" s="19" t="n">
        <v>11.273</v>
      </c>
      <c r="F1129" s="19" t="n">
        <v>100</v>
      </c>
      <c r="G1129" t="inlineStr">
        <is>
          <t>Rs 100 crore</t>
        </is>
      </c>
      <c r="H1129" t="inlineStr">
        <is>
          <t>Debt</t>
        </is>
      </c>
      <c r="I1129" t="inlineStr">
        <is>
          <t>Debt</t>
        </is>
      </c>
      <c r="J1129" t="inlineStr">
        <is>
          <t>Ecommerce</t>
        </is>
      </c>
      <c r="K1129" t="inlineStr">
        <is>
          <t>Bengaluru</t>
        </is>
      </c>
      <c r="L1129" t="inlineStr">
        <is>
          <t>Alteria Capital</t>
        </is>
      </c>
      <c r="M1129" t="inlineStr">
        <is>
          <t>Alteria Capital</t>
        </is>
      </c>
      <c r="N1129" t="inlineStr">
        <is>
          <t>entrackr | inc42 | vccircle</t>
        </is>
      </c>
      <c r="O1129" s="20" t="n">
        <v>3</v>
      </c>
      <c r="P1129" s="21" t="n">
        <v>0.6</v>
      </c>
      <c r="Q1129" t="inlineStr"/>
      <c r="R1129" s="22" t="inlineStr">
        <is>
          <t>https://inc42.com/buzz/from-yubi-to-agrostar-indian-startups-raised-171-mn-funding-this-week/</t>
        </is>
      </c>
    </row>
    <row r="1130">
      <c r="A1130" t="inlineStr">
        <is>
          <t>R251121-redrob</t>
        </is>
      </c>
      <c r="B1130" t="inlineStr">
        <is>
          <t>Redrob</t>
        </is>
      </c>
      <c r="C1130" s="17" t="n">
        <v>45982</v>
      </c>
      <c r="D1130" s="18" t="n">
        <v>45962</v>
      </c>
      <c r="E1130" s="19" t="n">
        <v>10</v>
      </c>
      <c r="F1130" s="19" t="n">
        <v>89.64</v>
      </c>
      <c r="G1130" t="inlineStr">
        <is>
          <t>$10 million</t>
        </is>
      </c>
      <c r="H1130" t="inlineStr">
        <is>
          <t>Series A</t>
        </is>
      </c>
      <c r="I1130" t="inlineStr">
        <is>
          <t>Early</t>
        </is>
      </c>
      <c r="J1130" t="inlineStr">
        <is>
          <t>Artificial Intelligence</t>
        </is>
      </c>
      <c r="K1130" t="inlineStr">
        <is>
          <t>Unknown</t>
        </is>
      </c>
      <c r="L1130" t="inlineStr">
        <is>
          <t>Korea Investment Partners</t>
        </is>
      </c>
      <c r="M1130" t="inlineStr">
        <is>
          <t>Korea Investment Partners; KB Investment; Kiwoom Investment; Daekyo Investment; DS &amp; Partners</t>
        </is>
      </c>
      <c r="N1130" t="inlineStr">
        <is>
          <t>entrackr</t>
        </is>
      </c>
      <c r="O1130" s="20" t="n">
        <v>1</v>
      </c>
      <c r="P1130" s="21" t="n">
        <v>0</v>
      </c>
      <c r="Q1130" t="inlineStr">
        <is>
          <t>C07</t>
        </is>
      </c>
      <c r="R1130" s="22" t="inlineStr">
        <is>
          <t>https://entrackr.com/snippets/ai-research-startup-redrob-secures-10-mn-in-series-a-round-10799367</t>
        </is>
      </c>
    </row>
    <row r="1131">
      <c r="A1131" t="inlineStr">
        <is>
          <t>R251122-agnikul</t>
        </is>
      </c>
      <c r="B1131" t="inlineStr">
        <is>
          <t>Agnikul</t>
        </is>
      </c>
      <c r="C1131" s="17" t="n">
        <v>45983</v>
      </c>
      <c r="D1131" s="18" t="n">
        <v>45962</v>
      </c>
      <c r="E1131" s="19" t="n">
        <v>16.734</v>
      </c>
      <c r="F1131" s="19" t="n">
        <v>150</v>
      </c>
      <c r="G1131" t="inlineStr">
        <is>
          <t>Rs 150 crore</t>
        </is>
      </c>
      <c r="H1131" t="inlineStr">
        <is>
          <t>Undisclosed</t>
        </is>
      </c>
      <c r="I1131" t="inlineStr">
        <is>
          <t>Undisclosed</t>
        </is>
      </c>
      <c r="J1131" t="inlineStr">
        <is>
          <t>Advanced Hardware &amp; Technology</t>
        </is>
      </c>
      <c r="K1131" t="inlineStr">
        <is>
          <t>Chennai</t>
        </is>
      </c>
      <c r="L1131" t="inlineStr"/>
      <c r="M1131" t="inlineStr">
        <is>
          <t>Advenza Global; Artha Select Fund; Atharva Green Ecotech; HDFC Bank; Prathithi Ventures; 100X.VC</t>
        </is>
      </c>
      <c r="N1131" t="inlineStr">
        <is>
          <t>entrackr | inc42 | et | vccircle</t>
        </is>
      </c>
      <c r="O1131" s="20" t="n">
        <v>4</v>
      </c>
      <c r="P1131" s="21" t="n">
        <v>1.6</v>
      </c>
      <c r="Q1131" t="inlineStr">
        <is>
          <t>C04</t>
        </is>
      </c>
      <c r="R1131" s="22" t="inlineStr">
        <is>
          <t>https://entrackr.com/news/agnikul-raises-17-mn-at-500-mn-valuation-to-scale-launches-and-infra-10801995</t>
        </is>
      </c>
    </row>
    <row r="1132">
      <c r="A1132" t="inlineStr">
        <is>
          <t>R251124-dweepiandedgeh</t>
        </is>
      </c>
      <c r="B1132" t="inlineStr">
        <is>
          <t>Dweepi and Edgehax</t>
        </is>
      </c>
      <c r="C1132" s="17" t="n">
        <v>45985</v>
      </c>
      <c r="D1132" s="18" t="n">
        <v>45962</v>
      </c>
      <c r="E1132" s="19" t="n">
        <v>0.617</v>
      </c>
      <c r="F1132" s="19" t="n">
        <v>5.5</v>
      </c>
      <c r="G1132" t="inlineStr">
        <is>
          <t>Rs 5.5 crore</t>
        </is>
      </c>
      <c r="H1132" t="inlineStr">
        <is>
          <t>Undisclosed</t>
        </is>
      </c>
      <c r="I1132" t="inlineStr">
        <is>
          <t>Undisclosed</t>
        </is>
      </c>
      <c r="J1132" t="inlineStr">
        <is>
          <t>Deeptech</t>
        </is>
      </c>
      <c r="K1132" t="inlineStr">
        <is>
          <t>Unknown</t>
        </is>
      </c>
      <c r="L1132" t="inlineStr"/>
      <c r="M1132" t="inlineStr"/>
      <c r="N1132" t="inlineStr">
        <is>
          <t>entrackr</t>
        </is>
      </c>
      <c r="O1132" s="20" t="n">
        <v>1</v>
      </c>
      <c r="P1132" s="21" t="n">
        <v>0</v>
      </c>
      <c r="Q1132" t="inlineStr">
        <is>
          <t>C04 C05 C07</t>
        </is>
      </c>
      <c r="R1132" s="22" t="inlineStr">
        <is>
          <t>https://entrackr.com/snippets/pontaq-invests-rs-55-cr-in-dweepi-and-edgehax-10807007</t>
        </is>
      </c>
    </row>
    <row r="1133">
      <c r="A1133" t="inlineStr">
        <is>
          <t>R251124-faebeauty</t>
        </is>
      </c>
      <c r="B1133" t="inlineStr">
        <is>
          <t>FAE Beauty</t>
        </is>
      </c>
      <c r="C1133" s="17" t="n">
        <v>45985</v>
      </c>
      <c r="D1133" s="18" t="n">
        <v>45962</v>
      </c>
      <c r="E1133" s="19" t="n">
        <v>1.907</v>
      </c>
      <c r="F1133" s="19" t="n">
        <v>17</v>
      </c>
      <c r="G1133" t="inlineStr">
        <is>
          <t>Rs 17 crore</t>
        </is>
      </c>
      <c r="H1133" t="inlineStr">
        <is>
          <t>Undisclosed</t>
        </is>
      </c>
      <c r="I1133" t="inlineStr">
        <is>
          <t>Undisclosed</t>
        </is>
      </c>
      <c r="J1133" t="inlineStr">
        <is>
          <t>Ecommerce</t>
        </is>
      </c>
      <c r="K1133" t="inlineStr">
        <is>
          <t>Unknown</t>
        </is>
      </c>
      <c r="L1133" t="inlineStr">
        <is>
          <t>Spring Marketing Capital</t>
        </is>
      </c>
      <c r="M1133" t="inlineStr">
        <is>
          <t>Spring Marketing Capital; Titan Capital; Winners Fund; Arihant Patni</t>
        </is>
      </c>
      <c r="N1133" t="inlineStr">
        <is>
          <t>entrackr | inc42</t>
        </is>
      </c>
      <c r="O1133" s="20" t="n">
        <v>2</v>
      </c>
      <c r="P1133" s="21" t="n">
        <v>4.9</v>
      </c>
      <c r="Q1133" t="inlineStr">
        <is>
          <t>C04 C07</t>
        </is>
      </c>
      <c r="R1133" s="22" t="inlineStr">
        <is>
          <t>https://entrackr.com/snippets/fae-beauty-raises-2-mn-led-by-spring-marketing-capital-10806635</t>
        </is>
      </c>
    </row>
    <row r="1134">
      <c r="A1134" t="inlineStr">
        <is>
          <t>R251124-finreach</t>
        </is>
      </c>
      <c r="B1134" t="inlineStr">
        <is>
          <t>FinReach</t>
        </is>
      </c>
      <c r="C1134" s="17" t="n">
        <v>45985</v>
      </c>
      <c r="D1134" s="18" t="n">
        <v>45962</v>
      </c>
      <c r="E1134" s="19" t="n">
        <v>2.457</v>
      </c>
      <c r="F1134" s="19" t="n">
        <v>21.9</v>
      </c>
      <c r="G1134" t="inlineStr">
        <is>
          <t>Rs 21.9 crore</t>
        </is>
      </c>
      <c r="H1134" t="inlineStr">
        <is>
          <t>Undisclosed</t>
        </is>
      </c>
      <c r="I1134" t="inlineStr">
        <is>
          <t>Undisclosed</t>
        </is>
      </c>
      <c r="J1134" t="inlineStr">
        <is>
          <t>Fintech</t>
        </is>
      </c>
      <c r="K1134" t="inlineStr">
        <is>
          <t>Unknown</t>
        </is>
      </c>
      <c r="L1134" t="inlineStr">
        <is>
          <t>Colossa Ventures; Michael &amp; Susan Dell Foundation; Omidyar Network Fund Inc; Caspian SME Impact Fund IV</t>
        </is>
      </c>
      <c r="M1134" t="inlineStr">
        <is>
          <t>Colossa Ventures; Michael &amp; Susan Dell Foundation; Omidyar Network Fund Inc; Caspian SME Impact Fund IV; Michael &amp;amp</t>
        </is>
      </c>
      <c r="N1134" t="inlineStr">
        <is>
          <t>entrackr | et</t>
        </is>
      </c>
      <c r="O1134" s="20" t="n">
        <v>2</v>
      </c>
      <c r="P1134" s="21" t="n">
        <v>0</v>
      </c>
      <c r="Q1134" t="inlineStr">
        <is>
          <t>C04 C07</t>
        </is>
      </c>
      <c r="R1134" s="22" t="inlineStr">
        <is>
          <t>https://entrackr.com/snippets/finreach-raises-rs-219-cr-led-by-colossa-ventures-10806403</t>
        </is>
      </c>
    </row>
    <row r="1135">
      <c r="A1135" t="inlineStr">
        <is>
          <t>R251124-wealthy</t>
        </is>
      </c>
      <c r="B1135" t="inlineStr">
        <is>
          <t>Wealthy</t>
        </is>
      </c>
      <c r="C1135" s="17" t="n">
        <v>45985</v>
      </c>
      <c r="D1135" s="18" t="n">
        <v>45962</v>
      </c>
      <c r="E1135" s="19" t="n">
        <v>14.582</v>
      </c>
      <c r="F1135" s="19" t="n">
        <v>130</v>
      </c>
      <c r="G1135" t="inlineStr">
        <is>
          <t>Rs 130 crore</t>
        </is>
      </c>
      <c r="H1135" t="inlineStr">
        <is>
          <t>Series B</t>
        </is>
      </c>
      <c r="I1135" t="inlineStr">
        <is>
          <t>Growth</t>
        </is>
      </c>
      <c r="J1135" t="inlineStr">
        <is>
          <t>Fintech</t>
        </is>
      </c>
      <c r="K1135" t="inlineStr">
        <is>
          <t>Bengaluru</t>
        </is>
      </c>
      <c r="L1135" t="inlineStr">
        <is>
          <t>Bertelsmann India Investments</t>
        </is>
      </c>
      <c r="M1135" t="inlineStr">
        <is>
          <t>Bertelsmann India Investments; Hill; Alpha Wave Global</t>
        </is>
      </c>
      <c r="N1135" t="inlineStr">
        <is>
          <t>entrackr | inc42 | et | vccircle</t>
        </is>
      </c>
      <c r="O1135" s="20" t="n">
        <v>4</v>
      </c>
      <c r="P1135" s="21" t="n">
        <v>1.3</v>
      </c>
      <c r="Q1135" t="inlineStr"/>
      <c r="R1135" s="22" t="inlineStr">
        <is>
          <t>https://entrackr.com/news/wealthy-raises-rs-130-cr-led-by-bertelsmann-india-investments-10806350</t>
        </is>
      </c>
    </row>
    <row r="1136">
      <c r="A1136" t="inlineStr">
        <is>
          <t>R251125-blostem</t>
        </is>
      </c>
      <c r="B1136" t="inlineStr">
        <is>
          <t>Blostem</t>
        </is>
      </c>
      <c r="C1136" s="17" t="n">
        <v>45986</v>
      </c>
      <c r="D1136" s="18" t="n">
        <v>45962</v>
      </c>
      <c r="E1136" s="19" t="n"/>
      <c r="F1136" s="19" t="n"/>
      <c r="G1136" t="inlineStr"/>
      <c r="H1136" t="inlineStr">
        <is>
          <t>Pre-Series A</t>
        </is>
      </c>
      <c r="I1136" t="inlineStr">
        <is>
          <t>Early</t>
        </is>
      </c>
      <c r="J1136" t="inlineStr">
        <is>
          <t>Fintech</t>
        </is>
      </c>
      <c r="K1136" t="inlineStr">
        <is>
          <t>Delhi NCR</t>
        </is>
      </c>
      <c r="L1136" t="inlineStr"/>
      <c r="M1136" t="inlineStr"/>
      <c r="N1136" t="inlineStr">
        <is>
          <t>inc42</t>
        </is>
      </c>
      <c r="O1136" s="20" t="n">
        <v>1</v>
      </c>
      <c r="P1136" s="21" t="n"/>
      <c r="Q1136" t="inlineStr">
        <is>
          <t>C03 C05</t>
        </is>
      </c>
      <c r="R1136" s="22" t="inlineStr">
        <is>
          <t>https://inc42.com/buzz/from-ripplr-to-neo-indian-startups-raised-195-mn-this-week/</t>
        </is>
      </c>
    </row>
    <row r="1137">
      <c r="A1137" t="inlineStr">
        <is>
          <t>R251125-crisprbits</t>
        </is>
      </c>
      <c r="B1137" t="inlineStr">
        <is>
          <t>CrisprBits</t>
        </is>
      </c>
      <c r="C1137" s="17" t="n">
        <v>45986</v>
      </c>
      <c r="D1137" s="18" t="n">
        <v>45962</v>
      </c>
      <c r="E1137" s="19" t="n">
        <v>3</v>
      </c>
      <c r="F1137" s="19" t="n">
        <v>26.76</v>
      </c>
      <c r="G1137" t="inlineStr">
        <is>
          <t>$3 million</t>
        </is>
      </c>
      <c r="H1137" t="inlineStr">
        <is>
          <t>Pre-Series A</t>
        </is>
      </c>
      <c r="I1137" t="inlineStr">
        <is>
          <t>Early</t>
        </is>
      </c>
      <c r="J1137" t="inlineStr">
        <is>
          <t>Healthtech</t>
        </is>
      </c>
      <c r="K1137" t="inlineStr">
        <is>
          <t>Bengaluru</t>
        </is>
      </c>
      <c r="L1137" t="inlineStr">
        <is>
          <t>Spectrum Impact; Managing Director of Aarti Industries</t>
        </is>
      </c>
      <c r="M1137" t="inlineStr">
        <is>
          <t>Spectrum Impact; C-CAMP (Centre for Cellular; Molecular Platforms); Vijay Alreja Family Office; Sunil Arora; Rajeev Kohli; Bharat Jobanputra; Aditya Sarda; Managing Director of Aarti Industries</t>
        </is>
      </c>
      <c r="N1137" t="inlineStr">
        <is>
          <t>entrackr | inc42</t>
        </is>
      </c>
      <c r="O1137" s="20" t="n">
        <v>2</v>
      </c>
      <c r="P1137" s="21" t="n">
        <v>0</v>
      </c>
      <c r="Q1137" t="inlineStr"/>
      <c r="R1137" s="22" t="inlineStr">
        <is>
          <t>https://entrackr.com/snippets/crisprbits-raises-3-mn-led-by-spectrum-impact-10810189</t>
        </is>
      </c>
    </row>
    <row r="1138">
      <c r="A1138" t="inlineStr">
        <is>
          <t>R251125-immunitoai</t>
        </is>
      </c>
      <c r="B1138" t="inlineStr">
        <is>
          <t>immunitoAI</t>
        </is>
      </c>
      <c r="C1138" s="17" t="n">
        <v>45986</v>
      </c>
      <c r="D1138" s="18" t="n">
        <v>45962</v>
      </c>
      <c r="E1138" s="19" t="n">
        <v>6.1</v>
      </c>
      <c r="F1138" s="19" t="n">
        <v>54.41</v>
      </c>
      <c r="G1138" t="inlineStr">
        <is>
          <t>$6.1 Mn</t>
        </is>
      </c>
      <c r="H1138" t="inlineStr">
        <is>
          <t>Series A</t>
        </is>
      </c>
      <c r="I1138" t="inlineStr">
        <is>
          <t>Early</t>
        </is>
      </c>
      <c r="J1138" t="inlineStr">
        <is>
          <t>Healthtech</t>
        </is>
      </c>
      <c r="K1138" t="inlineStr">
        <is>
          <t>Unknown</t>
        </is>
      </c>
      <c r="L1138" t="inlineStr">
        <is>
          <t>Ashish Kacholia</t>
        </is>
      </c>
      <c r="M1138" t="inlineStr">
        <is>
          <t>Ashish Kacholia; 3one4 Capital; AC Ventures; Anicut Capital; JITO Incubation &amp; Innovation Foundation; LVX; JJ Family</t>
        </is>
      </c>
      <c r="N1138" t="inlineStr">
        <is>
          <t>inc42</t>
        </is>
      </c>
      <c r="O1138" s="20" t="n">
        <v>1</v>
      </c>
      <c r="P1138" s="21" t="n">
        <v>0</v>
      </c>
      <c r="Q1138" t="inlineStr">
        <is>
          <t>C07</t>
        </is>
      </c>
      <c r="R1138" s="22" t="inlineStr">
        <is>
          <t>https://inc42.com/buzz/from-ripplr-to-neo-indian-startups-raised-195-mn-this-week/</t>
        </is>
      </c>
    </row>
    <row r="1139">
      <c r="A1139" t="inlineStr">
        <is>
          <t>R251125-morphlelabs</t>
        </is>
      </c>
      <c r="B1139" t="inlineStr">
        <is>
          <t>Morphle Labs</t>
        </is>
      </c>
      <c r="C1139" s="17" t="n">
        <v>45986</v>
      </c>
      <c r="D1139" s="18" t="n">
        <v>45962</v>
      </c>
      <c r="E1139" s="19" t="n">
        <v>5</v>
      </c>
      <c r="F1139" s="19" t="n">
        <v>44.6</v>
      </c>
      <c r="G1139" t="inlineStr">
        <is>
          <t>$5 Mn</t>
        </is>
      </c>
      <c r="H1139" t="inlineStr">
        <is>
          <t>Series A</t>
        </is>
      </c>
      <c r="I1139" t="inlineStr">
        <is>
          <t>Early</t>
        </is>
      </c>
      <c r="J1139" t="inlineStr">
        <is>
          <t>Healthtech</t>
        </is>
      </c>
      <c r="K1139" t="inlineStr">
        <is>
          <t>Unknown</t>
        </is>
      </c>
      <c r="L1139" t="inlineStr">
        <is>
          <t>Inflexor Ventures</t>
        </is>
      </c>
      <c r="M1139" t="inlineStr">
        <is>
          <t>Inflexor Ventures</t>
        </is>
      </c>
      <c r="N1139" t="inlineStr">
        <is>
          <t>inc42</t>
        </is>
      </c>
      <c r="O1139" s="20" t="n">
        <v>1</v>
      </c>
      <c r="P1139" s="21" t="n">
        <v>0</v>
      </c>
      <c r="Q1139" t="inlineStr">
        <is>
          <t>C07</t>
        </is>
      </c>
      <c r="R1139" s="22" t="inlineStr">
        <is>
          <t>https://inc42.com/buzz/from-ripplr-to-neo-indian-startups-raised-195-mn-this-week/</t>
        </is>
      </c>
    </row>
    <row r="1140">
      <c r="A1140" t="inlineStr">
        <is>
          <t>R251125-navanc</t>
        </is>
      </c>
      <c r="B1140" t="inlineStr">
        <is>
          <t>Navanc</t>
        </is>
      </c>
      <c r="C1140" s="17" t="n">
        <v>45986</v>
      </c>
      <c r="D1140" s="18" t="n">
        <v>45962</v>
      </c>
      <c r="E1140" s="19" t="n">
        <v>0.67</v>
      </c>
      <c r="F1140" s="19" t="n">
        <v>5.98</v>
      </c>
      <c r="G1140" t="inlineStr">
        <is>
          <t>$670K</t>
        </is>
      </c>
      <c r="H1140" t="inlineStr">
        <is>
          <t>Pre-Series A</t>
        </is>
      </c>
      <c r="I1140" t="inlineStr">
        <is>
          <t>Early</t>
        </is>
      </c>
      <c r="J1140" t="inlineStr">
        <is>
          <t>Fintech</t>
        </is>
      </c>
      <c r="K1140" t="inlineStr">
        <is>
          <t>Unknown</t>
        </is>
      </c>
      <c r="L1140" t="inlineStr">
        <is>
          <t>GrowthCap Ventures</t>
        </is>
      </c>
      <c r="M1140" t="inlineStr">
        <is>
          <t>GrowthCap Ventures; Navin Kukreja (Founder; Paisabazaar); Gaurav Aggarwal (former CXO; Prasanna Rao (cofounder; Arya.ag )</t>
        </is>
      </c>
      <c r="N1140" t="inlineStr">
        <is>
          <t>inc42</t>
        </is>
      </c>
      <c r="O1140" s="20" t="n">
        <v>1</v>
      </c>
      <c r="P1140" s="21" t="n">
        <v>0</v>
      </c>
      <c r="Q1140" t="inlineStr">
        <is>
          <t>C07</t>
        </is>
      </c>
      <c r="R1140" s="22" t="inlineStr">
        <is>
          <t>https://inc42.com/buzz/from-ripplr-to-neo-indian-startups-raised-195-mn-this-week/</t>
        </is>
      </c>
    </row>
    <row r="1141">
      <c r="A1141" t="inlineStr">
        <is>
          <t>R251125-riverlineai</t>
        </is>
      </c>
      <c r="B1141" t="inlineStr">
        <is>
          <t>Riverline AI</t>
        </is>
      </c>
      <c r="C1141" s="17" t="n">
        <v>45986</v>
      </c>
      <c r="D1141" s="18" t="n">
        <v>45962</v>
      </c>
      <c r="E1141" s="19" t="n">
        <v>0.825</v>
      </c>
      <c r="F1141" s="19" t="n">
        <v>7.36</v>
      </c>
      <c r="G1141" t="inlineStr">
        <is>
          <t>$825K</t>
        </is>
      </c>
      <c r="H1141" t="inlineStr">
        <is>
          <t>Pre-Seed</t>
        </is>
      </c>
      <c r="I1141" t="inlineStr">
        <is>
          <t>Early</t>
        </is>
      </c>
      <c r="J1141" t="inlineStr">
        <is>
          <t>Fintech</t>
        </is>
      </c>
      <c r="K1141" t="inlineStr">
        <is>
          <t>Bengaluru</t>
        </is>
      </c>
      <c r="L1141" t="inlineStr">
        <is>
          <t>South Park Commons</t>
        </is>
      </c>
      <c r="M1141" t="inlineStr">
        <is>
          <t>South Park Commons; DeVC; gradCapital; Meta; Tesla; M2P; HyperVerge; Google</t>
        </is>
      </c>
      <c r="N1141" t="inlineStr">
        <is>
          <t>entrackr | inc42</t>
        </is>
      </c>
      <c r="O1141" s="20" t="n">
        <v>2</v>
      </c>
      <c r="P1141" s="21" t="n">
        <v>0</v>
      </c>
      <c r="Q1141" t="inlineStr"/>
      <c r="R1141" s="22" t="inlineStr">
        <is>
          <t>https://entrackr.com/snippets/riverline-ai-raises-825k-in-pre-seed-round-led-by-south-park-commons-10810092</t>
        </is>
      </c>
    </row>
    <row r="1142">
      <c r="A1142" t="inlineStr">
        <is>
          <t>R251125-zinit</t>
        </is>
      </c>
      <c r="B1142" t="inlineStr">
        <is>
          <t>Zinit</t>
        </is>
      </c>
      <c r="C1142" s="17" t="n">
        <v>45986</v>
      </c>
      <c r="D1142" s="18" t="n">
        <v>45962</v>
      </c>
      <c r="E1142" s="19" t="n">
        <v>8</v>
      </c>
      <c r="F1142" s="19" t="n">
        <v>71.36</v>
      </c>
      <c r="G1142" t="inlineStr">
        <is>
          <t>$8 million</t>
        </is>
      </c>
      <c r="H1142" t="inlineStr">
        <is>
          <t>Seed</t>
        </is>
      </c>
      <c r="I1142" t="inlineStr">
        <is>
          <t>Early</t>
        </is>
      </c>
      <c r="J1142" t="inlineStr">
        <is>
          <t>Artificial Intelligence</t>
        </is>
      </c>
      <c r="K1142" t="inlineStr">
        <is>
          <t>Unknown</t>
        </is>
      </c>
      <c r="L1142" t="inlineStr">
        <is>
          <t>AltaIR Capital</t>
        </is>
      </c>
      <c r="M1142" t="inlineStr">
        <is>
          <t>AltaIR Capital</t>
        </is>
      </c>
      <c r="N1142" t="inlineStr">
        <is>
          <t>entrackr</t>
        </is>
      </c>
      <c r="O1142" s="20" t="n">
        <v>1</v>
      </c>
      <c r="P1142" s="21" t="n">
        <v>0</v>
      </c>
      <c r="Q1142" t="inlineStr">
        <is>
          <t>C07</t>
        </is>
      </c>
      <c r="R1142" s="22" t="inlineStr">
        <is>
          <t>https://entrackr.com/snippets/zinit-raises-8-mn-in-seed-round-led-by-altair-capital-10810220</t>
        </is>
      </c>
    </row>
    <row r="1143">
      <c r="A1143" t="inlineStr">
        <is>
          <t>R251126-3ev</t>
        </is>
      </c>
      <c r="B1143" t="inlineStr">
        <is>
          <t>3ev</t>
        </is>
      </c>
      <c r="C1143" s="17" t="n">
        <v>45987</v>
      </c>
      <c r="D1143" s="18" t="n">
        <v>45962</v>
      </c>
      <c r="E1143" s="19" t="n">
        <v>14.4</v>
      </c>
      <c r="F1143" s="19" t="n">
        <v>128.45</v>
      </c>
      <c r="G1143" t="inlineStr">
        <is>
          <t>$14.4 Mn</t>
        </is>
      </c>
      <c r="H1143" t="inlineStr">
        <is>
          <t>Series A</t>
        </is>
      </c>
      <c r="I1143" t="inlineStr">
        <is>
          <t>Early</t>
        </is>
      </c>
      <c r="J1143" t="inlineStr">
        <is>
          <t>Cleantech</t>
        </is>
      </c>
      <c r="K1143" t="inlineStr">
        <is>
          <t>Unknown</t>
        </is>
      </c>
      <c r="L1143" t="inlineStr">
        <is>
          <t>Mahanagar Gas Limited</t>
        </is>
      </c>
      <c r="M1143" t="inlineStr">
        <is>
          <t>Mahanagar Gas Limited; Thackersey Group</t>
        </is>
      </c>
      <c r="N1143" t="inlineStr">
        <is>
          <t>inc42</t>
        </is>
      </c>
      <c r="O1143" s="20" t="n">
        <v>1</v>
      </c>
      <c r="P1143" s="21" t="n">
        <v>0</v>
      </c>
      <c r="Q1143" t="inlineStr">
        <is>
          <t>C07</t>
        </is>
      </c>
      <c r="R1143" s="22" t="inlineStr">
        <is>
          <t>https://inc42.com/buzz/from-ripplr-to-neo-indian-startups-raised-195-mn-this-week/</t>
        </is>
      </c>
    </row>
    <row r="1144">
      <c r="A1144" t="inlineStr">
        <is>
          <t>R251126-3evindustries</t>
        </is>
      </c>
      <c r="B1144" t="inlineStr">
        <is>
          <t>3ev Industries</t>
        </is>
      </c>
      <c r="C1144" s="17" t="n">
        <v>45987</v>
      </c>
      <c r="D1144" s="18" t="n">
        <v>45962</v>
      </c>
      <c r="E1144" s="19" t="n">
        <v>13.453</v>
      </c>
      <c r="F1144" s="19" t="n">
        <v>120</v>
      </c>
      <c r="G1144" t="inlineStr">
        <is>
          <t>Rs 120 crore</t>
        </is>
      </c>
      <c r="H1144" t="inlineStr">
        <is>
          <t>Series A</t>
        </is>
      </c>
      <c r="I1144" t="inlineStr">
        <is>
          <t>Early</t>
        </is>
      </c>
      <c r="J1144" t="inlineStr">
        <is>
          <t>Cleantech</t>
        </is>
      </c>
      <c r="K1144" t="inlineStr">
        <is>
          <t>Unknown</t>
        </is>
      </c>
      <c r="L1144" t="inlineStr">
        <is>
          <t>Mahanagar Gas</t>
        </is>
      </c>
      <c r="M1144" t="inlineStr">
        <is>
          <t>Mahanagar Gas; Equentis Angel Fund; Bestvantage Investments; Thackersey Group</t>
        </is>
      </c>
      <c r="N1144" t="inlineStr">
        <is>
          <t>entrackr</t>
        </is>
      </c>
      <c r="O1144" s="20" t="n">
        <v>1</v>
      </c>
      <c r="P1144" s="21" t="n">
        <v>0</v>
      </c>
      <c r="Q1144" t="inlineStr">
        <is>
          <t>C07 C09</t>
        </is>
      </c>
      <c r="R1144" s="22" t="inlineStr">
        <is>
          <t>https://entrackr.com/snippets/3ev-industries-raises-rs-120-cr-in-series-a-led-by-mahanagar-gas-10813666</t>
        </is>
      </c>
    </row>
    <row r="1145">
      <c r="A1145" t="inlineStr">
        <is>
          <t>R251126-arctusaerospac</t>
        </is>
      </c>
      <c r="B1145" t="inlineStr">
        <is>
          <t>Arctus Aerospace</t>
        </is>
      </c>
      <c r="C1145" s="17" t="n">
        <v>45987</v>
      </c>
      <c r="D1145" s="18" t="n">
        <v>45962</v>
      </c>
      <c r="E1145" s="19" t="n">
        <v>2.6</v>
      </c>
      <c r="F1145" s="19" t="n">
        <v>23.19</v>
      </c>
      <c r="G1145" t="inlineStr">
        <is>
          <t>$2.6 million</t>
        </is>
      </c>
      <c r="H1145" t="inlineStr">
        <is>
          <t>Pre-Seed</t>
        </is>
      </c>
      <c r="I1145" t="inlineStr">
        <is>
          <t>Early</t>
        </is>
      </c>
      <c r="J1145" t="inlineStr">
        <is>
          <t>Advanced Hardware &amp; Technology</t>
        </is>
      </c>
      <c r="K1145" t="inlineStr">
        <is>
          <t>Bengaluru</t>
        </is>
      </c>
      <c r="L1145" t="inlineStr"/>
      <c r="M1145" t="inlineStr">
        <is>
          <t>Version One Ventures; South Park Commons; gradCapital; Balaji Srinivasan; Srinivas Narayan; Boom Supersonic; Bounce Infinity</t>
        </is>
      </c>
      <c r="N1145" t="inlineStr">
        <is>
          <t>entrackr | inc42 | et</t>
        </is>
      </c>
      <c r="O1145" s="20" t="n">
        <v>3</v>
      </c>
      <c r="P1145" s="21" t="n">
        <v>0</v>
      </c>
      <c r="Q1145" t="inlineStr"/>
      <c r="R1145" s="22" t="inlineStr">
        <is>
          <t>https://entrackr.com/snippets/arctus-aerospace-raises-26-mn-in-pre-seed-round-10813830</t>
        </is>
      </c>
    </row>
    <row r="1146">
      <c r="A1146" t="inlineStr">
        <is>
          <t>R251126-axitrust</t>
        </is>
      </c>
      <c r="B1146" t="inlineStr">
        <is>
          <t>axiTrust</t>
        </is>
      </c>
      <c r="C1146" s="17" t="n">
        <v>45987</v>
      </c>
      <c r="D1146" s="18" t="n">
        <v>45962</v>
      </c>
      <c r="E1146" s="19" t="n">
        <v>2.635</v>
      </c>
      <c r="F1146" s="19" t="n">
        <v>23.5</v>
      </c>
      <c r="G1146" t="inlineStr">
        <is>
          <t>Rs 23.5 crore</t>
        </is>
      </c>
      <c r="H1146" t="inlineStr">
        <is>
          <t>Seed</t>
        </is>
      </c>
      <c r="I1146" t="inlineStr">
        <is>
          <t>Early</t>
        </is>
      </c>
      <c r="J1146" t="inlineStr">
        <is>
          <t>Fintech</t>
        </is>
      </c>
      <c r="K1146" t="inlineStr">
        <is>
          <t>Delhi NCR</t>
        </is>
      </c>
      <c r="L1146" t="inlineStr">
        <is>
          <t>General Catalyst; YAN Network; Supermorpheous</t>
        </is>
      </c>
      <c r="M1146" t="inlineStr">
        <is>
          <t>General Catalyst; YAN Network; Supermorpheous</t>
        </is>
      </c>
      <c r="N1146" t="inlineStr">
        <is>
          <t>entrackr | inc42 | et</t>
        </is>
      </c>
      <c r="O1146" s="20" t="n">
        <v>3</v>
      </c>
      <c r="P1146" s="21" t="n">
        <v>1.3</v>
      </c>
      <c r="Q1146" t="inlineStr"/>
      <c r="R1146" s="22" t="inlineStr">
        <is>
          <t>https://entrackr.com/snippets/fintech-startup-axitrust-raises-rs-235-cr-in-seed-round-led-by-general-catalyst-10813938</t>
        </is>
      </c>
    </row>
    <row r="1147">
      <c r="A1147" t="inlineStr">
        <is>
          <t>R251126-definedge</t>
        </is>
      </c>
      <c r="B1147" t="inlineStr">
        <is>
          <t>Definedge</t>
        </is>
      </c>
      <c r="C1147" s="17" t="n">
        <v>45987</v>
      </c>
      <c r="D1147" s="18" t="n">
        <v>45962</v>
      </c>
      <c r="E1147" s="19" t="n"/>
      <c r="F1147" s="19" t="n"/>
      <c r="G1147" t="inlineStr"/>
      <c r="H1147" t="inlineStr">
        <is>
          <t>Angel</t>
        </is>
      </c>
      <c r="I1147" t="inlineStr">
        <is>
          <t>Early</t>
        </is>
      </c>
      <c r="J1147" t="inlineStr">
        <is>
          <t>Fintech</t>
        </is>
      </c>
      <c r="K1147" t="inlineStr">
        <is>
          <t>Pune</t>
        </is>
      </c>
      <c r="L1147" t="inlineStr">
        <is>
          <t>Hemant Luthra; Ajay Srivastava; D. Prasad; Nitin Agarwal; Madhusudan N. Sarda</t>
        </is>
      </c>
      <c r="M1147" t="inlineStr">
        <is>
          <t>Hemant Luthra; Ajay Srivastava; D. Prasad; Nitin Agarwal; Madhusudan N. Sarda</t>
        </is>
      </c>
      <c r="N1147" t="inlineStr">
        <is>
          <t>entrackr</t>
        </is>
      </c>
      <c r="O1147" s="20" t="n">
        <v>1</v>
      </c>
      <c r="P1147" s="21" t="n"/>
      <c r="Q1147" t="inlineStr">
        <is>
          <t>C03</t>
        </is>
      </c>
      <c r="R1147" s="22" t="inlineStr">
        <is>
          <t>https://entrackr.com/snippets/definedge-closes-first-institutional-and-angel-round-10814096</t>
        </is>
      </c>
    </row>
    <row r="1148">
      <c r="A1148" t="inlineStr">
        <is>
          <t>R251126-enerzi</t>
        </is>
      </c>
      <c r="B1148" t="inlineStr">
        <is>
          <t>Enerzi</t>
        </is>
      </c>
      <c r="C1148" s="17" t="n">
        <v>45987</v>
      </c>
      <c r="D1148" s="18" t="n">
        <v>45962</v>
      </c>
      <c r="E1148" s="19" t="n">
        <v>1.85</v>
      </c>
      <c r="F1148" s="19" t="n">
        <v>16.5</v>
      </c>
      <c r="G1148" t="inlineStr">
        <is>
          <t>Rs 16.5 crore</t>
        </is>
      </c>
      <c r="H1148" t="inlineStr">
        <is>
          <t>Seed</t>
        </is>
      </c>
      <c r="I1148" t="inlineStr">
        <is>
          <t>Early</t>
        </is>
      </c>
      <c r="J1148" t="inlineStr">
        <is>
          <t>Cleantech</t>
        </is>
      </c>
      <c r="K1148" t="inlineStr">
        <is>
          <t>Unknown</t>
        </is>
      </c>
      <c r="L1148" t="inlineStr">
        <is>
          <t>Capital A</t>
        </is>
      </c>
      <c r="M1148" t="inlineStr">
        <is>
          <t>Capital A; 8x Ventures</t>
        </is>
      </c>
      <c r="N1148" t="inlineStr">
        <is>
          <t>entrackr | inc42</t>
        </is>
      </c>
      <c r="O1148" s="20" t="n">
        <v>2</v>
      </c>
      <c r="P1148" s="21" t="n">
        <v>2.8</v>
      </c>
      <c r="Q1148" t="inlineStr">
        <is>
          <t>C07</t>
        </is>
      </c>
      <c r="R1148" s="22" t="inlineStr">
        <is>
          <t>https://entrackr.com/snippets/enerzi-raises-rs-165-cr-in-seed-round-led-by-capital-a-10813557</t>
        </is>
      </c>
    </row>
    <row r="1149">
      <c r="A1149" t="inlineStr">
        <is>
          <t>R251126-lightspeedphot</t>
        </is>
      </c>
      <c r="B1149" t="inlineStr">
        <is>
          <t>LightSpeed Photonics</t>
        </is>
      </c>
      <c r="C1149" s="17" t="n">
        <v>45987</v>
      </c>
      <c r="D1149" s="18" t="n">
        <v>45962</v>
      </c>
      <c r="E1149" s="19" t="n">
        <v>6.5</v>
      </c>
      <c r="F1149" s="19" t="n">
        <v>57.98</v>
      </c>
      <c r="G1149" t="inlineStr">
        <is>
          <t>$6.5 million</t>
        </is>
      </c>
      <c r="H1149" t="inlineStr">
        <is>
          <t>Pre-Series A</t>
        </is>
      </c>
      <c r="I1149" t="inlineStr">
        <is>
          <t>Early</t>
        </is>
      </c>
      <c r="J1149" t="inlineStr">
        <is>
          <t>Unclassified</t>
        </is>
      </c>
      <c r="K1149" t="inlineStr">
        <is>
          <t>Outside India</t>
        </is>
      </c>
      <c r="L1149" t="inlineStr"/>
      <c r="M1149" t="inlineStr">
        <is>
          <t>500 Global; Indian Accelerator; 8X Ventures; Java Capital</t>
        </is>
      </c>
      <c r="N1149" t="inlineStr">
        <is>
          <t>entrackr | et</t>
        </is>
      </c>
      <c r="O1149" s="20" t="n">
        <v>2</v>
      </c>
      <c r="P1149" s="21" t="n">
        <v>0</v>
      </c>
      <c r="Q1149" t="inlineStr">
        <is>
          <t>C06</t>
        </is>
      </c>
      <c r="R1149" s="22" t="inlineStr">
        <is>
          <t>https://entrackr.com/snippets/lightspeed-photonics-raises-65-mn-led-by-pi-ventures-10812957</t>
        </is>
      </c>
    </row>
    <row r="1150">
      <c r="A1150" t="inlineStr">
        <is>
          <t>R251126-miranatoys</t>
        </is>
      </c>
      <c r="B1150" t="inlineStr">
        <is>
          <t>Mirana Toys</t>
        </is>
      </c>
      <c r="C1150" s="17" t="n">
        <v>45987</v>
      </c>
      <c r="D1150" s="18" t="n">
        <v>45962</v>
      </c>
      <c r="E1150" s="19" t="n">
        <v>6.446</v>
      </c>
      <c r="F1150" s="19" t="n">
        <v>57.5</v>
      </c>
      <c r="G1150" t="inlineStr">
        <is>
          <t>Rs 57.5 crore</t>
        </is>
      </c>
      <c r="H1150" t="inlineStr">
        <is>
          <t>Series A</t>
        </is>
      </c>
      <c r="I1150" t="inlineStr">
        <is>
          <t>Early</t>
        </is>
      </c>
      <c r="J1150" t="inlineStr">
        <is>
          <t>Ecommerce</t>
        </is>
      </c>
      <c r="K1150" t="inlineStr">
        <is>
          <t>Unknown</t>
        </is>
      </c>
      <c r="L1150" t="inlineStr">
        <is>
          <t>Arkam Ventures</t>
        </is>
      </c>
      <c r="M1150" t="inlineStr">
        <is>
          <t>Arkam Ventures; Info Edge; Riverwalk Holdings; Accel</t>
        </is>
      </c>
      <c r="N1150" t="inlineStr">
        <is>
          <t>entrackr | inc42 | et</t>
        </is>
      </c>
      <c r="O1150" s="20" t="n">
        <v>3</v>
      </c>
      <c r="P1150" s="21" t="n">
        <v>0.7</v>
      </c>
      <c r="Q1150" t="inlineStr">
        <is>
          <t>C07</t>
        </is>
      </c>
      <c r="R1150" s="22" t="inlineStr">
        <is>
          <t>https://entrackr.com/snippets/arkam-leads-rs-575-cr-series-a-round-in-mirana-toys-10812979</t>
        </is>
      </c>
    </row>
    <row r="1151">
      <c r="A1151" t="inlineStr">
        <is>
          <t>R251126-onya</t>
        </is>
      </c>
      <c r="B1151" t="inlineStr">
        <is>
          <t>ONYA</t>
        </is>
      </c>
      <c r="C1151" s="17" t="n">
        <v>45987</v>
      </c>
      <c r="D1151" s="18" t="n">
        <v>45962</v>
      </c>
      <c r="E1151" s="19" t="n">
        <v>0.617</v>
      </c>
      <c r="F1151" s="19" t="n">
        <v>5.5</v>
      </c>
      <c r="G1151" t="inlineStr">
        <is>
          <t>Rs 5.5 crore</t>
        </is>
      </c>
      <c r="H1151" t="inlineStr">
        <is>
          <t>Pre-Seed</t>
        </is>
      </c>
      <c r="I1151" t="inlineStr">
        <is>
          <t>Early</t>
        </is>
      </c>
      <c r="J1151" t="inlineStr">
        <is>
          <t>Ecommerce</t>
        </is>
      </c>
      <c r="K1151" t="inlineStr">
        <is>
          <t>Bengaluru</t>
        </is>
      </c>
      <c r="L1151" t="inlineStr">
        <is>
          <t>Zeropearl VC; MyGate founders Vijay Arishetty; Abhishek Kumar; Shreyans Daga; Rohit Jindal; Amal Mishra; Alkendra Pratap Singh</t>
        </is>
      </c>
      <c r="M1151" t="inlineStr">
        <is>
          <t>Zeropearl VC; MyGate founders Vijay Arishetty; Abhishek Kumar; Shreyans Daga; Rohit Jindal; Amal Mishra; Alkendra Pratap Singh</t>
        </is>
      </c>
      <c r="N1151" t="inlineStr">
        <is>
          <t>entrackr | inc42</t>
        </is>
      </c>
      <c r="O1151" s="20" t="n">
        <v>2</v>
      </c>
      <c r="P1151" s="21" t="n">
        <v>0.4</v>
      </c>
      <c r="Q1151" t="inlineStr"/>
      <c r="R1151" s="22" t="inlineStr">
        <is>
          <t>https://entrackr.com/snippets/onya-raises-pre-seed-round-led-by-zeropearl-vc-10813520</t>
        </is>
      </c>
    </row>
    <row r="1152">
      <c r="A1152" t="inlineStr">
        <is>
          <t>R251126-primebook</t>
        </is>
      </c>
      <c r="B1152" t="inlineStr">
        <is>
          <t>Primebook</t>
        </is>
      </c>
      <c r="C1152" s="17" t="n">
        <v>45987</v>
      </c>
      <c r="D1152" s="18" t="n">
        <v>45962</v>
      </c>
      <c r="E1152" s="19" t="n">
        <v>0.25</v>
      </c>
      <c r="F1152" s="19" t="n">
        <v>2.23</v>
      </c>
      <c r="G1152" t="inlineStr">
        <is>
          <t>$250K</t>
        </is>
      </c>
      <c r="H1152" t="inlineStr">
        <is>
          <t>Pre-Series A</t>
        </is>
      </c>
      <c r="I1152" t="inlineStr">
        <is>
          <t>Early</t>
        </is>
      </c>
      <c r="J1152" t="inlineStr">
        <is>
          <t>Ecommerce</t>
        </is>
      </c>
      <c r="K1152" t="inlineStr">
        <is>
          <t>Delhi NCR</t>
        </is>
      </c>
      <c r="L1152" t="inlineStr"/>
      <c r="M1152" t="inlineStr">
        <is>
          <t>Ekamya Capital</t>
        </is>
      </c>
      <c r="N1152" t="inlineStr">
        <is>
          <t>entrackr</t>
        </is>
      </c>
      <c r="O1152" s="20" t="n">
        <v>1</v>
      </c>
      <c r="P1152" s="21" t="n">
        <v>0</v>
      </c>
      <c r="Q1152" t="inlineStr"/>
      <c r="R1152" s="22" t="inlineStr">
        <is>
          <t>https://entrackr.com/snippets/primebook-raises-250k-extension-round-from-ekamya-capital-10814568</t>
        </is>
      </c>
    </row>
    <row r="1153">
      <c r="A1153" t="inlineStr">
        <is>
          <t>R251127-squareyards</t>
        </is>
      </c>
      <c r="B1153" t="inlineStr">
        <is>
          <t>Square Yards</t>
        </is>
      </c>
      <c r="C1153" s="17" t="n">
        <v>45987</v>
      </c>
      <c r="D1153" s="18" t="n">
        <v>45962</v>
      </c>
      <c r="E1153" s="19" t="n">
        <v>35</v>
      </c>
      <c r="F1153" s="19" t="n">
        <v>312.2</v>
      </c>
      <c r="G1153" t="inlineStr">
        <is>
          <t>$35 million</t>
        </is>
      </c>
      <c r="H1153" t="inlineStr">
        <is>
          <t>Undisclosed</t>
        </is>
      </c>
      <c r="I1153" t="inlineStr">
        <is>
          <t>Undisclosed</t>
        </is>
      </c>
      <c r="J1153" t="inlineStr">
        <is>
          <t>Real Estate Tech</t>
        </is>
      </c>
      <c r="K1153" t="inlineStr">
        <is>
          <t>Delhi NCR</t>
        </is>
      </c>
      <c r="L1153" t="inlineStr">
        <is>
          <t>Smilegate VC; South Korea–based Smile Gate Group</t>
        </is>
      </c>
      <c r="M1153" t="inlineStr">
        <is>
          <t>Smilegate VC; South Korea–based Smile Gate Group</t>
        </is>
      </c>
      <c r="N1153" t="inlineStr">
        <is>
          <t>entrackr | inc42 | vccircle</t>
        </is>
      </c>
      <c r="O1153" s="20" t="n">
        <v>3</v>
      </c>
      <c r="P1153" s="21" t="n">
        <v>2471.4</v>
      </c>
      <c r="Q1153" t="inlineStr">
        <is>
          <t>C04 C15 C17</t>
        </is>
      </c>
      <c r="R1153" s="22" t="inlineStr">
        <is>
          <t>https://www.vccircle.com/squareyards-secures-offshore-vc-funding-at-900-mn-pre-money-valuation</t>
        </is>
      </c>
    </row>
    <row r="1154">
      <c r="A1154" t="inlineStr">
        <is>
          <t>R251127-aceinternation</t>
        </is>
      </c>
      <c r="B1154" t="inlineStr">
        <is>
          <t>Ace International</t>
        </is>
      </c>
      <c r="C1154" s="17" t="n">
        <v>45988</v>
      </c>
      <c r="D1154" s="18" t="n">
        <v>45962</v>
      </c>
      <c r="E1154" s="19" t="n">
        <v>35</v>
      </c>
      <c r="F1154" s="19" t="n">
        <v>312.9</v>
      </c>
      <c r="G1154" t="inlineStr">
        <is>
          <t>$35 million</t>
        </is>
      </c>
      <c r="H1154" t="inlineStr">
        <is>
          <t>Undisclosed</t>
        </is>
      </c>
      <c r="I1154" t="inlineStr">
        <is>
          <t>Undisclosed</t>
        </is>
      </c>
      <c r="J1154" t="inlineStr">
        <is>
          <t>Agritech</t>
        </is>
      </c>
      <c r="K1154" t="inlineStr">
        <is>
          <t>Delhi NCR</t>
        </is>
      </c>
      <c r="L1154" t="inlineStr">
        <is>
          <t>FMO</t>
        </is>
      </c>
      <c r="M1154" t="inlineStr">
        <is>
          <t>FMO; ResponsAbility; Incofin; Fiedlin Ventures</t>
        </is>
      </c>
      <c r="N1154" t="inlineStr">
        <is>
          <t>entrackr | et | vccircle</t>
        </is>
      </c>
      <c r="O1154" s="20" t="n">
        <v>3</v>
      </c>
      <c r="P1154" s="21" t="n">
        <v>0</v>
      </c>
      <c r="Q1154" t="inlineStr">
        <is>
          <t>C04</t>
        </is>
      </c>
      <c r="R1154" s="22" t="inlineStr">
        <is>
          <t>https://entrackr.com/news/ace-international-raises-35-mn-led-by-fmo-10816469</t>
        </is>
      </c>
    </row>
    <row r="1155">
      <c r="A1155" t="inlineStr">
        <is>
          <t>R251127-auxilo</t>
        </is>
      </c>
      <c r="B1155" t="inlineStr">
        <is>
          <t>Auxilo</t>
        </is>
      </c>
      <c r="C1155" s="17" t="n">
        <v>45988</v>
      </c>
      <c r="D1155" s="18" t="n">
        <v>45962</v>
      </c>
      <c r="E1155" s="19" t="n">
        <v>25.168</v>
      </c>
      <c r="F1155" s="19" t="n">
        <v>225</v>
      </c>
      <c r="G1155" t="inlineStr">
        <is>
          <t>Rs 225 crore</t>
        </is>
      </c>
      <c r="H1155" t="inlineStr">
        <is>
          <t>Debt</t>
        </is>
      </c>
      <c r="I1155" t="inlineStr">
        <is>
          <t>Debt</t>
        </is>
      </c>
      <c r="J1155" t="inlineStr">
        <is>
          <t>Unclassified</t>
        </is>
      </c>
      <c r="K1155" t="inlineStr">
        <is>
          <t>Mumbai</t>
        </is>
      </c>
      <c r="L1155" t="inlineStr"/>
      <c r="M1155" t="inlineStr">
        <is>
          <t>Neo Group; Nuvama Wealth; Dezerv; Motilal Oswal</t>
        </is>
      </c>
      <c r="N1155" t="inlineStr">
        <is>
          <t>entrackr</t>
        </is>
      </c>
      <c r="O1155" s="20" t="n">
        <v>1</v>
      </c>
      <c r="P1155" s="21" t="n">
        <v>0</v>
      </c>
      <c r="Q1155" t="inlineStr">
        <is>
          <t>C06</t>
        </is>
      </c>
      <c r="R1155" s="22" t="inlineStr">
        <is>
          <t>https://entrackr.com/exclusive/exclusive-edu-fintech-company-auxilo-raises-rs-225-cr-debt-10816685</t>
        </is>
      </c>
    </row>
    <row r="1156">
      <c r="A1156" t="inlineStr">
        <is>
          <t>R251127-batterypool</t>
        </is>
      </c>
      <c r="B1156" t="inlineStr">
        <is>
          <t>BatteryPool</t>
        </is>
      </c>
      <c r="C1156" s="17" t="n">
        <v>45988</v>
      </c>
      <c r="D1156" s="18" t="n">
        <v>45962</v>
      </c>
      <c r="E1156" s="19" t="n">
        <v>0.895</v>
      </c>
      <c r="F1156" s="19" t="n">
        <v>8</v>
      </c>
      <c r="G1156" t="inlineStr">
        <is>
          <t>Rs 8 crore</t>
        </is>
      </c>
      <c r="H1156" t="inlineStr">
        <is>
          <t>Pre-Series A</t>
        </is>
      </c>
      <c r="I1156" t="inlineStr">
        <is>
          <t>Early</t>
        </is>
      </c>
      <c r="J1156" t="inlineStr">
        <is>
          <t>Cleantech</t>
        </is>
      </c>
      <c r="K1156" t="inlineStr">
        <is>
          <t>Unknown</t>
        </is>
      </c>
      <c r="L1156" t="inlineStr">
        <is>
          <t>Inflection Point Ventures</t>
        </is>
      </c>
      <c r="M1156" t="inlineStr">
        <is>
          <t>Inflection Point Ventures; Indian Angel Network; Keiretsu Forum</t>
        </is>
      </c>
      <c r="N1156" t="inlineStr">
        <is>
          <t>entrackr | inc42</t>
        </is>
      </c>
      <c r="O1156" s="20" t="n">
        <v>2</v>
      </c>
      <c r="P1156" s="21" t="n">
        <v>0.1</v>
      </c>
      <c r="Q1156" t="inlineStr">
        <is>
          <t>C07</t>
        </is>
      </c>
      <c r="R1156" s="22" t="inlineStr">
        <is>
          <t>https://entrackr.com/snippets/batterypool-raises-rs-8-crore-led-by-ipv-10816753</t>
        </is>
      </c>
    </row>
    <row r="1157">
      <c r="A1157" t="inlineStr">
        <is>
          <t>R251127-cloudextel</t>
        </is>
      </c>
      <c r="B1157" t="inlineStr">
        <is>
          <t>CloudExtel</t>
        </is>
      </c>
      <c r="C1157" s="17" t="n">
        <v>45988</v>
      </c>
      <c r="D1157" s="18" t="n">
        <v>45962</v>
      </c>
      <c r="E1157" s="19" t="n">
        <v>22.371</v>
      </c>
      <c r="F1157" s="19" t="n">
        <v>200</v>
      </c>
      <c r="G1157" t="inlineStr">
        <is>
          <t>Rs 200 crore</t>
        </is>
      </c>
      <c r="H1157" t="inlineStr">
        <is>
          <t>Debt</t>
        </is>
      </c>
      <c r="I1157" t="inlineStr">
        <is>
          <t>Debt</t>
        </is>
      </c>
      <c r="J1157" t="inlineStr">
        <is>
          <t>Unclassified</t>
        </is>
      </c>
      <c r="K1157" t="inlineStr">
        <is>
          <t>Mumbai</t>
        </is>
      </c>
      <c r="L1157" t="inlineStr"/>
      <c r="M1157" t="inlineStr"/>
      <c r="N1157" t="inlineStr">
        <is>
          <t>et</t>
        </is>
      </c>
      <c r="O1157" s="20" t="n">
        <v>1</v>
      </c>
      <c r="P1157" s="21" t="n">
        <v>0</v>
      </c>
      <c r="Q1157" t="inlineStr">
        <is>
          <t>C05 C06</t>
        </is>
      </c>
      <c r="R1157" s="22" t="inlineStr">
        <is>
          <t>https://economictimes.indiatimes.com/tech/funding/cloudextel-raises-rs-200-crore-in-debt-to-scale-ai-ready-digital-infrastructure-metro-fibre-network/articleshow/125607217.cms</t>
        </is>
      </c>
    </row>
    <row r="1158">
      <c r="A1158" t="inlineStr">
        <is>
          <t>R251127-lemnisca</t>
        </is>
      </c>
      <c r="B1158" t="inlineStr">
        <is>
          <t>Lemnisca</t>
        </is>
      </c>
      <c r="C1158" s="17" t="n">
        <v>45988</v>
      </c>
      <c r="D1158" s="18" t="n">
        <v>45962</v>
      </c>
      <c r="E1158" s="19" t="n"/>
      <c r="F1158" s="19" t="n"/>
      <c r="G1158" t="inlineStr"/>
      <c r="H1158" t="inlineStr">
        <is>
          <t>Pre-Seed</t>
        </is>
      </c>
      <c r="I1158" t="inlineStr">
        <is>
          <t>Early</t>
        </is>
      </c>
      <c r="J1158" t="inlineStr">
        <is>
          <t>Media &amp; Entertainment</t>
        </is>
      </c>
      <c r="K1158" t="inlineStr">
        <is>
          <t>Unknown</t>
        </is>
      </c>
      <c r="L1158" t="inlineStr">
        <is>
          <t>Theia Ventures</t>
        </is>
      </c>
      <c r="M1158" t="inlineStr">
        <is>
          <t>Theia Ventures; PointOne Capital; Satakarni Makkapati</t>
        </is>
      </c>
      <c r="N1158" t="inlineStr">
        <is>
          <t>inc42</t>
        </is>
      </c>
      <c r="O1158" s="20" t="n">
        <v>1</v>
      </c>
      <c r="P1158" s="21" t="n"/>
      <c r="Q1158" t="inlineStr">
        <is>
          <t>C03 C07</t>
        </is>
      </c>
      <c r="R1158" s="22" t="inlineStr">
        <is>
          <t>https://inc42.com/buzz/from-ripplr-to-neo-indian-startups-raised-195-mn-this-week/</t>
        </is>
      </c>
    </row>
    <row r="1159">
      <c r="A1159" t="inlineStr">
        <is>
          <t>R251127-moneyview</t>
        </is>
      </c>
      <c r="B1159" t="inlineStr">
        <is>
          <t>Moneyview</t>
        </is>
      </c>
      <c r="C1159" s="17" t="n">
        <v>45988</v>
      </c>
      <c r="D1159" s="18" t="n">
        <v>45962</v>
      </c>
      <c r="E1159" s="19" t="n">
        <v>11.186</v>
      </c>
      <c r="F1159" s="19" t="n">
        <v>100</v>
      </c>
      <c r="G1159" t="inlineStr">
        <is>
          <t>Rs 100 crore</t>
        </is>
      </c>
      <c r="H1159" t="inlineStr">
        <is>
          <t>Debt</t>
        </is>
      </c>
      <c r="I1159" t="inlineStr">
        <is>
          <t>Debt</t>
        </is>
      </c>
      <c r="J1159" t="inlineStr">
        <is>
          <t>Fintech</t>
        </is>
      </c>
      <c r="K1159" t="inlineStr">
        <is>
          <t>Bengaluru</t>
        </is>
      </c>
      <c r="L1159" t="inlineStr"/>
      <c r="M1159" t="inlineStr">
        <is>
          <t>RevX Capital; Motilal Oswal</t>
        </is>
      </c>
      <c r="N1159" t="inlineStr">
        <is>
          <t>entrackr</t>
        </is>
      </c>
      <c r="O1159" s="20" t="n">
        <v>1</v>
      </c>
      <c r="P1159" s="21" t="n">
        <v>0</v>
      </c>
      <c r="Q1159" t="inlineStr"/>
      <c r="R1159" s="22" t="inlineStr">
        <is>
          <t>https://entrackr.com/exclusive/exclusive-moneyview-secures-rs-100-cr-debt-appoints-independent-directors-10817370</t>
        </is>
      </c>
    </row>
    <row r="1160">
      <c r="A1160" t="inlineStr">
        <is>
          <t>R251127-neuronenergy</t>
        </is>
      </c>
      <c r="B1160" t="inlineStr">
        <is>
          <t>Neuron Energy</t>
        </is>
      </c>
      <c r="C1160" s="17" t="n">
        <v>45988</v>
      </c>
      <c r="D1160" s="18" t="n">
        <v>45962</v>
      </c>
      <c r="E1160" s="19" t="n">
        <v>3.468</v>
      </c>
      <c r="F1160" s="19" t="n">
        <v>31</v>
      </c>
      <c r="G1160" t="inlineStr">
        <is>
          <t>Rs 31 crore</t>
        </is>
      </c>
      <c r="H1160" t="inlineStr">
        <is>
          <t>Pre-Series B</t>
        </is>
      </c>
      <c r="I1160" t="inlineStr">
        <is>
          <t>Growth</t>
        </is>
      </c>
      <c r="J1160" t="inlineStr">
        <is>
          <t>Cleantech</t>
        </is>
      </c>
      <c r="K1160" t="inlineStr">
        <is>
          <t>Mumbai</t>
        </is>
      </c>
      <c r="L1160" t="inlineStr">
        <is>
          <t>Equanimity Ventures; Rajiv Dadlani Group; Thackersay Family Office; Chona Family Office</t>
        </is>
      </c>
      <c r="M1160" t="inlineStr">
        <is>
          <t>Equanimity Ventures; Rajiv Dadlani Group; Thackersay Family Office; Chona Family Office</t>
        </is>
      </c>
      <c r="N1160" t="inlineStr">
        <is>
          <t>entrackr | inc42</t>
        </is>
      </c>
      <c r="O1160" s="20" t="n">
        <v>2</v>
      </c>
      <c r="P1160" s="21" t="n">
        <v>2</v>
      </c>
      <c r="Q1160" t="inlineStr"/>
      <c r="R1160" s="22" t="inlineStr">
        <is>
          <t>https://entrackr.com/snippets/ev-battery-manufacturer-neuron-energy-raises-rs-31-cr-in-pre-series-b-round-10817307</t>
        </is>
      </c>
    </row>
    <row r="1161">
      <c r="A1161" t="inlineStr">
        <is>
          <t>R251127-sportsforlife</t>
        </is>
      </c>
      <c r="B1161" t="inlineStr">
        <is>
          <t>Sports For Life</t>
        </is>
      </c>
      <c r="C1161" s="17" t="n">
        <v>45988</v>
      </c>
      <c r="D1161" s="18" t="n">
        <v>45962</v>
      </c>
      <c r="E1161" s="19" t="n">
        <v>2.413</v>
      </c>
      <c r="F1161" s="19" t="n">
        <v>21.57</v>
      </c>
      <c r="G1161" t="inlineStr">
        <is>
          <t>Rs 21.57 crore</t>
        </is>
      </c>
      <c r="H1161" t="inlineStr">
        <is>
          <t>Series A</t>
        </is>
      </c>
      <c r="I1161" t="inlineStr">
        <is>
          <t>Early</t>
        </is>
      </c>
      <c r="J1161" t="inlineStr">
        <is>
          <t>Consumer Services</t>
        </is>
      </c>
      <c r="K1161" t="inlineStr">
        <is>
          <t>Unknown</t>
        </is>
      </c>
      <c r="L1161" t="inlineStr">
        <is>
          <t>Fireside Ventures; Genesia Ventures</t>
        </is>
      </c>
      <c r="M1161" t="inlineStr">
        <is>
          <t>Fireside Ventures; Genesia Ventures; Roots Ventures; TDV Partners</t>
        </is>
      </c>
      <c r="N1161" t="inlineStr">
        <is>
          <t>entrackr | inc42</t>
        </is>
      </c>
      <c r="O1161" s="20" t="n">
        <v>2</v>
      </c>
      <c r="P1161" s="21" t="n">
        <v>11.9</v>
      </c>
      <c r="Q1161" t="inlineStr">
        <is>
          <t>C07 C15</t>
        </is>
      </c>
      <c r="R1161" s="22" t="inlineStr">
        <is>
          <t>https://entrackr.com/snippets/dealshare-co-founders-startup-sports-for-life-raises-rs-2157-cr-in-series-a-10817397</t>
        </is>
      </c>
    </row>
    <row r="1162">
      <c r="A1162" t="inlineStr">
        <is>
          <t>R251127-tijori</t>
        </is>
      </c>
      <c r="B1162" t="inlineStr">
        <is>
          <t>Tijori</t>
        </is>
      </c>
      <c r="C1162" s="17" t="n">
        <v>45988</v>
      </c>
      <c r="D1162" s="18" t="n">
        <v>45962</v>
      </c>
      <c r="E1162" s="19" t="n">
        <v>5</v>
      </c>
      <c r="F1162" s="19" t="n">
        <v>44.7</v>
      </c>
      <c r="G1162" t="inlineStr">
        <is>
          <t>$5 million</t>
        </is>
      </c>
      <c r="H1162" t="inlineStr">
        <is>
          <t>Undisclosed</t>
        </is>
      </c>
      <c r="I1162" t="inlineStr">
        <is>
          <t>Undisclosed</t>
        </is>
      </c>
      <c r="J1162" t="inlineStr">
        <is>
          <t>Fintech</t>
        </is>
      </c>
      <c r="K1162" t="inlineStr">
        <is>
          <t>Bengaluru</t>
        </is>
      </c>
      <c r="L1162" t="inlineStr">
        <is>
          <t>Zerodha</t>
        </is>
      </c>
      <c r="M1162" t="inlineStr">
        <is>
          <t>Zerodha</t>
        </is>
      </c>
      <c r="N1162" t="inlineStr">
        <is>
          <t>entrackr | inc42</t>
        </is>
      </c>
      <c r="O1162" s="20" t="n">
        <v>2</v>
      </c>
      <c r="P1162" s="21" t="n">
        <v>0</v>
      </c>
      <c r="Q1162" t="inlineStr">
        <is>
          <t>C04</t>
        </is>
      </c>
      <c r="R1162" s="22" t="inlineStr">
        <is>
          <t>https://entrackr.com/news/zerodha-invests-5-mn-in-tijori-10817854</t>
        </is>
      </c>
    </row>
    <row r="1163">
      <c r="A1163" t="inlineStr">
        <is>
          <t>R251127-yuvritayurveda</t>
        </is>
      </c>
      <c r="B1163" t="inlineStr">
        <is>
          <t>Yuvrit Ayurveda</t>
        </is>
      </c>
      <c r="C1163" s="17" t="n">
        <v>45988</v>
      </c>
      <c r="D1163" s="18" t="n">
        <v>45962</v>
      </c>
      <c r="E1163" s="19" t="n">
        <v>0.8</v>
      </c>
      <c r="F1163" s="19" t="n">
        <v>7.15</v>
      </c>
      <c r="G1163" t="inlineStr">
        <is>
          <t>$800K</t>
        </is>
      </c>
      <c r="H1163" t="inlineStr">
        <is>
          <t>Seed</t>
        </is>
      </c>
      <c r="I1163" t="inlineStr">
        <is>
          <t>Early</t>
        </is>
      </c>
      <c r="J1163" t="inlineStr">
        <is>
          <t>Healthtech</t>
        </is>
      </c>
      <c r="K1163" t="inlineStr">
        <is>
          <t>Bengaluru</t>
        </is>
      </c>
      <c r="L1163" t="inlineStr">
        <is>
          <t>Incubate Fund Asia</t>
        </is>
      </c>
      <c r="M1163" t="inlineStr">
        <is>
          <t>Incubate Fund Asia</t>
        </is>
      </c>
      <c r="N1163" t="inlineStr">
        <is>
          <t>entrackr | inc42</t>
        </is>
      </c>
      <c r="O1163" s="20" t="n">
        <v>2</v>
      </c>
      <c r="P1163" s="21" t="n">
        <v>0</v>
      </c>
      <c r="Q1163" t="inlineStr"/>
      <c r="R1163" s="22" t="inlineStr">
        <is>
          <t>https://entrackr.com/snippets/yuvrit-ayurveda-raises-800k-in-seed-round-led-by-incubate-fund-asia-10816883</t>
        </is>
      </c>
    </row>
    <row r="1164">
      <c r="A1164" t="inlineStr">
        <is>
          <t>R251128-candisolar</t>
        </is>
      </c>
      <c r="B1164" t="inlineStr">
        <is>
          <t>Candi Solar</t>
        </is>
      </c>
      <c r="C1164" s="17" t="n">
        <v>45989</v>
      </c>
      <c r="D1164" s="18" t="n">
        <v>45962</v>
      </c>
      <c r="E1164" s="19" t="n">
        <v>58.5</v>
      </c>
      <c r="F1164" s="19" t="n">
        <v>523.46</v>
      </c>
      <c r="G1164" t="inlineStr">
        <is>
          <t>$58.5 million</t>
        </is>
      </c>
      <c r="H1164" t="inlineStr">
        <is>
          <t>Debt</t>
        </is>
      </c>
      <c r="I1164" t="inlineStr">
        <is>
          <t>Debt</t>
        </is>
      </c>
      <c r="J1164" t="inlineStr">
        <is>
          <t>Unclassified</t>
        </is>
      </c>
      <c r="K1164" t="inlineStr">
        <is>
          <t>Unknown</t>
        </is>
      </c>
      <c r="L1164" t="inlineStr">
        <is>
          <t>International Finance Corporation</t>
        </is>
      </c>
      <c r="M1164" t="inlineStr">
        <is>
          <t>International Finance Corporation</t>
        </is>
      </c>
      <c r="N1164" t="inlineStr">
        <is>
          <t>entrackr | vccircle</t>
        </is>
      </c>
      <c r="O1164" s="20" t="n">
        <v>2</v>
      </c>
      <c r="P1164" s="21" t="n">
        <v>0</v>
      </c>
      <c r="Q1164" t="inlineStr">
        <is>
          <t>C06 C07</t>
        </is>
      </c>
      <c r="R1164" s="22" t="inlineStr">
        <is>
          <t>https://entrackr.com/snippets/clean-energy-company-candi-solar-raises-585-mn-led-by-ifc-10820043</t>
        </is>
      </c>
    </row>
    <row r="1165">
      <c r="A1165" t="inlineStr">
        <is>
          <t>R251128-ripplr</t>
        </is>
      </c>
      <c r="B1165" t="inlineStr">
        <is>
          <t>Ripplr</t>
        </is>
      </c>
      <c r="C1165" s="17" t="n">
        <v>45989</v>
      </c>
      <c r="D1165" s="18" t="n">
        <v>45962</v>
      </c>
      <c r="E1165" s="19" t="n">
        <v>45</v>
      </c>
      <c r="F1165" s="19" t="n">
        <v>402.66</v>
      </c>
      <c r="G1165" t="inlineStr">
        <is>
          <t>$45 million</t>
        </is>
      </c>
      <c r="H1165" t="inlineStr">
        <is>
          <t>Series C</t>
        </is>
      </c>
      <c r="I1165" t="inlineStr">
        <is>
          <t>Growth</t>
        </is>
      </c>
      <c r="J1165" t="inlineStr">
        <is>
          <t>Logistics</t>
        </is>
      </c>
      <c r="K1165" t="inlineStr">
        <is>
          <t>Unknown</t>
        </is>
      </c>
      <c r="L1165" t="inlineStr"/>
      <c r="M1165" t="inlineStr">
        <is>
          <t>3one4 Capital; SBI; State Bank of India</t>
        </is>
      </c>
      <c r="N1165" t="inlineStr">
        <is>
          <t>entrackr | inc42</t>
        </is>
      </c>
      <c r="O1165" s="20" t="n">
        <v>2</v>
      </c>
      <c r="P1165" s="21" t="n">
        <v>0</v>
      </c>
      <c r="Q1165" t="inlineStr">
        <is>
          <t>C07</t>
        </is>
      </c>
      <c r="R1165" s="22" t="inlineStr">
        <is>
          <t>https://entrackr.com/news/ripplr-raises-45-mn-from-sbi-and-existing-investors-10820565</t>
        </is>
      </c>
    </row>
    <row r="1166">
      <c r="A1166" t="inlineStr">
        <is>
          <t>R251129-iztri</t>
        </is>
      </c>
      <c r="B1166" t="inlineStr">
        <is>
          <t>Iztri</t>
        </is>
      </c>
      <c r="C1166" s="17" t="n">
        <v>45990</v>
      </c>
      <c r="D1166" s="18" t="n">
        <v>45962</v>
      </c>
      <c r="E1166" s="19" t="n">
        <v>0.168</v>
      </c>
      <c r="F1166" s="19" t="n">
        <v>1.5</v>
      </c>
      <c r="G1166" t="inlineStr">
        <is>
          <t>Rs 1.5 crore</t>
        </is>
      </c>
      <c r="H1166" t="inlineStr">
        <is>
          <t>Seed</t>
        </is>
      </c>
      <c r="I1166" t="inlineStr">
        <is>
          <t>Early</t>
        </is>
      </c>
      <c r="J1166" t="inlineStr">
        <is>
          <t>Consumer Services</t>
        </is>
      </c>
      <c r="K1166" t="inlineStr">
        <is>
          <t>Bengaluru</t>
        </is>
      </c>
      <c r="L1166" t="inlineStr">
        <is>
          <t>Aviral Bhatnagar</t>
        </is>
      </c>
      <c r="M1166" t="inlineStr">
        <is>
          <t>Aviral Bhatnagar; AJVC</t>
        </is>
      </c>
      <c r="N1166" t="inlineStr">
        <is>
          <t>entrackr | inc42</t>
        </is>
      </c>
      <c r="O1166" s="20" t="n">
        <v>2</v>
      </c>
      <c r="P1166" s="21" t="n">
        <v>7.4</v>
      </c>
      <c r="Q1166" t="inlineStr">
        <is>
          <t>C18</t>
        </is>
      </c>
      <c r="R1166" s="22" t="inlineStr">
        <is>
          <t>https://entrackr.com/snippets/iztri-raises-rs-15-cr-in-pre-seed-round-from-ajvc-10827254</t>
        </is>
      </c>
    </row>
    <row r="1167">
      <c r="A1167" t="inlineStr">
        <is>
          <t>R251201-atomberg</t>
        </is>
      </c>
      <c r="B1167" t="inlineStr">
        <is>
          <t>Atomberg</t>
        </is>
      </c>
      <c r="C1167" s="17" t="n">
        <v>45992</v>
      </c>
      <c r="D1167" s="18" t="n">
        <v>45992</v>
      </c>
      <c r="E1167" s="19" t="n">
        <v>23.677</v>
      </c>
      <c r="F1167" s="19" t="n">
        <v>212</v>
      </c>
      <c r="G1167" t="inlineStr">
        <is>
          <t>Rs 212 crore</t>
        </is>
      </c>
      <c r="H1167" t="inlineStr">
        <is>
          <t>Series C</t>
        </is>
      </c>
      <c r="I1167" t="inlineStr">
        <is>
          <t>Growth</t>
        </is>
      </c>
      <c r="J1167" t="inlineStr">
        <is>
          <t>Ecommerce</t>
        </is>
      </c>
      <c r="K1167" t="inlineStr">
        <is>
          <t>Unknown</t>
        </is>
      </c>
      <c r="L1167" t="inlineStr">
        <is>
          <t>Jongsong Investments</t>
        </is>
      </c>
      <c r="M1167" t="inlineStr">
        <is>
          <t>Jongsong Investments; Sibabrata Das together</t>
        </is>
      </c>
      <c r="N1167" t="inlineStr">
        <is>
          <t>entrackr</t>
        </is>
      </c>
      <c r="O1167" s="20" t="n">
        <v>1</v>
      </c>
      <c r="P1167" s="21" t="n">
        <v>0</v>
      </c>
      <c r="Q1167" t="inlineStr">
        <is>
          <t>C07</t>
        </is>
      </c>
      <c r="R1167" s="22" t="inlineStr">
        <is>
          <t>https://entrackr.com/exclusive/exclusive-atomberg-raises-rs-212-cr-in-series-c-extension-led-by-temasek-10827810</t>
        </is>
      </c>
    </row>
    <row r="1168">
      <c r="A1168" t="inlineStr">
        <is>
          <t>R251201-finfactor</t>
        </is>
      </c>
      <c r="B1168" t="inlineStr">
        <is>
          <t>Finfactor</t>
        </is>
      </c>
      <c r="C1168" s="17" t="n">
        <v>45992</v>
      </c>
      <c r="D1168" s="18" t="n">
        <v>45992</v>
      </c>
      <c r="E1168" s="19" t="n">
        <v>15</v>
      </c>
      <c r="F1168" s="19" t="n">
        <v>134.31</v>
      </c>
      <c r="G1168" t="inlineStr">
        <is>
          <t>$15 million</t>
        </is>
      </c>
      <c r="H1168" t="inlineStr">
        <is>
          <t>Series A</t>
        </is>
      </c>
      <c r="I1168" t="inlineStr">
        <is>
          <t>Early</t>
        </is>
      </c>
      <c r="J1168" t="inlineStr">
        <is>
          <t>Fintech</t>
        </is>
      </c>
      <c r="K1168" t="inlineStr">
        <is>
          <t>Pune</t>
        </is>
      </c>
      <c r="L1168" t="inlineStr">
        <is>
          <t>WestBridge Capital</t>
        </is>
      </c>
      <c r="M1168" t="inlineStr">
        <is>
          <t>WestBridge Capital; Varanium Capital; DMI Sparkle Fund; IIFL</t>
        </is>
      </c>
      <c r="N1168" t="inlineStr">
        <is>
          <t>entrackr | inc42</t>
        </is>
      </c>
      <c r="O1168" s="20" t="n">
        <v>2</v>
      </c>
      <c r="P1168" s="21" t="n">
        <v>0</v>
      </c>
      <c r="Q1168" t="inlineStr"/>
      <c r="R1168" s="22" t="inlineStr">
        <is>
          <t>https://entrackr.com/news/finfactor-raises-15-mn-in-series-a-led-by-westbridge-10828669</t>
        </is>
      </c>
    </row>
    <row r="1169">
      <c r="A1169" t="inlineStr">
        <is>
          <t>R251201-finvu</t>
        </is>
      </c>
      <c r="B1169" t="inlineStr">
        <is>
          <t>Finvu</t>
        </is>
      </c>
      <c r="C1169" s="17" t="n">
        <v>45992</v>
      </c>
      <c r="D1169" s="18" t="n">
        <v>45992</v>
      </c>
      <c r="E1169" s="19" t="n">
        <v>15</v>
      </c>
      <c r="F1169" s="19" t="n">
        <v>134.31</v>
      </c>
      <c r="G1169" t="inlineStr">
        <is>
          <t>$15 million</t>
        </is>
      </c>
      <c r="H1169" t="inlineStr">
        <is>
          <t>Undisclosed</t>
        </is>
      </c>
      <c r="I1169" t="inlineStr">
        <is>
          <t>Undisclosed</t>
        </is>
      </c>
      <c r="J1169" t="inlineStr">
        <is>
          <t>Unclassified</t>
        </is>
      </c>
      <c r="K1169" t="inlineStr">
        <is>
          <t>Pune</t>
        </is>
      </c>
      <c r="L1169" t="inlineStr">
        <is>
          <t>WestBridge Capital</t>
        </is>
      </c>
      <c r="M1169" t="inlineStr">
        <is>
          <t>WestBridge Capital; Varanium Capital; DMI Sparkle Fund; IIFL Fintech Fund</t>
        </is>
      </c>
      <c r="N1169" t="inlineStr">
        <is>
          <t>et</t>
        </is>
      </c>
      <c r="O1169" s="20" t="n">
        <v>1</v>
      </c>
      <c r="P1169" s="21" t="n">
        <v>0</v>
      </c>
      <c r="Q1169" t="inlineStr">
        <is>
          <t>C04 C06</t>
        </is>
      </c>
      <c r="R1169" s="22" t="inlineStr">
        <is>
          <t>https://economictimes.indiatimes.com/tech/funding/account-aggregator-finvu-secures-15-million-from-westbridge-capital-existing-investors/articleshow/125692723.cms</t>
        </is>
      </c>
    </row>
    <row r="1170">
      <c r="A1170" t="inlineStr">
        <is>
          <t>R251202-getreplies</t>
        </is>
      </c>
      <c r="B1170" t="inlineStr">
        <is>
          <t>GetReplies</t>
        </is>
      </c>
      <c r="C1170" s="17" t="n">
        <v>45993</v>
      </c>
      <c r="D1170" s="18" t="n">
        <v>45992</v>
      </c>
      <c r="E1170" s="19" t="n">
        <v>1</v>
      </c>
      <c r="F1170" s="19" t="n">
        <v>9</v>
      </c>
      <c r="G1170" t="inlineStr">
        <is>
          <t>$1 Mn</t>
        </is>
      </c>
      <c r="H1170" t="inlineStr">
        <is>
          <t>Seed</t>
        </is>
      </c>
      <c r="I1170" t="inlineStr">
        <is>
          <t>Early</t>
        </is>
      </c>
      <c r="J1170" t="inlineStr">
        <is>
          <t>Artificial Intelligence</t>
        </is>
      </c>
      <c r="K1170" t="inlineStr">
        <is>
          <t>Unknown</t>
        </is>
      </c>
      <c r="L1170" t="inlineStr">
        <is>
          <t>Patni Family Office</t>
        </is>
      </c>
      <c r="M1170" t="inlineStr">
        <is>
          <t>Patni Family Office</t>
        </is>
      </c>
      <c r="N1170" t="inlineStr">
        <is>
          <t>inc42</t>
        </is>
      </c>
      <c r="O1170" s="20" t="n">
        <v>1</v>
      </c>
      <c r="P1170" s="21" t="n">
        <v>0</v>
      </c>
      <c r="Q1170" t="inlineStr">
        <is>
          <t>C07</t>
        </is>
      </c>
      <c r="R1170" s="22" t="inlineStr">
        <is>
          <t>https://inc42.com/buzz/from-ultraviolette-to-furlenco-indian-startups-raised-133-mn-this-week/</t>
        </is>
      </c>
    </row>
    <row r="1171">
      <c r="A1171" t="inlineStr">
        <is>
          <t>R251202-modulushousing</t>
        </is>
      </c>
      <c r="B1171" t="inlineStr">
        <is>
          <t>Modulus Housing</t>
        </is>
      </c>
      <c r="C1171" s="17" t="n">
        <v>45993</v>
      </c>
      <c r="D1171" s="18" t="n">
        <v>45992</v>
      </c>
      <c r="E1171" s="19" t="n">
        <v>7.782</v>
      </c>
      <c r="F1171" s="19" t="n">
        <v>70</v>
      </c>
      <c r="G1171" t="inlineStr">
        <is>
          <t>Rs 70 crore</t>
        </is>
      </c>
      <c r="H1171" t="inlineStr">
        <is>
          <t>Seed</t>
        </is>
      </c>
      <c r="I1171" t="inlineStr">
        <is>
          <t>Early</t>
        </is>
      </c>
      <c r="J1171" t="inlineStr">
        <is>
          <t>Real Estate Tech</t>
        </is>
      </c>
      <c r="K1171" t="inlineStr">
        <is>
          <t>Chennai</t>
        </is>
      </c>
      <c r="L1171" t="inlineStr">
        <is>
          <t>Kalaari Capital; Hero Group; Samarthya Investments</t>
        </is>
      </c>
      <c r="M1171" t="inlineStr">
        <is>
          <t>Kalaari Capital; Hero Group; Samarthya Investments; SVAS Strategic Management; Sigma Ventures; Srinath Ramakkrushnan; Sanjiv Rangrass</t>
        </is>
      </c>
      <c r="N1171" t="inlineStr">
        <is>
          <t>entrackr | inc42 | vccircle</t>
        </is>
      </c>
      <c r="O1171" s="20" t="n">
        <v>3</v>
      </c>
      <c r="P1171" s="21" t="n">
        <v>1.1</v>
      </c>
      <c r="Q1171" t="inlineStr">
        <is>
          <t>C18</t>
        </is>
      </c>
      <c r="R1171" s="22" t="inlineStr">
        <is>
          <t>https://entrackr.com/news/modulus-housing-raises-rs-70-cr-in-series-a-round-10830476</t>
        </is>
      </c>
    </row>
    <row r="1172">
      <c r="A1172" t="inlineStr">
        <is>
          <t>R251202-stockgro</t>
        </is>
      </c>
      <c r="B1172" t="inlineStr">
        <is>
          <t>StockGro</t>
        </is>
      </c>
      <c r="C1172" s="17" t="n">
        <v>45993</v>
      </c>
      <c r="D1172" s="18" t="n">
        <v>45992</v>
      </c>
      <c r="E1172" s="19" t="n">
        <v>16.7</v>
      </c>
      <c r="F1172" s="19" t="n">
        <v>150.22</v>
      </c>
      <c r="G1172" t="inlineStr">
        <is>
          <t>$16.7 Mn</t>
        </is>
      </c>
      <c r="H1172" t="inlineStr">
        <is>
          <t>Series B</t>
        </is>
      </c>
      <c r="I1172" t="inlineStr">
        <is>
          <t>Growth</t>
        </is>
      </c>
      <c r="J1172" t="inlineStr">
        <is>
          <t>Fintech</t>
        </is>
      </c>
      <c r="K1172" t="inlineStr">
        <is>
          <t>Bengaluru</t>
        </is>
      </c>
      <c r="L1172" t="inlineStr">
        <is>
          <t>Mukul Agrawal</t>
        </is>
      </c>
      <c r="M1172" t="inlineStr">
        <is>
          <t>Mukul Agrawal</t>
        </is>
      </c>
      <c r="N1172" t="inlineStr">
        <is>
          <t>inc42 | vccircle</t>
        </is>
      </c>
      <c r="O1172" s="20" t="n">
        <v>2</v>
      </c>
      <c r="P1172" s="21" t="n">
        <v>0</v>
      </c>
      <c r="Q1172" t="inlineStr"/>
      <c r="R1172" s="22" t="inlineStr">
        <is>
          <t>https://inc42.com/buzz/from-ultraviolette-to-furlenco-indian-startups-raised-133-mn-this-week/</t>
        </is>
      </c>
    </row>
    <row r="1173">
      <c r="A1173" t="inlineStr">
        <is>
          <t>R251202-superhealth</t>
        </is>
      </c>
      <c r="B1173" t="inlineStr">
        <is>
          <t>Superhealth</t>
        </is>
      </c>
      <c r="C1173" s="17" t="n">
        <v>45993</v>
      </c>
      <c r="D1173" s="18" t="n">
        <v>45992</v>
      </c>
      <c r="E1173" s="19" t="n"/>
      <c r="F1173" s="19" t="n"/>
      <c r="G1173" t="inlineStr"/>
      <c r="H1173" t="inlineStr">
        <is>
          <t>Undisclosed</t>
        </is>
      </c>
      <c r="I1173" t="inlineStr">
        <is>
          <t>Undisclosed</t>
        </is>
      </c>
      <c r="J1173" t="inlineStr">
        <is>
          <t>Healthtech</t>
        </is>
      </c>
      <c r="K1173" t="inlineStr">
        <is>
          <t>Unknown</t>
        </is>
      </c>
      <c r="L1173" t="inlineStr"/>
      <c r="M1173" t="inlineStr">
        <is>
          <t>MS Dhoni Famli Office; Panthera Peak Capital</t>
        </is>
      </c>
      <c r="N1173" t="inlineStr">
        <is>
          <t>inc42</t>
        </is>
      </c>
      <c r="O1173" s="20" t="n">
        <v>1</v>
      </c>
      <c r="P1173" s="21" t="n"/>
      <c r="Q1173" t="inlineStr">
        <is>
          <t>C03 C04 C07</t>
        </is>
      </c>
      <c r="R1173" s="22" t="inlineStr">
        <is>
          <t>https://inc42.com/buzz/from-ultraviolette-to-furlenco-indian-startups-raised-133-mn-this-week/</t>
        </is>
      </c>
    </row>
    <row r="1174">
      <c r="A1174" t="inlineStr">
        <is>
          <t>R251203-yoodli</t>
        </is>
      </c>
      <c r="B1174" t="inlineStr">
        <is>
          <t>Yoodli</t>
        </is>
      </c>
      <c r="C1174" s="17" t="n">
        <v>45993</v>
      </c>
      <c r="D1174" s="18" t="n">
        <v>45992</v>
      </c>
      <c r="E1174" s="19" t="n">
        <v>40</v>
      </c>
      <c r="F1174" s="19" t="n">
        <v>359.8</v>
      </c>
      <c r="G1174" t="inlineStr">
        <is>
          <t>$40 million</t>
        </is>
      </c>
      <c r="H1174" t="inlineStr">
        <is>
          <t>Series B</t>
        </is>
      </c>
      <c r="I1174" t="inlineStr">
        <is>
          <t>Growth</t>
        </is>
      </c>
      <c r="J1174" t="inlineStr">
        <is>
          <t>Artificial Intelligence</t>
        </is>
      </c>
      <c r="K1174" t="inlineStr">
        <is>
          <t>Unknown</t>
        </is>
      </c>
      <c r="L1174" t="inlineStr">
        <is>
          <t>WestBridge Capital</t>
        </is>
      </c>
      <c r="M1174" t="inlineStr">
        <is>
          <t>WestBridge Capital; Neotribe; Madrona</t>
        </is>
      </c>
      <c r="N1174" t="inlineStr">
        <is>
          <t>entrackr | et</t>
        </is>
      </c>
      <c r="O1174" s="20" t="n">
        <v>2</v>
      </c>
      <c r="P1174" s="21" t="n">
        <v>0</v>
      </c>
      <c r="Q1174" t="inlineStr">
        <is>
          <t>C07</t>
        </is>
      </c>
      <c r="R1174" s="22" t="inlineStr">
        <is>
          <t>https://economictimes.indiatimes.com/tech/funding/learning-platform-yoodli-raises-40-million-in-round-led-by-westbridge-capital/articleshow/125721978.cms</t>
        </is>
      </c>
    </row>
    <row r="1175">
      <c r="A1175" t="inlineStr">
        <is>
          <t>R251203-furlenco</t>
        </is>
      </c>
      <c r="B1175" t="inlineStr">
        <is>
          <t>Furlenco</t>
        </is>
      </c>
      <c r="C1175" s="17" t="n">
        <v>45994</v>
      </c>
      <c r="D1175" s="18" t="n">
        <v>45992</v>
      </c>
      <c r="E1175" s="19" t="n">
        <v>13.863</v>
      </c>
      <c r="F1175" s="19" t="n">
        <v>125</v>
      </c>
      <c r="G1175" t="inlineStr">
        <is>
          <t>Rs 125 crore</t>
        </is>
      </c>
      <c r="H1175" t="inlineStr">
        <is>
          <t>Undisclosed</t>
        </is>
      </c>
      <c r="I1175" t="inlineStr">
        <is>
          <t>Undisclosed</t>
        </is>
      </c>
      <c r="J1175" t="inlineStr">
        <is>
          <t>Ecommerce</t>
        </is>
      </c>
      <c r="K1175" t="inlineStr">
        <is>
          <t>Unknown</t>
        </is>
      </c>
      <c r="L1175" t="inlineStr">
        <is>
          <t>Sheela Foam</t>
        </is>
      </c>
      <c r="M1175" t="inlineStr">
        <is>
          <t>Sheela Foam; WhiteOak Capital; Madhu Kela</t>
        </is>
      </c>
      <c r="N1175" t="inlineStr">
        <is>
          <t>entrackr | inc42 | vccircle</t>
        </is>
      </c>
      <c r="O1175" s="20" t="n">
        <v>3</v>
      </c>
      <c r="P1175" s="21" t="n">
        <v>0.3</v>
      </c>
      <c r="Q1175" t="inlineStr">
        <is>
          <t>C04 C07</t>
        </is>
      </c>
      <c r="R1175" s="22" t="inlineStr">
        <is>
          <t>https://entrackr.com/news/furlenco-raises-rs-125-cr-from-sheela-foam-and-others-10867252</t>
        </is>
      </c>
    </row>
    <row r="1176">
      <c r="A1176" t="inlineStr">
        <is>
          <t>R251203-mannjal</t>
        </is>
      </c>
      <c r="B1176" t="inlineStr">
        <is>
          <t>Mannjal</t>
        </is>
      </c>
      <c r="C1176" s="17" t="n">
        <v>45994</v>
      </c>
      <c r="D1176" s="18" t="n">
        <v>45992</v>
      </c>
      <c r="E1176" s="19" t="n">
        <v>1.941</v>
      </c>
      <c r="F1176" s="19" t="n">
        <v>17.5</v>
      </c>
      <c r="G1176" t="inlineStr">
        <is>
          <t>Rs 17.5 crore</t>
        </is>
      </c>
      <c r="H1176" t="inlineStr">
        <is>
          <t>Seed</t>
        </is>
      </c>
      <c r="I1176" t="inlineStr">
        <is>
          <t>Early</t>
        </is>
      </c>
      <c r="J1176" t="inlineStr">
        <is>
          <t>Fintech</t>
        </is>
      </c>
      <c r="K1176" t="inlineStr">
        <is>
          <t>Bengaluru</t>
        </is>
      </c>
      <c r="L1176" t="inlineStr">
        <is>
          <t>Arali Ventures; B Capital</t>
        </is>
      </c>
      <c r="M1176" t="inlineStr">
        <is>
          <t>Arali Ventures; B Capital; Sparrow Capital; Gemba Capital</t>
        </is>
      </c>
      <c r="N1176" t="inlineStr">
        <is>
          <t>entrackr | inc42 | et</t>
        </is>
      </c>
      <c r="O1176" s="20" t="n">
        <v>3</v>
      </c>
      <c r="P1176" s="21" t="n">
        <v>3.1</v>
      </c>
      <c r="Q1176" t="inlineStr"/>
      <c r="R1176" s="22" t="inlineStr">
        <is>
          <t>https://entrackr.com/snippets/lending-platform-mannjal-raises-rs-175-cr-led-by-arali-ventures-10871729</t>
        </is>
      </c>
    </row>
    <row r="1177">
      <c r="A1177" t="inlineStr">
        <is>
          <t>R251203-mirrorsecurity</t>
        </is>
      </c>
      <c r="B1177" t="inlineStr">
        <is>
          <t>Mirror Security</t>
        </is>
      </c>
      <c r="C1177" s="17" t="n">
        <v>45994</v>
      </c>
      <c r="D1177" s="18" t="n">
        <v>45992</v>
      </c>
      <c r="E1177" s="19" t="n">
        <v>2.5</v>
      </c>
      <c r="F1177" s="19" t="n">
        <v>22.54</v>
      </c>
      <c r="G1177" t="inlineStr">
        <is>
          <t>$2.5 million</t>
        </is>
      </c>
      <c r="H1177" t="inlineStr">
        <is>
          <t>Pre-Seed</t>
        </is>
      </c>
      <c r="I1177" t="inlineStr">
        <is>
          <t>Early</t>
        </is>
      </c>
      <c r="J1177" t="inlineStr">
        <is>
          <t>Enterprise Tech</t>
        </is>
      </c>
      <c r="K1177" t="inlineStr">
        <is>
          <t>Unknown</t>
        </is>
      </c>
      <c r="L1177" t="inlineStr">
        <is>
          <t>Sure Valley Ventures; Atlantic Bridge</t>
        </is>
      </c>
      <c r="M1177" t="inlineStr">
        <is>
          <t>Sure Valley Ventures; Atlantic Bridge</t>
        </is>
      </c>
      <c r="N1177" t="inlineStr">
        <is>
          <t>entrackr | inc42</t>
        </is>
      </c>
      <c r="O1177" s="20" t="n">
        <v>2</v>
      </c>
      <c r="P1177" s="21" t="n">
        <v>0</v>
      </c>
      <c r="Q1177" t="inlineStr">
        <is>
          <t>C07</t>
        </is>
      </c>
      <c r="R1177" s="22" t="inlineStr">
        <is>
          <t>https://entrackr.com/snippets/mirror-security-raises-25-mn-from-sure-valley-ventures-and-atlantic-bridge-10868401</t>
        </is>
      </c>
    </row>
    <row r="1178">
      <c r="A1178" t="inlineStr">
        <is>
          <t>R251203-moonrider</t>
        </is>
      </c>
      <c r="B1178" t="inlineStr">
        <is>
          <t>Moonrider</t>
        </is>
      </c>
      <c r="C1178" s="17" t="n">
        <v>45994</v>
      </c>
      <c r="D1178" s="18" t="n">
        <v>45992</v>
      </c>
      <c r="E1178" s="19" t="n">
        <v>6</v>
      </c>
      <c r="F1178" s="19" t="n">
        <v>54.1</v>
      </c>
      <c r="G1178" t="inlineStr">
        <is>
          <t>$6 million</t>
        </is>
      </c>
      <c r="H1178" t="inlineStr">
        <is>
          <t>Series A</t>
        </is>
      </c>
      <c r="I1178" t="inlineStr">
        <is>
          <t>Early</t>
        </is>
      </c>
      <c r="J1178" t="inlineStr">
        <is>
          <t>Cleantech</t>
        </is>
      </c>
      <c r="K1178" t="inlineStr">
        <is>
          <t>Bengaluru</t>
        </is>
      </c>
      <c r="L1178" t="inlineStr">
        <is>
          <t>Pi Ventures</t>
        </is>
      </c>
      <c r="M1178" t="inlineStr">
        <is>
          <t>Singularity AMC; Micelio Fund; Pi Ventures</t>
        </is>
      </c>
      <c r="N1178" t="inlineStr">
        <is>
          <t>entrackr | inc42 | et</t>
        </is>
      </c>
      <c r="O1178" s="20" t="n">
        <v>3</v>
      </c>
      <c r="P1178" s="21" t="n">
        <v>0</v>
      </c>
      <c r="Q1178" t="inlineStr"/>
      <c r="R1178" s="22" t="inlineStr">
        <is>
          <t>https://entrackr.com/snippets/moonrider-raises-6-mn-in-series-a-round-led-by-pi-ventures-10866866</t>
        </is>
      </c>
    </row>
    <row r="1179">
      <c r="A1179" t="inlineStr">
        <is>
          <t>R251203-replyall</t>
        </is>
      </c>
      <c r="B1179" t="inlineStr">
        <is>
          <t>ReplyAll</t>
        </is>
      </c>
      <c r="C1179" s="17" t="n">
        <v>45994</v>
      </c>
      <c r="D1179" s="18" t="n">
        <v>45992</v>
      </c>
      <c r="E1179" s="19" t="n">
        <v>0.754</v>
      </c>
      <c r="F1179" s="19" t="n">
        <v>6.8</v>
      </c>
      <c r="G1179" t="inlineStr">
        <is>
          <t>Rs 6.8 crore</t>
        </is>
      </c>
      <c r="H1179" t="inlineStr">
        <is>
          <t>Seed</t>
        </is>
      </c>
      <c r="I1179" t="inlineStr">
        <is>
          <t>Early</t>
        </is>
      </c>
      <c r="J1179" t="inlineStr">
        <is>
          <t>Ecommerce</t>
        </is>
      </c>
      <c r="K1179" t="inlineStr">
        <is>
          <t>Bengaluru</t>
        </is>
      </c>
      <c r="L1179" t="inlineStr">
        <is>
          <t>Sparrow Capital; Antler India</t>
        </is>
      </c>
      <c r="M1179" t="inlineStr">
        <is>
          <t>Sparrow Capital; Antler India; Bharat Founders Fund; DeVC; Shantanu Deshpande; Revant Bhate; Ashish Goel; Sangeet Agarwal; Navin Parwal; Nikhil Bhandarkar; Arjun Vaidya</t>
        </is>
      </c>
      <c r="N1179" t="inlineStr">
        <is>
          <t>entrackr | inc42</t>
        </is>
      </c>
      <c r="O1179" s="20" t="n">
        <v>2</v>
      </c>
      <c r="P1179" s="21" t="n">
        <v>0.2</v>
      </c>
      <c r="Q1179" t="inlineStr"/>
      <c r="R1179" s="22" t="inlineStr">
        <is>
          <t>https://entrackr.com/snippets/apparel-brand-replyall-raises-rs-68-cr-led-by-sparrow-capital-10867036</t>
        </is>
      </c>
    </row>
    <row r="1180">
      <c r="A1180" t="inlineStr">
        <is>
          <t>R251204-ayekart</t>
        </is>
      </c>
      <c r="B1180" t="inlineStr">
        <is>
          <t>Ayekart</t>
        </is>
      </c>
      <c r="C1180" s="17" t="n">
        <v>45995</v>
      </c>
      <c r="D1180" s="18" t="n">
        <v>45992</v>
      </c>
      <c r="E1180" s="19" t="n">
        <v>6.5</v>
      </c>
      <c r="F1180" s="19" t="n">
        <v>58.42</v>
      </c>
      <c r="G1180" t="inlineStr">
        <is>
          <t>$6.5 Mn</t>
        </is>
      </c>
      <c r="H1180" t="inlineStr">
        <is>
          <t>Debt</t>
        </is>
      </c>
      <c r="I1180" t="inlineStr">
        <is>
          <t>Debt</t>
        </is>
      </c>
      <c r="J1180" t="inlineStr">
        <is>
          <t>Agritech</t>
        </is>
      </c>
      <c r="K1180" t="inlineStr">
        <is>
          <t>Unknown</t>
        </is>
      </c>
      <c r="L1180" t="inlineStr">
        <is>
          <t>Symbiotics Investments</t>
        </is>
      </c>
      <c r="M1180" t="inlineStr">
        <is>
          <t>Symbiotics Investments</t>
        </is>
      </c>
      <c r="N1180" t="inlineStr">
        <is>
          <t>inc42</t>
        </is>
      </c>
      <c r="O1180" s="20" t="n">
        <v>1</v>
      </c>
      <c r="P1180" s="21" t="n">
        <v>0</v>
      </c>
      <c r="Q1180" t="inlineStr">
        <is>
          <t>C07</t>
        </is>
      </c>
      <c r="R1180" s="22" t="inlineStr">
        <is>
          <t>https://inc42.com/buzz/from-ultraviolette-to-furlenco-indian-startups-raised-133-mn-this-week/</t>
        </is>
      </c>
    </row>
    <row r="1181">
      <c r="A1181" t="inlineStr">
        <is>
          <t>R251204-coreopsai</t>
        </is>
      </c>
      <c r="B1181" t="inlineStr">
        <is>
          <t>CoreOps.AI</t>
        </is>
      </c>
      <c r="C1181" s="17" t="n">
        <v>45995</v>
      </c>
      <c r="D1181" s="18" t="n">
        <v>45992</v>
      </c>
      <c r="E1181" s="19" t="n">
        <v>3.5</v>
      </c>
      <c r="F1181" s="19" t="n">
        <v>31.45</v>
      </c>
      <c r="G1181" t="inlineStr">
        <is>
          <t>$3.5 million</t>
        </is>
      </c>
      <c r="H1181" t="inlineStr">
        <is>
          <t>Pre-Series A</t>
        </is>
      </c>
      <c r="I1181" t="inlineStr">
        <is>
          <t>Early</t>
        </is>
      </c>
      <c r="J1181" t="inlineStr">
        <is>
          <t>Artificial Intelligence</t>
        </is>
      </c>
      <c r="K1181" t="inlineStr">
        <is>
          <t>Unknown</t>
        </is>
      </c>
      <c r="L1181" t="inlineStr">
        <is>
          <t>Siana Capital Management</t>
        </is>
      </c>
      <c r="M1181" t="inlineStr">
        <is>
          <t>Siana Capital Management; Kettleborough VC; Aroa Venture Partners; Arora Venture Partners</t>
        </is>
      </c>
      <c r="N1181" t="inlineStr">
        <is>
          <t>entrackr | inc42 | et</t>
        </is>
      </c>
      <c r="O1181" s="20" t="n">
        <v>3</v>
      </c>
      <c r="P1181" s="21" t="n">
        <v>0</v>
      </c>
      <c r="Q1181" t="inlineStr">
        <is>
          <t>C07</t>
        </is>
      </c>
      <c r="R1181" s="22" t="inlineStr">
        <is>
          <t>https://entrackr.com/snippets/coreopsai-raises-35-mn-in-pre-series-a-round-led-by-siana-capital-10880078</t>
        </is>
      </c>
    </row>
    <row r="1182">
      <c r="A1182" t="inlineStr">
        <is>
          <t>R251204-inmobi</t>
        </is>
      </c>
      <c r="B1182" t="inlineStr">
        <is>
          <t>InMobi</t>
        </is>
      </c>
      <c r="C1182" s="17" t="n">
        <v>45995</v>
      </c>
      <c r="D1182" s="18" t="n">
        <v>45992</v>
      </c>
      <c r="E1182" s="19" t="n">
        <v>350</v>
      </c>
      <c r="F1182" s="19" t="n">
        <v>3145.45</v>
      </c>
      <c r="G1182" t="inlineStr">
        <is>
          <t>$350 million</t>
        </is>
      </c>
      <c r="H1182" t="inlineStr">
        <is>
          <t>Undisclosed</t>
        </is>
      </c>
      <c r="I1182" t="inlineStr">
        <is>
          <t>Undisclosed</t>
        </is>
      </c>
      <c r="J1182" t="inlineStr">
        <is>
          <t>Unclassified</t>
        </is>
      </c>
      <c r="K1182" t="inlineStr">
        <is>
          <t>Unknown</t>
        </is>
      </c>
      <c r="L1182" t="inlineStr"/>
      <c r="M1182" t="inlineStr">
        <is>
          <t>Varde Partners; Elham Credit Partners; SeaTown Holdings</t>
        </is>
      </c>
      <c r="N1182" t="inlineStr">
        <is>
          <t>et</t>
        </is>
      </c>
      <c r="O1182" s="20" t="n">
        <v>1</v>
      </c>
      <c r="P1182" s="21" t="n">
        <v>0</v>
      </c>
      <c r="Q1182" t="inlineStr">
        <is>
          <t>C04 C06 C07</t>
        </is>
      </c>
      <c r="R1182" s="22" t="inlineStr">
        <is>
          <t>https://economictimes.indiatimes.com/tech/funding/ipo-bound-inmobi-gets-350-million-from-varde-elham-seatown/articleshow/125751688.cms</t>
        </is>
      </c>
    </row>
    <row r="1183">
      <c r="A1183" t="inlineStr">
        <is>
          <t>R251204-planystechnolo</t>
        </is>
      </c>
      <c r="B1183" t="inlineStr">
        <is>
          <t>Planys Technologies</t>
        </is>
      </c>
      <c r="C1183" s="17" t="n">
        <v>45995</v>
      </c>
      <c r="D1183" s="18" t="n">
        <v>45992</v>
      </c>
      <c r="E1183" s="19" t="n">
        <v>11.1</v>
      </c>
      <c r="F1183" s="19" t="n">
        <v>99.76000000000001</v>
      </c>
      <c r="G1183" t="inlineStr">
        <is>
          <t>$11.1 Mn</t>
        </is>
      </c>
      <c r="H1183" t="inlineStr">
        <is>
          <t>Undisclosed</t>
        </is>
      </c>
      <c r="I1183" t="inlineStr">
        <is>
          <t>Undisclosed</t>
        </is>
      </c>
      <c r="J1183" t="inlineStr">
        <is>
          <t>Advanced Hardware &amp; Technology</t>
        </is>
      </c>
      <c r="K1183" t="inlineStr">
        <is>
          <t>Unknown</t>
        </is>
      </c>
      <c r="L1183" t="inlineStr">
        <is>
          <t>Ashish Kacholia; Lashit Sanghvi</t>
        </is>
      </c>
      <c r="M1183" t="inlineStr">
        <is>
          <t>Ashish Kacholia; Lashit Sanghvi; Pratithi Investment; Samarthya Investment Advisors; 3i Partners; Letsventure</t>
        </is>
      </c>
      <c r="N1183" t="inlineStr">
        <is>
          <t>inc42</t>
        </is>
      </c>
      <c r="O1183" s="20" t="n">
        <v>1</v>
      </c>
      <c r="P1183" s="21" t="n">
        <v>0</v>
      </c>
      <c r="Q1183" t="inlineStr">
        <is>
          <t>C04 C07</t>
        </is>
      </c>
      <c r="R1183" s="22" t="inlineStr">
        <is>
          <t>https://inc42.com/buzz/from-ultraviolette-to-furlenco-indian-startups-raised-133-mn-this-week/</t>
        </is>
      </c>
    </row>
    <row r="1184">
      <c r="A1184" t="inlineStr">
        <is>
          <t>R251204-tidasports</t>
        </is>
      </c>
      <c r="B1184" t="inlineStr">
        <is>
          <t>TIDA Sports</t>
        </is>
      </c>
      <c r="C1184" s="17" t="n">
        <v>45995</v>
      </c>
      <c r="D1184" s="18" t="n">
        <v>45992</v>
      </c>
      <c r="E1184" s="19" t="n">
        <v>0.334</v>
      </c>
      <c r="F1184" s="19" t="n">
        <v>3</v>
      </c>
      <c r="G1184" t="inlineStr">
        <is>
          <t>Rs 3 crore</t>
        </is>
      </c>
      <c r="H1184" t="inlineStr">
        <is>
          <t>Seed</t>
        </is>
      </c>
      <c r="I1184" t="inlineStr">
        <is>
          <t>Early</t>
        </is>
      </c>
      <c r="J1184" t="inlineStr">
        <is>
          <t>Consumer Services</t>
        </is>
      </c>
      <c r="K1184" t="inlineStr">
        <is>
          <t>Chandigarh</t>
        </is>
      </c>
      <c r="L1184" t="inlineStr">
        <is>
          <t>Inflection Point Ventures</t>
        </is>
      </c>
      <c r="M1184" t="inlineStr">
        <is>
          <t>Inflection Point Ventures</t>
        </is>
      </c>
      <c r="N1184" t="inlineStr">
        <is>
          <t>entrackr | inc42</t>
        </is>
      </c>
      <c r="O1184" s="20" t="n">
        <v>2</v>
      </c>
      <c r="P1184" s="21" t="n">
        <v>0.2</v>
      </c>
      <c r="Q1184" t="inlineStr"/>
      <c r="R1184" s="22" t="inlineStr">
        <is>
          <t>https://entrackr.com/snippets/tida-sports-raises-seed-round-led-by-ipv-10881092</t>
        </is>
      </c>
    </row>
    <row r="1185">
      <c r="A1185" t="inlineStr">
        <is>
          <t>R251204-ultraviolette</t>
        </is>
      </c>
      <c r="B1185" t="inlineStr">
        <is>
          <t>Ultraviolette</t>
        </is>
      </c>
      <c r="C1185" s="17" t="n">
        <v>45995</v>
      </c>
      <c r="D1185" s="18" t="n">
        <v>45992</v>
      </c>
      <c r="E1185" s="19" t="n">
        <v>45</v>
      </c>
      <c r="F1185" s="19" t="n">
        <v>404.42</v>
      </c>
      <c r="G1185" t="inlineStr">
        <is>
          <t>$45 million</t>
        </is>
      </c>
      <c r="H1185" t="inlineStr">
        <is>
          <t>Series E</t>
        </is>
      </c>
      <c r="I1185" t="inlineStr">
        <is>
          <t>Late</t>
        </is>
      </c>
      <c r="J1185" t="inlineStr">
        <is>
          <t>Cleantech</t>
        </is>
      </c>
      <c r="K1185" t="inlineStr">
        <is>
          <t>Bengaluru</t>
        </is>
      </c>
      <c r="L1185" t="inlineStr"/>
      <c r="M1185" t="inlineStr">
        <is>
          <t>Zoho; Lingotto</t>
        </is>
      </c>
      <c r="N1185" t="inlineStr">
        <is>
          <t>entrackr | inc42 | et</t>
        </is>
      </c>
      <c r="O1185" s="20" t="n">
        <v>3</v>
      </c>
      <c r="P1185" s="21" t="n">
        <v>0</v>
      </c>
      <c r="Q1185" t="inlineStr"/>
      <c r="R1185" s="22" t="inlineStr">
        <is>
          <t>https://entrackr.com/news/zoho-backed-ultraviolette-raises-45-mn-in-ongoing-series-e-round-10880900</t>
        </is>
      </c>
    </row>
    <row r="1186">
      <c r="A1186" t="inlineStr">
        <is>
          <t>R251205-redapto</t>
        </is>
      </c>
      <c r="B1186" t="inlineStr">
        <is>
          <t>Redapto</t>
        </is>
      </c>
      <c r="C1186" s="17" t="n">
        <v>45996</v>
      </c>
      <c r="D1186" s="18" t="n">
        <v>45992</v>
      </c>
      <c r="E1186" s="19" t="n">
        <v>0.5</v>
      </c>
      <c r="F1186" s="19" t="n">
        <v>4.5</v>
      </c>
      <c r="G1186" t="inlineStr">
        <is>
          <t>$500K</t>
        </is>
      </c>
      <c r="H1186" t="inlineStr">
        <is>
          <t>Pre-Seed</t>
        </is>
      </c>
      <c r="I1186" t="inlineStr">
        <is>
          <t>Early</t>
        </is>
      </c>
      <c r="J1186" t="inlineStr">
        <is>
          <t>Artificial Intelligence</t>
        </is>
      </c>
      <c r="K1186" t="inlineStr">
        <is>
          <t>Unknown</t>
        </is>
      </c>
      <c r="L1186" t="inlineStr">
        <is>
          <t>Y Combinator</t>
        </is>
      </c>
      <c r="M1186" t="inlineStr">
        <is>
          <t>Y Combinator</t>
        </is>
      </c>
      <c r="N1186" t="inlineStr">
        <is>
          <t>entrackr | inc42</t>
        </is>
      </c>
      <c r="O1186" s="20" t="n">
        <v>2</v>
      </c>
      <c r="P1186" s="21" t="n">
        <v>0</v>
      </c>
      <c r="Q1186" t="inlineStr">
        <is>
          <t>C07</t>
        </is>
      </c>
      <c r="R1186" s="22" t="inlineStr">
        <is>
          <t>https://entrackr.com/snippets/redapto-raises-500k-in-seed-round-led-by-y-combinator-10884132</t>
        </is>
      </c>
    </row>
    <row r="1187">
      <c r="A1187" t="inlineStr">
        <is>
          <t>R251208-agilitassports</t>
        </is>
      </c>
      <c r="B1187" t="inlineStr">
        <is>
          <t>Agilitas Sports</t>
        </is>
      </c>
      <c r="C1187" s="17" t="n">
        <v>45999</v>
      </c>
      <c r="D1187" s="18" t="n">
        <v>45992</v>
      </c>
      <c r="E1187" s="19" t="n">
        <v>4.4</v>
      </c>
      <c r="F1187" s="19" t="n">
        <v>39.62</v>
      </c>
      <c r="G1187" t="inlineStr">
        <is>
          <t>$4.4 Mn</t>
        </is>
      </c>
      <c r="H1187" t="inlineStr">
        <is>
          <t>Undisclosed</t>
        </is>
      </c>
      <c r="I1187" t="inlineStr">
        <is>
          <t>Undisclosed</t>
        </is>
      </c>
      <c r="J1187" t="inlineStr">
        <is>
          <t>Enterprise Tech</t>
        </is>
      </c>
      <c r="K1187" t="inlineStr">
        <is>
          <t>Unknown</t>
        </is>
      </c>
      <c r="L1187" t="inlineStr">
        <is>
          <t>Virat Kohli</t>
        </is>
      </c>
      <c r="M1187" t="inlineStr">
        <is>
          <t>Virat Kohli</t>
        </is>
      </c>
      <c r="N1187" t="inlineStr">
        <is>
          <t>inc42</t>
        </is>
      </c>
      <c r="O1187" s="20" t="n">
        <v>1</v>
      </c>
      <c r="P1187" s="21" t="n">
        <v>0</v>
      </c>
      <c r="Q1187" t="inlineStr">
        <is>
          <t>C04 C07</t>
        </is>
      </c>
      <c r="R1187" s="22" t="inlineStr">
        <is>
          <t>https://inc42.com/buzz/from-fibe-to-smart-joules-indian-startups-raised-127-mn-this-week/</t>
        </is>
      </c>
    </row>
    <row r="1188">
      <c r="A1188" t="inlineStr">
        <is>
          <t>R251208-consciouschemi</t>
        </is>
      </c>
      <c r="B1188" t="inlineStr">
        <is>
          <t>Conscious Chemist</t>
        </is>
      </c>
      <c r="C1188" s="17" t="n">
        <v>45999</v>
      </c>
      <c r="D1188" s="18" t="n">
        <v>45992</v>
      </c>
      <c r="E1188" s="19" t="n">
        <v>1.666</v>
      </c>
      <c r="F1188" s="19" t="n">
        <v>15</v>
      </c>
      <c r="G1188" t="inlineStr">
        <is>
          <t>Rs 15 crore</t>
        </is>
      </c>
      <c r="H1188" t="inlineStr">
        <is>
          <t>Bridge</t>
        </is>
      </c>
      <c r="I1188" t="inlineStr">
        <is>
          <t>Other</t>
        </is>
      </c>
      <c r="J1188" t="inlineStr">
        <is>
          <t>Ecommerce</t>
        </is>
      </c>
      <c r="K1188" t="inlineStr">
        <is>
          <t>Unknown</t>
        </is>
      </c>
      <c r="L1188" t="inlineStr">
        <is>
          <t>Atomic Capital</t>
        </is>
      </c>
      <c r="M1188" t="inlineStr">
        <is>
          <t>Atomic Capital; First Port Capital Fund B; IPV International</t>
        </is>
      </c>
      <c r="N1188" t="inlineStr">
        <is>
          <t>entrackr | inc42 | et</t>
        </is>
      </c>
      <c r="O1188" s="20" t="n">
        <v>3</v>
      </c>
      <c r="P1188" s="21" t="n">
        <v>4.1</v>
      </c>
      <c r="Q1188" t="inlineStr">
        <is>
          <t>C07</t>
        </is>
      </c>
      <c r="R1188" s="22" t="inlineStr">
        <is>
          <t>https://entrackr.com/snippets/conscious-chemist-raises-18-mn-in-bridge-round-led-by-atomic-capital-10891759</t>
        </is>
      </c>
    </row>
    <row r="1189">
      <c r="A1189" t="inlineStr">
        <is>
          <t>R251208-frex</t>
        </is>
      </c>
      <c r="B1189" t="inlineStr">
        <is>
          <t>Frex</t>
        </is>
      </c>
      <c r="C1189" s="17" t="n">
        <v>45999</v>
      </c>
      <c r="D1189" s="18" t="n">
        <v>45992</v>
      </c>
      <c r="E1189" s="19" t="n">
        <v>1.055</v>
      </c>
      <c r="F1189" s="19" t="n">
        <v>9.5</v>
      </c>
      <c r="G1189" t="inlineStr">
        <is>
          <t>Rs 9.5 crore</t>
        </is>
      </c>
      <c r="H1189" t="inlineStr">
        <is>
          <t>Pre-Seed</t>
        </is>
      </c>
      <c r="I1189" t="inlineStr">
        <is>
          <t>Early</t>
        </is>
      </c>
      <c r="J1189" t="inlineStr">
        <is>
          <t>Fintech</t>
        </is>
      </c>
      <c r="K1189" t="inlineStr">
        <is>
          <t>Delhi NCR</t>
        </is>
      </c>
      <c r="L1189" t="inlineStr">
        <is>
          <t>Zeropearl VC; White Venture Capital</t>
        </is>
      </c>
      <c r="M1189" t="inlineStr">
        <is>
          <t>Zeropearl VC; White Venture Capital; Abhiraj Singh Bhal (cofounder; Urban Company); Varun Khaitan (cofounder; Raghav Chandra (cofounder; Uber); Kunal Shah (founder; CRED); Rishabh Goel (founder; Credgenics); Pradeep Parameswaran</t>
        </is>
      </c>
      <c r="N1189" t="inlineStr">
        <is>
          <t>entrackr | inc42</t>
        </is>
      </c>
      <c r="O1189" s="20" t="n">
        <v>2</v>
      </c>
      <c r="P1189" s="21" t="n">
        <v>4.3</v>
      </c>
      <c r="Q1189" t="inlineStr"/>
      <c r="R1189" s="22" t="inlineStr">
        <is>
          <t>https://entrackr.com/snippets/frex-raises-rs-95-cr-led-by-zeropearl-vc-and-white-venture-capital-10891996</t>
        </is>
      </c>
    </row>
    <row r="1190">
      <c r="A1190" t="inlineStr">
        <is>
          <t>R251208-koriken</t>
        </is>
      </c>
      <c r="B1190" t="inlineStr">
        <is>
          <t>Koriken</t>
        </is>
      </c>
      <c r="C1190" s="17" t="n">
        <v>45999</v>
      </c>
      <c r="D1190" s="18" t="n">
        <v>45992</v>
      </c>
      <c r="E1190" s="19" t="n">
        <v>0.444</v>
      </c>
      <c r="F1190" s="19" t="n">
        <v>4</v>
      </c>
      <c r="G1190" t="inlineStr">
        <is>
          <t>Rs 4 crore</t>
        </is>
      </c>
      <c r="H1190" t="inlineStr">
        <is>
          <t>Seed</t>
        </is>
      </c>
      <c r="I1190" t="inlineStr">
        <is>
          <t>Early</t>
        </is>
      </c>
      <c r="J1190" t="inlineStr">
        <is>
          <t>Ecommerce</t>
        </is>
      </c>
      <c r="K1190" t="inlineStr">
        <is>
          <t>Unknown</t>
        </is>
      </c>
      <c r="L1190" t="inlineStr">
        <is>
          <t>Rukam Capital</t>
        </is>
      </c>
      <c r="M1190" t="inlineStr">
        <is>
          <t>Rukam Capital</t>
        </is>
      </c>
      <c r="N1190" t="inlineStr">
        <is>
          <t>entrackr | inc42</t>
        </is>
      </c>
      <c r="O1190" s="20" t="n">
        <v>2</v>
      </c>
      <c r="P1190" s="21" t="n">
        <v>0.3</v>
      </c>
      <c r="Q1190" t="inlineStr">
        <is>
          <t>C07</t>
        </is>
      </c>
      <c r="R1190" s="22" t="inlineStr">
        <is>
          <t>https://entrackr.com/snippets/koriken-raises-seed-round-led-by-rukam-capital-10892158</t>
        </is>
      </c>
    </row>
    <row r="1191">
      <c r="A1191" t="inlineStr">
        <is>
          <t>R251208-lumov</t>
        </is>
      </c>
      <c r="B1191" t="inlineStr">
        <is>
          <t>Lumov Health</t>
        </is>
      </c>
      <c r="C1191" s="17" t="n">
        <v>45999</v>
      </c>
      <c r="D1191" s="18" t="n">
        <v>45992</v>
      </c>
      <c r="E1191" s="19" t="n">
        <v>1.2</v>
      </c>
      <c r="F1191" s="19" t="n">
        <v>10.8</v>
      </c>
      <c r="G1191" t="inlineStr">
        <is>
          <t>$1.2 million</t>
        </is>
      </c>
      <c r="H1191" t="inlineStr">
        <is>
          <t>Seed</t>
        </is>
      </c>
      <c r="I1191" t="inlineStr">
        <is>
          <t>Early</t>
        </is>
      </c>
      <c r="J1191" t="inlineStr">
        <is>
          <t>Healthtech</t>
        </is>
      </c>
      <c r="K1191" t="inlineStr">
        <is>
          <t>Bengaluru</t>
        </is>
      </c>
      <c r="L1191" t="inlineStr">
        <is>
          <t>Incubate Fund Asia</t>
        </is>
      </c>
      <c r="M1191" t="inlineStr">
        <is>
          <t>Incubate Fund Asia; QRG Investments &amp; Holdings; IIMA Ventures; SIDBI; Ashish Gupta (cofounder; Helion Advisors); Steinberg India); Abhishek Goyal (cofounder; Tracxn); Arjun Vaidya (founder; V3 Ventures); Indian Silicon Valley Capital; Mapaex Family Office</t>
        </is>
      </c>
      <c r="N1191" t="inlineStr">
        <is>
          <t>entrackr | inc42</t>
        </is>
      </c>
      <c r="O1191" s="20" t="n">
        <v>2</v>
      </c>
      <c r="P1191" s="21" t="n">
        <v>0</v>
      </c>
      <c r="Q1191" t="inlineStr"/>
      <c r="R1191" s="22" t="inlineStr">
        <is>
          <t>https://entrackr.com/snippets/orthopedic-recovery-startup-lumov-raises-12-mn-led-by-incubate-fund-10891182</t>
        </is>
      </c>
    </row>
    <row r="1192">
      <c r="A1192" t="inlineStr">
        <is>
          <t>R251209-clayworks</t>
        </is>
      </c>
      <c r="B1192" t="inlineStr">
        <is>
          <t>ClayWorks</t>
        </is>
      </c>
      <c r="C1192" s="17" t="n">
        <v>46000</v>
      </c>
      <c r="D1192" s="18" t="n">
        <v>45992</v>
      </c>
      <c r="E1192" s="19" t="n"/>
      <c r="F1192" s="19" t="n"/>
      <c r="G1192" t="inlineStr"/>
      <c r="H1192" t="inlineStr">
        <is>
          <t>Undisclosed</t>
        </is>
      </c>
      <c r="I1192" t="inlineStr">
        <is>
          <t>Undisclosed</t>
        </is>
      </c>
      <c r="J1192" t="inlineStr">
        <is>
          <t>Real Estate Tech</t>
        </is>
      </c>
      <c r="K1192" t="inlineStr">
        <is>
          <t>Unknown</t>
        </is>
      </c>
      <c r="L1192" t="inlineStr">
        <is>
          <t>NuVentures</t>
        </is>
      </c>
      <c r="M1192" t="inlineStr">
        <is>
          <t>NuVentures</t>
        </is>
      </c>
      <c r="N1192" t="inlineStr">
        <is>
          <t>inc42</t>
        </is>
      </c>
      <c r="O1192" s="20" t="n">
        <v>1</v>
      </c>
      <c r="P1192" s="21" t="n"/>
      <c r="Q1192" t="inlineStr">
        <is>
          <t>C03 C04 C07</t>
        </is>
      </c>
      <c r="R1192" s="22" t="inlineStr">
        <is>
          <t>https://inc42.com/buzz/from-moengage-to-digantara-indian-startups-raised-347-mn-this-week/</t>
        </is>
      </c>
    </row>
    <row r="1193">
      <c r="A1193" t="inlineStr">
        <is>
          <t>R251209-emergent</t>
        </is>
      </c>
      <c r="B1193" t="inlineStr">
        <is>
          <t>Emergent</t>
        </is>
      </c>
      <c r="C1193" s="17" t="n">
        <v>46000</v>
      </c>
      <c r="D1193" s="18" t="n">
        <v>45992</v>
      </c>
      <c r="E1193" s="19" t="n"/>
      <c r="F1193" s="19" t="n"/>
      <c r="G1193" t="inlineStr"/>
      <c r="H1193" t="inlineStr">
        <is>
          <t>Undisclosed</t>
        </is>
      </c>
      <c r="I1193" t="inlineStr">
        <is>
          <t>Undisclosed</t>
        </is>
      </c>
      <c r="J1193" t="inlineStr">
        <is>
          <t>Artificial Intelligence</t>
        </is>
      </c>
      <c r="K1193" t="inlineStr">
        <is>
          <t>Bengaluru</t>
        </is>
      </c>
      <c r="L1193" t="inlineStr">
        <is>
          <t>Google</t>
        </is>
      </c>
      <c r="M1193" t="inlineStr">
        <is>
          <t>Google; AI Futures Fund</t>
        </is>
      </c>
      <c r="N1193" t="inlineStr">
        <is>
          <t>inc42 | et</t>
        </is>
      </c>
      <c r="O1193" s="20" t="n">
        <v>2</v>
      </c>
      <c r="P1193" s="21" t="n"/>
      <c r="Q1193" t="inlineStr">
        <is>
          <t>C03 C04</t>
        </is>
      </c>
      <c r="R1193" s="22" t="inlineStr">
        <is>
          <t>https://economictimes.indiatimes.com/tech/startups/emergent-gets-strategic-investment-from-googles-ai-futures-fund/articleshow/125861248.cms</t>
        </is>
      </c>
    </row>
    <row r="1194">
      <c r="A1194" t="inlineStr">
        <is>
          <t>R251209-fibe</t>
        </is>
      </c>
      <c r="B1194" t="inlineStr">
        <is>
          <t>Fibe</t>
        </is>
      </c>
      <c r="C1194" s="17" t="n">
        <v>46000</v>
      </c>
      <c r="D1194" s="18" t="n">
        <v>45992</v>
      </c>
      <c r="E1194" s="19" t="n">
        <v>35</v>
      </c>
      <c r="F1194" s="19" t="n">
        <v>314.44</v>
      </c>
      <c r="G1194" t="inlineStr">
        <is>
          <t>$35 million</t>
        </is>
      </c>
      <c r="H1194" t="inlineStr">
        <is>
          <t>Series F</t>
        </is>
      </c>
      <c r="I1194" t="inlineStr">
        <is>
          <t>Late</t>
        </is>
      </c>
      <c r="J1194" t="inlineStr">
        <is>
          <t>Fintech</t>
        </is>
      </c>
      <c r="K1194" t="inlineStr">
        <is>
          <t>Unknown</t>
        </is>
      </c>
      <c r="L1194" t="inlineStr">
        <is>
          <t>International Finance Corporation</t>
        </is>
      </c>
      <c r="M1194" t="inlineStr">
        <is>
          <t>International Finance Corporation; Norwest Venture Partners; Eight Roads Ventures; TR Capital; Piramal Finance; Chiratae Ventures; AK Capital Finance; Franklin Templeton AIF; Vivriti Alpha; TPG</t>
        </is>
      </c>
      <c r="N1194" t="inlineStr">
        <is>
          <t>entrackr | inc42 | et | vccircle</t>
        </is>
      </c>
      <c r="O1194" s="20" t="n">
        <v>4</v>
      </c>
      <c r="P1194" s="21" t="n">
        <v>0</v>
      </c>
      <c r="Q1194" t="inlineStr">
        <is>
          <t>C07</t>
        </is>
      </c>
      <c r="R1194" s="22" t="inlineStr">
        <is>
          <t>https://entrackr.com/news/fibe-raises-35-mn-in-series-f-round-led-by-ifc-10895526</t>
        </is>
      </c>
    </row>
    <row r="1195">
      <c r="A1195" t="inlineStr">
        <is>
          <t>R251209-mukundjha</t>
        </is>
      </c>
      <c r="B1195" t="inlineStr">
        <is>
          <t>Mukund Jha</t>
        </is>
      </c>
      <c r="C1195" s="17" t="n">
        <v>46000</v>
      </c>
      <c r="D1195" s="18" t="n">
        <v>45992</v>
      </c>
      <c r="E1195" s="19" t="n"/>
      <c r="F1195" s="19" t="n"/>
      <c r="G1195" t="inlineStr"/>
      <c r="H1195" t="inlineStr">
        <is>
          <t>Undisclosed</t>
        </is>
      </c>
      <c r="I1195" t="inlineStr">
        <is>
          <t>Undisclosed</t>
        </is>
      </c>
      <c r="J1195" t="inlineStr">
        <is>
          <t>Unclassified</t>
        </is>
      </c>
      <c r="K1195" t="inlineStr">
        <is>
          <t>Unknown</t>
        </is>
      </c>
      <c r="L1195" t="inlineStr"/>
      <c r="M1195" t="inlineStr">
        <is>
          <t>Google AI Futures Fund; Lightspeed; Together Fund</t>
        </is>
      </c>
      <c r="N1195" t="inlineStr">
        <is>
          <t>entrackr</t>
        </is>
      </c>
      <c r="O1195" s="20" t="n">
        <v>1</v>
      </c>
      <c r="P1195" s="21" t="n"/>
      <c r="Q1195" t="inlineStr">
        <is>
          <t>C03 C04 C06 C07</t>
        </is>
      </c>
      <c r="R1195" s="22" t="inlineStr">
        <is>
          <t>https://entrackr.com/snippets/googles-ai-futures-fund-backs-mukund-jhas-emergent-10894181</t>
        </is>
      </c>
    </row>
    <row r="1196">
      <c r="A1196" t="inlineStr">
        <is>
          <t>R251210-aiemailclientf</t>
        </is>
      </c>
      <c r="B1196" t="inlineStr">
        <is>
          <t>AI email client Faraday</t>
        </is>
      </c>
      <c r="C1196" s="17" t="n">
        <v>46001</v>
      </c>
      <c r="D1196" s="18" t="n">
        <v>45992</v>
      </c>
      <c r="E1196" s="19" t="n">
        <v>0.2</v>
      </c>
      <c r="F1196" s="19" t="n">
        <v>1.8</v>
      </c>
      <c r="G1196" t="inlineStr">
        <is>
          <t>$0.2 million</t>
        </is>
      </c>
      <c r="H1196" t="inlineStr">
        <is>
          <t>Pre-Seed</t>
        </is>
      </c>
      <c r="I1196" t="inlineStr">
        <is>
          <t>Early</t>
        </is>
      </c>
      <c r="J1196" t="inlineStr">
        <is>
          <t>Unclassified</t>
        </is>
      </c>
      <c r="K1196" t="inlineStr">
        <is>
          <t>Unknown</t>
        </is>
      </c>
      <c r="L1196" t="inlineStr">
        <is>
          <t>AJVC</t>
        </is>
      </c>
      <c r="M1196" t="inlineStr">
        <is>
          <t>AJVC</t>
        </is>
      </c>
      <c r="N1196" t="inlineStr">
        <is>
          <t>entrackr</t>
        </is>
      </c>
      <c r="O1196" s="20" t="n">
        <v>1</v>
      </c>
      <c r="P1196" s="21" t="n">
        <v>0</v>
      </c>
      <c r="Q1196" t="inlineStr">
        <is>
          <t>C06 C07</t>
        </is>
      </c>
      <c r="R1196" s="22" t="inlineStr">
        <is>
          <t>https://entrackr.com/snippets/ai-email-client-faraday-raises-02-mn-in-pre-seed-round-led-by-ajvc-10897658</t>
        </is>
      </c>
    </row>
    <row r="1197">
      <c r="A1197" t="inlineStr">
        <is>
          <t>R251210-drpaws</t>
        </is>
      </c>
      <c r="B1197" t="inlineStr">
        <is>
          <t>Dr. Paws</t>
        </is>
      </c>
      <c r="C1197" s="17" t="n">
        <v>46001</v>
      </c>
      <c r="D1197" s="18" t="n">
        <v>45992</v>
      </c>
      <c r="E1197" s="19" t="n">
        <v>3.259</v>
      </c>
      <c r="F1197" s="19" t="n">
        <v>29.3</v>
      </c>
      <c r="G1197" t="inlineStr">
        <is>
          <t>Rs 29.3 crore</t>
        </is>
      </c>
      <c r="H1197" t="inlineStr">
        <is>
          <t>Pre-Series A</t>
        </is>
      </c>
      <c r="I1197" t="inlineStr">
        <is>
          <t>Early</t>
        </is>
      </c>
      <c r="J1197" t="inlineStr">
        <is>
          <t>Consumer Services</t>
        </is>
      </c>
      <c r="K1197" t="inlineStr">
        <is>
          <t>Bengaluru</t>
        </is>
      </c>
      <c r="L1197" t="inlineStr">
        <is>
          <t>Chiratae Ventures</t>
        </is>
      </c>
      <c r="M1197" t="inlineStr">
        <is>
          <t>Chiratae Ventures; Sauce.vc; Trifecta Capital; Stride Ventures</t>
        </is>
      </c>
      <c r="N1197" t="inlineStr">
        <is>
          <t>entrackr | inc42 | et</t>
        </is>
      </c>
      <c r="O1197" s="20" t="n">
        <v>3</v>
      </c>
      <c r="P1197" s="21" t="n">
        <v>1.3</v>
      </c>
      <c r="Q1197" t="inlineStr"/>
      <c r="R1197" s="22" t="inlineStr">
        <is>
          <t>https://entrackr.com/snippets/dr-paws-raises-rs-293-cr-in-pre-series-a-led-by-chiratae-ventures-10897458</t>
        </is>
      </c>
    </row>
    <row r="1198">
      <c r="A1198" t="inlineStr">
        <is>
          <t>R251210-earthful</t>
        </is>
      </c>
      <c r="B1198" t="inlineStr">
        <is>
          <t>Earthful</t>
        </is>
      </c>
      <c r="C1198" s="17" t="n">
        <v>46001</v>
      </c>
      <c r="D1198" s="18" t="n">
        <v>45992</v>
      </c>
      <c r="E1198" s="19" t="n">
        <v>2.892</v>
      </c>
      <c r="F1198" s="19" t="n">
        <v>26</v>
      </c>
      <c r="G1198" t="inlineStr">
        <is>
          <t>Rs 26 crore</t>
        </is>
      </c>
      <c r="H1198" t="inlineStr">
        <is>
          <t>Pre-Series A</t>
        </is>
      </c>
      <c r="I1198" t="inlineStr">
        <is>
          <t>Early</t>
        </is>
      </c>
      <c r="J1198" t="inlineStr">
        <is>
          <t>Ecommerce</t>
        </is>
      </c>
      <c r="K1198" t="inlineStr">
        <is>
          <t>Hyderabad</t>
        </is>
      </c>
      <c r="L1198" t="inlineStr">
        <is>
          <t>Fireside Ventures; V3 Ventures</t>
        </is>
      </c>
      <c r="M1198" t="inlineStr">
        <is>
          <t>Fireside Ventures; V3 Ventures</t>
        </is>
      </c>
      <c r="N1198" t="inlineStr">
        <is>
          <t>entrackr | inc42 | et</t>
        </is>
      </c>
      <c r="O1198" s="20" t="n">
        <v>3</v>
      </c>
      <c r="P1198" s="21" t="n">
        <v>7.2</v>
      </c>
      <c r="Q1198" t="inlineStr"/>
      <c r="R1198" s="22" t="inlineStr">
        <is>
          <t>https://entrackr.com/snippets/earthful-raises-rs-26-cr-led-by-fireside-and-v3-ventures-10897435</t>
        </is>
      </c>
    </row>
    <row r="1199">
      <c r="A1199" t="inlineStr">
        <is>
          <t>R251210-elecbits</t>
        </is>
      </c>
      <c r="B1199" t="inlineStr">
        <is>
          <t>Elecbits</t>
        </is>
      </c>
      <c r="C1199" s="17" t="n">
        <v>46001</v>
      </c>
      <c r="D1199" s="18" t="n">
        <v>45992</v>
      </c>
      <c r="E1199" s="19" t="n">
        <v>5.5</v>
      </c>
      <c r="F1199" s="19" t="n">
        <v>49.45</v>
      </c>
      <c r="G1199" t="inlineStr">
        <is>
          <t>$5.5 Mn</t>
        </is>
      </c>
      <c r="H1199" t="inlineStr">
        <is>
          <t>Series A</t>
        </is>
      </c>
      <c r="I1199" t="inlineStr">
        <is>
          <t>Early</t>
        </is>
      </c>
      <c r="J1199" t="inlineStr">
        <is>
          <t>Enterprise Tech</t>
        </is>
      </c>
      <c r="K1199" t="inlineStr">
        <is>
          <t>Delhi NCR</t>
        </is>
      </c>
      <c r="L1199" t="inlineStr">
        <is>
          <t>Nexus Venture Partners</t>
        </is>
      </c>
      <c r="M1199" t="inlineStr">
        <is>
          <t>Nexus Venture Partners; SE Ventures; Riverwalk Holdings</t>
        </is>
      </c>
      <c r="N1199" t="inlineStr">
        <is>
          <t>inc42 | et</t>
        </is>
      </c>
      <c r="O1199" s="20" t="n">
        <v>2</v>
      </c>
      <c r="P1199" s="21" t="n">
        <v>0</v>
      </c>
      <c r="Q1199" t="inlineStr"/>
      <c r="R1199" s="22" t="inlineStr">
        <is>
          <t>https://economictimes.indiatimes.com/tech/funding/electronic-design-startup-elecbits-raises-5-5-million-in-series-a-round-led-by-nexus-venture-partners/articleshow/125892435.cms</t>
        </is>
      </c>
    </row>
    <row r="1200">
      <c r="A1200" t="inlineStr">
        <is>
          <t>R251210-faraday</t>
        </is>
      </c>
      <c r="B1200" t="inlineStr">
        <is>
          <t>Faraday</t>
        </is>
      </c>
      <c r="C1200" s="17" t="n">
        <v>46001</v>
      </c>
      <c r="D1200" s="18" t="n">
        <v>45992</v>
      </c>
      <c r="E1200" s="19" t="n">
        <v>0.2</v>
      </c>
      <c r="F1200" s="19" t="n">
        <v>1.8</v>
      </c>
      <c r="G1200" t="inlineStr">
        <is>
          <t>$200K</t>
        </is>
      </c>
      <c r="H1200" t="inlineStr">
        <is>
          <t>Undisclosed</t>
        </is>
      </c>
      <c r="I1200" t="inlineStr">
        <is>
          <t>Undisclosed</t>
        </is>
      </c>
      <c r="J1200" t="inlineStr">
        <is>
          <t>Artificial Intelligence</t>
        </is>
      </c>
      <c r="K1200" t="inlineStr">
        <is>
          <t>Unknown</t>
        </is>
      </c>
      <c r="L1200" t="inlineStr"/>
      <c r="M1200" t="inlineStr"/>
      <c r="N1200" t="inlineStr">
        <is>
          <t>inc42</t>
        </is>
      </c>
      <c r="O1200" s="20" t="n">
        <v>1</v>
      </c>
      <c r="P1200" s="21" t="n">
        <v>0</v>
      </c>
      <c r="Q1200" t="inlineStr">
        <is>
          <t>C04 C05 C07</t>
        </is>
      </c>
      <c r="R1200" s="22" t="inlineStr">
        <is>
          <t>https://inc42.com/buzz/from-fibe-to-smart-joules-indian-startups-raised-127-mn-this-week/</t>
        </is>
      </c>
    </row>
    <row r="1201">
      <c r="A1201" t="inlineStr">
        <is>
          <t>R251210-knot</t>
        </is>
      </c>
      <c r="B1201" t="inlineStr">
        <is>
          <t>KNOT</t>
        </is>
      </c>
      <c r="C1201" s="17" t="n">
        <v>46001</v>
      </c>
      <c r="D1201" s="18" t="n">
        <v>45992</v>
      </c>
      <c r="E1201" s="19" t="n">
        <v>5</v>
      </c>
      <c r="F1201" s="19" t="n">
        <v>44.96</v>
      </c>
      <c r="G1201" t="inlineStr">
        <is>
          <t>$5 million</t>
        </is>
      </c>
      <c r="H1201" t="inlineStr">
        <is>
          <t>Undisclosed</t>
        </is>
      </c>
      <c r="I1201" t="inlineStr">
        <is>
          <t>Undisclosed</t>
        </is>
      </c>
      <c r="J1201" t="inlineStr">
        <is>
          <t>Consumer Services</t>
        </is>
      </c>
      <c r="K1201" t="inlineStr">
        <is>
          <t>Mumbai</t>
        </is>
      </c>
      <c r="L1201" t="inlineStr">
        <is>
          <t>12 Flags</t>
        </is>
      </c>
      <c r="M1201" t="inlineStr">
        <is>
          <t>12 Flags; Kae Capital; Boundless Ventures</t>
        </is>
      </c>
      <c r="N1201" t="inlineStr">
        <is>
          <t>entrackr | inc42</t>
        </is>
      </c>
      <c r="O1201" s="20" t="n">
        <v>2</v>
      </c>
      <c r="P1201" s="21" t="n">
        <v>0</v>
      </c>
      <c r="Q1201" t="inlineStr">
        <is>
          <t>C04</t>
        </is>
      </c>
      <c r="R1201" s="22" t="inlineStr">
        <is>
          <t>https://entrackr.com/snippets/quick-fashion-delivery-startup-knot-raises-5-mn-to-scale-60-min-delivery-10897062</t>
        </is>
      </c>
    </row>
    <row r="1202">
      <c r="A1202" t="inlineStr">
        <is>
          <t>R251210-skydo</t>
        </is>
      </c>
      <c r="B1202" t="inlineStr">
        <is>
          <t>Skydo</t>
        </is>
      </c>
      <c r="C1202" s="17" t="n">
        <v>46001</v>
      </c>
      <c r="D1202" s="18" t="n">
        <v>45992</v>
      </c>
      <c r="E1202" s="19" t="n">
        <v>10</v>
      </c>
      <c r="F1202" s="19" t="n">
        <v>89.91</v>
      </c>
      <c r="G1202" t="inlineStr">
        <is>
          <t>$10 million</t>
        </is>
      </c>
      <c r="H1202" t="inlineStr">
        <is>
          <t>Series A</t>
        </is>
      </c>
      <c r="I1202" t="inlineStr">
        <is>
          <t>Early</t>
        </is>
      </c>
      <c r="J1202" t="inlineStr">
        <is>
          <t>Fintech</t>
        </is>
      </c>
      <c r="K1202" t="inlineStr">
        <is>
          <t>Bengaluru</t>
        </is>
      </c>
      <c r="L1202" t="inlineStr">
        <is>
          <t>Susquehanna Asia Venture Capital</t>
        </is>
      </c>
      <c r="M1202" t="inlineStr">
        <is>
          <t>Susquehanna Asia Venture Capital; Elevation Capital; Eximus Ventures</t>
        </is>
      </c>
      <c r="N1202" t="inlineStr">
        <is>
          <t>entrackr | inc42 | et</t>
        </is>
      </c>
      <c r="O1202" s="20" t="n">
        <v>3</v>
      </c>
      <c r="P1202" s="21" t="n">
        <v>0</v>
      </c>
      <c r="Q1202" t="inlineStr"/>
      <c r="R1202" s="22" t="inlineStr">
        <is>
          <t>https://entrackr.com/news/skydo-raises-10-mn-in-series-a-led-by-susquehanna-asia-vc-10897099</t>
        </is>
      </c>
    </row>
    <row r="1203">
      <c r="A1203" t="inlineStr">
        <is>
          <t>R251210-smartjoules</t>
        </is>
      </c>
      <c r="B1203" t="inlineStr">
        <is>
          <t>Smart Joules</t>
        </is>
      </c>
      <c r="C1203" s="17" t="n">
        <v>46001</v>
      </c>
      <c r="D1203" s="18" t="n">
        <v>45992</v>
      </c>
      <c r="E1203" s="19" t="n">
        <v>10</v>
      </c>
      <c r="F1203" s="19" t="n">
        <v>89.91</v>
      </c>
      <c r="G1203" t="inlineStr">
        <is>
          <t>$10 million</t>
        </is>
      </c>
      <c r="H1203" t="inlineStr">
        <is>
          <t>Series B</t>
        </is>
      </c>
      <c r="I1203" t="inlineStr">
        <is>
          <t>Growth</t>
        </is>
      </c>
      <c r="J1203" t="inlineStr">
        <is>
          <t>Cleantech</t>
        </is>
      </c>
      <c r="K1203" t="inlineStr">
        <is>
          <t>Unknown</t>
        </is>
      </c>
      <c r="L1203" t="inlineStr">
        <is>
          <t>SBI Ventures; Neev II Fund</t>
        </is>
      </c>
      <c r="M1203" t="inlineStr">
        <is>
          <t>SBI Ventures; Waaree; Spectrum Impact; Neev II Fund</t>
        </is>
      </c>
      <c r="N1203" t="inlineStr">
        <is>
          <t>entrackr | inc42 | vccircle</t>
        </is>
      </c>
      <c r="O1203" s="20" t="n">
        <v>3</v>
      </c>
      <c r="P1203" s="21" t="n">
        <v>0</v>
      </c>
      <c r="Q1203" t="inlineStr">
        <is>
          <t>C07 C17</t>
        </is>
      </c>
      <c r="R1203" s="22" t="inlineStr">
        <is>
          <t>https://entrackr.com/snippets/smart-joules-raises-10-mn-in-series-b-round-10898864</t>
        </is>
      </c>
    </row>
    <row r="1204">
      <c r="A1204" t="inlineStr">
        <is>
          <t>R251210-superbryn</t>
        </is>
      </c>
      <c r="B1204" t="inlineStr">
        <is>
          <t>SuperBryn</t>
        </is>
      </c>
      <c r="C1204" s="17" t="n">
        <v>46001</v>
      </c>
      <c r="D1204" s="18" t="n">
        <v>45992</v>
      </c>
      <c r="E1204" s="19" t="n">
        <v>1.2</v>
      </c>
      <c r="F1204" s="19" t="n">
        <v>10.79</v>
      </c>
      <c r="G1204" t="inlineStr">
        <is>
          <t>$1.2 million</t>
        </is>
      </c>
      <c r="H1204" t="inlineStr">
        <is>
          <t>Pre-Seed</t>
        </is>
      </c>
      <c r="I1204" t="inlineStr">
        <is>
          <t>Early</t>
        </is>
      </c>
      <c r="J1204" t="inlineStr">
        <is>
          <t>Artificial Intelligence</t>
        </is>
      </c>
      <c r="K1204" t="inlineStr">
        <is>
          <t>Bengaluru</t>
        </is>
      </c>
      <c r="L1204" t="inlineStr">
        <is>
          <t>Kalaari Capital; CXXO initiative</t>
        </is>
      </c>
      <c r="M1204" t="inlineStr">
        <is>
          <t>Kalaari Capital; Rikant Pitti (cofounder; EaseMyTrip); Arjun Pillai (founder; Docket AI); Sharath Keshava Narayanan (founder; Sanas AI); BMH); Nivin Pauly; CXXO initiative; Harish Manian</t>
        </is>
      </c>
      <c r="N1204" t="inlineStr">
        <is>
          <t>entrackr | inc42 | et</t>
        </is>
      </c>
      <c r="O1204" s="20" t="n">
        <v>3</v>
      </c>
      <c r="P1204" s="21" t="n">
        <v>0</v>
      </c>
      <c r="Q1204" t="inlineStr">
        <is>
          <t>C17</t>
        </is>
      </c>
      <c r="R1204" s="22" t="inlineStr">
        <is>
          <t>https://entrackr.com/snippets/superbryn-raises-12-mn-led-by-kalaari-capitals-cxxo-10895434</t>
        </is>
      </c>
    </row>
    <row r="1205">
      <c r="A1205" t="inlineStr">
        <is>
          <t>R251210-uolo</t>
        </is>
      </c>
      <c r="B1205" t="inlineStr">
        <is>
          <t>Uolo</t>
        </is>
      </c>
      <c r="C1205" s="17" t="n">
        <v>46001</v>
      </c>
      <c r="D1205" s="18" t="n">
        <v>45992</v>
      </c>
      <c r="E1205" s="19" t="n">
        <v>7</v>
      </c>
      <c r="F1205" s="19" t="n">
        <v>62.94</v>
      </c>
      <c r="G1205" t="inlineStr">
        <is>
          <t>$7 million</t>
        </is>
      </c>
      <c r="H1205" t="inlineStr">
        <is>
          <t>Pre-Series B</t>
        </is>
      </c>
      <c r="I1205" t="inlineStr">
        <is>
          <t>Growth</t>
        </is>
      </c>
      <c r="J1205" t="inlineStr">
        <is>
          <t>Edtech</t>
        </is>
      </c>
      <c r="K1205" t="inlineStr">
        <is>
          <t>Delhi NCR</t>
        </is>
      </c>
      <c r="L1205" t="inlineStr">
        <is>
          <t>Five Sigma</t>
        </is>
      </c>
      <c r="M1205" t="inlineStr">
        <is>
          <t>Five Sigma; Blume Ventures; Morphosis; Alicorn</t>
        </is>
      </c>
      <c r="N1205" t="inlineStr">
        <is>
          <t>entrackr | inc42 | et</t>
        </is>
      </c>
      <c r="O1205" s="20" t="n">
        <v>3</v>
      </c>
      <c r="P1205" s="21" t="n">
        <v>0</v>
      </c>
      <c r="Q1205" t="inlineStr"/>
      <c r="R1205" s="22" t="inlineStr">
        <is>
          <t>https://entrackr.com/snippets/edtech-startup-uolo-raises-7-mn-led-by-five-sigma-10897310</t>
        </is>
      </c>
    </row>
    <row r="1206">
      <c r="A1206" t="inlineStr">
        <is>
          <t>R251211-inito</t>
        </is>
      </c>
      <c r="B1206" t="inlineStr">
        <is>
          <t>Inito</t>
        </is>
      </c>
      <c r="C1206" s="17" t="n">
        <v>46002</v>
      </c>
      <c r="D1206" s="18" t="n">
        <v>45992</v>
      </c>
      <c r="E1206" s="19" t="n">
        <v>29</v>
      </c>
      <c r="F1206" s="19" t="n">
        <v>261.93</v>
      </c>
      <c r="G1206" t="inlineStr">
        <is>
          <t>$29 million</t>
        </is>
      </c>
      <c r="H1206" t="inlineStr">
        <is>
          <t>Series B</t>
        </is>
      </c>
      <c r="I1206" t="inlineStr">
        <is>
          <t>Growth</t>
        </is>
      </c>
      <c r="J1206" t="inlineStr">
        <is>
          <t>Healthtech</t>
        </is>
      </c>
      <c r="K1206" t="inlineStr">
        <is>
          <t>Unknown</t>
        </is>
      </c>
      <c r="L1206" t="inlineStr">
        <is>
          <t>Bertelsmann India Investments; Fireside Ventures</t>
        </is>
      </c>
      <c r="M1206" t="inlineStr">
        <is>
          <t>Bertelsmann India Investments; Fireside Ventures</t>
        </is>
      </c>
      <c r="N1206" t="inlineStr">
        <is>
          <t>entrackr | inc42 | vccircle</t>
        </is>
      </c>
      <c r="O1206" s="20" t="n">
        <v>3</v>
      </c>
      <c r="P1206" s="21" t="n">
        <v>0</v>
      </c>
      <c r="Q1206" t="inlineStr">
        <is>
          <t>C07</t>
        </is>
      </c>
      <c r="R1206" s="22" t="inlineStr">
        <is>
          <t>https://entrackr.com/news/inito-raises-29-mn-in-series-b-round-led-by-bertelsmann-india-10900583</t>
        </is>
      </c>
    </row>
    <row r="1207">
      <c r="A1207" t="inlineStr">
        <is>
          <t>R251211-isprout</t>
        </is>
      </c>
      <c r="B1207" t="inlineStr">
        <is>
          <t>iSprout</t>
        </is>
      </c>
      <c r="C1207" s="17" t="n">
        <v>46002</v>
      </c>
      <c r="D1207" s="18" t="n">
        <v>45992</v>
      </c>
      <c r="E1207" s="19" t="n">
        <v>6.6</v>
      </c>
      <c r="F1207" s="19" t="n">
        <v>59.61</v>
      </c>
      <c r="G1207" t="inlineStr">
        <is>
          <t>$6.6 Mn</t>
        </is>
      </c>
      <c r="H1207" t="inlineStr">
        <is>
          <t>Debt</t>
        </is>
      </c>
      <c r="I1207" t="inlineStr">
        <is>
          <t>Debt</t>
        </is>
      </c>
      <c r="J1207" t="inlineStr">
        <is>
          <t>Real Estate Tech</t>
        </is>
      </c>
      <c r="K1207" t="inlineStr">
        <is>
          <t>Unknown</t>
        </is>
      </c>
      <c r="L1207" t="inlineStr">
        <is>
          <t>Tata Capital</t>
        </is>
      </c>
      <c r="M1207" t="inlineStr">
        <is>
          <t>Tata Capital</t>
        </is>
      </c>
      <c r="N1207" t="inlineStr">
        <is>
          <t>inc42</t>
        </is>
      </c>
      <c r="O1207" s="20" t="n">
        <v>1</v>
      </c>
      <c r="P1207" s="21" t="n">
        <v>0</v>
      </c>
      <c r="Q1207" t="inlineStr">
        <is>
          <t>C07</t>
        </is>
      </c>
      <c r="R1207" s="22" t="inlineStr">
        <is>
          <t>https://inc42.com/buzz/from-fibe-to-smart-joules-indian-startups-raised-127-mn-this-week/</t>
        </is>
      </c>
    </row>
    <row r="1208">
      <c r="A1208" t="inlineStr">
        <is>
          <t>R251211-neosapien</t>
        </is>
      </c>
      <c r="B1208" t="inlineStr">
        <is>
          <t>NeoSapien</t>
        </is>
      </c>
      <c r="C1208" s="17" t="n">
        <v>46002</v>
      </c>
      <c r="D1208" s="18" t="n">
        <v>45992</v>
      </c>
      <c r="E1208" s="19" t="n">
        <v>1.993</v>
      </c>
      <c r="F1208" s="19" t="n">
        <v>18</v>
      </c>
      <c r="G1208" t="inlineStr">
        <is>
          <t>Rs 18 crore</t>
        </is>
      </c>
      <c r="H1208" t="inlineStr">
        <is>
          <t>Seed</t>
        </is>
      </c>
      <c r="I1208" t="inlineStr">
        <is>
          <t>Early</t>
        </is>
      </c>
      <c r="J1208" t="inlineStr">
        <is>
          <t>Ecommerce</t>
        </is>
      </c>
      <c r="K1208" t="inlineStr">
        <is>
          <t>Bengaluru</t>
        </is>
      </c>
      <c r="L1208" t="inlineStr">
        <is>
          <t>Merak Ventures</t>
        </is>
      </c>
      <c r="M1208" t="inlineStr">
        <is>
          <t>Merak Ventures; Sameer Mehta (cofounder; boAt); Awais Ahmed (founder; Pixxel); Anupam Mittal (founder; Shaadi.com); Emcure Pharmaceuticals); Aprameya Radhakrishna (ex-CEO; Koo); Namita Thapar</t>
        </is>
      </c>
      <c r="N1208" t="inlineStr">
        <is>
          <t>entrackr | inc42</t>
        </is>
      </c>
      <c r="O1208" s="20" t="n">
        <v>2</v>
      </c>
      <c r="P1208" s="21" t="n">
        <v>0.4</v>
      </c>
      <c r="Q1208" t="inlineStr"/>
      <c r="R1208" s="22" t="inlineStr">
        <is>
          <t>https://entrackr.com/snippets/wearable-startup-neosapien-raises-2-mn-in-seed-round-led-by-merak-ventures-10901118</t>
        </is>
      </c>
    </row>
    <row r="1209">
      <c r="A1209" t="inlineStr">
        <is>
          <t>R251211-toffeecoffeero</t>
        </is>
      </c>
      <c r="B1209" t="inlineStr">
        <is>
          <t>Toffee Coffee Roasters</t>
        </is>
      </c>
      <c r="C1209" s="17" t="n">
        <v>46002</v>
      </c>
      <c r="D1209" s="18" t="n">
        <v>45992</v>
      </c>
      <c r="E1209" s="19" t="n">
        <v>0.554</v>
      </c>
      <c r="F1209" s="19" t="n">
        <v>5</v>
      </c>
      <c r="G1209" t="inlineStr">
        <is>
          <t>Rs 5 crore</t>
        </is>
      </c>
      <c r="H1209" t="inlineStr">
        <is>
          <t>Pre-Series A</t>
        </is>
      </c>
      <c r="I1209" t="inlineStr">
        <is>
          <t>Early</t>
        </is>
      </c>
      <c r="J1209" t="inlineStr">
        <is>
          <t>Ecommerce</t>
        </is>
      </c>
      <c r="K1209" t="inlineStr">
        <is>
          <t>Unknown</t>
        </is>
      </c>
      <c r="L1209" t="inlineStr">
        <is>
          <t>Inflection Point Ventures; IPV; Abhijit Vemuganti; Invesst</t>
        </is>
      </c>
      <c r="M1209" t="inlineStr">
        <is>
          <t>Inflection Point Ventures; 66 Bridge Partners; Abhijit Vemuganti (cofounder; Swipe); Invesst; IPV; Ritesh Agarwal</t>
        </is>
      </c>
      <c r="N1209" t="inlineStr">
        <is>
          <t>entrackr | inc42</t>
        </is>
      </c>
      <c r="O1209" s="20" t="n">
        <v>2</v>
      </c>
      <c r="P1209" s="21" t="n">
        <v>0.1</v>
      </c>
      <c r="Q1209" t="inlineStr">
        <is>
          <t>C07 C17</t>
        </is>
      </c>
      <c r="R1209" s="22" t="inlineStr">
        <is>
          <t>https://entrackr.com/snippets/toffee-coffee-roasters-raises-pre-series-a-round-led-by-ipv-10900966</t>
        </is>
      </c>
    </row>
    <row r="1210">
      <c r="A1210" t="inlineStr">
        <is>
          <t>R251211-whilterai</t>
        </is>
      </c>
      <c r="B1210" t="inlineStr">
        <is>
          <t>Whilter AI</t>
        </is>
      </c>
      <c r="C1210" s="17" t="n">
        <v>46002</v>
      </c>
      <c r="D1210" s="18" t="n">
        <v>45992</v>
      </c>
      <c r="E1210" s="19" t="n"/>
      <c r="F1210" s="19" t="n"/>
      <c r="G1210" t="inlineStr"/>
      <c r="H1210" t="inlineStr">
        <is>
          <t>Undisclosed</t>
        </is>
      </c>
      <c r="I1210" t="inlineStr">
        <is>
          <t>Undisclosed</t>
        </is>
      </c>
      <c r="J1210" t="inlineStr">
        <is>
          <t>Artificial Intelligence</t>
        </is>
      </c>
      <c r="K1210" t="inlineStr">
        <is>
          <t>Unknown</t>
        </is>
      </c>
      <c r="L1210" t="inlineStr">
        <is>
          <t>AIONOS</t>
        </is>
      </c>
      <c r="M1210" t="inlineStr">
        <is>
          <t>AIONOS</t>
        </is>
      </c>
      <c r="N1210" t="inlineStr">
        <is>
          <t>inc42</t>
        </is>
      </c>
      <c r="O1210" s="20" t="n">
        <v>1</v>
      </c>
      <c r="P1210" s="21" t="n"/>
      <c r="Q1210" t="inlineStr">
        <is>
          <t>C03 C04 C07</t>
        </is>
      </c>
      <c r="R1210" s="22" t="inlineStr">
        <is>
          <t>https://inc42.com/buzz/from-fibe-to-smart-joules-indian-startups-raised-127-mn-this-week/</t>
        </is>
      </c>
    </row>
    <row r="1211">
      <c r="A1211" t="inlineStr">
        <is>
          <t>R251215-atomberg</t>
        </is>
      </c>
      <c r="B1211" t="inlineStr">
        <is>
          <t>Atomberg</t>
        </is>
      </c>
      <c r="C1211" s="17" t="n">
        <v>46006</v>
      </c>
      <c r="D1211" s="18" t="n">
        <v>45992</v>
      </c>
      <c r="E1211" s="19" t="n">
        <v>4.8</v>
      </c>
      <c r="F1211" s="19" t="n">
        <v>43.56</v>
      </c>
      <c r="G1211" t="inlineStr">
        <is>
          <t>$4.8 Mn</t>
        </is>
      </c>
      <c r="H1211" t="inlineStr">
        <is>
          <t>Undisclosed</t>
        </is>
      </c>
      <c r="I1211" t="inlineStr">
        <is>
          <t>Undisclosed</t>
        </is>
      </c>
      <c r="J1211" t="inlineStr">
        <is>
          <t>Ecommerce</t>
        </is>
      </c>
      <c r="K1211" t="inlineStr">
        <is>
          <t>Unknown</t>
        </is>
      </c>
      <c r="L1211" t="inlineStr">
        <is>
          <t>Forj Capital</t>
        </is>
      </c>
      <c r="M1211" t="inlineStr">
        <is>
          <t>Forj Capital; White Whale Partners; Tanmay Bhatt</t>
        </is>
      </c>
      <c r="N1211" t="inlineStr">
        <is>
          <t>inc42</t>
        </is>
      </c>
      <c r="O1211" s="20" t="n">
        <v>1</v>
      </c>
      <c r="P1211" s="21" t="n">
        <v>0</v>
      </c>
      <c r="Q1211" t="inlineStr">
        <is>
          <t>C04 C07 C09</t>
        </is>
      </c>
      <c r="R1211" s="22" t="inlineStr">
        <is>
          <t>https://inc42.com/buzz/from-moengage-to-digantara-indian-startups-raised-347-mn-this-week/</t>
        </is>
      </c>
    </row>
    <row r="1212">
      <c r="A1212" t="inlineStr">
        <is>
          <t>R251215-cuepilotai</t>
        </is>
      </c>
      <c r="B1212" t="inlineStr">
        <is>
          <t>CuePilot AI</t>
        </is>
      </c>
      <c r="C1212" s="17" t="n">
        <v>46006</v>
      </c>
      <c r="D1212" s="18" t="n">
        <v>45992</v>
      </c>
      <c r="E1212" s="19" t="n">
        <v>1.8</v>
      </c>
      <c r="F1212" s="19" t="n">
        <v>16.33</v>
      </c>
      <c r="G1212" t="inlineStr">
        <is>
          <t>$1.8 million</t>
        </is>
      </c>
      <c r="H1212" t="inlineStr">
        <is>
          <t>Pre-Seed</t>
        </is>
      </c>
      <c r="I1212" t="inlineStr">
        <is>
          <t>Early</t>
        </is>
      </c>
      <c r="J1212" t="inlineStr">
        <is>
          <t>Artificial Intelligence</t>
        </is>
      </c>
      <c r="K1212" t="inlineStr">
        <is>
          <t>Unknown</t>
        </is>
      </c>
      <c r="L1212" t="inlineStr">
        <is>
          <t>Unilazer Ventures</t>
        </is>
      </c>
      <c r="M1212" t="inlineStr">
        <is>
          <t>Eximius Ventures; Titan Capital; Unilazer Ventures; Ronnie Screwvala</t>
        </is>
      </c>
      <c r="N1212" t="inlineStr">
        <is>
          <t>entrackr | inc42</t>
        </is>
      </c>
      <c r="O1212" s="20" t="n">
        <v>2</v>
      </c>
      <c r="P1212" s="21" t="n">
        <v>0</v>
      </c>
      <c r="Q1212" t="inlineStr">
        <is>
          <t>C07</t>
        </is>
      </c>
      <c r="R1212" s="22" t="inlineStr">
        <is>
          <t>https://inc42.com/buzz/from-moengage-to-digantara-indian-startups-raised-347-mn-this-week/</t>
        </is>
      </c>
    </row>
    <row r="1213">
      <c r="A1213" t="inlineStr">
        <is>
          <t>R251215-ipf</t>
        </is>
      </c>
      <c r="B1213" t="inlineStr">
        <is>
          <t>IPF</t>
        </is>
      </c>
      <c r="C1213" s="17" t="n">
        <v>46006</v>
      </c>
      <c r="D1213" s="18" t="n">
        <v>45992</v>
      </c>
      <c r="E1213" s="19" t="n">
        <v>0.353</v>
      </c>
      <c r="F1213" s="19" t="n">
        <v>3.2</v>
      </c>
      <c r="G1213" t="inlineStr">
        <is>
          <t>Rs 3.2 crore</t>
        </is>
      </c>
      <c r="H1213" t="inlineStr">
        <is>
          <t>Seed</t>
        </is>
      </c>
      <c r="I1213" t="inlineStr">
        <is>
          <t>Early</t>
        </is>
      </c>
      <c r="J1213" t="inlineStr">
        <is>
          <t>Ecommerce</t>
        </is>
      </c>
      <c r="K1213" t="inlineStr">
        <is>
          <t>Bengaluru</t>
        </is>
      </c>
      <c r="L1213" t="inlineStr">
        <is>
          <t>Titan Capital</t>
        </is>
      </c>
      <c r="M1213" t="inlineStr">
        <is>
          <t>Titan Capital; Better Capital; Ranjit Pratap Singh; Aashish Jindal; Vivek Gulati; Abhishek Bhayana</t>
        </is>
      </c>
      <c r="N1213" t="inlineStr">
        <is>
          <t>entrackr | inc42</t>
        </is>
      </c>
      <c r="O1213" s="20" t="n">
        <v>2</v>
      </c>
      <c r="P1213" s="21" t="n">
        <v>9.199999999999999</v>
      </c>
      <c r="Q1213" t="inlineStr"/>
      <c r="R1213" s="22" t="inlineStr">
        <is>
          <t>https://entrackr.com/snippets/kids-focused-resale-platform-ipf-raises-seed-funding-led-by-titan-capital-10911784</t>
        </is>
      </c>
    </row>
    <row r="1214">
      <c r="A1214" t="inlineStr">
        <is>
          <t>R251215-lawyered</t>
        </is>
      </c>
      <c r="B1214" t="inlineStr">
        <is>
          <t>Lawyered</t>
        </is>
      </c>
      <c r="C1214" s="17" t="n">
        <v>46006</v>
      </c>
      <c r="D1214" s="18" t="n">
        <v>45992</v>
      </c>
      <c r="E1214" s="19" t="n">
        <v>0.9370000000000001</v>
      </c>
      <c r="F1214" s="19" t="n">
        <v>8.5</v>
      </c>
      <c r="G1214" t="inlineStr">
        <is>
          <t>Rs 8.5 crore</t>
        </is>
      </c>
      <c r="H1214" t="inlineStr">
        <is>
          <t>Undisclosed</t>
        </is>
      </c>
      <c r="I1214" t="inlineStr">
        <is>
          <t>Undisclosed</t>
        </is>
      </c>
      <c r="J1214" t="inlineStr">
        <is>
          <t>Artificial Intelligence</t>
        </is>
      </c>
      <c r="K1214" t="inlineStr">
        <is>
          <t>Delhi NCR</t>
        </is>
      </c>
      <c r="L1214" t="inlineStr"/>
      <c r="M1214" t="inlineStr"/>
      <c r="N1214" t="inlineStr">
        <is>
          <t>entrackr</t>
        </is>
      </c>
      <c r="O1214" s="20" t="n">
        <v>1</v>
      </c>
      <c r="P1214" s="21" t="n">
        <v>0</v>
      </c>
      <c r="Q1214" t="inlineStr">
        <is>
          <t>C04 C05</t>
        </is>
      </c>
      <c r="R1214" s="22" t="inlineStr">
        <is>
          <t>https://entrackr.com/snippets/legal-tech-startup-lawyered-raises-rs-85-cr-in-all-titans-deal-on-ideabaaz-10911539</t>
        </is>
      </c>
    </row>
    <row r="1215">
      <c r="A1215" t="inlineStr">
        <is>
          <t>R251215-rotoriswatches</t>
        </is>
      </c>
      <c r="B1215" t="inlineStr">
        <is>
          <t>Rotoris</t>
        </is>
      </c>
      <c r="C1215" s="17" t="n">
        <v>46006</v>
      </c>
      <c r="D1215" s="18" t="n">
        <v>45992</v>
      </c>
      <c r="E1215" s="19" t="n">
        <v>3</v>
      </c>
      <c r="F1215" s="19" t="n">
        <v>27.22</v>
      </c>
      <c r="G1215" t="inlineStr">
        <is>
          <t>$3 million</t>
        </is>
      </c>
      <c r="H1215" t="inlineStr">
        <is>
          <t>Seed</t>
        </is>
      </c>
      <c r="I1215" t="inlineStr">
        <is>
          <t>Early</t>
        </is>
      </c>
      <c r="J1215" t="inlineStr">
        <is>
          <t>Ecommerce</t>
        </is>
      </c>
      <c r="K1215" t="inlineStr">
        <is>
          <t>Unknown</t>
        </is>
      </c>
      <c r="L1215" t="inlineStr">
        <is>
          <t>Nikhil Kamath; Venture Catalysts; 100Unicorns; Vivek Oberoi; Tanmay Bhatt</t>
        </is>
      </c>
      <c r="M1215" t="inlineStr">
        <is>
          <t>Nikhil Kamath; Venture Catalysts; 100Unicorns; Vivek Oberoi; Tanmay Bhatt; Varun Alagh; Gaurav Khatri; Nitin Jain; Vivesh Khurana</t>
        </is>
      </c>
      <c r="N1215" t="inlineStr">
        <is>
          <t>entrackr | inc42</t>
        </is>
      </c>
      <c r="O1215" s="20" t="n">
        <v>2</v>
      </c>
      <c r="P1215" s="21" t="n">
        <v>0</v>
      </c>
      <c r="Q1215" t="inlineStr">
        <is>
          <t>C07</t>
        </is>
      </c>
      <c r="R1215" s="22" t="inlineStr">
        <is>
          <t>https://entrackr.com/snippets/rotoris-watches-raises-3-mn-from-nikhil-kamath-vivek-oberoi-others-10910880</t>
        </is>
      </c>
    </row>
    <row r="1216">
      <c r="A1216" t="inlineStr">
        <is>
          <t>R251215-sisirradar</t>
        </is>
      </c>
      <c r="B1216" t="inlineStr">
        <is>
          <t>Sisir Radar</t>
        </is>
      </c>
      <c r="C1216" s="17" t="n">
        <v>46006</v>
      </c>
      <c r="D1216" s="18" t="n">
        <v>45992</v>
      </c>
      <c r="E1216" s="19" t="n">
        <v>7</v>
      </c>
      <c r="F1216" s="19" t="n">
        <v>63.52</v>
      </c>
      <c r="G1216" t="inlineStr">
        <is>
          <t>$7 Mn</t>
        </is>
      </c>
      <c r="H1216" t="inlineStr">
        <is>
          <t>Series A</t>
        </is>
      </c>
      <c r="I1216" t="inlineStr">
        <is>
          <t>Early</t>
        </is>
      </c>
      <c r="J1216" t="inlineStr">
        <is>
          <t>Advanced Hardware &amp; Technology</t>
        </is>
      </c>
      <c r="K1216" t="inlineStr">
        <is>
          <t>Unknown</t>
        </is>
      </c>
      <c r="L1216" t="inlineStr">
        <is>
          <t>360 ONE Asset</t>
        </is>
      </c>
      <c r="M1216" t="inlineStr">
        <is>
          <t>360 ONE Asset; Shastra VC</t>
        </is>
      </c>
      <c r="N1216" t="inlineStr">
        <is>
          <t>inc42</t>
        </is>
      </c>
      <c r="O1216" s="20" t="n">
        <v>1</v>
      </c>
      <c r="P1216" s="21" t="n">
        <v>0</v>
      </c>
      <c r="Q1216" t="inlineStr">
        <is>
          <t>C07</t>
        </is>
      </c>
      <c r="R1216" s="22" t="inlineStr">
        <is>
          <t>https://inc42.com/buzz/from-moengage-to-digantara-indian-startups-raised-347-mn-this-week/</t>
        </is>
      </c>
    </row>
    <row r="1217">
      <c r="A1217" t="inlineStr">
        <is>
          <t>R251215-tagbin</t>
        </is>
      </c>
      <c r="B1217" t="inlineStr">
        <is>
          <t>Tagbin</t>
        </is>
      </c>
      <c r="C1217" s="17" t="n">
        <v>46006</v>
      </c>
      <c r="D1217" s="18" t="n">
        <v>45992</v>
      </c>
      <c r="E1217" s="19" t="n">
        <v>10</v>
      </c>
      <c r="F1217" s="19" t="n">
        <v>90.73999999999999</v>
      </c>
      <c r="G1217" t="inlineStr">
        <is>
          <t>$10 million</t>
        </is>
      </c>
      <c r="H1217" t="inlineStr">
        <is>
          <t>Undisclosed</t>
        </is>
      </c>
      <c r="I1217" t="inlineStr">
        <is>
          <t>Undisclosed</t>
        </is>
      </c>
      <c r="J1217" t="inlineStr">
        <is>
          <t>Enterprise Tech</t>
        </is>
      </c>
      <c r="K1217" t="inlineStr">
        <is>
          <t>Delhi NCR</t>
        </is>
      </c>
      <c r="L1217" t="inlineStr"/>
      <c r="M1217" t="inlineStr">
        <is>
          <t>SageOne Flagship Growth OE Fund; Jyotivardhan Sonthalia; Sanjay Kaul; Ramesh Damani; Moheet Agarwal; Siddharth Iyer; Abhinandan Lodha; Kurl-on Group</t>
        </is>
      </c>
      <c r="N1217" t="inlineStr">
        <is>
          <t>entrackr | inc42 | et</t>
        </is>
      </c>
      <c r="O1217" s="20" t="n">
        <v>3</v>
      </c>
      <c r="P1217" s="21" t="n">
        <v>0</v>
      </c>
      <c r="Q1217" t="inlineStr">
        <is>
          <t>C04</t>
        </is>
      </c>
      <c r="R1217" s="22" t="inlineStr">
        <is>
          <t>https://economictimes.indiatimes.com/tech/funding/experiential-tech-startup-tagbin-raises-10-million-focusses-on-ai-led-govt-platforms/articleshow/125983524.cms</t>
        </is>
      </c>
    </row>
    <row r="1218">
      <c r="A1218" t="inlineStr">
        <is>
          <t>R251216-aceturtle</t>
        </is>
      </c>
      <c r="B1218" t="inlineStr">
        <is>
          <t>Ace Turtle</t>
        </is>
      </c>
      <c r="C1218" s="17" t="n">
        <v>46007</v>
      </c>
      <c r="D1218" s="18" t="n">
        <v>45992</v>
      </c>
      <c r="E1218" s="19" t="n">
        <v>5</v>
      </c>
      <c r="F1218" s="19" t="n">
        <v>45.46</v>
      </c>
      <c r="G1218" t="inlineStr">
        <is>
          <t>$5 million</t>
        </is>
      </c>
      <c r="H1218" t="inlineStr">
        <is>
          <t>Bridge</t>
        </is>
      </c>
      <c r="I1218" t="inlineStr">
        <is>
          <t>Other</t>
        </is>
      </c>
      <c r="J1218" t="inlineStr">
        <is>
          <t>Ecommerce</t>
        </is>
      </c>
      <c r="K1218" t="inlineStr">
        <is>
          <t>Bengaluru</t>
        </is>
      </c>
      <c r="L1218" t="inlineStr">
        <is>
          <t>Vertex Holdings</t>
        </is>
      </c>
      <c r="M1218" t="inlineStr">
        <is>
          <t>Vertex Holdings</t>
        </is>
      </c>
      <c r="N1218" t="inlineStr">
        <is>
          <t>entrackr | et</t>
        </is>
      </c>
      <c r="O1218" s="20" t="n">
        <v>2</v>
      </c>
      <c r="P1218" s="21" t="n">
        <v>0</v>
      </c>
      <c r="Q1218" t="inlineStr"/>
      <c r="R1218" s="22" t="inlineStr">
        <is>
          <t>https://economictimes.indiatimes.com/tech/funding/tech-led-retailer-ace-turtle-raises-5-million-in-round-led-by-existing-investor-vertex-holdings/articleshow/126013965.cms</t>
        </is>
      </c>
    </row>
    <row r="1219">
      <c r="A1219" t="inlineStr">
        <is>
          <t>R251216-aurassure</t>
        </is>
      </c>
      <c r="B1219" t="inlineStr">
        <is>
          <t>Aurassure</t>
        </is>
      </c>
      <c r="C1219" s="17" t="n">
        <v>46007</v>
      </c>
      <c r="D1219" s="18" t="n">
        <v>45992</v>
      </c>
      <c r="E1219" s="19" t="n">
        <v>2.75</v>
      </c>
      <c r="F1219" s="19" t="n">
        <v>25</v>
      </c>
      <c r="G1219" t="inlineStr">
        <is>
          <t>Rs 25 crore</t>
        </is>
      </c>
      <c r="H1219" t="inlineStr">
        <is>
          <t>Pre-Series A</t>
        </is>
      </c>
      <c r="I1219" t="inlineStr">
        <is>
          <t>Early</t>
        </is>
      </c>
      <c r="J1219" t="inlineStr">
        <is>
          <t>Cleantech</t>
        </is>
      </c>
      <c r="K1219" t="inlineStr">
        <is>
          <t>Unknown</t>
        </is>
      </c>
      <c r="L1219" t="inlineStr">
        <is>
          <t>Rainmatter; Unicorn India Ventures</t>
        </is>
      </c>
      <c r="M1219" t="inlineStr">
        <is>
          <t>Rainmatter; Unicorn India Ventures; Maithan Alloys</t>
        </is>
      </c>
      <c r="N1219" t="inlineStr">
        <is>
          <t>entrackr | inc42 | et</t>
        </is>
      </c>
      <c r="O1219" s="20" t="n">
        <v>3</v>
      </c>
      <c r="P1219" s="21" t="n">
        <v>1.8</v>
      </c>
      <c r="Q1219" t="inlineStr">
        <is>
          <t>C07</t>
        </is>
      </c>
      <c r="R1219" s="22" t="inlineStr">
        <is>
          <t>https://entrackr.com/snippets/climate-tech-startup-aurassure-raises-rs-25-cr-in-pre-series-a-10913873</t>
        </is>
      </c>
    </row>
    <row r="1220">
      <c r="A1220" t="inlineStr">
        <is>
          <t>R251216-digantara</t>
        </is>
      </c>
      <c r="B1220" t="inlineStr">
        <is>
          <t>Digantara</t>
        </is>
      </c>
      <c r="C1220" s="17" t="n">
        <v>46007</v>
      </c>
      <c r="D1220" s="18" t="n">
        <v>45992</v>
      </c>
      <c r="E1220" s="19" t="n">
        <v>50</v>
      </c>
      <c r="F1220" s="19" t="n">
        <v>454.6</v>
      </c>
      <c r="G1220" t="inlineStr">
        <is>
          <t>$50 million</t>
        </is>
      </c>
      <c r="H1220" t="inlineStr">
        <is>
          <t>Series B</t>
        </is>
      </c>
      <c r="I1220" t="inlineStr">
        <is>
          <t>Growth</t>
        </is>
      </c>
      <c r="J1220" t="inlineStr">
        <is>
          <t>Advanced Hardware &amp; Technology</t>
        </is>
      </c>
      <c r="K1220" t="inlineStr">
        <is>
          <t>Bengaluru</t>
        </is>
      </c>
      <c r="L1220" t="inlineStr"/>
      <c r="M1220" t="inlineStr">
        <is>
          <t>SBI Investments Co Japan; 360 One Asset; Ronnie Screwvala; Peak XV Partners; Kalaari Capital</t>
        </is>
      </c>
      <c r="N1220" t="inlineStr">
        <is>
          <t>entrackr | inc42 | et | vccircle</t>
        </is>
      </c>
      <c r="O1220" s="20" t="n">
        <v>4</v>
      </c>
      <c r="P1220" s="21" t="n">
        <v>0</v>
      </c>
      <c r="Q1220" t="inlineStr"/>
      <c r="R1220" s="22" t="inlineStr">
        <is>
          <t>https://entrackr.com/news/spacetech-startup-digantara-raises-50-mn-in-series-b-round-10915992</t>
        </is>
      </c>
    </row>
    <row r="1221">
      <c r="A1221" t="inlineStr">
        <is>
          <t>R251216-edt</t>
        </is>
      </c>
      <c r="B1221" t="inlineStr">
        <is>
          <t>EDT</t>
        </is>
      </c>
      <c r="C1221" s="17" t="n">
        <v>46007</v>
      </c>
      <c r="D1221" s="18" t="n">
        <v>45992</v>
      </c>
      <c r="E1221" s="19" t="n">
        <v>1.4</v>
      </c>
      <c r="F1221" s="19" t="n">
        <v>12.73</v>
      </c>
      <c r="G1221" t="inlineStr">
        <is>
          <t>$1.4 million</t>
        </is>
      </c>
      <c r="H1221" t="inlineStr">
        <is>
          <t>Pre-Seed</t>
        </is>
      </c>
      <c r="I1221" t="inlineStr">
        <is>
          <t>Early</t>
        </is>
      </c>
      <c r="J1221" t="inlineStr">
        <is>
          <t>Ecommerce</t>
        </is>
      </c>
      <c r="K1221" t="inlineStr">
        <is>
          <t>Mumbai</t>
        </is>
      </c>
      <c r="L1221" t="inlineStr">
        <is>
          <t>Sauce VC</t>
        </is>
      </c>
      <c r="M1221" t="inlineStr">
        <is>
          <t>Sauce VC; Consumer Collective; Mithun Sacheti; Amit Khatr; Varun Khaitan; Spark Grant; Caitlin Kalinowski</t>
        </is>
      </c>
      <c r="N1221" t="inlineStr">
        <is>
          <t>entrackr | inc42 | et</t>
        </is>
      </c>
      <c r="O1221" s="20" t="n">
        <v>3</v>
      </c>
      <c r="P1221" s="21" t="n">
        <v>0</v>
      </c>
      <c r="Q1221" t="inlineStr"/>
      <c r="R1221" s="22" t="inlineStr">
        <is>
          <t>https://entrackr.com/snippets/consumer-appliances-startup-edt-raises-14-mn-in-pre-seed-round-led-by-sauce-vc-10913470</t>
        </is>
      </c>
    </row>
    <row r="1222">
      <c r="A1222" t="inlineStr">
        <is>
          <t>R251216-moxiebeauty</t>
        </is>
      </c>
      <c r="B1222" t="inlineStr">
        <is>
          <t>Moxie Beauty</t>
        </is>
      </c>
      <c r="C1222" s="17" t="n">
        <v>46007</v>
      </c>
      <c r="D1222" s="18" t="n">
        <v>45992</v>
      </c>
      <c r="E1222" s="19" t="n">
        <v>15</v>
      </c>
      <c r="F1222" s="19" t="n">
        <v>136.38</v>
      </c>
      <c r="G1222" t="inlineStr">
        <is>
          <t>$15 million</t>
        </is>
      </c>
      <c r="H1222" t="inlineStr">
        <is>
          <t>Series A</t>
        </is>
      </c>
      <c r="I1222" t="inlineStr">
        <is>
          <t>Early</t>
        </is>
      </c>
      <c r="J1222" t="inlineStr">
        <is>
          <t>Ecommerce</t>
        </is>
      </c>
      <c r="K1222" t="inlineStr">
        <is>
          <t>Delhi NCR</t>
        </is>
      </c>
      <c r="L1222" t="inlineStr">
        <is>
          <t>Bessemer Venture Partners</t>
        </is>
      </c>
      <c r="M1222" t="inlineStr">
        <is>
          <t>Navin Parwal; Sangeet Agarwal; Arjun Purkayastha; Fireside Ventures; Shantanu Deshpande; Suhasini Sampath; Rohit Kapoor; Bessemer Venture Partners</t>
        </is>
      </c>
      <c r="N1222" t="inlineStr">
        <is>
          <t>entrackr | inc42 | et</t>
        </is>
      </c>
      <c r="O1222" s="20" t="n">
        <v>3</v>
      </c>
      <c r="P1222" s="21" t="n">
        <v>0</v>
      </c>
      <c r="Q1222" t="inlineStr"/>
      <c r="R1222" s="22" t="inlineStr">
        <is>
          <t>https://entrackr.com/news/haircare-startup-moxie-beauty-raises-15-mn-in-series-a-led-by-bessemer-10913742</t>
        </is>
      </c>
    </row>
    <row r="1223">
      <c r="A1223" t="inlineStr">
        <is>
          <t>R251216-quintrans</t>
        </is>
      </c>
      <c r="B1223" t="inlineStr">
        <is>
          <t>Quintrans</t>
        </is>
      </c>
      <c r="C1223" s="17" t="n">
        <v>46007</v>
      </c>
      <c r="D1223" s="18" t="n">
        <v>45992</v>
      </c>
      <c r="E1223" s="19" t="n">
        <v>0.75</v>
      </c>
      <c r="F1223" s="19" t="n">
        <v>6.82</v>
      </c>
      <c r="G1223" t="inlineStr">
        <is>
          <t>$750K</t>
        </is>
      </c>
      <c r="H1223" t="inlineStr">
        <is>
          <t>Pre-Seed</t>
        </is>
      </c>
      <c r="I1223" t="inlineStr">
        <is>
          <t>Early</t>
        </is>
      </c>
      <c r="J1223" t="inlineStr">
        <is>
          <t>Advanced Hardware &amp; Technology</t>
        </is>
      </c>
      <c r="K1223" t="inlineStr">
        <is>
          <t>Pune</t>
        </is>
      </c>
      <c r="L1223" t="inlineStr">
        <is>
          <t>Capital-A; SanchiConnect; AIC-Pinnacle; IIMA Ventures</t>
        </is>
      </c>
      <c r="M1223" t="inlineStr">
        <is>
          <t>Capital-A; Sumeet Kabra; SanchiConnect; AIC-Pinnacle; IIMA Ventures</t>
        </is>
      </c>
      <c r="N1223" t="inlineStr">
        <is>
          <t>entrackr | inc42</t>
        </is>
      </c>
      <c r="O1223" s="20" t="n">
        <v>2</v>
      </c>
      <c r="P1223" s="21" t="n">
        <v>0</v>
      </c>
      <c r="Q1223" t="inlineStr"/>
      <c r="R1223" s="22" t="inlineStr">
        <is>
          <t>https://entrackr.com/snippets/quintrans-raises-750k-in-pre-seed-round-led-by-capital-a-10914468</t>
        </is>
      </c>
    </row>
    <row r="1224">
      <c r="A1224" t="inlineStr">
        <is>
          <t>R251216-swizzle</t>
        </is>
      </c>
      <c r="B1224" t="inlineStr">
        <is>
          <t>Swizzle</t>
        </is>
      </c>
      <c r="C1224" s="17" t="n">
        <v>46007</v>
      </c>
      <c r="D1224" s="18" t="n">
        <v>45992</v>
      </c>
      <c r="E1224" s="19" t="n">
        <v>0.238</v>
      </c>
      <c r="F1224" s="19" t="n">
        <v>2.16</v>
      </c>
      <c r="G1224" t="inlineStr">
        <is>
          <t>$238K</t>
        </is>
      </c>
      <c r="H1224" t="inlineStr">
        <is>
          <t>Seed</t>
        </is>
      </c>
      <c r="I1224" t="inlineStr">
        <is>
          <t>Early</t>
        </is>
      </c>
      <c r="J1224" t="inlineStr">
        <is>
          <t>Ecommerce</t>
        </is>
      </c>
      <c r="K1224" t="inlineStr">
        <is>
          <t>Unknown</t>
        </is>
      </c>
      <c r="L1224" t="inlineStr"/>
      <c r="M1224" t="inlineStr">
        <is>
          <t>Sooraj Singh; Shaili Chopra</t>
        </is>
      </c>
      <c r="N1224" t="inlineStr">
        <is>
          <t>inc42</t>
        </is>
      </c>
      <c r="O1224" s="20" t="n">
        <v>1</v>
      </c>
      <c r="P1224" s="21" t="n">
        <v>0</v>
      </c>
      <c r="Q1224" t="inlineStr">
        <is>
          <t>C07</t>
        </is>
      </c>
      <c r="R1224" s="22" t="inlineStr">
        <is>
          <t>https://inc42.com/buzz/from-moengage-to-digantara-indian-startups-raised-347-mn-this-week/</t>
        </is>
      </c>
    </row>
    <row r="1225">
      <c r="A1225" t="inlineStr">
        <is>
          <t>R251216-underneat</t>
        </is>
      </c>
      <c r="B1225" t="inlineStr">
        <is>
          <t>Underneat</t>
        </is>
      </c>
      <c r="C1225" s="17" t="n">
        <v>46007</v>
      </c>
      <c r="D1225" s="18" t="n">
        <v>45992</v>
      </c>
      <c r="E1225" s="19" t="n">
        <v>6</v>
      </c>
      <c r="F1225" s="19" t="n">
        <v>54.55</v>
      </c>
      <c r="G1225" t="inlineStr">
        <is>
          <t>$6 million</t>
        </is>
      </c>
      <c r="H1225" t="inlineStr">
        <is>
          <t>Pre-Series A</t>
        </is>
      </c>
      <c r="I1225" t="inlineStr">
        <is>
          <t>Early</t>
        </is>
      </c>
      <c r="J1225" t="inlineStr">
        <is>
          <t>Ecommerce</t>
        </is>
      </c>
      <c r="K1225" t="inlineStr">
        <is>
          <t>Delhi NCR</t>
        </is>
      </c>
      <c r="L1225" t="inlineStr">
        <is>
          <t>Fireside Ventures</t>
        </is>
      </c>
      <c r="M1225" t="inlineStr">
        <is>
          <t>Fireside Ventures; Vimarsh Razdan told ET</t>
        </is>
      </c>
      <c r="N1225" t="inlineStr">
        <is>
          <t>entrackr | inc42 | et</t>
        </is>
      </c>
      <c r="O1225" s="20" t="n">
        <v>3</v>
      </c>
      <c r="P1225" s="21" t="n">
        <v>0</v>
      </c>
      <c r="Q1225" t="inlineStr"/>
      <c r="R1225" s="22" t="inlineStr">
        <is>
          <t>https://entrackr.com/snippets/shapewear-brand-underneat-raises-6-mn-in-pre-series-a-led-by-fireside-ventures-10914712</t>
        </is>
      </c>
    </row>
    <row r="1226">
      <c r="A1226" t="inlineStr">
        <is>
          <t>R251217-cellarimlabs</t>
        </is>
      </c>
      <c r="B1226" t="inlineStr">
        <is>
          <t>Cellarim Labs</t>
        </is>
      </c>
      <c r="C1226" s="17" t="n">
        <v>46008</v>
      </c>
      <c r="D1226" s="18" t="n">
        <v>45992</v>
      </c>
      <c r="E1226" s="19" t="n">
        <v>0.664</v>
      </c>
      <c r="F1226" s="19" t="n">
        <v>6</v>
      </c>
      <c r="G1226" t="inlineStr">
        <is>
          <t>Rs 6 crore</t>
        </is>
      </c>
      <c r="H1226" t="inlineStr">
        <is>
          <t>Seed</t>
        </is>
      </c>
      <c r="I1226" t="inlineStr">
        <is>
          <t>Early</t>
        </is>
      </c>
      <c r="J1226" t="inlineStr">
        <is>
          <t>Cleantech</t>
        </is>
      </c>
      <c r="K1226" t="inlineStr">
        <is>
          <t>Unknown</t>
        </is>
      </c>
      <c r="L1226" t="inlineStr">
        <is>
          <t>3i Partners; Venture Catalysts</t>
        </is>
      </c>
      <c r="M1226" t="inlineStr">
        <is>
          <t>3i Partners; Venture Catalysts; Momentum Capital; Jashan Bhumkar; Gayathri Kuppendra Reddy</t>
        </is>
      </c>
      <c r="N1226" t="inlineStr">
        <is>
          <t>entrackr | inc42</t>
        </is>
      </c>
      <c r="O1226" s="20" t="n">
        <v>2</v>
      </c>
      <c r="P1226" s="21" t="n">
        <v>7.5</v>
      </c>
      <c r="Q1226" t="inlineStr">
        <is>
          <t>C07</t>
        </is>
      </c>
      <c r="R1226" s="22" t="inlineStr">
        <is>
          <t>https://entrackr.com/snippets/cellarim-labs-raises-seed-round-led-by-3i-partners-and-venture-catalysts-10918040</t>
        </is>
      </c>
    </row>
    <row r="1227">
      <c r="A1227" t="inlineStr">
        <is>
          <t>R251217-decodeage</t>
        </is>
      </c>
      <c r="B1227" t="inlineStr">
        <is>
          <t>Decode Age</t>
        </is>
      </c>
      <c r="C1227" s="17" t="n">
        <v>46008</v>
      </c>
      <c r="D1227" s="18" t="n">
        <v>45992</v>
      </c>
      <c r="E1227" s="19" t="n">
        <v>1.602</v>
      </c>
      <c r="F1227" s="19" t="n">
        <v>14.48</v>
      </c>
      <c r="G1227" t="inlineStr">
        <is>
          <t>Rs 14.48 crore</t>
        </is>
      </c>
      <c r="H1227" t="inlineStr">
        <is>
          <t>Pre-Series A</t>
        </is>
      </c>
      <c r="I1227" t="inlineStr">
        <is>
          <t>Early</t>
        </is>
      </c>
      <c r="J1227" t="inlineStr">
        <is>
          <t>Healthtech</t>
        </is>
      </c>
      <c r="K1227" t="inlineStr">
        <is>
          <t>Bengaluru</t>
        </is>
      </c>
      <c r="L1227" t="inlineStr">
        <is>
          <t>Krishna Prasad Chigurupati</t>
        </is>
      </c>
      <c r="M1227" t="inlineStr">
        <is>
          <t>Krishna Prasad Chigurupati</t>
        </is>
      </c>
      <c r="N1227" t="inlineStr">
        <is>
          <t>entrackr | inc42</t>
        </is>
      </c>
      <c r="O1227" s="20" t="n">
        <v>2</v>
      </c>
      <c r="P1227" s="21" t="n">
        <v>6.1</v>
      </c>
      <c r="Q1227" t="inlineStr"/>
      <c r="R1227" s="22" t="inlineStr">
        <is>
          <t>https://entrackr.com/snippets/decode-age-raises-17-mn-in-pre-series-a-round-10917447</t>
        </is>
      </c>
    </row>
    <row r="1228">
      <c r="A1228" t="inlineStr">
        <is>
          <t>R251217-moengage</t>
        </is>
      </c>
      <c r="B1228" t="inlineStr">
        <is>
          <t>MoEngage</t>
        </is>
      </c>
      <c r="C1228" s="17" t="n">
        <v>46008</v>
      </c>
      <c r="D1228" s="18" t="n">
        <v>45992</v>
      </c>
      <c r="E1228" s="19" t="n">
        <v>180</v>
      </c>
      <c r="F1228" s="19" t="n">
        <v>1626.66</v>
      </c>
      <c r="G1228" t="inlineStr">
        <is>
          <t>$180 Mn</t>
        </is>
      </c>
      <c r="H1228" t="inlineStr">
        <is>
          <t>Series F</t>
        </is>
      </c>
      <c r="I1228" t="inlineStr">
        <is>
          <t>Late</t>
        </is>
      </c>
      <c r="J1228" t="inlineStr">
        <is>
          <t>Enterprise Tech</t>
        </is>
      </c>
      <c r="K1228" t="inlineStr">
        <is>
          <t>Outside India</t>
        </is>
      </c>
      <c r="L1228" t="inlineStr">
        <is>
          <t>Chrys Capital; Schroders Capital</t>
        </is>
      </c>
      <c r="M1228" t="inlineStr">
        <is>
          <t>Chrys Capital; Schroders Capital; Goldman Sachs Alternatives; A91 Partners</t>
        </is>
      </c>
      <c r="N1228" t="inlineStr">
        <is>
          <t>inc42</t>
        </is>
      </c>
      <c r="O1228" s="20" t="n">
        <v>1</v>
      </c>
      <c r="P1228" s="21" t="n">
        <v>0</v>
      </c>
      <c r="Q1228" t="inlineStr">
        <is>
          <t>C09</t>
        </is>
      </c>
      <c r="R1228" s="22" t="inlineStr">
        <is>
          <t>https://inc42.com/buzz/from-moengage-to-digantara-indian-startups-raised-347-mn-this-week/</t>
        </is>
      </c>
    </row>
    <row r="1229">
      <c r="A1229" t="inlineStr">
        <is>
          <t>R251217-superyou</t>
        </is>
      </c>
      <c r="B1229" t="inlineStr">
        <is>
          <t>SuperYou</t>
        </is>
      </c>
      <c r="C1229" s="17" t="n">
        <v>46008</v>
      </c>
      <c r="D1229" s="18" t="n">
        <v>45992</v>
      </c>
      <c r="E1229" s="19" t="n">
        <v>7</v>
      </c>
      <c r="F1229" s="19" t="n">
        <v>63.26</v>
      </c>
      <c r="G1229" t="inlineStr">
        <is>
          <t>$7 Mn</t>
        </is>
      </c>
      <c r="H1229" t="inlineStr">
        <is>
          <t>Series B</t>
        </is>
      </c>
      <c r="I1229" t="inlineStr">
        <is>
          <t>Growth</t>
        </is>
      </c>
      <c r="J1229" t="inlineStr">
        <is>
          <t>Ecommerce</t>
        </is>
      </c>
      <c r="K1229" t="inlineStr">
        <is>
          <t>Unknown</t>
        </is>
      </c>
      <c r="L1229" t="inlineStr">
        <is>
          <t>V3 Ventures</t>
        </is>
      </c>
      <c r="M1229" t="inlineStr">
        <is>
          <t>V3 Ventures; Rainmatter; Gruhas Collective Consumer Fund</t>
        </is>
      </c>
      <c r="N1229" t="inlineStr">
        <is>
          <t>inc42</t>
        </is>
      </c>
      <c r="O1229" s="20" t="n">
        <v>1</v>
      </c>
      <c r="P1229" s="21" t="n">
        <v>0</v>
      </c>
      <c r="Q1229" t="inlineStr">
        <is>
          <t>C07</t>
        </is>
      </c>
      <c r="R1229" s="22" t="inlineStr">
        <is>
          <t>https://inc42.com/buzz/from-moengage-to-digantara-indian-startups-raised-347-mn-this-week/</t>
        </is>
      </c>
    </row>
    <row r="1230">
      <c r="A1230" t="inlineStr">
        <is>
          <t>R251217-wickedgud</t>
        </is>
      </c>
      <c r="B1230" t="inlineStr">
        <is>
          <t>WickedGud</t>
        </is>
      </c>
      <c r="C1230" s="17" t="n">
        <v>46008</v>
      </c>
      <c r="D1230" s="18" t="n">
        <v>45992</v>
      </c>
      <c r="E1230" s="19" t="n">
        <v>2.213</v>
      </c>
      <c r="F1230" s="19" t="n">
        <v>20</v>
      </c>
      <c r="G1230" t="inlineStr">
        <is>
          <t>Rs 20 crore</t>
        </is>
      </c>
      <c r="H1230" t="inlineStr">
        <is>
          <t>Undisclosed</t>
        </is>
      </c>
      <c r="I1230" t="inlineStr">
        <is>
          <t>Undisclosed</t>
        </is>
      </c>
      <c r="J1230" t="inlineStr">
        <is>
          <t>Ecommerce</t>
        </is>
      </c>
      <c r="K1230" t="inlineStr">
        <is>
          <t>Mumbai</t>
        </is>
      </c>
      <c r="L1230" t="inlineStr"/>
      <c r="M1230" t="inlineStr">
        <is>
          <t>Shilpa Shetty; Orios Venture Partners; Asiana Fund; Shajikumar Devakar; Ajay Mehta; Sonika Ravula; Rahul Colaco</t>
        </is>
      </c>
      <c r="N1230" t="inlineStr">
        <is>
          <t>entrackr | inc42</t>
        </is>
      </c>
      <c r="O1230" s="20" t="n">
        <v>2</v>
      </c>
      <c r="P1230" s="21" t="n">
        <v>0.6</v>
      </c>
      <c r="Q1230" t="inlineStr">
        <is>
          <t>C04</t>
        </is>
      </c>
      <c r="R1230" s="22" t="inlineStr">
        <is>
          <t>https://entrackr.com/snippets/shilpa-shetty-backed-wickedgud-raises-rs-20-cr-10917736</t>
        </is>
      </c>
    </row>
    <row r="1231">
      <c r="A1231" t="inlineStr">
        <is>
          <t>R251218-magma</t>
        </is>
      </c>
      <c r="B1231" t="inlineStr">
        <is>
          <t>Magma</t>
        </is>
      </c>
      <c r="C1231" s="17" t="n">
        <v>46009</v>
      </c>
      <c r="D1231" s="18" t="n">
        <v>45992</v>
      </c>
      <c r="E1231" s="19" t="n">
        <v>8</v>
      </c>
      <c r="F1231" s="19" t="n">
        <v>72.20999999999999</v>
      </c>
      <c r="G1231" t="inlineStr">
        <is>
          <t>$8 million</t>
        </is>
      </c>
      <c r="H1231" t="inlineStr">
        <is>
          <t>Series A</t>
        </is>
      </c>
      <c r="I1231" t="inlineStr">
        <is>
          <t>Early</t>
        </is>
      </c>
      <c r="J1231" t="inlineStr">
        <is>
          <t>Enterprise Tech</t>
        </is>
      </c>
      <c r="K1231" t="inlineStr">
        <is>
          <t>Ahmedabad</t>
        </is>
      </c>
      <c r="L1231" t="inlineStr">
        <is>
          <t>Rainmatter; GVFL</t>
        </is>
      </c>
      <c r="M1231" t="inlineStr">
        <is>
          <t>Rainmatter; Unicorn India Ventures; Maithan Alloys; GVFL; AVNM Ventures; Capria Ventures; Avinya Ventures</t>
        </is>
      </c>
      <c r="N1231" t="inlineStr">
        <is>
          <t>entrackr | inc42 | et</t>
        </is>
      </c>
      <c r="O1231" s="20" t="n">
        <v>3</v>
      </c>
      <c r="P1231" s="21" t="n">
        <v>166.7</v>
      </c>
      <c r="Q1231" t="inlineStr">
        <is>
          <t>C15 C17</t>
        </is>
      </c>
      <c r="R1231" s="22" t="inlineStr">
        <is>
          <t>https://entrackr.com/snippets/magma-closes-series-a-round-at-8-mn-10920637</t>
        </is>
      </c>
    </row>
    <row r="1232">
      <c r="A1232" t="inlineStr">
        <is>
          <t>R251218-obenelectric</t>
        </is>
      </c>
      <c r="B1232" t="inlineStr">
        <is>
          <t>Oben Electric</t>
        </is>
      </c>
      <c r="C1232" s="17" t="n">
        <v>46009</v>
      </c>
      <c r="D1232" s="18" t="n">
        <v>45992</v>
      </c>
      <c r="E1232" s="19" t="n">
        <v>9.417</v>
      </c>
      <c r="F1232" s="19" t="n">
        <v>85</v>
      </c>
      <c r="G1232" t="inlineStr">
        <is>
          <t>Rs 85 crore</t>
        </is>
      </c>
      <c r="H1232" t="inlineStr">
        <is>
          <t>Pre-Series B</t>
        </is>
      </c>
      <c r="I1232" t="inlineStr">
        <is>
          <t>Growth</t>
        </is>
      </c>
      <c r="J1232" t="inlineStr">
        <is>
          <t>Cleantech</t>
        </is>
      </c>
      <c r="K1232" t="inlineStr">
        <is>
          <t>Bengaluru</t>
        </is>
      </c>
      <c r="L1232" t="inlineStr"/>
      <c r="M1232" t="inlineStr">
        <is>
          <t>Raj K Soin; Musa Dakri; Ramesh Bhutada</t>
        </is>
      </c>
      <c r="N1232" t="inlineStr">
        <is>
          <t>entrackr | inc42</t>
        </is>
      </c>
      <c r="O1232" s="20" t="n">
        <v>2</v>
      </c>
      <c r="P1232" s="21" t="n">
        <v>6.2</v>
      </c>
      <c r="Q1232" t="inlineStr"/>
      <c r="R1232" s="22" t="inlineStr">
        <is>
          <t>https://entrackr.com/news/electric-motorcycle-maker-oben-electric-raises-102-mn-in-pre-series-b-round-10920607</t>
        </is>
      </c>
    </row>
    <row r="1233">
      <c r="A1233" t="inlineStr">
        <is>
          <t>R251218-qucev</t>
        </is>
      </c>
      <c r="B1233" t="inlineStr">
        <is>
          <t>Qucev</t>
        </is>
      </c>
      <c r="C1233" s="17" t="n">
        <v>46009</v>
      </c>
      <c r="D1233" s="18" t="n">
        <v>45992</v>
      </c>
      <c r="E1233" s="19" t="n">
        <v>14.541</v>
      </c>
      <c r="F1233" s="19" t="n">
        <v>131.25</v>
      </c>
      <c r="G1233" t="inlineStr">
        <is>
          <t>Rs 131.25 crore</t>
        </is>
      </c>
      <c r="H1233" t="inlineStr">
        <is>
          <t>Series B</t>
        </is>
      </c>
      <c r="I1233" t="inlineStr">
        <is>
          <t>Growth</t>
        </is>
      </c>
      <c r="J1233" t="inlineStr">
        <is>
          <t>Unclassified</t>
        </is>
      </c>
      <c r="K1233" t="inlineStr">
        <is>
          <t>Unknown</t>
        </is>
      </c>
      <c r="L1233" t="inlineStr">
        <is>
          <t>Singularity AMC</t>
        </is>
      </c>
      <c r="M1233" t="inlineStr">
        <is>
          <t>Singularity AMC; Lotus Family Trust; Volrado Venture Partners; Anchorage Capital</t>
        </is>
      </c>
      <c r="N1233" t="inlineStr">
        <is>
          <t>entrackr</t>
        </is>
      </c>
      <c r="O1233" s="20" t="n">
        <v>1</v>
      </c>
      <c r="P1233" s="21" t="n">
        <v>0</v>
      </c>
      <c r="Q1233" t="inlineStr">
        <is>
          <t>C06 C07</t>
        </is>
      </c>
      <c r="R1233" s="22" t="inlineStr">
        <is>
          <t>https://entrackr.com/exclusive/exclusive-ev-startup-qucev-raises-15-mn-in-series-b-10920036</t>
        </is>
      </c>
    </row>
    <row r="1234">
      <c r="A1234" t="inlineStr">
        <is>
          <t>R251218-workindia</t>
        </is>
      </c>
      <c r="B1234" t="inlineStr">
        <is>
          <t>WorkIndia</t>
        </is>
      </c>
      <c r="C1234" s="17" t="n">
        <v>46009</v>
      </c>
      <c r="D1234" s="18" t="n">
        <v>45992</v>
      </c>
      <c r="E1234" s="19" t="n">
        <v>10.747</v>
      </c>
      <c r="F1234" s="19" t="n">
        <v>97</v>
      </c>
      <c r="G1234" t="inlineStr">
        <is>
          <t>Rs 97 crore</t>
        </is>
      </c>
      <c r="H1234" t="inlineStr">
        <is>
          <t>Series B</t>
        </is>
      </c>
      <c r="I1234" t="inlineStr">
        <is>
          <t>Growth</t>
        </is>
      </c>
      <c r="J1234" t="inlineStr">
        <is>
          <t>Enterprise Tech</t>
        </is>
      </c>
      <c r="K1234" t="inlineStr">
        <is>
          <t>Unknown</t>
        </is>
      </c>
      <c r="L1234" t="inlineStr">
        <is>
          <t>Avishkaar Capital</t>
        </is>
      </c>
      <c r="M1234" t="inlineStr">
        <is>
          <t>BEENEXT Capital; Avishkaar Capital</t>
        </is>
      </c>
      <c r="N1234" t="inlineStr">
        <is>
          <t>entrackr | inc42 | et | vccircle</t>
        </is>
      </c>
      <c r="O1234" s="20" t="n">
        <v>4</v>
      </c>
      <c r="P1234" s="21" t="n">
        <v>0.5</v>
      </c>
      <c r="Q1234" t="inlineStr">
        <is>
          <t>C07</t>
        </is>
      </c>
      <c r="R1234" s="22" t="inlineStr">
        <is>
          <t>https://economictimes.indiatimes.com/tech/startups/workindia-raises-rs-97-crore-in-round-led-by-aavishkaar-capital/articleshow/126060485.cms</t>
        </is>
      </c>
    </row>
    <row r="1235">
      <c r="A1235" t="inlineStr">
        <is>
          <t>R251219-alimentoagrofo</t>
        </is>
      </c>
      <c r="B1235" t="inlineStr">
        <is>
          <t>Alimento Agro Foods</t>
        </is>
      </c>
      <c r="C1235" s="17" t="n">
        <v>46010</v>
      </c>
      <c r="D1235" s="18" t="n">
        <v>45992</v>
      </c>
      <c r="E1235" s="19" t="n">
        <v>5.798</v>
      </c>
      <c r="F1235" s="19" t="n">
        <v>52</v>
      </c>
      <c r="G1235" t="inlineStr">
        <is>
          <t>Rs 52 crore</t>
        </is>
      </c>
      <c r="H1235" t="inlineStr">
        <is>
          <t>Series A</t>
        </is>
      </c>
      <c r="I1235" t="inlineStr">
        <is>
          <t>Early</t>
        </is>
      </c>
      <c r="J1235" t="inlineStr">
        <is>
          <t>Ecommerce</t>
        </is>
      </c>
      <c r="K1235" t="inlineStr">
        <is>
          <t>Unknown</t>
        </is>
      </c>
      <c r="L1235" t="inlineStr">
        <is>
          <t>IvyCap Ventures</t>
        </is>
      </c>
      <c r="M1235" t="inlineStr">
        <is>
          <t>IvyCap Ventures</t>
        </is>
      </c>
      <c r="N1235" t="inlineStr">
        <is>
          <t>entrackr | inc42 | et</t>
        </is>
      </c>
      <c r="O1235" s="20" t="n">
        <v>3</v>
      </c>
      <c r="P1235" s="21" t="n">
        <v>4</v>
      </c>
      <c r="Q1235" t="inlineStr">
        <is>
          <t>C07</t>
        </is>
      </c>
      <c r="R1235" s="22" t="inlineStr">
        <is>
          <t>https://entrackr.com/snippets/alimento-agro-foods-raises-rs-52-cr-led-by-ivycap-ventures-10923126</t>
        </is>
      </c>
    </row>
    <row r="1236">
      <c r="A1236" t="inlineStr">
        <is>
          <t>R251219-milkstation</t>
        </is>
      </c>
      <c r="B1236" t="inlineStr">
        <is>
          <t>Milk Station</t>
        </is>
      </c>
      <c r="C1236" s="17" t="n">
        <v>46010</v>
      </c>
      <c r="D1236" s="18" t="n">
        <v>45992</v>
      </c>
      <c r="E1236" s="19" t="n">
        <v>2.5</v>
      </c>
      <c r="F1236" s="19" t="n">
        <v>22.42</v>
      </c>
      <c r="G1236" t="inlineStr">
        <is>
          <t>$2.5 Mn</t>
        </is>
      </c>
      <c r="H1236" t="inlineStr">
        <is>
          <t>Undisclosed</t>
        </is>
      </c>
      <c r="I1236" t="inlineStr">
        <is>
          <t>Undisclosed</t>
        </is>
      </c>
      <c r="J1236" t="inlineStr">
        <is>
          <t>Ecommerce</t>
        </is>
      </c>
      <c r="K1236" t="inlineStr">
        <is>
          <t>Unknown</t>
        </is>
      </c>
      <c r="L1236" t="inlineStr">
        <is>
          <t>V-Dairy</t>
        </is>
      </c>
      <c r="M1236" t="inlineStr">
        <is>
          <t>V-Dairy</t>
        </is>
      </c>
      <c r="N1236" t="inlineStr">
        <is>
          <t>inc42</t>
        </is>
      </c>
      <c r="O1236" s="20" t="n">
        <v>1</v>
      </c>
      <c r="P1236" s="21" t="n">
        <v>0</v>
      </c>
      <c r="Q1236" t="inlineStr">
        <is>
          <t>C04 C07</t>
        </is>
      </c>
      <c r="R1236" s="22" t="inlineStr">
        <is>
          <t>https://inc42.com/buzz/from-moengage-to-digantara-indian-startups-raised-347-mn-this-week/</t>
        </is>
      </c>
    </row>
    <row r="1237">
      <c r="A1237" t="inlineStr">
        <is>
          <t>R251219-stockgro</t>
        </is>
      </c>
      <c r="B1237" t="inlineStr">
        <is>
          <t>StockGro</t>
        </is>
      </c>
      <c r="C1237" s="17" t="n">
        <v>46010</v>
      </c>
      <c r="D1237" s="18" t="n">
        <v>45992</v>
      </c>
      <c r="E1237" s="19" t="n">
        <v>13</v>
      </c>
      <c r="F1237" s="19" t="n">
        <v>116.6</v>
      </c>
      <c r="G1237" t="inlineStr">
        <is>
          <t>$13 million</t>
        </is>
      </c>
      <c r="H1237" t="inlineStr">
        <is>
          <t>Series B</t>
        </is>
      </c>
      <c r="I1237" t="inlineStr">
        <is>
          <t>Growth</t>
        </is>
      </c>
      <c r="J1237" t="inlineStr">
        <is>
          <t>Fintech</t>
        </is>
      </c>
      <c r="K1237" t="inlineStr">
        <is>
          <t>Bengaluru</t>
        </is>
      </c>
      <c r="L1237" t="inlineStr">
        <is>
          <t>BITKRAFT Ventures</t>
        </is>
      </c>
      <c r="M1237" t="inlineStr">
        <is>
          <t>BITKRAFT Ventures</t>
        </is>
      </c>
      <c r="N1237" t="inlineStr">
        <is>
          <t>entrackr | inc42 | vccircle</t>
        </is>
      </c>
      <c r="O1237" s="20" t="n">
        <v>3</v>
      </c>
      <c r="P1237" s="21" t="n">
        <v>0</v>
      </c>
      <c r="Q1237" t="inlineStr">
        <is>
          <t>C09</t>
        </is>
      </c>
      <c r="R1237" s="22" t="inlineStr">
        <is>
          <t>https://entrackr.com/news/stockgro-raises-13-mn-in-series-b1-funding-from-bitkraft-ventures-10922949</t>
        </is>
      </c>
    </row>
    <row r="1238">
      <c r="A1238" t="inlineStr">
        <is>
          <t>R251219-virohan</t>
        </is>
      </c>
      <c r="B1238" t="inlineStr">
        <is>
          <t>Virohan</t>
        </is>
      </c>
      <c r="C1238" s="17" t="n">
        <v>46010</v>
      </c>
      <c r="D1238" s="18" t="n">
        <v>45992</v>
      </c>
      <c r="E1238" s="19" t="n">
        <v>7.247</v>
      </c>
      <c r="F1238" s="19" t="n">
        <v>65</v>
      </c>
      <c r="G1238" t="inlineStr">
        <is>
          <t>Rs 65 crore</t>
        </is>
      </c>
      <c r="H1238" t="inlineStr">
        <is>
          <t>Series B</t>
        </is>
      </c>
      <c r="I1238" t="inlineStr">
        <is>
          <t>Growth</t>
        </is>
      </c>
      <c r="J1238" t="inlineStr">
        <is>
          <t>Edtech</t>
        </is>
      </c>
      <c r="K1238" t="inlineStr">
        <is>
          <t>Unknown</t>
        </is>
      </c>
      <c r="L1238" t="inlineStr">
        <is>
          <t>Mynavi Corporation</t>
        </is>
      </c>
      <c r="M1238" t="inlineStr">
        <is>
          <t>Mynavi Corporation; Blume Ventures; Bharat Inclusive Technologies Seed Fund; Rebright Partners</t>
        </is>
      </c>
      <c r="N1238" t="inlineStr">
        <is>
          <t>entrackr | inc42</t>
        </is>
      </c>
      <c r="O1238" s="20" t="n">
        <v>2</v>
      </c>
      <c r="P1238" s="21" t="n">
        <v>3.5</v>
      </c>
      <c r="Q1238" t="inlineStr">
        <is>
          <t>C07</t>
        </is>
      </c>
      <c r="R1238" s="22" t="inlineStr">
        <is>
          <t>https://entrackr.com/snippets/healthcare-edtech-startup-virohan-raises-75-mn-in-ongoing-series-b-10923709</t>
        </is>
      </c>
    </row>
    <row r="1239">
      <c r="A1239" t="inlineStr">
        <is>
          <t>R251220-novytematerial</t>
        </is>
      </c>
      <c r="B1239" t="inlineStr">
        <is>
          <t>Novyte Materials</t>
        </is>
      </c>
      <c r="C1239" s="17" t="n">
        <v>46011</v>
      </c>
      <c r="D1239" s="18" t="n">
        <v>45992</v>
      </c>
      <c r="E1239" s="19" t="n"/>
      <c r="F1239" s="19" t="n"/>
      <c r="G1239" t="inlineStr"/>
      <c r="H1239" t="inlineStr">
        <is>
          <t>Seed</t>
        </is>
      </c>
      <c r="I1239" t="inlineStr">
        <is>
          <t>Early</t>
        </is>
      </c>
      <c r="J1239" t="inlineStr">
        <is>
          <t>Artificial Intelligence</t>
        </is>
      </c>
      <c r="K1239" t="inlineStr">
        <is>
          <t>Unknown</t>
        </is>
      </c>
      <c r="L1239" t="inlineStr">
        <is>
          <t>Theia Ventures</t>
        </is>
      </c>
      <c r="M1239" t="inlineStr">
        <is>
          <t>Sandesh Paturi; Niharika Jain; Theia Ventures</t>
        </is>
      </c>
      <c r="N1239" t="inlineStr">
        <is>
          <t>inc42</t>
        </is>
      </c>
      <c r="O1239" s="20" t="n">
        <v>1</v>
      </c>
      <c r="P1239" s="21" t="n"/>
      <c r="Q1239" t="inlineStr">
        <is>
          <t>C03 C07</t>
        </is>
      </c>
      <c r="R1239" s="22" t="inlineStr">
        <is>
          <t>https://inc42.com/buzz/from-moengage-to-digantara-indian-startups-raised-347-mn-this-week/</t>
        </is>
      </c>
    </row>
    <row r="1240">
      <c r="A1240" t="inlineStr">
        <is>
          <t>R251222-dugarfinance</t>
        </is>
      </c>
      <c r="B1240" t="inlineStr">
        <is>
          <t>Dugar Finance</t>
        </is>
      </c>
      <c r="C1240" s="17" t="n">
        <v>46013</v>
      </c>
      <c r="D1240" s="18" t="n">
        <v>45992</v>
      </c>
      <c r="E1240" s="19" t="n">
        <v>18</v>
      </c>
      <c r="F1240" s="19" t="n">
        <v>161.37</v>
      </c>
      <c r="G1240" t="inlineStr">
        <is>
          <t>$18 million</t>
        </is>
      </c>
      <c r="H1240" t="inlineStr">
        <is>
          <t>Debt</t>
        </is>
      </c>
      <c r="I1240" t="inlineStr">
        <is>
          <t>Debt</t>
        </is>
      </c>
      <c r="J1240" t="inlineStr">
        <is>
          <t>Unclassified</t>
        </is>
      </c>
      <c r="K1240" t="inlineStr">
        <is>
          <t>Chennai</t>
        </is>
      </c>
      <c r="L1240" t="inlineStr">
        <is>
          <t>Symbiotics</t>
        </is>
      </c>
      <c r="M1240" t="inlineStr">
        <is>
          <t>Symbiotics; Union Bank of India; Karur Vysya Bank; Indian Overseas Bank; Tamilnad Mercantile Bank; STCI Finance</t>
        </is>
      </c>
      <c r="N1240" t="inlineStr">
        <is>
          <t>entrackr</t>
        </is>
      </c>
      <c r="O1240" s="20" t="n">
        <v>1</v>
      </c>
      <c r="P1240" s="21" t="n">
        <v>0</v>
      </c>
      <c r="Q1240" t="inlineStr">
        <is>
          <t>C06</t>
        </is>
      </c>
      <c r="R1240" s="22" t="inlineStr">
        <is>
          <t>https://entrackr.com/snippets/symbiotics-leads-18-mn-debt-round-in-dugar-finance-10931080</t>
        </is>
      </c>
    </row>
    <row r="1241">
      <c r="A1241" t="inlineStr">
        <is>
          <t>R251222-plasmagenbiosc</t>
        </is>
      </c>
      <c r="B1241" t="inlineStr">
        <is>
          <t>PlasmaGen Biosciences</t>
        </is>
      </c>
      <c r="C1241" s="17" t="n">
        <v>46013</v>
      </c>
      <c r="D1241" s="18" t="n">
        <v>45992</v>
      </c>
      <c r="E1241" s="19" t="n">
        <v>16.732</v>
      </c>
      <c r="F1241" s="19" t="n">
        <v>150</v>
      </c>
      <c r="G1241" t="inlineStr">
        <is>
          <t>Rs 150 crore</t>
        </is>
      </c>
      <c r="H1241" t="inlineStr">
        <is>
          <t>Undisclosed</t>
        </is>
      </c>
      <c r="I1241" t="inlineStr">
        <is>
          <t>Undisclosed</t>
        </is>
      </c>
      <c r="J1241" t="inlineStr">
        <is>
          <t>Healthtech</t>
        </is>
      </c>
      <c r="K1241" t="inlineStr">
        <is>
          <t>Bengaluru</t>
        </is>
      </c>
      <c r="L1241" t="inlineStr">
        <is>
          <t>ViNS Bioproducts</t>
        </is>
      </c>
      <c r="M1241" t="inlineStr">
        <is>
          <t>ViNS Bioproducts; Eight Road Ventures secured the funding</t>
        </is>
      </c>
      <c r="N1241" t="inlineStr">
        <is>
          <t>entrackr | et</t>
        </is>
      </c>
      <c r="O1241" s="20" t="n">
        <v>2</v>
      </c>
      <c r="P1241" s="21" t="n">
        <v>0</v>
      </c>
      <c r="Q1241" t="inlineStr">
        <is>
          <t>C04</t>
        </is>
      </c>
      <c r="R1241" s="22" t="inlineStr">
        <is>
          <t>https://entrackr.com/snippets/plasmagen-biosciences-raises-rs-150-cr-led-by-vins-bioproducts-10931632</t>
        </is>
      </c>
    </row>
    <row r="1242">
      <c r="A1242" t="inlineStr">
        <is>
          <t>R251222-powerupmoney</t>
        </is>
      </c>
      <c r="B1242" t="inlineStr">
        <is>
          <t>PowerUp Money</t>
        </is>
      </c>
      <c r="C1242" s="17" t="n">
        <v>46013</v>
      </c>
      <c r="D1242" s="18" t="n">
        <v>45992</v>
      </c>
      <c r="E1242" s="19" t="n">
        <v>12</v>
      </c>
      <c r="F1242" s="19" t="n">
        <v>107.58</v>
      </c>
      <c r="G1242" t="inlineStr">
        <is>
          <t>$12 million</t>
        </is>
      </c>
      <c r="H1242" t="inlineStr">
        <is>
          <t>Series A</t>
        </is>
      </c>
      <c r="I1242" t="inlineStr">
        <is>
          <t>Early</t>
        </is>
      </c>
      <c r="J1242" t="inlineStr">
        <is>
          <t>Fintech</t>
        </is>
      </c>
      <c r="K1242" t="inlineStr">
        <is>
          <t>Bengaluru</t>
        </is>
      </c>
      <c r="L1242" t="inlineStr">
        <is>
          <t>Peak XV Partners; Accel; Blume Ventures; Kae Capital</t>
        </is>
      </c>
      <c r="M1242" t="inlineStr">
        <is>
          <t>Peak XV Partners; Accel; Blume Ventures; Kae Capital; 8i Ventures; DeVC</t>
        </is>
      </c>
      <c r="N1242" t="inlineStr">
        <is>
          <t>entrackr | inc42 | et</t>
        </is>
      </c>
      <c r="O1242" s="20" t="n">
        <v>3</v>
      </c>
      <c r="P1242" s="21" t="n">
        <v>0</v>
      </c>
      <c r="Q1242" t="inlineStr"/>
      <c r="R1242" s="22" t="inlineStr">
        <is>
          <t>https://entrackr.com/news/powerup-money-raises-12-mn-in-series-a-round-led-by-peak-xv-10930747</t>
        </is>
      </c>
    </row>
    <row r="1243">
      <c r="A1243" t="inlineStr">
        <is>
          <t>R251222-supply6</t>
        </is>
      </c>
      <c r="B1243" t="inlineStr">
        <is>
          <t>Supply6</t>
        </is>
      </c>
      <c r="C1243" s="17" t="n">
        <v>46013</v>
      </c>
      <c r="D1243" s="18" t="n">
        <v>45992</v>
      </c>
      <c r="E1243" s="19" t="n"/>
      <c r="F1243" s="19" t="n"/>
      <c r="G1243" t="inlineStr"/>
      <c r="H1243" t="inlineStr">
        <is>
          <t>Undisclosed</t>
        </is>
      </c>
      <c r="I1243" t="inlineStr">
        <is>
          <t>Undisclosed</t>
        </is>
      </c>
      <c r="J1243" t="inlineStr">
        <is>
          <t>Ecommerce</t>
        </is>
      </c>
      <c r="K1243" t="inlineStr">
        <is>
          <t>Unknown</t>
        </is>
      </c>
      <c r="L1243" t="inlineStr">
        <is>
          <t>Kriti Sanon</t>
        </is>
      </c>
      <c r="M1243" t="inlineStr">
        <is>
          <t>Kriti Sanon</t>
        </is>
      </c>
      <c r="N1243" t="inlineStr">
        <is>
          <t>inc42</t>
        </is>
      </c>
      <c r="O1243" s="20" t="n">
        <v>1</v>
      </c>
      <c r="P1243" s="21" t="n"/>
      <c r="Q1243" t="inlineStr">
        <is>
          <t>C03 C04 C07</t>
        </is>
      </c>
      <c r="R1243" s="22" t="inlineStr">
        <is>
          <t>https://inc42.com/buzz/from-coreel-technologies-to-powerup-money-indian-startups-raised-49-mn-this-week/</t>
        </is>
      </c>
    </row>
    <row r="1244">
      <c r="A1244" t="inlineStr">
        <is>
          <t>R251223-coreeltechnolo</t>
        </is>
      </c>
      <c r="B1244" t="inlineStr">
        <is>
          <t>CoreEL Technologies</t>
        </is>
      </c>
      <c r="C1244" s="17" t="n">
        <v>46014</v>
      </c>
      <c r="D1244" s="18" t="n">
        <v>45992</v>
      </c>
      <c r="E1244" s="19" t="n">
        <v>30</v>
      </c>
      <c r="F1244" s="19" t="n">
        <v>268.68</v>
      </c>
      <c r="G1244" t="inlineStr">
        <is>
          <t>$30 million</t>
        </is>
      </c>
      <c r="H1244" t="inlineStr">
        <is>
          <t>Series B</t>
        </is>
      </c>
      <c r="I1244" t="inlineStr">
        <is>
          <t>Growth</t>
        </is>
      </c>
      <c r="J1244" t="inlineStr">
        <is>
          <t>Advanced Hardware &amp; Technology</t>
        </is>
      </c>
      <c r="K1244" t="inlineStr">
        <is>
          <t>Bengaluru</t>
        </is>
      </c>
      <c r="L1244" t="inlineStr">
        <is>
          <t>ValueQuest Scale Fund</t>
        </is>
      </c>
      <c r="M1244" t="inlineStr">
        <is>
          <t>ValueQuest Scale Fund; 360 ONE Asset Management</t>
        </is>
      </c>
      <c r="N1244" t="inlineStr">
        <is>
          <t>entrackr | inc42 | et</t>
        </is>
      </c>
      <c r="O1244" s="20" t="n">
        <v>3</v>
      </c>
      <c r="P1244" s="21" t="n">
        <v>0</v>
      </c>
      <c r="Q1244" t="inlineStr"/>
      <c r="R1244" s="22" t="inlineStr">
        <is>
          <t>https://entrackr.com/news/aerospace-and-defence-tech-firm-coreel-technologies-raises-30-mn-in-series-b-round-10940257</t>
        </is>
      </c>
    </row>
    <row r="1245">
      <c r="A1245" t="inlineStr">
        <is>
          <t>R251223-naxatralabs</t>
        </is>
      </c>
      <c r="B1245" t="inlineStr">
        <is>
          <t>Naxatra Labs</t>
        </is>
      </c>
      <c r="C1245" s="17" t="n">
        <v>46014</v>
      </c>
      <c r="D1245" s="18" t="n">
        <v>45992</v>
      </c>
      <c r="E1245" s="19" t="n">
        <v>3</v>
      </c>
      <c r="F1245" s="19" t="n">
        <v>26.87</v>
      </c>
      <c r="G1245" t="inlineStr">
        <is>
          <t>$3 million</t>
        </is>
      </c>
      <c r="H1245" t="inlineStr">
        <is>
          <t>Pre-Series A</t>
        </is>
      </c>
      <c r="I1245" t="inlineStr">
        <is>
          <t>Early</t>
        </is>
      </c>
      <c r="J1245" t="inlineStr">
        <is>
          <t>Cleantech</t>
        </is>
      </c>
      <c r="K1245" t="inlineStr">
        <is>
          <t>Unknown</t>
        </is>
      </c>
      <c r="L1245" t="inlineStr">
        <is>
          <t>Rainmatter</t>
        </is>
      </c>
      <c r="M1245" t="inlineStr">
        <is>
          <t>Rainmatter; Vijay Shekhar Sharma; Aloke Bajpai; Mohit Tandon; Narayan GV; Hemant Daga; Himanshu Aggarwal of Aspiring Minds; Anupam Jalote of iCEM; Narayan of Ather Energy; Soumitra Sharma of Operators Studio</t>
        </is>
      </c>
      <c r="N1245" t="inlineStr">
        <is>
          <t>entrackr | inc42 | et</t>
        </is>
      </c>
      <c r="O1245" s="20" t="n">
        <v>3</v>
      </c>
      <c r="P1245" s="21" t="n">
        <v>0</v>
      </c>
      <c r="Q1245" t="inlineStr">
        <is>
          <t>C07</t>
        </is>
      </c>
      <c r="R1245" s="22" t="inlineStr">
        <is>
          <t>https://entrackr.com/snippets/naxatra-labs-raises-3-mn-pre-series-a-led-by-rainmatter-10940472</t>
        </is>
      </c>
    </row>
    <row r="1246">
      <c r="A1246" t="inlineStr">
        <is>
          <t>R251223-prosperrio</t>
        </is>
      </c>
      <c r="B1246" t="inlineStr">
        <is>
          <t>Prosperr.io</t>
        </is>
      </c>
      <c r="C1246" s="17" t="n">
        <v>46014</v>
      </c>
      <c r="D1246" s="18" t="n">
        <v>45992</v>
      </c>
      <c r="E1246" s="19" t="n">
        <v>4</v>
      </c>
      <c r="F1246" s="19" t="n">
        <v>35.82</v>
      </c>
      <c r="G1246" t="inlineStr">
        <is>
          <t>$4 million</t>
        </is>
      </c>
      <c r="H1246" t="inlineStr">
        <is>
          <t>Seed</t>
        </is>
      </c>
      <c r="I1246" t="inlineStr">
        <is>
          <t>Early</t>
        </is>
      </c>
      <c r="J1246" t="inlineStr">
        <is>
          <t>Fintech</t>
        </is>
      </c>
      <c r="K1246" t="inlineStr">
        <is>
          <t>Bengaluru</t>
        </is>
      </c>
      <c r="L1246" t="inlineStr">
        <is>
          <t>Jungle Ventures</t>
        </is>
      </c>
      <c r="M1246" t="inlineStr">
        <is>
          <t>Jungle Ventures; Yatra Angel Network; Sadev Ventures</t>
        </is>
      </c>
      <c r="N1246" t="inlineStr">
        <is>
          <t>entrackr | inc42 | et</t>
        </is>
      </c>
      <c r="O1246" s="20" t="n">
        <v>3</v>
      </c>
      <c r="P1246" s="21" t="n">
        <v>0</v>
      </c>
      <c r="Q1246" t="inlineStr"/>
      <c r="R1246" s="22" t="inlineStr">
        <is>
          <t>https://entrackr.com/snippets/tax-management-infra-startup-prosperrio-raises-4-mn-led-by-jungle-ventures-10939505</t>
        </is>
      </c>
    </row>
    <row r="1247">
      <c r="A1247" t="inlineStr">
        <is>
          <t>R251224-magicdecor</t>
        </is>
      </c>
      <c r="B1247" t="inlineStr">
        <is>
          <t>MagicDecor</t>
        </is>
      </c>
      <c r="C1247" s="17" t="n">
        <v>46015</v>
      </c>
      <c r="D1247" s="18" t="n">
        <v>45992</v>
      </c>
      <c r="E1247" s="19" t="n"/>
      <c r="F1247" s="19" t="n"/>
      <c r="G1247" t="inlineStr"/>
      <c r="H1247" t="inlineStr">
        <is>
          <t>Undisclosed</t>
        </is>
      </c>
      <c r="I1247" t="inlineStr">
        <is>
          <t>Undisclosed</t>
        </is>
      </c>
      <c r="J1247" t="inlineStr">
        <is>
          <t>Ecommerce</t>
        </is>
      </c>
      <c r="K1247" t="inlineStr">
        <is>
          <t>Unknown</t>
        </is>
      </c>
      <c r="L1247" t="inlineStr">
        <is>
          <t>Pidilite Ventures</t>
        </is>
      </c>
      <c r="M1247" t="inlineStr">
        <is>
          <t>Pidilite Ventures</t>
        </is>
      </c>
      <c r="N1247" t="inlineStr">
        <is>
          <t>inc42</t>
        </is>
      </c>
      <c r="O1247" s="20" t="n">
        <v>1</v>
      </c>
      <c r="P1247" s="21" t="n"/>
      <c r="Q1247" t="inlineStr">
        <is>
          <t>C03 C04 C07</t>
        </is>
      </c>
      <c r="R1247" s="22" t="inlineStr">
        <is>
          <t>https://inc42.com/buzz/from-coreel-technologies-to-powerup-money-indian-startups-raised-49-mn-this-week/</t>
        </is>
      </c>
    </row>
    <row r="1248">
      <c r="A1248" t="inlineStr">
        <is>
          <t>R251225-olaelectric</t>
        </is>
      </c>
      <c r="B1248" t="inlineStr">
        <is>
          <t>Ola Electric</t>
        </is>
      </c>
      <c r="C1248" s="17" t="n">
        <v>46016</v>
      </c>
      <c r="D1248" s="18" t="n">
        <v>45992</v>
      </c>
      <c r="E1248" s="19" t="n">
        <v>40.871</v>
      </c>
      <c r="F1248" s="19" t="n">
        <v>366.78</v>
      </c>
      <c r="G1248" t="inlineStr">
        <is>
          <t>Rs 366.78 crore</t>
        </is>
      </c>
      <c r="H1248" t="inlineStr">
        <is>
          <t>Undisclosed</t>
        </is>
      </c>
      <c r="I1248" t="inlineStr">
        <is>
          <t>Undisclosed</t>
        </is>
      </c>
      <c r="J1248" t="inlineStr">
        <is>
          <t>Cleantech</t>
        </is>
      </c>
      <c r="K1248" t="inlineStr">
        <is>
          <t>Unknown</t>
        </is>
      </c>
      <c r="L1248" t="inlineStr"/>
      <c r="M1248" t="inlineStr">
        <is>
          <t>Production Linked Incentive</t>
        </is>
      </c>
      <c r="N1248" t="inlineStr">
        <is>
          <t>entrackr</t>
        </is>
      </c>
      <c r="O1248" s="20" t="n">
        <v>1</v>
      </c>
      <c r="P1248" s="21" t="n">
        <v>0</v>
      </c>
      <c r="Q1248" t="inlineStr">
        <is>
          <t>C04 C07</t>
        </is>
      </c>
      <c r="R1248" s="22" t="inlineStr">
        <is>
          <t>https://entrackr.com/news/ola-electric-secures-rs-36678-cr-under-govt-pli-scheme-for-fy25-10946920</t>
        </is>
      </c>
    </row>
    <row r="1249">
      <c r="A1249" t="inlineStr">
        <is>
          <t>R251225-oppam</t>
        </is>
      </c>
      <c r="B1249" t="inlineStr">
        <is>
          <t>Oppam</t>
        </is>
      </c>
      <c r="C1249" s="17" t="n">
        <v>46016</v>
      </c>
      <c r="D1249" s="18" t="n">
        <v>45992</v>
      </c>
      <c r="E1249" s="19" t="n">
        <v>0.17</v>
      </c>
      <c r="F1249" s="19" t="n">
        <v>1.53</v>
      </c>
      <c r="G1249" t="inlineStr">
        <is>
          <t>$170K</t>
        </is>
      </c>
      <c r="H1249" t="inlineStr">
        <is>
          <t>Seed</t>
        </is>
      </c>
      <c r="I1249" t="inlineStr">
        <is>
          <t>Early</t>
        </is>
      </c>
      <c r="J1249" t="inlineStr">
        <is>
          <t>Healthtech</t>
        </is>
      </c>
      <c r="K1249" t="inlineStr">
        <is>
          <t>Unknown</t>
        </is>
      </c>
      <c r="L1249" t="inlineStr"/>
      <c r="M1249" t="inlineStr">
        <is>
          <t>Sandeep Balaji</t>
        </is>
      </c>
      <c r="N1249" t="inlineStr">
        <is>
          <t>inc42</t>
        </is>
      </c>
      <c r="O1249" s="20" t="n">
        <v>1</v>
      </c>
      <c r="P1249" s="21" t="n">
        <v>0</v>
      </c>
      <c r="Q1249" t="inlineStr">
        <is>
          <t>C07</t>
        </is>
      </c>
      <c r="R1249" s="22" t="inlineStr">
        <is>
          <t>https://inc42.com/buzz/from-coreel-technologies-to-powerup-money-indian-startups-raised-49-mn-this-week/</t>
        </is>
      </c>
    </row>
    <row r="1250">
      <c r="A1250" t="inlineStr">
        <is>
          <t>R251229-neeman</t>
        </is>
      </c>
      <c r="B1250" t="inlineStr">
        <is>
          <t>Neeman’s</t>
        </is>
      </c>
      <c r="C1250" s="17" t="n">
        <v>46020</v>
      </c>
      <c r="D1250" s="18" t="n">
        <v>45992</v>
      </c>
      <c r="E1250" s="19" t="n"/>
      <c r="F1250" s="19" t="n"/>
      <c r="G1250" t="inlineStr"/>
      <c r="H1250" t="inlineStr">
        <is>
          <t>Series B</t>
        </is>
      </c>
      <c r="I1250" t="inlineStr">
        <is>
          <t>Growth</t>
        </is>
      </c>
      <c r="J1250" t="inlineStr">
        <is>
          <t>Ecommerce</t>
        </is>
      </c>
      <c r="K1250" t="inlineStr">
        <is>
          <t>Unknown</t>
        </is>
      </c>
      <c r="L1250" t="inlineStr"/>
      <c r="M1250" t="inlineStr"/>
      <c r="N1250" t="inlineStr">
        <is>
          <t>entrackr</t>
        </is>
      </c>
      <c r="O1250" s="20" t="n">
        <v>1</v>
      </c>
      <c r="P1250" s="21" t="n"/>
      <c r="Q1250" t="inlineStr">
        <is>
          <t>C03 C05 C07</t>
        </is>
      </c>
      <c r="R1250" s="22" t="inlineStr">
        <is>
          <t>https://entrackr.com/exclusive/exclusive-footwear-brand-neemans-raising-fresh-funding-from-multiple-investors-10954502</t>
        </is>
      </c>
    </row>
    <row r="1251">
      <c r="A1251" t="inlineStr">
        <is>
          <t>R251231-speed</t>
        </is>
      </c>
      <c r="B1251" t="inlineStr">
        <is>
          <t>Speed</t>
        </is>
      </c>
      <c r="C1251" s="17" t="n">
        <v>46022</v>
      </c>
      <c r="D1251" s="18" t="n">
        <v>45992</v>
      </c>
      <c r="E1251" s="19" t="n">
        <v>8</v>
      </c>
      <c r="F1251" s="19" t="n">
        <v>71.90000000000001</v>
      </c>
      <c r="G1251" t="inlineStr">
        <is>
          <t>$8 Mn</t>
        </is>
      </c>
      <c r="H1251" t="inlineStr">
        <is>
          <t>Undisclosed</t>
        </is>
      </c>
      <c r="I1251" t="inlineStr">
        <is>
          <t>Undisclosed</t>
        </is>
      </c>
      <c r="J1251" t="inlineStr">
        <is>
          <t>Web3</t>
        </is>
      </c>
      <c r="K1251" t="inlineStr">
        <is>
          <t>Unknown</t>
        </is>
      </c>
      <c r="L1251" t="inlineStr">
        <is>
          <t>Tether Ventures</t>
        </is>
      </c>
      <c r="M1251" t="inlineStr">
        <is>
          <t>Tether Ventures; Ego Death Capital</t>
        </is>
      </c>
      <c r="N1251" t="inlineStr">
        <is>
          <t>inc42 | et</t>
        </is>
      </c>
      <c r="O1251" s="20" t="n">
        <v>2</v>
      </c>
      <c r="P1251" s="21" t="n">
        <v>0</v>
      </c>
      <c r="Q1251" t="inlineStr">
        <is>
          <t>C04 C07</t>
        </is>
      </c>
      <c r="R1251" s="22" t="inlineStr">
        <is>
          <t>https://economictimes.indiatimes.com/tech/funding/india-based-speed-raises-8m-from-tether-and-ego-death-capital-to-accelerate-lightning-powered-bitcoin-and-stablecoin-payments/articleshow/126269068.cms</t>
        </is>
      </c>
    </row>
    <row r="1252">
      <c r="A1252" t="inlineStr">
        <is>
          <t>R251231-truva</t>
        </is>
      </c>
      <c r="B1252" t="inlineStr">
        <is>
          <t>Truva</t>
        </is>
      </c>
      <c r="C1252" s="17" t="n">
        <v>46022</v>
      </c>
      <c r="D1252" s="18" t="n">
        <v>45992</v>
      </c>
      <c r="E1252" s="19" t="n">
        <v>6.32</v>
      </c>
      <c r="F1252" s="19" t="n">
        <v>56.8</v>
      </c>
      <c r="G1252" t="inlineStr">
        <is>
          <t>$6.32 million</t>
        </is>
      </c>
      <c r="H1252" t="inlineStr">
        <is>
          <t>Undisclosed</t>
        </is>
      </c>
      <c r="I1252" t="inlineStr">
        <is>
          <t>Undisclosed</t>
        </is>
      </c>
      <c r="J1252" t="inlineStr">
        <is>
          <t>Real Estate Tech</t>
        </is>
      </c>
      <c r="K1252" t="inlineStr">
        <is>
          <t>Mumbai</t>
        </is>
      </c>
      <c r="L1252" t="inlineStr"/>
      <c r="M1252" t="inlineStr"/>
      <c r="N1252" t="inlineStr">
        <is>
          <t>entrackr</t>
        </is>
      </c>
      <c r="O1252" s="20" t="n">
        <v>1</v>
      </c>
      <c r="P1252" s="21" t="n">
        <v>0</v>
      </c>
      <c r="Q1252" t="inlineStr">
        <is>
          <t>C04 C05</t>
        </is>
      </c>
      <c r="R1252" s="22" t="inlineStr">
        <is>
          <t>https://entrackr.com/exclusive/exclusive-proptech-startup-truva-raises-63-mn-at-over-30-mn-valuation-10960350</t>
        </is>
      </c>
    </row>
    <row r="1253">
      <c r="A1253" t="inlineStr">
        <is>
          <t>R260102-aryaag</t>
        </is>
      </c>
      <c r="B1253" t="inlineStr">
        <is>
          <t>Arya.ag</t>
        </is>
      </c>
      <c r="C1253" s="17" t="n">
        <v>46024</v>
      </c>
      <c r="D1253" s="18" t="n">
        <v>46023</v>
      </c>
      <c r="E1253" s="19" t="n">
        <v>80.377</v>
      </c>
      <c r="F1253" s="19" t="n">
        <v>725</v>
      </c>
      <c r="G1253" t="inlineStr">
        <is>
          <t>Rs 725 crore</t>
        </is>
      </c>
      <c r="H1253" t="inlineStr">
        <is>
          <t>Series D</t>
        </is>
      </c>
      <c r="I1253" t="inlineStr">
        <is>
          <t>Late</t>
        </is>
      </c>
      <c r="J1253" t="inlineStr">
        <is>
          <t>Agritech</t>
        </is>
      </c>
      <c r="K1253" t="inlineStr">
        <is>
          <t>Delhi NCR</t>
        </is>
      </c>
      <c r="L1253" t="inlineStr">
        <is>
          <t>GEF Capital Partners</t>
        </is>
      </c>
      <c r="M1253" t="inlineStr">
        <is>
          <t>GEF Capital Partners</t>
        </is>
      </c>
      <c r="N1253" t="inlineStr">
        <is>
          <t>entrackr | inc42 | vccircle</t>
        </is>
      </c>
      <c r="O1253" s="20" t="n">
        <v>3</v>
      </c>
      <c r="P1253" s="21" t="n">
        <v>0.3</v>
      </c>
      <c r="Q1253" t="inlineStr"/>
      <c r="R1253" s="22" t="inlineStr">
        <is>
          <t>https://entrackr.com/news/agritech-firm-aryaag-raises-over-80-mn-in-series-d-from-gef-capital-10965656</t>
        </is>
      </c>
    </row>
    <row r="1254">
      <c r="A1254" t="inlineStr">
        <is>
          <t>R260102-knightfintech</t>
        </is>
      </c>
      <c r="B1254" t="inlineStr">
        <is>
          <t>Knight Fintech</t>
        </is>
      </c>
      <c r="C1254" s="17" t="n">
        <v>46024</v>
      </c>
      <c r="D1254" s="18" t="n">
        <v>46023</v>
      </c>
      <c r="E1254" s="19" t="n">
        <v>23.6</v>
      </c>
      <c r="F1254" s="19" t="n">
        <v>212.87</v>
      </c>
      <c r="G1254" t="inlineStr">
        <is>
          <t>$23.6 million</t>
        </is>
      </c>
      <c r="H1254" t="inlineStr">
        <is>
          <t>Series A</t>
        </is>
      </c>
      <c r="I1254" t="inlineStr">
        <is>
          <t>Early</t>
        </is>
      </c>
      <c r="J1254" t="inlineStr">
        <is>
          <t>Fintech</t>
        </is>
      </c>
      <c r="K1254" t="inlineStr">
        <is>
          <t>Mumbai</t>
        </is>
      </c>
      <c r="L1254" t="inlineStr">
        <is>
          <t>Accel</t>
        </is>
      </c>
      <c r="M1254" t="inlineStr">
        <is>
          <t>Accel; IIFL; Rocket Capital; Prime Ventures; 3one4 Capital; Commerce VC; Trifecta Capital</t>
        </is>
      </c>
      <c r="N1254" t="inlineStr">
        <is>
          <t>entrackr | inc42 | et</t>
        </is>
      </c>
      <c r="O1254" s="20" t="n">
        <v>3</v>
      </c>
      <c r="P1254" s="21" t="n">
        <v>0</v>
      </c>
      <c r="Q1254" t="inlineStr"/>
      <c r="R1254" s="22" t="inlineStr">
        <is>
          <t>https://entrackr.com/news/knight-fintech-raises-236-mn-led-by-accel-10965193</t>
        </is>
      </c>
    </row>
    <row r="1255">
      <c r="A1255" t="inlineStr">
        <is>
          <t>R260105-goatlife</t>
        </is>
      </c>
      <c r="B1255" t="inlineStr">
        <is>
          <t>GOAT LIFE</t>
        </is>
      </c>
      <c r="C1255" s="17" t="n">
        <v>46027</v>
      </c>
      <c r="D1255" s="18" t="n">
        <v>46023</v>
      </c>
      <c r="E1255" s="19" t="n">
        <v>0.177</v>
      </c>
      <c r="F1255" s="19" t="n">
        <v>1.6</v>
      </c>
      <c r="G1255" t="inlineStr">
        <is>
          <t>Rs 1.6 crore</t>
        </is>
      </c>
      <c r="H1255" t="inlineStr">
        <is>
          <t>Pre-Seed</t>
        </is>
      </c>
      <c r="I1255" t="inlineStr">
        <is>
          <t>Early</t>
        </is>
      </c>
      <c r="J1255" t="inlineStr">
        <is>
          <t>Ecommerce</t>
        </is>
      </c>
      <c r="K1255" t="inlineStr">
        <is>
          <t>Kota</t>
        </is>
      </c>
      <c r="L1255" t="inlineStr"/>
      <c r="M1255" t="inlineStr">
        <is>
          <t>Dhruv Kohli; Akash Gupta Vikram Ahuja; Consumer Collective; Rashi Agarwal; Aditya Agrawal; Akhil Kansal; Aayushi Khandelwal; Harsh Patel Venus Dhuria; Karan Kishorepuria</t>
        </is>
      </c>
      <c r="N1255" t="inlineStr">
        <is>
          <t>entrackr | inc42</t>
        </is>
      </c>
      <c r="O1255" s="20" t="n">
        <v>2</v>
      </c>
      <c r="P1255" s="21" t="n">
        <v>12.9</v>
      </c>
      <c r="Q1255" t="inlineStr">
        <is>
          <t>C15</t>
        </is>
      </c>
      <c r="R1255" s="22" t="inlineStr">
        <is>
          <t>https://inc42.com/buzz/from-even-healthcare-to-takeme2space-indian-startups-raised-68-mn-this-week/</t>
        </is>
      </c>
    </row>
    <row r="1256">
      <c r="A1256" t="inlineStr">
        <is>
          <t>R260105-kayesssquare</t>
        </is>
      </c>
      <c r="B1256" t="inlineStr">
        <is>
          <t>Kayess Square</t>
        </is>
      </c>
      <c r="C1256" s="17" t="n">
        <v>46027</v>
      </c>
      <c r="D1256" s="18" t="n">
        <v>46023</v>
      </c>
      <c r="E1256" s="19" t="n">
        <v>1.108</v>
      </c>
      <c r="F1256" s="19" t="n">
        <v>10</v>
      </c>
      <c r="G1256" t="inlineStr">
        <is>
          <t>Rs 10 crore</t>
        </is>
      </c>
      <c r="H1256" t="inlineStr">
        <is>
          <t>Pre-Series A</t>
        </is>
      </c>
      <c r="I1256" t="inlineStr">
        <is>
          <t>Early</t>
        </is>
      </c>
      <c r="J1256" t="inlineStr">
        <is>
          <t>Enterprise Tech</t>
        </is>
      </c>
      <c r="K1256" t="inlineStr">
        <is>
          <t>Bengaluru</t>
        </is>
      </c>
      <c r="L1256" t="inlineStr">
        <is>
          <t>Vakil Housing</t>
        </is>
      </c>
      <c r="M1256" t="inlineStr">
        <is>
          <t>Vakil Housing; Parthasarathy NS; Ramakrishna; Umashankar; Raveen Sastry; Vadiraj Katti; Suresh Pillay; Anand Narayanan</t>
        </is>
      </c>
      <c r="N1256" t="inlineStr">
        <is>
          <t>entrackr | inc42</t>
        </is>
      </c>
      <c r="O1256" s="20" t="n">
        <v>2</v>
      </c>
      <c r="P1256" s="21" t="n">
        <v>8.300000000000001</v>
      </c>
      <c r="Q1256" t="inlineStr"/>
      <c r="R1256" s="22" t="inlineStr">
        <is>
          <t>https://entrackr.com/snippets/consulting-startup-kayess-square-raises-rs-10-cr-in-pre-series-a-10973198</t>
        </is>
      </c>
    </row>
    <row r="1257">
      <c r="A1257" t="inlineStr">
        <is>
          <t>R260105-mylapay</t>
        </is>
      </c>
      <c r="B1257" t="inlineStr">
        <is>
          <t>Mylapay</t>
        </is>
      </c>
      <c r="C1257" s="17" t="n">
        <v>46027</v>
      </c>
      <c r="D1257" s="18" t="n">
        <v>46023</v>
      </c>
      <c r="E1257" s="19" t="n">
        <v>1</v>
      </c>
      <c r="F1257" s="19" t="n">
        <v>9.029999999999999</v>
      </c>
      <c r="G1257" t="inlineStr">
        <is>
          <t>$1 million</t>
        </is>
      </c>
      <c r="H1257" t="inlineStr">
        <is>
          <t>Series A</t>
        </is>
      </c>
      <c r="I1257" t="inlineStr">
        <is>
          <t>Early</t>
        </is>
      </c>
      <c r="J1257" t="inlineStr">
        <is>
          <t>Enterprise Tech</t>
        </is>
      </c>
      <c r="K1257" t="inlineStr">
        <is>
          <t>Chennai</t>
        </is>
      </c>
      <c r="L1257" t="inlineStr"/>
      <c r="M1257" t="inlineStr">
        <is>
          <t>CDM Capital; Credit Saison; GrowthCap Ventures; Pratekk Agarwaal</t>
        </is>
      </c>
      <c r="N1257" t="inlineStr">
        <is>
          <t>entrackr | inc42</t>
        </is>
      </c>
      <c r="O1257" s="20" t="n">
        <v>2</v>
      </c>
      <c r="P1257" s="21" t="n">
        <v>0</v>
      </c>
      <c r="Q1257" t="inlineStr">
        <is>
          <t>C11</t>
        </is>
      </c>
      <c r="R1257" s="22" t="inlineStr">
        <is>
          <t>https://entrackr.com/snippets/payment-infra-startup-mylapay-raises-1-mn-10972179</t>
        </is>
      </c>
    </row>
    <row r="1258">
      <c r="A1258" t="inlineStr">
        <is>
          <t>R260106-evenhealthcare</t>
        </is>
      </c>
      <c r="B1258" t="inlineStr">
        <is>
          <t>Even Healthcare</t>
        </is>
      </c>
      <c r="C1258" s="17" t="n">
        <v>46028</v>
      </c>
      <c r="D1258" s="18" t="n">
        <v>46023</v>
      </c>
      <c r="E1258" s="19" t="n">
        <v>20</v>
      </c>
      <c r="F1258" s="19" t="n">
        <v>180.3</v>
      </c>
      <c r="G1258" t="inlineStr">
        <is>
          <t>$20 million</t>
        </is>
      </c>
      <c r="H1258" t="inlineStr">
        <is>
          <t>Series A</t>
        </is>
      </c>
      <c r="I1258" t="inlineStr">
        <is>
          <t>Early</t>
        </is>
      </c>
      <c r="J1258" t="inlineStr">
        <is>
          <t>Healthtech</t>
        </is>
      </c>
      <c r="K1258" t="inlineStr">
        <is>
          <t>Bengaluru</t>
        </is>
      </c>
      <c r="L1258" t="inlineStr">
        <is>
          <t>Lachy Groom; Alpha Wave</t>
        </is>
      </c>
      <c r="M1258" t="inlineStr">
        <is>
          <t>Lachy Groom; Alpha Wave; Sharrp Ventures</t>
        </is>
      </c>
      <c r="N1258" t="inlineStr">
        <is>
          <t>entrackr | inc42 | et | vccircle</t>
        </is>
      </c>
      <c r="O1258" s="20" t="n">
        <v>4</v>
      </c>
      <c r="P1258" s="21" t="n">
        <v>0</v>
      </c>
      <c r="Q1258" t="inlineStr"/>
      <c r="R1258" s="22" t="inlineStr">
        <is>
          <t>https://entrackr.com/news/even-healthcare-raises-20-mn-led-by-lachy-groom-and-alpha-wave-10972963</t>
        </is>
      </c>
    </row>
    <row r="1259">
      <c r="A1259" t="inlineStr">
        <is>
          <t>R260106-futurecureheal</t>
        </is>
      </c>
      <c r="B1259" t="inlineStr">
        <is>
          <t>FutureCure Health</t>
        </is>
      </c>
      <c r="C1259" s="17" t="n">
        <v>46028</v>
      </c>
      <c r="D1259" s="18" t="n">
        <v>46023</v>
      </c>
      <c r="E1259" s="19" t="n">
        <v>11.536</v>
      </c>
      <c r="F1259" s="19" t="n">
        <v>104</v>
      </c>
      <c r="G1259" t="inlineStr">
        <is>
          <t>Rs 104 crore</t>
        </is>
      </c>
      <c r="H1259" t="inlineStr">
        <is>
          <t>Series B</t>
        </is>
      </c>
      <c r="I1259" t="inlineStr">
        <is>
          <t>Growth</t>
        </is>
      </c>
      <c r="J1259" t="inlineStr">
        <is>
          <t>Healthtech</t>
        </is>
      </c>
      <c r="K1259" t="inlineStr">
        <is>
          <t>Unknown</t>
        </is>
      </c>
      <c r="L1259" t="inlineStr">
        <is>
          <t>Carnelian Asset Management LLP</t>
        </is>
      </c>
      <c r="M1259" t="inlineStr">
        <is>
          <t>Carnelian Asset Management LLP</t>
        </is>
      </c>
      <c r="N1259" t="inlineStr">
        <is>
          <t>entrackr | vccircle</t>
        </is>
      </c>
      <c r="O1259" s="20" t="n">
        <v>2</v>
      </c>
      <c r="P1259" s="21" t="n">
        <v>4.9</v>
      </c>
      <c r="Q1259" t="inlineStr">
        <is>
          <t>C07</t>
        </is>
      </c>
      <c r="R1259" s="22" t="inlineStr">
        <is>
          <t>https://entrackr.com/news/futurecure-health-raises-rs-104-cr-led-by-carnelian-asset-management-10976217</t>
        </is>
      </c>
    </row>
    <row r="1260">
      <c r="A1260" t="inlineStr">
        <is>
          <t>R260106-lohiaaerospace</t>
        </is>
      </c>
      <c r="B1260" t="inlineStr">
        <is>
          <t>Lohia Aerospace Systems</t>
        </is>
      </c>
      <c r="C1260" s="17" t="n">
        <v>46028</v>
      </c>
      <c r="D1260" s="18" t="n">
        <v>46023</v>
      </c>
      <c r="E1260" s="19" t="n"/>
      <c r="F1260" s="19" t="n"/>
      <c r="G1260" t="inlineStr"/>
      <c r="H1260" t="inlineStr">
        <is>
          <t>Undisclosed</t>
        </is>
      </c>
      <c r="I1260" t="inlineStr">
        <is>
          <t>Undisclosed</t>
        </is>
      </c>
      <c r="J1260" t="inlineStr">
        <is>
          <t>Advanced Hardware &amp; Technology</t>
        </is>
      </c>
      <c r="K1260" t="inlineStr">
        <is>
          <t>Unknown</t>
        </is>
      </c>
      <c r="L1260" t="inlineStr">
        <is>
          <t>Singularity AMC</t>
        </is>
      </c>
      <c r="M1260" t="inlineStr">
        <is>
          <t>Singularity AMC</t>
        </is>
      </c>
      <c r="N1260" t="inlineStr">
        <is>
          <t>inc42</t>
        </is>
      </c>
      <c r="O1260" s="20" t="n">
        <v>1</v>
      </c>
      <c r="P1260" s="21" t="n"/>
      <c r="Q1260" t="inlineStr">
        <is>
          <t>C03 C04 C07</t>
        </is>
      </c>
      <c r="R1260" s="22" t="inlineStr">
        <is>
          <t>https://inc42.com/buzz/from-even-healthcare-to-takeme2space-indian-startups-raised-68-mn-this-week/</t>
        </is>
      </c>
    </row>
    <row r="1261">
      <c r="A1261" t="inlineStr">
        <is>
          <t>R260106-osso</t>
        </is>
      </c>
      <c r="B1261" t="inlineStr">
        <is>
          <t>OSSO</t>
        </is>
      </c>
      <c r="C1261" s="17" t="n">
        <v>46028</v>
      </c>
      <c r="D1261" s="18" t="n">
        <v>46023</v>
      </c>
      <c r="E1261" s="19" t="n">
        <v>0.443</v>
      </c>
      <c r="F1261" s="19" t="n">
        <v>3.99</v>
      </c>
      <c r="G1261" t="inlineStr">
        <is>
          <t>$443K</t>
        </is>
      </c>
      <c r="H1261" t="inlineStr">
        <is>
          <t>Seed</t>
        </is>
      </c>
      <c r="I1261" t="inlineStr">
        <is>
          <t>Early</t>
        </is>
      </c>
      <c r="J1261" t="inlineStr">
        <is>
          <t>Healthtech</t>
        </is>
      </c>
      <c r="K1261" t="inlineStr">
        <is>
          <t>Unknown</t>
        </is>
      </c>
      <c r="L1261" t="inlineStr">
        <is>
          <t>Haldiram family Office</t>
        </is>
      </c>
      <c r="M1261" t="inlineStr">
        <is>
          <t>Haldiram Family Office; Sahil Jindal; Aakashdeep Goyal; Parijat Sharma; Viraj Patel</t>
        </is>
      </c>
      <c r="N1261" t="inlineStr">
        <is>
          <t>inc42</t>
        </is>
      </c>
      <c r="O1261" s="20" t="n">
        <v>1</v>
      </c>
      <c r="P1261" s="21" t="n">
        <v>0</v>
      </c>
      <c r="Q1261" t="inlineStr">
        <is>
          <t>C07</t>
        </is>
      </c>
      <c r="R1261" s="22" t="inlineStr">
        <is>
          <t>https://inc42.com/buzz/from-even-healthcare-to-takeme2space-indian-startups-raised-68-mn-this-week/</t>
        </is>
      </c>
    </row>
    <row r="1262">
      <c r="A1262" t="inlineStr">
        <is>
          <t>R260106-skininspired</t>
        </is>
      </c>
      <c r="B1262" t="inlineStr">
        <is>
          <t>SkinInspired</t>
        </is>
      </c>
      <c r="C1262" s="17" t="n">
        <v>46028</v>
      </c>
      <c r="D1262" s="18" t="n">
        <v>46023</v>
      </c>
      <c r="E1262" s="19" t="n">
        <v>2.9</v>
      </c>
      <c r="F1262" s="19" t="n">
        <v>26.14</v>
      </c>
      <c r="G1262" t="inlineStr">
        <is>
          <t>$2.9 million</t>
        </is>
      </c>
      <c r="H1262" t="inlineStr">
        <is>
          <t>Series A</t>
        </is>
      </c>
      <c r="I1262" t="inlineStr">
        <is>
          <t>Early</t>
        </is>
      </c>
      <c r="J1262" t="inlineStr">
        <is>
          <t>Ecommerce</t>
        </is>
      </c>
      <c r="K1262" t="inlineStr">
        <is>
          <t>Udaipur</t>
        </is>
      </c>
      <c r="L1262" t="inlineStr">
        <is>
          <t>Spring Marketing Capital</t>
        </is>
      </c>
      <c r="M1262" t="inlineStr">
        <is>
          <t>Spring Marketing Capital; Beauty Innovation Fund; Arihant Patni; Unilever Ventures</t>
        </is>
      </c>
      <c r="N1262" t="inlineStr">
        <is>
          <t>entrackr | inc42</t>
        </is>
      </c>
      <c r="O1262" s="20" t="n">
        <v>2</v>
      </c>
      <c r="P1262" s="21" t="n">
        <v>7.4</v>
      </c>
      <c r="Q1262" t="inlineStr"/>
      <c r="R1262" s="22" t="inlineStr">
        <is>
          <t>https://entrackr.com/snippets/skininspired-raises-29-mn-led-by-spring-marketing-capital-10976401</t>
        </is>
      </c>
    </row>
    <row r="1263">
      <c r="A1263" t="inlineStr">
        <is>
          <t>R260107-antinorm</t>
        </is>
      </c>
      <c r="B1263" t="inlineStr">
        <is>
          <t>Antinorm</t>
        </is>
      </c>
      <c r="C1263" s="17" t="n">
        <v>46029</v>
      </c>
      <c r="D1263" s="18" t="n">
        <v>46023</v>
      </c>
      <c r="E1263" s="19" t="n">
        <v>3.1</v>
      </c>
      <c r="F1263" s="19" t="n">
        <v>27.85</v>
      </c>
      <c r="G1263" t="inlineStr">
        <is>
          <t>$3.1 Mn</t>
        </is>
      </c>
      <c r="H1263" t="inlineStr">
        <is>
          <t>Seed</t>
        </is>
      </c>
      <c r="I1263" t="inlineStr">
        <is>
          <t>Early</t>
        </is>
      </c>
      <c r="J1263" t="inlineStr">
        <is>
          <t>Ecommerce</t>
        </is>
      </c>
      <c r="K1263" t="inlineStr">
        <is>
          <t>Unknown</t>
        </is>
      </c>
      <c r="L1263" t="inlineStr">
        <is>
          <t>Fireside Ventures</t>
        </is>
      </c>
      <c r="M1263" t="inlineStr">
        <is>
          <t>Fireside Ventures; V3 Ventures; Rukam Capital</t>
        </is>
      </c>
      <c r="N1263" t="inlineStr">
        <is>
          <t>inc42</t>
        </is>
      </c>
      <c r="O1263" s="20" t="n">
        <v>1</v>
      </c>
      <c r="P1263" s="21" t="n">
        <v>0</v>
      </c>
      <c r="Q1263" t="inlineStr">
        <is>
          <t>C07</t>
        </is>
      </c>
      <c r="R1263" s="22" t="inlineStr">
        <is>
          <t>https://inc42.com/buzz/from-even-healthcare-to-takeme2space-indian-startups-raised-68-mn-this-week/</t>
        </is>
      </c>
    </row>
    <row r="1264">
      <c r="A1264" t="inlineStr">
        <is>
          <t>R260107-arrowhead</t>
        </is>
      </c>
      <c r="B1264" t="inlineStr">
        <is>
          <t>Arrowhead</t>
        </is>
      </c>
      <c r="C1264" s="17" t="n">
        <v>46029</v>
      </c>
      <c r="D1264" s="18" t="n">
        <v>46023</v>
      </c>
      <c r="E1264" s="19" t="n">
        <v>3</v>
      </c>
      <c r="F1264" s="19" t="n">
        <v>26.95</v>
      </c>
      <c r="G1264" t="inlineStr">
        <is>
          <t>$3 million</t>
        </is>
      </c>
      <c r="H1264" t="inlineStr">
        <is>
          <t>Seed</t>
        </is>
      </c>
      <c r="I1264" t="inlineStr">
        <is>
          <t>Early</t>
        </is>
      </c>
      <c r="J1264" t="inlineStr">
        <is>
          <t>Artificial Intelligence</t>
        </is>
      </c>
      <c r="K1264" t="inlineStr">
        <is>
          <t>Bengaluru</t>
        </is>
      </c>
      <c r="L1264" t="inlineStr">
        <is>
          <t>Stellaris Venture Partners</t>
        </is>
      </c>
      <c r="M1264" t="inlineStr">
        <is>
          <t>Stellaris Venture Partners; Kunal Shah; Madhusudanan R; CRED; M2P; Turtlemint; Kissht</t>
        </is>
      </c>
      <c r="N1264" t="inlineStr">
        <is>
          <t>entrackr | inc42 | et</t>
        </is>
      </c>
      <c r="O1264" s="20" t="n">
        <v>3</v>
      </c>
      <c r="P1264" s="21" t="n">
        <v>0</v>
      </c>
      <c r="Q1264" t="inlineStr"/>
      <c r="R1264" s="22" t="inlineStr">
        <is>
          <t>https://entrackr.com/snippets/voice-ai-startup-arrowhead-raises-3-mn-in-seed-round-led-by-stellaris-10977766</t>
        </is>
      </c>
    </row>
    <row r="1265">
      <c r="A1265" t="inlineStr">
        <is>
          <t>R260107-beclinical</t>
        </is>
      </c>
      <c r="B1265" t="inlineStr">
        <is>
          <t>Be Clinical</t>
        </is>
      </c>
      <c r="C1265" s="17" t="n">
        <v>46029</v>
      </c>
      <c r="D1265" s="18" t="n">
        <v>46023</v>
      </c>
      <c r="E1265" s="19" t="n">
        <v>0.668</v>
      </c>
      <c r="F1265" s="19" t="n">
        <v>6</v>
      </c>
      <c r="G1265" t="inlineStr">
        <is>
          <t>Rs 6 crore</t>
        </is>
      </c>
      <c r="H1265" t="inlineStr">
        <is>
          <t>Seed</t>
        </is>
      </c>
      <c r="I1265" t="inlineStr">
        <is>
          <t>Early</t>
        </is>
      </c>
      <c r="J1265" t="inlineStr">
        <is>
          <t>Ecommerce</t>
        </is>
      </c>
      <c r="K1265" t="inlineStr">
        <is>
          <t>Mumbai</t>
        </is>
      </c>
      <c r="L1265" t="inlineStr">
        <is>
          <t>V3 Ventures</t>
        </is>
      </c>
      <c r="M1265" t="inlineStr">
        <is>
          <t>V3 Ventures; Titan Capital; Kunal Bahl; Rohit Bansal; Aditya Agarwal</t>
        </is>
      </c>
      <c r="N1265" t="inlineStr">
        <is>
          <t>entrackr | inc42</t>
        </is>
      </c>
      <c r="O1265" s="20" t="n">
        <v>2</v>
      </c>
      <c r="P1265" s="21" t="n">
        <v>7.8</v>
      </c>
      <c r="Q1265" t="inlineStr"/>
      <c r="R1265" s="22" t="inlineStr">
        <is>
          <t>https://entrackr.com/snippets/skincare-brand-be-clinical-raises-seed-round-led-by-v3-ventures-10978768</t>
        </is>
      </c>
    </row>
    <row r="1266">
      <c r="A1266" t="inlineStr">
        <is>
          <t>R260107-flent</t>
        </is>
      </c>
      <c r="B1266" t="inlineStr">
        <is>
          <t>Flent</t>
        </is>
      </c>
      <c r="C1266" s="17" t="n">
        <v>46029</v>
      </c>
      <c r="D1266" s="18" t="n">
        <v>46023</v>
      </c>
      <c r="E1266" s="19" t="n">
        <v>2.337</v>
      </c>
      <c r="F1266" s="19" t="n">
        <v>21</v>
      </c>
      <c r="G1266" t="inlineStr">
        <is>
          <t>Rs 21 crore</t>
        </is>
      </c>
      <c r="H1266" t="inlineStr">
        <is>
          <t>Pre-Series A</t>
        </is>
      </c>
      <c r="I1266" t="inlineStr">
        <is>
          <t>Early</t>
        </is>
      </c>
      <c r="J1266" t="inlineStr">
        <is>
          <t>Real Estate Tech</t>
        </is>
      </c>
      <c r="K1266" t="inlineStr">
        <is>
          <t>Bengaluru</t>
        </is>
      </c>
      <c r="L1266" t="inlineStr">
        <is>
          <t>Incubate Fund Asia</t>
        </is>
      </c>
      <c r="M1266" t="inlineStr">
        <is>
          <t>Incubate Fund Asia; Twin &amp; Bull Family Office; Stride Ventures; 91Ventures; Untitled VC; WEH Ventures; Rajesh Yabaji; In addition</t>
        </is>
      </c>
      <c r="N1266" t="inlineStr">
        <is>
          <t>entrackr | inc42</t>
        </is>
      </c>
      <c r="O1266" s="20" t="n">
        <v>2</v>
      </c>
      <c r="P1266" s="21" t="n">
        <v>1.6</v>
      </c>
      <c r="Q1266" t="inlineStr"/>
      <c r="R1266" s="22" t="inlineStr">
        <is>
          <t>https://entrackr.com/snippets/proptech-startup-flent-raises-25-mn-in-pre-series-a-round-10977803</t>
        </is>
      </c>
    </row>
    <row r="1267">
      <c r="A1267" t="inlineStr">
        <is>
          <t>R260107-nitrocommerce</t>
        </is>
      </c>
      <c r="B1267" t="inlineStr">
        <is>
          <t>Nitro Commerce</t>
        </is>
      </c>
      <c r="C1267" s="17" t="n">
        <v>46029</v>
      </c>
      <c r="D1267" s="18" t="n">
        <v>46023</v>
      </c>
      <c r="E1267" s="19" t="n">
        <v>5</v>
      </c>
      <c r="F1267" s="19" t="n">
        <v>44.92</v>
      </c>
      <c r="G1267" t="inlineStr">
        <is>
          <t>$5 million</t>
        </is>
      </c>
      <c r="H1267" t="inlineStr">
        <is>
          <t>Series A</t>
        </is>
      </c>
      <c r="I1267" t="inlineStr">
        <is>
          <t>Early</t>
        </is>
      </c>
      <c r="J1267" t="inlineStr">
        <is>
          <t>Enterprise Tech</t>
        </is>
      </c>
      <c r="K1267" t="inlineStr">
        <is>
          <t>Delhi NCR</t>
        </is>
      </c>
      <c r="L1267" t="inlineStr">
        <is>
          <t>Cornerstone Ventures</t>
        </is>
      </c>
      <c r="M1267" t="inlineStr">
        <is>
          <t>Cornerstone Ventures; Ankurit Capital; Grand Anicut Angel Fund; Equentis Wealth Advisory Services; India Accelerator; Razorpay Ventures; Rukum Capital; Finvolve</t>
        </is>
      </c>
      <c r="N1267" t="inlineStr">
        <is>
          <t>entrackr | inc42 | et</t>
        </is>
      </c>
      <c r="O1267" s="20" t="n">
        <v>3</v>
      </c>
      <c r="P1267" s="21" t="n">
        <v>0</v>
      </c>
      <c r="Q1267" t="inlineStr"/>
      <c r="R1267" s="22" t="inlineStr">
        <is>
          <t>https://inc42.com/buzz/from-even-healthcare-to-takeme2space-indian-startups-raised-68-mn-this-week/</t>
        </is>
      </c>
    </row>
    <row r="1268">
      <c r="A1268" t="inlineStr">
        <is>
          <t>R260107-oppdoor</t>
        </is>
      </c>
      <c r="B1268" t="inlineStr">
        <is>
          <t>Oppdoor</t>
        </is>
      </c>
      <c r="C1268" s="17" t="n">
        <v>46029</v>
      </c>
      <c r="D1268" s="18" t="n">
        <v>46023</v>
      </c>
      <c r="E1268" s="19" t="n">
        <v>6.4</v>
      </c>
      <c r="F1268" s="19" t="n">
        <v>57.5</v>
      </c>
      <c r="G1268" t="inlineStr">
        <is>
          <t>$6.4 million</t>
        </is>
      </c>
      <c r="H1268" t="inlineStr">
        <is>
          <t>Undisclosed</t>
        </is>
      </c>
      <c r="I1268" t="inlineStr">
        <is>
          <t>Undisclosed</t>
        </is>
      </c>
      <c r="J1268" t="inlineStr">
        <is>
          <t>Unclassified</t>
        </is>
      </c>
      <c r="K1268" t="inlineStr">
        <is>
          <t>Unknown</t>
        </is>
      </c>
      <c r="L1268" t="inlineStr"/>
      <c r="M1268" t="inlineStr">
        <is>
          <t>3State Ventures</t>
        </is>
      </c>
      <c r="N1268" t="inlineStr">
        <is>
          <t>entrackr</t>
        </is>
      </c>
      <c r="O1268" s="20" t="n">
        <v>1</v>
      </c>
      <c r="P1268" s="21" t="n">
        <v>0</v>
      </c>
      <c r="Q1268" t="inlineStr">
        <is>
          <t>C04 C06 C07</t>
        </is>
      </c>
      <c r="R1268" s="22" t="inlineStr">
        <is>
          <t>https://entrackr.com/exclusive/exclusive-binny-bansals-oppdoor-raises-additional-64-mn-from-3state-ventures-10978194</t>
        </is>
      </c>
    </row>
    <row r="1269">
      <c r="A1269" t="inlineStr">
        <is>
          <t>R260107-roadgrid</t>
        </is>
      </c>
      <c r="B1269" t="inlineStr">
        <is>
          <t>RoadGrid</t>
        </is>
      </c>
      <c r="C1269" s="17" t="n">
        <v>46029</v>
      </c>
      <c r="D1269" s="18" t="n">
        <v>46023</v>
      </c>
      <c r="E1269" s="19" t="n">
        <v>1.336</v>
      </c>
      <c r="F1269" s="19" t="n">
        <v>12</v>
      </c>
      <c r="G1269" t="inlineStr">
        <is>
          <t>Rs 12 crore</t>
        </is>
      </c>
      <c r="H1269" t="inlineStr">
        <is>
          <t>Pre-Series A</t>
        </is>
      </c>
      <c r="I1269" t="inlineStr">
        <is>
          <t>Early</t>
        </is>
      </c>
      <c r="J1269" t="inlineStr">
        <is>
          <t>Cleantech</t>
        </is>
      </c>
      <c r="K1269" t="inlineStr">
        <is>
          <t>Unknown</t>
        </is>
      </c>
      <c r="L1269" t="inlineStr">
        <is>
          <t>Venture Catalysts; Inflection Point Ventures</t>
        </is>
      </c>
      <c r="M1269" t="inlineStr">
        <is>
          <t>Venture Catalysts; Kamal Puri; IPV; FAAD Network; LetsVenture; Vrinda Goyal; Haresh Patel; Maneesh Shrivastav; Inflection Point Ventures</t>
        </is>
      </c>
      <c r="N1269" t="inlineStr">
        <is>
          <t>entrackr | inc42</t>
        </is>
      </c>
      <c r="O1269" s="20" t="n">
        <v>2</v>
      </c>
      <c r="P1269" s="21" t="n">
        <v>15.4</v>
      </c>
      <c r="Q1269" t="inlineStr">
        <is>
          <t>C07 C15 C16</t>
        </is>
      </c>
      <c r="R1269" s="22" t="inlineStr">
        <is>
          <t>https://entrackr.com/snippets/ev-charging-startup-roadgrid-raises-rs-12-cr-in-pre-series-a-round-10978135</t>
        </is>
      </c>
    </row>
    <row r="1270">
      <c r="A1270" t="inlineStr">
        <is>
          <t>R260108-aivar</t>
        </is>
      </c>
      <c r="B1270" t="inlineStr">
        <is>
          <t>Aivar</t>
        </is>
      </c>
      <c r="C1270" s="17" t="n">
        <v>46030</v>
      </c>
      <c r="D1270" s="18" t="n">
        <v>46023</v>
      </c>
      <c r="E1270" s="19" t="n">
        <v>4.6</v>
      </c>
      <c r="F1270" s="19" t="n">
        <v>41.37</v>
      </c>
      <c r="G1270" t="inlineStr">
        <is>
          <t>$4.6 million</t>
        </is>
      </c>
      <c r="H1270" t="inlineStr">
        <is>
          <t>Seed</t>
        </is>
      </c>
      <c r="I1270" t="inlineStr">
        <is>
          <t>Early</t>
        </is>
      </c>
      <c r="J1270" t="inlineStr">
        <is>
          <t>Artificial Intelligence</t>
        </is>
      </c>
      <c r="K1270" t="inlineStr">
        <is>
          <t>Unknown</t>
        </is>
      </c>
      <c r="L1270" t="inlineStr">
        <is>
          <t>Sorin Investments</t>
        </is>
      </c>
      <c r="M1270" t="inlineStr">
        <is>
          <t>Sorin Investments; Bessemer Venture Partners</t>
        </is>
      </c>
      <c r="N1270" t="inlineStr">
        <is>
          <t>entrackr | inc42 | et</t>
        </is>
      </c>
      <c r="O1270" s="20" t="n">
        <v>3</v>
      </c>
      <c r="P1270" s="21" t="n">
        <v>0</v>
      </c>
      <c r="Q1270" t="inlineStr">
        <is>
          <t>C07</t>
        </is>
      </c>
      <c r="R1270" s="22" t="inlineStr">
        <is>
          <t>https://entrackr.com/snippets/ai-services-startup-aivar-raises-46-mn-from-sorin-investments-and-bessemer-10980240</t>
        </is>
      </c>
    </row>
    <row r="1271">
      <c r="A1271" t="inlineStr">
        <is>
          <t>R260108-anddone</t>
        </is>
      </c>
      <c r="B1271" t="inlineStr">
        <is>
          <t>&amp;Done</t>
        </is>
      </c>
      <c r="C1271" s="17" t="n">
        <v>46030</v>
      </c>
      <c r="D1271" s="18" t="n">
        <v>46023</v>
      </c>
      <c r="E1271" s="19" t="n">
        <v>3</v>
      </c>
      <c r="F1271" s="19" t="n">
        <v>26.98</v>
      </c>
      <c r="G1271" t="inlineStr">
        <is>
          <t>$3 million</t>
        </is>
      </c>
      <c r="H1271" t="inlineStr">
        <is>
          <t>Series A</t>
        </is>
      </c>
      <c r="I1271" t="inlineStr">
        <is>
          <t>Early</t>
        </is>
      </c>
      <c r="J1271" t="inlineStr">
        <is>
          <t>Ecommerce</t>
        </is>
      </c>
      <c r="K1271" t="inlineStr">
        <is>
          <t>Delhi NCR</t>
        </is>
      </c>
      <c r="L1271" t="inlineStr">
        <is>
          <t>RTP Global</t>
        </is>
      </c>
      <c r="M1271" t="inlineStr">
        <is>
          <t>RTP Global; Suashish; All In Capital; Kitty Agarwal; Kunal Bahl; Rohit Bansal; Puneet Kumar</t>
        </is>
      </c>
      <c r="N1271" t="inlineStr">
        <is>
          <t>entrackr | inc42 | et</t>
        </is>
      </c>
      <c r="O1271" s="20" t="n">
        <v>3</v>
      </c>
      <c r="P1271" s="21" t="n">
        <v>0</v>
      </c>
      <c r="Q1271" t="inlineStr"/>
      <c r="R1271" s="22" t="inlineStr">
        <is>
          <t>https://entrackr.com/snippets/haircare-brand-done-raises-3-mn-in-series-a-led-by-rtp-global-10980040</t>
        </is>
      </c>
    </row>
    <row r="1272">
      <c r="A1272" t="inlineStr">
        <is>
          <t>R260108-minipix</t>
        </is>
      </c>
      <c r="B1272" t="inlineStr">
        <is>
          <t>MiniPix</t>
        </is>
      </c>
      <c r="C1272" s="17" t="n">
        <v>46030</v>
      </c>
      <c r="D1272" s="18" t="n">
        <v>46023</v>
      </c>
      <c r="E1272" s="19" t="n">
        <v>0.267</v>
      </c>
      <c r="F1272" s="19" t="n">
        <v>2.4</v>
      </c>
      <c r="G1272" t="inlineStr">
        <is>
          <t>Rs 2.4 crore</t>
        </is>
      </c>
      <c r="H1272" t="inlineStr">
        <is>
          <t>Pre-Seed</t>
        </is>
      </c>
      <c r="I1272" t="inlineStr">
        <is>
          <t>Early</t>
        </is>
      </c>
      <c r="J1272" t="inlineStr">
        <is>
          <t>Unclassified</t>
        </is>
      </c>
      <c r="K1272" t="inlineStr">
        <is>
          <t>Bengaluru</t>
        </is>
      </c>
      <c r="L1272" t="inlineStr"/>
      <c r="M1272" t="inlineStr">
        <is>
          <t>Venture Catalysts; Sandip Gupta; Rajdip Gupta</t>
        </is>
      </c>
      <c r="N1272" t="inlineStr">
        <is>
          <t>entrackr</t>
        </is>
      </c>
      <c r="O1272" s="20" t="n">
        <v>1</v>
      </c>
      <c r="P1272" s="21" t="n">
        <v>0</v>
      </c>
      <c r="Q1272" t="inlineStr">
        <is>
          <t>C06</t>
        </is>
      </c>
      <c r="R1272" s="22" t="inlineStr">
        <is>
          <t>https://entrackr.com/snippets/microdrama-platform-minipix-raises-rs-24-cr-led-by-pedalstart-10980902</t>
        </is>
      </c>
    </row>
    <row r="1273">
      <c r="A1273" t="inlineStr">
        <is>
          <t>R260108-multibaggai</t>
        </is>
      </c>
      <c r="B1273" t="inlineStr">
        <is>
          <t>Multibagg AI</t>
        </is>
      </c>
      <c r="C1273" s="17" t="n">
        <v>46030</v>
      </c>
      <c r="D1273" s="18" t="n">
        <v>46023</v>
      </c>
      <c r="E1273" s="19" t="n">
        <v>0.167</v>
      </c>
      <c r="F1273" s="19" t="n">
        <v>1.5</v>
      </c>
      <c r="G1273" t="inlineStr">
        <is>
          <t>Rs 1.5 crore</t>
        </is>
      </c>
      <c r="H1273" t="inlineStr">
        <is>
          <t>Pre-Seed</t>
        </is>
      </c>
      <c r="I1273" t="inlineStr">
        <is>
          <t>Early</t>
        </is>
      </c>
      <c r="J1273" t="inlineStr">
        <is>
          <t>Artificial Intelligence</t>
        </is>
      </c>
      <c r="K1273" t="inlineStr">
        <is>
          <t>Unknown</t>
        </is>
      </c>
      <c r="L1273" t="inlineStr">
        <is>
          <t>AJVC</t>
        </is>
      </c>
      <c r="M1273" t="inlineStr">
        <is>
          <t>AJVC</t>
        </is>
      </c>
      <c r="N1273" t="inlineStr">
        <is>
          <t>entrackr</t>
        </is>
      </c>
      <c r="O1273" s="20" t="n">
        <v>1</v>
      </c>
      <c r="P1273" s="21" t="n">
        <v>0</v>
      </c>
      <c r="Q1273" t="inlineStr">
        <is>
          <t>C07</t>
        </is>
      </c>
      <c r="R1273" s="22" t="inlineStr">
        <is>
          <t>https://entrackr.com/snippets/equity-research-startup-multibagg-ai-raises-rs-15-cr-in-pre-seed-round-led-by-ajvc-10980823</t>
        </is>
      </c>
    </row>
    <row r="1274">
      <c r="A1274" t="inlineStr">
        <is>
          <t>R260108-projectstudioa</t>
        </is>
      </c>
      <c r="B1274" t="inlineStr">
        <is>
          <t>Project Studio AI</t>
        </is>
      </c>
      <c r="C1274" s="17" t="n">
        <v>46030</v>
      </c>
      <c r="D1274" s="18" t="n">
        <v>46023</v>
      </c>
      <c r="E1274" s="19" t="n"/>
      <c r="F1274" s="19" t="n"/>
      <c r="G1274" t="inlineStr"/>
      <c r="H1274" t="inlineStr">
        <is>
          <t>Undisclosed</t>
        </is>
      </c>
      <c r="I1274" t="inlineStr">
        <is>
          <t>Undisclosed</t>
        </is>
      </c>
      <c r="J1274" t="inlineStr">
        <is>
          <t>Real Estate Tech</t>
        </is>
      </c>
      <c r="K1274" t="inlineStr">
        <is>
          <t>Unknown</t>
        </is>
      </c>
      <c r="L1274" t="inlineStr">
        <is>
          <t>Modular Capital</t>
        </is>
      </c>
      <c r="M1274" t="inlineStr">
        <is>
          <t>Modulor Capital; Circle; EvolveX; Thapar Innovate; Modular Capital</t>
        </is>
      </c>
      <c r="N1274" t="inlineStr">
        <is>
          <t>inc42</t>
        </is>
      </c>
      <c r="O1274" s="20" t="n">
        <v>1</v>
      </c>
      <c r="P1274" s="21" t="n"/>
      <c r="Q1274" t="inlineStr">
        <is>
          <t>C03 C04 C07</t>
        </is>
      </c>
      <c r="R1274" s="22" t="inlineStr">
        <is>
          <t>https://inc42.com/buzz/from-even-healthcare-to-takeme2space-indian-startups-raised-68-mn-this-week/</t>
        </is>
      </c>
    </row>
    <row r="1275">
      <c r="A1275" t="inlineStr">
        <is>
          <t>R260108-spectorai</t>
        </is>
      </c>
      <c r="B1275" t="inlineStr">
        <is>
          <t>Spector.AI</t>
        </is>
      </c>
      <c r="C1275" s="17" t="n">
        <v>46030</v>
      </c>
      <c r="D1275" s="18" t="n">
        <v>46023</v>
      </c>
      <c r="E1275" s="19" t="n">
        <v>6.449</v>
      </c>
      <c r="F1275" s="19" t="n">
        <v>58</v>
      </c>
      <c r="G1275" t="inlineStr">
        <is>
          <t>Rs 58 crore</t>
        </is>
      </c>
      <c r="H1275" t="inlineStr">
        <is>
          <t>Undisclosed</t>
        </is>
      </c>
      <c r="I1275" t="inlineStr">
        <is>
          <t>Undisclosed</t>
        </is>
      </c>
      <c r="J1275" t="inlineStr">
        <is>
          <t>Artificial Intelligence</t>
        </is>
      </c>
      <c r="K1275" t="inlineStr">
        <is>
          <t>Bengaluru</t>
        </is>
      </c>
      <c r="L1275" t="inlineStr">
        <is>
          <t>IvyCap Ventures</t>
        </is>
      </c>
      <c r="M1275" t="inlineStr">
        <is>
          <t>IvyCap Ventures</t>
        </is>
      </c>
      <c r="N1275" t="inlineStr">
        <is>
          <t>entrackr | inc42</t>
        </is>
      </c>
      <c r="O1275" s="20" t="n">
        <v>2</v>
      </c>
      <c r="P1275" s="21" t="n">
        <v>3.9</v>
      </c>
      <c r="Q1275" t="inlineStr">
        <is>
          <t>C04</t>
        </is>
      </c>
      <c r="R1275" s="22" t="inlineStr">
        <is>
          <t>https://entrackr.com/snippets/industrial-ai-startup-spectorai-raises-rs-58-cr-led-by-ivycap-ventures-10981113</t>
        </is>
      </c>
    </row>
    <row r="1276">
      <c r="A1276" t="inlineStr">
        <is>
          <t>R260108-takeme2space</t>
        </is>
      </c>
      <c r="B1276" t="inlineStr">
        <is>
          <t>TakeMe2Space</t>
        </is>
      </c>
      <c r="C1276" s="17" t="n">
        <v>46030</v>
      </c>
      <c r="D1276" s="18" t="n">
        <v>46023</v>
      </c>
      <c r="E1276" s="19" t="n">
        <v>5</v>
      </c>
      <c r="F1276" s="19" t="n">
        <v>44.96</v>
      </c>
      <c r="G1276" t="inlineStr">
        <is>
          <t>$5 Mn</t>
        </is>
      </c>
      <c r="H1276" t="inlineStr">
        <is>
          <t>Seed</t>
        </is>
      </c>
      <c r="I1276" t="inlineStr">
        <is>
          <t>Early</t>
        </is>
      </c>
      <c r="J1276" t="inlineStr">
        <is>
          <t>Advanced Hardware &amp; Technology</t>
        </is>
      </c>
      <c r="K1276" t="inlineStr">
        <is>
          <t>Hyderabad</t>
        </is>
      </c>
      <c r="L1276" t="inlineStr">
        <is>
          <t>Chiratae Ventures</t>
        </is>
      </c>
      <c r="M1276" t="inlineStr">
        <is>
          <t>Chiratae Ventures; Artha Venture Fund; SeaFund; Unicorn India Ventures</t>
        </is>
      </c>
      <c r="N1276" t="inlineStr">
        <is>
          <t>inc42 | et</t>
        </is>
      </c>
      <c r="O1276" s="20" t="n">
        <v>2</v>
      </c>
      <c r="P1276" s="21" t="n">
        <v>0</v>
      </c>
      <c r="Q1276" t="inlineStr"/>
      <c r="R1276" s="22" t="inlineStr">
        <is>
          <t>https://economictimes.indiatimes.com/tech/funding/takeme2space-raises-5-million-led-by-chiratae-ventures/articleshow/126414088.cms</t>
        </is>
      </c>
    </row>
    <row r="1277">
      <c r="A1277" t="inlineStr">
        <is>
          <t>R260112-bluecopa</t>
        </is>
      </c>
      <c r="B1277" t="inlineStr">
        <is>
          <t>Bluecopa</t>
        </is>
      </c>
      <c r="C1277" s="17" t="n">
        <v>46034</v>
      </c>
      <c r="D1277" s="18" t="n">
        <v>46023</v>
      </c>
      <c r="E1277" s="19" t="n">
        <v>7.5</v>
      </c>
      <c r="F1277" s="19" t="n">
        <v>67.62</v>
      </c>
      <c r="G1277" t="inlineStr">
        <is>
          <t>$7.5 million</t>
        </is>
      </c>
      <c r="H1277" t="inlineStr">
        <is>
          <t>Series A</t>
        </is>
      </c>
      <c r="I1277" t="inlineStr">
        <is>
          <t>Early</t>
        </is>
      </c>
      <c r="J1277" t="inlineStr">
        <is>
          <t>Artificial Intelligence</t>
        </is>
      </c>
      <c r="K1277" t="inlineStr">
        <is>
          <t>Hyderabad</t>
        </is>
      </c>
      <c r="L1277" t="inlineStr">
        <is>
          <t>Analog Partners</t>
        </is>
      </c>
      <c r="M1277" t="inlineStr">
        <is>
          <t>Analog Partners; Blume Ventures; Dallas Venture Capital</t>
        </is>
      </c>
      <c r="N1277" t="inlineStr">
        <is>
          <t>entrackr | inc42 | et</t>
        </is>
      </c>
      <c r="O1277" s="20" t="n">
        <v>3</v>
      </c>
      <c r="P1277" s="21" t="n">
        <v>0</v>
      </c>
      <c r="Q1277" t="inlineStr"/>
      <c r="R1277" s="22" t="inlineStr">
        <is>
          <t>https://entrackr.com/snippets/bluecopa-raises-75-mn-in-series-a-round-led-by-analog-partners-10990859</t>
        </is>
      </c>
    </row>
    <row r="1278">
      <c r="A1278" t="inlineStr">
        <is>
          <t>R260112-edgistify</t>
        </is>
      </c>
      <c r="B1278" t="inlineStr">
        <is>
          <t>Edgistify</t>
        </is>
      </c>
      <c r="C1278" s="17" t="n">
        <v>46034</v>
      </c>
      <c r="D1278" s="18" t="n">
        <v>46023</v>
      </c>
      <c r="E1278" s="19" t="n">
        <v>1.4</v>
      </c>
      <c r="F1278" s="19" t="n">
        <v>12.62</v>
      </c>
      <c r="G1278" t="inlineStr">
        <is>
          <t>$1.4 million</t>
        </is>
      </c>
      <c r="H1278" t="inlineStr">
        <is>
          <t>Pre-Series A</t>
        </is>
      </c>
      <c r="I1278" t="inlineStr">
        <is>
          <t>Early</t>
        </is>
      </c>
      <c r="J1278" t="inlineStr">
        <is>
          <t>Logistics</t>
        </is>
      </c>
      <c r="K1278" t="inlineStr">
        <is>
          <t>Mumbai</t>
        </is>
      </c>
      <c r="L1278" t="inlineStr">
        <is>
          <t>NB Ventures; Rajesh Ranavat</t>
        </is>
      </c>
      <c r="M1278" t="inlineStr">
        <is>
          <t>NB Ventures; Rajesh Ranavat; Prateek Maheshwari; Vivek Gaur; Vikram Tandon</t>
        </is>
      </c>
      <c r="N1278" t="inlineStr">
        <is>
          <t>entrackr | inc42</t>
        </is>
      </c>
      <c r="O1278" s="20" t="n">
        <v>2</v>
      </c>
      <c r="P1278" s="21" t="n">
        <v>0</v>
      </c>
      <c r="Q1278" t="inlineStr"/>
      <c r="R1278" s="22" t="inlineStr">
        <is>
          <t>https://entrackr.com/snippets/edgistify-raises-14-mn-from-nb-ventures-and-rajesh-ranavat-10992138</t>
        </is>
      </c>
    </row>
    <row r="1279">
      <c r="A1279" t="inlineStr">
        <is>
          <t>R260112-goodfarmerfood</t>
        </is>
      </c>
      <c r="B1279" t="inlineStr">
        <is>
          <t>Good Farmer Food Concepts</t>
        </is>
      </c>
      <c r="C1279" s="17" t="n">
        <v>46034</v>
      </c>
      <c r="D1279" s="18" t="n">
        <v>46023</v>
      </c>
      <c r="E1279" s="19" t="n">
        <v>1.5</v>
      </c>
      <c r="F1279" s="19" t="n">
        <v>13.52</v>
      </c>
      <c r="G1279" t="inlineStr">
        <is>
          <t>$1.5 million</t>
        </is>
      </c>
      <c r="H1279" t="inlineStr">
        <is>
          <t>Pre-Series A</t>
        </is>
      </c>
      <c r="I1279" t="inlineStr">
        <is>
          <t>Early</t>
        </is>
      </c>
      <c r="J1279" t="inlineStr">
        <is>
          <t>Ecommerce</t>
        </is>
      </c>
      <c r="K1279" t="inlineStr">
        <is>
          <t>Bengaluru</t>
        </is>
      </c>
      <c r="L1279" t="inlineStr">
        <is>
          <t>CreedCap; Rohan Bopanna; Meraki Sport &amp; Entertainment</t>
        </is>
      </c>
      <c r="M1279" t="inlineStr">
        <is>
          <t>CreedCap; Rohan Bopanna; Rahul Dravid; Meraki Sport &amp; Entertainment</t>
        </is>
      </c>
      <c r="N1279" t="inlineStr">
        <is>
          <t>entrackr | inc42</t>
        </is>
      </c>
      <c r="O1279" s="20" t="n">
        <v>2</v>
      </c>
      <c r="P1279" s="21" t="n">
        <v>0</v>
      </c>
      <c r="Q1279" t="inlineStr"/>
      <c r="R1279" s="22" t="inlineStr">
        <is>
          <t>https://entrackr.com/snippets/good-farmer-food-concepts-raises-15-mn-in-pre-series-a-led-by-creedcap-10991509</t>
        </is>
      </c>
    </row>
    <row r="1280">
      <c r="A1280" t="inlineStr">
        <is>
          <t>R260112-neeman</t>
        </is>
      </c>
      <c r="B1280" t="inlineStr">
        <is>
          <t>Neeman’s</t>
        </is>
      </c>
      <c r="C1280" s="17" t="n">
        <v>46034</v>
      </c>
      <c r="D1280" s="18" t="n">
        <v>46023</v>
      </c>
      <c r="E1280" s="19" t="n">
        <v>4</v>
      </c>
      <c r="F1280" s="19" t="n">
        <v>36.06</v>
      </c>
      <c r="G1280" t="inlineStr">
        <is>
          <t>$4 Mn</t>
        </is>
      </c>
      <c r="H1280" t="inlineStr">
        <is>
          <t>Series B</t>
        </is>
      </c>
      <c r="I1280" t="inlineStr">
        <is>
          <t>Growth</t>
        </is>
      </c>
      <c r="J1280" t="inlineStr">
        <is>
          <t>Ecommerce</t>
        </is>
      </c>
      <c r="K1280" t="inlineStr">
        <is>
          <t>Unknown</t>
        </is>
      </c>
      <c r="L1280" t="inlineStr">
        <is>
          <t>SNAM Group</t>
        </is>
      </c>
      <c r="M1280" t="inlineStr">
        <is>
          <t>SNAM Group; Anicut Capital; ENAM Investments; Sharrp Ventures</t>
        </is>
      </c>
      <c r="N1280" t="inlineStr">
        <is>
          <t>inc42</t>
        </is>
      </c>
      <c r="O1280" s="20" t="n">
        <v>1</v>
      </c>
      <c r="P1280" s="21" t="n">
        <v>0</v>
      </c>
      <c r="Q1280" t="inlineStr">
        <is>
          <t>C07 C09</t>
        </is>
      </c>
      <c r="R1280" s="22" t="inlineStr">
        <is>
          <t>https://inc42.com/buzz/from-pee-safe-to-etherealx-indian-startups-raised-269-mn-this-week/</t>
        </is>
      </c>
    </row>
    <row r="1281">
      <c r="A1281" t="inlineStr">
        <is>
          <t>R260112-pumpumpum</t>
        </is>
      </c>
      <c r="B1281" t="inlineStr">
        <is>
          <t>PumPumPum</t>
        </is>
      </c>
      <c r="C1281" s="17" t="n">
        <v>46034</v>
      </c>
      <c r="D1281" s="18" t="n">
        <v>46023</v>
      </c>
      <c r="E1281" s="19" t="n">
        <v>1.996</v>
      </c>
      <c r="F1281" s="19" t="n">
        <v>18</v>
      </c>
      <c r="G1281" t="inlineStr">
        <is>
          <t>Rs 18 crore</t>
        </is>
      </c>
      <c r="H1281" t="inlineStr">
        <is>
          <t>Pre-Series A</t>
        </is>
      </c>
      <c r="I1281" t="inlineStr">
        <is>
          <t>Early</t>
        </is>
      </c>
      <c r="J1281" t="inlineStr">
        <is>
          <t>Travel Tech</t>
        </is>
      </c>
      <c r="K1281" t="inlineStr">
        <is>
          <t>Delhi NCR</t>
        </is>
      </c>
      <c r="L1281" t="inlineStr">
        <is>
          <t>LC Nueva; Anupam Finserv</t>
        </is>
      </c>
      <c r="M1281" t="inlineStr">
        <is>
          <t>LC Nueva; Mufin Green Finance; Anupam Finserv</t>
        </is>
      </c>
      <c r="N1281" t="inlineStr">
        <is>
          <t>entrackr | inc42</t>
        </is>
      </c>
      <c r="O1281" s="20" t="n">
        <v>2</v>
      </c>
      <c r="P1281" s="21" t="n">
        <v>0.2</v>
      </c>
      <c r="Q1281" t="inlineStr"/>
      <c r="R1281" s="22" t="inlineStr">
        <is>
          <t>https://entrackr.com/snippets/pumpumpum-raises-rs-18-cr-in-pre-series-a-round-led-by-lc-nueva-10991829</t>
        </is>
      </c>
    </row>
    <row r="1282">
      <c r="A1282" t="inlineStr">
        <is>
          <t>R260113-atomgrid</t>
        </is>
      </c>
      <c r="B1282" t="inlineStr">
        <is>
          <t>Atomgrid</t>
        </is>
      </c>
      <c r="C1282" s="17" t="n">
        <v>46035</v>
      </c>
      <c r="D1282" s="18" t="n">
        <v>46023</v>
      </c>
      <c r="E1282" s="19" t="n">
        <v>7</v>
      </c>
      <c r="F1282" s="19" t="n">
        <v>63.16</v>
      </c>
      <c r="G1282" t="inlineStr">
        <is>
          <t>$7 million</t>
        </is>
      </c>
      <c r="H1282" t="inlineStr">
        <is>
          <t>Pre-Series A</t>
        </is>
      </c>
      <c r="I1282" t="inlineStr">
        <is>
          <t>Early</t>
        </is>
      </c>
      <c r="J1282" t="inlineStr">
        <is>
          <t>Ecommerce</t>
        </is>
      </c>
      <c r="K1282" t="inlineStr">
        <is>
          <t>Bengaluru</t>
        </is>
      </c>
      <c r="L1282" t="inlineStr">
        <is>
          <t>A99</t>
        </is>
      </c>
      <c r="M1282" t="inlineStr">
        <is>
          <t>Sadev Ventures; CDM Capital; Merak Ventures; A99</t>
        </is>
      </c>
      <c r="N1282" t="inlineStr">
        <is>
          <t>entrackr | inc42</t>
        </is>
      </c>
      <c r="O1282" s="20" t="n">
        <v>2</v>
      </c>
      <c r="P1282" s="21" t="n">
        <v>0</v>
      </c>
      <c r="Q1282" t="inlineStr"/>
      <c r="R1282" s="22" t="inlineStr">
        <is>
          <t>https://entrackr.com/snippets/specialty-chemicals-startup-atomgrid-raises-7-mn-in-pre-series-a-10994068</t>
        </is>
      </c>
    </row>
    <row r="1283">
      <c r="A1283" t="inlineStr">
        <is>
          <t>R260113-billionemobili</t>
        </is>
      </c>
      <c r="B1283" t="inlineStr">
        <is>
          <t>BillionE Mobility</t>
        </is>
      </c>
      <c r="C1283" s="17" t="n">
        <v>46035</v>
      </c>
      <c r="D1283" s="18" t="n">
        <v>46023</v>
      </c>
      <c r="E1283" s="19" t="n">
        <v>25</v>
      </c>
      <c r="F1283" s="19" t="n">
        <v>225.58</v>
      </c>
      <c r="G1283" t="inlineStr">
        <is>
          <t>$25 Mn</t>
        </is>
      </c>
      <c r="H1283" t="inlineStr">
        <is>
          <t>Undisclosed</t>
        </is>
      </c>
      <c r="I1283" t="inlineStr">
        <is>
          <t>Undisclosed</t>
        </is>
      </c>
      <c r="J1283" t="inlineStr">
        <is>
          <t>Travel Tech</t>
        </is>
      </c>
      <c r="K1283" t="inlineStr">
        <is>
          <t>Unknown</t>
        </is>
      </c>
      <c r="L1283" t="inlineStr"/>
      <c r="M1283" t="inlineStr">
        <is>
          <t>SBI</t>
        </is>
      </c>
      <c r="N1283" t="inlineStr">
        <is>
          <t>inc42</t>
        </is>
      </c>
      <c r="O1283" s="20" t="n">
        <v>1</v>
      </c>
      <c r="P1283" s="21" t="n">
        <v>0</v>
      </c>
      <c r="Q1283" t="inlineStr">
        <is>
          <t>C04 C07</t>
        </is>
      </c>
      <c r="R1283" s="22" t="inlineStr">
        <is>
          <t>https://inc42.com/buzz/from-pee-safe-to-etherealx-indian-startups-raised-269-mn-this-week/</t>
        </is>
      </c>
    </row>
    <row r="1284">
      <c r="A1284" t="inlineStr">
        <is>
          <t>R260113-carrum</t>
        </is>
      </c>
      <c r="B1284" t="inlineStr">
        <is>
          <t>Carrum</t>
        </is>
      </c>
      <c r="C1284" s="17" t="n">
        <v>46035</v>
      </c>
      <c r="D1284" s="18" t="n">
        <v>46023</v>
      </c>
      <c r="E1284" s="19" t="n">
        <v>7</v>
      </c>
      <c r="F1284" s="19" t="n">
        <v>63.16</v>
      </c>
      <c r="G1284" t="inlineStr">
        <is>
          <t>$7 Mn</t>
        </is>
      </c>
      <c r="H1284" t="inlineStr">
        <is>
          <t>Series A</t>
        </is>
      </c>
      <c r="I1284" t="inlineStr">
        <is>
          <t>Early</t>
        </is>
      </c>
      <c r="J1284" t="inlineStr">
        <is>
          <t>Travel Tech</t>
        </is>
      </c>
      <c r="K1284" t="inlineStr">
        <is>
          <t>Delhi NCR</t>
        </is>
      </c>
      <c r="L1284" t="inlineStr">
        <is>
          <t>Uber</t>
        </is>
      </c>
      <c r="M1284" t="inlineStr">
        <is>
          <t>Uber</t>
        </is>
      </c>
      <c r="N1284" t="inlineStr">
        <is>
          <t>entrackr | inc42</t>
        </is>
      </c>
      <c r="O1284" s="20" t="n">
        <v>2</v>
      </c>
      <c r="P1284" s="21" t="n">
        <v>0</v>
      </c>
      <c r="Q1284" t="inlineStr"/>
      <c r="R1284" s="22" t="inlineStr">
        <is>
          <t>https://entrackr.com/snippets/cardekho-group-backed-carrum-raises-series-a-funding-from-uber-10995158</t>
        </is>
      </c>
    </row>
    <row r="1285">
      <c r="A1285" t="inlineStr">
        <is>
          <t>R260113-dazzl</t>
        </is>
      </c>
      <c r="B1285" t="inlineStr">
        <is>
          <t>Dazzl</t>
        </is>
      </c>
      <c r="C1285" s="17" t="n">
        <v>46035</v>
      </c>
      <c r="D1285" s="18" t="n">
        <v>46023</v>
      </c>
      <c r="E1285" s="19" t="n">
        <v>3.2</v>
      </c>
      <c r="F1285" s="19" t="n">
        <v>28.87</v>
      </c>
      <c r="G1285" t="inlineStr">
        <is>
          <t>$3.2 million</t>
        </is>
      </c>
      <c r="H1285" t="inlineStr">
        <is>
          <t>Seed</t>
        </is>
      </c>
      <c r="I1285" t="inlineStr">
        <is>
          <t>Early</t>
        </is>
      </c>
      <c r="J1285" t="inlineStr">
        <is>
          <t>Consumer Services</t>
        </is>
      </c>
      <c r="K1285" t="inlineStr">
        <is>
          <t>Bengaluru</t>
        </is>
      </c>
      <c r="L1285" t="inlineStr">
        <is>
          <t>Stellaris Venture Partners</t>
        </is>
      </c>
      <c r="M1285" t="inlineStr">
        <is>
          <t>Stellaris Venture Partners; Ritesh Agarwal; Maninder Gulati; Abhinav Sinha; Sameer Brij Verma; Abhishek Bansal</t>
        </is>
      </c>
      <c r="N1285" t="inlineStr">
        <is>
          <t>entrackr | inc42 | et</t>
        </is>
      </c>
      <c r="O1285" s="20" t="n">
        <v>3</v>
      </c>
      <c r="P1285" s="21" t="n">
        <v>0</v>
      </c>
      <c r="Q1285" t="inlineStr"/>
      <c r="R1285" s="22" t="inlineStr">
        <is>
          <t>https://entrackr.com/snippets/10-min-beauty-service-platform-dazzl-raises-32-mn-led-by-stellaris-10993983</t>
        </is>
      </c>
    </row>
    <row r="1286">
      <c r="A1286" t="inlineStr">
        <is>
          <t>R260113-drickle</t>
        </is>
      </c>
      <c r="B1286" t="inlineStr">
        <is>
          <t>Drickle</t>
        </is>
      </c>
      <c r="C1286" s="17" t="n">
        <v>46035</v>
      </c>
      <c r="D1286" s="18" t="n">
        <v>46023</v>
      </c>
      <c r="E1286" s="19" t="n">
        <v>0.665</v>
      </c>
      <c r="F1286" s="19" t="n">
        <v>6</v>
      </c>
      <c r="G1286" t="inlineStr">
        <is>
          <t>Rs 6 crore</t>
        </is>
      </c>
      <c r="H1286" t="inlineStr">
        <is>
          <t>Seed</t>
        </is>
      </c>
      <c r="I1286" t="inlineStr">
        <is>
          <t>Early</t>
        </is>
      </c>
      <c r="J1286" t="inlineStr">
        <is>
          <t>Ecommerce</t>
        </is>
      </c>
      <c r="K1286" t="inlineStr">
        <is>
          <t>Bengaluru</t>
        </is>
      </c>
      <c r="L1286" t="inlineStr"/>
      <c r="M1286" t="inlineStr">
        <is>
          <t>Param Kandhari; Naresh Krishnaswamy; Abhinav Mathur; Hemanshu Jain; Vinay Bhopatkar; Vaibhav Sisinty; Dalvir Suri; Rishit Jhunjhunwala; Shaili Chopra</t>
        </is>
      </c>
      <c r="N1286" t="inlineStr">
        <is>
          <t>entrackr | inc42</t>
        </is>
      </c>
      <c r="O1286" s="20" t="n">
        <v>2</v>
      </c>
      <c r="P1286" s="21" t="n">
        <v>8.300000000000001</v>
      </c>
      <c r="Q1286" t="inlineStr"/>
      <c r="R1286" s="22" t="inlineStr">
        <is>
          <t>https://entrackr.com/snippets/coffee-first-beverage-brand-drickle-raises-rs-6-cr-in-seed-round-10995189</t>
        </is>
      </c>
    </row>
    <row r="1287">
      <c r="A1287" t="inlineStr">
        <is>
          <t>R260113-greentech</t>
        </is>
      </c>
      <c r="B1287" t="inlineStr">
        <is>
          <t>GreenTech</t>
        </is>
      </c>
      <c r="C1287" s="17" t="n">
        <v>46035</v>
      </c>
      <c r="D1287" s="18" t="n">
        <v>46023</v>
      </c>
      <c r="E1287" s="19" t="n">
        <v>3.325</v>
      </c>
      <c r="F1287" s="19" t="n">
        <v>30</v>
      </c>
      <c r="G1287" t="inlineStr">
        <is>
          <t>Rs 30 crore</t>
        </is>
      </c>
      <c r="H1287" t="inlineStr">
        <is>
          <t>Undisclosed</t>
        </is>
      </c>
      <c r="I1287" t="inlineStr">
        <is>
          <t>Undisclosed</t>
        </is>
      </c>
      <c r="J1287" t="inlineStr">
        <is>
          <t>Cleantech</t>
        </is>
      </c>
      <c r="K1287" t="inlineStr">
        <is>
          <t>Coimbatore</t>
        </is>
      </c>
      <c r="L1287" t="inlineStr">
        <is>
          <t>Transition VC</t>
        </is>
      </c>
      <c r="M1287" t="inlineStr">
        <is>
          <t>Transition VC</t>
        </is>
      </c>
      <c r="N1287" t="inlineStr">
        <is>
          <t>entrackr | inc42 | et</t>
        </is>
      </c>
      <c r="O1287" s="20" t="n">
        <v>3</v>
      </c>
      <c r="P1287" s="21" t="n">
        <v>0.8</v>
      </c>
      <c r="Q1287" t="inlineStr">
        <is>
          <t>C04</t>
        </is>
      </c>
      <c r="R1287" s="22" t="inlineStr">
        <is>
          <t>https://economictimes.indiatimes.com/tech/funding/deeptech-company-greentech-raises-rs-30-crore-from-transition-vc/articleshow/126498442.cms</t>
        </is>
      </c>
    </row>
    <row r="1288">
      <c r="A1288" t="inlineStr">
        <is>
          <t>R260113-hexalog</t>
        </is>
      </c>
      <c r="B1288" t="inlineStr">
        <is>
          <t>Hexalog</t>
        </is>
      </c>
      <c r="C1288" s="17" t="n">
        <v>46035</v>
      </c>
      <c r="D1288" s="18" t="n">
        <v>46023</v>
      </c>
      <c r="E1288" s="19" t="n">
        <v>4</v>
      </c>
      <c r="F1288" s="19" t="n">
        <v>36.09</v>
      </c>
      <c r="G1288" t="inlineStr">
        <is>
          <t>$4 million</t>
        </is>
      </c>
      <c r="H1288" t="inlineStr">
        <is>
          <t>Seed</t>
        </is>
      </c>
      <c r="I1288" t="inlineStr">
        <is>
          <t>Early</t>
        </is>
      </c>
      <c r="J1288" t="inlineStr">
        <is>
          <t>Enterprise Tech</t>
        </is>
      </c>
      <c r="K1288" t="inlineStr">
        <is>
          <t>Delhi NCR</t>
        </is>
      </c>
      <c r="L1288" t="inlineStr">
        <is>
          <t>Enrission India Capital; Action Tesa Family Office; Syndicate; Nandan Growth Fund; Sumit Jalan; Amit Tyagi &amp; Nitin Sethi</t>
        </is>
      </c>
      <c r="M1288" t="inlineStr">
        <is>
          <t>Enrission India Capital; Mount Judi Ventures; Action Tesa Family Office; Bajaj Ventures; Nandan Growth Fund; Syndicate; Sumit Jalan; Amit Tyagi &amp; Nitin Sethi; Saurabh Deep Singla</t>
        </is>
      </c>
      <c r="N1288" t="inlineStr">
        <is>
          <t>entrackr | inc42</t>
        </is>
      </c>
      <c r="O1288" s="20" t="n">
        <v>2</v>
      </c>
      <c r="P1288" s="21" t="n">
        <v>0</v>
      </c>
      <c r="Q1288" t="inlineStr"/>
      <c r="R1288" s="22" t="inlineStr">
        <is>
          <t>https://entrackr.com/snippets/hexalog-bags-4-mn-in-seed-round-led-by-enrission-india-capital-10994708</t>
        </is>
      </c>
    </row>
    <row r="1289">
      <c r="A1289" t="inlineStr">
        <is>
          <t>R260113-liquidnitrogam</t>
        </is>
      </c>
      <c r="B1289" t="inlineStr">
        <is>
          <t>Liquidnitro Games</t>
        </is>
      </c>
      <c r="C1289" s="17" t="n">
        <v>46035</v>
      </c>
      <c r="D1289" s="18" t="n">
        <v>46023</v>
      </c>
      <c r="E1289" s="19" t="n">
        <v>19.1</v>
      </c>
      <c r="F1289" s="19" t="n">
        <v>172.34</v>
      </c>
      <c r="G1289" t="inlineStr">
        <is>
          <t>$19.1 million</t>
        </is>
      </c>
      <c r="H1289" t="inlineStr">
        <is>
          <t>Series A</t>
        </is>
      </c>
      <c r="I1289" t="inlineStr">
        <is>
          <t>Early</t>
        </is>
      </c>
      <c r="J1289" t="inlineStr">
        <is>
          <t>Media &amp; Entertainment</t>
        </is>
      </c>
      <c r="K1289" t="inlineStr">
        <is>
          <t>Hyderabad</t>
        </is>
      </c>
      <c r="L1289" t="inlineStr">
        <is>
          <t>Northpoint Capital</t>
        </is>
      </c>
      <c r="M1289" t="inlineStr">
        <is>
          <t>Northpoint Capital; Nexus Venture Partners; US; Canada; EU</t>
        </is>
      </c>
      <c r="N1289" t="inlineStr">
        <is>
          <t>entrackr | inc42 | et</t>
        </is>
      </c>
      <c r="O1289" s="20" t="n">
        <v>3</v>
      </c>
      <c r="P1289" s="21" t="n">
        <v>0</v>
      </c>
      <c r="Q1289" t="inlineStr"/>
      <c r="R1289" s="22" t="inlineStr">
        <is>
          <t>https://entrackr.com/news/liquidnitro-games-raises-191-mn-series-a-led-by-northpoint-capital-10994411</t>
        </is>
      </c>
    </row>
    <row r="1290">
      <c r="A1290" t="inlineStr">
        <is>
          <t>R260113-misochaintechn</t>
        </is>
      </c>
      <c r="B1290" t="inlineStr">
        <is>
          <t>Misochain Technologies</t>
        </is>
      </c>
      <c r="C1290" s="17" t="n">
        <v>46035</v>
      </c>
      <c r="D1290" s="18" t="n">
        <v>46023</v>
      </c>
      <c r="E1290" s="19" t="n">
        <v>1.995</v>
      </c>
      <c r="F1290" s="19" t="n">
        <v>18</v>
      </c>
      <c r="G1290" t="inlineStr">
        <is>
          <t>Rs 18 crore</t>
        </is>
      </c>
      <c r="H1290" t="inlineStr">
        <is>
          <t>Seed</t>
        </is>
      </c>
      <c r="I1290" t="inlineStr">
        <is>
          <t>Early</t>
        </is>
      </c>
      <c r="J1290" t="inlineStr">
        <is>
          <t>Advanced Hardware &amp; Technology</t>
        </is>
      </c>
      <c r="K1290" t="inlineStr">
        <is>
          <t>Bengaluru</t>
        </is>
      </c>
      <c r="L1290" t="inlineStr">
        <is>
          <t>Capital-A</t>
        </is>
      </c>
      <c r="M1290" t="inlineStr">
        <is>
          <t>Capital-A</t>
        </is>
      </c>
      <c r="N1290" t="inlineStr">
        <is>
          <t>entrackr | inc42 | et</t>
        </is>
      </c>
      <c r="O1290" s="20" t="n">
        <v>3</v>
      </c>
      <c r="P1290" s="21" t="n">
        <v>0.3</v>
      </c>
      <c r="Q1290" t="inlineStr"/>
      <c r="R1290" s="22" t="inlineStr">
        <is>
          <t>https://entrackr.com/snippets/misochain-technologies-raises-rs-18-cr-in-seed-round-led-by-capital-a-10994522</t>
        </is>
      </c>
    </row>
    <row r="1291">
      <c r="A1291" t="inlineStr">
        <is>
          <t>R260113-secretalchemis</t>
        </is>
      </c>
      <c r="B1291" t="inlineStr">
        <is>
          <t>Secret Alchemist</t>
        </is>
      </c>
      <c r="C1291" s="17" t="n">
        <v>46035</v>
      </c>
      <c r="D1291" s="18" t="n">
        <v>46023</v>
      </c>
      <c r="E1291" s="19" t="n">
        <v>3</v>
      </c>
      <c r="F1291" s="19" t="n">
        <v>27.07</v>
      </c>
      <c r="G1291" t="inlineStr">
        <is>
          <t>$3 million</t>
        </is>
      </c>
      <c r="H1291" t="inlineStr">
        <is>
          <t>Seed</t>
        </is>
      </c>
      <c r="I1291" t="inlineStr">
        <is>
          <t>Early</t>
        </is>
      </c>
      <c r="J1291" t="inlineStr">
        <is>
          <t>Ecommerce</t>
        </is>
      </c>
      <c r="K1291" t="inlineStr">
        <is>
          <t>Mumbai</t>
        </is>
      </c>
      <c r="L1291" t="inlineStr">
        <is>
          <t>Unilever Ventures</t>
        </is>
      </c>
      <c r="M1291" t="inlineStr">
        <is>
          <t>Unilever Ventures; DSG Consumer Partners; Samantha Ruth Prabhu</t>
        </is>
      </c>
      <c r="N1291" t="inlineStr">
        <is>
          <t>entrackr | inc42 | et</t>
        </is>
      </c>
      <c r="O1291" s="20" t="n">
        <v>3</v>
      </c>
      <c r="P1291" s="21" t="n">
        <v>0</v>
      </c>
      <c r="Q1291" t="inlineStr"/>
      <c r="R1291" s="22" t="inlineStr">
        <is>
          <t>https://entrackr.com/snippets/perfume-brand-secret-alchemist-raises-3-mn-led-by-unilever-ventures-10994870</t>
        </is>
      </c>
    </row>
    <row r="1292">
      <c r="A1292" t="inlineStr">
        <is>
          <t>R260113-sukino</t>
        </is>
      </c>
      <c r="B1292" t="inlineStr">
        <is>
          <t>Sukino</t>
        </is>
      </c>
      <c r="C1292" s="17" t="n">
        <v>46035</v>
      </c>
      <c r="D1292" s="18" t="n">
        <v>46023</v>
      </c>
      <c r="E1292" s="19" t="n">
        <v>31</v>
      </c>
      <c r="F1292" s="19" t="n">
        <v>279.71</v>
      </c>
      <c r="G1292" t="inlineStr">
        <is>
          <t>$31 million</t>
        </is>
      </c>
      <c r="H1292" t="inlineStr">
        <is>
          <t>Series B</t>
        </is>
      </c>
      <c r="I1292" t="inlineStr">
        <is>
          <t>Growth</t>
        </is>
      </c>
      <c r="J1292" t="inlineStr">
        <is>
          <t>Healthtech</t>
        </is>
      </c>
      <c r="K1292" t="inlineStr">
        <is>
          <t>Bengaluru</t>
        </is>
      </c>
      <c r="L1292" t="inlineStr">
        <is>
          <t>Bessemer Venture Partners</t>
        </is>
      </c>
      <c r="M1292" t="inlineStr">
        <is>
          <t>Bessemer Venture Partners; Rainmatter</t>
        </is>
      </c>
      <c r="N1292" t="inlineStr">
        <is>
          <t>entrackr | inc42 | et</t>
        </is>
      </c>
      <c r="O1292" s="20" t="n">
        <v>3</v>
      </c>
      <c r="P1292" s="21" t="n">
        <v>0</v>
      </c>
      <c r="Q1292" t="inlineStr"/>
      <c r="R1292" s="22" t="inlineStr">
        <is>
          <t>https://entrackr.com/snippets/healthcare-startup-sukino-raises-31-mn-in-series-b-led-by-bessemer-10993518</t>
        </is>
      </c>
    </row>
    <row r="1293">
      <c r="A1293" t="inlineStr">
        <is>
          <t>R260114-cloudsek</t>
        </is>
      </c>
      <c r="B1293" t="inlineStr">
        <is>
          <t>CloudSEK</t>
        </is>
      </c>
      <c r="C1293" s="17" t="n">
        <v>46036</v>
      </c>
      <c r="D1293" s="18" t="n">
        <v>46023</v>
      </c>
      <c r="E1293" s="19" t="n">
        <v>10</v>
      </c>
      <c r="F1293" s="19" t="n">
        <v>90.3</v>
      </c>
      <c r="G1293" t="inlineStr">
        <is>
          <t>$10 Mn</t>
        </is>
      </c>
      <c r="H1293" t="inlineStr">
        <is>
          <t>Series B</t>
        </is>
      </c>
      <c r="I1293" t="inlineStr">
        <is>
          <t>Growth</t>
        </is>
      </c>
      <c r="J1293" t="inlineStr">
        <is>
          <t>Enterprise Tech</t>
        </is>
      </c>
      <c r="K1293" t="inlineStr">
        <is>
          <t>Bengaluru</t>
        </is>
      </c>
      <c r="L1293" t="inlineStr">
        <is>
          <t>Connecticut Innovations</t>
        </is>
      </c>
      <c r="M1293" t="inlineStr">
        <is>
          <t>Connecticut Innovations</t>
        </is>
      </c>
      <c r="N1293" t="inlineStr">
        <is>
          <t>inc42</t>
        </is>
      </c>
      <c r="O1293" s="20" t="n">
        <v>1</v>
      </c>
      <c r="P1293" s="21" t="n">
        <v>0</v>
      </c>
      <c r="Q1293" t="inlineStr"/>
      <c r="R1293" s="22" t="inlineStr">
        <is>
          <t>https://inc42.com/buzz/from-pee-safe-to-etherealx-indian-startups-raised-269-mn-this-week/</t>
        </is>
      </c>
    </row>
    <row r="1294">
      <c r="A1294" t="inlineStr">
        <is>
          <t>R260114-handypanda</t>
        </is>
      </c>
      <c r="B1294" t="inlineStr">
        <is>
          <t>HandyPanda</t>
        </is>
      </c>
      <c r="C1294" s="17" t="n">
        <v>46036</v>
      </c>
      <c r="D1294" s="18" t="n">
        <v>46023</v>
      </c>
      <c r="E1294" s="19" t="n">
        <v>0.221</v>
      </c>
      <c r="F1294" s="19" t="n">
        <v>2</v>
      </c>
      <c r="G1294" t="inlineStr">
        <is>
          <t>Rs 2 crore</t>
        </is>
      </c>
      <c r="H1294" t="inlineStr">
        <is>
          <t>Seed</t>
        </is>
      </c>
      <c r="I1294" t="inlineStr">
        <is>
          <t>Early</t>
        </is>
      </c>
      <c r="J1294" t="inlineStr">
        <is>
          <t>Ecommerce</t>
        </is>
      </c>
      <c r="K1294" t="inlineStr">
        <is>
          <t>Unknown</t>
        </is>
      </c>
      <c r="L1294" t="inlineStr">
        <is>
          <t>AJVC</t>
        </is>
      </c>
      <c r="M1294" t="inlineStr">
        <is>
          <t>Sankalp Kathuria; AJVC</t>
        </is>
      </c>
      <c r="N1294" t="inlineStr">
        <is>
          <t>entrackr | inc42</t>
        </is>
      </c>
      <c r="O1294" s="20" t="n">
        <v>2</v>
      </c>
      <c r="P1294" s="21" t="n">
        <v>8.4</v>
      </c>
      <c r="Q1294" t="inlineStr">
        <is>
          <t>C07 C18</t>
        </is>
      </c>
      <c r="R1294" s="22" t="inlineStr">
        <is>
          <t>https://entrackr.com/snippets/construction-tech-startup-handypanda-raises-rs-2-cr-led-by-ajvc-10996918</t>
        </is>
      </c>
    </row>
    <row r="1295">
      <c r="A1295" t="inlineStr">
        <is>
          <t>R260114-peesafe</t>
        </is>
      </c>
      <c r="B1295" t="inlineStr">
        <is>
          <t>Pee Safe</t>
        </is>
      </c>
      <c r="C1295" s="17" t="n">
        <v>46036</v>
      </c>
      <c r="D1295" s="18" t="n">
        <v>46023</v>
      </c>
      <c r="E1295" s="19" t="n">
        <v>32</v>
      </c>
      <c r="F1295" s="19" t="n">
        <v>288.96</v>
      </c>
      <c r="G1295" t="inlineStr">
        <is>
          <t>$32 million</t>
        </is>
      </c>
      <c r="H1295" t="inlineStr">
        <is>
          <t>Series C</t>
        </is>
      </c>
      <c r="I1295" t="inlineStr">
        <is>
          <t>Growth</t>
        </is>
      </c>
      <c r="J1295" t="inlineStr">
        <is>
          <t>Ecommerce</t>
        </is>
      </c>
      <c r="K1295" t="inlineStr">
        <is>
          <t>Delhi NCR</t>
        </is>
      </c>
      <c r="L1295" t="inlineStr">
        <is>
          <t>OrbiMed</t>
        </is>
      </c>
      <c r="M1295" t="inlineStr">
        <is>
          <t>OrbiMed</t>
        </is>
      </c>
      <c r="N1295" t="inlineStr">
        <is>
          <t>entrackr | inc42 | et | vccircle</t>
        </is>
      </c>
      <c r="O1295" s="20" t="n">
        <v>4</v>
      </c>
      <c r="P1295" s="21" t="n">
        <v>0</v>
      </c>
      <c r="Q1295" t="inlineStr"/>
      <c r="R1295" s="22" t="inlineStr">
        <is>
          <t>https://entrackr.com/news/pee-safe-raises-32-mn-led-by-orbimed-10996704</t>
        </is>
      </c>
    </row>
    <row r="1296">
      <c r="A1296" t="inlineStr">
        <is>
          <t>R260114-risalabs</t>
        </is>
      </c>
      <c r="B1296" t="inlineStr">
        <is>
          <t>RISA Labs</t>
        </is>
      </c>
      <c r="C1296" s="17" t="n">
        <v>46036</v>
      </c>
      <c r="D1296" s="18" t="n">
        <v>46023</v>
      </c>
      <c r="E1296" s="19" t="n">
        <v>11.1</v>
      </c>
      <c r="F1296" s="19" t="n">
        <v>100.23</v>
      </c>
      <c r="G1296" t="inlineStr">
        <is>
          <t>$11.1 million</t>
        </is>
      </c>
      <c r="H1296" t="inlineStr">
        <is>
          <t>Series A</t>
        </is>
      </c>
      <c r="I1296" t="inlineStr">
        <is>
          <t>Early</t>
        </is>
      </c>
      <c r="J1296" t="inlineStr">
        <is>
          <t>Artificial Intelligence</t>
        </is>
      </c>
      <c r="K1296" t="inlineStr">
        <is>
          <t>Outside India</t>
        </is>
      </c>
      <c r="L1296" t="inlineStr">
        <is>
          <t>Cencora Ventures; Optum Ventures</t>
        </is>
      </c>
      <c r="M1296" t="inlineStr">
        <is>
          <t>Cencora Ventures; Optum Ventures; Oncology Ventures; John Simon; Z21 Ventures; Binny Bansal</t>
        </is>
      </c>
      <c r="N1296" t="inlineStr">
        <is>
          <t>entrackr | inc42 | et</t>
        </is>
      </c>
      <c r="O1296" s="20" t="n">
        <v>3</v>
      </c>
      <c r="P1296" s="21" t="n">
        <v>0</v>
      </c>
      <c r="Q1296" t="inlineStr"/>
      <c r="R1296" s="22" t="inlineStr">
        <is>
          <t>https://entrackr.com/snippets/binny-bansal-backed-risa-labs-raises-111-mn-in-funding-10997770</t>
        </is>
      </c>
    </row>
    <row r="1297">
      <c r="A1297" t="inlineStr">
        <is>
          <t>R260114-wintwealth</t>
        </is>
      </c>
      <c r="B1297" t="inlineStr">
        <is>
          <t>Wint Wealth</t>
        </is>
      </c>
      <c r="C1297" s="17" t="n">
        <v>46036</v>
      </c>
      <c r="D1297" s="18" t="n">
        <v>46023</v>
      </c>
      <c r="E1297" s="19" t="n">
        <v>27.685</v>
      </c>
      <c r="F1297" s="19" t="n">
        <v>250</v>
      </c>
      <c r="G1297" t="inlineStr">
        <is>
          <t>Rs 250 crore</t>
        </is>
      </c>
      <c r="H1297" t="inlineStr">
        <is>
          <t>Series B</t>
        </is>
      </c>
      <c r="I1297" t="inlineStr">
        <is>
          <t>Growth</t>
        </is>
      </c>
      <c r="J1297" t="inlineStr">
        <is>
          <t>Fintech</t>
        </is>
      </c>
      <c r="K1297" t="inlineStr">
        <is>
          <t>Bengaluru</t>
        </is>
      </c>
      <c r="L1297" t="inlineStr">
        <is>
          <t>Vertex Ventures SEA &amp; India; Vertex Ventures Southeast Asia &amp; India</t>
        </is>
      </c>
      <c r="M1297" t="inlineStr">
        <is>
          <t>Vertex Ventures SEA &amp; India; 3one4 Capital; Eight Roads Ventures; Arkam Ventures; Rainmatter; Vertex Ventures Southeast Asia &amp; India</t>
        </is>
      </c>
      <c r="N1297" t="inlineStr">
        <is>
          <t>entrackr | inc42 | et | vccircle</t>
        </is>
      </c>
      <c r="O1297" s="20" t="n">
        <v>4</v>
      </c>
      <c r="P1297" s="21" t="n">
        <v>0.1</v>
      </c>
      <c r="Q1297" t="inlineStr">
        <is>
          <t>C17</t>
        </is>
      </c>
      <c r="R1297" s="22" t="inlineStr">
        <is>
          <t>https://entrackr.com/news/wint-wealth-raises-rs-250-cr-in-series-b-round-10996768</t>
        </is>
      </c>
    </row>
    <row r="1298">
      <c r="A1298" t="inlineStr">
        <is>
          <t>R260115-aulespace</t>
        </is>
      </c>
      <c r="B1298" t="inlineStr">
        <is>
          <t>Aule Space</t>
        </is>
      </c>
      <c r="C1298" s="17" t="n">
        <v>46037</v>
      </c>
      <c r="D1298" s="18" t="n">
        <v>46023</v>
      </c>
      <c r="E1298" s="19" t="n">
        <v>2</v>
      </c>
      <c r="F1298" s="19" t="n">
        <v>18.06</v>
      </c>
      <c r="G1298" t="inlineStr">
        <is>
          <t>$2 million</t>
        </is>
      </c>
      <c r="H1298" t="inlineStr">
        <is>
          <t>Pre-Seed</t>
        </is>
      </c>
      <c r="I1298" t="inlineStr">
        <is>
          <t>Early</t>
        </is>
      </c>
      <c r="J1298" t="inlineStr">
        <is>
          <t>Advanced Hardware &amp; Technology</t>
        </is>
      </c>
      <c r="K1298" t="inlineStr">
        <is>
          <t>Bengaluru</t>
        </is>
      </c>
      <c r="L1298" t="inlineStr"/>
      <c r="M1298" t="inlineStr">
        <is>
          <t>Arvind Lakshmikumar; Eash Sundaram; Transpose Platform; Tonbo Imaging</t>
        </is>
      </c>
      <c r="N1298" t="inlineStr">
        <is>
          <t>entrackr | inc42 | et</t>
        </is>
      </c>
      <c r="O1298" s="20" t="n">
        <v>3</v>
      </c>
      <c r="P1298" s="21" t="n">
        <v>0</v>
      </c>
      <c r="Q1298" t="inlineStr"/>
      <c r="R1298" s="22" t="inlineStr">
        <is>
          <t>https://entrackr.com/snippets/deep-tech-startup-aule-space-raises-2-mn-in-pre-seed-round-led-by-pi-ventures-11000099</t>
        </is>
      </c>
    </row>
    <row r="1299">
      <c r="A1299" t="inlineStr">
        <is>
          <t>R260115-emversity</t>
        </is>
      </c>
      <c r="B1299" t="inlineStr">
        <is>
          <t>Emversity</t>
        </is>
      </c>
      <c r="C1299" s="17" t="n">
        <v>46037</v>
      </c>
      <c r="D1299" s="18" t="n">
        <v>46023</v>
      </c>
      <c r="E1299" s="19" t="n">
        <v>30</v>
      </c>
      <c r="F1299" s="19" t="n">
        <v>270.9</v>
      </c>
      <c r="G1299" t="inlineStr">
        <is>
          <t>$30 million</t>
        </is>
      </c>
      <c r="H1299" t="inlineStr">
        <is>
          <t>Series A</t>
        </is>
      </c>
      <c r="I1299" t="inlineStr">
        <is>
          <t>Early</t>
        </is>
      </c>
      <c r="J1299" t="inlineStr">
        <is>
          <t>Edtech</t>
        </is>
      </c>
      <c r="K1299" t="inlineStr">
        <is>
          <t>Bengaluru</t>
        </is>
      </c>
      <c r="L1299" t="inlineStr">
        <is>
          <t>Premji Invest</t>
        </is>
      </c>
      <c r="M1299" t="inlineStr">
        <is>
          <t>Premji Invest; Lightspeed; Z47</t>
        </is>
      </c>
      <c r="N1299" t="inlineStr">
        <is>
          <t>entrackr | inc42 | et</t>
        </is>
      </c>
      <c r="O1299" s="20" t="n">
        <v>3</v>
      </c>
      <c r="P1299" s="21" t="n">
        <v>0</v>
      </c>
      <c r="Q1299" t="inlineStr"/>
      <c r="R1299" s="22" t="inlineStr">
        <is>
          <t>https://entrackr.com/news/emversity-raises-30-mn-in-series-a-led-by-premji-invest-10999643</t>
        </is>
      </c>
    </row>
    <row r="1300">
      <c r="A1300" t="inlineStr">
        <is>
          <t>R260115-etherealx</t>
        </is>
      </c>
      <c r="B1300" t="inlineStr">
        <is>
          <t>EtherealX</t>
        </is>
      </c>
      <c r="C1300" s="17" t="n">
        <v>46037</v>
      </c>
      <c r="D1300" s="18" t="n">
        <v>46023</v>
      </c>
      <c r="E1300" s="19" t="n">
        <v>20.5</v>
      </c>
      <c r="F1300" s="19" t="n">
        <v>185.11</v>
      </c>
      <c r="G1300" t="inlineStr">
        <is>
          <t>$20.5 Mn</t>
        </is>
      </c>
      <c r="H1300" t="inlineStr">
        <is>
          <t>Series A</t>
        </is>
      </c>
      <c r="I1300" t="inlineStr">
        <is>
          <t>Early</t>
        </is>
      </c>
      <c r="J1300" t="inlineStr">
        <is>
          <t>Advanced Hardware &amp; Technology</t>
        </is>
      </c>
      <c r="K1300" t="inlineStr">
        <is>
          <t>Unknown</t>
        </is>
      </c>
      <c r="L1300" t="inlineStr">
        <is>
          <t>TDK Ventures; BIG Capital</t>
        </is>
      </c>
      <c r="M1300" t="inlineStr">
        <is>
          <t>TDK Ventures; BIG Capital; Accel; Prosus; YourNest Venture Capital; BlueHill Capital; Campus Fund; Riceberg Ventures</t>
        </is>
      </c>
      <c r="N1300" t="inlineStr">
        <is>
          <t>inc42 | et</t>
        </is>
      </c>
      <c r="O1300" s="20" t="n">
        <v>2</v>
      </c>
      <c r="P1300" s="21" t="n">
        <v>0</v>
      </c>
      <c r="Q1300" t="inlineStr">
        <is>
          <t>C07</t>
        </is>
      </c>
      <c r="R1300" s="22" t="inlineStr">
        <is>
          <t>https://inc42.com/buzz/from-pee-safe-to-etherealx-indian-startups-raised-269-mn-this-week/</t>
        </is>
      </c>
    </row>
    <row r="1301">
      <c r="A1301" t="inlineStr">
        <is>
          <t>R260115-growthpal</t>
        </is>
      </c>
      <c r="B1301" t="inlineStr">
        <is>
          <t>GrowthPal</t>
        </is>
      </c>
      <c r="C1301" s="17" t="n">
        <v>46037</v>
      </c>
      <c r="D1301" s="18" t="n">
        <v>46023</v>
      </c>
      <c r="E1301" s="19" t="n">
        <v>2.6</v>
      </c>
      <c r="F1301" s="19" t="n">
        <v>23.48</v>
      </c>
      <c r="G1301" t="inlineStr">
        <is>
          <t>$2.6 million</t>
        </is>
      </c>
      <c r="H1301" t="inlineStr">
        <is>
          <t>Undisclosed</t>
        </is>
      </c>
      <c r="I1301" t="inlineStr">
        <is>
          <t>Undisclosed</t>
        </is>
      </c>
      <c r="J1301" t="inlineStr">
        <is>
          <t>Fintech</t>
        </is>
      </c>
      <c r="K1301" t="inlineStr">
        <is>
          <t>Unknown</t>
        </is>
      </c>
      <c r="L1301" t="inlineStr">
        <is>
          <t>Ideaspring Capital</t>
        </is>
      </c>
      <c r="M1301" t="inlineStr">
        <is>
          <t>Ideaspring Capital</t>
        </is>
      </c>
      <c r="N1301" t="inlineStr">
        <is>
          <t>entrackr | inc42</t>
        </is>
      </c>
      <c r="O1301" s="20" t="n">
        <v>2</v>
      </c>
      <c r="P1301" s="21" t="n">
        <v>0</v>
      </c>
      <c r="Q1301" t="inlineStr">
        <is>
          <t>C04 C07</t>
        </is>
      </c>
      <c r="R1301" s="22" t="inlineStr">
        <is>
          <t>https://entrackr.com/snippets/growthpal-raises-26-mn-led-by-ideaspring-capital-11000928</t>
        </is>
      </c>
    </row>
    <row r="1302">
      <c r="A1302" t="inlineStr">
        <is>
          <t>R260115-renewcred</t>
        </is>
      </c>
      <c r="B1302" t="inlineStr">
        <is>
          <t>RenewCred</t>
        </is>
      </c>
      <c r="C1302" s="17" t="n">
        <v>46037</v>
      </c>
      <c r="D1302" s="18" t="n">
        <v>46023</v>
      </c>
      <c r="E1302" s="19" t="n">
        <v>0.471</v>
      </c>
      <c r="F1302" s="19" t="n">
        <v>4.25</v>
      </c>
      <c r="G1302" t="inlineStr">
        <is>
          <t>Rs 4.25 crore</t>
        </is>
      </c>
      <c r="H1302" t="inlineStr">
        <is>
          <t>Seed</t>
        </is>
      </c>
      <c r="I1302" t="inlineStr">
        <is>
          <t>Early</t>
        </is>
      </c>
      <c r="J1302" t="inlineStr">
        <is>
          <t>Cleantech</t>
        </is>
      </c>
      <c r="K1302" t="inlineStr">
        <is>
          <t>Bengaluru</t>
        </is>
      </c>
      <c r="L1302" t="inlineStr">
        <is>
          <t>Campus Angels Network</t>
        </is>
      </c>
      <c r="M1302" t="inlineStr">
        <is>
          <t>Campus Angels Network; Kairos Early Opportunity Fund; VentureStudio Ahmedabad University; Ideashacks Investor Network; ACT Capital Foundation; IIT Kanpur</t>
        </is>
      </c>
      <c r="N1302" t="inlineStr">
        <is>
          <t>entrackr | inc42</t>
        </is>
      </c>
      <c r="O1302" s="20" t="n">
        <v>2</v>
      </c>
      <c r="P1302" s="21" t="n">
        <v>8.4</v>
      </c>
      <c r="Q1302" t="inlineStr"/>
      <c r="R1302" s="22" t="inlineStr">
        <is>
          <t>https://entrackr.com/snippets/climate-tech-startup-renewcred-raises-425-cr-in-seed-round-11000772</t>
        </is>
      </c>
    </row>
    <row r="1303">
      <c r="A1303" t="inlineStr">
        <is>
          <t>R260115-truva</t>
        </is>
      </c>
      <c r="B1303" t="inlineStr">
        <is>
          <t>Truva</t>
        </is>
      </c>
      <c r="C1303" s="17" t="n">
        <v>46037</v>
      </c>
      <c r="D1303" s="18" t="n">
        <v>46023</v>
      </c>
      <c r="E1303" s="19" t="n">
        <v>9</v>
      </c>
      <c r="F1303" s="19" t="n">
        <v>81.27</v>
      </c>
      <c r="G1303" t="inlineStr">
        <is>
          <t>$9 million</t>
        </is>
      </c>
      <c r="H1303" t="inlineStr">
        <is>
          <t>Undisclosed</t>
        </is>
      </c>
      <c r="I1303" t="inlineStr">
        <is>
          <t>Undisclosed</t>
        </is>
      </c>
      <c r="J1303" t="inlineStr">
        <is>
          <t>Real Estate Tech</t>
        </is>
      </c>
      <c r="K1303" t="inlineStr">
        <is>
          <t>Mumbai</t>
        </is>
      </c>
      <c r="L1303" t="inlineStr">
        <is>
          <t>Orios Venture Partners</t>
        </is>
      </c>
      <c r="M1303" t="inlineStr">
        <is>
          <t>Stellaris Venture Partners; Stride Ventures; Orios Venture Partners; Ramakant Sharma; Mukesh Bansal; Aakrit Vaish; Miten Sampat; Natasha Malpani Oswal; Ram Raheja</t>
        </is>
      </c>
      <c r="N1303" t="inlineStr">
        <is>
          <t>entrackr | inc42 | et</t>
        </is>
      </c>
      <c r="O1303" s="20" t="n">
        <v>3</v>
      </c>
      <c r="P1303" s="21" t="n">
        <v>0</v>
      </c>
      <c r="Q1303" t="inlineStr">
        <is>
          <t>C04 C09</t>
        </is>
      </c>
      <c r="R1303" s="22" t="inlineStr">
        <is>
          <t>https://entrackr.com/snippets/proptech-startup-truva-raises-9-mn-co-led-by-stellaris-and-orios-11000314</t>
        </is>
      </c>
    </row>
    <row r="1304">
      <c r="A1304" t="inlineStr">
        <is>
          <t>R260116-etherealexplor</t>
        </is>
      </c>
      <c r="B1304" t="inlineStr">
        <is>
          <t>Ethereal Exploration Guild</t>
        </is>
      </c>
      <c r="C1304" s="17" t="n">
        <v>46038</v>
      </c>
      <c r="D1304" s="18" t="n">
        <v>46023</v>
      </c>
      <c r="E1304" s="19" t="n">
        <v>20.5</v>
      </c>
      <c r="F1304" s="19" t="n">
        <v>186</v>
      </c>
      <c r="G1304" t="inlineStr">
        <is>
          <t>$20.5 million</t>
        </is>
      </c>
      <c r="H1304" t="inlineStr">
        <is>
          <t>Series A</t>
        </is>
      </c>
      <c r="I1304" t="inlineStr">
        <is>
          <t>Early</t>
        </is>
      </c>
      <c r="J1304" t="inlineStr">
        <is>
          <t>Advanced Hardware &amp; Technology</t>
        </is>
      </c>
      <c r="K1304" t="inlineStr">
        <is>
          <t>Bengaluru</t>
        </is>
      </c>
      <c r="L1304" t="inlineStr">
        <is>
          <t>TDK Ventures; BIG Capital</t>
        </is>
      </c>
      <c r="M1304" t="inlineStr">
        <is>
          <t>TDK Ventures; BIG Capital; Accel; Prosus; YourNest Venture Capital; BlueHill Capital; Campus Fund; Riceberg Ventures; Golden Sparrow Ventures; Karan Bhagat; Yatin Shah of IIFL Wealth; Kiran Shetty; Akhilesh Agarwal</t>
        </is>
      </c>
      <c r="N1304" t="inlineStr">
        <is>
          <t>entrackr</t>
        </is>
      </c>
      <c r="O1304" s="20" t="n">
        <v>1</v>
      </c>
      <c r="P1304" s="21" t="n">
        <v>0</v>
      </c>
      <c r="Q1304" t="inlineStr"/>
      <c r="R1304" s="22" t="inlineStr">
        <is>
          <t>https://entrackr.com/snippets/spacetech-startup-ethereal-exploration-guild-raises-205-mn-in-series-a-round-11003897</t>
        </is>
      </c>
    </row>
    <row r="1305">
      <c r="A1305" t="inlineStr">
        <is>
          <t>R260116-gullylabs</t>
        </is>
      </c>
      <c r="B1305" t="inlineStr">
        <is>
          <t>Gully Labs</t>
        </is>
      </c>
      <c r="C1305" s="17" t="n">
        <v>46038</v>
      </c>
      <c r="D1305" s="18" t="n">
        <v>46023</v>
      </c>
      <c r="E1305" s="19" t="n">
        <v>2.921</v>
      </c>
      <c r="F1305" s="19" t="n">
        <v>26.5</v>
      </c>
      <c r="G1305" t="inlineStr">
        <is>
          <t>Rs 26.5 crore</t>
        </is>
      </c>
      <c r="H1305" t="inlineStr">
        <is>
          <t>Series A</t>
        </is>
      </c>
      <c r="I1305" t="inlineStr">
        <is>
          <t>Early</t>
        </is>
      </c>
      <c r="J1305" t="inlineStr">
        <is>
          <t>Ecommerce</t>
        </is>
      </c>
      <c r="K1305" t="inlineStr">
        <is>
          <t>Unknown</t>
        </is>
      </c>
      <c r="L1305" t="inlineStr">
        <is>
          <t>Saama Capital</t>
        </is>
      </c>
      <c r="M1305" t="inlineStr">
        <is>
          <t>Saama Capital; Zeropearl VC; Sangeet Agrawa; Viraj Bahl; Sanjay Kapoor; Radhika Gupta; Roman Saini; Gaurav Munjal; Teppan</t>
        </is>
      </c>
      <c r="N1305" t="inlineStr">
        <is>
          <t>entrackr | inc42</t>
        </is>
      </c>
      <c r="O1305" s="20" t="n">
        <v>2</v>
      </c>
      <c r="P1305" s="21" t="n">
        <v>13</v>
      </c>
      <c r="Q1305" t="inlineStr">
        <is>
          <t>C07 C15</t>
        </is>
      </c>
      <c r="R1305" s="22" t="inlineStr">
        <is>
          <t>https://entrackr.com/exclusive/exclusive-sneaker-brand-gully-labs-kicks-off-series-a-round-11003291</t>
        </is>
      </c>
    </row>
    <row r="1306">
      <c r="A1306" t="inlineStr">
        <is>
          <t>R260119-33andbrew</t>
        </is>
      </c>
      <c r="B1306" t="inlineStr">
        <is>
          <t>33&amp;Brew</t>
        </is>
      </c>
      <c r="C1306" s="17" t="n">
        <v>46041</v>
      </c>
      <c r="D1306" s="18" t="n">
        <v>46023</v>
      </c>
      <c r="E1306" s="19" t="n">
        <v>2.201</v>
      </c>
      <c r="F1306" s="19" t="n">
        <v>20</v>
      </c>
      <c r="G1306" t="inlineStr">
        <is>
          <t>Rs 20 crore</t>
        </is>
      </c>
      <c r="H1306" t="inlineStr">
        <is>
          <t>Series A</t>
        </is>
      </c>
      <c r="I1306" t="inlineStr">
        <is>
          <t>Early</t>
        </is>
      </c>
      <c r="J1306" t="inlineStr">
        <is>
          <t>Unclassified</t>
        </is>
      </c>
      <c r="K1306" t="inlineStr">
        <is>
          <t>Unknown</t>
        </is>
      </c>
      <c r="L1306" t="inlineStr">
        <is>
          <t>Optimistic Capital</t>
        </is>
      </c>
      <c r="M1306" t="inlineStr">
        <is>
          <t>Optimistic Capital</t>
        </is>
      </c>
      <c r="N1306" t="inlineStr">
        <is>
          <t>entrackr</t>
        </is>
      </c>
      <c r="O1306" s="20" t="n">
        <v>1</v>
      </c>
      <c r="P1306" s="21" t="n">
        <v>0</v>
      </c>
      <c r="Q1306" t="inlineStr">
        <is>
          <t>C06 C07</t>
        </is>
      </c>
      <c r="R1306" s="22" t="inlineStr">
        <is>
          <t>https://entrackr.com/snippets/33brew-raises-rs-20-cr-in-series-a-round-led-by-optimistic-capital-11011940</t>
        </is>
      </c>
    </row>
    <row r="1307">
      <c r="A1307" t="inlineStr">
        <is>
          <t>R260119-assetplus</t>
        </is>
      </c>
      <c r="B1307" t="inlineStr">
        <is>
          <t>AssetPlus</t>
        </is>
      </c>
      <c r="C1307" s="17" t="n">
        <v>46041</v>
      </c>
      <c r="D1307" s="18" t="n">
        <v>46023</v>
      </c>
      <c r="E1307" s="19" t="n">
        <v>19.256</v>
      </c>
      <c r="F1307" s="19" t="n">
        <v>175</v>
      </c>
      <c r="G1307" t="inlineStr">
        <is>
          <t>Rs 175 crore</t>
        </is>
      </c>
      <c r="H1307" t="inlineStr">
        <is>
          <t>Undisclosed</t>
        </is>
      </c>
      <c r="I1307" t="inlineStr">
        <is>
          <t>Undisclosed</t>
        </is>
      </c>
      <c r="J1307" t="inlineStr">
        <is>
          <t>Fintech</t>
        </is>
      </c>
      <c r="K1307" t="inlineStr">
        <is>
          <t>Chennai</t>
        </is>
      </c>
      <c r="L1307" t="inlineStr">
        <is>
          <t>Nexus Venture Partners</t>
        </is>
      </c>
      <c r="M1307" t="inlineStr">
        <is>
          <t>Nexus Venture Partners; Eight Roads Ventures; Rainmatter Fund; Nithin Kamath</t>
        </is>
      </c>
      <c r="N1307" t="inlineStr">
        <is>
          <t>entrackr | inc42 | et | vccircle</t>
        </is>
      </c>
      <c r="O1307" s="20" t="n">
        <v>4</v>
      </c>
      <c r="P1307" s="21" t="n">
        <v>10.5</v>
      </c>
      <c r="Q1307" t="inlineStr">
        <is>
          <t>C04 C15</t>
        </is>
      </c>
      <c r="R1307" s="22" t="inlineStr">
        <is>
          <t>https://entrackr.com/news/wealth-tech-startup-assetplus-raises-rs-175-cr-led-by-nexus-venture-partners-11011224</t>
        </is>
      </c>
    </row>
    <row r="1308">
      <c r="A1308" t="inlineStr">
        <is>
          <t>R260119-culture</t>
        </is>
      </c>
      <c r="B1308" t="inlineStr">
        <is>
          <t>Culture</t>
        </is>
      </c>
      <c r="C1308" s="17" t="n">
        <v>46041</v>
      </c>
      <c r="D1308" s="18" t="n">
        <v>46023</v>
      </c>
      <c r="E1308" s="19" t="n">
        <v>0.22</v>
      </c>
      <c r="F1308" s="19" t="n">
        <v>2</v>
      </c>
      <c r="G1308" t="inlineStr">
        <is>
          <t>Rs 2 crore</t>
        </is>
      </c>
      <c r="H1308" t="inlineStr">
        <is>
          <t>Seed</t>
        </is>
      </c>
      <c r="I1308" t="inlineStr">
        <is>
          <t>Early</t>
        </is>
      </c>
      <c r="J1308" t="inlineStr">
        <is>
          <t>Media &amp; Entertainment</t>
        </is>
      </c>
      <c r="K1308" t="inlineStr">
        <is>
          <t>Hyderabad</t>
        </is>
      </c>
      <c r="L1308" t="inlineStr">
        <is>
          <t>Acuvest Infra</t>
        </is>
      </c>
      <c r="M1308" t="inlineStr">
        <is>
          <t>Acuvest Infra</t>
        </is>
      </c>
      <c r="N1308" t="inlineStr">
        <is>
          <t>entrackr | inc42</t>
        </is>
      </c>
      <c r="O1308" s="20" t="n">
        <v>2</v>
      </c>
      <c r="P1308" s="21" t="n">
        <v>0.9</v>
      </c>
      <c r="Q1308" t="inlineStr"/>
      <c r="R1308" s="22" t="inlineStr">
        <is>
          <t>https://entrackr.com/snippets/social-networking-platform-culture-raises-seed-round-led-by-acuvest-infra-11012225</t>
        </is>
      </c>
    </row>
    <row r="1309">
      <c r="A1309" t="inlineStr">
        <is>
          <t>R260119-namdevfinvest</t>
        </is>
      </c>
      <c r="B1309" t="inlineStr">
        <is>
          <t>Namdev Finvest</t>
        </is>
      </c>
      <c r="C1309" s="17" t="n">
        <v>46041</v>
      </c>
      <c r="D1309" s="18" t="n">
        <v>46023</v>
      </c>
      <c r="E1309" s="19" t="n">
        <v>37</v>
      </c>
      <c r="F1309" s="19" t="n">
        <v>336.26</v>
      </c>
      <c r="G1309" t="inlineStr">
        <is>
          <t>$37 million</t>
        </is>
      </c>
      <c r="H1309" t="inlineStr">
        <is>
          <t>Debt</t>
        </is>
      </c>
      <c r="I1309" t="inlineStr">
        <is>
          <t>Debt</t>
        </is>
      </c>
      <c r="J1309" t="inlineStr">
        <is>
          <t>Fintech</t>
        </is>
      </c>
      <c r="K1309" t="inlineStr">
        <is>
          <t>Jaipur</t>
        </is>
      </c>
      <c r="L1309" t="inlineStr"/>
      <c r="M1309" t="inlineStr">
        <is>
          <t>FMO; IIX; Franklin Templeton AIF India; Symbiotics; Dutch Entrepreneurial Development Bank; Women’s Livelihood Bond 7</t>
        </is>
      </c>
      <c r="N1309" t="inlineStr">
        <is>
          <t>entrackr | vccircle</t>
        </is>
      </c>
      <c r="O1309" s="20" t="n">
        <v>2</v>
      </c>
      <c r="P1309" s="21" t="n">
        <v>0</v>
      </c>
      <c r="Q1309" t="inlineStr"/>
      <c r="R1309" s="22" t="inlineStr">
        <is>
          <t>https://entrackr.com/news/nbfc-namdev-finvest-raises-37-mn-from-fmo-iix-others-11011476</t>
        </is>
      </c>
    </row>
    <row r="1310">
      <c r="A1310" t="inlineStr">
        <is>
          <t>R260119-salty</t>
        </is>
      </c>
      <c r="B1310" t="inlineStr">
        <is>
          <t>Salty</t>
        </is>
      </c>
      <c r="C1310" s="17" t="n">
        <v>46041</v>
      </c>
      <c r="D1310" s="18" t="n">
        <v>46023</v>
      </c>
      <c r="E1310" s="19" t="n">
        <v>3.312</v>
      </c>
      <c r="F1310" s="19" t="n">
        <v>30.1</v>
      </c>
      <c r="G1310" t="inlineStr">
        <is>
          <t>Rs 30.1 crore</t>
        </is>
      </c>
      <c r="H1310" t="inlineStr">
        <is>
          <t>Undisclosed</t>
        </is>
      </c>
      <c r="I1310" t="inlineStr">
        <is>
          <t>Undisclosed</t>
        </is>
      </c>
      <c r="J1310" t="inlineStr">
        <is>
          <t>Ecommerce</t>
        </is>
      </c>
      <c r="K1310" t="inlineStr">
        <is>
          <t>Unknown</t>
        </is>
      </c>
      <c r="L1310" t="inlineStr">
        <is>
          <t>MG Investment</t>
        </is>
      </c>
      <c r="M1310" t="inlineStr">
        <is>
          <t>MG Investment; Anicut Capital; All In Capital; JK Group</t>
        </is>
      </c>
      <c r="N1310" t="inlineStr">
        <is>
          <t>entrackr | inc42 | et</t>
        </is>
      </c>
      <c r="O1310" s="20" t="n">
        <v>3</v>
      </c>
      <c r="P1310" s="21" t="n">
        <v>0.4</v>
      </c>
      <c r="Q1310" t="inlineStr">
        <is>
          <t>C04 C07</t>
        </is>
      </c>
      <c r="R1310" s="22" t="inlineStr">
        <is>
          <t>https://entrackr.com/snippets/d2c-accessories-brand-salty-raises-rs-301-cr-led-by-mg-investment-11011455</t>
        </is>
      </c>
    </row>
    <row r="1311">
      <c r="A1311" t="inlineStr">
        <is>
          <t>R260120-emergent</t>
        </is>
      </c>
      <c r="B1311" t="inlineStr">
        <is>
          <t>Emergent</t>
        </is>
      </c>
      <c r="C1311" s="17" t="n">
        <v>46042</v>
      </c>
      <c r="D1311" s="18" t="n">
        <v>46023</v>
      </c>
      <c r="E1311" s="19" t="n">
        <v>70</v>
      </c>
      <c r="F1311" s="19" t="n">
        <v>636.72</v>
      </c>
      <c r="G1311" t="inlineStr">
        <is>
          <t>$70 million</t>
        </is>
      </c>
      <c r="H1311" t="inlineStr">
        <is>
          <t>Series B</t>
        </is>
      </c>
      <c r="I1311" t="inlineStr">
        <is>
          <t>Growth</t>
        </is>
      </c>
      <c r="J1311" t="inlineStr">
        <is>
          <t>Artificial Intelligence</t>
        </is>
      </c>
      <c r="K1311" t="inlineStr">
        <is>
          <t>Bengaluru</t>
        </is>
      </c>
      <c r="L1311" t="inlineStr">
        <is>
          <t>Khosla Ventures; SoftBank</t>
        </is>
      </c>
      <c r="M1311" t="inlineStr">
        <is>
          <t>Khosla Ventures; SoftBank; Prosus; Lightspeed; Together Fund; Y Combinator</t>
        </is>
      </c>
      <c r="N1311" t="inlineStr">
        <is>
          <t>entrackr | inc42 | et | vccircle</t>
        </is>
      </c>
      <c r="O1311" s="20" t="n">
        <v>4</v>
      </c>
      <c r="P1311" s="21" t="n">
        <v>0</v>
      </c>
      <c r="Q1311" t="inlineStr">
        <is>
          <t>C09</t>
        </is>
      </c>
      <c r="R1311" s="22" t="inlineStr">
        <is>
          <t>https://entrackr.com/news/vibe-coding-startup-emergent-raises-70-mn-led-by-khosla-ventures-and-softbank-11015908</t>
        </is>
      </c>
    </row>
    <row r="1312">
      <c r="A1312" t="inlineStr">
        <is>
          <t>R260120-fireai</t>
        </is>
      </c>
      <c r="B1312" t="inlineStr">
        <is>
          <t>FireAI</t>
        </is>
      </c>
      <c r="C1312" s="17" t="n">
        <v>46042</v>
      </c>
      <c r="D1312" s="18" t="n">
        <v>46023</v>
      </c>
      <c r="E1312" s="19" t="n">
        <v>0.675</v>
      </c>
      <c r="F1312" s="19" t="n">
        <v>6.14</v>
      </c>
      <c r="G1312" t="inlineStr">
        <is>
          <t>$675K</t>
        </is>
      </c>
      <c r="H1312" t="inlineStr">
        <is>
          <t>Seed</t>
        </is>
      </c>
      <c r="I1312" t="inlineStr">
        <is>
          <t>Early</t>
        </is>
      </c>
      <c r="J1312" t="inlineStr">
        <is>
          <t>Artificial Intelligence</t>
        </is>
      </c>
      <c r="K1312" t="inlineStr">
        <is>
          <t>Mumbai</t>
        </is>
      </c>
      <c r="L1312" t="inlineStr"/>
      <c r="M1312" t="inlineStr">
        <is>
          <t>Inflection Point Ventures; Venture Catalyst; SucSEED Indovation Fund; IPV; VCats</t>
        </is>
      </c>
      <c r="N1312" t="inlineStr">
        <is>
          <t>entrackr | inc42</t>
        </is>
      </c>
      <c r="O1312" s="20" t="n">
        <v>2</v>
      </c>
      <c r="P1312" s="21" t="n">
        <v>0</v>
      </c>
      <c r="Q1312" t="inlineStr">
        <is>
          <t>C18</t>
        </is>
      </c>
      <c r="R1312" s="22" t="inlineStr">
        <is>
          <t>https://entrackr.com/snippets/fireai-raises-early-stage-funding-from-ipv-vcats-and-sucseed-indovation-11015328</t>
        </is>
      </c>
    </row>
    <row r="1313">
      <c r="A1313" t="inlineStr">
        <is>
          <t>R260120-forreal</t>
        </is>
      </c>
      <c r="B1313" t="inlineStr">
        <is>
          <t>For Real</t>
        </is>
      </c>
      <c r="C1313" s="17" t="n">
        <v>46042</v>
      </c>
      <c r="D1313" s="18" t="n">
        <v>46023</v>
      </c>
      <c r="E1313" s="19" t="n">
        <v>0.352</v>
      </c>
      <c r="F1313" s="19" t="n">
        <v>3.2</v>
      </c>
      <c r="G1313" t="inlineStr">
        <is>
          <t>Rs 3.2 crore</t>
        </is>
      </c>
      <c r="H1313" t="inlineStr">
        <is>
          <t>Pre-Seed</t>
        </is>
      </c>
      <c r="I1313" t="inlineStr">
        <is>
          <t>Early</t>
        </is>
      </c>
      <c r="J1313" t="inlineStr">
        <is>
          <t>Ecommerce</t>
        </is>
      </c>
      <c r="K1313" t="inlineStr">
        <is>
          <t>Delhi NCR</t>
        </is>
      </c>
      <c r="L1313" t="inlineStr">
        <is>
          <t>Titan Capital</t>
        </is>
      </c>
      <c r="M1313" t="inlineStr">
        <is>
          <t>Titan Capital</t>
        </is>
      </c>
      <c r="N1313" t="inlineStr">
        <is>
          <t>entrackr | inc42</t>
        </is>
      </c>
      <c r="O1313" s="20" t="n">
        <v>2</v>
      </c>
      <c r="P1313" s="21" t="n">
        <v>0.8</v>
      </c>
      <c r="Q1313" t="inlineStr"/>
      <c r="R1313" s="22" t="inlineStr">
        <is>
          <t>https://entrackr.com/snippets/factory-outlet-marketplace-for-real-raises-pre-seed-round-from-titan-capital-11012694</t>
        </is>
      </c>
    </row>
    <row r="1314">
      <c r="A1314" t="inlineStr">
        <is>
          <t>R260120-intellend</t>
        </is>
      </c>
      <c r="B1314" t="inlineStr">
        <is>
          <t>Intellend</t>
        </is>
      </c>
      <c r="C1314" s="17" t="n">
        <v>46042</v>
      </c>
      <c r="D1314" s="18" t="n">
        <v>46023</v>
      </c>
      <c r="E1314" s="19" t="n">
        <v>1.2</v>
      </c>
      <c r="F1314" s="19" t="n">
        <v>10.92</v>
      </c>
      <c r="G1314" t="inlineStr">
        <is>
          <t>$1.2 million</t>
        </is>
      </c>
      <c r="H1314" t="inlineStr">
        <is>
          <t>Seed</t>
        </is>
      </c>
      <c r="I1314" t="inlineStr">
        <is>
          <t>Early</t>
        </is>
      </c>
      <c r="J1314" t="inlineStr">
        <is>
          <t>Fintech</t>
        </is>
      </c>
      <c r="K1314" t="inlineStr">
        <is>
          <t>Mumbai</t>
        </is>
      </c>
      <c r="L1314" t="inlineStr">
        <is>
          <t>Incubate Fund Asia</t>
        </is>
      </c>
      <c r="M1314" t="inlineStr">
        <is>
          <t>Incubate Fund Asia; M Venture Partners; Dhananjay Tiwari</t>
        </is>
      </c>
      <c r="N1314" t="inlineStr">
        <is>
          <t>entrackr | inc42</t>
        </is>
      </c>
      <c r="O1314" s="20" t="n">
        <v>2</v>
      </c>
      <c r="P1314" s="21" t="n">
        <v>0</v>
      </c>
      <c r="Q1314" t="inlineStr"/>
      <c r="R1314" s="22" t="inlineStr">
        <is>
          <t>https://entrackr.com/snippets/intellend-raises-12-mn-in-seed-round-led-by-incubate-fund-asia-11014365</t>
        </is>
      </c>
    </row>
    <row r="1315">
      <c r="A1315" t="inlineStr">
        <is>
          <t>R260120-pinkypromise</t>
        </is>
      </c>
      <c r="B1315" t="inlineStr">
        <is>
          <t>Pinky Promise</t>
        </is>
      </c>
      <c r="C1315" s="17" t="n">
        <v>46042</v>
      </c>
      <c r="D1315" s="18" t="n">
        <v>46023</v>
      </c>
      <c r="E1315" s="19" t="n">
        <v>1</v>
      </c>
      <c r="F1315" s="19" t="n">
        <v>9.1</v>
      </c>
      <c r="G1315" t="inlineStr">
        <is>
          <t>$1 million</t>
        </is>
      </c>
      <c r="H1315" t="inlineStr">
        <is>
          <t>Pre-Seed</t>
        </is>
      </c>
      <c r="I1315" t="inlineStr">
        <is>
          <t>Early</t>
        </is>
      </c>
      <c r="J1315" t="inlineStr">
        <is>
          <t>Healthtech</t>
        </is>
      </c>
      <c r="K1315" t="inlineStr">
        <is>
          <t>Mumbai</t>
        </is>
      </c>
      <c r="L1315" t="inlineStr">
        <is>
          <t>Rebalance Angel Community</t>
        </is>
      </c>
      <c r="M1315" t="inlineStr">
        <is>
          <t>Rebalance Angel Community; Subramanian Ramadorai; Mala Ramadorai; Ajay Nair; Shreyas Srinivasan</t>
        </is>
      </c>
      <c r="N1315" t="inlineStr">
        <is>
          <t>entrackr</t>
        </is>
      </c>
      <c r="O1315" s="20" t="n">
        <v>1</v>
      </c>
      <c r="P1315" s="21" t="n">
        <v>0</v>
      </c>
      <c r="Q1315" t="inlineStr"/>
      <c r="R1315" s="22" t="inlineStr">
        <is>
          <t>https://entrackr.com/snippets/digital-clinic-pinky-promise-raises-1-mn-led-by-rebalance-angel-community-11015492</t>
        </is>
      </c>
    </row>
    <row r="1316">
      <c r="A1316" t="inlineStr">
        <is>
          <t>R260120-polycycl</t>
        </is>
      </c>
      <c r="B1316" t="inlineStr">
        <is>
          <t>PolyCycl</t>
        </is>
      </c>
      <c r="C1316" s="17" t="n">
        <v>46042</v>
      </c>
      <c r="D1316" s="18" t="n">
        <v>46023</v>
      </c>
      <c r="E1316" s="19" t="n"/>
      <c r="F1316" s="19" t="n"/>
      <c r="G1316" t="inlineStr"/>
      <c r="H1316" t="inlineStr">
        <is>
          <t>Series A</t>
        </is>
      </c>
      <c r="I1316" t="inlineStr">
        <is>
          <t>Early</t>
        </is>
      </c>
      <c r="J1316" t="inlineStr">
        <is>
          <t>Cleantech</t>
        </is>
      </c>
      <c r="K1316" t="inlineStr">
        <is>
          <t>Unknown</t>
        </is>
      </c>
      <c r="L1316" t="inlineStr">
        <is>
          <t>Rainmatter</t>
        </is>
      </c>
      <c r="M1316" t="inlineStr">
        <is>
          <t>Rainmatter</t>
        </is>
      </c>
      <c r="N1316" t="inlineStr">
        <is>
          <t>inc42</t>
        </is>
      </c>
      <c r="O1316" s="20" t="n">
        <v>1</v>
      </c>
      <c r="P1316" s="21" t="n"/>
      <c r="Q1316" t="inlineStr">
        <is>
          <t>C03 C07</t>
        </is>
      </c>
      <c r="R1316" s="22" t="inlineStr">
        <is>
          <t>https://inc42.com/buzz/from-emergent-to-juspay-indian-startups-raised-303-mn-this-week/</t>
        </is>
      </c>
    </row>
    <row r="1317">
      <c r="A1317" t="inlineStr">
        <is>
          <t>R260120-rspl</t>
        </is>
      </c>
      <c r="B1317" t="inlineStr">
        <is>
          <t>RSPL</t>
        </is>
      </c>
      <c r="C1317" s="17" t="n">
        <v>46042</v>
      </c>
      <c r="D1317" s="18" t="n">
        <v>46023</v>
      </c>
      <c r="E1317" s="19" t="n">
        <v>3</v>
      </c>
      <c r="F1317" s="19" t="n">
        <v>27.29</v>
      </c>
      <c r="G1317" t="inlineStr">
        <is>
          <t>$3 million</t>
        </is>
      </c>
      <c r="H1317" t="inlineStr">
        <is>
          <t>Seed</t>
        </is>
      </c>
      <c r="I1317" t="inlineStr">
        <is>
          <t>Early</t>
        </is>
      </c>
      <c r="J1317" t="inlineStr">
        <is>
          <t>Unclassified</t>
        </is>
      </c>
      <c r="K1317" t="inlineStr">
        <is>
          <t>Unknown</t>
        </is>
      </c>
      <c r="L1317" t="inlineStr">
        <is>
          <t>Equirus Innovatex Fund; Artha Venture Fund</t>
        </is>
      </c>
      <c r="M1317" t="inlineStr">
        <is>
          <t>Equirus Innovatex Fund; Artha Venture Fund; IvyCap Ventures; PointOne Capital; CIIE Initiatives</t>
        </is>
      </c>
      <c r="N1317" t="inlineStr">
        <is>
          <t>entrackr</t>
        </is>
      </c>
      <c r="O1317" s="20" t="n">
        <v>1</v>
      </c>
      <c r="P1317" s="21" t="n">
        <v>0</v>
      </c>
      <c r="Q1317" t="inlineStr">
        <is>
          <t>C06 C07</t>
        </is>
      </c>
      <c r="R1317" s="22" t="inlineStr">
        <is>
          <t>https://entrackr.com/snippets/rspl-raises-3-mn-seed-round-led-by-equirus-and-artha-venture-fund-11015933</t>
        </is>
      </c>
    </row>
    <row r="1318">
      <c r="A1318" t="inlineStr">
        <is>
          <t>R260120-superliving</t>
        </is>
      </c>
      <c r="B1318" t="inlineStr">
        <is>
          <t>SuperLiving</t>
        </is>
      </c>
      <c r="C1318" s="17" t="n">
        <v>46042</v>
      </c>
      <c r="D1318" s="18" t="n">
        <v>46023</v>
      </c>
      <c r="E1318" s="19" t="n">
        <v>2</v>
      </c>
      <c r="F1318" s="19" t="n">
        <v>18.19</v>
      </c>
      <c r="G1318" t="inlineStr">
        <is>
          <t>$2 million</t>
        </is>
      </c>
      <c r="H1318" t="inlineStr">
        <is>
          <t>Undisclosed</t>
        </is>
      </c>
      <c r="I1318" t="inlineStr">
        <is>
          <t>Undisclosed</t>
        </is>
      </c>
      <c r="J1318" t="inlineStr">
        <is>
          <t>Healthtech</t>
        </is>
      </c>
      <c r="K1318" t="inlineStr">
        <is>
          <t>Bengaluru</t>
        </is>
      </c>
      <c r="L1318" t="inlineStr">
        <is>
          <t>Kae Capital</t>
        </is>
      </c>
      <c r="M1318" t="inlineStr">
        <is>
          <t>Kae capital; All In Capital</t>
        </is>
      </c>
      <c r="N1318" t="inlineStr">
        <is>
          <t>entrackr | inc42</t>
        </is>
      </c>
      <c r="O1318" s="20" t="n">
        <v>2</v>
      </c>
      <c r="P1318" s="21" t="n">
        <v>0</v>
      </c>
      <c r="Q1318" t="inlineStr">
        <is>
          <t>C04</t>
        </is>
      </c>
      <c r="R1318" s="22" t="inlineStr">
        <is>
          <t>https://entrackr.com/snippets/health-tech-startup-superliving-raises-2-mn-led-by-kae-capital-11012485</t>
        </is>
      </c>
    </row>
    <row r="1319">
      <c r="A1319" t="inlineStr">
        <is>
          <t>R260120-troovy</t>
        </is>
      </c>
      <c r="B1319" t="inlineStr">
        <is>
          <t>Troovy</t>
        </is>
      </c>
      <c r="C1319" s="17" t="n">
        <v>46042</v>
      </c>
      <c r="D1319" s="18" t="n">
        <v>46023</v>
      </c>
      <c r="E1319" s="19" t="n">
        <v>5</v>
      </c>
      <c r="F1319" s="19" t="n">
        <v>45.48</v>
      </c>
      <c r="G1319" t="inlineStr">
        <is>
          <t>$5 million</t>
        </is>
      </c>
      <c r="H1319" t="inlineStr">
        <is>
          <t>Series A</t>
        </is>
      </c>
      <c r="I1319" t="inlineStr">
        <is>
          <t>Early</t>
        </is>
      </c>
      <c r="J1319" t="inlineStr">
        <is>
          <t>Ecommerce</t>
        </is>
      </c>
      <c r="K1319" t="inlineStr">
        <is>
          <t>Delhi NCR</t>
        </is>
      </c>
      <c r="L1319" t="inlineStr">
        <is>
          <t>Sharrp Ventures; Fireside Ventures</t>
        </is>
      </c>
      <c r="M1319" t="inlineStr">
        <is>
          <t>Fireside Ventures; Sharrp Ventures; Spring Marketing Capital; Veltis Capital</t>
        </is>
      </c>
      <c r="N1319" t="inlineStr">
        <is>
          <t>entrackr | inc42</t>
        </is>
      </c>
      <c r="O1319" s="20" t="n">
        <v>2</v>
      </c>
      <c r="P1319" s="21" t="n">
        <v>0</v>
      </c>
      <c r="Q1319" t="inlineStr"/>
      <c r="R1319" s="22" t="inlineStr">
        <is>
          <t>https://entrackr.com/snippets/snack-brand-troovy-raises-5-mn-in-series-a-led-by-fireside-and-sharrp-ventures-11015748</t>
        </is>
      </c>
    </row>
    <row r="1320">
      <c r="A1320" t="inlineStr">
        <is>
          <t>R260120-unboxrobotics</t>
        </is>
      </c>
      <c r="B1320" t="inlineStr">
        <is>
          <t>Unbox Robotics</t>
        </is>
      </c>
      <c r="C1320" s="17" t="n">
        <v>46042</v>
      </c>
      <c r="D1320" s="18" t="n">
        <v>46023</v>
      </c>
      <c r="E1320" s="19" t="n">
        <v>28</v>
      </c>
      <c r="F1320" s="19" t="n">
        <v>254.69</v>
      </c>
      <c r="G1320" t="inlineStr">
        <is>
          <t>$28 million</t>
        </is>
      </c>
      <c r="H1320" t="inlineStr">
        <is>
          <t>Series B</t>
        </is>
      </c>
      <c r="I1320" t="inlineStr">
        <is>
          <t>Growth</t>
        </is>
      </c>
      <c r="J1320" t="inlineStr">
        <is>
          <t>Advanced Hardware &amp; Technology</t>
        </is>
      </c>
      <c r="K1320" t="inlineStr">
        <is>
          <t>Pune</t>
        </is>
      </c>
      <c r="L1320" t="inlineStr">
        <is>
          <t>ICICI Ventures; Redstart Labs</t>
        </is>
      </c>
      <c r="M1320" t="inlineStr">
        <is>
          <t>ICICI Ventures; Redstart Labs; F-Prime; 3one4 Capital; Navam Capital; Force Ventures</t>
        </is>
      </c>
      <c r="N1320" t="inlineStr">
        <is>
          <t>entrackr | inc42 | et</t>
        </is>
      </c>
      <c r="O1320" s="20" t="n">
        <v>3</v>
      </c>
      <c r="P1320" s="21" t="n">
        <v>0</v>
      </c>
      <c r="Q1320" t="inlineStr"/>
      <c r="R1320" s="22" t="inlineStr">
        <is>
          <t>https://entrackr.com/news/unbox-robotics-raises-28-mn-led-by-icici-venture-11014165</t>
        </is>
      </c>
    </row>
    <row r="1321">
      <c r="A1321" t="inlineStr">
        <is>
          <t>R260120-wanderon</t>
        </is>
      </c>
      <c r="B1321" t="inlineStr">
        <is>
          <t>WanderOn</t>
        </is>
      </c>
      <c r="C1321" s="17" t="n">
        <v>46042</v>
      </c>
      <c r="D1321" s="18" t="n">
        <v>46023</v>
      </c>
      <c r="E1321" s="19" t="n">
        <v>5.937</v>
      </c>
      <c r="F1321" s="19" t="n">
        <v>54</v>
      </c>
      <c r="G1321" t="inlineStr">
        <is>
          <t>Rs 54 crore</t>
        </is>
      </c>
      <c r="H1321" t="inlineStr">
        <is>
          <t>Series A</t>
        </is>
      </c>
      <c r="I1321" t="inlineStr">
        <is>
          <t>Early</t>
        </is>
      </c>
      <c r="J1321" t="inlineStr">
        <is>
          <t>Travel Tech</t>
        </is>
      </c>
      <c r="K1321" t="inlineStr">
        <is>
          <t>Delhi NCR</t>
        </is>
      </c>
      <c r="L1321" t="inlineStr">
        <is>
          <t>DSG Consumer Brand; CAAF</t>
        </is>
      </c>
      <c r="M1321" t="inlineStr">
        <is>
          <t>DSG Consumer Brand; CAAF</t>
        </is>
      </c>
      <c r="N1321" t="inlineStr">
        <is>
          <t>entrackr | inc42</t>
        </is>
      </c>
      <c r="O1321" s="20" t="n">
        <v>2</v>
      </c>
      <c r="P1321" s="21" t="n">
        <v>0.6</v>
      </c>
      <c r="Q1321" t="inlineStr"/>
      <c r="R1321" s="22" t="inlineStr">
        <is>
          <t>https://entrackr.com/snippets/travel-brand-wanderon-bags-rs-54-cr-in-series-a-from-dsg-and-caaf-11014847</t>
        </is>
      </c>
    </row>
    <row r="1322">
      <c r="A1322" t="inlineStr">
        <is>
          <t>R260120-whizzo</t>
        </is>
      </c>
      <c r="B1322" t="inlineStr">
        <is>
          <t>Whizzo</t>
        </is>
      </c>
      <c r="C1322" s="17" t="n">
        <v>46042</v>
      </c>
      <c r="D1322" s="18" t="n">
        <v>46023</v>
      </c>
      <c r="E1322" s="19" t="n">
        <v>15</v>
      </c>
      <c r="F1322" s="19" t="n">
        <v>136.44</v>
      </c>
      <c r="G1322" t="inlineStr">
        <is>
          <t>$15 million</t>
        </is>
      </c>
      <c r="H1322" t="inlineStr">
        <is>
          <t>Series A</t>
        </is>
      </c>
      <c r="I1322" t="inlineStr">
        <is>
          <t>Early</t>
        </is>
      </c>
      <c r="J1322" t="inlineStr">
        <is>
          <t>Enterprise Tech</t>
        </is>
      </c>
      <c r="K1322" t="inlineStr">
        <is>
          <t>Bengaluru</t>
        </is>
      </c>
      <c r="L1322" t="inlineStr">
        <is>
          <t>Fundamentum</t>
        </is>
      </c>
      <c r="M1322" t="inlineStr">
        <is>
          <t>Fundamentum; LB Investment; Lightspeed; BEENEXT</t>
        </is>
      </c>
      <c r="N1322" t="inlineStr">
        <is>
          <t>entrackr | inc42</t>
        </is>
      </c>
      <c r="O1322" s="20" t="n">
        <v>2</v>
      </c>
      <c r="P1322" s="21" t="n">
        <v>0</v>
      </c>
      <c r="Q1322" t="inlineStr"/>
      <c r="R1322" s="22" t="inlineStr">
        <is>
          <t>https://entrackr.com/news/manufacturing-startup-whizzo-raises-15-mn-in-a-series-a-led-by-fundamentum-11013711</t>
        </is>
      </c>
    </row>
    <row r="1323">
      <c r="A1323" t="inlineStr">
        <is>
          <t>R260121-aeremsolutions</t>
        </is>
      </c>
      <c r="B1323" t="inlineStr">
        <is>
          <t>Aerem Solutions</t>
        </is>
      </c>
      <c r="C1323" s="17" t="n">
        <v>46043</v>
      </c>
      <c r="D1323" s="18" t="n">
        <v>46023</v>
      </c>
      <c r="E1323" s="19" t="n">
        <v>15</v>
      </c>
      <c r="F1323" s="19" t="n">
        <v>137.46</v>
      </c>
      <c r="G1323" t="inlineStr">
        <is>
          <t>$15 million</t>
        </is>
      </c>
      <c r="H1323" t="inlineStr">
        <is>
          <t>Pre-Series B</t>
        </is>
      </c>
      <c r="I1323" t="inlineStr">
        <is>
          <t>Growth</t>
        </is>
      </c>
      <c r="J1323" t="inlineStr">
        <is>
          <t>Fintech</t>
        </is>
      </c>
      <c r="K1323" t="inlineStr">
        <is>
          <t>Mumbai</t>
        </is>
      </c>
      <c r="L1323" t="inlineStr">
        <is>
          <t>SMBC Asia Rising Fund</t>
        </is>
      </c>
      <c r="M1323" t="inlineStr">
        <is>
          <t>SMBC Asia Rising Fund; British International Investment; Blume Ventures; Avaana Capital; Riverwalk Holdings; SE Ventures; UTEC</t>
        </is>
      </c>
      <c r="N1323" t="inlineStr">
        <is>
          <t>entrackr | inc42 | et</t>
        </is>
      </c>
      <c r="O1323" s="20" t="n">
        <v>3</v>
      </c>
      <c r="P1323" s="21" t="n">
        <v>0</v>
      </c>
      <c r="Q1323" t="inlineStr"/>
      <c r="R1323" s="22" t="inlineStr">
        <is>
          <t>https://entrackr.com/news/solar-platform-aerem-solutions-raises-15-mn-in-pre-series-b-11018368</t>
        </is>
      </c>
    </row>
    <row r="1324">
      <c r="A1324" t="inlineStr">
        <is>
          <t>R260121-arkahub</t>
        </is>
      </c>
      <c r="B1324" t="inlineStr">
        <is>
          <t>Arkahub</t>
        </is>
      </c>
      <c r="C1324" s="17" t="n">
        <v>46043</v>
      </c>
      <c r="D1324" s="18" t="n">
        <v>46023</v>
      </c>
      <c r="E1324" s="19" t="n">
        <v>2</v>
      </c>
      <c r="F1324" s="19" t="n">
        <v>18.33</v>
      </c>
      <c r="G1324" t="inlineStr">
        <is>
          <t>$2 million</t>
        </is>
      </c>
      <c r="H1324" t="inlineStr">
        <is>
          <t>Seed</t>
        </is>
      </c>
      <c r="I1324" t="inlineStr">
        <is>
          <t>Early</t>
        </is>
      </c>
      <c r="J1324" t="inlineStr">
        <is>
          <t>Cleantech</t>
        </is>
      </c>
      <c r="K1324" t="inlineStr">
        <is>
          <t>Bengaluru</t>
        </is>
      </c>
      <c r="L1324" t="inlineStr">
        <is>
          <t>Kae Capital; Sparrow Capital; Antler</t>
        </is>
      </c>
      <c r="M1324" t="inlineStr">
        <is>
          <t>Kae Capital; Sparrow Capital; Antler</t>
        </is>
      </c>
      <c r="N1324" t="inlineStr">
        <is>
          <t>entrackr | inc42</t>
        </is>
      </c>
      <c r="O1324" s="20" t="n">
        <v>2</v>
      </c>
      <c r="P1324" s="21" t="n">
        <v>0</v>
      </c>
      <c r="Q1324" t="inlineStr"/>
      <c r="R1324" s="22" t="inlineStr">
        <is>
          <t>https://entrackr.com/snippets/arkahub-raises-2-mn-in-seed-round-led-by-kae-capital-11017538</t>
        </is>
      </c>
    </row>
    <row r="1325">
      <c r="A1325" t="inlineStr">
        <is>
          <t>R260121-arthum</t>
        </is>
      </c>
      <c r="B1325" t="inlineStr">
        <is>
          <t>Arthum</t>
        </is>
      </c>
      <c r="C1325" s="17" t="n">
        <v>46043</v>
      </c>
      <c r="D1325" s="18" t="n">
        <v>46023</v>
      </c>
      <c r="E1325" s="19" t="n">
        <v>1.091</v>
      </c>
      <c r="F1325" s="19" t="n">
        <v>10</v>
      </c>
      <c r="G1325" t="inlineStr">
        <is>
          <t>Rs 10 crore</t>
        </is>
      </c>
      <c r="H1325" t="inlineStr">
        <is>
          <t>Seed</t>
        </is>
      </c>
      <c r="I1325" t="inlineStr">
        <is>
          <t>Early</t>
        </is>
      </c>
      <c r="J1325" t="inlineStr">
        <is>
          <t>Unclassified</t>
        </is>
      </c>
      <c r="K1325" t="inlineStr">
        <is>
          <t>Delhi NCR</t>
        </is>
      </c>
      <c r="L1325" t="inlineStr">
        <is>
          <t>Caret Capital</t>
        </is>
      </c>
      <c r="M1325" t="inlineStr">
        <is>
          <t>Caret Capital; Keynote Financial Services Limited; JS Global</t>
        </is>
      </c>
      <c r="N1325" t="inlineStr">
        <is>
          <t>entrackr</t>
        </is>
      </c>
      <c r="O1325" s="20" t="n">
        <v>1</v>
      </c>
      <c r="P1325" s="21" t="n">
        <v>0</v>
      </c>
      <c r="Q1325" t="inlineStr">
        <is>
          <t>C06</t>
        </is>
      </c>
      <c r="R1325" s="22" t="inlineStr">
        <is>
          <t>https://entrackr.com/snippets/arthum-raises-rs-10-cr-in-seed-round-led-by-caret-capital-11018048</t>
        </is>
      </c>
    </row>
    <row r="1326">
      <c r="A1326" t="inlineStr">
        <is>
          <t>R260121-bolna</t>
        </is>
      </c>
      <c r="B1326" t="inlineStr">
        <is>
          <t>Bolna</t>
        </is>
      </c>
      <c r="C1326" s="17" t="n">
        <v>46043</v>
      </c>
      <c r="D1326" s="18" t="n">
        <v>46023</v>
      </c>
      <c r="E1326" s="19" t="n">
        <v>6.3</v>
      </c>
      <c r="F1326" s="19" t="n">
        <v>57.73</v>
      </c>
      <c r="G1326" t="inlineStr">
        <is>
          <t>$6.3 million</t>
        </is>
      </c>
      <c r="H1326" t="inlineStr">
        <is>
          <t>Seed</t>
        </is>
      </c>
      <c r="I1326" t="inlineStr">
        <is>
          <t>Early</t>
        </is>
      </c>
      <c r="J1326" t="inlineStr">
        <is>
          <t>Artificial Intelligence</t>
        </is>
      </c>
      <c r="K1326" t="inlineStr">
        <is>
          <t>Bengaluru</t>
        </is>
      </c>
      <c r="L1326" t="inlineStr">
        <is>
          <t>General Catalyst</t>
        </is>
      </c>
      <c r="M1326" t="inlineStr">
        <is>
          <t>General Catalyst; Y Combinator; Blume Ventures; Orange Collective; Pioneer Fund; Transpose Capital; Eight Capital</t>
        </is>
      </c>
      <c r="N1326" t="inlineStr">
        <is>
          <t>entrackr | inc42 | et</t>
        </is>
      </c>
      <c r="O1326" s="20" t="n">
        <v>3</v>
      </c>
      <c r="P1326" s="21" t="n">
        <v>0</v>
      </c>
      <c r="Q1326" t="inlineStr"/>
      <c r="R1326" s="22" t="inlineStr">
        <is>
          <t>https://entrackr.com/snippets/voice-ai-startup-bolna-raises-63-mn-in-seed-round-led-by-general-catalyst-11017620</t>
        </is>
      </c>
    </row>
    <row r="1327">
      <c r="A1327" t="inlineStr">
        <is>
          <t>R260121-caredale</t>
        </is>
      </c>
      <c r="B1327" t="inlineStr">
        <is>
          <t>Care Dale</t>
        </is>
      </c>
      <c r="C1327" s="17" t="n">
        <v>46043</v>
      </c>
      <c r="D1327" s="18" t="n">
        <v>46023</v>
      </c>
      <c r="E1327" s="19" t="n">
        <v>0.164</v>
      </c>
      <c r="F1327" s="19" t="n">
        <v>1.5</v>
      </c>
      <c r="G1327" t="inlineStr">
        <is>
          <t>Rs 1.5 crore</t>
        </is>
      </c>
      <c r="H1327" t="inlineStr">
        <is>
          <t>Pre-Seed</t>
        </is>
      </c>
      <c r="I1327" t="inlineStr">
        <is>
          <t>Early</t>
        </is>
      </c>
      <c r="J1327" t="inlineStr">
        <is>
          <t>Ecommerce</t>
        </is>
      </c>
      <c r="K1327" t="inlineStr">
        <is>
          <t>Unknown</t>
        </is>
      </c>
      <c r="L1327" t="inlineStr">
        <is>
          <t>Aviral Bhatnagar</t>
        </is>
      </c>
      <c r="M1327" t="inlineStr">
        <is>
          <t>Aviral Bhatnagar</t>
        </is>
      </c>
      <c r="N1327" t="inlineStr">
        <is>
          <t>entrackr | inc42</t>
        </is>
      </c>
      <c r="O1327" s="20" t="n">
        <v>2</v>
      </c>
      <c r="P1327" s="21" t="n">
        <v>10</v>
      </c>
      <c r="Q1327" t="inlineStr">
        <is>
          <t>C07</t>
        </is>
      </c>
      <c r="R1327" s="22" t="inlineStr">
        <is>
          <t>https://entrackr.com/snippets/water-wellness-startup-care-dale-raises-pre-seed-funding-led-by-ajvc-11017614</t>
        </is>
      </c>
    </row>
    <row r="1328">
      <c r="A1328" t="inlineStr">
        <is>
          <t>R260121-cuminco</t>
        </is>
      </c>
      <c r="B1328" t="inlineStr">
        <is>
          <t>Cumin Co.</t>
        </is>
      </c>
      <c r="C1328" s="17" t="n">
        <v>46043</v>
      </c>
      <c r="D1328" s="18" t="n">
        <v>46023</v>
      </c>
      <c r="E1328" s="19" t="n">
        <v>5</v>
      </c>
      <c r="F1328" s="19" t="n">
        <v>45.82</v>
      </c>
      <c r="G1328" t="inlineStr">
        <is>
          <t>$5 million</t>
        </is>
      </c>
      <c r="H1328" t="inlineStr">
        <is>
          <t>Pre-Series A</t>
        </is>
      </c>
      <c r="I1328" t="inlineStr">
        <is>
          <t>Early</t>
        </is>
      </c>
      <c r="J1328" t="inlineStr">
        <is>
          <t>Ecommerce</t>
        </is>
      </c>
      <c r="K1328" t="inlineStr">
        <is>
          <t>Delhi NCR</t>
        </is>
      </c>
      <c r="L1328" t="inlineStr">
        <is>
          <t>Fireside Ventures</t>
        </is>
      </c>
      <c r="M1328" t="inlineStr">
        <is>
          <t>Fireside Ventures; Huddle Ventures; Alteria Capital; Mokobara founders Sangeet Agrawal; Navin Parwal; Abhishek Goyal</t>
        </is>
      </c>
      <c r="N1328" t="inlineStr">
        <is>
          <t>entrackr | inc42 | et</t>
        </is>
      </c>
      <c r="O1328" s="20" t="n">
        <v>3</v>
      </c>
      <c r="P1328" s="21" t="n">
        <v>0</v>
      </c>
      <c r="Q1328" t="inlineStr">
        <is>
          <t>C13</t>
        </is>
      </c>
      <c r="R1328" s="22" t="inlineStr">
        <is>
          <t>https://entrackr.com/snippets/cumin-co-raises-5-mn-pre-series-a-round-led-by-fireside-ventures-11017896</t>
        </is>
      </c>
    </row>
    <row r="1329">
      <c r="A1329" t="inlineStr">
        <is>
          <t>R260121-enerzolve</t>
        </is>
      </c>
      <c r="B1329" t="inlineStr">
        <is>
          <t>Enerzolve</t>
        </is>
      </c>
      <c r="C1329" s="17" t="n">
        <v>46043</v>
      </c>
      <c r="D1329" s="18" t="n">
        <v>46023</v>
      </c>
      <c r="E1329" s="19" t="n">
        <v>5.1</v>
      </c>
      <c r="F1329" s="19" t="n">
        <v>46.74</v>
      </c>
      <c r="G1329" t="inlineStr">
        <is>
          <t>$5.1 million</t>
        </is>
      </c>
      <c r="H1329" t="inlineStr">
        <is>
          <t>Seed</t>
        </is>
      </c>
      <c r="I1329" t="inlineStr">
        <is>
          <t>Early</t>
        </is>
      </c>
      <c r="J1329" t="inlineStr">
        <is>
          <t>Advanced Hardware &amp; Technology</t>
        </is>
      </c>
      <c r="K1329" t="inlineStr">
        <is>
          <t>Bengaluru</t>
        </is>
      </c>
      <c r="L1329" t="inlineStr">
        <is>
          <t>Jungle Ventures; Kae Capital</t>
        </is>
      </c>
      <c r="M1329" t="inlineStr">
        <is>
          <t>Jungle Ventures; Kae Capital; Amrit Acharya Srinath Ramakrrushnan; Ramakant Sharma; Roman Saini; Gaurav Munjal; Amal Mishra; Nikhil Bhandarkar; Zetwerk; Livspace; Unacademy; Urban Vault; Panthera Peak</t>
        </is>
      </c>
      <c r="N1329" t="inlineStr">
        <is>
          <t>entrackr | inc42 | et</t>
        </is>
      </c>
      <c r="O1329" s="20" t="n">
        <v>3</v>
      </c>
      <c r="P1329" s="21" t="n">
        <v>0</v>
      </c>
      <c r="Q1329" t="inlineStr"/>
      <c r="R1329" s="22" t="inlineStr">
        <is>
          <t>https://entrackr.com/snippets/enerzolve-raises-51-mn-in-seed-round-led-by-jungle-ventures-and-kae-capital-11018091</t>
        </is>
      </c>
    </row>
    <row r="1330">
      <c r="A1330" t="inlineStr">
        <is>
          <t>R260121-grest</t>
        </is>
      </c>
      <c r="B1330" t="inlineStr">
        <is>
          <t>GREST</t>
        </is>
      </c>
      <c r="C1330" s="17" t="n">
        <v>46043</v>
      </c>
      <c r="D1330" s="18" t="n">
        <v>46023</v>
      </c>
      <c r="E1330" s="19" t="n">
        <v>1.746</v>
      </c>
      <c r="F1330" s="19" t="n">
        <v>16</v>
      </c>
      <c r="G1330" t="inlineStr">
        <is>
          <t>Rs 16 crore</t>
        </is>
      </c>
      <c r="H1330" t="inlineStr">
        <is>
          <t>Undisclosed</t>
        </is>
      </c>
      <c r="I1330" t="inlineStr">
        <is>
          <t>Undisclosed</t>
        </is>
      </c>
      <c r="J1330" t="inlineStr">
        <is>
          <t>Ecommerce</t>
        </is>
      </c>
      <c r="K1330" t="inlineStr">
        <is>
          <t>Delhi NCR</t>
        </is>
      </c>
      <c r="L1330" t="inlineStr">
        <is>
          <t>Equentis Wealth; India Accelerator; Lead Invest; 8i Ventures</t>
        </is>
      </c>
      <c r="M1330" t="inlineStr">
        <is>
          <t>Equentis Wealth; JIIF; India Accelerator; Lead Invest; 8i Ventures</t>
        </is>
      </c>
      <c r="N1330" t="inlineStr">
        <is>
          <t>entrackr | inc42</t>
        </is>
      </c>
      <c r="O1330" s="20" t="n">
        <v>2</v>
      </c>
      <c r="P1330" s="21" t="n">
        <v>2.7</v>
      </c>
      <c r="Q1330" t="inlineStr">
        <is>
          <t>C04</t>
        </is>
      </c>
      <c r="R1330" s="22" t="inlineStr">
        <is>
          <t>https://entrackr.com/snippets/full-stack-re-commerce-company-grest-raises-16-cr-led-by-equentis-wealth-11018721</t>
        </is>
      </c>
    </row>
    <row r="1331">
      <c r="A1331" t="inlineStr">
        <is>
          <t>R260121-ringgai</t>
        </is>
      </c>
      <c r="B1331" t="inlineStr">
        <is>
          <t>Ringg AI</t>
        </is>
      </c>
      <c r="C1331" s="17" t="n">
        <v>46043</v>
      </c>
      <c r="D1331" s="18" t="n">
        <v>46023</v>
      </c>
      <c r="E1331" s="19" t="n">
        <v>5.5</v>
      </c>
      <c r="F1331" s="19" t="n">
        <v>50.4</v>
      </c>
      <c r="G1331" t="inlineStr">
        <is>
          <t>$5.5 million</t>
        </is>
      </c>
      <c r="H1331" t="inlineStr">
        <is>
          <t>Series A</t>
        </is>
      </c>
      <c r="I1331" t="inlineStr">
        <is>
          <t>Early</t>
        </is>
      </c>
      <c r="J1331" t="inlineStr">
        <is>
          <t>Artificial Intelligence</t>
        </is>
      </c>
      <c r="K1331" t="inlineStr">
        <is>
          <t>Bengaluru</t>
        </is>
      </c>
      <c r="L1331" t="inlineStr">
        <is>
          <t>Arkam Ventures</t>
        </is>
      </c>
      <c r="M1331" t="inlineStr">
        <is>
          <t>Arkam Ventures; Kunal Shah; White Venture Capital; Capital2B</t>
        </is>
      </c>
      <c r="N1331" t="inlineStr">
        <is>
          <t>entrackr | inc42 | et</t>
        </is>
      </c>
      <c r="O1331" s="20" t="n">
        <v>3</v>
      </c>
      <c r="P1331" s="21" t="n">
        <v>0</v>
      </c>
      <c r="Q1331" t="inlineStr"/>
      <c r="R1331" s="22" t="inlineStr">
        <is>
          <t>https://entrackr.com/snippets/voice-ai-startup-ringg-ai-raises-55-mn-in-series-a-funding-led-by-arkam-ventures-11017504</t>
        </is>
      </c>
    </row>
    <row r="1332">
      <c r="A1332" t="inlineStr">
        <is>
          <t>R260121-sensesemi</t>
        </is>
      </c>
      <c r="B1332" t="inlineStr">
        <is>
          <t>Sensesemi</t>
        </is>
      </c>
      <c r="C1332" s="17" t="n">
        <v>46043</v>
      </c>
      <c r="D1332" s="18" t="n">
        <v>46023</v>
      </c>
      <c r="E1332" s="19" t="n">
        <v>2.728</v>
      </c>
      <c r="F1332" s="19" t="n">
        <v>25</v>
      </c>
      <c r="G1332" t="inlineStr">
        <is>
          <t>Rs 25 crore</t>
        </is>
      </c>
      <c r="H1332" t="inlineStr">
        <is>
          <t>Seed</t>
        </is>
      </c>
      <c r="I1332" t="inlineStr">
        <is>
          <t>Early</t>
        </is>
      </c>
      <c r="J1332" t="inlineStr">
        <is>
          <t>Advanced Hardware &amp; Technology</t>
        </is>
      </c>
      <c r="K1332" t="inlineStr">
        <is>
          <t>Bengaluru</t>
        </is>
      </c>
      <c r="L1332" t="inlineStr">
        <is>
          <t>Piper Serica</t>
        </is>
      </c>
      <c r="M1332" t="inlineStr">
        <is>
          <t>Piper Serica; LetsVenture; Sun Icon Ventures; MyAsiaVC; Whitepine Investments; Jain Oncor; REAN Foundation; Niraj Shah; Deepak Khanna</t>
        </is>
      </c>
      <c r="N1332" t="inlineStr">
        <is>
          <t>entrackr | inc42 | et</t>
        </is>
      </c>
      <c r="O1332" s="20" t="n">
        <v>3</v>
      </c>
      <c r="P1332" s="21" t="n">
        <v>1</v>
      </c>
      <c r="Q1332" t="inlineStr"/>
      <c r="R1332" s="22" t="inlineStr">
        <is>
          <t>https://entrackr.com/snippets/semiconductor-startup-sensesemi-raises-rs-25-cr-led-by-piper-serica-11018670</t>
        </is>
      </c>
    </row>
    <row r="1333">
      <c r="A1333" t="inlineStr">
        <is>
          <t>R260121-stepout</t>
        </is>
      </c>
      <c r="B1333" t="inlineStr">
        <is>
          <t>StepOut</t>
        </is>
      </c>
      <c r="C1333" s="17" t="n">
        <v>46043</v>
      </c>
      <c r="D1333" s="18" t="n">
        <v>46023</v>
      </c>
      <c r="E1333" s="19" t="n">
        <v>1.5</v>
      </c>
      <c r="F1333" s="19" t="n">
        <v>13.75</v>
      </c>
      <c r="G1333" t="inlineStr">
        <is>
          <t>$1.5 million</t>
        </is>
      </c>
      <c r="H1333" t="inlineStr">
        <is>
          <t>Pre-Series A</t>
        </is>
      </c>
      <c r="I1333" t="inlineStr">
        <is>
          <t>Early</t>
        </is>
      </c>
      <c r="J1333" t="inlineStr">
        <is>
          <t>Consumer Services</t>
        </is>
      </c>
      <c r="K1333" t="inlineStr">
        <is>
          <t>Bengaluru</t>
        </is>
      </c>
      <c r="L1333" t="inlineStr">
        <is>
          <t>Rainmatter</t>
        </is>
      </c>
      <c r="M1333" t="inlineStr">
        <is>
          <t>Rainmatter; SucSEED Innovation Fund; Misfits Capital</t>
        </is>
      </c>
      <c r="N1333" t="inlineStr">
        <is>
          <t>entrackr | inc42</t>
        </is>
      </c>
      <c r="O1333" s="20" t="n">
        <v>2</v>
      </c>
      <c r="P1333" s="21" t="n">
        <v>0</v>
      </c>
      <c r="Q1333" t="inlineStr"/>
      <c r="R1333" s="22" t="inlineStr">
        <is>
          <t>https://entrackr.com/snippets/sports-tech-startup-stepout-raises-15-mn-led-by-rainmatter-11017911</t>
        </is>
      </c>
    </row>
    <row r="1334">
      <c r="A1334" t="inlineStr">
        <is>
          <t>R260121-xoxoday</t>
        </is>
      </c>
      <c r="B1334" t="inlineStr">
        <is>
          <t>Xoxoday</t>
        </is>
      </c>
      <c r="C1334" s="17" t="n">
        <v>46043</v>
      </c>
      <c r="D1334" s="18" t="n">
        <v>46023</v>
      </c>
      <c r="E1334" s="19" t="n"/>
      <c r="F1334" s="19" t="n"/>
      <c r="G1334" t="inlineStr"/>
      <c r="H1334" t="inlineStr">
        <is>
          <t>Series C</t>
        </is>
      </c>
      <c r="I1334" t="inlineStr">
        <is>
          <t>Growth</t>
        </is>
      </c>
      <c r="J1334" t="inlineStr">
        <is>
          <t>Enterprise Tech</t>
        </is>
      </c>
      <c r="K1334" t="inlineStr">
        <is>
          <t>Unknown</t>
        </is>
      </c>
      <c r="L1334" t="inlineStr">
        <is>
          <t>Apis Partners; 57 Stars</t>
        </is>
      </c>
      <c r="M1334" t="inlineStr">
        <is>
          <t>Apis Partners; 57 Stars</t>
        </is>
      </c>
      <c r="N1334" t="inlineStr">
        <is>
          <t>inc42</t>
        </is>
      </c>
      <c r="O1334" s="20" t="n">
        <v>1</v>
      </c>
      <c r="P1334" s="21" t="n"/>
      <c r="Q1334" t="inlineStr">
        <is>
          <t>C03 C07</t>
        </is>
      </c>
      <c r="R1334" s="22" t="inlineStr">
        <is>
          <t>https://inc42.com/buzz/from-emergent-to-juspay-indian-startups-raised-303-mn-this-week/</t>
        </is>
      </c>
    </row>
    <row r="1335">
      <c r="A1335" t="inlineStr">
        <is>
          <t>R260122-brisiltechnolo</t>
        </is>
      </c>
      <c r="B1335" t="inlineStr">
        <is>
          <t>Brisil Technologies</t>
        </is>
      </c>
      <c r="C1335" s="17" t="n">
        <v>46044</v>
      </c>
      <c r="D1335" s="18" t="n">
        <v>46023</v>
      </c>
      <c r="E1335" s="19" t="n">
        <v>0.328</v>
      </c>
      <c r="F1335" s="19" t="n">
        <v>3</v>
      </c>
      <c r="G1335" t="inlineStr">
        <is>
          <t>Rs 3 crore</t>
        </is>
      </c>
      <c r="H1335" t="inlineStr">
        <is>
          <t>Pre-Seed</t>
        </is>
      </c>
      <c r="I1335" t="inlineStr">
        <is>
          <t>Early</t>
        </is>
      </c>
      <c r="J1335" t="inlineStr">
        <is>
          <t>Cleantech</t>
        </is>
      </c>
      <c r="K1335" t="inlineStr">
        <is>
          <t>Unknown</t>
        </is>
      </c>
      <c r="L1335" t="inlineStr">
        <is>
          <t>Momentum Capital</t>
        </is>
      </c>
      <c r="M1335" t="inlineStr">
        <is>
          <t>Momentum Capital; Fondation Botnar</t>
        </is>
      </c>
      <c r="N1335" t="inlineStr">
        <is>
          <t>entrackr | inc42</t>
        </is>
      </c>
      <c r="O1335" s="20" t="n">
        <v>2</v>
      </c>
      <c r="P1335" s="21" t="n">
        <v>0.2</v>
      </c>
      <c r="Q1335" t="inlineStr">
        <is>
          <t>C07</t>
        </is>
      </c>
      <c r="R1335" s="22" t="inlineStr">
        <is>
          <t>https://entrackr.com/snippets/climate-tech-startup-brisil-technologies-raises-pre-seed-round-led-by-momentum-capital-11021031</t>
        </is>
      </c>
    </row>
    <row r="1336">
      <c r="A1336" t="inlineStr">
        <is>
          <t>R260122-chargeup</t>
        </is>
      </c>
      <c r="B1336" t="inlineStr">
        <is>
          <t>Chargeup</t>
        </is>
      </c>
      <c r="C1336" s="17" t="n">
        <v>46044</v>
      </c>
      <c r="D1336" s="18" t="n">
        <v>46023</v>
      </c>
      <c r="E1336" s="19" t="n">
        <v>2.402</v>
      </c>
      <c r="F1336" s="19" t="n">
        <v>22</v>
      </c>
      <c r="G1336" t="inlineStr">
        <is>
          <t>Rs 22 crore</t>
        </is>
      </c>
      <c r="H1336" t="inlineStr">
        <is>
          <t>Undisclosed</t>
        </is>
      </c>
      <c r="I1336" t="inlineStr">
        <is>
          <t>Undisclosed</t>
        </is>
      </c>
      <c r="J1336" t="inlineStr">
        <is>
          <t>Cleantech</t>
        </is>
      </c>
      <c r="K1336" t="inlineStr">
        <is>
          <t>Delhi NCR</t>
        </is>
      </c>
      <c r="L1336" t="inlineStr">
        <is>
          <t>IAN Group</t>
        </is>
      </c>
      <c r="M1336" t="inlineStr">
        <is>
          <t>IAN Group; Capital A; Cap-A</t>
        </is>
      </c>
      <c r="N1336" t="inlineStr">
        <is>
          <t>entrackr | inc42</t>
        </is>
      </c>
      <c r="O1336" s="20" t="n">
        <v>2</v>
      </c>
      <c r="P1336" s="21" t="n">
        <v>0.1</v>
      </c>
      <c r="Q1336" t="inlineStr">
        <is>
          <t>C04</t>
        </is>
      </c>
      <c r="R1336" s="22" t="inlineStr">
        <is>
          <t>https://entrackr.com/snippets/ian-group-backs-chargeup-in-rs-22-cr-funding-round-11021076</t>
        </is>
      </c>
    </row>
    <row r="1337">
      <c r="A1337" t="inlineStr">
        <is>
          <t>R260122-cosmoserve</t>
        </is>
      </c>
      <c r="B1337" t="inlineStr">
        <is>
          <t>Cosmoserve</t>
        </is>
      </c>
      <c r="C1337" s="17" t="n">
        <v>46044</v>
      </c>
      <c r="D1337" s="18" t="n">
        <v>46023</v>
      </c>
      <c r="E1337" s="19" t="n">
        <v>0.598</v>
      </c>
      <c r="F1337" s="19" t="n">
        <v>5.48</v>
      </c>
      <c r="G1337" t="inlineStr">
        <is>
          <t>$598K</t>
        </is>
      </c>
      <c r="H1337" t="inlineStr">
        <is>
          <t>Undisclosed</t>
        </is>
      </c>
      <c r="I1337" t="inlineStr">
        <is>
          <t>Undisclosed</t>
        </is>
      </c>
      <c r="J1337" t="inlineStr">
        <is>
          <t>Advanced Hardware &amp; Technology</t>
        </is>
      </c>
      <c r="K1337" t="inlineStr">
        <is>
          <t>Unknown</t>
        </is>
      </c>
      <c r="L1337" t="inlineStr">
        <is>
          <t>Arokiaswamy Velumani</t>
        </is>
      </c>
      <c r="M1337" t="inlineStr">
        <is>
          <t>Arokiaswamy Velumani; Shivam Mishra; Srini Sriniwasan</t>
        </is>
      </c>
      <c r="N1337" t="inlineStr">
        <is>
          <t>inc42</t>
        </is>
      </c>
      <c r="O1337" s="20" t="n">
        <v>1</v>
      </c>
      <c r="P1337" s="21" t="n">
        <v>0</v>
      </c>
      <c r="Q1337" t="inlineStr">
        <is>
          <t>C04 C07</t>
        </is>
      </c>
      <c r="R1337" s="22" t="inlineStr">
        <is>
          <t>https://inc42.com/buzz/from-emergent-to-juspay-indian-startups-raised-303-mn-this-week/</t>
        </is>
      </c>
    </row>
    <row r="1338">
      <c r="A1338" t="inlineStr">
        <is>
          <t>R260122-escape</t>
        </is>
      </c>
      <c r="B1338" t="inlineStr">
        <is>
          <t>Escape</t>
        </is>
      </c>
      <c r="C1338" s="17" t="n">
        <v>46044</v>
      </c>
      <c r="D1338" s="18" t="n">
        <v>46023</v>
      </c>
      <c r="E1338" s="19" t="n">
        <v>25</v>
      </c>
      <c r="F1338" s="19" t="n">
        <v>228.98</v>
      </c>
      <c r="G1338" t="inlineStr">
        <is>
          <t>$25 million</t>
        </is>
      </c>
      <c r="H1338" t="inlineStr">
        <is>
          <t>Series A</t>
        </is>
      </c>
      <c r="I1338" t="inlineStr">
        <is>
          <t>Early</t>
        </is>
      </c>
      <c r="J1338" t="inlineStr">
        <is>
          <t>Ecommerce</t>
        </is>
      </c>
      <c r="K1338" t="inlineStr">
        <is>
          <t>Bengaluru</t>
        </is>
      </c>
      <c r="L1338" t="inlineStr">
        <is>
          <t>Jungle VC; IndiGo Ventures</t>
        </is>
      </c>
      <c r="M1338" t="inlineStr">
        <is>
          <t>Jungle VC; Fireside Ventures; IndiGo Ventures</t>
        </is>
      </c>
      <c r="N1338" t="inlineStr">
        <is>
          <t>entrackr | inc42 | et</t>
        </is>
      </c>
      <c r="O1338" s="20" t="n">
        <v>3</v>
      </c>
      <c r="P1338" s="21" t="n">
        <v>0</v>
      </c>
      <c r="Q1338" t="inlineStr"/>
      <c r="R1338" s="22" t="inlineStr">
        <is>
          <t>https://entrackr.com/news/travel-products-platform-escape-plan-raises-25-mn-led-by-jungle-venture-11019825</t>
        </is>
      </c>
    </row>
    <row r="1339">
      <c r="A1339" t="inlineStr">
        <is>
          <t>R260122-lorazzo</t>
        </is>
      </c>
      <c r="B1339" t="inlineStr">
        <is>
          <t>Lorazzo</t>
        </is>
      </c>
      <c r="C1339" s="17" t="n">
        <v>46044</v>
      </c>
      <c r="D1339" s="18" t="n">
        <v>46023</v>
      </c>
      <c r="E1339" s="19" t="n">
        <v>0.546</v>
      </c>
      <c r="F1339" s="19" t="n">
        <v>5</v>
      </c>
      <c r="G1339" t="inlineStr">
        <is>
          <t>Rs 5 crore</t>
        </is>
      </c>
      <c r="H1339" t="inlineStr">
        <is>
          <t>Seed</t>
        </is>
      </c>
      <c r="I1339" t="inlineStr">
        <is>
          <t>Early</t>
        </is>
      </c>
      <c r="J1339" t="inlineStr">
        <is>
          <t>Ecommerce</t>
        </is>
      </c>
      <c r="K1339" t="inlineStr">
        <is>
          <t>Unknown</t>
        </is>
      </c>
      <c r="L1339" t="inlineStr">
        <is>
          <t>Sprout Venture Partners; India Quotient</t>
        </is>
      </c>
      <c r="M1339" t="inlineStr">
        <is>
          <t>Sprout Venture Partners; India Quotient; Chandigarh Angel Network</t>
        </is>
      </c>
      <c r="N1339" t="inlineStr">
        <is>
          <t>entrackr | inc42</t>
        </is>
      </c>
      <c r="O1339" s="20" t="n">
        <v>2</v>
      </c>
      <c r="P1339" s="21" t="n">
        <v>0.2</v>
      </c>
      <c r="Q1339" t="inlineStr">
        <is>
          <t>C07</t>
        </is>
      </c>
      <c r="R1339" s="22" t="inlineStr">
        <is>
          <t>https://entrackr.com/snippets/lorazzo-raises-seed-funding-led-by-sprout-venture-and-first-cheque-11020653</t>
        </is>
      </c>
    </row>
    <row r="1340">
      <c r="A1340" t="inlineStr">
        <is>
          <t>R260122-meineelectric</t>
        </is>
      </c>
      <c r="B1340" t="inlineStr">
        <is>
          <t>Meine Electric</t>
        </is>
      </c>
      <c r="C1340" s="17" t="n">
        <v>46044</v>
      </c>
      <c r="D1340" s="18" t="n">
        <v>46023</v>
      </c>
      <c r="E1340" s="19" t="n">
        <v>0.75</v>
      </c>
      <c r="F1340" s="19" t="n">
        <v>6.87</v>
      </c>
      <c r="G1340" t="inlineStr">
        <is>
          <t>$750,000</t>
        </is>
      </c>
      <c r="H1340" t="inlineStr">
        <is>
          <t>Pre-Seed</t>
        </is>
      </c>
      <c r="I1340" t="inlineStr">
        <is>
          <t>Early</t>
        </is>
      </c>
      <c r="J1340" t="inlineStr">
        <is>
          <t>Cleantech</t>
        </is>
      </c>
      <c r="K1340" t="inlineStr">
        <is>
          <t>Unknown</t>
        </is>
      </c>
      <c r="L1340" t="inlineStr">
        <is>
          <t>Antler; Rebalance; Venture Catalysts</t>
        </is>
      </c>
      <c r="M1340" t="inlineStr">
        <is>
          <t>Antler; Rebalance; Venture Catalysts; gradCapital; AIC-AU Incubation Foundation; Alexander Hogeveen Rutter</t>
        </is>
      </c>
      <c r="N1340" t="inlineStr">
        <is>
          <t>entrackr | inc42</t>
        </is>
      </c>
      <c r="O1340" s="20" t="n">
        <v>2</v>
      </c>
      <c r="P1340" s="21" t="n">
        <v>0</v>
      </c>
      <c r="Q1340" t="inlineStr">
        <is>
          <t>C07</t>
        </is>
      </c>
      <c r="R1340" s="22" t="inlineStr">
        <is>
          <t>https://entrackr.com/snippets/deeptech-startup-meine-electric-raises-750k-in-pre-seed-round-11021373</t>
        </is>
      </c>
    </row>
    <row r="1341">
      <c r="A1341" t="inlineStr">
        <is>
          <t>R260122-optimist</t>
        </is>
      </c>
      <c r="B1341" t="inlineStr">
        <is>
          <t>Optimist</t>
        </is>
      </c>
      <c r="C1341" s="17" t="n">
        <v>46044</v>
      </c>
      <c r="D1341" s="18" t="n">
        <v>46023</v>
      </c>
      <c r="E1341" s="19" t="n">
        <v>12</v>
      </c>
      <c r="F1341" s="19" t="n">
        <v>109.91</v>
      </c>
      <c r="G1341" t="inlineStr">
        <is>
          <t>$12 million</t>
        </is>
      </c>
      <c r="H1341" t="inlineStr">
        <is>
          <t>Pre-Series A</t>
        </is>
      </c>
      <c r="I1341" t="inlineStr">
        <is>
          <t>Early</t>
        </is>
      </c>
      <c r="J1341" t="inlineStr">
        <is>
          <t>Ecommerce</t>
        </is>
      </c>
      <c r="K1341" t="inlineStr">
        <is>
          <t>Delhi NCR</t>
        </is>
      </c>
      <c r="L1341" t="inlineStr">
        <is>
          <t>Accel; Arkam Ventures</t>
        </is>
      </c>
      <c r="M1341" t="inlineStr">
        <is>
          <t>Accel; Arkam Ventures; Sparrow Capital; Ather founders Tarun Mehta; Swapnil Jain</t>
        </is>
      </c>
      <c r="N1341" t="inlineStr">
        <is>
          <t>entrackr | inc42 | et</t>
        </is>
      </c>
      <c r="O1341" s="20" t="n">
        <v>3</v>
      </c>
      <c r="P1341" s="21" t="n">
        <v>0</v>
      </c>
      <c r="Q1341" t="inlineStr"/>
      <c r="R1341" s="22" t="inlineStr">
        <is>
          <t>https://entrackr.com/news/optimist-raises-12-mn-in-seed-round-led-by-accel-and-arkam-ventures-11020870</t>
        </is>
      </c>
    </row>
    <row r="1342">
      <c r="A1342" t="inlineStr">
        <is>
          <t>R260122-propertypistol</t>
        </is>
      </c>
      <c r="B1342" t="inlineStr">
        <is>
          <t>PropertyPistol</t>
        </is>
      </c>
      <c r="C1342" s="17" t="n">
        <v>46044</v>
      </c>
      <c r="D1342" s="18" t="n">
        <v>46023</v>
      </c>
      <c r="E1342" s="19" t="n">
        <v>2.7</v>
      </c>
      <c r="F1342" s="19" t="n">
        <v>24.73</v>
      </c>
      <c r="G1342" t="inlineStr">
        <is>
          <t>$2.7 Mn</t>
        </is>
      </c>
      <c r="H1342" t="inlineStr">
        <is>
          <t>Pre-Series B</t>
        </is>
      </c>
      <c r="I1342" t="inlineStr">
        <is>
          <t>Growth</t>
        </is>
      </c>
      <c r="J1342" t="inlineStr">
        <is>
          <t>Real Estate Tech</t>
        </is>
      </c>
      <c r="K1342" t="inlineStr">
        <is>
          <t>Unknown</t>
        </is>
      </c>
      <c r="L1342" t="inlineStr">
        <is>
          <t>Ashish Kacholia</t>
        </is>
      </c>
      <c r="M1342" t="inlineStr">
        <is>
          <t>Ashish Kacholia</t>
        </is>
      </c>
      <c r="N1342" t="inlineStr">
        <is>
          <t>inc42</t>
        </is>
      </c>
      <c r="O1342" s="20" t="n">
        <v>1</v>
      </c>
      <c r="P1342" s="21" t="n">
        <v>0</v>
      </c>
      <c r="Q1342" t="inlineStr">
        <is>
          <t>C07</t>
        </is>
      </c>
      <c r="R1342" s="22" t="inlineStr">
        <is>
          <t>https://inc42.com/buzz/from-emergent-to-juspay-indian-startups-raised-303-mn-this-week/</t>
        </is>
      </c>
    </row>
    <row r="1343">
      <c r="A1343" t="inlineStr">
        <is>
          <t>R260122-raanasemicondu</t>
        </is>
      </c>
      <c r="B1343" t="inlineStr">
        <is>
          <t>Raana Semiconductor</t>
        </is>
      </c>
      <c r="C1343" s="17" t="n">
        <v>46044</v>
      </c>
      <c r="D1343" s="18" t="n">
        <v>46023</v>
      </c>
      <c r="E1343" s="19" t="n">
        <v>3</v>
      </c>
      <c r="F1343" s="19" t="n">
        <v>27.48</v>
      </c>
      <c r="G1343" t="inlineStr">
        <is>
          <t>$3 Mn</t>
        </is>
      </c>
      <c r="H1343" t="inlineStr">
        <is>
          <t>Seed</t>
        </is>
      </c>
      <c r="I1343" t="inlineStr">
        <is>
          <t>Early</t>
        </is>
      </c>
      <c r="J1343" t="inlineStr">
        <is>
          <t>Advanced Hardware &amp; Technology</t>
        </is>
      </c>
      <c r="K1343" t="inlineStr">
        <is>
          <t>Unknown</t>
        </is>
      </c>
      <c r="L1343" t="inlineStr">
        <is>
          <t>Equirus Innovatex Fund; Artha Venture Fund</t>
        </is>
      </c>
      <c r="M1343" t="inlineStr">
        <is>
          <t>Equirus Innovatex Fund; Artha Venture Fund; IvyCap Ventures; PointOne Capital; IIMA Ventures; Garimella Laxminarayana</t>
        </is>
      </c>
      <c r="N1343" t="inlineStr">
        <is>
          <t>inc42</t>
        </is>
      </c>
      <c r="O1343" s="20" t="n">
        <v>1</v>
      </c>
      <c r="P1343" s="21" t="n">
        <v>0</v>
      </c>
      <c r="Q1343" t="inlineStr">
        <is>
          <t>C07</t>
        </is>
      </c>
      <c r="R1343" s="22" t="inlineStr">
        <is>
          <t>https://inc42.com/buzz/from-emergent-to-juspay-indian-startups-raised-303-mn-this-week/</t>
        </is>
      </c>
    </row>
    <row r="1344">
      <c r="A1344" t="inlineStr">
        <is>
          <t>R260122-zerocircle</t>
        </is>
      </c>
      <c r="B1344" t="inlineStr">
        <is>
          <t>Zerocircle</t>
        </is>
      </c>
      <c r="C1344" s="17" t="n">
        <v>46044</v>
      </c>
      <c r="D1344" s="18" t="n">
        <v>46023</v>
      </c>
      <c r="E1344" s="19" t="n">
        <v>0.546</v>
      </c>
      <c r="F1344" s="19" t="n">
        <v>5</v>
      </c>
      <c r="G1344" t="inlineStr">
        <is>
          <t>Rs 5 crore</t>
        </is>
      </c>
      <c r="H1344" t="inlineStr">
        <is>
          <t>Pre-Series A</t>
        </is>
      </c>
      <c r="I1344" t="inlineStr">
        <is>
          <t>Early</t>
        </is>
      </c>
      <c r="J1344" t="inlineStr">
        <is>
          <t>Cleantech</t>
        </is>
      </c>
      <c r="K1344" t="inlineStr">
        <is>
          <t>Pune</t>
        </is>
      </c>
      <c r="L1344" t="inlineStr">
        <is>
          <t>3one4 Capital; Rainmatter</t>
        </is>
      </c>
      <c r="M1344" t="inlineStr">
        <is>
          <t>3one4 Capital; Rainmatter; VC Grid; 7th Gen Ventures</t>
        </is>
      </c>
      <c r="N1344" t="inlineStr">
        <is>
          <t>entrackr | inc42</t>
        </is>
      </c>
      <c r="O1344" s="20" t="n">
        <v>2</v>
      </c>
      <c r="P1344" s="21" t="n">
        <v>0.2</v>
      </c>
      <c r="Q1344" t="inlineStr"/>
      <c r="R1344" s="22" t="inlineStr">
        <is>
          <t>https://entrackr.com/snippets/materials-science-company-zerocircle-raises-pre-series-a-round-from-3one4-capital-rainmatter-and-others-11021693</t>
        </is>
      </c>
    </row>
    <row r="1345">
      <c r="A1345" t="inlineStr">
        <is>
          <t>R260123-dhunwellness</t>
        </is>
      </c>
      <c r="B1345" t="inlineStr">
        <is>
          <t>Dhun Wellness</t>
        </is>
      </c>
      <c r="C1345" s="17" t="n">
        <v>46045</v>
      </c>
      <c r="D1345" s="18" t="n">
        <v>46023</v>
      </c>
      <c r="E1345" s="19" t="n">
        <v>4</v>
      </c>
      <c r="F1345" s="19" t="n">
        <v>36.74</v>
      </c>
      <c r="G1345" t="inlineStr">
        <is>
          <t>$4 million</t>
        </is>
      </c>
      <c r="H1345" t="inlineStr">
        <is>
          <t>Undisclosed</t>
        </is>
      </c>
      <c r="I1345" t="inlineStr">
        <is>
          <t>Undisclosed</t>
        </is>
      </c>
      <c r="J1345" t="inlineStr">
        <is>
          <t>Consumer Services</t>
        </is>
      </c>
      <c r="K1345" t="inlineStr">
        <is>
          <t>Mumbai</t>
        </is>
      </c>
      <c r="L1345" t="inlineStr">
        <is>
          <t>SRF Ltd; Havells India</t>
        </is>
      </c>
      <c r="M1345" t="inlineStr">
        <is>
          <t>SRF Ltd; Havells India; Arushi Aayush Agrawal; Ash Lilani; Abhishek Goyal; Sanjay Kapoor</t>
        </is>
      </c>
      <c r="N1345" t="inlineStr">
        <is>
          <t>entrackr | inc42</t>
        </is>
      </c>
      <c r="O1345" s="20" t="n">
        <v>2</v>
      </c>
      <c r="P1345" s="21" t="n">
        <v>0</v>
      </c>
      <c r="Q1345" t="inlineStr">
        <is>
          <t>C04</t>
        </is>
      </c>
      <c r="R1345" s="22" t="inlineStr">
        <is>
          <t>https://entrackr.com/snippets/dhun-wellness-raises-4-mn-led-by-srf-and-havells-india-11023613</t>
        </is>
      </c>
    </row>
    <row r="1346">
      <c r="A1346" t="inlineStr">
        <is>
          <t>R260123-juspay</t>
        </is>
      </c>
      <c r="B1346" t="inlineStr">
        <is>
          <t>Juspay</t>
        </is>
      </c>
      <c r="C1346" s="17" t="n">
        <v>46045</v>
      </c>
      <c r="D1346" s="18" t="n">
        <v>46023</v>
      </c>
      <c r="E1346" s="19" t="n">
        <v>50</v>
      </c>
      <c r="F1346" s="19" t="n">
        <v>459.3</v>
      </c>
      <c r="G1346" t="inlineStr">
        <is>
          <t>$50 million</t>
        </is>
      </c>
      <c r="H1346" t="inlineStr">
        <is>
          <t>Series D</t>
        </is>
      </c>
      <c r="I1346" t="inlineStr">
        <is>
          <t>Late</t>
        </is>
      </c>
      <c r="J1346" t="inlineStr">
        <is>
          <t>Fintech</t>
        </is>
      </c>
      <c r="K1346" t="inlineStr">
        <is>
          <t>Bengaluru</t>
        </is>
      </c>
      <c r="L1346" t="inlineStr">
        <is>
          <t>WestBridge Capital</t>
        </is>
      </c>
      <c r="M1346" t="inlineStr">
        <is>
          <t>WestBridge Capital</t>
        </is>
      </c>
      <c r="N1346" t="inlineStr">
        <is>
          <t>entrackr | inc42 | et</t>
        </is>
      </c>
      <c r="O1346" s="20" t="n">
        <v>3</v>
      </c>
      <c r="P1346" s="21" t="n">
        <v>0</v>
      </c>
      <c r="Q1346" t="inlineStr"/>
      <c r="R1346" s="22" t="inlineStr">
        <is>
          <t>https://entrackr.com/news/juspay-raises-50-mn-from-westbridge-capital-at-12-bn-valuation-11023645</t>
        </is>
      </c>
    </row>
    <row r="1347">
      <c r="A1347" t="inlineStr">
        <is>
          <t>R260127-4basecare</t>
        </is>
      </c>
      <c r="B1347" t="inlineStr">
        <is>
          <t>4baseCare</t>
        </is>
      </c>
      <c r="C1347" s="17" t="n">
        <v>46049</v>
      </c>
      <c r="D1347" s="18" t="n">
        <v>46023</v>
      </c>
      <c r="E1347" s="19" t="n">
        <v>9.823</v>
      </c>
      <c r="F1347" s="19" t="n">
        <v>90</v>
      </c>
      <c r="G1347" t="inlineStr">
        <is>
          <t>Rs 90 crore</t>
        </is>
      </c>
      <c r="H1347" t="inlineStr">
        <is>
          <t>Series B</t>
        </is>
      </c>
      <c r="I1347" t="inlineStr">
        <is>
          <t>Growth</t>
        </is>
      </c>
      <c r="J1347" t="inlineStr">
        <is>
          <t>Healthtech</t>
        </is>
      </c>
      <c r="K1347" t="inlineStr">
        <is>
          <t>Bengaluru</t>
        </is>
      </c>
      <c r="L1347" t="inlineStr">
        <is>
          <t>Ashish Kacholia; Lashit Sanghvi</t>
        </is>
      </c>
      <c r="M1347" t="inlineStr">
        <is>
          <t>Ashish Kacholia; Lashit Sanghvi; Yali Capital; Infosys</t>
        </is>
      </c>
      <c r="N1347" t="inlineStr">
        <is>
          <t>entrackr | inc42 | vccircle</t>
        </is>
      </c>
      <c r="O1347" s="20" t="n">
        <v>3</v>
      </c>
      <c r="P1347" s="21" t="n">
        <v>0.2</v>
      </c>
      <c r="Q1347" t="inlineStr"/>
      <c r="R1347" s="22" t="inlineStr">
        <is>
          <t>https://entrackr.com/news/oncology-startup-4basecare-raises-rs-90-cr-led-by-ashish-kacholia-and-lashit-sanghvi-11033252</t>
        </is>
      </c>
    </row>
    <row r="1348">
      <c r="A1348" t="inlineStr">
        <is>
          <t>R260127-entellusindust</t>
        </is>
      </c>
      <c r="B1348" t="inlineStr">
        <is>
          <t>Entellus Industries</t>
        </is>
      </c>
      <c r="C1348" s="17" t="n">
        <v>46049</v>
      </c>
      <c r="D1348" s="18" t="n">
        <v>46023</v>
      </c>
      <c r="E1348" s="19" t="n">
        <v>5.457</v>
      </c>
      <c r="F1348" s="19" t="n">
        <v>50</v>
      </c>
      <c r="G1348" t="inlineStr">
        <is>
          <t>Rs 50 crore</t>
        </is>
      </c>
      <c r="H1348" t="inlineStr">
        <is>
          <t>Undisclosed</t>
        </is>
      </c>
      <c r="I1348" t="inlineStr">
        <is>
          <t>Undisclosed</t>
        </is>
      </c>
      <c r="J1348" t="inlineStr">
        <is>
          <t>Enterprise Tech</t>
        </is>
      </c>
      <c r="K1348" t="inlineStr">
        <is>
          <t>Chennai</t>
        </is>
      </c>
      <c r="L1348" t="inlineStr">
        <is>
          <t>ZeroW</t>
        </is>
      </c>
      <c r="M1348" t="inlineStr">
        <is>
          <t>ZeroW</t>
        </is>
      </c>
      <c r="N1348" t="inlineStr">
        <is>
          <t>entrackr | inc42</t>
        </is>
      </c>
      <c r="O1348" s="20" t="n">
        <v>2</v>
      </c>
      <c r="P1348" s="21" t="n">
        <v>0.8</v>
      </c>
      <c r="Q1348" t="inlineStr">
        <is>
          <t>C04</t>
        </is>
      </c>
      <c r="R1348" s="22" t="inlineStr">
        <is>
          <t>https://entrackr.com/snippets/entellus-industries-raises-rs-50-cr-from-zerow-11034298</t>
        </is>
      </c>
    </row>
    <row r="1349">
      <c r="A1349" t="inlineStr">
        <is>
          <t>R260127-mysa</t>
        </is>
      </c>
      <c r="B1349" t="inlineStr">
        <is>
          <t>Mysa</t>
        </is>
      </c>
      <c r="C1349" s="17" t="n">
        <v>46049</v>
      </c>
      <c r="D1349" s="18" t="n">
        <v>46023</v>
      </c>
      <c r="E1349" s="19" t="n">
        <v>3.4</v>
      </c>
      <c r="F1349" s="19" t="n">
        <v>31.15</v>
      </c>
      <c r="G1349" t="inlineStr">
        <is>
          <t>$3.4 million</t>
        </is>
      </c>
      <c r="H1349" t="inlineStr">
        <is>
          <t>Pre-Series A</t>
        </is>
      </c>
      <c r="I1349" t="inlineStr">
        <is>
          <t>Early</t>
        </is>
      </c>
      <c r="J1349" t="inlineStr">
        <is>
          <t>Artificial Intelligence</t>
        </is>
      </c>
      <c r="K1349" t="inlineStr">
        <is>
          <t>Bengaluru</t>
        </is>
      </c>
      <c r="L1349" t="inlineStr">
        <is>
          <t>Blume Ventures; Piper Serica</t>
        </is>
      </c>
      <c r="M1349" t="inlineStr">
        <is>
          <t>Blume Ventures; Piper Serica; Ikemori Ventures; Dhan parent Raise Financial Services; QED Innovation Labs; Antler; IIMA Ventures; Neon Fund</t>
        </is>
      </c>
      <c r="N1349" t="inlineStr">
        <is>
          <t>entrackr | inc42 | et</t>
        </is>
      </c>
      <c r="O1349" s="20" t="n">
        <v>3</v>
      </c>
      <c r="P1349" s="21" t="n">
        <v>0</v>
      </c>
      <c r="Q1349" t="inlineStr"/>
      <c r="R1349" s="22" t="inlineStr">
        <is>
          <t>https://entrackr.com/snippets/b2b-fintech-startup-mysa-bags-34-mn-co-led-by-blume-ventures-and-piper-serica-11033678</t>
        </is>
      </c>
    </row>
    <row r="1350">
      <c r="A1350" t="inlineStr">
        <is>
          <t>R260127-nivaancare</t>
        </is>
      </c>
      <c r="B1350" t="inlineStr">
        <is>
          <t>Nivaan Care</t>
        </is>
      </c>
      <c r="C1350" s="17" t="n">
        <v>46049</v>
      </c>
      <c r="D1350" s="18" t="n">
        <v>46023</v>
      </c>
      <c r="E1350" s="19" t="n">
        <v>7</v>
      </c>
      <c r="F1350" s="19" t="n">
        <v>64.13</v>
      </c>
      <c r="G1350" t="inlineStr">
        <is>
          <t>$7 million</t>
        </is>
      </c>
      <c r="H1350" t="inlineStr">
        <is>
          <t>Series A</t>
        </is>
      </c>
      <c r="I1350" t="inlineStr">
        <is>
          <t>Early</t>
        </is>
      </c>
      <c r="J1350" t="inlineStr">
        <is>
          <t>Healthtech</t>
        </is>
      </c>
      <c r="K1350" t="inlineStr">
        <is>
          <t>Delhi NCR</t>
        </is>
      </c>
      <c r="L1350" t="inlineStr">
        <is>
          <t>Sorin Investments</t>
        </is>
      </c>
      <c r="M1350" t="inlineStr">
        <is>
          <t>Sorin Investments; W Health Ventures; Endiya Partners; Rebright Partners</t>
        </is>
      </c>
      <c r="N1350" t="inlineStr">
        <is>
          <t>entrackr | inc42 | et</t>
        </is>
      </c>
      <c r="O1350" s="20" t="n">
        <v>3</v>
      </c>
      <c r="P1350" s="21" t="n">
        <v>0</v>
      </c>
      <c r="Q1350" t="inlineStr"/>
      <c r="R1350" s="22" t="inlineStr">
        <is>
          <t>https://entrackr.com/snippets/nivaan-care-raises-7-mn-in-series-a-round-led-by-sorin-investments-11032479</t>
        </is>
      </c>
    </row>
    <row r="1351">
      <c r="A1351" t="inlineStr">
        <is>
          <t>R260127-spotdraft</t>
        </is>
      </c>
      <c r="B1351" t="inlineStr">
        <is>
          <t>SpotDraft</t>
        </is>
      </c>
      <c r="C1351" s="17" t="n">
        <v>46049</v>
      </c>
      <c r="D1351" s="18" t="n">
        <v>46023</v>
      </c>
      <c r="E1351" s="19" t="n">
        <v>8</v>
      </c>
      <c r="F1351" s="19" t="n">
        <v>73.3</v>
      </c>
      <c r="G1351" t="inlineStr">
        <is>
          <t>$8 million</t>
        </is>
      </c>
      <c r="H1351" t="inlineStr">
        <is>
          <t>Series B</t>
        </is>
      </c>
      <c r="I1351" t="inlineStr">
        <is>
          <t>Growth</t>
        </is>
      </c>
      <c r="J1351" t="inlineStr">
        <is>
          <t>Enterprise Tech</t>
        </is>
      </c>
      <c r="K1351" t="inlineStr">
        <is>
          <t>Bengaluru</t>
        </is>
      </c>
      <c r="L1351" t="inlineStr">
        <is>
          <t>Qualcomm Ventures</t>
        </is>
      </c>
      <c r="M1351" t="inlineStr">
        <is>
          <t>Qualcomm Ventures</t>
        </is>
      </c>
      <c r="N1351" t="inlineStr">
        <is>
          <t>entrackr | inc42 | et</t>
        </is>
      </c>
      <c r="O1351" s="20" t="n">
        <v>3</v>
      </c>
      <c r="P1351" s="21" t="n">
        <v>0</v>
      </c>
      <c r="Q1351" t="inlineStr"/>
      <c r="R1351" s="22" t="inlineStr">
        <is>
          <t>https://entrackr.com/news/legal-tech-startup-spotdraft-raises-8-mn-in-series-b-extension-11032844</t>
        </is>
      </c>
    </row>
    <row r="1352">
      <c r="A1352" t="inlineStr">
        <is>
          <t>R260128-agranilabs</t>
        </is>
      </c>
      <c r="B1352" t="inlineStr">
        <is>
          <t>Agrani Labs</t>
        </is>
      </c>
      <c r="C1352" s="17" t="n">
        <v>46050</v>
      </c>
      <c r="D1352" s="18" t="n">
        <v>46023</v>
      </c>
      <c r="E1352" s="19" t="n">
        <v>8</v>
      </c>
      <c r="F1352" s="19" t="n">
        <v>73.55</v>
      </c>
      <c r="G1352" t="inlineStr">
        <is>
          <t>$8 million</t>
        </is>
      </c>
      <c r="H1352" t="inlineStr">
        <is>
          <t>Seed</t>
        </is>
      </c>
      <c r="I1352" t="inlineStr">
        <is>
          <t>Early</t>
        </is>
      </c>
      <c r="J1352" t="inlineStr">
        <is>
          <t>Advanced Hardware &amp; Technology</t>
        </is>
      </c>
      <c r="K1352" t="inlineStr">
        <is>
          <t>Bengaluru</t>
        </is>
      </c>
      <c r="L1352" t="inlineStr">
        <is>
          <t>Peak XV Partners</t>
        </is>
      </c>
      <c r="M1352" t="inlineStr">
        <is>
          <t>Peak XV Partners</t>
        </is>
      </c>
      <c r="N1352" t="inlineStr">
        <is>
          <t>entrackr | inc42</t>
        </is>
      </c>
      <c r="O1352" s="20" t="n">
        <v>2</v>
      </c>
      <c r="P1352" s="21" t="n">
        <v>0</v>
      </c>
      <c r="Q1352" t="inlineStr"/>
      <c r="R1352" s="22" t="inlineStr">
        <is>
          <t>https://entrackr.com/snippets/ai-semiconductor-startup-agrani-labs-raises-8-mn-led-by-peak-xv-11036130</t>
        </is>
      </c>
    </row>
    <row r="1353">
      <c r="A1353" t="inlineStr">
        <is>
          <t>R260128-aquaairx</t>
        </is>
      </c>
      <c r="B1353" t="inlineStr">
        <is>
          <t>AquaAirX</t>
        </is>
      </c>
      <c r="C1353" s="17" t="n">
        <v>46050</v>
      </c>
      <c r="D1353" s="18" t="n">
        <v>46023</v>
      </c>
      <c r="E1353" s="19" t="n">
        <v>1.36</v>
      </c>
      <c r="F1353" s="19" t="n">
        <v>12.5</v>
      </c>
      <c r="G1353" t="inlineStr">
        <is>
          <t>Rs 12.5 crore</t>
        </is>
      </c>
      <c r="H1353" t="inlineStr">
        <is>
          <t>Seed</t>
        </is>
      </c>
      <c r="I1353" t="inlineStr">
        <is>
          <t>Early</t>
        </is>
      </c>
      <c r="J1353" t="inlineStr">
        <is>
          <t>Advanced Hardware &amp; Technology</t>
        </is>
      </c>
      <c r="K1353" t="inlineStr">
        <is>
          <t>Bengaluru</t>
        </is>
      </c>
      <c r="L1353" t="inlineStr">
        <is>
          <t>Rainmatter</t>
        </is>
      </c>
      <c r="M1353" t="inlineStr">
        <is>
          <t>Rainmatter; Prime Venture Partners; Wyser; India Accelerator</t>
        </is>
      </c>
      <c r="N1353" t="inlineStr">
        <is>
          <t>entrackr | inc42 | et</t>
        </is>
      </c>
      <c r="O1353" s="20" t="n">
        <v>3</v>
      </c>
      <c r="P1353" s="21" t="n">
        <v>3</v>
      </c>
      <c r="Q1353" t="inlineStr"/>
      <c r="R1353" s="22" t="inlineStr">
        <is>
          <t>https://entrackr.com/snippets/deep-tech-startup-aquaairx-raises-rs-125-cr-in-seed-round-led-by-rainmatter-11036677</t>
        </is>
      </c>
    </row>
    <row r="1354">
      <c r="A1354" t="inlineStr">
        <is>
          <t>R260128-dpropulse</t>
        </is>
      </c>
      <c r="B1354" t="inlineStr">
        <is>
          <t>D-Propulse</t>
        </is>
      </c>
      <c r="C1354" s="17" t="n">
        <v>46050</v>
      </c>
      <c r="D1354" s="18" t="n">
        <v>46023</v>
      </c>
      <c r="E1354" s="19" t="n">
        <v>2.7</v>
      </c>
      <c r="F1354" s="19" t="n">
        <v>24.82</v>
      </c>
      <c r="G1354" t="inlineStr">
        <is>
          <t>$2.7 Mn</t>
        </is>
      </c>
      <c r="H1354" t="inlineStr">
        <is>
          <t>Undisclosed</t>
        </is>
      </c>
      <c r="I1354" t="inlineStr">
        <is>
          <t>Undisclosed</t>
        </is>
      </c>
      <c r="J1354" t="inlineStr">
        <is>
          <t>Advanced Hardware &amp; Technology</t>
        </is>
      </c>
      <c r="K1354" t="inlineStr">
        <is>
          <t>Unknown</t>
        </is>
      </c>
      <c r="L1354" t="inlineStr">
        <is>
          <t>IAN Alpha Fund</t>
        </is>
      </c>
      <c r="M1354" t="inlineStr">
        <is>
          <t>IAN Alpha Fund</t>
        </is>
      </c>
      <c r="N1354" t="inlineStr">
        <is>
          <t>inc42</t>
        </is>
      </c>
      <c r="O1354" s="20" t="n">
        <v>1</v>
      </c>
      <c r="P1354" s="21" t="n">
        <v>0</v>
      </c>
      <c r="Q1354" t="inlineStr">
        <is>
          <t>C04 C07</t>
        </is>
      </c>
      <c r="R1354" s="22" t="inlineStr">
        <is>
          <t>https://inc42.com/buzz/from-easy-home-finance-to-4basecare-indian-startups-raised-96-mn-this-week/</t>
        </is>
      </c>
    </row>
    <row r="1355">
      <c r="A1355" t="inlineStr">
        <is>
          <t>R260128-easyhomefinanc</t>
        </is>
      </c>
      <c r="B1355" t="inlineStr">
        <is>
          <t>Easy Home Finance</t>
        </is>
      </c>
      <c r="C1355" s="17" t="n">
        <v>46050</v>
      </c>
      <c r="D1355" s="18" t="n">
        <v>46023</v>
      </c>
      <c r="E1355" s="19" t="n">
        <v>30</v>
      </c>
      <c r="F1355" s="19" t="n">
        <v>275.82</v>
      </c>
      <c r="G1355" t="inlineStr">
        <is>
          <t>$30 million</t>
        </is>
      </c>
      <c r="H1355" t="inlineStr">
        <is>
          <t>Series C</t>
        </is>
      </c>
      <c r="I1355" t="inlineStr">
        <is>
          <t>Growth</t>
        </is>
      </c>
      <c r="J1355" t="inlineStr">
        <is>
          <t>Fintech</t>
        </is>
      </c>
      <c r="K1355" t="inlineStr">
        <is>
          <t>Mumbai</t>
        </is>
      </c>
      <c r="L1355" t="inlineStr">
        <is>
          <t>Investcorp</t>
        </is>
      </c>
      <c r="M1355" t="inlineStr">
        <is>
          <t>Investcorp; Claypond Capital; Ranjan Pai Family Office; Asia Rising Fund; SMBC Asia Fund</t>
        </is>
      </c>
      <c r="N1355" t="inlineStr">
        <is>
          <t>entrackr | inc42 | et</t>
        </is>
      </c>
      <c r="O1355" s="20" t="n">
        <v>3</v>
      </c>
      <c r="P1355" s="21" t="n">
        <v>0</v>
      </c>
      <c r="Q1355" t="inlineStr"/>
      <c r="R1355" s="22" t="inlineStr">
        <is>
          <t>https://inc42.com/buzz/from-easy-home-finance-to-4basecare-indian-startups-raised-96-mn-this-week/</t>
        </is>
      </c>
    </row>
    <row r="1356">
      <c r="A1356" t="inlineStr">
        <is>
          <t>R260128-koreai</t>
        </is>
      </c>
      <c r="B1356" t="inlineStr">
        <is>
          <t>Kore.ai</t>
        </is>
      </c>
      <c r="C1356" s="17" t="n">
        <v>46050</v>
      </c>
      <c r="D1356" s="18" t="n">
        <v>46023</v>
      </c>
      <c r="E1356" s="19" t="n"/>
      <c r="F1356" s="19" t="n"/>
      <c r="G1356" t="inlineStr"/>
      <c r="H1356" t="inlineStr">
        <is>
          <t>Undisclosed</t>
        </is>
      </c>
      <c r="I1356" t="inlineStr">
        <is>
          <t>Undisclosed</t>
        </is>
      </c>
      <c r="J1356" t="inlineStr">
        <is>
          <t>Artificial Intelligence</t>
        </is>
      </c>
      <c r="K1356" t="inlineStr">
        <is>
          <t>Unknown</t>
        </is>
      </c>
      <c r="L1356" t="inlineStr"/>
      <c r="M1356" t="inlineStr">
        <is>
          <t>Vistara Growth; Beedie Capital; Sweetwater Private Equity</t>
        </is>
      </c>
      <c r="N1356" t="inlineStr">
        <is>
          <t>inc42</t>
        </is>
      </c>
      <c r="O1356" s="20" t="n">
        <v>1</v>
      </c>
      <c r="P1356" s="21" t="n"/>
      <c r="Q1356" t="inlineStr">
        <is>
          <t>C03 C04 C07</t>
        </is>
      </c>
      <c r="R1356" s="22" t="inlineStr">
        <is>
          <t>https://inc42.com/buzz/from-easy-home-finance-to-4basecare-indian-startups-raised-96-mn-this-week/</t>
        </is>
      </c>
    </row>
    <row r="1357">
      <c r="A1357" t="inlineStr">
        <is>
          <t>R260128-sbc</t>
        </is>
      </c>
      <c r="B1357" t="inlineStr">
        <is>
          <t>SBC LLP</t>
        </is>
      </c>
      <c r="C1357" s="17" t="n">
        <v>46050</v>
      </c>
      <c r="D1357" s="18" t="n">
        <v>46023</v>
      </c>
      <c r="E1357" s="19" t="n">
        <v>11.2</v>
      </c>
      <c r="F1357" s="19" t="n">
        <v>102.97</v>
      </c>
      <c r="G1357" t="inlineStr">
        <is>
          <t>$11.2 million</t>
        </is>
      </c>
      <c r="H1357" t="inlineStr">
        <is>
          <t>Pre-Series A</t>
        </is>
      </c>
      <c r="I1357" t="inlineStr">
        <is>
          <t>Early</t>
        </is>
      </c>
      <c r="J1357" t="inlineStr">
        <is>
          <t>Unclassified</t>
        </is>
      </c>
      <c r="K1357" t="inlineStr">
        <is>
          <t>Hyderabad</t>
        </is>
      </c>
      <c r="L1357" t="inlineStr">
        <is>
          <t>Raju Menon; Suresh Katamreddy</t>
        </is>
      </c>
      <c r="M1357" t="inlineStr">
        <is>
          <t>Raju Menon; Suresh Katamreddy</t>
        </is>
      </c>
      <c r="N1357" t="inlineStr">
        <is>
          <t>entrackr</t>
        </is>
      </c>
      <c r="O1357" s="20" t="n">
        <v>1</v>
      </c>
      <c r="P1357" s="21" t="n">
        <v>0</v>
      </c>
      <c r="Q1357" t="inlineStr">
        <is>
          <t>C06</t>
        </is>
      </c>
      <c r="R1357" s="22" t="inlineStr">
        <is>
          <t>https://entrackr.com/snippets/sbc-llp-raises-pre-series-a-funding-at-rs-100-cr-valuation-11037278</t>
        </is>
      </c>
    </row>
    <row r="1358">
      <c r="A1358" t="inlineStr">
        <is>
          <t>R260128-scrapuncle</t>
        </is>
      </c>
      <c r="B1358" t="inlineStr">
        <is>
          <t>ScrapUncle</t>
        </is>
      </c>
      <c r="C1358" s="17" t="n">
        <v>46050</v>
      </c>
      <c r="D1358" s="18" t="n">
        <v>46023</v>
      </c>
      <c r="E1358" s="19" t="n">
        <v>2.393</v>
      </c>
      <c r="F1358" s="19" t="n">
        <v>22</v>
      </c>
      <c r="G1358" t="inlineStr">
        <is>
          <t>Rs 22 crore</t>
        </is>
      </c>
      <c r="H1358" t="inlineStr">
        <is>
          <t>Pre-Series A</t>
        </is>
      </c>
      <c r="I1358" t="inlineStr">
        <is>
          <t>Early</t>
        </is>
      </c>
      <c r="J1358" t="inlineStr">
        <is>
          <t>Consumer Services</t>
        </is>
      </c>
      <c r="K1358" t="inlineStr">
        <is>
          <t>Delhi NCR</t>
        </is>
      </c>
      <c r="L1358" t="inlineStr">
        <is>
          <t>Orios Venture Partners; Acumen Fund</t>
        </is>
      </c>
      <c r="M1358" t="inlineStr">
        <is>
          <t>Orios Venture Partners; Acumen Fund; Upaya Social Ventures; Venture Catalysts; Circle; Soonicorn Ventures; Bharat Jaisinghani</t>
        </is>
      </c>
      <c r="N1358" t="inlineStr">
        <is>
          <t>entrackr | inc42</t>
        </is>
      </c>
      <c r="O1358" s="20" t="n">
        <v>2</v>
      </c>
      <c r="P1358" s="21" t="n">
        <v>0.3</v>
      </c>
      <c r="Q1358" t="inlineStr"/>
      <c r="R1358" s="22" t="inlineStr">
        <is>
          <t>https://entrackr.com/snippets/clean-tech-startup-scrapuncle-raises-rs-22-cr-in-pre-series-a-round-11036941</t>
        </is>
      </c>
    </row>
    <row r="1359">
      <c r="A1359" t="inlineStr">
        <is>
          <t>R260128-taketwo</t>
        </is>
      </c>
      <c r="B1359" t="inlineStr">
        <is>
          <t>TakeTwo</t>
        </is>
      </c>
      <c r="C1359" s="17" t="n">
        <v>46050</v>
      </c>
      <c r="D1359" s="18" t="n">
        <v>46023</v>
      </c>
      <c r="E1359" s="19" t="n"/>
      <c r="F1359" s="19" t="n"/>
      <c r="G1359" t="inlineStr"/>
      <c r="H1359" t="inlineStr">
        <is>
          <t>Pre-Seed</t>
        </is>
      </c>
      <c r="I1359" t="inlineStr">
        <is>
          <t>Early</t>
        </is>
      </c>
      <c r="J1359" t="inlineStr">
        <is>
          <t>Media &amp; Entertainment</t>
        </is>
      </c>
      <c r="K1359" t="inlineStr">
        <is>
          <t>Unknown</t>
        </is>
      </c>
      <c r="L1359" t="inlineStr"/>
      <c r="M1359" t="inlineStr">
        <is>
          <t>Afore Capital; Inovia VC</t>
        </is>
      </c>
      <c r="N1359" t="inlineStr">
        <is>
          <t>entrackr</t>
        </is>
      </c>
      <c r="O1359" s="20" t="n">
        <v>1</v>
      </c>
      <c r="P1359" s="21" t="n"/>
      <c r="Q1359" t="inlineStr">
        <is>
          <t>C03 C07</t>
        </is>
      </c>
      <c r="R1359" s="22" t="inlineStr">
        <is>
          <t>https://entrackr.com/snippets/ai-film-studio-taketwo-secures-funding-at-rs-100-cr-valuation-in-pre-seed-round-11037420</t>
        </is>
      </c>
    </row>
    <row r="1360">
      <c r="A1360" t="inlineStr">
        <is>
          <t>R260128-thestack</t>
        </is>
      </c>
      <c r="B1360" t="inlineStr">
        <is>
          <t>The Stack</t>
        </is>
      </c>
      <c r="C1360" s="17" t="n">
        <v>46050</v>
      </c>
      <c r="D1360" s="18" t="n">
        <v>46023</v>
      </c>
      <c r="E1360" s="19" t="n">
        <v>0.598</v>
      </c>
      <c r="F1360" s="19" t="n">
        <v>5.5</v>
      </c>
      <c r="G1360" t="inlineStr">
        <is>
          <t>Rs 5.5 crore</t>
        </is>
      </c>
      <c r="H1360" t="inlineStr">
        <is>
          <t>Pre-Seed</t>
        </is>
      </c>
      <c r="I1360" t="inlineStr">
        <is>
          <t>Early</t>
        </is>
      </c>
      <c r="J1360" t="inlineStr">
        <is>
          <t>Ecommerce</t>
        </is>
      </c>
      <c r="K1360" t="inlineStr">
        <is>
          <t>Unknown</t>
        </is>
      </c>
      <c r="L1360" t="inlineStr">
        <is>
          <t>OTP Ventures; Huddle Ventures</t>
        </is>
      </c>
      <c r="M1360" t="inlineStr">
        <is>
          <t>OTP Ventures; Huddle Ventures</t>
        </is>
      </c>
      <c r="N1360" t="inlineStr">
        <is>
          <t>entrackr | inc42</t>
        </is>
      </c>
      <c r="O1360" s="20" t="n">
        <v>2</v>
      </c>
      <c r="P1360" s="21" t="n">
        <v>10.3</v>
      </c>
      <c r="Q1360" t="inlineStr">
        <is>
          <t>C07 C15</t>
        </is>
      </c>
      <c r="R1360" s="22" t="inlineStr">
        <is>
          <t>https://entrackr.com/snippets/supplements-brand-the-stack-raises-pre-seed-funding-11037047</t>
        </is>
      </c>
    </row>
    <row r="1361">
      <c r="A1361" t="inlineStr">
        <is>
          <t>R260128-vimaglabs</t>
        </is>
      </c>
      <c r="B1361" t="inlineStr">
        <is>
          <t>Vimag Labs</t>
        </is>
      </c>
      <c r="C1361" s="17" t="n">
        <v>46050</v>
      </c>
      <c r="D1361" s="18" t="n">
        <v>46023</v>
      </c>
      <c r="E1361" s="19" t="n">
        <v>5</v>
      </c>
      <c r="F1361" s="19" t="n">
        <v>45.97</v>
      </c>
      <c r="G1361" t="inlineStr">
        <is>
          <t>$5 million</t>
        </is>
      </c>
      <c r="H1361" t="inlineStr">
        <is>
          <t>Series A</t>
        </is>
      </c>
      <c r="I1361" t="inlineStr">
        <is>
          <t>Early</t>
        </is>
      </c>
      <c r="J1361" t="inlineStr">
        <is>
          <t>Advanced Hardware &amp; Technology</t>
        </is>
      </c>
      <c r="K1361" t="inlineStr">
        <is>
          <t>Bengaluru</t>
        </is>
      </c>
      <c r="L1361" t="inlineStr">
        <is>
          <t>Accel; Thinkuvate</t>
        </is>
      </c>
      <c r="M1361" t="inlineStr">
        <is>
          <t>Accel; Chakra Growth Fund; Thinkuvate</t>
        </is>
      </c>
      <c r="N1361" t="inlineStr">
        <is>
          <t>entrackr | inc42 | et</t>
        </is>
      </c>
      <c r="O1361" s="20" t="n">
        <v>3</v>
      </c>
      <c r="P1361" s="21" t="n">
        <v>0</v>
      </c>
      <c r="Q1361" t="inlineStr"/>
      <c r="R1361" s="22" t="inlineStr">
        <is>
          <t>https://inc42.com/buzz/from-easy-home-finance-to-4basecare-indian-startups-raised-96-mn-this-week/</t>
        </is>
      </c>
    </row>
    <row r="1362">
      <c r="A1362" t="inlineStr">
        <is>
          <t>R260129-1buyai</t>
        </is>
      </c>
      <c r="B1362" t="inlineStr">
        <is>
          <t>1Buy.AI</t>
        </is>
      </c>
      <c r="C1362" s="17" t="n">
        <v>46051</v>
      </c>
      <c r="D1362" s="18" t="n">
        <v>46023</v>
      </c>
      <c r="E1362" s="19" t="n">
        <v>3.536</v>
      </c>
      <c r="F1362" s="19" t="n">
        <v>32.5</v>
      </c>
      <c r="G1362" t="inlineStr">
        <is>
          <t>Rs 32.5 crore</t>
        </is>
      </c>
      <c r="H1362" t="inlineStr">
        <is>
          <t>Seed</t>
        </is>
      </c>
      <c r="I1362" t="inlineStr">
        <is>
          <t>Early</t>
        </is>
      </c>
      <c r="J1362" t="inlineStr">
        <is>
          <t>Ecommerce</t>
        </is>
      </c>
      <c r="K1362" t="inlineStr">
        <is>
          <t>Delhi NCR</t>
        </is>
      </c>
      <c r="L1362" t="inlineStr">
        <is>
          <t>100Unicorns; Gruhas; FJ Labs</t>
        </is>
      </c>
      <c r="M1362" t="inlineStr">
        <is>
          <t>100Unicorns; Gruhas; FJ Labs; Ashish Kacholia</t>
        </is>
      </c>
      <c r="N1362" t="inlineStr">
        <is>
          <t>entrackr | inc42 | et</t>
        </is>
      </c>
      <c r="O1362" s="20" t="n">
        <v>3</v>
      </c>
      <c r="P1362" s="21" t="n">
        <v>1</v>
      </c>
      <c r="Q1362" t="inlineStr"/>
      <c r="R1362" s="22" t="inlineStr">
        <is>
          <t>https://entrackr.com/snippets/1buyai-raises-rs-325-cr-in-seed-round-led-by-100unicorns-11039023</t>
        </is>
      </c>
    </row>
    <row r="1363">
      <c r="A1363" t="inlineStr">
        <is>
          <t>R260129-biopeak</t>
        </is>
      </c>
      <c r="B1363" t="inlineStr">
        <is>
          <t>Biopeak</t>
        </is>
      </c>
      <c r="C1363" s="17" t="n">
        <v>46051</v>
      </c>
      <c r="D1363" s="18" t="n">
        <v>46023</v>
      </c>
      <c r="E1363" s="19" t="n">
        <v>2.7</v>
      </c>
      <c r="F1363" s="19" t="n">
        <v>24.82</v>
      </c>
      <c r="G1363" t="inlineStr">
        <is>
          <t>$2.7 million</t>
        </is>
      </c>
      <c r="H1363" t="inlineStr">
        <is>
          <t>Undisclosed</t>
        </is>
      </c>
      <c r="I1363" t="inlineStr">
        <is>
          <t>Undisclosed</t>
        </is>
      </c>
      <c r="J1363" t="inlineStr">
        <is>
          <t>Healthtech</t>
        </is>
      </c>
      <c r="K1363" t="inlineStr">
        <is>
          <t>Bengaluru</t>
        </is>
      </c>
      <c r="L1363" t="inlineStr">
        <is>
          <t>NKSquared; Nikhil Kamath</t>
        </is>
      </c>
      <c r="M1363" t="inlineStr">
        <is>
          <t>NKSquared; Nikhil Kamath</t>
        </is>
      </c>
      <c r="N1363" t="inlineStr">
        <is>
          <t>entrackr | inc42 | et</t>
        </is>
      </c>
      <c r="O1363" s="20" t="n">
        <v>3</v>
      </c>
      <c r="P1363" s="21" t="n">
        <v>0</v>
      </c>
      <c r="Q1363" t="inlineStr">
        <is>
          <t>C04</t>
        </is>
      </c>
      <c r="R1363" s="22" t="inlineStr">
        <is>
          <t>https://entrackr.com/snippets/health-tech-startup-biopeak-raises-27-mn-led-by-nikhil-kamaths-nksquared-11039707</t>
        </is>
      </c>
    </row>
    <row r="1364">
      <c r="A1364" t="inlineStr">
        <is>
          <t>R260129-cavaathleisure</t>
        </is>
      </c>
      <c r="B1364" t="inlineStr">
        <is>
          <t>CAVA Athleisure</t>
        </is>
      </c>
      <c r="C1364" s="17" t="n">
        <v>46051</v>
      </c>
      <c r="D1364" s="18" t="n">
        <v>46023</v>
      </c>
      <c r="E1364" s="19" t="n">
        <v>4.352</v>
      </c>
      <c r="F1364" s="19" t="n">
        <v>40</v>
      </c>
      <c r="G1364" t="inlineStr">
        <is>
          <t>Rs 40 crore</t>
        </is>
      </c>
      <c r="H1364" t="inlineStr">
        <is>
          <t>Series A</t>
        </is>
      </c>
      <c r="I1364" t="inlineStr">
        <is>
          <t>Early</t>
        </is>
      </c>
      <c r="J1364" t="inlineStr">
        <is>
          <t>Ecommerce</t>
        </is>
      </c>
      <c r="K1364" t="inlineStr">
        <is>
          <t>Bengaluru</t>
        </is>
      </c>
      <c r="L1364" t="inlineStr">
        <is>
          <t>Sharrp Ventures</t>
        </is>
      </c>
      <c r="M1364" t="inlineStr">
        <is>
          <t>Sharrp Ventures; V3 Ventures; Spring Marketing Capital</t>
        </is>
      </c>
      <c r="N1364" t="inlineStr">
        <is>
          <t>entrackr | inc42</t>
        </is>
      </c>
      <c r="O1364" s="20" t="n">
        <v>2</v>
      </c>
      <c r="P1364" s="21" t="n">
        <v>1.1</v>
      </c>
      <c r="Q1364" t="inlineStr"/>
      <c r="R1364" s="22" t="inlineStr">
        <is>
          <t>https://entrackr.com/snippets/cava-athleisure-secures-rs-40-cr-in-series-a-round-led-by-sharrp-ventures-11055826</t>
        </is>
      </c>
    </row>
    <row r="1365">
      <c r="A1365" t="inlineStr">
        <is>
          <t>R260129-earthsync</t>
        </is>
      </c>
      <c r="B1365" t="inlineStr">
        <is>
          <t>EarthSync</t>
        </is>
      </c>
      <c r="C1365" s="17" t="n">
        <v>46051</v>
      </c>
      <c r="D1365" s="18" t="n">
        <v>46023</v>
      </c>
      <c r="E1365" s="19" t="n">
        <v>1</v>
      </c>
      <c r="F1365" s="19" t="n">
        <v>9.19</v>
      </c>
      <c r="G1365" t="inlineStr">
        <is>
          <t>$1 million</t>
        </is>
      </c>
      <c r="H1365" t="inlineStr">
        <is>
          <t>Pre-Seed</t>
        </is>
      </c>
      <c r="I1365" t="inlineStr">
        <is>
          <t>Early</t>
        </is>
      </c>
      <c r="J1365" t="inlineStr">
        <is>
          <t>Cleantech</t>
        </is>
      </c>
      <c r="K1365" t="inlineStr">
        <is>
          <t>Bengaluru</t>
        </is>
      </c>
      <c r="L1365" t="inlineStr">
        <is>
          <t>Theia Ventures</t>
        </is>
      </c>
      <c r="M1365" t="inlineStr">
        <is>
          <t>Theia Ventures; Eximius Ventures</t>
        </is>
      </c>
      <c r="N1365" t="inlineStr">
        <is>
          <t>entrackr | inc42</t>
        </is>
      </c>
      <c r="O1365" s="20" t="n">
        <v>2</v>
      </c>
      <c r="P1365" s="21" t="n">
        <v>0</v>
      </c>
      <c r="Q1365" t="inlineStr"/>
      <c r="R1365" s="22" t="inlineStr">
        <is>
          <t>https://entrackr.com/snippets/earthsync-raises-1-mn-in-pre-seed-round-led-by-theia-ventures-11038751</t>
        </is>
      </c>
    </row>
    <row r="1366">
      <c r="A1366" t="inlineStr">
        <is>
          <t>R260129-onearvo</t>
        </is>
      </c>
      <c r="B1366" t="inlineStr">
        <is>
          <t>OneARVO</t>
        </is>
      </c>
      <c r="C1366" s="17" t="n">
        <v>46051</v>
      </c>
      <c r="D1366" s="18" t="n">
        <v>46023</v>
      </c>
      <c r="E1366" s="19" t="n">
        <v>0.134</v>
      </c>
      <c r="F1366" s="19" t="n">
        <v>1.23</v>
      </c>
      <c r="G1366" t="inlineStr">
        <is>
          <t>Rs 1.23 crore</t>
        </is>
      </c>
      <c r="H1366" t="inlineStr">
        <is>
          <t>Pre-Seed</t>
        </is>
      </c>
      <c r="I1366" t="inlineStr">
        <is>
          <t>Early</t>
        </is>
      </c>
      <c r="J1366" t="inlineStr">
        <is>
          <t>Enterprise Tech</t>
        </is>
      </c>
      <c r="K1366" t="inlineStr">
        <is>
          <t>Delhi NCR</t>
        </is>
      </c>
      <c r="L1366" t="inlineStr">
        <is>
          <t>Inflection Point Ventures</t>
        </is>
      </c>
      <c r="M1366" t="inlineStr">
        <is>
          <t>Inflection Point Ventures</t>
        </is>
      </c>
      <c r="N1366" t="inlineStr">
        <is>
          <t>entrackr | inc42</t>
        </is>
      </c>
      <c r="O1366" s="20" t="n">
        <v>2</v>
      </c>
      <c r="P1366" s="21" t="n">
        <v>0.1</v>
      </c>
      <c r="Q1366" t="inlineStr"/>
      <c r="R1366" s="22" t="inlineStr">
        <is>
          <t>https://entrackr.com/snippets/deep-tech-startup-onearvo-raises-pre-seed-round-led-by-ipv-11039524</t>
        </is>
      </c>
    </row>
    <row r="1367">
      <c r="A1367" t="inlineStr">
        <is>
          <t>R260131-jjgaero</t>
        </is>
      </c>
      <c r="B1367" t="inlineStr">
        <is>
          <t>JJG Aero</t>
        </is>
      </c>
      <c r="C1367" s="17" t="n">
        <v>46053</v>
      </c>
      <c r="D1367" s="18" t="n">
        <v>46023</v>
      </c>
      <c r="E1367" s="19" t="n">
        <v>30</v>
      </c>
      <c r="F1367" s="19" t="n">
        <v>275.82</v>
      </c>
      <c r="G1367" t="inlineStr">
        <is>
          <t>$30 million</t>
        </is>
      </c>
      <c r="H1367" t="inlineStr">
        <is>
          <t>Series B</t>
        </is>
      </c>
      <c r="I1367" t="inlineStr">
        <is>
          <t>Growth</t>
        </is>
      </c>
      <c r="J1367" t="inlineStr">
        <is>
          <t>Advanced Hardware &amp; Technology</t>
        </is>
      </c>
      <c r="K1367" t="inlineStr">
        <is>
          <t>Bengaluru</t>
        </is>
      </c>
      <c r="L1367" t="inlineStr">
        <is>
          <t>Norwest</t>
        </is>
      </c>
      <c r="M1367" t="inlineStr">
        <is>
          <t>Norwest</t>
        </is>
      </c>
      <c r="N1367" t="inlineStr">
        <is>
          <t>entrackr | et | vccircle</t>
        </is>
      </c>
      <c r="O1367" s="20" t="n">
        <v>3</v>
      </c>
      <c r="P1367" s="21" t="n">
        <v>0</v>
      </c>
      <c r="Q1367" t="inlineStr"/>
      <c r="R1367" s="22" t="inlineStr">
        <is>
          <t>https://economictimes.indiatimes.com/tech/funding/jjg-aero-raises-30-million-from-norwest-to-scale-capacity/articleshow/127805796.cms</t>
        </is>
      </c>
    </row>
    <row r="1368">
      <c r="A1368" t="inlineStr">
        <is>
          <t>R260202-dreamflyinnova</t>
        </is>
      </c>
      <c r="B1368" t="inlineStr">
        <is>
          <t>Dreamfly Innovations</t>
        </is>
      </c>
      <c r="C1368" s="17" t="n">
        <v>46055</v>
      </c>
      <c r="D1368" s="18" t="n">
        <v>46054</v>
      </c>
      <c r="E1368" s="19" t="n">
        <v>0.328</v>
      </c>
      <c r="F1368" s="19" t="n">
        <v>3</v>
      </c>
      <c r="G1368" t="inlineStr">
        <is>
          <t>Rs 3 crore</t>
        </is>
      </c>
      <c r="H1368" t="inlineStr">
        <is>
          <t>Debt</t>
        </is>
      </c>
      <c r="I1368" t="inlineStr">
        <is>
          <t>Debt</t>
        </is>
      </c>
      <c r="J1368" t="inlineStr">
        <is>
          <t>Advanced Hardware &amp; Technology</t>
        </is>
      </c>
      <c r="K1368" t="inlineStr">
        <is>
          <t>Bengaluru</t>
        </is>
      </c>
      <c r="L1368" t="inlineStr">
        <is>
          <t>SIDBI</t>
        </is>
      </c>
      <c r="M1368" t="inlineStr">
        <is>
          <t>SIDBI</t>
        </is>
      </c>
      <c r="N1368" t="inlineStr">
        <is>
          <t>entrackr | inc42</t>
        </is>
      </c>
      <c r="O1368" s="20" t="n">
        <v>2</v>
      </c>
      <c r="P1368" s="21" t="n">
        <v>1</v>
      </c>
      <c r="Q1368" t="inlineStr">
        <is>
          <t>C11</t>
        </is>
      </c>
      <c r="R1368" s="22" t="inlineStr">
        <is>
          <t>https://entrackr.com/snippets/dreamfly-innovations-raises-rs-3-cr-debt-from-sidbi-11066996</t>
        </is>
      </c>
    </row>
    <row r="1369">
      <c r="A1369" t="inlineStr">
        <is>
          <t>R260202-drivn</t>
        </is>
      </c>
      <c r="B1369" t="inlineStr">
        <is>
          <t>Drivn</t>
        </is>
      </c>
      <c r="C1369" s="17" t="n">
        <v>46055</v>
      </c>
      <c r="D1369" s="18" t="n">
        <v>46054</v>
      </c>
      <c r="E1369" s="19" t="n">
        <v>80</v>
      </c>
      <c r="F1369" s="19" t="n">
        <v>732.5599999999999</v>
      </c>
      <c r="G1369" t="inlineStr">
        <is>
          <t>$80 million</t>
        </is>
      </c>
      <c r="H1369" t="inlineStr">
        <is>
          <t>Undisclosed</t>
        </is>
      </c>
      <c r="I1369" t="inlineStr">
        <is>
          <t>Undisclosed</t>
        </is>
      </c>
      <c r="J1369" t="inlineStr">
        <is>
          <t>Consumer Services</t>
        </is>
      </c>
      <c r="K1369" t="inlineStr">
        <is>
          <t>Delhi NCR</t>
        </is>
      </c>
      <c r="L1369" t="inlineStr"/>
      <c r="M1369" t="inlineStr">
        <is>
          <t>Nomura</t>
        </is>
      </c>
      <c r="N1369" t="inlineStr">
        <is>
          <t>entrackr | et | vccircle</t>
        </is>
      </c>
      <c r="O1369" s="20" t="n">
        <v>3</v>
      </c>
      <c r="P1369" s="21" t="n">
        <v>0</v>
      </c>
      <c r="Q1369" t="inlineStr">
        <is>
          <t>C04</t>
        </is>
      </c>
      <c r="R1369" s="22" t="inlineStr">
        <is>
          <t>https://entrackr.com/news/electric-mobility-platform-drivn-secures-80-mn-commitment-from-nomura-11068708</t>
        </is>
      </c>
    </row>
    <row r="1370">
      <c r="A1370" t="inlineStr">
        <is>
          <t>R260203-chinikum</t>
        </is>
      </c>
      <c r="B1370" t="inlineStr">
        <is>
          <t>CHINI KUM</t>
        </is>
      </c>
      <c r="C1370" s="17" t="n">
        <v>46056</v>
      </c>
      <c r="D1370" s="18" t="n">
        <v>46054</v>
      </c>
      <c r="E1370" s="19" t="n">
        <v>0.111</v>
      </c>
      <c r="F1370" s="19" t="n">
        <v>1</v>
      </c>
      <c r="G1370" t="inlineStr">
        <is>
          <t>Rs 1 crore</t>
        </is>
      </c>
      <c r="H1370" t="inlineStr">
        <is>
          <t>Pre-Seed</t>
        </is>
      </c>
      <c r="I1370" t="inlineStr">
        <is>
          <t>Early</t>
        </is>
      </c>
      <c r="J1370" t="inlineStr">
        <is>
          <t>Ecommerce</t>
        </is>
      </c>
      <c r="K1370" t="inlineStr">
        <is>
          <t>Unknown</t>
        </is>
      </c>
      <c r="L1370" t="inlineStr"/>
      <c r="M1370" t="inlineStr">
        <is>
          <t>Shobhit Gupta; Varun Sachdeva; Eiti Singhal</t>
        </is>
      </c>
      <c r="N1370" t="inlineStr">
        <is>
          <t>entrackr | inc42</t>
        </is>
      </c>
      <c r="O1370" s="20" t="n">
        <v>2</v>
      </c>
      <c r="P1370" s="21" t="n">
        <v>8.199999999999999</v>
      </c>
      <c r="Q1370" t="inlineStr">
        <is>
          <t>C07</t>
        </is>
      </c>
      <c r="R1370" s="22" t="inlineStr">
        <is>
          <t>https://inc42.com/buzz/from-the-whole-truth-to-zilo-indian-startups-raised-131-mn-this-week/</t>
        </is>
      </c>
    </row>
    <row r="1371">
      <c r="A1371" t="inlineStr">
        <is>
          <t>R260203-digitalstriker</t>
        </is>
      </c>
      <c r="B1371" t="inlineStr">
        <is>
          <t>Digital Striker</t>
        </is>
      </c>
      <c r="C1371" s="17" t="n">
        <v>46056</v>
      </c>
      <c r="D1371" s="18" t="n">
        <v>46054</v>
      </c>
      <c r="E1371" s="19" t="n">
        <v>1</v>
      </c>
      <c r="F1371" s="19" t="n">
        <v>9.01</v>
      </c>
      <c r="G1371" t="inlineStr">
        <is>
          <t>$1 million</t>
        </is>
      </c>
      <c r="H1371" t="inlineStr">
        <is>
          <t>Undisclosed</t>
        </is>
      </c>
      <c r="I1371" t="inlineStr">
        <is>
          <t>Undisclosed</t>
        </is>
      </c>
      <c r="J1371" t="inlineStr">
        <is>
          <t>Advanced Hardware &amp; Technology</t>
        </is>
      </c>
      <c r="K1371" t="inlineStr">
        <is>
          <t>Unknown</t>
        </is>
      </c>
      <c r="L1371" t="inlineStr"/>
      <c r="M1371" t="inlineStr">
        <is>
          <t>Foxhog Ventures</t>
        </is>
      </c>
      <c r="N1371" t="inlineStr">
        <is>
          <t>entrackr | inc42</t>
        </is>
      </c>
      <c r="O1371" s="20" t="n">
        <v>2</v>
      </c>
      <c r="P1371" s="21" t="n">
        <v>0</v>
      </c>
      <c r="Q1371" t="inlineStr">
        <is>
          <t>C04 C07</t>
        </is>
      </c>
      <c r="R1371" s="22" t="inlineStr">
        <is>
          <t>https://inc42.com/buzz/from-the-whole-truth-to-zilo-indian-startups-raised-131-mn-this-week/</t>
        </is>
      </c>
    </row>
    <row r="1372">
      <c r="A1372" t="inlineStr">
        <is>
          <t>R260203-loopai</t>
        </is>
      </c>
      <c r="B1372" t="inlineStr">
        <is>
          <t>Loop AI</t>
        </is>
      </c>
      <c r="C1372" s="17" t="n">
        <v>46056</v>
      </c>
      <c r="D1372" s="18" t="n">
        <v>46054</v>
      </c>
      <c r="E1372" s="19" t="n">
        <v>14</v>
      </c>
      <c r="F1372" s="19" t="n">
        <v>126.2</v>
      </c>
      <c r="G1372" t="inlineStr">
        <is>
          <t>$14 million</t>
        </is>
      </c>
      <c r="H1372" t="inlineStr">
        <is>
          <t>Series A</t>
        </is>
      </c>
      <c r="I1372" t="inlineStr">
        <is>
          <t>Early</t>
        </is>
      </c>
      <c r="J1372" t="inlineStr">
        <is>
          <t>Artificial Intelligence</t>
        </is>
      </c>
      <c r="K1372" t="inlineStr">
        <is>
          <t>Unknown</t>
        </is>
      </c>
      <c r="L1372" t="inlineStr">
        <is>
          <t>Nyca Partners</t>
        </is>
      </c>
      <c r="M1372" t="inlineStr">
        <is>
          <t>Nyca Partners; Gokul Rajaram; Base10; Afore Capital; Converge; Alumni Ventures; Data Tech Fund; John Pepper; 9Yards Capital; Operators Studio</t>
        </is>
      </c>
      <c r="N1372" t="inlineStr">
        <is>
          <t>entrackr | inc42</t>
        </is>
      </c>
      <c r="O1372" s="20" t="n">
        <v>2</v>
      </c>
      <c r="P1372" s="21" t="n">
        <v>0</v>
      </c>
      <c r="Q1372" t="inlineStr">
        <is>
          <t>C07</t>
        </is>
      </c>
      <c r="R1372" s="22" t="inlineStr">
        <is>
          <t>https://entrackr.com/snippets/enterprise-ai-platform-loop-ai-raises-14-mn-in-series-a-round-11072488</t>
        </is>
      </c>
    </row>
    <row r="1373">
      <c r="A1373" t="inlineStr">
        <is>
          <t>R260203-mindcase</t>
        </is>
      </c>
      <c r="B1373" t="inlineStr">
        <is>
          <t>Mindcase</t>
        </is>
      </c>
      <c r="C1373" s="17" t="n">
        <v>46056</v>
      </c>
      <c r="D1373" s="18" t="n">
        <v>46054</v>
      </c>
      <c r="E1373" s="19" t="n">
        <v>0.166</v>
      </c>
      <c r="F1373" s="19" t="n">
        <v>1.5</v>
      </c>
      <c r="G1373" t="inlineStr">
        <is>
          <t>Rs 1.5 crore</t>
        </is>
      </c>
      <c r="H1373" t="inlineStr">
        <is>
          <t>Pre-Seed</t>
        </is>
      </c>
      <c r="I1373" t="inlineStr">
        <is>
          <t>Early</t>
        </is>
      </c>
      <c r="J1373" t="inlineStr">
        <is>
          <t>Artificial Intelligence</t>
        </is>
      </c>
      <c r="K1373" t="inlineStr">
        <is>
          <t>Delhi NCR</t>
        </is>
      </c>
      <c r="L1373" t="inlineStr">
        <is>
          <t>AJVC</t>
        </is>
      </c>
      <c r="M1373" t="inlineStr">
        <is>
          <t>AJVC</t>
        </is>
      </c>
      <c r="N1373" t="inlineStr">
        <is>
          <t>entrackr | inc42</t>
        </is>
      </c>
      <c r="O1373" s="20" t="n">
        <v>2</v>
      </c>
      <c r="P1373" s="21" t="n">
        <v>0.9</v>
      </c>
      <c r="Q1373" t="inlineStr"/>
      <c r="R1373" s="22" t="inlineStr">
        <is>
          <t>https://entrackr.com/snippets/market-intelligence-startup-mindcase-raises-seed-funding-led-by-ajvc-11069641</t>
        </is>
      </c>
    </row>
    <row r="1374">
      <c r="A1374" t="inlineStr">
        <is>
          <t>R260203-sanyarkspace</t>
        </is>
      </c>
      <c r="B1374" t="inlineStr">
        <is>
          <t>Sanyark Space</t>
        </is>
      </c>
      <c r="C1374" s="17" t="n">
        <v>46056</v>
      </c>
      <c r="D1374" s="18" t="n">
        <v>46054</v>
      </c>
      <c r="E1374" s="19" t="n">
        <v>0.5</v>
      </c>
      <c r="F1374" s="19" t="n">
        <v>4.51</v>
      </c>
      <c r="G1374" t="inlineStr">
        <is>
          <t>$500K</t>
        </is>
      </c>
      <c r="H1374" t="inlineStr">
        <is>
          <t>Pre-Seed</t>
        </is>
      </c>
      <c r="I1374" t="inlineStr">
        <is>
          <t>Early</t>
        </is>
      </c>
      <c r="J1374" t="inlineStr">
        <is>
          <t>Advanced Hardware &amp; Technology</t>
        </is>
      </c>
      <c r="K1374" t="inlineStr">
        <is>
          <t>Unknown</t>
        </is>
      </c>
      <c r="L1374" t="inlineStr">
        <is>
          <t>AUM Ventures</t>
        </is>
      </c>
      <c r="M1374" t="inlineStr">
        <is>
          <t>AUM Ventures</t>
        </is>
      </c>
      <c r="N1374" t="inlineStr">
        <is>
          <t>inc42</t>
        </is>
      </c>
      <c r="O1374" s="20" t="n">
        <v>1</v>
      </c>
      <c r="P1374" s="21" t="n">
        <v>0</v>
      </c>
      <c r="Q1374" t="inlineStr">
        <is>
          <t>C07</t>
        </is>
      </c>
      <c r="R1374" s="22" t="inlineStr">
        <is>
          <t>https://inc42.com/buzz/from-the-whole-truth-to-zilo-indian-startups-raised-131-mn-this-week/</t>
        </is>
      </c>
    </row>
    <row r="1375">
      <c r="A1375" t="inlineStr">
        <is>
          <t>R260204-15degree</t>
        </is>
      </c>
      <c r="B1375" t="inlineStr">
        <is>
          <t>1.5 Degree</t>
        </is>
      </c>
      <c r="C1375" s="17" t="n">
        <v>46057</v>
      </c>
      <c r="D1375" s="18" t="n">
        <v>46054</v>
      </c>
      <c r="E1375" s="19" t="n">
        <v>1</v>
      </c>
      <c r="F1375" s="19" t="n">
        <v>9.039999999999999</v>
      </c>
      <c r="G1375" t="inlineStr">
        <is>
          <t>$1 million</t>
        </is>
      </c>
      <c r="H1375" t="inlineStr">
        <is>
          <t>Pre-Series A</t>
        </is>
      </c>
      <c r="I1375" t="inlineStr">
        <is>
          <t>Early</t>
        </is>
      </c>
      <c r="J1375" t="inlineStr">
        <is>
          <t>Ecommerce</t>
        </is>
      </c>
      <c r="K1375" t="inlineStr">
        <is>
          <t>Unknown</t>
        </is>
      </c>
      <c r="L1375" t="inlineStr">
        <is>
          <t>35North Venture</t>
        </is>
      </c>
      <c r="M1375" t="inlineStr">
        <is>
          <t>35North Venture</t>
        </is>
      </c>
      <c r="N1375" t="inlineStr">
        <is>
          <t>entrackr | inc42</t>
        </is>
      </c>
      <c r="O1375" s="20" t="n">
        <v>2</v>
      </c>
      <c r="P1375" s="21" t="n">
        <v>0</v>
      </c>
      <c r="Q1375" t="inlineStr">
        <is>
          <t>C07</t>
        </is>
      </c>
      <c r="R1375" s="22" t="inlineStr">
        <is>
          <t>https://entrackr.com/snippets/alternative-dairy-startup-15-degree-raises-1-mn-in-pre-series-a-led-by-35north-ventures-11074779</t>
        </is>
      </c>
    </row>
    <row r="1376">
      <c r="A1376" t="inlineStr">
        <is>
          <t>R260204-fibrai</t>
        </is>
      </c>
      <c r="B1376" t="inlineStr">
        <is>
          <t>Fibr AI</t>
        </is>
      </c>
      <c r="C1376" s="17" t="n">
        <v>46057</v>
      </c>
      <c r="D1376" s="18" t="n">
        <v>46054</v>
      </c>
      <c r="E1376" s="19" t="n">
        <v>5.7</v>
      </c>
      <c r="F1376" s="19" t="n">
        <v>51.53</v>
      </c>
      <c r="G1376" t="inlineStr">
        <is>
          <t>$5.7 million</t>
        </is>
      </c>
      <c r="H1376" t="inlineStr">
        <is>
          <t>Seed</t>
        </is>
      </c>
      <c r="I1376" t="inlineStr">
        <is>
          <t>Early</t>
        </is>
      </c>
      <c r="J1376" t="inlineStr">
        <is>
          <t>Artificial Intelligence</t>
        </is>
      </c>
      <c r="K1376" t="inlineStr">
        <is>
          <t>Unknown</t>
        </is>
      </c>
      <c r="L1376" t="inlineStr">
        <is>
          <t>Accel</t>
        </is>
      </c>
      <c r="M1376" t="inlineStr">
        <is>
          <t>Accel; WillowTree Ventures; MVP Ventures</t>
        </is>
      </c>
      <c r="N1376" t="inlineStr">
        <is>
          <t>entrackr | inc42 | et</t>
        </is>
      </c>
      <c r="O1376" s="20" t="n">
        <v>3</v>
      </c>
      <c r="P1376" s="21" t="n">
        <v>0</v>
      </c>
      <c r="Q1376" t="inlineStr">
        <is>
          <t>C07</t>
        </is>
      </c>
      <c r="R1376" s="22" t="inlineStr">
        <is>
          <t>https://economictimes.indiatimes.com/tech/funding/martech-startup-fibr-ai-raises-5-7-million-seed-round-led-by-accel/articleshow/127911775.cms</t>
        </is>
      </c>
    </row>
    <row r="1377">
      <c r="A1377" t="inlineStr">
        <is>
          <t>R260204-gamepoint</t>
        </is>
      </c>
      <c r="B1377" t="inlineStr">
        <is>
          <t>Gamepoint</t>
        </is>
      </c>
      <c r="C1377" s="17" t="n">
        <v>46057</v>
      </c>
      <c r="D1377" s="18" t="n">
        <v>46054</v>
      </c>
      <c r="E1377" s="19" t="n">
        <v>0.774</v>
      </c>
      <c r="F1377" s="19" t="n">
        <v>7</v>
      </c>
      <c r="G1377" t="inlineStr">
        <is>
          <t>Rs 7 crore</t>
        </is>
      </c>
      <c r="H1377" t="inlineStr">
        <is>
          <t>Pre-Series A</t>
        </is>
      </c>
      <c r="I1377" t="inlineStr">
        <is>
          <t>Early</t>
        </is>
      </c>
      <c r="J1377" t="inlineStr">
        <is>
          <t>Consumer Services</t>
        </is>
      </c>
      <c r="K1377" t="inlineStr">
        <is>
          <t>Hyderabad</t>
        </is>
      </c>
      <c r="L1377" t="inlineStr">
        <is>
          <t>Raj Narayanam; Aditya Vuchi</t>
        </is>
      </c>
      <c r="M1377" t="inlineStr">
        <is>
          <t>Raj Narayanam; Aditya Vuchi; Praveen Raju</t>
        </is>
      </c>
      <c r="N1377" t="inlineStr">
        <is>
          <t>entrackr | inc42</t>
        </is>
      </c>
      <c r="O1377" s="20" t="n">
        <v>2</v>
      </c>
      <c r="P1377" s="21" t="n">
        <v>0.4</v>
      </c>
      <c r="Q1377" t="inlineStr"/>
      <c r="R1377" s="22" t="inlineStr">
        <is>
          <t>https://entrackr.com/snippets/sports-tech-startup-gamepoint-raises-pre-series-a-round-11075216</t>
        </is>
      </c>
    </row>
    <row r="1378">
      <c r="A1378" t="inlineStr">
        <is>
          <t>R260204-thewholetruth</t>
        </is>
      </c>
      <c r="B1378" t="inlineStr">
        <is>
          <t>The Whole Truth</t>
        </is>
      </c>
      <c r="C1378" s="17" t="n">
        <v>46057</v>
      </c>
      <c r="D1378" s="18" t="n">
        <v>46054</v>
      </c>
      <c r="E1378" s="19" t="n">
        <v>51</v>
      </c>
      <c r="F1378" s="19" t="n">
        <v>461.09</v>
      </c>
      <c r="G1378" t="inlineStr">
        <is>
          <t>$51 million</t>
        </is>
      </c>
      <c r="H1378" t="inlineStr">
        <is>
          <t>Series D</t>
        </is>
      </c>
      <c r="I1378" t="inlineStr">
        <is>
          <t>Late</t>
        </is>
      </c>
      <c r="J1378" t="inlineStr">
        <is>
          <t>Ecommerce</t>
        </is>
      </c>
      <c r="K1378" t="inlineStr">
        <is>
          <t>Mumbai</t>
        </is>
      </c>
      <c r="L1378" t="inlineStr">
        <is>
          <t>Sauce.vc; Sofina; Peak XV Partners; Rainmatter Health; Ayra Ventures</t>
        </is>
      </c>
      <c r="M1378" t="inlineStr">
        <is>
          <t>Sauce.vc; Sofina; Peak XV Partners; Rainmatter Health; AYRA Ventures; Z47</t>
        </is>
      </c>
      <c r="N1378" t="inlineStr">
        <is>
          <t>entrackr | inc42 | et</t>
        </is>
      </c>
      <c r="O1378" s="20" t="n">
        <v>3</v>
      </c>
      <c r="P1378" s="21" t="n">
        <v>0</v>
      </c>
      <c r="Q1378" t="inlineStr"/>
      <c r="R1378" s="22" t="inlineStr">
        <is>
          <t>https://entrackr.com/news/the-whole-truth-raises-51-mn-in-series-d-funding-11074658</t>
        </is>
      </c>
    </row>
    <row r="1379">
      <c r="A1379" t="inlineStr">
        <is>
          <t>R260204-varaha</t>
        </is>
      </c>
      <c r="B1379" t="inlineStr">
        <is>
          <t>Varaha</t>
        </is>
      </c>
      <c r="C1379" s="17" t="n">
        <v>46057</v>
      </c>
      <c r="D1379" s="18" t="n">
        <v>46054</v>
      </c>
      <c r="E1379" s="19" t="n">
        <v>20</v>
      </c>
      <c r="F1379" s="19" t="n">
        <v>180.82</v>
      </c>
      <c r="G1379" t="inlineStr">
        <is>
          <t>$20 million</t>
        </is>
      </c>
      <c r="H1379" t="inlineStr">
        <is>
          <t>Series B</t>
        </is>
      </c>
      <c r="I1379" t="inlineStr">
        <is>
          <t>Growth</t>
        </is>
      </c>
      <c r="J1379" t="inlineStr">
        <is>
          <t>Cleantech</t>
        </is>
      </c>
      <c r="K1379" t="inlineStr">
        <is>
          <t>Delhi NCR</t>
        </is>
      </c>
      <c r="L1379" t="inlineStr">
        <is>
          <t>WestBridge Capital</t>
        </is>
      </c>
      <c r="M1379" t="inlineStr">
        <is>
          <t>WestBridge Capital; Omnivore Ventures; RTP Global</t>
        </is>
      </c>
      <c r="N1379" t="inlineStr">
        <is>
          <t>entrackr | inc42 | et</t>
        </is>
      </c>
      <c r="O1379" s="20" t="n">
        <v>3</v>
      </c>
      <c r="P1379" s="21" t="n">
        <v>125</v>
      </c>
      <c r="Q1379" t="inlineStr">
        <is>
          <t>C15</t>
        </is>
      </c>
      <c r="R1379" s="22" t="inlineStr">
        <is>
          <t>https://entrackr.com/news/climate-tech-startup-varaha-raises-20-mn-in-series-b-led-by-westbridge-capital-11074654</t>
        </is>
      </c>
    </row>
    <row r="1380">
      <c r="A1380" t="inlineStr">
        <is>
          <t>R260204-vibrium</t>
        </is>
      </c>
      <c r="B1380" t="inlineStr">
        <is>
          <t>Vibrium</t>
        </is>
      </c>
      <c r="C1380" s="17" t="n">
        <v>46057</v>
      </c>
      <c r="D1380" s="18" t="n">
        <v>46054</v>
      </c>
      <c r="E1380" s="19" t="n">
        <v>1</v>
      </c>
      <c r="F1380" s="19" t="n">
        <v>9.039999999999999</v>
      </c>
      <c r="G1380" t="inlineStr">
        <is>
          <t>$1 million</t>
        </is>
      </c>
      <c r="H1380" t="inlineStr">
        <is>
          <t>Seed</t>
        </is>
      </c>
      <c r="I1380" t="inlineStr">
        <is>
          <t>Early</t>
        </is>
      </c>
      <c r="J1380" t="inlineStr">
        <is>
          <t>Artificial Intelligence</t>
        </is>
      </c>
      <c r="K1380" t="inlineStr">
        <is>
          <t>Delhi NCR</t>
        </is>
      </c>
      <c r="L1380" t="inlineStr"/>
      <c r="M1380" t="inlineStr">
        <is>
          <t>Paytm’s ex-COO Bhavesh Gupta</t>
        </is>
      </c>
      <c r="N1380" t="inlineStr">
        <is>
          <t>entrackr | inc42</t>
        </is>
      </c>
      <c r="O1380" s="20" t="n">
        <v>2</v>
      </c>
      <c r="P1380" s="21" t="n">
        <v>0</v>
      </c>
      <c r="Q1380" t="inlineStr"/>
      <c r="R1380" s="22" t="inlineStr">
        <is>
          <t>https://entrackr.com/snippets/agentic-ai-platform-vibrium-raises-1-mn-in-seed-round-11075601</t>
        </is>
      </c>
    </row>
    <row r="1381">
      <c r="A1381" t="inlineStr">
        <is>
          <t>R260205-drdoodley</t>
        </is>
      </c>
      <c r="B1381" t="inlineStr">
        <is>
          <t>Dr. Doodley</t>
        </is>
      </c>
      <c r="C1381" s="17" t="n">
        <v>46058</v>
      </c>
      <c r="D1381" s="18" t="n">
        <v>46054</v>
      </c>
      <c r="E1381" s="19" t="n">
        <v>3.3</v>
      </c>
      <c r="F1381" s="19" t="n">
        <v>29.8</v>
      </c>
      <c r="G1381" t="inlineStr">
        <is>
          <t>$3.3 million</t>
        </is>
      </c>
      <c r="H1381" t="inlineStr">
        <is>
          <t>Pre-Series A</t>
        </is>
      </c>
      <c r="I1381" t="inlineStr">
        <is>
          <t>Early</t>
        </is>
      </c>
      <c r="J1381" t="inlineStr">
        <is>
          <t>Consumer Services</t>
        </is>
      </c>
      <c r="K1381" t="inlineStr">
        <is>
          <t>Unknown</t>
        </is>
      </c>
      <c r="L1381" t="inlineStr">
        <is>
          <t>V3 Ventures</t>
        </is>
      </c>
      <c r="M1381" t="inlineStr">
        <is>
          <t>V3 Ventures; Campus Fund; Thackersey Family Office; Yatin Shah; Karan Bhagat; Gautam Dalmia</t>
        </is>
      </c>
      <c r="N1381" t="inlineStr">
        <is>
          <t>entrackr | inc42</t>
        </is>
      </c>
      <c r="O1381" s="20" t="n">
        <v>2</v>
      </c>
      <c r="P1381" s="21" t="n">
        <v>0</v>
      </c>
      <c r="Q1381" t="inlineStr">
        <is>
          <t>C07</t>
        </is>
      </c>
      <c r="R1381" s="22" t="inlineStr">
        <is>
          <t>https://entrackr.com/snippets/pet-healthcare-startup-dr-doodley-raises-33-mn-in-pre-series-a-11077794</t>
        </is>
      </c>
    </row>
    <row r="1382">
      <c r="A1382" t="inlineStr">
        <is>
          <t>R260205-eyerov</t>
        </is>
      </c>
      <c r="B1382" t="inlineStr">
        <is>
          <t>EyeROV</t>
        </is>
      </c>
      <c r="C1382" s="17" t="n">
        <v>46058</v>
      </c>
      <c r="D1382" s="18" t="n">
        <v>46054</v>
      </c>
      <c r="E1382" s="19" t="n">
        <v>1.439</v>
      </c>
      <c r="F1382" s="19" t="n">
        <v>13</v>
      </c>
      <c r="G1382" t="inlineStr">
        <is>
          <t>Rs 13 crore</t>
        </is>
      </c>
      <c r="H1382" t="inlineStr">
        <is>
          <t>Pre-Series A</t>
        </is>
      </c>
      <c r="I1382" t="inlineStr">
        <is>
          <t>Early</t>
        </is>
      </c>
      <c r="J1382" t="inlineStr">
        <is>
          <t>Advanced Hardware &amp; Technology</t>
        </is>
      </c>
      <c r="K1382" t="inlineStr">
        <is>
          <t>Unknown</t>
        </is>
      </c>
      <c r="L1382" t="inlineStr">
        <is>
          <t>Unicorn India Ventures</t>
        </is>
      </c>
      <c r="M1382" t="inlineStr">
        <is>
          <t>Unicorn India Ventures</t>
        </is>
      </c>
      <c r="N1382" t="inlineStr">
        <is>
          <t>entrackr | inc42</t>
        </is>
      </c>
      <c r="O1382" s="20" t="n">
        <v>2</v>
      </c>
      <c r="P1382" s="21" t="n">
        <v>2.8</v>
      </c>
      <c r="Q1382" t="inlineStr">
        <is>
          <t>C07</t>
        </is>
      </c>
      <c r="R1382" s="22" t="inlineStr">
        <is>
          <t>https://entrackr.com/snippets/marine-robotics-startup-eyerov-raises-rs-13-cr-in-pre-series-a-round-11078128</t>
        </is>
      </c>
    </row>
    <row r="1383">
      <c r="A1383" t="inlineStr">
        <is>
          <t>R260205-goodmonk</t>
        </is>
      </c>
      <c r="B1383" t="inlineStr">
        <is>
          <t>Good Monk</t>
        </is>
      </c>
      <c r="C1383" s="17" t="n">
        <v>46058</v>
      </c>
      <c r="D1383" s="18" t="n">
        <v>46054</v>
      </c>
      <c r="E1383" s="19" t="n">
        <v>3.654</v>
      </c>
      <c r="F1383" s="19" t="n">
        <v>33</v>
      </c>
      <c r="G1383" t="inlineStr">
        <is>
          <t>Rs 33 crore</t>
        </is>
      </c>
      <c r="H1383" t="inlineStr">
        <is>
          <t>Pre-Series A</t>
        </is>
      </c>
      <c r="I1383" t="inlineStr">
        <is>
          <t>Early</t>
        </is>
      </c>
      <c r="J1383" t="inlineStr">
        <is>
          <t>Ecommerce</t>
        </is>
      </c>
      <c r="K1383" t="inlineStr">
        <is>
          <t>Bengaluru</t>
        </is>
      </c>
      <c r="L1383" t="inlineStr">
        <is>
          <t>RPSG Capital Ventures</t>
        </is>
      </c>
      <c r="M1383" t="inlineStr">
        <is>
          <t>RPSG Capital Ventures; Sharrp Ventures; Hyperscale Ventures</t>
        </is>
      </c>
      <c r="N1383" t="inlineStr">
        <is>
          <t>entrackr | inc42</t>
        </is>
      </c>
      <c r="O1383" s="20" t="n">
        <v>2</v>
      </c>
      <c r="P1383" s="21" t="n">
        <v>1.5</v>
      </c>
      <c r="Q1383" t="inlineStr"/>
      <c r="R1383" s="22" t="inlineStr">
        <is>
          <t>https://entrackr.com/news/preventive-nutrition-startup-good-monk-raises-rs-33-cr-in-pre-series-a-round-11077895</t>
        </is>
      </c>
    </row>
    <row r="1384">
      <c r="A1384" t="inlineStr">
        <is>
          <t>R260205-materialdepot</t>
        </is>
      </c>
      <c r="B1384" t="inlineStr">
        <is>
          <t>Material Depot</t>
        </is>
      </c>
      <c r="C1384" s="17" t="n">
        <v>46058</v>
      </c>
      <c r="D1384" s="18" t="n">
        <v>46054</v>
      </c>
      <c r="E1384" s="19" t="n">
        <v>10</v>
      </c>
      <c r="F1384" s="19" t="n">
        <v>90.31</v>
      </c>
      <c r="G1384" t="inlineStr">
        <is>
          <t>$10 million</t>
        </is>
      </c>
      <c r="H1384" t="inlineStr">
        <is>
          <t>Series A</t>
        </is>
      </c>
      <c r="I1384" t="inlineStr">
        <is>
          <t>Early</t>
        </is>
      </c>
      <c r="J1384" t="inlineStr">
        <is>
          <t>Ecommerce</t>
        </is>
      </c>
      <c r="K1384" t="inlineStr">
        <is>
          <t>Bengaluru</t>
        </is>
      </c>
      <c r="L1384" t="inlineStr">
        <is>
          <t>Accel; Stellaris Venture Partners</t>
        </is>
      </c>
      <c r="M1384" t="inlineStr">
        <is>
          <t>Accel; Stellaris Venture Partners; Whiteboard Capital; DeVC; Soma Capital; MyAsiaVC; Ramakant Sharma; Ankit Nagori; Shashvat Nakrani; Niraj Singh; Abhishek Goyal; Vineet Khanna</t>
        </is>
      </c>
      <c r="N1384" t="inlineStr">
        <is>
          <t>entrackr | inc42 | et</t>
        </is>
      </c>
      <c r="O1384" s="20" t="n">
        <v>3</v>
      </c>
      <c r="P1384" s="21" t="n">
        <v>0</v>
      </c>
      <c r="Q1384" t="inlineStr"/>
      <c r="R1384" s="22" t="inlineStr">
        <is>
          <t>https://entrackr.com/snippets/material-depot-raises-10-mn-led-by-accel-and-stellaris-venture-partners-11077672</t>
        </is>
      </c>
    </row>
    <row r="1385">
      <c r="A1385" t="inlineStr">
        <is>
          <t>R260205-octobotics</t>
        </is>
      </c>
      <c r="B1385" t="inlineStr">
        <is>
          <t>Octobotics</t>
        </is>
      </c>
      <c r="C1385" s="17" t="n">
        <v>46058</v>
      </c>
      <c r="D1385" s="18" t="n">
        <v>46054</v>
      </c>
      <c r="E1385" s="19" t="n">
        <v>1.107</v>
      </c>
      <c r="F1385" s="19" t="n">
        <v>10</v>
      </c>
      <c r="G1385" t="inlineStr">
        <is>
          <t>Rs 10 crore</t>
        </is>
      </c>
      <c r="H1385" t="inlineStr">
        <is>
          <t>Seed</t>
        </is>
      </c>
      <c r="I1385" t="inlineStr">
        <is>
          <t>Early</t>
        </is>
      </c>
      <c r="J1385" t="inlineStr">
        <is>
          <t>Advanced Hardware &amp; Technology</t>
        </is>
      </c>
      <c r="K1385" t="inlineStr">
        <is>
          <t>Unknown</t>
        </is>
      </c>
      <c r="L1385" t="inlineStr">
        <is>
          <t>Navam Capital</t>
        </is>
      </c>
      <c r="M1385" t="inlineStr">
        <is>
          <t>Navam Capital; BYT Capital</t>
        </is>
      </c>
      <c r="N1385" t="inlineStr">
        <is>
          <t>entrackr | inc42</t>
        </is>
      </c>
      <c r="O1385" s="20" t="n">
        <v>2</v>
      </c>
      <c r="P1385" s="21" t="n">
        <v>0.7</v>
      </c>
      <c r="Q1385" t="inlineStr">
        <is>
          <t>C07</t>
        </is>
      </c>
      <c r="R1385" s="22" t="inlineStr">
        <is>
          <t>https://entrackr.com/snippets/robotics-startup-octobotics-raises-rs-10-cr-in-seed-round-11078030</t>
        </is>
      </c>
    </row>
    <row r="1386">
      <c r="A1386" t="inlineStr">
        <is>
          <t>R260205-zilo</t>
        </is>
      </c>
      <c r="B1386" t="inlineStr">
        <is>
          <t>ZILO</t>
        </is>
      </c>
      <c r="C1386" s="17" t="n">
        <v>46058</v>
      </c>
      <c r="D1386" s="18" t="n">
        <v>46054</v>
      </c>
      <c r="E1386" s="19" t="n">
        <v>15.3</v>
      </c>
      <c r="F1386" s="19" t="n">
        <v>138.17</v>
      </c>
      <c r="G1386" t="inlineStr">
        <is>
          <t>$15.3 million</t>
        </is>
      </c>
      <c r="H1386" t="inlineStr">
        <is>
          <t>Series A</t>
        </is>
      </c>
      <c r="I1386" t="inlineStr">
        <is>
          <t>Early</t>
        </is>
      </c>
      <c r="J1386" t="inlineStr">
        <is>
          <t>Consumer Services</t>
        </is>
      </c>
      <c r="K1386" t="inlineStr">
        <is>
          <t>Mumbai</t>
        </is>
      </c>
      <c r="L1386" t="inlineStr">
        <is>
          <t>Peak XV Partners</t>
        </is>
      </c>
      <c r="M1386" t="inlineStr">
        <is>
          <t>Peak XV Partners; Info Edge Ventures; Chiratae Ventures; Alteria Capital; Stride Ventured; Lalit Keshre of Groww; Kunal Shah of CRED; Sachin Oswal; Ayyappan R; Abhishek Bansal; Sreevathsa Prabhakar; Preeta Sukhtankar</t>
        </is>
      </c>
      <c r="N1386" t="inlineStr">
        <is>
          <t>entrackr | inc42 | et</t>
        </is>
      </c>
      <c r="O1386" s="20" t="n">
        <v>3</v>
      </c>
      <c r="P1386" s="21" t="n">
        <v>0</v>
      </c>
      <c r="Q1386" t="inlineStr"/>
      <c r="R1386" s="22" t="inlineStr">
        <is>
          <t>https://entrackr.com/news/fashion-quick-commerce-startup-zilo-raises-153-mn-in-series-a-round-11077867</t>
        </is>
      </c>
    </row>
    <row r="1387">
      <c r="A1387" t="inlineStr">
        <is>
          <t>R260206-em5</t>
        </is>
      </c>
      <c r="B1387" t="inlineStr">
        <is>
          <t>EM5</t>
        </is>
      </c>
      <c r="C1387" s="17" t="n">
        <v>46059</v>
      </c>
      <c r="D1387" s="18" t="n">
        <v>46054</v>
      </c>
      <c r="E1387" s="19" t="n"/>
      <c r="F1387" s="19" t="n"/>
      <c r="G1387" t="inlineStr"/>
      <c r="H1387" t="inlineStr">
        <is>
          <t>Undisclosed</t>
        </is>
      </c>
      <c r="I1387" t="inlineStr">
        <is>
          <t>Undisclosed</t>
        </is>
      </c>
      <c r="J1387" t="inlineStr">
        <is>
          <t>Ecommerce</t>
        </is>
      </c>
      <c r="K1387" t="inlineStr">
        <is>
          <t>Unknown</t>
        </is>
      </c>
      <c r="L1387" t="inlineStr">
        <is>
          <t>Surya Kumar Yadav</t>
        </is>
      </c>
      <c r="M1387" t="inlineStr">
        <is>
          <t>Surya Kumar Yadav</t>
        </is>
      </c>
      <c r="N1387" t="inlineStr">
        <is>
          <t>inc42</t>
        </is>
      </c>
      <c r="O1387" s="20" t="n">
        <v>1</v>
      </c>
      <c r="P1387" s="21" t="n"/>
      <c r="Q1387" t="inlineStr">
        <is>
          <t>C03 C04 C07</t>
        </is>
      </c>
      <c r="R1387" s="22" t="inlineStr">
        <is>
          <t>https://inc42.com/buzz/from-the-whole-truth-to-zilo-indian-startups-raised-131-mn-this-week/</t>
        </is>
      </c>
    </row>
    <row r="1388">
      <c r="A1388" t="inlineStr">
        <is>
          <t>R260206-invogue</t>
        </is>
      </c>
      <c r="B1388" t="inlineStr">
        <is>
          <t>Invogue</t>
        </is>
      </c>
      <c r="C1388" s="17" t="n">
        <v>46059</v>
      </c>
      <c r="D1388" s="18" t="n">
        <v>46054</v>
      </c>
      <c r="E1388" s="19" t="n">
        <v>0.221</v>
      </c>
      <c r="F1388" s="19" t="n">
        <v>2</v>
      </c>
      <c r="G1388" t="inlineStr">
        <is>
          <t>$221K</t>
        </is>
      </c>
      <c r="H1388" t="inlineStr">
        <is>
          <t>Undisclosed</t>
        </is>
      </c>
      <c r="I1388" t="inlineStr">
        <is>
          <t>Undisclosed</t>
        </is>
      </c>
      <c r="J1388" t="inlineStr">
        <is>
          <t>Ecommerce</t>
        </is>
      </c>
      <c r="K1388" t="inlineStr">
        <is>
          <t>Unknown</t>
        </is>
      </c>
      <c r="L1388" t="inlineStr">
        <is>
          <t>Aman Gupta</t>
        </is>
      </c>
      <c r="M1388" t="inlineStr">
        <is>
          <t>Aman Gupta</t>
        </is>
      </c>
      <c r="N1388" t="inlineStr">
        <is>
          <t>inc42</t>
        </is>
      </c>
      <c r="O1388" s="20" t="n">
        <v>1</v>
      </c>
      <c r="P1388" s="21" t="n">
        <v>0</v>
      </c>
      <c r="Q1388" t="inlineStr">
        <is>
          <t>C04 C07</t>
        </is>
      </c>
      <c r="R1388" s="22" t="inlineStr">
        <is>
          <t>https://inc42.com/buzz/from-the-whole-truth-to-zilo-indian-startups-raised-131-mn-this-week/</t>
        </is>
      </c>
    </row>
    <row r="1389">
      <c r="A1389" t="inlineStr">
        <is>
          <t>R260206-jaincord</t>
        </is>
      </c>
      <c r="B1389" t="inlineStr">
        <is>
          <t>Jain Cord</t>
        </is>
      </c>
      <c r="C1389" s="17" t="n">
        <v>46059</v>
      </c>
      <c r="D1389" s="18" t="n">
        <v>46054</v>
      </c>
      <c r="E1389" s="19" t="n">
        <v>22.06</v>
      </c>
      <c r="F1389" s="19" t="n">
        <v>200</v>
      </c>
      <c r="G1389" t="inlineStr">
        <is>
          <t>Rs 200 crore</t>
        </is>
      </c>
      <c r="H1389" t="inlineStr">
        <is>
          <t>Series A</t>
        </is>
      </c>
      <c r="I1389" t="inlineStr">
        <is>
          <t>Early</t>
        </is>
      </c>
      <c r="J1389" t="inlineStr">
        <is>
          <t>Unclassified</t>
        </is>
      </c>
      <c r="K1389" t="inlineStr">
        <is>
          <t>Delhi NCR</t>
        </is>
      </c>
      <c r="L1389" t="inlineStr"/>
      <c r="M1389" t="inlineStr">
        <is>
          <t>Lohia Family Office</t>
        </is>
      </c>
      <c r="N1389" t="inlineStr">
        <is>
          <t>entrackr</t>
        </is>
      </c>
      <c r="O1389" s="20" t="n">
        <v>1</v>
      </c>
      <c r="P1389" s="21" t="n">
        <v>0</v>
      </c>
      <c r="Q1389" t="inlineStr">
        <is>
          <t>C06</t>
        </is>
      </c>
      <c r="R1389" s="22" t="inlineStr">
        <is>
          <t>https://entrackr.com/exclusive/exclusive-fabric-maker-jain-cord-raises-rs-200-cr-in-series-a-from-lohia-family-office-11081024</t>
        </is>
      </c>
    </row>
    <row r="1390">
      <c r="A1390" t="inlineStr">
        <is>
          <t>R260209-aramyaparent</t>
        </is>
      </c>
      <c r="B1390" t="inlineStr">
        <is>
          <t>Aramya parent</t>
        </is>
      </c>
      <c r="C1390" s="17" t="n">
        <v>46062</v>
      </c>
      <c r="D1390" s="18" t="n">
        <v>46054</v>
      </c>
      <c r="E1390" s="19" t="n">
        <v>8.817</v>
      </c>
      <c r="F1390" s="19" t="n">
        <v>80</v>
      </c>
      <c r="G1390" t="inlineStr">
        <is>
          <t>Rs 80 crore</t>
        </is>
      </c>
      <c r="H1390" t="inlineStr">
        <is>
          <t>Series A</t>
        </is>
      </c>
      <c r="I1390" t="inlineStr">
        <is>
          <t>Early</t>
        </is>
      </c>
      <c r="J1390" t="inlineStr">
        <is>
          <t>Unclassified</t>
        </is>
      </c>
      <c r="K1390" t="inlineStr">
        <is>
          <t>Unknown</t>
        </is>
      </c>
      <c r="L1390" t="inlineStr">
        <is>
          <t>Z47; Accel</t>
        </is>
      </c>
      <c r="M1390" t="inlineStr">
        <is>
          <t>Z47; Accel</t>
        </is>
      </c>
      <c r="N1390" t="inlineStr">
        <is>
          <t>entrackr</t>
        </is>
      </c>
      <c r="O1390" s="20" t="n">
        <v>1</v>
      </c>
      <c r="P1390" s="21" t="n">
        <v>0</v>
      </c>
      <c r="Q1390" t="inlineStr">
        <is>
          <t>C06 C07</t>
        </is>
      </c>
      <c r="R1390" s="22" t="inlineStr">
        <is>
          <t>https://entrackr.com/exclusive/exclusive-d2c-brand-aramya-parent-raises-rs-80-cr-led-by-z47-and-accel-11089406</t>
        </is>
      </c>
    </row>
    <row r="1391">
      <c r="A1391" t="inlineStr">
        <is>
          <t>R260209-elevate</t>
        </is>
      </c>
      <c r="B1391" t="inlineStr">
        <is>
          <t>Elevate Now</t>
        </is>
      </c>
      <c r="C1391" s="17" t="n">
        <v>46062</v>
      </c>
      <c r="D1391" s="18" t="n">
        <v>46054</v>
      </c>
      <c r="E1391" s="19" t="n">
        <v>1.984</v>
      </c>
      <c r="F1391" s="19" t="n">
        <v>18</v>
      </c>
      <c r="G1391" t="inlineStr">
        <is>
          <t>Rs 18 crore</t>
        </is>
      </c>
      <c r="H1391" t="inlineStr">
        <is>
          <t>Seed</t>
        </is>
      </c>
      <c r="I1391" t="inlineStr">
        <is>
          <t>Early</t>
        </is>
      </c>
      <c r="J1391" t="inlineStr">
        <is>
          <t>Healthtech</t>
        </is>
      </c>
      <c r="K1391" t="inlineStr">
        <is>
          <t>Bengaluru</t>
        </is>
      </c>
      <c r="L1391" t="inlineStr">
        <is>
          <t>Physis Capital; Titan Capital</t>
        </is>
      </c>
      <c r="M1391" t="inlineStr">
        <is>
          <t>Physis Capital; Inflection Point Ventures; Titan Capital</t>
        </is>
      </c>
      <c r="N1391" t="inlineStr">
        <is>
          <t>entrackr | inc42</t>
        </is>
      </c>
      <c r="O1391" s="20" t="n">
        <v>2</v>
      </c>
      <c r="P1391" s="21" t="n">
        <v>0.8</v>
      </c>
      <c r="Q1391" t="inlineStr"/>
      <c r="R1391" s="22" t="inlineStr">
        <is>
          <t>https://entrackr.com/snippets/elevate-now-raises-rs-18-cr-in-seed-round-led-by-physis-capital-11089490</t>
        </is>
      </c>
    </row>
    <row r="1392">
      <c r="A1392" t="inlineStr">
        <is>
          <t>R260209-olyv</t>
        </is>
      </c>
      <c r="B1392" t="inlineStr">
        <is>
          <t>Olyv</t>
        </is>
      </c>
      <c r="C1392" s="17" t="n">
        <v>46062</v>
      </c>
      <c r="D1392" s="18" t="n">
        <v>46054</v>
      </c>
      <c r="E1392" s="19" t="n">
        <v>22.815</v>
      </c>
      <c r="F1392" s="19" t="n">
        <v>207</v>
      </c>
      <c r="G1392" t="inlineStr">
        <is>
          <t>Rs 207 crore</t>
        </is>
      </c>
      <c r="H1392" t="inlineStr">
        <is>
          <t>Series B</t>
        </is>
      </c>
      <c r="I1392" t="inlineStr">
        <is>
          <t>Growth</t>
        </is>
      </c>
      <c r="J1392" t="inlineStr">
        <is>
          <t>Fintech</t>
        </is>
      </c>
      <c r="K1392" t="inlineStr">
        <is>
          <t>Bengaluru</t>
        </is>
      </c>
      <c r="L1392" t="inlineStr">
        <is>
          <t>Fundamentum Partnership Fund</t>
        </is>
      </c>
      <c r="M1392" t="inlineStr">
        <is>
          <t>SMBC Asia Rising Fund; Fundamentum Partnership Fund</t>
        </is>
      </c>
      <c r="N1392" t="inlineStr">
        <is>
          <t>entrackr | inc42 | et</t>
        </is>
      </c>
      <c r="O1392" s="20" t="n">
        <v>3</v>
      </c>
      <c r="P1392" s="21" t="n">
        <v>0.8</v>
      </c>
      <c r="Q1392" t="inlineStr">
        <is>
          <t>C18</t>
        </is>
      </c>
      <c r="R1392" s="22" t="inlineStr">
        <is>
          <t>https://entrackr.com/exclusive/exclusive-nandan-nilekanis-fundamentum-leads-olyvs-23-mn-series-c-round-11090810</t>
        </is>
      </c>
    </row>
    <row r="1393">
      <c r="A1393" t="inlineStr">
        <is>
          <t>R260209-pandorumtechno</t>
        </is>
      </c>
      <c r="B1393" t="inlineStr">
        <is>
          <t>Pandorum Technologies</t>
        </is>
      </c>
      <c r="C1393" s="17" t="n">
        <v>46062</v>
      </c>
      <c r="D1393" s="18" t="n">
        <v>46054</v>
      </c>
      <c r="E1393" s="19" t="n">
        <v>18</v>
      </c>
      <c r="F1393" s="19" t="n">
        <v>163.31</v>
      </c>
      <c r="G1393" t="inlineStr">
        <is>
          <t>$18 million</t>
        </is>
      </c>
      <c r="H1393" t="inlineStr">
        <is>
          <t>Series B</t>
        </is>
      </c>
      <c r="I1393" t="inlineStr">
        <is>
          <t>Growth</t>
        </is>
      </c>
      <c r="J1393" t="inlineStr">
        <is>
          <t>Healthtech</t>
        </is>
      </c>
      <c r="K1393" t="inlineStr">
        <is>
          <t>Unknown</t>
        </is>
      </c>
      <c r="L1393" t="inlineStr">
        <is>
          <t>Protons Corporate</t>
        </is>
      </c>
      <c r="M1393" t="inlineStr">
        <is>
          <t>Protons Corporate; Galentic Pharma; Noblevast Advisory; Avinya Fund; Burman Family; Ashish Kacholia</t>
        </is>
      </c>
      <c r="N1393" t="inlineStr">
        <is>
          <t>entrackr | inc42</t>
        </is>
      </c>
      <c r="O1393" s="20" t="n">
        <v>2</v>
      </c>
      <c r="P1393" s="21" t="n">
        <v>0</v>
      </c>
      <c r="Q1393" t="inlineStr">
        <is>
          <t>C07</t>
        </is>
      </c>
      <c r="R1393" s="22" t="inlineStr">
        <is>
          <t>https://entrackr.com/news/biotech-startup-pandorum-technologies-raises-18-mn-in-series-b-round-11089746</t>
        </is>
      </c>
    </row>
    <row r="1394">
      <c r="A1394" t="inlineStr">
        <is>
          <t>R260209-preventify</t>
        </is>
      </c>
      <c r="B1394" t="inlineStr">
        <is>
          <t>Preventify</t>
        </is>
      </c>
      <c r="C1394" s="17" t="n">
        <v>46062</v>
      </c>
      <c r="D1394" s="18" t="n">
        <v>46054</v>
      </c>
      <c r="E1394" s="19" t="n">
        <v>0.22</v>
      </c>
      <c r="F1394" s="19" t="n">
        <v>2</v>
      </c>
      <c r="G1394" t="inlineStr">
        <is>
          <t>Rs 2 crore</t>
        </is>
      </c>
      <c r="H1394" t="inlineStr">
        <is>
          <t>Pre-Seed</t>
        </is>
      </c>
      <c r="I1394" t="inlineStr">
        <is>
          <t>Early</t>
        </is>
      </c>
      <c r="J1394" t="inlineStr">
        <is>
          <t>Healthtech</t>
        </is>
      </c>
      <c r="K1394" t="inlineStr">
        <is>
          <t>Unknown</t>
        </is>
      </c>
      <c r="L1394" t="inlineStr">
        <is>
          <t>PedalStart</t>
        </is>
      </c>
      <c r="M1394" t="inlineStr">
        <is>
          <t>PedalStart; Viren Shetty; Jatin Kakrani</t>
        </is>
      </c>
      <c r="N1394" t="inlineStr">
        <is>
          <t>entrackr | inc42 | et</t>
        </is>
      </c>
      <c r="O1394" s="20" t="n">
        <v>3</v>
      </c>
      <c r="P1394" s="21" t="n">
        <v>10.2</v>
      </c>
      <c r="Q1394" t="inlineStr">
        <is>
          <t>C07 C15</t>
        </is>
      </c>
      <c r="R1394" s="22" t="inlineStr">
        <is>
          <t>https://entrackr.com/snippets/healthcare-startup-preventify-raises-rs-2-cr-in-pre-seed-round-led-by-pedalstart-11089416</t>
        </is>
      </c>
    </row>
    <row r="1395">
      <c r="A1395" t="inlineStr">
        <is>
          <t>R260209-satlabsspacesy</t>
        </is>
      </c>
      <c r="B1395" t="inlineStr">
        <is>
          <t>Satlabs</t>
        </is>
      </c>
      <c r="C1395" s="17" t="n">
        <v>46062</v>
      </c>
      <c r="D1395" s="18" t="n">
        <v>46054</v>
      </c>
      <c r="E1395" s="19" t="n">
        <v>1</v>
      </c>
      <c r="F1395" s="19" t="n">
        <v>9.07</v>
      </c>
      <c r="G1395" t="inlineStr">
        <is>
          <t>$1 million</t>
        </is>
      </c>
      <c r="H1395" t="inlineStr">
        <is>
          <t>Undisclosed</t>
        </is>
      </c>
      <c r="I1395" t="inlineStr">
        <is>
          <t>Undisclosed</t>
        </is>
      </c>
      <c r="J1395" t="inlineStr">
        <is>
          <t>Advanced Hardware &amp; Technology</t>
        </is>
      </c>
      <c r="K1395" t="inlineStr">
        <is>
          <t>Bengaluru</t>
        </is>
      </c>
      <c r="L1395" t="inlineStr">
        <is>
          <t>Finvolve; India Accelerator</t>
        </is>
      </c>
      <c r="M1395" t="inlineStr">
        <is>
          <t>Finvolve; India Accelerator</t>
        </is>
      </c>
      <c r="N1395" t="inlineStr">
        <is>
          <t>entrackr | inc42</t>
        </is>
      </c>
      <c r="O1395" s="20" t="n">
        <v>2</v>
      </c>
      <c r="P1395" s="21" t="n">
        <v>0</v>
      </c>
      <c r="Q1395" t="inlineStr">
        <is>
          <t>C04</t>
        </is>
      </c>
      <c r="R1395" s="22" t="inlineStr">
        <is>
          <t>https://entrackr.com/snippets/satlabs-space-systems-raises-1-mn-from-finvolve-and-ia-11091011</t>
        </is>
      </c>
    </row>
    <row r="1396">
      <c r="A1396" t="inlineStr">
        <is>
          <t>R260209-wellwith</t>
        </is>
      </c>
      <c r="B1396" t="inlineStr">
        <is>
          <t>WellWith</t>
        </is>
      </c>
      <c r="C1396" s="17" t="n">
        <v>46062</v>
      </c>
      <c r="D1396" s="18" t="n">
        <v>46054</v>
      </c>
      <c r="E1396" s="19" t="n">
        <v>0.138</v>
      </c>
      <c r="F1396" s="19" t="n">
        <v>1.25</v>
      </c>
      <c r="G1396" t="inlineStr">
        <is>
          <t>Rs 1.25 crore</t>
        </is>
      </c>
      <c r="H1396" t="inlineStr">
        <is>
          <t>Seed</t>
        </is>
      </c>
      <c r="I1396" t="inlineStr">
        <is>
          <t>Early</t>
        </is>
      </c>
      <c r="J1396" t="inlineStr">
        <is>
          <t>Healthtech</t>
        </is>
      </c>
      <c r="K1396" t="inlineStr">
        <is>
          <t>Delhi NCR</t>
        </is>
      </c>
      <c r="L1396" t="inlineStr">
        <is>
          <t>BeyondSeed</t>
        </is>
      </c>
      <c r="M1396" t="inlineStr">
        <is>
          <t>BeyondSeed; Winner Ventures</t>
        </is>
      </c>
      <c r="N1396" t="inlineStr">
        <is>
          <t>entrackr</t>
        </is>
      </c>
      <c r="O1396" s="20" t="n">
        <v>1</v>
      </c>
      <c r="P1396" s="21" t="n">
        <v>0</v>
      </c>
      <c r="Q1396" t="inlineStr"/>
      <c r="R1396" s="22" t="inlineStr">
        <is>
          <t>https://entrackr.com/snippets/wellness-startup-wellwith-raises-seed-round-led-by-beyondseed-11089734</t>
        </is>
      </c>
    </row>
    <row r="1397">
      <c r="A1397" t="inlineStr">
        <is>
          <t>R260210-bennybowl</t>
        </is>
      </c>
      <c r="B1397" t="inlineStr">
        <is>
          <t>Benny’s Bowl</t>
        </is>
      </c>
      <c r="C1397" s="17" t="n">
        <v>46063</v>
      </c>
      <c r="D1397" s="18" t="n">
        <v>46054</v>
      </c>
      <c r="E1397" s="19" t="n">
        <v>1.4</v>
      </c>
      <c r="F1397" s="19" t="n">
        <v>12.68</v>
      </c>
      <c r="G1397" t="inlineStr">
        <is>
          <t>$1.4 million</t>
        </is>
      </c>
      <c r="H1397" t="inlineStr">
        <is>
          <t>Pre-Series A</t>
        </is>
      </c>
      <c r="I1397" t="inlineStr">
        <is>
          <t>Early</t>
        </is>
      </c>
      <c r="J1397" t="inlineStr">
        <is>
          <t>Ecommerce</t>
        </is>
      </c>
      <c r="K1397" t="inlineStr">
        <is>
          <t>Unknown</t>
        </is>
      </c>
      <c r="L1397" t="inlineStr">
        <is>
          <t>Atomic Capital</t>
        </is>
      </c>
      <c r="M1397" t="inlineStr">
        <is>
          <t>Atomic Capital</t>
        </is>
      </c>
      <c r="N1397" t="inlineStr">
        <is>
          <t>entrackr | inc42</t>
        </is>
      </c>
      <c r="O1397" s="20" t="n">
        <v>2</v>
      </c>
      <c r="P1397" s="21" t="n">
        <v>0</v>
      </c>
      <c r="Q1397" t="inlineStr">
        <is>
          <t>C07</t>
        </is>
      </c>
      <c r="R1397" s="22" t="inlineStr">
        <is>
          <t>https://entrackr.com/snippets/bennys-bowl-raises-14-mn-in-pre-series-a-led-by-atomic-capital-11092346</t>
        </is>
      </c>
    </row>
    <row r="1398">
      <c r="A1398" t="inlineStr">
        <is>
          <t>R260210-botgaugeai</t>
        </is>
      </c>
      <c r="B1398" t="inlineStr">
        <is>
          <t>BotGauge AI</t>
        </is>
      </c>
      <c r="C1398" s="17" t="n">
        <v>46063</v>
      </c>
      <c r="D1398" s="18" t="n">
        <v>46054</v>
      </c>
      <c r="E1398" s="19" t="n">
        <v>2</v>
      </c>
      <c r="F1398" s="19" t="n">
        <v>18.11</v>
      </c>
      <c r="G1398" t="inlineStr">
        <is>
          <t>$2 million</t>
        </is>
      </c>
      <c r="H1398" t="inlineStr">
        <is>
          <t>Seed</t>
        </is>
      </c>
      <c r="I1398" t="inlineStr">
        <is>
          <t>Early</t>
        </is>
      </c>
      <c r="J1398" t="inlineStr">
        <is>
          <t>Artificial Intelligence</t>
        </is>
      </c>
      <c r="K1398" t="inlineStr">
        <is>
          <t>Outside India</t>
        </is>
      </c>
      <c r="L1398" t="inlineStr">
        <is>
          <t>Surface Ventures</t>
        </is>
      </c>
      <c r="M1398" t="inlineStr">
        <is>
          <t>Surface Ventures; IA Seed Ventures; Saka Ventures</t>
        </is>
      </c>
      <c r="N1398" t="inlineStr">
        <is>
          <t>entrackr | inc42 | et</t>
        </is>
      </c>
      <c r="O1398" s="20" t="n">
        <v>3</v>
      </c>
      <c r="P1398" s="21" t="n">
        <v>0</v>
      </c>
      <c r="Q1398" t="inlineStr"/>
      <c r="R1398" s="22" t="inlineStr">
        <is>
          <t>https://entrackr.com/snippets/ai-software-testing-startup-botgauge-ai-raises-2-mn-led-by-surface-ventures-11092144</t>
        </is>
      </c>
    </row>
    <row r="1399">
      <c r="A1399" t="inlineStr">
        <is>
          <t>R260210-curapod</t>
        </is>
      </c>
      <c r="B1399" t="inlineStr">
        <is>
          <t>CURAPOD</t>
        </is>
      </c>
      <c r="C1399" s="17" t="n">
        <v>46063</v>
      </c>
      <c r="D1399" s="18" t="n">
        <v>46054</v>
      </c>
      <c r="E1399" s="19" t="n">
        <v>2.209</v>
      </c>
      <c r="F1399" s="19" t="n">
        <v>20</v>
      </c>
      <c r="G1399" t="inlineStr">
        <is>
          <t>Rs 20 crore</t>
        </is>
      </c>
      <c r="H1399" t="inlineStr">
        <is>
          <t>Pre-Series A</t>
        </is>
      </c>
      <c r="I1399" t="inlineStr">
        <is>
          <t>Early</t>
        </is>
      </c>
      <c r="J1399" t="inlineStr">
        <is>
          <t>Healthtech</t>
        </is>
      </c>
      <c r="K1399" t="inlineStr">
        <is>
          <t>Unknown</t>
        </is>
      </c>
      <c r="L1399" t="inlineStr">
        <is>
          <t>V3 Ventures; 3i Partners; Ideaspring Capital</t>
        </is>
      </c>
      <c r="M1399" t="inlineStr">
        <is>
          <t>V3 Ventures; 3i Partners; Ideaspring Capital; Litemed</t>
        </is>
      </c>
      <c r="N1399" t="inlineStr">
        <is>
          <t>entrackr | inc42</t>
        </is>
      </c>
      <c r="O1399" s="20" t="n">
        <v>2</v>
      </c>
      <c r="P1399" s="21" t="n">
        <v>0.4</v>
      </c>
      <c r="Q1399" t="inlineStr">
        <is>
          <t>C07</t>
        </is>
      </c>
      <c r="R1399" s="22" t="inlineStr">
        <is>
          <t>https://entrackr.com/snippets/healthtech-startup-curapod-raises-rs-20-cr-in-pre-series-a-round-11092535</t>
        </is>
      </c>
    </row>
    <row r="1400">
      <c r="A1400" t="inlineStr">
        <is>
          <t>R260210-ethera</t>
        </is>
      </c>
      <c r="B1400" t="inlineStr">
        <is>
          <t>Ethera</t>
        </is>
      </c>
      <c r="C1400" s="17" t="n">
        <v>46063</v>
      </c>
      <c r="D1400" s="18" t="n">
        <v>46054</v>
      </c>
      <c r="E1400" s="19" t="n">
        <v>2.761</v>
      </c>
      <c r="F1400" s="19" t="n">
        <v>25</v>
      </c>
      <c r="G1400" t="inlineStr">
        <is>
          <t>Rs 25 crore</t>
        </is>
      </c>
      <c r="H1400" t="inlineStr">
        <is>
          <t>Undisclosed</t>
        </is>
      </c>
      <c r="I1400" t="inlineStr">
        <is>
          <t>Undisclosed</t>
        </is>
      </c>
      <c r="J1400" t="inlineStr">
        <is>
          <t>Ecommerce</t>
        </is>
      </c>
      <c r="K1400" t="inlineStr">
        <is>
          <t>Unknown</t>
        </is>
      </c>
      <c r="L1400" t="inlineStr"/>
      <c r="M1400" t="inlineStr">
        <is>
          <t>BlueStone</t>
        </is>
      </c>
      <c r="N1400" t="inlineStr">
        <is>
          <t>entrackr</t>
        </is>
      </c>
      <c r="O1400" s="20" t="n">
        <v>1</v>
      </c>
      <c r="P1400" s="21" t="n">
        <v>0</v>
      </c>
      <c r="Q1400" t="inlineStr">
        <is>
          <t>C04 C07</t>
        </is>
      </c>
      <c r="R1400" s="22" t="inlineStr">
        <is>
          <t>https://entrackr.com/snippets/lab-grown-diamond-jewellery-startup-ethera-raises-rs-25-cr-from-bluestone-11092137</t>
        </is>
      </c>
    </row>
    <row r="1401">
      <c r="A1401" t="inlineStr">
        <is>
          <t>R260210-padcarelabs</t>
        </is>
      </c>
      <c r="B1401" t="inlineStr">
        <is>
          <t>PadCare Labs</t>
        </is>
      </c>
      <c r="C1401" s="17" t="n">
        <v>46063</v>
      </c>
      <c r="D1401" s="18" t="n">
        <v>46054</v>
      </c>
      <c r="E1401" s="19" t="n">
        <v>3</v>
      </c>
      <c r="F1401" s="19" t="n">
        <v>27.16</v>
      </c>
      <c r="G1401" t="inlineStr">
        <is>
          <t>$3 million</t>
        </is>
      </c>
      <c r="H1401" t="inlineStr">
        <is>
          <t>Pre-Series A</t>
        </is>
      </c>
      <c r="I1401" t="inlineStr">
        <is>
          <t>Early</t>
        </is>
      </c>
      <c r="J1401" t="inlineStr">
        <is>
          <t>Cleantech</t>
        </is>
      </c>
      <c r="K1401" t="inlineStr">
        <is>
          <t>Pune</t>
        </is>
      </c>
      <c r="L1401" t="inlineStr">
        <is>
          <t>Rainmatter</t>
        </is>
      </c>
      <c r="M1401" t="inlineStr">
        <is>
          <t>Rainmatter; 3one4 Capital; Brigade Group; PKRBCV Shroff Trust; Lavni Ventures; 3i Partners; EXIM Bank; ICICI Bank</t>
        </is>
      </c>
      <c r="N1401" t="inlineStr">
        <is>
          <t>entrackr | inc42 | et</t>
        </is>
      </c>
      <c r="O1401" s="20" t="n">
        <v>3</v>
      </c>
      <c r="P1401" s="21" t="n">
        <v>0</v>
      </c>
      <c r="Q1401" t="inlineStr"/>
      <c r="R1401" s="22" t="inlineStr">
        <is>
          <t>https://entrackr.com/snippets/clean-tech-startup-padcare-labs-raises-3-mn-led-by-rainmatter-11094050</t>
        </is>
      </c>
    </row>
    <row r="1402">
      <c r="A1402" t="inlineStr">
        <is>
          <t>R260210-pandabox</t>
        </is>
      </c>
      <c r="B1402" t="inlineStr">
        <is>
          <t>Panda’s Box</t>
        </is>
      </c>
      <c r="C1402" s="17" t="n">
        <v>46063</v>
      </c>
      <c r="D1402" s="18" t="n">
        <v>46054</v>
      </c>
      <c r="E1402" s="19" t="n">
        <v>0.133</v>
      </c>
      <c r="F1402" s="19" t="n">
        <v>1.2</v>
      </c>
      <c r="G1402" t="inlineStr">
        <is>
          <t>Rs 1.2 crore</t>
        </is>
      </c>
      <c r="H1402" t="inlineStr">
        <is>
          <t>Undisclosed</t>
        </is>
      </c>
      <c r="I1402" t="inlineStr">
        <is>
          <t>Undisclosed</t>
        </is>
      </c>
      <c r="J1402" t="inlineStr">
        <is>
          <t>Unclassified</t>
        </is>
      </c>
      <c r="K1402" t="inlineStr">
        <is>
          <t>Unknown</t>
        </is>
      </c>
      <c r="L1402" t="inlineStr"/>
      <c r="M1402" t="inlineStr">
        <is>
          <t>Aman Gupta; Namita Thapar</t>
        </is>
      </c>
      <c r="N1402" t="inlineStr">
        <is>
          <t>entrackr</t>
        </is>
      </c>
      <c r="O1402" s="20" t="n">
        <v>1</v>
      </c>
      <c r="P1402" s="21" t="n">
        <v>0</v>
      </c>
      <c r="Q1402" t="inlineStr">
        <is>
          <t>C04 C06 C07</t>
        </is>
      </c>
      <c r="R1402" s="22" t="inlineStr">
        <is>
          <t>https://entrackr.com/snippets/early-learning-startup-pandas-box-raises-rs-12-cr-from-shark-tank-india-11092671</t>
        </is>
      </c>
    </row>
    <row r="1403">
      <c r="A1403" t="inlineStr">
        <is>
          <t>R260210-simpleai</t>
        </is>
      </c>
      <c r="B1403" t="inlineStr">
        <is>
          <t>SimpleAI</t>
        </is>
      </c>
      <c r="C1403" s="17" t="n">
        <v>46063</v>
      </c>
      <c r="D1403" s="18" t="n">
        <v>46054</v>
      </c>
      <c r="E1403" s="19" t="n">
        <v>2.5</v>
      </c>
      <c r="F1403" s="19" t="n">
        <v>22.64</v>
      </c>
      <c r="G1403" t="inlineStr">
        <is>
          <t>$2.5 Mn</t>
        </is>
      </c>
      <c r="H1403" t="inlineStr">
        <is>
          <t>Seed</t>
        </is>
      </c>
      <c r="I1403" t="inlineStr">
        <is>
          <t>Early</t>
        </is>
      </c>
      <c r="J1403" t="inlineStr">
        <is>
          <t>Artificial Intelligence</t>
        </is>
      </c>
      <c r="K1403" t="inlineStr">
        <is>
          <t>Unknown</t>
        </is>
      </c>
      <c r="L1403" t="inlineStr">
        <is>
          <t>JBV Capital</t>
        </is>
      </c>
      <c r="M1403" t="inlineStr">
        <is>
          <t>JBV Capital; Hovancik Fund; 1947 Rise; PointOne Capital</t>
        </is>
      </c>
      <c r="N1403" t="inlineStr">
        <is>
          <t>inc42</t>
        </is>
      </c>
      <c r="O1403" s="20" t="n">
        <v>1</v>
      </c>
      <c r="P1403" s="21" t="n">
        <v>0</v>
      </c>
      <c r="Q1403" t="inlineStr">
        <is>
          <t>C07</t>
        </is>
      </c>
      <c r="R1403" s="22" t="inlineStr">
        <is>
          <t>https://inc42.com/buzz/from-idfy-to-olyv-indian-startups-raised-200-mn-this-week/</t>
        </is>
      </c>
    </row>
    <row r="1404">
      <c r="A1404" t="inlineStr">
        <is>
          <t>R260210-slurrpfarm</t>
        </is>
      </c>
      <c r="B1404" t="inlineStr">
        <is>
          <t>Slurrp Farm</t>
        </is>
      </c>
      <c r="C1404" s="17" t="n">
        <v>46063</v>
      </c>
      <c r="D1404" s="18" t="n">
        <v>46054</v>
      </c>
      <c r="E1404" s="19" t="n">
        <v>3.313</v>
      </c>
      <c r="F1404" s="19" t="n">
        <v>30</v>
      </c>
      <c r="G1404" t="inlineStr">
        <is>
          <t>Rs 30 crore</t>
        </is>
      </c>
      <c r="H1404" t="inlineStr">
        <is>
          <t>Series C</t>
        </is>
      </c>
      <c r="I1404" t="inlineStr">
        <is>
          <t>Growth</t>
        </is>
      </c>
      <c r="J1404" t="inlineStr">
        <is>
          <t>Ecommerce</t>
        </is>
      </c>
      <c r="K1404" t="inlineStr">
        <is>
          <t>Delhi NCR</t>
        </is>
      </c>
      <c r="L1404" t="inlineStr"/>
      <c r="M1404" t="inlineStr">
        <is>
          <t>Scarlet Ventures</t>
        </is>
      </c>
      <c r="N1404" t="inlineStr">
        <is>
          <t>entrackr</t>
        </is>
      </c>
      <c r="O1404" s="20" t="n">
        <v>1</v>
      </c>
      <c r="P1404" s="21" t="n">
        <v>0</v>
      </c>
      <c r="Q1404" t="inlineStr">
        <is>
          <t>C11</t>
        </is>
      </c>
      <c r="R1404" s="22" t="inlineStr">
        <is>
          <t>https://entrackr.com/exclusive/exclusive-anushka-sharma-backed-slurrp-farm-raises-fresh-funds-at-90-mn-valuation-11093285</t>
        </is>
      </c>
    </row>
    <row r="1405">
      <c r="A1405" t="inlineStr">
        <is>
          <t>R260210-supertails</t>
        </is>
      </c>
      <c r="B1405" t="inlineStr">
        <is>
          <t>Supertails</t>
        </is>
      </c>
      <c r="C1405" s="17" t="n">
        <v>46063</v>
      </c>
      <c r="D1405" s="18" t="n">
        <v>46054</v>
      </c>
      <c r="E1405" s="19" t="n">
        <v>30</v>
      </c>
      <c r="F1405" s="19" t="n">
        <v>271.62</v>
      </c>
      <c r="G1405" t="inlineStr">
        <is>
          <t>$30 million</t>
        </is>
      </c>
      <c r="H1405" t="inlineStr">
        <is>
          <t>Series C</t>
        </is>
      </c>
      <c r="I1405" t="inlineStr">
        <is>
          <t>Growth</t>
        </is>
      </c>
      <c r="J1405" t="inlineStr">
        <is>
          <t>Ecommerce</t>
        </is>
      </c>
      <c r="K1405" t="inlineStr">
        <is>
          <t>Bengaluru</t>
        </is>
      </c>
      <c r="L1405" t="inlineStr">
        <is>
          <t>Venturi Partners</t>
        </is>
      </c>
      <c r="M1405" t="inlineStr">
        <is>
          <t>Venturi Partners; Nippon India Alternative Investments; Titan Capital; Fireside Ventures; RPSG Capital Ventures; Sauce VC; Saama Capital</t>
        </is>
      </c>
      <c r="N1405" t="inlineStr">
        <is>
          <t>entrackr | inc42 | et</t>
        </is>
      </c>
      <c r="O1405" s="20" t="n">
        <v>3</v>
      </c>
      <c r="P1405" s="21" t="n">
        <v>0</v>
      </c>
      <c r="Q1405" t="inlineStr"/>
      <c r="R1405" s="22" t="inlineStr">
        <is>
          <t>https://entrackr.com/news/petcare-startup-supertails-raises-30-mn-led-by-venturi-partners-11092201</t>
        </is>
      </c>
    </row>
    <row r="1406">
      <c r="A1406" t="inlineStr">
        <is>
          <t>R260210-truthandhair</t>
        </is>
      </c>
      <c r="B1406" t="inlineStr">
        <is>
          <t>Truth &amp; Hair</t>
        </is>
      </c>
      <c r="C1406" s="17" t="n">
        <v>46063</v>
      </c>
      <c r="D1406" s="18" t="n">
        <v>46054</v>
      </c>
      <c r="E1406" s="19" t="n">
        <v>0.276</v>
      </c>
      <c r="F1406" s="19" t="n">
        <v>2.5</v>
      </c>
      <c r="G1406" t="inlineStr">
        <is>
          <t>Rs 2.5 crore</t>
        </is>
      </c>
      <c r="H1406" t="inlineStr">
        <is>
          <t>Undisclosed</t>
        </is>
      </c>
      <c r="I1406" t="inlineStr">
        <is>
          <t>Undisclosed</t>
        </is>
      </c>
      <c r="J1406" t="inlineStr">
        <is>
          <t>Ecommerce</t>
        </is>
      </c>
      <c r="K1406" t="inlineStr">
        <is>
          <t>Delhi NCR</t>
        </is>
      </c>
      <c r="L1406" t="inlineStr">
        <is>
          <t>Varun Alagh</t>
        </is>
      </c>
      <c r="M1406" t="inlineStr">
        <is>
          <t>Varun Alagh</t>
        </is>
      </c>
      <c r="N1406" t="inlineStr">
        <is>
          <t>entrackr | inc42</t>
        </is>
      </c>
      <c r="O1406" s="20" t="n">
        <v>2</v>
      </c>
      <c r="P1406" s="21" t="n">
        <v>0</v>
      </c>
      <c r="Q1406" t="inlineStr">
        <is>
          <t>C04</t>
        </is>
      </c>
      <c r="R1406" s="22" t="inlineStr">
        <is>
          <t>https://entrackr.com/snippets/truth-hair-raises-rs-25-cr-from-varun-alagh-on-shark-tank-india-11092262</t>
        </is>
      </c>
    </row>
    <row r="1407">
      <c r="A1407" t="inlineStr">
        <is>
          <t>R260211-articulussurgi</t>
        </is>
      </c>
      <c r="B1407" t="inlineStr">
        <is>
          <t>Articulus Surgical</t>
        </is>
      </c>
      <c r="C1407" s="17" t="n">
        <v>46064</v>
      </c>
      <c r="D1407" s="18" t="n">
        <v>46054</v>
      </c>
      <c r="E1407" s="19" t="n"/>
      <c r="F1407" s="19" t="n"/>
      <c r="G1407" t="inlineStr"/>
      <c r="H1407" t="inlineStr">
        <is>
          <t>Seed</t>
        </is>
      </c>
      <c r="I1407" t="inlineStr">
        <is>
          <t>Early</t>
        </is>
      </c>
      <c r="J1407" t="inlineStr">
        <is>
          <t>Healthtech</t>
        </is>
      </c>
      <c r="K1407" t="inlineStr">
        <is>
          <t>Unknown</t>
        </is>
      </c>
      <c r="L1407" t="inlineStr">
        <is>
          <t>Kalaari Capital</t>
        </is>
      </c>
      <c r="M1407" t="inlineStr">
        <is>
          <t>Kalaari Capital</t>
        </is>
      </c>
      <c r="N1407" t="inlineStr">
        <is>
          <t>entrackr | inc42 | et</t>
        </is>
      </c>
      <c r="O1407" s="20" t="n">
        <v>3</v>
      </c>
      <c r="P1407" s="21" t="n"/>
      <c r="Q1407" t="inlineStr">
        <is>
          <t>C03 C07</t>
        </is>
      </c>
      <c r="R1407" s="22" t="inlineStr">
        <is>
          <t>https://entrackr.com/snippets/medical-robotics-startup-articulus-surgical-raises-funding-from-kalaari-capital-11095456</t>
        </is>
      </c>
    </row>
    <row r="1408">
      <c r="A1408" t="inlineStr">
        <is>
          <t>R260211-bighaat</t>
        </is>
      </c>
      <c r="B1408" t="inlineStr">
        <is>
          <t>BigHaat</t>
        </is>
      </c>
      <c r="C1408" s="17" t="n">
        <v>46064</v>
      </c>
      <c r="D1408" s="18" t="n">
        <v>46054</v>
      </c>
      <c r="E1408" s="19" t="n">
        <v>10</v>
      </c>
      <c r="F1408" s="19" t="n">
        <v>90.70999999999999</v>
      </c>
      <c r="G1408" t="inlineStr">
        <is>
          <t>$10 million</t>
        </is>
      </c>
      <c r="H1408" t="inlineStr">
        <is>
          <t>Undisclosed</t>
        </is>
      </c>
      <c r="I1408" t="inlineStr">
        <is>
          <t>Undisclosed</t>
        </is>
      </c>
      <c r="J1408" t="inlineStr">
        <is>
          <t>Agritech</t>
        </is>
      </c>
      <c r="K1408" t="inlineStr">
        <is>
          <t>Unknown</t>
        </is>
      </c>
      <c r="L1408" t="inlineStr">
        <is>
          <t>Bidra Innovation Ventures</t>
        </is>
      </c>
      <c r="M1408" t="inlineStr">
        <is>
          <t>Bidra Innovation Ventures; JM Financial</t>
        </is>
      </c>
      <c r="N1408" t="inlineStr">
        <is>
          <t>entrackr</t>
        </is>
      </c>
      <c r="O1408" s="20" t="n">
        <v>1</v>
      </c>
      <c r="P1408" s="21" t="n">
        <v>0</v>
      </c>
      <c r="Q1408" t="inlineStr">
        <is>
          <t>C04 C07</t>
        </is>
      </c>
      <c r="R1408" s="22" t="inlineStr">
        <is>
          <t>https://entrackr.com/news/bighaat-raises-10-mn-led-by-ocp-groups-arm-bidra-innovation-11096310</t>
        </is>
      </c>
    </row>
    <row r="1409">
      <c r="A1409" t="inlineStr">
        <is>
          <t>R260211-carefi</t>
        </is>
      </c>
      <c r="B1409" t="inlineStr">
        <is>
          <t>Care.fi</t>
        </is>
      </c>
      <c r="C1409" s="17" t="n">
        <v>46064</v>
      </c>
      <c r="D1409" s="18" t="n">
        <v>46054</v>
      </c>
      <c r="E1409" s="19" t="n">
        <v>8</v>
      </c>
      <c r="F1409" s="19" t="n">
        <v>72.56999999999999</v>
      </c>
      <c r="G1409" t="inlineStr">
        <is>
          <t>$8 million</t>
        </is>
      </c>
      <c r="H1409" t="inlineStr">
        <is>
          <t>Series A</t>
        </is>
      </c>
      <c r="I1409" t="inlineStr">
        <is>
          <t>Early</t>
        </is>
      </c>
      <c r="J1409" t="inlineStr">
        <is>
          <t>Fintech</t>
        </is>
      </c>
      <c r="K1409" t="inlineStr">
        <is>
          <t>Delhi NCR</t>
        </is>
      </c>
      <c r="L1409" t="inlineStr">
        <is>
          <t>July Ventures</t>
        </is>
      </c>
      <c r="M1409" t="inlineStr">
        <is>
          <t>July Ventures; Peak XV Partners; Accion Ventures; Sadev Ventures; Trifecta Capital; Vivriti</t>
        </is>
      </c>
      <c r="N1409" t="inlineStr">
        <is>
          <t>entrackr | inc42 | et</t>
        </is>
      </c>
      <c r="O1409" s="20" t="n">
        <v>3</v>
      </c>
      <c r="P1409" s="21" t="n">
        <v>0</v>
      </c>
      <c r="Q1409" t="inlineStr"/>
      <c r="R1409" s="22" t="inlineStr">
        <is>
          <t>https://entrackr.com/snippets/carefi-raises-8-mn-in-series-a-round-led-by-july-ventures-11096132</t>
        </is>
      </c>
    </row>
    <row r="1410">
      <c r="A1410" t="inlineStr">
        <is>
          <t>R260211-godesi</t>
        </is>
      </c>
      <c r="B1410" t="inlineStr">
        <is>
          <t>Go Desi</t>
        </is>
      </c>
      <c r="C1410" s="17" t="n">
        <v>46064</v>
      </c>
      <c r="D1410" s="18" t="n">
        <v>46054</v>
      </c>
      <c r="E1410" s="19" t="n">
        <v>2.8</v>
      </c>
      <c r="F1410" s="19" t="n">
        <v>25.4</v>
      </c>
      <c r="G1410" t="inlineStr">
        <is>
          <t>$2.8 Mn</t>
        </is>
      </c>
      <c r="H1410" t="inlineStr">
        <is>
          <t>Series B</t>
        </is>
      </c>
      <c r="I1410" t="inlineStr">
        <is>
          <t>Growth</t>
        </is>
      </c>
      <c r="J1410" t="inlineStr">
        <is>
          <t>Ecommerce</t>
        </is>
      </c>
      <c r="K1410" t="inlineStr">
        <is>
          <t>Unknown</t>
        </is>
      </c>
      <c r="L1410" t="inlineStr">
        <is>
          <t>ENRISSION INDIA CAPITAL; DSG Consumer Partners; Aavishkaar Capital</t>
        </is>
      </c>
      <c r="M1410" t="inlineStr">
        <is>
          <t>ENRISSION INDIA CAPITAL; DSG Consumer Partners; Aavishkaar Capital</t>
        </is>
      </c>
      <c r="N1410" t="inlineStr">
        <is>
          <t>inc42</t>
        </is>
      </c>
      <c r="O1410" s="20" t="n">
        <v>1</v>
      </c>
      <c r="P1410" s="21" t="n">
        <v>0</v>
      </c>
      <c r="Q1410" t="inlineStr">
        <is>
          <t>C07</t>
        </is>
      </c>
      <c r="R1410" s="22" t="inlineStr">
        <is>
          <t>https://inc42.com/buzz/from-idfy-to-olyv-indian-startups-raised-200-mn-this-week/</t>
        </is>
      </c>
    </row>
    <row r="1411">
      <c r="A1411" t="inlineStr">
        <is>
          <t>R260211-nester</t>
        </is>
      </c>
      <c r="B1411" t="inlineStr">
        <is>
          <t>Nester</t>
        </is>
      </c>
      <c r="C1411" s="17" t="n">
        <v>46064</v>
      </c>
      <c r="D1411" s="18" t="n">
        <v>46054</v>
      </c>
      <c r="E1411" s="19" t="n">
        <v>2.095</v>
      </c>
      <c r="F1411" s="19" t="n">
        <v>19</v>
      </c>
      <c r="G1411" t="inlineStr">
        <is>
          <t>Rs 19 crore</t>
        </is>
      </c>
      <c r="H1411" t="inlineStr">
        <is>
          <t>Pre-Series A</t>
        </is>
      </c>
      <c r="I1411" t="inlineStr">
        <is>
          <t>Early</t>
        </is>
      </c>
      <c r="J1411" t="inlineStr">
        <is>
          <t>Ecommerce</t>
        </is>
      </c>
      <c r="K1411" t="inlineStr">
        <is>
          <t>Delhi NCR</t>
        </is>
      </c>
      <c r="L1411" t="inlineStr">
        <is>
          <t>Fireside Ventures; OTP Ventures; Titan Capital</t>
        </is>
      </c>
      <c r="M1411" t="inlineStr">
        <is>
          <t>Fireside Ventures; OTP Ventures; Sadev Ventures; Titan Capital</t>
        </is>
      </c>
      <c r="N1411" t="inlineStr">
        <is>
          <t>entrackr | inc42 | et</t>
        </is>
      </c>
      <c r="O1411" s="20" t="n">
        <v>3</v>
      </c>
      <c r="P1411" s="21" t="n">
        <v>4.7</v>
      </c>
      <c r="Q1411" t="inlineStr"/>
      <c r="R1411" s="22" t="inlineStr">
        <is>
          <t>https://entrackr.com/snippets/nester-secures-pre-series-a-round-from-fireside-ventures-and-otp-ventures-11096339</t>
        </is>
      </c>
    </row>
    <row r="1412">
      <c r="A1412" t="inlineStr">
        <is>
          <t>R260211-showroomb2b</t>
        </is>
      </c>
      <c r="B1412" t="inlineStr">
        <is>
          <t>Showroom B2B</t>
        </is>
      </c>
      <c r="C1412" s="17" t="n">
        <v>46064</v>
      </c>
      <c r="D1412" s="18" t="n">
        <v>46054</v>
      </c>
      <c r="E1412" s="19" t="n">
        <v>16.536</v>
      </c>
      <c r="F1412" s="19" t="n">
        <v>150</v>
      </c>
      <c r="G1412" t="inlineStr">
        <is>
          <t>Rs 150 crore</t>
        </is>
      </c>
      <c r="H1412" t="inlineStr">
        <is>
          <t>Series A</t>
        </is>
      </c>
      <c r="I1412" t="inlineStr">
        <is>
          <t>Early</t>
        </is>
      </c>
      <c r="J1412" t="inlineStr">
        <is>
          <t>Ecommerce</t>
        </is>
      </c>
      <c r="K1412" t="inlineStr">
        <is>
          <t>Unknown</t>
        </is>
      </c>
      <c r="L1412" t="inlineStr">
        <is>
          <t>Cactus Partners</t>
        </is>
      </c>
      <c r="M1412" t="inlineStr">
        <is>
          <t>Cactus Partners; Zephyr Peacock Jungle Ventures; Accion Ventures; NBD Ventures</t>
        </is>
      </c>
      <c r="N1412" t="inlineStr">
        <is>
          <t>entrackr | inc42 | et</t>
        </is>
      </c>
      <c r="O1412" s="20" t="n">
        <v>3</v>
      </c>
      <c r="P1412" s="21" t="n">
        <v>3</v>
      </c>
      <c r="Q1412" t="inlineStr">
        <is>
          <t>C07</t>
        </is>
      </c>
      <c r="R1412" s="22" t="inlineStr">
        <is>
          <t>https://entrackr.com/news/showroom-b2b-raises-rs-150-cr-in-series-a-round-led-by-cactus-partners-11095517</t>
        </is>
      </c>
    </row>
    <row r="1413">
      <c r="A1413" t="inlineStr">
        <is>
          <t>R260211-steampro</t>
        </is>
      </c>
      <c r="B1413" t="inlineStr">
        <is>
          <t>SteamPRO</t>
        </is>
      </c>
      <c r="C1413" s="17" t="n">
        <v>46064</v>
      </c>
      <c r="D1413" s="18" t="n">
        <v>46054</v>
      </c>
      <c r="E1413" s="19" t="n">
        <v>0.419</v>
      </c>
      <c r="F1413" s="19" t="n">
        <v>3.8</v>
      </c>
      <c r="G1413" t="inlineStr">
        <is>
          <t>Rs 3.8 crore</t>
        </is>
      </c>
      <c r="H1413" t="inlineStr">
        <is>
          <t>Seed</t>
        </is>
      </c>
      <c r="I1413" t="inlineStr">
        <is>
          <t>Early</t>
        </is>
      </c>
      <c r="J1413" t="inlineStr">
        <is>
          <t>Ecommerce</t>
        </is>
      </c>
      <c r="K1413" t="inlineStr">
        <is>
          <t>Delhi NCR</t>
        </is>
      </c>
      <c r="L1413" t="inlineStr">
        <is>
          <t>Anicut Capital; Zeropearl VC; Atrium Ventures</t>
        </is>
      </c>
      <c r="M1413" t="inlineStr">
        <is>
          <t>Anicut Capital; Zeropearl VC; Atrium Ventures</t>
        </is>
      </c>
      <c r="N1413" t="inlineStr">
        <is>
          <t>entrackr | inc42</t>
        </is>
      </c>
      <c r="O1413" s="20" t="n">
        <v>2</v>
      </c>
      <c r="P1413" s="21" t="n">
        <v>0</v>
      </c>
      <c r="Q1413" t="inlineStr"/>
      <c r="R1413" s="22" t="inlineStr">
        <is>
          <t>https://entrackr.com/snippets/bath-tech-startup-steampro-raises-seed-round-11096483</t>
        </is>
      </c>
    </row>
    <row r="1414">
      <c r="A1414" t="inlineStr">
        <is>
          <t>R260211-thirdai</t>
        </is>
      </c>
      <c r="B1414" t="inlineStr">
        <is>
          <t>ThirdAI</t>
        </is>
      </c>
      <c r="C1414" s="17" t="n">
        <v>46064</v>
      </c>
      <c r="D1414" s="18" t="n">
        <v>46054</v>
      </c>
      <c r="E1414" s="19" t="n">
        <v>3</v>
      </c>
      <c r="F1414" s="19" t="n">
        <v>27.21</v>
      </c>
      <c r="G1414" t="inlineStr">
        <is>
          <t>$3 million</t>
        </is>
      </c>
      <c r="H1414" t="inlineStr">
        <is>
          <t>Seed</t>
        </is>
      </c>
      <c r="I1414" t="inlineStr">
        <is>
          <t>Early</t>
        </is>
      </c>
      <c r="J1414" t="inlineStr">
        <is>
          <t>Artificial Intelligence</t>
        </is>
      </c>
      <c r="K1414" t="inlineStr">
        <is>
          <t>Unknown</t>
        </is>
      </c>
      <c r="L1414" t="inlineStr">
        <is>
          <t>Endiya Partners; Capria Ventures</t>
        </is>
      </c>
      <c r="M1414" t="inlineStr">
        <is>
          <t>Endiya Partners; Capria Ventures</t>
        </is>
      </c>
      <c r="N1414" t="inlineStr">
        <is>
          <t>entrackr | inc42</t>
        </is>
      </c>
      <c r="O1414" s="20" t="n">
        <v>2</v>
      </c>
      <c r="P1414" s="21" t="n">
        <v>0</v>
      </c>
      <c r="Q1414" t="inlineStr">
        <is>
          <t>C07</t>
        </is>
      </c>
      <c r="R1414" s="22" t="inlineStr">
        <is>
          <t>https://entrackr.com/snippets/thirdai-raises-3-mn-led-by-endiya-partners-and-capria-ventures-11095630</t>
        </is>
      </c>
    </row>
    <row r="1415">
      <c r="A1415" t="inlineStr">
        <is>
          <t>R260211-timbuckdo</t>
        </is>
      </c>
      <c r="B1415" t="inlineStr">
        <is>
          <t>TimBuckDo</t>
        </is>
      </c>
      <c r="C1415" s="17" t="n">
        <v>46064</v>
      </c>
      <c r="D1415" s="18" t="n">
        <v>46054</v>
      </c>
      <c r="E1415" s="19" t="n">
        <v>0.298</v>
      </c>
      <c r="F1415" s="19" t="n">
        <v>2.7</v>
      </c>
      <c r="G1415" t="inlineStr">
        <is>
          <t>$298K</t>
        </is>
      </c>
      <c r="H1415" t="inlineStr">
        <is>
          <t>Undisclosed</t>
        </is>
      </c>
      <c r="I1415" t="inlineStr">
        <is>
          <t>Undisclosed</t>
        </is>
      </c>
      <c r="J1415" t="inlineStr">
        <is>
          <t>Consumer Services</t>
        </is>
      </c>
      <c r="K1415" t="inlineStr">
        <is>
          <t>Bengaluru</t>
        </is>
      </c>
      <c r="L1415" t="inlineStr"/>
      <c r="M1415" t="inlineStr">
        <is>
          <t>Turbostart; Rukam Capital; Anupam Bansal; Arjun Vaidya; Shaili Chopra; Sandesh Sharda</t>
        </is>
      </c>
      <c r="N1415" t="inlineStr">
        <is>
          <t>inc42</t>
        </is>
      </c>
      <c r="O1415" s="20" t="n">
        <v>1</v>
      </c>
      <c r="P1415" s="21" t="n">
        <v>0</v>
      </c>
      <c r="Q1415" t="inlineStr">
        <is>
          <t>C04</t>
        </is>
      </c>
      <c r="R1415" s="22" t="inlineStr">
        <is>
          <t>https://inc42.com/buzz/from-idfy-to-olyv-indian-startups-raised-200-mn-this-week/</t>
        </is>
      </c>
    </row>
    <row r="1416">
      <c r="A1416" t="inlineStr">
        <is>
          <t>R260212-digitory</t>
        </is>
      </c>
      <c r="B1416" t="inlineStr">
        <is>
          <t>Digitory</t>
        </is>
      </c>
      <c r="C1416" s="17" t="n">
        <v>46065</v>
      </c>
      <c r="D1416" s="18" t="n">
        <v>46054</v>
      </c>
      <c r="E1416" s="19" t="n">
        <v>0.5</v>
      </c>
      <c r="F1416" s="19" t="n">
        <v>4.53</v>
      </c>
      <c r="G1416" t="inlineStr">
        <is>
          <t>$500K</t>
        </is>
      </c>
      <c r="H1416" t="inlineStr">
        <is>
          <t>Pre-Series A</t>
        </is>
      </c>
      <c r="I1416" t="inlineStr">
        <is>
          <t>Early</t>
        </is>
      </c>
      <c r="J1416" t="inlineStr">
        <is>
          <t>Enterprise Tech</t>
        </is>
      </c>
      <c r="K1416" t="inlineStr">
        <is>
          <t>Bengaluru</t>
        </is>
      </c>
      <c r="L1416" t="inlineStr">
        <is>
          <t>Tejas Paresh Lodaya</t>
        </is>
      </c>
      <c r="M1416" t="inlineStr">
        <is>
          <t>Tejas Paresh Lodaya</t>
        </is>
      </c>
      <c r="N1416" t="inlineStr">
        <is>
          <t>entrackr | inc42</t>
        </is>
      </c>
      <c r="O1416" s="20" t="n">
        <v>2</v>
      </c>
      <c r="P1416" s="21" t="n">
        <v>0</v>
      </c>
      <c r="Q1416" t="inlineStr"/>
      <c r="R1416" s="22" t="inlineStr">
        <is>
          <t>https://entrackr.com/snippets/restaurant-tech-startup-digitory-raises-pre-series-a-funding-from-tejas-paresh-lodaya-11099615</t>
        </is>
      </c>
    </row>
    <row r="1417">
      <c r="A1417" t="inlineStr">
        <is>
          <t>R260212-dusq</t>
        </is>
      </c>
      <c r="B1417" t="inlineStr">
        <is>
          <t>DUSQ</t>
        </is>
      </c>
      <c r="C1417" s="17" t="n">
        <v>46065</v>
      </c>
      <c r="D1417" s="18" t="n">
        <v>46054</v>
      </c>
      <c r="E1417" s="19" t="n">
        <v>2.65</v>
      </c>
      <c r="F1417" s="19" t="n">
        <v>24</v>
      </c>
      <c r="G1417" t="inlineStr">
        <is>
          <t>Rs 24 crore</t>
        </is>
      </c>
      <c r="H1417" t="inlineStr">
        <is>
          <t>Seed</t>
        </is>
      </c>
      <c r="I1417" t="inlineStr">
        <is>
          <t>Early</t>
        </is>
      </c>
      <c r="J1417" t="inlineStr">
        <is>
          <t>Healthtech</t>
        </is>
      </c>
      <c r="K1417" t="inlineStr">
        <is>
          <t>Unknown</t>
        </is>
      </c>
      <c r="L1417" t="inlineStr">
        <is>
          <t>Fireside Ventures</t>
        </is>
      </c>
      <c r="M1417" t="inlineStr">
        <is>
          <t>Fireside Ventures; Antler India; Climber Capital; Startup Sherpas; Vaishav Investments; Avnish Anand; Shivam Puri</t>
        </is>
      </c>
      <c r="N1417" t="inlineStr">
        <is>
          <t>entrackr | inc42</t>
        </is>
      </c>
      <c r="O1417" s="20" t="n">
        <v>2</v>
      </c>
      <c r="P1417" s="21" t="n">
        <v>1.9</v>
      </c>
      <c r="Q1417" t="inlineStr">
        <is>
          <t>C07</t>
        </is>
      </c>
      <c r="R1417" s="22" t="inlineStr">
        <is>
          <t>https://entrackr.com/snippets/dusq-raises-rs-24-cr-in-seed-round-led-by-fireside-ventures-11099913</t>
        </is>
      </c>
    </row>
    <row r="1418">
      <c r="A1418" t="inlineStr">
        <is>
          <t>R260212-elixiirfoods</t>
        </is>
      </c>
      <c r="B1418" t="inlineStr">
        <is>
          <t>Elixiir Foods</t>
        </is>
      </c>
      <c r="C1418" s="17" t="n">
        <v>46065</v>
      </c>
      <c r="D1418" s="18" t="n">
        <v>46054</v>
      </c>
      <c r="E1418" s="19" t="n">
        <v>9</v>
      </c>
      <c r="F1418" s="19" t="n">
        <v>81.52</v>
      </c>
      <c r="G1418" t="inlineStr">
        <is>
          <t>$9 million</t>
        </is>
      </c>
      <c r="H1418" t="inlineStr">
        <is>
          <t>Seed</t>
        </is>
      </c>
      <c r="I1418" t="inlineStr">
        <is>
          <t>Early</t>
        </is>
      </c>
      <c r="J1418" t="inlineStr">
        <is>
          <t>Ecommerce</t>
        </is>
      </c>
      <c r="K1418" t="inlineStr">
        <is>
          <t>Delhi NCR</t>
        </is>
      </c>
      <c r="L1418" t="inlineStr">
        <is>
          <t>3one4 Capital</t>
        </is>
      </c>
      <c r="M1418" t="inlineStr">
        <is>
          <t>3one4 Capital; Incubate Fund Asia</t>
        </is>
      </c>
      <c r="N1418" t="inlineStr">
        <is>
          <t>entrackr | inc42 | et</t>
        </is>
      </c>
      <c r="O1418" s="20" t="n">
        <v>3</v>
      </c>
      <c r="P1418" s="21" t="n">
        <v>0</v>
      </c>
      <c r="Q1418" t="inlineStr"/>
      <c r="R1418" s="22" t="inlineStr">
        <is>
          <t>https://entrackr.com/snippets/elixiir-foods-raises-9-mn-seed-round-led-by-3one4-capital-and-incubate-fund-asia-11099361</t>
        </is>
      </c>
    </row>
    <row r="1419">
      <c r="A1419" t="inlineStr">
        <is>
          <t>R260212-heliware</t>
        </is>
      </c>
      <c r="B1419" t="inlineStr">
        <is>
          <t>Heliware</t>
        </is>
      </c>
      <c r="C1419" s="17" t="n">
        <v>46065</v>
      </c>
      <c r="D1419" s="18" t="n">
        <v>46054</v>
      </c>
      <c r="E1419" s="19" t="n">
        <v>0.497</v>
      </c>
      <c r="F1419" s="19" t="n">
        <v>4.5</v>
      </c>
      <c r="G1419" t="inlineStr">
        <is>
          <t>$497K</t>
        </is>
      </c>
      <c r="H1419" t="inlineStr">
        <is>
          <t>Undisclosed</t>
        </is>
      </c>
      <c r="I1419" t="inlineStr">
        <is>
          <t>Undisclosed</t>
        </is>
      </c>
      <c r="J1419" t="inlineStr">
        <is>
          <t>Advanced Hardware &amp; Technology</t>
        </is>
      </c>
      <c r="K1419" t="inlineStr">
        <is>
          <t>Unknown</t>
        </is>
      </c>
      <c r="L1419" t="inlineStr">
        <is>
          <t>Inflection Point Ventures</t>
        </is>
      </c>
      <c r="M1419" t="inlineStr">
        <is>
          <t>Inflection Point Ventures</t>
        </is>
      </c>
      <c r="N1419" t="inlineStr">
        <is>
          <t>inc42</t>
        </is>
      </c>
      <c r="O1419" s="20" t="n">
        <v>1</v>
      </c>
      <c r="P1419" s="21" t="n">
        <v>0</v>
      </c>
      <c r="Q1419" t="inlineStr">
        <is>
          <t>C04 C07</t>
        </is>
      </c>
      <c r="R1419" s="22" t="inlineStr">
        <is>
          <t>https://inc42.com/buzz/from-idfy-to-olyv-indian-startups-raised-200-mn-this-week/</t>
        </is>
      </c>
    </row>
    <row r="1420">
      <c r="A1420" t="inlineStr">
        <is>
          <t>R260212-indigridtechno</t>
        </is>
      </c>
      <c r="B1420" t="inlineStr">
        <is>
          <t>Indigrid</t>
        </is>
      </c>
      <c r="C1420" s="17" t="n">
        <v>46065</v>
      </c>
      <c r="D1420" s="18" t="n">
        <v>46054</v>
      </c>
      <c r="E1420" s="19" t="n">
        <v>4.416</v>
      </c>
      <c r="F1420" s="19" t="n">
        <v>40</v>
      </c>
      <c r="G1420" t="inlineStr">
        <is>
          <t>Rs 40 crore</t>
        </is>
      </c>
      <c r="H1420" t="inlineStr">
        <is>
          <t>Series A</t>
        </is>
      </c>
      <c r="I1420" t="inlineStr">
        <is>
          <t>Early</t>
        </is>
      </c>
      <c r="J1420" t="inlineStr">
        <is>
          <t>Cleantech</t>
        </is>
      </c>
      <c r="K1420" t="inlineStr">
        <is>
          <t>Unknown</t>
        </is>
      </c>
      <c r="L1420" t="inlineStr">
        <is>
          <t>Valour Capital; Cactus Partners</t>
        </is>
      </c>
      <c r="M1420" t="inlineStr">
        <is>
          <t>Valour Capital; ITI Growth Opportunities Fund; Vimson Group; Global South Capital; Cactus Partners</t>
        </is>
      </c>
      <c r="N1420" t="inlineStr">
        <is>
          <t>entrackr | inc42</t>
        </is>
      </c>
      <c r="O1420" s="20" t="n">
        <v>2</v>
      </c>
      <c r="P1420" s="21" t="n">
        <v>0.4</v>
      </c>
      <c r="Q1420" t="inlineStr">
        <is>
          <t>C07 C17</t>
        </is>
      </c>
      <c r="R1420" s="22" t="inlineStr">
        <is>
          <t>https://entrackr.com/snippets/electronics-manufacturing-startup-indigrid-technology-raises-rs-40-cr-in-series-a-11099028</t>
        </is>
      </c>
    </row>
    <row r="1421">
      <c r="A1421" t="inlineStr">
        <is>
          <t>R260212-ukhi</t>
        </is>
      </c>
      <c r="B1421" t="inlineStr">
        <is>
          <t>UKHI</t>
        </is>
      </c>
      <c r="C1421" s="17" t="n">
        <v>46065</v>
      </c>
      <c r="D1421" s="18" t="n">
        <v>46054</v>
      </c>
      <c r="E1421" s="19" t="n">
        <v>1.159</v>
      </c>
      <c r="F1421" s="19" t="n">
        <v>10.5</v>
      </c>
      <c r="G1421" t="inlineStr">
        <is>
          <t>Rs 10.5 crore</t>
        </is>
      </c>
      <c r="H1421" t="inlineStr">
        <is>
          <t>Seed</t>
        </is>
      </c>
      <c r="I1421" t="inlineStr">
        <is>
          <t>Early</t>
        </is>
      </c>
      <c r="J1421" t="inlineStr">
        <is>
          <t>Cleantech</t>
        </is>
      </c>
      <c r="K1421" t="inlineStr">
        <is>
          <t>Unknown</t>
        </is>
      </c>
      <c r="L1421" t="inlineStr">
        <is>
          <t>Venture Catalysts</t>
        </is>
      </c>
      <c r="M1421" t="inlineStr">
        <is>
          <t>Venture Catalysts; 100Unicorns; 888 VC; DCG Pack</t>
        </is>
      </c>
      <c r="N1421" t="inlineStr">
        <is>
          <t>entrackr | inc42</t>
        </is>
      </c>
      <c r="O1421" s="20" t="n">
        <v>2</v>
      </c>
      <c r="P1421" s="21" t="n">
        <v>3.5</v>
      </c>
      <c r="Q1421" t="inlineStr">
        <is>
          <t>C07</t>
        </is>
      </c>
      <c r="R1421" s="22" t="inlineStr">
        <is>
          <t>https://entrackr.com/snippets/ukhi-raises-seed-round-led-by-venture-catalysts-11099922</t>
        </is>
      </c>
    </row>
    <row r="1422">
      <c r="A1422" t="inlineStr">
        <is>
          <t>R260213-clayco</t>
        </is>
      </c>
      <c r="B1422" t="inlineStr">
        <is>
          <t>ClayCo</t>
        </is>
      </c>
      <c r="C1422" s="17" t="n">
        <v>46066</v>
      </c>
      <c r="D1422" s="18" t="n">
        <v>46054</v>
      </c>
      <c r="E1422" s="19" t="n">
        <v>3.3</v>
      </c>
      <c r="F1422" s="19" t="n">
        <v>29.9</v>
      </c>
      <c r="G1422" t="inlineStr">
        <is>
          <t>$3.3 Mn</t>
        </is>
      </c>
      <c r="H1422" t="inlineStr">
        <is>
          <t>Series A</t>
        </is>
      </c>
      <c r="I1422" t="inlineStr">
        <is>
          <t>Early</t>
        </is>
      </c>
      <c r="J1422" t="inlineStr">
        <is>
          <t>Ecommerce</t>
        </is>
      </c>
      <c r="K1422" t="inlineStr">
        <is>
          <t>Mumbai</t>
        </is>
      </c>
      <c r="L1422" t="inlineStr">
        <is>
          <t>Twenty Nine Capital Partners</t>
        </is>
      </c>
      <c r="M1422" t="inlineStr">
        <is>
          <t>Twenty Nine Capital Partners</t>
        </is>
      </c>
      <c r="N1422" t="inlineStr">
        <is>
          <t>inc42</t>
        </is>
      </c>
      <c r="O1422" s="20" t="n">
        <v>1</v>
      </c>
      <c r="P1422" s="21" t="n">
        <v>0</v>
      </c>
      <c r="Q1422" t="inlineStr"/>
      <c r="R1422" s="22" t="inlineStr">
        <is>
          <t>https://inc42.com/buzz/from-idfy-to-olyv-indian-startups-raised-200-mn-this-week/</t>
        </is>
      </c>
    </row>
    <row r="1423">
      <c r="A1423" t="inlineStr">
        <is>
          <t>R260213-etrnlenergy</t>
        </is>
      </c>
      <c r="B1423" t="inlineStr">
        <is>
          <t>e-TRNL Energy</t>
        </is>
      </c>
      <c r="C1423" s="17" t="n">
        <v>46066</v>
      </c>
      <c r="D1423" s="18" t="n">
        <v>46054</v>
      </c>
      <c r="E1423" s="19" t="n">
        <v>3.024</v>
      </c>
      <c r="F1423" s="19" t="n">
        <v>27.4</v>
      </c>
      <c r="G1423" t="inlineStr">
        <is>
          <t>Rs 27.4 crore</t>
        </is>
      </c>
      <c r="H1423" t="inlineStr">
        <is>
          <t>Seed</t>
        </is>
      </c>
      <c r="I1423" t="inlineStr">
        <is>
          <t>Early</t>
        </is>
      </c>
      <c r="J1423" t="inlineStr">
        <is>
          <t>Cleantech</t>
        </is>
      </c>
      <c r="K1423" t="inlineStr">
        <is>
          <t>Unknown</t>
        </is>
      </c>
      <c r="L1423" t="inlineStr">
        <is>
          <t>IAN Group</t>
        </is>
      </c>
      <c r="M1423" t="inlineStr">
        <is>
          <t>IAN Group; Navam Capital; Speciale Invest</t>
        </is>
      </c>
      <c r="N1423" t="inlineStr">
        <is>
          <t>entrackr | inc42</t>
        </is>
      </c>
      <c r="O1423" s="20" t="n">
        <v>2</v>
      </c>
      <c r="P1423" s="21" t="n">
        <v>0.8</v>
      </c>
      <c r="Q1423" t="inlineStr">
        <is>
          <t>C07</t>
        </is>
      </c>
      <c r="R1423" s="22" t="inlineStr">
        <is>
          <t>https://entrackr.com/snippets/e-trnl-energy-raises-rs-274-cr-seed-round-led-by-ian-group-11103092</t>
        </is>
      </c>
    </row>
    <row r="1424">
      <c r="A1424" t="inlineStr">
        <is>
          <t>R260213-everbrands</t>
        </is>
      </c>
      <c r="B1424" t="inlineStr">
        <is>
          <t>EverBrands</t>
        </is>
      </c>
      <c r="C1424" s="17" t="n">
        <v>46066</v>
      </c>
      <c r="D1424" s="18" t="n">
        <v>46054</v>
      </c>
      <c r="E1424" s="19" t="n">
        <v>15</v>
      </c>
      <c r="F1424" s="19" t="n">
        <v>135.92</v>
      </c>
      <c r="G1424" t="inlineStr">
        <is>
          <t>$15 million</t>
        </is>
      </c>
      <c r="H1424" t="inlineStr">
        <is>
          <t>Undisclosed</t>
        </is>
      </c>
      <c r="I1424" t="inlineStr">
        <is>
          <t>Undisclosed</t>
        </is>
      </c>
      <c r="J1424" t="inlineStr">
        <is>
          <t>Unclassified</t>
        </is>
      </c>
      <c r="K1424" t="inlineStr">
        <is>
          <t>Unknown</t>
        </is>
      </c>
      <c r="L1424" t="inlineStr">
        <is>
          <t>Playbook Partners</t>
        </is>
      </c>
      <c r="M1424" t="inlineStr">
        <is>
          <t>Playbook Partners</t>
        </is>
      </c>
      <c r="N1424" t="inlineStr">
        <is>
          <t>entrackr</t>
        </is>
      </c>
      <c r="O1424" s="20" t="n">
        <v>1</v>
      </c>
      <c r="P1424" s="21" t="n">
        <v>0</v>
      </c>
      <c r="Q1424" t="inlineStr">
        <is>
          <t>C04 C06 C07</t>
        </is>
      </c>
      <c r="R1424" s="22" t="inlineStr">
        <is>
          <t>https://entrackr.com/news/subway-india-operator-everbrands-raises-15-mn-led-by-playbook-partners-11102500</t>
        </is>
      </c>
    </row>
    <row r="1425">
      <c r="A1425" t="inlineStr">
        <is>
          <t>R260213-idfy</t>
        </is>
      </c>
      <c r="B1425" t="inlineStr">
        <is>
          <t>IDfy</t>
        </is>
      </c>
      <c r="C1425" s="17" t="n">
        <v>46066</v>
      </c>
      <c r="D1425" s="18" t="n">
        <v>46054</v>
      </c>
      <c r="E1425" s="19" t="n">
        <v>52.533</v>
      </c>
      <c r="F1425" s="19" t="n">
        <v>476</v>
      </c>
      <c r="G1425" t="inlineStr">
        <is>
          <t>Rs 476 crore</t>
        </is>
      </c>
      <c r="H1425" t="inlineStr">
        <is>
          <t>Series F</t>
        </is>
      </c>
      <c r="I1425" t="inlineStr">
        <is>
          <t>Late</t>
        </is>
      </c>
      <c r="J1425" t="inlineStr">
        <is>
          <t>Enterprise Tech</t>
        </is>
      </c>
      <c r="K1425" t="inlineStr">
        <is>
          <t>Mumbai</t>
        </is>
      </c>
      <c r="L1425" t="inlineStr">
        <is>
          <t>Neo Asset Management; Blume Ventures; Analog Capital; Elev8</t>
        </is>
      </c>
      <c r="M1425" t="inlineStr">
        <is>
          <t>Neo Asset Management; Blume Ventures; Analog Capital; Elev8; IndiaMART; Kae Capital</t>
        </is>
      </c>
      <c r="N1425" t="inlineStr">
        <is>
          <t>entrackr | inc42 | et</t>
        </is>
      </c>
      <c r="O1425" s="20" t="n">
        <v>3</v>
      </c>
      <c r="P1425" s="21" t="n">
        <v>0.1</v>
      </c>
      <c r="Q1425" t="inlineStr"/>
      <c r="R1425" s="22" t="inlineStr">
        <is>
          <t>https://entrackr.com/news/idfy-raises-53-mn-led-by-neo-secondaries-fund-11102270</t>
        </is>
      </c>
    </row>
    <row r="1426">
      <c r="A1426" t="inlineStr">
        <is>
          <t>R260213-sixsensemobili</t>
        </is>
      </c>
      <c r="B1426" t="inlineStr">
        <is>
          <t>Six Sense Mobility</t>
        </is>
      </c>
      <c r="C1426" s="17" t="n">
        <v>46066</v>
      </c>
      <c r="D1426" s="18" t="n">
        <v>46054</v>
      </c>
      <c r="E1426" s="19" t="n">
        <v>4.8</v>
      </c>
      <c r="F1426" s="19" t="n">
        <v>43.49</v>
      </c>
      <c r="G1426" t="inlineStr">
        <is>
          <t>$4.8 million</t>
        </is>
      </c>
      <c r="H1426" t="inlineStr">
        <is>
          <t>Pre-Series A</t>
        </is>
      </c>
      <c r="I1426" t="inlineStr">
        <is>
          <t>Early</t>
        </is>
      </c>
      <c r="J1426" t="inlineStr">
        <is>
          <t>Logistics</t>
        </is>
      </c>
      <c r="K1426" t="inlineStr">
        <is>
          <t>Unknown</t>
        </is>
      </c>
      <c r="L1426" t="inlineStr">
        <is>
          <t>Ashish Kacholia</t>
        </is>
      </c>
      <c r="M1426" t="inlineStr">
        <is>
          <t>Ashish Kacholia; Piper Serica</t>
        </is>
      </c>
      <c r="N1426" t="inlineStr">
        <is>
          <t>entrackr | inc42</t>
        </is>
      </c>
      <c r="O1426" s="20" t="n">
        <v>2</v>
      </c>
      <c r="P1426" s="21" t="n">
        <v>0</v>
      </c>
      <c r="Q1426" t="inlineStr">
        <is>
          <t>C07</t>
        </is>
      </c>
      <c r="R1426" s="22" t="inlineStr">
        <is>
          <t>https://entrackr.com/snippets/six-sense-mobility-raises-48-mn-led-by-ashish-kacholia-11102743</t>
        </is>
      </c>
    </row>
    <row r="1427">
      <c r="A1427" t="inlineStr">
        <is>
          <t>R260214-spinny</t>
        </is>
      </c>
      <c r="B1427" t="inlineStr">
        <is>
          <t>Spinny</t>
        </is>
      </c>
      <c r="C1427" s="17" t="n">
        <v>46067</v>
      </c>
      <c r="D1427" s="18" t="n">
        <v>46054</v>
      </c>
      <c r="E1427" s="19" t="n">
        <v>170</v>
      </c>
      <c r="F1427" s="19" t="n">
        <v>1540.37</v>
      </c>
      <c r="G1427" t="inlineStr">
        <is>
          <t>$170 Mn</t>
        </is>
      </c>
      <c r="H1427" t="inlineStr">
        <is>
          <t>Series G</t>
        </is>
      </c>
      <c r="I1427" t="inlineStr">
        <is>
          <t>Late</t>
        </is>
      </c>
      <c r="J1427" t="inlineStr">
        <is>
          <t>Ecommerce</t>
        </is>
      </c>
      <c r="K1427" t="inlineStr">
        <is>
          <t>Delhi NCR</t>
        </is>
      </c>
      <c r="L1427" t="inlineStr">
        <is>
          <t>Fidelity Investments; Accel</t>
        </is>
      </c>
      <c r="M1427" t="inlineStr">
        <is>
          <t>Fidelity Investments; Accel</t>
        </is>
      </c>
      <c r="N1427" t="inlineStr">
        <is>
          <t>inc42 | et</t>
        </is>
      </c>
      <c r="O1427" s="20" t="n">
        <v>2</v>
      </c>
      <c r="P1427" s="21" t="n">
        <v>0</v>
      </c>
      <c r="Q1427" t="inlineStr"/>
      <c r="R1427" s="22" t="inlineStr">
        <is>
          <t>https://economictimes.indiatimes.com/tech/funding/fidelity-accel-lead-160170-million-investment-round-in-spinny/articleshow/128320435.cms</t>
        </is>
      </c>
    </row>
    <row r="1428">
      <c r="A1428" t="inlineStr">
        <is>
          <t>R260216-c2isemiconduct</t>
        </is>
      </c>
      <c r="B1428" t="inlineStr">
        <is>
          <t>C2i Semiconductors</t>
        </is>
      </c>
      <c r="C1428" s="17" t="n">
        <v>46069</v>
      </c>
      <c r="D1428" s="18" t="n">
        <v>46054</v>
      </c>
      <c r="E1428" s="19" t="n">
        <v>15</v>
      </c>
      <c r="F1428" s="19" t="n">
        <v>136.1</v>
      </c>
      <c r="G1428" t="inlineStr">
        <is>
          <t>$15 million</t>
        </is>
      </c>
      <c r="H1428" t="inlineStr">
        <is>
          <t>Series A</t>
        </is>
      </c>
      <c r="I1428" t="inlineStr">
        <is>
          <t>Early</t>
        </is>
      </c>
      <c r="J1428" t="inlineStr">
        <is>
          <t>Advanced Hardware &amp; Technology</t>
        </is>
      </c>
      <c r="K1428" t="inlineStr">
        <is>
          <t>Bengaluru</t>
        </is>
      </c>
      <c r="L1428" t="inlineStr">
        <is>
          <t>Peak XV Partners</t>
        </is>
      </c>
      <c r="M1428" t="inlineStr">
        <is>
          <t>Peak XV Partners; TDK Ventures; Yali Capital</t>
        </is>
      </c>
      <c r="N1428" t="inlineStr">
        <is>
          <t>entrackr | inc42 | et</t>
        </is>
      </c>
      <c r="O1428" s="20" t="n">
        <v>3</v>
      </c>
      <c r="P1428" s="21" t="n">
        <v>0</v>
      </c>
      <c r="Q1428" t="inlineStr"/>
      <c r="R1428" s="22" t="inlineStr">
        <is>
          <t>https://entrackr.com/news/semiconductor-startup-c2i-semiconductors-raises-15-mn-led-by-peak-xv-11110040</t>
        </is>
      </c>
    </row>
    <row r="1429">
      <c r="A1429" t="inlineStr">
        <is>
          <t>R260216-localhost</t>
        </is>
      </c>
      <c r="B1429" t="inlineStr">
        <is>
          <t>LocalHost</t>
        </is>
      </c>
      <c r="C1429" s="17" t="n">
        <v>46069</v>
      </c>
      <c r="D1429" s="18" t="n">
        <v>46054</v>
      </c>
      <c r="E1429" s="19" t="n">
        <v>2.5</v>
      </c>
      <c r="F1429" s="19" t="n">
        <v>22.68</v>
      </c>
      <c r="G1429" t="inlineStr">
        <is>
          <t>$2.5 million</t>
        </is>
      </c>
      <c r="H1429" t="inlineStr">
        <is>
          <t>Angel</t>
        </is>
      </c>
      <c r="I1429" t="inlineStr">
        <is>
          <t>Early</t>
        </is>
      </c>
      <c r="J1429" t="inlineStr">
        <is>
          <t>Unclassified</t>
        </is>
      </c>
      <c r="K1429" t="inlineStr">
        <is>
          <t>Unknown</t>
        </is>
      </c>
      <c r="L1429" t="inlineStr"/>
      <c r="M1429" t="inlineStr">
        <is>
          <t>InVideo; RedBull India; Anthropic; Eros International</t>
        </is>
      </c>
      <c r="N1429" t="inlineStr">
        <is>
          <t>entrackr</t>
        </is>
      </c>
      <c r="O1429" s="20" t="n">
        <v>1</v>
      </c>
      <c r="P1429" s="21" t="n">
        <v>0</v>
      </c>
      <c r="Q1429" t="inlineStr">
        <is>
          <t>C06 C07</t>
        </is>
      </c>
      <c r="R1429" s="22" t="inlineStr">
        <is>
          <t>https://entrackr.com/snippets/localhost-raises-25-mn-from-invideo-redbull-india-and-others-11110610</t>
        </is>
      </c>
    </row>
    <row r="1430">
      <c r="A1430" t="inlineStr">
        <is>
          <t>R260216-neysa</t>
        </is>
      </c>
      <c r="B1430" t="inlineStr">
        <is>
          <t>Neysa</t>
        </is>
      </c>
      <c r="C1430" s="17" t="n">
        <v>46069</v>
      </c>
      <c r="D1430" s="18" t="n">
        <v>46054</v>
      </c>
      <c r="E1430" s="19" t="n">
        <v>1200</v>
      </c>
      <c r="F1430" s="19" t="n">
        <v>10887.6</v>
      </c>
      <c r="G1430" t="inlineStr">
        <is>
          <t>$1.2 billion</t>
        </is>
      </c>
      <c r="H1430" t="inlineStr">
        <is>
          <t>Undisclosed</t>
        </is>
      </c>
      <c r="I1430" t="inlineStr">
        <is>
          <t>Undisclosed</t>
        </is>
      </c>
      <c r="J1430" t="inlineStr">
        <is>
          <t>Artificial Intelligence</t>
        </is>
      </c>
      <c r="K1430" t="inlineStr">
        <is>
          <t>Mumbai</t>
        </is>
      </c>
      <c r="L1430" t="inlineStr"/>
      <c r="M1430" t="inlineStr"/>
      <c r="N1430" t="inlineStr">
        <is>
          <t>entrackr</t>
        </is>
      </c>
      <c r="O1430" s="20" t="n">
        <v>1</v>
      </c>
      <c r="P1430" s="21" t="n">
        <v>0</v>
      </c>
      <c r="Q1430" t="inlineStr">
        <is>
          <t>C04 C05</t>
        </is>
      </c>
      <c r="R1430" s="22" t="inlineStr">
        <is>
          <t>https://entrackr.com/news/gen-ai-startup-neysa-turns-unicorn-after-blackstone-led-12-bn-funding-11109995</t>
        </is>
      </c>
    </row>
    <row r="1431">
      <c r="A1431" t="inlineStr">
        <is>
          <t>R260216-ottomoney</t>
        </is>
      </c>
      <c r="B1431" t="inlineStr">
        <is>
          <t>Otto Money</t>
        </is>
      </c>
      <c r="C1431" s="17" t="n">
        <v>46069</v>
      </c>
      <c r="D1431" s="18" t="n">
        <v>46054</v>
      </c>
      <c r="E1431" s="19" t="n">
        <v>1.3</v>
      </c>
      <c r="F1431" s="19" t="n">
        <v>11.79</v>
      </c>
      <c r="G1431" t="inlineStr">
        <is>
          <t>$1.3 million</t>
        </is>
      </c>
      <c r="H1431" t="inlineStr">
        <is>
          <t>Pre-Seed</t>
        </is>
      </c>
      <c r="I1431" t="inlineStr">
        <is>
          <t>Early</t>
        </is>
      </c>
      <c r="J1431" t="inlineStr">
        <is>
          <t>Fintech</t>
        </is>
      </c>
      <c r="K1431" t="inlineStr">
        <is>
          <t>Unknown</t>
        </is>
      </c>
      <c r="L1431" t="inlineStr">
        <is>
          <t>Pravega Ventures</t>
        </is>
      </c>
      <c r="M1431" t="inlineStr">
        <is>
          <t>Pravega Ventures; Amit Gupta; Amit Agarwal; Mohit Aron</t>
        </is>
      </c>
      <c r="N1431" t="inlineStr">
        <is>
          <t>entrackr | inc42</t>
        </is>
      </c>
      <c r="O1431" s="20" t="n">
        <v>2</v>
      </c>
      <c r="P1431" s="21" t="n">
        <v>0</v>
      </c>
      <c r="Q1431" t="inlineStr">
        <is>
          <t>C07</t>
        </is>
      </c>
      <c r="R1431" s="22" t="inlineStr">
        <is>
          <t>https://entrackr.com/snippets/wealthtech-startup-otto-money-raises-13-mn-led-by-pravega-ventures-11110193</t>
        </is>
      </c>
    </row>
    <row r="1432">
      <c r="A1432" t="inlineStr">
        <is>
          <t>R260217-beep</t>
        </is>
      </c>
      <c r="B1432" t="inlineStr">
        <is>
          <t>Beep</t>
        </is>
      </c>
      <c r="C1432" s="17" t="n">
        <v>46070</v>
      </c>
      <c r="D1432" s="18" t="n">
        <v>46054</v>
      </c>
      <c r="E1432" s="19" t="n">
        <v>0.85</v>
      </c>
      <c r="F1432" s="19" t="n">
        <v>7.71</v>
      </c>
      <c r="G1432" t="inlineStr">
        <is>
          <t>$850,000</t>
        </is>
      </c>
      <c r="H1432" t="inlineStr">
        <is>
          <t>Pre-Series A</t>
        </is>
      </c>
      <c r="I1432" t="inlineStr">
        <is>
          <t>Early</t>
        </is>
      </c>
      <c r="J1432" t="inlineStr">
        <is>
          <t>Edtech</t>
        </is>
      </c>
      <c r="K1432" t="inlineStr">
        <is>
          <t>Pune</t>
        </is>
      </c>
      <c r="L1432" t="inlineStr"/>
      <c r="M1432" t="inlineStr">
        <is>
          <t>Knowhere Ventures; Pacific Global Solutions; LeadAngels FLV; Vipul Prakash; Sandeep Johri</t>
        </is>
      </c>
      <c r="N1432" t="inlineStr">
        <is>
          <t>entrackr | inc42</t>
        </is>
      </c>
      <c r="O1432" s="20" t="n">
        <v>2</v>
      </c>
      <c r="P1432" s="21" t="n">
        <v>0</v>
      </c>
      <c r="Q1432" t="inlineStr"/>
      <c r="R1432" s="22" t="inlineStr">
        <is>
          <t>https://entrackr.com/snippets/edtech-startup-beep-raises-850k-in-pre-series-a-round-11116886</t>
        </is>
      </c>
    </row>
    <row r="1433">
      <c r="A1433" t="inlineStr">
        <is>
          <t>R260217-craftifai</t>
        </is>
      </c>
      <c r="B1433" t="inlineStr">
        <is>
          <t>CraftifAI</t>
        </is>
      </c>
      <c r="C1433" s="17" t="n">
        <v>46070</v>
      </c>
      <c r="D1433" s="18" t="n">
        <v>46054</v>
      </c>
      <c r="E1433" s="19" t="n">
        <v>3</v>
      </c>
      <c r="F1433" s="19" t="n">
        <v>27.21</v>
      </c>
      <c r="G1433" t="inlineStr">
        <is>
          <t>$3 million</t>
        </is>
      </c>
      <c r="H1433" t="inlineStr">
        <is>
          <t>Seed</t>
        </is>
      </c>
      <c r="I1433" t="inlineStr">
        <is>
          <t>Early</t>
        </is>
      </c>
      <c r="J1433" t="inlineStr">
        <is>
          <t>Artificial Intelligence</t>
        </is>
      </c>
      <c r="K1433" t="inlineStr">
        <is>
          <t>Bengaluru</t>
        </is>
      </c>
      <c r="L1433" t="inlineStr">
        <is>
          <t>Ankur Capital; Capital-A; Antler</t>
        </is>
      </c>
      <c r="M1433" t="inlineStr">
        <is>
          <t>Ankur Capital; IvyCap Ventures; Capital-A; Antler</t>
        </is>
      </c>
      <c r="N1433" t="inlineStr">
        <is>
          <t>entrackr | inc42 | et</t>
        </is>
      </c>
      <c r="O1433" s="20" t="n">
        <v>3</v>
      </c>
      <c r="P1433" s="21" t="n">
        <v>0</v>
      </c>
      <c r="Q1433" t="inlineStr"/>
      <c r="R1433" s="22" t="inlineStr">
        <is>
          <t>https://entrackr.com/snippets/craftifai-secures-3-mn-in-seed-round-led-by-ankur-capital-11121741</t>
        </is>
      </c>
    </row>
    <row r="1434">
      <c r="A1434" t="inlineStr">
        <is>
          <t>R260217-homerun</t>
        </is>
      </c>
      <c r="B1434" t="inlineStr">
        <is>
          <t>HomeRun</t>
        </is>
      </c>
      <c r="C1434" s="17" t="n">
        <v>46070</v>
      </c>
      <c r="D1434" s="18" t="n">
        <v>46054</v>
      </c>
      <c r="E1434" s="19" t="n">
        <v>6.615</v>
      </c>
      <c r="F1434" s="19" t="n">
        <v>60</v>
      </c>
      <c r="G1434" t="inlineStr">
        <is>
          <t>Rs 60 crore</t>
        </is>
      </c>
      <c r="H1434" t="inlineStr">
        <is>
          <t>Series A</t>
        </is>
      </c>
      <c r="I1434" t="inlineStr">
        <is>
          <t>Early</t>
        </is>
      </c>
      <c r="J1434" t="inlineStr">
        <is>
          <t>Consumer Services</t>
        </is>
      </c>
      <c r="K1434" t="inlineStr">
        <is>
          <t>Bengaluru</t>
        </is>
      </c>
      <c r="L1434" t="inlineStr">
        <is>
          <t>Sorin Investments</t>
        </is>
      </c>
      <c r="M1434" t="inlineStr">
        <is>
          <t>Sorin Investments; Titan Capital; Sparrow Capital; Consumer Collective; Helios Holdings</t>
        </is>
      </c>
      <c r="N1434" t="inlineStr">
        <is>
          <t>entrackr | inc42 | et</t>
        </is>
      </c>
      <c r="O1434" s="20" t="n">
        <v>3</v>
      </c>
      <c r="P1434" s="21" t="n">
        <v>0.2</v>
      </c>
      <c r="Q1434" t="inlineStr"/>
      <c r="R1434" s="22" t="inlineStr">
        <is>
          <t>https://entrackr.com/snippets/homerun-raises-rs-60-cr-in-series-a-led-by-sorin-investments-11112913</t>
        </is>
      </c>
    </row>
    <row r="1435">
      <c r="A1435" t="inlineStr">
        <is>
          <t>R260217-intrinsicfound</t>
        </is>
      </c>
      <c r="B1435" t="inlineStr">
        <is>
          <t>Intrinsic Foundries</t>
        </is>
      </c>
      <c r="C1435" s="17" t="n">
        <v>46070</v>
      </c>
      <c r="D1435" s="18" t="n">
        <v>46054</v>
      </c>
      <c r="E1435" s="19" t="n">
        <v>1.323</v>
      </c>
      <c r="F1435" s="19" t="n">
        <v>12</v>
      </c>
      <c r="G1435" t="inlineStr">
        <is>
          <t>Rs 12 crore</t>
        </is>
      </c>
      <c r="H1435" t="inlineStr">
        <is>
          <t>Seed</t>
        </is>
      </c>
      <c r="I1435" t="inlineStr">
        <is>
          <t>Early</t>
        </is>
      </c>
      <c r="J1435" t="inlineStr">
        <is>
          <t>Cleantech</t>
        </is>
      </c>
      <c r="K1435" t="inlineStr">
        <is>
          <t>Unknown</t>
        </is>
      </c>
      <c r="L1435" t="inlineStr">
        <is>
          <t>Transition VC</t>
        </is>
      </c>
      <c r="M1435" t="inlineStr">
        <is>
          <t>Transition VC</t>
        </is>
      </c>
      <c r="N1435" t="inlineStr">
        <is>
          <t>entrackr | inc42</t>
        </is>
      </c>
      <c r="O1435" s="20" t="n">
        <v>2</v>
      </c>
      <c r="P1435" s="21" t="n">
        <v>5.8</v>
      </c>
      <c r="Q1435" t="inlineStr">
        <is>
          <t>C07</t>
        </is>
      </c>
      <c r="R1435" s="22" t="inlineStr">
        <is>
          <t>https://entrackr.com/snippets/intrinsic-foundries-raises-rs-12-cr-in-seed-round-led-by-transition-vc-11116737</t>
        </is>
      </c>
    </row>
    <row r="1436">
      <c r="A1436" t="inlineStr">
        <is>
          <t>R260217-navikenz</t>
        </is>
      </c>
      <c r="B1436" t="inlineStr">
        <is>
          <t>Navikenz</t>
        </is>
      </c>
      <c r="C1436" s="17" t="n">
        <v>46070</v>
      </c>
      <c r="D1436" s="18" t="n">
        <v>46054</v>
      </c>
      <c r="E1436" s="19" t="n">
        <v>7.5</v>
      </c>
      <c r="F1436" s="19" t="n">
        <v>68.03</v>
      </c>
      <c r="G1436" t="inlineStr">
        <is>
          <t>$7.5 million</t>
        </is>
      </c>
      <c r="H1436" t="inlineStr">
        <is>
          <t>Seed</t>
        </is>
      </c>
      <c r="I1436" t="inlineStr">
        <is>
          <t>Early</t>
        </is>
      </c>
      <c r="J1436" t="inlineStr">
        <is>
          <t>Artificial Intelligence</t>
        </is>
      </c>
      <c r="K1436" t="inlineStr">
        <is>
          <t>Outside India</t>
        </is>
      </c>
      <c r="L1436" t="inlineStr">
        <is>
          <t>Sekar PRC; Sudip Nandy</t>
        </is>
      </c>
      <c r="M1436" t="inlineStr">
        <is>
          <t>Sekar PRC; Sudip Nandy</t>
        </is>
      </c>
      <c r="N1436" t="inlineStr">
        <is>
          <t>entrackr | et</t>
        </is>
      </c>
      <c r="O1436" s="20" t="n">
        <v>2</v>
      </c>
      <c r="P1436" s="21" t="n">
        <v>0</v>
      </c>
      <c r="Q1436" t="inlineStr"/>
      <c r="R1436" s="22" t="inlineStr">
        <is>
          <t>https://entrackr.com/snippets/ai-consulting-startup-navikenz-raises-75-mn-in-seed-round-led-by-sekar-prc-and-sudip-nandy-11121504</t>
        </is>
      </c>
    </row>
    <row r="1437">
      <c r="A1437" t="inlineStr">
        <is>
          <t>R260217-tonetag</t>
        </is>
      </c>
      <c r="B1437" t="inlineStr">
        <is>
          <t>ToneTag</t>
        </is>
      </c>
      <c r="C1437" s="17" t="n">
        <v>46070</v>
      </c>
      <c r="D1437" s="18" t="n">
        <v>46054</v>
      </c>
      <c r="E1437" s="19" t="n">
        <v>3.8</v>
      </c>
      <c r="F1437" s="19" t="n">
        <v>34.47</v>
      </c>
      <c r="G1437" t="inlineStr">
        <is>
          <t>$3.8 Mn</t>
        </is>
      </c>
      <c r="H1437" t="inlineStr">
        <is>
          <t>Undisclosed</t>
        </is>
      </c>
      <c r="I1437" t="inlineStr">
        <is>
          <t>Undisclosed</t>
        </is>
      </c>
      <c r="J1437" t="inlineStr">
        <is>
          <t>Fintech</t>
        </is>
      </c>
      <c r="K1437" t="inlineStr">
        <is>
          <t>Bengaluru</t>
        </is>
      </c>
      <c r="L1437" t="inlineStr">
        <is>
          <t>Qualcomm Ventures</t>
        </is>
      </c>
      <c r="M1437" t="inlineStr">
        <is>
          <t>Qualcomm Ventures</t>
        </is>
      </c>
      <c r="N1437" t="inlineStr">
        <is>
          <t>inc42 | et</t>
        </is>
      </c>
      <c r="O1437" s="20" t="n">
        <v>2</v>
      </c>
      <c r="P1437" s="21" t="n">
        <v>2</v>
      </c>
      <c r="Q1437" t="inlineStr">
        <is>
          <t>C04</t>
        </is>
      </c>
      <c r="R1437" s="22" t="inlineStr">
        <is>
          <t>https://inc42.com/buzz/from-spinny-to-statiq-indian-startups-raised-285-mn-this-week/</t>
        </is>
      </c>
    </row>
    <row r="1438">
      <c r="A1438" t="inlineStr">
        <is>
          <t>R260218-artociti</t>
        </is>
      </c>
      <c r="B1438" t="inlineStr">
        <is>
          <t>Artociti</t>
        </is>
      </c>
      <c r="C1438" s="17" t="n">
        <v>46071</v>
      </c>
      <c r="D1438" s="18" t="n">
        <v>46054</v>
      </c>
      <c r="E1438" s="19" t="n">
        <v>0.11</v>
      </c>
      <c r="F1438" s="19" t="n">
        <v>1</v>
      </c>
      <c r="G1438" t="inlineStr">
        <is>
          <t>Rs 1 crore</t>
        </is>
      </c>
      <c r="H1438" t="inlineStr">
        <is>
          <t>Undisclosed</t>
        </is>
      </c>
      <c r="I1438" t="inlineStr">
        <is>
          <t>Undisclosed</t>
        </is>
      </c>
      <c r="J1438" t="inlineStr">
        <is>
          <t>Unclassified</t>
        </is>
      </c>
      <c r="K1438" t="inlineStr">
        <is>
          <t>Unknown</t>
        </is>
      </c>
      <c r="L1438" t="inlineStr"/>
      <c r="M1438" t="inlineStr"/>
      <c r="N1438" t="inlineStr">
        <is>
          <t>entrackr</t>
        </is>
      </c>
      <c r="O1438" s="20" t="n">
        <v>1</v>
      </c>
      <c r="P1438" s="21" t="n">
        <v>0</v>
      </c>
      <c r="Q1438" t="inlineStr">
        <is>
          <t>C04 C05 C06 C07</t>
        </is>
      </c>
      <c r="R1438" s="22" t="inlineStr">
        <is>
          <t>https://entrackr.com/snippets/artociti-raises-rs-1-cr-on-shark-tank-india-at-rs-1333-cr-valuation-11124946</t>
        </is>
      </c>
    </row>
    <row r="1439">
      <c r="A1439" t="inlineStr">
        <is>
          <t>R260218-peptris</t>
        </is>
      </c>
      <c r="B1439" t="inlineStr">
        <is>
          <t>Peptris</t>
        </is>
      </c>
      <c r="C1439" s="17" t="n">
        <v>46071</v>
      </c>
      <c r="D1439" s="18" t="n">
        <v>46054</v>
      </c>
      <c r="E1439" s="19" t="n">
        <v>7.719</v>
      </c>
      <c r="F1439" s="19" t="n">
        <v>70</v>
      </c>
      <c r="G1439" t="inlineStr">
        <is>
          <t>Rs 70 crore</t>
        </is>
      </c>
      <c r="H1439" t="inlineStr">
        <is>
          <t>Series A</t>
        </is>
      </c>
      <c r="I1439" t="inlineStr">
        <is>
          <t>Early</t>
        </is>
      </c>
      <c r="J1439" t="inlineStr">
        <is>
          <t>Healthtech</t>
        </is>
      </c>
      <c r="K1439" t="inlineStr">
        <is>
          <t>Bengaluru</t>
        </is>
      </c>
      <c r="L1439" t="inlineStr">
        <is>
          <t>IAN Alpha Fund; Speciale Invest; BYT Ventures</t>
        </is>
      </c>
      <c r="M1439" t="inlineStr">
        <is>
          <t>IAN Alpha Fund; Speciale Invest; Tenacity Ventures; BYT Ventures</t>
        </is>
      </c>
      <c r="N1439" t="inlineStr">
        <is>
          <t>entrackr | inc42</t>
        </is>
      </c>
      <c r="O1439" s="20" t="n">
        <v>2</v>
      </c>
      <c r="P1439" s="21" t="n">
        <v>0.2</v>
      </c>
      <c r="Q1439" t="inlineStr"/>
      <c r="R1439" s="22" t="inlineStr">
        <is>
          <t>https://entrackr.com/snippets/drug-discovery-platform-peptris-raises-rs-70-cr-in-series-a-round-11125353</t>
        </is>
      </c>
    </row>
    <row r="1440">
      <c r="A1440" t="inlineStr">
        <is>
          <t>R260218-stablemoney</t>
        </is>
      </c>
      <c r="B1440" t="inlineStr">
        <is>
          <t>Stable Money</t>
        </is>
      </c>
      <c r="C1440" s="17" t="n">
        <v>46071</v>
      </c>
      <c r="D1440" s="18" t="n">
        <v>46054</v>
      </c>
      <c r="E1440" s="19" t="n">
        <v>25</v>
      </c>
      <c r="F1440" s="19" t="n">
        <v>226.72</v>
      </c>
      <c r="G1440" t="inlineStr">
        <is>
          <t>$25 million</t>
        </is>
      </c>
      <c r="H1440" t="inlineStr">
        <is>
          <t>Pre-Series C</t>
        </is>
      </c>
      <c r="I1440" t="inlineStr">
        <is>
          <t>Growth</t>
        </is>
      </c>
      <c r="J1440" t="inlineStr">
        <is>
          <t>Fintech</t>
        </is>
      </c>
      <c r="K1440" t="inlineStr">
        <is>
          <t>Bengaluru</t>
        </is>
      </c>
      <c r="L1440" t="inlineStr">
        <is>
          <t>Peak XV Partners</t>
        </is>
      </c>
      <c r="M1440" t="inlineStr">
        <is>
          <t>Peak XV Partners; Z47; RTP Global; Lightspeed; Fundamentum Partnership</t>
        </is>
      </c>
      <c r="N1440" t="inlineStr">
        <is>
          <t>entrackr | inc42 | et</t>
        </is>
      </c>
      <c r="O1440" s="20" t="n">
        <v>3</v>
      </c>
      <c r="P1440" s="21" t="n">
        <v>0</v>
      </c>
      <c r="Q1440" t="inlineStr">
        <is>
          <t>C16</t>
        </is>
      </c>
      <c r="R1440" s="22" t="inlineStr">
        <is>
          <t>https://entrackr.com/news/stable-money-raises-25-mn-led-by-peak-xv-at-175-mn-valuation-11124268</t>
        </is>
      </c>
    </row>
    <row r="1441">
      <c r="A1441" t="inlineStr">
        <is>
          <t>R260218-statiq</t>
        </is>
      </c>
      <c r="B1441" t="inlineStr">
        <is>
          <t>Statiq</t>
        </is>
      </c>
      <c r="C1441" s="17" t="n">
        <v>46071</v>
      </c>
      <c r="D1441" s="18" t="n">
        <v>46054</v>
      </c>
      <c r="E1441" s="19" t="n">
        <v>18</v>
      </c>
      <c r="F1441" s="19" t="n">
        <v>163.24</v>
      </c>
      <c r="G1441" t="inlineStr">
        <is>
          <t>$18 million</t>
        </is>
      </c>
      <c r="H1441" t="inlineStr">
        <is>
          <t>Undisclosed</t>
        </is>
      </c>
      <c r="I1441" t="inlineStr">
        <is>
          <t>Undisclosed</t>
        </is>
      </c>
      <c r="J1441" t="inlineStr">
        <is>
          <t>Cleantech</t>
        </is>
      </c>
      <c r="K1441" t="inlineStr">
        <is>
          <t>Unknown</t>
        </is>
      </c>
      <c r="L1441" t="inlineStr">
        <is>
          <t>Tenacity Ventures; Shell Ventures; RCD Holdings</t>
        </is>
      </c>
      <c r="M1441" t="inlineStr">
        <is>
          <t>Tenacity Ventures; Y Combinator; Shell Ventures; RCD Holdings</t>
        </is>
      </c>
      <c r="N1441" t="inlineStr">
        <is>
          <t>entrackr | inc42 | et</t>
        </is>
      </c>
      <c r="O1441" s="20" t="n">
        <v>3</v>
      </c>
      <c r="P1441" s="21" t="n">
        <v>0</v>
      </c>
      <c r="Q1441" t="inlineStr">
        <is>
          <t>C04 C07</t>
        </is>
      </c>
      <c r="R1441" s="22" t="inlineStr">
        <is>
          <t>https://entrackr.com/news/ev-charging-startup-statiq-raises-18-mn-led-by-tenacity-ventures-11127182</t>
        </is>
      </c>
    </row>
    <row r="1442">
      <c r="A1442" t="inlineStr">
        <is>
          <t>R260218-vervesemi</t>
        </is>
      </c>
      <c r="B1442" t="inlineStr">
        <is>
          <t>Vervesemi</t>
        </is>
      </c>
      <c r="C1442" s="17" t="n">
        <v>46071</v>
      </c>
      <c r="D1442" s="18" t="n">
        <v>46054</v>
      </c>
      <c r="E1442" s="19" t="n">
        <v>10</v>
      </c>
      <c r="F1442" s="19" t="n">
        <v>90.69</v>
      </c>
      <c r="G1442" t="inlineStr">
        <is>
          <t>$10 million</t>
        </is>
      </c>
      <c r="H1442" t="inlineStr">
        <is>
          <t>Series A</t>
        </is>
      </c>
      <c r="I1442" t="inlineStr">
        <is>
          <t>Early</t>
        </is>
      </c>
      <c r="J1442" t="inlineStr">
        <is>
          <t>Advanced Hardware &amp; Technology</t>
        </is>
      </c>
      <c r="K1442" t="inlineStr">
        <is>
          <t>Delhi NCR</t>
        </is>
      </c>
      <c r="L1442" t="inlineStr">
        <is>
          <t>Ashish Kacholia; Unicorn India Ventures</t>
        </is>
      </c>
      <c r="M1442" t="inlineStr">
        <is>
          <t>Ashish Kacholia; Unicorn India Ventures; Roots Ventures; Caperize Fina; MAIQ Growth Scheme</t>
        </is>
      </c>
      <c r="N1442" t="inlineStr">
        <is>
          <t>entrackr | inc42</t>
        </is>
      </c>
      <c r="O1442" s="20" t="n">
        <v>2</v>
      </c>
      <c r="P1442" s="21" t="n">
        <v>0</v>
      </c>
      <c r="Q1442" t="inlineStr"/>
      <c r="R1442" s="22" t="inlineStr">
        <is>
          <t>https://entrackr.com/news/fabless-semiconductor-startup-vervesemi-raises-10-mn-in-series-a-round-11125109</t>
        </is>
      </c>
    </row>
    <row r="1443">
      <c r="A1443" t="inlineStr">
        <is>
          <t>R260219-plutomobility</t>
        </is>
      </c>
      <c r="B1443" t="inlineStr">
        <is>
          <t>Pluto Mobility</t>
        </is>
      </c>
      <c r="C1443" s="17" t="n">
        <v>46072</v>
      </c>
      <c r="D1443" s="18" t="n">
        <v>46054</v>
      </c>
      <c r="E1443" s="19" t="n">
        <v>2</v>
      </c>
      <c r="F1443" s="19" t="n">
        <v>18.24</v>
      </c>
      <c r="G1443" t="inlineStr">
        <is>
          <t>$2 million</t>
        </is>
      </c>
      <c r="H1443" t="inlineStr">
        <is>
          <t>Seed</t>
        </is>
      </c>
      <c r="I1443" t="inlineStr">
        <is>
          <t>Early</t>
        </is>
      </c>
      <c r="J1443" t="inlineStr">
        <is>
          <t>Cleantech</t>
        </is>
      </c>
      <c r="K1443" t="inlineStr">
        <is>
          <t>Delhi NCR</t>
        </is>
      </c>
      <c r="L1443" t="inlineStr">
        <is>
          <t>Version One Ventures</t>
        </is>
      </c>
      <c r="M1443" t="inlineStr">
        <is>
          <t>Version One Ventures; Grad Capital</t>
        </is>
      </c>
      <c r="N1443" t="inlineStr">
        <is>
          <t>entrackr | inc42</t>
        </is>
      </c>
      <c r="O1443" s="20" t="n">
        <v>2</v>
      </c>
      <c r="P1443" s="21" t="n">
        <v>0</v>
      </c>
      <c r="Q1443" t="inlineStr"/>
      <c r="R1443" s="22" t="inlineStr">
        <is>
          <t>https://entrackr.com/snippets/pluto-mobility-raises-2-mn-in-seed-round-11132728</t>
        </is>
      </c>
    </row>
    <row r="1444">
      <c r="A1444" t="inlineStr">
        <is>
          <t>R260219-portkey</t>
        </is>
      </c>
      <c r="B1444" t="inlineStr">
        <is>
          <t>Portkey</t>
        </is>
      </c>
      <c r="C1444" s="17" t="n">
        <v>46072</v>
      </c>
      <c r="D1444" s="18" t="n">
        <v>46054</v>
      </c>
      <c r="E1444" s="19" t="n">
        <v>15</v>
      </c>
      <c r="F1444" s="19" t="n">
        <v>136.78</v>
      </c>
      <c r="G1444" t="inlineStr">
        <is>
          <t>$15 million</t>
        </is>
      </c>
      <c r="H1444" t="inlineStr">
        <is>
          <t>Series A</t>
        </is>
      </c>
      <c r="I1444" t="inlineStr">
        <is>
          <t>Early</t>
        </is>
      </c>
      <c r="J1444" t="inlineStr">
        <is>
          <t>Artificial Intelligence</t>
        </is>
      </c>
      <c r="K1444" t="inlineStr">
        <is>
          <t>Unknown</t>
        </is>
      </c>
      <c r="L1444" t="inlineStr">
        <is>
          <t>Elevation Capital</t>
        </is>
      </c>
      <c r="M1444" t="inlineStr">
        <is>
          <t>Elevation Capital; Lightspeed</t>
        </is>
      </c>
      <c r="N1444" t="inlineStr">
        <is>
          <t>entrackr | inc42 | et</t>
        </is>
      </c>
      <c r="O1444" s="20" t="n">
        <v>3</v>
      </c>
      <c r="P1444" s="21" t="n">
        <v>0</v>
      </c>
      <c r="Q1444" t="inlineStr">
        <is>
          <t>C07</t>
        </is>
      </c>
      <c r="R1444" s="22" t="inlineStr">
        <is>
          <t>https://entrackr.com/news/ai-apps-building-platform-portkey-raises-15-mn-in-series-a-led-by-elevation-11134623</t>
        </is>
      </c>
    </row>
    <row r="1445">
      <c r="A1445" t="inlineStr">
        <is>
          <t>R260220-coreshieldtech</t>
        </is>
      </c>
      <c r="B1445" t="inlineStr">
        <is>
          <t>CoreShield Technologies</t>
        </is>
      </c>
      <c r="C1445" s="17" t="n">
        <v>46073</v>
      </c>
      <c r="D1445" s="18" t="n">
        <v>46054</v>
      </c>
      <c r="E1445" s="19" t="n"/>
      <c r="F1445" s="19" t="n"/>
      <c r="G1445" t="inlineStr"/>
      <c r="H1445" t="inlineStr">
        <is>
          <t>Seed</t>
        </is>
      </c>
      <c r="I1445" t="inlineStr">
        <is>
          <t>Early</t>
        </is>
      </c>
      <c r="J1445" t="inlineStr">
        <is>
          <t>Advanced Hardware &amp; Technology</t>
        </is>
      </c>
      <c r="K1445" t="inlineStr">
        <is>
          <t>Unknown</t>
        </is>
      </c>
      <c r="L1445" t="inlineStr">
        <is>
          <t>ThinKuvate</t>
        </is>
      </c>
      <c r="M1445" t="inlineStr">
        <is>
          <t>ThinKuvate</t>
        </is>
      </c>
      <c r="N1445" t="inlineStr">
        <is>
          <t>inc42</t>
        </is>
      </c>
      <c r="O1445" s="20" t="n">
        <v>1</v>
      </c>
      <c r="P1445" s="21" t="n"/>
      <c r="Q1445" t="inlineStr">
        <is>
          <t>C03 C07</t>
        </is>
      </c>
      <c r="R1445" s="22" t="inlineStr">
        <is>
          <t>https://inc42.com/buzz/from-spinny-to-statiq-indian-startups-raised-285-mn-this-week/</t>
        </is>
      </c>
    </row>
    <row r="1446">
      <c r="A1446" t="inlineStr">
        <is>
          <t>R260220-myelinfoundry</t>
        </is>
      </c>
      <c r="B1446" t="inlineStr">
        <is>
          <t>Myelin Foundry</t>
        </is>
      </c>
      <c r="C1446" s="17" t="n">
        <v>46073</v>
      </c>
      <c r="D1446" s="18" t="n">
        <v>46054</v>
      </c>
      <c r="E1446" s="19" t="n">
        <v>5.3</v>
      </c>
      <c r="F1446" s="19" t="n">
        <v>48.2</v>
      </c>
      <c r="G1446" t="inlineStr">
        <is>
          <t>$5.3 Mn</t>
        </is>
      </c>
      <c r="H1446" t="inlineStr">
        <is>
          <t>Undisclosed</t>
        </is>
      </c>
      <c r="I1446" t="inlineStr">
        <is>
          <t>Undisclosed</t>
        </is>
      </c>
      <c r="J1446" t="inlineStr">
        <is>
          <t>Artificial Intelligence</t>
        </is>
      </c>
      <c r="K1446" t="inlineStr">
        <is>
          <t>Unknown</t>
        </is>
      </c>
      <c r="L1446" t="inlineStr">
        <is>
          <t>ASM Technologies</t>
        </is>
      </c>
      <c r="M1446" t="inlineStr">
        <is>
          <t>ASM Technologies</t>
        </is>
      </c>
      <c r="N1446" t="inlineStr">
        <is>
          <t>inc42</t>
        </is>
      </c>
      <c r="O1446" s="20" t="n">
        <v>1</v>
      </c>
      <c r="P1446" s="21" t="n">
        <v>0</v>
      </c>
      <c r="Q1446" t="inlineStr">
        <is>
          <t>C04 C07</t>
        </is>
      </c>
      <c r="R1446" s="22" t="inlineStr">
        <is>
          <t>https://inc42.com/buzz/from-spinny-to-statiq-indian-startups-raised-285-mn-this-week/</t>
        </is>
      </c>
    </row>
    <row r="1447">
      <c r="A1447" t="inlineStr">
        <is>
          <t>R260220-roopya</t>
        </is>
      </c>
      <c r="B1447" t="inlineStr">
        <is>
          <t>Roopya</t>
        </is>
      </c>
      <c r="C1447" s="17" t="n">
        <v>46073</v>
      </c>
      <c r="D1447" s="18" t="n">
        <v>46054</v>
      </c>
      <c r="E1447" s="19" t="n">
        <v>0.44</v>
      </c>
      <c r="F1447" s="19" t="n">
        <v>4</v>
      </c>
      <c r="G1447" t="inlineStr">
        <is>
          <t>Rs 4 crore</t>
        </is>
      </c>
      <c r="H1447" t="inlineStr">
        <is>
          <t>Seed</t>
        </is>
      </c>
      <c r="I1447" t="inlineStr">
        <is>
          <t>Early</t>
        </is>
      </c>
      <c r="J1447" t="inlineStr">
        <is>
          <t>Fintech</t>
        </is>
      </c>
      <c r="K1447" t="inlineStr">
        <is>
          <t>Unknown</t>
        </is>
      </c>
      <c r="L1447" t="inlineStr">
        <is>
          <t>Inflection Point Ventures</t>
        </is>
      </c>
      <c r="M1447" t="inlineStr">
        <is>
          <t>Inflection Point Ventures</t>
        </is>
      </c>
      <c r="N1447" t="inlineStr">
        <is>
          <t>entrackr | inc42</t>
        </is>
      </c>
      <c r="O1447" s="20" t="n">
        <v>2</v>
      </c>
      <c r="P1447" s="21" t="n">
        <v>0</v>
      </c>
      <c r="Q1447" t="inlineStr">
        <is>
          <t>C07</t>
        </is>
      </c>
      <c r="R1447" s="22" t="inlineStr">
        <is>
          <t>https://entrackr.com/snippets/lending-infra-startup-roopya-raises-seed-round-led-by-ipv-11138087</t>
        </is>
      </c>
    </row>
    <row r="1448">
      <c r="A1448" t="inlineStr">
        <is>
          <t>R260223-datoms</t>
        </is>
      </c>
      <c r="B1448" t="inlineStr">
        <is>
          <t>DATOMS</t>
        </is>
      </c>
      <c r="C1448" s="17" t="n">
        <v>46076</v>
      </c>
      <c r="D1448" s="18" t="n">
        <v>46054</v>
      </c>
      <c r="E1448" s="19" t="n">
        <v>2.75</v>
      </c>
      <c r="F1448" s="19" t="n">
        <v>25</v>
      </c>
      <c r="G1448" t="inlineStr">
        <is>
          <t>Rs 25 crore</t>
        </is>
      </c>
      <c r="H1448" t="inlineStr">
        <is>
          <t>Series A</t>
        </is>
      </c>
      <c r="I1448" t="inlineStr">
        <is>
          <t>Early</t>
        </is>
      </c>
      <c r="J1448" t="inlineStr">
        <is>
          <t>Advanced Hardware &amp; Technology</t>
        </is>
      </c>
      <c r="K1448" t="inlineStr">
        <is>
          <t>Unknown</t>
        </is>
      </c>
      <c r="L1448" t="inlineStr">
        <is>
          <t>Big Capital JSC</t>
        </is>
      </c>
      <c r="M1448" t="inlineStr">
        <is>
          <t>Big Capital JSC; IvyCap Ventures; YourNest Venture Capital</t>
        </is>
      </c>
      <c r="N1448" t="inlineStr">
        <is>
          <t>entrackr | et</t>
        </is>
      </c>
      <c r="O1448" s="20" t="n">
        <v>2</v>
      </c>
      <c r="P1448" s="21" t="n">
        <v>0</v>
      </c>
      <c r="Q1448" t="inlineStr">
        <is>
          <t>C07</t>
        </is>
      </c>
      <c r="R1448" s="22" t="inlineStr">
        <is>
          <t>https://entrackr.com/snippets/deeptech-iot-startup-datoms-raises-rs-25-cr-in-series-a-led-by-big-capital-jsc-11146538</t>
        </is>
      </c>
    </row>
    <row r="1449">
      <c r="A1449" t="inlineStr">
        <is>
          <t>R260223-hycosys</t>
        </is>
      </c>
      <c r="B1449" t="inlineStr">
        <is>
          <t>Hycosys</t>
        </is>
      </c>
      <c r="C1449" s="17" t="n">
        <v>46076</v>
      </c>
      <c r="D1449" s="18" t="n">
        <v>46054</v>
      </c>
      <c r="E1449" s="19" t="n">
        <v>1</v>
      </c>
      <c r="F1449" s="19" t="n">
        <v>9.09</v>
      </c>
      <c r="G1449" t="inlineStr">
        <is>
          <t>$1 million</t>
        </is>
      </c>
      <c r="H1449" t="inlineStr">
        <is>
          <t>Seed</t>
        </is>
      </c>
      <c r="I1449" t="inlineStr">
        <is>
          <t>Early</t>
        </is>
      </c>
      <c r="J1449" t="inlineStr">
        <is>
          <t>Deeptech</t>
        </is>
      </c>
      <c r="K1449" t="inlineStr">
        <is>
          <t>Bengaluru</t>
        </is>
      </c>
      <c r="L1449" t="inlineStr">
        <is>
          <t>MountTech Growth Fund</t>
        </is>
      </c>
      <c r="M1449" t="inlineStr">
        <is>
          <t>MountTech Growth Fund</t>
        </is>
      </c>
      <c r="N1449" t="inlineStr">
        <is>
          <t>entrackr</t>
        </is>
      </c>
      <c r="O1449" s="20" t="n">
        <v>1</v>
      </c>
      <c r="P1449" s="21" t="n">
        <v>0</v>
      </c>
      <c r="Q1449" t="inlineStr"/>
      <c r="R1449" s="22" t="inlineStr">
        <is>
          <t>https://entrackr.com/snippets/hycosys-raises-seed-round-led-by-mounttech-growth-funds-kavachh-11147416</t>
        </is>
      </c>
    </row>
    <row r="1450">
      <c r="A1450" t="inlineStr">
        <is>
          <t>R260223-mojro</t>
        </is>
      </c>
      <c r="B1450" t="inlineStr">
        <is>
          <t>Mojro</t>
        </is>
      </c>
      <c r="C1450" s="17" t="n">
        <v>46076</v>
      </c>
      <c r="D1450" s="18" t="n">
        <v>46054</v>
      </c>
      <c r="E1450" s="19" t="n">
        <v>3</v>
      </c>
      <c r="F1450" s="19" t="n">
        <v>27.27</v>
      </c>
      <c r="G1450" t="inlineStr">
        <is>
          <t>$3 million</t>
        </is>
      </c>
      <c r="H1450" t="inlineStr">
        <is>
          <t>Undisclosed</t>
        </is>
      </c>
      <c r="I1450" t="inlineStr">
        <is>
          <t>Undisclosed</t>
        </is>
      </c>
      <c r="J1450" t="inlineStr">
        <is>
          <t>Enterprise Tech</t>
        </is>
      </c>
      <c r="K1450" t="inlineStr">
        <is>
          <t>Unknown</t>
        </is>
      </c>
      <c r="L1450" t="inlineStr">
        <is>
          <t>IAN Alpha Fund</t>
        </is>
      </c>
      <c r="M1450" t="inlineStr">
        <is>
          <t>IAN Alpha Fund; 1Crowd</t>
        </is>
      </c>
      <c r="N1450" t="inlineStr">
        <is>
          <t>entrackr</t>
        </is>
      </c>
      <c r="O1450" s="20" t="n">
        <v>1</v>
      </c>
      <c r="P1450" s="21" t="n">
        <v>0</v>
      </c>
      <c r="Q1450" t="inlineStr">
        <is>
          <t>C04 C07</t>
        </is>
      </c>
      <c r="R1450" s="22" t="inlineStr">
        <is>
          <t>https://entrackr.com/snippets/b2b-saas-platform-mojro-raises-3-mn-led-by-ian-alpha-fund-11146906</t>
        </is>
      </c>
    </row>
    <row r="1451">
      <c r="A1451" t="inlineStr">
        <is>
          <t>R260223-mydesignation</t>
        </is>
      </c>
      <c r="B1451" t="inlineStr">
        <is>
          <t>MyDesignation</t>
        </is>
      </c>
      <c r="C1451" s="17" t="n">
        <v>46076</v>
      </c>
      <c r="D1451" s="18" t="n">
        <v>46054</v>
      </c>
      <c r="E1451" s="19" t="n">
        <v>4.4</v>
      </c>
      <c r="F1451" s="19" t="n">
        <v>40</v>
      </c>
      <c r="G1451" t="inlineStr">
        <is>
          <t>Rs 40 crore</t>
        </is>
      </c>
      <c r="H1451" t="inlineStr">
        <is>
          <t>Series A</t>
        </is>
      </c>
      <c r="I1451" t="inlineStr">
        <is>
          <t>Early</t>
        </is>
      </c>
      <c r="J1451" t="inlineStr">
        <is>
          <t>Ecommerce</t>
        </is>
      </c>
      <c r="K1451" t="inlineStr">
        <is>
          <t>Thiruvananthapuram</t>
        </is>
      </c>
      <c r="L1451" t="inlineStr">
        <is>
          <t>RPSG Capital Ventures</t>
        </is>
      </c>
      <c r="M1451" t="inlineStr">
        <is>
          <t>RPSG Capital Ventures; Veltis Capital; Multiply Ventures; Dominor Investments</t>
        </is>
      </c>
      <c r="N1451" t="inlineStr">
        <is>
          <t>entrackr | et</t>
        </is>
      </c>
      <c r="O1451" s="20" t="n">
        <v>2</v>
      </c>
      <c r="P1451" s="21" t="n">
        <v>0</v>
      </c>
      <c r="Q1451" t="inlineStr"/>
      <c r="R1451" s="22" t="inlineStr">
        <is>
          <t>https://entrackr.com/snippets/d2c-fashion-brand-mydesignation-raises-40-cr-in-series-a-round-11146761</t>
        </is>
      </c>
    </row>
    <row r="1452">
      <c r="A1452" t="inlineStr">
        <is>
          <t>R260224-basil</t>
        </is>
      </c>
      <c r="B1452" t="inlineStr">
        <is>
          <t>Basil</t>
        </is>
      </c>
      <c r="C1452" s="17" t="n">
        <v>46077</v>
      </c>
      <c r="D1452" s="18" t="n">
        <v>46054</v>
      </c>
      <c r="E1452" s="19" t="n">
        <v>2</v>
      </c>
      <c r="F1452" s="19" t="n">
        <v>18.19</v>
      </c>
      <c r="G1452" t="inlineStr">
        <is>
          <t>$2 million</t>
        </is>
      </c>
      <c r="H1452" t="inlineStr">
        <is>
          <t>Pre-Series A</t>
        </is>
      </c>
      <c r="I1452" t="inlineStr">
        <is>
          <t>Early</t>
        </is>
      </c>
      <c r="J1452" t="inlineStr">
        <is>
          <t>Unclassified</t>
        </is>
      </c>
      <c r="K1452" t="inlineStr">
        <is>
          <t>Unknown</t>
        </is>
      </c>
      <c r="L1452" t="inlineStr">
        <is>
          <t>Prime Venture Partners</t>
        </is>
      </c>
      <c r="M1452" t="inlineStr">
        <is>
          <t>Prime Venture Partners; Appreciate Capital; IIMA Ventures</t>
        </is>
      </c>
      <c r="N1452" t="inlineStr">
        <is>
          <t>entrackr | et</t>
        </is>
      </c>
      <c r="O1452" s="20" t="n">
        <v>2</v>
      </c>
      <c r="P1452" s="21" t="n">
        <v>0</v>
      </c>
      <c r="Q1452" t="inlineStr">
        <is>
          <t>C06 C07</t>
        </is>
      </c>
      <c r="R1452" s="22" t="inlineStr">
        <is>
          <t>https://entrackr.com/snippets/d2c-brand-basil-raises-2-mn-in-pre-series-a-led-by-prime-venture-partners-11149862</t>
        </is>
      </c>
    </row>
    <row r="1453">
      <c r="A1453" t="inlineStr">
        <is>
          <t>R260224-hirebound</t>
        </is>
      </c>
      <c r="B1453" t="inlineStr">
        <is>
          <t>HireBound</t>
        </is>
      </c>
      <c r="C1453" s="17" t="n">
        <v>46077</v>
      </c>
      <c r="D1453" s="18" t="n">
        <v>46054</v>
      </c>
      <c r="E1453" s="19" t="n">
        <v>2</v>
      </c>
      <c r="F1453" s="19" t="n">
        <v>18.19</v>
      </c>
      <c r="G1453" t="inlineStr">
        <is>
          <t>$2 million</t>
        </is>
      </c>
      <c r="H1453" t="inlineStr">
        <is>
          <t>Seed</t>
        </is>
      </c>
      <c r="I1453" t="inlineStr">
        <is>
          <t>Early</t>
        </is>
      </c>
      <c r="J1453" t="inlineStr">
        <is>
          <t>Artificial Intelligence</t>
        </is>
      </c>
      <c r="K1453" t="inlineStr">
        <is>
          <t>Bengaluru</t>
        </is>
      </c>
      <c r="L1453" t="inlineStr">
        <is>
          <t>Kalaari Capital</t>
        </is>
      </c>
      <c r="M1453" t="inlineStr">
        <is>
          <t>Kalaari Capital; Antler; Infinyte Club; CareerNet</t>
        </is>
      </c>
      <c r="N1453" t="inlineStr">
        <is>
          <t>entrackr | et</t>
        </is>
      </c>
      <c r="O1453" s="20" t="n">
        <v>2</v>
      </c>
      <c r="P1453" s="21" t="n">
        <v>0</v>
      </c>
      <c r="Q1453" t="inlineStr"/>
      <c r="R1453" s="22" t="inlineStr">
        <is>
          <t>https://entrackr.com/snippets/hirebound-raises-2-mn-in-seed-round-led-by-kalaari-capital-11149693</t>
        </is>
      </c>
    </row>
    <row r="1454">
      <c r="A1454" t="inlineStr">
        <is>
          <t>R260224-kriswork</t>
        </is>
      </c>
      <c r="B1454" t="inlineStr">
        <is>
          <t>Kris@Work</t>
        </is>
      </c>
      <c r="C1454" s="17" t="n">
        <v>46077</v>
      </c>
      <c r="D1454" s="18" t="n">
        <v>46054</v>
      </c>
      <c r="E1454" s="19" t="n">
        <v>3</v>
      </c>
      <c r="F1454" s="19" t="n">
        <v>27.28</v>
      </c>
      <c r="G1454" t="inlineStr">
        <is>
          <t>$3 million</t>
        </is>
      </c>
      <c r="H1454" t="inlineStr">
        <is>
          <t>Seed</t>
        </is>
      </c>
      <c r="I1454" t="inlineStr">
        <is>
          <t>Early</t>
        </is>
      </c>
      <c r="J1454" t="inlineStr">
        <is>
          <t>Enterprise Tech</t>
        </is>
      </c>
      <c r="K1454" t="inlineStr">
        <is>
          <t>Bengaluru</t>
        </is>
      </c>
      <c r="L1454" t="inlineStr">
        <is>
          <t>Info Edge Ventures</t>
        </is>
      </c>
      <c r="M1454" t="inlineStr">
        <is>
          <t>Info Edge Ventures; JN Capital &amp; Growth Advisory</t>
        </is>
      </c>
      <c r="N1454" t="inlineStr">
        <is>
          <t>entrackr</t>
        </is>
      </c>
      <c r="O1454" s="20" t="n">
        <v>1</v>
      </c>
      <c r="P1454" s="21" t="n">
        <v>0</v>
      </c>
      <c r="Q1454" t="inlineStr"/>
      <c r="R1454" s="22" t="inlineStr">
        <is>
          <t>https://entrackr.com/snippets/kriswork-raises-3-mn-in-seed-round-led-by-infoedge-ventures-11150272</t>
        </is>
      </c>
    </row>
    <row r="1455">
      <c r="A1455" t="inlineStr">
        <is>
          <t>R260224-oncare</t>
        </is>
      </c>
      <c r="B1455" t="inlineStr">
        <is>
          <t>Oncare</t>
        </is>
      </c>
      <c r="C1455" s="17" t="n">
        <v>46077</v>
      </c>
      <c r="D1455" s="18" t="n">
        <v>46054</v>
      </c>
      <c r="E1455" s="19" t="n">
        <v>2.969</v>
      </c>
      <c r="F1455" s="19" t="n">
        <v>27</v>
      </c>
      <c r="G1455" t="inlineStr">
        <is>
          <t>Rs 27 crore</t>
        </is>
      </c>
      <c r="H1455" t="inlineStr">
        <is>
          <t>Series A</t>
        </is>
      </c>
      <c r="I1455" t="inlineStr">
        <is>
          <t>Early</t>
        </is>
      </c>
      <c r="J1455" t="inlineStr">
        <is>
          <t>Unclassified</t>
        </is>
      </c>
      <c r="K1455" t="inlineStr">
        <is>
          <t>Delhi NCR</t>
        </is>
      </c>
      <c r="L1455" t="inlineStr">
        <is>
          <t>Sky Impact Capital</t>
        </is>
      </c>
      <c r="M1455" t="inlineStr">
        <is>
          <t>Sky Impact Capital; Huddle Ventures; Lotus Herbal Group; SteerX; Tremis Capital</t>
        </is>
      </c>
      <c r="N1455" t="inlineStr">
        <is>
          <t>entrackr | et</t>
        </is>
      </c>
      <c r="O1455" s="20" t="n">
        <v>2</v>
      </c>
      <c r="P1455" s="21" t="n">
        <v>0</v>
      </c>
      <c r="Q1455" t="inlineStr">
        <is>
          <t>C06 C13</t>
        </is>
      </c>
      <c r="R1455" s="22" t="inlineStr">
        <is>
          <t>https://entrackr.com/snippets/cancer-care-startup-oncare-raises-rs-27-cr-in-series-a-round-11149575</t>
        </is>
      </c>
    </row>
    <row r="1456">
      <c r="A1456" t="inlineStr">
        <is>
          <t>R260224-optoml</t>
        </is>
      </c>
      <c r="B1456" t="inlineStr">
        <is>
          <t>optoML</t>
        </is>
      </c>
      <c r="C1456" s="17" t="n">
        <v>46077</v>
      </c>
      <c r="D1456" s="18" t="n">
        <v>46054</v>
      </c>
      <c r="E1456" s="19" t="n">
        <v>1.8</v>
      </c>
      <c r="F1456" s="19" t="n">
        <v>16.37</v>
      </c>
      <c r="G1456" t="inlineStr">
        <is>
          <t>$1.8 million</t>
        </is>
      </c>
      <c r="H1456" t="inlineStr">
        <is>
          <t>Pre-Series A</t>
        </is>
      </c>
      <c r="I1456" t="inlineStr">
        <is>
          <t>Early</t>
        </is>
      </c>
      <c r="J1456" t="inlineStr">
        <is>
          <t>Advanced Hardware &amp; Technology</t>
        </is>
      </c>
      <c r="K1456" t="inlineStr">
        <is>
          <t>Unknown</t>
        </is>
      </c>
      <c r="L1456" t="inlineStr">
        <is>
          <t>Bluehill.VC; A99</t>
        </is>
      </c>
      <c r="M1456" t="inlineStr">
        <is>
          <t>Bluehill.VC; A99</t>
        </is>
      </c>
      <c r="N1456" t="inlineStr">
        <is>
          <t>entrackr | et</t>
        </is>
      </c>
      <c r="O1456" s="20" t="n">
        <v>2</v>
      </c>
      <c r="P1456" s="21" t="n">
        <v>0</v>
      </c>
      <c r="Q1456" t="inlineStr">
        <is>
          <t>C07</t>
        </is>
      </c>
      <c r="R1456" s="22" t="inlineStr">
        <is>
          <t>https://entrackr.com/snippets/semiconductor-startup-optoml-raises-18-mn-in-pre-series-a-round-11149795</t>
        </is>
      </c>
    </row>
    <row r="1457">
      <c r="A1457" t="inlineStr">
        <is>
          <t>R260224-wishlink</t>
        </is>
      </c>
      <c r="B1457" t="inlineStr">
        <is>
          <t>Wishlink</t>
        </is>
      </c>
      <c r="C1457" s="17" t="n">
        <v>46077</v>
      </c>
      <c r="D1457" s="18" t="n">
        <v>46054</v>
      </c>
      <c r="E1457" s="19" t="n">
        <v>17.5</v>
      </c>
      <c r="F1457" s="19" t="n">
        <v>159.13</v>
      </c>
      <c r="G1457" t="inlineStr">
        <is>
          <t>$17.5 million</t>
        </is>
      </c>
      <c r="H1457" t="inlineStr">
        <is>
          <t>Series B</t>
        </is>
      </c>
      <c r="I1457" t="inlineStr">
        <is>
          <t>Growth</t>
        </is>
      </c>
      <c r="J1457" t="inlineStr">
        <is>
          <t>Media &amp; Entertainment</t>
        </is>
      </c>
      <c r="K1457" t="inlineStr">
        <is>
          <t>Delhi NCR</t>
        </is>
      </c>
      <c r="L1457" t="inlineStr">
        <is>
          <t>Vertex Ven tures Southeast Asia &amp; India</t>
        </is>
      </c>
      <c r="M1457" t="inlineStr">
        <is>
          <t>Vertex Ven tures Southeast Asia &amp; India; Fundamentum; Elevation Capital</t>
        </is>
      </c>
      <c r="N1457" t="inlineStr">
        <is>
          <t>entrackr | et | vccircle</t>
        </is>
      </c>
      <c r="O1457" s="20" t="n">
        <v>3</v>
      </c>
      <c r="P1457" s="21" t="n">
        <v>0</v>
      </c>
      <c r="Q1457" t="inlineStr"/>
      <c r="R1457" s="22" t="inlineStr">
        <is>
          <t>https://entrackr.com/news/wishlink-raises-175-mn-in-series-b-round-led-by-vertex-ventures-11149626</t>
        </is>
      </c>
    </row>
    <row r="1458">
      <c r="A1458" t="inlineStr">
        <is>
          <t>R260224-xflow</t>
        </is>
      </c>
      <c r="B1458" t="inlineStr">
        <is>
          <t>Xflow</t>
        </is>
      </c>
      <c r="C1458" s="17" t="n">
        <v>46077</v>
      </c>
      <c r="D1458" s="18" t="n">
        <v>46054</v>
      </c>
      <c r="E1458" s="19" t="n">
        <v>16.6</v>
      </c>
      <c r="F1458" s="19" t="n">
        <v>150.94</v>
      </c>
      <c r="G1458" t="inlineStr">
        <is>
          <t>$16.6 million</t>
        </is>
      </c>
      <c r="H1458" t="inlineStr">
        <is>
          <t>Series A</t>
        </is>
      </c>
      <c r="I1458" t="inlineStr">
        <is>
          <t>Early</t>
        </is>
      </c>
      <c r="J1458" t="inlineStr">
        <is>
          <t>Fintech</t>
        </is>
      </c>
      <c r="K1458" t="inlineStr">
        <is>
          <t>Bengaluru</t>
        </is>
      </c>
      <c r="L1458" t="inlineStr">
        <is>
          <t>General Catalyst</t>
        </is>
      </c>
      <c r="M1458" t="inlineStr">
        <is>
          <t>General Catalyst; Square Peg; Stripe; Lightspeed; Moore Capital</t>
        </is>
      </c>
      <c r="N1458" t="inlineStr">
        <is>
          <t>entrackr | et</t>
        </is>
      </c>
      <c r="O1458" s="20" t="n">
        <v>2</v>
      </c>
      <c r="P1458" s="21" t="n">
        <v>0</v>
      </c>
      <c r="Q1458" t="inlineStr"/>
      <c r="R1458" s="22" t="inlineStr">
        <is>
          <t>https://entrackr.com/news/cross-border-fintech-startup-xflow-raises-166-mn-led-by-general-catalyst-11150374</t>
        </is>
      </c>
    </row>
    <row r="1459">
      <c r="A1459" t="inlineStr">
        <is>
          <t>R260224-zeromoblt</t>
        </is>
      </c>
      <c r="B1459" t="inlineStr">
        <is>
          <t>ZeroMoblt</t>
        </is>
      </c>
      <c r="C1459" s="17" t="n">
        <v>46077</v>
      </c>
      <c r="D1459" s="18" t="n">
        <v>46054</v>
      </c>
      <c r="E1459" s="19" t="n">
        <v>0.165</v>
      </c>
      <c r="F1459" s="19" t="n">
        <v>1.5</v>
      </c>
      <c r="G1459" t="inlineStr">
        <is>
          <t>Rs 1.5 crore</t>
        </is>
      </c>
      <c r="H1459" t="inlineStr">
        <is>
          <t>Pre-Seed</t>
        </is>
      </c>
      <c r="I1459" t="inlineStr">
        <is>
          <t>Early</t>
        </is>
      </c>
      <c r="J1459" t="inlineStr">
        <is>
          <t>Consumer Services</t>
        </is>
      </c>
      <c r="K1459" t="inlineStr">
        <is>
          <t>Unknown</t>
        </is>
      </c>
      <c r="L1459" t="inlineStr">
        <is>
          <t>Sandeep Varaganti; Ashok Agrawal</t>
        </is>
      </c>
      <c r="M1459" t="inlineStr">
        <is>
          <t>Sandeep Varaganti; Ashok Agrawal</t>
        </is>
      </c>
      <c r="N1459" t="inlineStr">
        <is>
          <t>entrackr</t>
        </is>
      </c>
      <c r="O1459" s="20" t="n">
        <v>1</v>
      </c>
      <c r="P1459" s="21" t="n">
        <v>0</v>
      </c>
      <c r="Q1459" t="inlineStr">
        <is>
          <t>C07</t>
        </is>
      </c>
      <c r="R1459" s="22" t="inlineStr">
        <is>
          <t>https://entrackr.com/snippets/student-mobility-startup-zeromobit-raises-pre-seed-round-11150709</t>
        </is>
      </c>
    </row>
    <row r="1460">
      <c r="A1460" t="inlineStr">
        <is>
          <t>R260225-armatrix</t>
        </is>
      </c>
      <c r="B1460" t="inlineStr">
        <is>
          <t>Armatrix</t>
        </is>
      </c>
      <c r="C1460" s="17" t="n">
        <v>46078</v>
      </c>
      <c r="D1460" s="18" t="n">
        <v>46054</v>
      </c>
      <c r="E1460" s="19" t="n">
        <v>2.1</v>
      </c>
      <c r="F1460" s="19" t="n">
        <v>19.1</v>
      </c>
      <c r="G1460" t="inlineStr">
        <is>
          <t>$2.1 million</t>
        </is>
      </c>
      <c r="H1460" t="inlineStr">
        <is>
          <t>Pre-Seed</t>
        </is>
      </c>
      <c r="I1460" t="inlineStr">
        <is>
          <t>Early</t>
        </is>
      </c>
      <c r="J1460" t="inlineStr">
        <is>
          <t>Advanced Hardware &amp; Technology</t>
        </is>
      </c>
      <c r="K1460" t="inlineStr">
        <is>
          <t>Bengaluru</t>
        </is>
      </c>
      <c r="L1460" t="inlineStr"/>
      <c r="M1460" t="inlineStr">
        <is>
          <t>Inuka Capital; Boundless Ventures; Boost VC; Turbostart; gradCapital</t>
        </is>
      </c>
      <c r="N1460" t="inlineStr">
        <is>
          <t>entrackr</t>
        </is>
      </c>
      <c r="O1460" s="20" t="n">
        <v>1</v>
      </c>
      <c r="P1460" s="21" t="n">
        <v>0</v>
      </c>
      <c r="Q1460" t="inlineStr"/>
      <c r="R1460" s="22" t="inlineStr">
        <is>
          <t>https://entrackr.com/snippets/deep-tech-robotics-startup-armatrix-raises-21-mn-led-by-pi-ventures-11152392</t>
        </is>
      </c>
    </row>
    <row r="1461">
      <c r="A1461" t="inlineStr">
        <is>
          <t>R260225-finanjo</t>
        </is>
      </c>
      <c r="B1461" t="inlineStr">
        <is>
          <t>Finanjo</t>
        </is>
      </c>
      <c r="C1461" s="17" t="n">
        <v>46078</v>
      </c>
      <c r="D1461" s="18" t="n">
        <v>46054</v>
      </c>
      <c r="E1461" s="19" t="n">
        <v>0.165</v>
      </c>
      <c r="F1461" s="19" t="n">
        <v>1.5</v>
      </c>
      <c r="G1461" t="inlineStr">
        <is>
          <t>Rs 1.5 crore</t>
        </is>
      </c>
      <c r="H1461" t="inlineStr">
        <is>
          <t>Pre-Seed</t>
        </is>
      </c>
      <c r="I1461" t="inlineStr">
        <is>
          <t>Early</t>
        </is>
      </c>
      <c r="J1461" t="inlineStr">
        <is>
          <t>Unclassified</t>
        </is>
      </c>
      <c r="K1461" t="inlineStr">
        <is>
          <t>Jaipur</t>
        </is>
      </c>
      <c r="L1461" t="inlineStr">
        <is>
          <t>Aviral Bhatnagar</t>
        </is>
      </c>
      <c r="M1461" t="inlineStr">
        <is>
          <t>Aviral Bhatnagar; AJVC</t>
        </is>
      </c>
      <c r="N1461" t="inlineStr">
        <is>
          <t>entrackr</t>
        </is>
      </c>
      <c r="O1461" s="20" t="n">
        <v>1</v>
      </c>
      <c r="P1461" s="21" t="n">
        <v>0</v>
      </c>
      <c r="Q1461" t="inlineStr">
        <is>
          <t>C06</t>
        </is>
      </c>
      <c r="R1461" s="22" t="inlineStr">
        <is>
          <t>https://entrackr.com/snippets/personal-finance-startup-finanjo-raises-rs-15-cr-pre-seed-funding-led-by-ajvc-11152846</t>
        </is>
      </c>
    </row>
    <row r="1462">
      <c r="A1462" t="inlineStr">
        <is>
          <t>R260225-gutclinic</t>
        </is>
      </c>
      <c r="B1462" t="inlineStr">
        <is>
          <t>Gut Clinic</t>
        </is>
      </c>
      <c r="C1462" s="17" t="n">
        <v>46078</v>
      </c>
      <c r="D1462" s="18" t="n">
        <v>46054</v>
      </c>
      <c r="E1462" s="19" t="n">
        <v>1</v>
      </c>
      <c r="F1462" s="19" t="n">
        <v>9.1</v>
      </c>
      <c r="G1462" t="inlineStr">
        <is>
          <t>$1 million</t>
        </is>
      </c>
      <c r="H1462" t="inlineStr">
        <is>
          <t>Seed</t>
        </is>
      </c>
      <c r="I1462" t="inlineStr">
        <is>
          <t>Early</t>
        </is>
      </c>
      <c r="J1462" t="inlineStr">
        <is>
          <t>Healthtech</t>
        </is>
      </c>
      <c r="K1462" t="inlineStr">
        <is>
          <t>Unknown</t>
        </is>
      </c>
      <c r="L1462" t="inlineStr"/>
      <c r="M1462" t="inlineStr"/>
      <c r="N1462" t="inlineStr">
        <is>
          <t>entrackr</t>
        </is>
      </c>
      <c r="O1462" s="20" t="n">
        <v>1</v>
      </c>
      <c r="P1462" s="21" t="n">
        <v>0</v>
      </c>
      <c r="Q1462" t="inlineStr">
        <is>
          <t>C05 C07</t>
        </is>
      </c>
      <c r="R1462" s="22" t="inlineStr">
        <is>
          <t>https://entrackr.com/snippets/healthcare-platform-gut-clinic-raises-1-mn-in-seed-round-11153828</t>
        </is>
      </c>
    </row>
    <row r="1463">
      <c r="A1463" t="inlineStr">
        <is>
          <t>R260225-homeessentials</t>
        </is>
      </c>
      <c r="B1463" t="inlineStr">
        <is>
          <t>Home Essentials</t>
        </is>
      </c>
      <c r="C1463" s="17" t="n">
        <v>46078</v>
      </c>
      <c r="D1463" s="18" t="n">
        <v>46054</v>
      </c>
      <c r="E1463" s="19" t="n">
        <v>7.697</v>
      </c>
      <c r="F1463" s="19" t="n">
        <v>70</v>
      </c>
      <c r="G1463" t="inlineStr">
        <is>
          <t>Rs 70 crore</t>
        </is>
      </c>
      <c r="H1463" t="inlineStr">
        <is>
          <t>Pre-Series B</t>
        </is>
      </c>
      <c r="I1463" t="inlineStr">
        <is>
          <t>Growth</t>
        </is>
      </c>
      <c r="J1463" t="inlineStr">
        <is>
          <t>Ecommerce</t>
        </is>
      </c>
      <c r="K1463" t="inlineStr">
        <is>
          <t>Gwalior</t>
        </is>
      </c>
      <c r="L1463" t="inlineStr">
        <is>
          <t>360 ONE Asset</t>
        </is>
      </c>
      <c r="M1463" t="inlineStr">
        <is>
          <t>360 ONE Asset; India Quotient</t>
        </is>
      </c>
      <c r="N1463" t="inlineStr">
        <is>
          <t>entrackr | et</t>
        </is>
      </c>
      <c r="O1463" s="20" t="n">
        <v>2</v>
      </c>
      <c r="P1463" s="21" t="n">
        <v>1.3</v>
      </c>
      <c r="Q1463" t="inlineStr"/>
      <c r="R1463" s="22" t="inlineStr">
        <is>
          <t>https://entrackr.com/snippets/home-essentials-raises-rs-70-cr-in-pre-series-b-led-by-360-one-asset-11154140</t>
        </is>
      </c>
    </row>
    <row r="1464">
      <c r="A1464" t="inlineStr">
        <is>
          <t>R260225-pulse</t>
        </is>
      </c>
      <c r="B1464" t="inlineStr">
        <is>
          <t>Pulse</t>
        </is>
      </c>
      <c r="C1464" s="17" t="n">
        <v>46078</v>
      </c>
      <c r="D1464" s="18" t="n">
        <v>46054</v>
      </c>
      <c r="E1464" s="19" t="n">
        <v>4</v>
      </c>
      <c r="F1464" s="19" t="n">
        <v>36.38</v>
      </c>
      <c r="G1464" t="inlineStr">
        <is>
          <t>$4 million</t>
        </is>
      </c>
      <c r="H1464" t="inlineStr">
        <is>
          <t>Seed</t>
        </is>
      </c>
      <c r="I1464" t="inlineStr">
        <is>
          <t>Early</t>
        </is>
      </c>
      <c r="J1464" t="inlineStr">
        <is>
          <t>Healthtech</t>
        </is>
      </c>
      <c r="K1464" t="inlineStr">
        <is>
          <t>Bengaluru</t>
        </is>
      </c>
      <c r="L1464" t="inlineStr">
        <is>
          <t>3one4 Capital</t>
        </is>
      </c>
      <c r="M1464" t="inlineStr">
        <is>
          <t>3one4 Capital; Incubate Fund Asia; Stride Ventures; B2B agri-food processing start-up Agrizy</t>
        </is>
      </c>
      <c r="N1464" t="inlineStr">
        <is>
          <t>entrackr | et</t>
        </is>
      </c>
      <c r="O1464" s="20" t="n">
        <v>2</v>
      </c>
      <c r="P1464" s="21" t="n">
        <v>0</v>
      </c>
      <c r="Q1464" t="inlineStr"/>
      <c r="R1464" s="22" t="inlineStr">
        <is>
          <t>https://entrackr.com/snippets/medical-equipment-startup-pulse-secures-4-mn-led-by-30ne4-capital-11152811</t>
        </is>
      </c>
    </row>
    <row r="1465">
      <c r="A1465" t="inlineStr">
        <is>
          <t>R260225-s2dev</t>
        </is>
      </c>
      <c r="B1465" t="inlineStr">
        <is>
          <t>S2.dev</t>
        </is>
      </c>
      <c r="C1465" s="17" t="n">
        <v>46078</v>
      </c>
      <c r="D1465" s="18" t="n">
        <v>46054</v>
      </c>
      <c r="E1465" s="19" t="n">
        <v>3.85</v>
      </c>
      <c r="F1465" s="19" t="n">
        <v>35.02</v>
      </c>
      <c r="G1465" t="inlineStr">
        <is>
          <t>$3.85 million</t>
        </is>
      </c>
      <c r="H1465" t="inlineStr">
        <is>
          <t>Undisclosed</t>
        </is>
      </c>
      <c r="I1465" t="inlineStr">
        <is>
          <t>Undisclosed</t>
        </is>
      </c>
      <c r="J1465" t="inlineStr">
        <is>
          <t>Unclassified</t>
        </is>
      </c>
      <c r="K1465" t="inlineStr">
        <is>
          <t>Unknown</t>
        </is>
      </c>
      <c r="L1465" t="inlineStr">
        <is>
          <t>Accel</t>
        </is>
      </c>
      <c r="M1465" t="inlineStr">
        <is>
          <t>Accel; Uncorrelated Ventures</t>
        </is>
      </c>
      <c r="N1465" t="inlineStr">
        <is>
          <t>entrackr</t>
        </is>
      </c>
      <c r="O1465" s="20" t="n">
        <v>1</v>
      </c>
      <c r="P1465" s="21" t="n">
        <v>0</v>
      </c>
      <c r="Q1465" t="inlineStr">
        <is>
          <t>C04 C06 C07</t>
        </is>
      </c>
      <c r="R1465" s="22" t="inlineStr">
        <is>
          <t>https://entrackr.com/snippets/data-infrastructure-startup-s2dev-raises-385-mn-led-by-accel-11152721</t>
        </is>
      </c>
    </row>
    <row r="1466">
      <c r="A1466" t="inlineStr">
        <is>
          <t>R260225-tattvamai</t>
        </is>
      </c>
      <c r="B1466" t="inlineStr">
        <is>
          <t>Tattvam AI</t>
        </is>
      </c>
      <c r="C1466" s="17" t="n">
        <v>46078</v>
      </c>
      <c r="D1466" s="18" t="n">
        <v>46054</v>
      </c>
      <c r="E1466" s="19" t="n">
        <v>1.7</v>
      </c>
      <c r="F1466" s="19" t="n">
        <v>15.46</v>
      </c>
      <c r="G1466" t="inlineStr">
        <is>
          <t>$1.7 million</t>
        </is>
      </c>
      <c r="H1466" t="inlineStr">
        <is>
          <t>Pre-Seed</t>
        </is>
      </c>
      <c r="I1466" t="inlineStr">
        <is>
          <t>Early</t>
        </is>
      </c>
      <c r="J1466" t="inlineStr">
        <is>
          <t>Advanced Hardware &amp; Technology</t>
        </is>
      </c>
      <c r="K1466" t="inlineStr">
        <is>
          <t>Unknown</t>
        </is>
      </c>
      <c r="L1466" t="inlineStr">
        <is>
          <t>Seedcamp</t>
        </is>
      </c>
      <c r="M1466" t="inlineStr">
        <is>
          <t>Seedcamp; EWOR; Entropy Industrial Ventures; Concept Ventures; Stan Boland</t>
        </is>
      </c>
      <c r="N1466" t="inlineStr">
        <is>
          <t>entrackr</t>
        </is>
      </c>
      <c r="O1466" s="20" t="n">
        <v>1</v>
      </c>
      <c r="P1466" s="21" t="n">
        <v>0</v>
      </c>
      <c r="Q1466" t="inlineStr">
        <is>
          <t>C07</t>
        </is>
      </c>
      <c r="R1466" s="22" t="inlineStr">
        <is>
          <t>https://entrackr.com/snippets/tattvam-ai-secures-17-mn-in-pre-seed-round-led-by-seedcamp-11154738</t>
        </is>
      </c>
    </row>
    <row r="1467">
      <c r="A1467" t="inlineStr">
        <is>
          <t>R260225-wootzwork</t>
        </is>
      </c>
      <c r="B1467" t="inlineStr">
        <is>
          <t>Wootz.work</t>
        </is>
      </c>
      <c r="C1467" s="17" t="n">
        <v>46078</v>
      </c>
      <c r="D1467" s="18" t="n">
        <v>46054</v>
      </c>
      <c r="E1467" s="19" t="n">
        <v>6.6</v>
      </c>
      <c r="F1467" s="19" t="n">
        <v>60.03</v>
      </c>
      <c r="G1467" t="inlineStr">
        <is>
          <t>$6.6 million</t>
        </is>
      </c>
      <c r="H1467" t="inlineStr">
        <is>
          <t>Series A</t>
        </is>
      </c>
      <c r="I1467" t="inlineStr">
        <is>
          <t>Early</t>
        </is>
      </c>
      <c r="J1467" t="inlineStr">
        <is>
          <t>Ecommerce</t>
        </is>
      </c>
      <c r="K1467" t="inlineStr">
        <is>
          <t>Delhi NCR</t>
        </is>
      </c>
      <c r="L1467" t="inlineStr">
        <is>
          <t>Z47</t>
        </is>
      </c>
      <c r="M1467" t="inlineStr">
        <is>
          <t>Z47; Nexus Venture Partners; Stride Ventures</t>
        </is>
      </c>
      <c r="N1467" t="inlineStr">
        <is>
          <t>entrackr | et</t>
        </is>
      </c>
      <c r="O1467" s="20" t="n">
        <v>2</v>
      </c>
      <c r="P1467" s="21" t="n">
        <v>0</v>
      </c>
      <c r="Q1467" t="inlineStr"/>
      <c r="R1467" s="22" t="inlineStr">
        <is>
          <t>https://entrackr.com/snippets/wootzwork-raises-66-mn-in-series-a-round-led-by-z47-11155346</t>
        </is>
      </c>
    </row>
    <row r="1468">
      <c r="A1468" t="inlineStr">
        <is>
          <t>R260225-zeroharmscienc</t>
        </is>
      </c>
      <c r="B1468" t="inlineStr">
        <is>
          <t>ZeroHarm Sciences</t>
        </is>
      </c>
      <c r="C1468" s="17" t="n">
        <v>46078</v>
      </c>
      <c r="D1468" s="18" t="n">
        <v>46054</v>
      </c>
      <c r="E1468" s="19" t="n">
        <v>7.147</v>
      </c>
      <c r="F1468" s="19" t="n">
        <v>65</v>
      </c>
      <c r="G1468" t="inlineStr">
        <is>
          <t>Rs 65 crore</t>
        </is>
      </c>
      <c r="H1468" t="inlineStr">
        <is>
          <t>Series A</t>
        </is>
      </c>
      <c r="I1468" t="inlineStr">
        <is>
          <t>Early</t>
        </is>
      </c>
      <c r="J1468" t="inlineStr">
        <is>
          <t>Ecommerce</t>
        </is>
      </c>
      <c r="K1468" t="inlineStr">
        <is>
          <t>Hyderabad</t>
        </is>
      </c>
      <c r="L1468" t="inlineStr"/>
      <c r="M1468" t="inlineStr"/>
      <c r="N1468" t="inlineStr">
        <is>
          <t>entrackr</t>
        </is>
      </c>
      <c r="O1468" s="20" t="n">
        <v>1</v>
      </c>
      <c r="P1468" s="21" t="n">
        <v>0</v>
      </c>
      <c r="Q1468" t="inlineStr">
        <is>
          <t>C05</t>
        </is>
      </c>
      <c r="R1468" s="22" t="inlineStr">
        <is>
          <t>https://entrackr.com/snippets/zeroharm-sciences-raises-rs-65-cr-in-series-a-round-11154967</t>
        </is>
      </c>
    </row>
    <row r="1469">
      <c r="A1469" t="inlineStr">
        <is>
          <t>R260226-companionlabs</t>
        </is>
      </c>
      <c r="B1469" t="inlineStr">
        <is>
          <t>Companion Labs</t>
        </is>
      </c>
      <c r="C1469" s="17" t="n">
        <v>46079</v>
      </c>
      <c r="D1469" s="18" t="n">
        <v>46054</v>
      </c>
      <c r="E1469" s="19" t="n">
        <v>2.5</v>
      </c>
      <c r="F1469" s="19" t="n">
        <v>22.73</v>
      </c>
      <c r="G1469" t="inlineStr">
        <is>
          <t>$2.5 million</t>
        </is>
      </c>
      <c r="H1469" t="inlineStr">
        <is>
          <t>Seed</t>
        </is>
      </c>
      <c r="I1469" t="inlineStr">
        <is>
          <t>Early</t>
        </is>
      </c>
      <c r="J1469" t="inlineStr">
        <is>
          <t>Artificial Intelligence</t>
        </is>
      </c>
      <c r="K1469" t="inlineStr">
        <is>
          <t>Bengaluru</t>
        </is>
      </c>
      <c r="L1469" t="inlineStr">
        <is>
          <t>Surge; UntitledVC; DeVC; Peak XV Partners’ early-stage accelerator programme</t>
        </is>
      </c>
      <c r="M1469" t="inlineStr">
        <is>
          <t>Surge; UntitledVC; DeVC; All In Capital; Peak XV Partners’ early-stage accelerator programme</t>
        </is>
      </c>
      <c r="N1469" t="inlineStr">
        <is>
          <t>entrackr | et</t>
        </is>
      </c>
      <c r="O1469" s="20" t="n">
        <v>2</v>
      </c>
      <c r="P1469" s="21" t="n">
        <v>0</v>
      </c>
      <c r="Q1469" t="inlineStr"/>
      <c r="R1469" s="22" t="inlineStr">
        <is>
          <t>https://entrackr.com/snippets/peak-xv-leads-25-mn-round-in-companion-labs-11157241</t>
        </is>
      </c>
    </row>
    <row r="1470">
      <c r="A1470" t="inlineStr">
        <is>
          <t>R260226-freed</t>
        </is>
      </c>
      <c r="B1470" t="inlineStr">
        <is>
          <t>FREED</t>
        </is>
      </c>
      <c r="C1470" s="17" t="n">
        <v>46079</v>
      </c>
      <c r="D1470" s="18" t="n">
        <v>46054</v>
      </c>
      <c r="E1470" s="19" t="n">
        <v>6.598</v>
      </c>
      <c r="F1470" s="19" t="n">
        <v>60</v>
      </c>
      <c r="G1470" t="inlineStr">
        <is>
          <t>Rs 60 crore</t>
        </is>
      </c>
      <c r="H1470" t="inlineStr">
        <is>
          <t>Debt</t>
        </is>
      </c>
      <c r="I1470" t="inlineStr">
        <is>
          <t>Debt</t>
        </is>
      </c>
      <c r="J1470" t="inlineStr">
        <is>
          <t>Unclassified</t>
        </is>
      </c>
      <c r="K1470" t="inlineStr">
        <is>
          <t>Delhi NCR</t>
        </is>
      </c>
      <c r="L1470" t="inlineStr">
        <is>
          <t>Aavishkaar Capital</t>
        </is>
      </c>
      <c r="M1470" t="inlineStr">
        <is>
          <t>Aavishkaar Capital; Sorin Investments; Piper Serica; Sattva Ventures</t>
        </is>
      </c>
      <c r="N1470" t="inlineStr">
        <is>
          <t>entrackr | et</t>
        </is>
      </c>
      <c r="O1470" s="20" t="n">
        <v>2</v>
      </c>
      <c r="P1470" s="21" t="n">
        <v>0</v>
      </c>
      <c r="Q1470" t="inlineStr">
        <is>
          <t>C06</t>
        </is>
      </c>
      <c r="R1470" s="22" t="inlineStr">
        <is>
          <t>https://entrackr.com/snippets/aavishkaar-capital-leads-rs-60-cr-round-in-debt-relief-platform-freed-11158185</t>
        </is>
      </c>
    </row>
    <row r="1471">
      <c r="A1471" t="inlineStr">
        <is>
          <t>R260226-gushwork</t>
        </is>
      </c>
      <c r="B1471" t="inlineStr">
        <is>
          <t>Gushwork</t>
        </is>
      </c>
      <c r="C1471" s="17" t="n">
        <v>46079</v>
      </c>
      <c r="D1471" s="18" t="n">
        <v>46054</v>
      </c>
      <c r="E1471" s="19" t="n">
        <v>9</v>
      </c>
      <c r="F1471" s="19" t="n">
        <v>81.84</v>
      </c>
      <c r="G1471" t="inlineStr">
        <is>
          <t>$9 million</t>
        </is>
      </c>
      <c r="H1471" t="inlineStr">
        <is>
          <t>Undisclosed</t>
        </is>
      </c>
      <c r="I1471" t="inlineStr">
        <is>
          <t>Undisclosed</t>
        </is>
      </c>
      <c r="J1471" t="inlineStr">
        <is>
          <t>Artificial Intelligence</t>
        </is>
      </c>
      <c r="K1471" t="inlineStr">
        <is>
          <t>Bengaluru</t>
        </is>
      </c>
      <c r="L1471" t="inlineStr">
        <is>
          <t>Susquehanna Asia VC; B Capital; Seaborne Capital; Beenext; Sparrow Capital; 2.2 Capital</t>
        </is>
      </c>
      <c r="M1471" t="inlineStr">
        <is>
          <t>Susquehanna Asia VC; B Capital; Seaborne Capital; Beenext; Sparrow Capital; 2.2 Capital; Lightspeed</t>
        </is>
      </c>
      <c r="N1471" t="inlineStr">
        <is>
          <t>entrackr | et</t>
        </is>
      </c>
      <c r="O1471" s="20" t="n">
        <v>2</v>
      </c>
      <c r="P1471" s="21" t="n">
        <v>0</v>
      </c>
      <c r="Q1471" t="inlineStr">
        <is>
          <t>C04</t>
        </is>
      </c>
      <c r="R1471" s="22" t="inlineStr">
        <is>
          <t>https://entrackr.com/snippets/gushwork-secures-9-mn-led-by-susquehanna-asia-vc-11157636</t>
        </is>
      </c>
    </row>
    <row r="1472">
      <c r="A1472" t="inlineStr">
        <is>
          <t>R260226-meltplan</t>
        </is>
      </c>
      <c r="B1472" t="inlineStr">
        <is>
          <t>MeltPlan</t>
        </is>
      </c>
      <c r="C1472" s="17" t="n">
        <v>46079</v>
      </c>
      <c r="D1472" s="18" t="n">
        <v>46054</v>
      </c>
      <c r="E1472" s="19" t="n">
        <v>10</v>
      </c>
      <c r="F1472" s="19" t="n">
        <v>90.93000000000001</v>
      </c>
      <c r="G1472" t="inlineStr">
        <is>
          <t>$10 million</t>
        </is>
      </c>
      <c r="H1472" t="inlineStr">
        <is>
          <t>Seed</t>
        </is>
      </c>
      <c r="I1472" t="inlineStr">
        <is>
          <t>Early</t>
        </is>
      </c>
      <c r="J1472" t="inlineStr">
        <is>
          <t>Artificial Intelligence</t>
        </is>
      </c>
      <c r="K1472" t="inlineStr">
        <is>
          <t>Unknown</t>
        </is>
      </c>
      <c r="L1472" t="inlineStr">
        <is>
          <t>Bessemer Venture Partners</t>
        </is>
      </c>
      <c r="M1472" t="inlineStr">
        <is>
          <t>Bessemer Venture Partners; Noa</t>
        </is>
      </c>
      <c r="N1472" t="inlineStr">
        <is>
          <t>entrackr | et</t>
        </is>
      </c>
      <c r="O1472" s="20" t="n">
        <v>2</v>
      </c>
      <c r="P1472" s="21" t="n">
        <v>0</v>
      </c>
      <c r="Q1472" t="inlineStr">
        <is>
          <t>C07</t>
        </is>
      </c>
      <c r="R1472" s="22" t="inlineStr">
        <is>
          <t>https://entrackr.com/news/meltplan-raises-10-mn-in-seed-round-led-by-bessemer-11156849</t>
        </is>
      </c>
    </row>
    <row r="1473">
      <c r="A1473" t="inlineStr">
        <is>
          <t>R260226-nailinit</t>
        </is>
      </c>
      <c r="B1473" t="inlineStr">
        <is>
          <t>Nailinit</t>
        </is>
      </c>
      <c r="C1473" s="17" t="n">
        <v>46079</v>
      </c>
      <c r="D1473" s="18" t="n">
        <v>46054</v>
      </c>
      <c r="E1473" s="19" t="n"/>
      <c r="F1473" s="19" t="n"/>
      <c r="G1473" t="inlineStr"/>
      <c r="H1473" t="inlineStr">
        <is>
          <t>Pre-Seed</t>
        </is>
      </c>
      <c r="I1473" t="inlineStr">
        <is>
          <t>Early</t>
        </is>
      </c>
      <c r="J1473" t="inlineStr">
        <is>
          <t>Ecommerce</t>
        </is>
      </c>
      <c r="K1473" t="inlineStr">
        <is>
          <t>Unknown</t>
        </is>
      </c>
      <c r="L1473" t="inlineStr">
        <is>
          <t>Gruhas Collective Consumer Fund</t>
        </is>
      </c>
      <c r="M1473" t="inlineStr">
        <is>
          <t>Gruhas Collective Consumer Fund; Shashank Kumar; Arjit Johri; Yash Jain; Karan Jindal; Jivraj Singh Sachar; Nishank Jain; Yashvardhan Kanoi; Ashwarya Garg; Venus Dhuria; Amishi Parasrampuria</t>
        </is>
      </c>
      <c r="N1473" t="inlineStr">
        <is>
          <t>entrackr</t>
        </is>
      </c>
      <c r="O1473" s="20" t="n">
        <v>1</v>
      </c>
      <c r="P1473" s="21" t="n"/>
      <c r="Q1473" t="inlineStr">
        <is>
          <t>C03 C07</t>
        </is>
      </c>
      <c r="R1473" s="22" t="inlineStr">
        <is>
          <t>https://entrackr.com/snippets/nail-care-brand-nailinit-raises-pre-seed-round-11157460</t>
        </is>
      </c>
    </row>
    <row r="1474">
      <c r="A1474" t="inlineStr">
        <is>
          <t>R260226-prayaancapital</t>
        </is>
      </c>
      <c r="B1474" t="inlineStr">
        <is>
          <t>Prayaan Capital</t>
        </is>
      </c>
      <c r="C1474" s="17" t="n">
        <v>46079</v>
      </c>
      <c r="D1474" s="18" t="n">
        <v>46054</v>
      </c>
      <c r="E1474" s="19" t="n">
        <v>12.097</v>
      </c>
      <c r="F1474" s="19" t="n">
        <v>110</v>
      </c>
      <c r="G1474" t="inlineStr">
        <is>
          <t>Rs 110 crore</t>
        </is>
      </c>
      <c r="H1474" t="inlineStr">
        <is>
          <t>Series A</t>
        </is>
      </c>
      <c r="I1474" t="inlineStr">
        <is>
          <t>Early</t>
        </is>
      </c>
      <c r="J1474" t="inlineStr">
        <is>
          <t>Unclassified</t>
        </is>
      </c>
      <c r="K1474" t="inlineStr">
        <is>
          <t>Unknown</t>
        </is>
      </c>
      <c r="L1474" t="inlineStr">
        <is>
          <t>Rangarajan Krishnan; Peak XV Partners</t>
        </is>
      </c>
      <c r="M1474" t="inlineStr">
        <is>
          <t>Rangarajan Krishnan; Peak XV Partners</t>
        </is>
      </c>
      <c r="N1474" t="inlineStr">
        <is>
          <t>entrackr | et</t>
        </is>
      </c>
      <c r="O1474" s="20" t="n">
        <v>2</v>
      </c>
      <c r="P1474" s="21" t="n">
        <v>0</v>
      </c>
      <c r="Q1474" t="inlineStr">
        <is>
          <t>C06 C07</t>
        </is>
      </c>
      <c r="R1474" s="22" t="inlineStr">
        <is>
          <t>https://entrackr.com/snippets/prayaan-capital-raises-rs-110-cr-in-series-a-round-led-by-peak-xv-11157849</t>
        </is>
      </c>
    </row>
    <row r="1475">
      <c r="A1475" t="inlineStr">
        <is>
          <t>R260226-reneonix</t>
        </is>
      </c>
      <c r="B1475" t="inlineStr">
        <is>
          <t>Reneonix</t>
        </is>
      </c>
      <c r="C1475" s="17" t="n">
        <v>46079</v>
      </c>
      <c r="D1475" s="18" t="n">
        <v>46054</v>
      </c>
      <c r="E1475" s="19" t="n">
        <v>0.187</v>
      </c>
      <c r="F1475" s="19" t="n">
        <v>1.7</v>
      </c>
      <c r="G1475" t="inlineStr">
        <is>
          <t>Rs 1.7 crore</t>
        </is>
      </c>
      <c r="H1475" t="inlineStr">
        <is>
          <t>Pre-Seed</t>
        </is>
      </c>
      <c r="I1475" t="inlineStr">
        <is>
          <t>Early</t>
        </is>
      </c>
      <c r="J1475" t="inlineStr">
        <is>
          <t>Deeptech</t>
        </is>
      </c>
      <c r="K1475" t="inlineStr">
        <is>
          <t>Chennai</t>
        </is>
      </c>
      <c r="L1475" t="inlineStr">
        <is>
          <t>Inflection Point Ventures</t>
        </is>
      </c>
      <c r="M1475" t="inlineStr">
        <is>
          <t>Inflection Point Ventures; Department of Science; Technology</t>
        </is>
      </c>
      <c r="N1475" t="inlineStr">
        <is>
          <t>entrackr</t>
        </is>
      </c>
      <c r="O1475" s="20" t="n">
        <v>1</v>
      </c>
      <c r="P1475" s="21" t="n">
        <v>0</v>
      </c>
      <c r="Q1475" t="inlineStr"/>
      <c r="R1475" s="22" t="inlineStr">
        <is>
          <t>https://entrackr.com/snippets/reneonix-raises-rs-17-cr-in-pre-seed-round-led-by-ipv-11157125</t>
        </is>
      </c>
    </row>
    <row r="1476">
      <c r="A1476" t="inlineStr">
        <is>
          <t>R260226-spintly</t>
        </is>
      </c>
      <c r="B1476" t="inlineStr">
        <is>
          <t>Spintly</t>
        </is>
      </c>
      <c r="C1476" s="17" t="n">
        <v>46079</v>
      </c>
      <c r="D1476" s="18" t="n">
        <v>46054</v>
      </c>
      <c r="E1476" s="19" t="n">
        <v>8</v>
      </c>
      <c r="F1476" s="19" t="n">
        <v>72.73999999999999</v>
      </c>
      <c r="G1476" t="inlineStr">
        <is>
          <t>$8 million</t>
        </is>
      </c>
      <c r="H1476" t="inlineStr">
        <is>
          <t>Series A</t>
        </is>
      </c>
      <c r="I1476" t="inlineStr">
        <is>
          <t>Early</t>
        </is>
      </c>
      <c r="J1476" t="inlineStr">
        <is>
          <t>Deeptech</t>
        </is>
      </c>
      <c r="K1476" t="inlineStr">
        <is>
          <t>Goa</t>
        </is>
      </c>
      <c r="L1476" t="inlineStr">
        <is>
          <t>Accel</t>
        </is>
      </c>
      <c r="M1476" t="inlineStr">
        <is>
          <t>Accel; Chakra Growth Fund; Alumni Ventures; Spyre VC; Enrission India Capital; SucSEED Ventures</t>
        </is>
      </c>
      <c r="N1476" t="inlineStr">
        <is>
          <t>entrackr | et</t>
        </is>
      </c>
      <c r="O1476" s="20" t="n">
        <v>2</v>
      </c>
      <c r="P1476" s="21" t="n">
        <v>0</v>
      </c>
      <c r="Q1476" t="inlineStr"/>
      <c r="R1476" s="22" t="inlineStr">
        <is>
          <t>https://economictimes.indiatimes.com/tech/funding/iot-based-security-startup-spintly-raises-8-million-from-accel-enrission-india-others/articleshow/128801949.cms</t>
        </is>
      </c>
    </row>
    <row r="1477">
      <c r="A1477" t="inlineStr">
        <is>
          <t>R260227-constelli</t>
        </is>
      </c>
      <c r="B1477" t="inlineStr">
        <is>
          <t>Constelli</t>
        </is>
      </c>
      <c r="C1477" s="17" t="n">
        <v>46080</v>
      </c>
      <c r="D1477" s="18" t="n">
        <v>46054</v>
      </c>
      <c r="E1477" s="19" t="n">
        <v>20</v>
      </c>
      <c r="F1477" s="19" t="n">
        <v>182.16</v>
      </c>
      <c r="G1477" t="inlineStr">
        <is>
          <t>$20 million</t>
        </is>
      </c>
      <c r="H1477" t="inlineStr">
        <is>
          <t>Undisclosed</t>
        </is>
      </c>
      <c r="I1477" t="inlineStr">
        <is>
          <t>Undisclosed</t>
        </is>
      </c>
      <c r="J1477" t="inlineStr">
        <is>
          <t>Deeptech</t>
        </is>
      </c>
      <c r="K1477" t="inlineStr">
        <is>
          <t>Hyderabad</t>
        </is>
      </c>
      <c r="L1477" t="inlineStr">
        <is>
          <t>General Catalyst; Pravega Ventures</t>
        </is>
      </c>
      <c r="M1477" t="inlineStr">
        <is>
          <t>General Catalyst; Pravega Ventures; 360 One Asset Management; Satya Gopal Panigrahi</t>
        </is>
      </c>
      <c r="N1477" t="inlineStr">
        <is>
          <t>entrackr | et</t>
        </is>
      </c>
      <c r="O1477" s="20" t="n">
        <v>2</v>
      </c>
      <c r="P1477" s="21" t="n">
        <v>0</v>
      </c>
      <c r="Q1477" t="inlineStr">
        <is>
          <t>C04</t>
        </is>
      </c>
      <c r="R1477" s="22" t="inlineStr">
        <is>
          <t>https://entrackr.com/news/defence-tech-startup-constelli-raises-20-mn-led-by-general-catalyst-11159941</t>
        </is>
      </c>
    </row>
    <row r="1478">
      <c r="A1478" t="inlineStr">
        <is>
          <t>R260227-origa</t>
        </is>
      </c>
      <c r="B1478" t="inlineStr">
        <is>
          <t>Origa</t>
        </is>
      </c>
      <c r="C1478" s="17" t="n">
        <v>46080</v>
      </c>
      <c r="D1478" s="18" t="n">
        <v>46054</v>
      </c>
      <c r="E1478" s="19" t="n">
        <v>0.45</v>
      </c>
      <c r="F1478" s="19" t="n">
        <v>4.1</v>
      </c>
      <c r="G1478" t="inlineStr">
        <is>
          <t>$450,000</t>
        </is>
      </c>
      <c r="H1478" t="inlineStr">
        <is>
          <t>Undisclosed</t>
        </is>
      </c>
      <c r="I1478" t="inlineStr">
        <is>
          <t>Undisclosed</t>
        </is>
      </c>
      <c r="J1478" t="inlineStr">
        <is>
          <t>Artificial Intelligence</t>
        </is>
      </c>
      <c r="K1478" t="inlineStr">
        <is>
          <t>Unknown</t>
        </is>
      </c>
      <c r="L1478" t="inlineStr">
        <is>
          <t>Antler Singapore</t>
        </is>
      </c>
      <c r="M1478" t="inlineStr">
        <is>
          <t>Antler Singapore</t>
        </is>
      </c>
      <c r="N1478" t="inlineStr">
        <is>
          <t>entrackr</t>
        </is>
      </c>
      <c r="O1478" s="20" t="n">
        <v>1</v>
      </c>
      <c r="P1478" s="21" t="n">
        <v>0</v>
      </c>
      <c r="Q1478" t="inlineStr">
        <is>
          <t>C04 C07</t>
        </is>
      </c>
      <c r="R1478" s="22" t="inlineStr">
        <is>
          <t>https://entrackr.com/snippets/voice-ai-startup-origa-raises-450k-led-by-antler-singapore-11160381</t>
        </is>
      </c>
    </row>
    <row r="1479">
      <c r="A1479" t="inlineStr">
        <is>
          <t>R260227-temple</t>
        </is>
      </c>
      <c r="B1479" t="inlineStr">
        <is>
          <t>Temple</t>
        </is>
      </c>
      <c r="C1479" s="17" t="n">
        <v>46080</v>
      </c>
      <c r="D1479" s="18" t="n">
        <v>46054</v>
      </c>
      <c r="E1479" s="19" t="n">
        <v>54</v>
      </c>
      <c r="F1479" s="19" t="n">
        <v>491.83</v>
      </c>
      <c r="G1479" t="inlineStr">
        <is>
          <t>$54 million</t>
        </is>
      </c>
      <c r="H1479" t="inlineStr">
        <is>
          <t>Seed</t>
        </is>
      </c>
      <c r="I1479" t="inlineStr">
        <is>
          <t>Early</t>
        </is>
      </c>
      <c r="J1479" t="inlineStr">
        <is>
          <t>Unclassified</t>
        </is>
      </c>
      <c r="K1479" t="inlineStr">
        <is>
          <t>Unknown</t>
        </is>
      </c>
      <c r="L1479" t="inlineStr"/>
      <c r="M1479" t="inlineStr">
        <is>
          <t>Steadview; Peak XV</t>
        </is>
      </c>
      <c r="N1479" t="inlineStr">
        <is>
          <t>entrackr | et</t>
        </is>
      </c>
      <c r="O1479" s="20" t="n">
        <v>2</v>
      </c>
      <c r="P1479" s="21" t="n">
        <v>0</v>
      </c>
      <c r="Q1479" t="inlineStr">
        <is>
          <t>C06 C07 C11</t>
        </is>
      </c>
      <c r="R1479" s="22" t="inlineStr">
        <is>
          <t>https://entrackr.com/news/deepinder-goyals-new-startup-temple-raises-54-mn-at-a-190-mn-valuation-11161849</t>
        </is>
      </c>
    </row>
    <row r="1480">
      <c r="A1480" t="inlineStr">
        <is>
          <t>R260228-innoviti</t>
        </is>
      </c>
      <c r="B1480" t="inlineStr">
        <is>
          <t>Innoviti</t>
        </is>
      </c>
      <c r="C1480" s="17" t="n">
        <v>46081</v>
      </c>
      <c r="D1480" s="18" t="n">
        <v>46054</v>
      </c>
      <c r="E1480" s="19" t="n">
        <v>11.4</v>
      </c>
      <c r="F1480" s="19" t="n">
        <v>103.83</v>
      </c>
      <c r="G1480" t="inlineStr">
        <is>
          <t>$11.4 Mn</t>
        </is>
      </c>
      <c r="H1480" t="inlineStr">
        <is>
          <t>Undisclosed</t>
        </is>
      </c>
      <c r="I1480" t="inlineStr">
        <is>
          <t>Undisclosed</t>
        </is>
      </c>
      <c r="J1480" t="inlineStr">
        <is>
          <t>Fintech</t>
        </is>
      </c>
      <c r="K1480" t="inlineStr">
        <is>
          <t>Unknown</t>
        </is>
      </c>
      <c r="L1480" t="inlineStr"/>
      <c r="M1480" t="inlineStr">
        <is>
          <t>Bessemer Venture Partners; Ashutosh Joshi; Arihant Patni; Deepak Vinchhi</t>
        </is>
      </c>
      <c r="N1480" t="inlineStr">
        <is>
          <t>inc42</t>
        </is>
      </c>
      <c r="O1480" s="20" t="n">
        <v>1</v>
      </c>
      <c r="P1480" s="21" t="n">
        <v>0</v>
      </c>
      <c r="Q1480" t="inlineStr">
        <is>
          <t>C04 C07</t>
        </is>
      </c>
      <c r="R1480" s="22" t="inlineStr">
        <is>
          <t>https://inc42.com/buzz/from-rozana-to-cent-indian-startups-raised-98-mn-this-week/</t>
        </is>
      </c>
    </row>
    <row r="1481">
      <c r="A1481" t="inlineStr">
        <is>
          <t>R260302-bounce</t>
        </is>
      </c>
      <c r="B1481" t="inlineStr">
        <is>
          <t>Bounce</t>
        </is>
      </c>
      <c r="C1481" s="17" t="n">
        <v>46083</v>
      </c>
      <c r="D1481" s="18" t="n">
        <v>46082</v>
      </c>
      <c r="E1481" s="19" t="n">
        <v>3.9</v>
      </c>
      <c r="F1481" s="19" t="n">
        <v>35.78</v>
      </c>
      <c r="G1481" t="inlineStr">
        <is>
          <t>$3.9 Mn</t>
        </is>
      </c>
      <c r="H1481" t="inlineStr">
        <is>
          <t>Series F</t>
        </is>
      </c>
      <c r="I1481" t="inlineStr">
        <is>
          <t>Late</t>
        </is>
      </c>
      <c r="J1481" t="inlineStr">
        <is>
          <t>Cleantech</t>
        </is>
      </c>
      <c r="K1481" t="inlineStr">
        <is>
          <t>Unknown</t>
        </is>
      </c>
      <c r="L1481" t="inlineStr">
        <is>
          <t>Accel; B Capital</t>
        </is>
      </c>
      <c r="M1481" t="inlineStr">
        <is>
          <t>Accel; B Capital; Qualcomm</t>
        </is>
      </c>
      <c r="N1481" t="inlineStr">
        <is>
          <t>inc42 | et</t>
        </is>
      </c>
      <c r="O1481" s="20" t="n">
        <v>2</v>
      </c>
      <c r="P1481" s="21" t="n">
        <v>28.2</v>
      </c>
      <c r="Q1481" t="inlineStr">
        <is>
          <t>C07 C15</t>
        </is>
      </c>
      <c r="R1481" s="22" t="inlineStr">
        <is>
          <t>https://economictimes.indiatimes.com/tech/funding/ev-startup-bounce-raises-5-million-from-accel-b-capital-qualcomm/articleshow/128942453.cms</t>
        </is>
      </c>
    </row>
    <row r="1482">
      <c r="A1482" t="inlineStr">
        <is>
          <t>R260302-inamo</t>
        </is>
      </c>
      <c r="B1482" t="inlineStr">
        <is>
          <t>Inamo</t>
        </is>
      </c>
      <c r="C1482" s="17" t="n">
        <v>46083</v>
      </c>
      <c r="D1482" s="18" t="n">
        <v>46082</v>
      </c>
      <c r="E1482" s="19" t="n">
        <v>8</v>
      </c>
      <c r="F1482" s="19" t="n">
        <v>73.39</v>
      </c>
      <c r="G1482" t="inlineStr">
        <is>
          <t>$8 million</t>
        </is>
      </c>
      <c r="H1482" t="inlineStr">
        <is>
          <t>Series A</t>
        </is>
      </c>
      <c r="I1482" t="inlineStr">
        <is>
          <t>Early</t>
        </is>
      </c>
      <c r="J1482" t="inlineStr">
        <is>
          <t>Enterprise Tech</t>
        </is>
      </c>
      <c r="K1482" t="inlineStr">
        <is>
          <t>Mumbai</t>
        </is>
      </c>
      <c r="L1482" t="inlineStr">
        <is>
          <t>Prime Venture Partners; Shastra VC; Antler India; Gemba Capital</t>
        </is>
      </c>
      <c r="M1482" t="inlineStr">
        <is>
          <t>Prime Venture Partners; Five SB Limited; Shastra VC; Antler; Gemba Capital; Scope Promoters</t>
        </is>
      </c>
      <c r="N1482" t="inlineStr">
        <is>
          <t>entrackr | inc42 | et</t>
        </is>
      </c>
      <c r="O1482" s="20" t="n">
        <v>3</v>
      </c>
      <c r="P1482" s="21" t="n">
        <v>0</v>
      </c>
      <c r="Q1482" t="inlineStr"/>
      <c r="R1482" s="22" t="inlineStr">
        <is>
          <t>https://entrackr.com/news/quick-commerce-enabler-inamo-raises-8-mn-led-by-prime-venture-partners-11167854</t>
        </is>
      </c>
    </row>
    <row r="1483">
      <c r="A1483" t="inlineStr">
        <is>
          <t>R260302-turiyamai</t>
        </is>
      </c>
      <c r="B1483" t="inlineStr">
        <is>
          <t>Turiyam.ai</t>
        </is>
      </c>
      <c r="C1483" s="17" t="n">
        <v>46083</v>
      </c>
      <c r="D1483" s="18" t="n">
        <v>46082</v>
      </c>
      <c r="E1483" s="19" t="n">
        <v>4</v>
      </c>
      <c r="F1483" s="19" t="n">
        <v>36.7</v>
      </c>
      <c r="G1483" t="inlineStr">
        <is>
          <t>$4 Mn</t>
        </is>
      </c>
      <c r="H1483" t="inlineStr">
        <is>
          <t>Pre-Seed</t>
        </is>
      </c>
      <c r="I1483" t="inlineStr">
        <is>
          <t>Early</t>
        </is>
      </c>
      <c r="J1483" t="inlineStr">
        <is>
          <t>Advanced Hardware &amp; Technology</t>
        </is>
      </c>
      <c r="K1483" t="inlineStr">
        <is>
          <t>Unknown</t>
        </is>
      </c>
      <c r="L1483" t="inlineStr">
        <is>
          <t>Ankur Capital</t>
        </is>
      </c>
      <c r="M1483" t="inlineStr">
        <is>
          <t>Ankur Capital; Micelio Fund</t>
        </is>
      </c>
      <c r="N1483" t="inlineStr">
        <is>
          <t>inc42</t>
        </is>
      </c>
      <c r="O1483" s="20" t="n">
        <v>1</v>
      </c>
      <c r="P1483" s="21" t="n">
        <v>0</v>
      </c>
      <c r="Q1483" t="inlineStr">
        <is>
          <t>C07</t>
        </is>
      </c>
      <c r="R1483" s="22" t="inlineStr">
        <is>
          <t>https://inc42.com/buzz/from-rozana-to-cent-indian-startups-raised-98-mn-this-week/</t>
        </is>
      </c>
    </row>
    <row r="1484">
      <c r="A1484" t="inlineStr">
        <is>
          <t>R260303-bubbleme</t>
        </is>
      </c>
      <c r="B1484" t="inlineStr">
        <is>
          <t>Bubble Me</t>
        </is>
      </c>
      <c r="C1484" s="17" t="n">
        <v>46084</v>
      </c>
      <c r="D1484" s="18" t="n">
        <v>46082</v>
      </c>
      <c r="E1484" s="19" t="n">
        <v>0.163</v>
      </c>
      <c r="F1484" s="19" t="n">
        <v>1.5</v>
      </c>
      <c r="G1484" t="inlineStr">
        <is>
          <t>Rs 1.5 crore</t>
        </is>
      </c>
      <c r="H1484" t="inlineStr">
        <is>
          <t>Pre-Seed</t>
        </is>
      </c>
      <c r="I1484" t="inlineStr">
        <is>
          <t>Early</t>
        </is>
      </c>
      <c r="J1484" t="inlineStr">
        <is>
          <t>Ecommerce</t>
        </is>
      </c>
      <c r="K1484" t="inlineStr">
        <is>
          <t>Chandigarh</t>
        </is>
      </c>
      <c r="L1484" t="inlineStr">
        <is>
          <t>AJVC</t>
        </is>
      </c>
      <c r="M1484" t="inlineStr">
        <is>
          <t>AJVC</t>
        </is>
      </c>
      <c r="N1484" t="inlineStr">
        <is>
          <t>entrackr | inc42</t>
        </is>
      </c>
      <c r="O1484" s="20" t="n">
        <v>2</v>
      </c>
      <c r="P1484" s="21" t="n">
        <v>0.1</v>
      </c>
      <c r="Q1484" t="inlineStr"/>
      <c r="R1484" s="22" t="inlineStr">
        <is>
          <t>https://entrackr.com/snippets/bubble-me-raises-rs-15-cr-in-pre-seed-round-led-by-ajvc-11171125</t>
        </is>
      </c>
    </row>
    <row r="1485">
      <c r="A1485" t="inlineStr">
        <is>
          <t>R260303-kaartech</t>
        </is>
      </c>
      <c r="B1485" t="inlineStr">
        <is>
          <t>KaarTech</t>
        </is>
      </c>
      <c r="C1485" s="17" t="n">
        <v>46084</v>
      </c>
      <c r="D1485" s="18" t="n">
        <v>46082</v>
      </c>
      <c r="E1485" s="19" t="n">
        <v>11</v>
      </c>
      <c r="F1485" s="19" t="n">
        <v>101.36</v>
      </c>
      <c r="G1485" t="inlineStr">
        <is>
          <t>$11 million</t>
        </is>
      </c>
      <c r="H1485" t="inlineStr">
        <is>
          <t>Series B</t>
        </is>
      </c>
      <c r="I1485" t="inlineStr">
        <is>
          <t>Growth</t>
        </is>
      </c>
      <c r="J1485" t="inlineStr">
        <is>
          <t>Enterprise Tech</t>
        </is>
      </c>
      <c r="K1485" t="inlineStr">
        <is>
          <t>Chennai</t>
        </is>
      </c>
      <c r="L1485" t="inlineStr">
        <is>
          <t>Playbook Partners</t>
        </is>
      </c>
      <c r="M1485" t="inlineStr">
        <is>
          <t>Playbook Partners; A91 Partners</t>
        </is>
      </c>
      <c r="N1485" t="inlineStr">
        <is>
          <t>entrackr | inc42 | et | vccircle</t>
        </is>
      </c>
      <c r="O1485" s="20" t="n">
        <v>4</v>
      </c>
      <c r="P1485" s="21" t="n">
        <v>0</v>
      </c>
      <c r="Q1485" t="inlineStr"/>
      <c r="R1485" s="22" t="inlineStr">
        <is>
          <t>https://entrackr.com/exclusive/exclusive-kaartech-raises-rs-100-cr-from-playbook-partners-11173037</t>
        </is>
      </c>
    </row>
    <row r="1486">
      <c r="A1486" t="inlineStr">
        <is>
          <t>R260303-pronto</t>
        </is>
      </c>
      <c r="B1486" t="inlineStr">
        <is>
          <t>Pronto</t>
        </is>
      </c>
      <c r="C1486" s="17" t="n">
        <v>46084</v>
      </c>
      <c r="D1486" s="18" t="n">
        <v>46082</v>
      </c>
      <c r="E1486" s="19" t="n">
        <v>25</v>
      </c>
      <c r="F1486" s="19" t="n">
        <v>230.38</v>
      </c>
      <c r="G1486" t="inlineStr">
        <is>
          <t>$25 million</t>
        </is>
      </c>
      <c r="H1486" t="inlineStr">
        <is>
          <t>Series B</t>
        </is>
      </c>
      <c r="I1486" t="inlineStr">
        <is>
          <t>Growth</t>
        </is>
      </c>
      <c r="J1486" t="inlineStr">
        <is>
          <t>Consumer Services</t>
        </is>
      </c>
      <c r="K1486" t="inlineStr">
        <is>
          <t>Unknown</t>
        </is>
      </c>
      <c r="L1486" t="inlineStr">
        <is>
          <t>Epiq Capital</t>
        </is>
      </c>
      <c r="M1486" t="inlineStr">
        <is>
          <t>Epiq Capital; Glade Brook Capital; General Catalyst; Bain Capital Ventures; Anjali Sardana</t>
        </is>
      </c>
      <c r="N1486" t="inlineStr">
        <is>
          <t>entrackr | inc42 | et</t>
        </is>
      </c>
      <c r="O1486" s="20" t="n">
        <v>3</v>
      </c>
      <c r="P1486" s="21" t="n">
        <v>0</v>
      </c>
      <c r="Q1486" t="inlineStr">
        <is>
          <t>C07</t>
        </is>
      </c>
      <c r="R1486" s="22" t="inlineStr">
        <is>
          <t>https://entrackr.com/news/pronto-raises-25-mn-in-series-b-led-by-epiq-capital-11170918</t>
        </is>
      </c>
    </row>
    <row r="1487">
      <c r="A1487" t="inlineStr">
        <is>
          <t>R260303-rasluxuryskinc</t>
        </is>
      </c>
      <c r="B1487" t="inlineStr">
        <is>
          <t>RAS Luxury</t>
        </is>
      </c>
      <c r="C1487" s="17" t="n">
        <v>46084</v>
      </c>
      <c r="D1487" s="18" t="n">
        <v>46082</v>
      </c>
      <c r="E1487" s="19" t="n">
        <v>7.5</v>
      </c>
      <c r="F1487" s="19" t="n">
        <v>69.11</v>
      </c>
      <c r="G1487" t="inlineStr">
        <is>
          <t>$7.5 million</t>
        </is>
      </c>
      <c r="H1487" t="inlineStr">
        <is>
          <t>Series B</t>
        </is>
      </c>
      <c r="I1487" t="inlineStr">
        <is>
          <t>Growth</t>
        </is>
      </c>
      <c r="J1487" t="inlineStr">
        <is>
          <t>Ecommerce</t>
        </is>
      </c>
      <c r="K1487" t="inlineStr">
        <is>
          <t>Raipur</t>
        </is>
      </c>
      <c r="L1487" t="inlineStr">
        <is>
          <t>Dabur Ventures</t>
        </is>
      </c>
      <c r="M1487" t="inlineStr">
        <is>
          <t>Dabur Ventures; Unilever Ventures</t>
        </is>
      </c>
      <c r="N1487" t="inlineStr">
        <is>
          <t>entrackr | inc42 | vccircle</t>
        </is>
      </c>
      <c r="O1487" s="20" t="n">
        <v>3</v>
      </c>
      <c r="P1487" s="21" t="n">
        <v>0</v>
      </c>
      <c r="Q1487" t="inlineStr"/>
      <c r="R1487" s="22" t="inlineStr">
        <is>
          <t>https://entrackr.com/snippets/ras-luxury-skincare-raises-75-mn-in-series-b-led-by-dabur-ventures-11171406</t>
        </is>
      </c>
    </row>
    <row r="1488">
      <c r="A1488" t="inlineStr">
        <is>
          <t>R260304-moneyboxxfinan</t>
        </is>
      </c>
      <c r="B1488" t="inlineStr">
        <is>
          <t>Moneyboxx Finance</t>
        </is>
      </c>
      <c r="C1488" s="17" t="n">
        <v>46085</v>
      </c>
      <c r="D1488" s="18" t="n">
        <v>46082</v>
      </c>
      <c r="E1488" s="19" t="n">
        <v>3.627</v>
      </c>
      <c r="F1488" s="19" t="n">
        <v>33.4</v>
      </c>
      <c r="G1488" t="inlineStr">
        <is>
          <t>Rs 33.4 crore</t>
        </is>
      </c>
      <c r="H1488" t="inlineStr">
        <is>
          <t>Undisclosed</t>
        </is>
      </c>
      <c r="I1488" t="inlineStr">
        <is>
          <t>Undisclosed</t>
        </is>
      </c>
      <c r="J1488" t="inlineStr">
        <is>
          <t>Unclassified</t>
        </is>
      </c>
      <c r="K1488" t="inlineStr">
        <is>
          <t>Unknown</t>
        </is>
      </c>
      <c r="L1488" t="inlineStr"/>
      <c r="M1488" t="inlineStr"/>
      <c r="N1488" t="inlineStr">
        <is>
          <t>entrackr</t>
        </is>
      </c>
      <c r="O1488" s="20" t="n">
        <v>1</v>
      </c>
      <c r="P1488" s="21" t="n">
        <v>0</v>
      </c>
      <c r="Q1488" t="inlineStr">
        <is>
          <t>C04 C05 C06 C07</t>
        </is>
      </c>
      <c r="R1488" s="22" t="inlineStr">
        <is>
          <t>https://entrackr.com/snippets/moneyboxx-finance-raises-rs-334-cr-in-equity-to-accelerate-growth-11174502</t>
        </is>
      </c>
    </row>
    <row r="1489">
      <c r="A1489" t="inlineStr">
        <is>
          <t>R260305-cheerioai</t>
        </is>
      </c>
      <c r="B1489" t="inlineStr">
        <is>
          <t>Cheerio</t>
        </is>
      </c>
      <c r="C1489" s="17" t="n">
        <v>46086</v>
      </c>
      <c r="D1489" s="18" t="n">
        <v>46082</v>
      </c>
      <c r="E1489" s="19" t="n">
        <v>0.873</v>
      </c>
      <c r="F1489" s="19" t="n">
        <v>8</v>
      </c>
      <c r="G1489" t="inlineStr">
        <is>
          <t>Rs 8 crore</t>
        </is>
      </c>
      <c r="H1489" t="inlineStr">
        <is>
          <t>Seed</t>
        </is>
      </c>
      <c r="I1489" t="inlineStr">
        <is>
          <t>Early</t>
        </is>
      </c>
      <c r="J1489" t="inlineStr">
        <is>
          <t>Artificial Intelligence</t>
        </is>
      </c>
      <c r="K1489" t="inlineStr">
        <is>
          <t>Unknown</t>
        </is>
      </c>
      <c r="L1489" t="inlineStr">
        <is>
          <t>Artha Venture</t>
        </is>
      </c>
      <c r="M1489" t="inlineStr">
        <is>
          <t>Artha Venture; LetsVenture; Arjun Vaidya; Anand Shahni; Vivek Mathur; Nitin Verma; Invention Engine</t>
        </is>
      </c>
      <c r="N1489" t="inlineStr">
        <is>
          <t>entrackr | inc42</t>
        </is>
      </c>
      <c r="O1489" s="20" t="n">
        <v>2</v>
      </c>
      <c r="P1489" s="21" t="n">
        <v>0.1</v>
      </c>
      <c r="Q1489" t="inlineStr">
        <is>
          <t>C07</t>
        </is>
      </c>
      <c r="R1489" s="22" t="inlineStr">
        <is>
          <t>https://entrackr.com/snippets/cheerio-ai-raises-rs-8-cr-in-seed-round-led-by-artha-venture-fund-11177469</t>
        </is>
      </c>
    </row>
    <row r="1490">
      <c r="A1490" t="inlineStr">
        <is>
          <t>R260305-infinitybox</t>
        </is>
      </c>
      <c r="B1490" t="inlineStr">
        <is>
          <t>InfinityBox</t>
        </is>
      </c>
      <c r="C1490" s="17" t="n">
        <v>46086</v>
      </c>
      <c r="D1490" s="18" t="n">
        <v>46082</v>
      </c>
      <c r="E1490" s="19" t="n">
        <v>1.538</v>
      </c>
      <c r="F1490" s="19" t="n">
        <v>14.1</v>
      </c>
      <c r="G1490" t="inlineStr">
        <is>
          <t>Rs 14.1 crore</t>
        </is>
      </c>
      <c r="H1490" t="inlineStr">
        <is>
          <t>Pre-Series A</t>
        </is>
      </c>
      <c r="I1490" t="inlineStr">
        <is>
          <t>Early</t>
        </is>
      </c>
      <c r="J1490" t="inlineStr">
        <is>
          <t>Unclassified</t>
        </is>
      </c>
      <c r="K1490" t="inlineStr">
        <is>
          <t>Bengaluru</t>
        </is>
      </c>
      <c r="L1490" t="inlineStr">
        <is>
          <t>Rainmatter</t>
        </is>
      </c>
      <c r="M1490" t="inlineStr">
        <is>
          <t>Rainmatter; AAR EM Ventures; Capital-A</t>
        </is>
      </c>
      <c r="N1490" t="inlineStr">
        <is>
          <t>entrackr</t>
        </is>
      </c>
      <c r="O1490" s="20" t="n">
        <v>1</v>
      </c>
      <c r="P1490" s="21" t="n">
        <v>0</v>
      </c>
      <c r="Q1490" t="inlineStr">
        <is>
          <t>C06</t>
        </is>
      </c>
      <c r="R1490" s="22" t="inlineStr">
        <is>
          <t>https://entrackr.com/exclusive/exclusive-rainmatter-leads-infinityboxs-pre-series-a-round-11177343</t>
        </is>
      </c>
    </row>
    <row r="1491">
      <c r="A1491" t="inlineStr">
        <is>
          <t>R260305-peping</t>
        </is>
      </c>
      <c r="B1491" t="inlineStr">
        <is>
          <t>Peping</t>
        </is>
      </c>
      <c r="C1491" s="17" t="n">
        <v>46086</v>
      </c>
      <c r="D1491" s="18" t="n">
        <v>46082</v>
      </c>
      <c r="E1491" s="19" t="n">
        <v>0.273</v>
      </c>
      <c r="F1491" s="19" t="n">
        <v>2.5</v>
      </c>
      <c r="G1491" t="inlineStr">
        <is>
          <t>$273K</t>
        </is>
      </c>
      <c r="H1491" t="inlineStr">
        <is>
          <t>Undisclosed</t>
        </is>
      </c>
      <c r="I1491" t="inlineStr">
        <is>
          <t>Undisclosed</t>
        </is>
      </c>
      <c r="J1491" t="inlineStr">
        <is>
          <t>Ecommerce</t>
        </is>
      </c>
      <c r="K1491" t="inlineStr">
        <is>
          <t>Unknown</t>
        </is>
      </c>
      <c r="L1491" t="inlineStr">
        <is>
          <t>IAN Group</t>
        </is>
      </c>
      <c r="M1491" t="inlineStr">
        <is>
          <t>IAN Group</t>
        </is>
      </c>
      <c r="N1491" t="inlineStr">
        <is>
          <t>inc42</t>
        </is>
      </c>
      <c r="O1491" s="20" t="n">
        <v>1</v>
      </c>
      <c r="P1491" s="21" t="n">
        <v>0</v>
      </c>
      <c r="Q1491" t="inlineStr">
        <is>
          <t>C04 C07</t>
        </is>
      </c>
      <c r="R1491" s="22" t="inlineStr">
        <is>
          <t>https://inc42.com/buzz/from-rozana-to-cent-indian-startups-raised-98-mn-this-week/</t>
        </is>
      </c>
    </row>
    <row r="1492">
      <c r="A1492" t="inlineStr">
        <is>
          <t>R260305-trudoc</t>
        </is>
      </c>
      <c r="B1492" t="inlineStr">
        <is>
          <t>TruDoc</t>
        </is>
      </c>
      <c r="C1492" s="17" t="n">
        <v>46086</v>
      </c>
      <c r="D1492" s="18" t="n">
        <v>46082</v>
      </c>
      <c r="E1492" s="19" t="n">
        <v>15</v>
      </c>
      <c r="F1492" s="19" t="n">
        <v>137.48</v>
      </c>
      <c r="G1492" t="inlineStr">
        <is>
          <t>$15 million</t>
        </is>
      </c>
      <c r="H1492" t="inlineStr">
        <is>
          <t>Pre-Series B</t>
        </is>
      </c>
      <c r="I1492" t="inlineStr">
        <is>
          <t>Growth</t>
        </is>
      </c>
      <c r="J1492" t="inlineStr">
        <is>
          <t>Healthtech</t>
        </is>
      </c>
      <c r="K1492" t="inlineStr">
        <is>
          <t>Unknown</t>
        </is>
      </c>
      <c r="L1492" t="inlineStr"/>
      <c r="M1492" t="inlineStr">
        <is>
          <t>Al Nahyan family; Al-Ketbi family; Pulsar Capital</t>
        </is>
      </c>
      <c r="N1492" t="inlineStr">
        <is>
          <t>entrackr</t>
        </is>
      </c>
      <c r="O1492" s="20" t="n">
        <v>1</v>
      </c>
      <c r="P1492" s="21" t="n">
        <v>0</v>
      </c>
      <c r="Q1492" t="inlineStr">
        <is>
          <t>C07</t>
        </is>
      </c>
      <c r="R1492" s="22" t="inlineStr">
        <is>
          <t>https://entrackr.com/snippets/healthtech-startup-trudoc-raises-15-mn-in-pre-series-b-round-11177703</t>
        </is>
      </c>
    </row>
    <row r="1493">
      <c r="A1493" t="inlineStr">
        <is>
          <t>R260306-cent</t>
        </is>
      </c>
      <c r="B1493" t="inlineStr">
        <is>
          <t>Cent</t>
        </is>
      </c>
      <c r="C1493" s="17" t="n">
        <v>46087</v>
      </c>
      <c r="D1493" s="18" t="n">
        <v>46082</v>
      </c>
      <c r="E1493" s="19" t="n">
        <v>5</v>
      </c>
      <c r="F1493" s="19" t="n">
        <v>45.92</v>
      </c>
      <c r="G1493" t="inlineStr">
        <is>
          <t>$5 Mn</t>
        </is>
      </c>
      <c r="H1493" t="inlineStr">
        <is>
          <t>Seed</t>
        </is>
      </c>
      <c r="I1493" t="inlineStr">
        <is>
          <t>Early</t>
        </is>
      </c>
      <c r="J1493" t="inlineStr">
        <is>
          <t>Healthtech</t>
        </is>
      </c>
      <c r="K1493" t="inlineStr">
        <is>
          <t>Bengaluru</t>
        </is>
      </c>
      <c r="L1493" t="inlineStr"/>
      <c r="M1493" t="inlineStr">
        <is>
          <t>OneFlow Holdings; South Park Commons</t>
        </is>
      </c>
      <c r="N1493" t="inlineStr">
        <is>
          <t>entrackr | inc42 | et</t>
        </is>
      </c>
      <c r="O1493" s="20" t="n">
        <v>3</v>
      </c>
      <c r="P1493" s="21" t="n">
        <v>0</v>
      </c>
      <c r="Q1493" t="inlineStr"/>
      <c r="R1493" s="22" t="inlineStr">
        <is>
          <t>https://entrackr.com/snippets/healthtech-startup-cent-secures-funding-from-oneflow-south-park-commons-11179508</t>
        </is>
      </c>
    </row>
    <row r="1494">
      <c r="A1494" t="inlineStr">
        <is>
          <t>R260306-rozana</t>
        </is>
      </c>
      <c r="B1494" t="inlineStr">
        <is>
          <t>Rozana</t>
        </is>
      </c>
      <c r="C1494" s="17" t="n">
        <v>46087</v>
      </c>
      <c r="D1494" s="18" t="n">
        <v>46082</v>
      </c>
      <c r="E1494" s="19" t="n">
        <v>31.58</v>
      </c>
      <c r="F1494" s="19" t="n">
        <v>290</v>
      </c>
      <c r="G1494" t="inlineStr">
        <is>
          <t>Rs 290 crore</t>
        </is>
      </c>
      <c r="H1494" t="inlineStr">
        <is>
          <t>Series B</t>
        </is>
      </c>
      <c r="I1494" t="inlineStr">
        <is>
          <t>Growth</t>
        </is>
      </c>
      <c r="J1494" t="inlineStr">
        <is>
          <t>Ecommerce</t>
        </is>
      </c>
      <c r="K1494" t="inlineStr">
        <is>
          <t>Unknown</t>
        </is>
      </c>
      <c r="L1494" t="inlineStr">
        <is>
          <t>Bertelsmann India Investments</t>
        </is>
      </c>
      <c r="M1494" t="inlineStr">
        <is>
          <t>Bertelsmann India Investments; Spark Growth Ventures; Bikaji Family Office; FE Securities; Fireside Ventures</t>
        </is>
      </c>
      <c r="N1494" t="inlineStr">
        <is>
          <t>entrackr | inc42</t>
        </is>
      </c>
      <c r="O1494" s="20" t="n">
        <v>2</v>
      </c>
      <c r="P1494" s="21" t="n">
        <v>0.1</v>
      </c>
      <c r="Q1494" t="inlineStr">
        <is>
          <t>C07</t>
        </is>
      </c>
      <c r="R1494" s="22" t="inlineStr">
        <is>
          <t>https://entrackr.com/news/rural-commerce-startup-rozana-raises-rs-290-cr-in-series-b-led-by-bertelsmann-11179444</t>
        </is>
      </c>
    </row>
    <row r="1495">
      <c r="A1495" t="inlineStr">
        <is>
          <t>R260309-latentai</t>
        </is>
      </c>
      <c r="B1495" t="inlineStr">
        <is>
          <t>Latent AI</t>
        </is>
      </c>
      <c r="C1495" s="17" t="n">
        <v>46090</v>
      </c>
      <c r="D1495" s="18" t="n">
        <v>46082</v>
      </c>
      <c r="E1495" s="19" t="n"/>
      <c r="F1495" s="19" t="n"/>
      <c r="G1495" t="inlineStr"/>
      <c r="H1495" t="inlineStr">
        <is>
          <t>Undisclosed</t>
        </is>
      </c>
      <c r="I1495" t="inlineStr">
        <is>
          <t>Undisclosed</t>
        </is>
      </c>
      <c r="J1495" t="inlineStr">
        <is>
          <t>Artificial Intelligence</t>
        </is>
      </c>
      <c r="K1495" t="inlineStr">
        <is>
          <t>Unknown</t>
        </is>
      </c>
      <c r="L1495" t="inlineStr"/>
      <c r="M1495" t="inlineStr">
        <is>
          <t>AUM Ventures</t>
        </is>
      </c>
      <c r="N1495" t="inlineStr">
        <is>
          <t>inc42</t>
        </is>
      </c>
      <c r="O1495" s="20" t="n">
        <v>1</v>
      </c>
      <c r="P1495" s="21" t="n"/>
      <c r="Q1495" t="inlineStr">
        <is>
          <t>C03 C04 C07</t>
        </is>
      </c>
      <c r="R1495" s="22" t="inlineStr">
        <is>
          <t>https://inc42.com/buzz/from-mozark-to-captain-fresh-indian-startups-raised-207-mn-this-week/</t>
        </is>
      </c>
    </row>
    <row r="1496">
      <c r="A1496" t="inlineStr">
        <is>
          <t>R260309-strideone</t>
        </is>
      </c>
      <c r="B1496" t="inlineStr">
        <is>
          <t>StrideOne</t>
        </is>
      </c>
      <c r="C1496" s="17" t="n">
        <v>46090</v>
      </c>
      <c r="D1496" s="18" t="n">
        <v>46082</v>
      </c>
      <c r="E1496" s="19" t="n">
        <v>11</v>
      </c>
      <c r="F1496" s="19" t="n">
        <v>101.53</v>
      </c>
      <c r="G1496" t="inlineStr">
        <is>
          <t>$11 Mn</t>
        </is>
      </c>
      <c r="H1496" t="inlineStr">
        <is>
          <t>Undisclosed</t>
        </is>
      </c>
      <c r="I1496" t="inlineStr">
        <is>
          <t>Undisclosed</t>
        </is>
      </c>
      <c r="J1496" t="inlineStr">
        <is>
          <t>Fintech</t>
        </is>
      </c>
      <c r="K1496" t="inlineStr">
        <is>
          <t>Unknown</t>
        </is>
      </c>
      <c r="L1496" t="inlineStr"/>
      <c r="M1496" t="inlineStr"/>
      <c r="N1496" t="inlineStr">
        <is>
          <t>inc42</t>
        </is>
      </c>
      <c r="O1496" s="20" t="n">
        <v>1</v>
      </c>
      <c r="P1496" s="21" t="n">
        <v>0</v>
      </c>
      <c r="Q1496" t="inlineStr">
        <is>
          <t>C04 C05 C07</t>
        </is>
      </c>
      <c r="R1496" s="22" t="inlineStr">
        <is>
          <t>https://inc42.com/buzz/from-mozark-to-captain-fresh-indian-startups-raised-207-mn-this-week/</t>
        </is>
      </c>
    </row>
    <row r="1497">
      <c r="A1497" t="inlineStr">
        <is>
          <t>R260310-zofffoods</t>
        </is>
      </c>
      <c r="B1497" t="inlineStr">
        <is>
          <t>Zoff Foods</t>
        </is>
      </c>
      <c r="C1497" s="17" t="n">
        <v>46090</v>
      </c>
      <c r="D1497" s="18" t="n">
        <v>46082</v>
      </c>
      <c r="E1497" s="19" t="n">
        <v>2</v>
      </c>
      <c r="F1497" s="19" t="n">
        <v>18.46</v>
      </c>
      <c r="G1497" t="inlineStr">
        <is>
          <t>$2 million</t>
        </is>
      </c>
      <c r="H1497" t="inlineStr">
        <is>
          <t>Pre-Series B</t>
        </is>
      </c>
      <c r="I1497" t="inlineStr">
        <is>
          <t>Growth</t>
        </is>
      </c>
      <c r="J1497" t="inlineStr">
        <is>
          <t>Ecommerce</t>
        </is>
      </c>
      <c r="K1497" t="inlineStr">
        <is>
          <t>Unknown</t>
        </is>
      </c>
      <c r="L1497" t="inlineStr"/>
      <c r="M1497" t="inlineStr">
        <is>
          <t>JM Financial; Aman Gupta</t>
        </is>
      </c>
      <c r="N1497" t="inlineStr">
        <is>
          <t>entrackr | inc42 | et</t>
        </is>
      </c>
      <c r="O1497" s="20" t="n">
        <v>3</v>
      </c>
      <c r="P1497" s="21" t="n">
        <v>0</v>
      </c>
      <c r="Q1497" t="inlineStr">
        <is>
          <t>C07</t>
        </is>
      </c>
      <c r="R1497" s="22" t="inlineStr">
        <is>
          <t>https://economictimes.indiatimes.com/tech/funding/zoff-foods-raises-2-million-from-jm-financial-pe/articleshow/129346824.cms</t>
        </is>
      </c>
    </row>
    <row r="1498">
      <c r="A1498" t="inlineStr">
        <is>
          <t>R260310-aquaexchange</t>
        </is>
      </c>
      <c r="B1498" t="inlineStr">
        <is>
          <t>AquaExchange</t>
        </is>
      </c>
      <c r="C1498" s="17" t="n">
        <v>46091</v>
      </c>
      <c r="D1498" s="18" t="n">
        <v>46082</v>
      </c>
      <c r="E1498" s="19" t="n">
        <v>8</v>
      </c>
      <c r="F1498" s="19" t="n">
        <v>73.56999999999999</v>
      </c>
      <c r="G1498" t="inlineStr">
        <is>
          <t>$8 million</t>
        </is>
      </c>
      <c r="H1498" t="inlineStr">
        <is>
          <t>Series B</t>
        </is>
      </c>
      <c r="I1498" t="inlineStr">
        <is>
          <t>Growth</t>
        </is>
      </c>
      <c r="J1498" t="inlineStr">
        <is>
          <t>Agritech</t>
        </is>
      </c>
      <c r="K1498" t="inlineStr">
        <is>
          <t>Unknown</t>
        </is>
      </c>
      <c r="L1498" t="inlineStr">
        <is>
          <t>Endiya Partners; Factor Analytics</t>
        </is>
      </c>
      <c r="M1498" t="inlineStr">
        <is>
          <t>Endiya Partners; Factor Analytics; Accion Ventures; Ocean 14 Capital</t>
        </is>
      </c>
      <c r="N1498" t="inlineStr">
        <is>
          <t>entrackr | inc42 | et</t>
        </is>
      </c>
      <c r="O1498" s="20" t="n">
        <v>3</v>
      </c>
      <c r="P1498" s="21" t="n">
        <v>0</v>
      </c>
      <c r="Q1498" t="inlineStr">
        <is>
          <t>C07</t>
        </is>
      </c>
      <c r="R1498" s="22" t="inlineStr">
        <is>
          <t>https://entrackr.com/news/aquaexchange-raises-8-mn-in-series-b-round-at-41-mn-valuation-11191074</t>
        </is>
      </c>
    </row>
    <row r="1499">
      <c r="A1499" t="inlineStr">
        <is>
          <t>R260310-basilhealth</t>
        </is>
      </c>
      <c r="B1499" t="inlineStr">
        <is>
          <t>Basil Health</t>
        </is>
      </c>
      <c r="C1499" s="17" t="n">
        <v>46091</v>
      </c>
      <c r="D1499" s="18" t="n">
        <v>46082</v>
      </c>
      <c r="E1499" s="19" t="n">
        <v>1.5</v>
      </c>
      <c r="F1499" s="19" t="n">
        <v>13.79</v>
      </c>
      <c r="G1499" t="inlineStr">
        <is>
          <t>$1.5 million</t>
        </is>
      </c>
      <c r="H1499" t="inlineStr">
        <is>
          <t>Pre-Series A</t>
        </is>
      </c>
      <c r="I1499" t="inlineStr">
        <is>
          <t>Early</t>
        </is>
      </c>
      <c r="J1499" t="inlineStr">
        <is>
          <t>Ecommerce</t>
        </is>
      </c>
      <c r="K1499" t="inlineStr">
        <is>
          <t>Delhi NCR</t>
        </is>
      </c>
      <c r="L1499" t="inlineStr"/>
      <c r="M1499" t="inlineStr">
        <is>
          <t>Whiteboard Capital; Brigade REAP; Siddharth Kothari; Deep Bajaj</t>
        </is>
      </c>
      <c r="N1499" t="inlineStr">
        <is>
          <t>entrackr</t>
        </is>
      </c>
      <c r="O1499" s="20" t="n">
        <v>1</v>
      </c>
      <c r="P1499" s="21" t="n">
        <v>0</v>
      </c>
      <c r="Q1499" t="inlineStr">
        <is>
          <t>C09</t>
        </is>
      </c>
      <c r="R1499" s="22" t="inlineStr">
        <is>
          <t>https://entrackr.com/snippets/basil-health-raises-15-mn-in-pre-series-a-round-11191786</t>
        </is>
      </c>
    </row>
    <row r="1500">
      <c r="A1500" t="inlineStr">
        <is>
          <t>R260310-captainfresh</t>
        </is>
      </c>
      <c r="B1500" t="inlineStr">
        <is>
          <t>Captain Fresh</t>
        </is>
      </c>
      <c r="C1500" s="17" t="n">
        <v>46091</v>
      </c>
      <c r="D1500" s="18" t="n">
        <v>46082</v>
      </c>
      <c r="E1500" s="19" t="n">
        <v>31.535</v>
      </c>
      <c r="F1500" s="19" t="n">
        <v>290</v>
      </c>
      <c r="G1500" t="inlineStr">
        <is>
          <t>Rs 290 crore</t>
        </is>
      </c>
      <c r="H1500" t="inlineStr">
        <is>
          <t>Debt</t>
        </is>
      </c>
      <c r="I1500" t="inlineStr">
        <is>
          <t>Debt</t>
        </is>
      </c>
      <c r="J1500" t="inlineStr">
        <is>
          <t>Ecommerce</t>
        </is>
      </c>
      <c r="K1500" t="inlineStr">
        <is>
          <t>Bengaluru</t>
        </is>
      </c>
      <c r="L1500" t="inlineStr"/>
      <c r="M1500" t="inlineStr">
        <is>
          <t>Blue Earth Capital</t>
        </is>
      </c>
      <c r="N1500" t="inlineStr">
        <is>
          <t>entrackr | inc42</t>
        </is>
      </c>
      <c r="O1500" s="20" t="n">
        <v>2</v>
      </c>
      <c r="P1500" s="21" t="n">
        <v>0.4</v>
      </c>
      <c r="Q1500" t="inlineStr"/>
      <c r="R1500" s="22" t="inlineStr">
        <is>
          <t>https://entrackr.com/news/captain-fresh-raises-rs-290-cr-from-blue-earth-capital-11191054</t>
        </is>
      </c>
    </row>
    <row r="1501">
      <c r="A1501" t="inlineStr">
        <is>
          <t>R260310-coreworksai</t>
        </is>
      </c>
      <c r="B1501" t="inlineStr">
        <is>
          <t>Coreworks AI</t>
        </is>
      </c>
      <c r="C1501" s="17" t="n">
        <v>46091</v>
      </c>
      <c r="D1501" s="18" t="n">
        <v>46082</v>
      </c>
      <c r="E1501" s="19" t="n">
        <v>5</v>
      </c>
      <c r="F1501" s="19" t="n">
        <v>45.98</v>
      </c>
      <c r="G1501" t="inlineStr">
        <is>
          <t>$5 million</t>
        </is>
      </c>
      <c r="H1501" t="inlineStr">
        <is>
          <t>Seed</t>
        </is>
      </c>
      <c r="I1501" t="inlineStr">
        <is>
          <t>Early</t>
        </is>
      </c>
      <c r="J1501" t="inlineStr">
        <is>
          <t>Artificial Intelligence</t>
        </is>
      </c>
      <c r="K1501" t="inlineStr">
        <is>
          <t>Unknown</t>
        </is>
      </c>
      <c r="L1501" t="inlineStr">
        <is>
          <t>Together Fund</t>
        </is>
      </c>
      <c r="M1501" t="inlineStr">
        <is>
          <t>Together Fund</t>
        </is>
      </c>
      <c r="N1501" t="inlineStr">
        <is>
          <t>entrackr | inc42</t>
        </is>
      </c>
      <c r="O1501" s="20" t="n">
        <v>2</v>
      </c>
      <c r="P1501" s="21" t="n">
        <v>0</v>
      </c>
      <c r="Q1501" t="inlineStr">
        <is>
          <t>C07</t>
        </is>
      </c>
      <c r="R1501" s="22" t="inlineStr">
        <is>
          <t>https://entrackr.com/snippets/together-fund-leads-5-mn-seed-round-in-coreworksai-11191967</t>
        </is>
      </c>
    </row>
    <row r="1502">
      <c r="A1502" t="inlineStr">
        <is>
          <t>R260310-mozark</t>
        </is>
      </c>
      <c r="B1502" t="inlineStr">
        <is>
          <t>Mozark</t>
        </is>
      </c>
      <c r="C1502" s="17" t="n">
        <v>46091</v>
      </c>
      <c r="D1502" s="18" t="n">
        <v>46082</v>
      </c>
      <c r="E1502" s="19" t="n">
        <v>40</v>
      </c>
      <c r="F1502" s="19" t="n">
        <v>367.84</v>
      </c>
      <c r="G1502" t="inlineStr">
        <is>
          <t>$40 million</t>
        </is>
      </c>
      <c r="H1502" t="inlineStr">
        <is>
          <t>Series B</t>
        </is>
      </c>
      <c r="I1502" t="inlineStr">
        <is>
          <t>Growth</t>
        </is>
      </c>
      <c r="J1502" t="inlineStr">
        <is>
          <t>Enterprise Tech</t>
        </is>
      </c>
      <c r="K1502" t="inlineStr">
        <is>
          <t>Unknown</t>
        </is>
      </c>
      <c r="L1502" t="inlineStr">
        <is>
          <t>IFC</t>
        </is>
      </c>
      <c r="M1502" t="inlineStr">
        <is>
          <t>International Finance Corporation; RMB Capitalworks; Kalaari Capital; IFC</t>
        </is>
      </c>
      <c r="N1502" t="inlineStr">
        <is>
          <t>entrackr | inc42 | vccircle</t>
        </is>
      </c>
      <c r="O1502" s="20" t="n">
        <v>3</v>
      </c>
      <c r="P1502" s="21" t="n">
        <v>0</v>
      </c>
      <c r="Q1502" t="inlineStr">
        <is>
          <t>C07</t>
        </is>
      </c>
      <c r="R1502" s="22" t="inlineStr">
        <is>
          <t>https://entrackr.com/news/mozark-raises-40-mn-in-series-b-round-led-by-ifc-and-rmb-capitalworks-11191307</t>
        </is>
      </c>
    </row>
    <row r="1503">
      <c r="A1503" t="inlineStr">
        <is>
          <t>R260310-nammayatri</t>
        </is>
      </c>
      <c r="B1503" t="inlineStr">
        <is>
          <t>Namma Yatri</t>
        </is>
      </c>
      <c r="C1503" s="17" t="n">
        <v>46091</v>
      </c>
      <c r="D1503" s="18" t="n">
        <v>46082</v>
      </c>
      <c r="E1503" s="19" t="n">
        <v>4.323</v>
      </c>
      <c r="F1503" s="19" t="n">
        <v>39.75</v>
      </c>
      <c r="G1503" t="inlineStr">
        <is>
          <t>Rs 39.75 crore</t>
        </is>
      </c>
      <c r="H1503" t="inlineStr">
        <is>
          <t>Pre-Series A</t>
        </is>
      </c>
      <c r="I1503" t="inlineStr">
        <is>
          <t>Early</t>
        </is>
      </c>
      <c r="J1503" t="inlineStr">
        <is>
          <t>Consumer Services</t>
        </is>
      </c>
      <c r="K1503" t="inlineStr">
        <is>
          <t>Bengaluru</t>
        </is>
      </c>
      <c r="L1503" t="inlineStr">
        <is>
          <t>Vimal Kumar</t>
        </is>
      </c>
      <c r="M1503" t="inlineStr">
        <is>
          <t>Vimal Kumar; Blume Ventures; Antler</t>
        </is>
      </c>
      <c r="N1503" t="inlineStr">
        <is>
          <t>entrackr</t>
        </is>
      </c>
      <c r="O1503" s="20" t="n">
        <v>1</v>
      </c>
      <c r="P1503" s="21" t="n">
        <v>0</v>
      </c>
      <c r="Q1503" t="inlineStr"/>
      <c r="R1503" s="22" t="inlineStr">
        <is>
          <t>https://entrackr.com/exclusive/exclusive-google-backed-namma-yatri-raises-fresh-capital-11192150</t>
        </is>
      </c>
    </row>
    <row r="1504">
      <c r="A1504" t="inlineStr">
        <is>
          <t>R260310-newtrace</t>
        </is>
      </c>
      <c r="B1504" t="inlineStr">
        <is>
          <t>Newtrace</t>
        </is>
      </c>
      <c r="C1504" s="17" t="n">
        <v>46091</v>
      </c>
      <c r="D1504" s="18" t="n">
        <v>46082</v>
      </c>
      <c r="E1504" s="19" t="n">
        <v>6.3</v>
      </c>
      <c r="F1504" s="19" t="n">
        <v>57.93</v>
      </c>
      <c r="G1504" t="inlineStr">
        <is>
          <t>$6.3 million</t>
        </is>
      </c>
      <c r="H1504" t="inlineStr">
        <is>
          <t>Pre-Series A</t>
        </is>
      </c>
      <c r="I1504" t="inlineStr">
        <is>
          <t>Early</t>
        </is>
      </c>
      <c r="J1504" t="inlineStr">
        <is>
          <t>Cleantech</t>
        </is>
      </c>
      <c r="K1504" t="inlineStr">
        <is>
          <t>Unknown</t>
        </is>
      </c>
      <c r="L1504" t="inlineStr">
        <is>
          <t>HDFC Bank; Mitsui Sumitomo Insurance Venture Capital</t>
        </is>
      </c>
      <c r="M1504" t="inlineStr">
        <is>
          <t>HDFC; Mitsui Sumitomo Insurance Venture Capital; Peak XV Partners’ Surge; Aavishkaar Capital; Speciale Invest; Micelio Technology Fund; Manish Prataprai Gandhi; Renu Manish Gandhi</t>
        </is>
      </c>
      <c r="N1504" t="inlineStr">
        <is>
          <t>entrackr | inc42 | et</t>
        </is>
      </c>
      <c r="O1504" s="20" t="n">
        <v>3</v>
      </c>
      <c r="P1504" s="21" t="n">
        <v>0</v>
      </c>
      <c r="Q1504" t="inlineStr">
        <is>
          <t>C07</t>
        </is>
      </c>
      <c r="R1504" s="22" t="inlineStr">
        <is>
          <t>https://entrackr.com/news/newtrace-raises-63-mn-in-pre-series-a-round-led-by-hdfc-bank-msivc-11191069</t>
        </is>
      </c>
    </row>
    <row r="1505">
      <c r="A1505" t="inlineStr">
        <is>
          <t>R260310-skyeair</t>
        </is>
      </c>
      <c r="B1505" t="inlineStr">
        <is>
          <t>Skye Air</t>
        </is>
      </c>
      <c r="C1505" s="17" t="n">
        <v>46091</v>
      </c>
      <c r="D1505" s="18" t="n">
        <v>46082</v>
      </c>
      <c r="E1505" s="19" t="n">
        <v>9</v>
      </c>
      <c r="F1505" s="19" t="n">
        <v>82.76000000000001</v>
      </c>
      <c r="G1505" t="inlineStr">
        <is>
          <t>$9 Mn</t>
        </is>
      </c>
      <c r="H1505" t="inlineStr">
        <is>
          <t>Series B</t>
        </is>
      </c>
      <c r="I1505" t="inlineStr">
        <is>
          <t>Growth</t>
        </is>
      </c>
      <c r="J1505" t="inlineStr">
        <is>
          <t>Advanced Hardware &amp; Technology</t>
        </is>
      </c>
      <c r="K1505" t="inlineStr">
        <is>
          <t>Unknown</t>
        </is>
      </c>
      <c r="L1505" t="inlineStr"/>
      <c r="M1505" t="inlineStr">
        <is>
          <t>IAN Alpha Fund; AVNM Ventures; Faad Capital; Bajaj Capital; Chiratae Ventures; Mount Judi Ventures</t>
        </is>
      </c>
      <c r="N1505" t="inlineStr">
        <is>
          <t>inc42 | vccircle</t>
        </is>
      </c>
      <c r="O1505" s="20" t="n">
        <v>2</v>
      </c>
      <c r="P1505" s="21" t="n">
        <v>0</v>
      </c>
      <c r="Q1505" t="inlineStr">
        <is>
          <t>C07</t>
        </is>
      </c>
      <c r="R1505" s="22" t="inlineStr">
        <is>
          <t>https://inc42.com/buzz/from-mozark-to-captain-fresh-indian-startups-raised-207-mn-this-week/</t>
        </is>
      </c>
    </row>
    <row r="1506">
      <c r="A1506" t="inlineStr">
        <is>
          <t>R260310-verdantimpact</t>
        </is>
      </c>
      <c r="B1506" t="inlineStr">
        <is>
          <t>Verdant Impact</t>
        </is>
      </c>
      <c r="C1506" s="17" t="n">
        <v>46091</v>
      </c>
      <c r="D1506" s="18" t="n">
        <v>46082</v>
      </c>
      <c r="E1506" s="19" t="n">
        <v>3</v>
      </c>
      <c r="F1506" s="19" t="n">
        <v>27.59</v>
      </c>
      <c r="G1506" t="inlineStr">
        <is>
          <t>$3 million</t>
        </is>
      </c>
      <c r="H1506" t="inlineStr">
        <is>
          <t>Seed</t>
        </is>
      </c>
      <c r="I1506" t="inlineStr">
        <is>
          <t>Early</t>
        </is>
      </c>
      <c r="J1506" t="inlineStr">
        <is>
          <t>Agritech</t>
        </is>
      </c>
      <c r="K1506" t="inlineStr">
        <is>
          <t>Unknown</t>
        </is>
      </c>
      <c r="L1506" t="inlineStr">
        <is>
          <t>Unicorn India Ventures</t>
        </is>
      </c>
      <c r="M1506" t="inlineStr">
        <is>
          <t>Unicorn India Ventures; Infynyte Club; Yash Kotak; Alok Soni</t>
        </is>
      </c>
      <c r="N1506" t="inlineStr">
        <is>
          <t>entrackr | inc42</t>
        </is>
      </c>
      <c r="O1506" s="20" t="n">
        <v>2</v>
      </c>
      <c r="P1506" s="21" t="n">
        <v>0</v>
      </c>
      <c r="Q1506" t="inlineStr">
        <is>
          <t>C07</t>
        </is>
      </c>
      <c r="R1506" s="22" t="inlineStr">
        <is>
          <t>https://entrackr.com/snippets/verdant-impact-raises-3-mn-in-seed-round-led-by-unicorn-india-ventures-11190942</t>
        </is>
      </c>
    </row>
    <row r="1507">
      <c r="A1507" t="inlineStr">
        <is>
          <t>R260312-mosaicwellness</t>
        </is>
      </c>
      <c r="B1507" t="inlineStr">
        <is>
          <t>Mosiac Wellness</t>
        </is>
      </c>
      <c r="C1507" s="17" t="n">
        <v>46091</v>
      </c>
      <c r="D1507" s="18" t="n">
        <v>46082</v>
      </c>
      <c r="E1507" s="19" t="n">
        <v>21.749</v>
      </c>
      <c r="F1507" s="19" t="n">
        <v>200</v>
      </c>
      <c r="G1507" t="inlineStr">
        <is>
          <t>Rs 200 crore</t>
        </is>
      </c>
      <c r="H1507" t="inlineStr">
        <is>
          <t>Undisclosed</t>
        </is>
      </c>
      <c r="I1507" t="inlineStr">
        <is>
          <t>Undisclosed</t>
        </is>
      </c>
      <c r="J1507" t="inlineStr">
        <is>
          <t>Ecommerce</t>
        </is>
      </c>
      <c r="K1507" t="inlineStr">
        <is>
          <t>Unknown</t>
        </is>
      </c>
      <c r="L1507" t="inlineStr"/>
      <c r="M1507" t="inlineStr">
        <is>
          <t>360One Asset</t>
        </is>
      </c>
      <c r="N1507" t="inlineStr">
        <is>
          <t>entrackr | inc42 | vccircle</t>
        </is>
      </c>
      <c r="O1507" s="20" t="n">
        <v>3</v>
      </c>
      <c r="P1507" s="21" t="n">
        <v>0.2</v>
      </c>
      <c r="Q1507" t="inlineStr">
        <is>
          <t>C04 C07</t>
        </is>
      </c>
      <c r="R1507" s="22" t="inlineStr">
        <is>
          <t>https://www.vccircle.com/vcbacked-mosaic-wellness-secures-funding-from-asset-management-firm</t>
        </is>
      </c>
    </row>
    <row r="1508">
      <c r="A1508" t="inlineStr">
        <is>
          <t>R260311-adititoys</t>
        </is>
      </c>
      <c r="B1508" t="inlineStr">
        <is>
          <t>Aditi Toys</t>
        </is>
      </c>
      <c r="C1508" s="17" t="n">
        <v>46092</v>
      </c>
      <c r="D1508" s="18" t="n">
        <v>46082</v>
      </c>
      <c r="E1508" s="19" t="n">
        <v>3.9</v>
      </c>
      <c r="F1508" s="19" t="n">
        <v>35.91</v>
      </c>
      <c r="G1508" t="inlineStr">
        <is>
          <t>$3.9 Mn</t>
        </is>
      </c>
      <c r="H1508" t="inlineStr">
        <is>
          <t>Undisclosed</t>
        </is>
      </c>
      <c r="I1508" t="inlineStr">
        <is>
          <t>Undisclosed</t>
        </is>
      </c>
      <c r="J1508" t="inlineStr">
        <is>
          <t>Ecommerce</t>
        </is>
      </c>
      <c r="K1508" t="inlineStr">
        <is>
          <t>Unknown</t>
        </is>
      </c>
      <c r="L1508" t="inlineStr"/>
      <c r="M1508" t="inlineStr">
        <is>
          <t>GVFL</t>
        </is>
      </c>
      <c r="N1508" t="inlineStr">
        <is>
          <t>inc42</t>
        </is>
      </c>
      <c r="O1508" s="20" t="n">
        <v>1</v>
      </c>
      <c r="P1508" s="21" t="n">
        <v>0</v>
      </c>
      <c r="Q1508" t="inlineStr">
        <is>
          <t>C04 C07</t>
        </is>
      </c>
      <c r="R1508" s="22" t="inlineStr">
        <is>
          <t>https://inc42.com/buzz/from-mozark-to-captain-fresh-indian-startups-raised-207-mn-this-week/</t>
        </is>
      </c>
    </row>
    <row r="1509">
      <c r="A1509" t="inlineStr">
        <is>
          <t>R260311-bobabhai</t>
        </is>
      </c>
      <c r="B1509" t="inlineStr">
        <is>
          <t>Boba Bhai</t>
        </is>
      </c>
      <c r="C1509" s="17" t="n">
        <v>46092</v>
      </c>
      <c r="D1509" s="18" t="n">
        <v>46082</v>
      </c>
      <c r="E1509" s="19" t="n">
        <v>4.3</v>
      </c>
      <c r="F1509" s="19" t="n">
        <v>39.59</v>
      </c>
      <c r="G1509" t="inlineStr">
        <is>
          <t>$4.3 million</t>
        </is>
      </c>
      <c r="H1509" t="inlineStr">
        <is>
          <t>Undisclosed</t>
        </is>
      </c>
      <c r="I1509" t="inlineStr">
        <is>
          <t>Undisclosed</t>
        </is>
      </c>
      <c r="J1509" t="inlineStr">
        <is>
          <t>Foodtech</t>
        </is>
      </c>
      <c r="K1509" t="inlineStr">
        <is>
          <t>Bengaluru</t>
        </is>
      </c>
      <c r="L1509" t="inlineStr"/>
      <c r="M1509" t="inlineStr">
        <is>
          <t>8i Ventures; Titan Capital Winners Fund; Global Growth Capital; Big Capital</t>
        </is>
      </c>
      <c r="N1509" t="inlineStr">
        <is>
          <t>entrackr | inc42 | et</t>
        </is>
      </c>
      <c r="O1509" s="20" t="n">
        <v>3</v>
      </c>
      <c r="P1509" s="21" t="n">
        <v>2.3</v>
      </c>
      <c r="Q1509" t="inlineStr">
        <is>
          <t>C04</t>
        </is>
      </c>
      <c r="R1509" s="22" t="inlineStr">
        <is>
          <t>https://entrackr.com/snippets/qsr-chain-boba-bhai-raises-43-mn-11193618</t>
        </is>
      </c>
    </row>
    <row r="1510">
      <c r="A1510" t="inlineStr">
        <is>
          <t>R260311-bonkerscorner</t>
        </is>
      </c>
      <c r="B1510" t="inlineStr">
        <is>
          <t>Bonkers Corner</t>
        </is>
      </c>
      <c r="C1510" s="17" t="n">
        <v>46092</v>
      </c>
      <c r="D1510" s="18" t="n">
        <v>46082</v>
      </c>
      <c r="E1510" s="19" t="n">
        <v>15</v>
      </c>
      <c r="F1510" s="19" t="n">
        <v>138.1</v>
      </c>
      <c r="G1510" t="inlineStr">
        <is>
          <t>$15 Mn</t>
        </is>
      </c>
      <c r="H1510" t="inlineStr">
        <is>
          <t>Series A</t>
        </is>
      </c>
      <c r="I1510" t="inlineStr">
        <is>
          <t>Early</t>
        </is>
      </c>
      <c r="J1510" t="inlineStr">
        <is>
          <t>Ecommerce</t>
        </is>
      </c>
      <c r="K1510" t="inlineStr">
        <is>
          <t>Unknown</t>
        </is>
      </c>
      <c r="L1510" t="inlineStr"/>
      <c r="M1510" t="inlineStr">
        <is>
          <t>India SME Investments; Phoenix Family Office</t>
        </is>
      </c>
      <c r="N1510" t="inlineStr">
        <is>
          <t>inc42</t>
        </is>
      </c>
      <c r="O1510" s="20" t="n">
        <v>1</v>
      </c>
      <c r="P1510" s="21" t="n">
        <v>0</v>
      </c>
      <c r="Q1510" t="inlineStr">
        <is>
          <t>C07</t>
        </is>
      </c>
      <c r="R1510" s="22" t="inlineStr">
        <is>
          <t>https://inc42.com/buzz/from-mozark-to-captain-fresh-indian-startups-raised-207-mn-this-week/</t>
        </is>
      </c>
    </row>
    <row r="1511">
      <c r="A1511" t="inlineStr">
        <is>
          <t>R260311-confluxe</t>
        </is>
      </c>
      <c r="B1511" t="inlineStr">
        <is>
          <t>Confluxe</t>
        </is>
      </c>
      <c r="C1511" s="17" t="n">
        <v>46092</v>
      </c>
      <c r="D1511" s="18" t="n">
        <v>46082</v>
      </c>
      <c r="E1511" s="19" t="n">
        <v>1.6</v>
      </c>
      <c r="F1511" s="19" t="n">
        <v>14.73</v>
      </c>
      <c r="G1511" t="inlineStr">
        <is>
          <t>$1.6 million</t>
        </is>
      </c>
      <c r="H1511" t="inlineStr">
        <is>
          <t>Pre-Seed</t>
        </is>
      </c>
      <c r="I1511" t="inlineStr">
        <is>
          <t>Early</t>
        </is>
      </c>
      <c r="J1511" t="inlineStr">
        <is>
          <t>Enterprise Tech</t>
        </is>
      </c>
      <c r="K1511" t="inlineStr">
        <is>
          <t>Bengaluru</t>
        </is>
      </c>
      <c r="L1511" t="inlineStr">
        <is>
          <t>Wavemaker Partners</t>
        </is>
      </c>
      <c r="M1511" t="inlineStr">
        <is>
          <t>Wavemaker Partners; Kriscore Capital</t>
        </is>
      </c>
      <c r="N1511" t="inlineStr">
        <is>
          <t>entrackr | inc42</t>
        </is>
      </c>
      <c r="O1511" s="20" t="n">
        <v>2</v>
      </c>
      <c r="P1511" s="21" t="n">
        <v>0</v>
      </c>
      <c r="Q1511" t="inlineStr"/>
      <c r="R1511" s="22" t="inlineStr">
        <is>
          <t>https://entrackr.com/snippets/wavemaker-partners-leads-16-mn-pre-seed-round-in-confluxe-11204068</t>
        </is>
      </c>
    </row>
    <row r="1512">
      <c r="A1512" t="inlineStr">
        <is>
          <t>R260311-constemsaisyst</t>
        </is>
      </c>
      <c r="B1512" t="inlineStr">
        <is>
          <t>Constems-AI</t>
        </is>
      </c>
      <c r="C1512" s="17" t="n">
        <v>46092</v>
      </c>
      <c r="D1512" s="18" t="n">
        <v>46082</v>
      </c>
      <c r="E1512" s="19" t="n">
        <v>2</v>
      </c>
      <c r="F1512" s="19" t="n">
        <v>18.41</v>
      </c>
      <c r="G1512" t="inlineStr">
        <is>
          <t>$2 million</t>
        </is>
      </c>
      <c r="H1512" t="inlineStr">
        <is>
          <t>Pre-Series A</t>
        </is>
      </c>
      <c r="I1512" t="inlineStr">
        <is>
          <t>Early</t>
        </is>
      </c>
      <c r="J1512" t="inlineStr">
        <is>
          <t>Artificial Intelligence</t>
        </is>
      </c>
      <c r="K1512" t="inlineStr">
        <is>
          <t>Delhi NCR</t>
        </is>
      </c>
      <c r="L1512" t="inlineStr">
        <is>
          <t>Finvolve; India Accelerator</t>
        </is>
      </c>
      <c r="M1512" t="inlineStr">
        <is>
          <t>Finvolve; Cognify; AIF; Inflection Point Ventures; IIM Lucknow Enterprise Incubation Centre; India Accelerator</t>
        </is>
      </c>
      <c r="N1512" t="inlineStr">
        <is>
          <t>entrackr | inc42</t>
        </is>
      </c>
      <c r="O1512" s="20" t="n">
        <v>2</v>
      </c>
      <c r="P1512" s="21" t="n">
        <v>0</v>
      </c>
      <c r="Q1512" t="inlineStr"/>
      <c r="R1512" s="22" t="inlineStr">
        <is>
          <t>https://entrackr.com/snippets/constems-ai-systems-raises-2-mn-led-by-finvolve-and-india-accelerator-11203937</t>
        </is>
      </c>
    </row>
    <row r="1513">
      <c r="A1513" t="inlineStr">
        <is>
          <t>R260311-drinkprime</t>
        </is>
      </c>
      <c r="B1513" t="inlineStr">
        <is>
          <t>DrinkPrime</t>
        </is>
      </c>
      <c r="C1513" s="17" t="n">
        <v>46092</v>
      </c>
      <c r="D1513" s="18" t="n">
        <v>46082</v>
      </c>
      <c r="E1513" s="19" t="n">
        <v>2.172</v>
      </c>
      <c r="F1513" s="19" t="n">
        <v>20</v>
      </c>
      <c r="G1513" t="inlineStr">
        <is>
          <t>Rs 20 crore</t>
        </is>
      </c>
      <c r="H1513" t="inlineStr">
        <is>
          <t>Undisclosed</t>
        </is>
      </c>
      <c r="I1513" t="inlineStr">
        <is>
          <t>Undisclosed</t>
        </is>
      </c>
      <c r="J1513" t="inlineStr">
        <is>
          <t>Ecommerce</t>
        </is>
      </c>
      <c r="K1513" t="inlineStr">
        <is>
          <t>Bengaluru</t>
        </is>
      </c>
      <c r="L1513" t="inlineStr"/>
      <c r="M1513" t="inlineStr">
        <is>
          <t>Mirabilis Investment Trust; Artha Continuum Fund</t>
        </is>
      </c>
      <c r="N1513" t="inlineStr">
        <is>
          <t>entrackr | inc42 | et</t>
        </is>
      </c>
      <c r="O1513" s="20" t="n">
        <v>3</v>
      </c>
      <c r="P1513" s="21" t="n">
        <v>1.3</v>
      </c>
      <c r="Q1513" t="inlineStr">
        <is>
          <t>C04</t>
        </is>
      </c>
      <c r="R1513" s="22" t="inlineStr">
        <is>
          <t>https://entrackr.com/exclusive/exclusive-drinkprime-raises-fresh-money-at-30-valuation-premium-11195036</t>
        </is>
      </c>
    </row>
    <row r="1514">
      <c r="A1514" t="inlineStr">
        <is>
          <t>R260311-nprep</t>
        </is>
      </c>
      <c r="B1514" t="inlineStr">
        <is>
          <t>NPrep</t>
        </is>
      </c>
      <c r="C1514" s="17" t="n">
        <v>46092</v>
      </c>
      <c r="D1514" s="18" t="n">
        <v>46082</v>
      </c>
      <c r="E1514" s="19" t="n">
        <v>1.5</v>
      </c>
      <c r="F1514" s="19" t="n">
        <v>13.81</v>
      </c>
      <c r="G1514" t="inlineStr">
        <is>
          <t>$1.5 million</t>
        </is>
      </c>
      <c r="H1514" t="inlineStr">
        <is>
          <t>Seed</t>
        </is>
      </c>
      <c r="I1514" t="inlineStr">
        <is>
          <t>Early</t>
        </is>
      </c>
      <c r="J1514" t="inlineStr">
        <is>
          <t>Edtech</t>
        </is>
      </c>
      <c r="K1514" t="inlineStr">
        <is>
          <t>Jodhpur</t>
        </is>
      </c>
      <c r="L1514" t="inlineStr">
        <is>
          <t>Lumikai</t>
        </is>
      </c>
      <c r="M1514" t="inlineStr">
        <is>
          <t>Lumikai; All In Capital; Velo Partners; DSP Group Family Office; Viren Shetty; IIMA Ventures; Aayush Phumbhra</t>
        </is>
      </c>
      <c r="N1514" t="inlineStr">
        <is>
          <t>entrackr | inc42 | et</t>
        </is>
      </c>
      <c r="O1514" s="20" t="n">
        <v>3</v>
      </c>
      <c r="P1514" s="21" t="n">
        <v>0</v>
      </c>
      <c r="Q1514" t="inlineStr"/>
      <c r="R1514" s="22" t="inlineStr">
        <is>
          <t>https://entrackr.com/snippets/lumikai-leads-15-mn-seed-round-in-nprep-11193962</t>
        </is>
      </c>
    </row>
    <row r="1515">
      <c r="A1515" t="inlineStr">
        <is>
          <t>R260311-opencfo</t>
        </is>
      </c>
      <c r="B1515" t="inlineStr">
        <is>
          <t>OpenCFO</t>
        </is>
      </c>
      <c r="C1515" s="17" t="n">
        <v>46092</v>
      </c>
      <c r="D1515" s="18" t="n">
        <v>46082</v>
      </c>
      <c r="E1515" s="19" t="n">
        <v>2</v>
      </c>
      <c r="F1515" s="19" t="n">
        <v>18.41</v>
      </c>
      <c r="G1515" t="inlineStr">
        <is>
          <t>$2 million</t>
        </is>
      </c>
      <c r="H1515" t="inlineStr">
        <is>
          <t>Seed</t>
        </is>
      </c>
      <c r="I1515" t="inlineStr">
        <is>
          <t>Early</t>
        </is>
      </c>
      <c r="J1515" t="inlineStr">
        <is>
          <t>Fintech</t>
        </is>
      </c>
      <c r="K1515" t="inlineStr">
        <is>
          <t>Unknown</t>
        </is>
      </c>
      <c r="L1515" t="inlineStr">
        <is>
          <t>Endiya Partners</t>
        </is>
      </c>
      <c r="M1515" t="inlineStr">
        <is>
          <t>Endiya Partners</t>
        </is>
      </c>
      <c r="N1515" t="inlineStr">
        <is>
          <t>entrackr | inc42</t>
        </is>
      </c>
      <c r="O1515" s="20" t="n">
        <v>2</v>
      </c>
      <c r="P1515" s="21" t="n">
        <v>0</v>
      </c>
      <c r="Q1515" t="inlineStr">
        <is>
          <t>C07</t>
        </is>
      </c>
      <c r="R1515" s="22" t="inlineStr">
        <is>
          <t>https://entrackr.com/snippets/opencfo-raises-2-mn-in-round-led-by-endiya-partners-11193954</t>
        </is>
      </c>
    </row>
    <row r="1516">
      <c r="A1516" t="inlineStr">
        <is>
          <t>R260311-upandrun</t>
        </is>
      </c>
      <c r="B1516" t="inlineStr">
        <is>
          <t>UP&amp;RUN</t>
        </is>
      </c>
      <c r="C1516" s="17" t="n">
        <v>46092</v>
      </c>
      <c r="D1516" s="18" t="n">
        <v>46082</v>
      </c>
      <c r="E1516" s="19" t="n">
        <v>0.206</v>
      </c>
      <c r="F1516" s="19" t="n">
        <v>1.9</v>
      </c>
      <c r="G1516" t="inlineStr">
        <is>
          <t>$206K</t>
        </is>
      </c>
      <c r="H1516" t="inlineStr">
        <is>
          <t>Undisclosed</t>
        </is>
      </c>
      <c r="I1516" t="inlineStr">
        <is>
          <t>Undisclosed</t>
        </is>
      </c>
      <c r="J1516" t="inlineStr">
        <is>
          <t>Ecommerce</t>
        </is>
      </c>
      <c r="K1516" t="inlineStr">
        <is>
          <t>Unknown</t>
        </is>
      </c>
      <c r="L1516" t="inlineStr"/>
      <c r="M1516" t="inlineStr"/>
      <c r="N1516" t="inlineStr">
        <is>
          <t>inc42</t>
        </is>
      </c>
      <c r="O1516" s="20" t="n">
        <v>1</v>
      </c>
      <c r="P1516" s="21" t="n">
        <v>0</v>
      </c>
      <c r="Q1516" t="inlineStr">
        <is>
          <t>C04 C05 C07</t>
        </is>
      </c>
      <c r="R1516" s="22" t="inlineStr">
        <is>
          <t>https://inc42.com/buzz/from-mozark-to-captain-fresh-indian-startups-raised-207-mn-this-week/</t>
        </is>
      </c>
    </row>
    <row r="1517">
      <c r="A1517" t="inlineStr">
        <is>
          <t>R260312-galaxeye</t>
        </is>
      </c>
      <c r="B1517" t="inlineStr">
        <is>
          <t>GalaxEye</t>
        </is>
      </c>
      <c r="C1517" s="17" t="n">
        <v>46093</v>
      </c>
      <c r="D1517" s="18" t="n">
        <v>46082</v>
      </c>
      <c r="E1517" s="19" t="n">
        <v>4.8</v>
      </c>
      <c r="F1517" s="19" t="n">
        <v>44.26</v>
      </c>
      <c r="G1517" t="inlineStr">
        <is>
          <t>$4.8 Mn</t>
        </is>
      </c>
      <c r="H1517" t="inlineStr">
        <is>
          <t>Series A</t>
        </is>
      </c>
      <c r="I1517" t="inlineStr">
        <is>
          <t>Early</t>
        </is>
      </c>
      <c r="J1517" t="inlineStr">
        <is>
          <t>Advanced Hardware &amp; Technology</t>
        </is>
      </c>
      <c r="K1517" t="inlineStr">
        <is>
          <t>Unknown</t>
        </is>
      </c>
      <c r="L1517" t="inlineStr"/>
      <c r="M1517" t="inlineStr">
        <is>
          <t>Speciale Invest; Mela Venture; Rainmatter; Mounttech Growth Fund; Anicut Capital; Navam Venture Fund; Faad Capital; LV Angel Fund; Eraya Capital</t>
        </is>
      </c>
      <c r="N1517" t="inlineStr">
        <is>
          <t>inc42</t>
        </is>
      </c>
      <c r="O1517" s="20" t="n">
        <v>1</v>
      </c>
      <c r="P1517" s="21" t="n">
        <v>0</v>
      </c>
      <c r="Q1517" t="inlineStr">
        <is>
          <t>C07</t>
        </is>
      </c>
      <c r="R1517" s="22" t="inlineStr">
        <is>
          <t>https://inc42.com/buzz/from-mozark-to-captain-fresh-indian-startups-raised-207-mn-this-week/</t>
        </is>
      </c>
    </row>
    <row r="1518">
      <c r="A1518" t="inlineStr">
        <is>
          <t>R260313-waycool</t>
        </is>
      </c>
      <c r="B1518" t="inlineStr">
        <is>
          <t>Waycool</t>
        </is>
      </c>
      <c r="C1518" s="17" t="n">
        <v>46094</v>
      </c>
      <c r="D1518" s="18" t="n">
        <v>46082</v>
      </c>
      <c r="E1518" s="19" t="n">
        <v>22.732</v>
      </c>
      <c r="F1518" s="19" t="n">
        <v>210</v>
      </c>
      <c r="G1518" t="inlineStr">
        <is>
          <t>Rs 210 crore</t>
        </is>
      </c>
      <c r="H1518" t="inlineStr">
        <is>
          <t>Undisclosed</t>
        </is>
      </c>
      <c r="I1518" t="inlineStr">
        <is>
          <t>Undisclosed</t>
        </is>
      </c>
      <c r="J1518" t="inlineStr">
        <is>
          <t>Agritech</t>
        </is>
      </c>
      <c r="K1518" t="inlineStr">
        <is>
          <t>Chennai</t>
        </is>
      </c>
      <c r="L1518" t="inlineStr"/>
      <c r="M1518" t="inlineStr">
        <is>
          <t>Lightrock India</t>
        </is>
      </c>
      <c r="N1518" t="inlineStr">
        <is>
          <t>entrackr | inc42</t>
        </is>
      </c>
      <c r="O1518" s="20" t="n">
        <v>2</v>
      </c>
      <c r="P1518" s="21" t="n">
        <v>0.1</v>
      </c>
      <c r="Q1518" t="inlineStr">
        <is>
          <t>C04</t>
        </is>
      </c>
      <c r="R1518" s="22" t="inlineStr">
        <is>
          <t>https://entrackr.com/news/waycool-raises-rs-210-cr-from-lightrock-india-11211096</t>
        </is>
      </c>
    </row>
    <row r="1519">
      <c r="A1519" t="inlineStr">
        <is>
          <t>R260315-officebanao</t>
        </is>
      </c>
      <c r="B1519" t="inlineStr">
        <is>
          <t>OfficeBanao</t>
        </is>
      </c>
      <c r="C1519" s="17" t="n">
        <v>46096</v>
      </c>
      <c r="D1519" s="18" t="n">
        <v>46082</v>
      </c>
      <c r="E1519" s="19" t="n">
        <v>4</v>
      </c>
      <c r="F1519" s="19" t="n">
        <v>36.95</v>
      </c>
      <c r="G1519" t="inlineStr">
        <is>
          <t>$4 million</t>
        </is>
      </c>
      <c r="H1519" t="inlineStr">
        <is>
          <t>Undisclosed</t>
        </is>
      </c>
      <c r="I1519" t="inlineStr">
        <is>
          <t>Undisclosed</t>
        </is>
      </c>
      <c r="J1519" t="inlineStr">
        <is>
          <t>Real Estate Tech</t>
        </is>
      </c>
      <c r="K1519" t="inlineStr">
        <is>
          <t>Delhi NCR</t>
        </is>
      </c>
      <c r="L1519" t="inlineStr">
        <is>
          <t>Lightspeed</t>
        </is>
      </c>
      <c r="M1519" t="inlineStr">
        <is>
          <t>Lightspeed; Medra Family; Mangum II</t>
        </is>
      </c>
      <c r="N1519" t="inlineStr">
        <is>
          <t>entrackr | inc42 | et</t>
        </is>
      </c>
      <c r="O1519" s="20" t="n">
        <v>3</v>
      </c>
      <c r="P1519" s="21" t="n">
        <v>92.5</v>
      </c>
      <c r="Q1519" t="inlineStr">
        <is>
          <t>C04 C15</t>
        </is>
      </c>
      <c r="R1519" s="22" t="inlineStr">
        <is>
          <t>https://economictimes.indiatimes.com/tech/funding/real-estate-startup-officebanao-raises-nearly-4-million-to-expand-business/articleshow/129588255.cms</t>
        </is>
      </c>
    </row>
    <row r="1520">
      <c r="A1520" t="inlineStr">
        <is>
          <t>R260316-agnitsemicondu</t>
        </is>
      </c>
      <c r="B1520" t="inlineStr">
        <is>
          <t>AGNIT Semiconductors</t>
        </is>
      </c>
      <c r="C1520" s="17" t="n">
        <v>46097</v>
      </c>
      <c r="D1520" s="18" t="n">
        <v>46082</v>
      </c>
      <c r="E1520" s="19" t="n">
        <v>2.6</v>
      </c>
      <c r="F1520" s="19" t="n">
        <v>23.98</v>
      </c>
      <c r="G1520" t="inlineStr">
        <is>
          <t>$2.6 million</t>
        </is>
      </c>
      <c r="H1520" t="inlineStr">
        <is>
          <t>Seed</t>
        </is>
      </c>
      <c r="I1520" t="inlineStr">
        <is>
          <t>Early</t>
        </is>
      </c>
      <c r="J1520" t="inlineStr">
        <is>
          <t>Advanced Hardware &amp; Technology</t>
        </is>
      </c>
      <c r="K1520" t="inlineStr">
        <is>
          <t>Bengaluru</t>
        </is>
      </c>
      <c r="L1520" t="inlineStr">
        <is>
          <t>Shastra VC</t>
        </is>
      </c>
      <c r="M1520" t="inlineStr">
        <is>
          <t>Shastra VC; 3one4 Capital; Zephyr Peacock</t>
        </is>
      </c>
      <c r="N1520" t="inlineStr">
        <is>
          <t>entrackr | inc42 | et</t>
        </is>
      </c>
      <c r="O1520" s="20" t="n">
        <v>3</v>
      </c>
      <c r="P1520" s="21" t="n">
        <v>0</v>
      </c>
      <c r="Q1520" t="inlineStr"/>
      <c r="R1520" s="22" t="inlineStr">
        <is>
          <t>https://entrackr.com/snippets/agnit-semiconductors-raises-26-mn-in-seed-extension-led-by-shastra-vc-11216664</t>
        </is>
      </c>
    </row>
    <row r="1521">
      <c r="A1521" t="inlineStr">
        <is>
          <t>R260316-atlys</t>
        </is>
      </c>
      <c r="B1521" t="inlineStr">
        <is>
          <t>Atlys</t>
        </is>
      </c>
      <c r="C1521" s="17" t="n">
        <v>46097</v>
      </c>
      <c r="D1521" s="18" t="n">
        <v>46082</v>
      </c>
      <c r="E1521" s="19" t="n">
        <v>36</v>
      </c>
      <c r="F1521" s="19" t="n">
        <v>332.1</v>
      </c>
      <c r="G1521" t="inlineStr">
        <is>
          <t>$36 million</t>
        </is>
      </c>
      <c r="H1521" t="inlineStr">
        <is>
          <t>Series C</t>
        </is>
      </c>
      <c r="I1521" t="inlineStr">
        <is>
          <t>Growth</t>
        </is>
      </c>
      <c r="J1521" t="inlineStr">
        <is>
          <t>Travel Tech</t>
        </is>
      </c>
      <c r="K1521" t="inlineStr">
        <is>
          <t>Unknown</t>
        </is>
      </c>
      <c r="L1521" t="inlineStr">
        <is>
          <t>Susquehanna Asia VC</t>
        </is>
      </c>
      <c r="M1521" t="inlineStr">
        <is>
          <t>Susquehanna Asia VC; MakeMyTrip; Elevation Capital; Long Journey Ventures; Peak XV Partners</t>
        </is>
      </c>
      <c r="N1521" t="inlineStr">
        <is>
          <t>entrackr | inc42 | et</t>
        </is>
      </c>
      <c r="O1521" s="20" t="n">
        <v>3</v>
      </c>
      <c r="P1521" s="21" t="n">
        <v>0</v>
      </c>
      <c r="Q1521" t="inlineStr">
        <is>
          <t>C07</t>
        </is>
      </c>
      <c r="R1521" s="22" t="inlineStr">
        <is>
          <t>https://entrackr.com/news/visa-processing-startup-atlys-raises-36-mn-in-series-c-funding-11218314</t>
        </is>
      </c>
    </row>
    <row r="1522">
      <c r="A1522" t="inlineStr">
        <is>
          <t>R260316-betterhood</t>
        </is>
      </c>
      <c r="B1522" t="inlineStr">
        <is>
          <t>Betterhood</t>
        </is>
      </c>
      <c r="C1522" s="17" t="n">
        <v>46097</v>
      </c>
      <c r="D1522" s="18" t="n">
        <v>46082</v>
      </c>
      <c r="E1522" s="19" t="n">
        <v>0.542</v>
      </c>
      <c r="F1522" s="19" t="n">
        <v>5</v>
      </c>
      <c r="G1522" t="inlineStr">
        <is>
          <t>Rs 5 crore</t>
        </is>
      </c>
      <c r="H1522" t="inlineStr">
        <is>
          <t>Seed</t>
        </is>
      </c>
      <c r="I1522" t="inlineStr">
        <is>
          <t>Early</t>
        </is>
      </c>
      <c r="J1522" t="inlineStr">
        <is>
          <t>Ecommerce</t>
        </is>
      </c>
      <c r="K1522" t="inlineStr">
        <is>
          <t>Bengaluru</t>
        </is>
      </c>
      <c r="L1522" t="inlineStr">
        <is>
          <t>Kairon Capital</t>
        </is>
      </c>
      <c r="M1522" t="inlineStr">
        <is>
          <t>Kairon Capital; Yogesh Kabra; Rishubh Satiya; Rohit Chawla; Sifat Khurana; Shayamal Vallabhjee</t>
        </is>
      </c>
      <c r="N1522" t="inlineStr">
        <is>
          <t>entrackr | et</t>
        </is>
      </c>
      <c r="O1522" s="20" t="n">
        <v>2</v>
      </c>
      <c r="P1522" s="21" t="n">
        <v>0</v>
      </c>
      <c r="Q1522" t="inlineStr"/>
      <c r="R1522" s="22" t="inlineStr">
        <is>
          <t>https://entrackr.com/snippets/pain-care-startup-betterhood-raises-seed-round-led-by-kairon-capital-11216682</t>
        </is>
      </c>
    </row>
    <row r="1523">
      <c r="A1523" t="inlineStr">
        <is>
          <t>R260316-ecofy</t>
        </is>
      </c>
      <c r="B1523" t="inlineStr">
        <is>
          <t>Ecofy</t>
        </is>
      </c>
      <c r="C1523" s="17" t="n">
        <v>46097</v>
      </c>
      <c r="D1523" s="18" t="n">
        <v>46082</v>
      </c>
      <c r="E1523" s="19" t="n">
        <v>41.247</v>
      </c>
      <c r="F1523" s="19" t="n">
        <v>380.5</v>
      </c>
      <c r="G1523" t="inlineStr">
        <is>
          <t>Rs 380.5 crore</t>
        </is>
      </c>
      <c r="H1523" t="inlineStr">
        <is>
          <t>Series B</t>
        </is>
      </c>
      <c r="I1523" t="inlineStr">
        <is>
          <t>Growth</t>
        </is>
      </c>
      <c r="J1523" t="inlineStr">
        <is>
          <t>Fintech</t>
        </is>
      </c>
      <c r="K1523" t="inlineStr">
        <is>
          <t>Mumbai</t>
        </is>
      </c>
      <c r="L1523" t="inlineStr">
        <is>
          <t>British International Investment; Finnfund</t>
        </is>
      </c>
      <c r="M1523" t="inlineStr">
        <is>
          <t>British International Investment; Finnfund; FMO; Eversource Capital</t>
        </is>
      </c>
      <c r="N1523" t="inlineStr">
        <is>
          <t>entrackr | inc42 | vccircle</t>
        </is>
      </c>
      <c r="O1523" s="20" t="n">
        <v>3</v>
      </c>
      <c r="P1523" s="21" t="n">
        <v>2.4</v>
      </c>
      <c r="Q1523" t="inlineStr"/>
      <c r="R1523" s="22" t="inlineStr">
        <is>
          <t>https://entrackr.com/news/ecofy-raises-rs-3805-cr-in-series-b-round-led-by-bii-and-finnfund-11216830</t>
        </is>
      </c>
    </row>
    <row r="1524">
      <c r="A1524" t="inlineStr">
        <is>
          <t>R260316-grapevine</t>
        </is>
      </c>
      <c r="B1524" t="inlineStr">
        <is>
          <t>Grapevine</t>
        </is>
      </c>
      <c r="C1524" s="17" t="n">
        <v>46097</v>
      </c>
      <c r="D1524" s="18" t="n">
        <v>46082</v>
      </c>
      <c r="E1524" s="19" t="n">
        <v>4.1</v>
      </c>
      <c r="F1524" s="19" t="n">
        <v>37.82</v>
      </c>
      <c r="G1524" t="inlineStr">
        <is>
          <t>$4.1 million</t>
        </is>
      </c>
      <c r="H1524" t="inlineStr">
        <is>
          <t>Undisclosed</t>
        </is>
      </c>
      <c r="I1524" t="inlineStr">
        <is>
          <t>Undisclosed</t>
        </is>
      </c>
      <c r="J1524" t="inlineStr">
        <is>
          <t>Media &amp; Entertainment</t>
        </is>
      </c>
      <c r="K1524" t="inlineStr">
        <is>
          <t>Unknown</t>
        </is>
      </c>
      <c r="L1524" t="inlineStr"/>
      <c r="M1524" t="inlineStr">
        <is>
          <t>Kae Capital; Peak XV Partners; Ronnie Screwvala; Unilazer; Shreeyash Nitin Dharmadhikari; Saumil Sanjai Tripathi</t>
        </is>
      </c>
      <c r="N1524" t="inlineStr">
        <is>
          <t>entrackr | inc42 | et</t>
        </is>
      </c>
      <c r="O1524" s="20" t="n">
        <v>3</v>
      </c>
      <c r="P1524" s="21" t="n">
        <v>0</v>
      </c>
      <c r="Q1524" t="inlineStr">
        <is>
          <t>C04 C07</t>
        </is>
      </c>
      <c r="R1524" s="22" t="inlineStr">
        <is>
          <t>https://inc42.com/buzz/from-neo-to-atlys-indian-startups-raised-228-mn-this-week-2/</t>
        </is>
      </c>
    </row>
    <row r="1525">
      <c r="A1525" t="inlineStr">
        <is>
          <t>R260317-bamboobox</t>
        </is>
      </c>
      <c r="B1525" t="inlineStr">
        <is>
          <t>BambooBox</t>
        </is>
      </c>
      <c r="C1525" s="17" t="n">
        <v>46098</v>
      </c>
      <c r="D1525" s="18" t="n">
        <v>46082</v>
      </c>
      <c r="E1525" s="19" t="n">
        <v>6.6</v>
      </c>
      <c r="F1525" s="19" t="n">
        <v>60.96</v>
      </c>
      <c r="G1525" t="inlineStr">
        <is>
          <t>$6.6 million</t>
        </is>
      </c>
      <c r="H1525" t="inlineStr">
        <is>
          <t>Undisclosed</t>
        </is>
      </c>
      <c r="I1525" t="inlineStr">
        <is>
          <t>Undisclosed</t>
        </is>
      </c>
      <c r="J1525" t="inlineStr">
        <is>
          <t>Enterprise Tech</t>
        </is>
      </c>
      <c r="K1525" t="inlineStr">
        <is>
          <t>Unknown</t>
        </is>
      </c>
      <c r="L1525" t="inlineStr">
        <is>
          <t>Peak XV</t>
        </is>
      </c>
      <c r="M1525" t="inlineStr">
        <is>
          <t>Peak XV Partners; Emergent Ventures; Arc180; Uncorrelated; HAF; Hustle Fund</t>
        </is>
      </c>
      <c r="N1525" t="inlineStr">
        <is>
          <t>entrackr | inc42 | et</t>
        </is>
      </c>
      <c r="O1525" s="20" t="n">
        <v>3</v>
      </c>
      <c r="P1525" s="21" t="n">
        <v>0</v>
      </c>
      <c r="Q1525" t="inlineStr">
        <is>
          <t>C04 C07</t>
        </is>
      </c>
      <c r="R1525" s="22" t="inlineStr">
        <is>
          <t>https://entrackr.com/snippets/peak-xv-leads-66-mn-funding-round-in-bamboobox-11219662</t>
        </is>
      </c>
    </row>
    <row r="1526">
      <c r="A1526" t="inlineStr">
        <is>
          <t>R260317-canvaloop</t>
        </is>
      </c>
      <c r="B1526" t="inlineStr">
        <is>
          <t>Canvaloop</t>
        </is>
      </c>
      <c r="C1526" s="17" t="n">
        <v>46098</v>
      </c>
      <c r="D1526" s="18" t="n">
        <v>46082</v>
      </c>
      <c r="E1526" s="19" t="n">
        <v>1.5</v>
      </c>
      <c r="F1526" s="19" t="n">
        <v>13.86</v>
      </c>
      <c r="G1526" t="inlineStr">
        <is>
          <t>$1.5 million</t>
        </is>
      </c>
      <c r="H1526" t="inlineStr">
        <is>
          <t>Undisclosed</t>
        </is>
      </c>
      <c r="I1526" t="inlineStr">
        <is>
          <t>Undisclosed</t>
        </is>
      </c>
      <c r="J1526" t="inlineStr">
        <is>
          <t>Cleantech</t>
        </is>
      </c>
      <c r="K1526" t="inlineStr">
        <is>
          <t>Surat</t>
        </is>
      </c>
      <c r="L1526" t="inlineStr">
        <is>
          <t>GVFL</t>
        </is>
      </c>
      <c r="M1526" t="inlineStr">
        <is>
          <t>GVFL; Rockstud Capital</t>
        </is>
      </c>
      <c r="N1526" t="inlineStr">
        <is>
          <t>entrackr | inc42</t>
        </is>
      </c>
      <c r="O1526" s="20" t="n">
        <v>2</v>
      </c>
      <c r="P1526" s="21" t="n">
        <v>7.1</v>
      </c>
      <c r="Q1526" t="inlineStr">
        <is>
          <t>C04 C16</t>
        </is>
      </c>
      <c r="R1526" s="22" t="inlineStr">
        <is>
          <t>https://inc42.com/buzz/from-neo-to-atlys-indian-startups-raised-228-mn-this-week-2/</t>
        </is>
      </c>
    </row>
    <row r="1527">
      <c r="A1527" t="inlineStr">
        <is>
          <t>R260317-igdefence</t>
        </is>
      </c>
      <c r="B1527" t="inlineStr">
        <is>
          <t>IG Defence</t>
        </is>
      </c>
      <c r="C1527" s="17" t="n">
        <v>46098</v>
      </c>
      <c r="D1527" s="18" t="n">
        <v>46082</v>
      </c>
      <c r="E1527" s="19" t="n">
        <v>5</v>
      </c>
      <c r="F1527" s="19" t="n">
        <v>46.18</v>
      </c>
      <c r="G1527" t="inlineStr">
        <is>
          <t>$5 Mn</t>
        </is>
      </c>
      <c r="H1527" t="inlineStr">
        <is>
          <t>Pre-Series A</t>
        </is>
      </c>
      <c r="I1527" t="inlineStr">
        <is>
          <t>Early</t>
        </is>
      </c>
      <c r="J1527" t="inlineStr">
        <is>
          <t>Advanced Hardware &amp; Technology</t>
        </is>
      </c>
      <c r="K1527" t="inlineStr">
        <is>
          <t>Unknown</t>
        </is>
      </c>
      <c r="L1527" t="inlineStr">
        <is>
          <t>India Accelerator</t>
        </is>
      </c>
      <c r="M1527" t="inlineStr">
        <is>
          <t>India Accelerator; Finvolve</t>
        </is>
      </c>
      <c r="N1527" t="inlineStr">
        <is>
          <t>inc42</t>
        </is>
      </c>
      <c r="O1527" s="20" t="n">
        <v>1</v>
      </c>
      <c r="P1527" s="21" t="n">
        <v>0</v>
      </c>
      <c r="Q1527" t="inlineStr">
        <is>
          <t>C07</t>
        </is>
      </c>
      <c r="R1527" s="22" t="inlineStr">
        <is>
          <t>https://inc42.com/buzz/from-neo-to-atlys-indian-startups-raised-228-mn-this-week-2/</t>
        </is>
      </c>
    </row>
    <row r="1528">
      <c r="A1528" t="inlineStr">
        <is>
          <t>R260317-moepuppy</t>
        </is>
      </c>
      <c r="B1528" t="inlineStr">
        <is>
          <t>Moe Puppy</t>
        </is>
      </c>
      <c r="C1528" s="17" t="n">
        <v>46098</v>
      </c>
      <c r="D1528" s="18" t="n">
        <v>46082</v>
      </c>
      <c r="E1528" s="19" t="n">
        <v>0.217</v>
      </c>
      <c r="F1528" s="19" t="n">
        <v>2</v>
      </c>
      <c r="G1528" t="inlineStr">
        <is>
          <t>Rs 2 crore</t>
        </is>
      </c>
      <c r="H1528" t="inlineStr">
        <is>
          <t>Pre-Seed</t>
        </is>
      </c>
      <c r="I1528" t="inlineStr">
        <is>
          <t>Early</t>
        </is>
      </c>
      <c r="J1528" t="inlineStr">
        <is>
          <t>Ecommerce</t>
        </is>
      </c>
      <c r="K1528" t="inlineStr">
        <is>
          <t>Unknown</t>
        </is>
      </c>
      <c r="L1528" t="inlineStr">
        <is>
          <t>PedalStart</t>
        </is>
      </c>
      <c r="M1528" t="inlineStr">
        <is>
          <t>PedalStart; Zindagi Live Angel Fund</t>
        </is>
      </c>
      <c r="N1528" t="inlineStr">
        <is>
          <t>entrackr | inc42</t>
        </is>
      </c>
      <c r="O1528" s="20" t="n">
        <v>2</v>
      </c>
      <c r="P1528" s="21" t="n">
        <v>1.2</v>
      </c>
      <c r="Q1528" t="inlineStr">
        <is>
          <t>C07</t>
        </is>
      </c>
      <c r="R1528" s="22" t="inlineStr">
        <is>
          <t>https://entrackr.com/snippets/d2c-pet-care-brand-moe-puppy-raises-pre-seed-round-led-by-pedalstart-11219941</t>
        </is>
      </c>
    </row>
    <row r="1529">
      <c r="A1529" t="inlineStr">
        <is>
          <t>R260317-velmenni</t>
        </is>
      </c>
      <c r="B1529" t="inlineStr">
        <is>
          <t>Velmenni</t>
        </is>
      </c>
      <c r="C1529" s="17" t="n">
        <v>46098</v>
      </c>
      <c r="D1529" s="18" t="n">
        <v>46082</v>
      </c>
      <c r="E1529" s="19" t="n">
        <v>3.248</v>
      </c>
      <c r="F1529" s="19" t="n">
        <v>30</v>
      </c>
      <c r="G1529" t="inlineStr">
        <is>
          <t>Rs 30 crore</t>
        </is>
      </c>
      <c r="H1529" t="inlineStr">
        <is>
          <t>Pre-Series A</t>
        </is>
      </c>
      <c r="I1529" t="inlineStr">
        <is>
          <t>Early</t>
        </is>
      </c>
      <c r="J1529" t="inlineStr">
        <is>
          <t>Advanced Hardware &amp; Technology</t>
        </is>
      </c>
      <c r="K1529" t="inlineStr">
        <is>
          <t>Delhi NCR</t>
        </is>
      </c>
      <c r="L1529" t="inlineStr">
        <is>
          <t>MountTech Growth Fund-Kavachh; Apekso; Pi ventures</t>
        </is>
      </c>
      <c r="M1529" t="inlineStr">
        <is>
          <t>MountTech Growth Fund; Apekso; Pi ventures; Mount Tech Growth Fund Kavachh</t>
        </is>
      </c>
      <c r="N1529" t="inlineStr">
        <is>
          <t>entrackr | inc42 | et</t>
        </is>
      </c>
      <c r="O1529" s="20" t="n">
        <v>3</v>
      </c>
      <c r="P1529" s="21" t="n">
        <v>1.6</v>
      </c>
      <c r="Q1529" t="inlineStr">
        <is>
          <t>C17</t>
        </is>
      </c>
      <c r="R1529" s="22" t="inlineStr">
        <is>
          <t>https://entrackr.com/snippets/pi-ventures-leads-rs-30-cr-pre-series-a-round-in-deep-tech-company-velmenni-11219430</t>
        </is>
      </c>
    </row>
    <row r="1530">
      <c r="A1530" t="inlineStr">
        <is>
          <t>R260317-zoomies</t>
        </is>
      </c>
      <c r="B1530" t="inlineStr">
        <is>
          <t>Zoomies</t>
        </is>
      </c>
      <c r="C1530" s="17" t="n">
        <v>46098</v>
      </c>
      <c r="D1530" s="18" t="n">
        <v>46082</v>
      </c>
      <c r="E1530" s="19" t="n">
        <v>0.541</v>
      </c>
      <c r="F1530" s="19" t="n">
        <v>5</v>
      </c>
      <c r="G1530" t="inlineStr">
        <is>
          <t>Rs 5 crore</t>
        </is>
      </c>
      <c r="H1530" t="inlineStr">
        <is>
          <t>Pre-Seed</t>
        </is>
      </c>
      <c r="I1530" t="inlineStr">
        <is>
          <t>Early</t>
        </is>
      </c>
      <c r="J1530" t="inlineStr">
        <is>
          <t>Ecommerce</t>
        </is>
      </c>
      <c r="K1530" t="inlineStr">
        <is>
          <t>Pune</t>
        </is>
      </c>
      <c r="L1530" t="inlineStr">
        <is>
          <t>Pallavi Mohadikar</t>
        </is>
      </c>
      <c r="M1530" t="inlineStr">
        <is>
          <t>Pallavi Mohadikar</t>
        </is>
      </c>
      <c r="N1530" t="inlineStr">
        <is>
          <t>entrackr</t>
        </is>
      </c>
      <c r="O1530" s="20" t="n">
        <v>1</v>
      </c>
      <c r="P1530" s="21" t="n">
        <v>0</v>
      </c>
      <c r="Q1530" t="inlineStr"/>
      <c r="R1530" s="22" t="inlineStr">
        <is>
          <t>https://entrackr.com/snippets/d2c-insider-super-angels-leads-pre-seed-round-in-pet-food-startup-zoomies-11220348</t>
        </is>
      </c>
    </row>
    <row r="1531">
      <c r="A1531" t="inlineStr">
        <is>
          <t>R260326-elmedlifescien</t>
        </is>
      </c>
      <c r="B1531" t="inlineStr">
        <is>
          <t>ELMED Life Sciences</t>
        </is>
      </c>
      <c r="C1531" s="17" t="n">
        <v>46098</v>
      </c>
      <c r="D1531" s="18" t="n">
        <v>46082</v>
      </c>
      <c r="E1531" s="19" t="n">
        <v>2.7</v>
      </c>
      <c r="F1531" s="19" t="n">
        <v>24.94</v>
      </c>
      <c r="G1531" t="inlineStr">
        <is>
          <t>$2.7 million</t>
        </is>
      </c>
      <c r="H1531" t="inlineStr">
        <is>
          <t>Series A</t>
        </is>
      </c>
      <c r="I1531" t="inlineStr">
        <is>
          <t>Early</t>
        </is>
      </c>
      <c r="J1531" t="inlineStr">
        <is>
          <t>Healthtech</t>
        </is>
      </c>
      <c r="K1531" t="inlineStr">
        <is>
          <t>Hyderabad</t>
        </is>
      </c>
      <c r="L1531" t="inlineStr">
        <is>
          <t>AgriSURE Fund</t>
        </is>
      </c>
      <c r="M1531" t="inlineStr">
        <is>
          <t>AgriSURE Fund</t>
        </is>
      </c>
      <c r="N1531" t="inlineStr">
        <is>
          <t>entrackr | inc42 | et | vccircle</t>
        </is>
      </c>
      <c r="O1531" s="20" t="n">
        <v>4</v>
      </c>
      <c r="P1531" s="21" t="n">
        <v>0</v>
      </c>
      <c r="Q1531" t="inlineStr">
        <is>
          <t>C16</t>
        </is>
      </c>
      <c r="R1531" s="22" t="inlineStr">
        <is>
          <t>https://www.vccircle.com/probioticsmaker-elmed-life-sciences-bags-maiden-cheque-eyes-larger-round</t>
        </is>
      </c>
    </row>
    <row r="1532">
      <c r="A1532" t="inlineStr">
        <is>
          <t>R260318-aerchain</t>
        </is>
      </c>
      <c r="B1532" t="inlineStr">
        <is>
          <t>Aerchain</t>
        </is>
      </c>
      <c r="C1532" s="17" t="n">
        <v>46099</v>
      </c>
      <c r="D1532" s="18" t="n">
        <v>46082</v>
      </c>
      <c r="E1532" s="19" t="n">
        <v>13</v>
      </c>
      <c r="F1532" s="19" t="n">
        <v>120.77</v>
      </c>
      <c r="G1532" t="inlineStr">
        <is>
          <t>$13 million</t>
        </is>
      </c>
      <c r="H1532" t="inlineStr">
        <is>
          <t>Series A</t>
        </is>
      </c>
      <c r="I1532" t="inlineStr">
        <is>
          <t>Early</t>
        </is>
      </c>
      <c r="J1532" t="inlineStr">
        <is>
          <t>Logistics</t>
        </is>
      </c>
      <c r="K1532" t="inlineStr">
        <is>
          <t>Bengaluru</t>
        </is>
      </c>
      <c r="L1532" t="inlineStr">
        <is>
          <t>Pavestone</t>
        </is>
      </c>
      <c r="M1532" t="inlineStr">
        <is>
          <t>Pavestone; IndiaMART</t>
        </is>
      </c>
      <c r="N1532" t="inlineStr">
        <is>
          <t>entrackr | inc42 | et</t>
        </is>
      </c>
      <c r="O1532" s="20" t="n">
        <v>3</v>
      </c>
      <c r="P1532" s="21" t="n">
        <v>0</v>
      </c>
      <c r="Q1532" t="inlineStr"/>
      <c r="R1532" s="22" t="inlineStr">
        <is>
          <t>https://entrackr.com/news/enterprise-procurement-platform-aerchain-secures-13-mn-in-series-a-round-11225084</t>
        </is>
      </c>
    </row>
    <row r="1533">
      <c r="A1533" t="inlineStr">
        <is>
          <t>R260318-burgersingh</t>
        </is>
      </c>
      <c r="B1533" t="inlineStr">
        <is>
          <t>Burger Singh</t>
        </is>
      </c>
      <c r="C1533" s="17" t="n">
        <v>46099</v>
      </c>
      <c r="D1533" s="18" t="n">
        <v>46082</v>
      </c>
      <c r="E1533" s="19" t="n">
        <v>8.827</v>
      </c>
      <c r="F1533" s="19" t="n">
        <v>82</v>
      </c>
      <c r="G1533" t="inlineStr">
        <is>
          <t>Rs 82 crore</t>
        </is>
      </c>
      <c r="H1533" t="inlineStr">
        <is>
          <t>Series B</t>
        </is>
      </c>
      <c r="I1533" t="inlineStr">
        <is>
          <t>Growth</t>
        </is>
      </c>
      <c r="J1533" t="inlineStr">
        <is>
          <t>Foodtech</t>
        </is>
      </c>
      <c r="K1533" t="inlineStr">
        <is>
          <t>Unknown</t>
        </is>
      </c>
      <c r="L1533" t="inlineStr">
        <is>
          <t>Artal Asia; Negen Undiscovered Value Fund; Aurum Rising India Fund</t>
        </is>
      </c>
      <c r="M1533" t="inlineStr">
        <is>
          <t>Artal Asia; Negen Undiscovered Value Fund; Aurum Rising India Fund</t>
        </is>
      </c>
      <c r="N1533" t="inlineStr">
        <is>
          <t>entrackr | inc42 | et | vccircle</t>
        </is>
      </c>
      <c r="O1533" s="20" t="n">
        <v>4</v>
      </c>
      <c r="P1533" s="21" t="n">
        <v>0.3</v>
      </c>
      <c r="Q1533" t="inlineStr">
        <is>
          <t>C07</t>
        </is>
      </c>
      <c r="R1533" s="22" t="inlineStr">
        <is>
          <t>https://entrackr.com/news/burger-singh-raises-rs-82-cr-in-series-b-round-11224074</t>
        </is>
      </c>
    </row>
    <row r="1534">
      <c r="A1534" t="inlineStr">
        <is>
          <t>R260318-cometchat</t>
        </is>
      </c>
      <c r="B1534" t="inlineStr">
        <is>
          <t>CometChat</t>
        </is>
      </c>
      <c r="C1534" s="17" t="n">
        <v>46099</v>
      </c>
      <c r="D1534" s="18" t="n">
        <v>46082</v>
      </c>
      <c r="E1534" s="19" t="n">
        <v>6.5</v>
      </c>
      <c r="F1534" s="19" t="n">
        <v>60.39</v>
      </c>
      <c r="G1534" t="inlineStr">
        <is>
          <t>$6.5 million</t>
        </is>
      </c>
      <c r="H1534" t="inlineStr">
        <is>
          <t>Undisclosed</t>
        </is>
      </c>
      <c r="I1534" t="inlineStr">
        <is>
          <t>Undisclosed</t>
        </is>
      </c>
      <c r="J1534" t="inlineStr">
        <is>
          <t>Enterprise Tech</t>
        </is>
      </c>
      <c r="K1534" t="inlineStr">
        <is>
          <t>Unknown</t>
        </is>
      </c>
      <c r="L1534" t="inlineStr">
        <is>
          <t>Run Ventures</t>
        </is>
      </c>
      <c r="M1534" t="inlineStr">
        <is>
          <t>Run Ventures</t>
        </is>
      </c>
      <c r="N1534" t="inlineStr">
        <is>
          <t>entrackr | inc42 | et</t>
        </is>
      </c>
      <c r="O1534" s="20" t="n">
        <v>3</v>
      </c>
      <c r="P1534" s="21" t="n">
        <v>0</v>
      </c>
      <c r="Q1534" t="inlineStr">
        <is>
          <t>C04 C07</t>
        </is>
      </c>
      <c r="R1534" s="22" t="inlineStr">
        <is>
          <t>https://entrackr.com/snippets/cometchat-raises-65-mn-from-run-ventures-11223504</t>
        </is>
      </c>
    </row>
    <row r="1535">
      <c r="A1535" t="inlineStr">
        <is>
          <t>R260318-laani</t>
        </is>
      </c>
      <c r="B1535" t="inlineStr">
        <is>
          <t>Laani</t>
        </is>
      </c>
      <c r="C1535" s="17" t="n">
        <v>46099</v>
      </c>
      <c r="D1535" s="18" t="n">
        <v>46082</v>
      </c>
      <c r="E1535" s="19" t="n">
        <v>0.98</v>
      </c>
      <c r="F1535" s="19" t="n">
        <v>9.1</v>
      </c>
      <c r="G1535" t="inlineStr">
        <is>
          <t>Rs 9.1 crore</t>
        </is>
      </c>
      <c r="H1535" t="inlineStr">
        <is>
          <t>Pre-Seed</t>
        </is>
      </c>
      <c r="I1535" t="inlineStr">
        <is>
          <t>Early</t>
        </is>
      </c>
      <c r="J1535" t="inlineStr">
        <is>
          <t>Ecommerce</t>
        </is>
      </c>
      <c r="K1535" t="inlineStr">
        <is>
          <t>Unknown</t>
        </is>
      </c>
      <c r="L1535" t="inlineStr">
        <is>
          <t>V3 Ventures; Saama Capital</t>
        </is>
      </c>
      <c r="M1535" t="inlineStr">
        <is>
          <t>V3 Ventures; Saama Capital; Arjun Purkayastha; Manish Taneja; Kunal Bahl; Aneesh Sheth</t>
        </is>
      </c>
      <c r="N1535" t="inlineStr">
        <is>
          <t>entrackr | inc42</t>
        </is>
      </c>
      <c r="O1535" s="20" t="n">
        <v>2</v>
      </c>
      <c r="P1535" s="21" t="n">
        <v>0.7</v>
      </c>
      <c r="Q1535" t="inlineStr">
        <is>
          <t>C07</t>
        </is>
      </c>
      <c r="R1535" s="22" t="inlineStr">
        <is>
          <t>https://inc42.com/buzz/from-neo-to-atlys-indian-startups-raised-228-mn-this-week-2/</t>
        </is>
      </c>
    </row>
    <row r="1536">
      <c r="A1536" t="inlineStr">
        <is>
          <t>R260318-optimocapital</t>
        </is>
      </c>
      <c r="B1536" t="inlineStr">
        <is>
          <t>Optimo Capital</t>
        </is>
      </c>
      <c r="C1536" s="17" t="n">
        <v>46099</v>
      </c>
      <c r="D1536" s="18" t="n">
        <v>46082</v>
      </c>
      <c r="E1536" s="19" t="n">
        <v>10.764</v>
      </c>
      <c r="F1536" s="19" t="n">
        <v>100</v>
      </c>
      <c r="G1536" t="inlineStr">
        <is>
          <t>Rs 100 crore</t>
        </is>
      </c>
      <c r="H1536" t="inlineStr">
        <is>
          <t>Debt</t>
        </is>
      </c>
      <c r="I1536" t="inlineStr">
        <is>
          <t>Debt</t>
        </is>
      </c>
      <c r="J1536" t="inlineStr">
        <is>
          <t>Fintech</t>
        </is>
      </c>
      <c r="K1536" t="inlineStr">
        <is>
          <t>Bengaluru</t>
        </is>
      </c>
      <c r="L1536" t="inlineStr"/>
      <c r="M1536" t="inlineStr">
        <is>
          <t>Punjab National Bank; Blume Ventures; Omnivore; Prashant Pitti</t>
        </is>
      </c>
      <c r="N1536" t="inlineStr">
        <is>
          <t>entrackr</t>
        </is>
      </c>
      <c r="O1536" s="20" t="n">
        <v>1</v>
      </c>
      <c r="P1536" s="21" t="n">
        <v>0</v>
      </c>
      <c r="Q1536" t="inlineStr"/>
      <c r="R1536" s="22" t="inlineStr">
        <is>
          <t>https://entrackr.com/snippets/prashant-pittis-optimo-capital-raises-rs-100-cr-from-pnb-11224352</t>
        </is>
      </c>
    </row>
    <row r="1537">
      <c r="A1537" t="inlineStr">
        <is>
          <t>R260318-verbaflo</t>
        </is>
      </c>
      <c r="B1537" t="inlineStr">
        <is>
          <t>VerbaFlo</t>
        </is>
      </c>
      <c r="C1537" s="17" t="n">
        <v>46099</v>
      </c>
      <c r="D1537" s="18" t="n">
        <v>46082</v>
      </c>
      <c r="E1537" s="19" t="n">
        <v>7</v>
      </c>
      <c r="F1537" s="19" t="n">
        <v>65.03</v>
      </c>
      <c r="G1537" t="inlineStr">
        <is>
          <t>$7 million</t>
        </is>
      </c>
      <c r="H1537" t="inlineStr">
        <is>
          <t>Seed</t>
        </is>
      </c>
      <c r="I1537" t="inlineStr">
        <is>
          <t>Early</t>
        </is>
      </c>
      <c r="J1537" t="inlineStr">
        <is>
          <t>Artificial Intelligence</t>
        </is>
      </c>
      <c r="K1537" t="inlineStr">
        <is>
          <t>Outside India</t>
        </is>
      </c>
      <c r="L1537" t="inlineStr">
        <is>
          <t>Pi Labs</t>
        </is>
      </c>
      <c r="M1537" t="inlineStr">
        <is>
          <t>Haatch; Navigate Ventures; Old College Capital; Pi Labs</t>
        </is>
      </c>
      <c r="N1537" t="inlineStr">
        <is>
          <t>entrackr | inc42 | et</t>
        </is>
      </c>
      <c r="O1537" s="20" t="n">
        <v>3</v>
      </c>
      <c r="P1537" s="21" t="n">
        <v>0</v>
      </c>
      <c r="Q1537" t="inlineStr"/>
      <c r="R1537" s="22" t="inlineStr">
        <is>
          <t>https://entrackr.com/snippets/conversational-ai-platform-verbaflo-raises-7-mn-in-seed-round-led-by-pi-labs-11224140</t>
        </is>
      </c>
    </row>
    <row r="1538">
      <c r="A1538" t="inlineStr">
        <is>
          <t>R260318-weaverservices</t>
        </is>
      </c>
      <c r="B1538" t="inlineStr">
        <is>
          <t>Weaver Services</t>
        </is>
      </c>
      <c r="C1538" s="17" t="n">
        <v>46099</v>
      </c>
      <c r="D1538" s="18" t="n">
        <v>46082</v>
      </c>
      <c r="E1538" s="19" t="n">
        <v>156.082</v>
      </c>
      <c r="F1538" s="19" t="n">
        <v>1450</v>
      </c>
      <c r="G1538" t="inlineStr">
        <is>
          <t>Rs 1,450 crore</t>
        </is>
      </c>
      <c r="H1538" t="inlineStr">
        <is>
          <t>Undisclosed</t>
        </is>
      </c>
      <c r="I1538" t="inlineStr">
        <is>
          <t>Undisclosed</t>
        </is>
      </c>
      <c r="J1538" t="inlineStr">
        <is>
          <t>Fintech</t>
        </is>
      </c>
      <c r="K1538" t="inlineStr">
        <is>
          <t>Mumbai</t>
        </is>
      </c>
      <c r="L1538" t="inlineStr">
        <is>
          <t>Premji Invest; Lightspeed</t>
        </is>
      </c>
      <c r="M1538" t="inlineStr">
        <is>
          <t>Premji Invest; Lightspeed; Gaja Capital</t>
        </is>
      </c>
      <c r="N1538" t="inlineStr">
        <is>
          <t>entrackr</t>
        </is>
      </c>
      <c r="O1538" s="20" t="n">
        <v>1</v>
      </c>
      <c r="P1538" s="21" t="n">
        <v>0</v>
      </c>
      <c r="Q1538" t="inlineStr">
        <is>
          <t>C04</t>
        </is>
      </c>
      <c r="R1538" s="22" t="inlineStr">
        <is>
          <t>https://entrackr.com/news/weaver-services-raises-rs-1450-cr-led-by-premji-invest-and-lightspeed-11224855</t>
        </is>
      </c>
    </row>
    <row r="1539">
      <c r="A1539" t="inlineStr">
        <is>
          <t>R260319-assiduus</t>
        </is>
      </c>
      <c r="B1539" t="inlineStr">
        <is>
          <t>Assiduus</t>
        </is>
      </c>
      <c r="C1539" s="17" t="n">
        <v>46100</v>
      </c>
      <c r="D1539" s="18" t="n">
        <v>46082</v>
      </c>
      <c r="E1539" s="19" t="n">
        <v>25</v>
      </c>
      <c r="F1539" s="19" t="n">
        <v>233.12</v>
      </c>
      <c r="G1539" t="inlineStr">
        <is>
          <t>$25 Mn</t>
        </is>
      </c>
      <c r="H1539" t="inlineStr">
        <is>
          <t>Pre-Series B</t>
        </is>
      </c>
      <c r="I1539" t="inlineStr">
        <is>
          <t>Growth</t>
        </is>
      </c>
      <c r="J1539" t="inlineStr">
        <is>
          <t>Enterprise Tech</t>
        </is>
      </c>
      <c r="K1539" t="inlineStr">
        <is>
          <t>Unknown</t>
        </is>
      </c>
      <c r="L1539" t="inlineStr">
        <is>
          <t>Bajaj FinServ</t>
        </is>
      </c>
      <c r="M1539" t="inlineStr">
        <is>
          <t>Bajaj FinServ; Uncorrelated Ventures; Aaruda Technology Fund</t>
        </is>
      </c>
      <c r="N1539" t="inlineStr">
        <is>
          <t>inc42</t>
        </is>
      </c>
      <c r="O1539" s="20" t="n">
        <v>1</v>
      </c>
      <c r="P1539" s="21" t="n">
        <v>0</v>
      </c>
      <c r="Q1539" t="inlineStr">
        <is>
          <t>C07</t>
        </is>
      </c>
      <c r="R1539" s="22" t="inlineStr">
        <is>
          <t>https://inc42.com/buzz/from-neo-to-atlys-indian-startups-raised-228-mn-this-week-2/</t>
        </is>
      </c>
    </row>
    <row r="1540">
      <c r="A1540" t="inlineStr">
        <is>
          <t>R260319-mavehealth</t>
        </is>
      </c>
      <c r="B1540" t="inlineStr">
        <is>
          <t>Mave Health</t>
        </is>
      </c>
      <c r="C1540" s="17" t="n">
        <v>46100</v>
      </c>
      <c r="D1540" s="18" t="n">
        <v>46082</v>
      </c>
      <c r="E1540" s="19" t="n">
        <v>2.1</v>
      </c>
      <c r="F1540" s="19" t="n">
        <v>19.58</v>
      </c>
      <c r="G1540" t="inlineStr">
        <is>
          <t>$2.1 million</t>
        </is>
      </c>
      <c r="H1540" t="inlineStr">
        <is>
          <t>Seed</t>
        </is>
      </c>
      <c r="I1540" t="inlineStr">
        <is>
          <t>Early</t>
        </is>
      </c>
      <c r="J1540" t="inlineStr">
        <is>
          <t>Healthtech</t>
        </is>
      </c>
      <c r="K1540" t="inlineStr">
        <is>
          <t>Unknown</t>
        </is>
      </c>
      <c r="L1540" t="inlineStr">
        <is>
          <t>Blume Ventures</t>
        </is>
      </c>
      <c r="M1540" t="inlineStr">
        <is>
          <t>Blume Ventures; All In Capital; Inuka Capital; Raymond Russell; Aureolis Ventures; Juhi Bhatnagar</t>
        </is>
      </c>
      <c r="N1540" t="inlineStr">
        <is>
          <t>entrackr | inc42</t>
        </is>
      </c>
      <c r="O1540" s="20" t="n">
        <v>2</v>
      </c>
      <c r="P1540" s="21" t="n">
        <v>0</v>
      </c>
      <c r="Q1540" t="inlineStr">
        <is>
          <t>C07</t>
        </is>
      </c>
      <c r="R1540" s="22" t="inlineStr">
        <is>
          <t>https://entrackr.com/snippets/neurotechnology-startup-mave-health-secures-21-mn-led-by-blume-ventures-11227402</t>
        </is>
      </c>
    </row>
    <row r="1541">
      <c r="A1541" t="inlineStr">
        <is>
          <t>R260319-pinqpolka</t>
        </is>
      </c>
      <c r="B1541" t="inlineStr">
        <is>
          <t>Pinq Polka</t>
        </is>
      </c>
      <c r="C1541" s="17" t="n">
        <v>46100</v>
      </c>
      <c r="D1541" s="18" t="n">
        <v>46082</v>
      </c>
      <c r="E1541" s="19" t="n">
        <v>0.429</v>
      </c>
      <c r="F1541" s="19" t="n">
        <v>4</v>
      </c>
      <c r="G1541" t="inlineStr">
        <is>
          <t>Rs 4 crore</t>
        </is>
      </c>
      <c r="H1541" t="inlineStr">
        <is>
          <t>Pre-Series A</t>
        </is>
      </c>
      <c r="I1541" t="inlineStr">
        <is>
          <t>Early</t>
        </is>
      </c>
      <c r="J1541" t="inlineStr">
        <is>
          <t>Ecommerce</t>
        </is>
      </c>
      <c r="K1541" t="inlineStr">
        <is>
          <t>Delhi NCR</t>
        </is>
      </c>
      <c r="L1541" t="inlineStr">
        <is>
          <t>Inflection Point Ventures</t>
        </is>
      </c>
      <c r="M1541" t="inlineStr">
        <is>
          <t>Inflection Point Ventures</t>
        </is>
      </c>
      <c r="N1541" t="inlineStr">
        <is>
          <t>entrackr | inc42</t>
        </is>
      </c>
      <c r="O1541" s="20" t="n">
        <v>2</v>
      </c>
      <c r="P1541" s="21" t="n">
        <v>11.7</v>
      </c>
      <c r="Q1541" t="inlineStr">
        <is>
          <t>C15</t>
        </is>
      </c>
      <c r="R1541" s="22" t="inlineStr">
        <is>
          <t>https://entrackr.com/snippets/ipv-leads-pre-series-a-round-in-pinq-polka-11227264</t>
        </is>
      </c>
    </row>
    <row r="1542">
      <c r="A1542" t="inlineStr">
        <is>
          <t>R260319-rymotechnologi</t>
        </is>
      </c>
      <c r="B1542" t="inlineStr">
        <is>
          <t>Rymo Technologies</t>
        </is>
      </c>
      <c r="C1542" s="17" t="n">
        <v>46100</v>
      </c>
      <c r="D1542" s="18" t="n">
        <v>46082</v>
      </c>
      <c r="E1542" s="19" t="n">
        <v>1.072</v>
      </c>
      <c r="F1542" s="19" t="n">
        <v>10</v>
      </c>
      <c r="G1542" t="inlineStr">
        <is>
          <t>Rs 10 crore</t>
        </is>
      </c>
      <c r="H1542" t="inlineStr">
        <is>
          <t>Seed</t>
        </is>
      </c>
      <c r="I1542" t="inlineStr">
        <is>
          <t>Early</t>
        </is>
      </c>
      <c r="J1542" t="inlineStr">
        <is>
          <t>Healthtech</t>
        </is>
      </c>
      <c r="K1542" t="inlineStr">
        <is>
          <t>Mumbai</t>
        </is>
      </c>
      <c r="L1542" t="inlineStr">
        <is>
          <t>IAN Angel Fund</t>
        </is>
      </c>
      <c r="M1542" t="inlineStr">
        <is>
          <t>IAN Angel Fund</t>
        </is>
      </c>
      <c r="N1542" t="inlineStr">
        <is>
          <t>entrackr | inc42</t>
        </is>
      </c>
      <c r="O1542" s="20" t="n">
        <v>2</v>
      </c>
      <c r="P1542" s="21" t="n">
        <v>11.9</v>
      </c>
      <c r="Q1542" t="inlineStr">
        <is>
          <t>C15</t>
        </is>
      </c>
      <c r="R1542" s="22" t="inlineStr">
        <is>
          <t>https://entrackr.com/snippets/neuro-rehabilitation-startup-rymo-technologies-secures-rs-10-cr-in-seed-round-11228049</t>
        </is>
      </c>
    </row>
    <row r="1543">
      <c r="A1543" t="inlineStr">
        <is>
          <t>R260320-aamraseniorscl</t>
        </is>
      </c>
      <c r="B1543" t="inlineStr">
        <is>
          <t>Aamra Seniors Club</t>
        </is>
      </c>
      <c r="C1543" s="17" t="n">
        <v>46101</v>
      </c>
      <c r="D1543" s="18" t="n">
        <v>46082</v>
      </c>
      <c r="E1543" s="19" t="n">
        <v>0.15</v>
      </c>
      <c r="F1543" s="19" t="n">
        <v>1.4</v>
      </c>
      <c r="G1543" t="inlineStr">
        <is>
          <t>$150,000</t>
        </is>
      </c>
      <c r="H1543" t="inlineStr">
        <is>
          <t>Pre-Seed</t>
        </is>
      </c>
      <c r="I1543" t="inlineStr">
        <is>
          <t>Early</t>
        </is>
      </c>
      <c r="J1543" t="inlineStr">
        <is>
          <t>Healthtech</t>
        </is>
      </c>
      <c r="K1543" t="inlineStr">
        <is>
          <t>Delhi NCR</t>
        </is>
      </c>
      <c r="L1543" t="inlineStr"/>
      <c r="M1543" t="inlineStr"/>
      <c r="N1543" t="inlineStr">
        <is>
          <t>entrackr</t>
        </is>
      </c>
      <c r="O1543" s="20" t="n">
        <v>1</v>
      </c>
      <c r="P1543" s="21" t="n">
        <v>0</v>
      </c>
      <c r="Q1543" t="inlineStr">
        <is>
          <t>C05</t>
        </is>
      </c>
      <c r="R1543" s="22" t="inlineStr">
        <is>
          <t>https://entrackr.com/snippets/aamra-seniors-club-raises-150k-in-pre-seed-round-11247180</t>
        </is>
      </c>
    </row>
    <row r="1544">
      <c r="A1544" t="inlineStr">
        <is>
          <t>R260323-bidso</t>
        </is>
      </c>
      <c r="B1544" t="inlineStr">
        <is>
          <t>Bidso</t>
        </is>
      </c>
      <c r="C1544" s="17" t="n">
        <v>46104</v>
      </c>
      <c r="D1544" s="18" t="n">
        <v>46082</v>
      </c>
      <c r="E1544" s="19" t="n">
        <v>6.758</v>
      </c>
      <c r="F1544" s="19" t="n">
        <v>63</v>
      </c>
      <c r="G1544" t="inlineStr">
        <is>
          <t>Rs 63 crore</t>
        </is>
      </c>
      <c r="H1544" t="inlineStr">
        <is>
          <t>Series A</t>
        </is>
      </c>
      <c r="I1544" t="inlineStr">
        <is>
          <t>Early</t>
        </is>
      </c>
      <c r="J1544" t="inlineStr">
        <is>
          <t>Enterprise Tech</t>
        </is>
      </c>
      <c r="K1544" t="inlineStr">
        <is>
          <t>Bengaluru</t>
        </is>
      </c>
      <c r="L1544" t="inlineStr">
        <is>
          <t>Blume Ventures</t>
        </is>
      </c>
      <c r="M1544" t="inlineStr">
        <is>
          <t>Blume Ventures; Peer Capital; Sadev Capital; Alteria Capital; PeerCapital; 000; DeVC; Mohit Sadaani; Nishit Garg; OfBusiness Founders Fund; Saurabh Jain; Revant Bhate</t>
        </is>
      </c>
      <c r="N1544" t="inlineStr">
        <is>
          <t>entrackr | inc42 | et</t>
        </is>
      </c>
      <c r="O1544" s="20" t="n">
        <v>3</v>
      </c>
      <c r="P1544" s="21" t="n">
        <v>0.6</v>
      </c>
      <c r="Q1544" t="inlineStr">
        <is>
          <t>C16</t>
        </is>
      </c>
      <c r="R1544" s="22" t="inlineStr">
        <is>
          <t>https://entrackr.com/news/toy-manufacturing-startup-bidso-secures-rs-63-cr-in-series-a-led-by-blume-ventures-11254502</t>
        </is>
      </c>
    </row>
    <row r="1545">
      <c r="A1545" t="inlineStr">
        <is>
          <t>R260323-cultfit</t>
        </is>
      </c>
      <c r="B1545" t="inlineStr">
        <is>
          <t>Cultfit</t>
        </is>
      </c>
      <c r="C1545" s="17" t="n">
        <v>46104</v>
      </c>
      <c r="D1545" s="18" t="n">
        <v>46082</v>
      </c>
      <c r="E1545" s="19" t="n">
        <v>47</v>
      </c>
      <c r="F1545" s="19" t="n">
        <v>438.13</v>
      </c>
      <c r="G1545" t="inlineStr">
        <is>
          <t>$47 million</t>
        </is>
      </c>
      <c r="H1545" t="inlineStr">
        <is>
          <t>Undisclosed</t>
        </is>
      </c>
      <c r="I1545" t="inlineStr">
        <is>
          <t>Undisclosed</t>
        </is>
      </c>
      <c r="J1545" t="inlineStr">
        <is>
          <t>Consumer Services</t>
        </is>
      </c>
      <c r="K1545" t="inlineStr">
        <is>
          <t>Bengaluru</t>
        </is>
      </c>
      <c r="L1545" t="inlineStr"/>
      <c r="M1545" t="inlineStr">
        <is>
          <t>Temasek</t>
        </is>
      </c>
      <c r="N1545" t="inlineStr">
        <is>
          <t>et</t>
        </is>
      </c>
      <c r="O1545" s="20" t="n">
        <v>1</v>
      </c>
      <c r="P1545" s="21" t="n">
        <v>0</v>
      </c>
      <c r="Q1545" t="inlineStr">
        <is>
          <t>C04</t>
        </is>
      </c>
      <c r="R1545" s="22" t="inlineStr">
        <is>
          <t>https://economictimes.indiatimes.com/tech/funding/cultfit-raises-47-million-from-singapores-temasek/articleshow/129755743.cms</t>
        </is>
      </c>
    </row>
    <row r="1546">
      <c r="A1546" t="inlineStr">
        <is>
          <t>R260323-finfinity</t>
        </is>
      </c>
      <c r="B1546" t="inlineStr">
        <is>
          <t>Finfinity</t>
        </is>
      </c>
      <c r="C1546" s="17" t="n">
        <v>46104</v>
      </c>
      <c r="D1546" s="18" t="n">
        <v>46082</v>
      </c>
      <c r="E1546" s="19" t="n">
        <v>2.4</v>
      </c>
      <c r="F1546" s="19" t="n">
        <v>22.37</v>
      </c>
      <c r="G1546" t="inlineStr">
        <is>
          <t>$2.4 million</t>
        </is>
      </c>
      <c r="H1546" t="inlineStr">
        <is>
          <t>Seed</t>
        </is>
      </c>
      <c r="I1546" t="inlineStr">
        <is>
          <t>Early</t>
        </is>
      </c>
      <c r="J1546" t="inlineStr">
        <is>
          <t>Fintech</t>
        </is>
      </c>
      <c r="K1546" t="inlineStr">
        <is>
          <t>Mumbai</t>
        </is>
      </c>
      <c r="L1546" t="inlineStr">
        <is>
          <t>Mankind Pharma Promoter Family Office</t>
        </is>
      </c>
      <c r="M1546" t="inlineStr">
        <is>
          <t>Mankind Pharma Promoter Family Office; Vi-John Group; Sanjay Singhvi; Bavadekar Reddy; Malani Ventures; Bavadeep Reddy</t>
        </is>
      </c>
      <c r="N1546" t="inlineStr">
        <is>
          <t>entrackr | inc42</t>
        </is>
      </c>
      <c r="O1546" s="20" t="n">
        <v>2</v>
      </c>
      <c r="P1546" s="21" t="n">
        <v>0</v>
      </c>
      <c r="Q1546" t="inlineStr"/>
      <c r="R1546" s="22" t="inlineStr">
        <is>
          <t>https://entrackr.com/snippets/digital-lending-marketplace-finfinity-raises-24-mn-in-seed-round-11254722</t>
        </is>
      </c>
    </row>
    <row r="1547">
      <c r="A1547" t="inlineStr">
        <is>
          <t>R260323-letzryd</t>
        </is>
      </c>
      <c r="B1547" t="inlineStr">
        <is>
          <t>LetzRyd</t>
        </is>
      </c>
      <c r="C1547" s="17" t="n">
        <v>46104</v>
      </c>
      <c r="D1547" s="18" t="n">
        <v>46082</v>
      </c>
      <c r="E1547" s="19" t="n">
        <v>4</v>
      </c>
      <c r="F1547" s="19" t="n">
        <v>37.29</v>
      </c>
      <c r="G1547" t="inlineStr">
        <is>
          <t>$4 million</t>
        </is>
      </c>
      <c r="H1547" t="inlineStr">
        <is>
          <t>Series A</t>
        </is>
      </c>
      <c r="I1547" t="inlineStr">
        <is>
          <t>Early</t>
        </is>
      </c>
      <c r="J1547" t="inlineStr">
        <is>
          <t>Travel Tech</t>
        </is>
      </c>
      <c r="K1547" t="inlineStr">
        <is>
          <t>Bengaluru</t>
        </is>
      </c>
      <c r="L1547" t="inlineStr">
        <is>
          <t>JIF Capital</t>
        </is>
      </c>
      <c r="M1547" t="inlineStr">
        <is>
          <t>JIF Capital; 15th Rock; UNLEASH Capital Partners</t>
        </is>
      </c>
      <c r="N1547" t="inlineStr">
        <is>
          <t>entrackr | inc42</t>
        </is>
      </c>
      <c r="O1547" s="20" t="n">
        <v>2</v>
      </c>
      <c r="P1547" s="21" t="n">
        <v>0</v>
      </c>
      <c r="Q1547" t="inlineStr"/>
      <c r="R1547" s="22" t="inlineStr">
        <is>
          <t>https://entrackr.com/snippets/jif-capital-leads-4-mn-series-a-round-in-letzryd-11256224</t>
        </is>
      </c>
    </row>
    <row r="1548">
      <c r="A1548" t="inlineStr">
        <is>
          <t>R260323-raanro</t>
        </is>
      </c>
      <c r="B1548" t="inlineStr">
        <is>
          <t>Raanro Interior Technology</t>
        </is>
      </c>
      <c r="C1548" s="17" t="n">
        <v>46104</v>
      </c>
      <c r="D1548" s="18" t="n">
        <v>46082</v>
      </c>
      <c r="E1548" s="19" t="n">
        <v>0.442</v>
      </c>
      <c r="F1548" s="19" t="n">
        <v>4.12</v>
      </c>
      <c r="G1548" t="inlineStr">
        <is>
          <t>Rs 4.12 crore</t>
        </is>
      </c>
      <c r="H1548" t="inlineStr">
        <is>
          <t>Pre-Seed</t>
        </is>
      </c>
      <c r="I1548" t="inlineStr">
        <is>
          <t>Early</t>
        </is>
      </c>
      <c r="J1548" t="inlineStr">
        <is>
          <t>Real Estate Tech</t>
        </is>
      </c>
      <c r="K1548" t="inlineStr">
        <is>
          <t>Unknown</t>
        </is>
      </c>
      <c r="L1548" t="inlineStr"/>
      <c r="M1548" t="inlineStr">
        <is>
          <t>Stargazer Fund; Kunal Shah; Ankit Nagori; Gaurav Singh Kushwaha; Prashant Tandon; Gaurav Agarwal; Anshuman Singh</t>
        </is>
      </c>
      <c r="N1548" t="inlineStr">
        <is>
          <t>entrackr | inc42</t>
        </is>
      </c>
      <c r="O1548" s="20" t="n">
        <v>2</v>
      </c>
      <c r="P1548" s="21" t="n">
        <v>4.7</v>
      </c>
      <c r="Q1548" t="inlineStr">
        <is>
          <t>C07</t>
        </is>
      </c>
      <c r="R1548" s="22" t="inlineStr">
        <is>
          <t>https://entrackr.com/snippets/magical-nest-operator-raanro-raises-pre-seed-round-11256761</t>
        </is>
      </c>
    </row>
    <row r="1549">
      <c r="A1549" t="inlineStr">
        <is>
          <t>R260323-workroomautoma</t>
        </is>
      </c>
      <c r="B1549" t="inlineStr">
        <is>
          <t>Workroom Automation</t>
        </is>
      </c>
      <c r="C1549" s="17" t="n">
        <v>46104</v>
      </c>
      <c r="D1549" s="18" t="n">
        <v>46082</v>
      </c>
      <c r="E1549" s="19" t="n">
        <v>0.665</v>
      </c>
      <c r="F1549" s="19" t="n">
        <v>6.2</v>
      </c>
      <c r="G1549" t="inlineStr">
        <is>
          <t>Rs 6.2 crore</t>
        </is>
      </c>
      <c r="H1549" t="inlineStr">
        <is>
          <t>Seed</t>
        </is>
      </c>
      <c r="I1549" t="inlineStr">
        <is>
          <t>Early</t>
        </is>
      </c>
      <c r="J1549" t="inlineStr">
        <is>
          <t>Enterprise Tech</t>
        </is>
      </c>
      <c r="K1549" t="inlineStr">
        <is>
          <t>Hyderabad</t>
        </is>
      </c>
      <c r="L1549" t="inlineStr">
        <is>
          <t>Equirus</t>
        </is>
      </c>
      <c r="M1549" t="inlineStr">
        <is>
          <t>Equirus; Astir Ventures; Venture Catalysts Group; Bhavik Dholakia; Vishal Shah; Dr. Varun Patel; Dr. Viraj Lavingia; Bhavin Sodavadiya</t>
        </is>
      </c>
      <c r="N1549" t="inlineStr">
        <is>
          <t>entrackr | inc42</t>
        </is>
      </c>
      <c r="O1549" s="20" t="n">
        <v>2</v>
      </c>
      <c r="P1549" s="21" t="n">
        <v>1.5</v>
      </c>
      <c r="Q1549" t="inlineStr"/>
      <c r="R1549" s="22" t="inlineStr">
        <is>
          <t>https://entrackr.com/snippets/workroom-automation-raises-seed-funding-led-by-equirus-innovatex-fund-11254713</t>
        </is>
      </c>
    </row>
    <row r="1550">
      <c r="A1550" t="inlineStr">
        <is>
          <t>R260324-curefit</t>
        </is>
      </c>
      <c r="B1550" t="inlineStr">
        <is>
          <t>CureFit</t>
        </is>
      </c>
      <c r="C1550" s="17" t="n">
        <v>46105</v>
      </c>
      <c r="D1550" s="18" t="n">
        <v>46082</v>
      </c>
      <c r="E1550" s="19" t="n">
        <v>47.2</v>
      </c>
      <c r="F1550" s="19" t="n">
        <v>442.97</v>
      </c>
      <c r="G1550" t="inlineStr">
        <is>
          <t>$47.2 Mn</t>
        </is>
      </c>
      <c r="H1550" t="inlineStr">
        <is>
          <t>Series G</t>
        </is>
      </c>
      <c r="I1550" t="inlineStr">
        <is>
          <t>Late</t>
        </is>
      </c>
      <c r="J1550" t="inlineStr">
        <is>
          <t>Healthtech</t>
        </is>
      </c>
      <c r="K1550" t="inlineStr">
        <is>
          <t>Unknown</t>
        </is>
      </c>
      <c r="L1550" t="inlineStr">
        <is>
          <t>Temasek</t>
        </is>
      </c>
      <c r="M1550" t="inlineStr">
        <is>
          <t>Temasek</t>
        </is>
      </c>
      <c r="N1550" t="inlineStr">
        <is>
          <t>inc42</t>
        </is>
      </c>
      <c r="O1550" s="20" t="n">
        <v>1</v>
      </c>
      <c r="P1550" s="21" t="n">
        <v>0</v>
      </c>
      <c r="Q1550" t="inlineStr">
        <is>
          <t>C07</t>
        </is>
      </c>
      <c r="R1550" s="22" t="inlineStr">
        <is>
          <t>https://inc42.com/buzz/from-euler-motors-to-rocketlane-indian-startups-raised-343-mn-this-week/</t>
        </is>
      </c>
    </row>
    <row r="1551">
      <c r="A1551" t="inlineStr">
        <is>
          <t>R260324-curiouscatsai</t>
        </is>
      </c>
      <c r="B1551" t="inlineStr">
        <is>
          <t>CuriousCats.ai</t>
        </is>
      </c>
      <c r="C1551" s="17" t="n">
        <v>46105</v>
      </c>
      <c r="D1551" s="18" t="n">
        <v>46082</v>
      </c>
      <c r="E1551" s="19" t="n"/>
      <c r="F1551" s="19" t="n"/>
      <c r="G1551" t="inlineStr"/>
      <c r="H1551" t="inlineStr">
        <is>
          <t>Pre-Seed</t>
        </is>
      </c>
      <c r="I1551" t="inlineStr">
        <is>
          <t>Early</t>
        </is>
      </c>
      <c r="J1551" t="inlineStr">
        <is>
          <t>Media &amp; Entertainment</t>
        </is>
      </c>
      <c r="K1551" t="inlineStr">
        <is>
          <t>Unknown</t>
        </is>
      </c>
      <c r="L1551" t="inlineStr">
        <is>
          <t>Sachin Shenoy</t>
        </is>
      </c>
      <c r="M1551" t="inlineStr">
        <is>
          <t>Sachin Shenoy; Tushar Vashisht; Abhijit Khasnis; Issac John; Nikhil Moorjani</t>
        </is>
      </c>
      <c r="N1551" t="inlineStr">
        <is>
          <t>inc42</t>
        </is>
      </c>
      <c r="O1551" s="20" t="n">
        <v>1</v>
      </c>
      <c r="P1551" s="21" t="n"/>
      <c r="Q1551" t="inlineStr">
        <is>
          <t>C03 C07</t>
        </is>
      </c>
      <c r="R1551" s="22" t="inlineStr">
        <is>
          <t>https://inc42.com/buzz/from-euler-motors-to-rocketlane-indian-startups-raised-343-mn-this-week/</t>
        </is>
      </c>
    </row>
    <row r="1552">
      <c r="A1552" t="inlineStr">
        <is>
          <t>R260324-eulermotors</t>
        </is>
      </c>
      <c r="B1552" t="inlineStr">
        <is>
          <t>Euler Motors</t>
        </is>
      </c>
      <c r="C1552" s="17" t="n">
        <v>46105</v>
      </c>
      <c r="D1552" s="18" t="n">
        <v>46082</v>
      </c>
      <c r="E1552" s="19" t="n">
        <v>46.617</v>
      </c>
      <c r="F1552" s="19" t="n">
        <v>437.5</v>
      </c>
      <c r="G1552" t="inlineStr">
        <is>
          <t>Rs 437.5 crore</t>
        </is>
      </c>
      <c r="H1552" t="inlineStr">
        <is>
          <t>Series E</t>
        </is>
      </c>
      <c r="I1552" t="inlineStr">
        <is>
          <t>Late</t>
        </is>
      </c>
      <c r="J1552" t="inlineStr">
        <is>
          <t>Cleantech</t>
        </is>
      </c>
      <c r="K1552" t="inlineStr">
        <is>
          <t>Delhi NCR</t>
        </is>
      </c>
      <c r="L1552" t="inlineStr">
        <is>
          <t>Lightrock; Blume Ventures</t>
        </is>
      </c>
      <c r="M1552" t="inlineStr">
        <is>
          <t>Lightrock; Hero MotoCorp; Blume Ventures; BlackSoil; Trifecta Capital; InnoVen Capital; Alteria Capital</t>
        </is>
      </c>
      <c r="N1552" t="inlineStr">
        <is>
          <t>entrackr | inc42 | et | vccircle</t>
        </is>
      </c>
      <c r="O1552" s="20" t="n">
        <v>4</v>
      </c>
      <c r="P1552" s="21" t="n">
        <v>57.9</v>
      </c>
      <c r="Q1552" t="inlineStr">
        <is>
          <t>C15</t>
        </is>
      </c>
      <c r="R1552" s="22" t="inlineStr">
        <is>
          <t>https://entrackr.com/news/euler-motors-raises-47-mn-in-series-e-round-led-by-lightrock-11259258</t>
        </is>
      </c>
    </row>
    <row r="1553">
      <c r="A1553" t="inlineStr">
        <is>
          <t>R260324-kidbea</t>
        </is>
      </c>
      <c r="B1553" t="inlineStr">
        <is>
          <t>Kidbea</t>
        </is>
      </c>
      <c r="C1553" s="17" t="n">
        <v>46105</v>
      </c>
      <c r="D1553" s="18" t="n">
        <v>46082</v>
      </c>
      <c r="E1553" s="19" t="n">
        <v>3.197</v>
      </c>
      <c r="F1553" s="19" t="n">
        <v>30</v>
      </c>
      <c r="G1553" t="inlineStr">
        <is>
          <t>Rs 30 crore</t>
        </is>
      </c>
      <c r="H1553" t="inlineStr">
        <is>
          <t>Series A</t>
        </is>
      </c>
      <c r="I1553" t="inlineStr">
        <is>
          <t>Early</t>
        </is>
      </c>
      <c r="J1553" t="inlineStr">
        <is>
          <t>Ecommerce</t>
        </is>
      </c>
      <c r="K1553" t="inlineStr">
        <is>
          <t>Delhi NCR</t>
        </is>
      </c>
      <c r="L1553" t="inlineStr">
        <is>
          <t>Enrission India Capital</t>
        </is>
      </c>
      <c r="M1553" t="inlineStr">
        <is>
          <t>Enrission India Capital; Inflection Point Ventures; LetsVenture; FE Securities; Venture Catalysts; Nitish Mittersain; Ritesh Malik</t>
        </is>
      </c>
      <c r="N1553" t="inlineStr">
        <is>
          <t>entrackr | inc42</t>
        </is>
      </c>
      <c r="O1553" s="20" t="n">
        <v>2</v>
      </c>
      <c r="P1553" s="21" t="n">
        <v>0.1</v>
      </c>
      <c r="Q1553" t="inlineStr"/>
      <c r="R1553" s="22" t="inlineStr">
        <is>
          <t>https://entrackr.com/snippets/kidbea-secures-rs-30-cr-in-series-a-funding-led-by-enrission-india-capital-11257759</t>
        </is>
      </c>
    </row>
    <row r="1554">
      <c r="A1554" t="inlineStr">
        <is>
          <t>R260324-metafin</t>
        </is>
      </c>
      <c r="B1554" t="inlineStr">
        <is>
          <t>Metafin</t>
        </is>
      </c>
      <c r="C1554" s="17" t="n">
        <v>46105</v>
      </c>
      <c r="D1554" s="18" t="n">
        <v>46082</v>
      </c>
      <c r="E1554" s="19" t="n">
        <v>10</v>
      </c>
      <c r="F1554" s="19" t="n">
        <v>93.84999999999999</v>
      </c>
      <c r="G1554" t="inlineStr">
        <is>
          <t>$10 million</t>
        </is>
      </c>
      <c r="H1554" t="inlineStr">
        <is>
          <t>Debt</t>
        </is>
      </c>
      <c r="I1554" t="inlineStr">
        <is>
          <t>Debt</t>
        </is>
      </c>
      <c r="J1554" t="inlineStr">
        <is>
          <t>Fintech</t>
        </is>
      </c>
      <c r="K1554" t="inlineStr">
        <is>
          <t>Unknown</t>
        </is>
      </c>
      <c r="L1554" t="inlineStr"/>
      <c r="M1554" t="inlineStr">
        <is>
          <t>Lendable</t>
        </is>
      </c>
      <c r="N1554" t="inlineStr">
        <is>
          <t>entrackr</t>
        </is>
      </c>
      <c r="O1554" s="20" t="n">
        <v>1</v>
      </c>
      <c r="P1554" s="21" t="n">
        <v>0</v>
      </c>
      <c r="Q1554" t="inlineStr">
        <is>
          <t>C07</t>
        </is>
      </c>
      <c r="R1554" s="22" t="inlineStr">
        <is>
          <t>https://entrackr.com/snippets/solar-financing-platform-metafin-secures-10-mn-debt-from-lendable-11257776</t>
        </is>
      </c>
    </row>
    <row r="1555">
      <c r="A1555" t="inlineStr">
        <is>
          <t>R260324-ozi</t>
        </is>
      </c>
      <c r="B1555" t="inlineStr">
        <is>
          <t>OZi</t>
        </is>
      </c>
      <c r="C1555" s="17" t="n">
        <v>46105</v>
      </c>
      <c r="D1555" s="18" t="n">
        <v>46082</v>
      </c>
      <c r="E1555" s="19" t="n">
        <v>6.2</v>
      </c>
      <c r="F1555" s="19" t="n">
        <v>58.19</v>
      </c>
      <c r="G1555" t="inlineStr">
        <is>
          <t>$6.2 million</t>
        </is>
      </c>
      <c r="H1555" t="inlineStr">
        <is>
          <t>Series A</t>
        </is>
      </c>
      <c r="I1555" t="inlineStr">
        <is>
          <t>Early</t>
        </is>
      </c>
      <c r="J1555" t="inlineStr">
        <is>
          <t>Ecommerce</t>
        </is>
      </c>
      <c r="K1555" t="inlineStr">
        <is>
          <t>Delhi NCR</t>
        </is>
      </c>
      <c r="L1555" t="inlineStr">
        <is>
          <t>RTP Global</t>
        </is>
      </c>
      <c r="M1555" t="inlineStr">
        <is>
          <t>RTP Global; Blume Ventures; Huddle Ventures; Zeropearl VC; Untitled Ventures</t>
        </is>
      </c>
      <c r="N1555" t="inlineStr">
        <is>
          <t>entrackr | inc42 | et</t>
        </is>
      </c>
      <c r="O1555" s="20" t="n">
        <v>3</v>
      </c>
      <c r="P1555" s="21" t="n">
        <v>0</v>
      </c>
      <c r="Q1555" t="inlineStr"/>
      <c r="R1555" s="22" t="inlineStr">
        <is>
          <t>https://entrackr.com/snippets/kids-focused-quick-commerce-platform-ozi-raises-62-mn-led-by-rtp-global-11258551</t>
        </is>
      </c>
    </row>
    <row r="1556">
      <c r="A1556" t="inlineStr">
        <is>
          <t>R260324-pranos</t>
        </is>
      </c>
      <c r="B1556" t="inlineStr">
        <is>
          <t>Pranos</t>
        </is>
      </c>
      <c r="C1556" s="17" t="n">
        <v>46105</v>
      </c>
      <c r="D1556" s="18" t="n">
        <v>46082</v>
      </c>
      <c r="E1556" s="19" t="n">
        <v>6.8</v>
      </c>
      <c r="F1556" s="19" t="n">
        <v>63.82</v>
      </c>
      <c r="G1556" t="inlineStr">
        <is>
          <t>$6.8 Mn</t>
        </is>
      </c>
      <c r="H1556" t="inlineStr">
        <is>
          <t>Undisclosed</t>
        </is>
      </c>
      <c r="I1556" t="inlineStr">
        <is>
          <t>Undisclosed</t>
        </is>
      </c>
      <c r="J1556" t="inlineStr">
        <is>
          <t>Cleantech</t>
        </is>
      </c>
      <c r="K1556" t="inlineStr">
        <is>
          <t>Bengaluru</t>
        </is>
      </c>
      <c r="L1556" t="inlineStr">
        <is>
          <t>Ankur Capital</t>
        </is>
      </c>
      <c r="M1556" t="inlineStr">
        <is>
          <t>Ankur Capital; Industrial47; Lalit Keshre; Bhukhanwala Industries</t>
        </is>
      </c>
      <c r="N1556" t="inlineStr">
        <is>
          <t>entrackr | inc42 | et</t>
        </is>
      </c>
      <c r="O1556" s="20" t="n">
        <v>3</v>
      </c>
      <c r="P1556" s="21" t="n">
        <v>0</v>
      </c>
      <c r="Q1556" t="inlineStr">
        <is>
          <t>C04</t>
        </is>
      </c>
      <c r="R1556" s="22" t="inlineStr">
        <is>
          <t>https://entrackr.com/news/pranos-raises-68-mn-to-build-high-field-fusion-reactor-technology-11257040</t>
        </is>
      </c>
    </row>
    <row r="1557">
      <c r="A1557" t="inlineStr">
        <is>
          <t>R260324-rnkids</t>
        </is>
      </c>
      <c r="B1557" t="inlineStr">
        <is>
          <t>RN Kids</t>
        </is>
      </c>
      <c r="C1557" s="17" t="n">
        <v>46105</v>
      </c>
      <c r="D1557" s="18" t="n">
        <v>46082</v>
      </c>
      <c r="E1557" s="19" t="n">
        <v>0.757</v>
      </c>
      <c r="F1557" s="19" t="n">
        <v>7.1</v>
      </c>
      <c r="G1557" t="inlineStr">
        <is>
          <t>Rs 7.1 crore</t>
        </is>
      </c>
      <c r="H1557" t="inlineStr">
        <is>
          <t>Pre-Seed</t>
        </is>
      </c>
      <c r="I1557" t="inlineStr">
        <is>
          <t>Early</t>
        </is>
      </c>
      <c r="J1557" t="inlineStr">
        <is>
          <t>Ecommerce</t>
        </is>
      </c>
      <c r="K1557" t="inlineStr">
        <is>
          <t>Unknown</t>
        </is>
      </c>
      <c r="L1557" t="inlineStr">
        <is>
          <t>Ashish Kacholia; Lashit Sanghvi</t>
        </is>
      </c>
      <c r="M1557" t="inlineStr">
        <is>
          <t>Ashish Kacholia; Lashit Sanghvi; Mohit Sadaani; Hitesh Dhingra; Ajay Mehra; Samir Palod</t>
        </is>
      </c>
      <c r="N1557" t="inlineStr">
        <is>
          <t>entrackr | inc42</t>
        </is>
      </c>
      <c r="O1557" s="20" t="n">
        <v>2</v>
      </c>
      <c r="P1557" s="21" t="n">
        <v>0.9</v>
      </c>
      <c r="Q1557" t="inlineStr">
        <is>
          <t>C07</t>
        </is>
      </c>
      <c r="R1557" s="22" t="inlineStr">
        <is>
          <t>https://entrackr.com/snippets/pediatric-wellness-startup-rn-kids-raises-pre-seed-round-11258712</t>
        </is>
      </c>
    </row>
    <row r="1558">
      <c r="A1558" t="inlineStr">
        <is>
          <t>R260324-swish</t>
        </is>
      </c>
      <c r="B1558" t="inlineStr">
        <is>
          <t>Swish</t>
        </is>
      </c>
      <c r="C1558" s="17" t="n">
        <v>46105</v>
      </c>
      <c r="D1558" s="18" t="n">
        <v>46082</v>
      </c>
      <c r="E1558" s="19" t="n">
        <v>38</v>
      </c>
      <c r="F1558" s="19" t="n">
        <v>356.63</v>
      </c>
      <c r="G1558" t="inlineStr">
        <is>
          <t>$38 million</t>
        </is>
      </c>
      <c r="H1558" t="inlineStr">
        <is>
          <t>Series B</t>
        </is>
      </c>
      <c r="I1558" t="inlineStr">
        <is>
          <t>Growth</t>
        </is>
      </c>
      <c r="J1558" t="inlineStr">
        <is>
          <t>Foodtech</t>
        </is>
      </c>
      <c r="K1558" t="inlineStr">
        <is>
          <t>Bengaluru</t>
        </is>
      </c>
      <c r="L1558" t="inlineStr">
        <is>
          <t>Hara Global; Bain Capital Ventures</t>
        </is>
      </c>
      <c r="M1558" t="inlineStr">
        <is>
          <t>Hara Global; Bain Capital Ventures; Alteria Capital; Stride Ventures; Accel</t>
        </is>
      </c>
      <c r="N1558" t="inlineStr">
        <is>
          <t>entrackr | inc42 | vccircle</t>
        </is>
      </c>
      <c r="O1558" s="20" t="n">
        <v>3</v>
      </c>
      <c r="P1558" s="21" t="n">
        <v>0</v>
      </c>
      <c r="Q1558" t="inlineStr">
        <is>
          <t>C18</t>
        </is>
      </c>
      <c r="R1558" s="22" t="inlineStr">
        <is>
          <t>https://entrackr.com/news/swish-raises-38-mn-led-by-hara-global-and-bain-capital-ventures-11257660</t>
        </is>
      </c>
    </row>
    <row r="1559">
      <c r="A1559" t="inlineStr">
        <is>
          <t>R260325-burmaburma</t>
        </is>
      </c>
      <c r="B1559" t="inlineStr">
        <is>
          <t>Burma Burma</t>
        </is>
      </c>
      <c r="C1559" s="17" t="n">
        <v>46106</v>
      </c>
      <c r="D1559" s="18" t="n">
        <v>46082</v>
      </c>
      <c r="E1559" s="19" t="n">
        <v>4.045</v>
      </c>
      <c r="F1559" s="19" t="n">
        <v>38</v>
      </c>
      <c r="G1559" t="inlineStr">
        <is>
          <t>Rs 38 crore</t>
        </is>
      </c>
      <c r="H1559" t="inlineStr">
        <is>
          <t>Undisclosed</t>
        </is>
      </c>
      <c r="I1559" t="inlineStr">
        <is>
          <t>Undisclosed</t>
        </is>
      </c>
      <c r="J1559" t="inlineStr">
        <is>
          <t>Foodtech</t>
        </is>
      </c>
      <c r="K1559" t="inlineStr">
        <is>
          <t>Unknown</t>
        </is>
      </c>
      <c r="L1559" t="inlineStr">
        <is>
          <t>Negen Capital</t>
        </is>
      </c>
      <c r="M1559" t="inlineStr">
        <is>
          <t>Negen Capital; Endurance Capital; Coheron Wealth</t>
        </is>
      </c>
      <c r="N1559" t="inlineStr">
        <is>
          <t>entrackr | inc42</t>
        </is>
      </c>
      <c r="O1559" s="20" t="n">
        <v>2</v>
      </c>
      <c r="P1559" s="21" t="n">
        <v>1.1</v>
      </c>
      <c r="Q1559" t="inlineStr">
        <is>
          <t>C04 C07</t>
        </is>
      </c>
      <c r="R1559" s="22" t="inlineStr">
        <is>
          <t>https://entrackr.com/snippets/burma-burma-raises-rs-38-cr-at-rs-500-cr-valuation-11261395</t>
        </is>
      </c>
    </row>
    <row r="1560">
      <c r="A1560" t="inlineStr">
        <is>
          <t>R260325-fullifehealthc</t>
        </is>
      </c>
      <c r="B1560" t="inlineStr">
        <is>
          <t>Fullife Healthcare</t>
        </is>
      </c>
      <c r="C1560" s="17" t="n">
        <v>46106</v>
      </c>
      <c r="D1560" s="18" t="n">
        <v>46082</v>
      </c>
      <c r="E1560" s="19" t="n">
        <v>31.935</v>
      </c>
      <c r="F1560" s="19" t="n">
        <v>300</v>
      </c>
      <c r="G1560" t="inlineStr">
        <is>
          <t>Rs 300 crore</t>
        </is>
      </c>
      <c r="H1560" t="inlineStr">
        <is>
          <t>Series D</t>
        </is>
      </c>
      <c r="I1560" t="inlineStr">
        <is>
          <t>Late</t>
        </is>
      </c>
      <c r="J1560" t="inlineStr">
        <is>
          <t>Ecommerce</t>
        </is>
      </c>
      <c r="K1560" t="inlineStr">
        <is>
          <t>Mumbai</t>
        </is>
      </c>
      <c r="L1560" t="inlineStr">
        <is>
          <t>Elev8 Venture Partners</t>
        </is>
      </c>
      <c r="M1560" t="inlineStr">
        <is>
          <t>Elev8 Venture Partners</t>
        </is>
      </c>
      <c r="N1560" t="inlineStr">
        <is>
          <t>entrackr | inc42 | et</t>
        </is>
      </c>
      <c r="O1560" s="20" t="n">
        <v>3</v>
      </c>
      <c r="P1560" s="21" t="n">
        <v>0.2</v>
      </c>
      <c r="Q1560" t="inlineStr"/>
      <c r="R1560" s="22" t="inlineStr">
        <is>
          <t>https://entrackr.com/news/fastup-parent-fullife-healthcare-raises-rs-300-cr-led-by-elev8-11261510</t>
        </is>
      </c>
    </row>
    <row r="1561">
      <c r="A1561" t="inlineStr">
        <is>
          <t>R260325-noveltywealth</t>
        </is>
      </c>
      <c r="B1561" t="inlineStr">
        <is>
          <t>Novelty Wealth</t>
        </is>
      </c>
      <c r="C1561" s="17" t="n">
        <v>46106</v>
      </c>
      <c r="D1561" s="18" t="n">
        <v>46082</v>
      </c>
      <c r="E1561" s="19" t="n">
        <v>1.4</v>
      </c>
      <c r="F1561" s="19" t="n">
        <v>13.15</v>
      </c>
      <c r="G1561" t="inlineStr">
        <is>
          <t>$1.4 Mn</t>
        </is>
      </c>
      <c r="H1561" t="inlineStr">
        <is>
          <t>Undisclosed</t>
        </is>
      </c>
      <c r="I1561" t="inlineStr">
        <is>
          <t>Undisclosed</t>
        </is>
      </c>
      <c r="J1561" t="inlineStr">
        <is>
          <t>Fintech</t>
        </is>
      </c>
      <c r="K1561" t="inlineStr">
        <is>
          <t>Unknown</t>
        </is>
      </c>
      <c r="L1561" t="inlineStr">
        <is>
          <t>IndiaQuotient</t>
        </is>
      </c>
      <c r="M1561" t="inlineStr">
        <is>
          <t>IndiaQuotient</t>
        </is>
      </c>
      <c r="N1561" t="inlineStr">
        <is>
          <t>inc42</t>
        </is>
      </c>
      <c r="O1561" s="20" t="n">
        <v>1</v>
      </c>
      <c r="P1561" s="21" t="n">
        <v>0</v>
      </c>
      <c r="Q1561" t="inlineStr">
        <is>
          <t>C04 C07</t>
        </is>
      </c>
      <c r="R1561" s="22" t="inlineStr">
        <is>
          <t>https://inc42.com/buzz/from-euler-motors-to-rocketlane-indian-startups-raised-343-mn-this-week/</t>
        </is>
      </c>
    </row>
    <row r="1562">
      <c r="A1562" t="inlineStr">
        <is>
          <t>R260325-proxgy</t>
        </is>
      </c>
      <c r="B1562" t="inlineStr">
        <is>
          <t>Proxgy</t>
        </is>
      </c>
      <c r="C1562" s="17" t="n">
        <v>46106</v>
      </c>
      <c r="D1562" s="18" t="n">
        <v>46082</v>
      </c>
      <c r="E1562" s="19" t="n">
        <v>0.211</v>
      </c>
      <c r="F1562" s="19" t="n">
        <v>1.98</v>
      </c>
      <c r="G1562" t="inlineStr">
        <is>
          <t>$211K</t>
        </is>
      </c>
      <c r="H1562" t="inlineStr">
        <is>
          <t>Undisclosed</t>
        </is>
      </c>
      <c r="I1562" t="inlineStr">
        <is>
          <t>Undisclosed</t>
        </is>
      </c>
      <c r="J1562" t="inlineStr">
        <is>
          <t>Advanced Hardware &amp; Technology</t>
        </is>
      </c>
      <c r="K1562" t="inlineStr">
        <is>
          <t>Unknown</t>
        </is>
      </c>
      <c r="L1562" t="inlineStr">
        <is>
          <t>Riyan Parag</t>
        </is>
      </c>
      <c r="M1562" t="inlineStr">
        <is>
          <t>Riyan Parag</t>
        </is>
      </c>
      <c r="N1562" t="inlineStr">
        <is>
          <t>inc42</t>
        </is>
      </c>
      <c r="O1562" s="20" t="n">
        <v>1</v>
      </c>
      <c r="P1562" s="21" t="n">
        <v>0</v>
      </c>
      <c r="Q1562" t="inlineStr">
        <is>
          <t>C04 C07</t>
        </is>
      </c>
      <c r="R1562" s="22" t="inlineStr">
        <is>
          <t>https://inc42.com/buzz/from-euler-motors-to-rocketlane-indian-startups-raised-343-mn-this-week/</t>
        </is>
      </c>
    </row>
    <row r="1563">
      <c r="A1563" t="inlineStr">
        <is>
          <t>R260325-rocketlane</t>
        </is>
      </c>
      <c r="B1563" t="inlineStr">
        <is>
          <t>Rocketlane</t>
        </is>
      </c>
      <c r="C1563" s="17" t="n">
        <v>46106</v>
      </c>
      <c r="D1563" s="18" t="n">
        <v>46082</v>
      </c>
      <c r="E1563" s="19" t="n">
        <v>60</v>
      </c>
      <c r="F1563" s="19" t="n">
        <v>563.64</v>
      </c>
      <c r="G1563" t="inlineStr">
        <is>
          <t>$60 million</t>
        </is>
      </c>
      <c r="H1563" t="inlineStr">
        <is>
          <t>Series C</t>
        </is>
      </c>
      <c r="I1563" t="inlineStr">
        <is>
          <t>Growth</t>
        </is>
      </c>
      <c r="J1563" t="inlineStr">
        <is>
          <t>Enterprise Tech</t>
        </is>
      </c>
      <c r="K1563" t="inlineStr">
        <is>
          <t>Chennai</t>
        </is>
      </c>
      <c r="L1563" t="inlineStr">
        <is>
          <t>Insight Partners</t>
        </is>
      </c>
      <c r="M1563" t="inlineStr">
        <is>
          <t>Insight Partners; 8VC; Matrix Partners India; Nexus Venture Partners</t>
        </is>
      </c>
      <c r="N1563" t="inlineStr">
        <is>
          <t>entrackr | inc42 | vccircle</t>
        </is>
      </c>
      <c r="O1563" s="20" t="n">
        <v>3</v>
      </c>
      <c r="P1563" s="21" t="n">
        <v>0</v>
      </c>
      <c r="Q1563" t="inlineStr"/>
      <c r="R1563" s="22" t="inlineStr">
        <is>
          <t>https://entrackr.com/news/rocketlane-raises-60-mn-in-series-c-led-by-insight-partners-11263378</t>
        </is>
      </c>
    </row>
    <row r="1564">
      <c r="A1564" t="inlineStr">
        <is>
          <t>R260325-skyrootaerospa</t>
        </is>
      </c>
      <c r="B1564" t="inlineStr">
        <is>
          <t>Skyroot Aerospace</t>
        </is>
      </c>
      <c r="C1564" s="17" t="n">
        <v>46106</v>
      </c>
      <c r="D1564" s="18" t="n">
        <v>46082</v>
      </c>
      <c r="E1564" s="19" t="n">
        <v>10.645</v>
      </c>
      <c r="F1564" s="19" t="n">
        <v>100</v>
      </c>
      <c r="G1564" t="inlineStr">
        <is>
          <t>Rs 100 crore</t>
        </is>
      </c>
      <c r="H1564" t="inlineStr">
        <is>
          <t>Debt</t>
        </is>
      </c>
      <c r="I1564" t="inlineStr">
        <is>
          <t>Debt</t>
        </is>
      </c>
      <c r="J1564" t="inlineStr">
        <is>
          <t>Advanced Hardware &amp; Technology</t>
        </is>
      </c>
      <c r="K1564" t="inlineStr">
        <is>
          <t>Hyderabad</t>
        </is>
      </c>
      <c r="L1564" t="inlineStr"/>
      <c r="M1564" t="inlineStr">
        <is>
          <t>BlackRock</t>
        </is>
      </c>
      <c r="N1564" t="inlineStr">
        <is>
          <t>entrackr</t>
        </is>
      </c>
      <c r="O1564" s="20" t="n">
        <v>1</v>
      </c>
      <c r="P1564" s="21" t="n">
        <v>0</v>
      </c>
      <c r="Q1564" t="inlineStr"/>
      <c r="R1564" s="22" t="inlineStr">
        <is>
          <t>https://entrackr.com/exclusive/exclusive-skyroot-aerospace-bags-rs-100-cr-debt-from-blackrock-11261710</t>
        </is>
      </c>
    </row>
    <row r="1565">
      <c r="A1565" t="inlineStr">
        <is>
          <t>R260325-threadfactory</t>
        </is>
      </c>
      <c r="B1565" t="inlineStr">
        <is>
          <t>Thread Factory</t>
        </is>
      </c>
      <c r="C1565" s="17" t="n">
        <v>46106</v>
      </c>
      <c r="D1565" s="18" t="n">
        <v>46082</v>
      </c>
      <c r="E1565" s="19" t="n">
        <v>0.16</v>
      </c>
      <c r="F1565" s="19" t="n">
        <v>1.5</v>
      </c>
      <c r="G1565" t="inlineStr">
        <is>
          <t>Rs 1.5 crore</t>
        </is>
      </c>
      <c r="H1565" t="inlineStr">
        <is>
          <t>Pre-Seed</t>
        </is>
      </c>
      <c r="I1565" t="inlineStr">
        <is>
          <t>Early</t>
        </is>
      </c>
      <c r="J1565" t="inlineStr">
        <is>
          <t>Ecommerce</t>
        </is>
      </c>
      <c r="K1565" t="inlineStr">
        <is>
          <t>Unknown</t>
        </is>
      </c>
      <c r="L1565" t="inlineStr">
        <is>
          <t>Aviral Bhatnagar at AJVC</t>
        </is>
      </c>
      <c r="M1565" t="inlineStr">
        <is>
          <t>Aviral Bhatnagar at AJVC</t>
        </is>
      </c>
      <c r="N1565" t="inlineStr">
        <is>
          <t>entrackr</t>
        </is>
      </c>
      <c r="O1565" s="20" t="n">
        <v>1</v>
      </c>
      <c r="P1565" s="21" t="n">
        <v>0</v>
      </c>
      <c r="Q1565" t="inlineStr">
        <is>
          <t>C07</t>
        </is>
      </c>
      <c r="R1565" s="22" t="inlineStr">
        <is>
          <t>https://entrackr.com/snippets/fashion-supply-startup-thread-factory-raises-pre-seed-funding-led-by-ajvc-11261936</t>
        </is>
      </c>
    </row>
    <row r="1566">
      <c r="A1566" t="inlineStr">
        <is>
          <t>R260326-beastlife</t>
        </is>
      </c>
      <c r="B1566" t="inlineStr">
        <is>
          <t>BeastLife</t>
        </is>
      </c>
      <c r="C1566" s="17" t="n">
        <v>46107</v>
      </c>
      <c r="D1566" s="18" t="n">
        <v>46082</v>
      </c>
      <c r="E1566" s="19" t="n">
        <v>2.125</v>
      </c>
      <c r="F1566" s="19" t="n">
        <v>20</v>
      </c>
      <c r="G1566" t="inlineStr">
        <is>
          <t>Rs 20 crore</t>
        </is>
      </c>
      <c r="H1566" t="inlineStr">
        <is>
          <t>Pre-Series A</t>
        </is>
      </c>
      <c r="I1566" t="inlineStr">
        <is>
          <t>Early</t>
        </is>
      </c>
      <c r="J1566" t="inlineStr">
        <is>
          <t>Ecommerce</t>
        </is>
      </c>
      <c r="K1566" t="inlineStr">
        <is>
          <t>Delhi NCR</t>
        </is>
      </c>
      <c r="L1566" t="inlineStr"/>
      <c r="M1566" t="inlineStr">
        <is>
          <t>GVFL; Equentis</t>
        </is>
      </c>
      <c r="N1566" t="inlineStr">
        <is>
          <t>entrackr | inc42</t>
        </is>
      </c>
      <c r="O1566" s="20" t="n">
        <v>2</v>
      </c>
      <c r="P1566" s="21" t="n">
        <v>1.2</v>
      </c>
      <c r="Q1566" t="inlineStr"/>
      <c r="R1566" s="22" t="inlineStr">
        <is>
          <t>https://inc42.com/buzz/from-euler-motors-to-rocketlane-indian-startups-raised-343-mn-this-week/</t>
        </is>
      </c>
    </row>
    <row r="1567">
      <c r="A1567" t="inlineStr">
        <is>
          <t>R260326-deccanai</t>
        </is>
      </c>
      <c r="B1567" t="inlineStr">
        <is>
          <t>Deccan AI</t>
        </is>
      </c>
      <c r="C1567" s="17" t="n">
        <v>46107</v>
      </c>
      <c r="D1567" s="18" t="n">
        <v>46082</v>
      </c>
      <c r="E1567" s="19" t="n">
        <v>25</v>
      </c>
      <c r="F1567" s="19" t="n">
        <v>235.3</v>
      </c>
      <c r="G1567" t="inlineStr">
        <is>
          <t>$25 million</t>
        </is>
      </c>
      <c r="H1567" t="inlineStr">
        <is>
          <t>Series A</t>
        </is>
      </c>
      <c r="I1567" t="inlineStr">
        <is>
          <t>Early</t>
        </is>
      </c>
      <c r="J1567" t="inlineStr">
        <is>
          <t>Artificial Intelligence</t>
        </is>
      </c>
      <c r="K1567" t="inlineStr">
        <is>
          <t>Unknown</t>
        </is>
      </c>
      <c r="L1567" t="inlineStr">
        <is>
          <t>A91 Partners</t>
        </is>
      </c>
      <c r="M1567" t="inlineStr">
        <is>
          <t>A91 Partners; Susquehanna; Prosus</t>
        </is>
      </c>
      <c r="N1567" t="inlineStr">
        <is>
          <t>entrackr | inc42 | et</t>
        </is>
      </c>
      <c r="O1567" s="20" t="n">
        <v>3</v>
      </c>
      <c r="P1567" s="21" t="n">
        <v>0</v>
      </c>
      <c r="Q1567" t="inlineStr">
        <is>
          <t>C07</t>
        </is>
      </c>
      <c r="R1567" s="22" t="inlineStr">
        <is>
          <t>https://entrackr.com/snippets/deccan-ai-raises-25-mn-from-a91-partners-prosus-and-sig-11264952</t>
        </is>
      </c>
    </row>
    <row r="1568">
      <c r="A1568" t="inlineStr">
        <is>
          <t>R260326-pluminsurance</t>
        </is>
      </c>
      <c r="B1568" t="inlineStr">
        <is>
          <t>Plum</t>
        </is>
      </c>
      <c r="C1568" s="17" t="n">
        <v>46107</v>
      </c>
      <c r="D1568" s="18" t="n">
        <v>46082</v>
      </c>
      <c r="E1568" s="19" t="n">
        <v>20.506</v>
      </c>
      <c r="F1568" s="19" t="n">
        <v>193</v>
      </c>
      <c r="G1568" t="inlineStr">
        <is>
          <t>Rs 193 crore</t>
        </is>
      </c>
      <c r="H1568" t="inlineStr">
        <is>
          <t>Series B</t>
        </is>
      </c>
      <c r="I1568" t="inlineStr">
        <is>
          <t>Growth</t>
        </is>
      </c>
      <c r="J1568" t="inlineStr">
        <is>
          <t>Fintech</t>
        </is>
      </c>
      <c r="K1568" t="inlineStr">
        <is>
          <t>Unknown</t>
        </is>
      </c>
      <c r="L1568" t="inlineStr">
        <is>
          <t>Peak XV Ventures</t>
        </is>
      </c>
      <c r="M1568" t="inlineStr">
        <is>
          <t>Peak XV Ventures; Tanglin Venture Partners; GMO Venture Partners</t>
        </is>
      </c>
      <c r="N1568" t="inlineStr">
        <is>
          <t>entrackr | inc42 | vccircle</t>
        </is>
      </c>
      <c r="O1568" s="20" t="n">
        <v>3</v>
      </c>
      <c r="P1568" s="21" t="n">
        <v>0.5</v>
      </c>
      <c r="Q1568" t="inlineStr">
        <is>
          <t>C07</t>
        </is>
      </c>
      <c r="R1568" s="22" t="inlineStr">
        <is>
          <t>https://entrackr.com/news/plum-insurance-raises-205-mn-in-series-b-round-led-by-peak-xv-11264489</t>
        </is>
      </c>
    </row>
    <row r="1569">
      <c r="A1569" t="inlineStr">
        <is>
          <t>R260326-qweebi</t>
        </is>
      </c>
      <c r="B1569" t="inlineStr">
        <is>
          <t>Qweebi</t>
        </is>
      </c>
      <c r="C1569" s="17" t="n">
        <v>46107</v>
      </c>
      <c r="D1569" s="18" t="n">
        <v>46082</v>
      </c>
      <c r="E1569" s="19" t="n">
        <v>0.5</v>
      </c>
      <c r="F1569" s="19" t="n">
        <v>4.71</v>
      </c>
      <c r="G1569" t="inlineStr">
        <is>
          <t>$500K</t>
        </is>
      </c>
      <c r="H1569" t="inlineStr">
        <is>
          <t>Seed</t>
        </is>
      </c>
      <c r="I1569" t="inlineStr">
        <is>
          <t>Early</t>
        </is>
      </c>
      <c r="J1569" t="inlineStr">
        <is>
          <t>Edtech</t>
        </is>
      </c>
      <c r="K1569" t="inlineStr">
        <is>
          <t>Unknown</t>
        </is>
      </c>
      <c r="L1569" t="inlineStr">
        <is>
          <t>Inflection Point Ventures</t>
        </is>
      </c>
      <c r="M1569" t="inlineStr">
        <is>
          <t>Inflection Point Ventures; Jeroen Tas; Arpit Jain</t>
        </is>
      </c>
      <c r="N1569" t="inlineStr">
        <is>
          <t>inc42</t>
        </is>
      </c>
      <c r="O1569" s="20" t="n">
        <v>1</v>
      </c>
      <c r="P1569" s="21" t="n">
        <v>0</v>
      </c>
      <c r="Q1569" t="inlineStr">
        <is>
          <t>C07</t>
        </is>
      </c>
      <c r="R1569" s="22" t="inlineStr">
        <is>
          <t>https://inc42.com/buzz/from-euler-motors-to-rocketlane-indian-startups-raised-343-mn-this-week/</t>
        </is>
      </c>
    </row>
    <row r="1570">
      <c r="A1570" t="inlineStr">
        <is>
          <t>R260327-bellatrixaeros</t>
        </is>
      </c>
      <c r="B1570" t="inlineStr">
        <is>
          <t>Bellatrix Aerospace</t>
        </is>
      </c>
      <c r="C1570" s="17" t="n">
        <v>46108</v>
      </c>
      <c r="D1570" s="18" t="n">
        <v>46082</v>
      </c>
      <c r="E1570" s="19" t="n">
        <v>20</v>
      </c>
      <c r="F1570" s="19" t="n">
        <v>189.62</v>
      </c>
      <c r="G1570" t="inlineStr">
        <is>
          <t>$20 million</t>
        </is>
      </c>
      <c r="H1570" t="inlineStr">
        <is>
          <t>Pre-Series B</t>
        </is>
      </c>
      <c r="I1570" t="inlineStr">
        <is>
          <t>Growth</t>
        </is>
      </c>
      <c r="J1570" t="inlineStr">
        <is>
          <t>Unclassified</t>
        </is>
      </c>
      <c r="K1570" t="inlineStr">
        <is>
          <t>Bengaluru</t>
        </is>
      </c>
      <c r="L1570" t="inlineStr">
        <is>
          <t>Cactus Partners</t>
        </is>
      </c>
      <c r="M1570" t="inlineStr">
        <is>
          <t>Cactus Partners; Hero Investment Office; 35 North Ventures; Indusbridge Ventures; Monarch Holdings; Inflexor; Pavestone; GrowX; StartupXseed; Survam Partners</t>
        </is>
      </c>
      <c r="N1570" t="inlineStr">
        <is>
          <t>entrackr | et | vccircle</t>
        </is>
      </c>
      <c r="O1570" s="20" t="n">
        <v>3</v>
      </c>
      <c r="P1570" s="21" t="n">
        <v>0</v>
      </c>
      <c r="Q1570" t="inlineStr">
        <is>
          <t>C06</t>
        </is>
      </c>
      <c r="R1570" s="22" t="inlineStr">
        <is>
          <t>https://entrackr.com/exclusive/exclusive-bellatrix-aerospace-to-raise-rs-107-cr-at-27x-valuation-premium-11364863</t>
        </is>
      </c>
    </row>
    <row r="1571">
      <c r="A1571" t="inlineStr">
        <is>
          <t>R260327-uncia</t>
        </is>
      </c>
      <c r="B1571" t="inlineStr">
        <is>
          <t>Uncia</t>
        </is>
      </c>
      <c r="C1571" s="17" t="n">
        <v>46108</v>
      </c>
      <c r="D1571" s="18" t="n">
        <v>46082</v>
      </c>
      <c r="E1571" s="19" t="n">
        <v>3</v>
      </c>
      <c r="F1571" s="19" t="n">
        <v>28.44</v>
      </c>
      <c r="G1571" t="inlineStr">
        <is>
          <t>$3 million</t>
        </is>
      </c>
      <c r="H1571" t="inlineStr">
        <is>
          <t>Seed</t>
        </is>
      </c>
      <c r="I1571" t="inlineStr">
        <is>
          <t>Early</t>
        </is>
      </c>
      <c r="J1571" t="inlineStr">
        <is>
          <t>Fintech</t>
        </is>
      </c>
      <c r="K1571" t="inlineStr">
        <is>
          <t>Chennai</t>
        </is>
      </c>
      <c r="L1571" t="inlineStr">
        <is>
          <t>Pavestone VC</t>
        </is>
      </c>
      <c r="M1571" t="inlineStr">
        <is>
          <t>Pavestone VC</t>
        </is>
      </c>
      <c r="N1571" t="inlineStr">
        <is>
          <t>entrackr | inc42 | et</t>
        </is>
      </c>
      <c r="O1571" s="20" t="n">
        <v>3</v>
      </c>
      <c r="P1571" s="21" t="n">
        <v>0</v>
      </c>
      <c r="Q1571" t="inlineStr">
        <is>
          <t>C13</t>
        </is>
      </c>
      <c r="R1571" s="22" t="inlineStr">
        <is>
          <t>https://entrackr.com/snippets/pavestone-leads-3-mn-seed-round-in-lending-solutions-platform-uncia-11364581</t>
        </is>
      </c>
    </row>
    <row r="1572">
      <c r="A1572" t="inlineStr">
        <is>
          <t>R260330-amaha</t>
        </is>
      </c>
      <c r="B1572" t="inlineStr">
        <is>
          <t>Amaha</t>
        </is>
      </c>
      <c r="C1572" s="17" t="n">
        <v>46111</v>
      </c>
      <c r="D1572" s="18" t="n">
        <v>46082</v>
      </c>
      <c r="E1572" s="19" t="n">
        <v>5.279</v>
      </c>
      <c r="F1572" s="19" t="n">
        <v>50</v>
      </c>
      <c r="G1572" t="inlineStr">
        <is>
          <t>Rs 50 crore</t>
        </is>
      </c>
      <c r="H1572" t="inlineStr">
        <is>
          <t>Series A</t>
        </is>
      </c>
      <c r="I1572" t="inlineStr">
        <is>
          <t>Early</t>
        </is>
      </c>
      <c r="J1572" t="inlineStr">
        <is>
          <t>Healthtech</t>
        </is>
      </c>
      <c r="K1572" t="inlineStr">
        <is>
          <t>Bengaluru</t>
        </is>
      </c>
      <c r="L1572" t="inlineStr">
        <is>
          <t>Fireside Ventures</t>
        </is>
      </c>
      <c r="M1572" t="inlineStr">
        <is>
          <t>Fireside Ventures</t>
        </is>
      </c>
      <c r="N1572" t="inlineStr">
        <is>
          <t>entrackr</t>
        </is>
      </c>
      <c r="O1572" s="20" t="n">
        <v>1</v>
      </c>
      <c r="P1572" s="21" t="n">
        <v>0</v>
      </c>
      <c r="Q1572" t="inlineStr"/>
      <c r="R1572" s="22" t="inlineStr">
        <is>
          <t>https://entrackr.com/exclusive/exclusive-mental-health-startup-amaha-raises-fresh-capital-at-2x-valuation-premium-11436328</t>
        </is>
      </c>
    </row>
    <row r="1573">
      <c r="A1573" t="inlineStr">
        <is>
          <t>R260330-bacancysystems</t>
        </is>
      </c>
      <c r="B1573" t="inlineStr">
        <is>
          <t>Bacancy System</t>
        </is>
      </c>
      <c r="C1573" s="17" t="n">
        <v>46111</v>
      </c>
      <c r="D1573" s="18" t="n">
        <v>46082</v>
      </c>
      <c r="E1573" s="19" t="n">
        <v>4.223</v>
      </c>
      <c r="F1573" s="19" t="n">
        <v>40</v>
      </c>
      <c r="G1573" t="inlineStr">
        <is>
          <t>Rs 40 crore</t>
        </is>
      </c>
      <c r="H1573" t="inlineStr">
        <is>
          <t>Series A</t>
        </is>
      </c>
      <c r="I1573" t="inlineStr">
        <is>
          <t>Early</t>
        </is>
      </c>
      <c r="J1573" t="inlineStr">
        <is>
          <t>Enterprise Tech</t>
        </is>
      </c>
      <c r="K1573" t="inlineStr">
        <is>
          <t>Unknown</t>
        </is>
      </c>
      <c r="L1573" t="inlineStr">
        <is>
          <t>Sabre Partners; Greenstone Capital</t>
        </is>
      </c>
      <c r="M1573" t="inlineStr">
        <is>
          <t>Sabre Partners; Greenstone Capital</t>
        </is>
      </c>
      <c r="N1573" t="inlineStr">
        <is>
          <t>entrackr | inc42</t>
        </is>
      </c>
      <c r="O1573" s="20" t="n">
        <v>2</v>
      </c>
      <c r="P1573" s="21" t="n">
        <v>0.6</v>
      </c>
      <c r="Q1573" t="inlineStr">
        <is>
          <t>C07</t>
        </is>
      </c>
      <c r="R1573" s="22" t="inlineStr">
        <is>
          <t>https://entrackr.com/snippets/bacancy-systems-raises-rs-40-cr-led-by-sabre-partners-and-greenstone-capital-11435409</t>
        </is>
      </c>
    </row>
    <row r="1574">
      <c r="A1574" t="inlineStr">
        <is>
          <t>R260330-cropcoin</t>
        </is>
      </c>
      <c r="B1574" t="inlineStr">
        <is>
          <t>Cropcoin</t>
        </is>
      </c>
      <c r="C1574" s="17" t="n">
        <v>46111</v>
      </c>
      <c r="D1574" s="18" t="n">
        <v>46082</v>
      </c>
      <c r="E1574" s="19" t="n">
        <v>1.267</v>
      </c>
      <c r="F1574" s="19" t="n">
        <v>12</v>
      </c>
      <c r="G1574" t="inlineStr">
        <is>
          <t>Rs 12 crore</t>
        </is>
      </c>
      <c r="H1574" t="inlineStr">
        <is>
          <t>Pre-Series A</t>
        </is>
      </c>
      <c r="I1574" t="inlineStr">
        <is>
          <t>Early</t>
        </is>
      </c>
      <c r="J1574" t="inlineStr">
        <is>
          <t>Agritech</t>
        </is>
      </c>
      <c r="K1574" t="inlineStr">
        <is>
          <t>Delhi NCR</t>
        </is>
      </c>
      <c r="L1574" t="inlineStr">
        <is>
          <t>Unicorn India Ventures</t>
        </is>
      </c>
      <c r="M1574" t="inlineStr">
        <is>
          <t>Unicorn India Ventures</t>
        </is>
      </c>
      <c r="N1574" t="inlineStr">
        <is>
          <t>entrackr | inc42 | et</t>
        </is>
      </c>
      <c r="O1574" s="20" t="n">
        <v>3</v>
      </c>
      <c r="P1574" s="21" t="n">
        <v>2.6</v>
      </c>
      <c r="Q1574" t="inlineStr"/>
      <c r="R1574" s="22" t="inlineStr">
        <is>
          <t>https://entrackr.com/snippets/unicorn-india-ventures-leads-rs-12-cr-pre-series-a-round-in-agritech-startup-cropcoin-11434107</t>
        </is>
      </c>
    </row>
    <row r="1575">
      <c r="A1575" t="inlineStr">
        <is>
          <t>R260330-epik</t>
        </is>
      </c>
      <c r="B1575" t="inlineStr">
        <is>
          <t>Epik</t>
        </is>
      </c>
      <c r="C1575" s="17" t="n">
        <v>46111</v>
      </c>
      <c r="D1575" s="18" t="n">
        <v>46082</v>
      </c>
      <c r="E1575" s="19" t="n">
        <v>1</v>
      </c>
      <c r="F1575" s="19" t="n">
        <v>9.470000000000001</v>
      </c>
      <c r="G1575" t="inlineStr">
        <is>
          <t>$1 million</t>
        </is>
      </c>
      <c r="H1575" t="inlineStr">
        <is>
          <t>Pre-Seed</t>
        </is>
      </c>
      <c r="I1575" t="inlineStr">
        <is>
          <t>Early</t>
        </is>
      </c>
      <c r="J1575" t="inlineStr">
        <is>
          <t>Consumer Services</t>
        </is>
      </c>
      <c r="K1575" t="inlineStr">
        <is>
          <t>Bengaluru</t>
        </is>
      </c>
      <c r="L1575" t="inlineStr">
        <is>
          <t>Info Edge Ventures</t>
        </is>
      </c>
      <c r="M1575" t="inlineStr">
        <is>
          <t>Info Edge Ventures; Anirudh Prasad; Bhaskar Raju K; Deepak K Gowda; Vineet Jain; Vedang Patel</t>
        </is>
      </c>
      <c r="N1575" t="inlineStr">
        <is>
          <t>entrackr | inc42 | et</t>
        </is>
      </c>
      <c r="O1575" s="20" t="n">
        <v>3</v>
      </c>
      <c r="P1575" s="21" t="n">
        <v>0</v>
      </c>
      <c r="Q1575" t="inlineStr"/>
      <c r="R1575" s="22" t="inlineStr">
        <is>
          <t>https://entrackr.com/snippets/quick-commerce-startup-epik-raises-1-mn-led-by-info-edge-ventures-11434100</t>
        </is>
      </c>
    </row>
    <row r="1576">
      <c r="A1576" t="inlineStr">
        <is>
          <t>R260330-gnaniai</t>
        </is>
      </c>
      <c r="B1576" t="inlineStr">
        <is>
          <t>Gnani.ai</t>
        </is>
      </c>
      <c r="C1576" s="17" t="n">
        <v>46111</v>
      </c>
      <c r="D1576" s="18" t="n">
        <v>46082</v>
      </c>
      <c r="E1576" s="19" t="n">
        <v>10</v>
      </c>
      <c r="F1576" s="19" t="n">
        <v>94.70999999999999</v>
      </c>
      <c r="G1576" t="inlineStr">
        <is>
          <t>$10 million</t>
        </is>
      </c>
      <c r="H1576" t="inlineStr">
        <is>
          <t>Series B</t>
        </is>
      </c>
      <c r="I1576" t="inlineStr">
        <is>
          <t>Growth</t>
        </is>
      </c>
      <c r="J1576" t="inlineStr">
        <is>
          <t>Artificial Intelligence</t>
        </is>
      </c>
      <c r="K1576" t="inlineStr">
        <is>
          <t>Bengaluru</t>
        </is>
      </c>
      <c r="L1576" t="inlineStr">
        <is>
          <t>Aavishkaar Capital</t>
        </is>
      </c>
      <c r="M1576" t="inlineStr">
        <is>
          <t>Aavishkaar Capital; Info Edge Ventures</t>
        </is>
      </c>
      <c r="N1576" t="inlineStr">
        <is>
          <t>entrackr | inc42 | et | vccircle</t>
        </is>
      </c>
      <c r="O1576" s="20" t="n">
        <v>4</v>
      </c>
      <c r="P1576" s="21" t="n">
        <v>0</v>
      </c>
      <c r="Q1576" t="inlineStr"/>
      <c r="R1576" s="22" t="inlineStr">
        <is>
          <t>https://entrackr.com/exclusive/exclusive-gnaniai-kicks-off-series-b-round-led-by-aavishkaar-capital-11433897</t>
        </is>
      </c>
    </row>
    <row r="1577">
      <c r="A1577" t="inlineStr">
        <is>
          <t>R260330-kuku</t>
        </is>
      </c>
      <c r="B1577" t="inlineStr">
        <is>
          <t>Kuku</t>
        </is>
      </c>
      <c r="C1577" s="17" t="n">
        <v>46111</v>
      </c>
      <c r="D1577" s="18" t="n">
        <v>46082</v>
      </c>
      <c r="E1577" s="19" t="n"/>
      <c r="F1577" s="19" t="n"/>
      <c r="G1577" t="inlineStr"/>
      <c r="H1577" t="inlineStr">
        <is>
          <t>Undisclosed</t>
        </is>
      </c>
      <c r="I1577" t="inlineStr">
        <is>
          <t>Undisclosed</t>
        </is>
      </c>
      <c r="J1577" t="inlineStr">
        <is>
          <t>Media &amp; Entertainment</t>
        </is>
      </c>
      <c r="K1577" t="inlineStr">
        <is>
          <t>Unknown</t>
        </is>
      </c>
      <c r="L1577" t="inlineStr">
        <is>
          <t>MS Dhoni</t>
        </is>
      </c>
      <c r="M1577" t="inlineStr">
        <is>
          <t>MS Dhoni</t>
        </is>
      </c>
      <c r="N1577" t="inlineStr">
        <is>
          <t>entrackr | inc42 | et</t>
        </is>
      </c>
      <c r="O1577" s="20" t="n">
        <v>3</v>
      </c>
      <c r="P1577" s="21" t="n"/>
      <c r="Q1577" t="inlineStr">
        <is>
          <t>C03 C04 C07</t>
        </is>
      </c>
      <c r="R1577" s="22" t="inlineStr">
        <is>
          <t>https://entrackr.com/snippets/ms-dhoni-invests-in-kuku-joins-as-brand-ambassador-for-kuku-tv-11435734</t>
        </is>
      </c>
    </row>
    <row r="1578">
      <c r="A1578" t="inlineStr">
        <is>
          <t>R260330-sign3</t>
        </is>
      </c>
      <c r="B1578" t="inlineStr">
        <is>
          <t>Sign3</t>
        </is>
      </c>
      <c r="C1578" s="17" t="n">
        <v>46111</v>
      </c>
      <c r="D1578" s="18" t="n">
        <v>46082</v>
      </c>
      <c r="E1578" s="19" t="n">
        <v>1.5</v>
      </c>
      <c r="F1578" s="19" t="n">
        <v>14.21</v>
      </c>
      <c r="G1578" t="inlineStr">
        <is>
          <t>$1.5 million</t>
        </is>
      </c>
      <c r="H1578" t="inlineStr">
        <is>
          <t>Undisclosed</t>
        </is>
      </c>
      <c r="I1578" t="inlineStr">
        <is>
          <t>Undisclosed</t>
        </is>
      </c>
      <c r="J1578" t="inlineStr">
        <is>
          <t>Artificial Intelligence</t>
        </is>
      </c>
      <c r="K1578" t="inlineStr">
        <is>
          <t>Unknown</t>
        </is>
      </c>
      <c r="L1578" t="inlineStr">
        <is>
          <t>Cedar Hill Capital</t>
        </is>
      </c>
      <c r="M1578" t="inlineStr">
        <is>
          <t>Cedar Hill Capital; Smile Group; Rajesh Sawhney; Dinesh Agarwal; Anup Agarwal; Vinay Bagri</t>
        </is>
      </c>
      <c r="N1578" t="inlineStr">
        <is>
          <t>entrackr | inc42</t>
        </is>
      </c>
      <c r="O1578" s="20" t="n">
        <v>2</v>
      </c>
      <c r="P1578" s="21" t="n">
        <v>0</v>
      </c>
      <c r="Q1578" t="inlineStr">
        <is>
          <t>C04 C07</t>
        </is>
      </c>
      <c r="R1578" s="22" t="inlineStr">
        <is>
          <t>https://entrackr.com/snippets/cedar-hill-capital-leads-15-mn-round-in-fraud-intelligence-startup-sign3-11434197</t>
        </is>
      </c>
    </row>
    <row r="1579">
      <c r="A1579" t="inlineStr">
        <is>
          <t>R260330-skillsvest</t>
        </is>
      </c>
      <c r="B1579" t="inlineStr">
        <is>
          <t>Skillsvest</t>
        </is>
      </c>
      <c r="C1579" s="17" t="n">
        <v>46111</v>
      </c>
      <c r="D1579" s="18" t="n">
        <v>46082</v>
      </c>
      <c r="E1579" s="19" t="n">
        <v>0.581</v>
      </c>
      <c r="F1579" s="19" t="n">
        <v>5.5</v>
      </c>
      <c r="G1579" t="inlineStr">
        <is>
          <t>Rs 5.5 crore</t>
        </is>
      </c>
      <c r="H1579" t="inlineStr">
        <is>
          <t>Pre-Seed</t>
        </is>
      </c>
      <c r="I1579" t="inlineStr">
        <is>
          <t>Early</t>
        </is>
      </c>
      <c r="J1579" t="inlineStr">
        <is>
          <t>Fintech</t>
        </is>
      </c>
      <c r="K1579" t="inlineStr">
        <is>
          <t>Unknown</t>
        </is>
      </c>
      <c r="L1579" t="inlineStr">
        <is>
          <t>Plug; Play Ventures</t>
        </is>
      </c>
      <c r="M1579" t="inlineStr">
        <is>
          <t>Plug; Play Ventures; Sascha Mornell; UC Berkeley SkyDeck</t>
        </is>
      </c>
      <c r="N1579" t="inlineStr">
        <is>
          <t>entrackr</t>
        </is>
      </c>
      <c r="O1579" s="20" t="n">
        <v>1</v>
      </c>
      <c r="P1579" s="21" t="n">
        <v>0</v>
      </c>
      <c r="Q1579" t="inlineStr">
        <is>
          <t>C07</t>
        </is>
      </c>
      <c r="R1579" s="22" t="inlineStr">
        <is>
          <t>https://entrackr.com/snippets/skillsvest-raises-rs-55-cr-pre-seed-round-led-by-plug-and-play-ventures-11436120</t>
        </is>
      </c>
    </row>
    <row r="1580">
      <c r="A1580" t="inlineStr">
        <is>
          <t>R260331-bachatt</t>
        </is>
      </c>
      <c r="B1580" t="inlineStr">
        <is>
          <t>Bachatt</t>
        </is>
      </c>
      <c r="C1580" s="17" t="n">
        <v>46112</v>
      </c>
      <c r="D1580" s="18" t="n">
        <v>46082</v>
      </c>
      <c r="E1580" s="19" t="n">
        <v>12</v>
      </c>
      <c r="F1580" s="19" t="n">
        <v>112.6</v>
      </c>
      <c r="G1580" t="inlineStr">
        <is>
          <t>$12 million</t>
        </is>
      </c>
      <c r="H1580" t="inlineStr">
        <is>
          <t>Series A</t>
        </is>
      </c>
      <c r="I1580" t="inlineStr">
        <is>
          <t>Early</t>
        </is>
      </c>
      <c r="J1580" t="inlineStr">
        <is>
          <t>Fintech</t>
        </is>
      </c>
      <c r="K1580" t="inlineStr">
        <is>
          <t>Unknown</t>
        </is>
      </c>
      <c r="L1580" t="inlineStr">
        <is>
          <t>Accel</t>
        </is>
      </c>
      <c r="M1580" t="inlineStr">
        <is>
          <t>Accel; Lightspeed; Info Edge Ventures</t>
        </is>
      </c>
      <c r="N1580" t="inlineStr">
        <is>
          <t>entrackr | inc42</t>
        </is>
      </c>
      <c r="O1580" s="20" t="n">
        <v>2</v>
      </c>
      <c r="P1580" s="21" t="n">
        <v>0</v>
      </c>
      <c r="Q1580" t="inlineStr">
        <is>
          <t>C07</t>
        </is>
      </c>
      <c r="R1580" s="22" t="inlineStr">
        <is>
          <t>https://entrackr.com/news/wealthtech-startup-bachatt-raises-12-mn-in-series-a-led-by-accel-11438527</t>
        </is>
      </c>
    </row>
    <row r="1581">
      <c r="A1581" t="inlineStr">
        <is>
          <t>R260331-dugarfinance</t>
        </is>
      </c>
      <c r="B1581" t="inlineStr">
        <is>
          <t>Dugar Finance</t>
        </is>
      </c>
      <c r="C1581" s="17" t="n">
        <v>46112</v>
      </c>
      <c r="D1581" s="18" t="n">
        <v>46082</v>
      </c>
      <c r="E1581" s="19" t="n">
        <v>5</v>
      </c>
      <c r="F1581" s="19" t="n">
        <v>46.92</v>
      </c>
      <c r="G1581" t="inlineStr">
        <is>
          <t>$5 million</t>
        </is>
      </c>
      <c r="H1581" t="inlineStr">
        <is>
          <t>Pre-Series A</t>
        </is>
      </c>
      <c r="I1581" t="inlineStr">
        <is>
          <t>Early</t>
        </is>
      </c>
      <c r="J1581" t="inlineStr">
        <is>
          <t>Fintech</t>
        </is>
      </c>
      <c r="K1581" t="inlineStr">
        <is>
          <t>Chennai</t>
        </is>
      </c>
      <c r="L1581" t="inlineStr">
        <is>
          <t>HegdInvst</t>
        </is>
      </c>
      <c r="M1581" t="inlineStr">
        <is>
          <t>HegdInvst; Symbiotics; Union Bank of India; Karur Vysya Bank in December last year</t>
        </is>
      </c>
      <c r="N1581" t="inlineStr">
        <is>
          <t>entrackr</t>
        </is>
      </c>
      <c r="O1581" s="20" t="n">
        <v>1</v>
      </c>
      <c r="P1581" s="21" t="n">
        <v>0</v>
      </c>
      <c r="Q1581" t="inlineStr"/>
      <c r="R1581" s="22" t="inlineStr">
        <is>
          <t>https://entrackr.com/snippets/hegdinvst-leads-5-mn-pre-series-a-round-in-nbfc-dugar-finance-11438290</t>
        </is>
      </c>
    </row>
    <row r="1582">
      <c r="A1582" t="inlineStr">
        <is>
          <t>R260331-fanon</t>
        </is>
      </c>
      <c r="B1582" t="inlineStr">
        <is>
          <t>Fanon</t>
        </is>
      </c>
      <c r="C1582" s="17" t="n">
        <v>46112</v>
      </c>
      <c r="D1582" s="18" t="n">
        <v>46082</v>
      </c>
      <c r="E1582" s="19" t="n">
        <v>1</v>
      </c>
      <c r="F1582" s="19" t="n">
        <v>9.380000000000001</v>
      </c>
      <c r="G1582" t="inlineStr">
        <is>
          <t>$1 million</t>
        </is>
      </c>
      <c r="H1582" t="inlineStr">
        <is>
          <t>Pre-Seed</t>
        </is>
      </c>
      <c r="I1582" t="inlineStr">
        <is>
          <t>Early</t>
        </is>
      </c>
      <c r="J1582" t="inlineStr">
        <is>
          <t>Media &amp; Entertainment</t>
        </is>
      </c>
      <c r="K1582" t="inlineStr">
        <is>
          <t>Bengaluru</t>
        </is>
      </c>
      <c r="L1582" t="inlineStr">
        <is>
          <t>Kalaari Capital; Gruhas</t>
        </is>
      </c>
      <c r="M1582" t="inlineStr">
        <is>
          <t>Kalaari Capital; Gruhas</t>
        </is>
      </c>
      <c r="N1582" t="inlineStr">
        <is>
          <t>entrackr | inc42 | et</t>
        </is>
      </c>
      <c r="O1582" s="20" t="n">
        <v>3</v>
      </c>
      <c r="P1582" s="21" t="n">
        <v>0</v>
      </c>
      <c r="Q1582" t="inlineStr"/>
      <c r="R1582" s="22" t="inlineStr">
        <is>
          <t>https://entrackr.com/snippets/fanon-raises-pre-seed-round-led-by-kalaari-capital-and-gruhas-11438253</t>
        </is>
      </c>
    </row>
    <row r="1583">
      <c r="A1583" t="inlineStr">
        <is>
          <t>R260331-openfx</t>
        </is>
      </c>
      <c r="B1583" t="inlineStr">
        <is>
          <t>OpenFX</t>
        </is>
      </c>
      <c r="C1583" s="17" t="n">
        <v>46112</v>
      </c>
      <c r="D1583" s="18" t="n">
        <v>46082</v>
      </c>
      <c r="E1583" s="19" t="n">
        <v>94</v>
      </c>
      <c r="F1583" s="19" t="n">
        <v>882</v>
      </c>
      <c r="G1583" t="inlineStr">
        <is>
          <t>$94 million</t>
        </is>
      </c>
      <c r="H1583" t="inlineStr">
        <is>
          <t>Undisclosed</t>
        </is>
      </c>
      <c r="I1583" t="inlineStr">
        <is>
          <t>Undisclosed</t>
        </is>
      </c>
      <c r="J1583" t="inlineStr">
        <is>
          <t>Fintech</t>
        </is>
      </c>
      <c r="K1583" t="inlineStr">
        <is>
          <t>Outside India</t>
        </is>
      </c>
      <c r="L1583" t="inlineStr">
        <is>
          <t>Accel; Lightspeed Faction; M13; Northzone; Pantera; Atomico</t>
        </is>
      </c>
      <c r="M1583" t="inlineStr">
        <is>
          <t>Accel; Lightspeed Faction; M13; Northzone; Pantera; Atomico</t>
        </is>
      </c>
      <c r="N1583" t="inlineStr">
        <is>
          <t>entrackr | et</t>
        </is>
      </c>
      <c r="O1583" s="20" t="n">
        <v>2</v>
      </c>
      <c r="P1583" s="21" t="n">
        <v>0</v>
      </c>
      <c r="Q1583" t="inlineStr">
        <is>
          <t>C04 C13</t>
        </is>
      </c>
      <c r="R1583" s="22" t="inlineStr">
        <is>
          <t>https://entrackr.com/news/cross-border-payments-infra-startup-openfx-raises-94-mn-from-accel-lightspeed-others-11439901</t>
        </is>
      </c>
    </row>
    <row r="1584">
      <c r="A1584" t="inlineStr">
        <is>
          <t>R260401-credresolve</t>
        </is>
      </c>
      <c r="B1584" t="inlineStr">
        <is>
          <t>CredResolve</t>
        </is>
      </c>
      <c r="C1584" s="17" t="n">
        <v>46113</v>
      </c>
      <c r="D1584" s="18" t="n">
        <v>46113</v>
      </c>
      <c r="E1584" s="19" t="n"/>
      <c r="F1584" s="19" t="n"/>
      <c r="G1584" t="inlineStr"/>
      <c r="H1584" t="inlineStr">
        <is>
          <t>Pre-Series A</t>
        </is>
      </c>
      <c r="I1584" t="inlineStr">
        <is>
          <t>Early</t>
        </is>
      </c>
      <c r="J1584" t="inlineStr">
        <is>
          <t>Fintech</t>
        </is>
      </c>
      <c r="K1584" t="inlineStr">
        <is>
          <t>Delhi NCR</t>
        </is>
      </c>
      <c r="L1584" t="inlineStr">
        <is>
          <t>Merak Ventures</t>
        </is>
      </c>
      <c r="M1584" t="inlineStr">
        <is>
          <t>Merak Ventures; Unleash Capital Partners; CDM Capital</t>
        </is>
      </c>
      <c r="N1584" t="inlineStr">
        <is>
          <t>entrackr | inc42</t>
        </is>
      </c>
      <c r="O1584" s="20" t="n">
        <v>2</v>
      </c>
      <c r="P1584" s="21" t="n"/>
      <c r="Q1584" t="inlineStr">
        <is>
          <t>C03</t>
        </is>
      </c>
      <c r="R1584" s="22" t="inlineStr">
        <is>
          <t>https://entrackr.com/snippets/merak-ventures-leads-pre-series-a-round-in-credresolve-11441882</t>
        </is>
      </c>
    </row>
    <row r="1585">
      <c r="A1585" t="inlineStr">
        <is>
          <t>R260401-cygnienergy</t>
        </is>
      </c>
      <c r="B1585" t="inlineStr">
        <is>
          <t>Cygni Energy</t>
        </is>
      </c>
      <c r="C1585" s="17" t="n">
        <v>46113</v>
      </c>
      <c r="D1585" s="18" t="n">
        <v>46113</v>
      </c>
      <c r="E1585" s="19" t="n"/>
      <c r="F1585" s="19" t="n"/>
      <c r="G1585" t="inlineStr"/>
      <c r="H1585" t="inlineStr">
        <is>
          <t>Undisclosed</t>
        </is>
      </c>
      <c r="I1585" t="inlineStr">
        <is>
          <t>Undisclosed</t>
        </is>
      </c>
      <c r="J1585" t="inlineStr">
        <is>
          <t>Unclassified</t>
        </is>
      </c>
      <c r="K1585" t="inlineStr">
        <is>
          <t>Unknown</t>
        </is>
      </c>
      <c r="L1585" t="inlineStr"/>
      <c r="M1585" t="inlineStr"/>
      <c r="N1585" t="inlineStr">
        <is>
          <t>entrackr</t>
        </is>
      </c>
      <c r="O1585" s="20" t="n">
        <v>1</v>
      </c>
      <c r="P1585" s="21" t="n"/>
      <c r="Q1585" t="inlineStr">
        <is>
          <t>C03 C04 C05 C06 C07</t>
        </is>
      </c>
      <c r="R1585" s="22" t="inlineStr">
        <is>
          <t>https://entrackr.com/exclusive/exclusive-meridian-global-nears-controlling-stake-in-cygni-energy-with-fresh-funding-11442046</t>
        </is>
      </c>
    </row>
    <row r="1586">
      <c r="A1586" t="inlineStr">
        <is>
          <t>R260401-intercosmos</t>
        </is>
      </c>
      <c r="B1586" t="inlineStr">
        <is>
          <t>InterCosmos</t>
        </is>
      </c>
      <c r="C1586" s="17" t="n">
        <v>46113</v>
      </c>
      <c r="D1586" s="18" t="n">
        <v>46113</v>
      </c>
      <c r="E1586" s="19" t="n"/>
      <c r="F1586" s="19" t="n"/>
      <c r="G1586" t="inlineStr"/>
      <c r="H1586" t="inlineStr">
        <is>
          <t>Undisclosed</t>
        </is>
      </c>
      <c r="I1586" t="inlineStr">
        <is>
          <t>Undisclosed</t>
        </is>
      </c>
      <c r="J1586" t="inlineStr">
        <is>
          <t>Advanced Hardware &amp; Technology</t>
        </is>
      </c>
      <c r="K1586" t="inlineStr">
        <is>
          <t>Unknown</t>
        </is>
      </c>
      <c r="L1586" t="inlineStr">
        <is>
          <t>IAN Group</t>
        </is>
      </c>
      <c r="M1586" t="inlineStr">
        <is>
          <t>IAN Group</t>
        </is>
      </c>
      <c r="N1586" t="inlineStr">
        <is>
          <t>inc42</t>
        </is>
      </c>
      <c r="O1586" s="20" t="n">
        <v>1</v>
      </c>
      <c r="P1586" s="21" t="n"/>
      <c r="Q1586" t="inlineStr">
        <is>
          <t>C03 C04 C07</t>
        </is>
      </c>
      <c r="R1586" s="22" t="inlineStr">
        <is>
          <t>https://inc42.com/buzz/from-noon-to-palmonas-indian-startups-raised-132-mn-this-week/</t>
        </is>
      </c>
    </row>
    <row r="1587">
      <c r="A1587" t="inlineStr">
        <is>
          <t>R260401-nowpurchase</t>
        </is>
      </c>
      <c r="B1587" t="inlineStr">
        <is>
          <t>NowPurchase</t>
        </is>
      </c>
      <c r="C1587" s="17" t="n">
        <v>46113</v>
      </c>
      <c r="D1587" s="18" t="n">
        <v>46113</v>
      </c>
      <c r="E1587" s="19" t="n">
        <v>8.6</v>
      </c>
      <c r="F1587" s="19" t="n">
        <v>80.34999999999999</v>
      </c>
      <c r="G1587" t="inlineStr">
        <is>
          <t>$8.6 million</t>
        </is>
      </c>
      <c r="H1587" t="inlineStr">
        <is>
          <t>Series B</t>
        </is>
      </c>
      <c r="I1587" t="inlineStr">
        <is>
          <t>Growth</t>
        </is>
      </c>
      <c r="J1587" t="inlineStr">
        <is>
          <t>Ecommerce</t>
        </is>
      </c>
      <c r="K1587" t="inlineStr">
        <is>
          <t>Unknown</t>
        </is>
      </c>
      <c r="L1587" t="inlineStr">
        <is>
          <t>Bajaj Finserv</t>
        </is>
      </c>
      <c r="M1587" t="inlineStr">
        <is>
          <t>Bajaj Finserv; Info Edge Ventures; Orios Venture Partners; Real Ispat Group; Shikhar Raj; Madhur Gupta; VC Grid; Kartik Hosanagar</t>
        </is>
      </c>
      <c r="N1587" t="inlineStr">
        <is>
          <t>entrackr | inc42 | vccircle</t>
        </is>
      </c>
      <c r="O1587" s="20" t="n">
        <v>3</v>
      </c>
      <c r="P1587" s="21" t="n">
        <v>1.2</v>
      </c>
      <c r="Q1587" t="inlineStr">
        <is>
          <t>C07</t>
        </is>
      </c>
      <c r="R1587" s="22" t="inlineStr">
        <is>
          <t>https://entrackr.com/news/b2b-metal-procurement-startup-nowpurchase-raises-86-mn-led-by-bajaj-finserv-11441827</t>
        </is>
      </c>
    </row>
    <row r="1588">
      <c r="A1588" t="inlineStr">
        <is>
          <t>R260401-palmonas</t>
        </is>
      </c>
      <c r="B1588" t="inlineStr">
        <is>
          <t>Palmonas</t>
        </is>
      </c>
      <c r="C1588" s="17" t="n">
        <v>46113</v>
      </c>
      <c r="D1588" s="18" t="n">
        <v>46113</v>
      </c>
      <c r="E1588" s="19" t="n">
        <v>40</v>
      </c>
      <c r="F1588" s="19" t="n">
        <v>373.72</v>
      </c>
      <c r="G1588" t="inlineStr">
        <is>
          <t>$40 million</t>
        </is>
      </c>
      <c r="H1588" t="inlineStr">
        <is>
          <t>Series B</t>
        </is>
      </c>
      <c r="I1588" t="inlineStr">
        <is>
          <t>Growth</t>
        </is>
      </c>
      <c r="J1588" t="inlineStr">
        <is>
          <t>Ecommerce</t>
        </is>
      </c>
      <c r="K1588" t="inlineStr">
        <is>
          <t>Unknown</t>
        </is>
      </c>
      <c r="L1588" t="inlineStr">
        <is>
          <t>Xponentia Capital; Vertex Growth Fund</t>
        </is>
      </c>
      <c r="M1588" t="inlineStr">
        <is>
          <t>Xponentia Capital; Vertex Growth Fund; Vertex Ventures SE Asia &amp; India</t>
        </is>
      </c>
      <c r="N1588" t="inlineStr">
        <is>
          <t>entrackr | inc42</t>
        </is>
      </c>
      <c r="O1588" s="20" t="n">
        <v>2</v>
      </c>
      <c r="P1588" s="21" t="n">
        <v>0</v>
      </c>
      <c r="Q1588" t="inlineStr">
        <is>
          <t>C07</t>
        </is>
      </c>
      <c r="R1588" s="22" t="inlineStr">
        <is>
          <t>https://inc42.com/buzz/from-noon-to-palmonas-indian-startups-raised-132-mn-this-week/</t>
        </is>
      </c>
    </row>
    <row r="1589">
      <c r="A1589" t="inlineStr">
        <is>
          <t>R260401-tendercuts</t>
        </is>
      </c>
      <c r="B1589" t="inlineStr">
        <is>
          <t>TenderCuts</t>
        </is>
      </c>
      <c r="C1589" s="17" t="n">
        <v>46113</v>
      </c>
      <c r="D1589" s="18" t="n">
        <v>46113</v>
      </c>
      <c r="E1589" s="19" t="n">
        <v>2</v>
      </c>
      <c r="F1589" s="19" t="n">
        <v>18.69</v>
      </c>
      <c r="G1589" t="inlineStr">
        <is>
          <t>$2 Mn</t>
        </is>
      </c>
      <c r="H1589" t="inlineStr">
        <is>
          <t>Debt</t>
        </is>
      </c>
      <c r="I1589" t="inlineStr">
        <is>
          <t>Debt</t>
        </is>
      </c>
      <c r="J1589" t="inlineStr">
        <is>
          <t>Ecommerce</t>
        </is>
      </c>
      <c r="K1589" t="inlineStr">
        <is>
          <t>Unknown</t>
        </is>
      </c>
      <c r="L1589" t="inlineStr">
        <is>
          <t>Lakme Finance</t>
        </is>
      </c>
      <c r="M1589" t="inlineStr">
        <is>
          <t>Lakme Finance</t>
        </is>
      </c>
      <c r="N1589" t="inlineStr">
        <is>
          <t>inc42</t>
        </is>
      </c>
      <c r="O1589" s="20" t="n">
        <v>1</v>
      </c>
      <c r="P1589" s="21" t="n">
        <v>0</v>
      </c>
      <c r="Q1589" t="inlineStr">
        <is>
          <t>C07</t>
        </is>
      </c>
      <c r="R1589" s="22" t="inlineStr">
        <is>
          <t>https://inc42.com/buzz/from-noon-to-palmonas-indian-startups-raised-132-mn-this-week/</t>
        </is>
      </c>
    </row>
    <row r="1590">
      <c r="A1590" t="inlineStr">
        <is>
          <t>R260401-xovianaerospac</t>
        </is>
      </c>
      <c r="B1590" t="inlineStr">
        <is>
          <t>Xovian Aerospace</t>
        </is>
      </c>
      <c r="C1590" s="17" t="n">
        <v>46113</v>
      </c>
      <c r="D1590" s="18" t="n">
        <v>46113</v>
      </c>
      <c r="E1590" s="19" t="n">
        <v>2</v>
      </c>
      <c r="F1590" s="19" t="n">
        <v>18.69</v>
      </c>
      <c r="G1590" t="inlineStr">
        <is>
          <t>$2 million</t>
        </is>
      </c>
      <c r="H1590" t="inlineStr">
        <is>
          <t>Undisclosed</t>
        </is>
      </c>
      <c r="I1590" t="inlineStr">
        <is>
          <t>Undisclosed</t>
        </is>
      </c>
      <c r="J1590" t="inlineStr">
        <is>
          <t>Advanced Hardware &amp; Technology</t>
        </is>
      </c>
      <c r="K1590" t="inlineStr">
        <is>
          <t>Bengaluru</t>
        </is>
      </c>
      <c r="L1590" t="inlineStr">
        <is>
          <t>Ashish Kacholia</t>
        </is>
      </c>
      <c r="M1590" t="inlineStr">
        <is>
          <t>Ashish Kacholia; Piper Serica; TurboStart; Inflection Point Ventures</t>
        </is>
      </c>
      <c r="N1590" t="inlineStr">
        <is>
          <t>entrackr | inc42</t>
        </is>
      </c>
      <c r="O1590" s="20" t="n">
        <v>2</v>
      </c>
      <c r="P1590" s="21" t="n">
        <v>0</v>
      </c>
      <c r="Q1590" t="inlineStr">
        <is>
          <t>C04</t>
        </is>
      </c>
      <c r="R1590" s="22" t="inlineStr">
        <is>
          <t>https://entrackr.com/snippets/xovian-aerospace-raises-2-mn-led-by-ashish-kacholia-11442879</t>
        </is>
      </c>
    </row>
    <row r="1591">
      <c r="A1591" t="inlineStr">
        <is>
          <t>R260402-aquapulse</t>
        </is>
      </c>
      <c r="B1591" t="inlineStr">
        <is>
          <t>Aquapulse</t>
        </is>
      </c>
      <c r="C1591" s="17" t="n">
        <v>46114</v>
      </c>
      <c r="D1591" s="18" t="n">
        <v>46113</v>
      </c>
      <c r="E1591" s="19" t="n">
        <v>2.685</v>
      </c>
      <c r="F1591" s="19" t="n">
        <v>25</v>
      </c>
      <c r="G1591" t="inlineStr">
        <is>
          <t>Rs 25 crore</t>
        </is>
      </c>
      <c r="H1591" t="inlineStr">
        <is>
          <t>Series A</t>
        </is>
      </c>
      <c r="I1591" t="inlineStr">
        <is>
          <t>Early</t>
        </is>
      </c>
      <c r="J1591" t="inlineStr">
        <is>
          <t>Agritech</t>
        </is>
      </c>
      <c r="K1591" t="inlineStr">
        <is>
          <t>Bhubaneswar</t>
        </is>
      </c>
      <c r="L1591" t="inlineStr">
        <is>
          <t>NABVENTURES</t>
        </is>
      </c>
      <c r="M1591" t="inlineStr">
        <is>
          <t>NABVENTURES</t>
        </is>
      </c>
      <c r="N1591" t="inlineStr">
        <is>
          <t>entrackr | inc42</t>
        </is>
      </c>
      <c r="O1591" s="20" t="n">
        <v>2</v>
      </c>
      <c r="P1591" s="21" t="n">
        <v>0.5</v>
      </c>
      <c r="Q1591" t="inlineStr"/>
      <c r="R1591" s="22" t="inlineStr">
        <is>
          <t>https://entrackr.com/snippets/aquapulse-raises-rs-25-cr-in-series-a-led-by-nabventures-11446411</t>
        </is>
      </c>
    </row>
    <row r="1592">
      <c r="A1592" t="inlineStr">
        <is>
          <t>R260402-gabify</t>
        </is>
      </c>
      <c r="B1592" t="inlineStr">
        <is>
          <t>Gabify</t>
        </is>
      </c>
      <c r="C1592" s="17" t="n">
        <v>46114</v>
      </c>
      <c r="D1592" s="18" t="n">
        <v>46113</v>
      </c>
      <c r="E1592" s="19" t="n">
        <v>0.175</v>
      </c>
      <c r="F1592" s="19" t="n">
        <v>1.63</v>
      </c>
      <c r="G1592" t="inlineStr">
        <is>
          <t>$175,000</t>
        </is>
      </c>
      <c r="H1592" t="inlineStr">
        <is>
          <t>Pre-Seed</t>
        </is>
      </c>
      <c r="I1592" t="inlineStr">
        <is>
          <t>Early</t>
        </is>
      </c>
      <c r="J1592" t="inlineStr">
        <is>
          <t>Healthtech</t>
        </is>
      </c>
      <c r="K1592" t="inlineStr">
        <is>
          <t>Unknown</t>
        </is>
      </c>
      <c r="L1592" t="inlineStr">
        <is>
          <t>Inflection Point Ventures</t>
        </is>
      </c>
      <c r="M1592" t="inlineStr">
        <is>
          <t>Inflection Point Ventures</t>
        </is>
      </c>
      <c r="N1592" t="inlineStr">
        <is>
          <t>entrackr | inc42</t>
        </is>
      </c>
      <c r="O1592" s="20" t="n">
        <v>2</v>
      </c>
      <c r="P1592" s="21" t="n">
        <v>0</v>
      </c>
      <c r="Q1592" t="inlineStr">
        <is>
          <t>C07</t>
        </is>
      </c>
      <c r="R1592" s="22" t="inlineStr">
        <is>
          <t>https://entrackr.com/snippets/gabify-raises-175k-in-pre-seed-round-led-by-inflection-point-ventures-11445677</t>
        </is>
      </c>
    </row>
    <row r="1593">
      <c r="A1593" t="inlineStr">
        <is>
          <t>R260402-navanc</t>
        </is>
      </c>
      <c r="B1593" t="inlineStr">
        <is>
          <t>Navanc</t>
        </is>
      </c>
      <c r="C1593" s="17" t="n">
        <v>46114</v>
      </c>
      <c r="D1593" s="18" t="n">
        <v>46113</v>
      </c>
      <c r="E1593" s="19" t="n">
        <v>1.1</v>
      </c>
      <c r="F1593" s="19" t="n">
        <v>10.24</v>
      </c>
      <c r="G1593" t="inlineStr">
        <is>
          <t>$1.1 Mn</t>
        </is>
      </c>
      <c r="H1593" t="inlineStr">
        <is>
          <t>Pre-Series A</t>
        </is>
      </c>
      <c r="I1593" t="inlineStr">
        <is>
          <t>Early</t>
        </is>
      </c>
      <c r="J1593" t="inlineStr">
        <is>
          <t>Fintech</t>
        </is>
      </c>
      <c r="K1593" t="inlineStr">
        <is>
          <t>Unknown</t>
        </is>
      </c>
      <c r="L1593" t="inlineStr">
        <is>
          <t>Equentis</t>
        </is>
      </c>
      <c r="M1593" t="inlineStr">
        <is>
          <t>Equentis; GrowthCap Ventures; Navin Kukreja; Gaurav Aggarwal; Prasanna Rao; Brigade REAP; Prarambh Ventures; IIMA Ventures; Inflection Point Ventures</t>
        </is>
      </c>
      <c r="N1593" t="inlineStr">
        <is>
          <t>inc42</t>
        </is>
      </c>
      <c r="O1593" s="20" t="n">
        <v>1</v>
      </c>
      <c r="P1593" s="21" t="n">
        <v>0</v>
      </c>
      <c r="Q1593" t="inlineStr">
        <is>
          <t>C07</t>
        </is>
      </c>
      <c r="R1593" s="22" t="inlineStr">
        <is>
          <t>https://inc42.com/buzz/from-noon-to-palmonas-indian-startups-raised-132-mn-this-week/</t>
        </is>
      </c>
    </row>
    <row r="1594">
      <c r="A1594" t="inlineStr">
        <is>
          <t>R260403-noon</t>
        </is>
      </c>
      <c r="B1594" t="inlineStr">
        <is>
          <t>Noon</t>
        </is>
      </c>
      <c r="C1594" s="17" t="n">
        <v>46115</v>
      </c>
      <c r="D1594" s="18" t="n">
        <v>46113</v>
      </c>
      <c r="E1594" s="19" t="n">
        <v>44</v>
      </c>
      <c r="F1594" s="19" t="n">
        <v>409.64</v>
      </c>
      <c r="G1594" t="inlineStr">
        <is>
          <t>$44 Mn</t>
        </is>
      </c>
      <c r="H1594" t="inlineStr">
        <is>
          <t>Undisclosed</t>
        </is>
      </c>
      <c r="I1594" t="inlineStr">
        <is>
          <t>Undisclosed</t>
        </is>
      </c>
      <c r="J1594" t="inlineStr">
        <is>
          <t>Enterprise Tech</t>
        </is>
      </c>
      <c r="K1594" t="inlineStr">
        <is>
          <t>Unknown</t>
        </is>
      </c>
      <c r="L1594" t="inlineStr">
        <is>
          <t>Chemistry</t>
        </is>
      </c>
      <c r="M1594" t="inlineStr">
        <is>
          <t>Chemistry; First Round Capital; Scribble Ventures; Elevation Capital; Afore Capital</t>
        </is>
      </c>
      <c r="N1594" t="inlineStr">
        <is>
          <t>inc42</t>
        </is>
      </c>
      <c r="O1594" s="20" t="n">
        <v>1</v>
      </c>
      <c r="P1594" s="21" t="n">
        <v>0</v>
      </c>
      <c r="Q1594" t="inlineStr">
        <is>
          <t>C04 C07</t>
        </is>
      </c>
      <c r="R1594" s="22" t="inlineStr">
        <is>
          <t>https://inc42.com/buzz/from-noon-to-palmonas-indian-startups-raised-132-mn-this-week/</t>
        </is>
      </c>
    </row>
    <row r="1595">
      <c r="A1595" t="inlineStr">
        <is>
          <t>R260403-uppercase</t>
        </is>
      </c>
      <c r="B1595" t="inlineStr">
        <is>
          <t>Uppercase</t>
        </is>
      </c>
      <c r="C1595" s="17" t="n">
        <v>46115</v>
      </c>
      <c r="D1595" s="18" t="n">
        <v>46113</v>
      </c>
      <c r="E1595" s="19" t="n">
        <v>2.148</v>
      </c>
      <c r="F1595" s="19" t="n">
        <v>20</v>
      </c>
      <c r="G1595" t="inlineStr">
        <is>
          <t>Rs 20 crore</t>
        </is>
      </c>
      <c r="H1595" t="inlineStr">
        <is>
          <t>Undisclosed</t>
        </is>
      </c>
      <c r="I1595" t="inlineStr">
        <is>
          <t>Undisclosed</t>
        </is>
      </c>
      <c r="J1595" t="inlineStr">
        <is>
          <t>Ecommerce</t>
        </is>
      </c>
      <c r="K1595" t="inlineStr">
        <is>
          <t>Mumbai</t>
        </is>
      </c>
      <c r="L1595" t="inlineStr"/>
      <c r="M1595" t="inlineStr">
        <is>
          <t>Accel India; Volrado Venture Partners</t>
        </is>
      </c>
      <c r="N1595" t="inlineStr">
        <is>
          <t>entrackr</t>
        </is>
      </c>
      <c r="O1595" s="20" t="n">
        <v>1</v>
      </c>
      <c r="P1595" s="21" t="n">
        <v>0</v>
      </c>
      <c r="Q1595" t="inlineStr">
        <is>
          <t>C04</t>
        </is>
      </c>
      <c r="R1595" s="22" t="inlineStr">
        <is>
          <t>https://entrackr.com/exclusive/exclusive-uppercase-raises-fresh-capital-from-existing-investors-11449759</t>
        </is>
      </c>
    </row>
    <row r="1596">
      <c r="A1596" t="inlineStr">
        <is>
          <t>R260406-damgoodfish</t>
        </is>
      </c>
      <c r="B1596" t="inlineStr">
        <is>
          <t>Dam Good Fish</t>
        </is>
      </c>
      <c r="C1596" s="17" t="n">
        <v>46118</v>
      </c>
      <c r="D1596" s="18" t="n">
        <v>46113</v>
      </c>
      <c r="E1596" s="19" t="n">
        <v>3.222</v>
      </c>
      <c r="F1596" s="19" t="n">
        <v>30</v>
      </c>
      <c r="G1596" t="inlineStr">
        <is>
          <t>Rs 30 crore</t>
        </is>
      </c>
      <c r="H1596" t="inlineStr">
        <is>
          <t>Undisclosed</t>
        </is>
      </c>
      <c r="I1596" t="inlineStr">
        <is>
          <t>Undisclosed</t>
        </is>
      </c>
      <c r="J1596" t="inlineStr">
        <is>
          <t>Unclassified</t>
        </is>
      </c>
      <c r="K1596" t="inlineStr">
        <is>
          <t>Delhi NCR</t>
        </is>
      </c>
      <c r="L1596" t="inlineStr"/>
      <c r="M1596" t="inlineStr"/>
      <c r="N1596" t="inlineStr">
        <is>
          <t>entrackr</t>
        </is>
      </c>
      <c r="O1596" s="20" t="n">
        <v>1</v>
      </c>
      <c r="P1596" s="21" t="n">
        <v>0</v>
      </c>
      <c r="Q1596" t="inlineStr">
        <is>
          <t>C04 C05 C06 C13</t>
        </is>
      </c>
      <c r="R1596" s="22" t="inlineStr">
        <is>
          <t>https://entrackr.com/snippets/dam-good-fish-raises-strategic-funding-at-rs-30-cr-valuation-11457953</t>
        </is>
      </c>
    </row>
    <row r="1597">
      <c r="A1597" t="inlineStr">
        <is>
          <t>R260406-gosats</t>
        </is>
      </c>
      <c r="B1597" t="inlineStr">
        <is>
          <t>GoSats</t>
        </is>
      </c>
      <c r="C1597" s="17" t="n">
        <v>46118</v>
      </c>
      <c r="D1597" s="18" t="n">
        <v>46113</v>
      </c>
      <c r="E1597" s="19" t="n">
        <v>5</v>
      </c>
      <c r="F1597" s="19" t="n">
        <v>46.55</v>
      </c>
      <c r="G1597" t="inlineStr">
        <is>
          <t>$5 million</t>
        </is>
      </c>
      <c r="H1597" t="inlineStr">
        <is>
          <t>Series A</t>
        </is>
      </c>
      <c r="I1597" t="inlineStr">
        <is>
          <t>Early</t>
        </is>
      </c>
      <c r="J1597" t="inlineStr">
        <is>
          <t>Fintech</t>
        </is>
      </c>
      <c r="K1597" t="inlineStr">
        <is>
          <t>Bengaluru</t>
        </is>
      </c>
      <c r="L1597" t="inlineStr">
        <is>
          <t>Konvoy</t>
        </is>
      </c>
      <c r="M1597" t="inlineStr">
        <is>
          <t>Konvoy; Y Combinator; Taisu Ventures</t>
        </is>
      </c>
      <c r="N1597" t="inlineStr">
        <is>
          <t>entrackr | inc42</t>
        </is>
      </c>
      <c r="O1597" s="20" t="n">
        <v>2</v>
      </c>
      <c r="P1597" s="21" t="n">
        <v>0</v>
      </c>
      <c r="Q1597" t="inlineStr"/>
      <c r="R1597" s="22" t="inlineStr">
        <is>
          <t>https://entrackr.com/snippets/konvoy-leads-5-mn-series-a-round-in-fintech-startup-gosats-11458228</t>
        </is>
      </c>
    </row>
    <row r="1598">
      <c r="A1598" t="inlineStr">
        <is>
          <t>R260406-satarkai</t>
        </is>
      </c>
      <c r="B1598" t="inlineStr">
        <is>
          <t>Satark AI</t>
        </is>
      </c>
      <c r="C1598" s="17" t="n">
        <v>46118</v>
      </c>
      <c r="D1598" s="18" t="n">
        <v>46113</v>
      </c>
      <c r="E1598" s="19" t="n"/>
      <c r="F1598" s="19" t="n"/>
      <c r="G1598" t="inlineStr"/>
      <c r="H1598" t="inlineStr">
        <is>
          <t>Pre-Seed</t>
        </is>
      </c>
      <c r="I1598" t="inlineStr">
        <is>
          <t>Early</t>
        </is>
      </c>
      <c r="J1598" t="inlineStr">
        <is>
          <t>Artificial Intelligence</t>
        </is>
      </c>
      <c r="K1598" t="inlineStr">
        <is>
          <t>Ahmedabad</t>
        </is>
      </c>
      <c r="L1598" t="inlineStr"/>
      <c r="M1598" t="inlineStr"/>
      <c r="N1598" t="inlineStr">
        <is>
          <t>entrackr | inc42</t>
        </is>
      </c>
      <c r="O1598" s="20" t="n">
        <v>2</v>
      </c>
      <c r="P1598" s="21" t="n"/>
      <c r="Q1598" t="inlineStr">
        <is>
          <t>C03 C05</t>
        </is>
      </c>
      <c r="R1598" s="22" t="inlineStr">
        <is>
          <t>https://entrackr.com/snippets/satark-ai-raises-pre-seed-round-at-4-mn-valuation-11457711</t>
        </is>
      </c>
    </row>
    <row r="1599">
      <c r="A1599" t="inlineStr">
        <is>
          <t>R260406-satleolabs</t>
        </is>
      </c>
      <c r="B1599" t="inlineStr">
        <is>
          <t>SatLeo Labs</t>
        </is>
      </c>
      <c r="C1599" s="17" t="n">
        <v>46118</v>
      </c>
      <c r="D1599" s="18" t="n">
        <v>46113</v>
      </c>
      <c r="E1599" s="19" t="n">
        <v>2.2</v>
      </c>
      <c r="F1599" s="19" t="n">
        <v>20.48</v>
      </c>
      <c r="G1599" t="inlineStr">
        <is>
          <t>$2.2 million</t>
        </is>
      </c>
      <c r="H1599" t="inlineStr">
        <is>
          <t>Seed</t>
        </is>
      </c>
      <c r="I1599" t="inlineStr">
        <is>
          <t>Early</t>
        </is>
      </c>
      <c r="J1599" t="inlineStr">
        <is>
          <t>Advanced Hardware &amp; Technology</t>
        </is>
      </c>
      <c r="K1599" t="inlineStr">
        <is>
          <t>Bengaluru</t>
        </is>
      </c>
      <c r="L1599" t="inlineStr">
        <is>
          <t>Unicorn India Ventures</t>
        </is>
      </c>
      <c r="M1599" t="inlineStr">
        <is>
          <t>Unicorn India Ventures; Merak Ventures; Java Capital; IIMA Ventures; Manish Gandhi</t>
        </is>
      </c>
      <c r="N1599" t="inlineStr">
        <is>
          <t>entrackr | inc42 | et</t>
        </is>
      </c>
      <c r="O1599" s="20" t="n">
        <v>3</v>
      </c>
      <c r="P1599" s="21" t="n">
        <v>0</v>
      </c>
      <c r="Q1599" t="inlineStr">
        <is>
          <t>C13</t>
        </is>
      </c>
      <c r="R1599" s="22" t="inlineStr">
        <is>
          <t>https://entrackr.com/snippets/spacetech-startup-satleo-labs-raises-22-mn-in-seed-round-11457321</t>
        </is>
      </c>
    </row>
    <row r="1600">
      <c r="A1600" t="inlineStr">
        <is>
          <t>R260406-wingify</t>
        </is>
      </c>
      <c r="B1600" t="inlineStr">
        <is>
          <t>Wingify</t>
        </is>
      </c>
      <c r="C1600" s="17" t="n">
        <v>46118</v>
      </c>
      <c r="D1600" s="18" t="n">
        <v>46113</v>
      </c>
      <c r="E1600" s="19" t="n">
        <v>148.335</v>
      </c>
      <c r="F1600" s="19" t="n">
        <v>1381</v>
      </c>
      <c r="G1600" t="inlineStr">
        <is>
          <t>Rs 1,381-crore</t>
        </is>
      </c>
      <c r="H1600" t="inlineStr">
        <is>
          <t>Undisclosed</t>
        </is>
      </c>
      <c r="I1600" t="inlineStr">
        <is>
          <t>Undisclosed</t>
        </is>
      </c>
      <c r="J1600" t="inlineStr">
        <is>
          <t>Enterprise Tech</t>
        </is>
      </c>
      <c r="K1600" t="inlineStr">
        <is>
          <t>Delhi NCR</t>
        </is>
      </c>
      <c r="L1600" t="inlineStr"/>
      <c r="M1600" t="inlineStr">
        <is>
          <t>Sparsh Gupta; Ankit Jain</t>
        </is>
      </c>
      <c r="N1600" t="inlineStr">
        <is>
          <t>et</t>
        </is>
      </c>
      <c r="O1600" s="20" t="n">
        <v>1</v>
      </c>
      <c r="P1600" s="21" t="n">
        <v>0</v>
      </c>
      <c r="Q1600" t="inlineStr">
        <is>
          <t>C04</t>
        </is>
      </c>
      <c r="R1600" s="22" t="inlineStr">
        <is>
          <t>https://economictimes.indiatimes.com/tech/startups/everstone-leads-150-million-infusion-in-saas-firm-wingify/articleshow/130063558.cms</t>
        </is>
      </c>
    </row>
    <row r="1601">
      <c r="A1601" t="inlineStr">
        <is>
          <t>R260406-zanskartech</t>
        </is>
      </c>
      <c r="B1601" t="inlineStr">
        <is>
          <t>Zanskar Tech</t>
        </is>
      </c>
      <c r="C1601" s="17" t="n">
        <v>46118</v>
      </c>
      <c r="D1601" s="18" t="n">
        <v>46113</v>
      </c>
      <c r="E1601" s="19" t="n">
        <v>2.685</v>
      </c>
      <c r="F1601" s="19" t="n">
        <v>25</v>
      </c>
      <c r="G1601" t="inlineStr">
        <is>
          <t>Rs 25 crore</t>
        </is>
      </c>
      <c r="H1601" t="inlineStr">
        <is>
          <t>Undisclosed</t>
        </is>
      </c>
      <c r="I1601" t="inlineStr">
        <is>
          <t>Undisclosed</t>
        </is>
      </c>
      <c r="J1601" t="inlineStr">
        <is>
          <t>Unclassified</t>
        </is>
      </c>
      <c r="K1601" t="inlineStr">
        <is>
          <t>Bengaluru</t>
        </is>
      </c>
      <c r="L1601" t="inlineStr"/>
      <c r="M1601" t="inlineStr">
        <is>
          <t>BlackSoil Capital</t>
        </is>
      </c>
      <c r="N1601" t="inlineStr">
        <is>
          <t>entrackr</t>
        </is>
      </c>
      <c r="O1601" s="20" t="n">
        <v>1</v>
      </c>
      <c r="P1601" s="21" t="n">
        <v>0</v>
      </c>
      <c r="Q1601" t="inlineStr">
        <is>
          <t>C04 C06</t>
        </is>
      </c>
      <c r="R1601" s="22" t="inlineStr">
        <is>
          <t>https://entrackr.com/snippets/zanskar-tech-secures-rs-25-cr-from-blacksoil-capital-11458964</t>
        </is>
      </c>
    </row>
    <row r="1602">
      <c r="A1602" t="inlineStr">
        <is>
          <t>R260407-cozyfarms</t>
        </is>
      </c>
      <c r="B1602" t="inlineStr">
        <is>
          <t>Cozy Farms</t>
        </is>
      </c>
      <c r="C1602" s="17" t="n">
        <v>46119</v>
      </c>
      <c r="D1602" s="18" t="n">
        <v>46113</v>
      </c>
      <c r="E1602" s="19" t="n">
        <v>0.388</v>
      </c>
      <c r="F1602" s="19" t="n">
        <v>3.61</v>
      </c>
      <c r="G1602" t="inlineStr">
        <is>
          <t>$388K</t>
        </is>
      </c>
      <c r="H1602" t="inlineStr">
        <is>
          <t>Undisclosed</t>
        </is>
      </c>
      <c r="I1602" t="inlineStr">
        <is>
          <t>Undisclosed</t>
        </is>
      </c>
      <c r="J1602" t="inlineStr">
        <is>
          <t>Real Estate Tech</t>
        </is>
      </c>
      <c r="K1602" t="inlineStr">
        <is>
          <t>Unknown</t>
        </is>
      </c>
      <c r="L1602" t="inlineStr"/>
      <c r="M1602" t="inlineStr"/>
      <c r="N1602" t="inlineStr">
        <is>
          <t>inc42</t>
        </is>
      </c>
      <c r="O1602" s="20" t="n">
        <v>1</v>
      </c>
      <c r="P1602" s="21" t="n">
        <v>0</v>
      </c>
      <c r="Q1602" t="inlineStr">
        <is>
          <t>C04 C05 C07</t>
        </is>
      </c>
      <c r="R1602" s="22" t="inlineStr">
        <is>
          <t>https://inc42.com/buzz/from-kreditbee-to-nava-indian-startups-raised-362-mn-this-week/</t>
        </is>
      </c>
    </row>
    <row r="1603">
      <c r="A1603" t="inlineStr">
        <is>
          <t>R260407-ecoil</t>
        </is>
      </c>
      <c r="B1603" t="inlineStr">
        <is>
          <t>Ecoil</t>
        </is>
      </c>
      <c r="C1603" s="17" t="n">
        <v>46119</v>
      </c>
      <c r="D1603" s="18" t="n">
        <v>46113</v>
      </c>
      <c r="E1603" s="19" t="n">
        <v>2.5</v>
      </c>
      <c r="F1603" s="19" t="n">
        <v>23.25</v>
      </c>
      <c r="G1603" t="inlineStr">
        <is>
          <t>$2.5 million</t>
        </is>
      </c>
      <c r="H1603" t="inlineStr">
        <is>
          <t>Series A</t>
        </is>
      </c>
      <c r="I1603" t="inlineStr">
        <is>
          <t>Early</t>
        </is>
      </c>
      <c r="J1603" t="inlineStr">
        <is>
          <t>Cleantech</t>
        </is>
      </c>
      <c r="K1603" t="inlineStr">
        <is>
          <t>Unknown</t>
        </is>
      </c>
      <c r="L1603" t="inlineStr">
        <is>
          <t>Fundalogical Ventures</t>
        </is>
      </c>
      <c r="M1603" t="inlineStr">
        <is>
          <t>Fundalogical Ventures; Caspian Impact Investment; Momentum Capital</t>
        </is>
      </c>
      <c r="N1603" t="inlineStr">
        <is>
          <t>entrackr | inc42 | et</t>
        </is>
      </c>
      <c r="O1603" s="20" t="n">
        <v>3</v>
      </c>
      <c r="P1603" s="21" t="n">
        <v>0</v>
      </c>
      <c r="Q1603" t="inlineStr">
        <is>
          <t>C07</t>
        </is>
      </c>
      <c r="R1603" s="22" t="inlineStr">
        <is>
          <t>https://entrackr.com/snippets/ecoil-raises-25-mn-in-series-a-led-by-fundalogical-ventures-11461229</t>
        </is>
      </c>
    </row>
    <row r="1604">
      <c r="A1604" t="inlineStr">
        <is>
          <t>R260407-filliandme</t>
        </is>
      </c>
      <c r="B1604" t="inlineStr">
        <is>
          <t>Filli &amp; Me</t>
        </is>
      </c>
      <c r="C1604" s="17" t="n">
        <v>46119</v>
      </c>
      <c r="D1604" s="18" t="n">
        <v>46113</v>
      </c>
      <c r="E1604" s="19" t="n">
        <v>0.161</v>
      </c>
      <c r="F1604" s="19" t="n">
        <v>1.5</v>
      </c>
      <c r="G1604" t="inlineStr">
        <is>
          <t>Rs 1.5 crore</t>
        </is>
      </c>
      <c r="H1604" t="inlineStr">
        <is>
          <t>Pre-Seed</t>
        </is>
      </c>
      <c r="I1604" t="inlineStr">
        <is>
          <t>Early</t>
        </is>
      </c>
      <c r="J1604" t="inlineStr">
        <is>
          <t>Ecommerce</t>
        </is>
      </c>
      <c r="K1604" t="inlineStr">
        <is>
          <t>Unknown</t>
        </is>
      </c>
      <c r="L1604" t="inlineStr"/>
      <c r="M1604" t="inlineStr"/>
      <c r="N1604" t="inlineStr">
        <is>
          <t>entrackr | inc42</t>
        </is>
      </c>
      <c r="O1604" s="20" t="n">
        <v>2</v>
      </c>
      <c r="P1604" s="21" t="n">
        <v>0.2</v>
      </c>
      <c r="Q1604" t="inlineStr">
        <is>
          <t>C05 C07</t>
        </is>
      </c>
      <c r="R1604" s="22" t="inlineStr">
        <is>
          <t>https://entrackr.com/snippets/d2c-insider-super-angels-leads-pre-seed-round-in-kids-brand-filli-me-11586028</t>
        </is>
      </c>
    </row>
    <row r="1605">
      <c r="A1605" t="inlineStr">
        <is>
          <t>R260407-glaas</t>
        </is>
      </c>
      <c r="B1605" t="inlineStr">
        <is>
          <t>GLAAS</t>
        </is>
      </c>
      <c r="C1605" s="17" t="n">
        <v>46119</v>
      </c>
      <c r="D1605" s="18" t="n">
        <v>46113</v>
      </c>
      <c r="E1605" s="19" t="n">
        <v>5</v>
      </c>
      <c r="F1605" s="19" t="n">
        <v>46.5</v>
      </c>
      <c r="G1605" t="inlineStr">
        <is>
          <t>$5 million</t>
        </is>
      </c>
      <c r="H1605" t="inlineStr">
        <is>
          <t>Undisclosed</t>
        </is>
      </c>
      <c r="I1605" t="inlineStr">
        <is>
          <t>Undisclosed</t>
        </is>
      </c>
      <c r="J1605" t="inlineStr">
        <is>
          <t>Fintech</t>
        </is>
      </c>
      <c r="K1605" t="inlineStr">
        <is>
          <t>Unknown</t>
        </is>
      </c>
      <c r="L1605" t="inlineStr"/>
      <c r="M1605" t="inlineStr"/>
      <c r="N1605" t="inlineStr">
        <is>
          <t>entrackr</t>
        </is>
      </c>
      <c r="O1605" s="20" t="n">
        <v>1</v>
      </c>
      <c r="P1605" s="21" t="n">
        <v>0</v>
      </c>
      <c r="Q1605" t="inlineStr">
        <is>
          <t>C04 C05 C07</t>
        </is>
      </c>
      <c r="R1605" s="22" t="inlineStr">
        <is>
          <t>https://entrackr.com/snippets/devesh-sachdev-joins-glaas-as-co-founder-md-invests-5-mn-11461786</t>
        </is>
      </c>
    </row>
    <row r="1606">
      <c r="A1606" t="inlineStr">
        <is>
          <t>R260407-h2loop</t>
        </is>
      </c>
      <c r="B1606" t="inlineStr">
        <is>
          <t>H2LooP</t>
        </is>
      </c>
      <c r="C1606" s="17" t="n">
        <v>46119</v>
      </c>
      <c r="D1606" s="18" t="n">
        <v>46113</v>
      </c>
      <c r="E1606" s="19" t="n">
        <v>2</v>
      </c>
      <c r="F1606" s="19" t="n">
        <v>18.6</v>
      </c>
      <c r="G1606" t="inlineStr">
        <is>
          <t>$2 million</t>
        </is>
      </c>
      <c r="H1606" t="inlineStr">
        <is>
          <t>Seed</t>
        </is>
      </c>
      <c r="I1606" t="inlineStr">
        <is>
          <t>Early</t>
        </is>
      </c>
      <c r="J1606" t="inlineStr">
        <is>
          <t>Artificial Intelligence</t>
        </is>
      </c>
      <c r="K1606" t="inlineStr">
        <is>
          <t>Bengaluru</t>
        </is>
      </c>
      <c r="L1606" t="inlineStr">
        <is>
          <t>Speciale Invest; 3one4 Capital</t>
        </is>
      </c>
      <c r="M1606" t="inlineStr">
        <is>
          <t>Speciale Invest; 3one4 Capital</t>
        </is>
      </c>
      <c r="N1606" t="inlineStr">
        <is>
          <t>entrackr | inc42</t>
        </is>
      </c>
      <c r="O1606" s="20" t="n">
        <v>2</v>
      </c>
      <c r="P1606" s="21" t="n">
        <v>0</v>
      </c>
      <c r="Q1606" t="inlineStr"/>
      <c r="R1606" s="22" t="inlineStr">
        <is>
          <t>https://entrackr.com/snippets/h2loop-raises-2-mn-in-seed-round-from-speciale-invest-and-3one4-capital-11481816</t>
        </is>
      </c>
    </row>
    <row r="1607">
      <c r="A1607" t="inlineStr">
        <is>
          <t>R260407-helium</t>
        </is>
      </c>
      <c r="B1607" t="inlineStr">
        <is>
          <t>Helium</t>
        </is>
      </c>
      <c r="C1607" s="17" t="n">
        <v>46119</v>
      </c>
      <c r="D1607" s="18" t="n">
        <v>46113</v>
      </c>
      <c r="E1607" s="19" t="n">
        <v>0.538</v>
      </c>
      <c r="F1607" s="19" t="n">
        <v>5</v>
      </c>
      <c r="G1607" t="inlineStr">
        <is>
          <t>Rs 5 crore</t>
        </is>
      </c>
      <c r="H1607" t="inlineStr">
        <is>
          <t>Seed</t>
        </is>
      </c>
      <c r="I1607" t="inlineStr">
        <is>
          <t>Early</t>
        </is>
      </c>
      <c r="J1607" t="inlineStr">
        <is>
          <t>Advanced Hardware &amp; Technology</t>
        </is>
      </c>
      <c r="K1607" t="inlineStr">
        <is>
          <t>Jaipur</t>
        </is>
      </c>
      <c r="L1607" t="inlineStr">
        <is>
          <t>India Quotient</t>
        </is>
      </c>
      <c r="M1607" t="inlineStr">
        <is>
          <t>India Quotient; Albinder Dhindsa; Kunal Shah; Pankaj Chaddah; Mohit Gupta; Akriti Chopra; Gunjan Patidar; Nitin Gupta</t>
        </is>
      </c>
      <c r="N1607" t="inlineStr">
        <is>
          <t>entrackr | inc42 | et</t>
        </is>
      </c>
      <c r="O1607" s="20" t="n">
        <v>3</v>
      </c>
      <c r="P1607" s="21" t="n">
        <v>272</v>
      </c>
      <c r="Q1607" t="inlineStr">
        <is>
          <t>C15 C16 C18</t>
        </is>
      </c>
      <c r="R1607" s="22" t="inlineStr">
        <is>
          <t>https://economictimes.indiatimes.com/tech/funding/d2c-air-conditioner-startup-helium-raises-2-million-from-india-quotient/articleshow/130091316.cms</t>
        </is>
      </c>
    </row>
    <row r="1608">
      <c r="A1608" t="inlineStr">
        <is>
          <t>R260407-kisaansay</t>
        </is>
      </c>
      <c r="B1608" t="inlineStr">
        <is>
          <t>KisaanSay</t>
        </is>
      </c>
      <c r="C1608" s="17" t="n">
        <v>46119</v>
      </c>
      <c r="D1608" s="18" t="n">
        <v>46113</v>
      </c>
      <c r="E1608" s="19" t="n">
        <v>3.656</v>
      </c>
      <c r="F1608" s="19" t="n">
        <v>34</v>
      </c>
      <c r="G1608" t="inlineStr">
        <is>
          <t>Rs 34 crore</t>
        </is>
      </c>
      <c r="H1608" t="inlineStr">
        <is>
          <t>Series A</t>
        </is>
      </c>
      <c r="I1608" t="inlineStr">
        <is>
          <t>Early</t>
        </is>
      </c>
      <c r="J1608" t="inlineStr">
        <is>
          <t>Ecommerce</t>
        </is>
      </c>
      <c r="K1608" t="inlineStr">
        <is>
          <t>Delhi NCR</t>
        </is>
      </c>
      <c r="L1608" t="inlineStr">
        <is>
          <t>NABVENTURES</t>
        </is>
      </c>
      <c r="M1608" t="inlineStr">
        <is>
          <t>NABVENTURES; Jungle Ventures through First Cheque@Jungle</t>
        </is>
      </c>
      <c r="N1608" t="inlineStr">
        <is>
          <t>entrackr | inc42</t>
        </is>
      </c>
      <c r="O1608" s="20" t="n">
        <v>2</v>
      </c>
      <c r="P1608" s="21" t="n">
        <v>1.2</v>
      </c>
      <c r="Q1608" t="inlineStr"/>
      <c r="R1608" s="22" t="inlineStr">
        <is>
          <t>https://entrackr.com/snippets/nabventures-leads-rs-34-cr-series-a-round-in-kisaansay-11461666</t>
        </is>
      </c>
    </row>
    <row r="1609">
      <c r="A1609" t="inlineStr">
        <is>
          <t>R260407-offbeat</t>
        </is>
      </c>
      <c r="B1609" t="inlineStr">
        <is>
          <t>OFF/BEAT</t>
        </is>
      </c>
      <c r="C1609" s="17" t="n">
        <v>46119</v>
      </c>
      <c r="D1609" s="18" t="n">
        <v>46113</v>
      </c>
      <c r="E1609" s="19" t="n">
        <v>10.752</v>
      </c>
      <c r="F1609" s="19" t="n">
        <v>100</v>
      </c>
      <c r="G1609" t="inlineStr">
        <is>
          <t>Rs 100 crore</t>
        </is>
      </c>
      <c r="H1609" t="inlineStr">
        <is>
          <t>Seed</t>
        </is>
      </c>
      <c r="I1609" t="inlineStr">
        <is>
          <t>Early</t>
        </is>
      </c>
      <c r="J1609" t="inlineStr">
        <is>
          <t>Ecommerce</t>
        </is>
      </c>
      <c r="K1609" t="inlineStr">
        <is>
          <t>Unknown</t>
        </is>
      </c>
      <c r="L1609" t="inlineStr">
        <is>
          <t>Bessemer Venture Partners</t>
        </is>
      </c>
      <c r="M1609" t="inlineStr">
        <is>
          <t>Bessemer Venture Partners</t>
        </is>
      </c>
      <c r="N1609" t="inlineStr">
        <is>
          <t>entrackr | inc42</t>
        </is>
      </c>
      <c r="O1609" s="20" t="n">
        <v>2</v>
      </c>
      <c r="P1609" s="21" t="n">
        <v>0.5</v>
      </c>
      <c r="Q1609" t="inlineStr">
        <is>
          <t>C07</t>
        </is>
      </c>
      <c r="R1609" s="22" t="inlineStr">
        <is>
          <t>https://entrackr.com/news/aman-guptas-off-beat-raises-rs-100-cr-led-by-bessemer-11461787</t>
        </is>
      </c>
    </row>
    <row r="1610">
      <c r="A1610" t="inlineStr">
        <is>
          <t>R260407-workongrid</t>
        </is>
      </c>
      <c r="B1610" t="inlineStr">
        <is>
          <t>WorkOnGrid</t>
        </is>
      </c>
      <c r="C1610" s="17" t="n">
        <v>46119</v>
      </c>
      <c r="D1610" s="18" t="n">
        <v>46113</v>
      </c>
      <c r="E1610" s="19" t="n">
        <v>2.419</v>
      </c>
      <c r="F1610" s="19" t="n">
        <v>22.5</v>
      </c>
      <c r="G1610" t="inlineStr">
        <is>
          <t>Rs 22.5 crore</t>
        </is>
      </c>
      <c r="H1610" t="inlineStr">
        <is>
          <t>Undisclosed</t>
        </is>
      </c>
      <c r="I1610" t="inlineStr">
        <is>
          <t>Undisclosed</t>
        </is>
      </c>
      <c r="J1610" t="inlineStr">
        <is>
          <t>Enterprise Tech</t>
        </is>
      </c>
      <c r="K1610" t="inlineStr">
        <is>
          <t>Bengaluru</t>
        </is>
      </c>
      <c r="L1610" t="inlineStr">
        <is>
          <t>Transition VC</t>
        </is>
      </c>
      <c r="M1610" t="inlineStr">
        <is>
          <t>Transition VC; IAN Group; Indian Angel Network</t>
        </is>
      </c>
      <c r="N1610" t="inlineStr">
        <is>
          <t>entrackr | inc42 | et</t>
        </is>
      </c>
      <c r="O1610" s="20" t="n">
        <v>3</v>
      </c>
      <c r="P1610" s="21" t="n">
        <v>0.8</v>
      </c>
      <c r="Q1610" t="inlineStr">
        <is>
          <t>C04</t>
        </is>
      </c>
      <c r="R1610" s="22" t="inlineStr">
        <is>
          <t>https://entrackr.com/snippets/workongrid-raises-rs-225-cr-led-by-transition-venture-capital-11631783</t>
        </is>
      </c>
    </row>
    <row r="1611">
      <c r="A1611" t="inlineStr">
        <is>
          <t>R260407-xccelera</t>
        </is>
      </c>
      <c r="B1611" t="inlineStr">
        <is>
          <t>Xccelera</t>
        </is>
      </c>
      <c r="C1611" s="17" t="n">
        <v>46119</v>
      </c>
      <c r="D1611" s="18" t="n">
        <v>46113</v>
      </c>
      <c r="E1611" s="19" t="n">
        <v>0.129</v>
      </c>
      <c r="F1611" s="19" t="n">
        <v>1.2</v>
      </c>
      <c r="G1611" t="inlineStr">
        <is>
          <t>$129K</t>
        </is>
      </c>
      <c r="H1611" t="inlineStr">
        <is>
          <t>Undisclosed</t>
        </is>
      </c>
      <c r="I1611" t="inlineStr">
        <is>
          <t>Undisclosed</t>
        </is>
      </c>
      <c r="J1611" t="inlineStr">
        <is>
          <t>Artificial Intelligence</t>
        </is>
      </c>
      <c r="K1611" t="inlineStr">
        <is>
          <t>Delhi NCR</t>
        </is>
      </c>
      <c r="L1611" t="inlineStr"/>
      <c r="M1611" t="inlineStr">
        <is>
          <t>Ramakant Sharma; Asad Khan; Amiya Pathak</t>
        </is>
      </c>
      <c r="N1611" t="inlineStr">
        <is>
          <t>inc42 | et</t>
        </is>
      </c>
      <c r="O1611" s="20" t="n">
        <v>2</v>
      </c>
      <c r="P1611" s="21" t="n">
        <v>0</v>
      </c>
      <c r="Q1611" t="inlineStr">
        <is>
          <t>C04</t>
        </is>
      </c>
      <c r="R1611" s="22" t="inlineStr">
        <is>
          <t>https://economictimes.indiatimes.com/tech/funding/enterprise-ai-startup-xccelera-raises-rs-1-2-crore/articleshow/130086979.cms</t>
        </is>
      </c>
    </row>
    <row r="1612">
      <c r="A1612" t="inlineStr">
        <is>
          <t>R260408-angoorai</t>
        </is>
      </c>
      <c r="B1612" t="inlineStr">
        <is>
          <t>Angoor AI</t>
        </is>
      </c>
      <c r="C1612" s="17" t="n">
        <v>46120</v>
      </c>
      <c r="D1612" s="18" t="n">
        <v>46113</v>
      </c>
      <c r="E1612" s="19" t="n">
        <v>0.217</v>
      </c>
      <c r="F1612" s="19" t="n">
        <v>2</v>
      </c>
      <c r="G1612" t="inlineStr">
        <is>
          <t>Rs 2 crore</t>
        </is>
      </c>
      <c r="H1612" t="inlineStr">
        <is>
          <t>Pre-Seed</t>
        </is>
      </c>
      <c r="I1612" t="inlineStr">
        <is>
          <t>Early</t>
        </is>
      </c>
      <c r="J1612" t="inlineStr">
        <is>
          <t>Artificial Intelligence</t>
        </is>
      </c>
      <c r="K1612" t="inlineStr">
        <is>
          <t>Unknown</t>
        </is>
      </c>
      <c r="L1612" t="inlineStr">
        <is>
          <t>Venturizer</t>
        </is>
      </c>
      <c r="M1612" t="inlineStr">
        <is>
          <t>Venturizer; Uday Sodhi; Tarun Billa; Mayank Singh Tomar</t>
        </is>
      </c>
      <c r="N1612" t="inlineStr">
        <is>
          <t>entrackr | inc42</t>
        </is>
      </c>
      <c r="O1612" s="20" t="n">
        <v>2</v>
      </c>
      <c r="P1612" s="21" t="n">
        <v>0.9</v>
      </c>
      <c r="Q1612" t="inlineStr">
        <is>
          <t>C07</t>
        </is>
      </c>
      <c r="R1612" s="22" t="inlineStr">
        <is>
          <t>https://entrackr.com/snippets/customer-interaction-platform-angoor-ai-raises-pre-seed-round-led-by-venturizer-11700670</t>
        </is>
      </c>
    </row>
    <row r="1613">
      <c r="A1613" t="inlineStr">
        <is>
          <t>R260408-atlas</t>
        </is>
      </c>
      <c r="B1613" t="inlineStr">
        <is>
          <t>Atlas</t>
        </is>
      </c>
      <c r="C1613" s="17" t="n">
        <v>46120</v>
      </c>
      <c r="D1613" s="18" t="n">
        <v>46113</v>
      </c>
      <c r="E1613" s="19" t="n">
        <v>6</v>
      </c>
      <c r="F1613" s="19" t="n">
        <v>55.33</v>
      </c>
      <c r="G1613" t="inlineStr">
        <is>
          <t>$6 million</t>
        </is>
      </c>
      <c r="H1613" t="inlineStr">
        <is>
          <t>Seed</t>
        </is>
      </c>
      <c r="I1613" t="inlineStr">
        <is>
          <t>Early</t>
        </is>
      </c>
      <c r="J1613" t="inlineStr">
        <is>
          <t>Artificial Intelligence</t>
        </is>
      </c>
      <c r="K1613" t="inlineStr">
        <is>
          <t>Outside India</t>
        </is>
      </c>
      <c r="L1613" t="inlineStr">
        <is>
          <t>Accel; Stellaris Venture Partners</t>
        </is>
      </c>
      <c r="M1613" t="inlineStr">
        <is>
          <t>Accel; Stellaris Venture Partners</t>
        </is>
      </c>
      <c r="N1613" t="inlineStr">
        <is>
          <t>entrackr | inc42 | et</t>
        </is>
      </c>
      <c r="O1613" s="20" t="n">
        <v>3</v>
      </c>
      <c r="P1613" s="21" t="n">
        <v>0</v>
      </c>
      <c r="Q1613" t="inlineStr"/>
      <c r="R1613" s="22" t="inlineStr">
        <is>
          <t>https://entrackr.com/snippets/atlas-raises-6-mn-in-seed-round-co-led-by-accel-and-stellaris-11700765</t>
        </is>
      </c>
    </row>
    <row r="1614">
      <c r="A1614" t="inlineStr">
        <is>
          <t>R260408-clayco</t>
        </is>
      </c>
      <c r="B1614" t="inlineStr">
        <is>
          <t>ClayCo</t>
        </is>
      </c>
      <c r="C1614" s="17" t="n">
        <v>46120</v>
      </c>
      <c r="D1614" s="18" t="n">
        <v>46113</v>
      </c>
      <c r="E1614" s="19" t="n">
        <v>3.751</v>
      </c>
      <c r="F1614" s="19" t="n">
        <v>34.59</v>
      </c>
      <c r="G1614" t="inlineStr">
        <is>
          <t>Rs 34.59 crore</t>
        </is>
      </c>
      <c r="H1614" t="inlineStr">
        <is>
          <t>Series A</t>
        </is>
      </c>
      <c r="I1614" t="inlineStr">
        <is>
          <t>Early</t>
        </is>
      </c>
      <c r="J1614" t="inlineStr">
        <is>
          <t>Ecommerce</t>
        </is>
      </c>
      <c r="K1614" t="inlineStr">
        <is>
          <t>Mumbai</t>
        </is>
      </c>
      <c r="L1614" t="inlineStr">
        <is>
          <t>Twenty Nine Capital Partners Ventures</t>
        </is>
      </c>
      <c r="M1614" t="inlineStr">
        <is>
          <t>Twenty Nine Capital Partners Ventures; ICMG Global Ventures; Singapore</t>
        </is>
      </c>
      <c r="N1614" t="inlineStr">
        <is>
          <t>entrackr | inc42 | et</t>
        </is>
      </c>
      <c r="O1614" s="20" t="n">
        <v>3</v>
      </c>
      <c r="P1614" s="21" t="n">
        <v>837.7</v>
      </c>
      <c r="Q1614" t="inlineStr">
        <is>
          <t>C14 C15</t>
        </is>
      </c>
      <c r="R1614" s="22" t="inlineStr">
        <is>
          <t>https://entrackr.com/snippets/skincare-brand-clayco-raises-rs-3459-cr-in-series-a-led-by-twenty-nine-capital-11701187</t>
        </is>
      </c>
    </row>
    <row r="1615">
      <c r="A1615" t="inlineStr">
        <is>
          <t>R260408-kreditbee</t>
        </is>
      </c>
      <c r="B1615" t="inlineStr">
        <is>
          <t>KreditBee</t>
        </is>
      </c>
      <c r="C1615" s="17" t="n">
        <v>46120</v>
      </c>
      <c r="D1615" s="18" t="n">
        <v>46113</v>
      </c>
      <c r="E1615" s="19" t="n">
        <v>280</v>
      </c>
      <c r="F1615" s="19" t="n">
        <v>2582.16</v>
      </c>
      <c r="G1615" t="inlineStr">
        <is>
          <t>$280 million</t>
        </is>
      </c>
      <c r="H1615" t="inlineStr">
        <is>
          <t>Series E</t>
        </is>
      </c>
      <c r="I1615" t="inlineStr">
        <is>
          <t>Late</t>
        </is>
      </c>
      <c r="J1615" t="inlineStr">
        <is>
          <t>Fintech</t>
        </is>
      </c>
      <c r="K1615" t="inlineStr">
        <is>
          <t>Bengaluru</t>
        </is>
      </c>
      <c r="L1615" t="inlineStr">
        <is>
          <t>Motilal Oswal Alternates; Hornbill Capital</t>
        </is>
      </c>
      <c r="M1615" t="inlineStr">
        <is>
          <t>Motilal Oswal Alternates; Hornbill Capital; WhiteOak Capital; A.P. Moller Holding; Premji Invest</t>
        </is>
      </c>
      <c r="N1615" t="inlineStr">
        <is>
          <t>entrackr | inc42 | et</t>
        </is>
      </c>
      <c r="O1615" s="20" t="n">
        <v>3</v>
      </c>
      <c r="P1615" s="21" t="n">
        <v>0</v>
      </c>
      <c r="Q1615" t="inlineStr"/>
      <c r="R1615" s="22" t="inlineStr">
        <is>
          <t>https://entrackr.com/news/kreditbee-enters-unicorn-club-with-280-mn-series-e-round-11700184</t>
        </is>
      </c>
    </row>
    <row r="1616">
      <c r="A1616" t="inlineStr">
        <is>
          <t>R260408-pluckk</t>
        </is>
      </c>
      <c r="B1616" t="inlineStr">
        <is>
          <t>Pluckk</t>
        </is>
      </c>
      <c r="C1616" s="17" t="n">
        <v>46120</v>
      </c>
      <c r="D1616" s="18" t="n">
        <v>46113</v>
      </c>
      <c r="E1616" s="19" t="n">
        <v>10.844</v>
      </c>
      <c r="F1616" s="19" t="n">
        <v>100</v>
      </c>
      <c r="G1616" t="inlineStr">
        <is>
          <t>Rs 100 crore</t>
        </is>
      </c>
      <c r="H1616" t="inlineStr">
        <is>
          <t>Series A</t>
        </is>
      </c>
      <c r="I1616" t="inlineStr">
        <is>
          <t>Early</t>
        </is>
      </c>
      <c r="J1616" t="inlineStr">
        <is>
          <t>Ecommerce</t>
        </is>
      </c>
      <c r="K1616" t="inlineStr">
        <is>
          <t>Mumbai</t>
        </is>
      </c>
      <c r="L1616" t="inlineStr">
        <is>
          <t>Euro Gulf Investment</t>
        </is>
      </c>
      <c r="M1616" t="inlineStr">
        <is>
          <t>Euro Gulf Investment</t>
        </is>
      </c>
      <c r="N1616" t="inlineStr">
        <is>
          <t>entrackr | inc42 | et</t>
        </is>
      </c>
      <c r="O1616" s="20" t="n">
        <v>3</v>
      </c>
      <c r="P1616" s="21" t="n">
        <v>1.3</v>
      </c>
      <c r="Q1616" t="inlineStr"/>
      <c r="R1616" s="22" t="inlineStr">
        <is>
          <t>https://economictimes.indiatimes.com/tech/funding/d2c-farm-produce-platform-pluckk-raises-rs-100-crore-from-euro-gulf-investment/articleshow/130118770.cms</t>
        </is>
      </c>
    </row>
    <row r="1617">
      <c r="A1617" t="inlineStr">
        <is>
          <t>R260408-roshai</t>
        </is>
      </c>
      <c r="B1617" t="inlineStr">
        <is>
          <t>RoshAi</t>
        </is>
      </c>
      <c r="C1617" s="17" t="n">
        <v>46120</v>
      </c>
      <c r="D1617" s="18" t="n">
        <v>46113</v>
      </c>
      <c r="E1617" s="19" t="n">
        <v>2.386</v>
      </c>
      <c r="F1617" s="19" t="n">
        <v>22</v>
      </c>
      <c r="G1617" t="inlineStr">
        <is>
          <t>Rs 22 crore</t>
        </is>
      </c>
      <c r="H1617" t="inlineStr">
        <is>
          <t>Undisclosed</t>
        </is>
      </c>
      <c r="I1617" t="inlineStr">
        <is>
          <t>Undisclosed</t>
        </is>
      </c>
      <c r="J1617" t="inlineStr">
        <is>
          <t>Advanced Hardware &amp; Technology</t>
        </is>
      </c>
      <c r="K1617" t="inlineStr">
        <is>
          <t>Kochi</t>
        </is>
      </c>
      <c r="L1617" t="inlineStr">
        <is>
          <t>IAN Group</t>
        </is>
      </c>
      <c r="M1617" t="inlineStr">
        <is>
          <t>IAN Group; Caret Capital; Ev2 Ventures; ThinKuvate</t>
        </is>
      </c>
      <c r="N1617" t="inlineStr">
        <is>
          <t>entrackr | inc42</t>
        </is>
      </c>
      <c r="O1617" s="20" t="n">
        <v>2</v>
      </c>
      <c r="P1617" s="21" t="n">
        <v>0.6</v>
      </c>
      <c r="Q1617" t="inlineStr">
        <is>
          <t>C04</t>
        </is>
      </c>
      <c r="R1617" s="22" t="inlineStr">
        <is>
          <t>https://entrackr.com/snippets/ian-alpha-fund-leads-rs-22-cr-round-in-deep-tech-startup-roshai-11701674</t>
        </is>
      </c>
    </row>
    <row r="1618">
      <c r="A1618" t="inlineStr">
        <is>
          <t>R260408-trevmobility</t>
        </is>
      </c>
      <c r="B1618" t="inlineStr">
        <is>
          <t>Trev Mobility</t>
        </is>
      </c>
      <c r="C1618" s="17" t="n">
        <v>46120</v>
      </c>
      <c r="D1618" s="18" t="n">
        <v>46113</v>
      </c>
      <c r="E1618" s="19" t="n">
        <v>0.396</v>
      </c>
      <c r="F1618" s="19" t="n">
        <v>3.65</v>
      </c>
      <c r="G1618" t="inlineStr">
        <is>
          <t>Rs 3.65 crore</t>
        </is>
      </c>
      <c r="H1618" t="inlineStr">
        <is>
          <t>Seed</t>
        </is>
      </c>
      <c r="I1618" t="inlineStr">
        <is>
          <t>Early</t>
        </is>
      </c>
      <c r="J1618" t="inlineStr">
        <is>
          <t>Travel Tech</t>
        </is>
      </c>
      <c r="K1618" t="inlineStr">
        <is>
          <t>Delhi NCR</t>
        </is>
      </c>
      <c r="L1618" t="inlineStr"/>
      <c r="M1618" t="inlineStr">
        <is>
          <t>Startup India Seed Fund Scheme</t>
        </is>
      </c>
      <c r="N1618" t="inlineStr">
        <is>
          <t>entrackr | inc42</t>
        </is>
      </c>
      <c r="O1618" s="20" t="n">
        <v>2</v>
      </c>
      <c r="P1618" s="21" t="n">
        <v>0.5</v>
      </c>
      <c r="Q1618" t="inlineStr"/>
      <c r="R1618" s="22" t="inlineStr">
        <is>
          <t>https://entrackr.com/snippets/ev-mobility-startup-trev-mobility-raises-angel-round-to-expand-across-delhi-ncr-11657382</t>
        </is>
      </c>
    </row>
    <row r="1619">
      <c r="A1619" t="inlineStr">
        <is>
          <t>R260408-tsecondai</t>
        </is>
      </c>
      <c r="B1619" t="inlineStr">
        <is>
          <t>Tsecond.ai</t>
        </is>
      </c>
      <c r="C1619" s="17" t="n">
        <v>46120</v>
      </c>
      <c r="D1619" s="18" t="n">
        <v>46113</v>
      </c>
      <c r="E1619" s="19" t="n">
        <v>21.5</v>
      </c>
      <c r="F1619" s="19" t="n">
        <v>198.27</v>
      </c>
      <c r="G1619" t="inlineStr">
        <is>
          <t>$21.5 million</t>
        </is>
      </c>
      <c r="H1619" t="inlineStr">
        <is>
          <t>Undisclosed</t>
        </is>
      </c>
      <c r="I1619" t="inlineStr">
        <is>
          <t>Undisclosed</t>
        </is>
      </c>
      <c r="J1619" t="inlineStr">
        <is>
          <t>Artificial Intelligence</t>
        </is>
      </c>
      <c r="K1619" t="inlineStr">
        <is>
          <t>Unknown</t>
        </is>
      </c>
      <c r="L1619" t="inlineStr">
        <is>
          <t>MSN Holdings; Manish Nuwal</t>
        </is>
      </c>
      <c r="M1619" t="inlineStr">
        <is>
          <t>MSN Holdings; Manish Nuwal</t>
        </is>
      </c>
      <c r="N1619" t="inlineStr">
        <is>
          <t>entrackr</t>
        </is>
      </c>
      <c r="O1619" s="20" t="n">
        <v>1</v>
      </c>
      <c r="P1619" s="21" t="n">
        <v>0</v>
      </c>
      <c r="Q1619" t="inlineStr">
        <is>
          <t>C04 C07</t>
        </is>
      </c>
      <c r="R1619" s="22" t="inlineStr">
        <is>
          <t>https://entrackr.com/snippets/defense-tech-firm-tsecondai-raises-215-mn-led-by-msn-holdings-11701077</t>
        </is>
      </c>
    </row>
    <row r="1620">
      <c r="A1620" t="inlineStr">
        <is>
          <t>R260409-astranovamobil</t>
        </is>
      </c>
      <c r="B1620" t="inlineStr">
        <is>
          <t>Astranova Mobility</t>
        </is>
      </c>
      <c r="C1620" s="17" t="n">
        <v>46121</v>
      </c>
      <c r="D1620" s="18" t="n">
        <v>46113</v>
      </c>
      <c r="E1620" s="19" t="n">
        <v>6.475</v>
      </c>
      <c r="F1620" s="19" t="n">
        <v>60</v>
      </c>
      <c r="G1620" t="inlineStr">
        <is>
          <t>Rs 60 crore</t>
        </is>
      </c>
      <c r="H1620" t="inlineStr">
        <is>
          <t>Series A</t>
        </is>
      </c>
      <c r="I1620" t="inlineStr">
        <is>
          <t>Early</t>
        </is>
      </c>
      <c r="J1620" t="inlineStr">
        <is>
          <t>Cleantech</t>
        </is>
      </c>
      <c r="K1620" t="inlineStr">
        <is>
          <t>Delhi NCR</t>
        </is>
      </c>
      <c r="L1620" t="inlineStr">
        <is>
          <t>IvyCap Ventures</t>
        </is>
      </c>
      <c r="M1620" t="inlineStr">
        <is>
          <t>IvyCap Ventures; Trucks Venture Capital; Asian Development Bank</t>
        </is>
      </c>
      <c r="N1620" t="inlineStr">
        <is>
          <t>entrackr | inc42 | et</t>
        </is>
      </c>
      <c r="O1620" s="20" t="n">
        <v>3</v>
      </c>
      <c r="P1620" s="21" t="n">
        <v>1.2</v>
      </c>
      <c r="Q1620" t="inlineStr"/>
      <c r="R1620" s="22" t="inlineStr">
        <is>
          <t>https://entrackr.com/snippets/astranova-mobility-raises-rs-60-cr-in-series-a-led-by-ivycap-ventures-11704150</t>
        </is>
      </c>
    </row>
    <row r="1621">
      <c r="A1621" t="inlineStr">
        <is>
          <t>R260409-daakit</t>
        </is>
      </c>
      <c r="B1621" t="inlineStr">
        <is>
          <t>DAAKit</t>
        </is>
      </c>
      <c r="C1621" s="17" t="n">
        <v>46121</v>
      </c>
      <c r="D1621" s="18" t="n">
        <v>46113</v>
      </c>
      <c r="E1621" s="19" t="n">
        <v>0.138</v>
      </c>
      <c r="F1621" s="19" t="n">
        <v>1.28</v>
      </c>
      <c r="G1621" t="inlineStr">
        <is>
          <t>$138K</t>
        </is>
      </c>
      <c r="H1621" t="inlineStr">
        <is>
          <t>Pre-Seed</t>
        </is>
      </c>
      <c r="I1621" t="inlineStr">
        <is>
          <t>Early</t>
        </is>
      </c>
      <c r="J1621" t="inlineStr">
        <is>
          <t>Logistics</t>
        </is>
      </c>
      <c r="K1621" t="inlineStr">
        <is>
          <t>Unknown</t>
        </is>
      </c>
      <c r="L1621" t="inlineStr">
        <is>
          <t>Inflection Point Ventures</t>
        </is>
      </c>
      <c r="M1621" t="inlineStr">
        <is>
          <t>Inflection Point Ventures</t>
        </is>
      </c>
      <c r="N1621" t="inlineStr">
        <is>
          <t>entrackr | inc42</t>
        </is>
      </c>
      <c r="O1621" s="20" t="n">
        <v>2</v>
      </c>
      <c r="P1621" s="21" t="n">
        <v>0</v>
      </c>
      <c r="Q1621" t="inlineStr">
        <is>
          <t>C07</t>
        </is>
      </c>
      <c r="R1621" s="22" t="inlineStr">
        <is>
          <t>https://entrackr.com/snippets/daakit-raises-138k-in-pre-seed-round-led-by-inflection-point-ventures-11704251</t>
        </is>
      </c>
    </row>
    <row r="1622">
      <c r="A1622" t="inlineStr">
        <is>
          <t>R260409-nava</t>
        </is>
      </c>
      <c r="B1622" t="inlineStr">
        <is>
          <t>Nava</t>
        </is>
      </c>
      <c r="C1622" s="17" t="n">
        <v>46121</v>
      </c>
      <c r="D1622" s="18" t="n">
        <v>46113</v>
      </c>
      <c r="E1622" s="19" t="n">
        <v>22</v>
      </c>
      <c r="F1622" s="19" t="n">
        <v>203.85</v>
      </c>
      <c r="G1622" t="inlineStr">
        <is>
          <t>$22 million</t>
        </is>
      </c>
      <c r="H1622" t="inlineStr">
        <is>
          <t>Series A</t>
        </is>
      </c>
      <c r="I1622" t="inlineStr">
        <is>
          <t>Early</t>
        </is>
      </c>
      <c r="J1622" t="inlineStr">
        <is>
          <t>Artificial Intelligence</t>
        </is>
      </c>
      <c r="K1622" t="inlineStr">
        <is>
          <t>Unknown</t>
        </is>
      </c>
      <c r="L1622" t="inlineStr">
        <is>
          <t>Greenoaks</t>
        </is>
      </c>
      <c r="M1622" t="inlineStr">
        <is>
          <t>Greenoaks; RTP Global; Unicorn India Ventures</t>
        </is>
      </c>
      <c r="N1622" t="inlineStr">
        <is>
          <t>entrackr | inc42 | et</t>
        </is>
      </c>
      <c r="O1622" s="20" t="n">
        <v>3</v>
      </c>
      <c r="P1622" s="21" t="n">
        <v>0</v>
      </c>
      <c r="Q1622" t="inlineStr">
        <is>
          <t>C07</t>
        </is>
      </c>
      <c r="R1622" s="22" t="inlineStr">
        <is>
          <t>https://entrackr.com/news/enterprise-ai-startup-nava-raises-22-mn-led-by-greenoaks-capital-11703910</t>
        </is>
      </c>
    </row>
    <row r="1623">
      <c r="A1623" t="inlineStr">
        <is>
          <t>R260409-swageazy</t>
        </is>
      </c>
      <c r="B1623" t="inlineStr">
        <is>
          <t>Swageazy</t>
        </is>
      </c>
      <c r="C1623" s="17" t="n">
        <v>46121</v>
      </c>
      <c r="D1623" s="18" t="n">
        <v>46113</v>
      </c>
      <c r="E1623" s="19" t="n">
        <v>0.583</v>
      </c>
      <c r="F1623" s="19" t="n">
        <v>5.4</v>
      </c>
      <c r="G1623" t="inlineStr">
        <is>
          <t>Rs 5.4 crore</t>
        </is>
      </c>
      <c r="H1623" t="inlineStr">
        <is>
          <t>Undisclosed</t>
        </is>
      </c>
      <c r="I1623" t="inlineStr">
        <is>
          <t>Undisclosed</t>
        </is>
      </c>
      <c r="J1623" t="inlineStr">
        <is>
          <t>Ecommerce</t>
        </is>
      </c>
      <c r="K1623" t="inlineStr">
        <is>
          <t>Unknown</t>
        </is>
      </c>
      <c r="L1623" t="inlineStr">
        <is>
          <t>Info Edge Ventures</t>
        </is>
      </c>
      <c r="M1623" t="inlineStr">
        <is>
          <t>Info Edge Ventures; OnGrid; HROne</t>
        </is>
      </c>
      <c r="N1623" t="inlineStr">
        <is>
          <t>entrackr | inc42</t>
        </is>
      </c>
      <c r="O1623" s="20" t="n">
        <v>2</v>
      </c>
      <c r="P1623" s="21" t="n">
        <v>0.7</v>
      </c>
      <c r="Q1623" t="inlineStr">
        <is>
          <t>C04 C07</t>
        </is>
      </c>
      <c r="R1623" s="22" t="inlineStr">
        <is>
          <t>https://entrackr.com/snippets/swageazy-raises-rs-54-cr-follow-on-round-led-by-info-edge-ventures-11708256</t>
        </is>
      </c>
    </row>
    <row r="1624">
      <c r="A1624" t="inlineStr">
        <is>
          <t>R260413-devmilkfoods</t>
        </is>
      </c>
      <c r="B1624" t="inlineStr">
        <is>
          <t>Dev Milk Foods</t>
        </is>
      </c>
      <c r="C1624" s="17" t="n">
        <v>46125</v>
      </c>
      <c r="D1624" s="18" t="n">
        <v>46113</v>
      </c>
      <c r="E1624" s="19" t="n"/>
      <c r="F1624" s="19" t="n"/>
      <c r="G1624" t="inlineStr"/>
      <c r="H1624" t="inlineStr">
        <is>
          <t>Undisclosed</t>
        </is>
      </c>
      <c r="I1624" t="inlineStr">
        <is>
          <t>Undisclosed</t>
        </is>
      </c>
      <c r="J1624" t="inlineStr">
        <is>
          <t>Ecommerce</t>
        </is>
      </c>
      <c r="K1624" t="inlineStr">
        <is>
          <t>Unknown</t>
        </is>
      </c>
      <c r="L1624" t="inlineStr"/>
      <c r="M1624" t="inlineStr">
        <is>
          <t>Fireside Ventures; Narotam Sekhsaria Family Office</t>
        </is>
      </c>
      <c r="N1624" t="inlineStr">
        <is>
          <t>inc42</t>
        </is>
      </c>
      <c r="O1624" s="20" t="n">
        <v>1</v>
      </c>
      <c r="P1624" s="21" t="n"/>
      <c r="Q1624" t="inlineStr">
        <is>
          <t>C03 C04 C07</t>
        </is>
      </c>
      <c r="R1624" s="22" t="inlineStr">
        <is>
          <t>https://inc42.com/buzz/from-hosteller-to-gobblecube-indian-startups-raised-60-mn-this-week/</t>
        </is>
      </c>
    </row>
    <row r="1625">
      <c r="A1625" t="inlineStr">
        <is>
          <t>R260413-frubon</t>
        </is>
      </c>
      <c r="B1625" t="inlineStr">
        <is>
          <t>FruBon</t>
        </is>
      </c>
      <c r="C1625" s="17" t="n">
        <v>46125</v>
      </c>
      <c r="D1625" s="18" t="n">
        <v>46113</v>
      </c>
      <c r="E1625" s="19" t="n"/>
      <c r="F1625" s="19" t="n"/>
      <c r="G1625" t="inlineStr"/>
      <c r="H1625" t="inlineStr">
        <is>
          <t>Undisclosed</t>
        </is>
      </c>
      <c r="I1625" t="inlineStr">
        <is>
          <t>Undisclosed</t>
        </is>
      </c>
      <c r="J1625" t="inlineStr">
        <is>
          <t>Agritech</t>
        </is>
      </c>
      <c r="K1625" t="inlineStr">
        <is>
          <t>Jaipur</t>
        </is>
      </c>
      <c r="L1625" t="inlineStr"/>
      <c r="M1625" t="inlineStr">
        <is>
          <t>Fireside Ventures; Narotam Sekhsaria Family Office</t>
        </is>
      </c>
      <c r="N1625" t="inlineStr">
        <is>
          <t>entrackr</t>
        </is>
      </c>
      <c r="O1625" s="20" t="n">
        <v>1</v>
      </c>
      <c r="P1625" s="21" t="n"/>
      <c r="Q1625" t="inlineStr">
        <is>
          <t>C03 C04</t>
        </is>
      </c>
      <c r="R1625" s="22" t="inlineStr">
        <is>
          <t>https://entrackr.com/snippets/dairy-and-ice-cream-brand-frubon-raises-funding-from-fireside-others-11720672</t>
        </is>
      </c>
    </row>
    <row r="1626">
      <c r="A1626" t="inlineStr">
        <is>
          <t>R260413-smartgarage</t>
        </is>
      </c>
      <c r="B1626" t="inlineStr">
        <is>
          <t>Smart Garage</t>
        </is>
      </c>
      <c r="C1626" s="17" t="n">
        <v>46125</v>
      </c>
      <c r="D1626" s="18" t="n">
        <v>46113</v>
      </c>
      <c r="E1626" s="19" t="n">
        <v>0.257</v>
      </c>
      <c r="F1626" s="19" t="n">
        <v>2.4</v>
      </c>
      <c r="G1626" t="inlineStr">
        <is>
          <t>Rs 2.4 crore</t>
        </is>
      </c>
      <c r="H1626" t="inlineStr">
        <is>
          <t>Pre-Series A</t>
        </is>
      </c>
      <c r="I1626" t="inlineStr">
        <is>
          <t>Early</t>
        </is>
      </c>
      <c r="J1626" t="inlineStr">
        <is>
          <t>Consumer Services</t>
        </is>
      </c>
      <c r="K1626" t="inlineStr">
        <is>
          <t>Unknown</t>
        </is>
      </c>
      <c r="L1626" t="inlineStr"/>
      <c r="M1626" t="inlineStr"/>
      <c r="N1626" t="inlineStr">
        <is>
          <t>entrackr | inc42</t>
        </is>
      </c>
      <c r="O1626" s="20" t="n">
        <v>2</v>
      </c>
      <c r="P1626" s="21" t="n">
        <v>0.1</v>
      </c>
      <c r="Q1626" t="inlineStr">
        <is>
          <t>C05 C07</t>
        </is>
      </c>
      <c r="R1626" s="22" t="inlineStr">
        <is>
          <t>https://entrackr.com/snippets/smart-garage-raises-rs-24-cr-in-pre-series-a-round-11720170</t>
        </is>
      </c>
    </row>
    <row r="1627">
      <c r="A1627" t="inlineStr">
        <is>
          <t>R260414-traqcheck</t>
        </is>
      </c>
      <c r="B1627" t="inlineStr">
        <is>
          <t>TraqCheck</t>
        </is>
      </c>
      <c r="C1627" s="17" t="n">
        <v>46126</v>
      </c>
      <c r="D1627" s="18" t="n">
        <v>46113</v>
      </c>
      <c r="E1627" s="19" t="n">
        <v>8</v>
      </c>
      <c r="F1627" s="19" t="n">
        <v>74.47</v>
      </c>
      <c r="G1627" t="inlineStr">
        <is>
          <t>$8 million</t>
        </is>
      </c>
      <c r="H1627" t="inlineStr">
        <is>
          <t>Series A</t>
        </is>
      </c>
      <c r="I1627" t="inlineStr">
        <is>
          <t>Early</t>
        </is>
      </c>
      <c r="J1627" t="inlineStr">
        <is>
          <t>Artificial Intelligence</t>
        </is>
      </c>
      <c r="K1627" t="inlineStr">
        <is>
          <t>Unknown</t>
        </is>
      </c>
      <c r="L1627" t="inlineStr">
        <is>
          <t>IvyCap Ventures</t>
        </is>
      </c>
      <c r="M1627" t="inlineStr">
        <is>
          <t>IvyCap Ventures; IIFL</t>
        </is>
      </c>
      <c r="N1627" t="inlineStr">
        <is>
          <t>entrackr | inc42</t>
        </is>
      </c>
      <c r="O1627" s="20" t="n">
        <v>2</v>
      </c>
      <c r="P1627" s="21" t="n">
        <v>0</v>
      </c>
      <c r="Q1627" t="inlineStr">
        <is>
          <t>C07</t>
        </is>
      </c>
      <c r="R1627" s="22" t="inlineStr">
        <is>
          <t>https://entrackr.com/snippets/traqcheck-raises-8-mn-series-a-led-by-ivycap-ventures-11723958</t>
        </is>
      </c>
    </row>
    <row r="1628">
      <c r="A1628" t="inlineStr">
        <is>
          <t>R260415-gobblecube</t>
        </is>
      </c>
      <c r="B1628" t="inlineStr">
        <is>
          <t>GobbleCube</t>
        </is>
      </c>
      <c r="C1628" s="17" t="n">
        <v>46127</v>
      </c>
      <c r="D1628" s="18" t="n">
        <v>46113</v>
      </c>
      <c r="E1628" s="19" t="n">
        <v>15</v>
      </c>
      <c r="F1628" s="19" t="n">
        <v>140.16</v>
      </c>
      <c r="G1628" t="inlineStr">
        <is>
          <t>$15 million</t>
        </is>
      </c>
      <c r="H1628" t="inlineStr">
        <is>
          <t>Series A</t>
        </is>
      </c>
      <c r="I1628" t="inlineStr">
        <is>
          <t>Early</t>
        </is>
      </c>
      <c r="J1628" t="inlineStr">
        <is>
          <t>Artificial Intelligence</t>
        </is>
      </c>
      <c r="K1628" t="inlineStr">
        <is>
          <t>Delhi NCR</t>
        </is>
      </c>
      <c r="L1628" t="inlineStr">
        <is>
          <t>Susquehanna Venture Capital</t>
        </is>
      </c>
      <c r="M1628" t="inlineStr">
        <is>
          <t>Susquehanna Venture Capital; Info Edge Ventures; Kae Capital</t>
        </is>
      </c>
      <c r="N1628" t="inlineStr">
        <is>
          <t>entrackr | inc42 | et</t>
        </is>
      </c>
      <c r="O1628" s="20" t="n">
        <v>3</v>
      </c>
      <c r="P1628" s="21" t="n">
        <v>0</v>
      </c>
      <c r="Q1628" t="inlineStr"/>
      <c r="R1628" s="22" t="inlineStr">
        <is>
          <t>https://entrackr.com/news/gobblecube-raises-15-mn-in-series-a-round-led-by-susquehanna-11727235</t>
        </is>
      </c>
    </row>
    <row r="1629">
      <c r="A1629" t="inlineStr">
        <is>
          <t>R260415-ivory</t>
        </is>
      </c>
      <c r="B1629" t="inlineStr">
        <is>
          <t>Ivory</t>
        </is>
      </c>
      <c r="C1629" s="17" t="n">
        <v>46127</v>
      </c>
      <c r="D1629" s="18" t="n">
        <v>46113</v>
      </c>
      <c r="E1629" s="19" t="n">
        <v>1</v>
      </c>
      <c r="F1629" s="19" t="n">
        <v>9.34</v>
      </c>
      <c r="G1629" t="inlineStr">
        <is>
          <t>$1 million</t>
        </is>
      </c>
      <c r="H1629" t="inlineStr">
        <is>
          <t>Seed</t>
        </is>
      </c>
      <c r="I1629" t="inlineStr">
        <is>
          <t>Early</t>
        </is>
      </c>
      <c r="J1629" t="inlineStr">
        <is>
          <t>Healthtech</t>
        </is>
      </c>
      <c r="K1629" t="inlineStr">
        <is>
          <t>Mumbai</t>
        </is>
      </c>
      <c r="L1629" t="inlineStr"/>
      <c r="M1629" t="inlineStr">
        <is>
          <t>Draper Associates; SAGE Venture Fund; MoSJE; IFCI Ventures; SIDBI</t>
        </is>
      </c>
      <c r="N1629" t="inlineStr">
        <is>
          <t>entrackr | inc42</t>
        </is>
      </c>
      <c r="O1629" s="20" t="n">
        <v>2</v>
      </c>
      <c r="P1629" s="21" t="n">
        <v>0</v>
      </c>
      <c r="Q1629" t="inlineStr"/>
      <c r="R1629" s="22" t="inlineStr">
        <is>
          <t>https://entrackr.com/snippets/brain-health-platform-ivory-raises-1-mn-in-seed-round-11727938</t>
        </is>
      </c>
    </row>
    <row r="1630">
      <c r="A1630" t="inlineStr">
        <is>
          <t>R260416-alistetechnolo</t>
        </is>
      </c>
      <c r="B1630" t="inlineStr">
        <is>
          <t>Aliste Technologies</t>
        </is>
      </c>
      <c r="C1630" s="17" t="n">
        <v>46128</v>
      </c>
      <c r="D1630" s="18" t="n">
        <v>46113</v>
      </c>
      <c r="E1630" s="19" t="n">
        <v>3.218</v>
      </c>
      <c r="F1630" s="19" t="n">
        <v>30</v>
      </c>
      <c r="G1630" t="inlineStr">
        <is>
          <t>Rs 30 crore</t>
        </is>
      </c>
      <c r="H1630" t="inlineStr">
        <is>
          <t>Pre-Series A</t>
        </is>
      </c>
      <c r="I1630" t="inlineStr">
        <is>
          <t>Early</t>
        </is>
      </c>
      <c r="J1630" t="inlineStr">
        <is>
          <t>Cleantech</t>
        </is>
      </c>
      <c r="K1630" t="inlineStr">
        <is>
          <t>Unknown</t>
        </is>
      </c>
      <c r="L1630" t="inlineStr">
        <is>
          <t>Big Global JSC</t>
        </is>
      </c>
      <c r="M1630" t="inlineStr">
        <is>
          <t>Big Global JSC; YourNest Venture Capital; Hbeon Labs</t>
        </is>
      </c>
      <c r="N1630" t="inlineStr">
        <is>
          <t>entrackr | inc42</t>
        </is>
      </c>
      <c r="O1630" s="20" t="n">
        <v>2</v>
      </c>
      <c r="P1630" s="21" t="n">
        <v>0.5</v>
      </c>
      <c r="Q1630" t="inlineStr">
        <is>
          <t>C07</t>
        </is>
      </c>
      <c r="R1630" s="22" t="inlineStr">
        <is>
          <t>https://entrackr.com/snippets/aliste-technologies-raises-rs-30-cr-in-pre-series-a-led-by-big-global-jsc-11730913</t>
        </is>
      </c>
    </row>
    <row r="1631">
      <c r="A1631" t="inlineStr">
        <is>
          <t>R260416-cohomacoffee</t>
        </is>
      </c>
      <c r="B1631" t="inlineStr">
        <is>
          <t>Cohoma Coffee</t>
        </is>
      </c>
      <c r="C1631" s="17" t="n">
        <v>46128</v>
      </c>
      <c r="D1631" s="18" t="n">
        <v>46113</v>
      </c>
      <c r="E1631" s="19" t="n">
        <v>0.536</v>
      </c>
      <c r="F1631" s="19" t="n">
        <v>5</v>
      </c>
      <c r="G1631" t="inlineStr">
        <is>
          <t>Rs 5 crore</t>
        </is>
      </c>
      <c r="H1631" t="inlineStr">
        <is>
          <t>Seed</t>
        </is>
      </c>
      <c r="I1631" t="inlineStr">
        <is>
          <t>Early</t>
        </is>
      </c>
      <c r="J1631" t="inlineStr">
        <is>
          <t>Ecommerce</t>
        </is>
      </c>
      <c r="K1631" t="inlineStr">
        <is>
          <t>Unknown</t>
        </is>
      </c>
      <c r="L1631" t="inlineStr">
        <is>
          <t>Inflection Point Venture</t>
        </is>
      </c>
      <c r="M1631" t="inlineStr">
        <is>
          <t>Inflection Point Ventures; Swishin VC</t>
        </is>
      </c>
      <c r="N1631" t="inlineStr">
        <is>
          <t>entrackr | inc42</t>
        </is>
      </c>
      <c r="O1631" s="20" t="n">
        <v>2</v>
      </c>
      <c r="P1631" s="21" t="n">
        <v>0.5</v>
      </c>
      <c r="Q1631" t="inlineStr">
        <is>
          <t>C07</t>
        </is>
      </c>
      <c r="R1631" s="22" t="inlineStr">
        <is>
          <t>https://entrackr.com/snippets/cohoma-coffee-raises-rs-5-cr-seed-round-led-by-ipv-11730918</t>
        </is>
      </c>
    </row>
    <row r="1632">
      <c r="A1632" t="inlineStr">
        <is>
          <t>R260416-fifthsense</t>
        </is>
      </c>
      <c r="B1632" t="inlineStr">
        <is>
          <t>FIFTH SENSE</t>
        </is>
      </c>
      <c r="C1632" s="17" t="n">
        <v>46128</v>
      </c>
      <c r="D1632" s="18" t="n">
        <v>46113</v>
      </c>
      <c r="E1632" s="19" t="n">
        <v>0.676</v>
      </c>
      <c r="F1632" s="19" t="n">
        <v>6.3</v>
      </c>
      <c r="G1632" t="inlineStr">
        <is>
          <t>Rs 6.3 crore</t>
        </is>
      </c>
      <c r="H1632" t="inlineStr">
        <is>
          <t>Pre-Seed</t>
        </is>
      </c>
      <c r="I1632" t="inlineStr">
        <is>
          <t>Early</t>
        </is>
      </c>
      <c r="J1632" t="inlineStr">
        <is>
          <t>Ecommerce</t>
        </is>
      </c>
      <c r="K1632" t="inlineStr">
        <is>
          <t>Delhi NCR</t>
        </is>
      </c>
      <c r="L1632" t="inlineStr">
        <is>
          <t>OTP Ventures; ISV Capital; Rohit Kapoor; Amit Damani</t>
        </is>
      </c>
      <c r="M1632" t="inlineStr">
        <is>
          <t>OTP Ventures; Sadev Ventures; ISV Capital; Rohit Kapoor; Amit Damani</t>
        </is>
      </c>
      <c r="N1632" t="inlineStr">
        <is>
          <t>entrackr | inc42 | et</t>
        </is>
      </c>
      <c r="O1632" s="20" t="n">
        <v>3</v>
      </c>
      <c r="P1632" s="21" t="n">
        <v>0.5</v>
      </c>
      <c r="Q1632" t="inlineStr"/>
      <c r="R1632" s="22" t="inlineStr">
        <is>
          <t>https://inc42.com/buzz/from-hosteller-to-gobblecube-indian-startups-raised-60-mn-this-week/</t>
        </is>
      </c>
    </row>
    <row r="1633">
      <c r="A1633" t="inlineStr">
        <is>
          <t>R260416-intellithink</t>
        </is>
      </c>
      <c r="B1633" t="inlineStr">
        <is>
          <t>Intellithink</t>
        </is>
      </c>
      <c r="C1633" s="17" t="n">
        <v>46128</v>
      </c>
      <c r="D1633" s="18" t="n">
        <v>46113</v>
      </c>
      <c r="E1633" s="19" t="n">
        <v>1.823</v>
      </c>
      <c r="F1633" s="19" t="n">
        <v>17</v>
      </c>
      <c r="G1633" t="inlineStr">
        <is>
          <t>Rs 17 crore</t>
        </is>
      </c>
      <c r="H1633" t="inlineStr">
        <is>
          <t>Seed</t>
        </is>
      </c>
      <c r="I1633" t="inlineStr">
        <is>
          <t>Early</t>
        </is>
      </c>
      <c r="J1633" t="inlineStr">
        <is>
          <t>Advanced Hardware &amp; Technology</t>
        </is>
      </c>
      <c r="K1633" t="inlineStr">
        <is>
          <t>Bengaluru</t>
        </is>
      </c>
      <c r="L1633" t="inlineStr">
        <is>
          <t>Pentathlon Ventures</t>
        </is>
      </c>
      <c r="M1633" t="inlineStr">
        <is>
          <t>Pentathlon Ventures; Anicut Capital; Veltis Capital</t>
        </is>
      </c>
      <c r="N1633" t="inlineStr">
        <is>
          <t>entrackr | inc42 | et</t>
        </is>
      </c>
      <c r="O1633" s="20" t="n">
        <v>3</v>
      </c>
      <c r="P1633" s="21" t="n">
        <v>1.3</v>
      </c>
      <c r="Q1633" t="inlineStr"/>
      <c r="R1633" s="22" t="inlineStr">
        <is>
          <t>https://entrackr.com/snippets/pentathlon-ventures-leads-rs-17-cr-seed-round-in-industrial-ai-startup-intellithink-11730716</t>
        </is>
      </c>
    </row>
    <row r="1634">
      <c r="A1634" t="inlineStr">
        <is>
          <t>R260416-kingdomofchess</t>
        </is>
      </c>
      <c r="B1634" t="inlineStr">
        <is>
          <t>KingdomOfChess</t>
        </is>
      </c>
      <c r="C1634" s="17" t="n">
        <v>46128</v>
      </c>
      <c r="D1634" s="18" t="n">
        <v>46113</v>
      </c>
      <c r="E1634" s="19" t="n">
        <v>0.177</v>
      </c>
      <c r="F1634" s="19" t="n">
        <v>1.65</v>
      </c>
      <c r="G1634" t="inlineStr">
        <is>
          <t>$177K</t>
        </is>
      </c>
      <c r="H1634" t="inlineStr">
        <is>
          <t>Undisclosed</t>
        </is>
      </c>
      <c r="I1634" t="inlineStr">
        <is>
          <t>Undisclosed</t>
        </is>
      </c>
      <c r="J1634" t="inlineStr">
        <is>
          <t>Edtech</t>
        </is>
      </c>
      <c r="K1634" t="inlineStr">
        <is>
          <t>Unknown</t>
        </is>
      </c>
      <c r="L1634" t="inlineStr">
        <is>
          <t>BeyondSeed Angel Fund</t>
        </is>
      </c>
      <c r="M1634" t="inlineStr">
        <is>
          <t>BeyondSeed Angel Fund; Arjun Vaidya; Rakesh Amerneni; Jai Ostwal; Vikrant Potnis; FBSPL; Aeroflex Enterprises</t>
        </is>
      </c>
      <c r="N1634" t="inlineStr">
        <is>
          <t>inc42</t>
        </is>
      </c>
      <c r="O1634" s="20" t="n">
        <v>1</v>
      </c>
      <c r="P1634" s="21" t="n">
        <v>0</v>
      </c>
      <c r="Q1634" t="inlineStr">
        <is>
          <t>C04 C07</t>
        </is>
      </c>
      <c r="R1634" s="22" t="inlineStr">
        <is>
          <t>https://inc42.com/buzz/from-hosteller-to-gobblecube-indian-startups-raised-60-mn-this-week/</t>
        </is>
      </c>
    </row>
    <row r="1635">
      <c r="A1635" t="inlineStr">
        <is>
          <t>R260416-polaris</t>
        </is>
      </c>
      <c r="B1635" t="inlineStr">
        <is>
          <t>Polaris</t>
        </is>
      </c>
      <c r="C1635" s="17" t="n">
        <v>46128</v>
      </c>
      <c r="D1635" s="18" t="n">
        <v>46113</v>
      </c>
      <c r="E1635" s="19" t="n">
        <v>76.148</v>
      </c>
      <c r="F1635" s="19" t="n">
        <v>710</v>
      </c>
      <c r="G1635" t="inlineStr">
        <is>
          <t>Rs 710 crore</t>
        </is>
      </c>
      <c r="H1635" t="inlineStr">
        <is>
          <t>Undisclosed</t>
        </is>
      </c>
      <c r="I1635" t="inlineStr">
        <is>
          <t>Undisclosed</t>
        </is>
      </c>
      <c r="J1635" t="inlineStr">
        <is>
          <t>Unclassified</t>
        </is>
      </c>
      <c r="K1635" t="inlineStr">
        <is>
          <t>Unknown</t>
        </is>
      </c>
      <c r="L1635" t="inlineStr"/>
      <c r="M1635" t="inlineStr">
        <is>
          <t>British International Investment</t>
        </is>
      </c>
      <c r="N1635" t="inlineStr">
        <is>
          <t>entrackr</t>
        </is>
      </c>
      <c r="O1635" s="20" t="n">
        <v>1</v>
      </c>
      <c r="P1635" s="21" t="n">
        <v>0</v>
      </c>
      <c r="Q1635" t="inlineStr">
        <is>
          <t>C04 C06 C07</t>
        </is>
      </c>
      <c r="R1635" s="22" t="inlineStr">
        <is>
          <t>https://entrackr.com/snippets/polaris-raises-80-mn-from-british-international-investment-11731748</t>
        </is>
      </c>
    </row>
    <row r="1636">
      <c r="A1636" t="inlineStr">
        <is>
          <t>R260416-sarlaaviation</t>
        </is>
      </c>
      <c r="B1636" t="inlineStr">
        <is>
          <t>Sarla Aviation</t>
        </is>
      </c>
      <c r="C1636" s="17" t="n">
        <v>46128</v>
      </c>
      <c r="D1636" s="18" t="n">
        <v>46113</v>
      </c>
      <c r="E1636" s="19" t="n">
        <v>1.1</v>
      </c>
      <c r="F1636" s="19" t="n">
        <v>10.26</v>
      </c>
      <c r="G1636" t="inlineStr">
        <is>
          <t>$1.1 Mn</t>
        </is>
      </c>
      <c r="H1636" t="inlineStr">
        <is>
          <t>Undisclosed</t>
        </is>
      </c>
      <c r="I1636" t="inlineStr">
        <is>
          <t>Undisclosed</t>
        </is>
      </c>
      <c r="J1636" t="inlineStr">
        <is>
          <t>Advanced Hardware &amp; Technology</t>
        </is>
      </c>
      <c r="K1636" t="inlineStr">
        <is>
          <t>Unknown</t>
        </is>
      </c>
      <c r="L1636" t="inlineStr">
        <is>
          <t>IndiGo Ventures</t>
        </is>
      </c>
      <c r="M1636" t="inlineStr">
        <is>
          <t>IndiGo Ventures</t>
        </is>
      </c>
      <c r="N1636" t="inlineStr">
        <is>
          <t>inc42</t>
        </is>
      </c>
      <c r="O1636" s="20" t="n">
        <v>1</v>
      </c>
      <c r="P1636" s="21" t="n">
        <v>0</v>
      </c>
      <c r="Q1636" t="inlineStr">
        <is>
          <t>C04 C07</t>
        </is>
      </c>
      <c r="R1636" s="22" t="inlineStr">
        <is>
          <t>https://inc42.com/buzz/from-hosteller-to-gobblecube-indian-startups-raised-60-mn-this-week/</t>
        </is>
      </c>
    </row>
    <row r="1637">
      <c r="A1637" t="inlineStr">
        <is>
          <t>R260416-thehosteller</t>
        </is>
      </c>
      <c r="B1637" t="inlineStr">
        <is>
          <t>Hosteller</t>
        </is>
      </c>
      <c r="C1637" s="17" t="n">
        <v>46128</v>
      </c>
      <c r="D1637" s="18" t="n">
        <v>46113</v>
      </c>
      <c r="E1637" s="19" t="n">
        <v>16.088</v>
      </c>
      <c r="F1637" s="19" t="n">
        <v>150</v>
      </c>
      <c r="G1637" t="inlineStr">
        <is>
          <t>Rs 150 crore</t>
        </is>
      </c>
      <c r="H1637" t="inlineStr">
        <is>
          <t>Series B</t>
        </is>
      </c>
      <c r="I1637" t="inlineStr">
        <is>
          <t>Growth</t>
        </is>
      </c>
      <c r="J1637" t="inlineStr">
        <is>
          <t>Travel Tech</t>
        </is>
      </c>
      <c r="K1637" t="inlineStr">
        <is>
          <t>Mumbai</t>
        </is>
      </c>
      <c r="L1637" t="inlineStr">
        <is>
          <t>PROMAFT Partners; V3 Ventures; Merisis Wealth Trust</t>
        </is>
      </c>
      <c r="M1637" t="inlineStr">
        <is>
          <t>PROMAFT Partners; V3 Ventures; ITI Growth Opportunities Fund; Merisis Wealth Trust</t>
        </is>
      </c>
      <c r="N1637" t="inlineStr">
        <is>
          <t>entrackr | inc42 | vccircle</t>
        </is>
      </c>
      <c r="O1637" s="20" t="n">
        <v>3</v>
      </c>
      <c r="P1637" s="21" t="n">
        <v>0.5</v>
      </c>
      <c r="Q1637" t="inlineStr"/>
      <c r="R1637" s="22" t="inlineStr">
        <is>
          <t>https://entrackr.com/news/the-hosteller-raises-rs-150-cr-in-series-b-round-led-by-promaft-and-v3-ventures-11730910</t>
        </is>
      </c>
    </row>
    <row r="1638">
      <c r="A1638" t="inlineStr">
        <is>
          <t>R260416-unbound</t>
        </is>
      </c>
      <c r="B1638" t="inlineStr">
        <is>
          <t>Unbound</t>
        </is>
      </c>
      <c r="C1638" s="17" t="n">
        <v>46128</v>
      </c>
      <c r="D1638" s="18" t="n">
        <v>46113</v>
      </c>
      <c r="E1638" s="19" t="n">
        <v>0.858</v>
      </c>
      <c r="F1638" s="19" t="n">
        <v>8</v>
      </c>
      <c r="G1638" t="inlineStr">
        <is>
          <t>Rs 8 crore</t>
        </is>
      </c>
      <c r="H1638" t="inlineStr">
        <is>
          <t>Undisclosed</t>
        </is>
      </c>
      <c r="I1638" t="inlineStr">
        <is>
          <t>Undisclosed</t>
        </is>
      </c>
      <c r="J1638" t="inlineStr">
        <is>
          <t>Ecommerce</t>
        </is>
      </c>
      <c r="K1638" t="inlineStr">
        <is>
          <t>Delhi NCR</t>
        </is>
      </c>
      <c r="L1638" t="inlineStr">
        <is>
          <t>Fireside Ventures</t>
        </is>
      </c>
      <c r="M1638" t="inlineStr">
        <is>
          <t>Fireside Ventures</t>
        </is>
      </c>
      <c r="N1638" t="inlineStr">
        <is>
          <t>entrackr | inc42</t>
        </is>
      </c>
      <c r="O1638" s="20" t="n">
        <v>2</v>
      </c>
      <c r="P1638" s="21" t="n">
        <v>0.5</v>
      </c>
      <c r="Q1638" t="inlineStr">
        <is>
          <t>C04</t>
        </is>
      </c>
      <c r="R1638" s="22" t="inlineStr">
        <is>
          <t>https://entrackr.com/snippets/mens-personal-care-brand-unbound-raises-rs-8-cr-led-by-fireside-ventures-11731565</t>
        </is>
      </c>
    </row>
    <row r="1639">
      <c r="A1639" t="inlineStr">
        <is>
          <t>R260418-hocco</t>
        </is>
      </c>
      <c r="B1639" t="inlineStr">
        <is>
          <t>HOCCO</t>
        </is>
      </c>
      <c r="C1639" s="17" t="n">
        <v>46130</v>
      </c>
      <c r="D1639" s="18" t="n">
        <v>46113</v>
      </c>
      <c r="E1639" s="19" t="n">
        <v>10.7</v>
      </c>
      <c r="F1639" s="19" t="n">
        <v>99.31999999999999</v>
      </c>
      <c r="G1639" t="inlineStr">
        <is>
          <t>$10.7 Mn</t>
        </is>
      </c>
      <c r="H1639" t="inlineStr">
        <is>
          <t>Undisclosed</t>
        </is>
      </c>
      <c r="I1639" t="inlineStr">
        <is>
          <t>Undisclosed</t>
        </is>
      </c>
      <c r="J1639" t="inlineStr">
        <is>
          <t>Ecommerce</t>
        </is>
      </c>
      <c r="K1639" t="inlineStr">
        <is>
          <t>Ahmedabad</t>
        </is>
      </c>
      <c r="L1639" t="inlineStr">
        <is>
          <t>Sauce.vc</t>
        </is>
      </c>
      <c r="M1639" t="inlineStr">
        <is>
          <t>Sauce.vc</t>
        </is>
      </c>
      <c r="N1639" t="inlineStr">
        <is>
          <t>inc42</t>
        </is>
      </c>
      <c r="O1639" s="20" t="n">
        <v>1</v>
      </c>
      <c r="P1639" s="21" t="n">
        <v>0</v>
      </c>
      <c r="Q1639" t="inlineStr">
        <is>
          <t>C04</t>
        </is>
      </c>
      <c r="R1639" s="22" t="inlineStr">
        <is>
          <t>https://inc42.com/buzz/from-hosteller-to-gobblecube-indian-startups-raised-60-mn-this-week/</t>
        </is>
      </c>
    </row>
    <row r="1640">
      <c r="A1640" t="inlineStr">
        <is>
          <t>R260420-axtenhospitals</t>
        </is>
      </c>
      <c r="B1640" t="inlineStr">
        <is>
          <t>Axten Hospitals</t>
        </is>
      </c>
      <c r="C1640" s="17" t="n">
        <v>46132</v>
      </c>
      <c r="D1640" s="18" t="n">
        <v>46113</v>
      </c>
      <c r="E1640" s="19" t="n">
        <v>0.269</v>
      </c>
      <c r="F1640" s="19" t="n">
        <v>2.5</v>
      </c>
      <c r="G1640" t="inlineStr">
        <is>
          <t>Rs 2.5 crore</t>
        </is>
      </c>
      <c r="H1640" t="inlineStr">
        <is>
          <t>Undisclosed</t>
        </is>
      </c>
      <c r="I1640" t="inlineStr">
        <is>
          <t>Undisclosed</t>
        </is>
      </c>
      <c r="J1640" t="inlineStr">
        <is>
          <t>Unclassified</t>
        </is>
      </c>
      <c r="K1640" t="inlineStr">
        <is>
          <t>Unknown</t>
        </is>
      </c>
      <c r="L1640" t="inlineStr">
        <is>
          <t>PedalStart</t>
        </is>
      </c>
      <c r="M1640" t="inlineStr">
        <is>
          <t>PedalStart</t>
        </is>
      </c>
      <c r="N1640" t="inlineStr">
        <is>
          <t>entrackr</t>
        </is>
      </c>
      <c r="O1640" s="20" t="n">
        <v>1</v>
      </c>
      <c r="P1640" s="21" t="n">
        <v>0</v>
      </c>
      <c r="Q1640" t="inlineStr">
        <is>
          <t>C04 C06 C07</t>
        </is>
      </c>
      <c r="R1640" s="22" t="inlineStr">
        <is>
          <t>https://entrackr.com/snippets/axten-hospitals-raises-rs-25-cr-led-by-pedalstart-11745815</t>
        </is>
      </c>
    </row>
    <row r="1641">
      <c r="A1641" t="inlineStr">
        <is>
          <t>R260420-claritylabs</t>
        </is>
      </c>
      <c r="B1641" t="inlineStr">
        <is>
          <t>Clarity Labs</t>
        </is>
      </c>
      <c r="C1641" s="17" t="n">
        <v>46132</v>
      </c>
      <c r="D1641" s="18" t="n">
        <v>46113</v>
      </c>
      <c r="E1641" s="19" t="n">
        <v>0.43</v>
      </c>
      <c r="F1641" s="19" t="n">
        <v>4</v>
      </c>
      <c r="G1641" t="inlineStr">
        <is>
          <t>Rs 4 crore</t>
        </is>
      </c>
      <c r="H1641" t="inlineStr">
        <is>
          <t>Seed</t>
        </is>
      </c>
      <c r="I1641" t="inlineStr">
        <is>
          <t>Early</t>
        </is>
      </c>
      <c r="J1641" t="inlineStr">
        <is>
          <t>Ecommerce</t>
        </is>
      </c>
      <c r="K1641" t="inlineStr">
        <is>
          <t>Delhi NCR</t>
        </is>
      </c>
      <c r="L1641" t="inlineStr">
        <is>
          <t>Artha Ventures</t>
        </is>
      </c>
      <c r="M1641" t="inlineStr">
        <is>
          <t>Artha Ventures</t>
        </is>
      </c>
      <c r="N1641" t="inlineStr">
        <is>
          <t>entrackr | inc42</t>
        </is>
      </c>
      <c r="O1641" s="20" t="n">
        <v>2</v>
      </c>
      <c r="P1641" s="21" t="n">
        <v>1.4</v>
      </c>
      <c r="Q1641" t="inlineStr"/>
      <c r="R1641" s="22" t="inlineStr">
        <is>
          <t>https://entrackr.com/snippets/artha-venture-leads-seed-round-in-personal-care-brand-clarity-labs-11745014</t>
        </is>
      </c>
    </row>
    <row r="1642">
      <c r="A1642" t="inlineStr">
        <is>
          <t>R260420-coral</t>
        </is>
      </c>
      <c r="B1642" t="inlineStr">
        <is>
          <t>Coral</t>
        </is>
      </c>
      <c r="C1642" s="17" t="n">
        <v>46132</v>
      </c>
      <c r="D1642" s="18" t="n">
        <v>46113</v>
      </c>
      <c r="E1642" s="19" t="n">
        <v>12.5</v>
      </c>
      <c r="F1642" s="19" t="n">
        <v>116.34</v>
      </c>
      <c r="G1642" t="inlineStr">
        <is>
          <t>$12.5 million</t>
        </is>
      </c>
      <c r="H1642" t="inlineStr">
        <is>
          <t>Undisclosed</t>
        </is>
      </c>
      <c r="I1642" t="inlineStr">
        <is>
          <t>Undisclosed</t>
        </is>
      </c>
      <c r="J1642" t="inlineStr">
        <is>
          <t>Enterprise Tech</t>
        </is>
      </c>
      <c r="K1642" t="inlineStr">
        <is>
          <t>Unknown</t>
        </is>
      </c>
      <c r="L1642" t="inlineStr"/>
      <c r="M1642" t="inlineStr">
        <is>
          <t>Z47</t>
        </is>
      </c>
      <c r="N1642" t="inlineStr">
        <is>
          <t>entrackr</t>
        </is>
      </c>
      <c r="O1642" s="20" t="n">
        <v>1</v>
      </c>
      <c r="P1642" s="21" t="n">
        <v>0</v>
      </c>
      <c r="Q1642" t="inlineStr">
        <is>
          <t>C04 C07</t>
        </is>
      </c>
      <c r="R1642" s="22" t="inlineStr">
        <is>
          <t>https://entrackr.com/snippets/healthcare-automation-startup-coral-raises-125-mn-from-z47-and-lightspeed-11747674</t>
        </is>
      </c>
    </row>
    <row r="1643">
      <c r="A1643" t="inlineStr">
        <is>
          <t>R260420-khetika</t>
        </is>
      </c>
      <c r="B1643" t="inlineStr">
        <is>
          <t>Khetika</t>
        </is>
      </c>
      <c r="C1643" s="17" t="n">
        <v>46132</v>
      </c>
      <c r="D1643" s="18" t="n">
        <v>46113</v>
      </c>
      <c r="E1643" s="19" t="n"/>
      <c r="F1643" s="19" t="n"/>
      <c r="G1643" t="inlineStr"/>
      <c r="H1643" t="inlineStr">
        <is>
          <t>Undisclosed</t>
        </is>
      </c>
      <c r="I1643" t="inlineStr">
        <is>
          <t>Undisclosed</t>
        </is>
      </c>
      <c r="J1643" t="inlineStr">
        <is>
          <t>Ecommerce</t>
        </is>
      </c>
      <c r="K1643" t="inlineStr">
        <is>
          <t>Mumbai</t>
        </is>
      </c>
      <c r="L1643" t="inlineStr">
        <is>
          <t>AYRA Ventures</t>
        </is>
      </c>
      <c r="M1643" t="inlineStr">
        <is>
          <t>AYRA Ventures; NSFO; Anicut Capital</t>
        </is>
      </c>
      <c r="N1643" t="inlineStr">
        <is>
          <t>inc42</t>
        </is>
      </c>
      <c r="O1643" s="20" t="n">
        <v>1</v>
      </c>
      <c r="P1643" s="21" t="n"/>
      <c r="Q1643" t="inlineStr">
        <is>
          <t>C03 C04</t>
        </is>
      </c>
      <c r="R1643" s="22" t="inlineStr">
        <is>
          <t>https://inc42.com/buzz/from-lightfury-games-to-stch-indian-startups-raised-39-mn-this-week/</t>
        </is>
      </c>
    </row>
    <row r="1644">
      <c r="A1644" t="inlineStr">
        <is>
          <t>R260420-panoculonlabs</t>
        </is>
      </c>
      <c r="B1644" t="inlineStr">
        <is>
          <t>Panoculon Labs</t>
        </is>
      </c>
      <c r="C1644" s="17" t="n">
        <v>46132</v>
      </c>
      <c r="D1644" s="18" t="n">
        <v>46113</v>
      </c>
      <c r="E1644" s="19" t="n"/>
      <c r="F1644" s="19" t="n"/>
      <c r="G1644" t="inlineStr"/>
      <c r="H1644" t="inlineStr">
        <is>
          <t>Seed</t>
        </is>
      </c>
      <c r="I1644" t="inlineStr">
        <is>
          <t>Early</t>
        </is>
      </c>
      <c r="J1644" t="inlineStr">
        <is>
          <t>Advanced Hardware &amp; Technology</t>
        </is>
      </c>
      <c r="K1644" t="inlineStr">
        <is>
          <t>Unknown</t>
        </is>
      </c>
      <c r="L1644" t="inlineStr">
        <is>
          <t>India Accelerator; Finvolve</t>
        </is>
      </c>
      <c r="M1644" t="inlineStr">
        <is>
          <t>India Accelerator; Finvolve</t>
        </is>
      </c>
      <c r="N1644" t="inlineStr">
        <is>
          <t>inc42</t>
        </is>
      </c>
      <c r="O1644" s="20" t="n">
        <v>1</v>
      </c>
      <c r="P1644" s="21" t="n"/>
      <c r="Q1644" t="inlineStr">
        <is>
          <t>C03 C07</t>
        </is>
      </c>
      <c r="R1644" s="22" t="inlineStr">
        <is>
          <t>https://inc42.com/buzz/from-lightfury-games-to-stch-indian-startups-raised-39-mn-this-week/</t>
        </is>
      </c>
    </row>
    <row r="1645">
      <c r="A1645" t="inlineStr">
        <is>
          <t>R260421-acaitheory</t>
        </is>
      </c>
      <c r="B1645" t="inlineStr">
        <is>
          <t>Açaí Theory</t>
        </is>
      </c>
      <c r="C1645" s="17" t="n">
        <v>46133</v>
      </c>
      <c r="D1645" s="18" t="n">
        <v>46113</v>
      </c>
      <c r="E1645" s="19" t="n">
        <v>0.428</v>
      </c>
      <c r="F1645" s="19" t="n">
        <v>4</v>
      </c>
      <c r="G1645" t="inlineStr">
        <is>
          <t>Rs 4 crore</t>
        </is>
      </c>
      <c r="H1645" t="inlineStr">
        <is>
          <t>Seed</t>
        </is>
      </c>
      <c r="I1645" t="inlineStr">
        <is>
          <t>Early</t>
        </is>
      </c>
      <c r="J1645" t="inlineStr">
        <is>
          <t>Foodtech</t>
        </is>
      </c>
      <c r="K1645" t="inlineStr">
        <is>
          <t>Bengaluru</t>
        </is>
      </c>
      <c r="L1645" t="inlineStr">
        <is>
          <t>All In Capital; Harpreet Grover; Anurag Prasad; Harish Varadarajan</t>
        </is>
      </c>
      <c r="M1645" t="inlineStr">
        <is>
          <t>All In Capital; TDV Partners; Rinshul Chandra (ex-COO; Zomato); Harpreet Grover (founder; Curious Parent); Anurag Prasad (CEO; Visit Health); Harish Varadarajan (CEO; Fragaria)</t>
        </is>
      </c>
      <c r="N1645" t="inlineStr">
        <is>
          <t>entrackr | inc42</t>
        </is>
      </c>
      <c r="O1645" s="20" t="n">
        <v>2</v>
      </c>
      <c r="P1645" s="21" t="n">
        <v>0.9</v>
      </c>
      <c r="Q1645" t="inlineStr">
        <is>
          <t>C18</t>
        </is>
      </c>
      <c r="R1645" s="22" t="inlineStr">
        <is>
          <t>https://entrackr.com/snippets/health-qsr-chain-acai-theory-raises-funds-from-all-in-capital-tdv-partners-others-11747855</t>
        </is>
      </c>
    </row>
    <row r="1646">
      <c r="A1646" t="inlineStr">
        <is>
          <t>R260421-curemeabroad</t>
        </is>
      </c>
      <c r="B1646" t="inlineStr">
        <is>
          <t>CureMeAbroad</t>
        </is>
      </c>
      <c r="C1646" s="17" t="n">
        <v>46133</v>
      </c>
      <c r="D1646" s="18" t="n">
        <v>46113</v>
      </c>
      <c r="E1646" s="19" t="n">
        <v>0.6</v>
      </c>
      <c r="F1646" s="19" t="n">
        <v>5.61</v>
      </c>
      <c r="G1646" t="inlineStr">
        <is>
          <t>$600K</t>
        </is>
      </c>
      <c r="H1646" t="inlineStr">
        <is>
          <t>Pre-Seed</t>
        </is>
      </c>
      <c r="I1646" t="inlineStr">
        <is>
          <t>Early</t>
        </is>
      </c>
      <c r="J1646" t="inlineStr">
        <is>
          <t>Travel Tech</t>
        </is>
      </c>
      <c r="K1646" t="inlineStr">
        <is>
          <t>Pune</t>
        </is>
      </c>
      <c r="L1646" t="inlineStr"/>
      <c r="M1646" t="inlineStr">
        <is>
          <t>Roman Saini; Himanshu Ratnoo (ex-CEO; Kunal Gupta; Devaiah Bopanna; Vikrant Potnis</t>
        </is>
      </c>
      <c r="N1646" t="inlineStr">
        <is>
          <t>entrackr | inc42</t>
        </is>
      </c>
      <c r="O1646" s="20" t="n">
        <v>2</v>
      </c>
      <c r="P1646" s="21" t="n">
        <v>0</v>
      </c>
      <c r="Q1646" t="inlineStr"/>
      <c r="R1646" s="22" t="inlineStr">
        <is>
          <t>https://entrackr.com/snippets/med-tech-tourism-startup-curemeabroad-raises-pre-seed-round-11750934</t>
        </is>
      </c>
    </row>
    <row r="1647">
      <c r="A1647" t="inlineStr">
        <is>
          <t>R260421-digitalpaani</t>
        </is>
      </c>
      <c r="B1647" t="inlineStr">
        <is>
          <t>Digital Paani</t>
        </is>
      </c>
      <c r="C1647" s="17" t="n">
        <v>46133</v>
      </c>
      <c r="D1647" s="18" t="n">
        <v>46113</v>
      </c>
      <c r="E1647" s="19" t="n"/>
      <c r="F1647" s="19" t="n"/>
      <c r="G1647" t="inlineStr"/>
      <c r="H1647" t="inlineStr">
        <is>
          <t>Undisclosed</t>
        </is>
      </c>
      <c r="I1647" t="inlineStr">
        <is>
          <t>Undisclosed</t>
        </is>
      </c>
      <c r="J1647" t="inlineStr">
        <is>
          <t>Cleantech</t>
        </is>
      </c>
      <c r="K1647" t="inlineStr">
        <is>
          <t>Delhi NCR</t>
        </is>
      </c>
      <c r="L1647" t="inlineStr"/>
      <c r="M1647" t="inlineStr"/>
      <c r="N1647" t="inlineStr">
        <is>
          <t>inc42</t>
        </is>
      </c>
      <c r="O1647" s="20" t="n">
        <v>1</v>
      </c>
      <c r="P1647" s="21" t="n"/>
      <c r="Q1647" t="inlineStr">
        <is>
          <t>C03 C04 C05</t>
        </is>
      </c>
      <c r="R1647" s="22" t="inlineStr">
        <is>
          <t>https://inc42.com/buzz/from-lightfury-games-to-stch-indian-startups-raised-39-mn-this-week/</t>
        </is>
      </c>
    </row>
    <row r="1648">
      <c r="A1648" t="inlineStr">
        <is>
          <t>R260421-lawyered</t>
        </is>
      </c>
      <c r="B1648" t="inlineStr">
        <is>
          <t>Lawyered</t>
        </is>
      </c>
      <c r="C1648" s="17" t="n">
        <v>46133</v>
      </c>
      <c r="D1648" s="18" t="n">
        <v>46113</v>
      </c>
      <c r="E1648" s="19" t="n">
        <v>2.5</v>
      </c>
      <c r="F1648" s="19" t="n">
        <v>23.38</v>
      </c>
      <c r="G1648" t="inlineStr">
        <is>
          <t>$2.5 million</t>
        </is>
      </c>
      <c r="H1648" t="inlineStr">
        <is>
          <t>Pre-Series A</t>
        </is>
      </c>
      <c r="I1648" t="inlineStr">
        <is>
          <t>Early</t>
        </is>
      </c>
      <c r="J1648" t="inlineStr">
        <is>
          <t>Artificial Intelligence</t>
        </is>
      </c>
      <c r="K1648" t="inlineStr">
        <is>
          <t>Delhi NCR</t>
        </is>
      </c>
      <c r="L1648" t="inlineStr">
        <is>
          <t>Rainmatter; Turbostart</t>
        </is>
      </c>
      <c r="M1648" t="inlineStr">
        <is>
          <t>Rainmatter; Turbostart; Finvolve</t>
        </is>
      </c>
      <c r="N1648" t="inlineStr">
        <is>
          <t>entrackr | inc42</t>
        </is>
      </c>
      <c r="O1648" s="20" t="n">
        <v>2</v>
      </c>
      <c r="P1648" s="21" t="n">
        <v>0</v>
      </c>
      <c r="Q1648" t="inlineStr"/>
      <c r="R1648" s="22" t="inlineStr">
        <is>
          <t>https://entrackr.com/snippets/legal-tech-startup-lawyered-bags-25-mn-led-by-rainmatter-and-turbostart-11747865</t>
        </is>
      </c>
    </row>
    <row r="1649">
      <c r="A1649" t="inlineStr">
        <is>
          <t>R260421-nudgebee</t>
        </is>
      </c>
      <c r="B1649" t="inlineStr">
        <is>
          <t>NudgeBee</t>
        </is>
      </c>
      <c r="C1649" s="17" t="n">
        <v>46133</v>
      </c>
      <c r="D1649" s="18" t="n">
        <v>46113</v>
      </c>
      <c r="E1649" s="19" t="n">
        <v>3</v>
      </c>
      <c r="F1649" s="19" t="n">
        <v>28.05</v>
      </c>
      <c r="G1649" t="inlineStr">
        <is>
          <t>$3 million</t>
        </is>
      </c>
      <c r="H1649" t="inlineStr">
        <is>
          <t>Seed</t>
        </is>
      </c>
      <c r="I1649" t="inlineStr">
        <is>
          <t>Early</t>
        </is>
      </c>
      <c r="J1649" t="inlineStr">
        <is>
          <t>Artificial Intelligence</t>
        </is>
      </c>
      <c r="K1649" t="inlineStr">
        <is>
          <t>Pune</t>
        </is>
      </c>
      <c r="L1649" t="inlineStr">
        <is>
          <t>Kalaari Capital</t>
        </is>
      </c>
      <c r="M1649" t="inlineStr">
        <is>
          <t>Kalaari Capital</t>
        </is>
      </c>
      <c r="N1649" t="inlineStr">
        <is>
          <t>entrackr | inc42 | et</t>
        </is>
      </c>
      <c r="O1649" s="20" t="n">
        <v>3</v>
      </c>
      <c r="P1649" s="21" t="n">
        <v>0</v>
      </c>
      <c r="Q1649" t="inlineStr"/>
      <c r="R1649" s="22" t="inlineStr">
        <is>
          <t>https://entrackr.com/snippets/nudgebee-raises-3-mn-in-seed-round-led-by-kalaari-capital-11748153</t>
        </is>
      </c>
    </row>
    <row r="1650">
      <c r="A1650" t="inlineStr">
        <is>
          <t>R260421-primeinvestor</t>
        </is>
      </c>
      <c r="B1650" t="inlineStr">
        <is>
          <t>PrimeInvestor</t>
        </is>
      </c>
      <c r="C1650" s="17" t="n">
        <v>46133</v>
      </c>
      <c r="D1650" s="18" t="n">
        <v>46113</v>
      </c>
      <c r="E1650" s="19" t="n">
        <v>2.1</v>
      </c>
      <c r="F1650" s="19" t="n">
        <v>19.64</v>
      </c>
      <c r="G1650" t="inlineStr">
        <is>
          <t>$2.1 Mn</t>
        </is>
      </c>
      <c r="H1650" t="inlineStr">
        <is>
          <t>Seed</t>
        </is>
      </c>
      <c r="I1650" t="inlineStr">
        <is>
          <t>Early</t>
        </is>
      </c>
      <c r="J1650" t="inlineStr">
        <is>
          <t>Fintech</t>
        </is>
      </c>
      <c r="K1650" t="inlineStr">
        <is>
          <t>Chennai</t>
        </is>
      </c>
      <c r="L1650" t="inlineStr">
        <is>
          <t>Rainmatter Capital</t>
        </is>
      </c>
      <c r="M1650" t="inlineStr">
        <is>
          <t>Rainmatter</t>
        </is>
      </c>
      <c r="N1650" t="inlineStr">
        <is>
          <t>inc42 | et</t>
        </is>
      </c>
      <c r="O1650" s="20" t="n">
        <v>2</v>
      </c>
      <c r="P1650" s="21" t="n">
        <v>1.8</v>
      </c>
      <c r="Q1650" t="inlineStr"/>
      <c r="R1650" s="22" t="inlineStr">
        <is>
          <t>https://economictimes.indiatimes.com/tech/startups/rainmatter-invests-rs-20-crore-in-wealth-management-startup-prime-investor/articleshow/130417015.cms</t>
        </is>
      </c>
    </row>
    <row r="1651">
      <c r="A1651" t="inlineStr">
        <is>
          <t>R260421-rainmatterinve</t>
        </is>
      </c>
      <c r="B1651" t="inlineStr">
        <is>
          <t>Rainmatter invests</t>
        </is>
      </c>
      <c r="C1651" s="17" t="n">
        <v>46133</v>
      </c>
      <c r="D1651" s="18" t="n">
        <v>46113</v>
      </c>
      <c r="E1651" s="19" t="n">
        <v>2.085</v>
      </c>
      <c r="F1651" s="19" t="n">
        <v>19.5</v>
      </c>
      <c r="G1651" t="inlineStr">
        <is>
          <t>Rs 19.5 crore</t>
        </is>
      </c>
      <c r="H1651" t="inlineStr">
        <is>
          <t>Undisclosed</t>
        </is>
      </c>
      <c r="I1651" t="inlineStr">
        <is>
          <t>Undisclosed</t>
        </is>
      </c>
      <c r="J1651" t="inlineStr">
        <is>
          <t>Unclassified</t>
        </is>
      </c>
      <c r="K1651" t="inlineStr">
        <is>
          <t>Unknown</t>
        </is>
      </c>
      <c r="L1651" t="inlineStr">
        <is>
          <t>Rainmatter</t>
        </is>
      </c>
      <c r="M1651" t="inlineStr">
        <is>
          <t>Rainmatter</t>
        </is>
      </c>
      <c r="N1651" t="inlineStr">
        <is>
          <t>entrackr</t>
        </is>
      </c>
      <c r="O1651" s="20" t="n">
        <v>1</v>
      </c>
      <c r="P1651" s="21" t="n">
        <v>0</v>
      </c>
      <c r="Q1651" t="inlineStr">
        <is>
          <t>C04 C06 C07</t>
        </is>
      </c>
      <c r="R1651" s="22" t="inlineStr">
        <is>
          <t>https://entrackr.com/news/zerodha-backed-rainmatter-invests-in-wealth-tech-startup-primeinvestor-11750659</t>
        </is>
      </c>
    </row>
    <row r="1652">
      <c r="A1652" t="inlineStr">
        <is>
          <t>R260422-aits</t>
        </is>
      </c>
      <c r="B1652" t="inlineStr">
        <is>
          <t>AITS</t>
        </is>
      </c>
      <c r="C1652" s="17" t="n">
        <v>46134</v>
      </c>
      <c r="D1652" s="18" t="n">
        <v>46113</v>
      </c>
      <c r="E1652" s="19" t="n">
        <v>4</v>
      </c>
      <c r="F1652" s="19" t="n">
        <v>37.52</v>
      </c>
      <c r="G1652" t="inlineStr">
        <is>
          <t>$4 Mn</t>
        </is>
      </c>
      <c r="H1652" t="inlineStr">
        <is>
          <t>Pre-Series A</t>
        </is>
      </c>
      <c r="I1652" t="inlineStr">
        <is>
          <t>Early</t>
        </is>
      </c>
      <c r="J1652" t="inlineStr">
        <is>
          <t>Unclassified</t>
        </is>
      </c>
      <c r="K1652" t="inlineStr">
        <is>
          <t>Unknown</t>
        </is>
      </c>
      <c r="L1652" t="inlineStr">
        <is>
          <t>Big Capital; Redbrook Fund</t>
        </is>
      </c>
      <c r="M1652" t="inlineStr">
        <is>
          <t>Big Capital; Redbrook Fund; Sujeet Kumar; Ramakant Sharma; Roman Saini</t>
        </is>
      </c>
      <c r="N1652" t="inlineStr">
        <is>
          <t>entrackr</t>
        </is>
      </c>
      <c r="O1652" s="20" t="n">
        <v>1</v>
      </c>
      <c r="P1652" s="21" t="n">
        <v>0</v>
      </c>
      <c r="Q1652" t="inlineStr">
        <is>
          <t>C06 C07</t>
        </is>
      </c>
      <c r="R1652" s="22" t="inlineStr">
        <is>
          <t>https://entrackr.com/snippets/rysen-school-operator-aits-raises-4-mn-in-pre-series-a-round-11753666</t>
        </is>
      </c>
    </row>
    <row r="1653">
      <c r="A1653" t="inlineStr">
        <is>
          <t>R260422-chupps</t>
        </is>
      </c>
      <c r="B1653" t="inlineStr">
        <is>
          <t>Chupps</t>
        </is>
      </c>
      <c r="C1653" s="17" t="n">
        <v>46134</v>
      </c>
      <c r="D1653" s="18" t="n">
        <v>46113</v>
      </c>
      <c r="E1653" s="19" t="n"/>
      <c r="F1653" s="19" t="n"/>
      <c r="G1653" t="inlineStr"/>
      <c r="H1653" t="inlineStr">
        <is>
          <t>Pre-Series B</t>
        </is>
      </c>
      <c r="I1653" t="inlineStr">
        <is>
          <t>Growth</t>
        </is>
      </c>
      <c r="J1653" t="inlineStr">
        <is>
          <t>Ecommerce</t>
        </is>
      </c>
      <c r="K1653" t="inlineStr">
        <is>
          <t>Unknown</t>
        </is>
      </c>
      <c r="L1653" t="inlineStr">
        <is>
          <t>Ajinkya Rahane</t>
        </is>
      </c>
      <c r="M1653" t="inlineStr">
        <is>
          <t>Ajinkya Rahane</t>
        </is>
      </c>
      <c r="N1653" t="inlineStr">
        <is>
          <t>inc42</t>
        </is>
      </c>
      <c r="O1653" s="20" t="n">
        <v>1</v>
      </c>
      <c r="P1653" s="21" t="n"/>
      <c r="Q1653" t="inlineStr">
        <is>
          <t>C03 C07</t>
        </is>
      </c>
      <c r="R1653" s="22" t="inlineStr">
        <is>
          <t>https://inc42.com/buzz/from-lightfury-games-to-stch-indian-startups-raised-39-mn-this-week/</t>
        </is>
      </c>
    </row>
    <row r="1654">
      <c r="A1654" t="inlineStr">
        <is>
          <t>R260422-m</t>
        </is>
      </c>
      <c r="B1654" t="inlineStr">
        <is>
          <t>M</t>
        </is>
      </c>
      <c r="C1654" s="17" t="n">
        <v>46134</v>
      </c>
      <c r="D1654" s="18" t="n">
        <v>46113</v>
      </c>
      <c r="E1654" s="19" t="n">
        <v>8.800000000000001</v>
      </c>
      <c r="F1654" s="19" t="n">
        <v>82.54000000000001</v>
      </c>
      <c r="G1654" t="inlineStr">
        <is>
          <t>$8.8 Mn</t>
        </is>
      </c>
      <c r="H1654" t="inlineStr">
        <is>
          <t>Seed</t>
        </is>
      </c>
      <c r="I1654" t="inlineStr">
        <is>
          <t>Early</t>
        </is>
      </c>
      <c r="J1654" t="inlineStr">
        <is>
          <t>Real Estate Tech</t>
        </is>
      </c>
      <c r="K1654" t="inlineStr">
        <is>
          <t>Unknown</t>
        </is>
      </c>
      <c r="L1654" t="inlineStr"/>
      <c r="M1654" t="inlineStr">
        <is>
          <t>Peak XV Partners; Blume Ventures; CRED</t>
        </is>
      </c>
      <c r="N1654" t="inlineStr">
        <is>
          <t>inc42 | et</t>
        </is>
      </c>
      <c r="O1654" s="20" t="n">
        <v>2</v>
      </c>
      <c r="P1654" s="21" t="n">
        <v>23.6</v>
      </c>
      <c r="Q1654" t="inlineStr">
        <is>
          <t>C07 C15</t>
        </is>
      </c>
      <c r="R1654" s="22" t="inlineStr">
        <is>
          <t>https://economictimes.indiatimes.com/tech/funding/kabeer-biswass-concierge-startup-m-raises-rs-102-crore-from-peak-xv-blume-cred/articleshow/130437866.cms</t>
        </is>
      </c>
    </row>
    <row r="1655">
      <c r="A1655" t="inlineStr">
        <is>
          <t>R260422-spillgames</t>
        </is>
      </c>
      <c r="B1655" t="inlineStr">
        <is>
          <t>Spill Games</t>
        </is>
      </c>
      <c r="C1655" s="17" t="n">
        <v>46134</v>
      </c>
      <c r="D1655" s="18" t="n">
        <v>46113</v>
      </c>
      <c r="E1655" s="19" t="n">
        <v>3.1</v>
      </c>
      <c r="F1655" s="19" t="n">
        <v>29.08</v>
      </c>
      <c r="G1655" t="inlineStr">
        <is>
          <t>$3.1 million</t>
        </is>
      </c>
      <c r="H1655" t="inlineStr">
        <is>
          <t>Seed</t>
        </is>
      </c>
      <c r="I1655" t="inlineStr">
        <is>
          <t>Early</t>
        </is>
      </c>
      <c r="J1655" t="inlineStr">
        <is>
          <t>Media &amp; Entertainment</t>
        </is>
      </c>
      <c r="K1655" t="inlineStr">
        <is>
          <t>Bengaluru</t>
        </is>
      </c>
      <c r="L1655" t="inlineStr">
        <is>
          <t>Centre Court Capital; PeerCapital</t>
        </is>
      </c>
      <c r="M1655" t="inlineStr">
        <is>
          <t>Centre Court Capital; PeerCapital; All In Capital</t>
        </is>
      </c>
      <c r="N1655" t="inlineStr">
        <is>
          <t>entrackr | inc42 | et</t>
        </is>
      </c>
      <c r="O1655" s="20" t="n">
        <v>3</v>
      </c>
      <c r="P1655" s="21" t="n">
        <v>0</v>
      </c>
      <c r="Q1655" t="inlineStr"/>
      <c r="R1655" s="22" t="inlineStr">
        <is>
          <t>https://entrackr.com/snippets/spill-games-raises-31-mn-in-seed-round-led-by-centre-court-capital-and-peercapital-11751548</t>
        </is>
      </c>
    </row>
    <row r="1656">
      <c r="A1656" t="inlineStr">
        <is>
          <t>R260423-deepalgorithm</t>
        </is>
      </c>
      <c r="B1656" t="inlineStr">
        <is>
          <t>Deep Algorithm</t>
        </is>
      </c>
      <c r="C1656" s="17" t="n">
        <v>46135</v>
      </c>
      <c r="D1656" s="18" t="n">
        <v>46113</v>
      </c>
      <c r="E1656" s="19" t="n">
        <v>1.7</v>
      </c>
      <c r="F1656" s="19" t="n">
        <v>16</v>
      </c>
      <c r="G1656" t="inlineStr">
        <is>
          <t>Rs 16 crore</t>
        </is>
      </c>
      <c r="H1656" t="inlineStr">
        <is>
          <t>Pre-Series A</t>
        </is>
      </c>
      <c r="I1656" t="inlineStr">
        <is>
          <t>Early</t>
        </is>
      </c>
      <c r="J1656" t="inlineStr">
        <is>
          <t>Artificial Intelligence</t>
        </is>
      </c>
      <c r="K1656" t="inlineStr">
        <is>
          <t>Mumbai</t>
        </is>
      </c>
      <c r="L1656" t="inlineStr">
        <is>
          <t>Unicorn India Ventures</t>
        </is>
      </c>
      <c r="M1656" t="inlineStr">
        <is>
          <t>Unicorn India Ventures; SB Investment; Prakash Govindan; Himanshu Singhal</t>
        </is>
      </c>
      <c r="N1656" t="inlineStr">
        <is>
          <t>entrackr | inc42</t>
        </is>
      </c>
      <c r="O1656" s="20" t="n">
        <v>2</v>
      </c>
      <c r="P1656" s="21" t="n">
        <v>0</v>
      </c>
      <c r="Q1656" t="inlineStr"/>
      <c r="R1656" s="22" t="inlineStr">
        <is>
          <t>https://entrackr.com/snippets/deep-algorithm-raises-rs-16-cr-in-pre-series-a-led-by-unicorn-india-ventures-11756893</t>
        </is>
      </c>
    </row>
    <row r="1657">
      <c r="A1657" t="inlineStr">
        <is>
          <t>R260423-lightfurygames</t>
        </is>
      </c>
      <c r="B1657" t="inlineStr">
        <is>
          <t>LightFury Games</t>
        </is>
      </c>
      <c r="C1657" s="17" t="n">
        <v>46135</v>
      </c>
      <c r="D1657" s="18" t="n">
        <v>46113</v>
      </c>
      <c r="E1657" s="19" t="n">
        <v>11</v>
      </c>
      <c r="F1657" s="19" t="n">
        <v>103.52</v>
      </c>
      <c r="G1657" t="inlineStr">
        <is>
          <t>$11 million</t>
        </is>
      </c>
      <c r="H1657" t="inlineStr">
        <is>
          <t>Pre-Series A</t>
        </is>
      </c>
      <c r="I1657" t="inlineStr">
        <is>
          <t>Early</t>
        </is>
      </c>
      <c r="J1657" t="inlineStr">
        <is>
          <t>Media &amp; Entertainment</t>
        </is>
      </c>
      <c r="K1657" t="inlineStr">
        <is>
          <t>Bengaluru</t>
        </is>
      </c>
      <c r="L1657" t="inlineStr">
        <is>
          <t>Blume Ventures; V3 Ventures; MIXI; Times Internet</t>
        </is>
      </c>
      <c r="M1657" t="inlineStr">
        <is>
          <t>Blume Ventures; V3 Ventures; MIXI; Times Internet; MS Dhoni; Jasprit Bumrah; Hardik Pandya; Shreyas Iyer; Ravindra Jadeja; Tilak Varma; Sai Sudharsan</t>
        </is>
      </c>
      <c r="N1657" t="inlineStr">
        <is>
          <t>entrackr | inc42</t>
        </is>
      </c>
      <c r="O1657" s="20" t="n">
        <v>2</v>
      </c>
      <c r="P1657" s="21" t="n">
        <v>0</v>
      </c>
      <c r="Q1657" t="inlineStr"/>
      <c r="R1657" s="22" t="inlineStr">
        <is>
          <t>https://entrackr.com/news/lightfury-games-raises-11-mn-in-pre-series-a-round-11756334</t>
        </is>
      </c>
    </row>
    <row r="1658">
      <c r="A1658" t="inlineStr">
        <is>
          <t>R260423-stch</t>
        </is>
      </c>
      <c r="B1658" t="inlineStr">
        <is>
          <t>STCH</t>
        </is>
      </c>
      <c r="C1658" s="17" t="n">
        <v>46135</v>
      </c>
      <c r="D1658" s="18" t="n">
        <v>46113</v>
      </c>
      <c r="E1658" s="19" t="n">
        <v>5.5</v>
      </c>
      <c r="F1658" s="19" t="n">
        <v>51.76</v>
      </c>
      <c r="G1658" t="inlineStr">
        <is>
          <t>$5.5 million</t>
        </is>
      </c>
      <c r="H1658" t="inlineStr">
        <is>
          <t>Pre-Series A</t>
        </is>
      </c>
      <c r="I1658" t="inlineStr">
        <is>
          <t>Early</t>
        </is>
      </c>
      <c r="J1658" t="inlineStr">
        <is>
          <t>Enterprise Tech</t>
        </is>
      </c>
      <c r="K1658" t="inlineStr">
        <is>
          <t>Unknown</t>
        </is>
      </c>
      <c r="L1658" t="inlineStr">
        <is>
          <t>Omnivore</t>
        </is>
      </c>
      <c r="M1658" t="inlineStr">
        <is>
          <t>Omnivore; Kae Capital; WVC</t>
        </is>
      </c>
      <c r="N1658" t="inlineStr">
        <is>
          <t>entrackr | inc42</t>
        </is>
      </c>
      <c r="O1658" s="20" t="n">
        <v>2</v>
      </c>
      <c r="P1658" s="21" t="n">
        <v>0</v>
      </c>
      <c r="Q1658" t="inlineStr">
        <is>
          <t>C07</t>
        </is>
      </c>
      <c r="R1658" s="22" t="inlineStr">
        <is>
          <t>https://entrackr.com/snippets/former-zetwerk-executives-startup-stch-raises-7-mn-led-by-omnivore-11756516</t>
        </is>
      </c>
    </row>
    <row r="1659">
      <c r="A1659" t="inlineStr">
        <is>
          <t>R260424-oolka</t>
        </is>
      </c>
      <c r="B1659" t="inlineStr">
        <is>
          <t>Oolka</t>
        </is>
      </c>
      <c r="C1659" s="17" t="n">
        <v>46136</v>
      </c>
      <c r="D1659" s="18" t="n">
        <v>46113</v>
      </c>
      <c r="E1659" s="19" t="n">
        <v>13.793</v>
      </c>
      <c r="F1659" s="19" t="n">
        <v>130</v>
      </c>
      <c r="G1659" t="inlineStr">
        <is>
          <t>Rs 130 crore</t>
        </is>
      </c>
      <c r="H1659" t="inlineStr">
        <is>
          <t>Series A</t>
        </is>
      </c>
      <c r="I1659" t="inlineStr">
        <is>
          <t>Early</t>
        </is>
      </c>
      <c r="J1659" t="inlineStr">
        <is>
          <t>Fintech</t>
        </is>
      </c>
      <c r="K1659" t="inlineStr">
        <is>
          <t>Bengaluru</t>
        </is>
      </c>
      <c r="L1659" t="inlineStr">
        <is>
          <t>Accel; Lightspeed; Z47</t>
        </is>
      </c>
      <c r="M1659" t="inlineStr">
        <is>
          <t>Accel; Lightspeed Ventures; Z47; Vidit Aatrey; Sanjeev Barnwal</t>
        </is>
      </c>
      <c r="N1659" t="inlineStr">
        <is>
          <t>entrackr | inc42 | et</t>
        </is>
      </c>
      <c r="O1659" s="20" t="n">
        <v>3</v>
      </c>
      <c r="P1659" s="21" t="n">
        <v>1.5</v>
      </c>
      <c r="Q1659" t="inlineStr"/>
      <c r="R1659" s="22" t="inlineStr">
        <is>
          <t>https://entrackr.com/exclusive/exclusive-oolka-raises-rs-130-cr-in-series-a-led-by-accel-at-rs-730-cr-valuation-11760159</t>
        </is>
      </c>
    </row>
    <row r="1660">
      <c r="A1660" t="inlineStr">
        <is>
          <t>R260427-emomee</t>
        </is>
      </c>
      <c r="B1660" t="inlineStr">
        <is>
          <t>EMoMee</t>
        </is>
      </c>
      <c r="C1660" s="17" t="n">
        <v>46139</v>
      </c>
      <c r="D1660" s="18" t="n">
        <v>46113</v>
      </c>
      <c r="E1660" s="19" t="n"/>
      <c r="F1660" s="19" t="n"/>
      <c r="G1660" t="inlineStr"/>
      <c r="H1660" t="inlineStr">
        <is>
          <t>Undisclosed</t>
        </is>
      </c>
      <c r="I1660" t="inlineStr">
        <is>
          <t>Undisclosed</t>
        </is>
      </c>
      <c r="J1660" t="inlineStr">
        <is>
          <t>Media &amp; Entertainment</t>
        </is>
      </c>
      <c r="K1660" t="inlineStr">
        <is>
          <t>Unknown</t>
        </is>
      </c>
      <c r="L1660" t="inlineStr"/>
      <c r="M1660" t="inlineStr">
        <is>
          <t>Melody Investments; Aman Gupta; Gurmeet Nihal Singh; Jatin Aneja; Whiteboard Capital; Gruhas Collective Consumer Fund; DeVC</t>
        </is>
      </c>
      <c r="N1660" t="inlineStr">
        <is>
          <t>inc42</t>
        </is>
      </c>
      <c r="O1660" s="20" t="n">
        <v>1</v>
      </c>
      <c r="P1660" s="21" t="n"/>
      <c r="Q1660" t="inlineStr">
        <is>
          <t>C03 C04 C07</t>
        </is>
      </c>
      <c r="R1660" s="22" t="inlineStr">
        <is>
          <t>https://inc42.com/buzz/from-snabbit-to-sahi-indian-startups-raised-204-mn-this-week/</t>
        </is>
      </c>
    </row>
    <row r="1661">
      <c r="A1661" t="inlineStr">
        <is>
          <t>R260427-metasportsinte</t>
        </is>
      </c>
      <c r="B1661" t="inlineStr">
        <is>
          <t>Metasports Interactive</t>
        </is>
      </c>
      <c r="C1661" s="17" t="n">
        <v>46139</v>
      </c>
      <c r="D1661" s="18" t="n">
        <v>46113</v>
      </c>
      <c r="E1661" s="19" t="n">
        <v>20</v>
      </c>
      <c r="F1661" s="19" t="n">
        <v>188.4</v>
      </c>
      <c r="G1661" t="inlineStr">
        <is>
          <t>$20 million</t>
        </is>
      </c>
      <c r="H1661" t="inlineStr">
        <is>
          <t>Debt</t>
        </is>
      </c>
      <c r="I1661" t="inlineStr">
        <is>
          <t>Debt</t>
        </is>
      </c>
      <c r="J1661" t="inlineStr">
        <is>
          <t>Media &amp; Entertainment</t>
        </is>
      </c>
      <c r="K1661" t="inlineStr">
        <is>
          <t>Unknown</t>
        </is>
      </c>
      <c r="L1661" t="inlineStr">
        <is>
          <t>Metica</t>
        </is>
      </c>
      <c r="M1661" t="inlineStr">
        <is>
          <t>Metica</t>
        </is>
      </c>
      <c r="N1661" t="inlineStr">
        <is>
          <t>entrackr | inc42</t>
        </is>
      </c>
      <c r="O1661" s="20" t="n">
        <v>2</v>
      </c>
      <c r="P1661" s="21" t="n">
        <v>0</v>
      </c>
      <c r="Q1661" t="inlineStr">
        <is>
          <t>C07</t>
        </is>
      </c>
      <c r="R1661" s="22" t="inlineStr">
        <is>
          <t>https://entrackr.com/snippets/metasports-interactive-secures-20-mn-in-user-acquisition-funding-from-metica-11770204</t>
        </is>
      </c>
    </row>
    <row r="1662">
      <c r="A1662" t="inlineStr">
        <is>
          <t>R260427-morphingmachin</t>
        </is>
      </c>
      <c r="B1662" t="inlineStr">
        <is>
          <t>Morphing Machines</t>
        </is>
      </c>
      <c r="C1662" s="17" t="n">
        <v>46139</v>
      </c>
      <c r="D1662" s="18" t="n">
        <v>46113</v>
      </c>
      <c r="E1662" s="19" t="n">
        <v>4.4</v>
      </c>
      <c r="F1662" s="19" t="n">
        <v>41.45</v>
      </c>
      <c r="G1662" t="inlineStr">
        <is>
          <t>$4.4 Mn</t>
        </is>
      </c>
      <c r="H1662" t="inlineStr">
        <is>
          <t>Series A</t>
        </is>
      </c>
      <c r="I1662" t="inlineStr">
        <is>
          <t>Early</t>
        </is>
      </c>
      <c r="J1662" t="inlineStr">
        <is>
          <t>Advanced Hardware &amp; Technology</t>
        </is>
      </c>
      <c r="K1662" t="inlineStr">
        <is>
          <t>Bengaluru</t>
        </is>
      </c>
      <c r="L1662" t="inlineStr"/>
      <c r="M1662" t="inlineStr">
        <is>
          <t>Hero Enterprise Partner Ventures; Colossa Ventures; Navam Capital</t>
        </is>
      </c>
      <c r="N1662" t="inlineStr">
        <is>
          <t>inc42</t>
        </is>
      </c>
      <c r="O1662" s="20" t="n">
        <v>1</v>
      </c>
      <c r="P1662" s="21" t="n">
        <v>0</v>
      </c>
      <c r="Q1662" t="inlineStr"/>
      <c r="R1662" s="22" t="inlineStr">
        <is>
          <t>https://inc42.com/buzz/from-snabbit-to-sahi-indian-startups-raised-204-mn-this-week/</t>
        </is>
      </c>
    </row>
    <row r="1663">
      <c r="A1663" t="inlineStr">
        <is>
          <t>R260428-batterysmart</t>
        </is>
      </c>
      <c r="B1663" t="inlineStr">
        <is>
          <t>Battery Smart</t>
        </is>
      </c>
      <c r="C1663" s="17" t="n">
        <v>46140</v>
      </c>
      <c r="D1663" s="18" t="n">
        <v>46113</v>
      </c>
      <c r="E1663" s="19" t="n">
        <v>15</v>
      </c>
      <c r="F1663" s="19" t="n">
        <v>141.82</v>
      </c>
      <c r="G1663" t="inlineStr">
        <is>
          <t>$15 million</t>
        </is>
      </c>
      <c r="H1663" t="inlineStr">
        <is>
          <t>Debt</t>
        </is>
      </c>
      <c r="I1663" t="inlineStr">
        <is>
          <t>Debt</t>
        </is>
      </c>
      <c r="J1663" t="inlineStr">
        <is>
          <t>Cleantech</t>
        </is>
      </c>
      <c r="K1663" t="inlineStr">
        <is>
          <t>Delhi NCR</t>
        </is>
      </c>
      <c r="L1663" t="inlineStr">
        <is>
          <t>Mirova</t>
        </is>
      </c>
      <c r="M1663" t="inlineStr">
        <is>
          <t>Mirova</t>
        </is>
      </c>
      <c r="N1663" t="inlineStr">
        <is>
          <t>entrackr | inc42</t>
        </is>
      </c>
      <c r="O1663" s="20" t="n">
        <v>2</v>
      </c>
      <c r="P1663" s="21" t="n">
        <v>0</v>
      </c>
      <c r="Q1663" t="inlineStr"/>
      <c r="R1663" s="22" t="inlineStr">
        <is>
          <t>https://entrackr.com/snippets/battery-smart-secures-15-mn-in-debt-from-mirova-11774330</t>
        </is>
      </c>
    </row>
    <row r="1664">
      <c r="A1664" t="inlineStr">
        <is>
          <t>R260428-credilio</t>
        </is>
      </c>
      <c r="B1664" t="inlineStr">
        <is>
          <t>Credilio</t>
        </is>
      </c>
      <c r="C1664" s="17" t="n">
        <v>46140</v>
      </c>
      <c r="D1664" s="18" t="n">
        <v>46113</v>
      </c>
      <c r="E1664" s="19" t="n">
        <v>10.5</v>
      </c>
      <c r="F1664" s="19" t="n">
        <v>99.28</v>
      </c>
      <c r="G1664" t="inlineStr">
        <is>
          <t>$10.5 Mn</t>
        </is>
      </c>
      <c r="H1664" t="inlineStr">
        <is>
          <t>Series A</t>
        </is>
      </c>
      <c r="I1664" t="inlineStr">
        <is>
          <t>Early</t>
        </is>
      </c>
      <c r="J1664" t="inlineStr">
        <is>
          <t>Fintech</t>
        </is>
      </c>
      <c r="K1664" t="inlineStr">
        <is>
          <t>Mumbai</t>
        </is>
      </c>
      <c r="L1664" t="inlineStr">
        <is>
          <t>Cornerstone Ventures</t>
        </is>
      </c>
      <c r="M1664" t="inlineStr">
        <is>
          <t>Cornerstone Ventures; Shepherd Hill; Roots Ventures; ESV-Arthya AIF; Innoven Capital; Alteria Capital; Hill Private Equity</t>
        </is>
      </c>
      <c r="N1664" t="inlineStr">
        <is>
          <t>inc42 | et</t>
        </is>
      </c>
      <c r="O1664" s="20" t="n">
        <v>2</v>
      </c>
      <c r="P1664" s="21" t="n">
        <v>27.3</v>
      </c>
      <c r="Q1664" t="inlineStr">
        <is>
          <t>C15</t>
        </is>
      </c>
      <c r="R1664" s="22" t="inlineStr">
        <is>
          <t>https://economictimes.indiatimes.com/tech/funding/fintech-firm-novio-raises-rs-78-crore-led-by-cornerstone-ventures/articleshow/130583423.cms</t>
        </is>
      </c>
    </row>
    <row r="1665">
      <c r="A1665" t="inlineStr">
        <is>
          <t>R260428-houseofchikank</t>
        </is>
      </c>
      <c r="B1665" t="inlineStr">
        <is>
          <t>House Of Chikankari</t>
        </is>
      </c>
      <c r="C1665" s="17" t="n">
        <v>46140</v>
      </c>
      <c r="D1665" s="18" t="n">
        <v>46113</v>
      </c>
      <c r="E1665" s="19" t="n">
        <v>2.644</v>
      </c>
      <c r="F1665" s="19" t="n">
        <v>25</v>
      </c>
      <c r="G1665" t="inlineStr">
        <is>
          <t>Rs 25 crore</t>
        </is>
      </c>
      <c r="H1665" t="inlineStr">
        <is>
          <t>Series A</t>
        </is>
      </c>
      <c r="I1665" t="inlineStr">
        <is>
          <t>Early</t>
        </is>
      </c>
      <c r="J1665" t="inlineStr">
        <is>
          <t>Ecommerce</t>
        </is>
      </c>
      <c r="K1665" t="inlineStr">
        <is>
          <t>Delhi NCR</t>
        </is>
      </c>
      <c r="L1665" t="inlineStr">
        <is>
          <t>Cap Alpha Ventures</t>
        </is>
      </c>
      <c r="M1665" t="inlineStr">
        <is>
          <t>Cap Alpha Ventures</t>
        </is>
      </c>
      <c r="N1665" t="inlineStr">
        <is>
          <t>entrackr | inc42 | et</t>
        </is>
      </c>
      <c r="O1665" s="20" t="n">
        <v>3</v>
      </c>
      <c r="P1665" s="21" t="n">
        <v>1.7</v>
      </c>
      <c r="Q1665" t="inlineStr"/>
      <c r="R1665" s="22" t="inlineStr">
        <is>
          <t>https://entrackr.com/snippets/cap-alpha-ventures-leads-rs-25-cr-in-series-a-round-in-house-of-chikankari-11774125</t>
        </is>
      </c>
    </row>
    <row r="1666">
      <c r="A1666" t="inlineStr">
        <is>
          <t>R260428-hyugalife</t>
        </is>
      </c>
      <c r="B1666" t="inlineStr">
        <is>
          <t>HyugaLife</t>
        </is>
      </c>
      <c r="C1666" s="17" t="n">
        <v>46140</v>
      </c>
      <c r="D1666" s="18" t="n">
        <v>46113</v>
      </c>
      <c r="E1666" s="19" t="n">
        <v>10.576</v>
      </c>
      <c r="F1666" s="19" t="n">
        <v>100</v>
      </c>
      <c r="G1666" t="inlineStr">
        <is>
          <t>Rs 100 crore</t>
        </is>
      </c>
      <c r="H1666" t="inlineStr">
        <is>
          <t>Series A</t>
        </is>
      </c>
      <c r="I1666" t="inlineStr">
        <is>
          <t>Early</t>
        </is>
      </c>
      <c r="J1666" t="inlineStr">
        <is>
          <t>Ecommerce</t>
        </is>
      </c>
      <c r="K1666" t="inlineStr">
        <is>
          <t>Unknown</t>
        </is>
      </c>
      <c r="L1666" t="inlineStr">
        <is>
          <t>IvyCap Ventures</t>
        </is>
      </c>
      <c r="M1666" t="inlineStr">
        <is>
          <t>IvyCap Ventures; First Bridge Fund</t>
        </is>
      </c>
      <c r="N1666" t="inlineStr">
        <is>
          <t>entrackr | inc42</t>
        </is>
      </c>
      <c r="O1666" s="20" t="n">
        <v>2</v>
      </c>
      <c r="P1666" s="21" t="n">
        <v>0.7</v>
      </c>
      <c r="Q1666" t="inlineStr">
        <is>
          <t>C07</t>
        </is>
      </c>
      <c r="R1666" s="22" t="inlineStr">
        <is>
          <t>https://entrackr.com/news/hyugalife-raises-105-mn-in-series-a-round-led-by-ivycap-ventures-11773511</t>
        </is>
      </c>
    </row>
    <row r="1667">
      <c r="A1667" t="inlineStr">
        <is>
          <t>R260428-kissht</t>
        </is>
      </c>
      <c r="B1667" t="inlineStr">
        <is>
          <t>Kissht</t>
        </is>
      </c>
      <c r="C1667" s="17" t="n">
        <v>46140</v>
      </c>
      <c r="D1667" s="18" t="n">
        <v>46113</v>
      </c>
      <c r="E1667" s="19" t="n">
        <v>4.231</v>
      </c>
      <c r="F1667" s="19" t="n">
        <v>40</v>
      </c>
      <c r="G1667" t="inlineStr">
        <is>
          <t>Rs 40 crore</t>
        </is>
      </c>
      <c r="H1667" t="inlineStr">
        <is>
          <t>Undisclosed</t>
        </is>
      </c>
      <c r="I1667" t="inlineStr">
        <is>
          <t>Undisclosed</t>
        </is>
      </c>
      <c r="J1667" t="inlineStr">
        <is>
          <t>Fintech</t>
        </is>
      </c>
      <c r="K1667" t="inlineStr">
        <is>
          <t>Unknown</t>
        </is>
      </c>
      <c r="L1667" t="inlineStr"/>
      <c r="M1667" t="inlineStr"/>
      <c r="N1667" t="inlineStr">
        <is>
          <t>et</t>
        </is>
      </c>
      <c r="O1667" s="20" t="n">
        <v>1</v>
      </c>
      <c r="P1667" s="21" t="n">
        <v>0</v>
      </c>
      <c r="Q1667" t="inlineStr">
        <is>
          <t>C04 C05 C07</t>
        </is>
      </c>
      <c r="R1667" s="22" t="inlineStr">
        <is>
          <t>https://economictimes.indiatimes.com/tech/startups/founders-invest-rs-40-crore-in-kissht-at-a-premium-days-before-ipo/articleshow/130583106.cms</t>
        </is>
      </c>
    </row>
    <row r="1668">
      <c r="A1668" t="inlineStr">
        <is>
          <t>R260428-kovon</t>
        </is>
      </c>
      <c r="B1668" t="inlineStr">
        <is>
          <t>Kovon</t>
        </is>
      </c>
      <c r="C1668" s="17" t="n">
        <v>46140</v>
      </c>
      <c r="D1668" s="18" t="n">
        <v>46113</v>
      </c>
      <c r="E1668" s="19" t="n">
        <v>0.25</v>
      </c>
      <c r="F1668" s="19" t="n">
        <v>2.36</v>
      </c>
      <c r="G1668" t="inlineStr">
        <is>
          <t>$250K</t>
        </is>
      </c>
      <c r="H1668" t="inlineStr">
        <is>
          <t>Pre-Seed</t>
        </is>
      </c>
      <c r="I1668" t="inlineStr">
        <is>
          <t>Early</t>
        </is>
      </c>
      <c r="J1668" t="inlineStr">
        <is>
          <t>Enterprise Tech</t>
        </is>
      </c>
      <c r="K1668" t="inlineStr">
        <is>
          <t>Unknown</t>
        </is>
      </c>
      <c r="L1668" t="inlineStr">
        <is>
          <t>TDV Partners</t>
        </is>
      </c>
      <c r="M1668" t="inlineStr">
        <is>
          <t>TDV Partners</t>
        </is>
      </c>
      <c r="N1668" t="inlineStr">
        <is>
          <t>entrackr | inc42</t>
        </is>
      </c>
      <c r="O1668" s="20" t="n">
        <v>2</v>
      </c>
      <c r="P1668" s="21" t="n">
        <v>0</v>
      </c>
      <c r="Q1668" t="inlineStr">
        <is>
          <t>C07</t>
        </is>
      </c>
      <c r="R1668" s="22" t="inlineStr">
        <is>
          <t>https://entrackr.com/snippets/workforce-mobility-platform-kovon-raises-pre-seed-led-by-tdv-partners-11771315</t>
        </is>
      </c>
    </row>
    <row r="1669">
      <c r="A1669" t="inlineStr">
        <is>
          <t>R260428-mojrotechnolog</t>
        </is>
      </c>
      <c r="B1669" t="inlineStr">
        <is>
          <t>Mojro</t>
        </is>
      </c>
      <c r="C1669" s="17" t="n">
        <v>46140</v>
      </c>
      <c r="D1669" s="18" t="n">
        <v>46113</v>
      </c>
      <c r="E1669" s="19" t="n">
        <v>5.5</v>
      </c>
      <c r="F1669" s="19" t="n">
        <v>52</v>
      </c>
      <c r="G1669" t="inlineStr">
        <is>
          <t>$5.5 million</t>
        </is>
      </c>
      <c r="H1669" t="inlineStr">
        <is>
          <t>Series A</t>
        </is>
      </c>
      <c r="I1669" t="inlineStr">
        <is>
          <t>Early</t>
        </is>
      </c>
      <c r="J1669" t="inlineStr">
        <is>
          <t>Enterprise Tech</t>
        </is>
      </c>
      <c r="K1669" t="inlineStr">
        <is>
          <t>Unknown</t>
        </is>
      </c>
      <c r="L1669" t="inlineStr">
        <is>
          <t>Dallas Venture Capital; IAN Alpha Fund</t>
        </is>
      </c>
      <c r="M1669" t="inlineStr">
        <is>
          <t>Dallas Venture Capital; IAN Alpha Fund; 1Crowd</t>
        </is>
      </c>
      <c r="N1669" t="inlineStr">
        <is>
          <t>entrackr | inc42</t>
        </is>
      </c>
      <c r="O1669" s="20" t="n">
        <v>2</v>
      </c>
      <c r="P1669" s="21" t="n">
        <v>120</v>
      </c>
      <c r="Q1669" t="inlineStr">
        <is>
          <t>C07 C15 C17</t>
        </is>
      </c>
      <c r="R1669" s="22" t="inlineStr">
        <is>
          <t>https://entrackr.com/snippets/mojro-technologies-raises-55-mn-led-by-dallas-venture-capital-11774441</t>
        </is>
      </c>
    </row>
    <row r="1670">
      <c r="A1670" t="inlineStr">
        <is>
          <t>R260428-novio</t>
        </is>
      </c>
      <c r="B1670" t="inlineStr">
        <is>
          <t>Novio</t>
        </is>
      </c>
      <c r="C1670" s="17" t="n">
        <v>46140</v>
      </c>
      <c r="D1670" s="18" t="n">
        <v>46113</v>
      </c>
      <c r="E1670" s="19" t="n">
        <v>10.576</v>
      </c>
      <c r="F1670" s="19" t="n">
        <v>100</v>
      </c>
      <c r="G1670" t="inlineStr">
        <is>
          <t>Rs 100 crore</t>
        </is>
      </c>
      <c r="H1670" t="inlineStr">
        <is>
          <t>Series A</t>
        </is>
      </c>
      <c r="I1670" t="inlineStr">
        <is>
          <t>Early</t>
        </is>
      </c>
      <c r="J1670" t="inlineStr">
        <is>
          <t>Fintech</t>
        </is>
      </c>
      <c r="K1670" t="inlineStr">
        <is>
          <t>Unknown</t>
        </is>
      </c>
      <c r="L1670" t="inlineStr">
        <is>
          <t>Cornerstone Ventures</t>
        </is>
      </c>
      <c r="M1670" t="inlineStr">
        <is>
          <t>Cornerstone Ventures; Hill Private Equity; ESV-Arthya AIF; Roots Ventures; Innoven Capital; Alteria Capital</t>
        </is>
      </c>
      <c r="N1670" t="inlineStr">
        <is>
          <t>entrackr</t>
        </is>
      </c>
      <c r="O1670" s="20" t="n">
        <v>1</v>
      </c>
      <c r="P1670" s="21" t="n">
        <v>0</v>
      </c>
      <c r="Q1670" t="inlineStr">
        <is>
          <t>C07</t>
        </is>
      </c>
      <c r="R1670" s="22" t="inlineStr">
        <is>
          <t>https://entrackr.com/snippets/fintech-startup-novio-raises-rs-100-cr-in-series-a-led-by-cornerstone-ventures-11775916</t>
        </is>
      </c>
    </row>
    <row r="1671">
      <c r="A1671" t="inlineStr">
        <is>
          <t>R260428-sahamati</t>
        </is>
      </c>
      <c r="B1671" t="inlineStr">
        <is>
          <t>Sahamati</t>
        </is>
      </c>
      <c r="C1671" s="17" t="n">
        <v>46140</v>
      </c>
      <c r="D1671" s="18" t="n">
        <v>46113</v>
      </c>
      <c r="E1671" s="19" t="n">
        <v>5.288</v>
      </c>
      <c r="F1671" s="19" t="n">
        <v>50</v>
      </c>
      <c r="G1671" t="inlineStr">
        <is>
          <t>Rs 50 crore</t>
        </is>
      </c>
      <c r="H1671" t="inlineStr">
        <is>
          <t>Undisclosed</t>
        </is>
      </c>
      <c r="I1671" t="inlineStr">
        <is>
          <t>Undisclosed</t>
        </is>
      </c>
      <c r="J1671" t="inlineStr">
        <is>
          <t>Fintech</t>
        </is>
      </c>
      <c r="K1671" t="inlineStr">
        <is>
          <t>Bengaluru</t>
        </is>
      </c>
      <c r="L1671" t="inlineStr"/>
      <c r="M1671" t="inlineStr">
        <is>
          <t>State Bank of India; ICICI Bank; HDFC Bank; Axis Bank</t>
        </is>
      </c>
      <c r="N1671" t="inlineStr">
        <is>
          <t>et</t>
        </is>
      </c>
      <c r="O1671" s="20" t="n">
        <v>1</v>
      </c>
      <c r="P1671" s="21" t="n">
        <v>0</v>
      </c>
      <c r="Q1671" t="inlineStr">
        <is>
          <t>C04</t>
        </is>
      </c>
      <c r="R1671" s="22" t="inlineStr">
        <is>
          <t>https://economictimes.indiatimes.com/tech/funding/sahamati-secures-rs-50-crore-in-funding-from-large-banks-amcs-stockbrokers-and-fintechs/articleshow/130569794.cms</t>
        </is>
      </c>
    </row>
    <row r="1672">
      <c r="A1672" t="inlineStr">
        <is>
          <t>R260428-snabbit</t>
        </is>
      </c>
      <c r="B1672" t="inlineStr">
        <is>
          <t>Snabbit</t>
        </is>
      </c>
      <c r="C1672" s="17" t="n">
        <v>46140</v>
      </c>
      <c r="D1672" s="18" t="n">
        <v>46113</v>
      </c>
      <c r="E1672" s="19" t="n">
        <v>56</v>
      </c>
      <c r="F1672" s="19" t="n">
        <v>529.48</v>
      </c>
      <c r="G1672" t="inlineStr">
        <is>
          <t>$56 million</t>
        </is>
      </c>
      <c r="H1672" t="inlineStr">
        <is>
          <t>Series D</t>
        </is>
      </c>
      <c r="I1672" t="inlineStr">
        <is>
          <t>Late</t>
        </is>
      </c>
      <c r="J1672" t="inlineStr">
        <is>
          <t>Consumer Services</t>
        </is>
      </c>
      <c r="K1672" t="inlineStr">
        <is>
          <t>Mumbai</t>
        </is>
      </c>
      <c r="L1672" t="inlineStr">
        <is>
          <t>Susquehanna Venture Capital; Mirae Asset Venture Investments; Bertelsmann India Investments</t>
        </is>
      </c>
      <c r="M1672" t="inlineStr">
        <is>
          <t>Susquehanna Venture Capital; Mirae Asset Venture Investments; Bertelsmann India Investments; Nexus Venture Partners; Lightspeed Ventures; FJ Labs</t>
        </is>
      </c>
      <c r="N1672" t="inlineStr">
        <is>
          <t>entrackr | inc42 | vccircle</t>
        </is>
      </c>
      <c r="O1672" s="20" t="n">
        <v>3</v>
      </c>
      <c r="P1672" s="21" t="n">
        <v>0</v>
      </c>
      <c r="Q1672" t="inlineStr"/>
      <c r="R1672" s="22" t="inlineStr">
        <is>
          <t>https://entrackr.com/news/snabbit-raises-56-mn-in-series-d-round-11773254</t>
        </is>
      </c>
    </row>
    <row r="1673">
      <c r="A1673" t="inlineStr">
        <is>
          <t>R260429-optimizedelect</t>
        </is>
      </c>
      <c r="B1673" t="inlineStr">
        <is>
          <t>Optimized Electrotech</t>
        </is>
      </c>
      <c r="C1673" s="17" t="n">
        <v>46141</v>
      </c>
      <c r="D1673" s="18" t="n">
        <v>46113</v>
      </c>
      <c r="E1673" s="19" t="n">
        <v>3.7</v>
      </c>
      <c r="F1673" s="19" t="n">
        <v>35.09</v>
      </c>
      <c r="G1673" t="inlineStr">
        <is>
          <t>$3.7 Mn</t>
        </is>
      </c>
      <c r="H1673" t="inlineStr">
        <is>
          <t>Undisclosed</t>
        </is>
      </c>
      <c r="I1673" t="inlineStr">
        <is>
          <t>Undisclosed</t>
        </is>
      </c>
      <c r="J1673" t="inlineStr">
        <is>
          <t>Advanced Hardware &amp; Technology</t>
        </is>
      </c>
      <c r="K1673" t="inlineStr">
        <is>
          <t>Unknown</t>
        </is>
      </c>
      <c r="L1673" t="inlineStr">
        <is>
          <t>Exfinity Ventures</t>
        </is>
      </c>
      <c r="M1673" t="inlineStr">
        <is>
          <t>Exfinity Ventures; Blume Ventures; Mela Ventures; Venture Catalysts</t>
        </is>
      </c>
      <c r="N1673" t="inlineStr">
        <is>
          <t>inc42</t>
        </is>
      </c>
      <c r="O1673" s="20" t="n">
        <v>1</v>
      </c>
      <c r="P1673" s="21" t="n">
        <v>0</v>
      </c>
      <c r="Q1673" t="inlineStr">
        <is>
          <t>C04 C07</t>
        </is>
      </c>
      <c r="R1673" s="22" t="inlineStr">
        <is>
          <t>https://inc42.com/buzz/from-snabbit-to-sahi-indian-startups-raised-204-mn-this-week/</t>
        </is>
      </c>
    </row>
    <row r="1674">
      <c r="A1674" t="inlineStr">
        <is>
          <t>R260429-prithu</t>
        </is>
      </c>
      <c r="B1674" t="inlineStr">
        <is>
          <t>Prithu</t>
        </is>
      </c>
      <c r="C1674" s="17" t="n">
        <v>46141</v>
      </c>
      <c r="D1674" s="18" t="n">
        <v>46113</v>
      </c>
      <c r="E1674" s="19" t="n">
        <v>1.054</v>
      </c>
      <c r="F1674" s="19" t="n">
        <v>10</v>
      </c>
      <c r="G1674" t="inlineStr">
        <is>
          <t>Rs 10 crore</t>
        </is>
      </c>
      <c r="H1674" t="inlineStr">
        <is>
          <t>Seed</t>
        </is>
      </c>
      <c r="I1674" t="inlineStr">
        <is>
          <t>Early</t>
        </is>
      </c>
      <c r="J1674" t="inlineStr">
        <is>
          <t>Cleantech</t>
        </is>
      </c>
      <c r="K1674" t="inlineStr">
        <is>
          <t>Delhi NCR</t>
        </is>
      </c>
      <c r="L1674" t="inlineStr">
        <is>
          <t>Transition VC</t>
        </is>
      </c>
      <c r="M1674" t="inlineStr">
        <is>
          <t>Transition VC</t>
        </is>
      </c>
      <c r="N1674" t="inlineStr">
        <is>
          <t>entrackr | inc42 | et</t>
        </is>
      </c>
      <c r="O1674" s="20" t="n">
        <v>3</v>
      </c>
      <c r="P1674" s="21" t="n">
        <v>4.3</v>
      </c>
      <c r="Q1674" t="inlineStr"/>
      <c r="R1674" s="22" t="inlineStr">
        <is>
          <t>https://entrackr.com/snippets/climate-tech-startup-prithu-raises-rs-10-cr-in-seed-round-led-by-transition-vc-11777909</t>
        </is>
      </c>
    </row>
    <row r="1675">
      <c r="A1675" t="inlineStr">
        <is>
          <t>R260429-sahi</t>
        </is>
      </c>
      <c r="B1675" t="inlineStr">
        <is>
          <t>Sahi</t>
        </is>
      </c>
      <c r="C1675" s="17" t="n">
        <v>46141</v>
      </c>
      <c r="D1675" s="18" t="n">
        <v>46113</v>
      </c>
      <c r="E1675" s="19" t="n">
        <v>33</v>
      </c>
      <c r="F1675" s="19" t="n">
        <v>313</v>
      </c>
      <c r="G1675" t="inlineStr">
        <is>
          <t>$33 million</t>
        </is>
      </c>
      <c r="H1675" t="inlineStr">
        <is>
          <t>Series B</t>
        </is>
      </c>
      <c r="I1675" t="inlineStr">
        <is>
          <t>Growth</t>
        </is>
      </c>
      <c r="J1675" t="inlineStr">
        <is>
          <t>Fintech</t>
        </is>
      </c>
      <c r="K1675" t="inlineStr">
        <is>
          <t>Bengaluru</t>
        </is>
      </c>
      <c r="L1675" t="inlineStr">
        <is>
          <t>Accel</t>
        </is>
      </c>
      <c r="M1675" t="inlineStr">
        <is>
          <t>Accel; Elevation Capital</t>
        </is>
      </c>
      <c r="N1675" t="inlineStr">
        <is>
          <t>entrackr | inc42 | et</t>
        </is>
      </c>
      <c r="O1675" s="20" t="n">
        <v>3</v>
      </c>
      <c r="P1675" s="21" t="n">
        <v>0</v>
      </c>
      <c r="Q1675" t="inlineStr"/>
      <c r="R1675" s="22" t="inlineStr">
        <is>
          <t>https://entrackr.com/news/dale-vazs-stock-trading-app-sahi-raises-33-mn-in-series-b-round-11776820</t>
        </is>
      </c>
    </row>
    <row r="1676">
      <c r="A1676" t="inlineStr">
        <is>
          <t>R260429-sportvot</t>
        </is>
      </c>
      <c r="B1676" t="inlineStr">
        <is>
          <t>SportVot</t>
        </is>
      </c>
      <c r="C1676" s="17" t="n">
        <v>46141</v>
      </c>
      <c r="D1676" s="18" t="n">
        <v>46113</v>
      </c>
      <c r="E1676" s="19" t="n">
        <v>3.448</v>
      </c>
      <c r="F1676" s="19" t="n">
        <v>32.7</v>
      </c>
      <c r="G1676" t="inlineStr">
        <is>
          <t>Rs 32.7 crore</t>
        </is>
      </c>
      <c r="H1676" t="inlineStr">
        <is>
          <t>Undisclosed</t>
        </is>
      </c>
      <c r="I1676" t="inlineStr">
        <is>
          <t>Undisclosed</t>
        </is>
      </c>
      <c r="J1676" t="inlineStr">
        <is>
          <t>Media &amp; Entertainment</t>
        </is>
      </c>
      <c r="K1676" t="inlineStr">
        <is>
          <t>Mumbai</t>
        </is>
      </c>
      <c r="L1676" t="inlineStr">
        <is>
          <t>Indian Angel Network; IAN Alpha Fund; Capital A; Succeed Innovation; Garima Vohra; Gaurav Chanana</t>
        </is>
      </c>
      <c r="M1676" t="inlineStr">
        <is>
          <t>Indian Angel Network; Anicut Capital; Lets Venture; Capital A; Succeed Innovation; IAN Alpha Fund; Garima Vohra; Gaurav Chanana</t>
        </is>
      </c>
      <c r="N1676" t="inlineStr">
        <is>
          <t>entrackr | inc42 | et</t>
        </is>
      </c>
      <c r="O1676" s="20" t="n">
        <v>3</v>
      </c>
      <c r="P1676" s="21" t="n">
        <v>10.2</v>
      </c>
      <c r="Q1676" t="inlineStr">
        <is>
          <t>C04 C15 C17</t>
        </is>
      </c>
      <c r="R1676" s="22" t="inlineStr">
        <is>
          <t>https://entrackr.com/snippets/ian-alpha-fund-leads-rs-327-cr-round-in-sports-tech-startup-sportvot-11776924</t>
        </is>
      </c>
    </row>
    <row r="1677">
      <c r="A1677" t="inlineStr">
        <is>
          <t>R260429-vikraoceantech</t>
        </is>
      </c>
      <c r="B1677" t="inlineStr">
        <is>
          <t>VIKRA Ocean Tech</t>
        </is>
      </c>
      <c r="C1677" s="17" t="n">
        <v>46141</v>
      </c>
      <c r="D1677" s="18" t="n">
        <v>46113</v>
      </c>
      <c r="E1677" s="19" t="n">
        <v>1</v>
      </c>
      <c r="F1677" s="19" t="n">
        <v>9.48</v>
      </c>
      <c r="G1677" t="inlineStr">
        <is>
          <t>$1 million</t>
        </is>
      </c>
      <c r="H1677" t="inlineStr">
        <is>
          <t>Seed</t>
        </is>
      </c>
      <c r="I1677" t="inlineStr">
        <is>
          <t>Early</t>
        </is>
      </c>
      <c r="J1677" t="inlineStr">
        <is>
          <t>Advanced Hardware &amp; Technology</t>
        </is>
      </c>
      <c r="K1677" t="inlineStr">
        <is>
          <t>Chennai</t>
        </is>
      </c>
      <c r="L1677" t="inlineStr">
        <is>
          <t>Finvolve; India Accelerator</t>
        </is>
      </c>
      <c r="M1677" t="inlineStr">
        <is>
          <t>Finvolve; India Accelerator</t>
        </is>
      </c>
      <c r="N1677" t="inlineStr">
        <is>
          <t>entrackr | inc42</t>
        </is>
      </c>
      <c r="O1677" s="20" t="n">
        <v>2</v>
      </c>
      <c r="P1677" s="21" t="n">
        <v>0</v>
      </c>
      <c r="Q1677" t="inlineStr"/>
      <c r="R1677" s="22" t="inlineStr">
        <is>
          <t>https://entrackr.com/snippets/vikra-ocean-tech-raises-1-mn-from-finvolve-and-india-accelerator-11779394</t>
        </is>
      </c>
    </row>
    <row r="1678">
      <c r="A1678" t="inlineStr">
        <is>
          <t>R260430-ctruh</t>
        </is>
      </c>
      <c r="B1678" t="inlineStr">
        <is>
          <t>Ctruh</t>
        </is>
      </c>
      <c r="C1678" s="17" t="n">
        <v>46142</v>
      </c>
      <c r="D1678" s="18" t="n">
        <v>46113</v>
      </c>
      <c r="E1678" s="19" t="n">
        <v>2.5</v>
      </c>
      <c r="F1678" s="19" t="n">
        <v>23.73</v>
      </c>
      <c r="G1678" t="inlineStr">
        <is>
          <t>$2.5 million</t>
        </is>
      </c>
      <c r="H1678" t="inlineStr">
        <is>
          <t>Seed</t>
        </is>
      </c>
      <c r="I1678" t="inlineStr">
        <is>
          <t>Early</t>
        </is>
      </c>
      <c r="J1678" t="inlineStr">
        <is>
          <t>Advanced Hardware &amp; Technology</t>
        </is>
      </c>
      <c r="K1678" t="inlineStr">
        <is>
          <t>Bengaluru</t>
        </is>
      </c>
      <c r="L1678" t="inlineStr">
        <is>
          <t>Inflection Point Ventures; Avinya Ventures</t>
        </is>
      </c>
      <c r="M1678" t="inlineStr">
        <is>
          <t>Inflection Point Ventures; Avinya Ventures; India Accelerator; Avenue; Anthill Ventures; Finvolve; LVX; Vivek Sinha; Shivakumar Ganesan</t>
        </is>
      </c>
      <c r="N1678" t="inlineStr">
        <is>
          <t>entrackr | inc42</t>
        </is>
      </c>
      <c r="O1678" s="20" t="n">
        <v>2</v>
      </c>
      <c r="P1678" s="21" t="n">
        <v>0</v>
      </c>
      <c r="Q1678" t="inlineStr"/>
      <c r="R1678" s="22" t="inlineStr">
        <is>
          <t>https://entrackr.com/snippets/deep-tech-startup-ctruh-secures-25-mn-in-seed-funding-11781538</t>
        </is>
      </c>
    </row>
    <row r="1679">
      <c r="A1679" t="inlineStr">
        <is>
          <t>R260430-kimbal</t>
        </is>
      </c>
      <c r="B1679" t="inlineStr">
        <is>
          <t>Kimbal</t>
        </is>
      </c>
      <c r="C1679" s="17" t="n">
        <v>46142</v>
      </c>
      <c r="D1679" s="18" t="n">
        <v>46113</v>
      </c>
      <c r="E1679" s="19" t="n">
        <v>22</v>
      </c>
      <c r="F1679" s="19" t="n">
        <v>208.82</v>
      </c>
      <c r="G1679" t="inlineStr">
        <is>
          <t>$22 Mn</t>
        </is>
      </c>
      <c r="H1679" t="inlineStr">
        <is>
          <t>Series B</t>
        </is>
      </c>
      <c r="I1679" t="inlineStr">
        <is>
          <t>Growth</t>
        </is>
      </c>
      <c r="J1679" t="inlineStr">
        <is>
          <t>Enterprise Tech</t>
        </is>
      </c>
      <c r="K1679" t="inlineStr">
        <is>
          <t>Unknown</t>
        </is>
      </c>
      <c r="L1679" t="inlineStr">
        <is>
          <t>GEF Capital Partners</t>
        </is>
      </c>
      <c r="M1679" t="inlineStr">
        <is>
          <t>GEF Capital Partners; Niveshaay</t>
        </is>
      </c>
      <c r="N1679" t="inlineStr">
        <is>
          <t>inc42 | vccircle</t>
        </is>
      </c>
      <c r="O1679" s="20" t="n">
        <v>2</v>
      </c>
      <c r="P1679" s="21" t="n">
        <v>0</v>
      </c>
      <c r="Q1679" t="inlineStr">
        <is>
          <t>C07</t>
        </is>
      </c>
      <c r="R1679" s="22" t="inlineStr">
        <is>
          <t>https://inc42.com/buzz/from-snabbit-to-sahi-indian-startups-raised-204-mn-this-week/</t>
        </is>
      </c>
    </row>
    <row r="1680">
      <c r="A1680" t="inlineStr">
        <is>
          <t>R260430-ubiqedge</t>
        </is>
      </c>
      <c r="B1680" t="inlineStr">
        <is>
          <t>Ubiqedge</t>
        </is>
      </c>
      <c r="C1680" s="17" t="n">
        <v>46142</v>
      </c>
      <c r="D1680" s="18" t="n">
        <v>46113</v>
      </c>
      <c r="E1680" s="19" t="n">
        <v>1.054</v>
      </c>
      <c r="F1680" s="19" t="n">
        <v>10</v>
      </c>
      <c r="G1680" t="inlineStr">
        <is>
          <t>Rs 10 crore</t>
        </is>
      </c>
      <c r="H1680" t="inlineStr">
        <is>
          <t>Seed</t>
        </is>
      </c>
      <c r="I1680" t="inlineStr">
        <is>
          <t>Early</t>
        </is>
      </c>
      <c r="J1680" t="inlineStr">
        <is>
          <t>Advanced Hardware &amp; Technology</t>
        </is>
      </c>
      <c r="K1680" t="inlineStr">
        <is>
          <t>Unknown</t>
        </is>
      </c>
      <c r="L1680" t="inlineStr">
        <is>
          <t>Piper Serica</t>
        </is>
      </c>
      <c r="M1680" t="inlineStr">
        <is>
          <t>Piper Serica; Shibam Das; Sumit Chhazed</t>
        </is>
      </c>
      <c r="N1680" t="inlineStr">
        <is>
          <t>entrackr | inc42</t>
        </is>
      </c>
      <c r="O1680" s="20" t="n">
        <v>2</v>
      </c>
      <c r="P1680" s="21" t="n">
        <v>4.4</v>
      </c>
      <c r="Q1680" t="inlineStr">
        <is>
          <t>C07</t>
        </is>
      </c>
      <c r="R1680" s="22" t="inlineStr">
        <is>
          <t>https://entrackr.com/snippets/piper-serica-leads-rs-10-cr-seed-round-in-aiot-startup-ubiqedge-11782019</t>
        </is>
      </c>
    </row>
    <row r="1681">
      <c r="A1681" t="inlineStr">
        <is>
          <t>R260504-aurm</t>
        </is>
      </c>
      <c r="B1681" t="inlineStr">
        <is>
          <t>Aurm</t>
        </is>
      </c>
      <c r="C1681" s="17" t="n">
        <v>46146</v>
      </c>
      <c r="D1681" s="18" t="n">
        <v>46143</v>
      </c>
      <c r="E1681" s="19" t="n">
        <v>4.417</v>
      </c>
      <c r="F1681" s="19" t="n">
        <v>42</v>
      </c>
      <c r="G1681" t="inlineStr">
        <is>
          <t>Rs 42 crore</t>
        </is>
      </c>
      <c r="H1681" t="inlineStr">
        <is>
          <t>Series A</t>
        </is>
      </c>
      <c r="I1681" t="inlineStr">
        <is>
          <t>Early</t>
        </is>
      </c>
      <c r="J1681" t="inlineStr">
        <is>
          <t>Real Estate Tech</t>
        </is>
      </c>
      <c r="K1681" t="inlineStr">
        <is>
          <t>Unknown</t>
        </is>
      </c>
      <c r="L1681" t="inlineStr">
        <is>
          <t>Earth Fund; Sattva Ventures</t>
        </is>
      </c>
      <c r="M1681" t="inlineStr">
        <is>
          <t>Earth Fund; Sattva Ventures</t>
        </is>
      </c>
      <c r="N1681" t="inlineStr">
        <is>
          <t>entrackr | inc42</t>
        </is>
      </c>
      <c r="O1681" s="20" t="n">
        <v>2</v>
      </c>
      <c r="P1681" s="21" t="n">
        <v>0.4</v>
      </c>
      <c r="Q1681" t="inlineStr">
        <is>
          <t>C07 C18</t>
        </is>
      </c>
      <c r="R1681" s="22" t="inlineStr">
        <is>
          <t>https://entrackr.com/snippets/aurm-raises-rs-42-cr-in-series-a-round-led-by-earth-fund-and-sattva-ventures-11799095</t>
        </is>
      </c>
    </row>
    <row r="1682">
      <c r="A1682" t="inlineStr">
        <is>
          <t>R260504-banza</t>
        </is>
      </c>
      <c r="B1682" t="inlineStr">
        <is>
          <t>Banza</t>
        </is>
      </c>
      <c r="C1682" s="17" t="n">
        <v>46146</v>
      </c>
      <c r="D1682" s="18" t="n">
        <v>46143</v>
      </c>
      <c r="E1682" s="19" t="n">
        <v>1</v>
      </c>
      <c r="F1682" s="19" t="n">
        <v>9.51</v>
      </c>
      <c r="G1682" t="inlineStr">
        <is>
          <t>$1 million</t>
        </is>
      </c>
      <c r="H1682" t="inlineStr">
        <is>
          <t>Pre-Seed</t>
        </is>
      </c>
      <c r="I1682" t="inlineStr">
        <is>
          <t>Early</t>
        </is>
      </c>
      <c r="J1682" t="inlineStr">
        <is>
          <t>Artificial Intelligence</t>
        </is>
      </c>
      <c r="K1682" t="inlineStr">
        <is>
          <t>Bengaluru</t>
        </is>
      </c>
      <c r="L1682" t="inlineStr">
        <is>
          <t>Campus Fund</t>
        </is>
      </c>
      <c r="M1682" t="inlineStr">
        <is>
          <t>Campus Fund; Avalanche</t>
        </is>
      </c>
      <c r="N1682" t="inlineStr">
        <is>
          <t>entrackr | inc42</t>
        </is>
      </c>
      <c r="O1682" s="20" t="n">
        <v>2</v>
      </c>
      <c r="P1682" s="21" t="n">
        <v>0</v>
      </c>
      <c r="Q1682" t="inlineStr"/>
      <c r="R1682" s="22" t="inlineStr">
        <is>
          <t>https://entrackr.com/snippets/data-sharing-startup-banza-raises-pre-seed-round-led-by-campus-fund-11798690</t>
        </is>
      </c>
    </row>
    <row r="1683">
      <c r="A1683" t="inlineStr">
        <is>
          <t>R260504-chosen</t>
        </is>
      </c>
      <c r="B1683" t="inlineStr">
        <is>
          <t>CHOSEN</t>
        </is>
      </c>
      <c r="C1683" s="17" t="n">
        <v>46146</v>
      </c>
      <c r="D1683" s="18" t="n">
        <v>46143</v>
      </c>
      <c r="E1683" s="19" t="n">
        <v>5</v>
      </c>
      <c r="F1683" s="19" t="n">
        <v>47.54</v>
      </c>
      <c r="G1683" t="inlineStr">
        <is>
          <t>$5 Mn</t>
        </is>
      </c>
      <c r="H1683" t="inlineStr">
        <is>
          <t>Series A</t>
        </is>
      </c>
      <c r="I1683" t="inlineStr">
        <is>
          <t>Early</t>
        </is>
      </c>
      <c r="J1683" t="inlineStr">
        <is>
          <t>Ecommerce</t>
        </is>
      </c>
      <c r="K1683" t="inlineStr">
        <is>
          <t>Chennai</t>
        </is>
      </c>
      <c r="L1683" t="inlineStr">
        <is>
          <t>Fireside Ventures; Alkemi Growth Capital; Avnish Anand</t>
        </is>
      </c>
      <c r="M1683" t="inlineStr">
        <is>
          <t>Fireside Ventures; BOLD; Alkemi Growth Capital; Avnish Anand</t>
        </is>
      </c>
      <c r="N1683" t="inlineStr">
        <is>
          <t>entrackr | inc42</t>
        </is>
      </c>
      <c r="O1683" s="20" t="n">
        <v>2</v>
      </c>
      <c r="P1683" s="21" t="n">
        <v>0</v>
      </c>
      <c r="Q1683" t="inlineStr"/>
      <c r="R1683" s="22" t="inlineStr">
        <is>
          <t>https://entrackr.com/snippets/fireside-ventures-leads-5-mn-series-a-round-in-skincare-brand-chosen-11786191</t>
        </is>
      </c>
    </row>
    <row r="1684">
      <c r="A1684" t="inlineStr">
        <is>
          <t>R260504-healthfab</t>
        </is>
      </c>
      <c r="B1684" t="inlineStr">
        <is>
          <t>HealthFab</t>
        </is>
      </c>
      <c r="C1684" s="17" t="n">
        <v>46146</v>
      </c>
      <c r="D1684" s="18" t="n">
        <v>46143</v>
      </c>
      <c r="E1684" s="19" t="n">
        <v>2.103</v>
      </c>
      <c r="F1684" s="19" t="n">
        <v>20</v>
      </c>
      <c r="G1684" t="inlineStr">
        <is>
          <t>Rs 20 crore</t>
        </is>
      </c>
      <c r="H1684" t="inlineStr">
        <is>
          <t>Series A</t>
        </is>
      </c>
      <c r="I1684" t="inlineStr">
        <is>
          <t>Early</t>
        </is>
      </c>
      <c r="J1684" t="inlineStr">
        <is>
          <t>Ecommerce</t>
        </is>
      </c>
      <c r="K1684" t="inlineStr">
        <is>
          <t>Bengaluru</t>
        </is>
      </c>
      <c r="L1684" t="inlineStr">
        <is>
          <t>Atomic Capital</t>
        </is>
      </c>
      <c r="M1684" t="inlineStr">
        <is>
          <t>Atomic Capital; Mistry Ventures</t>
        </is>
      </c>
      <c r="N1684" t="inlineStr">
        <is>
          <t>entrackr | inc42 | et</t>
        </is>
      </c>
      <c r="O1684" s="20" t="n">
        <v>3</v>
      </c>
      <c r="P1684" s="21" t="n">
        <v>0.2</v>
      </c>
      <c r="Q1684" t="inlineStr"/>
      <c r="R1684" s="22" t="inlineStr">
        <is>
          <t>https://entrackr.com/snippets/healthfab-raises-rs-20-cr-in-series-a-led-by-atomic-capital-11797182</t>
        </is>
      </c>
    </row>
    <row r="1685">
      <c r="A1685" t="inlineStr">
        <is>
          <t>R260504-kisah</t>
        </is>
      </c>
      <c r="B1685" t="inlineStr">
        <is>
          <t>Kisah</t>
        </is>
      </c>
      <c r="C1685" s="17" t="n">
        <v>46146</v>
      </c>
      <c r="D1685" s="18" t="n">
        <v>46143</v>
      </c>
      <c r="E1685" s="19" t="n">
        <v>3.775</v>
      </c>
      <c r="F1685" s="19" t="n">
        <v>35.9</v>
      </c>
      <c r="G1685" t="inlineStr">
        <is>
          <t>Rs 35.9 crore</t>
        </is>
      </c>
      <c r="H1685" t="inlineStr">
        <is>
          <t>Series A</t>
        </is>
      </c>
      <c r="I1685" t="inlineStr">
        <is>
          <t>Early</t>
        </is>
      </c>
      <c r="J1685" t="inlineStr">
        <is>
          <t>Ecommerce</t>
        </is>
      </c>
      <c r="K1685" t="inlineStr">
        <is>
          <t>Kolkata</t>
        </is>
      </c>
      <c r="L1685" t="inlineStr">
        <is>
          <t>Fireside Ventures</t>
        </is>
      </c>
      <c r="M1685" t="inlineStr">
        <is>
          <t>Fireside Ventures</t>
        </is>
      </c>
      <c r="N1685" t="inlineStr">
        <is>
          <t>entrackr</t>
        </is>
      </c>
      <c r="O1685" s="20" t="n">
        <v>1</v>
      </c>
      <c r="P1685" s="21" t="n">
        <v>0</v>
      </c>
      <c r="Q1685" t="inlineStr"/>
      <c r="R1685" s="22" t="inlineStr">
        <is>
          <t>https://entrackr.com/news/fireside-ventures-leads-kisahs-series-a-round-valuation-jumps-to-rs-211-cr-11797334</t>
        </is>
      </c>
    </row>
    <row r="1686">
      <c r="A1686" t="inlineStr">
        <is>
          <t>R260504-milkymist</t>
        </is>
      </c>
      <c r="B1686" t="inlineStr">
        <is>
          <t>Milky Mist</t>
        </is>
      </c>
      <c r="C1686" s="17" t="n">
        <v>46146</v>
      </c>
      <c r="D1686" s="18" t="n">
        <v>46143</v>
      </c>
      <c r="E1686" s="19" t="n">
        <v>50.689</v>
      </c>
      <c r="F1686" s="19" t="n">
        <v>482</v>
      </c>
      <c r="G1686" t="inlineStr">
        <is>
          <t>Rs 482 crore</t>
        </is>
      </c>
      <c r="H1686" t="inlineStr">
        <is>
          <t>Pre-IPO</t>
        </is>
      </c>
      <c r="I1686" t="inlineStr">
        <is>
          <t>Late</t>
        </is>
      </c>
      <c r="J1686" t="inlineStr">
        <is>
          <t>Agritech</t>
        </is>
      </c>
      <c r="K1686" t="inlineStr">
        <is>
          <t>Erode</t>
        </is>
      </c>
      <c r="L1686" t="inlineStr"/>
      <c r="M1686" t="inlineStr">
        <is>
          <t>Jongsong Investments Pte Ltd</t>
        </is>
      </c>
      <c r="N1686" t="inlineStr">
        <is>
          <t>entrackr</t>
        </is>
      </c>
      <c r="O1686" s="20" t="n">
        <v>1</v>
      </c>
      <c r="P1686" s="21" t="n">
        <v>0</v>
      </c>
      <c r="Q1686" t="inlineStr"/>
      <c r="R1686" s="22" t="inlineStr">
        <is>
          <t>https://entrackr.com/news/milky-mist-raises-rs-482-cr-in-pre-ipo-round-led-by-temasek-arm-11799542</t>
        </is>
      </c>
    </row>
    <row r="1687">
      <c r="A1687" t="inlineStr">
        <is>
          <t>R260504-tsavorite</t>
        </is>
      </c>
      <c r="B1687" t="inlineStr">
        <is>
          <t>Tsavorite</t>
        </is>
      </c>
      <c r="C1687" s="17" t="n">
        <v>46146</v>
      </c>
      <c r="D1687" s="18" t="n">
        <v>46143</v>
      </c>
      <c r="E1687" s="19" t="n">
        <v>5</v>
      </c>
      <c r="F1687" s="19" t="n">
        <v>47.54</v>
      </c>
      <c r="G1687" t="inlineStr">
        <is>
          <t>$5 million</t>
        </is>
      </c>
      <c r="H1687" t="inlineStr">
        <is>
          <t>Series A</t>
        </is>
      </c>
      <c r="I1687" t="inlineStr">
        <is>
          <t>Early</t>
        </is>
      </c>
      <c r="J1687" t="inlineStr">
        <is>
          <t>Artificial Intelligence</t>
        </is>
      </c>
      <c r="K1687" t="inlineStr">
        <is>
          <t>Unknown</t>
        </is>
      </c>
      <c r="L1687" t="inlineStr">
        <is>
          <t>Pavestone</t>
        </is>
      </c>
      <c r="M1687" t="inlineStr">
        <is>
          <t>Pavestone</t>
        </is>
      </c>
      <c r="N1687" t="inlineStr">
        <is>
          <t>entrackr | inc42 | et</t>
        </is>
      </c>
      <c r="O1687" s="20" t="n">
        <v>3</v>
      </c>
      <c r="P1687" s="21" t="n">
        <v>0</v>
      </c>
      <c r="Q1687" t="inlineStr">
        <is>
          <t>C07</t>
        </is>
      </c>
      <c r="R1687" s="22" t="inlineStr">
        <is>
          <t>https://entrackr.com/snippets/ai-computing-solutions-provider-tsavorite-raises-5-mn-led-by-pavestone-11797773</t>
        </is>
      </c>
    </row>
    <row r="1688">
      <c r="A1688" t="inlineStr">
        <is>
          <t>R260505-jurisphere</t>
        </is>
      </c>
      <c r="B1688" t="inlineStr">
        <is>
          <t>Jurisphere</t>
        </is>
      </c>
      <c r="C1688" s="17" t="n">
        <v>46147</v>
      </c>
      <c r="D1688" s="18" t="n">
        <v>46143</v>
      </c>
      <c r="E1688" s="19" t="n">
        <v>2.2</v>
      </c>
      <c r="F1688" s="19" t="n">
        <v>20.96</v>
      </c>
      <c r="G1688" t="inlineStr">
        <is>
          <t>$2.2 million</t>
        </is>
      </c>
      <c r="H1688" t="inlineStr">
        <is>
          <t>Undisclosed</t>
        </is>
      </c>
      <c r="I1688" t="inlineStr">
        <is>
          <t>Undisclosed</t>
        </is>
      </c>
      <c r="J1688" t="inlineStr">
        <is>
          <t>Artificial Intelligence</t>
        </is>
      </c>
      <c r="K1688" t="inlineStr">
        <is>
          <t>Unknown</t>
        </is>
      </c>
      <c r="L1688" t="inlineStr">
        <is>
          <t>InfoEdge Ventures</t>
        </is>
      </c>
      <c r="M1688" t="inlineStr">
        <is>
          <t>Info Edge Ventures; Flourish Ventures; Antler; 8i Ventures</t>
        </is>
      </c>
      <c r="N1688" t="inlineStr">
        <is>
          <t>entrackr | inc42 | et</t>
        </is>
      </c>
      <c r="O1688" s="20" t="n">
        <v>3</v>
      </c>
      <c r="P1688" s="21" t="n">
        <v>0</v>
      </c>
      <c r="Q1688" t="inlineStr">
        <is>
          <t>C04 C07</t>
        </is>
      </c>
      <c r="R1688" s="22" t="inlineStr">
        <is>
          <t>https://entrackr.com/snippets/jurisphere-raises-22-mn-led-by-infoedge-ventures-11801587</t>
        </is>
      </c>
    </row>
    <row r="1689">
      <c r="A1689" t="inlineStr">
        <is>
          <t>R260505-vobizai</t>
        </is>
      </c>
      <c r="B1689" t="inlineStr">
        <is>
          <t>Vobiz.ai</t>
        </is>
      </c>
      <c r="C1689" s="17" t="n">
        <v>46147</v>
      </c>
      <c r="D1689" s="18" t="n">
        <v>46143</v>
      </c>
      <c r="E1689" s="19" t="n">
        <v>1</v>
      </c>
      <c r="F1689" s="19" t="n">
        <v>9.529999999999999</v>
      </c>
      <c r="G1689" t="inlineStr">
        <is>
          <t>$1 million</t>
        </is>
      </c>
      <c r="H1689" t="inlineStr">
        <is>
          <t>Seed</t>
        </is>
      </c>
      <c r="I1689" t="inlineStr">
        <is>
          <t>Early</t>
        </is>
      </c>
      <c r="J1689" t="inlineStr">
        <is>
          <t>Artificial Intelligence</t>
        </is>
      </c>
      <c r="K1689" t="inlineStr">
        <is>
          <t>Bengaluru</t>
        </is>
      </c>
      <c r="L1689" t="inlineStr">
        <is>
          <t>Piper Serica</t>
        </is>
      </c>
      <c r="M1689" t="inlineStr">
        <is>
          <t>Piper Serica</t>
        </is>
      </c>
      <c r="N1689" t="inlineStr">
        <is>
          <t>entrackr | inc42</t>
        </is>
      </c>
      <c r="O1689" s="20" t="n">
        <v>2</v>
      </c>
      <c r="P1689" s="21" t="n">
        <v>0</v>
      </c>
      <c r="Q1689" t="inlineStr"/>
      <c r="R1689" s="22" t="inlineStr">
        <is>
          <t>https://entrackr.com/snippets/telephony-infra-startup-vobizai-raises-1-mn-led-by-piper-serica-11801843</t>
        </is>
      </c>
    </row>
    <row r="1690">
      <c r="A1690" t="inlineStr">
        <is>
          <t>R260506-ailibrary</t>
        </is>
      </c>
      <c r="B1690" t="inlineStr">
        <is>
          <t>AI Library</t>
        </is>
      </c>
      <c r="C1690" s="17" t="n">
        <v>46148</v>
      </c>
      <c r="D1690" s="18" t="n">
        <v>46143</v>
      </c>
      <c r="E1690" s="19" t="n">
        <v>0.5600000000000001</v>
      </c>
      <c r="F1690" s="19" t="n">
        <v>5.3</v>
      </c>
      <c r="G1690" t="inlineStr">
        <is>
          <t>$560K</t>
        </is>
      </c>
      <c r="H1690" t="inlineStr">
        <is>
          <t>Pre-Seed</t>
        </is>
      </c>
      <c r="I1690" t="inlineStr">
        <is>
          <t>Early</t>
        </is>
      </c>
      <c r="J1690" t="inlineStr">
        <is>
          <t>Artificial Intelligence</t>
        </is>
      </c>
      <c r="K1690" t="inlineStr">
        <is>
          <t>Unknown</t>
        </is>
      </c>
      <c r="L1690" t="inlineStr"/>
      <c r="M1690" t="inlineStr"/>
      <c r="N1690" t="inlineStr">
        <is>
          <t>entrackr</t>
        </is>
      </c>
      <c r="O1690" s="20" t="n">
        <v>1</v>
      </c>
      <c r="P1690" s="21" t="n">
        <v>0</v>
      </c>
      <c r="Q1690" t="inlineStr">
        <is>
          <t>C05 C07</t>
        </is>
      </c>
      <c r="R1690" s="22" t="inlineStr">
        <is>
          <t>https://entrackr.com/snippets/ai-library-raises-pre-seed-funding-round-11805670</t>
        </is>
      </c>
    </row>
    <row r="1691">
      <c r="A1691" t="inlineStr">
        <is>
          <t>R260506-bigendiansemic</t>
        </is>
      </c>
      <c r="B1691" t="inlineStr">
        <is>
          <t>BigEndian Semiconductors</t>
        </is>
      </c>
      <c r="C1691" s="17" t="n">
        <v>46148</v>
      </c>
      <c r="D1691" s="18" t="n">
        <v>46143</v>
      </c>
      <c r="E1691" s="19" t="n">
        <v>6</v>
      </c>
      <c r="F1691" s="19" t="n">
        <v>56.77</v>
      </c>
      <c r="G1691" t="inlineStr">
        <is>
          <t>$6 million</t>
        </is>
      </c>
      <c r="H1691" t="inlineStr">
        <is>
          <t>Pre-Series A</t>
        </is>
      </c>
      <c r="I1691" t="inlineStr">
        <is>
          <t>Early</t>
        </is>
      </c>
      <c r="J1691" t="inlineStr">
        <is>
          <t>Advanced Hardware &amp; Technology</t>
        </is>
      </c>
      <c r="K1691" t="inlineStr">
        <is>
          <t>Bengaluru</t>
        </is>
      </c>
      <c r="L1691" t="inlineStr">
        <is>
          <t>IAN Alpha Fund</t>
        </is>
      </c>
      <c r="M1691" t="inlineStr">
        <is>
          <t>IAN Alpha Fund; Vertex Ventures SEA &amp; India; IvyCap Ventures; Vertex Ventures Southeast Asia &amp;amp</t>
        </is>
      </c>
      <c r="N1691" t="inlineStr">
        <is>
          <t>entrackr | inc42 | et</t>
        </is>
      </c>
      <c r="O1691" s="20" t="n">
        <v>3</v>
      </c>
      <c r="P1691" s="21" t="n">
        <v>0</v>
      </c>
      <c r="Q1691" t="inlineStr"/>
      <c r="R1691" s="22" t="inlineStr">
        <is>
          <t>https://entrackr.com/snippets/bigendian-semiconductors-raises-6-mn-in-pre-series-a-round-led-by-ian-alpha-fund-11804240</t>
        </is>
      </c>
    </row>
    <row r="1692">
      <c r="A1692" t="inlineStr">
        <is>
          <t>R260506-ecofy</t>
        </is>
      </c>
      <c r="B1692" t="inlineStr">
        <is>
          <t>Ecofy</t>
        </is>
      </c>
      <c r="C1692" s="17" t="n">
        <v>46148</v>
      </c>
      <c r="D1692" s="18" t="n">
        <v>46143</v>
      </c>
      <c r="E1692" s="19" t="n">
        <v>15</v>
      </c>
      <c r="F1692" s="19" t="n">
        <v>141.93</v>
      </c>
      <c r="G1692" t="inlineStr">
        <is>
          <t>$15 million</t>
        </is>
      </c>
      <c r="H1692" t="inlineStr">
        <is>
          <t>Debt</t>
        </is>
      </c>
      <c r="I1692" t="inlineStr">
        <is>
          <t>Debt</t>
        </is>
      </c>
      <c r="J1692" t="inlineStr">
        <is>
          <t>Fintech</t>
        </is>
      </c>
      <c r="K1692" t="inlineStr">
        <is>
          <t>Mumbai</t>
        </is>
      </c>
      <c r="L1692" t="inlineStr">
        <is>
          <t>Mirova</t>
        </is>
      </c>
      <c r="M1692" t="inlineStr">
        <is>
          <t>Mirova</t>
        </is>
      </c>
      <c r="N1692" t="inlineStr">
        <is>
          <t>entrackr | inc42 | vccircle</t>
        </is>
      </c>
      <c r="O1692" s="20" t="n">
        <v>3</v>
      </c>
      <c r="P1692" s="21" t="n">
        <v>0</v>
      </c>
      <c r="Q1692" t="inlineStr"/>
      <c r="R1692" s="22" t="inlineStr">
        <is>
          <t>https://entrackr.com/snippets/ecofy-secures-15-mn-debt-from-mirova-11806321</t>
        </is>
      </c>
    </row>
    <row r="1693">
      <c r="A1693" t="inlineStr">
        <is>
          <t>R260506-figtreepharmac</t>
        </is>
      </c>
      <c r="B1693" t="inlineStr">
        <is>
          <t>Figtree Pharmacy</t>
        </is>
      </c>
      <c r="C1693" s="17" t="n">
        <v>46148</v>
      </c>
      <c r="D1693" s="18" t="n">
        <v>46143</v>
      </c>
      <c r="E1693" s="19" t="n"/>
      <c r="F1693" s="19" t="n"/>
      <c r="G1693" t="inlineStr"/>
      <c r="H1693" t="inlineStr">
        <is>
          <t>Seed</t>
        </is>
      </c>
      <c r="I1693" t="inlineStr">
        <is>
          <t>Early</t>
        </is>
      </c>
      <c r="J1693" t="inlineStr">
        <is>
          <t>Healthtech</t>
        </is>
      </c>
      <c r="K1693" t="inlineStr">
        <is>
          <t>Mumbai</t>
        </is>
      </c>
      <c r="L1693" t="inlineStr">
        <is>
          <t>AJVC Fund</t>
        </is>
      </c>
      <c r="M1693" t="inlineStr">
        <is>
          <t>AJVC Fund</t>
        </is>
      </c>
      <c r="N1693" t="inlineStr">
        <is>
          <t>entrackr | inc42</t>
        </is>
      </c>
      <c r="O1693" s="20" t="n">
        <v>2</v>
      </c>
      <c r="P1693" s="21" t="n"/>
      <c r="Q1693" t="inlineStr">
        <is>
          <t>C03</t>
        </is>
      </c>
      <c r="R1693" s="22" t="inlineStr">
        <is>
          <t>https://inc42.com/buzz/from-skyroot-to-pronto-indian-startups-raised-132-mn-this-week/</t>
        </is>
      </c>
    </row>
    <row r="1694">
      <c r="A1694" t="inlineStr">
        <is>
          <t>R260506-generalautonom</t>
        </is>
      </c>
      <c r="B1694" t="inlineStr">
        <is>
          <t>General Autonomy</t>
        </is>
      </c>
      <c r="C1694" s="17" t="n">
        <v>46148</v>
      </c>
      <c r="D1694" s="18" t="n">
        <v>46143</v>
      </c>
      <c r="E1694" s="19" t="n">
        <v>3.6</v>
      </c>
      <c r="F1694" s="19" t="n">
        <v>34.06</v>
      </c>
      <c r="G1694" t="inlineStr">
        <is>
          <t>$3.6 Mn</t>
        </is>
      </c>
      <c r="H1694" t="inlineStr">
        <is>
          <t>Seed</t>
        </is>
      </c>
      <c r="I1694" t="inlineStr">
        <is>
          <t>Early</t>
        </is>
      </c>
      <c r="J1694" t="inlineStr">
        <is>
          <t>Advanced Hardware &amp; Technology</t>
        </is>
      </c>
      <c r="K1694" t="inlineStr">
        <is>
          <t>Unknown</t>
        </is>
      </c>
      <c r="L1694" t="inlineStr">
        <is>
          <t>Elevation Capital; India Quotient</t>
        </is>
      </c>
      <c r="M1694" t="inlineStr">
        <is>
          <t>Elevation Capital; India Quotient; Blue Asva Varenya Fund; FBC Venture Partners; Spearhead Capital; Ishendra Agarwal</t>
        </is>
      </c>
      <c r="N1694" t="inlineStr">
        <is>
          <t>inc42</t>
        </is>
      </c>
      <c r="O1694" s="20" t="n">
        <v>1</v>
      </c>
      <c r="P1694" s="21" t="n">
        <v>0</v>
      </c>
      <c r="Q1694" t="inlineStr">
        <is>
          <t>C07</t>
        </is>
      </c>
      <c r="R1694" s="22" t="inlineStr">
        <is>
          <t>https://inc42.com/buzz/from-skyroot-to-pronto-indian-startups-raised-132-mn-this-week/</t>
        </is>
      </c>
    </row>
    <row r="1695">
      <c r="A1695" t="inlineStr">
        <is>
          <t>R260506-jobsupi</t>
        </is>
      </c>
      <c r="B1695" t="inlineStr">
        <is>
          <t>JobsUPI</t>
        </is>
      </c>
      <c r="C1695" s="17" t="n">
        <v>46148</v>
      </c>
      <c r="D1695" s="18" t="n">
        <v>46143</v>
      </c>
      <c r="E1695" s="19" t="n">
        <v>0.25</v>
      </c>
      <c r="F1695" s="19" t="n">
        <v>2.37</v>
      </c>
      <c r="G1695" t="inlineStr">
        <is>
          <t>$250K</t>
        </is>
      </c>
      <c r="H1695" t="inlineStr">
        <is>
          <t>Pre-Seed</t>
        </is>
      </c>
      <c r="I1695" t="inlineStr">
        <is>
          <t>Early</t>
        </is>
      </c>
      <c r="J1695" t="inlineStr">
        <is>
          <t>Enterprise Tech</t>
        </is>
      </c>
      <c r="K1695" t="inlineStr">
        <is>
          <t>Unknown</t>
        </is>
      </c>
      <c r="L1695" t="inlineStr">
        <is>
          <t>IIMA Ventures; Alok Bansal; Anshoo Sharma; Amit Jain; Manoj Sinsinwar</t>
        </is>
      </c>
      <c r="M1695" t="inlineStr">
        <is>
          <t>IIMA Ventures; Alok Bansal; Anshoo Sharma; Amit Jain; Manoj Sinsinwar</t>
        </is>
      </c>
      <c r="N1695" t="inlineStr">
        <is>
          <t>entrackr | inc42</t>
        </is>
      </c>
      <c r="O1695" s="20" t="n">
        <v>2</v>
      </c>
      <c r="P1695" s="21" t="n">
        <v>0</v>
      </c>
      <c r="Q1695" t="inlineStr">
        <is>
          <t>C07</t>
        </is>
      </c>
      <c r="R1695" s="22" t="inlineStr">
        <is>
          <t>https://entrackr.com/snippets/jobsupi-raises-pre-seed-round-from-iima-ventures-and-others-11806024</t>
        </is>
      </c>
    </row>
    <row r="1696">
      <c r="A1696" t="inlineStr">
        <is>
          <t>R260506-medvital</t>
        </is>
      </c>
      <c r="B1696" t="inlineStr">
        <is>
          <t>MedVital</t>
        </is>
      </c>
      <c r="C1696" s="17" t="n">
        <v>46148</v>
      </c>
      <c r="D1696" s="18" t="n">
        <v>46143</v>
      </c>
      <c r="E1696" s="19" t="n">
        <v>1.902</v>
      </c>
      <c r="F1696" s="19" t="n">
        <v>18</v>
      </c>
      <c r="G1696" t="inlineStr">
        <is>
          <t>Rs 18 crore</t>
        </is>
      </c>
      <c r="H1696" t="inlineStr">
        <is>
          <t>Undisclosed</t>
        </is>
      </c>
      <c r="I1696" t="inlineStr">
        <is>
          <t>Undisclosed</t>
        </is>
      </c>
      <c r="J1696" t="inlineStr">
        <is>
          <t>Healthtech</t>
        </is>
      </c>
      <c r="K1696" t="inlineStr">
        <is>
          <t>Unknown</t>
        </is>
      </c>
      <c r="L1696" t="inlineStr">
        <is>
          <t>Alkemi Growth Capital</t>
        </is>
      </c>
      <c r="M1696" t="inlineStr">
        <is>
          <t>Alkemi Growth Capital; Dr. Sanjay Arora; Shubhan Ventures; 4point0 Health Ventures</t>
        </is>
      </c>
      <c r="N1696" t="inlineStr">
        <is>
          <t>entrackr | inc42</t>
        </is>
      </c>
      <c r="O1696" s="20" t="n">
        <v>2</v>
      </c>
      <c r="P1696" s="21" t="n">
        <v>0.1</v>
      </c>
      <c r="Q1696" t="inlineStr">
        <is>
          <t>C04 C07</t>
        </is>
      </c>
      <c r="R1696" s="22" t="inlineStr">
        <is>
          <t>https://entrackr.com/snippets/medvital-raises-rs-18-cr-led-by-alkemi-growth-capital-11804997</t>
        </is>
      </c>
    </row>
    <row r="1697">
      <c r="A1697" t="inlineStr">
        <is>
          <t>R260506-mochatrade</t>
        </is>
      </c>
      <c r="B1697" t="inlineStr">
        <is>
          <t>MochaTrade</t>
        </is>
      </c>
      <c r="C1697" s="17" t="n">
        <v>46148</v>
      </c>
      <c r="D1697" s="18" t="n">
        <v>46143</v>
      </c>
      <c r="E1697" s="19" t="n"/>
      <c r="F1697" s="19" t="n"/>
      <c r="G1697" t="inlineStr"/>
      <c r="H1697" t="inlineStr">
        <is>
          <t>Pre-Seed</t>
        </is>
      </c>
      <c r="I1697" t="inlineStr">
        <is>
          <t>Early</t>
        </is>
      </c>
      <c r="J1697" t="inlineStr">
        <is>
          <t>Fintech</t>
        </is>
      </c>
      <c r="K1697" t="inlineStr">
        <is>
          <t>Unknown</t>
        </is>
      </c>
      <c r="L1697" t="inlineStr"/>
      <c r="M1697" t="inlineStr">
        <is>
          <t>Y Combinator; Pioneer Fund; Spring 2026 batch</t>
        </is>
      </c>
      <c r="N1697" t="inlineStr">
        <is>
          <t>entrackr | inc42</t>
        </is>
      </c>
      <c r="O1697" s="20" t="n">
        <v>2</v>
      </c>
      <c r="P1697" s="21" t="n"/>
      <c r="Q1697" t="inlineStr">
        <is>
          <t>C03 C07</t>
        </is>
      </c>
      <c r="R1697" s="22" t="inlineStr">
        <is>
          <t>https://entrackr.com/snippets/mochatrade-raises-pre-seed-funding-from-y-combinator-pioneer-fund-11804894</t>
        </is>
      </c>
    </row>
    <row r="1698">
      <c r="A1698" t="inlineStr">
        <is>
          <t>R260507-alphadroid</t>
        </is>
      </c>
      <c r="B1698" t="inlineStr">
        <is>
          <t>Alphadroid</t>
        </is>
      </c>
      <c r="C1698" s="17" t="n">
        <v>46149</v>
      </c>
      <c r="D1698" s="18" t="n">
        <v>46143</v>
      </c>
      <c r="E1698" s="19" t="n">
        <v>3.8</v>
      </c>
      <c r="F1698" s="19" t="n">
        <v>35.82</v>
      </c>
      <c r="G1698" t="inlineStr">
        <is>
          <t>$3.8 Mn</t>
        </is>
      </c>
      <c r="H1698" t="inlineStr">
        <is>
          <t>Pre-Series A</t>
        </is>
      </c>
      <c r="I1698" t="inlineStr">
        <is>
          <t>Early</t>
        </is>
      </c>
      <c r="J1698" t="inlineStr">
        <is>
          <t>Advanced Hardware &amp; Technology</t>
        </is>
      </c>
      <c r="K1698" t="inlineStr">
        <is>
          <t>Unknown</t>
        </is>
      </c>
      <c r="L1698" t="inlineStr">
        <is>
          <t>Alkemi Growth Capital</t>
        </is>
      </c>
      <c r="M1698" t="inlineStr">
        <is>
          <t>Alkemi Growth Capital; Shree Vasu Logistics Limited</t>
        </is>
      </c>
      <c r="N1698" t="inlineStr">
        <is>
          <t>inc42</t>
        </is>
      </c>
      <c r="O1698" s="20" t="n">
        <v>1</v>
      </c>
      <c r="P1698" s="21" t="n">
        <v>0</v>
      </c>
      <c r="Q1698" t="inlineStr">
        <is>
          <t>C07</t>
        </is>
      </c>
      <c r="R1698" s="22" t="inlineStr">
        <is>
          <t>https://inc42.com/buzz/from-skyroot-to-pronto-indian-startups-raised-132-mn-this-week/</t>
        </is>
      </c>
    </row>
    <row r="1699">
      <c r="A1699" t="inlineStr">
        <is>
          <t>R260507-blunav</t>
        </is>
      </c>
      <c r="B1699" t="inlineStr">
        <is>
          <t>Blunav</t>
        </is>
      </c>
      <c r="C1699" s="17" t="n">
        <v>46149</v>
      </c>
      <c r="D1699" s="18" t="n">
        <v>46143</v>
      </c>
      <c r="E1699" s="19" t="n">
        <v>1</v>
      </c>
      <c r="F1699" s="19" t="n">
        <v>9.43</v>
      </c>
      <c r="G1699" t="inlineStr">
        <is>
          <t>$1 million</t>
        </is>
      </c>
      <c r="H1699" t="inlineStr">
        <is>
          <t>Seed</t>
        </is>
      </c>
      <c r="I1699" t="inlineStr">
        <is>
          <t>Early</t>
        </is>
      </c>
      <c r="J1699" t="inlineStr">
        <is>
          <t>Travel Tech</t>
        </is>
      </c>
      <c r="K1699" t="inlineStr">
        <is>
          <t>Chennai</t>
        </is>
      </c>
      <c r="L1699" t="inlineStr">
        <is>
          <t>Piper Serica</t>
        </is>
      </c>
      <c r="M1699" t="inlineStr">
        <is>
          <t>Piper Serica</t>
        </is>
      </c>
      <c r="N1699" t="inlineStr">
        <is>
          <t>entrackr | inc42</t>
        </is>
      </c>
      <c r="O1699" s="20" t="n">
        <v>2</v>
      </c>
      <c r="P1699" s="21" t="n">
        <v>0</v>
      </c>
      <c r="Q1699" t="inlineStr"/>
      <c r="R1699" s="22" t="inlineStr">
        <is>
          <t>https://entrackr.com/snippets/piper-serica-leads-1-mn-seed-round-in-airport-operations-tech-company-blunav-11808501</t>
        </is>
      </c>
    </row>
    <row r="1700">
      <c r="A1700" t="inlineStr">
        <is>
          <t>R260507-pronto</t>
        </is>
      </c>
      <c r="B1700" t="inlineStr">
        <is>
          <t>Pronto</t>
        </is>
      </c>
      <c r="C1700" s="17" t="n">
        <v>46149</v>
      </c>
      <c r="D1700" s="18" t="n">
        <v>46143</v>
      </c>
      <c r="E1700" s="19" t="n">
        <v>45</v>
      </c>
      <c r="F1700" s="19" t="n">
        <v>424.17</v>
      </c>
      <c r="G1700" t="inlineStr">
        <is>
          <t>$45 million</t>
        </is>
      </c>
      <c r="H1700" t="inlineStr">
        <is>
          <t>Series B</t>
        </is>
      </c>
      <c r="I1700" t="inlineStr">
        <is>
          <t>Growth</t>
        </is>
      </c>
      <c r="J1700" t="inlineStr">
        <is>
          <t>Consumer Services</t>
        </is>
      </c>
      <c r="K1700" t="inlineStr">
        <is>
          <t>Unknown</t>
        </is>
      </c>
      <c r="L1700" t="inlineStr">
        <is>
          <t>Lachy Groom</t>
        </is>
      </c>
      <c r="M1700" t="inlineStr">
        <is>
          <t>Lachy Groom; Anjali Sardana told ET.In April; Pronto’s monthly orders surged 40% sequentially; March</t>
        </is>
      </c>
      <c r="N1700" t="inlineStr">
        <is>
          <t>entrackr | inc42 | et</t>
        </is>
      </c>
      <c r="O1700" s="20" t="n">
        <v>3</v>
      </c>
      <c r="P1700" s="21" t="n">
        <v>125</v>
      </c>
      <c r="Q1700" t="inlineStr">
        <is>
          <t>C07 C15</t>
        </is>
      </c>
      <c r="R1700" s="22" t="inlineStr">
        <is>
          <t>https://entrackr.com/news/pronto-raises-additional-20-mn-in-series-b-round-at-200-mn-valuation-11807841</t>
        </is>
      </c>
    </row>
    <row r="1701">
      <c r="A1701" t="inlineStr">
        <is>
          <t>R260507-skyrootaerospa</t>
        </is>
      </c>
      <c r="B1701" t="inlineStr">
        <is>
          <t>Skyroot</t>
        </is>
      </c>
      <c r="C1701" s="17" t="n">
        <v>46149</v>
      </c>
      <c r="D1701" s="18" t="n">
        <v>46143</v>
      </c>
      <c r="E1701" s="19" t="n">
        <v>60</v>
      </c>
      <c r="F1701" s="19" t="n">
        <v>565.5599999999999</v>
      </c>
      <c r="G1701" t="inlineStr">
        <is>
          <t>$60 million</t>
        </is>
      </c>
      <c r="H1701" t="inlineStr">
        <is>
          <t>Undisclosed</t>
        </is>
      </c>
      <c r="I1701" t="inlineStr">
        <is>
          <t>Undisclosed</t>
        </is>
      </c>
      <c r="J1701" t="inlineStr">
        <is>
          <t>Advanced Hardware &amp; Technology</t>
        </is>
      </c>
      <c r="K1701" t="inlineStr">
        <is>
          <t>Hyderabad</t>
        </is>
      </c>
      <c r="L1701" t="inlineStr">
        <is>
          <t>Sherpalo Ventures; GIC</t>
        </is>
      </c>
      <c r="M1701" t="inlineStr">
        <is>
          <t>Sherpalo Ventures; GIC; BlackRock; Arkam Ventures; Playbook Partners; Shanghvi Family Office</t>
        </is>
      </c>
      <c r="N1701" t="inlineStr">
        <is>
          <t>entrackr | inc42</t>
        </is>
      </c>
      <c r="O1701" s="20" t="n">
        <v>2</v>
      </c>
      <c r="P1701" s="21" t="n">
        <v>0</v>
      </c>
      <c r="Q1701" t="inlineStr">
        <is>
          <t>C04 C09</t>
        </is>
      </c>
      <c r="R1701" s="22" t="inlineStr">
        <is>
          <t>https://entrackr.com/news/skyroot-becomes-indias-first-spacetech-unicorn-after-60-mn-funding-round-11808488</t>
        </is>
      </c>
    </row>
    <row r="1702">
      <c r="A1702" t="inlineStr">
        <is>
          <t>R260511-bobakat</t>
        </is>
      </c>
      <c r="B1702" t="inlineStr">
        <is>
          <t>Bobakat</t>
        </is>
      </c>
      <c r="C1702" s="17" t="n">
        <v>46153</v>
      </c>
      <c r="D1702" s="18" t="n">
        <v>46143</v>
      </c>
      <c r="E1702" s="19" t="n">
        <v>0.638</v>
      </c>
      <c r="F1702" s="19" t="n">
        <v>6.08</v>
      </c>
      <c r="G1702" t="inlineStr">
        <is>
          <t>$638K</t>
        </is>
      </c>
      <c r="H1702" t="inlineStr">
        <is>
          <t>Pre-Series A</t>
        </is>
      </c>
      <c r="I1702" t="inlineStr">
        <is>
          <t>Early</t>
        </is>
      </c>
      <c r="J1702" t="inlineStr">
        <is>
          <t>Foodtech</t>
        </is>
      </c>
      <c r="K1702" t="inlineStr">
        <is>
          <t>Unknown</t>
        </is>
      </c>
      <c r="L1702" t="inlineStr"/>
      <c r="M1702" t="inlineStr"/>
      <c r="N1702" t="inlineStr">
        <is>
          <t>inc42</t>
        </is>
      </c>
      <c r="O1702" s="20" t="n">
        <v>1</v>
      </c>
      <c r="P1702" s="21" t="n">
        <v>0</v>
      </c>
      <c r="Q1702" t="inlineStr">
        <is>
          <t>C05 C07</t>
        </is>
      </c>
      <c r="R1702" s="22" t="inlineStr">
        <is>
          <t>https://inc42.com/buzz/from-rapido-to-hrdwyr-indian-startups-raised-303-mn-this-week/</t>
        </is>
      </c>
    </row>
    <row r="1703">
      <c r="A1703" t="inlineStr">
        <is>
          <t>R260511-flomobility</t>
        </is>
      </c>
      <c r="B1703" t="inlineStr">
        <is>
          <t>Flo Mobility</t>
        </is>
      </c>
      <c r="C1703" s="17" t="n">
        <v>46153</v>
      </c>
      <c r="D1703" s="18" t="n">
        <v>46143</v>
      </c>
      <c r="E1703" s="19" t="n">
        <v>2.5</v>
      </c>
      <c r="F1703" s="19" t="n">
        <v>23.83</v>
      </c>
      <c r="G1703" t="inlineStr">
        <is>
          <t>$2.5 million</t>
        </is>
      </c>
      <c r="H1703" t="inlineStr">
        <is>
          <t>Pre-Series A</t>
        </is>
      </c>
      <c r="I1703" t="inlineStr">
        <is>
          <t>Early</t>
        </is>
      </c>
      <c r="J1703" t="inlineStr">
        <is>
          <t>Advanced Hardware &amp; Technology</t>
        </is>
      </c>
      <c r="K1703" t="inlineStr">
        <is>
          <t>Bengaluru</t>
        </is>
      </c>
      <c r="L1703" t="inlineStr">
        <is>
          <t>Mela Ventures; Arali Ventures</t>
        </is>
      </c>
      <c r="M1703" t="inlineStr">
        <is>
          <t>Mela Ventures; Arali Ventures</t>
        </is>
      </c>
      <c r="N1703" t="inlineStr">
        <is>
          <t>entrackr | inc42</t>
        </is>
      </c>
      <c r="O1703" s="20" t="n">
        <v>2</v>
      </c>
      <c r="P1703" s="21" t="n">
        <v>0</v>
      </c>
      <c r="Q1703" t="inlineStr"/>
      <c r="R1703" s="22" t="inlineStr">
        <is>
          <t>https://entrackr.com/snippets/construction-robotics-startup-flo-mobility-raises-25-mn-in-pre-series-a-round-11822989</t>
        </is>
      </c>
    </row>
    <row r="1704">
      <c r="A1704" t="inlineStr">
        <is>
          <t>R260511-kathybeverages</t>
        </is>
      </c>
      <c r="B1704" t="inlineStr">
        <is>
          <t>Kathy’s Beverages</t>
        </is>
      </c>
      <c r="C1704" s="17" t="n">
        <v>46153</v>
      </c>
      <c r="D1704" s="18" t="n">
        <v>46143</v>
      </c>
      <c r="E1704" s="19" t="n">
        <v>0.629</v>
      </c>
      <c r="F1704" s="19" t="n">
        <v>6</v>
      </c>
      <c r="G1704" t="inlineStr">
        <is>
          <t>Rs 6 crore</t>
        </is>
      </c>
      <c r="H1704" t="inlineStr">
        <is>
          <t>Pre-Series A</t>
        </is>
      </c>
      <c r="I1704" t="inlineStr">
        <is>
          <t>Early</t>
        </is>
      </c>
      <c r="J1704" t="inlineStr">
        <is>
          <t>Ecommerce</t>
        </is>
      </c>
      <c r="K1704" t="inlineStr">
        <is>
          <t>Mumbai</t>
        </is>
      </c>
      <c r="L1704" t="inlineStr"/>
      <c r="M1704" t="inlineStr"/>
      <c r="N1704" t="inlineStr">
        <is>
          <t>entrackr</t>
        </is>
      </c>
      <c r="O1704" s="20" t="n">
        <v>1</v>
      </c>
      <c r="P1704" s="21" t="n">
        <v>0</v>
      </c>
      <c r="Q1704" t="inlineStr">
        <is>
          <t>C05</t>
        </is>
      </c>
      <c r="R1704" s="22" t="inlineStr">
        <is>
          <t>https://entrackr.com/snippets/kathys-beverages-raises-rs-6-cr-in-pre-series-a-round-11821898</t>
        </is>
      </c>
    </row>
    <row r="1705">
      <c r="A1705" t="inlineStr">
        <is>
          <t>R260511-nori</t>
        </is>
      </c>
      <c r="B1705" t="inlineStr">
        <is>
          <t>NORI</t>
        </is>
      </c>
      <c r="C1705" s="17" t="n">
        <v>46153</v>
      </c>
      <c r="D1705" s="18" t="n">
        <v>46143</v>
      </c>
      <c r="E1705" s="19" t="n">
        <v>0.35</v>
      </c>
      <c r="F1705" s="19" t="n">
        <v>3.34</v>
      </c>
      <c r="G1705" t="inlineStr">
        <is>
          <t>$350K</t>
        </is>
      </c>
      <c r="H1705" t="inlineStr">
        <is>
          <t>Pre-Seed</t>
        </is>
      </c>
      <c r="I1705" t="inlineStr">
        <is>
          <t>Early</t>
        </is>
      </c>
      <c r="J1705" t="inlineStr">
        <is>
          <t>Ecommerce</t>
        </is>
      </c>
      <c r="K1705" t="inlineStr">
        <is>
          <t>Bengaluru</t>
        </is>
      </c>
      <c r="L1705" t="inlineStr">
        <is>
          <t>Rebalance</t>
        </is>
      </c>
      <c r="M1705" t="inlineStr">
        <is>
          <t>Rebalance; Vijay Shekhar Sharma; VSS Investco</t>
        </is>
      </c>
      <c r="N1705" t="inlineStr">
        <is>
          <t>entrackr | inc42</t>
        </is>
      </c>
      <c r="O1705" s="20" t="n">
        <v>2</v>
      </c>
      <c r="P1705" s="21" t="n">
        <v>0</v>
      </c>
      <c r="Q1705" t="inlineStr"/>
      <c r="R1705" s="22" t="inlineStr">
        <is>
          <t>https://entrackr.com/snippets/rebalance-leads-pre-seed-round-in-travel-gear-brand-nori-11823364</t>
        </is>
      </c>
    </row>
    <row r="1706">
      <c r="A1706" t="inlineStr">
        <is>
          <t>R260511-sindhujamicroc</t>
        </is>
      </c>
      <c r="B1706" t="inlineStr">
        <is>
          <t>Sindhuja Microcredit</t>
        </is>
      </c>
      <c r="C1706" s="17" t="n">
        <v>46153</v>
      </c>
      <c r="D1706" s="18" t="n">
        <v>46143</v>
      </c>
      <c r="E1706" s="19" t="n">
        <v>5</v>
      </c>
      <c r="F1706" s="19" t="n">
        <v>47.66</v>
      </c>
      <c r="G1706" t="inlineStr">
        <is>
          <t>$5 million</t>
        </is>
      </c>
      <c r="H1706" t="inlineStr">
        <is>
          <t>Series D</t>
        </is>
      </c>
      <c r="I1706" t="inlineStr">
        <is>
          <t>Late</t>
        </is>
      </c>
      <c r="J1706" t="inlineStr">
        <is>
          <t>Fintech</t>
        </is>
      </c>
      <c r="K1706" t="inlineStr">
        <is>
          <t>Delhi NCR</t>
        </is>
      </c>
      <c r="L1706" t="inlineStr"/>
      <c r="M1706" t="inlineStr"/>
      <c r="N1706" t="inlineStr">
        <is>
          <t>entrackr | vccircle</t>
        </is>
      </c>
      <c r="O1706" s="20" t="n">
        <v>2</v>
      </c>
      <c r="P1706" s="21" t="n">
        <v>0</v>
      </c>
      <c r="Q1706" t="inlineStr">
        <is>
          <t>C05</t>
        </is>
      </c>
      <c r="R1706" s="22" t="inlineStr">
        <is>
          <t>https://entrackr.com/snippets/sindhuja-microcredit-raises-5-mn-in-pre-series-d-round-11822503</t>
        </is>
      </c>
    </row>
    <row r="1707">
      <c r="A1707" t="inlineStr">
        <is>
          <t>R260511-wingreensacqui</t>
        </is>
      </c>
      <c r="B1707" t="inlineStr">
        <is>
          <t>Wingreens acquires Safe Harvest;</t>
        </is>
      </c>
      <c r="C1707" s="17" t="n">
        <v>46153</v>
      </c>
      <c r="D1707" s="18" t="n">
        <v>46143</v>
      </c>
      <c r="E1707" s="19" t="n">
        <v>12.589</v>
      </c>
      <c r="F1707" s="19" t="n">
        <v>120</v>
      </c>
      <c r="G1707" t="inlineStr">
        <is>
          <t>Rs 120 crore</t>
        </is>
      </c>
      <c r="H1707" t="inlineStr">
        <is>
          <t>Series D</t>
        </is>
      </c>
      <c r="I1707" t="inlineStr">
        <is>
          <t>Late</t>
        </is>
      </c>
      <c r="J1707" t="inlineStr">
        <is>
          <t>Unclassified</t>
        </is>
      </c>
      <c r="K1707" t="inlineStr">
        <is>
          <t>Unknown</t>
        </is>
      </c>
      <c r="L1707" t="inlineStr">
        <is>
          <t>Ashish Kacholia</t>
        </is>
      </c>
      <c r="M1707" t="inlineStr">
        <is>
          <t>Ashish Kacholia; Alchemy Fund</t>
        </is>
      </c>
      <c r="N1707" t="inlineStr">
        <is>
          <t>entrackr</t>
        </is>
      </c>
      <c r="O1707" s="20" t="n">
        <v>1</v>
      </c>
      <c r="P1707" s="21" t="n">
        <v>0</v>
      </c>
      <c r="Q1707" t="inlineStr">
        <is>
          <t>C06 C07</t>
        </is>
      </c>
      <c r="R1707" s="22" t="inlineStr">
        <is>
          <t>https://entrackr.com/news/wingreens-acquires-safe-harvest-raises-rs-120-cr-in-series-d-round-11821412</t>
        </is>
      </c>
    </row>
    <row r="1708">
      <c r="A1708" t="inlineStr">
        <is>
          <t>R260511-wingreensfarms</t>
        </is>
      </c>
      <c r="B1708" t="inlineStr">
        <is>
          <t>Wingreens Farms</t>
        </is>
      </c>
      <c r="C1708" s="17" t="n">
        <v>46153</v>
      </c>
      <c r="D1708" s="18" t="n">
        <v>46143</v>
      </c>
      <c r="E1708" s="19" t="n">
        <v>12.6</v>
      </c>
      <c r="F1708" s="19" t="n">
        <v>120.1</v>
      </c>
      <c r="G1708" t="inlineStr">
        <is>
          <t>$12.6 Mn</t>
        </is>
      </c>
      <c r="H1708" t="inlineStr">
        <is>
          <t>Series D</t>
        </is>
      </c>
      <c r="I1708" t="inlineStr">
        <is>
          <t>Late</t>
        </is>
      </c>
      <c r="J1708" t="inlineStr">
        <is>
          <t>Ecommerce</t>
        </is>
      </c>
      <c r="K1708" t="inlineStr">
        <is>
          <t>Unknown</t>
        </is>
      </c>
      <c r="L1708" t="inlineStr">
        <is>
          <t>Ashish Kacholia</t>
        </is>
      </c>
      <c r="M1708" t="inlineStr">
        <is>
          <t>Ashish Kacholia; Alchemy Fund</t>
        </is>
      </c>
      <c r="N1708" t="inlineStr">
        <is>
          <t>inc42</t>
        </is>
      </c>
      <c r="O1708" s="20" t="n">
        <v>1</v>
      </c>
      <c r="P1708" s="21" t="n">
        <v>0</v>
      </c>
      <c r="Q1708" t="inlineStr">
        <is>
          <t>C07</t>
        </is>
      </c>
      <c r="R1708" s="22" t="inlineStr">
        <is>
          <t>https://inc42.com/buzz/from-rapido-to-hrdwyr-indian-startups-raised-303-mn-this-week/</t>
        </is>
      </c>
    </row>
    <row r="1709">
      <c r="A1709" t="inlineStr">
        <is>
          <t>R260512-dilfoods</t>
        </is>
      </c>
      <c r="B1709" t="inlineStr">
        <is>
          <t>Dil Foods</t>
        </is>
      </c>
      <c r="C1709" s="17" t="n">
        <v>46154</v>
      </c>
      <c r="D1709" s="18" t="n">
        <v>46143</v>
      </c>
      <c r="E1709" s="19" t="n">
        <v>7.7</v>
      </c>
      <c r="F1709" s="19" t="n">
        <v>73.64</v>
      </c>
      <c r="G1709" t="inlineStr">
        <is>
          <t>$7.7 Mn</t>
        </is>
      </c>
      <c r="H1709" t="inlineStr">
        <is>
          <t>Series B</t>
        </is>
      </c>
      <c r="I1709" t="inlineStr">
        <is>
          <t>Growth</t>
        </is>
      </c>
      <c r="J1709" t="inlineStr">
        <is>
          <t>Foodtech</t>
        </is>
      </c>
      <c r="K1709" t="inlineStr">
        <is>
          <t>Bengaluru</t>
        </is>
      </c>
      <c r="L1709" t="inlineStr">
        <is>
          <t>Bikaji Foods Family Office</t>
        </is>
      </c>
      <c r="M1709" t="inlineStr">
        <is>
          <t>Bikaji Foods Family Office; V3 Ventures; MJV Ventures; Alteria Capital</t>
        </is>
      </c>
      <c r="N1709" t="inlineStr">
        <is>
          <t>inc42 | et</t>
        </is>
      </c>
      <c r="O1709" s="20" t="n">
        <v>2</v>
      </c>
      <c r="P1709" s="21" t="n">
        <v>2.7</v>
      </c>
      <c r="Q1709" t="inlineStr"/>
      <c r="R1709" s="22" t="inlineStr">
        <is>
          <t>https://economictimes.indiatimes.com/tech/funding/restaurant-enablement-startup-dil-foods-raises-7-5-million-in-funding/articleshow/131043529.cms</t>
        </is>
      </c>
    </row>
    <row r="1710">
      <c r="A1710" t="inlineStr">
        <is>
          <t>R260512-hrdwyr</t>
        </is>
      </c>
      <c r="B1710" t="inlineStr">
        <is>
          <t>HrdWyr</t>
        </is>
      </c>
      <c r="C1710" s="17" t="n">
        <v>46154</v>
      </c>
      <c r="D1710" s="18" t="n">
        <v>46143</v>
      </c>
      <c r="E1710" s="19" t="n">
        <v>13</v>
      </c>
      <c r="F1710" s="19" t="n">
        <v>124.33</v>
      </c>
      <c r="G1710" t="inlineStr">
        <is>
          <t>$13 million</t>
        </is>
      </c>
      <c r="H1710" t="inlineStr">
        <is>
          <t>Series A</t>
        </is>
      </c>
      <c r="I1710" t="inlineStr">
        <is>
          <t>Early</t>
        </is>
      </c>
      <c r="J1710" t="inlineStr">
        <is>
          <t>Advanced Hardware &amp; Technology</t>
        </is>
      </c>
      <c r="K1710" t="inlineStr">
        <is>
          <t>Unknown</t>
        </is>
      </c>
      <c r="L1710" t="inlineStr">
        <is>
          <t>Ideaspring Capital</t>
        </is>
      </c>
      <c r="M1710" t="inlineStr">
        <is>
          <t>Ideaspring Capital; Singularity AMC; Avatar Growth Capital; Persistent Systems</t>
        </is>
      </c>
      <c r="N1710" t="inlineStr">
        <is>
          <t>entrackr | inc42</t>
        </is>
      </c>
      <c r="O1710" s="20" t="n">
        <v>2</v>
      </c>
      <c r="P1710" s="21" t="n">
        <v>0</v>
      </c>
      <c r="Q1710" t="inlineStr">
        <is>
          <t>C07</t>
        </is>
      </c>
      <c r="R1710" s="22" t="inlineStr">
        <is>
          <t>https://entrackr.com/news/semiconductor-startup-hrdwyr-raises-13-mn-led-by-ideaspring-capital-11826658</t>
        </is>
      </c>
    </row>
    <row r="1711">
      <c r="A1711" t="inlineStr">
        <is>
          <t>R260512-incredcapital</t>
        </is>
      </c>
      <c r="B1711" t="inlineStr">
        <is>
          <t>InCred Capital</t>
        </is>
      </c>
      <c r="C1711" s="17" t="n">
        <v>46154</v>
      </c>
      <c r="D1711" s="18" t="n">
        <v>46143</v>
      </c>
      <c r="E1711" s="19" t="n"/>
      <c r="F1711" s="19" t="n"/>
      <c r="G1711" t="inlineStr"/>
      <c r="H1711" t="inlineStr">
        <is>
          <t>Undisclosed</t>
        </is>
      </c>
      <c r="I1711" t="inlineStr">
        <is>
          <t>Undisclosed</t>
        </is>
      </c>
      <c r="J1711" t="inlineStr">
        <is>
          <t>Unclassified</t>
        </is>
      </c>
      <c r="K1711" t="inlineStr">
        <is>
          <t>Unknown</t>
        </is>
      </c>
      <c r="L1711" t="inlineStr"/>
      <c r="M1711" t="inlineStr"/>
      <c r="N1711" t="inlineStr">
        <is>
          <t>entrackr</t>
        </is>
      </c>
      <c r="O1711" s="20" t="n">
        <v>1</v>
      </c>
      <c r="P1711" s="21" t="n"/>
      <c r="Q1711" t="inlineStr">
        <is>
          <t>C03 C04 C05 C06 C07</t>
        </is>
      </c>
      <c r="R1711" s="22" t="inlineStr">
        <is>
          <t>https://entrackr.com/snippets/incred-capital-acquires-fund-management-firm-s-cube-capital-11826780</t>
        </is>
      </c>
    </row>
    <row r="1712">
      <c r="A1712" t="inlineStr">
        <is>
          <t>R260512-mekr</t>
        </is>
      </c>
      <c r="B1712" t="inlineStr">
        <is>
          <t>Mekr</t>
        </is>
      </c>
      <c r="C1712" s="17" t="n">
        <v>46154</v>
      </c>
      <c r="D1712" s="18" t="n">
        <v>46143</v>
      </c>
      <c r="E1712" s="19" t="n">
        <v>7.005</v>
      </c>
      <c r="F1712" s="19" t="n">
        <v>67</v>
      </c>
      <c r="G1712" t="inlineStr">
        <is>
          <t>Rs 67 crore</t>
        </is>
      </c>
      <c r="H1712" t="inlineStr">
        <is>
          <t>Series A</t>
        </is>
      </c>
      <c r="I1712" t="inlineStr">
        <is>
          <t>Early</t>
        </is>
      </c>
      <c r="J1712" t="inlineStr">
        <is>
          <t>Enterprise Tech</t>
        </is>
      </c>
      <c r="K1712" t="inlineStr">
        <is>
          <t>Delhi NCR</t>
        </is>
      </c>
      <c r="L1712" t="inlineStr">
        <is>
          <t>Avaana Capital</t>
        </is>
      </c>
      <c r="M1712" t="inlineStr">
        <is>
          <t>Avaana Capital; Titan Capital</t>
        </is>
      </c>
      <c r="N1712" t="inlineStr">
        <is>
          <t>entrackr | inc42 | et</t>
        </is>
      </c>
      <c r="O1712" s="20" t="n">
        <v>3</v>
      </c>
      <c r="P1712" s="21" t="n">
        <v>0.1</v>
      </c>
      <c r="Q1712" t="inlineStr"/>
      <c r="R1712" s="22" t="inlineStr">
        <is>
          <t>https://entrackr.com/snippets/appliance-manufacturing-startup-mekr-raises-rs-67-cr-led-by-avaana-capital-11825425</t>
        </is>
      </c>
    </row>
    <row r="1713">
      <c r="A1713" t="inlineStr">
        <is>
          <t>R260512-scikiq</t>
        </is>
      </c>
      <c r="B1713" t="inlineStr">
        <is>
          <t>SCIKIQ</t>
        </is>
      </c>
      <c r="C1713" s="17" t="n">
        <v>46154</v>
      </c>
      <c r="D1713" s="18" t="n">
        <v>46143</v>
      </c>
      <c r="E1713" s="19" t="n">
        <v>1.5</v>
      </c>
      <c r="F1713" s="19" t="n">
        <v>14.35</v>
      </c>
      <c r="G1713" t="inlineStr">
        <is>
          <t>$1.5 million</t>
        </is>
      </c>
      <c r="H1713" t="inlineStr">
        <is>
          <t>Pre-Series A</t>
        </is>
      </c>
      <c r="I1713" t="inlineStr">
        <is>
          <t>Early</t>
        </is>
      </c>
      <c r="J1713" t="inlineStr">
        <is>
          <t>Enterprise Tech</t>
        </is>
      </c>
      <c r="K1713" t="inlineStr">
        <is>
          <t>Delhi NCR</t>
        </is>
      </c>
      <c r="L1713" t="inlineStr">
        <is>
          <t>Triton Investment Advisors</t>
        </is>
      </c>
      <c r="M1713" t="inlineStr">
        <is>
          <t>Triton Investment Advisors</t>
        </is>
      </c>
      <c r="N1713" t="inlineStr">
        <is>
          <t>entrackr | inc42</t>
        </is>
      </c>
      <c r="O1713" s="20" t="n">
        <v>2</v>
      </c>
      <c r="P1713" s="21" t="n">
        <v>0</v>
      </c>
      <c r="Q1713" t="inlineStr"/>
      <c r="R1713" s="22" t="inlineStr">
        <is>
          <t>https://entrackr.com/snippets/enterprise-intelligence-startup-scikiq-secures-15-mn-in-pre-series-a-11826466</t>
        </is>
      </c>
    </row>
    <row r="1714">
      <c r="A1714" t="inlineStr">
        <is>
          <t>R260513-instafix</t>
        </is>
      </c>
      <c r="B1714" t="inlineStr">
        <is>
          <t>Instafix</t>
        </is>
      </c>
      <c r="C1714" s="17" t="n">
        <v>46155</v>
      </c>
      <c r="D1714" s="18" t="n">
        <v>46143</v>
      </c>
      <c r="E1714" s="19" t="n">
        <v>0.789</v>
      </c>
      <c r="F1714" s="19" t="n">
        <v>7.55</v>
      </c>
      <c r="G1714" t="inlineStr">
        <is>
          <t>Rs 7.55 crore</t>
        </is>
      </c>
      <c r="H1714" t="inlineStr">
        <is>
          <t>Pre-Seed</t>
        </is>
      </c>
      <c r="I1714" t="inlineStr">
        <is>
          <t>Early</t>
        </is>
      </c>
      <c r="J1714" t="inlineStr">
        <is>
          <t>Consumer Services</t>
        </is>
      </c>
      <c r="K1714" t="inlineStr">
        <is>
          <t>Delhi NCR</t>
        </is>
      </c>
      <c r="L1714" t="inlineStr">
        <is>
          <t>Titan Capital; 8i Ventures; Bharat Kalia</t>
        </is>
      </c>
      <c r="M1714" t="inlineStr">
        <is>
          <t>Titan Capital; 8i Ventures; Anish Srivastava; Bharat Kalia</t>
        </is>
      </c>
      <c r="N1714" t="inlineStr">
        <is>
          <t>entrackr | inc42</t>
        </is>
      </c>
      <c r="O1714" s="20" t="n">
        <v>2</v>
      </c>
      <c r="P1714" s="21" t="n">
        <v>0.3</v>
      </c>
      <c r="Q1714" t="inlineStr"/>
      <c r="R1714" s="22" t="inlineStr">
        <is>
          <t>https://entrackr.com/snippets/doorstep-smartphone-repair-startup-instafix-raises-pre-seed-round-led-by-titan-capital-8i-ventures-11829440</t>
        </is>
      </c>
    </row>
    <row r="1715">
      <c r="A1715" t="inlineStr">
        <is>
          <t>R260513-nivasafinance</t>
        </is>
      </c>
      <c r="B1715" t="inlineStr">
        <is>
          <t>Nivasa Finance</t>
        </is>
      </c>
      <c r="C1715" s="17" t="n">
        <v>46155</v>
      </c>
      <c r="D1715" s="18" t="n">
        <v>46143</v>
      </c>
      <c r="E1715" s="19" t="n">
        <v>2.6</v>
      </c>
      <c r="F1715" s="19" t="n">
        <v>24.87</v>
      </c>
      <c r="G1715" t="inlineStr">
        <is>
          <t>$2.6 Mn</t>
        </is>
      </c>
      <c r="H1715" t="inlineStr">
        <is>
          <t>Seed</t>
        </is>
      </c>
      <c r="I1715" t="inlineStr">
        <is>
          <t>Early</t>
        </is>
      </c>
      <c r="J1715" t="inlineStr">
        <is>
          <t>Fintech</t>
        </is>
      </c>
      <c r="K1715" t="inlineStr">
        <is>
          <t>Unknown</t>
        </is>
      </c>
      <c r="L1715" t="inlineStr"/>
      <c r="M1715" t="inlineStr">
        <is>
          <t>Prime Venture Partners; Blume Ventures; Whiteboard Capital</t>
        </is>
      </c>
      <c r="N1715" t="inlineStr">
        <is>
          <t>inc42</t>
        </is>
      </c>
      <c r="O1715" s="20" t="n">
        <v>1</v>
      </c>
      <c r="P1715" s="21" t="n">
        <v>0</v>
      </c>
      <c r="Q1715" t="inlineStr">
        <is>
          <t>C07</t>
        </is>
      </c>
      <c r="R1715" s="22" t="inlineStr">
        <is>
          <t>https://inc42.com/buzz/from-rapido-to-hrdwyr-indian-startups-raised-303-mn-this-week/</t>
        </is>
      </c>
    </row>
    <row r="1716">
      <c r="A1716" t="inlineStr">
        <is>
          <t>R260513-ondc</t>
        </is>
      </c>
      <c r="B1716" t="inlineStr">
        <is>
          <t>ONDC</t>
        </is>
      </c>
      <c r="C1716" s="17" t="n">
        <v>46155</v>
      </c>
      <c r="D1716" s="18" t="n">
        <v>46143</v>
      </c>
      <c r="E1716" s="19" t="n">
        <v>7.317</v>
      </c>
      <c r="F1716" s="19" t="n">
        <v>70</v>
      </c>
      <c r="G1716" t="inlineStr">
        <is>
          <t>Rs 70 crore</t>
        </is>
      </c>
      <c r="H1716" t="inlineStr">
        <is>
          <t>Undisclosed</t>
        </is>
      </c>
      <c r="I1716" t="inlineStr">
        <is>
          <t>Undisclosed</t>
        </is>
      </c>
      <c r="J1716" t="inlineStr">
        <is>
          <t>Unclassified</t>
        </is>
      </c>
      <c r="K1716" t="inlineStr">
        <is>
          <t>Chennai</t>
        </is>
      </c>
      <c r="L1716" t="inlineStr"/>
      <c r="M1716" t="inlineStr"/>
      <c r="N1716" t="inlineStr">
        <is>
          <t>entrackr</t>
        </is>
      </c>
      <c r="O1716" s="20" t="n">
        <v>1</v>
      </c>
      <c r="P1716" s="21" t="n">
        <v>0</v>
      </c>
      <c r="Q1716" t="inlineStr">
        <is>
          <t>C04 C05 C06</t>
        </is>
      </c>
      <c r="R1716" s="22" t="inlineStr">
        <is>
          <t>https://entrackr.com/snippets/zoho-invests-rs-70-cr-in-ondc-to-support-msmes-11830900</t>
        </is>
      </c>
    </row>
    <row r="1717">
      <c r="A1717" t="inlineStr">
        <is>
          <t>R260513-theelefant</t>
        </is>
      </c>
      <c r="B1717" t="inlineStr">
        <is>
          <t>The EleFant</t>
        </is>
      </c>
      <c r="C1717" s="17" t="n">
        <v>46155</v>
      </c>
      <c r="D1717" s="18" t="n">
        <v>46143</v>
      </c>
      <c r="E1717" s="19" t="n">
        <v>1</v>
      </c>
      <c r="F1717" s="19" t="n">
        <v>9.57</v>
      </c>
      <c r="G1717" t="inlineStr">
        <is>
          <t>$1 million</t>
        </is>
      </c>
      <c r="H1717" t="inlineStr">
        <is>
          <t>Undisclosed</t>
        </is>
      </c>
      <c r="I1717" t="inlineStr">
        <is>
          <t>Undisclosed</t>
        </is>
      </c>
      <c r="J1717" t="inlineStr">
        <is>
          <t>Ecommerce</t>
        </is>
      </c>
      <c r="K1717" t="inlineStr">
        <is>
          <t>Unknown</t>
        </is>
      </c>
      <c r="L1717" t="inlineStr">
        <is>
          <t>Growth Sense</t>
        </is>
      </c>
      <c r="M1717" t="inlineStr">
        <is>
          <t>Growth Sense; JIIF; Arian Capital; Asit Oberoi; Vimal Saboo</t>
        </is>
      </c>
      <c r="N1717" t="inlineStr">
        <is>
          <t>entrackr | inc42</t>
        </is>
      </c>
      <c r="O1717" s="20" t="n">
        <v>2</v>
      </c>
      <c r="P1717" s="21" t="n">
        <v>0</v>
      </c>
      <c r="Q1717" t="inlineStr">
        <is>
          <t>C04 C07</t>
        </is>
      </c>
      <c r="R1717" s="22" t="inlineStr">
        <is>
          <t>https://entrackr.com/snippets/toy-subscription-startup-the-elefant-raises-1-mn-in-pre-series-funding-11829958</t>
        </is>
      </c>
    </row>
    <row r="1718">
      <c r="A1718" t="inlineStr">
        <is>
          <t>R260514-bombaybanta</t>
        </is>
      </c>
      <c r="B1718" t="inlineStr">
        <is>
          <t>Bombay Banta</t>
        </is>
      </c>
      <c r="C1718" s="17" t="n">
        <v>46156</v>
      </c>
      <c r="D1718" s="18" t="n">
        <v>46143</v>
      </c>
      <c r="E1718" s="19" t="n">
        <v>0.832</v>
      </c>
      <c r="F1718" s="19" t="n">
        <v>7.97</v>
      </c>
      <c r="G1718" t="inlineStr">
        <is>
          <t>$832K</t>
        </is>
      </c>
      <c r="H1718" t="inlineStr">
        <is>
          <t>Pre-Series A</t>
        </is>
      </c>
      <c r="I1718" t="inlineStr">
        <is>
          <t>Early</t>
        </is>
      </c>
      <c r="J1718" t="inlineStr">
        <is>
          <t>Ecommerce</t>
        </is>
      </c>
      <c r="K1718" t="inlineStr">
        <is>
          <t>Unknown</t>
        </is>
      </c>
      <c r="L1718" t="inlineStr">
        <is>
          <t>DSG Consumer Partners</t>
        </is>
      </c>
      <c r="M1718" t="inlineStr">
        <is>
          <t>DSG Consumer Partners</t>
        </is>
      </c>
      <c r="N1718" t="inlineStr">
        <is>
          <t>inc42</t>
        </is>
      </c>
      <c r="O1718" s="20" t="n">
        <v>1</v>
      </c>
      <c r="P1718" s="21" t="n">
        <v>0</v>
      </c>
      <c r="Q1718" t="inlineStr">
        <is>
          <t>C07</t>
        </is>
      </c>
      <c r="R1718" s="22" t="inlineStr">
        <is>
          <t>https://inc42.com/buzz/from-scapia-to-mythik-indian-startups-raised-92-mn-this-week/</t>
        </is>
      </c>
    </row>
    <row r="1719">
      <c r="A1719" t="inlineStr">
        <is>
          <t>R260514-dhruvaspace</t>
        </is>
      </c>
      <c r="B1719" t="inlineStr">
        <is>
          <t>Dhruva Space</t>
        </is>
      </c>
      <c r="C1719" s="17" t="n">
        <v>46156</v>
      </c>
      <c r="D1719" s="18" t="n">
        <v>46143</v>
      </c>
      <c r="E1719" s="19" t="n">
        <v>11</v>
      </c>
      <c r="F1719" s="19" t="n">
        <v>105.35</v>
      </c>
      <c r="G1719" t="inlineStr">
        <is>
          <t>$11 Mn</t>
        </is>
      </c>
      <c r="H1719" t="inlineStr">
        <is>
          <t>Undisclosed</t>
        </is>
      </c>
      <c r="I1719" t="inlineStr">
        <is>
          <t>Undisclosed</t>
        </is>
      </c>
      <c r="J1719" t="inlineStr">
        <is>
          <t>Advanced Hardware &amp; Technology</t>
        </is>
      </c>
      <c r="K1719" t="inlineStr">
        <is>
          <t>Hyderabad</t>
        </is>
      </c>
      <c r="L1719" t="inlineStr">
        <is>
          <t>Research; Development &amp; Innovation Fund</t>
        </is>
      </c>
      <c r="M1719" t="inlineStr">
        <is>
          <t>Research; Development &amp; Innovation Fund</t>
        </is>
      </c>
      <c r="N1719" t="inlineStr">
        <is>
          <t>inc42 | et</t>
        </is>
      </c>
      <c r="O1719" s="20" t="n">
        <v>2</v>
      </c>
      <c r="P1719" s="21" t="n">
        <v>0.3</v>
      </c>
      <c r="Q1719" t="inlineStr">
        <is>
          <t>C04</t>
        </is>
      </c>
      <c r="R1719" s="22" t="inlineStr">
        <is>
          <t>https://economictimes.indiatimes.com/tech/startups/dhruva-space-gets-rs-105-crore-from-centre-for-developing-satellite-platform/articleshow/131093916.cms</t>
        </is>
      </c>
    </row>
    <row r="1720">
      <c r="A1720" t="inlineStr">
        <is>
          <t>R260514-thesweetchange</t>
        </is>
      </c>
      <c r="B1720" t="inlineStr">
        <is>
          <t>The Sweet Change</t>
        </is>
      </c>
      <c r="C1720" s="17" t="n">
        <v>46156</v>
      </c>
      <c r="D1720" s="18" t="n">
        <v>46143</v>
      </c>
      <c r="E1720" s="19" t="n">
        <v>0.073</v>
      </c>
      <c r="F1720" s="19" t="n">
        <v>0.7</v>
      </c>
      <c r="G1720" t="inlineStr">
        <is>
          <t>$73K</t>
        </is>
      </c>
      <c r="H1720" t="inlineStr">
        <is>
          <t>Undisclosed</t>
        </is>
      </c>
      <c r="I1720" t="inlineStr">
        <is>
          <t>Undisclosed</t>
        </is>
      </c>
      <c r="J1720" t="inlineStr">
        <is>
          <t>Ecommerce</t>
        </is>
      </c>
      <c r="K1720" t="inlineStr">
        <is>
          <t>Unknown</t>
        </is>
      </c>
      <c r="L1720" t="inlineStr">
        <is>
          <t>Indian Angel Network</t>
        </is>
      </c>
      <c r="M1720" t="inlineStr">
        <is>
          <t>Indian Angel Network; Udaan Angel Partners</t>
        </is>
      </c>
      <c r="N1720" t="inlineStr">
        <is>
          <t>inc42</t>
        </is>
      </c>
      <c r="O1720" s="20" t="n">
        <v>1</v>
      </c>
      <c r="P1720" s="21" t="n">
        <v>0</v>
      </c>
      <c r="Q1720" t="inlineStr">
        <is>
          <t>C04 C07</t>
        </is>
      </c>
      <c r="R1720" s="22" t="inlineStr">
        <is>
          <t>https://inc42.com/buzz/from-rapido-to-hrdwyr-indian-startups-raised-303-mn-this-week/</t>
        </is>
      </c>
    </row>
    <row r="1721">
      <c r="A1721" t="inlineStr">
        <is>
          <t>R260515-legendoftoys</t>
        </is>
      </c>
      <c r="B1721" t="inlineStr">
        <is>
          <t>Legend Of Toys</t>
        </is>
      </c>
      <c r="C1721" s="17" t="n">
        <v>46157</v>
      </c>
      <c r="D1721" s="18" t="n">
        <v>46143</v>
      </c>
      <c r="E1721" s="19" t="n">
        <v>2.188</v>
      </c>
      <c r="F1721" s="19" t="n">
        <v>21</v>
      </c>
      <c r="G1721" t="inlineStr">
        <is>
          <t>Rs 21 crore</t>
        </is>
      </c>
      <c r="H1721" t="inlineStr">
        <is>
          <t>Pre-Series A</t>
        </is>
      </c>
      <c r="I1721" t="inlineStr">
        <is>
          <t>Early</t>
        </is>
      </c>
      <c r="J1721" t="inlineStr">
        <is>
          <t>Ecommerce</t>
        </is>
      </c>
      <c r="K1721" t="inlineStr">
        <is>
          <t>Unknown</t>
        </is>
      </c>
      <c r="L1721" t="inlineStr"/>
      <c r="M1721" t="inlineStr">
        <is>
          <t>Singularity AMC; Veltis Capital; Enzia Ventures; DeVC; Stride Ventures; Singularity Early Opportunities Fund</t>
        </is>
      </c>
      <c r="N1721" t="inlineStr">
        <is>
          <t>entrackr | inc42</t>
        </is>
      </c>
      <c r="O1721" s="20" t="n">
        <v>2</v>
      </c>
      <c r="P1721" s="21" t="n">
        <v>0.5</v>
      </c>
      <c r="Q1721" t="inlineStr">
        <is>
          <t>C07</t>
        </is>
      </c>
      <c r="R1721" s="22" t="inlineStr">
        <is>
          <t>https://entrackr.com/snippets/legend-of-toys-raises-rs-21-cr-in-pre-series-a-round-11836971</t>
        </is>
      </c>
    </row>
    <row r="1722">
      <c r="A1722" t="inlineStr">
        <is>
          <t>R260515-rapido</t>
        </is>
      </c>
      <c r="B1722" t="inlineStr">
        <is>
          <t>Rapido</t>
        </is>
      </c>
      <c r="C1722" s="17" t="n">
        <v>46157</v>
      </c>
      <c r="D1722" s="18" t="n">
        <v>46143</v>
      </c>
      <c r="E1722" s="19" t="n">
        <v>240</v>
      </c>
      <c r="F1722" s="19" t="n">
        <v>2303.28</v>
      </c>
      <c r="G1722" t="inlineStr">
        <is>
          <t>$240 million</t>
        </is>
      </c>
      <c r="H1722" t="inlineStr">
        <is>
          <t>Undisclosed</t>
        </is>
      </c>
      <c r="I1722" t="inlineStr">
        <is>
          <t>Undisclosed</t>
        </is>
      </c>
      <c r="J1722" t="inlineStr">
        <is>
          <t>Travel Tech</t>
        </is>
      </c>
      <c r="K1722" t="inlineStr">
        <is>
          <t>Bengaluru</t>
        </is>
      </c>
      <c r="L1722" t="inlineStr">
        <is>
          <t>Prosus</t>
        </is>
      </c>
      <c r="M1722" t="inlineStr">
        <is>
          <t>Prosus; WestBridge Capital; Accel</t>
        </is>
      </c>
      <c r="N1722" t="inlineStr">
        <is>
          <t>entrackr | inc42 | et</t>
        </is>
      </c>
      <c r="O1722" s="20" t="n">
        <v>3</v>
      </c>
      <c r="P1722" s="21" t="n">
        <v>0</v>
      </c>
      <c r="Q1722" t="inlineStr">
        <is>
          <t>C04</t>
        </is>
      </c>
      <c r="R1722" s="22" t="inlineStr">
        <is>
          <t>https://entrackr.com/news/rapido-raises-240-mn-led-by-prosus-at-3-bn-valuation-11837442</t>
        </is>
      </c>
    </row>
    <row r="1723">
      <c r="A1723" t="inlineStr">
        <is>
          <t>R260518-cellogentherap</t>
        </is>
      </c>
      <c r="B1723" t="inlineStr">
        <is>
          <t>Cellogen Therapeutics</t>
        </is>
      </c>
      <c r="C1723" s="17" t="n">
        <v>46160</v>
      </c>
      <c r="D1723" s="18" t="n">
        <v>46143</v>
      </c>
      <c r="E1723" s="19" t="n">
        <v>2.1</v>
      </c>
      <c r="F1723" s="19" t="n">
        <v>20.23</v>
      </c>
      <c r="G1723" t="inlineStr">
        <is>
          <t>$2.1 Mn</t>
        </is>
      </c>
      <c r="H1723" t="inlineStr">
        <is>
          <t>Undisclosed</t>
        </is>
      </c>
      <c r="I1723" t="inlineStr">
        <is>
          <t>Undisclosed</t>
        </is>
      </c>
      <c r="J1723" t="inlineStr">
        <is>
          <t>Healthtech</t>
        </is>
      </c>
      <c r="K1723" t="inlineStr">
        <is>
          <t>Unknown</t>
        </is>
      </c>
      <c r="L1723" t="inlineStr">
        <is>
          <t>Kotak Alternate Asset Managers</t>
        </is>
      </c>
      <c r="M1723" t="inlineStr">
        <is>
          <t>Kotak Alternate Asset Managers</t>
        </is>
      </c>
      <c r="N1723" t="inlineStr">
        <is>
          <t>inc42</t>
        </is>
      </c>
      <c r="O1723" s="20" t="n">
        <v>1</v>
      </c>
      <c r="P1723" s="21" t="n">
        <v>0</v>
      </c>
      <c r="Q1723" t="inlineStr">
        <is>
          <t>C04 C07</t>
        </is>
      </c>
      <c r="R1723" s="22" t="inlineStr">
        <is>
          <t>https://inc42.com/buzz/from-scapia-to-mythik-indian-startups-raised-92-mn-this-week/</t>
        </is>
      </c>
    </row>
    <row r="1724">
      <c r="A1724" t="inlineStr">
        <is>
          <t>R260518-nothingbut</t>
        </is>
      </c>
      <c r="B1724" t="inlineStr">
        <is>
          <t>Nothing But</t>
        </is>
      </c>
      <c r="C1724" s="17" t="n">
        <v>46160</v>
      </c>
      <c r="D1724" s="18" t="n">
        <v>46143</v>
      </c>
      <c r="E1724" s="19" t="n"/>
      <c r="F1724" s="19" t="n"/>
      <c r="G1724" t="inlineStr"/>
      <c r="H1724" t="inlineStr">
        <is>
          <t>Seed</t>
        </is>
      </c>
      <c r="I1724" t="inlineStr">
        <is>
          <t>Early</t>
        </is>
      </c>
      <c r="J1724" t="inlineStr">
        <is>
          <t>Ecommerce</t>
        </is>
      </c>
      <c r="K1724" t="inlineStr">
        <is>
          <t>Unknown</t>
        </is>
      </c>
      <c r="L1724" t="inlineStr">
        <is>
          <t>Atul Rajani; Deeksha Rajani</t>
        </is>
      </c>
      <c r="M1724" t="inlineStr">
        <is>
          <t>Atul Rajani; Deeksha Rajani; Sifat Khurana; Dhruv Bhasin; Gaurav Khatri; Saurav Adlakha</t>
        </is>
      </c>
      <c r="N1724" t="inlineStr">
        <is>
          <t>inc42</t>
        </is>
      </c>
      <c r="O1724" s="20" t="n">
        <v>1</v>
      </c>
      <c r="P1724" s="21" t="n"/>
      <c r="Q1724" t="inlineStr">
        <is>
          <t>C03 C07</t>
        </is>
      </c>
      <c r="R1724" s="22" t="inlineStr">
        <is>
          <t>https://inc42.com/buzz/from-scapia-to-mythik-indian-startups-raised-92-mn-this-week/</t>
        </is>
      </c>
    </row>
    <row r="1725">
      <c r="A1725" t="inlineStr">
        <is>
          <t>R260518-ownersid</t>
        </is>
      </c>
      <c r="B1725" t="inlineStr">
        <is>
          <t>Owners ID</t>
        </is>
      </c>
      <c r="C1725" s="17" t="n">
        <v>46160</v>
      </c>
      <c r="D1725" s="18" t="n">
        <v>46143</v>
      </c>
      <c r="E1725" s="19" t="n">
        <v>0.26</v>
      </c>
      <c r="F1725" s="19" t="n">
        <v>2.51</v>
      </c>
      <c r="G1725" t="inlineStr">
        <is>
          <t>$260K</t>
        </is>
      </c>
      <c r="H1725" t="inlineStr">
        <is>
          <t>Pre-Seed</t>
        </is>
      </c>
      <c r="I1725" t="inlineStr">
        <is>
          <t>Early</t>
        </is>
      </c>
      <c r="J1725" t="inlineStr">
        <is>
          <t>Ecommerce</t>
        </is>
      </c>
      <c r="K1725" t="inlineStr">
        <is>
          <t>Bengaluru</t>
        </is>
      </c>
      <c r="L1725" t="inlineStr">
        <is>
          <t>Crucifer Investments</t>
        </is>
      </c>
      <c r="M1725" t="inlineStr">
        <is>
          <t>Crucifer Investments</t>
        </is>
      </c>
      <c r="N1725" t="inlineStr">
        <is>
          <t>entrackr | inc42</t>
        </is>
      </c>
      <c r="O1725" s="20" t="n">
        <v>2</v>
      </c>
      <c r="P1725" s="21" t="n">
        <v>0</v>
      </c>
      <c r="Q1725" t="inlineStr"/>
      <c r="R1725" s="22" t="inlineStr">
        <is>
          <t>https://entrackr.com/snippets/recovery-tech-platform-owners-id-raises-pre-seed-round-led-by-crucifer-investments-11847198</t>
        </is>
      </c>
    </row>
    <row r="1726">
      <c r="A1726" t="inlineStr">
        <is>
          <t>R260518-trackk</t>
        </is>
      </c>
      <c r="B1726" t="inlineStr">
        <is>
          <t>Trackk</t>
        </is>
      </c>
      <c r="C1726" s="17" t="n">
        <v>46160</v>
      </c>
      <c r="D1726" s="18" t="n">
        <v>46143</v>
      </c>
      <c r="E1726" s="19" t="n">
        <v>3.7</v>
      </c>
      <c r="F1726" s="19" t="n">
        <v>35.65</v>
      </c>
      <c r="G1726" t="inlineStr">
        <is>
          <t>$3.7 million</t>
        </is>
      </c>
      <c r="H1726" t="inlineStr">
        <is>
          <t>Seed</t>
        </is>
      </c>
      <c r="I1726" t="inlineStr">
        <is>
          <t>Early</t>
        </is>
      </c>
      <c r="J1726" t="inlineStr">
        <is>
          <t>Fintech</t>
        </is>
      </c>
      <c r="K1726" t="inlineStr">
        <is>
          <t>Mumbai</t>
        </is>
      </c>
      <c r="L1726" t="inlineStr">
        <is>
          <t>Lightspeed Ventures</t>
        </is>
      </c>
      <c r="M1726" t="inlineStr">
        <is>
          <t>Lightspeed Ventures; Info Edge Ventures; Tanmay Bhatt; Varun Mayya; Gaurav Munjal; Roman Saini; Gaurav Kapoor</t>
        </is>
      </c>
      <c r="N1726" t="inlineStr">
        <is>
          <t>entrackr | inc42 | et</t>
        </is>
      </c>
      <c r="O1726" s="20" t="n">
        <v>3</v>
      </c>
      <c r="P1726" s="21" t="n">
        <v>0</v>
      </c>
      <c r="Q1726" t="inlineStr"/>
      <c r="R1726" s="22" t="inlineStr">
        <is>
          <t>https://entrackr.com/news/trading-app-trackk-raises-fresh-funds-from-lightspeed-and-info-edge-ventures-11846086</t>
        </is>
      </c>
    </row>
    <row r="1727">
      <c r="A1727" t="inlineStr">
        <is>
          <t>R260519-countrydelight</t>
        </is>
      </c>
      <c r="B1727" t="inlineStr">
        <is>
          <t>Country Delight</t>
        </is>
      </c>
      <c r="C1727" s="17" t="n">
        <v>46161</v>
      </c>
      <c r="D1727" s="18" t="n">
        <v>46143</v>
      </c>
      <c r="E1727" s="19" t="n">
        <v>6.733</v>
      </c>
      <c r="F1727" s="19" t="n">
        <v>65</v>
      </c>
      <c r="G1727" t="inlineStr">
        <is>
          <t>Rs 65 crore</t>
        </is>
      </c>
      <c r="H1727" t="inlineStr">
        <is>
          <t>Debt</t>
        </is>
      </c>
      <c r="I1727" t="inlineStr">
        <is>
          <t>Debt</t>
        </is>
      </c>
      <c r="J1727" t="inlineStr">
        <is>
          <t>Agritech</t>
        </is>
      </c>
      <c r="K1727" t="inlineStr">
        <is>
          <t>Delhi NCR</t>
        </is>
      </c>
      <c r="L1727" t="inlineStr"/>
      <c r="M1727" t="inlineStr">
        <is>
          <t>Alteria Capital</t>
        </is>
      </c>
      <c r="N1727" t="inlineStr">
        <is>
          <t>entrackr</t>
        </is>
      </c>
      <c r="O1727" s="20" t="n">
        <v>1</v>
      </c>
      <c r="P1727" s="21" t="n">
        <v>0</v>
      </c>
      <c r="Q1727" t="inlineStr"/>
      <c r="R1727" s="22" t="inlineStr">
        <is>
          <t>https://entrackr.com/exclusive/exclusive-country-delight-raises-debt-from-alteria-capital-11850132</t>
        </is>
      </c>
    </row>
    <row r="1728">
      <c r="A1728" t="inlineStr">
        <is>
          <t>R260519-damroo</t>
        </is>
      </c>
      <c r="B1728" t="inlineStr">
        <is>
          <t>Damroo</t>
        </is>
      </c>
      <c r="C1728" s="17" t="n">
        <v>46161</v>
      </c>
      <c r="D1728" s="18" t="n">
        <v>46143</v>
      </c>
      <c r="E1728" s="19" t="n">
        <v>0.518</v>
      </c>
      <c r="F1728" s="19" t="n">
        <v>5</v>
      </c>
      <c r="G1728" t="inlineStr">
        <is>
          <t>Rs 5 crore</t>
        </is>
      </c>
      <c r="H1728" t="inlineStr">
        <is>
          <t>Undisclosed</t>
        </is>
      </c>
      <c r="I1728" t="inlineStr">
        <is>
          <t>Undisclosed</t>
        </is>
      </c>
      <c r="J1728" t="inlineStr">
        <is>
          <t>Media &amp; Entertainment</t>
        </is>
      </c>
      <c r="K1728" t="inlineStr">
        <is>
          <t>Mumbai</t>
        </is>
      </c>
      <c r="L1728" t="inlineStr">
        <is>
          <t>Hindustan Times</t>
        </is>
      </c>
      <c r="M1728" t="inlineStr">
        <is>
          <t>Hindustan Times</t>
        </is>
      </c>
      <c r="N1728" t="inlineStr">
        <is>
          <t>entrackr | inc42</t>
        </is>
      </c>
      <c r="O1728" s="20" t="n">
        <v>2</v>
      </c>
      <c r="P1728" s="21" t="n">
        <v>0.4</v>
      </c>
      <c r="Q1728" t="inlineStr">
        <is>
          <t>C04</t>
        </is>
      </c>
      <c r="R1728" s="22" t="inlineStr">
        <is>
          <t>https://entrackr.com/snippets/music-streaming-and-distribution-platform-damroo-secures-investment-from-hindustan-times-11852251</t>
        </is>
      </c>
    </row>
    <row r="1729">
      <c r="A1729" t="inlineStr">
        <is>
          <t>R260519-kalpi</t>
        </is>
      </c>
      <c r="B1729" t="inlineStr">
        <is>
          <t>Kalpi</t>
        </is>
      </c>
      <c r="C1729" s="17" t="n">
        <v>46161</v>
      </c>
      <c r="D1729" s="18" t="n">
        <v>46143</v>
      </c>
      <c r="E1729" s="19" t="n">
        <v>0.388</v>
      </c>
      <c r="F1729" s="19" t="n">
        <v>3.75</v>
      </c>
      <c r="G1729" t="inlineStr">
        <is>
          <t>Rs 3.75 crore</t>
        </is>
      </c>
      <c r="H1729" t="inlineStr">
        <is>
          <t>Seed</t>
        </is>
      </c>
      <c r="I1729" t="inlineStr">
        <is>
          <t>Early</t>
        </is>
      </c>
      <c r="J1729" t="inlineStr">
        <is>
          <t>Fintech</t>
        </is>
      </c>
      <c r="K1729" t="inlineStr">
        <is>
          <t>Hyderabad</t>
        </is>
      </c>
      <c r="L1729" t="inlineStr">
        <is>
          <t>Rainmatter Capital</t>
        </is>
      </c>
      <c r="M1729" t="inlineStr">
        <is>
          <t>Rainmatter Capital</t>
        </is>
      </c>
      <c r="N1729" t="inlineStr">
        <is>
          <t>entrackr | inc42</t>
        </is>
      </c>
      <c r="O1729" s="20" t="n">
        <v>2</v>
      </c>
      <c r="P1729" s="21" t="n">
        <v>0.4</v>
      </c>
      <c r="Q1729" t="inlineStr"/>
      <c r="R1729" s="22" t="inlineStr">
        <is>
          <t>https://entrackr.com/snippets/fintech-startup-kalpi-raises-seed-round-from-rainmatter-capital-11850443</t>
        </is>
      </c>
    </row>
    <row r="1730">
      <c r="A1730" t="inlineStr">
        <is>
          <t>R260519-ono</t>
        </is>
      </c>
      <c r="B1730" t="inlineStr">
        <is>
          <t>ONO</t>
        </is>
      </c>
      <c r="C1730" s="17" t="n">
        <v>46161</v>
      </c>
      <c r="D1730" s="18" t="n">
        <v>46143</v>
      </c>
      <c r="E1730" s="19" t="n">
        <v>1.2</v>
      </c>
      <c r="F1730" s="19" t="n">
        <v>11.58</v>
      </c>
      <c r="G1730" t="inlineStr">
        <is>
          <t>$1.2 million</t>
        </is>
      </c>
      <c r="H1730" t="inlineStr">
        <is>
          <t>Pre-Series A</t>
        </is>
      </c>
      <c r="I1730" t="inlineStr">
        <is>
          <t>Early</t>
        </is>
      </c>
      <c r="J1730" t="inlineStr">
        <is>
          <t>Agritech</t>
        </is>
      </c>
      <c r="K1730" t="inlineStr">
        <is>
          <t>Unknown</t>
        </is>
      </c>
      <c r="L1730" t="inlineStr">
        <is>
          <t>Aeravti Ventures</t>
        </is>
      </c>
      <c r="M1730" t="inlineStr">
        <is>
          <t>Aeravti Ventures; Tremis Capital</t>
        </is>
      </c>
      <c r="N1730" t="inlineStr">
        <is>
          <t>entrackr | inc42</t>
        </is>
      </c>
      <c r="O1730" s="20" t="n">
        <v>2</v>
      </c>
      <c r="P1730" s="21" t="n">
        <v>0</v>
      </c>
      <c r="Q1730" t="inlineStr">
        <is>
          <t>C07</t>
        </is>
      </c>
      <c r="R1730" s="22" t="inlineStr">
        <is>
          <t>https://entrackr.com/snippets/agri-finance-startup-ono-raises-12-mn-led-by-aeravti-ventures-11850109</t>
        </is>
      </c>
    </row>
    <row r="1731">
      <c r="A1731" t="inlineStr">
        <is>
          <t>R260520-anscerrobotics</t>
        </is>
      </c>
      <c r="B1731" t="inlineStr">
        <is>
          <t>Anscer Robotics</t>
        </is>
      </c>
      <c r="C1731" s="17" t="n">
        <v>46162</v>
      </c>
      <c r="D1731" s="18" t="n">
        <v>46143</v>
      </c>
      <c r="E1731" s="19" t="n">
        <v>5.4</v>
      </c>
      <c r="F1731" s="19" t="n">
        <v>52.29</v>
      </c>
      <c r="G1731" t="inlineStr">
        <is>
          <t>$5.4 million</t>
        </is>
      </c>
      <c r="H1731" t="inlineStr">
        <is>
          <t>Series A</t>
        </is>
      </c>
      <c r="I1731" t="inlineStr">
        <is>
          <t>Early</t>
        </is>
      </c>
      <c r="J1731" t="inlineStr">
        <is>
          <t>Advanced Hardware &amp; Technology</t>
        </is>
      </c>
      <c r="K1731" t="inlineStr">
        <is>
          <t>Bengaluru</t>
        </is>
      </c>
      <c r="L1731" t="inlineStr">
        <is>
          <t>India Angel Network; IAN Alpha Fund</t>
        </is>
      </c>
      <c r="M1731" t="inlineStr">
        <is>
          <t>India Angel Network; Info Edge Ventures; IAN Alpha Fund</t>
        </is>
      </c>
      <c r="N1731" t="inlineStr">
        <is>
          <t>entrackr | inc42</t>
        </is>
      </c>
      <c r="O1731" s="20" t="n">
        <v>2</v>
      </c>
      <c r="P1731" s="21" t="n">
        <v>17.4</v>
      </c>
      <c r="Q1731" t="inlineStr">
        <is>
          <t>C13 C15 C17</t>
        </is>
      </c>
      <c r="R1731" s="22" t="inlineStr">
        <is>
          <t>https://entrackr.com/snippets/ian-alpha-fund-leads-54-mn-series-a-round-in-anscer-robotics-11856156</t>
        </is>
      </c>
    </row>
    <row r="1732">
      <c r="A1732" t="inlineStr">
        <is>
          <t>R260520-endureair</t>
        </is>
      </c>
      <c r="B1732" t="inlineStr">
        <is>
          <t>EndureAir</t>
        </is>
      </c>
      <c r="C1732" s="17" t="n">
        <v>46162</v>
      </c>
      <c r="D1732" s="18" t="n">
        <v>46143</v>
      </c>
      <c r="E1732" s="19" t="n">
        <v>3.1</v>
      </c>
      <c r="F1732" s="19" t="n">
        <v>30.02</v>
      </c>
      <c r="G1732" t="inlineStr">
        <is>
          <t>$3.1 Mn</t>
        </is>
      </c>
      <c r="H1732" t="inlineStr">
        <is>
          <t>Undisclosed</t>
        </is>
      </c>
      <c r="I1732" t="inlineStr">
        <is>
          <t>Undisclosed</t>
        </is>
      </c>
      <c r="J1732" t="inlineStr">
        <is>
          <t>Advanced Hardware &amp; Technology</t>
        </is>
      </c>
      <c r="K1732" t="inlineStr">
        <is>
          <t>Unknown</t>
        </is>
      </c>
      <c r="L1732" t="inlineStr">
        <is>
          <t>Research; Development; Innovation Fund</t>
        </is>
      </c>
      <c r="M1732" t="inlineStr">
        <is>
          <t>Research; Development; Innovation Fund</t>
        </is>
      </c>
      <c r="N1732" t="inlineStr">
        <is>
          <t>inc42</t>
        </is>
      </c>
      <c r="O1732" s="20" t="n">
        <v>1</v>
      </c>
      <c r="P1732" s="21" t="n">
        <v>0</v>
      </c>
      <c r="Q1732" t="inlineStr">
        <is>
          <t>C04 C07</t>
        </is>
      </c>
      <c r="R1732" s="22" t="inlineStr">
        <is>
          <t>https://inc42.com/buzz/from-scapia-to-mythik-indian-startups-raised-92-mn-this-week/</t>
        </is>
      </c>
    </row>
    <row r="1733">
      <c r="A1733" t="inlineStr">
        <is>
          <t>R260520-gamehok</t>
        </is>
      </c>
      <c r="B1733" t="inlineStr">
        <is>
          <t>Gamehok</t>
        </is>
      </c>
      <c r="C1733" s="17" t="n">
        <v>46162</v>
      </c>
      <c r="D1733" s="18" t="n">
        <v>46143</v>
      </c>
      <c r="E1733" s="19" t="n">
        <v>0.1</v>
      </c>
      <c r="F1733" s="19" t="n">
        <v>0.97</v>
      </c>
      <c r="G1733" t="inlineStr">
        <is>
          <t>$100K</t>
        </is>
      </c>
      <c r="H1733" t="inlineStr">
        <is>
          <t>Pre-Seed</t>
        </is>
      </c>
      <c r="I1733" t="inlineStr">
        <is>
          <t>Early</t>
        </is>
      </c>
      <c r="J1733" t="inlineStr">
        <is>
          <t>Media &amp; Entertainment</t>
        </is>
      </c>
      <c r="K1733" t="inlineStr">
        <is>
          <t>Unknown</t>
        </is>
      </c>
      <c r="L1733" t="inlineStr"/>
      <c r="M1733" t="inlineStr"/>
      <c r="N1733" t="inlineStr">
        <is>
          <t>inc42</t>
        </is>
      </c>
      <c r="O1733" s="20" t="n">
        <v>1</v>
      </c>
      <c r="P1733" s="21" t="n">
        <v>0</v>
      </c>
      <c r="Q1733" t="inlineStr">
        <is>
          <t>C05 C07</t>
        </is>
      </c>
      <c r="R1733" s="22" t="inlineStr">
        <is>
          <t>https://inc42.com/buzz/from-scapia-to-mythik-indian-startups-raised-92-mn-this-week/</t>
        </is>
      </c>
    </row>
    <row r="1734">
      <c r="A1734" t="inlineStr">
        <is>
          <t>R260520-mythik</t>
        </is>
      </c>
      <c r="B1734" t="inlineStr">
        <is>
          <t>Mythik</t>
        </is>
      </c>
      <c r="C1734" s="17" t="n">
        <v>46162</v>
      </c>
      <c r="D1734" s="18" t="n">
        <v>46143</v>
      </c>
      <c r="E1734" s="19" t="n">
        <v>5</v>
      </c>
      <c r="F1734" s="19" t="n">
        <v>48.42</v>
      </c>
      <c r="G1734" t="inlineStr">
        <is>
          <t>$5 Mn</t>
        </is>
      </c>
      <c r="H1734" t="inlineStr">
        <is>
          <t>Undisclosed</t>
        </is>
      </c>
      <c r="I1734" t="inlineStr">
        <is>
          <t>Undisclosed</t>
        </is>
      </c>
      <c r="J1734" t="inlineStr">
        <is>
          <t>Media &amp; Entertainment</t>
        </is>
      </c>
      <c r="K1734" t="inlineStr">
        <is>
          <t>Mumbai</t>
        </is>
      </c>
      <c r="L1734" t="inlineStr"/>
      <c r="M1734" t="inlineStr">
        <is>
          <t>Harsh Jain; Rajat Gupta; Zubin Bharti Mittal; Ishan Sinha; Rooshabh Shah; Sakal Media Group; Patni Family Office; Parekh Family Office; Dream11</t>
        </is>
      </c>
      <c r="N1734" t="inlineStr">
        <is>
          <t>inc42 | et</t>
        </is>
      </c>
      <c r="O1734" s="20" t="n">
        <v>2</v>
      </c>
      <c r="P1734" s="21" t="n">
        <v>0</v>
      </c>
      <c r="Q1734" t="inlineStr">
        <is>
          <t>C04</t>
        </is>
      </c>
      <c r="R1734" s="22" t="inlineStr">
        <is>
          <t>https://economictimes.indiatimes.com/tech/funding/jason-kotharis-entertainment-startup-mythik-raises-5-million-at-valuation-of-over-50-million/articleshow/131218749.cms</t>
        </is>
      </c>
    </row>
    <row r="1735">
      <c r="A1735" t="inlineStr">
        <is>
          <t>R260520-sychedelic</t>
        </is>
      </c>
      <c r="B1735" t="inlineStr">
        <is>
          <t>Sychedelic</t>
        </is>
      </c>
      <c r="C1735" s="17" t="n">
        <v>46162</v>
      </c>
      <c r="D1735" s="18" t="n">
        <v>46143</v>
      </c>
      <c r="E1735" s="19" t="n">
        <v>3.5</v>
      </c>
      <c r="F1735" s="19" t="n">
        <v>33.89</v>
      </c>
      <c r="G1735" t="inlineStr">
        <is>
          <t>$3.5 million</t>
        </is>
      </c>
      <c r="H1735" t="inlineStr">
        <is>
          <t>Seed</t>
        </is>
      </c>
      <c r="I1735" t="inlineStr">
        <is>
          <t>Early</t>
        </is>
      </c>
      <c r="J1735" t="inlineStr">
        <is>
          <t>Healthtech</t>
        </is>
      </c>
      <c r="K1735" t="inlineStr">
        <is>
          <t>Outside India</t>
        </is>
      </c>
      <c r="L1735" t="inlineStr">
        <is>
          <t>TurboStart; Ideabaaz; Praveek Ventures; UAE; NRI community</t>
        </is>
      </c>
      <c r="M1735" t="inlineStr">
        <is>
          <t>Cultadvisors LLP; TurboStart; Ideabaaz; Praveek Ventures; UAE; NRI community</t>
        </is>
      </c>
      <c r="N1735" t="inlineStr">
        <is>
          <t>entrackr | inc42</t>
        </is>
      </c>
      <c r="O1735" s="20" t="n">
        <v>2</v>
      </c>
      <c r="P1735" s="21" t="n">
        <v>0</v>
      </c>
      <c r="Q1735" t="inlineStr"/>
      <c r="R1735" s="22" t="inlineStr">
        <is>
          <t>https://entrackr.com/snippets/neurotech-startup-sychedelic-secures-35-mn-in-seed-round-11853311</t>
        </is>
      </c>
    </row>
    <row r="1736">
      <c r="A1736" t="inlineStr">
        <is>
          <t>R260521-metafashion</t>
        </is>
      </c>
      <c r="B1736" t="inlineStr">
        <is>
          <t>Meta Fashion</t>
        </is>
      </c>
      <c r="C1736" s="17" t="n">
        <v>46163</v>
      </c>
      <c r="D1736" s="18" t="n">
        <v>46143</v>
      </c>
      <c r="E1736" s="19" t="n">
        <v>0.4</v>
      </c>
      <c r="F1736" s="19" t="n">
        <v>3.85</v>
      </c>
      <c r="G1736" t="inlineStr">
        <is>
          <t>$400K</t>
        </is>
      </c>
      <c r="H1736" t="inlineStr">
        <is>
          <t>Pre-Seed</t>
        </is>
      </c>
      <c r="I1736" t="inlineStr">
        <is>
          <t>Early</t>
        </is>
      </c>
      <c r="J1736" t="inlineStr">
        <is>
          <t>Ecommerce</t>
        </is>
      </c>
      <c r="K1736" t="inlineStr">
        <is>
          <t>Unknown</t>
        </is>
      </c>
      <c r="L1736" t="inlineStr">
        <is>
          <t>Lumikai</t>
        </is>
      </c>
      <c r="M1736" t="inlineStr">
        <is>
          <t>Lumikai; Big Bets; Akshat Rathee; Pratham Mittal</t>
        </is>
      </c>
      <c r="N1736" t="inlineStr">
        <is>
          <t>inc42</t>
        </is>
      </c>
      <c r="O1736" s="20" t="n">
        <v>1</v>
      </c>
      <c r="P1736" s="21" t="n">
        <v>0</v>
      </c>
      <c r="Q1736" t="inlineStr">
        <is>
          <t>C07</t>
        </is>
      </c>
      <c r="R1736" s="22" t="inlineStr">
        <is>
          <t>https://inc42.com/buzz/from-scapia-to-mythik-indian-startups-raised-92-mn-this-week/</t>
        </is>
      </c>
    </row>
    <row r="1737">
      <c r="A1737" t="inlineStr">
        <is>
          <t>R260521-scapia</t>
        </is>
      </c>
      <c r="B1737" t="inlineStr">
        <is>
          <t>Scapia</t>
        </is>
      </c>
      <c r="C1737" s="17" t="n">
        <v>46163</v>
      </c>
      <c r="D1737" s="18" t="n">
        <v>46143</v>
      </c>
      <c r="E1737" s="19" t="n">
        <v>63</v>
      </c>
      <c r="F1737" s="19" t="n">
        <v>606.12</v>
      </c>
      <c r="G1737" t="inlineStr">
        <is>
          <t>$63 million</t>
        </is>
      </c>
      <c r="H1737" t="inlineStr">
        <is>
          <t>Series B</t>
        </is>
      </c>
      <c r="I1737" t="inlineStr">
        <is>
          <t>Growth</t>
        </is>
      </c>
      <c r="J1737" t="inlineStr">
        <is>
          <t>Fintech</t>
        </is>
      </c>
      <c r="K1737" t="inlineStr">
        <is>
          <t>Bengaluru</t>
        </is>
      </c>
      <c r="L1737" t="inlineStr">
        <is>
          <t>General Catalyst; Peak XV Partners in April 2025</t>
        </is>
      </c>
      <c r="M1737" t="inlineStr">
        <is>
          <t>General Catalyst; Peak XV Partners; Z47; Elevation Capital; 3State Ventures</t>
        </is>
      </c>
      <c r="N1737" t="inlineStr">
        <is>
          <t>entrackr | inc42 | et | vccircle</t>
        </is>
      </c>
      <c r="O1737" s="20" t="n">
        <v>4</v>
      </c>
      <c r="P1737" s="21" t="n">
        <v>0</v>
      </c>
      <c r="Q1737" t="inlineStr"/>
      <c r="R1737" s="22" t="inlineStr">
        <is>
          <t>https://entrackr.com/news/travel-fintech-startup-scapia-raises-63-mn-led-by-general-catalyst-11857734</t>
        </is>
      </c>
    </row>
    <row r="1738">
      <c r="A1738" t="inlineStr">
        <is>
          <t>R260522-gabit</t>
        </is>
      </c>
      <c r="B1738" t="inlineStr">
        <is>
          <t>Gabit</t>
        </is>
      </c>
      <c r="C1738" s="17" t="n">
        <v>46164</v>
      </c>
      <c r="D1738" s="18" t="n">
        <v>46143</v>
      </c>
      <c r="E1738" s="19" t="n">
        <v>3.7</v>
      </c>
      <c r="F1738" s="19" t="n">
        <v>35.41</v>
      </c>
      <c r="G1738" t="inlineStr">
        <is>
          <t>$3.7 Mn</t>
        </is>
      </c>
      <c r="H1738" t="inlineStr">
        <is>
          <t>Undisclosed</t>
        </is>
      </c>
      <c r="I1738" t="inlineStr">
        <is>
          <t>Undisclosed</t>
        </is>
      </c>
      <c r="J1738" t="inlineStr">
        <is>
          <t>Ecommerce</t>
        </is>
      </c>
      <c r="K1738" t="inlineStr">
        <is>
          <t>Unknown</t>
        </is>
      </c>
      <c r="L1738" t="inlineStr"/>
      <c r="M1738" t="inlineStr">
        <is>
          <t>Deepak Gupta; Arnab Basu; Manav Gupta; Vilas Dhar</t>
        </is>
      </c>
      <c r="N1738" t="inlineStr">
        <is>
          <t>inc42</t>
        </is>
      </c>
      <c r="O1738" s="20" t="n">
        <v>1</v>
      </c>
      <c r="P1738" s="21" t="n">
        <v>0</v>
      </c>
      <c r="Q1738" t="inlineStr">
        <is>
          <t>C04 C07</t>
        </is>
      </c>
      <c r="R1738" s="22" t="inlineStr">
        <is>
          <t>https://inc42.com/buzz/from-scapia-to-mythik-indian-startups-raised-92-mn-this-week/</t>
        </is>
      </c>
    </row>
    <row r="1739">
      <c r="A1739" t="inlineStr">
        <is>
          <t>R260522-yoho</t>
        </is>
      </c>
      <c r="B1739" t="inlineStr">
        <is>
          <t>Yoho</t>
        </is>
      </c>
      <c r="C1739" s="17" t="n">
        <v>46164</v>
      </c>
      <c r="D1739" s="18" t="n">
        <v>46143</v>
      </c>
      <c r="E1739" s="19" t="n">
        <v>1.567</v>
      </c>
      <c r="F1739" s="19" t="n">
        <v>15</v>
      </c>
      <c r="G1739" t="inlineStr">
        <is>
          <t>Rs 15 crore</t>
        </is>
      </c>
      <c r="H1739" t="inlineStr">
        <is>
          <t>Pre-Series A</t>
        </is>
      </c>
      <c r="I1739" t="inlineStr">
        <is>
          <t>Early</t>
        </is>
      </c>
      <c r="J1739" t="inlineStr">
        <is>
          <t>Ecommerce</t>
        </is>
      </c>
      <c r="K1739" t="inlineStr">
        <is>
          <t>Delhi NCR</t>
        </is>
      </c>
      <c r="L1739" t="inlineStr">
        <is>
          <t>Gulf Islamic Investments</t>
        </is>
      </c>
      <c r="M1739" t="inlineStr">
        <is>
          <t>Gulf Islamic Investments; Rukam Capital; Rajeev Misra; Vijay Shekhar Sharma</t>
        </is>
      </c>
      <c r="N1739" t="inlineStr">
        <is>
          <t>entrackr | inc42</t>
        </is>
      </c>
      <c r="O1739" s="20" t="n">
        <v>2</v>
      </c>
      <c r="P1739" s="21" t="n">
        <v>0</v>
      </c>
      <c r="Q1739" t="inlineStr"/>
      <c r="R1739" s="22" t="inlineStr">
        <is>
          <t>https://inc42.com/buzz/from-scapia-to-mythik-indian-startups-raised-92-mn-this-week/</t>
        </is>
      </c>
    </row>
    <row r="1740">
      <c r="A1740" t="inlineStr">
        <is>
          <t>R260525-abcoffee</t>
        </is>
      </c>
      <c r="B1740" t="inlineStr">
        <is>
          <t>abCoffee</t>
        </is>
      </c>
      <c r="C1740" s="17" t="n">
        <v>46167</v>
      </c>
      <c r="D1740" s="18" t="n">
        <v>46143</v>
      </c>
      <c r="E1740" s="19" t="n">
        <v>6.405</v>
      </c>
      <c r="F1740" s="19" t="n">
        <v>61</v>
      </c>
      <c r="G1740" t="inlineStr">
        <is>
          <t>Rs 61 crore</t>
        </is>
      </c>
      <c r="H1740" t="inlineStr">
        <is>
          <t>Pre-Series B</t>
        </is>
      </c>
      <c r="I1740" t="inlineStr">
        <is>
          <t>Growth</t>
        </is>
      </c>
      <c r="J1740" t="inlineStr">
        <is>
          <t>Ecommerce</t>
        </is>
      </c>
      <c r="K1740" t="inlineStr">
        <is>
          <t>Unknown</t>
        </is>
      </c>
      <c r="L1740" t="inlineStr">
        <is>
          <t>Kliff Ventures</t>
        </is>
      </c>
      <c r="M1740" t="inlineStr">
        <is>
          <t>Kliff Ventures; Hero Enterprise Partner Ventures; Merisis Venture Fund; Stride Ventures</t>
        </is>
      </c>
      <c r="N1740" t="inlineStr">
        <is>
          <t>entrackr | inc42 | vccircle</t>
        </is>
      </c>
      <c r="O1740" s="20" t="n">
        <v>3</v>
      </c>
      <c r="P1740" s="21" t="n">
        <v>0.1</v>
      </c>
      <c r="Q1740" t="inlineStr">
        <is>
          <t>C07</t>
        </is>
      </c>
      <c r="R1740" s="22" t="inlineStr">
        <is>
          <t>https://entrackr.com/snippets/abcoffee-raises-rs-61-cr-in-pre-series-b-round-led-by-kliff-ventures-11871812</t>
        </is>
      </c>
    </row>
    <row r="1741">
      <c r="A1741" t="inlineStr">
        <is>
          <t>R260525-giva</t>
        </is>
      </c>
      <c r="B1741" t="inlineStr">
        <is>
          <t>GIVA</t>
        </is>
      </c>
      <c r="C1741" s="17" t="n">
        <v>46167</v>
      </c>
      <c r="D1741" s="18" t="n">
        <v>46143</v>
      </c>
      <c r="E1741" s="19" t="n"/>
      <c r="F1741" s="19" t="n"/>
      <c r="G1741" t="inlineStr"/>
      <c r="H1741" t="inlineStr">
        <is>
          <t>Undisclosed</t>
        </is>
      </c>
      <c r="I1741" t="inlineStr">
        <is>
          <t>Undisclosed</t>
        </is>
      </c>
      <c r="J1741" t="inlineStr">
        <is>
          <t>Ecommerce</t>
        </is>
      </c>
      <c r="K1741" t="inlineStr">
        <is>
          <t>Bengaluru</t>
        </is>
      </c>
      <c r="L1741" t="inlineStr">
        <is>
          <t>Kriti Sanon</t>
        </is>
      </c>
      <c r="M1741" t="inlineStr">
        <is>
          <t>Kriti Sanon</t>
        </is>
      </c>
      <c r="N1741" t="inlineStr">
        <is>
          <t>inc42</t>
        </is>
      </c>
      <c r="O1741" s="20" t="n">
        <v>1</v>
      </c>
      <c r="P1741" s="21" t="n"/>
      <c r="Q1741" t="inlineStr">
        <is>
          <t>C03 C04</t>
        </is>
      </c>
      <c r="R1741" s="22" t="inlineStr">
        <is>
          <t>https://inc42.com/buzz/from-fairdeal-market-to-abcoffee-indian-startups-raised-52-mn-this-week/</t>
        </is>
      </c>
    </row>
    <row r="1742">
      <c r="A1742" t="inlineStr">
        <is>
          <t>R260525-pramatraspace</t>
        </is>
      </c>
      <c r="B1742" t="inlineStr">
        <is>
          <t>Pramatra Space</t>
        </is>
      </c>
      <c r="C1742" s="17" t="n">
        <v>46167</v>
      </c>
      <c r="D1742" s="18" t="n">
        <v>46143</v>
      </c>
      <c r="E1742" s="19" t="n"/>
      <c r="F1742" s="19" t="n"/>
      <c r="G1742" t="inlineStr"/>
      <c r="H1742" t="inlineStr">
        <is>
          <t>Pre-Seed</t>
        </is>
      </c>
      <c r="I1742" t="inlineStr">
        <is>
          <t>Early</t>
        </is>
      </c>
      <c r="J1742" t="inlineStr">
        <is>
          <t>Advanced Hardware &amp; Technology</t>
        </is>
      </c>
      <c r="K1742" t="inlineStr">
        <is>
          <t>Unknown</t>
        </is>
      </c>
      <c r="L1742" t="inlineStr">
        <is>
          <t>Seafund Ventures</t>
        </is>
      </c>
      <c r="M1742" t="inlineStr">
        <is>
          <t>Seafund Ventures; Rebalance; Magnivia Ventures; Peaceful Progress Fund; Awais Ahmed; Techstars; Neel Mehta; Raghunath Das; Bhavya Doshi</t>
        </is>
      </c>
      <c r="N1742" t="inlineStr">
        <is>
          <t>inc42</t>
        </is>
      </c>
      <c r="O1742" s="20" t="n">
        <v>1</v>
      </c>
      <c r="P1742" s="21" t="n"/>
      <c r="Q1742" t="inlineStr">
        <is>
          <t>C03 C07</t>
        </is>
      </c>
      <c r="R1742" s="22" t="inlineStr">
        <is>
          <t>https://inc42.com/buzz/from-fairdeal-market-to-abcoffee-indian-startups-raised-52-mn-this-week/</t>
        </is>
      </c>
    </row>
    <row r="1743">
      <c r="A1743" t="inlineStr">
        <is>
          <t>R260525-strainxbiowork</t>
        </is>
      </c>
      <c r="B1743" t="inlineStr">
        <is>
          <t>StrainX Bioworks</t>
        </is>
      </c>
      <c r="C1743" s="17" t="n">
        <v>46167</v>
      </c>
      <c r="D1743" s="18" t="n">
        <v>46143</v>
      </c>
      <c r="E1743" s="19" t="n">
        <v>13</v>
      </c>
      <c r="F1743" s="19" t="n">
        <v>123.81</v>
      </c>
      <c r="G1743" t="inlineStr">
        <is>
          <t>$13 million</t>
        </is>
      </c>
      <c r="H1743" t="inlineStr">
        <is>
          <t>Undisclosed</t>
        </is>
      </c>
      <c r="I1743" t="inlineStr">
        <is>
          <t>Undisclosed</t>
        </is>
      </c>
      <c r="J1743" t="inlineStr">
        <is>
          <t>Healthtech</t>
        </is>
      </c>
      <c r="K1743" t="inlineStr">
        <is>
          <t>Unknown</t>
        </is>
      </c>
      <c r="L1743" t="inlineStr">
        <is>
          <t>Prime Venture Partners; Leo Capital</t>
        </is>
      </c>
      <c r="M1743" t="inlineStr">
        <is>
          <t>Prime Venture Partners; Leo Capital; Good Startup; Sparrow Capital; Sun Icon Ventures; Dholakia Ventures; Dhoka Ventures; WTF</t>
        </is>
      </c>
      <c r="N1743" t="inlineStr">
        <is>
          <t>entrackr | inc42 | et</t>
        </is>
      </c>
      <c r="O1743" s="20" t="n">
        <v>3</v>
      </c>
      <c r="P1743" s="21" t="n">
        <v>0</v>
      </c>
      <c r="Q1743" t="inlineStr">
        <is>
          <t>C04 C07</t>
        </is>
      </c>
      <c r="R1743" s="22" t="inlineStr">
        <is>
          <t>https://entrackr.com/snippets/strainx-bioworks-raises-13-mn-led-by-prime-venture-partners-and-leo-capital-11870790</t>
        </is>
      </c>
    </row>
    <row r="1744">
      <c r="A1744" t="inlineStr">
        <is>
          <t>R260525-yesmadam</t>
        </is>
      </c>
      <c r="B1744" t="inlineStr">
        <is>
          <t>Yes Madam</t>
        </is>
      </c>
      <c r="C1744" s="17" t="n">
        <v>46167</v>
      </c>
      <c r="D1744" s="18" t="n">
        <v>46143</v>
      </c>
      <c r="E1744" s="19" t="n">
        <v>5.25</v>
      </c>
      <c r="F1744" s="19" t="n">
        <v>50</v>
      </c>
      <c r="G1744" t="inlineStr">
        <is>
          <t>Rs 50 crore</t>
        </is>
      </c>
      <c r="H1744" t="inlineStr">
        <is>
          <t>Series A</t>
        </is>
      </c>
      <c r="I1744" t="inlineStr">
        <is>
          <t>Early</t>
        </is>
      </c>
      <c r="J1744" t="inlineStr">
        <is>
          <t>Consumer Services</t>
        </is>
      </c>
      <c r="K1744" t="inlineStr">
        <is>
          <t>Delhi NCR</t>
        </is>
      </c>
      <c r="L1744" t="inlineStr">
        <is>
          <t>Info Edge Ventures</t>
        </is>
      </c>
      <c r="M1744" t="inlineStr">
        <is>
          <t>Info Edge Ventures</t>
        </is>
      </c>
      <c r="N1744" t="inlineStr">
        <is>
          <t>entrackr | inc42 | et</t>
        </is>
      </c>
      <c r="O1744" s="20" t="n">
        <v>3</v>
      </c>
      <c r="P1744" s="21" t="n">
        <v>1</v>
      </c>
      <c r="Q1744" t="inlineStr"/>
      <c r="R1744" s="22" t="inlineStr">
        <is>
          <t>https://entrackr.com/news/yes-madam-raises-maiden-rs-50-cr-funding-at-rs-750-cr-valuation-11871481</t>
        </is>
      </c>
    </row>
    <row r="1745">
      <c r="A1745" t="inlineStr">
        <is>
          <t>R260526-bucketlistt</t>
        </is>
      </c>
      <c r="B1745" t="inlineStr">
        <is>
          <t>Bucketlistt</t>
        </is>
      </c>
      <c r="C1745" s="17" t="n">
        <v>46168</v>
      </c>
      <c r="D1745" s="18" t="n">
        <v>46143</v>
      </c>
      <c r="E1745" s="19" t="n">
        <v>0.112</v>
      </c>
      <c r="F1745" s="19" t="n">
        <v>1.07</v>
      </c>
      <c r="G1745" t="inlineStr">
        <is>
          <t>Rs 1.07 crore</t>
        </is>
      </c>
      <c r="H1745" t="inlineStr">
        <is>
          <t>Pre-Seed</t>
        </is>
      </c>
      <c r="I1745" t="inlineStr">
        <is>
          <t>Early</t>
        </is>
      </c>
      <c r="J1745" t="inlineStr">
        <is>
          <t>Travel Tech</t>
        </is>
      </c>
      <c r="K1745" t="inlineStr">
        <is>
          <t>Unknown</t>
        </is>
      </c>
      <c r="L1745" t="inlineStr"/>
      <c r="M1745" t="inlineStr">
        <is>
          <t>Arvind Choudhar; Aenik Shah; Kartik Khatri; Yash Mehta</t>
        </is>
      </c>
      <c r="N1745" t="inlineStr">
        <is>
          <t>entrackr | inc42</t>
        </is>
      </c>
      <c r="O1745" s="20" t="n">
        <v>2</v>
      </c>
      <c r="P1745" s="21" t="n">
        <v>0.2</v>
      </c>
      <c r="Q1745" t="inlineStr">
        <is>
          <t>C07 C16</t>
        </is>
      </c>
      <c r="R1745" s="22" t="inlineStr">
        <is>
          <t>https://inc42.com/buzz/from-fairdeal-market-to-abcoffee-indian-startups-raised-52-mn-this-week/</t>
        </is>
      </c>
    </row>
    <row r="1746">
      <c r="A1746" t="inlineStr">
        <is>
          <t>R260526-fairdealmarket</t>
        </is>
      </c>
      <c r="B1746" t="inlineStr">
        <is>
          <t>Fairdeal.Market</t>
        </is>
      </c>
      <c r="C1746" s="17" t="n">
        <v>46168</v>
      </c>
      <c r="D1746" s="18" t="n">
        <v>46143</v>
      </c>
      <c r="E1746" s="19" t="n">
        <v>15</v>
      </c>
      <c r="F1746" s="19" t="n">
        <v>143.54</v>
      </c>
      <c r="G1746" t="inlineStr">
        <is>
          <t>$15 million</t>
        </is>
      </c>
      <c r="H1746" t="inlineStr">
        <is>
          <t>Series A</t>
        </is>
      </c>
      <c r="I1746" t="inlineStr">
        <is>
          <t>Early</t>
        </is>
      </c>
      <c r="J1746" t="inlineStr">
        <is>
          <t>Ecommerce</t>
        </is>
      </c>
      <c r="K1746" t="inlineStr">
        <is>
          <t>Delhi NCR</t>
        </is>
      </c>
      <c r="L1746" t="inlineStr">
        <is>
          <t>Bertelsmann India Investments</t>
        </is>
      </c>
      <c r="M1746" t="inlineStr">
        <is>
          <t>Bertelsmann India Investments; WaterBridge Ventures; Incubate Asia Fund</t>
        </is>
      </c>
      <c r="N1746" t="inlineStr">
        <is>
          <t>entrackr | inc42 | et | vccircle</t>
        </is>
      </c>
      <c r="O1746" s="20" t="n">
        <v>4</v>
      </c>
      <c r="P1746" s="21" t="n">
        <v>0</v>
      </c>
      <c r="Q1746" t="inlineStr"/>
      <c r="R1746" s="22" t="inlineStr">
        <is>
          <t>https://entrackr.com/news/bii-leads-15-mn-series-a-round-in-b2b-quick-commerce-platform-fairdealmarket-11874646</t>
        </is>
      </c>
    </row>
    <row r="1747">
      <c r="A1747" t="inlineStr">
        <is>
          <t>R260526-flexprice</t>
        </is>
      </c>
      <c r="B1747" t="inlineStr">
        <is>
          <t>Flexprice</t>
        </is>
      </c>
      <c r="C1747" s="17" t="n">
        <v>46168</v>
      </c>
      <c r="D1747" s="18" t="n">
        <v>46143</v>
      </c>
      <c r="E1747" s="19" t="n">
        <v>1.5</v>
      </c>
      <c r="F1747" s="19" t="n">
        <v>14.35</v>
      </c>
      <c r="G1747" t="inlineStr">
        <is>
          <t>$1.5 million</t>
        </is>
      </c>
      <c r="H1747" t="inlineStr">
        <is>
          <t>Seed</t>
        </is>
      </c>
      <c r="I1747" t="inlineStr">
        <is>
          <t>Early</t>
        </is>
      </c>
      <c r="J1747" t="inlineStr">
        <is>
          <t>Artificial Intelligence</t>
        </is>
      </c>
      <c r="K1747" t="inlineStr">
        <is>
          <t>Unknown</t>
        </is>
      </c>
      <c r="L1747" t="inlineStr">
        <is>
          <t>Shastra VC; Anupam Mittal</t>
        </is>
      </c>
      <c r="M1747" t="inlineStr">
        <is>
          <t>Shastra VC; Anupam Mittal; TDV Partners</t>
        </is>
      </c>
      <c r="N1747" t="inlineStr">
        <is>
          <t>entrackr | inc42</t>
        </is>
      </c>
      <c r="O1747" s="20" t="n">
        <v>2</v>
      </c>
      <c r="P1747" s="21" t="n">
        <v>0</v>
      </c>
      <c r="Q1747" t="inlineStr">
        <is>
          <t>C07</t>
        </is>
      </c>
      <c r="R1747" s="22" t="inlineStr">
        <is>
          <t>https://entrackr.com/snippets/flexprice-raises-15-mn-seed-round-led-by-shastra-vc-11874628</t>
        </is>
      </c>
    </row>
    <row r="1748">
      <c r="A1748" t="inlineStr">
        <is>
          <t>R260526-quantumtiger</t>
        </is>
      </c>
      <c r="B1748" t="inlineStr">
        <is>
          <t>Quantum Tiger</t>
        </is>
      </c>
      <c r="C1748" s="17" t="n">
        <v>46168</v>
      </c>
      <c r="D1748" s="18" t="n">
        <v>46143</v>
      </c>
      <c r="E1748" s="19" t="n"/>
      <c r="F1748" s="19" t="n"/>
      <c r="G1748" t="inlineStr"/>
      <c r="H1748" t="inlineStr">
        <is>
          <t>Undisclosed</t>
        </is>
      </c>
      <c r="I1748" t="inlineStr">
        <is>
          <t>Undisclosed</t>
        </is>
      </c>
      <c r="J1748" t="inlineStr">
        <is>
          <t>Artificial Intelligence</t>
        </is>
      </c>
      <c r="K1748" t="inlineStr">
        <is>
          <t>Unknown</t>
        </is>
      </c>
      <c r="L1748" t="inlineStr"/>
      <c r="M1748" t="inlineStr"/>
      <c r="N1748" t="inlineStr">
        <is>
          <t>inc42</t>
        </is>
      </c>
      <c r="O1748" s="20" t="n">
        <v>1</v>
      </c>
      <c r="P1748" s="21" t="n"/>
      <c r="Q1748" t="inlineStr">
        <is>
          <t>C03 C04 C05 C07</t>
        </is>
      </c>
      <c r="R1748" s="22" t="inlineStr">
        <is>
          <t>https://inc42.com/buzz/from-fairdeal-market-to-abcoffee-indian-startups-raised-52-mn-this-week/</t>
        </is>
      </c>
    </row>
    <row r="1749">
      <c r="A1749" t="inlineStr">
        <is>
          <t>R260527-tieaconnectors</t>
        </is>
      </c>
      <c r="B1749" t="inlineStr">
        <is>
          <t>TIEA Connectors</t>
        </is>
      </c>
      <c r="C1749" s="17" t="n">
        <v>46169</v>
      </c>
      <c r="D1749" s="18" t="n">
        <v>46143</v>
      </c>
      <c r="E1749" s="19" t="n">
        <v>8.047000000000001</v>
      </c>
      <c r="F1749" s="19" t="n">
        <v>77</v>
      </c>
      <c r="G1749" t="inlineStr">
        <is>
          <t>Rs 77 crore</t>
        </is>
      </c>
      <c r="H1749" t="inlineStr">
        <is>
          <t>Series A</t>
        </is>
      </c>
      <c r="I1749" t="inlineStr">
        <is>
          <t>Early</t>
        </is>
      </c>
      <c r="J1749" t="inlineStr">
        <is>
          <t>Enterprise Tech</t>
        </is>
      </c>
      <c r="K1749" t="inlineStr">
        <is>
          <t>Bengaluru</t>
        </is>
      </c>
      <c r="L1749" t="inlineStr">
        <is>
          <t>IvyCap Ventures</t>
        </is>
      </c>
      <c r="M1749" t="inlineStr">
        <is>
          <t>IvyCap Ventures; Jamwant Ventures; 8X Ventures</t>
        </is>
      </c>
      <c r="N1749" t="inlineStr">
        <is>
          <t>entrackr | inc42</t>
        </is>
      </c>
      <c r="O1749" s="20" t="n">
        <v>2</v>
      </c>
      <c r="P1749" s="21" t="n">
        <v>0.6</v>
      </c>
      <c r="Q1749" t="inlineStr"/>
      <c r="R1749" s="22" t="inlineStr">
        <is>
          <t>https://entrackr.com/snippets/tiea-connectors-raises-rs-77-cr-series-a-led-by-ivycap-ventures-11878893</t>
        </is>
      </c>
    </row>
    <row r="1750">
      <c r="A1750" t="inlineStr">
        <is>
          <t>R260528-anveshan</t>
        </is>
      </c>
      <c r="B1750" t="inlineStr">
        <is>
          <t>Anveshan</t>
        </is>
      </c>
      <c r="C1750" s="17" t="n">
        <v>46170</v>
      </c>
      <c r="D1750" s="18" t="n">
        <v>46143</v>
      </c>
      <c r="E1750" s="19" t="n">
        <v>12.644</v>
      </c>
      <c r="F1750" s="19" t="n">
        <v>121</v>
      </c>
      <c r="G1750" t="inlineStr">
        <is>
          <t>Rs 121 crore</t>
        </is>
      </c>
      <c r="H1750" t="inlineStr">
        <is>
          <t>Series B</t>
        </is>
      </c>
      <c r="I1750" t="inlineStr">
        <is>
          <t>Growth</t>
        </is>
      </c>
      <c r="J1750" t="inlineStr">
        <is>
          <t>Ecommerce</t>
        </is>
      </c>
      <c r="K1750" t="inlineStr">
        <is>
          <t>Delhi NCR</t>
        </is>
      </c>
      <c r="L1750" t="inlineStr">
        <is>
          <t>Vertex Ventures Southeast Asia &amp; India</t>
        </is>
      </c>
      <c r="M1750" t="inlineStr">
        <is>
          <t>Vertex Ventures Southeast Asia &amp; India; International Finance Corporation; Sriharsha Majety; Wipro Consumer Care Ventures; Titan Capital Winners Fund; Force Ventures; Aman Gupta; Sameer Mehta</t>
        </is>
      </c>
      <c r="N1750" t="inlineStr">
        <is>
          <t>entrackr | inc42 | et | vccircle</t>
        </is>
      </c>
      <c r="O1750" s="20" t="n">
        <v>4</v>
      </c>
      <c r="P1750" s="21" t="n">
        <v>25</v>
      </c>
      <c r="Q1750" t="inlineStr">
        <is>
          <t>C15</t>
        </is>
      </c>
      <c r="R1750" s="22" t="inlineStr">
        <is>
          <t>https://entrackr.com/exclusive/exclusive-anveshan-raises-rs-121-cr-from-vertex-ventures-ifc-aman-gupta-sri-harsha-majety-and-others-11883630</t>
        </is>
      </c>
    </row>
    <row r="1751">
      <c r="A1751" t="inlineStr">
        <is>
          <t>R260528-c2isemiconduct</t>
        </is>
      </c>
      <c r="B1751" t="inlineStr">
        <is>
          <t>C2i Semiconductors</t>
        </is>
      </c>
      <c r="C1751" s="17" t="n">
        <v>46170</v>
      </c>
      <c r="D1751" s="18" t="n">
        <v>46143</v>
      </c>
      <c r="E1751" s="19" t="n">
        <v>1.7</v>
      </c>
      <c r="F1751" s="19" t="n">
        <v>16.27</v>
      </c>
      <c r="G1751" t="inlineStr">
        <is>
          <t>$1.7 Mn</t>
        </is>
      </c>
      <c r="H1751" t="inlineStr">
        <is>
          <t>Series A</t>
        </is>
      </c>
      <c r="I1751" t="inlineStr">
        <is>
          <t>Early</t>
        </is>
      </c>
      <c r="J1751" t="inlineStr">
        <is>
          <t>Advanced Hardware &amp; Technology</t>
        </is>
      </c>
      <c r="K1751" t="inlineStr">
        <is>
          <t>Bengaluru</t>
        </is>
      </c>
      <c r="L1751" t="inlineStr">
        <is>
          <t>TDK Ventures</t>
        </is>
      </c>
      <c r="M1751" t="inlineStr">
        <is>
          <t>TDK Ventures</t>
        </is>
      </c>
      <c r="N1751" t="inlineStr">
        <is>
          <t>inc42</t>
        </is>
      </c>
      <c r="O1751" s="20" t="n">
        <v>1</v>
      </c>
      <c r="P1751" s="21" t="n">
        <v>0</v>
      </c>
      <c r="Q1751" t="inlineStr"/>
      <c r="R1751" s="22" t="inlineStr">
        <is>
          <t>https://inc42.com/buzz/from-fairdeal-market-to-abcoffee-indian-startups-raised-52-mn-this-week/</t>
        </is>
      </c>
    </row>
    <row r="1752">
      <c r="A1752" t="inlineStr">
        <is>
          <t>R260528-eazzy</t>
        </is>
      </c>
      <c r="B1752" t="inlineStr">
        <is>
          <t>Eazzy</t>
        </is>
      </c>
      <c r="C1752" s="17" t="n">
        <v>46170</v>
      </c>
      <c r="D1752" s="18" t="n">
        <v>46143</v>
      </c>
      <c r="E1752" s="19" t="n">
        <v>0.44</v>
      </c>
      <c r="F1752" s="19" t="n">
        <v>4.21</v>
      </c>
      <c r="G1752" t="inlineStr">
        <is>
          <t>$440K</t>
        </is>
      </c>
      <c r="H1752" t="inlineStr">
        <is>
          <t>Undisclosed</t>
        </is>
      </c>
      <c r="I1752" t="inlineStr">
        <is>
          <t>Undisclosed</t>
        </is>
      </c>
      <c r="J1752" t="inlineStr">
        <is>
          <t>Consumer Services</t>
        </is>
      </c>
      <c r="K1752" t="inlineStr">
        <is>
          <t>Unknown</t>
        </is>
      </c>
      <c r="L1752" t="inlineStr"/>
      <c r="M1752" t="inlineStr"/>
      <c r="N1752" t="inlineStr">
        <is>
          <t>inc42</t>
        </is>
      </c>
      <c r="O1752" s="20" t="n">
        <v>1</v>
      </c>
      <c r="P1752" s="21" t="n">
        <v>0</v>
      </c>
      <c r="Q1752" t="inlineStr">
        <is>
          <t>C04 C05 C07</t>
        </is>
      </c>
      <c r="R1752" s="22" t="inlineStr">
        <is>
          <t>https://inc42.com/buzz/from-fairdeal-market-to-abcoffee-indian-startups-raised-52-mn-this-week/</t>
        </is>
      </c>
    </row>
    <row r="1753">
      <c r="A1753" t="inlineStr">
        <is>
          <t>R260528-zerodrag</t>
        </is>
      </c>
      <c r="B1753" t="inlineStr">
        <is>
          <t>ZeroDrag Technologies</t>
        </is>
      </c>
      <c r="C1753" s="17" t="n">
        <v>46170</v>
      </c>
      <c r="D1753" s="18" t="n">
        <v>46143</v>
      </c>
      <c r="E1753" s="19" t="n">
        <v>0.679</v>
      </c>
      <c r="F1753" s="19" t="n">
        <v>6.5</v>
      </c>
      <c r="G1753" t="inlineStr">
        <is>
          <t>Rs 6.5 crore</t>
        </is>
      </c>
      <c r="H1753" t="inlineStr">
        <is>
          <t>Seed</t>
        </is>
      </c>
      <c r="I1753" t="inlineStr">
        <is>
          <t>Early</t>
        </is>
      </c>
      <c r="J1753" t="inlineStr">
        <is>
          <t>Advanced Hardware &amp; Technology</t>
        </is>
      </c>
      <c r="K1753" t="inlineStr">
        <is>
          <t>Nagpur</t>
        </is>
      </c>
      <c r="L1753" t="inlineStr">
        <is>
          <t>Transition VC</t>
        </is>
      </c>
      <c r="M1753" t="inlineStr">
        <is>
          <t>Transition VC</t>
        </is>
      </c>
      <c r="N1753" t="inlineStr">
        <is>
          <t>entrackr | inc42</t>
        </is>
      </c>
      <c r="O1753" s="20" t="n">
        <v>2</v>
      </c>
      <c r="P1753" s="21" t="n">
        <v>0.4</v>
      </c>
      <c r="Q1753" t="inlineStr"/>
      <c r="R1753" s="22" t="inlineStr">
        <is>
          <t>https://entrackr.com/snippets/transition-vc-leads-seed-round-in-zerodrag-11882473</t>
        </is>
      </c>
    </row>
    <row r="1754">
      <c r="A1754" t="inlineStr">
        <is>
          <t>R260601-intercosmos</t>
        </is>
      </c>
      <c r="B1754" t="inlineStr">
        <is>
          <t>InterCosmos</t>
        </is>
      </c>
      <c r="C1754" s="17" t="n">
        <v>46174</v>
      </c>
      <c r="D1754" s="18" t="n">
        <v>46174</v>
      </c>
      <c r="E1754" s="19" t="n"/>
      <c r="F1754" s="19" t="n"/>
      <c r="G1754" t="inlineStr"/>
      <c r="H1754" t="inlineStr">
        <is>
          <t>Undisclosed</t>
        </is>
      </c>
      <c r="I1754" t="inlineStr">
        <is>
          <t>Undisclosed</t>
        </is>
      </c>
      <c r="J1754" t="inlineStr">
        <is>
          <t>Advanced Hardware &amp; Technology</t>
        </is>
      </c>
      <c r="K1754" t="inlineStr">
        <is>
          <t>Unknown</t>
        </is>
      </c>
      <c r="L1754" t="inlineStr"/>
      <c r="M1754" t="inlineStr"/>
      <c r="N1754" t="inlineStr">
        <is>
          <t>inc42</t>
        </is>
      </c>
      <c r="O1754" s="20" t="n">
        <v>1</v>
      </c>
      <c r="P1754" s="21" t="n"/>
      <c r="Q1754" t="inlineStr">
        <is>
          <t>C03 C04 C05 C07</t>
        </is>
      </c>
      <c r="R1754" s="22" t="inlineStr">
        <is>
          <t>https://inc42.com/buzz/from-firstclub-to-innefu-indian-startups-raised-187-mn-this-week/</t>
        </is>
      </c>
    </row>
    <row r="1755">
      <c r="A1755" t="inlineStr">
        <is>
          <t>R260601-korinmi</t>
        </is>
      </c>
      <c r="B1755" t="inlineStr">
        <is>
          <t>KorinMi</t>
        </is>
      </c>
      <c r="C1755" s="17" t="n">
        <v>46174</v>
      </c>
      <c r="D1755" s="18" t="n">
        <v>46174</v>
      </c>
      <c r="E1755" s="19" t="n">
        <v>1.053</v>
      </c>
      <c r="F1755" s="19" t="n">
        <v>10</v>
      </c>
      <c r="G1755" t="inlineStr">
        <is>
          <t>Rs 10 crore</t>
        </is>
      </c>
      <c r="H1755" t="inlineStr">
        <is>
          <t>Seed</t>
        </is>
      </c>
      <c r="I1755" t="inlineStr">
        <is>
          <t>Early</t>
        </is>
      </c>
      <c r="J1755" t="inlineStr">
        <is>
          <t>Ecommerce</t>
        </is>
      </c>
      <c r="K1755" t="inlineStr">
        <is>
          <t>Delhi NCR</t>
        </is>
      </c>
      <c r="L1755" t="inlineStr">
        <is>
          <t>Lotus Herbals Innovation Fund</t>
        </is>
      </c>
      <c r="M1755" t="inlineStr">
        <is>
          <t>Lotus Herbals Innovation Fund; Ayurvedic beauty</t>
        </is>
      </c>
      <c r="N1755" t="inlineStr">
        <is>
          <t>entrackr | inc42 | et</t>
        </is>
      </c>
      <c r="O1755" s="20" t="n">
        <v>3</v>
      </c>
      <c r="P1755" s="21" t="n">
        <v>5.3</v>
      </c>
      <c r="Q1755" t="inlineStr"/>
      <c r="R1755" s="22" t="inlineStr">
        <is>
          <t>https://entrackr.com/snippets/skin-clinic-korinmi-raises-10-cr-from-lotus-herbals-innovation-fund-11896464</t>
        </is>
      </c>
    </row>
    <row r="1756">
      <c r="A1756" t="inlineStr">
        <is>
          <t>R260601-medielaj</t>
        </is>
      </c>
      <c r="B1756" t="inlineStr">
        <is>
          <t>MediElaj</t>
        </is>
      </c>
      <c r="C1756" s="17" t="n">
        <v>46174</v>
      </c>
      <c r="D1756" s="18" t="n">
        <v>46174</v>
      </c>
      <c r="E1756" s="19" t="n">
        <v>0.1</v>
      </c>
      <c r="F1756" s="19" t="n">
        <v>0.95</v>
      </c>
      <c r="G1756" t="inlineStr">
        <is>
          <t>$100K</t>
        </is>
      </c>
      <c r="H1756" t="inlineStr">
        <is>
          <t>Pre-Seed</t>
        </is>
      </c>
      <c r="I1756" t="inlineStr">
        <is>
          <t>Early</t>
        </is>
      </c>
      <c r="J1756" t="inlineStr">
        <is>
          <t>Healthtech</t>
        </is>
      </c>
      <c r="K1756" t="inlineStr">
        <is>
          <t>Delhi NCR</t>
        </is>
      </c>
      <c r="L1756" t="inlineStr"/>
      <c r="M1756" t="inlineStr">
        <is>
          <t>In parallel</t>
        </is>
      </c>
      <c r="N1756" t="inlineStr">
        <is>
          <t>entrackr | inc42</t>
        </is>
      </c>
      <c r="O1756" s="20" t="n">
        <v>2</v>
      </c>
      <c r="P1756" s="21" t="n">
        <v>0</v>
      </c>
      <c r="Q1756" t="inlineStr"/>
      <c r="R1756" s="22" t="inlineStr">
        <is>
          <t>https://entrackr.com/snippets/healthcare-startup-medelaj-raises-angel-round-11896174</t>
        </is>
      </c>
    </row>
    <row r="1757">
      <c r="A1757" t="inlineStr">
        <is>
          <t>R260601-rovia</t>
        </is>
      </c>
      <c r="B1757" t="inlineStr">
        <is>
          <t>Rovia</t>
        </is>
      </c>
      <c r="C1757" s="17" t="n">
        <v>46174</v>
      </c>
      <c r="D1757" s="18" t="n">
        <v>46174</v>
      </c>
      <c r="E1757" s="19" t="n">
        <v>1</v>
      </c>
      <c r="F1757" s="19" t="n">
        <v>9.5</v>
      </c>
      <c r="G1757" t="inlineStr">
        <is>
          <t>$1 million</t>
        </is>
      </c>
      <c r="H1757" t="inlineStr">
        <is>
          <t>Pre-Seed</t>
        </is>
      </c>
      <c r="I1757" t="inlineStr">
        <is>
          <t>Early</t>
        </is>
      </c>
      <c r="J1757" t="inlineStr">
        <is>
          <t>Fintech</t>
        </is>
      </c>
      <c r="K1757" t="inlineStr">
        <is>
          <t>Bengaluru</t>
        </is>
      </c>
      <c r="L1757" t="inlineStr">
        <is>
          <t>Antler India</t>
        </is>
      </c>
      <c r="M1757" t="inlineStr">
        <is>
          <t>Antler India; CDM Capital; AC Ventures; Operators Studio</t>
        </is>
      </c>
      <c r="N1757" t="inlineStr">
        <is>
          <t>entrackr | inc42</t>
        </is>
      </c>
      <c r="O1757" s="20" t="n">
        <v>2</v>
      </c>
      <c r="P1757" s="21" t="n">
        <v>0</v>
      </c>
      <c r="Q1757" t="inlineStr"/>
      <c r="R1757" s="22" t="inlineStr">
        <is>
          <t>https://entrackr.com/snippets/antler-india-leads-1-mn-pre-seed-round-in-wealthtech-platform-rovia-11895889</t>
        </is>
      </c>
    </row>
    <row r="1758">
      <c r="A1758" t="inlineStr">
        <is>
          <t>R260601-simpleenergy</t>
        </is>
      </c>
      <c r="B1758" t="inlineStr">
        <is>
          <t>Simple Energy</t>
        </is>
      </c>
      <c r="C1758" s="17" t="n">
        <v>46174</v>
      </c>
      <c r="D1758" s="18" t="n">
        <v>46174</v>
      </c>
      <c r="E1758" s="19" t="n">
        <v>26.319</v>
      </c>
      <c r="F1758" s="19" t="n">
        <v>250</v>
      </c>
      <c r="G1758" t="inlineStr">
        <is>
          <t>Rs 250 crore</t>
        </is>
      </c>
      <c r="H1758" t="inlineStr">
        <is>
          <t>Series B</t>
        </is>
      </c>
      <c r="I1758" t="inlineStr">
        <is>
          <t>Growth</t>
        </is>
      </c>
      <c r="J1758" t="inlineStr">
        <is>
          <t>Cleantech</t>
        </is>
      </c>
      <c r="K1758" t="inlineStr">
        <is>
          <t>Bengaluru</t>
        </is>
      </c>
      <c r="L1758" t="inlineStr">
        <is>
          <t>Dr. Arokiaswamy Velumani Family Office</t>
        </is>
      </c>
      <c r="M1758" t="inlineStr">
        <is>
          <t>Dr. Arokiaswamy Velumani Family Office; Suhas Rajkumar; Ankit Gupta; HDFC Bank; Capitar Ventures</t>
        </is>
      </c>
      <c r="N1758" t="inlineStr">
        <is>
          <t>entrackr | inc42 | et</t>
        </is>
      </c>
      <c r="O1758" s="20" t="n">
        <v>3</v>
      </c>
      <c r="P1758" s="21" t="n">
        <v>0.1</v>
      </c>
      <c r="Q1758" t="inlineStr"/>
      <c r="R1758" s="22" t="inlineStr">
        <is>
          <t>https://entrackr.com/news/simple-energy-raises-rs-250-cr-in-debt-and-equity-round-ahead-of-ipo-plans-11894747</t>
        </is>
      </c>
    </row>
    <row r="1759">
      <c r="A1759" t="inlineStr">
        <is>
          <t>R260602-aquapulse</t>
        </is>
      </c>
      <c r="B1759" t="inlineStr">
        <is>
          <t>Aquapulse</t>
        </is>
      </c>
      <c r="C1759" s="17" t="n">
        <v>46175</v>
      </c>
      <c r="D1759" s="18" t="n">
        <v>46174</v>
      </c>
      <c r="E1759" s="19" t="n">
        <v>4.723</v>
      </c>
      <c r="F1759" s="19" t="n">
        <v>45</v>
      </c>
      <c r="G1759" t="inlineStr">
        <is>
          <t>Rs 45 crore</t>
        </is>
      </c>
      <c r="H1759" t="inlineStr">
        <is>
          <t>Series A</t>
        </is>
      </c>
      <c r="I1759" t="inlineStr">
        <is>
          <t>Early</t>
        </is>
      </c>
      <c r="J1759" t="inlineStr">
        <is>
          <t>Agritech</t>
        </is>
      </c>
      <c r="K1759" t="inlineStr">
        <is>
          <t>Bhubaneswar</t>
        </is>
      </c>
      <c r="L1759" t="inlineStr">
        <is>
          <t>Indian Angel Network</t>
        </is>
      </c>
      <c r="M1759" t="inlineStr">
        <is>
          <t>Indian Angel Network; IAN Alpha Fund</t>
        </is>
      </c>
      <c r="N1759" t="inlineStr">
        <is>
          <t>entrackr | inc42</t>
        </is>
      </c>
      <c r="O1759" s="20" t="n">
        <v>2</v>
      </c>
      <c r="P1759" s="21" t="n">
        <v>124.9</v>
      </c>
      <c r="Q1759" t="inlineStr">
        <is>
          <t>C15</t>
        </is>
      </c>
      <c r="R1759" s="22" t="inlineStr">
        <is>
          <t>https://entrackr.com/snippets/aquapulse-raises-rs-45-cr-from-nabventures-and-ian-alpha-fund-11898912</t>
        </is>
      </c>
    </row>
    <row r="1760">
      <c r="A1760" t="inlineStr">
        <is>
          <t>R260602-ondc</t>
        </is>
      </c>
      <c r="B1760" t="inlineStr">
        <is>
          <t>ONDC</t>
        </is>
      </c>
      <c r="C1760" s="17" t="n">
        <v>46175</v>
      </c>
      <c r="D1760" s="18" t="n">
        <v>46174</v>
      </c>
      <c r="E1760" s="19" t="n">
        <v>23.092</v>
      </c>
      <c r="F1760" s="19" t="n">
        <v>220</v>
      </c>
      <c r="G1760" t="inlineStr">
        <is>
          <t>Rs 220 crore</t>
        </is>
      </c>
      <c r="H1760" t="inlineStr">
        <is>
          <t>Undisclosed</t>
        </is>
      </c>
      <c r="I1760" t="inlineStr">
        <is>
          <t>Undisclosed</t>
        </is>
      </c>
      <c r="J1760" t="inlineStr">
        <is>
          <t>Unclassified</t>
        </is>
      </c>
      <c r="K1760" t="inlineStr">
        <is>
          <t>Chennai</t>
        </is>
      </c>
      <c r="L1760" t="inlineStr"/>
      <c r="M1760" t="inlineStr">
        <is>
          <t>Zoho; Uber; Paytm; BSE</t>
        </is>
      </c>
      <c r="N1760" t="inlineStr">
        <is>
          <t>et</t>
        </is>
      </c>
      <c r="O1760" s="20" t="n">
        <v>1</v>
      </c>
      <c r="P1760" s="21" t="n">
        <v>0</v>
      </c>
      <c r="Q1760" t="inlineStr">
        <is>
          <t>C04 C06 C09</t>
        </is>
      </c>
      <c r="R1760" s="22" t="inlineStr">
        <is>
          <t>https://economictimes.indiatimes.com/tech/startups/zoho-uber-paytm-bse-invest-rs-220-crore-in-ondc/articleshow/131459865.cms</t>
        </is>
      </c>
    </row>
    <row r="1761">
      <c r="A1761" t="inlineStr">
        <is>
          <t>R260602-prolearn</t>
        </is>
      </c>
      <c r="B1761" t="inlineStr">
        <is>
          <t>ProLearn</t>
        </is>
      </c>
      <c r="C1761" s="17" t="n">
        <v>46175</v>
      </c>
      <c r="D1761" s="18" t="n">
        <v>46174</v>
      </c>
      <c r="E1761" s="19" t="n">
        <v>3.149</v>
      </c>
      <c r="F1761" s="19" t="n">
        <v>30</v>
      </c>
      <c r="G1761" t="inlineStr">
        <is>
          <t>Rs 30 crore</t>
        </is>
      </c>
      <c r="H1761" t="inlineStr">
        <is>
          <t>Pre-Seed</t>
        </is>
      </c>
      <c r="I1761" t="inlineStr">
        <is>
          <t>Early</t>
        </is>
      </c>
      <c r="J1761" t="inlineStr">
        <is>
          <t>Edtech</t>
        </is>
      </c>
      <c r="K1761" t="inlineStr">
        <is>
          <t>Bengaluru</t>
        </is>
      </c>
      <c r="L1761" t="inlineStr">
        <is>
          <t>BEENEXT</t>
        </is>
      </c>
      <c r="M1761" t="inlineStr">
        <is>
          <t>BEENEXT; Eximius Ventures; Antler India</t>
        </is>
      </c>
      <c r="N1761" t="inlineStr">
        <is>
          <t>entrackr | inc42</t>
        </is>
      </c>
      <c r="O1761" s="20" t="n">
        <v>2</v>
      </c>
      <c r="P1761" s="21" t="n">
        <v>1.6</v>
      </c>
      <c r="Q1761" t="inlineStr"/>
      <c r="R1761" s="22" t="inlineStr">
        <is>
          <t>https://entrackr.com/snippets/beenext-leads-rs-30-cr-pre-seed-round-in-edtech-startup-prolearn-11901039</t>
        </is>
      </c>
    </row>
    <row r="1762">
      <c r="A1762" t="inlineStr">
        <is>
          <t>R260602-rosada</t>
        </is>
      </c>
      <c r="B1762" t="inlineStr">
        <is>
          <t>Rosada</t>
        </is>
      </c>
      <c r="C1762" s="17" t="n">
        <v>46175</v>
      </c>
      <c r="D1762" s="18" t="n">
        <v>46174</v>
      </c>
      <c r="E1762" s="19" t="n"/>
      <c r="F1762" s="19" t="n"/>
      <c r="G1762" t="inlineStr"/>
      <c r="H1762" t="inlineStr">
        <is>
          <t>Undisclosed</t>
        </is>
      </c>
      <c r="I1762" t="inlineStr">
        <is>
          <t>Undisclosed</t>
        </is>
      </c>
      <c r="J1762" t="inlineStr">
        <is>
          <t>Ecommerce</t>
        </is>
      </c>
      <c r="K1762" t="inlineStr">
        <is>
          <t>Unknown</t>
        </is>
      </c>
      <c r="L1762" t="inlineStr">
        <is>
          <t>Shilpa Shetty Kundra</t>
        </is>
      </c>
      <c r="M1762" t="inlineStr">
        <is>
          <t>Shilpa Shetty Kundra</t>
        </is>
      </c>
      <c r="N1762" t="inlineStr">
        <is>
          <t>inc42</t>
        </is>
      </c>
      <c r="O1762" s="20" t="n">
        <v>1</v>
      </c>
      <c r="P1762" s="21" t="n"/>
      <c r="Q1762" t="inlineStr">
        <is>
          <t>C03 C04 C07</t>
        </is>
      </c>
      <c r="R1762" s="22" t="inlineStr">
        <is>
          <t>https://inc42.com/buzz/from-firstclub-to-innefu-indian-startups-raised-187-mn-this-week/</t>
        </is>
      </c>
    </row>
    <row r="1763">
      <c r="A1763" t="inlineStr">
        <is>
          <t>R260603-agilitassports</t>
        </is>
      </c>
      <c r="B1763" t="inlineStr">
        <is>
          <t>Agilitas Sports</t>
        </is>
      </c>
      <c r="C1763" s="17" t="n">
        <v>46176</v>
      </c>
      <c r="D1763" s="18" t="n">
        <v>46174</v>
      </c>
      <c r="E1763" s="19" t="n">
        <v>23.509</v>
      </c>
      <c r="F1763" s="19" t="n">
        <v>225</v>
      </c>
      <c r="G1763" t="inlineStr">
        <is>
          <t>Rs 225 crore</t>
        </is>
      </c>
      <c r="H1763" t="inlineStr">
        <is>
          <t>Undisclosed</t>
        </is>
      </c>
      <c r="I1763" t="inlineStr">
        <is>
          <t>Undisclosed</t>
        </is>
      </c>
      <c r="J1763" t="inlineStr">
        <is>
          <t>Ecommerce</t>
        </is>
      </c>
      <c r="K1763" t="inlineStr">
        <is>
          <t>Unknown</t>
        </is>
      </c>
      <c r="L1763" t="inlineStr">
        <is>
          <t>Nexus Venture Partners</t>
        </is>
      </c>
      <c r="M1763" t="inlineStr">
        <is>
          <t>Nexus Venture Partners; Rainmatter</t>
        </is>
      </c>
      <c r="N1763" t="inlineStr">
        <is>
          <t>entrackr | inc42 | et | vccircle</t>
        </is>
      </c>
      <c r="O1763" s="20" t="n">
        <v>4</v>
      </c>
      <c r="P1763" s="21" t="n">
        <v>0</v>
      </c>
      <c r="Q1763" t="inlineStr">
        <is>
          <t>C04 C07</t>
        </is>
      </c>
      <c r="R1763" s="22" t="inlineStr">
        <is>
          <t>https://entrackr.com/news/agilitas-sports-raises-rs-225-cr-from-nexus-venture-partners-and-rainmatter-11902304</t>
        </is>
      </c>
    </row>
    <row r="1764">
      <c r="A1764" t="inlineStr">
        <is>
          <t>R260603-fraganote</t>
        </is>
      </c>
      <c r="B1764" t="inlineStr">
        <is>
          <t>Fraganote</t>
        </is>
      </c>
      <c r="C1764" s="17" t="n">
        <v>46176</v>
      </c>
      <c r="D1764" s="18" t="n">
        <v>46174</v>
      </c>
      <c r="E1764" s="19" t="n">
        <v>3</v>
      </c>
      <c r="F1764" s="19" t="n">
        <v>28.71</v>
      </c>
      <c r="G1764" t="inlineStr">
        <is>
          <t>$3 million</t>
        </is>
      </c>
      <c r="H1764" t="inlineStr">
        <is>
          <t>Series A</t>
        </is>
      </c>
      <c r="I1764" t="inlineStr">
        <is>
          <t>Early</t>
        </is>
      </c>
      <c r="J1764" t="inlineStr">
        <is>
          <t>Ecommerce</t>
        </is>
      </c>
      <c r="K1764" t="inlineStr">
        <is>
          <t>Delhi NCR</t>
        </is>
      </c>
      <c r="L1764" t="inlineStr">
        <is>
          <t>V3 Ventures</t>
        </is>
      </c>
      <c r="M1764" t="inlineStr">
        <is>
          <t>V3 Ventures; Rukam Capital</t>
        </is>
      </c>
      <c r="N1764" t="inlineStr">
        <is>
          <t>entrackr | inc42</t>
        </is>
      </c>
      <c r="O1764" s="20" t="n">
        <v>2</v>
      </c>
      <c r="P1764" s="21" t="n">
        <v>0</v>
      </c>
      <c r="Q1764" t="inlineStr">
        <is>
          <t>C18</t>
        </is>
      </c>
      <c r="R1764" s="22" t="inlineStr">
        <is>
          <t>https://entrackr.com/snippets/v3-ventures-leads-3-mn-series-a-round-in-perfumery-brand-fraganote-11905033</t>
        </is>
      </c>
    </row>
    <row r="1765">
      <c r="A1765" t="inlineStr">
        <is>
          <t>R260603-phab</t>
        </is>
      </c>
      <c r="B1765" t="inlineStr">
        <is>
          <t>Phab</t>
        </is>
      </c>
      <c r="C1765" s="17" t="n">
        <v>46176</v>
      </c>
      <c r="D1765" s="18" t="n">
        <v>46174</v>
      </c>
      <c r="E1765" s="19" t="n">
        <v>4</v>
      </c>
      <c r="F1765" s="19" t="n">
        <v>38.28</v>
      </c>
      <c r="G1765" t="inlineStr">
        <is>
          <t>$4 million</t>
        </is>
      </c>
      <c r="H1765" t="inlineStr">
        <is>
          <t>Pre-Series A</t>
        </is>
      </c>
      <c r="I1765" t="inlineStr">
        <is>
          <t>Early</t>
        </is>
      </c>
      <c r="J1765" t="inlineStr">
        <is>
          <t>Ecommerce</t>
        </is>
      </c>
      <c r="K1765" t="inlineStr">
        <is>
          <t>Mumbai</t>
        </is>
      </c>
      <c r="L1765" t="inlineStr">
        <is>
          <t>OTP Ventures; Chona Family Office</t>
        </is>
      </c>
      <c r="M1765" t="inlineStr">
        <is>
          <t>OTP Ventures; Chona Family Office; Capri Global</t>
        </is>
      </c>
      <c r="N1765" t="inlineStr">
        <is>
          <t>entrackr | inc42</t>
        </is>
      </c>
      <c r="O1765" s="20" t="n">
        <v>2</v>
      </c>
      <c r="P1765" s="21" t="n">
        <v>0</v>
      </c>
      <c r="Q1765" t="inlineStr"/>
      <c r="R1765" s="22" t="inlineStr">
        <is>
          <t>https://entrackr.com/snippets/protein-snack-brand-phab-raises-4-mn-in-pre-series-a-round-11904455</t>
        </is>
      </c>
    </row>
    <row r="1766">
      <c r="A1766" t="inlineStr">
        <is>
          <t>R260603-propsoch</t>
        </is>
      </c>
      <c r="B1766" t="inlineStr">
        <is>
          <t>Propsoch</t>
        </is>
      </c>
      <c r="C1766" s="17" t="n">
        <v>46176</v>
      </c>
      <c r="D1766" s="18" t="n">
        <v>46174</v>
      </c>
      <c r="E1766" s="19" t="n">
        <v>2</v>
      </c>
      <c r="F1766" s="19" t="n">
        <v>19.14</v>
      </c>
      <c r="G1766" t="inlineStr">
        <is>
          <t>$2 million</t>
        </is>
      </c>
      <c r="H1766" t="inlineStr">
        <is>
          <t>Seed</t>
        </is>
      </c>
      <c r="I1766" t="inlineStr">
        <is>
          <t>Early</t>
        </is>
      </c>
      <c r="J1766" t="inlineStr">
        <is>
          <t>Real Estate Tech</t>
        </is>
      </c>
      <c r="K1766" t="inlineStr">
        <is>
          <t>Bengaluru</t>
        </is>
      </c>
      <c r="L1766" t="inlineStr">
        <is>
          <t>Athera Venture Partners; Sparrow Capital; Vakil Group</t>
        </is>
      </c>
      <c r="M1766" t="inlineStr">
        <is>
          <t>Athera Venture Partners; Sparrow Capital; Vakil Group</t>
        </is>
      </c>
      <c r="N1766" t="inlineStr">
        <is>
          <t>entrackr | inc42</t>
        </is>
      </c>
      <c r="O1766" s="20" t="n">
        <v>2</v>
      </c>
      <c r="P1766" s="21" t="n">
        <v>0</v>
      </c>
      <c r="Q1766" t="inlineStr"/>
      <c r="R1766" s="22" t="inlineStr">
        <is>
          <t>https://entrackr.com/snippets/homebuyer-advisory-platform-propsoch-raises-2-mn-in-seed-round-11902619</t>
        </is>
      </c>
    </row>
    <row r="1767">
      <c r="A1767" t="inlineStr">
        <is>
          <t>R260603-zuvees</t>
        </is>
      </c>
      <c r="B1767" t="inlineStr">
        <is>
          <t>Zuvees</t>
        </is>
      </c>
      <c r="C1767" s="17" t="n">
        <v>46176</v>
      </c>
      <c r="D1767" s="18" t="n">
        <v>46174</v>
      </c>
      <c r="E1767" s="19" t="n">
        <v>1.567</v>
      </c>
      <c r="F1767" s="19" t="n">
        <v>15</v>
      </c>
      <c r="G1767" t="inlineStr">
        <is>
          <t>Rs 15 crore</t>
        </is>
      </c>
      <c r="H1767" t="inlineStr">
        <is>
          <t>Series A</t>
        </is>
      </c>
      <c r="I1767" t="inlineStr">
        <is>
          <t>Early</t>
        </is>
      </c>
      <c r="J1767" t="inlineStr">
        <is>
          <t>Ecommerce</t>
        </is>
      </c>
      <c r="K1767" t="inlineStr">
        <is>
          <t>Unknown</t>
        </is>
      </c>
      <c r="L1767" t="inlineStr">
        <is>
          <t>IvyCap Ventures</t>
        </is>
      </c>
      <c r="M1767" t="inlineStr">
        <is>
          <t>IvyCap Ventures</t>
        </is>
      </c>
      <c r="N1767" t="inlineStr">
        <is>
          <t>entrackr | inc42</t>
        </is>
      </c>
      <c r="O1767" s="20" t="n">
        <v>2</v>
      </c>
      <c r="P1767" s="21" t="n">
        <v>2.1</v>
      </c>
      <c r="Q1767" t="inlineStr">
        <is>
          <t>C07</t>
        </is>
      </c>
      <c r="R1767" s="22" t="inlineStr">
        <is>
          <t>https://entrackr.com/snippets/gifting-platform-zuvees-raises-rs-15-cr-in-ongoing-series-a-from-ivycap-ventures-11902699</t>
        </is>
      </c>
    </row>
    <row r="1768">
      <c r="A1768" t="inlineStr">
        <is>
          <t>R260604-firstclub</t>
        </is>
      </c>
      <c r="B1768" t="inlineStr">
        <is>
          <t>FirstClub</t>
        </is>
      </c>
      <c r="C1768" s="17" t="n">
        <v>46177</v>
      </c>
      <c r="D1768" s="18" t="n">
        <v>46174</v>
      </c>
      <c r="E1768" s="19" t="n">
        <v>55</v>
      </c>
      <c r="F1768" s="19" t="n">
        <v>526.79</v>
      </c>
      <c r="G1768" t="inlineStr">
        <is>
          <t>$55 million</t>
        </is>
      </c>
      <c r="H1768" t="inlineStr">
        <is>
          <t>Series B</t>
        </is>
      </c>
      <c r="I1768" t="inlineStr">
        <is>
          <t>Growth</t>
        </is>
      </c>
      <c r="J1768" t="inlineStr">
        <is>
          <t>Consumer Services</t>
        </is>
      </c>
      <c r="K1768" t="inlineStr">
        <is>
          <t>Bengaluru</t>
        </is>
      </c>
      <c r="L1768" t="inlineStr">
        <is>
          <t>Peak XV Partners; Sofina</t>
        </is>
      </c>
      <c r="M1768" t="inlineStr">
        <is>
          <t>Peak XV Partners; Sofina; Accel; RTP Global; Paramark Ventures</t>
        </is>
      </c>
      <c r="N1768" t="inlineStr">
        <is>
          <t>entrackr | inc42 | et</t>
        </is>
      </c>
      <c r="O1768" s="20" t="n">
        <v>3</v>
      </c>
      <c r="P1768" s="21" t="n">
        <v>0</v>
      </c>
      <c r="Q1768" t="inlineStr">
        <is>
          <t>C16</t>
        </is>
      </c>
      <c r="R1768" s="22" t="inlineStr">
        <is>
          <t>https://entrackr.com/news/former-flipkart-executives-startup-firstclub-raises-55-mn-led-by-peak-xv-and-sofina-11999444</t>
        </is>
      </c>
    </row>
    <row r="1769">
      <c r="A1769" t="inlineStr">
        <is>
          <t>R260604-gpsrenewables</t>
        </is>
      </c>
      <c r="B1769" t="inlineStr">
        <is>
          <t>GPS Renewables</t>
        </is>
      </c>
      <c r="C1769" s="17" t="n">
        <v>46177</v>
      </c>
      <c r="D1769" s="18" t="n">
        <v>46174</v>
      </c>
      <c r="E1769" s="19" t="n">
        <v>66.298</v>
      </c>
      <c r="F1769" s="19" t="n">
        <v>635</v>
      </c>
      <c r="G1769" t="inlineStr">
        <is>
          <t>Rs 635 crore</t>
        </is>
      </c>
      <c r="H1769" t="inlineStr">
        <is>
          <t>Series C</t>
        </is>
      </c>
      <c r="I1769" t="inlineStr">
        <is>
          <t>Growth</t>
        </is>
      </c>
      <c r="J1769" t="inlineStr">
        <is>
          <t>Cleantech</t>
        </is>
      </c>
      <c r="K1769" t="inlineStr">
        <is>
          <t>Bengaluru</t>
        </is>
      </c>
      <c r="L1769" t="inlineStr">
        <is>
          <t>Sojitz Corporation</t>
        </is>
      </c>
      <c r="M1769" t="inlineStr">
        <is>
          <t>Sojitz Corporation; PixelSky Capital; Spectrum Impact Family Office; IndigoEdge; Hitesh Ahuja</t>
        </is>
      </c>
      <c r="N1769" t="inlineStr">
        <is>
          <t>entrackr | inc42 | et | vccircle</t>
        </is>
      </c>
      <c r="O1769" s="20" t="n">
        <v>4</v>
      </c>
      <c r="P1769" s="21" t="n">
        <v>0.2</v>
      </c>
      <c r="Q1769" t="inlineStr"/>
      <c r="R1769" s="22" t="inlineStr">
        <is>
          <t>https://entrackr.com/snippets/pixelsky-invests-rs-4045-cr-in-gps-renewables-report-11999537</t>
        </is>
      </c>
    </row>
    <row r="1770">
      <c r="A1770" t="inlineStr">
        <is>
          <t>R260604-thesweetchange</t>
        </is>
      </c>
      <c r="B1770" t="inlineStr">
        <is>
          <t>The Sweet Change</t>
        </is>
      </c>
      <c r="C1770" s="17" t="n">
        <v>46177</v>
      </c>
      <c r="D1770" s="18" t="n">
        <v>46174</v>
      </c>
      <c r="E1770" s="19" t="n">
        <v>0.177</v>
      </c>
      <c r="F1770" s="19" t="n">
        <v>1.7</v>
      </c>
      <c r="G1770" t="inlineStr">
        <is>
          <t>Rs 1.7 crore</t>
        </is>
      </c>
      <c r="H1770" t="inlineStr">
        <is>
          <t>Pre-Seed</t>
        </is>
      </c>
      <c r="I1770" t="inlineStr">
        <is>
          <t>Early</t>
        </is>
      </c>
      <c r="J1770" t="inlineStr">
        <is>
          <t>Ecommerce</t>
        </is>
      </c>
      <c r="K1770" t="inlineStr">
        <is>
          <t>Unknown</t>
        </is>
      </c>
      <c r="L1770" t="inlineStr">
        <is>
          <t>Rebalance</t>
        </is>
      </c>
      <c r="M1770" t="inlineStr">
        <is>
          <t>Rebalance</t>
        </is>
      </c>
      <c r="N1770" t="inlineStr">
        <is>
          <t>entrackr | inc42</t>
        </is>
      </c>
      <c r="O1770" s="20" t="n">
        <v>2</v>
      </c>
      <c r="P1770" s="21" t="n">
        <v>5.4</v>
      </c>
      <c r="Q1770" t="inlineStr">
        <is>
          <t>C07 C09</t>
        </is>
      </c>
      <c r="R1770" s="22" t="inlineStr">
        <is>
          <t>https://entrackr.com/snippets/the-sweet-change-raises-rs-17-cr-in-pre-seed-round-led-by-rebalance-12000644</t>
        </is>
      </c>
    </row>
    <row r="1771">
      <c r="A1771" t="inlineStr">
        <is>
          <t>R260604-truefanai</t>
        </is>
      </c>
      <c r="B1771" t="inlineStr">
        <is>
          <t>TrueFan AI</t>
        </is>
      </c>
      <c r="C1771" s="17" t="n">
        <v>46177</v>
      </c>
      <c r="D1771" s="18" t="n">
        <v>46174</v>
      </c>
      <c r="E1771" s="19" t="n">
        <v>10</v>
      </c>
      <c r="F1771" s="19" t="n">
        <v>95.78</v>
      </c>
      <c r="G1771" t="inlineStr">
        <is>
          <t>$10 million</t>
        </is>
      </c>
      <c r="H1771" t="inlineStr">
        <is>
          <t>Series A</t>
        </is>
      </c>
      <c r="I1771" t="inlineStr">
        <is>
          <t>Early</t>
        </is>
      </c>
      <c r="J1771" t="inlineStr">
        <is>
          <t>Artificial Intelligence</t>
        </is>
      </c>
      <c r="K1771" t="inlineStr">
        <is>
          <t>Delhi NCR</t>
        </is>
      </c>
      <c r="L1771" t="inlineStr">
        <is>
          <t>Baring Private Equity Partners India; Z3Partners; Z3 Partners</t>
        </is>
      </c>
      <c r="M1771" t="inlineStr">
        <is>
          <t>Baring Private Equity Partners India; Z3Partners; Indian Angel Network; 3Lines Venture Capital; Z3 Partners; IAN Alpha Fund</t>
        </is>
      </c>
      <c r="N1771" t="inlineStr">
        <is>
          <t>entrackr | inc42 | et</t>
        </is>
      </c>
      <c r="O1771" s="20" t="n">
        <v>3</v>
      </c>
      <c r="P1771" s="21" t="n">
        <v>0</v>
      </c>
      <c r="Q1771" t="inlineStr"/>
      <c r="R1771" s="22" t="inlineStr">
        <is>
          <t>https://entrackr.com/news/video-generation-startup-truefan-ai-raises-10-mn-in-series-a-round-11999795</t>
        </is>
      </c>
    </row>
    <row r="1772">
      <c r="A1772" t="inlineStr">
        <is>
          <t>R260604-voltseal</t>
        </is>
      </c>
      <c r="B1772" t="inlineStr">
        <is>
          <t>VoltSeal</t>
        </is>
      </c>
      <c r="C1772" s="17" t="n">
        <v>46177</v>
      </c>
      <c r="D1772" s="18" t="n">
        <v>46174</v>
      </c>
      <c r="E1772" s="19" t="n">
        <v>1.5</v>
      </c>
      <c r="F1772" s="19" t="n">
        <v>14.37</v>
      </c>
      <c r="G1772" t="inlineStr">
        <is>
          <t>$1.5 Mn</t>
        </is>
      </c>
      <c r="H1772" t="inlineStr">
        <is>
          <t>Pre-Seed</t>
        </is>
      </c>
      <c r="I1772" t="inlineStr">
        <is>
          <t>Early</t>
        </is>
      </c>
      <c r="J1772" t="inlineStr">
        <is>
          <t>Cleantech</t>
        </is>
      </c>
      <c r="K1772" t="inlineStr">
        <is>
          <t>Unknown</t>
        </is>
      </c>
      <c r="L1772" t="inlineStr">
        <is>
          <t>Theia Ventures</t>
        </is>
      </c>
      <c r="M1772" t="inlineStr">
        <is>
          <t>Theia Ventures; Rainmatter; Momentum Capital; Social Alpha</t>
        </is>
      </c>
      <c r="N1772" t="inlineStr">
        <is>
          <t>inc42</t>
        </is>
      </c>
      <c r="O1772" s="20" t="n">
        <v>1</v>
      </c>
      <c r="P1772" s="21" t="n">
        <v>0</v>
      </c>
      <c r="Q1772" t="inlineStr">
        <is>
          <t>C07</t>
        </is>
      </c>
      <c r="R1772" s="22" t="inlineStr">
        <is>
          <t>https://inc42.com/buzz/from-firstclub-to-innefu-indian-startups-raised-187-mn-this-week/</t>
        </is>
      </c>
    </row>
    <row r="1773">
      <c r="A1773" t="inlineStr">
        <is>
          <t>R260604-werize</t>
        </is>
      </c>
      <c r="B1773" t="inlineStr">
        <is>
          <t>WeRize</t>
        </is>
      </c>
      <c r="C1773" s="17" t="n">
        <v>46177</v>
      </c>
      <c r="D1773" s="18" t="n">
        <v>46174</v>
      </c>
      <c r="E1773" s="19" t="n">
        <v>7</v>
      </c>
      <c r="F1773" s="19" t="n">
        <v>67.05</v>
      </c>
      <c r="G1773" t="inlineStr">
        <is>
          <t>$7 million</t>
        </is>
      </c>
      <c r="H1773" t="inlineStr">
        <is>
          <t>Pre-Series C</t>
        </is>
      </c>
      <c r="I1773" t="inlineStr">
        <is>
          <t>Growth</t>
        </is>
      </c>
      <c r="J1773" t="inlineStr">
        <is>
          <t>Fintech</t>
        </is>
      </c>
      <c r="K1773" t="inlineStr">
        <is>
          <t>Bengaluru</t>
        </is>
      </c>
      <c r="L1773" t="inlineStr">
        <is>
          <t>Sony Innovation Fund</t>
        </is>
      </c>
      <c r="M1773" t="inlineStr">
        <is>
          <t>Sony Innovation Fund; 3one4 Capital</t>
        </is>
      </c>
      <c r="N1773" t="inlineStr">
        <is>
          <t>entrackr | inc42 | et</t>
        </is>
      </c>
      <c r="O1773" s="20" t="n">
        <v>3</v>
      </c>
      <c r="P1773" s="21" t="n">
        <v>0</v>
      </c>
      <c r="Q1773" t="inlineStr"/>
      <c r="R1773" s="22" t="inlineStr">
        <is>
          <t>https://entrackr.com/news/sony-innovation-fund-leads-7-mn-round-in-fintech-startup-werize-11999594</t>
        </is>
      </c>
    </row>
    <row r="1774">
      <c r="A1774" t="inlineStr">
        <is>
          <t>R260605-aadyahaerospac</t>
        </is>
      </c>
      <c r="B1774" t="inlineStr">
        <is>
          <t>Aadyah Aerospace</t>
        </is>
      </c>
      <c r="C1774" s="17" t="n">
        <v>46178</v>
      </c>
      <c r="D1774" s="18" t="n">
        <v>46174</v>
      </c>
      <c r="E1774" s="19" t="n">
        <v>3.318</v>
      </c>
      <c r="F1774" s="19" t="n">
        <v>31.5</v>
      </c>
      <c r="G1774" t="inlineStr">
        <is>
          <t>Rs 31.5 crore</t>
        </is>
      </c>
      <c r="H1774" t="inlineStr">
        <is>
          <t>Series A</t>
        </is>
      </c>
      <c r="I1774" t="inlineStr">
        <is>
          <t>Early</t>
        </is>
      </c>
      <c r="J1774" t="inlineStr">
        <is>
          <t>Advanced Hardware &amp; Technology</t>
        </is>
      </c>
      <c r="K1774" t="inlineStr">
        <is>
          <t>Unknown</t>
        </is>
      </c>
      <c r="L1774" t="inlineStr">
        <is>
          <t>Helios Holdings</t>
        </is>
      </c>
      <c r="M1774" t="inlineStr">
        <is>
          <t>Helios Holdings; Meenu Sharma; Suraj Nalin</t>
        </is>
      </c>
      <c r="N1774" t="inlineStr">
        <is>
          <t>entrackr</t>
        </is>
      </c>
      <c r="O1774" s="20" t="n">
        <v>1</v>
      </c>
      <c r="P1774" s="21" t="n">
        <v>0</v>
      </c>
      <c r="Q1774" t="inlineStr">
        <is>
          <t>C07</t>
        </is>
      </c>
      <c r="R1774" s="22" t="inlineStr">
        <is>
          <t>https://entrackr.com/exclusive/exclusive-aadyah-aerospace-raises-fresh-funds-in-series-a-round-12003445</t>
        </is>
      </c>
    </row>
    <row r="1775">
      <c r="A1775" t="inlineStr">
        <is>
          <t>R260605-estrotechrobot</t>
        </is>
      </c>
      <c r="B1775" t="inlineStr">
        <is>
          <t>Estro Tech Robotics</t>
        </is>
      </c>
      <c r="C1775" s="17" t="n">
        <v>46178</v>
      </c>
      <c r="D1775" s="18" t="n">
        <v>46174</v>
      </c>
      <c r="E1775" s="19" t="n">
        <v>0.105</v>
      </c>
      <c r="F1775" s="19" t="n">
        <v>1</v>
      </c>
      <c r="G1775" t="inlineStr">
        <is>
          <t>$105K</t>
        </is>
      </c>
      <c r="H1775" t="inlineStr">
        <is>
          <t>Seed</t>
        </is>
      </c>
      <c r="I1775" t="inlineStr">
        <is>
          <t>Early</t>
        </is>
      </c>
      <c r="J1775" t="inlineStr">
        <is>
          <t>Advanced Hardware &amp; Technology</t>
        </is>
      </c>
      <c r="K1775" t="inlineStr">
        <is>
          <t>Unknown</t>
        </is>
      </c>
      <c r="L1775" t="inlineStr">
        <is>
          <t>Genrobotics</t>
        </is>
      </c>
      <c r="M1775" t="inlineStr">
        <is>
          <t>Genrobotics</t>
        </is>
      </c>
      <c r="N1775" t="inlineStr">
        <is>
          <t>inc42</t>
        </is>
      </c>
      <c r="O1775" s="20" t="n">
        <v>1</v>
      </c>
      <c r="P1775" s="21" t="n">
        <v>0</v>
      </c>
      <c r="Q1775" t="inlineStr">
        <is>
          <t>C07</t>
        </is>
      </c>
      <c r="R1775" s="22" t="inlineStr">
        <is>
          <t>https://inc42.com/buzz/from-firstclub-to-innefu-indian-startups-raised-187-mn-this-week/</t>
        </is>
      </c>
    </row>
    <row r="1776">
      <c r="A1776" t="inlineStr">
        <is>
          <t>R260605-innefulabs</t>
        </is>
      </c>
      <c r="B1776" t="inlineStr">
        <is>
          <t>Innefu Labs</t>
        </is>
      </c>
      <c r="C1776" s="17" t="n">
        <v>46178</v>
      </c>
      <c r="D1776" s="18" t="n">
        <v>46174</v>
      </c>
      <c r="E1776" s="19" t="n">
        <v>30</v>
      </c>
      <c r="F1776" s="19" t="n">
        <v>284.85</v>
      </c>
      <c r="G1776" t="inlineStr">
        <is>
          <t>$30 million</t>
        </is>
      </c>
      <c r="H1776" t="inlineStr">
        <is>
          <t>Series B</t>
        </is>
      </c>
      <c r="I1776" t="inlineStr">
        <is>
          <t>Growth</t>
        </is>
      </c>
      <c r="J1776" t="inlineStr">
        <is>
          <t>Enterprise Tech</t>
        </is>
      </c>
      <c r="K1776" t="inlineStr">
        <is>
          <t>Delhi NCR</t>
        </is>
      </c>
      <c r="L1776" t="inlineStr">
        <is>
          <t>Panthera Growth Partners</t>
        </is>
      </c>
      <c r="M1776" t="inlineStr">
        <is>
          <t>Panthera Growth Partners</t>
        </is>
      </c>
      <c r="N1776" t="inlineStr">
        <is>
          <t>entrackr | inc42 | et</t>
        </is>
      </c>
      <c r="O1776" s="20" t="n">
        <v>3</v>
      </c>
      <c r="P1776" s="21" t="n">
        <v>0</v>
      </c>
      <c r="Q1776" t="inlineStr"/>
      <c r="R1776" s="22" t="inlineStr">
        <is>
          <t>https://entrackr.com/news/panthera-growth-partners-leads-30-mn-series-b-round-in-innefu-labs-12003658</t>
        </is>
      </c>
    </row>
    <row r="1777">
      <c r="A1777" t="inlineStr">
        <is>
          <t>R260608-clearrobotics</t>
        </is>
      </c>
      <c r="B1777" t="inlineStr">
        <is>
          <t>Clear Robotics</t>
        </is>
      </c>
      <c r="C1777" s="17" t="n">
        <v>46181</v>
      </c>
      <c r="D1777" s="18" t="n">
        <v>46174</v>
      </c>
      <c r="E1777" s="19" t="n">
        <v>1.8</v>
      </c>
      <c r="F1777" s="19" t="n">
        <v>17.23</v>
      </c>
      <c r="G1777" t="inlineStr">
        <is>
          <t>$1.8 Mn</t>
        </is>
      </c>
      <c r="H1777" t="inlineStr">
        <is>
          <t>Pre-Series A</t>
        </is>
      </c>
      <c r="I1777" t="inlineStr">
        <is>
          <t>Early</t>
        </is>
      </c>
      <c r="J1777" t="inlineStr">
        <is>
          <t>Advanced Hardware &amp; Technology</t>
        </is>
      </c>
      <c r="K1777" t="inlineStr">
        <is>
          <t>Unknown</t>
        </is>
      </c>
      <c r="L1777" t="inlineStr"/>
      <c r="M1777" t="inlineStr">
        <is>
          <t>ShipsFocus Ventures; Katapult Ocean; SGInnovate; M7 Holdings; MSG Ventures</t>
        </is>
      </c>
      <c r="N1777" t="inlineStr">
        <is>
          <t>inc42</t>
        </is>
      </c>
      <c r="O1777" s="20" t="n">
        <v>1</v>
      </c>
      <c r="P1777" s="21" t="n">
        <v>0</v>
      </c>
      <c r="Q1777" t="inlineStr">
        <is>
          <t>C07</t>
        </is>
      </c>
      <c r="R1777" s="22" t="inlineStr">
        <is>
          <t>https://inc42.com/buzz/from-gps-renewables-to-equal-ai-indian-startups-raised-243-mn-this-week/</t>
        </is>
      </c>
    </row>
    <row r="1778">
      <c r="A1778" t="inlineStr">
        <is>
          <t>R260608-immuneeltherap</t>
        </is>
      </c>
      <c r="B1778" t="inlineStr">
        <is>
          <t>Immuneel Therapeutics</t>
        </is>
      </c>
      <c r="C1778" s="17" t="n">
        <v>46181</v>
      </c>
      <c r="D1778" s="18" t="n">
        <v>46174</v>
      </c>
      <c r="E1778" s="19" t="n">
        <v>10.448</v>
      </c>
      <c r="F1778" s="19" t="n">
        <v>100</v>
      </c>
      <c r="G1778" t="inlineStr">
        <is>
          <t>Rs 100 crore</t>
        </is>
      </c>
      <c r="H1778" t="inlineStr">
        <is>
          <t>Series B</t>
        </is>
      </c>
      <c r="I1778" t="inlineStr">
        <is>
          <t>Growth</t>
        </is>
      </c>
      <c r="J1778" t="inlineStr">
        <is>
          <t>Healthtech</t>
        </is>
      </c>
      <c r="K1778" t="inlineStr">
        <is>
          <t>Bengaluru</t>
        </is>
      </c>
      <c r="L1778" t="inlineStr">
        <is>
          <t>Singularity AMC; Rainmatter</t>
        </is>
      </c>
      <c r="M1778" t="inlineStr">
        <is>
          <t>Singularity AMC; Rainmatter; Kiran Mazumdar-Shaw; Eight Roads Ventures; F-Prime Capital</t>
        </is>
      </c>
      <c r="N1778" t="inlineStr">
        <is>
          <t>entrackr | inc42 | et</t>
        </is>
      </c>
      <c r="O1778" s="20" t="n">
        <v>3</v>
      </c>
      <c r="P1778" s="21" t="n">
        <v>0.5</v>
      </c>
      <c r="Q1778" t="inlineStr"/>
      <c r="R1778" s="22" t="inlineStr">
        <is>
          <t>https://entrackr.com/news/immuneel-therapeutics-raises-over-rs-100-cr-in-series-b-12012724</t>
        </is>
      </c>
    </row>
    <row r="1779">
      <c r="A1779" t="inlineStr">
        <is>
          <t>R260609-bazaarnow</t>
        </is>
      </c>
      <c r="B1779" t="inlineStr">
        <is>
          <t>BazaarNow</t>
        </is>
      </c>
      <c r="C1779" s="17" t="n">
        <v>46182</v>
      </c>
      <c r="D1779" s="18" t="n">
        <v>46174</v>
      </c>
      <c r="E1779" s="19" t="n">
        <v>7.551</v>
      </c>
      <c r="F1779" s="19" t="n">
        <v>72</v>
      </c>
      <c r="G1779" t="inlineStr">
        <is>
          <t>Rs 72 crore</t>
        </is>
      </c>
      <c r="H1779" t="inlineStr">
        <is>
          <t>Pre-Seed</t>
        </is>
      </c>
      <c r="I1779" t="inlineStr">
        <is>
          <t>Early</t>
        </is>
      </c>
      <c r="J1779" t="inlineStr">
        <is>
          <t>Consumer Services</t>
        </is>
      </c>
      <c r="K1779" t="inlineStr">
        <is>
          <t>Bengaluru</t>
        </is>
      </c>
      <c r="L1779" t="inlineStr">
        <is>
          <t>Peak XV Partners</t>
        </is>
      </c>
      <c r="M1779" t="inlineStr">
        <is>
          <t>Peak XV Partners; Whiteboard Capital; Antler; Vidit Aatrey; Karthik Gurumurthy; Prashant Sachan; Nitin Saluja; Arjun Purkayastha; Siddharth Gadia; Ayyappan R; Aravind Charanyan</t>
        </is>
      </c>
      <c r="N1779" t="inlineStr">
        <is>
          <t>entrackr | inc42 | et</t>
        </is>
      </c>
      <c r="O1779" s="20" t="n">
        <v>3</v>
      </c>
      <c r="P1779" s="21" t="n">
        <v>0.7</v>
      </c>
      <c r="Q1779" t="inlineStr">
        <is>
          <t>C11</t>
        </is>
      </c>
      <c r="R1779" s="22" t="inlineStr">
        <is>
          <t>https://entrackr.com/snippets/peak-xv-leads-rs-72-cr-round-in-quick-commerce-platform-bazaarnow-12016925</t>
        </is>
      </c>
    </row>
    <row r="1780">
      <c r="A1780" t="inlineStr">
        <is>
          <t>R260609-celebaltechnol</t>
        </is>
      </c>
      <c r="B1780" t="inlineStr">
        <is>
          <t>Celebal Technologies</t>
        </is>
      </c>
      <c r="C1780" s="17" t="n">
        <v>46182</v>
      </c>
      <c r="D1780" s="18" t="n">
        <v>46174</v>
      </c>
      <c r="E1780" s="19" t="n">
        <v>5.244</v>
      </c>
      <c r="F1780" s="19" t="n">
        <v>50</v>
      </c>
      <c r="G1780" t="inlineStr">
        <is>
          <t>Rs 50 crore</t>
        </is>
      </c>
      <c r="H1780" t="inlineStr">
        <is>
          <t>Debt</t>
        </is>
      </c>
      <c r="I1780" t="inlineStr">
        <is>
          <t>Debt</t>
        </is>
      </c>
      <c r="J1780" t="inlineStr">
        <is>
          <t>Enterprise Tech</t>
        </is>
      </c>
      <c r="K1780" t="inlineStr">
        <is>
          <t>Jaipur</t>
        </is>
      </c>
      <c r="L1780" t="inlineStr">
        <is>
          <t>BlackSoil Capital</t>
        </is>
      </c>
      <c r="M1780" t="inlineStr">
        <is>
          <t>BlackSoil Capital</t>
        </is>
      </c>
      <c r="N1780" t="inlineStr">
        <is>
          <t>entrackr | inc42</t>
        </is>
      </c>
      <c r="O1780" s="20" t="n">
        <v>2</v>
      </c>
      <c r="P1780" s="21" t="n">
        <v>0.8</v>
      </c>
      <c r="Q1780" t="inlineStr"/>
      <c r="R1780" s="22" t="inlineStr">
        <is>
          <t>https://entrackr.com/snippets/celebal-technologies-raises-rs-50-cr-from-blacksoil-capital-12017982</t>
        </is>
      </c>
    </row>
    <row r="1781">
      <c r="A1781" t="inlineStr">
        <is>
          <t>R260609-integrarobotic</t>
        </is>
      </c>
      <c r="B1781" t="inlineStr">
        <is>
          <t>Integra Robotics</t>
        </is>
      </c>
      <c r="C1781" s="17" t="n">
        <v>46182</v>
      </c>
      <c r="D1781" s="18" t="n">
        <v>46174</v>
      </c>
      <c r="E1781" s="19" t="n">
        <v>1.12</v>
      </c>
      <c r="F1781" s="19" t="n">
        <v>10.68</v>
      </c>
      <c r="G1781" t="inlineStr">
        <is>
          <t>$1.12 million</t>
        </is>
      </c>
      <c r="H1781" t="inlineStr">
        <is>
          <t>Pre-Series A</t>
        </is>
      </c>
      <c r="I1781" t="inlineStr">
        <is>
          <t>Early</t>
        </is>
      </c>
      <c r="J1781" t="inlineStr">
        <is>
          <t>Advanced Hardware &amp; Technology</t>
        </is>
      </c>
      <c r="K1781" t="inlineStr">
        <is>
          <t>Unknown</t>
        </is>
      </c>
      <c r="L1781" t="inlineStr">
        <is>
          <t>Finvolve; India Accelerator</t>
        </is>
      </c>
      <c r="M1781" t="inlineStr">
        <is>
          <t>Finvolve; India Accerelator; GrowthCap Venture Fund; India Accelerator</t>
        </is>
      </c>
      <c r="N1781" t="inlineStr">
        <is>
          <t>entrackr | inc42</t>
        </is>
      </c>
      <c r="O1781" s="20" t="n">
        <v>2</v>
      </c>
      <c r="P1781" s="21" t="n">
        <v>1.8</v>
      </c>
      <c r="Q1781" t="inlineStr">
        <is>
          <t>C07</t>
        </is>
      </c>
      <c r="R1781" s="22" t="inlineStr">
        <is>
          <t>https://entrackr.com/snippets/integra-robotics-raises-112-mn-in-pre-series-a-round-12017897</t>
        </is>
      </c>
    </row>
    <row r="1782">
      <c r="A1782" t="inlineStr">
        <is>
          <t>R260609-theweddingcomp</t>
        </is>
      </c>
      <c r="B1782" t="inlineStr">
        <is>
          <t>The Wedding Company</t>
        </is>
      </c>
      <c r="C1782" s="17" t="n">
        <v>46182</v>
      </c>
      <c r="D1782" s="18" t="n">
        <v>46174</v>
      </c>
      <c r="E1782" s="19" t="n">
        <v>2.75</v>
      </c>
      <c r="F1782" s="19" t="n">
        <v>26.22</v>
      </c>
      <c r="G1782" t="inlineStr">
        <is>
          <t>$2.75 million</t>
        </is>
      </c>
      <c r="H1782" t="inlineStr">
        <is>
          <t>Seed</t>
        </is>
      </c>
      <c r="I1782" t="inlineStr">
        <is>
          <t>Early</t>
        </is>
      </c>
      <c r="J1782" t="inlineStr">
        <is>
          <t>Consumer Services</t>
        </is>
      </c>
      <c r="K1782" t="inlineStr">
        <is>
          <t>Bengaluru</t>
        </is>
      </c>
      <c r="L1782" t="inlineStr">
        <is>
          <t>Wellingdon Advisors LLP</t>
        </is>
      </c>
      <c r="M1782" t="inlineStr">
        <is>
          <t>Wellingdon Advisors LLP; LVX; Tremis Capital; Synergy Capital Partner; Vivek Mathur; Rahul Garg; Apurva Patel; Chaitanya Ramalingegowda; Ajith Pai; Arash Ferdowsi</t>
        </is>
      </c>
      <c r="N1782" t="inlineStr">
        <is>
          <t>entrackr | inc42</t>
        </is>
      </c>
      <c r="O1782" s="20" t="n">
        <v>2</v>
      </c>
      <c r="P1782" s="21" t="n">
        <v>1.8</v>
      </c>
      <c r="Q1782" t="inlineStr"/>
      <c r="R1782" s="22" t="inlineStr">
        <is>
          <t>https://entrackr.com/snippets/the-wedding-company-raises-275-mn-in-seed-round-12014070</t>
        </is>
      </c>
    </row>
    <row r="1783">
      <c r="A1783" t="inlineStr">
        <is>
          <t>R260610-exponentenergy</t>
        </is>
      </c>
      <c r="B1783" t="inlineStr">
        <is>
          <t>Exponent Energy</t>
        </is>
      </c>
      <c r="C1783" s="17" t="n">
        <v>46183</v>
      </c>
      <c r="D1783" s="18" t="n">
        <v>46174</v>
      </c>
      <c r="E1783" s="19" t="n">
        <v>20.993</v>
      </c>
      <c r="F1783" s="19" t="n">
        <v>200</v>
      </c>
      <c r="G1783" t="inlineStr">
        <is>
          <t>Rs 200 crore</t>
        </is>
      </c>
      <c r="H1783" t="inlineStr">
        <is>
          <t>Series B</t>
        </is>
      </c>
      <c r="I1783" t="inlineStr">
        <is>
          <t>Growth</t>
        </is>
      </c>
      <c r="J1783" t="inlineStr">
        <is>
          <t>Cleantech</t>
        </is>
      </c>
      <c r="K1783" t="inlineStr">
        <is>
          <t>Bengaluru</t>
        </is>
      </c>
      <c r="L1783" t="inlineStr">
        <is>
          <t>360 ONE Asset; TDK Ventures; Lightspeed; 3one4 Capital; AdvantEdge VC</t>
        </is>
      </c>
      <c r="M1783" t="inlineStr">
        <is>
          <t>360 ONE Asset; TDK Ventures; Hitachi Ventures; Lightspeed; Eight Roads Ventures; 3one4 Capital; AdvantEdge VC</t>
        </is>
      </c>
      <c r="N1783" t="inlineStr">
        <is>
          <t>entrackr | inc42 | et | vccircle</t>
        </is>
      </c>
      <c r="O1783" s="20" t="n">
        <v>4</v>
      </c>
      <c r="P1783" s="21" t="n">
        <v>0.5</v>
      </c>
      <c r="Q1783" t="inlineStr"/>
      <c r="R1783" s="22" t="inlineStr">
        <is>
          <t>https://entrackr.com/news/exponent-energy-raises-200-cr-in-series-b2-round-led-by-360-one-asset-and-tdk-ventures-12020238</t>
        </is>
      </c>
    </row>
    <row r="1784">
      <c r="A1784" t="inlineStr">
        <is>
          <t>R260610-fold</t>
        </is>
      </c>
      <c r="B1784" t="inlineStr">
        <is>
          <t>Fold</t>
        </is>
      </c>
      <c r="C1784" s="17" t="n">
        <v>46183</v>
      </c>
      <c r="D1784" s="18" t="n">
        <v>46174</v>
      </c>
      <c r="E1784" s="19" t="n"/>
      <c r="F1784" s="19" t="n"/>
      <c r="G1784" t="inlineStr"/>
      <c r="H1784" t="inlineStr">
        <is>
          <t>Undisclosed</t>
        </is>
      </c>
      <c r="I1784" t="inlineStr">
        <is>
          <t>Undisclosed</t>
        </is>
      </c>
      <c r="J1784" t="inlineStr">
        <is>
          <t>Fintech</t>
        </is>
      </c>
      <c r="K1784" t="inlineStr">
        <is>
          <t>Unknown</t>
        </is>
      </c>
      <c r="L1784" t="inlineStr">
        <is>
          <t>Rainmatter</t>
        </is>
      </c>
      <c r="M1784" t="inlineStr">
        <is>
          <t>Rainmatter</t>
        </is>
      </c>
      <c r="N1784" t="inlineStr">
        <is>
          <t>inc42</t>
        </is>
      </c>
      <c r="O1784" s="20" t="n">
        <v>1</v>
      </c>
      <c r="P1784" s="21" t="n"/>
      <c r="Q1784" t="inlineStr">
        <is>
          <t>C03 C04 C07</t>
        </is>
      </c>
      <c r="R1784" s="22" t="inlineStr">
        <is>
          <t>https://inc42.com/buzz/from-gps-renewables-to-equal-ai-indian-startups-raised-243-mn-this-week/</t>
        </is>
      </c>
    </row>
    <row r="1785">
      <c r="A1785" t="inlineStr">
        <is>
          <t>R260610-hoolahealth</t>
        </is>
      </c>
      <c r="B1785" t="inlineStr">
        <is>
          <t>Hoola Health</t>
        </is>
      </c>
      <c r="C1785" s="17" t="n">
        <v>46183</v>
      </c>
      <c r="D1785" s="18" t="n">
        <v>46174</v>
      </c>
      <c r="E1785" s="19" t="n">
        <v>5</v>
      </c>
      <c r="F1785" s="19" t="n">
        <v>47.64</v>
      </c>
      <c r="G1785" t="inlineStr">
        <is>
          <t>$5 million</t>
        </is>
      </c>
      <c r="H1785" t="inlineStr">
        <is>
          <t>Seed</t>
        </is>
      </c>
      <c r="I1785" t="inlineStr">
        <is>
          <t>Early</t>
        </is>
      </c>
      <c r="J1785" t="inlineStr">
        <is>
          <t>Healthtech</t>
        </is>
      </c>
      <c r="K1785" t="inlineStr">
        <is>
          <t>Bengaluru</t>
        </is>
      </c>
      <c r="L1785" t="inlineStr">
        <is>
          <t>Surge; W Health Ventures</t>
        </is>
      </c>
      <c r="M1785" t="inlineStr">
        <is>
          <t>Surge; W Health Ventures; Ashish Gupta; Abhishek Goyal; Bijou Kurien</t>
        </is>
      </c>
      <c r="N1785" t="inlineStr">
        <is>
          <t>entrackr | inc42 | et</t>
        </is>
      </c>
      <c r="O1785" s="20" t="n">
        <v>3</v>
      </c>
      <c r="P1785" s="21" t="n">
        <v>0</v>
      </c>
      <c r="Q1785" t="inlineStr"/>
      <c r="R1785" s="22" t="inlineStr">
        <is>
          <t>https://entrackr.com/snippets/paediatric-healthcare-startup-hoola-health-raises-5-mn-led-by-peak-xvs-surge-12020600</t>
        </is>
      </c>
    </row>
    <row r="1786">
      <c r="A1786" t="inlineStr">
        <is>
          <t>R260610-hypernormai</t>
        </is>
      </c>
      <c r="B1786" t="inlineStr">
        <is>
          <t>HyperNorm AI</t>
        </is>
      </c>
      <c r="C1786" s="17" t="n">
        <v>46183</v>
      </c>
      <c r="D1786" s="18" t="n">
        <v>46174</v>
      </c>
      <c r="E1786" s="19" t="n">
        <v>2.2</v>
      </c>
      <c r="F1786" s="19" t="n">
        <v>20.96</v>
      </c>
      <c r="G1786" t="inlineStr">
        <is>
          <t>$2.2 million</t>
        </is>
      </c>
      <c r="H1786" t="inlineStr">
        <is>
          <t>Seed</t>
        </is>
      </c>
      <c r="I1786" t="inlineStr">
        <is>
          <t>Early</t>
        </is>
      </c>
      <c r="J1786" t="inlineStr">
        <is>
          <t>Artificial Intelligence</t>
        </is>
      </c>
      <c r="K1786" t="inlineStr">
        <is>
          <t>Unknown</t>
        </is>
      </c>
      <c r="L1786" t="inlineStr">
        <is>
          <t>Capital 2B; SenseAI Ventures</t>
        </is>
      </c>
      <c r="M1786" t="inlineStr">
        <is>
          <t>Capital 2B; SenseAI Ventures; Boundless Ventures; Amit Sheth; Bhavin Manek</t>
        </is>
      </c>
      <c r="N1786" t="inlineStr">
        <is>
          <t>entrackr | inc42</t>
        </is>
      </c>
      <c r="O1786" s="20" t="n">
        <v>2</v>
      </c>
      <c r="P1786" s="21" t="n">
        <v>0</v>
      </c>
      <c r="Q1786" t="inlineStr">
        <is>
          <t>C07</t>
        </is>
      </c>
      <c r="R1786" s="22" t="inlineStr">
        <is>
          <t>https://entrackr.com/snippets/wealth-advisory-startup-hypernorm-ai-raises-22-mn-in-seed-funding-12020942</t>
        </is>
      </c>
    </row>
    <row r="1787">
      <c r="A1787" t="inlineStr">
        <is>
          <t>R260610-mygate</t>
        </is>
      </c>
      <c r="B1787" t="inlineStr">
        <is>
          <t>MyGate</t>
        </is>
      </c>
      <c r="C1787" s="17" t="n">
        <v>46183</v>
      </c>
      <c r="D1787" s="18" t="n">
        <v>46174</v>
      </c>
      <c r="E1787" s="19" t="n">
        <v>23.617</v>
      </c>
      <c r="F1787" s="19" t="n">
        <v>225</v>
      </c>
      <c r="G1787" t="inlineStr">
        <is>
          <t>Rs 225 crore</t>
        </is>
      </c>
      <c r="H1787" t="inlineStr">
        <is>
          <t>Undisclosed</t>
        </is>
      </c>
      <c r="I1787" t="inlineStr">
        <is>
          <t>Undisclosed</t>
        </is>
      </c>
      <c r="J1787" t="inlineStr">
        <is>
          <t>Real Estate Tech</t>
        </is>
      </c>
      <c r="K1787" t="inlineStr">
        <is>
          <t>Unknown</t>
        </is>
      </c>
      <c r="L1787" t="inlineStr">
        <is>
          <t>Dharana Capital</t>
        </is>
      </c>
      <c r="M1787" t="inlineStr">
        <is>
          <t>Dharana Capital</t>
        </is>
      </c>
      <c r="N1787" t="inlineStr">
        <is>
          <t>entrackr | inc42 | vccircle</t>
        </is>
      </c>
      <c r="O1787" s="20" t="n">
        <v>3</v>
      </c>
      <c r="P1787" s="21" t="n">
        <v>1.7</v>
      </c>
      <c r="Q1787" t="inlineStr">
        <is>
          <t>C04 C07</t>
        </is>
      </c>
      <c r="R1787" s="22" t="inlineStr">
        <is>
          <t>https://entrackr.com/news/mygate-secures-rs-225-cr-from-dharana-capital-12020130</t>
        </is>
      </c>
    </row>
    <row r="1788">
      <c r="A1788" t="inlineStr">
        <is>
          <t>R260610-rivvunai</t>
        </is>
      </c>
      <c r="B1788" t="inlineStr">
        <is>
          <t>Rivvun AI</t>
        </is>
      </c>
      <c r="C1788" s="17" t="n">
        <v>46183</v>
      </c>
      <c r="D1788" s="18" t="n">
        <v>46174</v>
      </c>
      <c r="E1788" s="19" t="n">
        <v>7.55</v>
      </c>
      <c r="F1788" s="19" t="n">
        <v>71.93000000000001</v>
      </c>
      <c r="G1788" t="inlineStr">
        <is>
          <t>$7.55 million</t>
        </is>
      </c>
      <c r="H1788" t="inlineStr">
        <is>
          <t>Seed</t>
        </is>
      </c>
      <c r="I1788" t="inlineStr">
        <is>
          <t>Early</t>
        </is>
      </c>
      <c r="J1788" t="inlineStr">
        <is>
          <t>Artificial Intelligence</t>
        </is>
      </c>
      <c r="K1788" t="inlineStr">
        <is>
          <t>Pune</t>
        </is>
      </c>
      <c r="L1788" t="inlineStr">
        <is>
          <t>Sitara Capital; 3one4 Capital</t>
        </is>
      </c>
      <c r="M1788" t="inlineStr">
        <is>
          <t>Sitara Capital; 3one4 Capital</t>
        </is>
      </c>
      <c r="N1788" t="inlineStr">
        <is>
          <t>entrackr | inc42 | et</t>
        </is>
      </c>
      <c r="O1788" s="20" t="n">
        <v>3</v>
      </c>
      <c r="P1788" s="21" t="n">
        <v>0.7</v>
      </c>
      <c r="Q1788" t="inlineStr"/>
      <c r="R1788" s="22" t="inlineStr">
        <is>
          <t>https://economictimes.indiatimes.com/tech/funding/rivvun-ai-raises-7-55-million-led-by-sitara-capital-3one4-capital/articleshow/131636944.cms</t>
        </is>
      </c>
    </row>
    <row r="1789">
      <c r="A1789" t="inlineStr">
        <is>
          <t>R260610-uniseoul</t>
        </is>
      </c>
      <c r="B1789" t="inlineStr">
        <is>
          <t>Uni Seoul</t>
        </is>
      </c>
      <c r="C1789" s="17" t="n">
        <v>46183</v>
      </c>
      <c r="D1789" s="18" t="n">
        <v>46174</v>
      </c>
      <c r="E1789" s="19" t="n">
        <v>3.674</v>
      </c>
      <c r="F1789" s="19" t="n">
        <v>35</v>
      </c>
      <c r="G1789" t="inlineStr">
        <is>
          <t>Rs 35 crore</t>
        </is>
      </c>
      <c r="H1789" t="inlineStr">
        <is>
          <t>Series A</t>
        </is>
      </c>
      <c r="I1789" t="inlineStr">
        <is>
          <t>Early</t>
        </is>
      </c>
      <c r="J1789" t="inlineStr">
        <is>
          <t>Ecommerce</t>
        </is>
      </c>
      <c r="K1789" t="inlineStr">
        <is>
          <t>Pune</t>
        </is>
      </c>
      <c r="L1789" t="inlineStr">
        <is>
          <t>Riverwalk Holdings; Sauce.vc</t>
        </is>
      </c>
      <c r="M1789" t="inlineStr">
        <is>
          <t>Riverwalk Holdings; Sauce.vc; Panthera Peak Ventures</t>
        </is>
      </c>
      <c r="N1789" t="inlineStr">
        <is>
          <t>entrackr | inc42</t>
        </is>
      </c>
      <c r="O1789" s="20" t="n">
        <v>2</v>
      </c>
      <c r="P1789" s="21" t="n">
        <v>2</v>
      </c>
      <c r="Q1789" t="inlineStr"/>
      <c r="R1789" s="22" t="inlineStr">
        <is>
          <t>https://entrackr.com/snippets/impulse-lifestyle-retail-brand-uni-seoul-raises-rs-35-cr-in-series-a-round-12022701</t>
        </is>
      </c>
    </row>
    <row r="1790">
      <c r="A1790" t="inlineStr">
        <is>
          <t>R260611-4basecare</t>
        </is>
      </c>
      <c r="B1790" t="inlineStr">
        <is>
          <t>4baseCare</t>
        </is>
      </c>
      <c r="C1790" s="17" t="n">
        <v>46184</v>
      </c>
      <c r="D1790" s="18" t="n">
        <v>46174</v>
      </c>
      <c r="E1790" s="19" t="n">
        <v>13.367</v>
      </c>
      <c r="F1790" s="19" t="n">
        <v>128</v>
      </c>
      <c r="G1790" t="inlineStr">
        <is>
          <t>Rs 128 crore</t>
        </is>
      </c>
      <c r="H1790" t="inlineStr">
        <is>
          <t>Series B</t>
        </is>
      </c>
      <c r="I1790" t="inlineStr">
        <is>
          <t>Growth</t>
        </is>
      </c>
      <c r="J1790" t="inlineStr">
        <is>
          <t>Healthtech</t>
        </is>
      </c>
      <c r="K1790" t="inlineStr">
        <is>
          <t>Bengaluru</t>
        </is>
      </c>
      <c r="L1790" t="inlineStr">
        <is>
          <t>Infosys</t>
        </is>
      </c>
      <c r="M1790" t="inlineStr">
        <is>
          <t>Infosys; Ashish Kacholia; Lashit Sanghvi; Yali Capital</t>
        </is>
      </c>
      <c r="N1790" t="inlineStr">
        <is>
          <t>entrackr | inc42 | et | vccircle</t>
        </is>
      </c>
      <c r="O1790" s="20" t="n">
        <v>4</v>
      </c>
      <c r="P1790" s="21" t="n">
        <v>234.2</v>
      </c>
      <c r="Q1790" t="inlineStr">
        <is>
          <t>C15</t>
        </is>
      </c>
      <c r="R1790" s="22" t="inlineStr">
        <is>
          <t>https://entrackr.com/news/infosys-backed-precision-oncology-startup-4basecare-raises-rs-128-cr-12024079</t>
        </is>
      </c>
    </row>
    <row r="1791">
      <c r="A1791" t="inlineStr">
        <is>
          <t>R260611-biodimension</t>
        </is>
      </c>
      <c r="B1791" t="inlineStr">
        <is>
          <t>Biodimension</t>
        </is>
      </c>
      <c r="C1791" s="17" t="n">
        <v>46184</v>
      </c>
      <c r="D1791" s="18" t="n">
        <v>46174</v>
      </c>
      <c r="E1791" s="19" t="n">
        <v>0.835</v>
      </c>
      <c r="F1791" s="19" t="n">
        <v>8</v>
      </c>
      <c r="G1791" t="inlineStr">
        <is>
          <t>Rs 8 crore</t>
        </is>
      </c>
      <c r="H1791" t="inlineStr">
        <is>
          <t>Undisclosed</t>
        </is>
      </c>
      <c r="I1791" t="inlineStr">
        <is>
          <t>Undisclosed</t>
        </is>
      </c>
      <c r="J1791" t="inlineStr">
        <is>
          <t>Healthtech</t>
        </is>
      </c>
      <c r="K1791" t="inlineStr">
        <is>
          <t>Bengaluru</t>
        </is>
      </c>
      <c r="L1791" t="inlineStr">
        <is>
          <t>Indian Angel Network; IAN Angel Fund</t>
        </is>
      </c>
      <c r="M1791" t="inlineStr">
        <is>
          <t>Indian Angel Network; Campus Angels Network; Sampath Srisailam; IAN Angel Fund</t>
        </is>
      </c>
      <c r="N1791" t="inlineStr">
        <is>
          <t>entrackr | inc42</t>
        </is>
      </c>
      <c r="O1791" s="20" t="n">
        <v>2</v>
      </c>
      <c r="P1791" s="21" t="n">
        <v>0.7</v>
      </c>
      <c r="Q1791" t="inlineStr">
        <is>
          <t>C04 C17</t>
        </is>
      </c>
      <c r="R1791" s="22" t="inlineStr">
        <is>
          <t>https://entrackr.com/snippets/biodimension-secures-rs-8-cr-from-ian-angel-fund-others-12026979</t>
        </is>
      </c>
    </row>
    <row r="1792">
      <c r="A1792" t="inlineStr">
        <is>
          <t>R260611-dartle</t>
        </is>
      </c>
      <c r="B1792" t="inlineStr">
        <is>
          <t>Dartle</t>
        </is>
      </c>
      <c r="C1792" s="17" t="n">
        <v>46184</v>
      </c>
      <c r="D1792" s="18" t="n">
        <v>46174</v>
      </c>
      <c r="E1792" s="19" t="n">
        <v>0.1</v>
      </c>
      <c r="F1792" s="19" t="n">
        <v>0.96</v>
      </c>
      <c r="G1792" t="inlineStr">
        <is>
          <t>$100,000</t>
        </is>
      </c>
      <c r="H1792" t="inlineStr">
        <is>
          <t>Seed</t>
        </is>
      </c>
      <c r="I1792" t="inlineStr">
        <is>
          <t>Early</t>
        </is>
      </c>
      <c r="J1792" t="inlineStr">
        <is>
          <t>Enterprise Tech</t>
        </is>
      </c>
      <c r="K1792" t="inlineStr">
        <is>
          <t>Unknown</t>
        </is>
      </c>
      <c r="L1792" t="inlineStr">
        <is>
          <t>Inflection Point Ventures</t>
        </is>
      </c>
      <c r="M1792" t="inlineStr">
        <is>
          <t>Inflection Point Ventures</t>
        </is>
      </c>
      <c r="N1792" t="inlineStr">
        <is>
          <t>entrackr | inc42</t>
        </is>
      </c>
      <c r="O1792" s="20" t="n">
        <v>2</v>
      </c>
      <c r="P1792" s="21" t="n">
        <v>0</v>
      </c>
      <c r="Q1792" t="inlineStr">
        <is>
          <t>C07 C11</t>
        </is>
      </c>
      <c r="R1792" s="22" t="inlineStr">
        <is>
          <t>https://entrackr.com/snippets/sports-tech-startup-dartle-raises-100k-in-seed-funding-led-by-ipv-12026482</t>
        </is>
      </c>
    </row>
    <row r="1793">
      <c r="A1793" t="inlineStr">
        <is>
          <t>R260611-dreamaerospace</t>
        </is>
      </c>
      <c r="B1793" t="inlineStr">
        <is>
          <t>Dream Aerospace</t>
        </is>
      </c>
      <c r="C1793" s="17" t="n">
        <v>46184</v>
      </c>
      <c r="D1793" s="18" t="n">
        <v>46174</v>
      </c>
      <c r="E1793" s="19" t="n">
        <v>1.044</v>
      </c>
      <c r="F1793" s="19" t="n">
        <v>10</v>
      </c>
      <c r="G1793" t="inlineStr">
        <is>
          <t>Rs 10 crore</t>
        </is>
      </c>
      <c r="H1793" t="inlineStr">
        <is>
          <t>Pre-Series A</t>
        </is>
      </c>
      <c r="I1793" t="inlineStr">
        <is>
          <t>Early</t>
        </is>
      </c>
      <c r="J1793" t="inlineStr">
        <is>
          <t>Advanced Hardware &amp; Technology</t>
        </is>
      </c>
      <c r="K1793" t="inlineStr">
        <is>
          <t>Chennai</t>
        </is>
      </c>
      <c r="L1793" t="inlineStr">
        <is>
          <t>247VC; Campus Angels Network</t>
        </is>
      </c>
      <c r="M1793" t="inlineStr">
        <is>
          <t>247VC; Campus Angels Network; Chandigarh Angels Network</t>
        </is>
      </c>
      <c r="N1793" t="inlineStr">
        <is>
          <t>entrackr | inc42</t>
        </is>
      </c>
      <c r="O1793" s="20" t="n">
        <v>2</v>
      </c>
      <c r="P1793" s="21" t="n">
        <v>14.9</v>
      </c>
      <c r="Q1793" t="inlineStr">
        <is>
          <t>C15</t>
        </is>
      </c>
      <c r="R1793" s="22" t="inlineStr">
        <is>
          <t>https://inc42.com/buzz/from-gps-renewables-to-equal-ai-indian-startups-raised-243-mn-this-week/</t>
        </is>
      </c>
    </row>
    <row r="1794">
      <c r="A1794" t="inlineStr">
        <is>
          <t>R260611-etherealmachin</t>
        </is>
      </c>
      <c r="B1794" t="inlineStr">
        <is>
          <t>Ethereal Machines</t>
        </is>
      </c>
      <c r="C1794" s="17" t="n">
        <v>46184</v>
      </c>
      <c r="D1794" s="18" t="n">
        <v>46174</v>
      </c>
      <c r="E1794" s="19" t="n">
        <v>28.5</v>
      </c>
      <c r="F1794" s="19" t="n">
        <v>272.92</v>
      </c>
      <c r="G1794" t="inlineStr">
        <is>
          <t>$28.5 million</t>
        </is>
      </c>
      <c r="H1794" t="inlineStr">
        <is>
          <t>Series B</t>
        </is>
      </c>
      <c r="I1794" t="inlineStr">
        <is>
          <t>Growth</t>
        </is>
      </c>
      <c r="J1794" t="inlineStr">
        <is>
          <t>Advanced Hardware &amp; Technology</t>
        </is>
      </c>
      <c r="K1794" t="inlineStr">
        <is>
          <t>Bengaluru</t>
        </is>
      </c>
      <c r="L1794" t="inlineStr">
        <is>
          <t>Avataar Ventures</t>
        </is>
      </c>
      <c r="M1794" t="inlineStr">
        <is>
          <t>Avataar Ventures; Peak XV Partners</t>
        </is>
      </c>
      <c r="N1794" t="inlineStr">
        <is>
          <t>entrackr | inc42 | et | vccircle</t>
        </is>
      </c>
      <c r="O1794" s="20" t="n">
        <v>4</v>
      </c>
      <c r="P1794" s="21" t="n">
        <v>0</v>
      </c>
      <c r="Q1794" t="inlineStr"/>
      <c r="R1794" s="22" t="inlineStr">
        <is>
          <t>https://entrackr.com/news/ethereal-machines-raises-285-mn-in-series-b-round-led-by-avataar-ventures-12023907</t>
        </is>
      </c>
    </row>
    <row r="1795">
      <c r="A1795" t="inlineStr">
        <is>
          <t>R260611-manamchocolate</t>
        </is>
      </c>
      <c r="B1795" t="inlineStr">
        <is>
          <t>Manam Chocolate</t>
        </is>
      </c>
      <c r="C1795" s="17" t="n">
        <v>46184</v>
      </c>
      <c r="D1795" s="18" t="n">
        <v>46174</v>
      </c>
      <c r="E1795" s="19" t="n">
        <v>9</v>
      </c>
      <c r="F1795" s="19" t="n">
        <v>86.18000000000001</v>
      </c>
      <c r="G1795" t="inlineStr">
        <is>
          <t>$9 million</t>
        </is>
      </c>
      <c r="H1795" t="inlineStr">
        <is>
          <t>Series A</t>
        </is>
      </c>
      <c r="I1795" t="inlineStr">
        <is>
          <t>Early</t>
        </is>
      </c>
      <c r="J1795" t="inlineStr">
        <is>
          <t>Foodtech</t>
        </is>
      </c>
      <c r="K1795" t="inlineStr">
        <is>
          <t>Hyderabad</t>
        </is>
      </c>
      <c r="L1795" t="inlineStr">
        <is>
          <t>Omnivore; Turner Morrison consortium</t>
        </is>
      </c>
      <c r="M1795" t="inlineStr">
        <is>
          <t>Omnivore; Turner Morrison consortium</t>
        </is>
      </c>
      <c r="N1795" t="inlineStr">
        <is>
          <t>entrackr | inc42 | et</t>
        </is>
      </c>
      <c r="O1795" s="20" t="n">
        <v>3</v>
      </c>
      <c r="P1795" s="21" t="n">
        <v>0</v>
      </c>
      <c r="Q1795" t="inlineStr"/>
      <c r="R1795" s="22" t="inlineStr">
        <is>
          <t>https://entrackr.com/snippets/omnivore-leads-9-mn-funding-round-in-manam-chocolate-12024676</t>
        </is>
      </c>
    </row>
    <row r="1796">
      <c r="A1796" t="inlineStr">
        <is>
          <t>R260611-qubehealthpay</t>
        </is>
      </c>
      <c r="B1796" t="inlineStr">
        <is>
          <t>QubeHealth-Pay</t>
        </is>
      </c>
      <c r="C1796" s="17" t="n">
        <v>46184</v>
      </c>
      <c r="D1796" s="18" t="n">
        <v>46174</v>
      </c>
      <c r="E1796" s="19" t="n">
        <v>44</v>
      </c>
      <c r="F1796" s="19" t="n">
        <v>421.34</v>
      </c>
      <c r="G1796" t="inlineStr">
        <is>
          <t>$44 million</t>
        </is>
      </c>
      <c r="H1796" t="inlineStr">
        <is>
          <t>Series A</t>
        </is>
      </c>
      <c r="I1796" t="inlineStr">
        <is>
          <t>Early</t>
        </is>
      </c>
      <c r="J1796" t="inlineStr">
        <is>
          <t>Fintech</t>
        </is>
      </c>
      <c r="K1796" t="inlineStr">
        <is>
          <t>Mumbai</t>
        </is>
      </c>
      <c r="L1796" t="inlineStr"/>
      <c r="M1796" t="inlineStr">
        <is>
          <t>Unicorn India Ventures; IA Growth Opportunities Fund; Brew Opportunities Fund; Finvolve Ventures; FirstPort Capital; Maithan Family Office</t>
        </is>
      </c>
      <c r="N1796" t="inlineStr">
        <is>
          <t>entrackr | inc42</t>
        </is>
      </c>
      <c r="O1796" s="20" t="n">
        <v>2</v>
      </c>
      <c r="P1796" s="21" t="n">
        <v>0</v>
      </c>
      <c r="Q1796" t="inlineStr"/>
      <c r="R1796" s="22" t="inlineStr">
        <is>
          <t>https://entrackr.com/snippets/qubehealth-pay-raises-series-a-at-rs-416-cr-valuation-12024061</t>
        </is>
      </c>
    </row>
    <row r="1797">
      <c r="A1797" t="inlineStr">
        <is>
          <t>R260612-equalai</t>
        </is>
      </c>
      <c r="B1797" t="inlineStr">
        <is>
          <t>Equal AI</t>
        </is>
      </c>
      <c r="C1797" s="17" t="n">
        <v>46185</v>
      </c>
      <c r="D1797" s="18" t="n">
        <v>46174</v>
      </c>
      <c r="E1797" s="19" t="n">
        <v>30</v>
      </c>
      <c r="F1797" s="19" t="n">
        <v>285.36</v>
      </c>
      <c r="G1797" t="inlineStr">
        <is>
          <t>$30 million</t>
        </is>
      </c>
      <c r="H1797" t="inlineStr">
        <is>
          <t>Series B</t>
        </is>
      </c>
      <c r="I1797" t="inlineStr">
        <is>
          <t>Growth</t>
        </is>
      </c>
      <c r="J1797" t="inlineStr">
        <is>
          <t>Artificial Intelligence</t>
        </is>
      </c>
      <c r="K1797" t="inlineStr">
        <is>
          <t>Hyderabad</t>
        </is>
      </c>
      <c r="L1797" t="inlineStr">
        <is>
          <t>Prosus Ventures; Tomales Bay Capital</t>
        </is>
      </c>
      <c r="M1797" t="inlineStr">
        <is>
          <t>Prosus Ventures; Tomales Bay Capital; Think Investments; Valiant Fund; Sameer Nigam; Zubin Bharti Mittal; Anshu Sharma; Sandhya Devanathan; Sridhar Pinnapureddy; Meta India</t>
        </is>
      </c>
      <c r="N1797" t="inlineStr">
        <is>
          <t>entrackr | inc42 | et | vccircle</t>
        </is>
      </c>
      <c r="O1797" s="20" t="n">
        <v>4</v>
      </c>
      <c r="P1797" s="21" t="n">
        <v>0</v>
      </c>
      <c r="Q1797" t="inlineStr"/>
      <c r="R1797" s="22" t="inlineStr">
        <is>
          <t>https://entrackr.com/news/equal-ai-raises-30-mn-series-b-round-led-by-prosus-and-tomales-bay-capital-12029860</t>
        </is>
      </c>
    </row>
    <row r="1798">
      <c r="A1798" t="inlineStr">
        <is>
          <t>R260612-fittr</t>
        </is>
      </c>
      <c r="B1798" t="inlineStr">
        <is>
          <t>Fittr</t>
        </is>
      </c>
      <c r="C1798" s="17" t="n">
        <v>46185</v>
      </c>
      <c r="D1798" s="18" t="n">
        <v>46174</v>
      </c>
      <c r="E1798" s="19" t="n"/>
      <c r="F1798" s="19" t="n"/>
      <c r="G1798" t="inlineStr"/>
      <c r="H1798" t="inlineStr">
        <is>
          <t>Undisclosed</t>
        </is>
      </c>
      <c r="I1798" t="inlineStr">
        <is>
          <t>Undisclosed</t>
        </is>
      </c>
      <c r="J1798" t="inlineStr">
        <is>
          <t>Consumer Services</t>
        </is>
      </c>
      <c r="K1798" t="inlineStr">
        <is>
          <t>Unknown</t>
        </is>
      </c>
      <c r="L1798" t="inlineStr">
        <is>
          <t>Rohit Sharma</t>
        </is>
      </c>
      <c r="M1798" t="inlineStr">
        <is>
          <t>Rohit Sharma</t>
        </is>
      </c>
      <c r="N1798" t="inlineStr">
        <is>
          <t>inc42</t>
        </is>
      </c>
      <c r="O1798" s="20" t="n">
        <v>1</v>
      </c>
      <c r="P1798" s="21" t="n"/>
      <c r="Q1798" t="inlineStr">
        <is>
          <t>C03 C04 C07</t>
        </is>
      </c>
      <c r="R1798" s="22" t="inlineStr">
        <is>
          <t>https://inc42.com/buzz/from-gps-renewables-to-equal-ai-indian-startups-raised-243-mn-this-week/</t>
        </is>
      </c>
    </row>
    <row r="1799">
      <c r="A1799" t="inlineStr">
        <is>
          <t>R260612-rekisemarine</t>
        </is>
      </c>
      <c r="B1799" t="inlineStr">
        <is>
          <t>Rekise Marine</t>
        </is>
      </c>
      <c r="C1799" s="17" t="n">
        <v>46185</v>
      </c>
      <c r="D1799" s="18" t="n">
        <v>46174</v>
      </c>
      <c r="E1799" s="19" t="n">
        <v>9.699999999999999</v>
      </c>
      <c r="F1799" s="19" t="n">
        <v>92.27</v>
      </c>
      <c r="G1799" t="inlineStr">
        <is>
          <t>$9.7 million</t>
        </is>
      </c>
      <c r="H1799" t="inlineStr">
        <is>
          <t>Seed</t>
        </is>
      </c>
      <c r="I1799" t="inlineStr">
        <is>
          <t>Early</t>
        </is>
      </c>
      <c r="J1799" t="inlineStr">
        <is>
          <t>Advanced Hardware &amp; Technology</t>
        </is>
      </c>
      <c r="K1799" t="inlineStr">
        <is>
          <t>Bengaluru</t>
        </is>
      </c>
      <c r="L1799" t="inlineStr">
        <is>
          <t>Accel; NKSquared; Nikhil Kamath</t>
        </is>
      </c>
      <c r="M1799" t="inlineStr">
        <is>
          <t>Accel; NKSquared; Sameer Brij Verma; Sandeep Singhal; Industrial47; Singularity AMC; Nikhil Kamath</t>
        </is>
      </c>
      <c r="N1799" t="inlineStr">
        <is>
          <t>entrackr | inc42 | et</t>
        </is>
      </c>
      <c r="O1799" s="20" t="n">
        <v>3</v>
      </c>
      <c r="P1799" s="21" t="n">
        <v>0</v>
      </c>
      <c r="Q1799" t="inlineStr"/>
      <c r="R1799" s="22" t="inlineStr">
        <is>
          <t>https://entrackr.com/news/rekise-marine-raises-97-mn-seed-round-led-by-accel-and-nksquared-12029316</t>
        </is>
      </c>
    </row>
    <row r="1800">
      <c r="A1800" t="inlineStr">
        <is>
          <t>R260612-trevel</t>
        </is>
      </c>
      <c r="B1800" t="inlineStr">
        <is>
          <t>Trevel</t>
        </is>
      </c>
      <c r="C1800" s="17" t="n">
        <v>46185</v>
      </c>
      <c r="D1800" s="18" t="n">
        <v>46174</v>
      </c>
      <c r="E1800" s="19" t="n">
        <v>1</v>
      </c>
      <c r="F1800" s="19" t="n">
        <v>9.51</v>
      </c>
      <c r="G1800" t="inlineStr">
        <is>
          <t>$1 million</t>
        </is>
      </c>
      <c r="H1800" t="inlineStr">
        <is>
          <t>Undisclosed</t>
        </is>
      </c>
      <c r="I1800" t="inlineStr">
        <is>
          <t>Undisclosed</t>
        </is>
      </c>
      <c r="J1800" t="inlineStr">
        <is>
          <t>Travel Tech</t>
        </is>
      </c>
      <c r="K1800" t="inlineStr">
        <is>
          <t>Delhi NCR</t>
        </is>
      </c>
      <c r="L1800" t="inlineStr">
        <is>
          <t>India Accelerator; Finvolve; Haldiram Family Office; Rohit Qamra</t>
        </is>
      </c>
      <c r="M1800" t="inlineStr">
        <is>
          <t>India Accelerator; Finvolve; Haldiram Family Office; Rohit Qamra; RMRN Ventures; BP Jain Holdings; Bipin Preet Singh; Aakash Goyal; Aakash Anand; Aditya Singh</t>
        </is>
      </c>
      <c r="N1800" t="inlineStr">
        <is>
          <t>entrackr | inc42</t>
        </is>
      </c>
      <c r="O1800" s="20" t="n">
        <v>2</v>
      </c>
      <c r="P1800" s="21" t="n">
        <v>0</v>
      </c>
      <c r="Q1800" t="inlineStr">
        <is>
          <t>C04</t>
        </is>
      </c>
      <c r="R1800" s="22" t="inlineStr">
        <is>
          <t>https://entrackr.com/snippets/ev-mobility-startup-trevel-raises-1-mn-led-by-india-accelerator-and-finvolve-12030541</t>
        </is>
      </c>
    </row>
    <row r="1801">
      <c r="A1801" t="inlineStr">
        <is>
          <t>R260613-zumutorbiologi</t>
        </is>
      </c>
      <c r="B1801" t="inlineStr">
        <is>
          <t>Zumutor Biologics</t>
        </is>
      </c>
      <c r="C1801" s="17" t="n">
        <v>46186</v>
      </c>
      <c r="D1801" s="18" t="n">
        <v>46174</v>
      </c>
      <c r="E1801" s="19" t="n">
        <v>7.3</v>
      </c>
      <c r="F1801" s="19" t="n">
        <v>69.44</v>
      </c>
      <c r="G1801" t="inlineStr">
        <is>
          <t>$7.3 million</t>
        </is>
      </c>
      <c r="H1801" t="inlineStr">
        <is>
          <t>Series B</t>
        </is>
      </c>
      <c r="I1801" t="inlineStr">
        <is>
          <t>Growth</t>
        </is>
      </c>
      <c r="J1801" t="inlineStr">
        <is>
          <t>Healthtech</t>
        </is>
      </c>
      <c r="K1801" t="inlineStr">
        <is>
          <t>Bengaluru</t>
        </is>
      </c>
      <c r="L1801" t="inlineStr">
        <is>
          <t>Accel; Bharat Innovation Fund</t>
        </is>
      </c>
      <c r="M1801" t="inlineStr">
        <is>
          <t>Accel; Bharat Innovation Fund; Premji Invest; Ashish Kacholia; Raj Dandu</t>
        </is>
      </c>
      <c r="N1801" t="inlineStr">
        <is>
          <t>entrackr | inc42</t>
        </is>
      </c>
      <c r="O1801" s="20" t="n">
        <v>2</v>
      </c>
      <c r="P1801" s="21" t="n">
        <v>0</v>
      </c>
      <c r="Q1801" t="inlineStr">
        <is>
          <t>C18</t>
        </is>
      </c>
      <c r="R1801" s="22" t="inlineStr">
        <is>
          <t>https://inc42.com/buzz/from-sarvam-to-influish-indian-startups-raised-426-mn-this-week/</t>
        </is>
      </c>
    </row>
    <row r="1802">
      <c r="A1802" t="inlineStr">
        <is>
          <t>R260615-autovrse</t>
        </is>
      </c>
      <c r="B1802" t="inlineStr">
        <is>
          <t>AutoVRse</t>
        </is>
      </c>
      <c r="C1802" s="17" t="n">
        <v>46188</v>
      </c>
      <c r="D1802" s="18" t="n">
        <v>46174</v>
      </c>
      <c r="E1802" s="19" t="n">
        <v>2.4</v>
      </c>
      <c r="F1802" s="19" t="n">
        <v>22.73</v>
      </c>
      <c r="G1802" t="inlineStr">
        <is>
          <t>$2.4 million</t>
        </is>
      </c>
      <c r="H1802" t="inlineStr">
        <is>
          <t>Undisclosed</t>
        </is>
      </c>
      <c r="I1802" t="inlineStr">
        <is>
          <t>Undisclosed</t>
        </is>
      </c>
      <c r="J1802" t="inlineStr">
        <is>
          <t>Advanced Hardware &amp; Technology</t>
        </is>
      </c>
      <c r="K1802" t="inlineStr">
        <is>
          <t>Bengaluru</t>
        </is>
      </c>
      <c r="L1802" t="inlineStr">
        <is>
          <t>Singularity AMC; Lumikai; Large Value Fund III; Early Opportunities Fund</t>
        </is>
      </c>
      <c r="M1802" t="inlineStr">
        <is>
          <t>Singularity AMC; Lumikai; Large Value Fund III; Early Opportunities Fund</t>
        </is>
      </c>
      <c r="N1802" t="inlineStr">
        <is>
          <t>entrackr | inc42</t>
        </is>
      </c>
      <c r="O1802" s="20" t="n">
        <v>2</v>
      </c>
      <c r="P1802" s="21" t="n">
        <v>0</v>
      </c>
      <c r="Q1802" t="inlineStr">
        <is>
          <t>C04</t>
        </is>
      </c>
      <c r="R1802" s="22" t="inlineStr">
        <is>
          <t>https://entrackr.com/snippets/autovrse-raises-24-mn-from-singularity-amc-and-lumikai-12040208</t>
        </is>
      </c>
    </row>
    <row r="1803">
      <c r="A1803" t="inlineStr">
        <is>
          <t>R260615-foodstories</t>
        </is>
      </c>
      <c r="B1803" t="inlineStr">
        <is>
          <t>Foodstories</t>
        </is>
      </c>
      <c r="C1803" s="17" t="n">
        <v>46188</v>
      </c>
      <c r="D1803" s="18" t="n">
        <v>46174</v>
      </c>
      <c r="E1803" s="19" t="n">
        <v>5.279</v>
      </c>
      <c r="F1803" s="19" t="n">
        <v>50</v>
      </c>
      <c r="G1803" t="inlineStr">
        <is>
          <t>Rs 50 crore</t>
        </is>
      </c>
      <c r="H1803" t="inlineStr">
        <is>
          <t>Series B</t>
        </is>
      </c>
      <c r="I1803" t="inlineStr">
        <is>
          <t>Growth</t>
        </is>
      </c>
      <c r="J1803" t="inlineStr">
        <is>
          <t>Foodtech</t>
        </is>
      </c>
      <c r="K1803" t="inlineStr">
        <is>
          <t>Mumbai</t>
        </is>
      </c>
      <c r="L1803" t="inlineStr">
        <is>
          <t>Nikhil Kamath</t>
        </is>
      </c>
      <c r="M1803" t="inlineStr">
        <is>
          <t>Nikhil Kamath; Narotam Sekhsaria Family Office</t>
        </is>
      </c>
      <c r="N1803" t="inlineStr">
        <is>
          <t>entrackr | inc42 | et</t>
        </is>
      </c>
      <c r="O1803" s="20" t="n">
        <v>3</v>
      </c>
      <c r="P1803" s="21" t="n">
        <v>1.5</v>
      </c>
      <c r="Q1803" t="inlineStr"/>
      <c r="R1803" s="22" t="inlineStr">
        <is>
          <t>https://entrackr.com/snippets/gourmet-retail-startup-foodstories-secures-rs-50-cr-led-by-nikhil-kamath-12040846</t>
        </is>
      </c>
    </row>
    <row r="1804">
      <c r="A1804" t="inlineStr">
        <is>
          <t>R260615-sarvam</t>
        </is>
      </c>
      <c r="B1804" t="inlineStr">
        <is>
          <t>Sarvam</t>
        </is>
      </c>
      <c r="C1804" s="17" t="n">
        <v>46188</v>
      </c>
      <c r="D1804" s="18" t="n">
        <v>46174</v>
      </c>
      <c r="E1804" s="19" t="n">
        <v>234</v>
      </c>
      <c r="F1804" s="19" t="n">
        <v>2216.45</v>
      </c>
      <c r="G1804" t="inlineStr">
        <is>
          <t>$234 million</t>
        </is>
      </c>
      <c r="H1804" t="inlineStr">
        <is>
          <t>Series B</t>
        </is>
      </c>
      <c r="I1804" t="inlineStr">
        <is>
          <t>Growth</t>
        </is>
      </c>
      <c r="J1804" t="inlineStr">
        <is>
          <t>Artificial Intelligence</t>
        </is>
      </c>
      <c r="K1804" t="inlineStr">
        <is>
          <t>Bengaluru</t>
        </is>
      </c>
      <c r="L1804" t="inlineStr">
        <is>
          <t>HCLTech</t>
        </is>
      </c>
      <c r="M1804" t="inlineStr">
        <is>
          <t>HCLTech; Bessemer Venture Partners; Khosla Ventures; Peak XV Partners</t>
        </is>
      </c>
      <c r="N1804" t="inlineStr">
        <is>
          <t>entrackr | inc42 | et</t>
        </is>
      </c>
      <c r="O1804" s="20" t="n">
        <v>3</v>
      </c>
      <c r="P1804" s="21" t="n">
        <v>0</v>
      </c>
      <c r="Q1804" t="inlineStr">
        <is>
          <t>C11</t>
        </is>
      </c>
      <c r="R1804" s="22" t="inlineStr">
        <is>
          <t>https://entrackr.com/news/sarvam-turns-unicorn-after-234-mn-round-led-by-hcltech-12041322</t>
        </is>
      </c>
    </row>
    <row r="1805">
      <c r="A1805" t="inlineStr">
        <is>
          <t>R260616-contravaultai</t>
        </is>
      </c>
      <c r="B1805" t="inlineStr">
        <is>
          <t>ContraVault AI</t>
        </is>
      </c>
      <c r="C1805" s="17" t="n">
        <v>46189</v>
      </c>
      <c r="D1805" s="18" t="n">
        <v>46174</v>
      </c>
      <c r="E1805" s="19" t="n">
        <v>3.1</v>
      </c>
      <c r="F1805" s="19" t="n">
        <v>29.31</v>
      </c>
      <c r="G1805" t="inlineStr">
        <is>
          <t>$3.1 million</t>
        </is>
      </c>
      <c r="H1805" t="inlineStr">
        <is>
          <t>Pre-Series A</t>
        </is>
      </c>
      <c r="I1805" t="inlineStr">
        <is>
          <t>Early</t>
        </is>
      </c>
      <c r="J1805" t="inlineStr">
        <is>
          <t>Artificial Intelligence</t>
        </is>
      </c>
      <c r="K1805" t="inlineStr">
        <is>
          <t>Bengaluru</t>
        </is>
      </c>
      <c r="L1805" t="inlineStr">
        <is>
          <t>Chiratae Ventures</t>
        </is>
      </c>
      <c r="M1805" t="inlineStr">
        <is>
          <t>Chiratae Ventures; Titan Capital</t>
        </is>
      </c>
      <c r="N1805" t="inlineStr">
        <is>
          <t>entrackr | inc42 | et</t>
        </is>
      </c>
      <c r="O1805" s="20" t="n">
        <v>3</v>
      </c>
      <c r="P1805" s="21" t="n">
        <v>0</v>
      </c>
      <c r="Q1805" t="inlineStr"/>
      <c r="R1805" s="22" t="inlineStr">
        <is>
          <t>https://entrackr.com/snippets/contravault-ai-raises-31-mn-in-pre-series-a-round-led-by-chiratae-ventures-12043985</t>
        </is>
      </c>
    </row>
    <row r="1806">
      <c r="A1806" t="inlineStr">
        <is>
          <t>R260616-crest</t>
        </is>
      </c>
      <c r="B1806" t="inlineStr">
        <is>
          <t>CREST</t>
        </is>
      </c>
      <c r="C1806" s="17" t="n">
        <v>46189</v>
      </c>
      <c r="D1806" s="18" t="n">
        <v>46174</v>
      </c>
      <c r="E1806" s="19" t="n">
        <v>3.1</v>
      </c>
      <c r="F1806" s="19" t="n">
        <v>29.31</v>
      </c>
      <c r="G1806" t="inlineStr">
        <is>
          <t>$3.1 million</t>
        </is>
      </c>
      <c r="H1806" t="inlineStr">
        <is>
          <t>Pre-Seed</t>
        </is>
      </c>
      <c r="I1806" t="inlineStr">
        <is>
          <t>Early</t>
        </is>
      </c>
      <c r="J1806" t="inlineStr">
        <is>
          <t>Fintech</t>
        </is>
      </c>
      <c r="K1806" t="inlineStr">
        <is>
          <t>Unknown</t>
        </is>
      </c>
      <c r="L1806" t="inlineStr">
        <is>
          <t>Atrium Ventures; BEENEXT; DeVC; Sparrow; Shastra VC; Warmup Ventures; 91ventures</t>
        </is>
      </c>
      <c r="M1806" t="inlineStr">
        <is>
          <t>Atrium Ventures; BEENEXT; DeVC; Sparrow; Shastra VC; Warmup Ventures; 91ventures; Amit Ranjan; Chirag Taneja; Revant Bhate; Shantanu Deshpande; Kashish Sharma</t>
        </is>
      </c>
      <c r="N1806" t="inlineStr">
        <is>
          <t>entrackr | inc42</t>
        </is>
      </c>
      <c r="O1806" s="20" t="n">
        <v>2</v>
      </c>
      <c r="P1806" s="21" t="n">
        <v>0</v>
      </c>
      <c r="Q1806" t="inlineStr">
        <is>
          <t>C07</t>
        </is>
      </c>
      <c r="R1806" s="22" t="inlineStr">
        <is>
          <t>https://entrackr.com/snippets/wealth-management-startup-crest-secures-31-mn-in-pre-seed-round-12044185</t>
        </is>
      </c>
    </row>
    <row r="1807">
      <c r="A1807" t="inlineStr">
        <is>
          <t>R260616-gimimichi</t>
        </is>
      </c>
      <c r="B1807" t="inlineStr">
        <is>
          <t>Gimi Michi</t>
        </is>
      </c>
      <c r="C1807" s="17" t="n">
        <v>46189</v>
      </c>
      <c r="D1807" s="18" t="n">
        <v>46174</v>
      </c>
      <c r="E1807" s="19" t="n">
        <v>1</v>
      </c>
      <c r="F1807" s="19" t="n">
        <v>9.460000000000001</v>
      </c>
      <c r="G1807" t="inlineStr">
        <is>
          <t>$1 million</t>
        </is>
      </c>
      <c r="H1807" t="inlineStr">
        <is>
          <t>Seed</t>
        </is>
      </c>
      <c r="I1807" t="inlineStr">
        <is>
          <t>Early</t>
        </is>
      </c>
      <c r="J1807" t="inlineStr">
        <is>
          <t>Ecommerce</t>
        </is>
      </c>
      <c r="K1807" t="inlineStr">
        <is>
          <t>Delhi NCR</t>
        </is>
      </c>
      <c r="L1807" t="inlineStr">
        <is>
          <t>IndiaQuotient</t>
        </is>
      </c>
      <c r="M1807" t="inlineStr">
        <is>
          <t>IndiaQuotient; DeVC; Titan Capital; IIMA Ventures</t>
        </is>
      </c>
      <c r="N1807" t="inlineStr">
        <is>
          <t>entrackr | inc42 | et</t>
        </is>
      </c>
      <c r="O1807" s="20" t="n">
        <v>3</v>
      </c>
      <c r="P1807" s="21" t="n">
        <v>0</v>
      </c>
      <c r="Q1807" t="inlineStr"/>
      <c r="R1807" s="22" t="inlineStr">
        <is>
          <t>https://entrackr.com/snippets/korean-fmcg-startup-gimi-michi-raises-1-mn-seed-round-led-by-indiaquotient-12043369</t>
        </is>
      </c>
    </row>
    <row r="1808">
      <c r="A1808" t="inlineStr">
        <is>
          <t>R260616-omlikids</t>
        </is>
      </c>
      <c r="B1808" t="inlineStr">
        <is>
          <t>Omli Kids</t>
        </is>
      </c>
      <c r="C1808" s="17" t="n">
        <v>46189</v>
      </c>
      <c r="D1808" s="18" t="n">
        <v>46174</v>
      </c>
      <c r="E1808" s="19" t="n">
        <v>1.5</v>
      </c>
      <c r="F1808" s="19" t="n">
        <v>14.18</v>
      </c>
      <c r="G1808" t="inlineStr">
        <is>
          <t>$1.5 Mn</t>
        </is>
      </c>
      <c r="H1808" t="inlineStr">
        <is>
          <t>Seed</t>
        </is>
      </c>
      <c r="I1808" t="inlineStr">
        <is>
          <t>Early</t>
        </is>
      </c>
      <c r="J1808" t="inlineStr">
        <is>
          <t>Edtech</t>
        </is>
      </c>
      <c r="K1808" t="inlineStr">
        <is>
          <t>Unknown</t>
        </is>
      </c>
      <c r="L1808" t="inlineStr">
        <is>
          <t>IndiaQuotient</t>
        </is>
      </c>
      <c r="M1808" t="inlineStr">
        <is>
          <t>IndiaQuotient; General Catalyst</t>
        </is>
      </c>
      <c r="N1808" t="inlineStr">
        <is>
          <t>inc42</t>
        </is>
      </c>
      <c r="O1808" s="20" t="n">
        <v>1</v>
      </c>
      <c r="P1808" s="21" t="n">
        <v>0</v>
      </c>
      <c r="Q1808" t="inlineStr">
        <is>
          <t>C07</t>
        </is>
      </c>
      <c r="R1808" s="22" t="inlineStr">
        <is>
          <t>https://inc42.com/buzz/from-sarvam-to-influish-indian-startups-raised-426-mn-this-week/</t>
        </is>
      </c>
    </row>
    <row r="1809">
      <c r="A1809" t="inlineStr">
        <is>
          <t>R260616-solarsquare</t>
        </is>
      </c>
      <c r="B1809" t="inlineStr">
        <is>
          <t>SolarSquare</t>
        </is>
      </c>
      <c r="C1809" s="17" t="n">
        <v>46189</v>
      </c>
      <c r="D1809" s="18" t="n">
        <v>46174</v>
      </c>
      <c r="E1809" s="19" t="n">
        <v>53</v>
      </c>
      <c r="F1809" s="19" t="n">
        <v>501.17</v>
      </c>
      <c r="G1809" t="inlineStr">
        <is>
          <t>$53 million</t>
        </is>
      </c>
      <c r="H1809" t="inlineStr">
        <is>
          <t>Series C</t>
        </is>
      </c>
      <c r="I1809" t="inlineStr">
        <is>
          <t>Growth</t>
        </is>
      </c>
      <c r="J1809" t="inlineStr">
        <is>
          <t>Cleantech</t>
        </is>
      </c>
      <c r="K1809" t="inlineStr">
        <is>
          <t>Mumbai</t>
        </is>
      </c>
      <c r="L1809" t="inlineStr">
        <is>
          <t>Lightspeed; B Capital</t>
        </is>
      </c>
      <c r="M1809" t="inlineStr">
        <is>
          <t>Lightspeed; Lowercarbon Capital; Rainmatter; Good Capital; B Capital; Elevation Capital</t>
        </is>
      </c>
      <c r="N1809" t="inlineStr">
        <is>
          <t>entrackr | inc42 | et | vccircle</t>
        </is>
      </c>
      <c r="O1809" s="20" t="n">
        <v>4</v>
      </c>
      <c r="P1809" s="21" t="n">
        <v>0</v>
      </c>
      <c r="Q1809" t="inlineStr">
        <is>
          <t>C17</t>
        </is>
      </c>
      <c r="R1809" s="22" t="inlineStr">
        <is>
          <t>https://entrackr.com/news/solarsquare-raises-53-mn-in-series-c-led-by-b-capital-12042666</t>
        </is>
      </c>
    </row>
    <row r="1810">
      <c r="A1810" t="inlineStr">
        <is>
          <t>R260616-speedioo</t>
        </is>
      </c>
      <c r="B1810" t="inlineStr">
        <is>
          <t>Speedioo</t>
        </is>
      </c>
      <c r="C1810" s="17" t="n">
        <v>46189</v>
      </c>
      <c r="D1810" s="18" t="n">
        <v>46174</v>
      </c>
      <c r="E1810" s="19" t="n">
        <v>1.058</v>
      </c>
      <c r="F1810" s="19" t="n">
        <v>10</v>
      </c>
      <c r="G1810" t="inlineStr">
        <is>
          <t>Rs 10 crore</t>
        </is>
      </c>
      <c r="H1810" t="inlineStr">
        <is>
          <t>Seed</t>
        </is>
      </c>
      <c r="I1810" t="inlineStr">
        <is>
          <t>Early</t>
        </is>
      </c>
      <c r="J1810" t="inlineStr">
        <is>
          <t>Ecommerce</t>
        </is>
      </c>
      <c r="K1810" t="inlineStr">
        <is>
          <t>Pune</t>
        </is>
      </c>
      <c r="L1810" t="inlineStr">
        <is>
          <t>Atomic Capital</t>
        </is>
      </c>
      <c r="M1810" t="inlineStr">
        <is>
          <t>Atomic Capital</t>
        </is>
      </c>
      <c r="N1810" t="inlineStr">
        <is>
          <t>entrackr | inc42 | et</t>
        </is>
      </c>
      <c r="O1810" s="20" t="n">
        <v>3</v>
      </c>
      <c r="P1810" s="21" t="n">
        <v>4</v>
      </c>
      <c r="Q1810" t="inlineStr"/>
      <c r="R1810" s="22" t="inlineStr">
        <is>
          <t>https://entrackr.com/snippets/used-two-wheeler-platform-speedioo-raises-seed-funding-led-by-atomic-capital-12043624</t>
        </is>
      </c>
    </row>
    <row r="1811">
      <c r="A1811" t="inlineStr">
        <is>
          <t>R260616-trackersuiteai</t>
        </is>
      </c>
      <c r="B1811" t="inlineStr">
        <is>
          <t>TrackerSuite</t>
        </is>
      </c>
      <c r="C1811" s="17" t="n">
        <v>46189</v>
      </c>
      <c r="D1811" s="18" t="n">
        <v>46174</v>
      </c>
      <c r="E1811" s="19" t="n">
        <v>0.635</v>
      </c>
      <c r="F1811" s="19" t="n">
        <v>6</v>
      </c>
      <c r="G1811" t="inlineStr">
        <is>
          <t>Rs 6 crore</t>
        </is>
      </c>
      <c r="H1811" t="inlineStr">
        <is>
          <t>Pre-Series A</t>
        </is>
      </c>
      <c r="I1811" t="inlineStr">
        <is>
          <t>Early</t>
        </is>
      </c>
      <c r="J1811" t="inlineStr">
        <is>
          <t>Enterprise Tech</t>
        </is>
      </c>
      <c r="K1811" t="inlineStr">
        <is>
          <t>Unknown</t>
        </is>
      </c>
      <c r="L1811" t="inlineStr"/>
      <c r="M1811" t="inlineStr">
        <is>
          <t>Pontaq.VC; Shubhan Ventures; Candle Advisors</t>
        </is>
      </c>
      <c r="N1811" t="inlineStr">
        <is>
          <t>entrackr | inc42</t>
        </is>
      </c>
      <c r="O1811" s="20" t="n">
        <v>2</v>
      </c>
      <c r="P1811" s="21" t="n">
        <v>0.1</v>
      </c>
      <c r="Q1811" t="inlineStr">
        <is>
          <t>C07</t>
        </is>
      </c>
      <c r="R1811" s="22" t="inlineStr">
        <is>
          <t>https://entrackr.com/snippets/business-automation-platform-trackersuite-ai-raises-pre-series-a-round-12043831</t>
        </is>
      </c>
    </row>
    <row r="1812">
      <c r="A1812" t="inlineStr">
        <is>
          <t>R260616-trunativ</t>
        </is>
      </c>
      <c r="B1812" t="inlineStr">
        <is>
          <t>TruNativ</t>
        </is>
      </c>
      <c r="C1812" s="17" t="n">
        <v>46189</v>
      </c>
      <c r="D1812" s="18" t="n">
        <v>46174</v>
      </c>
      <c r="E1812" s="19" t="n">
        <v>30</v>
      </c>
      <c r="F1812" s="19" t="n">
        <v>283.68</v>
      </c>
      <c r="G1812" t="inlineStr">
        <is>
          <t>$30 million</t>
        </is>
      </c>
      <c r="H1812" t="inlineStr">
        <is>
          <t>Series B</t>
        </is>
      </c>
      <c r="I1812" t="inlineStr">
        <is>
          <t>Growth</t>
        </is>
      </c>
      <c r="J1812" t="inlineStr">
        <is>
          <t>Ecommerce</t>
        </is>
      </c>
      <c r="K1812" t="inlineStr">
        <is>
          <t>Mumbai</t>
        </is>
      </c>
      <c r="L1812" t="inlineStr">
        <is>
          <t>OrbiMed</t>
        </is>
      </c>
      <c r="M1812" t="inlineStr">
        <is>
          <t>OrbiMed; 100Unicorns; Rainmatter; Venture Catalysts</t>
        </is>
      </c>
      <c r="N1812" t="inlineStr">
        <is>
          <t>entrackr | inc42 | et | vccircle</t>
        </is>
      </c>
      <c r="O1812" s="20" t="n">
        <v>4</v>
      </c>
      <c r="P1812" s="21" t="n">
        <v>0</v>
      </c>
      <c r="Q1812" t="inlineStr"/>
      <c r="R1812" s="22" t="inlineStr">
        <is>
          <t>https://entrackr.com/news/nutrition-brand-trunativ-raises-30-mn-led-by-orbimed-12044882</t>
        </is>
      </c>
    </row>
    <row r="1813">
      <c r="A1813" t="inlineStr">
        <is>
          <t>R260617-influish</t>
        </is>
      </c>
      <c r="B1813" t="inlineStr">
        <is>
          <t>INFLUISH</t>
        </is>
      </c>
      <c r="C1813" s="17" t="n">
        <v>46190</v>
      </c>
      <c r="D1813" s="18" t="n">
        <v>46174</v>
      </c>
      <c r="E1813" s="19" t="n"/>
      <c r="F1813" s="19" t="n"/>
      <c r="G1813" t="inlineStr"/>
      <c r="H1813" t="inlineStr">
        <is>
          <t>Pre-Seed</t>
        </is>
      </c>
      <c r="I1813" t="inlineStr">
        <is>
          <t>Early</t>
        </is>
      </c>
      <c r="J1813" t="inlineStr">
        <is>
          <t>Media &amp; Entertainment</t>
        </is>
      </c>
      <c r="K1813" t="inlineStr">
        <is>
          <t>Unknown</t>
        </is>
      </c>
      <c r="L1813" t="inlineStr"/>
      <c r="M1813" t="inlineStr">
        <is>
          <t>Pankaj Vermani; Jeetendra Tewani; Sachin Harneja</t>
        </is>
      </c>
      <c r="N1813" t="inlineStr">
        <is>
          <t>entrackr | inc42</t>
        </is>
      </c>
      <c r="O1813" s="20" t="n">
        <v>2</v>
      </c>
      <c r="P1813" s="21" t="n"/>
      <c r="Q1813" t="inlineStr">
        <is>
          <t>C03 C07</t>
        </is>
      </c>
      <c r="R1813" s="22" t="inlineStr">
        <is>
          <t>https://entrackr.com/snippets/influencer-marketing-startup-influish-raises-pre-seed-funding-at-rs-25-cr-valuation-12046273</t>
        </is>
      </c>
    </row>
    <row r="1814">
      <c r="A1814" t="inlineStr">
        <is>
          <t>R260617-lissun</t>
        </is>
      </c>
      <c r="B1814" t="inlineStr">
        <is>
          <t>Lissun</t>
        </is>
      </c>
      <c r="C1814" s="17" t="n">
        <v>46190</v>
      </c>
      <c r="D1814" s="18" t="n">
        <v>46174</v>
      </c>
      <c r="E1814" s="19" t="n">
        <v>0.293</v>
      </c>
      <c r="F1814" s="19" t="n">
        <v>2.77</v>
      </c>
      <c r="G1814" t="inlineStr">
        <is>
          <t>Rs 2.77 crore</t>
        </is>
      </c>
      <c r="H1814" t="inlineStr">
        <is>
          <t>Undisclosed</t>
        </is>
      </c>
      <c r="I1814" t="inlineStr">
        <is>
          <t>Undisclosed</t>
        </is>
      </c>
      <c r="J1814" t="inlineStr">
        <is>
          <t>Healthtech</t>
        </is>
      </c>
      <c r="K1814" t="inlineStr">
        <is>
          <t>Delhi NCR</t>
        </is>
      </c>
      <c r="L1814" t="inlineStr"/>
      <c r="M1814" t="inlineStr">
        <is>
          <t>Rainmatter</t>
        </is>
      </c>
      <c r="N1814" t="inlineStr">
        <is>
          <t>entrackr</t>
        </is>
      </c>
      <c r="O1814" s="20" t="n">
        <v>1</v>
      </c>
      <c r="P1814" s="21" t="n">
        <v>0</v>
      </c>
      <c r="Q1814" t="inlineStr">
        <is>
          <t>C04</t>
        </is>
      </c>
      <c r="R1814" s="22" t="inlineStr">
        <is>
          <t>https://entrackr.com/snippets/exclusive-mental-health-startup-lissun-raises-fresh-funds-from-zerodha-backed-rainmatter-12048004</t>
        </is>
      </c>
    </row>
    <row r="1815">
      <c r="A1815" t="inlineStr">
        <is>
          <t>R260617-pramaanalabs</t>
        </is>
      </c>
      <c r="B1815" t="inlineStr">
        <is>
          <t>Pramaana Labs</t>
        </is>
      </c>
      <c r="C1815" s="17" t="n">
        <v>46190</v>
      </c>
      <c r="D1815" s="18" t="n">
        <v>46174</v>
      </c>
      <c r="E1815" s="19" t="n">
        <v>27</v>
      </c>
      <c r="F1815" s="19" t="n">
        <v>255.23</v>
      </c>
      <c r="G1815" t="inlineStr">
        <is>
          <t>$27 million</t>
        </is>
      </c>
      <c r="H1815" t="inlineStr">
        <is>
          <t>Seed</t>
        </is>
      </c>
      <c r="I1815" t="inlineStr">
        <is>
          <t>Early</t>
        </is>
      </c>
      <c r="J1815" t="inlineStr">
        <is>
          <t>Artificial Intelligence</t>
        </is>
      </c>
      <c r="K1815" t="inlineStr">
        <is>
          <t>Unknown</t>
        </is>
      </c>
      <c r="L1815" t="inlineStr">
        <is>
          <t>Khosla Ventures</t>
        </is>
      </c>
      <c r="M1815" t="inlineStr">
        <is>
          <t>Khosla Ventures; Accel; BoldCap; Nexus Venture Partners; Premji Invest; Unbound</t>
        </is>
      </c>
      <c r="N1815" t="inlineStr">
        <is>
          <t>entrackr | inc42 | et</t>
        </is>
      </c>
      <c r="O1815" s="20" t="n">
        <v>3</v>
      </c>
      <c r="P1815" s="21" t="n">
        <v>0</v>
      </c>
      <c r="Q1815" t="inlineStr">
        <is>
          <t>C07 C11</t>
        </is>
      </c>
      <c r="R1815" s="22" t="inlineStr">
        <is>
          <t>https://entrackr.com/news/boldcap-backed-pramaana-labs-raises-27-mn-led-by-khosla-ventures-12048869</t>
        </is>
      </c>
    </row>
    <row r="1816">
      <c r="A1816" t="inlineStr">
        <is>
          <t>R260617-xtovia</t>
        </is>
      </c>
      <c r="B1816" t="inlineStr">
        <is>
          <t>Xtovia</t>
        </is>
      </c>
      <c r="C1816" s="17" t="n">
        <v>46190</v>
      </c>
      <c r="D1816" s="18" t="n">
        <v>46174</v>
      </c>
      <c r="E1816" s="19" t="n">
        <v>0.73</v>
      </c>
      <c r="F1816" s="19" t="n">
        <v>6.9</v>
      </c>
      <c r="G1816" t="inlineStr">
        <is>
          <t>Rs 6.9 crore</t>
        </is>
      </c>
      <c r="H1816" t="inlineStr">
        <is>
          <t>Pre-Seed</t>
        </is>
      </c>
      <c r="I1816" t="inlineStr">
        <is>
          <t>Early</t>
        </is>
      </c>
      <c r="J1816" t="inlineStr">
        <is>
          <t>Ecommerce</t>
        </is>
      </c>
      <c r="K1816" t="inlineStr">
        <is>
          <t>Unknown</t>
        </is>
      </c>
      <c r="L1816" t="inlineStr">
        <is>
          <t>V3 Ventures</t>
        </is>
      </c>
      <c r="M1816" t="inlineStr">
        <is>
          <t>V3 Ventures; Consumer Collective</t>
        </is>
      </c>
      <c r="N1816" t="inlineStr">
        <is>
          <t>entrackr | inc42 | et</t>
        </is>
      </c>
      <c r="O1816" s="20" t="n">
        <v>3</v>
      </c>
      <c r="P1816" s="21" t="n">
        <v>0.1</v>
      </c>
      <c r="Q1816" t="inlineStr">
        <is>
          <t>C07</t>
        </is>
      </c>
      <c r="R1816" s="22" t="inlineStr">
        <is>
          <t>https://entrackr.com/snippets/haircare-startup-xtovia-raises-pre-seed-funding-led-by-v3-ventures-12047086</t>
        </is>
      </c>
    </row>
    <row r="1817">
      <c r="A1817" t="inlineStr">
        <is>
          <t>R260618-karosambhav</t>
        </is>
      </c>
      <c r="B1817" t="inlineStr">
        <is>
          <t>Karo Sambhav</t>
        </is>
      </c>
      <c r="C1817" s="17" t="n">
        <v>46191</v>
      </c>
      <c r="D1817" s="18" t="n">
        <v>46174</v>
      </c>
      <c r="E1817" s="19" t="n">
        <v>5.936</v>
      </c>
      <c r="F1817" s="19" t="n">
        <v>56</v>
      </c>
      <c r="G1817" t="inlineStr">
        <is>
          <t>Rs 56 crore</t>
        </is>
      </c>
      <c r="H1817" t="inlineStr">
        <is>
          <t>Pre-Series A</t>
        </is>
      </c>
      <c r="I1817" t="inlineStr">
        <is>
          <t>Early</t>
        </is>
      </c>
      <c r="J1817" t="inlineStr">
        <is>
          <t>Cleantech</t>
        </is>
      </c>
      <c r="K1817" t="inlineStr">
        <is>
          <t>Delhi NCR</t>
        </is>
      </c>
      <c r="L1817" t="inlineStr">
        <is>
          <t>Rainmatter</t>
        </is>
      </c>
      <c r="M1817" t="inlineStr">
        <is>
          <t>Rainmatter; Zerodha</t>
        </is>
      </c>
      <c r="N1817" t="inlineStr">
        <is>
          <t>entrackr | inc42 | et</t>
        </is>
      </c>
      <c r="O1817" s="20" t="n">
        <v>3</v>
      </c>
      <c r="P1817" s="21" t="n">
        <v>0.6</v>
      </c>
      <c r="Q1817" t="inlineStr"/>
      <c r="R1817" s="22" t="inlineStr">
        <is>
          <t>https://entrackr.com/snippets/karo-sambhav-raises-rs-56-cr-in-pre-series-a-round-led-by-rainmatter-12050427</t>
        </is>
      </c>
    </row>
    <row r="1818">
      <c r="A1818" t="inlineStr">
        <is>
          <t>R260618-ruskmedia</t>
        </is>
      </c>
      <c r="B1818" t="inlineStr">
        <is>
          <t>Rusk Media</t>
        </is>
      </c>
      <c r="C1818" s="17" t="n">
        <v>46191</v>
      </c>
      <c r="D1818" s="18" t="n">
        <v>46174</v>
      </c>
      <c r="E1818" s="19" t="n">
        <v>10.6</v>
      </c>
      <c r="F1818" s="19" t="n">
        <v>100</v>
      </c>
      <c r="G1818" t="inlineStr">
        <is>
          <t>Rs 100 crore</t>
        </is>
      </c>
      <c r="H1818" t="inlineStr">
        <is>
          <t>Pre-Series C</t>
        </is>
      </c>
      <c r="I1818" t="inlineStr">
        <is>
          <t>Growth</t>
        </is>
      </c>
      <c r="J1818" t="inlineStr">
        <is>
          <t>Media &amp; Entertainment</t>
        </is>
      </c>
      <c r="K1818" t="inlineStr">
        <is>
          <t>Mumbai</t>
        </is>
      </c>
      <c r="L1818" t="inlineStr">
        <is>
          <t>Nazara Technologies; Audacity VC</t>
        </is>
      </c>
      <c r="M1818" t="inlineStr">
        <is>
          <t>Nazara Technologies; InfoEdge Ventures; IvyCap Ventures; Audacity VC</t>
        </is>
      </c>
      <c r="N1818" t="inlineStr">
        <is>
          <t>entrackr | inc42 | et | vccircle</t>
        </is>
      </c>
      <c r="O1818" s="20" t="n">
        <v>4</v>
      </c>
      <c r="P1818" s="21" t="n">
        <v>0</v>
      </c>
      <c r="Q1818" t="inlineStr"/>
      <c r="R1818" s="22" t="inlineStr">
        <is>
          <t>https://entrackr.com/news/rusk-media-raises-rs-100-cr-in-pre-series-c-round-led-by-nazara-technologies-12050381</t>
        </is>
      </c>
    </row>
    <row r="1819">
      <c r="A1819" t="inlineStr">
        <is>
          <t>R260618-tringbox</t>
        </is>
      </c>
      <c r="B1819" t="inlineStr">
        <is>
          <t>Tringbox</t>
        </is>
      </c>
      <c r="C1819" s="17" t="n">
        <v>46191</v>
      </c>
      <c r="D1819" s="18" t="n">
        <v>46174</v>
      </c>
      <c r="E1819" s="19" t="n">
        <v>0.53</v>
      </c>
      <c r="F1819" s="19" t="n">
        <v>5</v>
      </c>
      <c r="G1819" t="inlineStr">
        <is>
          <t>Rs 5 crore</t>
        </is>
      </c>
      <c r="H1819" t="inlineStr">
        <is>
          <t>Seed</t>
        </is>
      </c>
      <c r="I1819" t="inlineStr">
        <is>
          <t>Early</t>
        </is>
      </c>
      <c r="J1819" t="inlineStr">
        <is>
          <t>Artificial Intelligence</t>
        </is>
      </c>
      <c r="K1819" t="inlineStr">
        <is>
          <t>Mumbai</t>
        </is>
      </c>
      <c r="L1819" t="inlineStr">
        <is>
          <t>Nikhil Gandhi</t>
        </is>
      </c>
      <c r="M1819" t="inlineStr">
        <is>
          <t>Nikhil Gandhi; MGB Family Office; Narendra Singh Yadav</t>
        </is>
      </c>
      <c r="N1819" t="inlineStr">
        <is>
          <t>entrackr | inc42 | et</t>
        </is>
      </c>
      <c r="O1819" s="20" t="n">
        <v>3</v>
      </c>
      <c r="P1819" s="21" t="n">
        <v>0</v>
      </c>
      <c r="Q1819" t="inlineStr"/>
      <c r="R1819" s="22" t="inlineStr">
        <is>
          <t>https://entrackr.com/snippets/music-tech-startup-tringbox-raises-rs-5-cr-in-seed-round-12050073</t>
        </is>
      </c>
    </row>
    <row r="1820">
      <c r="A1820" t="inlineStr">
        <is>
          <t>R260618-vetic</t>
        </is>
      </c>
      <c r="B1820" t="inlineStr">
        <is>
          <t>Vetic</t>
        </is>
      </c>
      <c r="C1820" s="17" t="n">
        <v>46191</v>
      </c>
      <c r="D1820" s="18" t="n">
        <v>46174</v>
      </c>
      <c r="E1820" s="19" t="n">
        <v>40</v>
      </c>
      <c r="F1820" s="19" t="n">
        <v>377.36</v>
      </c>
      <c r="G1820" t="inlineStr">
        <is>
          <t>$40 million</t>
        </is>
      </c>
      <c r="H1820" t="inlineStr">
        <is>
          <t>Undisclosed</t>
        </is>
      </c>
      <c r="I1820" t="inlineStr">
        <is>
          <t>Undisclosed</t>
        </is>
      </c>
      <c r="J1820" t="inlineStr">
        <is>
          <t>Healthtech</t>
        </is>
      </c>
      <c r="K1820" t="inlineStr">
        <is>
          <t>Delhi NCR</t>
        </is>
      </c>
      <c r="L1820" t="inlineStr">
        <is>
          <t>Bessemer Venture Partners</t>
        </is>
      </c>
      <c r="M1820" t="inlineStr">
        <is>
          <t>Bessemer Venture Partners; Greenoaks Capital; Lachy Groom; JSW Family Office</t>
        </is>
      </c>
      <c r="N1820" t="inlineStr">
        <is>
          <t>entrackr | inc42 | et | vccircle</t>
        </is>
      </c>
      <c r="O1820" s="20" t="n">
        <v>4</v>
      </c>
      <c r="P1820" s="21" t="n">
        <v>0</v>
      </c>
      <c r="Q1820" t="inlineStr">
        <is>
          <t>C04</t>
        </is>
      </c>
      <c r="R1820" s="22" t="inlineStr">
        <is>
          <t>https://entrackr.com/news/pet-healthcare-startup-vetic-raises-40-mn-led-by-bessemer-12049404</t>
        </is>
      </c>
    </row>
    <row r="1821">
      <c r="A1821" t="inlineStr">
        <is>
          <t>R260619-emoenergy</t>
        </is>
      </c>
      <c r="B1821" t="inlineStr">
        <is>
          <t>EMO Energy</t>
        </is>
      </c>
      <c r="C1821" s="17" t="n">
        <v>46192</v>
      </c>
      <c r="D1821" s="18" t="n">
        <v>46174</v>
      </c>
      <c r="E1821" s="19" t="n">
        <v>6.255</v>
      </c>
      <c r="F1821" s="19" t="n">
        <v>59</v>
      </c>
      <c r="G1821" t="inlineStr">
        <is>
          <t>Rs 59 crore</t>
        </is>
      </c>
      <c r="H1821" t="inlineStr">
        <is>
          <t>Pre-Series B</t>
        </is>
      </c>
      <c r="I1821" t="inlineStr">
        <is>
          <t>Growth</t>
        </is>
      </c>
      <c r="J1821" t="inlineStr">
        <is>
          <t>Cleantech</t>
        </is>
      </c>
      <c r="K1821" t="inlineStr">
        <is>
          <t>Bengaluru</t>
        </is>
      </c>
      <c r="L1821" t="inlineStr">
        <is>
          <t>Raghav Capital</t>
        </is>
      </c>
      <c r="M1821" t="inlineStr">
        <is>
          <t>Raghav Capital; Maiuni Ventures LLP; Transition VC; NKA Resources; MMG Realtech Private Limited; Subhkam Ventures</t>
        </is>
      </c>
      <c r="N1821" t="inlineStr">
        <is>
          <t>entrackr</t>
        </is>
      </c>
      <c r="O1821" s="20" t="n">
        <v>1</v>
      </c>
      <c r="P1821" s="21" t="n">
        <v>0</v>
      </c>
      <c r="Q1821" t="inlineStr"/>
      <c r="R1821" s="22" t="inlineStr">
        <is>
          <t>https://entrackr.com/exclusive/exclusive-emo-energys-valuation-jumps-43x-to-rs-860-cr-in-pre-series-b-round-12052859</t>
        </is>
      </c>
    </row>
    <row r="1822">
      <c r="A1822" t="inlineStr">
        <is>
          <t>R260620-recykal</t>
        </is>
      </c>
      <c r="B1822" t="inlineStr">
        <is>
          <t>Recykal</t>
        </is>
      </c>
      <c r="C1822" s="17" t="n">
        <v>46193</v>
      </c>
      <c r="D1822" s="18" t="n">
        <v>46174</v>
      </c>
      <c r="E1822" s="19" t="n">
        <v>23</v>
      </c>
      <c r="F1822" s="19" t="n">
        <v>216.96</v>
      </c>
      <c r="G1822" t="inlineStr">
        <is>
          <t>$23 million</t>
        </is>
      </c>
      <c r="H1822" t="inlineStr">
        <is>
          <t>Bridge</t>
        </is>
      </c>
      <c r="I1822" t="inlineStr">
        <is>
          <t>Other</t>
        </is>
      </c>
      <c r="J1822" t="inlineStr">
        <is>
          <t>Cleantech</t>
        </is>
      </c>
      <c r="K1822" t="inlineStr">
        <is>
          <t>Hyderabad</t>
        </is>
      </c>
      <c r="L1822" t="inlineStr"/>
      <c r="M1822" t="inlineStr">
        <is>
          <t>Ajay Parekh; Biological E Ltd; 360 ONE; Trinity Combine; Strat Ventures</t>
        </is>
      </c>
      <c r="N1822" t="inlineStr">
        <is>
          <t>entrackr | inc42 | vccircle</t>
        </is>
      </c>
      <c r="O1822" s="20" t="n">
        <v>3</v>
      </c>
      <c r="P1822" s="21" t="n">
        <v>0</v>
      </c>
      <c r="Q1822" t="inlineStr"/>
      <c r="R1822" s="22" t="inlineStr">
        <is>
          <t>https://entrackr.com/exclusive/exclusive-morgan-stanley-backed-recykal-raises-18-mn-at-280-mn-valuation-12056152</t>
        </is>
      </c>
    </row>
    <row r="1823">
      <c r="A1823" t="inlineStr">
        <is>
          <t>R260622-cred</t>
        </is>
      </c>
      <c r="B1823" t="inlineStr">
        <is>
          <t>CRED</t>
        </is>
      </c>
      <c r="C1823" s="17" t="n">
        <v>46195</v>
      </c>
      <c r="D1823" s="18" t="n">
        <v>46174</v>
      </c>
      <c r="E1823" s="19" t="n">
        <v>900</v>
      </c>
      <c r="F1823" s="19" t="n">
        <v>8521.200000000001</v>
      </c>
      <c r="G1823" t="inlineStr">
        <is>
          <t>$900 million</t>
        </is>
      </c>
      <c r="H1823" t="inlineStr">
        <is>
          <t>Series H+</t>
        </is>
      </c>
      <c r="I1823" t="inlineStr">
        <is>
          <t>Late</t>
        </is>
      </c>
      <c r="J1823" t="inlineStr">
        <is>
          <t>Fintech</t>
        </is>
      </c>
      <c r="K1823" t="inlineStr">
        <is>
          <t>Unknown</t>
        </is>
      </c>
      <c r="L1823" t="inlineStr">
        <is>
          <t>Meta</t>
        </is>
      </c>
      <c r="M1823" t="inlineStr">
        <is>
          <t>Meta</t>
        </is>
      </c>
      <c r="N1823" t="inlineStr">
        <is>
          <t>entrackr | inc42 | vccircle</t>
        </is>
      </c>
      <c r="O1823" s="20" t="n">
        <v>3</v>
      </c>
      <c r="P1823" s="21" t="n">
        <v>0</v>
      </c>
      <c r="Q1823" t="inlineStr">
        <is>
          <t>C07</t>
        </is>
      </c>
      <c r="R1823" s="22" t="inlineStr">
        <is>
          <t>https://entrackr.com/news/meta-invests-900-mn-in-cred-kunal-shah-to-lead-whatsapp-globally-12063066</t>
        </is>
      </c>
    </row>
    <row r="1824">
      <c r="A1824" t="inlineStr">
        <is>
          <t>R260623-bharattender</t>
        </is>
      </c>
      <c r="B1824" t="inlineStr">
        <is>
          <t>BharatTender</t>
        </is>
      </c>
      <c r="C1824" s="17" t="n">
        <v>46196</v>
      </c>
      <c r="D1824" s="18" t="n">
        <v>46174</v>
      </c>
      <c r="E1824" s="19" t="n">
        <v>0.132</v>
      </c>
      <c r="F1824" s="19" t="n">
        <v>1.25</v>
      </c>
      <c r="G1824" t="inlineStr">
        <is>
          <t>Rs 1.25 crore</t>
        </is>
      </c>
      <c r="H1824" t="inlineStr">
        <is>
          <t>Pre-Seed</t>
        </is>
      </c>
      <c r="I1824" t="inlineStr">
        <is>
          <t>Early</t>
        </is>
      </c>
      <c r="J1824" t="inlineStr">
        <is>
          <t>Ecommerce</t>
        </is>
      </c>
      <c r="K1824" t="inlineStr">
        <is>
          <t>Unknown</t>
        </is>
      </c>
      <c r="L1824" t="inlineStr"/>
      <c r="M1824" t="inlineStr"/>
      <c r="N1824" t="inlineStr">
        <is>
          <t>entrackr | inc42</t>
        </is>
      </c>
      <c r="O1824" s="20" t="n">
        <v>2</v>
      </c>
      <c r="P1824" s="21" t="n">
        <v>0</v>
      </c>
      <c r="Q1824" t="inlineStr">
        <is>
          <t>C05 C07</t>
        </is>
      </c>
      <c r="R1824" s="22" t="inlineStr">
        <is>
          <t>https://entrackr.com/snippets/b2b-procurement-tech-platform-bharattender-raises-pre-seed-round-12065634</t>
        </is>
      </c>
    </row>
    <row r="1825">
      <c r="A1825" t="inlineStr">
        <is>
          <t>R260623-lillbud</t>
        </is>
      </c>
      <c r="B1825" t="inlineStr">
        <is>
          <t>LiLLBUD</t>
        </is>
      </c>
      <c r="C1825" s="17" t="n">
        <v>46196</v>
      </c>
      <c r="D1825" s="18" t="n">
        <v>46174</v>
      </c>
      <c r="E1825" s="19" t="n">
        <v>0.633</v>
      </c>
      <c r="F1825" s="19" t="n">
        <v>6</v>
      </c>
      <c r="G1825" t="inlineStr">
        <is>
          <t>Rs 6 crore</t>
        </is>
      </c>
      <c r="H1825" t="inlineStr">
        <is>
          <t>Seed</t>
        </is>
      </c>
      <c r="I1825" t="inlineStr">
        <is>
          <t>Early</t>
        </is>
      </c>
      <c r="J1825" t="inlineStr">
        <is>
          <t>Unclassified</t>
        </is>
      </c>
      <c r="K1825" t="inlineStr">
        <is>
          <t>Delhi NCR</t>
        </is>
      </c>
      <c r="L1825" t="inlineStr">
        <is>
          <t>Zeropearl VC</t>
        </is>
      </c>
      <c r="M1825" t="inlineStr">
        <is>
          <t>Zeropearl VC; Abhishek Bansal</t>
        </is>
      </c>
      <c r="N1825" t="inlineStr">
        <is>
          <t>entrackr</t>
        </is>
      </c>
      <c r="O1825" s="20" t="n">
        <v>1</v>
      </c>
      <c r="P1825" s="21" t="n">
        <v>0</v>
      </c>
      <c r="Q1825" t="inlineStr">
        <is>
          <t>C06</t>
        </is>
      </c>
      <c r="R1825" s="22" t="inlineStr">
        <is>
          <t>https://entrackr.com/snippets/toys-startup-lillbud-raises-seed-round-led-by-zeropearl-vc-12065382</t>
        </is>
      </c>
    </row>
    <row r="1826">
      <c r="A1826" t="inlineStr">
        <is>
          <t>R260623-mitigata</t>
        </is>
      </c>
      <c r="B1826" t="inlineStr">
        <is>
          <t>Mitigata</t>
        </is>
      </c>
      <c r="C1826" s="17" t="n">
        <v>46196</v>
      </c>
      <c r="D1826" s="18" t="n">
        <v>46174</v>
      </c>
      <c r="E1826" s="19" t="n">
        <v>15</v>
      </c>
      <c r="F1826" s="19" t="n">
        <v>142.11</v>
      </c>
      <c r="G1826" t="inlineStr">
        <is>
          <t>$15 million</t>
        </is>
      </c>
      <c r="H1826" t="inlineStr">
        <is>
          <t>Series B</t>
        </is>
      </c>
      <c r="I1826" t="inlineStr">
        <is>
          <t>Growth</t>
        </is>
      </c>
      <c r="J1826" t="inlineStr">
        <is>
          <t>Enterprise Tech</t>
        </is>
      </c>
      <c r="K1826" t="inlineStr">
        <is>
          <t>Bengaluru</t>
        </is>
      </c>
      <c r="L1826" t="inlineStr">
        <is>
          <t>Bessemer Venture Partners</t>
        </is>
      </c>
      <c r="M1826" t="inlineStr">
        <is>
          <t>Bessemer Venture Partners; Nexus Venture Partners; Titan Capital; WEH Ventures</t>
        </is>
      </c>
      <c r="N1826" t="inlineStr">
        <is>
          <t>entrackr | inc42 | vccircle</t>
        </is>
      </c>
      <c r="O1826" s="20" t="n">
        <v>3</v>
      </c>
      <c r="P1826" s="21" t="n">
        <v>0</v>
      </c>
      <c r="Q1826" t="inlineStr"/>
      <c r="R1826" s="22" t="inlineStr">
        <is>
          <t>https://entrackr.com/news/cyber-resilience-startup-mitigata-raises-15-mn-in-series-b-round-led-by-bessemer-12064009</t>
        </is>
      </c>
    </row>
    <row r="1827">
      <c r="A1827" t="inlineStr">
        <is>
          <t>R260623-sherlocksai</t>
        </is>
      </c>
      <c r="B1827" t="inlineStr">
        <is>
          <t>Sherlocks AI</t>
        </is>
      </c>
      <c r="C1827" s="17" t="n">
        <v>46196</v>
      </c>
      <c r="D1827" s="18" t="n">
        <v>46174</v>
      </c>
      <c r="E1827" s="19" t="n">
        <v>0.792</v>
      </c>
      <c r="F1827" s="19" t="n">
        <v>7.5</v>
      </c>
      <c r="G1827" t="inlineStr">
        <is>
          <t>Rs 7.5 crore</t>
        </is>
      </c>
      <c r="H1827" t="inlineStr">
        <is>
          <t>Pre-Seed</t>
        </is>
      </c>
      <c r="I1827" t="inlineStr">
        <is>
          <t>Early</t>
        </is>
      </c>
      <c r="J1827" t="inlineStr">
        <is>
          <t>Artificial Intelligence</t>
        </is>
      </c>
      <c r="K1827" t="inlineStr">
        <is>
          <t>Unknown</t>
        </is>
      </c>
      <c r="L1827" t="inlineStr">
        <is>
          <t>SenseAI Ventures</t>
        </is>
      </c>
      <c r="M1827" t="inlineStr">
        <is>
          <t>SenseAI Ventures; Uppekha</t>
        </is>
      </c>
      <c r="N1827" t="inlineStr">
        <is>
          <t>entrackr | inc42</t>
        </is>
      </c>
      <c r="O1827" s="20" t="n">
        <v>2</v>
      </c>
      <c r="P1827" s="21" t="n">
        <v>0.4</v>
      </c>
      <c r="Q1827" t="inlineStr">
        <is>
          <t>C07</t>
        </is>
      </c>
      <c r="R1827" s="22" t="inlineStr">
        <is>
          <t>https://entrackr.com/snippets/sherlocks-ai-raises-rs-75-cr-in-pre-seed-round-led-by-senseai-ventures-12065333</t>
        </is>
      </c>
    </row>
    <row r="1828">
      <c r="A1828" t="inlineStr">
        <is>
          <t>R260623-squareyards</t>
        </is>
      </c>
      <c r="B1828" t="inlineStr">
        <is>
          <t>Square Yards</t>
        </is>
      </c>
      <c r="C1828" s="17" t="n">
        <v>46196</v>
      </c>
      <c r="D1828" s="18" t="n">
        <v>46174</v>
      </c>
      <c r="E1828" s="19" t="n">
        <v>95</v>
      </c>
      <c r="F1828" s="19" t="n">
        <v>900.03</v>
      </c>
      <c r="G1828" t="inlineStr">
        <is>
          <t>$95 Mn</t>
        </is>
      </c>
      <c r="H1828" t="inlineStr">
        <is>
          <t>Undisclosed</t>
        </is>
      </c>
      <c r="I1828" t="inlineStr">
        <is>
          <t>Undisclosed</t>
        </is>
      </c>
      <c r="J1828" t="inlineStr">
        <is>
          <t>Real Estate Tech</t>
        </is>
      </c>
      <c r="K1828" t="inlineStr">
        <is>
          <t>Delhi NCR</t>
        </is>
      </c>
      <c r="L1828" t="inlineStr">
        <is>
          <t>EAAA Alternatives</t>
        </is>
      </c>
      <c r="M1828" t="inlineStr">
        <is>
          <t>EAAA Alternatives; Muzinich &amp; Co</t>
        </is>
      </c>
      <c r="N1828" t="inlineStr">
        <is>
          <t>inc42 | vccircle</t>
        </is>
      </c>
      <c r="O1828" s="20" t="n">
        <v>2</v>
      </c>
      <c r="P1828" s="21" t="n">
        <v>0</v>
      </c>
      <c r="Q1828" t="inlineStr">
        <is>
          <t>C04</t>
        </is>
      </c>
      <c r="R1828" s="22" t="inlineStr">
        <is>
          <t>https://inc42.com/buzz/from-cred-to-square-yards-indian-startups-raised-1-1-bn-this-week/</t>
        </is>
      </c>
    </row>
    <row r="1829">
      <c r="A1829" t="inlineStr">
        <is>
          <t>R260623-unnatiagri</t>
        </is>
      </c>
      <c r="B1829" t="inlineStr">
        <is>
          <t>Unnati Agri</t>
        </is>
      </c>
      <c r="C1829" s="17" t="n">
        <v>46196</v>
      </c>
      <c r="D1829" s="18" t="n">
        <v>46174</v>
      </c>
      <c r="E1829" s="19" t="n">
        <v>1.794</v>
      </c>
      <c r="F1829" s="19" t="n">
        <v>17</v>
      </c>
      <c r="G1829" t="inlineStr">
        <is>
          <t>Rs 17 crore</t>
        </is>
      </c>
      <c r="H1829" t="inlineStr">
        <is>
          <t>Debt</t>
        </is>
      </c>
      <c r="I1829" t="inlineStr">
        <is>
          <t>Debt</t>
        </is>
      </c>
      <c r="J1829" t="inlineStr">
        <is>
          <t>Agritech</t>
        </is>
      </c>
      <c r="K1829" t="inlineStr">
        <is>
          <t>Delhi NCR</t>
        </is>
      </c>
      <c r="L1829" t="inlineStr">
        <is>
          <t>Recur Club</t>
        </is>
      </c>
      <c r="M1829" t="inlineStr">
        <is>
          <t>Recur Club; SMEs; NABVENTURES</t>
        </is>
      </c>
      <c r="N1829" t="inlineStr">
        <is>
          <t>entrackr | inc42</t>
        </is>
      </c>
      <c r="O1829" s="20" t="n">
        <v>2</v>
      </c>
      <c r="P1829" s="21" t="n">
        <v>0.3</v>
      </c>
      <c r="Q1829" t="inlineStr"/>
      <c r="R1829" s="22" t="inlineStr">
        <is>
          <t>https://entrackr.com/snippets/unnati-agri-secures-rs-17-cr-in-growth-capital-from-recur-club-12065066</t>
        </is>
      </c>
    </row>
    <row r="1830">
      <c r="A1830" t="inlineStr">
        <is>
          <t>R260624-bodycraft</t>
        </is>
      </c>
      <c r="B1830" t="inlineStr">
        <is>
          <t>Bodycraft</t>
        </is>
      </c>
      <c r="C1830" s="17" t="n">
        <v>46197</v>
      </c>
      <c r="D1830" s="18" t="n">
        <v>46174</v>
      </c>
      <c r="E1830" s="19" t="n">
        <v>12.676</v>
      </c>
      <c r="F1830" s="19" t="n">
        <v>120</v>
      </c>
      <c r="G1830" t="inlineStr">
        <is>
          <t>Rs 120 crore</t>
        </is>
      </c>
      <c r="H1830" t="inlineStr">
        <is>
          <t>Pre-IPO</t>
        </is>
      </c>
      <c r="I1830" t="inlineStr">
        <is>
          <t>Late</t>
        </is>
      </c>
      <c r="J1830" t="inlineStr">
        <is>
          <t>Ecommerce</t>
        </is>
      </c>
      <c r="K1830" t="inlineStr">
        <is>
          <t>Unknown</t>
        </is>
      </c>
      <c r="L1830" t="inlineStr">
        <is>
          <t>Singularity AMC</t>
        </is>
      </c>
      <c r="M1830" t="inlineStr">
        <is>
          <t>Singularity AMC</t>
        </is>
      </c>
      <c r="N1830" t="inlineStr">
        <is>
          <t>entrackr</t>
        </is>
      </c>
      <c r="O1830" s="20" t="n">
        <v>1</v>
      </c>
      <c r="P1830" s="21" t="n">
        <v>0</v>
      </c>
      <c r="Q1830" t="inlineStr">
        <is>
          <t>C07</t>
        </is>
      </c>
      <c r="R1830" s="22" t="inlineStr">
        <is>
          <t>https://entrackr.com/news/clinic-and-salon-chain-bodycraft-raises-rs-120-cr-in-series-a-led-by-singularity-amc-12067573</t>
        </is>
      </c>
    </row>
    <row r="1831">
      <c r="A1831" t="inlineStr">
        <is>
          <t>R260624-ikinglobal</t>
        </is>
      </c>
      <c r="B1831" t="inlineStr">
        <is>
          <t>Ikin Global</t>
        </is>
      </c>
      <c r="C1831" s="17" t="n">
        <v>46197</v>
      </c>
      <c r="D1831" s="18" t="n">
        <v>46174</v>
      </c>
      <c r="E1831" s="19" t="n">
        <v>2</v>
      </c>
      <c r="F1831" s="19" t="n">
        <v>18.93</v>
      </c>
      <c r="G1831" t="inlineStr">
        <is>
          <t>$2 million</t>
        </is>
      </c>
      <c r="H1831" t="inlineStr">
        <is>
          <t>Pre-Series A</t>
        </is>
      </c>
      <c r="I1831" t="inlineStr">
        <is>
          <t>Early</t>
        </is>
      </c>
      <c r="J1831" t="inlineStr">
        <is>
          <t>Advanced Hardware &amp; Technology</t>
        </is>
      </c>
      <c r="K1831" t="inlineStr">
        <is>
          <t>Mumbai</t>
        </is>
      </c>
      <c r="L1831" t="inlineStr">
        <is>
          <t>Unicorn India Ventures; Callapina Capital</t>
        </is>
      </c>
      <c r="M1831" t="inlineStr">
        <is>
          <t>Unicorn India Ventures; Callapina Capital</t>
        </is>
      </c>
      <c r="N1831" t="inlineStr">
        <is>
          <t>entrackr | inc42</t>
        </is>
      </c>
      <c r="O1831" s="20" t="n">
        <v>2</v>
      </c>
      <c r="P1831" s="21" t="n">
        <v>0</v>
      </c>
      <c r="Q1831" t="inlineStr"/>
      <c r="R1831" s="22" t="inlineStr">
        <is>
          <t>https://entrackr.com/snippets/iot-smart-lock-startup-ikin-global-raises-2-mn-in-pre-series-a2-round-12067511</t>
        </is>
      </c>
    </row>
    <row r="1832">
      <c r="A1832" t="inlineStr">
        <is>
          <t>R260624-justai</t>
        </is>
      </c>
      <c r="B1832" t="inlineStr">
        <is>
          <t>JustAI</t>
        </is>
      </c>
      <c r="C1832" s="17" t="n">
        <v>46197</v>
      </c>
      <c r="D1832" s="18" t="n">
        <v>46174</v>
      </c>
      <c r="E1832" s="19" t="n">
        <v>17</v>
      </c>
      <c r="F1832" s="19" t="n">
        <v>160.94</v>
      </c>
      <c r="G1832" t="inlineStr">
        <is>
          <t>$17 million</t>
        </is>
      </c>
      <c r="H1832" t="inlineStr">
        <is>
          <t>Series A</t>
        </is>
      </c>
      <c r="I1832" t="inlineStr">
        <is>
          <t>Early</t>
        </is>
      </c>
      <c r="J1832" t="inlineStr">
        <is>
          <t>Artificial Intelligence</t>
        </is>
      </c>
      <c r="K1832" t="inlineStr">
        <is>
          <t>Outside India</t>
        </is>
      </c>
      <c r="L1832" t="inlineStr">
        <is>
          <t>Base10</t>
        </is>
      </c>
      <c r="M1832" t="inlineStr">
        <is>
          <t>Base10; Y Combinator; Peak XV Partners; Dharmesh Shah; Anthropic; Chime; Vapi</t>
        </is>
      </c>
      <c r="N1832" t="inlineStr">
        <is>
          <t>entrackr | inc42 | et</t>
        </is>
      </c>
      <c r="O1832" s="20" t="n">
        <v>3</v>
      </c>
      <c r="P1832" s="21" t="n">
        <v>0</v>
      </c>
      <c r="Q1832" t="inlineStr"/>
      <c r="R1832" s="22" t="inlineStr">
        <is>
          <t>https://entrackr.com/snippets/ai-marketing-startup-justai-raises-17-mn-in-series-a-led-by-base10-12067332</t>
        </is>
      </c>
    </row>
    <row r="1833">
      <c r="A1833" t="inlineStr">
        <is>
          <t>R260624-qosmic</t>
        </is>
      </c>
      <c r="B1833" t="inlineStr">
        <is>
          <t>QOSMIC</t>
        </is>
      </c>
      <c r="C1833" s="17" t="n">
        <v>46197</v>
      </c>
      <c r="D1833" s="18" t="n">
        <v>46174</v>
      </c>
      <c r="E1833" s="19" t="n">
        <v>3.3</v>
      </c>
      <c r="F1833" s="19" t="n">
        <v>31.24</v>
      </c>
      <c r="G1833" t="inlineStr">
        <is>
          <t>$3.3 million</t>
        </is>
      </c>
      <c r="H1833" t="inlineStr">
        <is>
          <t>Seed</t>
        </is>
      </c>
      <c r="I1833" t="inlineStr">
        <is>
          <t>Early</t>
        </is>
      </c>
      <c r="J1833" t="inlineStr">
        <is>
          <t>Advanced Hardware &amp; Technology</t>
        </is>
      </c>
      <c r="K1833" t="inlineStr">
        <is>
          <t>Bengaluru</t>
        </is>
      </c>
      <c r="L1833" t="inlineStr">
        <is>
          <t>Accel; Prosus</t>
        </is>
      </c>
      <c r="M1833" t="inlineStr">
        <is>
          <t>Accel; Prosus; South Park Commons; ARTPARK; Manish Jain</t>
        </is>
      </c>
      <c r="N1833" t="inlineStr">
        <is>
          <t>entrackr | inc42</t>
        </is>
      </c>
      <c r="O1833" s="20" t="n">
        <v>2</v>
      </c>
      <c r="P1833" s="21" t="n">
        <v>0</v>
      </c>
      <c r="Q1833" t="inlineStr"/>
      <c r="R1833" s="22" t="inlineStr">
        <is>
          <t>https://entrackr.com/snippets/qosmic-raises-33-mn-in-seed-funding-from-prosus-accel-south-park-commons-12067227</t>
        </is>
      </c>
    </row>
    <row r="1834">
      <c r="A1834" t="inlineStr">
        <is>
          <t>R260624-saffronstays</t>
        </is>
      </c>
      <c r="B1834" t="inlineStr">
        <is>
          <t>SaffronStays</t>
        </is>
      </c>
      <c r="C1834" s="17" t="n">
        <v>46197</v>
      </c>
      <c r="D1834" s="18" t="n">
        <v>46174</v>
      </c>
      <c r="E1834" s="19" t="n">
        <v>3.5</v>
      </c>
      <c r="F1834" s="19" t="n">
        <v>33.13</v>
      </c>
      <c r="G1834" t="inlineStr">
        <is>
          <t>$3.5 million</t>
        </is>
      </c>
      <c r="H1834" t="inlineStr">
        <is>
          <t>Undisclosed</t>
        </is>
      </c>
      <c r="I1834" t="inlineStr">
        <is>
          <t>Undisclosed</t>
        </is>
      </c>
      <c r="J1834" t="inlineStr">
        <is>
          <t>Travel Tech</t>
        </is>
      </c>
      <c r="K1834" t="inlineStr">
        <is>
          <t>Mumbai</t>
        </is>
      </c>
      <c r="L1834" t="inlineStr">
        <is>
          <t>Infinity Ventures</t>
        </is>
      </c>
      <c r="M1834" t="inlineStr">
        <is>
          <t>Infinity Ventures; Sixth Sense Ventures</t>
        </is>
      </c>
      <c r="N1834" t="inlineStr">
        <is>
          <t>entrackr | inc42</t>
        </is>
      </c>
      <c r="O1834" s="20" t="n">
        <v>2</v>
      </c>
      <c r="P1834" s="21" t="n">
        <v>0</v>
      </c>
      <c r="Q1834" t="inlineStr">
        <is>
          <t>C04</t>
        </is>
      </c>
      <c r="R1834" s="22" t="inlineStr">
        <is>
          <t>https://entrackr.com/snippets/saffronstays-raises-35-mn-led-by-infinity-ventures-12068176</t>
        </is>
      </c>
    </row>
    <row r="1835">
      <c r="A1835" t="inlineStr">
        <is>
          <t>R260624-vishalsikka</t>
        </is>
      </c>
      <c r="B1835" t="inlineStr">
        <is>
          <t>Vishal Sikka</t>
        </is>
      </c>
      <c r="C1835" s="17" t="n">
        <v>46197</v>
      </c>
      <c r="D1835" s="18" t="n">
        <v>46174</v>
      </c>
      <c r="E1835" s="19" t="n">
        <v>32</v>
      </c>
      <c r="F1835" s="19" t="n">
        <v>302.94</v>
      </c>
      <c r="G1835" t="inlineStr">
        <is>
          <t>$32 million</t>
        </is>
      </c>
      <c r="H1835" t="inlineStr">
        <is>
          <t>Seed</t>
        </is>
      </c>
      <c r="I1835" t="inlineStr">
        <is>
          <t>Early</t>
        </is>
      </c>
      <c r="J1835" t="inlineStr">
        <is>
          <t>Unclassified</t>
        </is>
      </c>
      <c r="K1835" t="inlineStr">
        <is>
          <t>Outside India</t>
        </is>
      </c>
      <c r="L1835" t="inlineStr">
        <is>
          <t>Mayfield</t>
        </is>
      </c>
      <c r="M1835" t="inlineStr">
        <is>
          <t>Mayfield; Aramco Ventures</t>
        </is>
      </c>
      <c r="N1835" t="inlineStr">
        <is>
          <t>entrackr</t>
        </is>
      </c>
      <c r="O1835" s="20" t="n">
        <v>1</v>
      </c>
      <c r="P1835" s="21" t="n">
        <v>0</v>
      </c>
      <c r="Q1835" t="inlineStr">
        <is>
          <t>C06 C11</t>
        </is>
      </c>
      <c r="R1835" s="22" t="inlineStr">
        <is>
          <t>https://entrackr.com/news/former-infosys-ceo-vishal-sikkas-hang-ten-systems-raises-32-mn-seed-round-12069612</t>
        </is>
      </c>
    </row>
    <row r="1836">
      <c r="A1836" t="inlineStr">
        <is>
          <t>R260625-hangtensystems</t>
        </is>
      </c>
      <c r="B1836" t="inlineStr">
        <is>
          <t>Hang Ten Systems</t>
        </is>
      </c>
      <c r="C1836" s="17" t="n">
        <v>46197</v>
      </c>
      <c r="D1836" s="18" t="n">
        <v>46174</v>
      </c>
      <c r="E1836" s="19" t="n">
        <v>32</v>
      </c>
      <c r="F1836" s="19" t="n">
        <v>302.94</v>
      </c>
      <c r="G1836" t="inlineStr">
        <is>
          <t>$32 Mn</t>
        </is>
      </c>
      <c r="H1836" t="inlineStr">
        <is>
          <t>Seed</t>
        </is>
      </c>
      <c r="I1836" t="inlineStr">
        <is>
          <t>Early</t>
        </is>
      </c>
      <c r="J1836" t="inlineStr">
        <is>
          <t>Artificial Intelligence</t>
        </is>
      </c>
      <c r="K1836" t="inlineStr">
        <is>
          <t>Unknown</t>
        </is>
      </c>
      <c r="L1836" t="inlineStr">
        <is>
          <t>Mayfield Ventures</t>
        </is>
      </c>
      <c r="M1836" t="inlineStr">
        <is>
          <t>Mayfield Ventures; Aramco Ventures</t>
        </is>
      </c>
      <c r="N1836" t="inlineStr">
        <is>
          <t>inc42 | et</t>
        </is>
      </c>
      <c r="O1836" s="20" t="n">
        <v>2</v>
      </c>
      <c r="P1836" s="21" t="n">
        <v>0</v>
      </c>
      <c r="Q1836" t="inlineStr">
        <is>
          <t>C07 C11</t>
        </is>
      </c>
      <c r="R1836" s="22" t="inlineStr">
        <is>
          <t>https://economictimes.indiatimes.com/tech/funding/vishal-sikkas-ai-startup-hang-ten-systems-raises-32-million-led-by-mayfield/articleshow/131971910.cms</t>
        </is>
      </c>
    </row>
    <row r="1837">
      <c r="A1837" t="inlineStr">
        <is>
          <t>R260625-superliving</t>
        </is>
      </c>
      <c r="B1837" t="inlineStr">
        <is>
          <t>SuperLiving</t>
        </is>
      </c>
      <c r="C1837" s="17" t="n">
        <v>46198</v>
      </c>
      <c r="D1837" s="18" t="n">
        <v>46174</v>
      </c>
      <c r="E1837" s="19" t="n">
        <v>7</v>
      </c>
      <c r="F1837" s="19" t="n">
        <v>66.06999999999999</v>
      </c>
      <c r="G1837" t="inlineStr">
        <is>
          <t>$7 million</t>
        </is>
      </c>
      <c r="H1837" t="inlineStr">
        <is>
          <t>Series A</t>
        </is>
      </c>
      <c r="I1837" t="inlineStr">
        <is>
          <t>Early</t>
        </is>
      </c>
      <c r="J1837" t="inlineStr">
        <is>
          <t>Healthtech</t>
        </is>
      </c>
      <c r="K1837" t="inlineStr">
        <is>
          <t>Bengaluru</t>
        </is>
      </c>
      <c r="L1837" t="inlineStr">
        <is>
          <t>Lightspeed</t>
        </is>
      </c>
      <c r="M1837" t="inlineStr">
        <is>
          <t>Lightspeed; Kae Capital; All In Capital</t>
        </is>
      </c>
      <c r="N1837" t="inlineStr">
        <is>
          <t>entrackr | inc42 | et</t>
        </is>
      </c>
      <c r="O1837" s="20" t="n">
        <v>3</v>
      </c>
      <c r="P1837" s="21" t="n">
        <v>0</v>
      </c>
      <c r="Q1837" t="inlineStr"/>
      <c r="R1837" s="22" t="inlineStr">
        <is>
          <t>https://entrackr.com/snippets/lightspeed-leads-7-mn-series-a-round-in-superliving-12098012</t>
        </is>
      </c>
    </row>
    <row r="1838">
      <c r="A1838" t="inlineStr">
        <is>
          <t>R260625-zave</t>
        </is>
      </c>
      <c r="B1838" t="inlineStr">
        <is>
          <t>Zave</t>
        </is>
      </c>
      <c r="C1838" s="17" t="n">
        <v>46198</v>
      </c>
      <c r="D1838" s="18" t="n">
        <v>46174</v>
      </c>
      <c r="E1838" s="19" t="n">
        <v>0.498</v>
      </c>
      <c r="F1838" s="19" t="n">
        <v>4.7</v>
      </c>
      <c r="G1838" t="inlineStr">
        <is>
          <t>Rs 4.7 crore</t>
        </is>
      </c>
      <c r="H1838" t="inlineStr">
        <is>
          <t>Bridge</t>
        </is>
      </c>
      <c r="I1838" t="inlineStr">
        <is>
          <t>Other</t>
        </is>
      </c>
      <c r="J1838" t="inlineStr">
        <is>
          <t>Artificial Intelligence</t>
        </is>
      </c>
      <c r="K1838" t="inlineStr">
        <is>
          <t>Unknown</t>
        </is>
      </c>
      <c r="L1838" t="inlineStr">
        <is>
          <t>Inflection Point Ventures</t>
        </is>
      </c>
      <c r="M1838" t="inlineStr">
        <is>
          <t>Inflection Point Ventures; Mucker Capital</t>
        </is>
      </c>
      <c r="N1838" t="inlineStr">
        <is>
          <t>entrackr</t>
        </is>
      </c>
      <c r="O1838" s="20" t="n">
        <v>1</v>
      </c>
      <c r="P1838" s="21" t="n">
        <v>0</v>
      </c>
      <c r="Q1838" t="inlineStr">
        <is>
          <t>C07</t>
        </is>
      </c>
      <c r="R1838" s="22" t="inlineStr">
        <is>
          <t>https://entrackr.com/snippets/shopping-assistant-startup-zave-raises-bridge-round-led-by-ipv-12103687</t>
        </is>
      </c>
    </row>
    <row r="1839">
      <c r="A1839" t="inlineStr">
        <is>
          <t>R260626-alienkind</t>
        </is>
      </c>
      <c r="B1839" t="inlineStr">
        <is>
          <t>Alienkind</t>
        </is>
      </c>
      <c r="C1839" s="17" t="n">
        <v>46199</v>
      </c>
      <c r="D1839" s="18" t="n">
        <v>46174</v>
      </c>
      <c r="E1839" s="19" t="n">
        <v>3.2</v>
      </c>
      <c r="F1839" s="19" t="n">
        <v>30.21</v>
      </c>
      <c r="G1839" t="inlineStr">
        <is>
          <t>$3.2 Mn</t>
        </is>
      </c>
      <c r="H1839" t="inlineStr">
        <is>
          <t>Pre-Series A</t>
        </is>
      </c>
      <c r="I1839" t="inlineStr">
        <is>
          <t>Early</t>
        </is>
      </c>
      <c r="J1839" t="inlineStr">
        <is>
          <t>Foodtech</t>
        </is>
      </c>
      <c r="K1839" t="inlineStr">
        <is>
          <t>Unknown</t>
        </is>
      </c>
      <c r="L1839" t="inlineStr">
        <is>
          <t>Prakash Sikaria</t>
        </is>
      </c>
      <c r="M1839" t="inlineStr">
        <is>
          <t>Prakash Sikaria; Ravi Iyer; Arpan Sheth</t>
        </is>
      </c>
      <c r="N1839" t="inlineStr">
        <is>
          <t>inc42</t>
        </is>
      </c>
      <c r="O1839" s="20" t="n">
        <v>1</v>
      </c>
      <c r="P1839" s="21" t="n">
        <v>0</v>
      </c>
      <c r="Q1839" t="inlineStr">
        <is>
          <t>C07</t>
        </is>
      </c>
      <c r="R1839" s="22" t="inlineStr">
        <is>
          <t>https://inc42.com/buzz/from-cred-to-square-yards-indian-startups-raised-1-1-bn-this-week/</t>
        </is>
      </c>
    </row>
    <row r="1840">
      <c r="A1840" t="inlineStr">
        <is>
          <t>R260626-allhome</t>
        </is>
      </c>
      <c r="B1840" t="inlineStr">
        <is>
          <t>AllHome</t>
        </is>
      </c>
      <c r="C1840" s="17" t="n">
        <v>46199</v>
      </c>
      <c r="D1840" s="18" t="n">
        <v>46174</v>
      </c>
      <c r="E1840" s="19" t="n">
        <v>21.2</v>
      </c>
      <c r="F1840" s="19" t="n">
        <v>200.13</v>
      </c>
      <c r="G1840" t="inlineStr">
        <is>
          <t>$21.2 Mn</t>
        </is>
      </c>
      <c r="H1840" t="inlineStr">
        <is>
          <t>Series B</t>
        </is>
      </c>
      <c r="I1840" t="inlineStr">
        <is>
          <t>Growth</t>
        </is>
      </c>
      <c r="J1840" t="inlineStr">
        <is>
          <t>Real Estate Tech</t>
        </is>
      </c>
      <c r="K1840" t="inlineStr">
        <is>
          <t>Unknown</t>
        </is>
      </c>
      <c r="L1840" t="inlineStr">
        <is>
          <t>Bessemer Venture Partners</t>
        </is>
      </c>
      <c r="M1840" t="inlineStr">
        <is>
          <t>Bessemer Venture Partners; Stride Ventures</t>
        </is>
      </c>
      <c r="N1840" t="inlineStr">
        <is>
          <t>inc42</t>
        </is>
      </c>
      <c r="O1840" s="20" t="n">
        <v>1</v>
      </c>
      <c r="P1840" s="21" t="n">
        <v>0</v>
      </c>
      <c r="Q1840" t="inlineStr">
        <is>
          <t>C07</t>
        </is>
      </c>
      <c r="R1840" s="22" t="inlineStr">
        <is>
          <t>https://inc42.com/buzz/from-cred-to-square-yards-indian-startups-raised-1-1-bn-this-week/</t>
        </is>
      </c>
    </row>
    <row r="1841">
      <c r="A1841" t="inlineStr">
        <is>
          <t>R260626-finnovatefinan</t>
        </is>
      </c>
      <c r="B1841" t="inlineStr">
        <is>
          <t>Finnovate Financial Services</t>
        </is>
      </c>
      <c r="C1841" s="17" t="n">
        <v>46199</v>
      </c>
      <c r="D1841" s="18" t="n">
        <v>46174</v>
      </c>
      <c r="E1841" s="19" t="n">
        <v>2</v>
      </c>
      <c r="F1841" s="19" t="n">
        <v>18.88</v>
      </c>
      <c r="G1841" t="inlineStr">
        <is>
          <t>$2 Mn</t>
        </is>
      </c>
      <c r="H1841" t="inlineStr">
        <is>
          <t>Undisclosed</t>
        </is>
      </c>
      <c r="I1841" t="inlineStr">
        <is>
          <t>Undisclosed</t>
        </is>
      </c>
      <c r="J1841" t="inlineStr">
        <is>
          <t>Fintech</t>
        </is>
      </c>
      <c r="K1841" t="inlineStr">
        <is>
          <t>Unknown</t>
        </is>
      </c>
      <c r="L1841" t="inlineStr"/>
      <c r="M1841" t="inlineStr"/>
      <c r="N1841" t="inlineStr">
        <is>
          <t>inc42</t>
        </is>
      </c>
      <c r="O1841" s="20" t="n">
        <v>1</v>
      </c>
      <c r="P1841" s="21" t="n">
        <v>0</v>
      </c>
      <c r="Q1841" t="inlineStr">
        <is>
          <t>C04 C05 C07</t>
        </is>
      </c>
      <c r="R1841" s="22" t="inlineStr">
        <is>
          <t>https://inc42.com/buzz/from-cred-to-square-yards-indian-startups-raised-1-1-bn-this-week/</t>
        </is>
      </c>
    </row>
    <row r="1842">
      <c r="A1842" t="inlineStr">
        <is>
          <t>R260629-clairva</t>
        </is>
      </c>
      <c r="B1842" t="inlineStr">
        <is>
          <t>Clairva</t>
        </is>
      </c>
      <c r="C1842" s="17" t="n">
        <v>46202</v>
      </c>
      <c r="D1842" s="18" t="n">
        <v>46174</v>
      </c>
      <c r="E1842" s="19" t="n">
        <v>0.5</v>
      </c>
      <c r="F1842" s="19" t="n">
        <v>4.73</v>
      </c>
      <c r="G1842" t="inlineStr">
        <is>
          <t>$500K</t>
        </is>
      </c>
      <c r="H1842" t="inlineStr">
        <is>
          <t>Pre-Seed</t>
        </is>
      </c>
      <c r="I1842" t="inlineStr">
        <is>
          <t>Early</t>
        </is>
      </c>
      <c r="J1842" t="inlineStr">
        <is>
          <t>Artificial Intelligence</t>
        </is>
      </c>
      <c r="K1842" t="inlineStr">
        <is>
          <t>Unknown</t>
        </is>
      </c>
      <c r="L1842" t="inlineStr">
        <is>
          <t>Venture Catalysts</t>
        </is>
      </c>
      <c r="M1842" t="inlineStr">
        <is>
          <t>Venture Catalysts</t>
        </is>
      </c>
      <c r="N1842" t="inlineStr">
        <is>
          <t>entrackr | inc42</t>
        </is>
      </c>
      <c r="O1842" s="20" t="n">
        <v>2</v>
      </c>
      <c r="P1842" s="21" t="n">
        <v>0</v>
      </c>
      <c r="Q1842" t="inlineStr">
        <is>
          <t>C07</t>
        </is>
      </c>
      <c r="R1842" s="22" t="inlineStr">
        <is>
          <t>https://entrackr.com/snippets/ai-data-infrastructure-startup-clairva-raises-500k-led-by-venture-catalysts-ai-data-infrastructure-startup-clairva-has-raised-500k-in-a-pre-seed-funding-round-led-by-venture-catalysts-through-its-angel-network-the-company-will-use-the-fresh-capita-12116873</t>
        </is>
      </c>
    </row>
    <row r="1843">
      <c r="A1843" t="inlineStr">
        <is>
          <t>R260629-incuspaze</t>
        </is>
      </c>
      <c r="B1843" t="inlineStr">
        <is>
          <t>Incuspaze</t>
        </is>
      </c>
      <c r="C1843" s="17" t="n">
        <v>46202</v>
      </c>
      <c r="D1843" s="18" t="n">
        <v>46174</v>
      </c>
      <c r="E1843" s="19" t="n">
        <v>15.865</v>
      </c>
      <c r="F1843" s="19" t="n">
        <v>150</v>
      </c>
      <c r="G1843" t="inlineStr">
        <is>
          <t>Rs 150 crore</t>
        </is>
      </c>
      <c r="H1843" t="inlineStr">
        <is>
          <t>Undisclosed</t>
        </is>
      </c>
      <c r="I1843" t="inlineStr">
        <is>
          <t>Undisclosed</t>
        </is>
      </c>
      <c r="J1843" t="inlineStr">
        <is>
          <t>Real Estate Tech</t>
        </is>
      </c>
      <c r="K1843" t="inlineStr">
        <is>
          <t>Unknown</t>
        </is>
      </c>
      <c r="L1843" t="inlineStr">
        <is>
          <t>Bharat Value Fund</t>
        </is>
      </c>
      <c r="M1843" t="inlineStr">
        <is>
          <t>Bharat Value Fund</t>
        </is>
      </c>
      <c r="N1843" t="inlineStr">
        <is>
          <t>entrackr | inc42 | vccircle</t>
        </is>
      </c>
      <c r="O1843" s="20" t="n">
        <v>3</v>
      </c>
      <c r="P1843" s="21" t="n">
        <v>0.2</v>
      </c>
      <c r="Q1843" t="inlineStr">
        <is>
          <t>C04 C07</t>
        </is>
      </c>
      <c r="R1843" s="22" t="inlineStr">
        <is>
          <t>https://entrackr.com/news/co-working-startup-incuspaze-raises-rs-150-cr-led-by-bharat-value-fund-12116135</t>
        </is>
      </c>
    </row>
    <row r="1844">
      <c r="A1844" t="inlineStr">
        <is>
          <t>R260629-lytmusai</t>
        </is>
      </c>
      <c r="B1844" t="inlineStr">
        <is>
          <t>Lytmus AI</t>
        </is>
      </c>
      <c r="C1844" s="17" t="n">
        <v>46202</v>
      </c>
      <c r="D1844" s="18" t="n">
        <v>46174</v>
      </c>
      <c r="E1844" s="19" t="n">
        <v>0.529</v>
      </c>
      <c r="F1844" s="19" t="n">
        <v>5</v>
      </c>
      <c r="G1844" t="inlineStr">
        <is>
          <t>Rs 5 crore</t>
        </is>
      </c>
      <c r="H1844" t="inlineStr">
        <is>
          <t>Pre-Seed</t>
        </is>
      </c>
      <c r="I1844" t="inlineStr">
        <is>
          <t>Early</t>
        </is>
      </c>
      <c r="J1844" t="inlineStr">
        <is>
          <t>Artificial Intelligence</t>
        </is>
      </c>
      <c r="K1844" t="inlineStr">
        <is>
          <t>Bengaluru</t>
        </is>
      </c>
      <c r="L1844" t="inlineStr">
        <is>
          <t>Boundless Ventures</t>
        </is>
      </c>
      <c r="M1844" t="inlineStr">
        <is>
          <t>Boundless Ventures</t>
        </is>
      </c>
      <c r="N1844" t="inlineStr">
        <is>
          <t>entrackr</t>
        </is>
      </c>
      <c r="O1844" s="20" t="n">
        <v>1</v>
      </c>
      <c r="P1844" s="21" t="n">
        <v>0</v>
      </c>
      <c r="Q1844" t="inlineStr"/>
      <c r="R1844" s="22" t="inlineStr">
        <is>
          <t>https://entrackr.com/snippets/boundless-ventures-leads-pre-seed-round-in-lytmus-ai-12116594</t>
        </is>
      </c>
    </row>
    <row r="1845">
      <c r="A1845" t="inlineStr">
        <is>
          <t>R260629-monkci</t>
        </is>
      </c>
      <c r="B1845" t="inlineStr">
        <is>
          <t>Monk CI</t>
        </is>
      </c>
      <c r="C1845" s="17" t="n">
        <v>46202</v>
      </c>
      <c r="D1845" s="18" t="n">
        <v>46174</v>
      </c>
      <c r="E1845" s="19" t="n">
        <v>0.45</v>
      </c>
      <c r="F1845" s="19" t="n">
        <v>4.25</v>
      </c>
      <c r="G1845" t="inlineStr">
        <is>
          <t>$450K</t>
        </is>
      </c>
      <c r="H1845" t="inlineStr">
        <is>
          <t>Pre-Seed</t>
        </is>
      </c>
      <c r="I1845" t="inlineStr">
        <is>
          <t>Early</t>
        </is>
      </c>
      <c r="J1845" t="inlineStr">
        <is>
          <t>Artificial Intelligence</t>
        </is>
      </c>
      <c r="K1845" t="inlineStr">
        <is>
          <t>Unknown</t>
        </is>
      </c>
      <c r="L1845" t="inlineStr">
        <is>
          <t>Campus Fund</t>
        </is>
      </c>
      <c r="M1845" t="inlineStr">
        <is>
          <t>Campus Fund; PointOne Capital</t>
        </is>
      </c>
      <c r="N1845" t="inlineStr">
        <is>
          <t>inc42</t>
        </is>
      </c>
      <c r="O1845" s="20" t="n">
        <v>1</v>
      </c>
      <c r="P1845" s="21" t="n">
        <v>0</v>
      </c>
      <c r="Q1845" t="inlineStr">
        <is>
          <t>C07</t>
        </is>
      </c>
      <c r="R1845" s="22" t="inlineStr">
        <is>
          <t>https://inc42.com/buzz/from-the-indus-valley-to-incuspaze-indian-startups-raised-105-mn-this-week/</t>
        </is>
      </c>
    </row>
    <row r="1846">
      <c r="A1846" t="inlineStr">
        <is>
          <t>R260629-mykareai</t>
        </is>
      </c>
      <c r="B1846" t="inlineStr">
        <is>
          <t>Mykare</t>
        </is>
      </c>
      <c r="C1846" s="17" t="n">
        <v>46202</v>
      </c>
      <c r="D1846" s="18" t="n">
        <v>46174</v>
      </c>
      <c r="E1846" s="19" t="n">
        <v>3.2</v>
      </c>
      <c r="F1846" s="19" t="n">
        <v>30.26</v>
      </c>
      <c r="G1846" t="inlineStr">
        <is>
          <t>$3.2 million</t>
        </is>
      </c>
      <c r="H1846" t="inlineStr">
        <is>
          <t>Series A</t>
        </is>
      </c>
      <c r="I1846" t="inlineStr">
        <is>
          <t>Early</t>
        </is>
      </c>
      <c r="J1846" t="inlineStr">
        <is>
          <t>Artificial Intelligence</t>
        </is>
      </c>
      <c r="K1846" t="inlineStr">
        <is>
          <t>Unknown</t>
        </is>
      </c>
      <c r="L1846" t="inlineStr"/>
      <c r="M1846" t="inlineStr">
        <is>
          <t>Andrew Parker; Alfredo Vaamonde; Middle East</t>
        </is>
      </c>
      <c r="N1846" t="inlineStr">
        <is>
          <t>entrackr | inc42</t>
        </is>
      </c>
      <c r="O1846" s="20" t="n">
        <v>2</v>
      </c>
      <c r="P1846" s="21" t="n">
        <v>220</v>
      </c>
      <c r="Q1846" t="inlineStr">
        <is>
          <t>C07 C15</t>
        </is>
      </c>
      <c r="R1846" s="22" t="inlineStr">
        <is>
          <t>https://entrackr.com/snippets/healthcare-startup-mykareai-raises-32-mn-12117898</t>
        </is>
      </c>
    </row>
    <row r="1847">
      <c r="A1847" t="inlineStr">
        <is>
          <t>R260629-ruskmedia</t>
        </is>
      </c>
      <c r="B1847" t="inlineStr">
        <is>
          <t>Rusk Media</t>
        </is>
      </c>
      <c r="C1847" s="17" t="n">
        <v>46202</v>
      </c>
      <c r="D1847" s="18" t="n">
        <v>46174</v>
      </c>
      <c r="E1847" s="19" t="n"/>
      <c r="F1847" s="19" t="n"/>
      <c r="G1847" t="inlineStr"/>
      <c r="H1847" t="inlineStr">
        <is>
          <t>Undisclosed</t>
        </is>
      </c>
      <c r="I1847" t="inlineStr">
        <is>
          <t>Undisclosed</t>
        </is>
      </c>
      <c r="J1847" t="inlineStr">
        <is>
          <t>Media &amp; Entertainment</t>
        </is>
      </c>
      <c r="K1847" t="inlineStr">
        <is>
          <t>Delhi NCR</t>
        </is>
      </c>
      <c r="L1847" t="inlineStr">
        <is>
          <t>Yash Raj Films</t>
        </is>
      </c>
      <c r="M1847" t="inlineStr">
        <is>
          <t>Yash Raj Films</t>
        </is>
      </c>
      <c r="N1847" t="inlineStr">
        <is>
          <t>inc42</t>
        </is>
      </c>
      <c r="O1847" s="20" t="n">
        <v>1</v>
      </c>
      <c r="P1847" s="21" t="n"/>
      <c r="Q1847" t="inlineStr">
        <is>
          <t>C03 C04 C09</t>
        </is>
      </c>
      <c r="R1847" s="22" t="inlineStr">
        <is>
          <t>https://inc42.com/buzz/from-the-indus-valley-to-incuspaze-indian-startups-raised-105-mn-this-week/</t>
        </is>
      </c>
    </row>
    <row r="1848">
      <c r="A1848" t="inlineStr">
        <is>
          <t>R260629-thecapitalistv</t>
        </is>
      </c>
      <c r="B1848" t="inlineStr">
        <is>
          <t>The Capitalist Ventures</t>
        </is>
      </c>
      <c r="C1848" s="17" t="n">
        <v>46202</v>
      </c>
      <c r="D1848" s="18" t="n">
        <v>46174</v>
      </c>
      <c r="E1848" s="19" t="n">
        <v>1.058</v>
      </c>
      <c r="F1848" s="19" t="n">
        <v>10</v>
      </c>
      <c r="G1848" t="inlineStr">
        <is>
          <t>Rs 10 crore</t>
        </is>
      </c>
      <c r="H1848" t="inlineStr">
        <is>
          <t>Seed</t>
        </is>
      </c>
      <c r="I1848" t="inlineStr">
        <is>
          <t>Early</t>
        </is>
      </c>
      <c r="J1848" t="inlineStr">
        <is>
          <t>Unclassified</t>
        </is>
      </c>
      <c r="K1848" t="inlineStr">
        <is>
          <t>Hyderabad</t>
        </is>
      </c>
      <c r="L1848" t="inlineStr"/>
      <c r="M1848" t="inlineStr">
        <is>
          <t>M Sriram</t>
        </is>
      </c>
      <c r="N1848" t="inlineStr">
        <is>
          <t>entrackr</t>
        </is>
      </c>
      <c r="O1848" s="20" t="n">
        <v>1</v>
      </c>
      <c r="P1848" s="21" t="n">
        <v>0</v>
      </c>
      <c r="Q1848" t="inlineStr">
        <is>
          <t>C06</t>
        </is>
      </c>
      <c r="R1848" s="22" t="inlineStr">
        <is>
          <t>https://entrackr.com/snippets/the-capitalist-ventures-bags-rs-10-cr-seed-round-12117148</t>
        </is>
      </c>
    </row>
    <row r="1849">
      <c r="A1849" t="inlineStr">
        <is>
          <t>R260629-thefunclab</t>
        </is>
      </c>
      <c r="B1849" t="inlineStr">
        <is>
          <t>The Func Labs</t>
        </is>
      </c>
      <c r="C1849" s="17" t="n">
        <v>46202</v>
      </c>
      <c r="D1849" s="18" t="n">
        <v>46174</v>
      </c>
      <c r="E1849" s="19" t="n">
        <v>1.5</v>
      </c>
      <c r="F1849" s="19" t="n">
        <v>14.18</v>
      </c>
      <c r="G1849" t="inlineStr">
        <is>
          <t>$1.5 million</t>
        </is>
      </c>
      <c r="H1849" t="inlineStr">
        <is>
          <t>Seed</t>
        </is>
      </c>
      <c r="I1849" t="inlineStr">
        <is>
          <t>Early</t>
        </is>
      </c>
      <c r="J1849" t="inlineStr">
        <is>
          <t>Ecommerce</t>
        </is>
      </c>
      <c r="K1849" t="inlineStr">
        <is>
          <t>Unknown</t>
        </is>
      </c>
      <c r="L1849" t="inlineStr"/>
      <c r="M1849" t="inlineStr">
        <is>
          <t>Nisaba Godrej; Anand Piramal; Abhishek Nayar; Bhakti Modi; Harsh Parekh; Sahil Vora</t>
        </is>
      </c>
      <c r="N1849" t="inlineStr">
        <is>
          <t>entrackr | inc42</t>
        </is>
      </c>
      <c r="O1849" s="20" t="n">
        <v>2</v>
      </c>
      <c r="P1849" s="21" t="n">
        <v>0</v>
      </c>
      <c r="Q1849" t="inlineStr">
        <is>
          <t>C07</t>
        </is>
      </c>
      <c r="R1849" s="22" t="inlineStr">
        <is>
          <t>https://entrackr.com/snippets/the-func-lab-raises-15-mn-seed-round-from-nisaba-godrej-anand-piramal-and-others-12116447</t>
        </is>
      </c>
    </row>
    <row r="1850">
      <c r="A1850" t="inlineStr">
        <is>
          <t>R260630-brekfuz</t>
        </is>
      </c>
      <c r="B1850" t="inlineStr">
        <is>
          <t>Brekfuz</t>
        </is>
      </c>
      <c r="C1850" s="17" t="n">
        <v>46203</v>
      </c>
      <c r="D1850" s="18" t="n">
        <v>46174</v>
      </c>
      <c r="E1850" s="19" t="n">
        <v>0.525</v>
      </c>
      <c r="F1850" s="19" t="n">
        <v>4.97</v>
      </c>
      <c r="G1850" t="inlineStr">
        <is>
          <t>$525K</t>
        </is>
      </c>
      <c r="H1850" t="inlineStr">
        <is>
          <t>Undisclosed</t>
        </is>
      </c>
      <c r="I1850" t="inlineStr">
        <is>
          <t>Undisclosed</t>
        </is>
      </c>
      <c r="J1850" t="inlineStr">
        <is>
          <t>Artificial Intelligence</t>
        </is>
      </c>
      <c r="K1850" t="inlineStr">
        <is>
          <t>Delhi NCR</t>
        </is>
      </c>
      <c r="L1850" t="inlineStr"/>
      <c r="M1850" t="inlineStr">
        <is>
          <t>Pear VC; Pareto Holdings; Collective Global</t>
        </is>
      </c>
      <c r="N1850" t="inlineStr">
        <is>
          <t>entrackr | et</t>
        </is>
      </c>
      <c r="O1850" s="20" t="n">
        <v>2</v>
      </c>
      <c r="P1850" s="21" t="n">
        <v>0</v>
      </c>
      <c r="Q1850" t="inlineStr">
        <is>
          <t>C04</t>
        </is>
      </c>
      <c r="R1850" s="22" t="inlineStr">
        <is>
          <t>https://economictimes.indiatimes.com/tech/funding/gurugram-ai-startup-brekfuz-raises-525000-in-funding-valued-at-7-5-million/articleshow/132095543.cms</t>
        </is>
      </c>
    </row>
    <row r="1851">
      <c r="A1851" t="inlineStr">
        <is>
          <t>R260630-kapturecx</t>
        </is>
      </c>
      <c r="B1851" t="inlineStr">
        <is>
          <t>Kapture CX</t>
        </is>
      </c>
      <c r="C1851" s="17" t="n">
        <v>46203</v>
      </c>
      <c r="D1851" s="18" t="n">
        <v>46174</v>
      </c>
      <c r="E1851" s="19" t="n">
        <v>10</v>
      </c>
      <c r="F1851" s="19" t="n">
        <v>94.66</v>
      </c>
      <c r="G1851" t="inlineStr">
        <is>
          <t>$10 million</t>
        </is>
      </c>
      <c r="H1851" t="inlineStr">
        <is>
          <t>Series B</t>
        </is>
      </c>
      <c r="I1851" t="inlineStr">
        <is>
          <t>Growth</t>
        </is>
      </c>
      <c r="J1851" t="inlineStr">
        <is>
          <t>Enterprise Tech</t>
        </is>
      </c>
      <c r="K1851" t="inlineStr">
        <is>
          <t>Bengaluru</t>
        </is>
      </c>
      <c r="L1851" t="inlineStr">
        <is>
          <t>Bajaj Finserv Ventures</t>
        </is>
      </c>
      <c r="M1851" t="inlineStr">
        <is>
          <t>Bajaj Finserv Ventures; Cactus Partners; India Alternatives</t>
        </is>
      </c>
      <c r="N1851" t="inlineStr">
        <is>
          <t>entrackr | inc42</t>
        </is>
      </c>
      <c r="O1851" s="20" t="n">
        <v>2</v>
      </c>
      <c r="P1851" s="21" t="n">
        <v>0</v>
      </c>
      <c r="Q1851" t="inlineStr">
        <is>
          <t>C18</t>
        </is>
      </c>
      <c r="R1851" s="22" t="inlineStr">
        <is>
          <t>https://entrackr.com/news/bajaj-finserv-ventures-leads-10-mn-pre-series-b-round-in-kapture-cx-12118348</t>
        </is>
      </c>
    </row>
    <row r="1852">
      <c r="A1852" t="inlineStr">
        <is>
          <t>R260630-theindusvalley</t>
        </is>
      </c>
      <c r="B1852" t="inlineStr">
        <is>
          <t>The Indus Valley</t>
        </is>
      </c>
      <c r="C1852" s="17" t="n">
        <v>46203</v>
      </c>
      <c r="D1852" s="18" t="n">
        <v>46174</v>
      </c>
      <c r="E1852" s="19" t="n">
        <v>17</v>
      </c>
      <c r="F1852" s="19" t="n">
        <v>160.92</v>
      </c>
      <c r="G1852" t="inlineStr">
        <is>
          <t>$17 million</t>
        </is>
      </c>
      <c r="H1852" t="inlineStr">
        <is>
          <t>Series B</t>
        </is>
      </c>
      <c r="I1852" t="inlineStr">
        <is>
          <t>Growth</t>
        </is>
      </c>
      <c r="J1852" t="inlineStr">
        <is>
          <t>Ecommerce</t>
        </is>
      </c>
      <c r="K1852" t="inlineStr">
        <is>
          <t>Chennai</t>
        </is>
      </c>
      <c r="L1852" t="inlineStr">
        <is>
          <t>Gaja Capital</t>
        </is>
      </c>
      <c r="M1852" t="inlineStr">
        <is>
          <t>Gaja Capital; DSG Consumer Partners; Rukam Capital</t>
        </is>
      </c>
      <c r="N1852" t="inlineStr">
        <is>
          <t>entrackr | inc42</t>
        </is>
      </c>
      <c r="O1852" s="20" t="n">
        <v>2</v>
      </c>
      <c r="P1852" s="21" t="n">
        <v>0</v>
      </c>
      <c r="Q1852" t="inlineStr"/>
      <c r="R1852" s="22" t="inlineStr">
        <is>
          <t>https://entrackr.com/news/cookware-brand-the-indus-valley-raises-17-mn-led-by-gaja-capital-12118791</t>
        </is>
      </c>
    </row>
    <row r="1853">
      <c r="A1853" t="inlineStr">
        <is>
          <t>R260630-yolearnai</t>
        </is>
      </c>
      <c r="B1853" t="inlineStr">
        <is>
          <t>YoLearn.AI</t>
        </is>
      </c>
      <c r="C1853" s="17" t="n">
        <v>46203</v>
      </c>
      <c r="D1853" s="18" t="n">
        <v>46174</v>
      </c>
      <c r="E1853" s="19" t="n">
        <v>0.5</v>
      </c>
      <c r="F1853" s="19" t="n">
        <v>4.73</v>
      </c>
      <c r="G1853" t="inlineStr">
        <is>
          <t>$500,000</t>
        </is>
      </c>
      <c r="H1853" t="inlineStr">
        <is>
          <t>Pre-Seed</t>
        </is>
      </c>
      <c r="I1853" t="inlineStr">
        <is>
          <t>Early</t>
        </is>
      </c>
      <c r="J1853" t="inlineStr">
        <is>
          <t>Artificial Intelligence</t>
        </is>
      </c>
      <c r="K1853" t="inlineStr">
        <is>
          <t>Delhi NCR</t>
        </is>
      </c>
      <c r="L1853" t="inlineStr">
        <is>
          <t>DataAlpha.ai; White Swan Global</t>
        </is>
      </c>
      <c r="M1853" t="inlineStr">
        <is>
          <t>DataAlpha.ai; White Swan Global</t>
        </is>
      </c>
      <c r="N1853" t="inlineStr">
        <is>
          <t>entrackr | inc42</t>
        </is>
      </c>
      <c r="O1853" s="20" t="n">
        <v>2</v>
      </c>
      <c r="P1853" s="21" t="n">
        <v>0</v>
      </c>
      <c r="Q1853" t="inlineStr"/>
      <c r="R1853" s="22" t="inlineStr">
        <is>
          <t>https://entrackr.com/snippets/edtech-platform-yolearn-ai-raises-pre-seed-round-12120052</t>
        </is>
      </c>
    </row>
    <row r="1854">
      <c r="A1854" t="inlineStr">
        <is>
          <t>R260701-albatrossenerg</t>
        </is>
      </c>
      <c r="B1854" t="inlineStr">
        <is>
          <t>Albatross Energetics</t>
        </is>
      </c>
      <c r="C1854" s="17" t="n">
        <v>46204</v>
      </c>
      <c r="D1854" s="18" t="n">
        <v>46204</v>
      </c>
      <c r="E1854" s="19" t="n">
        <v>1.05</v>
      </c>
      <c r="F1854" s="19" t="n">
        <v>10</v>
      </c>
      <c r="G1854" t="inlineStr">
        <is>
          <t>$1.05 million</t>
        </is>
      </c>
      <c r="H1854" t="inlineStr">
        <is>
          <t>Pre-Series A</t>
        </is>
      </c>
      <c r="I1854" t="inlineStr">
        <is>
          <t>Early</t>
        </is>
      </c>
      <c r="J1854" t="inlineStr">
        <is>
          <t>Advanced Hardware &amp; Technology</t>
        </is>
      </c>
      <c r="K1854" t="inlineStr">
        <is>
          <t>Mumbai</t>
        </is>
      </c>
      <c r="L1854" t="inlineStr">
        <is>
          <t>Transition VC</t>
        </is>
      </c>
      <c r="M1854" t="inlineStr">
        <is>
          <t>Transition VC</t>
        </is>
      </c>
      <c r="N1854" t="inlineStr">
        <is>
          <t>entrackr | inc42</t>
        </is>
      </c>
      <c r="O1854" s="20" t="n">
        <v>2</v>
      </c>
      <c r="P1854" s="21" t="n">
        <v>4.8</v>
      </c>
      <c r="Q1854" t="inlineStr"/>
      <c r="R1854" s="22" t="inlineStr">
        <is>
          <t>https://entrackr.com/snippets/transition-vc-leads-105-mn-pre-series-a-round-in-albatross-energetics-12122965</t>
        </is>
      </c>
    </row>
    <row r="1855">
      <c r="A1855" t="inlineStr">
        <is>
          <t>R260701-cunin</t>
        </is>
      </c>
      <c r="B1855" t="inlineStr">
        <is>
          <t>CUNIN</t>
        </is>
      </c>
      <c r="C1855" s="17" t="n">
        <v>46204</v>
      </c>
      <c r="D1855" s="18" t="n">
        <v>46204</v>
      </c>
      <c r="E1855" s="19" t="n">
        <v>0.45</v>
      </c>
      <c r="F1855" s="19" t="n">
        <v>4.29</v>
      </c>
      <c r="G1855" t="inlineStr">
        <is>
          <t>$450K</t>
        </is>
      </c>
      <c r="H1855" t="inlineStr">
        <is>
          <t>Pre-Seed</t>
        </is>
      </c>
      <c r="I1855" t="inlineStr">
        <is>
          <t>Early</t>
        </is>
      </c>
      <c r="J1855" t="inlineStr">
        <is>
          <t>Ecommerce</t>
        </is>
      </c>
      <c r="K1855" t="inlineStr">
        <is>
          <t>Unknown</t>
        </is>
      </c>
      <c r="L1855" t="inlineStr">
        <is>
          <t>All In Capital; Huddle Ventures</t>
        </is>
      </c>
      <c r="M1855" t="inlineStr">
        <is>
          <t>All In Capital; Huddle Ventures</t>
        </is>
      </c>
      <c r="N1855" t="inlineStr">
        <is>
          <t>entrackr | inc42</t>
        </is>
      </c>
      <c r="O1855" s="20" t="n">
        <v>2</v>
      </c>
      <c r="P1855" s="21" t="n">
        <v>0</v>
      </c>
      <c r="Q1855" t="inlineStr">
        <is>
          <t>C07</t>
        </is>
      </c>
      <c r="R1855" s="22" t="inlineStr">
        <is>
          <t>https://inc42.com/buzz/from-the-indus-valley-to-incuspaze-indian-startups-raised-105-mn-this-week/</t>
        </is>
      </c>
    </row>
    <row r="1856">
      <c r="A1856" t="inlineStr">
        <is>
          <t>R260701-datasciencewiz</t>
        </is>
      </c>
      <c r="B1856" t="inlineStr">
        <is>
          <t>Data Science Wizards</t>
        </is>
      </c>
      <c r="C1856" s="17" t="n">
        <v>46204</v>
      </c>
      <c r="D1856" s="18" t="n">
        <v>46204</v>
      </c>
      <c r="E1856" s="19" t="n">
        <v>5</v>
      </c>
      <c r="F1856" s="19" t="n">
        <v>47.62</v>
      </c>
      <c r="G1856" t="inlineStr">
        <is>
          <t>$5 million</t>
        </is>
      </c>
      <c r="H1856" t="inlineStr">
        <is>
          <t>Pre-Series A</t>
        </is>
      </c>
      <c r="I1856" t="inlineStr">
        <is>
          <t>Early</t>
        </is>
      </c>
      <c r="J1856" t="inlineStr">
        <is>
          <t>Enterprise Tech</t>
        </is>
      </c>
      <c r="K1856" t="inlineStr">
        <is>
          <t>Mumbai</t>
        </is>
      </c>
      <c r="L1856" t="inlineStr"/>
      <c r="M1856" t="inlineStr"/>
      <c r="N1856" t="inlineStr">
        <is>
          <t>entrackr | inc42</t>
        </is>
      </c>
      <c r="O1856" s="20" t="n">
        <v>2</v>
      </c>
      <c r="P1856" s="21" t="n">
        <v>0</v>
      </c>
      <c r="Q1856" t="inlineStr">
        <is>
          <t>C05</t>
        </is>
      </c>
      <c r="R1856" s="22" t="inlineStr">
        <is>
          <t>https://entrackr.com/snippets/data-science-wizards-raises-5-mn-in-pre-series-a-round-12122203</t>
        </is>
      </c>
    </row>
    <row r="1857">
      <c r="A1857" t="inlineStr">
        <is>
          <t>R260701-dovetailcapita</t>
        </is>
      </c>
      <c r="B1857" t="inlineStr">
        <is>
          <t>Dovetail Capital</t>
        </is>
      </c>
      <c r="C1857" s="17" t="n">
        <v>46204</v>
      </c>
      <c r="D1857" s="18" t="n">
        <v>46204</v>
      </c>
      <c r="E1857" s="19" t="n">
        <v>10.499</v>
      </c>
      <c r="F1857" s="19" t="n">
        <v>100</v>
      </c>
      <c r="G1857" t="inlineStr">
        <is>
          <t>Rs 100 crore</t>
        </is>
      </c>
      <c r="H1857" t="inlineStr">
        <is>
          <t>Series A</t>
        </is>
      </c>
      <c r="I1857" t="inlineStr">
        <is>
          <t>Early</t>
        </is>
      </c>
      <c r="J1857" t="inlineStr">
        <is>
          <t>Fintech</t>
        </is>
      </c>
      <c r="K1857" t="inlineStr">
        <is>
          <t>Mumbai</t>
        </is>
      </c>
      <c r="L1857" t="inlineStr">
        <is>
          <t>Elev8 Venture Partners</t>
        </is>
      </c>
      <c r="M1857" t="inlineStr">
        <is>
          <t>Elev8 Venture Partners</t>
        </is>
      </c>
      <c r="N1857" t="inlineStr">
        <is>
          <t>entrackr | inc42 | et</t>
        </is>
      </c>
      <c r="O1857" s="20" t="n">
        <v>3</v>
      </c>
      <c r="P1857" s="21" t="n">
        <v>0</v>
      </c>
      <c r="Q1857" t="inlineStr"/>
      <c r="R1857" s="22" t="inlineStr">
        <is>
          <t>https://entrackr.com/snippets/dovetail-capital-raises-rs-100-cr-led-by-elev8-venture-partners-12123188</t>
        </is>
      </c>
    </row>
    <row r="1858">
      <c r="A1858" t="inlineStr">
        <is>
          <t>R260701-limelightdiamo</t>
        </is>
      </c>
      <c r="B1858" t="inlineStr">
        <is>
          <t>Limelight Diamonds</t>
        </is>
      </c>
      <c r="C1858" s="17" t="n">
        <v>46204</v>
      </c>
      <c r="D1858" s="18" t="n">
        <v>46204</v>
      </c>
      <c r="E1858" s="19" t="n">
        <v>28.871</v>
      </c>
      <c r="F1858" s="19" t="n">
        <v>275</v>
      </c>
      <c r="G1858" t="inlineStr">
        <is>
          <t>Rs 275 crore</t>
        </is>
      </c>
      <c r="H1858" t="inlineStr">
        <is>
          <t>Undisclosed</t>
        </is>
      </c>
      <c r="I1858" t="inlineStr">
        <is>
          <t>Undisclosed</t>
        </is>
      </c>
      <c r="J1858" t="inlineStr">
        <is>
          <t>Ecommerce</t>
        </is>
      </c>
      <c r="K1858" t="inlineStr">
        <is>
          <t>Unknown</t>
        </is>
      </c>
      <c r="L1858" t="inlineStr">
        <is>
          <t>Bhathwari Group</t>
        </is>
      </c>
      <c r="M1858" t="inlineStr">
        <is>
          <t>Bhathwari Group</t>
        </is>
      </c>
      <c r="N1858" t="inlineStr">
        <is>
          <t>entrackr</t>
        </is>
      </c>
      <c r="O1858" s="20" t="n">
        <v>1</v>
      </c>
      <c r="P1858" s="21" t="n">
        <v>0</v>
      </c>
      <c r="Q1858" t="inlineStr">
        <is>
          <t>C04 C07</t>
        </is>
      </c>
      <c r="R1858" s="22" t="inlineStr">
        <is>
          <t>https://entrackr.com/snippets/lab-grown-diamond-brand-limelight-diamonds-raises-rs-275-cr-12123673</t>
        </is>
      </c>
    </row>
    <row r="1859">
      <c r="A1859" t="inlineStr">
        <is>
          <t>R260701-spense</t>
        </is>
      </c>
      <c r="B1859" t="inlineStr">
        <is>
          <t>Spense</t>
        </is>
      </c>
      <c r="C1859" s="17" t="n">
        <v>46204</v>
      </c>
      <c r="D1859" s="18" t="n">
        <v>46204</v>
      </c>
      <c r="E1859" s="19" t="n">
        <v>2.8</v>
      </c>
      <c r="F1859" s="19" t="n">
        <v>26.67</v>
      </c>
      <c r="G1859" t="inlineStr">
        <is>
          <t>$2.8 million</t>
        </is>
      </c>
      <c r="H1859" t="inlineStr">
        <is>
          <t>Seed</t>
        </is>
      </c>
      <c r="I1859" t="inlineStr">
        <is>
          <t>Early</t>
        </is>
      </c>
      <c r="J1859" t="inlineStr">
        <is>
          <t>Fintech</t>
        </is>
      </c>
      <c r="K1859" t="inlineStr">
        <is>
          <t>Bengaluru</t>
        </is>
      </c>
      <c r="L1859" t="inlineStr">
        <is>
          <t>Arkam Ventures</t>
        </is>
      </c>
      <c r="M1859" t="inlineStr">
        <is>
          <t>Arkam Ventures; Razorpay Ventures; GrowthCap Ventures; Atrium Ventures; Kunal Shah; Madhusudhan E; Ravishankar; Suresh Rayasam Venkatasubbaih; Sayandeb Banerjee</t>
        </is>
      </c>
      <c r="N1859" t="inlineStr">
        <is>
          <t>entrackr | inc42</t>
        </is>
      </c>
      <c r="O1859" s="20" t="n">
        <v>2</v>
      </c>
      <c r="P1859" s="21" t="n">
        <v>0</v>
      </c>
      <c r="Q1859" t="inlineStr"/>
      <c r="R1859" s="22" t="inlineStr">
        <is>
          <t>https://entrackr.com/snippets/banking-infra-startup-spense-secures-28-mn-in-seed-funding-12123950</t>
        </is>
      </c>
    </row>
    <row r="1860">
      <c r="A1860" t="inlineStr">
        <is>
          <t>R260701-supply6</t>
        </is>
      </c>
      <c r="B1860" t="inlineStr">
        <is>
          <t>Supply6</t>
        </is>
      </c>
      <c r="C1860" s="17" t="n">
        <v>46204</v>
      </c>
      <c r="D1860" s="18" t="n">
        <v>46204</v>
      </c>
      <c r="E1860" s="19" t="n">
        <v>5.039</v>
      </c>
      <c r="F1860" s="19" t="n">
        <v>48</v>
      </c>
      <c r="G1860" t="inlineStr">
        <is>
          <t>Rs 48 crore</t>
        </is>
      </c>
      <c r="H1860" t="inlineStr">
        <is>
          <t>Undisclosed</t>
        </is>
      </c>
      <c r="I1860" t="inlineStr">
        <is>
          <t>Undisclosed</t>
        </is>
      </c>
      <c r="J1860" t="inlineStr">
        <is>
          <t>Ecommerce</t>
        </is>
      </c>
      <c r="K1860" t="inlineStr">
        <is>
          <t>Unknown</t>
        </is>
      </c>
      <c r="L1860" t="inlineStr">
        <is>
          <t>Unilever Ventures; Zeropearl VC</t>
        </is>
      </c>
      <c r="M1860" t="inlineStr">
        <is>
          <t>Unilever Ventures; Zeropearl VC; Kriti Sanon</t>
        </is>
      </c>
      <c r="N1860" t="inlineStr">
        <is>
          <t>entrackr | inc42</t>
        </is>
      </c>
      <c r="O1860" s="20" t="n">
        <v>2</v>
      </c>
      <c r="P1860" s="21" t="n">
        <v>0.8</v>
      </c>
      <c r="Q1860" t="inlineStr">
        <is>
          <t>C04 C07</t>
        </is>
      </c>
      <c r="R1860" s="22" t="inlineStr">
        <is>
          <t>https://entrackr.com/snippets/nutrition-startup-supply6-raises-rs-48-cr-led-by-unilever-ventures-12122813</t>
        </is>
      </c>
    </row>
    <row r="1861">
      <c r="A1861" t="inlineStr">
        <is>
          <t>R260702-agecarelabs</t>
        </is>
      </c>
      <c r="B1861" t="inlineStr">
        <is>
          <t>Age Care Labs</t>
        </is>
      </c>
      <c r="C1861" s="17" t="n">
        <v>46205</v>
      </c>
      <c r="D1861" s="18" t="n">
        <v>46204</v>
      </c>
      <c r="E1861" s="19" t="n">
        <v>8.911</v>
      </c>
      <c r="F1861" s="19" t="n">
        <v>85</v>
      </c>
      <c r="G1861" t="inlineStr">
        <is>
          <t>Rs 85 crore</t>
        </is>
      </c>
      <c r="H1861" t="inlineStr">
        <is>
          <t>Series B</t>
        </is>
      </c>
      <c r="I1861" t="inlineStr">
        <is>
          <t>Growth</t>
        </is>
      </c>
      <c r="J1861" t="inlineStr">
        <is>
          <t>Consumer Services</t>
        </is>
      </c>
      <c r="K1861" t="inlineStr">
        <is>
          <t>Delhi NCR</t>
        </is>
      </c>
      <c r="L1861" t="inlineStr"/>
      <c r="M1861" t="inlineStr">
        <is>
          <t>Shrem Group; Rainmatter; Pegasus Finvest</t>
        </is>
      </c>
      <c r="N1861" t="inlineStr">
        <is>
          <t>entrackr | inc42 | et | vccircle</t>
        </is>
      </c>
      <c r="O1861" s="20" t="n">
        <v>4</v>
      </c>
      <c r="P1861" s="21" t="n">
        <v>1</v>
      </c>
      <c r="Q1861" t="inlineStr"/>
      <c r="R1861" s="22" t="inlineStr">
        <is>
          <t>https://entrackr.com/news/elder-care-startup-age-care-labs-raises-9-mn-from-rainmatter-and-others-12125496</t>
        </is>
      </c>
    </row>
    <row r="1862">
      <c r="A1862" t="inlineStr">
        <is>
          <t>R260702-batxenergies</t>
        </is>
      </c>
      <c r="B1862" t="inlineStr">
        <is>
          <t>BatX Energies</t>
        </is>
      </c>
      <c r="C1862" s="17" t="n">
        <v>46205</v>
      </c>
      <c r="D1862" s="18" t="n">
        <v>46204</v>
      </c>
      <c r="E1862" s="19" t="n">
        <v>11.007</v>
      </c>
      <c r="F1862" s="19" t="n">
        <v>105</v>
      </c>
      <c r="G1862" t="inlineStr">
        <is>
          <t>Rs 105 crore</t>
        </is>
      </c>
      <c r="H1862" t="inlineStr">
        <is>
          <t>Series A</t>
        </is>
      </c>
      <c r="I1862" t="inlineStr">
        <is>
          <t>Early</t>
        </is>
      </c>
      <c r="J1862" t="inlineStr">
        <is>
          <t>Cleantech</t>
        </is>
      </c>
      <c r="K1862" t="inlineStr">
        <is>
          <t>Delhi NCR</t>
        </is>
      </c>
      <c r="L1862" t="inlineStr">
        <is>
          <t>IvyCap Ventures</t>
        </is>
      </c>
      <c r="M1862" t="inlineStr">
        <is>
          <t>IvyCap Ventures; Zephyr Peacock; Mankind Pharma Family Office; Excel Industries Family Office; JITO</t>
        </is>
      </c>
      <c r="N1862" t="inlineStr">
        <is>
          <t>entrackr | inc42 | et</t>
        </is>
      </c>
      <c r="O1862" s="20" t="n">
        <v>3</v>
      </c>
      <c r="P1862" s="21" t="n">
        <v>0.1</v>
      </c>
      <c r="Q1862" t="inlineStr"/>
      <c r="R1862" s="22" t="inlineStr">
        <is>
          <t>https://entrackr.com/news/batx-energies-raises-rs-105-cr-in-series-a-round-led-by-ivycap-ventures-12125741</t>
        </is>
      </c>
    </row>
    <row r="1863">
      <c r="A1863" t="inlineStr">
        <is>
          <t>R260702-bctventures</t>
        </is>
      </c>
      <c r="B1863" t="inlineStr">
        <is>
          <t>BCT Ventures</t>
        </is>
      </c>
      <c r="C1863" s="17" t="n">
        <v>46205</v>
      </c>
      <c r="D1863" s="18" t="n">
        <v>46204</v>
      </c>
      <c r="E1863" s="19" t="n">
        <v>4.4</v>
      </c>
      <c r="F1863" s="19" t="n">
        <v>41.97</v>
      </c>
      <c r="G1863" t="inlineStr">
        <is>
          <t>$4.4 Mn</t>
        </is>
      </c>
      <c r="H1863" t="inlineStr">
        <is>
          <t>Seed</t>
        </is>
      </c>
      <c r="I1863" t="inlineStr">
        <is>
          <t>Early</t>
        </is>
      </c>
      <c r="J1863" t="inlineStr">
        <is>
          <t>Ecommerce</t>
        </is>
      </c>
      <c r="K1863" t="inlineStr">
        <is>
          <t>Unknown</t>
        </is>
      </c>
      <c r="L1863" t="inlineStr">
        <is>
          <t>3one4 Capital</t>
        </is>
      </c>
      <c r="M1863" t="inlineStr">
        <is>
          <t>3one4 Capital</t>
        </is>
      </c>
      <c r="N1863" t="inlineStr">
        <is>
          <t>inc42</t>
        </is>
      </c>
      <c r="O1863" s="20" t="n">
        <v>1</v>
      </c>
      <c r="P1863" s="21" t="n">
        <v>0</v>
      </c>
      <c r="Q1863" t="inlineStr">
        <is>
          <t>C07</t>
        </is>
      </c>
      <c r="R1863" s="22" t="inlineStr">
        <is>
          <t>https://inc42.com/buzz/from-the-indus-valley-to-incuspaze-indian-startups-raised-105-mn-this-week/</t>
        </is>
      </c>
    </row>
    <row r="1864">
      <c r="A1864" t="inlineStr">
        <is>
          <t>R260702-heatronics</t>
        </is>
      </c>
      <c r="B1864" t="inlineStr">
        <is>
          <t>Heatronics</t>
        </is>
      </c>
      <c r="C1864" s="17" t="n">
        <v>46205</v>
      </c>
      <c r="D1864" s="18" t="n">
        <v>46204</v>
      </c>
      <c r="E1864" s="19" t="n">
        <v>0.189</v>
      </c>
      <c r="F1864" s="19" t="n">
        <v>1.8</v>
      </c>
      <c r="G1864" t="inlineStr">
        <is>
          <t>Rs 1.8 crore</t>
        </is>
      </c>
      <c r="H1864" t="inlineStr">
        <is>
          <t>Seed</t>
        </is>
      </c>
      <c r="I1864" t="inlineStr">
        <is>
          <t>Early</t>
        </is>
      </c>
      <c r="J1864" t="inlineStr">
        <is>
          <t>Healthtech</t>
        </is>
      </c>
      <c r="K1864" t="inlineStr">
        <is>
          <t>Delhi NCR</t>
        </is>
      </c>
      <c r="L1864" t="inlineStr">
        <is>
          <t>Inflection Point Ventures</t>
        </is>
      </c>
      <c r="M1864" t="inlineStr">
        <is>
          <t>Inflection Point Ventures; Nitin Agarwal; Shivam Mishra of String Ventures</t>
        </is>
      </c>
      <c r="N1864" t="inlineStr">
        <is>
          <t>entrackr | inc42</t>
        </is>
      </c>
      <c r="O1864" s="20" t="n">
        <v>2</v>
      </c>
      <c r="P1864" s="21" t="n">
        <v>0.2</v>
      </c>
      <c r="Q1864" t="inlineStr"/>
      <c r="R1864" s="22" t="inlineStr">
        <is>
          <t>https://entrackr.com/snippets/heatronics-raises-rs-18-cr-seed-round-led-by-ipv-12125980</t>
        </is>
      </c>
    </row>
    <row r="1865">
      <c r="A1865" t="inlineStr">
        <is>
          <t>R260702-ninjacart</t>
        </is>
      </c>
      <c r="B1865" t="inlineStr">
        <is>
          <t>Ninjacart</t>
        </is>
      </c>
      <c r="C1865" s="17" t="n">
        <v>46205</v>
      </c>
      <c r="D1865" s="18" t="n">
        <v>46204</v>
      </c>
      <c r="E1865" s="19" t="n">
        <v>6</v>
      </c>
      <c r="F1865" s="19" t="n">
        <v>57.23</v>
      </c>
      <c r="G1865" t="inlineStr">
        <is>
          <t>$6 million</t>
        </is>
      </c>
      <c r="H1865" t="inlineStr">
        <is>
          <t>Undisclosed</t>
        </is>
      </c>
      <c r="I1865" t="inlineStr">
        <is>
          <t>Undisclosed</t>
        </is>
      </c>
      <c r="J1865" t="inlineStr">
        <is>
          <t>Agritech</t>
        </is>
      </c>
      <c r="K1865" t="inlineStr">
        <is>
          <t>Bengaluru</t>
        </is>
      </c>
      <c r="L1865" t="inlineStr">
        <is>
          <t>Accel; Tiger Global; Nandan Nilkeani</t>
        </is>
      </c>
      <c r="M1865" t="inlineStr">
        <is>
          <t>Accel; Tiger Global; Nandan Nilkeani</t>
        </is>
      </c>
      <c r="N1865" t="inlineStr">
        <is>
          <t>entrackr | inc42</t>
        </is>
      </c>
      <c r="O1865" s="20" t="n">
        <v>2</v>
      </c>
      <c r="P1865" s="21" t="n">
        <v>0</v>
      </c>
      <c r="Q1865" t="inlineStr">
        <is>
          <t>C04</t>
        </is>
      </c>
      <c r="R1865" s="22" t="inlineStr">
        <is>
          <t>https://entrackr.com/news/ninjacart-raises-6-mn-after-45-years-claims-ebitda-profitability-ahead-of-ipo-12128023</t>
        </is>
      </c>
    </row>
    <row r="1866">
      <c r="A1866" t="inlineStr">
        <is>
          <t>R260702-playblue</t>
        </is>
      </c>
      <c r="B1866" t="inlineStr">
        <is>
          <t>PlayBlue</t>
        </is>
      </c>
      <c r="C1866" s="17" t="n">
        <v>46205</v>
      </c>
      <c r="D1866" s="18" t="n">
        <v>46204</v>
      </c>
      <c r="E1866" s="19" t="n">
        <v>2.7</v>
      </c>
      <c r="F1866" s="19" t="n">
        <v>25.76</v>
      </c>
      <c r="G1866" t="inlineStr">
        <is>
          <t>$2.7 million</t>
        </is>
      </c>
      <c r="H1866" t="inlineStr">
        <is>
          <t>Seed</t>
        </is>
      </c>
      <c r="I1866" t="inlineStr">
        <is>
          <t>Early</t>
        </is>
      </c>
      <c r="J1866" t="inlineStr">
        <is>
          <t>Ecommerce</t>
        </is>
      </c>
      <c r="K1866" t="inlineStr">
        <is>
          <t>Unknown</t>
        </is>
      </c>
      <c r="L1866" t="inlineStr">
        <is>
          <t>Centre Court Capital; MIXI Global</t>
        </is>
      </c>
      <c r="M1866" t="inlineStr">
        <is>
          <t>Centre Court Capital; MIXI Global; WEH Ventures</t>
        </is>
      </c>
      <c r="N1866" t="inlineStr">
        <is>
          <t>entrackr | inc42</t>
        </is>
      </c>
      <c r="O1866" s="20" t="n">
        <v>2</v>
      </c>
      <c r="P1866" s="21" t="n">
        <v>0</v>
      </c>
      <c r="Q1866" t="inlineStr">
        <is>
          <t>C07</t>
        </is>
      </c>
      <c r="R1866" s="22" t="inlineStr">
        <is>
          <t>https://entrackr.com/snippets/omnichannel-sports-retail-startup-playblue-raises-27-mn-in-seed-round-12128217</t>
        </is>
      </c>
    </row>
    <row r="1867">
      <c r="A1867" t="inlineStr">
        <is>
          <t>R260702-tulonmaterials</t>
        </is>
      </c>
      <c r="B1867" t="inlineStr">
        <is>
          <t>Tulon Materials</t>
        </is>
      </c>
      <c r="C1867" s="17" t="n">
        <v>46205</v>
      </c>
      <c r="D1867" s="18" t="n">
        <v>46204</v>
      </c>
      <c r="E1867" s="19" t="n">
        <v>1.048</v>
      </c>
      <c r="F1867" s="19" t="n">
        <v>10</v>
      </c>
      <c r="G1867" t="inlineStr">
        <is>
          <t>Rs 10 crore</t>
        </is>
      </c>
      <c r="H1867" t="inlineStr">
        <is>
          <t>Seed</t>
        </is>
      </c>
      <c r="I1867" t="inlineStr">
        <is>
          <t>Early</t>
        </is>
      </c>
      <c r="J1867" t="inlineStr">
        <is>
          <t>Enterprise Tech</t>
        </is>
      </c>
      <c r="K1867" t="inlineStr">
        <is>
          <t>Mumbai</t>
        </is>
      </c>
      <c r="L1867" t="inlineStr">
        <is>
          <t>Karthik Sundar Iyer</t>
        </is>
      </c>
      <c r="M1867" t="inlineStr">
        <is>
          <t>Karthik Sundar Iyer; Karan Goshar; Prakhar Pandey; Agam Shah</t>
        </is>
      </c>
      <c r="N1867" t="inlineStr">
        <is>
          <t>entrackr | inc42</t>
        </is>
      </c>
      <c r="O1867" s="20" t="n">
        <v>2</v>
      </c>
      <c r="P1867" s="21" t="n">
        <v>4.9</v>
      </c>
      <c r="Q1867" t="inlineStr"/>
      <c r="R1867" s="22" t="inlineStr">
        <is>
          <t>https://entrackr.com/snippets/specialty-chemical-startup-tulon-materials-raises-rs-10-cr-in-seed-round-12125757</t>
        </is>
      </c>
    </row>
    <row r="1868">
      <c r="A1868" t="inlineStr">
        <is>
          <t>R260706-tocal</t>
        </is>
      </c>
      <c r="B1868" t="inlineStr">
        <is>
          <t>TOCAL</t>
        </is>
      </c>
      <c r="C1868" s="17" t="n">
        <v>46209</v>
      </c>
      <c r="D1868" s="18" t="n">
        <v>46204</v>
      </c>
      <c r="E1868" s="19" t="n">
        <v>0.9429999999999999</v>
      </c>
      <c r="F1868" s="19" t="n">
        <v>9</v>
      </c>
      <c r="G1868" t="inlineStr">
        <is>
          <t>Rs 9 crore</t>
        </is>
      </c>
      <c r="H1868" t="inlineStr">
        <is>
          <t>Seed</t>
        </is>
      </c>
      <c r="I1868" t="inlineStr">
        <is>
          <t>Early</t>
        </is>
      </c>
      <c r="J1868" t="inlineStr">
        <is>
          <t>Cleantech</t>
        </is>
      </c>
      <c r="K1868" t="inlineStr">
        <is>
          <t>Bengaluru</t>
        </is>
      </c>
      <c r="L1868" t="inlineStr">
        <is>
          <t>XB Group</t>
        </is>
      </c>
      <c r="M1868" t="inlineStr">
        <is>
          <t>XB Group; Navyug Global Ventures; Nivetha Muralidharan</t>
        </is>
      </c>
      <c r="N1868" t="inlineStr">
        <is>
          <t>entrackr | et | vccircle</t>
        </is>
      </c>
      <c r="O1868" s="20" t="n">
        <v>3</v>
      </c>
      <c r="P1868" s="21" t="n">
        <v>0</v>
      </c>
      <c r="Q1868" t="inlineStr"/>
      <c r="R1868" s="22" t="inlineStr">
        <is>
          <t>https://entrackr.com/snippets/ev-fleet-startup-tocal-secures-rs-9-cr-in-seed-round-12138551</t>
        </is>
      </c>
    </row>
    <row r="1869">
      <c r="A1869" t="inlineStr">
        <is>
          <t>R260707-alchemic</t>
        </is>
      </c>
      <c r="B1869" t="inlineStr">
        <is>
          <t>Alchemic</t>
        </is>
      </c>
      <c r="C1869" s="17" t="n">
        <v>46210</v>
      </c>
      <c r="D1869" s="18" t="n">
        <v>46204</v>
      </c>
      <c r="E1869" s="19" t="n">
        <v>0.263</v>
      </c>
      <c r="F1869" s="19" t="n">
        <v>2.5</v>
      </c>
      <c r="G1869" t="inlineStr">
        <is>
          <t>Rs 2.5 crore</t>
        </is>
      </c>
      <c r="H1869" t="inlineStr">
        <is>
          <t>Pre-Seed</t>
        </is>
      </c>
      <c r="I1869" t="inlineStr">
        <is>
          <t>Early</t>
        </is>
      </c>
      <c r="J1869" t="inlineStr">
        <is>
          <t>Artificial Intelligence</t>
        </is>
      </c>
      <c r="K1869" t="inlineStr">
        <is>
          <t>Bengaluru</t>
        </is>
      </c>
      <c r="L1869" t="inlineStr">
        <is>
          <t>AJVC</t>
        </is>
      </c>
      <c r="M1869" t="inlineStr">
        <is>
          <t>AJVC</t>
        </is>
      </c>
      <c r="N1869" t="inlineStr">
        <is>
          <t>entrackr</t>
        </is>
      </c>
      <c r="O1869" s="20" t="n">
        <v>1</v>
      </c>
      <c r="P1869" s="21" t="n">
        <v>0</v>
      </c>
      <c r="Q1869" t="inlineStr"/>
      <c r="R1869" s="22" t="inlineStr">
        <is>
          <t>https://entrackr.com/snippets/alchemic-raises-rs-25-cr-pre-seed-round-led-by-ajvc-12142326</t>
        </is>
      </c>
    </row>
    <row r="1870">
      <c r="A1870" t="inlineStr">
        <is>
          <t>R260707-econovuspackag</t>
        </is>
      </c>
      <c r="B1870" t="inlineStr">
        <is>
          <t>Econovus Packaging</t>
        </is>
      </c>
      <c r="C1870" s="17" t="n">
        <v>46210</v>
      </c>
      <c r="D1870" s="18" t="n">
        <v>46204</v>
      </c>
      <c r="E1870" s="19" t="n">
        <v>4.212</v>
      </c>
      <c r="F1870" s="19" t="n">
        <v>40</v>
      </c>
      <c r="G1870" t="inlineStr">
        <is>
          <t>Rs 40 crore</t>
        </is>
      </c>
      <c r="H1870" t="inlineStr">
        <is>
          <t>Pre-Series A</t>
        </is>
      </c>
      <c r="I1870" t="inlineStr">
        <is>
          <t>Early</t>
        </is>
      </c>
      <c r="J1870" t="inlineStr">
        <is>
          <t>Logistics</t>
        </is>
      </c>
      <c r="K1870" t="inlineStr">
        <is>
          <t>Pune</t>
        </is>
      </c>
      <c r="L1870" t="inlineStr">
        <is>
          <t>Rainmatter</t>
        </is>
      </c>
      <c r="M1870" t="inlineStr">
        <is>
          <t>Rainmatter; Rockstud Capital</t>
        </is>
      </c>
      <c r="N1870" t="inlineStr">
        <is>
          <t>entrackr | inc42 | et</t>
        </is>
      </c>
      <c r="O1870" s="20" t="n">
        <v>3</v>
      </c>
      <c r="P1870" s="21" t="n">
        <v>0.3</v>
      </c>
      <c r="Q1870" t="inlineStr"/>
      <c r="R1870" s="22" t="inlineStr">
        <is>
          <t>https://entrackr.com/snippets/rainmatter-leads-rs-40-cr-pre-series-a-round-in-econovus-packaging-12141581</t>
        </is>
      </c>
    </row>
    <row r="1871">
      <c r="A1871" t="inlineStr">
        <is>
          <t>R260707-fizzygoblet</t>
        </is>
      </c>
      <c r="B1871" t="inlineStr">
        <is>
          <t>Fizzy Goblet</t>
        </is>
      </c>
      <c r="C1871" s="17" t="n">
        <v>46210</v>
      </c>
      <c r="D1871" s="18" t="n">
        <v>46204</v>
      </c>
      <c r="E1871" s="19" t="n"/>
      <c r="F1871" s="19" t="n"/>
      <c r="G1871" t="inlineStr"/>
      <c r="H1871" t="inlineStr">
        <is>
          <t>Undisclosed</t>
        </is>
      </c>
      <c r="I1871" t="inlineStr">
        <is>
          <t>Undisclosed</t>
        </is>
      </c>
      <c r="J1871" t="inlineStr">
        <is>
          <t>Ecommerce</t>
        </is>
      </c>
      <c r="K1871" t="inlineStr">
        <is>
          <t>Unknown</t>
        </is>
      </c>
      <c r="L1871" t="inlineStr"/>
      <c r="M1871" t="inlineStr">
        <is>
          <t>Kareena Kapoor Khan</t>
        </is>
      </c>
      <c r="N1871" t="inlineStr">
        <is>
          <t>inc42</t>
        </is>
      </c>
      <c r="O1871" s="20" t="n">
        <v>1</v>
      </c>
      <c r="P1871" s="21" t="n"/>
      <c r="Q1871" t="inlineStr">
        <is>
          <t>C03 C04 C07</t>
        </is>
      </c>
      <c r="R1871" s="22" t="inlineStr">
        <is>
          <t>https://inc42.com/features/from-elevate-education-to-aukera-indian-startups-raised-72-mn-this-week/</t>
        </is>
      </c>
    </row>
    <row r="1872">
      <c r="A1872" t="inlineStr">
        <is>
          <t>R260707-mowito</t>
        </is>
      </c>
      <c r="B1872" t="inlineStr">
        <is>
          <t>Mowito</t>
        </is>
      </c>
      <c r="C1872" s="17" t="n">
        <v>46210</v>
      </c>
      <c r="D1872" s="18" t="n">
        <v>46204</v>
      </c>
      <c r="E1872" s="19" t="n">
        <v>3</v>
      </c>
      <c r="F1872" s="19" t="n">
        <v>28.49</v>
      </c>
      <c r="G1872" t="inlineStr">
        <is>
          <t>$3 million</t>
        </is>
      </c>
      <c r="H1872" t="inlineStr">
        <is>
          <t>Pre-Seed</t>
        </is>
      </c>
      <c r="I1872" t="inlineStr">
        <is>
          <t>Early</t>
        </is>
      </c>
      <c r="J1872" t="inlineStr">
        <is>
          <t>Advanced Hardware &amp; Technology</t>
        </is>
      </c>
      <c r="K1872" t="inlineStr">
        <is>
          <t>Bengaluru</t>
        </is>
      </c>
      <c r="L1872" t="inlineStr">
        <is>
          <t>Version One Ventures</t>
        </is>
      </c>
      <c r="M1872" t="inlineStr">
        <is>
          <t>Version One Ventures; All In Capital; Unisol; iSeed; Soumith Chintala; Adarsh Kulkarni; Ashish Kulkarni; Vaibhav Domkundwar; Coformer.ai; Better Capital; Foundry Robotics</t>
        </is>
      </c>
      <c r="N1872" t="inlineStr">
        <is>
          <t>entrackr | inc42 | et</t>
        </is>
      </c>
      <c r="O1872" s="20" t="n">
        <v>3</v>
      </c>
      <c r="P1872" s="21" t="n">
        <v>0</v>
      </c>
      <c r="Q1872" t="inlineStr"/>
      <c r="R1872" s="22" t="inlineStr">
        <is>
          <t>https://entrackr.com/snippets/physical-ai-startup-mowito-raises-3-mn-led-by-version-one-ventures-12141325</t>
        </is>
      </c>
    </row>
    <row r="1873">
      <c r="A1873" t="inlineStr">
        <is>
          <t>R260707-onpoint</t>
        </is>
      </c>
      <c r="B1873" t="inlineStr">
        <is>
          <t>Onpoint</t>
        </is>
      </c>
      <c r="C1873" s="17" t="n">
        <v>46210</v>
      </c>
      <c r="D1873" s="18" t="n">
        <v>46204</v>
      </c>
      <c r="E1873" s="19" t="n">
        <v>0.6</v>
      </c>
      <c r="F1873" s="19" t="n">
        <v>5.7</v>
      </c>
      <c r="G1873" t="inlineStr">
        <is>
          <t>$600k</t>
        </is>
      </c>
      <c r="H1873" t="inlineStr">
        <is>
          <t>Pre-Seed</t>
        </is>
      </c>
      <c r="I1873" t="inlineStr">
        <is>
          <t>Early</t>
        </is>
      </c>
      <c r="J1873" t="inlineStr">
        <is>
          <t>Unclassified</t>
        </is>
      </c>
      <c r="K1873" t="inlineStr">
        <is>
          <t>Unknown</t>
        </is>
      </c>
      <c r="L1873" t="inlineStr">
        <is>
          <t>First Cheque; Whiteboard Capital</t>
        </is>
      </c>
      <c r="M1873" t="inlineStr">
        <is>
          <t>First Cheque; Whiteboard Capital; Meta; Google</t>
        </is>
      </c>
      <c r="N1873" t="inlineStr">
        <is>
          <t>entrackr | et</t>
        </is>
      </c>
      <c r="O1873" s="20" t="n">
        <v>2</v>
      </c>
      <c r="P1873" s="21" t="n">
        <v>0</v>
      </c>
      <c r="Q1873" t="inlineStr">
        <is>
          <t>C06 C07</t>
        </is>
      </c>
      <c r="R1873" s="22" t="inlineStr">
        <is>
          <t>https://entrackr.com/snippets/rewards-platform-onpoint-raises-600k-in-pre-seed-round-12140935</t>
        </is>
      </c>
    </row>
    <row r="1874">
      <c r="A1874" t="inlineStr">
        <is>
          <t>R260707-rocketlane</t>
        </is>
      </c>
      <c r="B1874" t="inlineStr">
        <is>
          <t>Rocketlane</t>
        </is>
      </c>
      <c r="C1874" s="17" t="n">
        <v>46210</v>
      </c>
      <c r="D1874" s="18" t="n">
        <v>46204</v>
      </c>
      <c r="E1874" s="19" t="n"/>
      <c r="F1874" s="19" t="n"/>
      <c r="G1874" t="inlineStr"/>
      <c r="H1874" t="inlineStr">
        <is>
          <t>Undisclosed</t>
        </is>
      </c>
      <c r="I1874" t="inlineStr">
        <is>
          <t>Undisclosed</t>
        </is>
      </c>
      <c r="J1874" t="inlineStr">
        <is>
          <t>Artificial Intelligence</t>
        </is>
      </c>
      <c r="K1874" t="inlineStr">
        <is>
          <t>Chennai</t>
        </is>
      </c>
      <c r="L1874" t="inlineStr">
        <is>
          <t>Atlassian Ventures</t>
        </is>
      </c>
      <c r="M1874" t="inlineStr">
        <is>
          <t>Atlassian Ventures</t>
        </is>
      </c>
      <c r="N1874" t="inlineStr">
        <is>
          <t>inc42</t>
        </is>
      </c>
      <c r="O1874" s="20" t="n">
        <v>1</v>
      </c>
      <c r="P1874" s="21" t="n"/>
      <c r="Q1874" t="inlineStr">
        <is>
          <t>C03 C04</t>
        </is>
      </c>
      <c r="R1874" s="22" t="inlineStr">
        <is>
          <t>https://inc42.com/features/from-elevate-education-to-aukera-indian-startups-raised-72-mn-this-week/</t>
        </is>
      </c>
    </row>
    <row r="1875">
      <c r="A1875" t="inlineStr">
        <is>
          <t>R260707-stylework</t>
        </is>
      </c>
      <c r="B1875" t="inlineStr">
        <is>
          <t>Stylework</t>
        </is>
      </c>
      <c r="C1875" s="17" t="n">
        <v>46210</v>
      </c>
      <c r="D1875" s="18" t="n">
        <v>46204</v>
      </c>
      <c r="E1875" s="19" t="n">
        <v>1</v>
      </c>
      <c r="F1875" s="19" t="n">
        <v>9.5</v>
      </c>
      <c r="G1875" t="inlineStr">
        <is>
          <t>$1 million</t>
        </is>
      </c>
      <c r="H1875" t="inlineStr">
        <is>
          <t>Pre-Series B</t>
        </is>
      </c>
      <c r="I1875" t="inlineStr">
        <is>
          <t>Growth</t>
        </is>
      </c>
      <c r="J1875" t="inlineStr">
        <is>
          <t>Real Estate Tech</t>
        </is>
      </c>
      <c r="K1875" t="inlineStr">
        <is>
          <t>Unknown</t>
        </is>
      </c>
      <c r="L1875" t="inlineStr">
        <is>
          <t>Auxano Capital</t>
        </is>
      </c>
      <c r="M1875" t="inlineStr">
        <is>
          <t>Auxano Capital</t>
        </is>
      </c>
      <c r="N1875" t="inlineStr">
        <is>
          <t>entrackr | inc42</t>
        </is>
      </c>
      <c r="O1875" s="20" t="n">
        <v>2</v>
      </c>
      <c r="P1875" s="21" t="n">
        <v>0</v>
      </c>
      <c r="Q1875" t="inlineStr">
        <is>
          <t>C07 C11</t>
        </is>
      </c>
      <c r="R1875" s="22" t="inlineStr">
        <is>
          <t>https://entrackr.com/snippets/stylework-raises-1-mn-in-pre-series-b-second-close-12141321</t>
        </is>
      </c>
    </row>
    <row r="1876">
      <c r="A1876" t="inlineStr">
        <is>
          <t>R260707-thumpn</t>
        </is>
      </c>
      <c r="B1876" t="inlineStr">
        <is>
          <t>thumpN</t>
        </is>
      </c>
      <c r="C1876" s="17" t="n">
        <v>46210</v>
      </c>
      <c r="D1876" s="18" t="n">
        <v>46204</v>
      </c>
      <c r="E1876" s="19" t="n">
        <v>3.75</v>
      </c>
      <c r="F1876" s="19" t="n">
        <v>35.61</v>
      </c>
      <c r="G1876" t="inlineStr">
        <is>
          <t>$3.75 million</t>
        </is>
      </c>
      <c r="H1876" t="inlineStr">
        <is>
          <t>Pre-Seed</t>
        </is>
      </c>
      <c r="I1876" t="inlineStr">
        <is>
          <t>Early</t>
        </is>
      </c>
      <c r="J1876" t="inlineStr">
        <is>
          <t>Media &amp; Entertainment</t>
        </is>
      </c>
      <c r="K1876" t="inlineStr">
        <is>
          <t>Unknown</t>
        </is>
      </c>
      <c r="L1876" t="inlineStr"/>
      <c r="M1876" t="inlineStr">
        <is>
          <t>VSS Investco; Madhur Deora; VG Jairam; Shray Chandra; Arijit Singh; Sunidhi Chauhan Badshah</t>
        </is>
      </c>
      <c r="N1876" t="inlineStr">
        <is>
          <t>entrackr | inc42</t>
        </is>
      </c>
      <c r="O1876" s="20" t="n">
        <v>2</v>
      </c>
      <c r="P1876" s="21" t="n">
        <v>1.3</v>
      </c>
      <c r="Q1876" t="inlineStr">
        <is>
          <t>C07</t>
        </is>
      </c>
      <c r="R1876" s="22" t="inlineStr">
        <is>
          <t>https://inc42.com/features/from-elevate-education-to-aukera-indian-startups-raised-72-mn-this-week/</t>
        </is>
      </c>
    </row>
    <row r="1877">
      <c r="A1877" t="inlineStr">
        <is>
          <t>R260708-adageautomatio</t>
        </is>
      </c>
      <c r="B1877" t="inlineStr">
        <is>
          <t>Adage Automation</t>
        </is>
      </c>
      <c r="C1877" s="17" t="n">
        <v>46211</v>
      </c>
      <c r="D1877" s="18" t="n">
        <v>46204</v>
      </c>
      <c r="E1877" s="19" t="n">
        <v>24.069</v>
      </c>
      <c r="F1877" s="19" t="n">
        <v>230</v>
      </c>
      <c r="G1877" t="inlineStr">
        <is>
          <t>Rs 230 crore</t>
        </is>
      </c>
      <c r="H1877" t="inlineStr">
        <is>
          <t>Undisclosed</t>
        </is>
      </c>
      <c r="I1877" t="inlineStr">
        <is>
          <t>Undisclosed</t>
        </is>
      </c>
      <c r="J1877" t="inlineStr">
        <is>
          <t>Healthtech</t>
        </is>
      </c>
      <c r="K1877" t="inlineStr">
        <is>
          <t>Unknown</t>
        </is>
      </c>
      <c r="L1877" t="inlineStr">
        <is>
          <t>InCred Alternative Investments</t>
        </is>
      </c>
      <c r="M1877" t="inlineStr">
        <is>
          <t>InCred Alternative Investments; Global South Capital; Prachetas Capital</t>
        </is>
      </c>
      <c r="N1877" t="inlineStr">
        <is>
          <t>et | vccircle</t>
        </is>
      </c>
      <c r="O1877" s="20" t="n">
        <v>2</v>
      </c>
      <c r="P1877" s="21" t="n">
        <v>0</v>
      </c>
      <c r="Q1877" t="inlineStr">
        <is>
          <t>C04 C07</t>
        </is>
      </c>
      <c r="R1877" s="22" t="inlineStr">
        <is>
          <t>https://economictimes.indiatimes.com/tech/funding/adage-automation-secures-rs-230-crore-in-funding-led-by-pe-firm-incred-alternative/articleshow/132245838.cms</t>
        </is>
      </c>
    </row>
    <row r="1878">
      <c r="A1878" t="inlineStr">
        <is>
          <t>R260708-avniwellness</t>
        </is>
      </c>
      <c r="B1878" t="inlineStr">
        <is>
          <t>Avni Wellness</t>
        </is>
      </c>
      <c r="C1878" s="17" t="n">
        <v>46211</v>
      </c>
      <c r="D1878" s="18" t="n">
        <v>46204</v>
      </c>
      <c r="E1878" s="19" t="n">
        <v>0.419</v>
      </c>
      <c r="F1878" s="19" t="n">
        <v>4</v>
      </c>
      <c r="G1878" t="inlineStr">
        <is>
          <t>Rs 4 crore</t>
        </is>
      </c>
      <c r="H1878" t="inlineStr">
        <is>
          <t>Seed</t>
        </is>
      </c>
      <c r="I1878" t="inlineStr">
        <is>
          <t>Early</t>
        </is>
      </c>
      <c r="J1878" t="inlineStr">
        <is>
          <t>Healthtech</t>
        </is>
      </c>
      <c r="K1878" t="inlineStr">
        <is>
          <t>Mumbai</t>
        </is>
      </c>
      <c r="L1878" t="inlineStr">
        <is>
          <t>Proteus Partners</t>
        </is>
      </c>
      <c r="M1878" t="inlineStr">
        <is>
          <t>Proteus Partners; Puru Gupta; Sreejith Moolayil; Somya Nigam; A. Velumani</t>
        </is>
      </c>
      <c r="N1878" t="inlineStr">
        <is>
          <t>entrackr | inc42</t>
        </is>
      </c>
      <c r="O1878" s="20" t="n">
        <v>2</v>
      </c>
      <c r="P1878" s="21" t="n">
        <v>0.1</v>
      </c>
      <c r="Q1878" t="inlineStr"/>
      <c r="R1878" s="22" t="inlineStr">
        <is>
          <t>https://entrackr.com/snippets/womens-health-brand-avni-wellness-raises-seed-round-12143541</t>
        </is>
      </c>
    </row>
    <row r="1879">
      <c r="A1879" t="inlineStr">
        <is>
          <t>R260708-doodhvalefarms</t>
        </is>
      </c>
      <c r="B1879" t="inlineStr">
        <is>
          <t>Doodhvale Farms</t>
        </is>
      </c>
      <c r="C1879" s="17" t="n">
        <v>46211</v>
      </c>
      <c r="D1879" s="18" t="n">
        <v>46204</v>
      </c>
      <c r="E1879" s="19" t="n">
        <v>1</v>
      </c>
      <c r="F1879" s="19" t="n">
        <v>9.56</v>
      </c>
      <c r="G1879" t="inlineStr">
        <is>
          <t>$1 million</t>
        </is>
      </c>
      <c r="H1879" t="inlineStr">
        <is>
          <t>Undisclosed</t>
        </is>
      </c>
      <c r="I1879" t="inlineStr">
        <is>
          <t>Undisclosed</t>
        </is>
      </c>
      <c r="J1879" t="inlineStr">
        <is>
          <t>Ecommerce</t>
        </is>
      </c>
      <c r="K1879" t="inlineStr">
        <is>
          <t>Unknown</t>
        </is>
      </c>
      <c r="L1879" t="inlineStr">
        <is>
          <t>Atomic Capital</t>
        </is>
      </c>
      <c r="M1879" t="inlineStr">
        <is>
          <t>Atomic Capital</t>
        </is>
      </c>
      <c r="N1879" t="inlineStr">
        <is>
          <t>entrackr | inc42</t>
        </is>
      </c>
      <c r="O1879" s="20" t="n">
        <v>2</v>
      </c>
      <c r="P1879" s="21" t="n">
        <v>0</v>
      </c>
      <c r="Q1879" t="inlineStr">
        <is>
          <t>C04 C07</t>
        </is>
      </c>
      <c r="R1879" s="22" t="inlineStr">
        <is>
          <t>https://entrackr.com/snippets/doodhvale-farms-raises-1-mn-from-atomic-capital-12144492</t>
        </is>
      </c>
    </row>
    <row r="1880">
      <c r="A1880" t="inlineStr">
        <is>
          <t>R260708-edysorai</t>
        </is>
      </c>
      <c r="B1880" t="inlineStr">
        <is>
          <t>Edysor.ai</t>
        </is>
      </c>
      <c r="C1880" s="17" t="n">
        <v>46211</v>
      </c>
      <c r="D1880" s="18" t="n">
        <v>46204</v>
      </c>
      <c r="E1880" s="19" t="n">
        <v>0.126</v>
      </c>
      <c r="F1880" s="19" t="n">
        <v>1.2</v>
      </c>
      <c r="G1880" t="inlineStr">
        <is>
          <t>Rs 1.2 crore</t>
        </is>
      </c>
      <c r="H1880" t="inlineStr">
        <is>
          <t>Pre-Seed</t>
        </is>
      </c>
      <c r="I1880" t="inlineStr">
        <is>
          <t>Early</t>
        </is>
      </c>
      <c r="J1880" t="inlineStr">
        <is>
          <t>Enterprise Tech</t>
        </is>
      </c>
      <c r="K1880" t="inlineStr">
        <is>
          <t>Udaipur</t>
        </is>
      </c>
      <c r="L1880" t="inlineStr">
        <is>
          <t>Jasmine Sarupria</t>
        </is>
      </c>
      <c r="M1880" t="inlineStr">
        <is>
          <t>Jasmine Sarupria</t>
        </is>
      </c>
      <c r="N1880" t="inlineStr">
        <is>
          <t>entrackr</t>
        </is>
      </c>
      <c r="O1880" s="20" t="n">
        <v>1</v>
      </c>
      <c r="P1880" s="21" t="n">
        <v>0</v>
      </c>
      <c r="Q1880" t="inlineStr"/>
      <c r="R1880" s="22" t="inlineStr">
        <is>
          <t>https://entrackr.com/snippets/voice-ai-platform-edysorai-raises-pre-seed-round-12146048</t>
        </is>
      </c>
    </row>
    <row r="1881">
      <c r="A1881" t="inlineStr">
        <is>
          <t>R260708-elevateeducati</t>
        </is>
      </c>
      <c r="B1881" t="inlineStr">
        <is>
          <t>Elevate Education</t>
        </is>
      </c>
      <c r="C1881" s="17" t="n">
        <v>46211</v>
      </c>
      <c r="D1881" s="18" t="n">
        <v>46204</v>
      </c>
      <c r="E1881" s="19" t="n">
        <v>17.79</v>
      </c>
      <c r="F1881" s="19" t="n">
        <v>170</v>
      </c>
      <c r="G1881" t="inlineStr">
        <is>
          <t>Rs 170 crore</t>
        </is>
      </c>
      <c r="H1881" t="inlineStr">
        <is>
          <t>Series D</t>
        </is>
      </c>
      <c r="I1881" t="inlineStr">
        <is>
          <t>Late</t>
        </is>
      </c>
      <c r="J1881" t="inlineStr">
        <is>
          <t>Edtech</t>
        </is>
      </c>
      <c r="K1881" t="inlineStr">
        <is>
          <t>Delhi NCR</t>
        </is>
      </c>
      <c r="L1881" t="inlineStr">
        <is>
          <t>WestBridge Capital</t>
        </is>
      </c>
      <c r="M1881" t="inlineStr">
        <is>
          <t>WestBridge Capital; Alteria Capital</t>
        </is>
      </c>
      <c r="N1881" t="inlineStr">
        <is>
          <t>entrackr | inc42 | et</t>
        </is>
      </c>
      <c r="O1881" s="20" t="n">
        <v>3</v>
      </c>
      <c r="P1881" s="21" t="n">
        <v>0.5</v>
      </c>
      <c r="Q1881" t="inlineStr"/>
      <c r="R1881" s="22" t="inlineStr">
        <is>
          <t>https://entrackr.com/news/elevate-education-raises-rs-170-cr-in-series-d-round-from-westbridge-capital-12145392</t>
        </is>
      </c>
    </row>
    <row r="1882">
      <c r="A1882" t="inlineStr">
        <is>
          <t>R260708-enliferesearch</t>
        </is>
      </c>
      <c r="B1882" t="inlineStr">
        <is>
          <t>eNLife Research</t>
        </is>
      </c>
      <c r="C1882" s="17" t="n">
        <v>46211</v>
      </c>
      <c r="D1882" s="18" t="n">
        <v>46204</v>
      </c>
      <c r="E1882" s="19" t="n">
        <v>0.628</v>
      </c>
      <c r="F1882" s="19" t="n">
        <v>6</v>
      </c>
      <c r="G1882" t="inlineStr">
        <is>
          <t>Rs 6 crore</t>
        </is>
      </c>
      <c r="H1882" t="inlineStr">
        <is>
          <t>Seed</t>
        </is>
      </c>
      <c r="I1882" t="inlineStr">
        <is>
          <t>Early</t>
        </is>
      </c>
      <c r="J1882" t="inlineStr">
        <is>
          <t>Deeptech</t>
        </is>
      </c>
      <c r="K1882" t="inlineStr">
        <is>
          <t>Bengaluru</t>
        </is>
      </c>
      <c r="L1882" t="inlineStr">
        <is>
          <t>Piper Serica VC Fund</t>
        </is>
      </c>
      <c r="M1882" t="inlineStr">
        <is>
          <t>Piper Serica VC Fund</t>
        </is>
      </c>
      <c r="N1882" t="inlineStr">
        <is>
          <t>entrackr | et</t>
        </is>
      </c>
      <c r="O1882" s="20" t="n">
        <v>2</v>
      </c>
      <c r="P1882" s="21" t="n">
        <v>0</v>
      </c>
      <c r="Q1882" t="inlineStr"/>
      <c r="R1882" s="22" t="inlineStr">
        <is>
          <t>https://entrackr.com/snippets/piper-serica-leads-seed-round-in-deep-tech-startup-enlife-research-12146237</t>
        </is>
      </c>
    </row>
    <row r="1883">
      <c r="A1883" t="inlineStr">
        <is>
          <t>R260708-milodrive</t>
        </is>
      </c>
      <c r="B1883" t="inlineStr">
        <is>
          <t>Milo Drive</t>
        </is>
      </c>
      <c r="C1883" s="17" t="n">
        <v>46211</v>
      </c>
      <c r="D1883" s="18" t="n">
        <v>46204</v>
      </c>
      <c r="E1883" s="19" t="n">
        <v>2.4</v>
      </c>
      <c r="F1883" s="19" t="n">
        <v>22.93</v>
      </c>
      <c r="G1883" t="inlineStr">
        <is>
          <t>$2.4 million</t>
        </is>
      </c>
      <c r="H1883" t="inlineStr">
        <is>
          <t>Seed</t>
        </is>
      </c>
      <c r="I1883" t="inlineStr">
        <is>
          <t>Early</t>
        </is>
      </c>
      <c r="J1883" t="inlineStr">
        <is>
          <t>Travel Tech</t>
        </is>
      </c>
      <c r="K1883" t="inlineStr">
        <is>
          <t>Delhi NCR</t>
        </is>
      </c>
      <c r="L1883" t="inlineStr">
        <is>
          <t>Caret Capital; Antler</t>
        </is>
      </c>
      <c r="M1883" t="inlineStr">
        <is>
          <t>Caret Capital; Antler; Alteria Capital; India Angel Network Capital; Aureolis Capital; IAN Capital</t>
        </is>
      </c>
      <c r="N1883" t="inlineStr">
        <is>
          <t>entrackr | inc42 | et</t>
        </is>
      </c>
      <c r="O1883" s="20" t="n">
        <v>3</v>
      </c>
      <c r="P1883" s="21" t="n">
        <v>0</v>
      </c>
      <c r="Q1883" t="inlineStr"/>
      <c r="R1883" s="22" t="inlineStr">
        <is>
          <t>https://entrackr.com/snippets/caret-capital-leads-24-mn-seed-round-in-milo-drive-12145426</t>
        </is>
      </c>
    </row>
    <row r="1884">
      <c r="A1884" t="inlineStr">
        <is>
          <t>R260708-rawbare</t>
        </is>
      </c>
      <c r="B1884" t="inlineStr">
        <is>
          <t>Rawbare</t>
        </is>
      </c>
      <c r="C1884" s="17" t="n">
        <v>46211</v>
      </c>
      <c r="D1884" s="18" t="n">
        <v>46204</v>
      </c>
      <c r="E1884" s="19" t="n"/>
      <c r="F1884" s="19" t="n"/>
      <c r="G1884" t="inlineStr"/>
      <c r="H1884" t="inlineStr">
        <is>
          <t>Undisclosed</t>
        </is>
      </c>
      <c r="I1884" t="inlineStr">
        <is>
          <t>Undisclosed</t>
        </is>
      </c>
      <c r="J1884" t="inlineStr">
        <is>
          <t>Ecommerce</t>
        </is>
      </c>
      <c r="K1884" t="inlineStr">
        <is>
          <t>Unknown</t>
        </is>
      </c>
      <c r="L1884" t="inlineStr">
        <is>
          <t>Teamology Softech</t>
        </is>
      </c>
      <c r="M1884" t="inlineStr">
        <is>
          <t>Teamology Softech</t>
        </is>
      </c>
      <c r="N1884" t="inlineStr">
        <is>
          <t>inc42</t>
        </is>
      </c>
      <c r="O1884" s="20" t="n">
        <v>1</v>
      </c>
      <c r="P1884" s="21" t="n"/>
      <c r="Q1884" t="inlineStr">
        <is>
          <t>C03 C04 C07</t>
        </is>
      </c>
      <c r="R1884" s="22" t="inlineStr">
        <is>
          <t>https://inc42.com/features/from-elevate-education-to-aukera-indian-startups-raised-72-mn-this-week/</t>
        </is>
      </c>
    </row>
    <row r="1885">
      <c r="A1885" t="inlineStr">
        <is>
          <t>R260709-baastechnologi</t>
        </is>
      </c>
      <c r="B1885" t="inlineStr">
        <is>
          <t>BAAS Technologies</t>
        </is>
      </c>
      <c r="C1885" s="17" t="n">
        <v>46212</v>
      </c>
      <c r="D1885" s="18" t="n">
        <v>46204</v>
      </c>
      <c r="E1885" s="19" t="n">
        <v>0.524</v>
      </c>
      <c r="F1885" s="19" t="n">
        <v>5</v>
      </c>
      <c r="G1885" t="inlineStr">
        <is>
          <t>Rs 5 crore</t>
        </is>
      </c>
      <c r="H1885" t="inlineStr">
        <is>
          <t>Pre-Seed</t>
        </is>
      </c>
      <c r="I1885" t="inlineStr">
        <is>
          <t>Early</t>
        </is>
      </c>
      <c r="J1885" t="inlineStr">
        <is>
          <t>Advanced Hardware &amp; Technology</t>
        </is>
      </c>
      <c r="K1885" t="inlineStr">
        <is>
          <t>Pune</t>
        </is>
      </c>
      <c r="L1885" t="inlineStr">
        <is>
          <t>Inflection Point Ventures</t>
        </is>
      </c>
      <c r="M1885" t="inlineStr">
        <is>
          <t>Inflection Point Ventures; SINE IIT Bombay</t>
        </is>
      </c>
      <c r="N1885" t="inlineStr">
        <is>
          <t>entrackr | inc42</t>
        </is>
      </c>
      <c r="O1885" s="20" t="n">
        <v>2</v>
      </c>
      <c r="P1885" s="21" t="n">
        <v>0.2</v>
      </c>
      <c r="Q1885" t="inlineStr"/>
      <c r="R1885" s="22" t="inlineStr">
        <is>
          <t>https://entrackr.com/snippets/ipv-leads-pre-seed-round-in-space-tech-startup-baas-technologies-12148802</t>
        </is>
      </c>
    </row>
    <row r="1886">
      <c r="A1886" t="inlineStr">
        <is>
          <t>R260709-hakimo</t>
        </is>
      </c>
      <c r="B1886" t="inlineStr">
        <is>
          <t>Hakimo</t>
        </is>
      </c>
      <c r="C1886" s="17" t="n">
        <v>46212</v>
      </c>
      <c r="D1886" s="18" t="n">
        <v>46204</v>
      </c>
      <c r="E1886" s="19" t="n">
        <v>12</v>
      </c>
      <c r="F1886" s="19" t="n">
        <v>114.47</v>
      </c>
      <c r="G1886" t="inlineStr">
        <is>
          <t>$12 million</t>
        </is>
      </c>
      <c r="H1886" t="inlineStr">
        <is>
          <t>Undisclosed</t>
        </is>
      </c>
      <c r="I1886" t="inlineStr">
        <is>
          <t>Undisclosed</t>
        </is>
      </c>
      <c r="J1886" t="inlineStr">
        <is>
          <t>Artificial Intelligence</t>
        </is>
      </c>
      <c r="K1886" t="inlineStr">
        <is>
          <t>Unknown</t>
        </is>
      </c>
      <c r="L1886" t="inlineStr">
        <is>
          <t>Zigg Capital</t>
        </is>
      </c>
      <c r="M1886" t="inlineStr">
        <is>
          <t>Zigg Capital; Neotribe Ventures; Vertex Ventures; Defy.vc; Rocketship.vc</t>
        </is>
      </c>
      <c r="N1886" t="inlineStr">
        <is>
          <t>entrackr</t>
        </is>
      </c>
      <c r="O1886" s="20" t="n">
        <v>1</v>
      </c>
      <c r="P1886" s="21" t="n">
        <v>0</v>
      </c>
      <c r="Q1886" t="inlineStr">
        <is>
          <t>C04 C07</t>
        </is>
      </c>
      <c r="R1886" s="22" t="inlineStr">
        <is>
          <t>https://entrackr.com/news/physical-ai-startup-hakimo-raises-12-mn-12148341</t>
        </is>
      </c>
    </row>
    <row r="1887">
      <c r="A1887" t="inlineStr">
        <is>
          <t>R260709-neothera</t>
        </is>
      </c>
      <c r="B1887" t="inlineStr">
        <is>
          <t>Neothera</t>
        </is>
      </c>
      <c r="C1887" s="17" t="n">
        <v>46212</v>
      </c>
      <c r="D1887" s="18" t="n">
        <v>46204</v>
      </c>
      <c r="E1887" s="19" t="n">
        <v>0.9429999999999999</v>
      </c>
      <c r="F1887" s="19" t="n">
        <v>9</v>
      </c>
      <c r="G1887" t="inlineStr">
        <is>
          <t>$943K</t>
        </is>
      </c>
      <c r="H1887" t="inlineStr">
        <is>
          <t>Undisclosed</t>
        </is>
      </c>
      <c r="I1887" t="inlineStr">
        <is>
          <t>Undisclosed</t>
        </is>
      </c>
      <c r="J1887" t="inlineStr">
        <is>
          <t>Ecommerce</t>
        </is>
      </c>
      <c r="K1887" t="inlineStr">
        <is>
          <t>Unknown</t>
        </is>
      </c>
      <c r="L1887" t="inlineStr">
        <is>
          <t>Blume Ventures</t>
        </is>
      </c>
      <c r="M1887" t="inlineStr">
        <is>
          <t>Blume Ventures; Barbershop Fund; Veltis Capital; Arjun Purkayastha; Malika Datt Sadani; Mohit Sadaani; Mukul Rustagi; Diksha Pande; Shantanu Deshpande</t>
        </is>
      </c>
      <c r="N1887" t="inlineStr">
        <is>
          <t>inc42</t>
        </is>
      </c>
      <c r="O1887" s="20" t="n">
        <v>1</v>
      </c>
      <c r="P1887" s="21" t="n">
        <v>0</v>
      </c>
      <c r="Q1887" t="inlineStr">
        <is>
          <t>C04 C07</t>
        </is>
      </c>
      <c r="R1887" s="22" t="inlineStr">
        <is>
          <t>https://inc42.com/features/from-elevate-education-to-aukera-indian-startups-raised-72-mn-this-week/</t>
        </is>
      </c>
    </row>
    <row r="1888">
      <c r="A1888" t="inlineStr">
        <is>
          <t>R260709-wheelocity</t>
        </is>
      </c>
      <c r="B1888" t="inlineStr">
        <is>
          <t>Wheelocity</t>
        </is>
      </c>
      <c r="C1888" s="17" t="n">
        <v>46212</v>
      </c>
      <c r="D1888" s="18" t="n">
        <v>46204</v>
      </c>
      <c r="E1888" s="19" t="n">
        <v>8.5</v>
      </c>
      <c r="F1888" s="19" t="n">
        <v>81.08</v>
      </c>
      <c r="G1888" t="inlineStr">
        <is>
          <t>$8.5 Mn</t>
        </is>
      </c>
      <c r="H1888" t="inlineStr">
        <is>
          <t>Undisclosed</t>
        </is>
      </c>
      <c r="I1888" t="inlineStr">
        <is>
          <t>Undisclosed</t>
        </is>
      </c>
      <c r="J1888" t="inlineStr">
        <is>
          <t>Agritech</t>
        </is>
      </c>
      <c r="K1888" t="inlineStr">
        <is>
          <t>Unknown</t>
        </is>
      </c>
      <c r="L1888" t="inlineStr">
        <is>
          <t>Elevar Equity</t>
        </is>
      </c>
      <c r="M1888" t="inlineStr">
        <is>
          <t>Lightspeed; Anicut Ventures; Elevar Equity; VML Karthikeyan; Lakshmi Narayanan Senthilnathan; VM Lakshminarayanan; L Gurusami; Unimix LLC</t>
        </is>
      </c>
      <c r="N1888" t="inlineStr">
        <is>
          <t>inc42</t>
        </is>
      </c>
      <c r="O1888" s="20" t="n">
        <v>1</v>
      </c>
      <c r="P1888" s="21" t="n">
        <v>0</v>
      </c>
      <c r="Q1888" t="inlineStr">
        <is>
          <t>C04 C07</t>
        </is>
      </c>
      <c r="R1888" s="22" t="inlineStr">
        <is>
          <t>https://inc42.com/features/from-elevate-education-to-aukera-indian-startups-raised-72-mn-this-week/</t>
        </is>
      </c>
    </row>
    <row r="1889">
      <c r="A1889" t="inlineStr">
        <is>
          <t>R260709-wizcommerce</t>
        </is>
      </c>
      <c r="B1889" t="inlineStr">
        <is>
          <t>WizCommerce</t>
        </is>
      </c>
      <c r="C1889" s="17" t="n">
        <v>46212</v>
      </c>
      <c r="D1889" s="18" t="n">
        <v>46204</v>
      </c>
      <c r="E1889" s="19" t="n">
        <v>8.334</v>
      </c>
      <c r="F1889" s="19" t="n">
        <v>79.5</v>
      </c>
      <c r="G1889" t="inlineStr">
        <is>
          <t>Rs 79.5 crore</t>
        </is>
      </c>
      <c r="H1889" t="inlineStr">
        <is>
          <t>Undisclosed</t>
        </is>
      </c>
      <c r="I1889" t="inlineStr">
        <is>
          <t>Undisclosed</t>
        </is>
      </c>
      <c r="J1889" t="inlineStr">
        <is>
          <t>Enterprise Tech</t>
        </is>
      </c>
      <c r="K1889" t="inlineStr">
        <is>
          <t>Bengaluru</t>
        </is>
      </c>
      <c r="L1889" t="inlineStr"/>
      <c r="M1889" t="inlineStr">
        <is>
          <t>Blume; Alpha Wave; Peak XV</t>
        </is>
      </c>
      <c r="N1889" t="inlineStr">
        <is>
          <t>entrackr</t>
        </is>
      </c>
      <c r="O1889" s="20" t="n">
        <v>1</v>
      </c>
      <c r="P1889" s="21" t="n">
        <v>0</v>
      </c>
      <c r="Q1889" t="inlineStr">
        <is>
          <t>C04</t>
        </is>
      </c>
      <c r="R1889" s="22" t="inlineStr">
        <is>
          <t>https://entrackr.com/exclusive/exclusive-wizcommerce-raises-83-mn-from-blume-alpha-wave-peak-xv-and-others-12147588</t>
        </is>
      </c>
    </row>
    <row r="1890">
      <c r="A1890" t="inlineStr">
        <is>
          <t>R260710-aukera</t>
        </is>
      </c>
      <c r="B1890" t="inlineStr">
        <is>
          <t>Aukera</t>
        </is>
      </c>
      <c r="C1890" s="17" t="n">
        <v>46213</v>
      </c>
      <c r="D1890" s="18" t="n">
        <v>46204</v>
      </c>
      <c r="E1890" s="19" t="n">
        <v>9.44</v>
      </c>
      <c r="F1890" s="19" t="n">
        <v>90</v>
      </c>
      <c r="G1890" t="inlineStr">
        <is>
          <t>Rs 90 crore</t>
        </is>
      </c>
      <c r="H1890" t="inlineStr">
        <is>
          <t>Debt</t>
        </is>
      </c>
      <c r="I1890" t="inlineStr">
        <is>
          <t>Debt</t>
        </is>
      </c>
      <c r="J1890" t="inlineStr">
        <is>
          <t>Ecommerce</t>
        </is>
      </c>
      <c r="K1890" t="inlineStr">
        <is>
          <t>Bengaluru</t>
        </is>
      </c>
      <c r="L1890" t="inlineStr">
        <is>
          <t>Alteria Capital</t>
        </is>
      </c>
      <c r="M1890" t="inlineStr">
        <is>
          <t>Alteria Capital; InnoVen Capital; Lighthouse Canton; Peak XV Partners; Fireside Ventures; Sparrow Capital; Prath Ventures</t>
        </is>
      </c>
      <c r="N1890" t="inlineStr">
        <is>
          <t>entrackr | inc42</t>
        </is>
      </c>
      <c r="O1890" s="20" t="n">
        <v>2</v>
      </c>
      <c r="P1890" s="21" t="n">
        <v>5.9</v>
      </c>
      <c r="Q1890" t="inlineStr"/>
      <c r="R1890" s="22" t="inlineStr">
        <is>
          <t>https://entrackr.com/news/aukera-raises-rs-90-cr-in-fresh-funding-led-by-alteria-capital-12152130</t>
        </is>
      </c>
    </row>
    <row r="1891">
      <c r="A1891" t="inlineStr">
        <is>
          <t>R260710-biofuelcircle</t>
        </is>
      </c>
      <c r="B1891" t="inlineStr">
        <is>
          <t>BiofuelCircle</t>
        </is>
      </c>
      <c r="C1891" s="17" t="n">
        <v>46213</v>
      </c>
      <c r="D1891" s="18" t="n">
        <v>46204</v>
      </c>
      <c r="E1891" s="19" t="n">
        <v>3.671</v>
      </c>
      <c r="F1891" s="19" t="n">
        <v>35</v>
      </c>
      <c r="G1891" t="inlineStr">
        <is>
          <t>Rs 35 crore</t>
        </is>
      </c>
      <c r="H1891" t="inlineStr">
        <is>
          <t>Debt</t>
        </is>
      </c>
      <c r="I1891" t="inlineStr">
        <is>
          <t>Debt</t>
        </is>
      </c>
      <c r="J1891" t="inlineStr">
        <is>
          <t>Cleantech</t>
        </is>
      </c>
      <c r="K1891" t="inlineStr">
        <is>
          <t>Pune</t>
        </is>
      </c>
      <c r="L1891" t="inlineStr">
        <is>
          <t>Spectrum Impact; Pooja Unichem LLP</t>
        </is>
      </c>
      <c r="M1891" t="inlineStr">
        <is>
          <t>Spectrum Impact; Better Capital; Karma Capital Advisors; Pooja Unichem LLP; Varanium Venture; Rajeev Kumar</t>
        </is>
      </c>
      <c r="N1891" t="inlineStr">
        <is>
          <t>entrackr | inc42</t>
        </is>
      </c>
      <c r="O1891" s="20" t="n">
        <v>2</v>
      </c>
      <c r="P1891" s="21" t="n">
        <v>2</v>
      </c>
      <c r="Q1891" t="inlineStr">
        <is>
          <t>C17</t>
        </is>
      </c>
      <c r="R1891" s="22" t="inlineStr">
        <is>
          <t>https://entrackr.com/exclusive/exclusive-biofuelcircle-secures-rs-35-cr-in-fresh-funding-12150788</t>
        </is>
      </c>
    </row>
    <row r="1892">
      <c r="A1892" t="inlineStr">
        <is>
          <t>R260710-purplestylelab</t>
        </is>
      </c>
      <c r="B1892" t="inlineStr">
        <is>
          <t>Purple Style Labs</t>
        </is>
      </c>
      <c r="C1892" s="17" t="n">
        <v>46213</v>
      </c>
      <c r="D1892" s="18" t="n">
        <v>46204</v>
      </c>
      <c r="E1892" s="19" t="n">
        <v>17</v>
      </c>
      <c r="F1892" s="19" t="n">
        <v>162.08</v>
      </c>
      <c r="G1892" t="inlineStr">
        <is>
          <t>$17 Mn</t>
        </is>
      </c>
      <c r="H1892" t="inlineStr">
        <is>
          <t>Debt</t>
        </is>
      </c>
      <c r="I1892" t="inlineStr">
        <is>
          <t>Debt</t>
        </is>
      </c>
      <c r="J1892" t="inlineStr">
        <is>
          <t>Ecommerce</t>
        </is>
      </c>
      <c r="K1892" t="inlineStr">
        <is>
          <t>Unknown</t>
        </is>
      </c>
      <c r="L1892" t="inlineStr"/>
      <c r="M1892" t="inlineStr">
        <is>
          <t>Kairos Ventures; Real Capital Financial Services; Texport International; Rupendra Periwal; Satyen Jitendra Mamtora; Andy Iyer Sankaranarayanan</t>
        </is>
      </c>
      <c r="N1892" t="inlineStr">
        <is>
          <t>inc42</t>
        </is>
      </c>
      <c r="O1892" s="20" t="n">
        <v>1</v>
      </c>
      <c r="P1892" s="21" t="n">
        <v>0</v>
      </c>
      <c r="Q1892" t="inlineStr">
        <is>
          <t>C07</t>
        </is>
      </c>
      <c r="R1892" s="22" t="inlineStr">
        <is>
          <t>https://inc42.com/features/from-elevate-education-to-aukera-indian-startups-raised-72-mn-this-week/</t>
        </is>
      </c>
    </row>
    <row r="1893">
      <c r="A1893" t="inlineStr">
        <is>
          <t>R260710-sumosaveretail</t>
        </is>
      </c>
      <c r="B1893" t="inlineStr">
        <is>
          <t>Sumosave Retail</t>
        </is>
      </c>
      <c r="C1893" s="17" t="n">
        <v>46213</v>
      </c>
      <c r="D1893" s="18" t="n">
        <v>46204</v>
      </c>
      <c r="E1893" s="19" t="n">
        <v>5.244</v>
      </c>
      <c r="F1893" s="19" t="n">
        <v>50</v>
      </c>
      <c r="G1893" t="inlineStr">
        <is>
          <t>Rs 50 crore</t>
        </is>
      </c>
      <c r="H1893" t="inlineStr">
        <is>
          <t>Pre-Series B</t>
        </is>
      </c>
      <c r="I1893" t="inlineStr">
        <is>
          <t>Growth</t>
        </is>
      </c>
      <c r="J1893" t="inlineStr">
        <is>
          <t>Ecommerce</t>
        </is>
      </c>
      <c r="K1893" t="inlineStr">
        <is>
          <t>Unknown</t>
        </is>
      </c>
      <c r="L1893" t="inlineStr">
        <is>
          <t>12 Flags Group</t>
        </is>
      </c>
      <c r="M1893" t="inlineStr">
        <is>
          <t>12 Flags Group</t>
        </is>
      </c>
      <c r="N1893" t="inlineStr">
        <is>
          <t>et</t>
        </is>
      </c>
      <c r="O1893" s="20" t="n">
        <v>1</v>
      </c>
      <c r="P1893" s="21" t="n">
        <v>0</v>
      </c>
      <c r="Q1893" t="inlineStr">
        <is>
          <t>C07</t>
        </is>
      </c>
      <c r="R1893" s="22" t="inlineStr">
        <is>
          <t>https://economictimes.indiatimes.com/tech/funding/grocery-chain-sumosave-retail-raises-rs-50-crore-led-by-12-flags/articleshow/132312763.cms</t>
        </is>
      </c>
    </row>
    <row r="1894">
      <c r="A1894" t="inlineStr">
        <is>
          <t>R260713-built</t>
        </is>
      </c>
      <c r="B1894" t="inlineStr">
        <is>
          <t>BUILT</t>
        </is>
      </c>
      <c r="C1894" s="17" t="n">
        <v>46216</v>
      </c>
      <c r="D1894" s="18" t="n">
        <v>46204</v>
      </c>
      <c r="E1894" s="19" t="n">
        <v>2</v>
      </c>
      <c r="F1894" s="19" t="n">
        <v>19.12</v>
      </c>
      <c r="G1894" t="inlineStr">
        <is>
          <t>$2 Mn</t>
        </is>
      </c>
      <c r="H1894" t="inlineStr">
        <is>
          <t>Pre-Seed</t>
        </is>
      </c>
      <c r="I1894" t="inlineStr">
        <is>
          <t>Early</t>
        </is>
      </c>
      <c r="J1894" t="inlineStr">
        <is>
          <t>Ecommerce</t>
        </is>
      </c>
      <c r="K1894" t="inlineStr">
        <is>
          <t>Mumbai</t>
        </is>
      </c>
      <c r="L1894" t="inlineStr">
        <is>
          <t>Tanglin Venture Partners</t>
        </is>
      </c>
      <c r="M1894" t="inlineStr">
        <is>
          <t>Tanglin Venture Partners; Bharat Kalia</t>
        </is>
      </c>
      <c r="N1894" t="inlineStr">
        <is>
          <t>inc42 | et</t>
        </is>
      </c>
      <c r="O1894" s="20" t="n">
        <v>2</v>
      </c>
      <c r="P1894" s="21" t="n">
        <v>0</v>
      </c>
      <c r="Q1894" t="inlineStr"/>
      <c r="R1894" s="22" t="inlineStr">
        <is>
          <t>https://inc42.com/buzz/from-emergent-to-neo-group-indian-startups-raised-281-mn-this-week/</t>
        </is>
      </c>
    </row>
    <row r="1895">
      <c r="A1895" t="inlineStr">
        <is>
          <t>R260713-dhruvaspace</t>
        </is>
      </c>
      <c r="B1895" t="inlineStr">
        <is>
          <t>Dhruva Space</t>
        </is>
      </c>
      <c r="C1895" s="17" t="n">
        <v>46216</v>
      </c>
      <c r="D1895" s="18" t="n">
        <v>46204</v>
      </c>
      <c r="E1895" s="19" t="n">
        <v>6.3</v>
      </c>
      <c r="F1895" s="19" t="n">
        <v>60.24</v>
      </c>
      <c r="G1895" t="inlineStr">
        <is>
          <t>$6.3 Mn</t>
        </is>
      </c>
      <c r="H1895" t="inlineStr">
        <is>
          <t>Pre-Series B</t>
        </is>
      </c>
      <c r="I1895" t="inlineStr">
        <is>
          <t>Growth</t>
        </is>
      </c>
      <c r="J1895" t="inlineStr">
        <is>
          <t>Advanced Hardware &amp; Technology</t>
        </is>
      </c>
      <c r="K1895" t="inlineStr">
        <is>
          <t>Hyderabad</t>
        </is>
      </c>
      <c r="L1895" t="inlineStr">
        <is>
          <t>Antariksh Venture Capital Fund</t>
        </is>
      </c>
      <c r="M1895" t="inlineStr">
        <is>
          <t>Antariksh Venture Capital Fund</t>
        </is>
      </c>
      <c r="N1895" t="inlineStr">
        <is>
          <t>inc42</t>
        </is>
      </c>
      <c r="O1895" s="20" t="n">
        <v>1</v>
      </c>
      <c r="P1895" s="21" t="n">
        <v>0</v>
      </c>
      <c r="Q1895" t="inlineStr"/>
      <c r="R1895" s="22" t="inlineStr">
        <is>
          <t>https://inc42.com/buzz/from-emergent-to-neo-group-indian-startups-raised-281-mn-this-week/</t>
        </is>
      </c>
    </row>
    <row r="1896">
      <c r="A1896" t="inlineStr">
        <is>
          <t>R260713-sortmyprep</t>
        </is>
      </c>
      <c r="B1896" t="inlineStr">
        <is>
          <t>Sortmyprep</t>
        </is>
      </c>
      <c r="C1896" s="17" t="n">
        <v>46216</v>
      </c>
      <c r="D1896" s="18" t="n">
        <v>46204</v>
      </c>
      <c r="E1896" s="19" t="n">
        <v>0.35</v>
      </c>
      <c r="F1896" s="19" t="n">
        <v>3.35</v>
      </c>
      <c r="G1896" t="inlineStr">
        <is>
          <t>$350K</t>
        </is>
      </c>
      <c r="H1896" t="inlineStr">
        <is>
          <t>Pre-Seed</t>
        </is>
      </c>
      <c r="I1896" t="inlineStr">
        <is>
          <t>Early</t>
        </is>
      </c>
      <c r="J1896" t="inlineStr">
        <is>
          <t>Edtech</t>
        </is>
      </c>
      <c r="K1896" t="inlineStr">
        <is>
          <t>Unknown</t>
        </is>
      </c>
      <c r="L1896" t="inlineStr"/>
      <c r="M1896" t="inlineStr">
        <is>
          <t>Boman Irani; Sameer Mehta; Subrat Pani; Rohini Kasturi; Ranjit Pawar</t>
        </is>
      </c>
      <c r="N1896" t="inlineStr">
        <is>
          <t>inc42</t>
        </is>
      </c>
      <c r="O1896" s="20" t="n">
        <v>1</v>
      </c>
      <c r="P1896" s="21" t="n">
        <v>0</v>
      </c>
      <c r="Q1896" t="inlineStr">
        <is>
          <t>C07</t>
        </is>
      </c>
      <c r="R1896" s="22" t="inlineStr">
        <is>
          <t>https://inc42.com/buzz/from-emergent-to-neo-group-indian-startups-raised-281-mn-this-week/</t>
        </is>
      </c>
    </row>
    <row r="1897">
      <c r="A1897" t="inlineStr">
        <is>
          <t>R260715-anmasa</t>
        </is>
      </c>
      <c r="B1897" t="inlineStr">
        <is>
          <t>Anmasa</t>
        </is>
      </c>
      <c r="C1897" s="17" t="n">
        <v>46218</v>
      </c>
      <c r="D1897" s="18" t="n">
        <v>46204</v>
      </c>
      <c r="E1897" s="19" t="n">
        <v>3.117</v>
      </c>
      <c r="F1897" s="19" t="n">
        <v>30</v>
      </c>
      <c r="G1897" t="inlineStr">
        <is>
          <t>Rs 30 crore</t>
        </is>
      </c>
      <c r="H1897" t="inlineStr">
        <is>
          <t>Seed</t>
        </is>
      </c>
      <c r="I1897" t="inlineStr">
        <is>
          <t>Early</t>
        </is>
      </c>
      <c r="J1897" t="inlineStr">
        <is>
          <t>Ecommerce</t>
        </is>
      </c>
      <c r="K1897" t="inlineStr">
        <is>
          <t>Delhi NCR</t>
        </is>
      </c>
      <c r="L1897" t="inlineStr">
        <is>
          <t>Fireside Ventures</t>
        </is>
      </c>
      <c r="M1897" t="inlineStr">
        <is>
          <t>Fireside Ventures; Blume Ventures; Snow Leopard Technology Ventures; Veltis Capital; Indigram Lab</t>
        </is>
      </c>
      <c r="N1897" t="inlineStr">
        <is>
          <t>entrackr | inc42</t>
        </is>
      </c>
      <c r="O1897" s="20" t="n">
        <v>2</v>
      </c>
      <c r="P1897" s="21" t="n">
        <v>0.5</v>
      </c>
      <c r="Q1897" t="inlineStr"/>
      <c r="R1897" s="22" t="inlineStr">
        <is>
          <t>https://entrackr.com/snippets/fireside-leads-rs-30-cr-seed-round-in-d2c-grocery-startup-anmasa-12165707</t>
        </is>
      </c>
    </row>
    <row r="1898">
      <c r="A1898" t="inlineStr">
        <is>
          <t>R260715-ather</t>
        </is>
      </c>
      <c r="B1898" t="inlineStr">
        <is>
          <t>Ather</t>
        </is>
      </c>
      <c r="C1898" s="17" t="n">
        <v>46218</v>
      </c>
      <c r="D1898" s="18" t="n">
        <v>46204</v>
      </c>
      <c r="E1898" s="19" t="n">
        <v>124.662</v>
      </c>
      <c r="F1898" s="19" t="n">
        <v>1200</v>
      </c>
      <c r="G1898" t="inlineStr">
        <is>
          <t>Rs 1,200 crore</t>
        </is>
      </c>
      <c r="H1898" t="inlineStr">
        <is>
          <t>Undisclosed</t>
        </is>
      </c>
      <c r="I1898" t="inlineStr">
        <is>
          <t>Undisclosed</t>
        </is>
      </c>
      <c r="J1898" t="inlineStr">
        <is>
          <t>Cleantech</t>
        </is>
      </c>
      <c r="K1898" t="inlineStr">
        <is>
          <t>Unknown</t>
        </is>
      </c>
      <c r="L1898" t="inlineStr"/>
      <c r="M1898" t="inlineStr">
        <is>
          <t>Hero MotoCorp; India-Japan Fund</t>
        </is>
      </c>
      <c r="N1898" t="inlineStr">
        <is>
          <t>entrackr</t>
        </is>
      </c>
      <c r="O1898" s="20" t="n">
        <v>1</v>
      </c>
      <c r="P1898" s="21" t="n">
        <v>0</v>
      </c>
      <c r="Q1898" t="inlineStr">
        <is>
          <t>C04 C07</t>
        </is>
      </c>
      <c r="R1898" s="22" t="inlineStr">
        <is>
          <t>https://entrackr.com/news/ather-raises-rs-1200-cr-from-hero-motocorp-india-japan-fund-and-promoters-12166313</t>
        </is>
      </c>
    </row>
    <row r="1899">
      <c r="A1899" t="inlineStr">
        <is>
          <t>R260715-e3electricai</t>
        </is>
      </c>
      <c r="B1899" t="inlineStr">
        <is>
          <t>E3 Electric.AI</t>
        </is>
      </c>
      <c r="C1899" s="17" t="n">
        <v>46218</v>
      </c>
      <c r="D1899" s="18" t="n">
        <v>46204</v>
      </c>
      <c r="E1899" s="19" t="n">
        <v>10.389</v>
      </c>
      <c r="F1899" s="19" t="n">
        <v>100</v>
      </c>
      <c r="G1899" t="inlineStr">
        <is>
          <t>Rs 100 crore</t>
        </is>
      </c>
      <c r="H1899" t="inlineStr">
        <is>
          <t>Series A</t>
        </is>
      </c>
      <c r="I1899" t="inlineStr">
        <is>
          <t>Early</t>
        </is>
      </c>
      <c r="J1899" t="inlineStr">
        <is>
          <t>Cleantech</t>
        </is>
      </c>
      <c r="K1899" t="inlineStr">
        <is>
          <t>Bengaluru</t>
        </is>
      </c>
      <c r="L1899" t="inlineStr">
        <is>
          <t>BluVenture Holdings</t>
        </is>
      </c>
      <c r="M1899" t="inlineStr">
        <is>
          <t>BluVenture Holdings</t>
        </is>
      </c>
      <c r="N1899" t="inlineStr">
        <is>
          <t>entrackr | inc42 | et</t>
        </is>
      </c>
      <c r="O1899" s="20" t="n">
        <v>3</v>
      </c>
      <c r="P1899" s="21" t="n">
        <v>0.1</v>
      </c>
      <c r="Q1899" t="inlineStr"/>
      <c r="R1899" s="22" t="inlineStr">
        <is>
          <t>https://entrackr.com/news/bluventure-leads-rs-100-cr-series-a-round-in-e3-electricai-12164631</t>
        </is>
      </c>
    </row>
    <row r="1900">
      <c r="A1900" t="inlineStr">
        <is>
          <t>R260715-emergent</t>
        </is>
      </c>
      <c r="B1900" t="inlineStr">
        <is>
          <t>Emergent</t>
        </is>
      </c>
      <c r="C1900" s="17" t="n">
        <v>46218</v>
      </c>
      <c r="D1900" s="18" t="n">
        <v>46204</v>
      </c>
      <c r="E1900" s="19" t="n">
        <v>130</v>
      </c>
      <c r="F1900" s="19" t="n">
        <v>1251.38</v>
      </c>
      <c r="G1900" t="inlineStr">
        <is>
          <t>$130 million</t>
        </is>
      </c>
      <c r="H1900" t="inlineStr">
        <is>
          <t>Series C</t>
        </is>
      </c>
      <c r="I1900" t="inlineStr">
        <is>
          <t>Growth</t>
        </is>
      </c>
      <c r="J1900" t="inlineStr">
        <is>
          <t>Artificial Intelligence</t>
        </is>
      </c>
      <c r="K1900" t="inlineStr">
        <is>
          <t>Bengaluru</t>
        </is>
      </c>
      <c r="L1900" t="inlineStr">
        <is>
          <t>Creaegis; MNI Ventures – Claypond Capital; Sentinel Global</t>
        </is>
      </c>
      <c r="M1900" t="inlineStr">
        <is>
          <t>Creaegis; MNI Ventures – Claypond Capital; Sentinel Global; Khosla Ventures; SoftBank; Lightspeed; Y Combinator</t>
        </is>
      </c>
      <c r="N1900" t="inlineStr">
        <is>
          <t>entrackr | inc42</t>
        </is>
      </c>
      <c r="O1900" s="20" t="n">
        <v>2</v>
      </c>
      <c r="P1900" s="21" t="n">
        <v>0</v>
      </c>
      <c r="Q1900" t="inlineStr"/>
      <c r="R1900" s="22" t="inlineStr">
        <is>
          <t>https://entrackr.com/news/emergent-becomes-third-ai-unicorn-of-2026-with-130-mn-series-c-led-by-creaegis-12166031</t>
        </is>
      </c>
    </row>
    <row r="1901">
      <c r="A1901" t="inlineStr">
        <is>
          <t>R260715-hisabkitab</t>
        </is>
      </c>
      <c r="B1901" t="inlineStr">
        <is>
          <t>Hisabkitab</t>
        </is>
      </c>
      <c r="C1901" s="17" t="n">
        <v>46218</v>
      </c>
      <c r="D1901" s="18" t="n">
        <v>46204</v>
      </c>
      <c r="E1901" s="19" t="n"/>
      <c r="F1901" s="19" t="n"/>
      <c r="G1901" t="inlineStr"/>
      <c r="H1901" t="inlineStr">
        <is>
          <t>Seed</t>
        </is>
      </c>
      <c r="I1901" t="inlineStr">
        <is>
          <t>Early</t>
        </is>
      </c>
      <c r="J1901" t="inlineStr">
        <is>
          <t>Fintech</t>
        </is>
      </c>
      <c r="K1901" t="inlineStr">
        <is>
          <t>Surat</t>
        </is>
      </c>
      <c r="L1901" t="inlineStr"/>
      <c r="M1901" t="inlineStr"/>
      <c r="N1901" t="inlineStr">
        <is>
          <t>entrackr | inc42</t>
        </is>
      </c>
      <c r="O1901" s="20" t="n">
        <v>2</v>
      </c>
      <c r="P1901" s="21" t="n"/>
      <c r="Q1901" t="inlineStr">
        <is>
          <t>C03 C05</t>
        </is>
      </c>
      <c r="R1901" s="22" t="inlineStr">
        <is>
          <t>https://entrackr.com/snippets/fintech-saas-startup-hisabkitab-raises-seed-round-at-rs-20-cr-valuation-12163499</t>
        </is>
      </c>
    </row>
    <row r="1902">
      <c r="A1902" t="inlineStr">
        <is>
          <t>R260715-opensecret</t>
        </is>
      </c>
      <c r="B1902" t="inlineStr">
        <is>
          <t>Open Secret</t>
        </is>
      </c>
      <c r="C1902" s="17" t="n">
        <v>46218</v>
      </c>
      <c r="D1902" s="18" t="n">
        <v>46204</v>
      </c>
      <c r="E1902" s="19" t="n">
        <v>5.2</v>
      </c>
      <c r="F1902" s="19" t="n">
        <v>50.06</v>
      </c>
      <c r="G1902" t="inlineStr">
        <is>
          <t>$5.2 Mn</t>
        </is>
      </c>
      <c r="H1902" t="inlineStr">
        <is>
          <t>Undisclosed</t>
        </is>
      </c>
      <c r="I1902" t="inlineStr">
        <is>
          <t>Undisclosed</t>
        </is>
      </c>
      <c r="J1902" t="inlineStr">
        <is>
          <t>Ecommerce</t>
        </is>
      </c>
      <c r="K1902" t="inlineStr">
        <is>
          <t>Mumbai</t>
        </is>
      </c>
      <c r="L1902" t="inlineStr">
        <is>
          <t>Desai Brothers Group</t>
        </is>
      </c>
      <c r="M1902" t="inlineStr">
        <is>
          <t>Desai Brothers Group</t>
        </is>
      </c>
      <c r="N1902" t="inlineStr">
        <is>
          <t>inc42 | et</t>
        </is>
      </c>
      <c r="O1902" s="20" t="n">
        <v>2</v>
      </c>
      <c r="P1902" s="21" t="n">
        <v>0.1</v>
      </c>
      <c r="Q1902" t="inlineStr">
        <is>
          <t>C04</t>
        </is>
      </c>
      <c r="R1902" s="22" t="inlineStr">
        <is>
          <t>https://economictimes.indiatimes.com/tech/funding/d2c-snack-brand-open-secret-raises-rs-50-crore-funding/articleshow/132407692.cms</t>
        </is>
      </c>
    </row>
    <row r="1903">
      <c r="A1903" t="inlineStr">
        <is>
          <t>R260715-promom</t>
        </is>
      </c>
      <c r="B1903" t="inlineStr">
        <is>
          <t>Promom</t>
        </is>
      </c>
      <c r="C1903" s="17" t="n">
        <v>46218</v>
      </c>
      <c r="D1903" s="18" t="n">
        <v>46204</v>
      </c>
      <c r="E1903" s="19" t="n">
        <v>3.117</v>
      </c>
      <c r="F1903" s="19" t="n">
        <v>30</v>
      </c>
      <c r="G1903" t="inlineStr">
        <is>
          <t>Rs 30 crore</t>
        </is>
      </c>
      <c r="H1903" t="inlineStr">
        <is>
          <t>Undisclosed</t>
        </is>
      </c>
      <c r="I1903" t="inlineStr">
        <is>
          <t>Undisclosed</t>
        </is>
      </c>
      <c r="J1903" t="inlineStr">
        <is>
          <t>Ecommerce</t>
        </is>
      </c>
      <c r="K1903" t="inlineStr">
        <is>
          <t>Lucknow</t>
        </is>
      </c>
      <c r="L1903" t="inlineStr">
        <is>
          <t>Fireside Ventures</t>
        </is>
      </c>
      <c r="M1903" t="inlineStr">
        <is>
          <t>Fireside Ventures</t>
        </is>
      </c>
      <c r="N1903" t="inlineStr">
        <is>
          <t>entrackr | inc42 | et</t>
        </is>
      </c>
      <c r="O1903" s="20" t="n">
        <v>3</v>
      </c>
      <c r="P1903" s="21" t="n">
        <v>0.5</v>
      </c>
      <c r="Q1903" t="inlineStr">
        <is>
          <t>C04</t>
        </is>
      </c>
      <c r="R1903" s="22" t="inlineStr">
        <is>
          <t>https://entrackr.com/snippets/maternal-and-baby-care-brand-promom-raises-rs-30-cr-from-fireside-ventures-12167109</t>
        </is>
      </c>
    </row>
    <row r="1904">
      <c r="A1904" t="inlineStr">
        <is>
          <t>R260715-vorflux</t>
        </is>
      </c>
      <c r="B1904" t="inlineStr">
        <is>
          <t>Vorflux</t>
        </is>
      </c>
      <c r="C1904" s="17" t="n">
        <v>46218</v>
      </c>
      <c r="D1904" s="18" t="n">
        <v>46204</v>
      </c>
      <c r="E1904" s="19" t="n">
        <v>15</v>
      </c>
      <c r="F1904" s="19" t="n">
        <v>144.39</v>
      </c>
      <c r="G1904" t="inlineStr">
        <is>
          <t>$15 million</t>
        </is>
      </c>
      <c r="H1904" t="inlineStr">
        <is>
          <t>Seed</t>
        </is>
      </c>
      <c r="I1904" t="inlineStr">
        <is>
          <t>Early</t>
        </is>
      </c>
      <c r="J1904" t="inlineStr">
        <is>
          <t>Artificial Intelligence</t>
        </is>
      </c>
      <c r="K1904" t="inlineStr">
        <is>
          <t>Unknown</t>
        </is>
      </c>
      <c r="L1904" t="inlineStr">
        <is>
          <t>Y Combinator; Peak XV Partners; Powerset; Alliance; Parker Conrad; Immad Akhund; Balaji Srinivasan</t>
        </is>
      </c>
      <c r="M1904" t="inlineStr">
        <is>
          <t>Y Combinator; Peak XV Partners; Powerset; Alliance; Parker Conrad; Immad Akhund; Balaji Srinivasan</t>
        </is>
      </c>
      <c r="N1904" t="inlineStr">
        <is>
          <t>entrackr | inc42</t>
        </is>
      </c>
      <c r="O1904" s="20" t="n">
        <v>2</v>
      </c>
      <c r="P1904" s="21" t="n">
        <v>0</v>
      </c>
      <c r="Q1904" t="inlineStr">
        <is>
          <t>C07</t>
        </is>
      </c>
      <c r="R1904" s="22" t="inlineStr">
        <is>
          <t>https://inc42.com/buzz/from-emergent-to-neo-group-indian-startups-raised-281-mn-this-week/</t>
        </is>
      </c>
    </row>
    <row r="1905">
      <c r="A1905" t="inlineStr">
        <is>
          <t>R260716-aina</t>
        </is>
      </c>
      <c r="B1905" t="inlineStr">
        <is>
          <t>Aina</t>
        </is>
      </c>
      <c r="C1905" s="17" t="n">
        <v>46219</v>
      </c>
      <c r="D1905" s="18" t="n">
        <v>46204</v>
      </c>
      <c r="E1905" s="19" t="n">
        <v>5.5</v>
      </c>
      <c r="F1905" s="19" t="n">
        <v>52.99</v>
      </c>
      <c r="G1905" t="inlineStr">
        <is>
          <t>$5.5 Mn</t>
        </is>
      </c>
      <c r="H1905" t="inlineStr">
        <is>
          <t>Seed</t>
        </is>
      </c>
      <c r="I1905" t="inlineStr">
        <is>
          <t>Early</t>
        </is>
      </c>
      <c r="J1905" t="inlineStr">
        <is>
          <t>Artificial Intelligence</t>
        </is>
      </c>
      <c r="K1905" t="inlineStr">
        <is>
          <t>Unknown</t>
        </is>
      </c>
      <c r="L1905" t="inlineStr">
        <is>
          <t>Redstart Labs; 360 ONE Asset</t>
        </is>
      </c>
      <c r="M1905" t="inlineStr">
        <is>
          <t>Redstart Labs; 360 ONE Asset; MIXI Global Investments; Antler; Blume Founders Fund; Kunal Shah (CEO; WhatsApp); Tikhon Bernstam; Harshil Mathur Shashank Kumar; Vaibhav Domkundwar</t>
        </is>
      </c>
      <c r="N1905" t="inlineStr">
        <is>
          <t>inc42</t>
        </is>
      </c>
      <c r="O1905" s="20" t="n">
        <v>1</v>
      </c>
      <c r="P1905" s="21" t="n">
        <v>0</v>
      </c>
      <c r="Q1905" t="inlineStr">
        <is>
          <t>C07</t>
        </is>
      </c>
      <c r="R1905" s="22" t="inlineStr">
        <is>
          <t>https://inc42.com/buzz/from-emergent-to-neo-group-indian-startups-raised-281-mn-this-week/</t>
        </is>
      </c>
    </row>
    <row r="1906">
      <c r="A1906" t="inlineStr">
        <is>
          <t>R260716-groyyo</t>
        </is>
      </c>
      <c r="B1906" t="inlineStr">
        <is>
          <t>Groyyo</t>
        </is>
      </c>
      <c r="C1906" s="17" t="n">
        <v>46219</v>
      </c>
      <c r="D1906" s="18" t="n">
        <v>46204</v>
      </c>
      <c r="E1906" s="19" t="n">
        <v>9.340999999999999</v>
      </c>
      <c r="F1906" s="19" t="n">
        <v>90</v>
      </c>
      <c r="G1906" t="inlineStr">
        <is>
          <t>Rs 90 crore</t>
        </is>
      </c>
      <c r="H1906" t="inlineStr">
        <is>
          <t>Series B</t>
        </is>
      </c>
      <c r="I1906" t="inlineStr">
        <is>
          <t>Growth</t>
        </is>
      </c>
      <c r="J1906" t="inlineStr">
        <is>
          <t>Ecommerce</t>
        </is>
      </c>
      <c r="K1906" t="inlineStr">
        <is>
          <t>Delhi NCR</t>
        </is>
      </c>
      <c r="L1906" t="inlineStr">
        <is>
          <t>Cornerstone Ventures</t>
        </is>
      </c>
      <c r="M1906" t="inlineStr">
        <is>
          <t>Cornerstone Ventures; Tiger Global; Alpha Wave; Stride Ventures; Sparrow Capital; Lighthouse Canton; Trifecta Capital</t>
        </is>
      </c>
      <c r="N1906" t="inlineStr">
        <is>
          <t>entrackr | inc42 | et | vccircle</t>
        </is>
      </c>
      <c r="O1906" s="20" t="n">
        <v>4</v>
      </c>
      <c r="P1906" s="21" t="n">
        <v>0.4</v>
      </c>
      <c r="Q1906" t="inlineStr"/>
      <c r="R1906" s="22" t="inlineStr">
        <is>
          <t>https://entrackr.com/news/groyyo-raises-rs-90-cr-in-first-close-of-series-b-round-led-by-cornerstone-ventures-12170977</t>
        </is>
      </c>
    </row>
    <row r="1907">
      <c r="A1907" t="inlineStr">
        <is>
          <t>R260716-kuhltherm</t>
        </is>
      </c>
      <c r="B1907" t="inlineStr">
        <is>
          <t>KuhlTherm</t>
        </is>
      </c>
      <c r="C1907" s="17" t="n">
        <v>46219</v>
      </c>
      <c r="D1907" s="18" t="n">
        <v>46204</v>
      </c>
      <c r="E1907" s="19" t="n">
        <v>1.1</v>
      </c>
      <c r="F1907" s="19" t="n">
        <v>10.6</v>
      </c>
      <c r="G1907" t="inlineStr">
        <is>
          <t>$1.1 million</t>
        </is>
      </c>
      <c r="H1907" t="inlineStr">
        <is>
          <t>Seed</t>
        </is>
      </c>
      <c r="I1907" t="inlineStr">
        <is>
          <t>Early</t>
        </is>
      </c>
      <c r="J1907" t="inlineStr">
        <is>
          <t>Advanced Hardware &amp; Technology</t>
        </is>
      </c>
      <c r="K1907" t="inlineStr">
        <is>
          <t>Ahmedabad</t>
        </is>
      </c>
      <c r="L1907" t="inlineStr">
        <is>
          <t>Arkam Ventures</t>
        </is>
      </c>
      <c r="M1907" t="inlineStr">
        <is>
          <t>Arkam Ventures</t>
        </is>
      </c>
      <c r="N1907" t="inlineStr">
        <is>
          <t>entrackr | inc42</t>
        </is>
      </c>
      <c r="O1907" s="20" t="n">
        <v>2</v>
      </c>
      <c r="P1907" s="21" t="n">
        <v>0</v>
      </c>
      <c r="Q1907" t="inlineStr"/>
      <c r="R1907" s="22" t="inlineStr">
        <is>
          <t>https://entrackr.com/snippets/kuhltherm-raises-11-mn-in-seed-round-led-by-arkam-ventures-12170492</t>
        </is>
      </c>
    </row>
    <row r="1908">
      <c r="A1908" t="inlineStr">
        <is>
          <t>R260716-logcatai</t>
        </is>
      </c>
      <c r="B1908" t="inlineStr">
        <is>
          <t>logcat.ai</t>
        </is>
      </c>
      <c r="C1908" s="17" t="n">
        <v>46219</v>
      </c>
      <c r="D1908" s="18" t="n">
        <v>46204</v>
      </c>
      <c r="E1908" s="19" t="n">
        <v>2.5</v>
      </c>
      <c r="F1908" s="19" t="n">
        <v>24.09</v>
      </c>
      <c r="G1908" t="inlineStr">
        <is>
          <t>$2.5 Mn</t>
        </is>
      </c>
      <c r="H1908" t="inlineStr">
        <is>
          <t>Pre-Seed</t>
        </is>
      </c>
      <c r="I1908" t="inlineStr">
        <is>
          <t>Early</t>
        </is>
      </c>
      <c r="J1908" t="inlineStr">
        <is>
          <t>Artificial Intelligence</t>
        </is>
      </c>
      <c r="K1908" t="inlineStr">
        <is>
          <t>Unknown</t>
        </is>
      </c>
      <c r="L1908" t="inlineStr">
        <is>
          <t>Tanglin Venture Partners</t>
        </is>
      </c>
      <c r="M1908" t="inlineStr">
        <is>
          <t>Founders’ Co-op; Act One Ventures; TheFounderVC; Shorewind Capital; Clayoquot Capital; Alumni Ventures; Tanglin Venture Partners</t>
        </is>
      </c>
      <c r="N1908" t="inlineStr">
        <is>
          <t>inc42</t>
        </is>
      </c>
      <c r="O1908" s="20" t="n">
        <v>1</v>
      </c>
      <c r="P1908" s="21" t="n">
        <v>0</v>
      </c>
      <c r="Q1908" t="inlineStr">
        <is>
          <t>C07</t>
        </is>
      </c>
      <c r="R1908" s="22" t="inlineStr">
        <is>
          <t>https://inc42.com/buzz/from-emergent-to-neo-group-indian-startups-raised-281-mn-this-week/</t>
        </is>
      </c>
    </row>
    <row r="1909">
      <c r="A1909" t="inlineStr">
        <is>
          <t>R260716-mandrakebio</t>
        </is>
      </c>
      <c r="B1909" t="inlineStr">
        <is>
          <t>Mandrake Bio</t>
        </is>
      </c>
      <c r="C1909" s="17" t="n">
        <v>46219</v>
      </c>
      <c r="D1909" s="18" t="n">
        <v>46204</v>
      </c>
      <c r="E1909" s="19" t="n">
        <v>1.661</v>
      </c>
      <c r="F1909" s="19" t="n">
        <v>16</v>
      </c>
      <c r="G1909" t="inlineStr">
        <is>
          <t>Rs 16 crore</t>
        </is>
      </c>
      <c r="H1909" t="inlineStr">
        <is>
          <t>Pre-Seed</t>
        </is>
      </c>
      <c r="I1909" t="inlineStr">
        <is>
          <t>Early</t>
        </is>
      </c>
      <c r="J1909" t="inlineStr">
        <is>
          <t>Healthtech</t>
        </is>
      </c>
      <c r="K1909" t="inlineStr">
        <is>
          <t>Unknown</t>
        </is>
      </c>
      <c r="L1909" t="inlineStr">
        <is>
          <t>Activate; Antler</t>
        </is>
      </c>
      <c r="M1909" t="inlineStr">
        <is>
          <t>Activate; Antler; Spectrum Impact; DeVC; Vijay Chandru; Paras Chopra; Sanjiv Rangrass; Vatsal Dusad</t>
        </is>
      </c>
      <c r="N1909" t="inlineStr">
        <is>
          <t>entrackr | inc42</t>
        </is>
      </c>
      <c r="O1909" s="20" t="n">
        <v>2</v>
      </c>
      <c r="P1909" s="21" t="n">
        <v>2.4</v>
      </c>
      <c r="Q1909" t="inlineStr">
        <is>
          <t>C07</t>
        </is>
      </c>
      <c r="R1909" s="22" t="inlineStr">
        <is>
          <t>https://entrackr.com/snippets/mandrake-bio-raises-rs-16-cr-in-pre-seed-round-co-led-by-activate-and-antler-12170217</t>
        </is>
      </c>
    </row>
    <row r="1910">
      <c r="A1910" t="inlineStr">
        <is>
          <t>R260716-naptapgo</t>
        </is>
      </c>
      <c r="B1910" t="inlineStr">
        <is>
          <t>NapTapGo</t>
        </is>
      </c>
      <c r="C1910" s="17" t="n">
        <v>46219</v>
      </c>
      <c r="D1910" s="18" t="n">
        <v>46204</v>
      </c>
      <c r="E1910" s="19" t="n">
        <v>0.831</v>
      </c>
      <c r="F1910" s="19" t="n">
        <v>8.01</v>
      </c>
      <c r="G1910" t="inlineStr">
        <is>
          <t>$831K</t>
        </is>
      </c>
      <c r="H1910" t="inlineStr">
        <is>
          <t>Seed</t>
        </is>
      </c>
      <c r="I1910" t="inlineStr">
        <is>
          <t>Early</t>
        </is>
      </c>
      <c r="J1910" t="inlineStr">
        <is>
          <t>Real Estate Tech</t>
        </is>
      </c>
      <c r="K1910" t="inlineStr">
        <is>
          <t>Unknown</t>
        </is>
      </c>
      <c r="L1910" t="inlineStr">
        <is>
          <t>Inflection Point Ventures</t>
        </is>
      </c>
      <c r="M1910" t="inlineStr">
        <is>
          <t>Inflection Point Ventures</t>
        </is>
      </c>
      <c r="N1910" t="inlineStr">
        <is>
          <t>inc42</t>
        </is>
      </c>
      <c r="O1910" s="20" t="n">
        <v>1</v>
      </c>
      <c r="P1910" s="21" t="n">
        <v>0</v>
      </c>
      <c r="Q1910" t="inlineStr">
        <is>
          <t>C07</t>
        </is>
      </c>
      <c r="R1910" s="22" t="inlineStr">
        <is>
          <t>https://inc42.com/buzz/from-emergent-to-neo-group-indian-startups-raised-281-mn-this-week/</t>
        </is>
      </c>
    </row>
    <row r="1911">
      <c r="A1911" t="inlineStr">
        <is>
          <t>R260716-naturiscosmeti</t>
        </is>
      </c>
      <c r="B1911" t="inlineStr">
        <is>
          <t>Naturis Cosmetics</t>
        </is>
      </c>
      <c r="C1911" s="17" t="n">
        <v>46219</v>
      </c>
      <c r="D1911" s="18" t="n">
        <v>46204</v>
      </c>
      <c r="E1911" s="19" t="n">
        <v>10.379</v>
      </c>
      <c r="F1911" s="19" t="n">
        <v>100</v>
      </c>
      <c r="G1911" t="inlineStr">
        <is>
          <t>Rs 100 crore</t>
        </is>
      </c>
      <c r="H1911" t="inlineStr">
        <is>
          <t>Series A</t>
        </is>
      </c>
      <c r="I1911" t="inlineStr">
        <is>
          <t>Early</t>
        </is>
      </c>
      <c r="J1911" t="inlineStr">
        <is>
          <t>Enterprise Tech</t>
        </is>
      </c>
      <c r="K1911" t="inlineStr">
        <is>
          <t>Mumbai</t>
        </is>
      </c>
      <c r="L1911" t="inlineStr">
        <is>
          <t>Sharrp Ventures</t>
        </is>
      </c>
      <c r="M1911" t="inlineStr">
        <is>
          <t>Sharrp Ventures; Mirabilis Investment Trust; Anicut Capital; Niveshaay; Suyash Saraf; Yogesh Kabra; K Dinesh</t>
        </is>
      </c>
      <c r="N1911" t="inlineStr">
        <is>
          <t>entrackr | inc42 | et</t>
        </is>
      </c>
      <c r="O1911" s="20" t="n">
        <v>3</v>
      </c>
      <c r="P1911" s="21" t="n">
        <v>13.7</v>
      </c>
      <c r="Q1911" t="inlineStr">
        <is>
          <t>C15</t>
        </is>
      </c>
      <c r="R1911" s="22" t="inlineStr">
        <is>
          <t>https://entrackr.com/news/naturis-cosmetics-raises-rs-100-cr-in-maiden-institutional-round-led-by-sharrp-ventures-12169138</t>
        </is>
      </c>
    </row>
    <row r="1912">
      <c r="A1912" t="inlineStr">
        <is>
          <t>R260716-othorai</t>
        </is>
      </c>
      <c r="B1912" t="inlineStr">
        <is>
          <t>Othor AI</t>
        </is>
      </c>
      <c r="C1912" s="17" t="n">
        <v>46219</v>
      </c>
      <c r="D1912" s="18" t="n">
        <v>46204</v>
      </c>
      <c r="E1912" s="19" t="n">
        <v>0.07000000000000001</v>
      </c>
      <c r="F1912" s="19" t="n">
        <v>0.67</v>
      </c>
      <c r="G1912" t="inlineStr">
        <is>
          <t>$70K</t>
        </is>
      </c>
      <c r="H1912" t="inlineStr">
        <is>
          <t>Undisclosed</t>
        </is>
      </c>
      <c r="I1912" t="inlineStr">
        <is>
          <t>Undisclosed</t>
        </is>
      </c>
      <c r="J1912" t="inlineStr">
        <is>
          <t>Artificial Intelligence</t>
        </is>
      </c>
      <c r="K1912" t="inlineStr">
        <is>
          <t>Unknown</t>
        </is>
      </c>
      <c r="L1912" t="inlineStr"/>
      <c r="M1912" t="inlineStr">
        <is>
          <t>Amit Ashu; Avinash Kumar; Balasubrahmanyan Sridhara</t>
        </is>
      </c>
      <c r="N1912" t="inlineStr">
        <is>
          <t>inc42</t>
        </is>
      </c>
      <c r="O1912" s="20" t="n">
        <v>1</v>
      </c>
      <c r="P1912" s="21" t="n">
        <v>0</v>
      </c>
      <c r="Q1912" t="inlineStr">
        <is>
          <t>C04 C07</t>
        </is>
      </c>
      <c r="R1912" s="22" t="inlineStr">
        <is>
          <t>https://inc42.com/buzz/from-emergent-to-neo-group-indian-startups-raised-281-mn-this-week/</t>
        </is>
      </c>
    </row>
    <row r="1913">
      <c r="A1913" t="inlineStr">
        <is>
          <t>R260716-quickclean</t>
        </is>
      </c>
      <c r="B1913" t="inlineStr">
        <is>
          <t>Quick Clean</t>
        </is>
      </c>
      <c r="C1913" s="17" t="n">
        <v>46219</v>
      </c>
      <c r="D1913" s="18" t="n">
        <v>46204</v>
      </c>
      <c r="E1913" s="19" t="n">
        <v>14</v>
      </c>
      <c r="F1913" s="19" t="n">
        <v>134.89</v>
      </c>
      <c r="G1913" t="inlineStr">
        <is>
          <t>$14 million</t>
        </is>
      </c>
      <c r="H1913" t="inlineStr">
        <is>
          <t>Series B</t>
        </is>
      </c>
      <c r="I1913" t="inlineStr">
        <is>
          <t>Growth</t>
        </is>
      </c>
      <c r="J1913" t="inlineStr">
        <is>
          <t>Consumer Services</t>
        </is>
      </c>
      <c r="K1913" t="inlineStr">
        <is>
          <t>Delhi NCR</t>
        </is>
      </c>
      <c r="L1913" t="inlineStr">
        <is>
          <t>Stakeboat Capital</t>
        </is>
      </c>
      <c r="M1913" t="inlineStr">
        <is>
          <t>Stakeboat Capital; Alkemi Growth Capital; Blue Ashva Capital</t>
        </is>
      </c>
      <c r="N1913" t="inlineStr">
        <is>
          <t>entrackr | inc42 | et | vccircle</t>
        </is>
      </c>
      <c r="O1913" s="20" t="n">
        <v>4</v>
      </c>
      <c r="P1913" s="21" t="n">
        <v>0</v>
      </c>
      <c r="Q1913" t="inlineStr"/>
      <c r="R1913" s="22" t="inlineStr">
        <is>
          <t>https://entrackr.com/snippets/quick-clean-raises-14-mn-in-series-b-round-led-by-stakeboat-capital-12168892</t>
        </is>
      </c>
    </row>
    <row r="1914">
      <c r="A1914" t="inlineStr">
        <is>
          <t>R260716-reodev</t>
        </is>
      </c>
      <c r="B1914" t="inlineStr">
        <is>
          <t>Reo.Dev</t>
        </is>
      </c>
      <c r="C1914" s="17" t="n">
        <v>46219</v>
      </c>
      <c r="D1914" s="18" t="n">
        <v>46204</v>
      </c>
      <c r="E1914" s="19" t="n">
        <v>11.3</v>
      </c>
      <c r="F1914" s="19" t="n">
        <v>108.88</v>
      </c>
      <c r="G1914" t="inlineStr">
        <is>
          <t>$11.3 million</t>
        </is>
      </c>
      <c r="H1914" t="inlineStr">
        <is>
          <t>Series A</t>
        </is>
      </c>
      <c r="I1914" t="inlineStr">
        <is>
          <t>Early</t>
        </is>
      </c>
      <c r="J1914" t="inlineStr">
        <is>
          <t>Artificial Intelligence</t>
        </is>
      </c>
      <c r="K1914" t="inlineStr">
        <is>
          <t>Unknown</t>
        </is>
      </c>
      <c r="L1914" t="inlineStr">
        <is>
          <t>Elevation Capital</t>
        </is>
      </c>
      <c r="M1914" t="inlineStr">
        <is>
          <t>Elevation Capital; Heavybit; India Quotient; Foster Ventures</t>
        </is>
      </c>
      <c r="N1914" t="inlineStr">
        <is>
          <t>entrackr | inc42</t>
        </is>
      </c>
      <c r="O1914" s="20" t="n">
        <v>2</v>
      </c>
      <c r="P1914" s="21" t="n">
        <v>0</v>
      </c>
      <c r="Q1914" t="inlineStr">
        <is>
          <t>C07</t>
        </is>
      </c>
      <c r="R1914" s="22" t="inlineStr">
        <is>
          <t>https://entrackr.com/snippets/elevation-capital-leads-113-mn-series-a-round-in-reodev-12169973</t>
        </is>
      </c>
    </row>
    <row r="1915">
      <c r="A1915" t="inlineStr">
        <is>
          <t>R260716-rize</t>
        </is>
      </c>
      <c r="B1915" t="inlineStr">
        <is>
          <t>Rize</t>
        </is>
      </c>
      <c r="C1915" s="17" t="n">
        <v>46219</v>
      </c>
      <c r="D1915" s="18" t="n">
        <v>46204</v>
      </c>
      <c r="E1915" s="19" t="n">
        <v>31</v>
      </c>
      <c r="F1915" s="19" t="n">
        <v>298.68</v>
      </c>
      <c r="G1915" t="inlineStr">
        <is>
          <t>$31 million</t>
        </is>
      </c>
      <c r="H1915" t="inlineStr">
        <is>
          <t>Series B</t>
        </is>
      </c>
      <c r="I1915" t="inlineStr">
        <is>
          <t>Growth</t>
        </is>
      </c>
      <c r="J1915" t="inlineStr">
        <is>
          <t>Agritech</t>
        </is>
      </c>
      <c r="K1915" t="inlineStr">
        <is>
          <t>Outside India</t>
        </is>
      </c>
      <c r="L1915" t="inlineStr"/>
      <c r="M1915" t="inlineStr">
        <is>
          <t>BNP Paribas Asset Management Alts; Temasek; Breakthrough Energy Ventures; United Overseas Bank; Bank for Investment; Development of Vietnam</t>
        </is>
      </c>
      <c r="N1915" t="inlineStr">
        <is>
          <t>entrackr | et</t>
        </is>
      </c>
      <c r="O1915" s="20" t="n">
        <v>2</v>
      </c>
      <c r="P1915" s="21" t="n">
        <v>0</v>
      </c>
      <c r="Q1915" t="inlineStr"/>
      <c r="R1915" s="22" t="inlineStr">
        <is>
          <t>https://entrackr.com/snippets/agritech-startup-rize-raises-31-mn-in-series-b-round-12169128</t>
        </is>
      </c>
    </row>
    <row r="1916">
      <c r="A1916" t="inlineStr">
        <is>
          <t>R260716-smytten</t>
        </is>
      </c>
      <c r="B1916" t="inlineStr">
        <is>
          <t>Smytten</t>
        </is>
      </c>
      <c r="C1916" s="17" t="n">
        <v>46219</v>
      </c>
      <c r="D1916" s="18" t="n">
        <v>46204</v>
      </c>
      <c r="E1916" s="19" t="n"/>
      <c r="F1916" s="19" t="n"/>
      <c r="G1916" t="inlineStr"/>
      <c r="H1916" t="inlineStr">
        <is>
          <t>Undisclosed</t>
        </is>
      </c>
      <c r="I1916" t="inlineStr">
        <is>
          <t>Undisclosed</t>
        </is>
      </c>
      <c r="J1916" t="inlineStr">
        <is>
          <t>Ecommerce</t>
        </is>
      </c>
      <c r="K1916" t="inlineStr">
        <is>
          <t>Unknown</t>
        </is>
      </c>
      <c r="L1916" t="inlineStr">
        <is>
          <t>VentureSoul Partners</t>
        </is>
      </c>
      <c r="M1916" t="inlineStr">
        <is>
          <t>VentureSoul Partners</t>
        </is>
      </c>
      <c r="N1916" t="inlineStr">
        <is>
          <t>inc42</t>
        </is>
      </c>
      <c r="O1916" s="20" t="n">
        <v>1</v>
      </c>
      <c r="P1916" s="21" t="n"/>
      <c r="Q1916" t="inlineStr">
        <is>
          <t>C03 C04 C07</t>
        </is>
      </c>
      <c r="R1916" s="22" t="inlineStr">
        <is>
          <t>https://inc42.com/buzz/from-emergent-to-neo-group-indian-startups-raised-281-mn-this-week/</t>
        </is>
      </c>
    </row>
    <row r="1917">
      <c r="A1917" t="inlineStr">
        <is>
          <t>R260716-switchon</t>
        </is>
      </c>
      <c r="B1917" t="inlineStr">
        <is>
          <t>SwitchOn</t>
        </is>
      </c>
      <c r="C1917" s="17" t="n">
        <v>46219</v>
      </c>
      <c r="D1917" s="18" t="n">
        <v>46204</v>
      </c>
      <c r="E1917" s="19" t="n">
        <v>8</v>
      </c>
      <c r="F1917" s="19" t="n">
        <v>77.08</v>
      </c>
      <c r="G1917" t="inlineStr">
        <is>
          <t>$8 million</t>
        </is>
      </c>
      <c r="H1917" t="inlineStr">
        <is>
          <t>Pre-Series B</t>
        </is>
      </c>
      <c r="I1917" t="inlineStr">
        <is>
          <t>Growth</t>
        </is>
      </c>
      <c r="J1917" t="inlineStr">
        <is>
          <t>Artificial Intelligence</t>
        </is>
      </c>
      <c r="K1917" t="inlineStr">
        <is>
          <t>Bengaluru</t>
        </is>
      </c>
      <c r="L1917" t="inlineStr">
        <is>
          <t>IvyCap Ventures</t>
        </is>
      </c>
      <c r="M1917" t="inlineStr">
        <is>
          <t>IvyCap Ventures; SIG Tattva; Trifecta Capital</t>
        </is>
      </c>
      <c r="N1917" t="inlineStr">
        <is>
          <t>entrackr | inc42</t>
        </is>
      </c>
      <c r="O1917" s="20" t="n">
        <v>2</v>
      </c>
      <c r="P1917" s="21" t="n">
        <v>0</v>
      </c>
      <c r="Q1917" t="inlineStr"/>
      <c r="R1917" s="22" t="inlineStr">
        <is>
          <t>https://entrackr.com/news/physical-ai-startup-switchon-raises-8-mn-in-pre-series-b-round-led-by-ivycap-12168741</t>
        </is>
      </c>
    </row>
    <row r="1918">
      <c r="A1918" t="inlineStr">
        <is>
          <t>R260720-lngvty</t>
        </is>
      </c>
      <c r="B1918" t="inlineStr">
        <is>
          <t>LNGVTY</t>
        </is>
      </c>
      <c r="C1918" s="17" t="n">
        <v>46223</v>
      </c>
      <c r="D1918" s="18" t="n">
        <v>46204</v>
      </c>
      <c r="E1918" s="19" t="n">
        <v>0.518</v>
      </c>
      <c r="F1918" s="19" t="n">
        <v>5</v>
      </c>
      <c r="G1918" t="inlineStr">
        <is>
          <t>Rs 5 crore</t>
        </is>
      </c>
      <c r="H1918" t="inlineStr">
        <is>
          <t>Seed</t>
        </is>
      </c>
      <c r="I1918" t="inlineStr">
        <is>
          <t>Early</t>
        </is>
      </c>
      <c r="J1918" t="inlineStr">
        <is>
          <t>Ecommerce</t>
        </is>
      </c>
      <c r="K1918" t="inlineStr">
        <is>
          <t>Mumbai</t>
        </is>
      </c>
      <c r="L1918" t="inlineStr">
        <is>
          <t>Rukam Capital</t>
        </is>
      </c>
      <c r="M1918" t="inlineStr">
        <is>
          <t>Rukam Capital</t>
        </is>
      </c>
      <c r="N1918" t="inlineStr">
        <is>
          <t>entrackr | inc42</t>
        </is>
      </c>
      <c r="O1918" s="20" t="n">
        <v>2</v>
      </c>
      <c r="P1918" s="21" t="n">
        <v>0.1</v>
      </c>
      <c r="Q1918" t="inlineStr"/>
      <c r="R1918" s="22" t="inlineStr">
        <is>
          <t>https://entrackr.com/snippets/rukam-capital-leads-seed-round-in-skin-longevity-beauty-brand-lngvty-12181648</t>
        </is>
      </c>
    </row>
    <row r="1919">
      <c r="A1919" t="inlineStr">
        <is>
          <t>R260720-plazza</t>
        </is>
      </c>
      <c r="B1919" t="inlineStr">
        <is>
          <t>Plazza</t>
        </is>
      </c>
      <c r="C1919" s="17" t="n">
        <v>46223</v>
      </c>
      <c r="D1919" s="18" t="n">
        <v>46204</v>
      </c>
      <c r="E1919" s="19" t="n">
        <v>15</v>
      </c>
      <c r="F1919" s="19" t="n">
        <v>144.68</v>
      </c>
      <c r="G1919" t="inlineStr">
        <is>
          <t>$15 million</t>
        </is>
      </c>
      <c r="H1919" t="inlineStr">
        <is>
          <t>Series A</t>
        </is>
      </c>
      <c r="I1919" t="inlineStr">
        <is>
          <t>Early</t>
        </is>
      </c>
      <c r="J1919" t="inlineStr">
        <is>
          <t>Consumer Services</t>
        </is>
      </c>
      <c r="K1919" t="inlineStr">
        <is>
          <t>Bengaluru</t>
        </is>
      </c>
      <c r="L1919" t="inlineStr">
        <is>
          <t>Accel; Elevation Capital; Nexus Venture Partners</t>
        </is>
      </c>
      <c r="M1919" t="inlineStr">
        <is>
          <t>Accel; Elevation Capital; Nexus Venture Partners; All In Capital; Better Capital</t>
        </is>
      </c>
      <c r="N1919" t="inlineStr">
        <is>
          <t>entrackr | inc42</t>
        </is>
      </c>
      <c r="O1919" s="20" t="n">
        <v>2</v>
      </c>
      <c r="P1919" s="21" t="n">
        <v>0</v>
      </c>
      <c r="Q1919" t="inlineStr"/>
      <c r="R1919" s="22" t="inlineStr">
        <is>
          <t>https://entrackr.com/news/instant-medicine-delivery-startup-plazza-raises-15-mn-led-by-accel-elevation-and-nexus-12180237</t>
        </is>
      </c>
    </row>
    <row r="1920">
      <c r="A1920" t="inlineStr">
        <is>
          <t>R260720-raghuvamsiaero</t>
        </is>
      </c>
      <c r="B1920" t="inlineStr">
        <is>
          <t>Raghu Vamsi Aerospace</t>
        </is>
      </c>
      <c r="C1920" s="17" t="n">
        <v>46223</v>
      </c>
      <c r="D1920" s="18" t="n">
        <v>46204</v>
      </c>
      <c r="E1920" s="19" t="n">
        <v>40</v>
      </c>
      <c r="F1920" s="19" t="n">
        <v>385.8</v>
      </c>
      <c r="G1920" t="inlineStr">
        <is>
          <t>$40 million</t>
        </is>
      </c>
      <c r="H1920" t="inlineStr">
        <is>
          <t>Series B</t>
        </is>
      </c>
      <c r="I1920" t="inlineStr">
        <is>
          <t>Growth</t>
        </is>
      </c>
      <c r="J1920" t="inlineStr">
        <is>
          <t>Advanced Hardware &amp; Technology</t>
        </is>
      </c>
      <c r="K1920" t="inlineStr">
        <is>
          <t>Unknown</t>
        </is>
      </c>
      <c r="L1920" t="inlineStr">
        <is>
          <t>Norwest; Skegen Asset Management</t>
        </is>
      </c>
      <c r="M1920" t="inlineStr">
        <is>
          <t>Norwest; Skegen Asset Management; Indus Bridge Ventures; GJNX Ventures; Ashish Kacholia</t>
        </is>
      </c>
      <c r="N1920" t="inlineStr">
        <is>
          <t>entrackr | inc42 | vccircle</t>
        </is>
      </c>
      <c r="O1920" s="20" t="n">
        <v>3</v>
      </c>
      <c r="P1920" s="21" t="n">
        <v>0</v>
      </c>
      <c r="Q1920" t="inlineStr">
        <is>
          <t>C07</t>
        </is>
      </c>
      <c r="R1920" s="22" t="inlineStr">
        <is>
          <t>https://entrackr.com/news/raghu-vamsi-aerospace-group-raises-40-mn-led-by-norwest-skegen-asset-management-12181153</t>
        </is>
      </c>
    </row>
    <row r="1921">
      <c r="A1921" t="inlineStr">
        <is>
          <t>R260720-veriqus</t>
        </is>
      </c>
      <c r="B1921" t="inlineStr">
        <is>
          <t>Veriqus</t>
        </is>
      </c>
      <c r="C1921" s="17" t="n">
        <v>46223</v>
      </c>
      <c r="D1921" s="18" t="n">
        <v>46204</v>
      </c>
      <c r="E1921" s="19" t="n">
        <v>40.124</v>
      </c>
      <c r="F1921" s="19" t="n">
        <v>387</v>
      </c>
      <c r="G1921" t="inlineStr">
        <is>
          <t>Rs 387 crore</t>
        </is>
      </c>
      <c r="H1921" t="inlineStr">
        <is>
          <t>Undisclosed</t>
        </is>
      </c>
      <c r="I1921" t="inlineStr">
        <is>
          <t>Undisclosed</t>
        </is>
      </c>
      <c r="J1921" t="inlineStr">
        <is>
          <t>Fintech</t>
        </is>
      </c>
      <c r="K1921" t="inlineStr">
        <is>
          <t>Mumbai</t>
        </is>
      </c>
      <c r="L1921" t="inlineStr">
        <is>
          <t>Norwest</t>
        </is>
      </c>
      <c r="M1921" t="inlineStr">
        <is>
          <t>Norwest</t>
        </is>
      </c>
      <c r="N1921" t="inlineStr">
        <is>
          <t>entrackr | inc42 | vccircle</t>
        </is>
      </c>
      <c r="O1921" s="20" t="n">
        <v>3</v>
      </c>
      <c r="P1921" s="21" t="n">
        <v>0.1</v>
      </c>
      <c r="Q1921" t="inlineStr">
        <is>
          <t>C04</t>
        </is>
      </c>
      <c r="R1921" s="22" t="inlineStr">
        <is>
          <t>https://entrackr.com/news/wealthtech-platform-veriqus-raises-rs-387-cr-in-funding-round-led-by-norwest-12182570</t>
        </is>
      </c>
    </row>
    <row r="1922">
      <c r="A1922" t="inlineStr">
        <is>
          <t>R260721-30sundays</t>
        </is>
      </c>
      <c r="B1922" t="inlineStr">
        <is>
          <t>30 Sundays</t>
        </is>
      </c>
      <c r="C1922" s="17" t="n">
        <v>46224</v>
      </c>
      <c r="D1922" s="18" t="n">
        <v>46204</v>
      </c>
      <c r="E1922" s="19" t="n">
        <v>6.7</v>
      </c>
      <c r="F1922" s="19" t="n">
        <v>64.47</v>
      </c>
      <c r="G1922" t="inlineStr">
        <is>
          <t>$6.7 million</t>
        </is>
      </c>
      <c r="H1922" t="inlineStr">
        <is>
          <t>Series A</t>
        </is>
      </c>
      <c r="I1922" t="inlineStr">
        <is>
          <t>Early</t>
        </is>
      </c>
      <c r="J1922" t="inlineStr">
        <is>
          <t>Travel Tech</t>
        </is>
      </c>
      <c r="K1922" t="inlineStr">
        <is>
          <t>Delhi NCR</t>
        </is>
      </c>
      <c r="L1922" t="inlineStr">
        <is>
          <t>Bessemer Venture Partners</t>
        </is>
      </c>
      <c r="M1922" t="inlineStr">
        <is>
          <t>Bessemer Venture Partners; Info Edge Ventures; Eximius Ventures</t>
        </is>
      </c>
      <c r="N1922" t="inlineStr">
        <is>
          <t>entrackr | inc42</t>
        </is>
      </c>
      <c r="O1922" s="20" t="n">
        <v>2</v>
      </c>
      <c r="P1922" s="21" t="n">
        <v>0</v>
      </c>
      <c r="Q1922" t="inlineStr"/>
      <c r="R1922" s="22" t="inlineStr">
        <is>
          <t>https://entrackr.com/snippets/bessemer-leads-67-mn-round-in-travel-tech-startup-30-sundays-12183146</t>
        </is>
      </c>
    </row>
    <row r="1923">
      <c r="A1923" t="inlineStr">
        <is>
          <t>R260721-fireai</t>
        </is>
      </c>
      <c r="B1923" t="inlineStr">
        <is>
          <t>FireAI</t>
        </is>
      </c>
      <c r="C1923" s="17" t="n">
        <v>46224</v>
      </c>
      <c r="D1923" s="18" t="n">
        <v>46204</v>
      </c>
      <c r="E1923" s="19" t="n">
        <v>0.26</v>
      </c>
      <c r="F1923" s="19" t="n">
        <v>2.5</v>
      </c>
      <c r="G1923" t="inlineStr">
        <is>
          <t>Rs 2.5 crore</t>
        </is>
      </c>
      <c r="H1923" t="inlineStr">
        <is>
          <t>Undisclosed</t>
        </is>
      </c>
      <c r="I1923" t="inlineStr">
        <is>
          <t>Undisclosed</t>
        </is>
      </c>
      <c r="J1923" t="inlineStr">
        <is>
          <t>Artificial Intelligence</t>
        </is>
      </c>
      <c r="K1923" t="inlineStr">
        <is>
          <t>Mumbai</t>
        </is>
      </c>
      <c r="L1923" t="inlineStr">
        <is>
          <t>SucSEED Indovation Fund</t>
        </is>
      </c>
      <c r="M1923" t="inlineStr">
        <is>
          <t>SucSEED Indovation Fund</t>
        </is>
      </c>
      <c r="N1923" t="inlineStr">
        <is>
          <t>entrackr | inc42</t>
        </is>
      </c>
      <c r="O1923" s="20" t="n">
        <v>2</v>
      </c>
      <c r="P1923" s="21" t="n">
        <v>0.3</v>
      </c>
      <c r="Q1923" t="inlineStr">
        <is>
          <t>C04</t>
        </is>
      </c>
      <c r="R1923" s="22" t="inlineStr">
        <is>
          <t>https://entrackr.com/snippets/fireai-raises-rs-25-cr-from-sucseed-indovation-fund-12184501</t>
        </is>
      </c>
    </row>
    <row r="1924">
      <c r="A1924" t="inlineStr">
        <is>
          <t>R260721-khageshvaraavi</t>
        </is>
      </c>
      <c r="B1924" t="inlineStr">
        <is>
          <t>Khageshvara Aviation Technology</t>
        </is>
      </c>
      <c r="C1924" s="17" t="n">
        <v>46224</v>
      </c>
      <c r="D1924" s="18" t="n">
        <v>46204</v>
      </c>
      <c r="E1924" s="19" t="n"/>
      <c r="F1924" s="19" t="n"/>
      <c r="G1924" t="inlineStr"/>
      <c r="H1924" t="inlineStr">
        <is>
          <t>Undisclosed</t>
        </is>
      </c>
      <c r="I1924" t="inlineStr">
        <is>
          <t>Undisclosed</t>
        </is>
      </c>
      <c r="J1924" t="inlineStr">
        <is>
          <t>Advanced Hardware &amp; Technology</t>
        </is>
      </c>
      <c r="K1924" t="inlineStr">
        <is>
          <t>Unknown</t>
        </is>
      </c>
      <c r="L1924" t="inlineStr">
        <is>
          <t>Finvolve; India Accelerator</t>
        </is>
      </c>
      <c r="M1924" t="inlineStr">
        <is>
          <t>Finvolve; India Accelerator; Rukam Capital; ACIC-VGU</t>
        </is>
      </c>
      <c r="N1924" t="inlineStr">
        <is>
          <t>inc42</t>
        </is>
      </c>
      <c r="O1924" s="20" t="n">
        <v>1</v>
      </c>
      <c r="P1924" s="21" t="n"/>
      <c r="Q1924" t="inlineStr">
        <is>
          <t>C03 C04 C07</t>
        </is>
      </c>
      <c r="R1924" s="22" t="inlineStr">
        <is>
          <t>https://inc42.com/buzz/from-zetwerk-to-veriqus-indian-startups-raised-209-mn-this-week/</t>
        </is>
      </c>
    </row>
    <row r="1925">
      <c r="A1925" t="inlineStr">
        <is>
          <t>R260721-solarsquare</t>
        </is>
      </c>
      <c r="B1925" t="inlineStr">
        <is>
          <t>SolarSquare</t>
        </is>
      </c>
      <c r="C1925" s="17" t="n">
        <v>46224</v>
      </c>
      <c r="D1925" s="18" t="n">
        <v>46204</v>
      </c>
      <c r="E1925" s="19" t="n">
        <v>53</v>
      </c>
      <c r="F1925" s="19" t="n">
        <v>510.02</v>
      </c>
      <c r="G1925" t="inlineStr">
        <is>
          <t>$53 million</t>
        </is>
      </c>
      <c r="H1925" t="inlineStr">
        <is>
          <t>Series C</t>
        </is>
      </c>
      <c r="I1925" t="inlineStr">
        <is>
          <t>Growth</t>
        </is>
      </c>
      <c r="J1925" t="inlineStr">
        <is>
          <t>Cleantech</t>
        </is>
      </c>
      <c r="K1925" t="inlineStr">
        <is>
          <t>Mumbai</t>
        </is>
      </c>
      <c r="L1925" t="inlineStr">
        <is>
          <t>MS Dhoni</t>
        </is>
      </c>
      <c r="M1925" t="inlineStr">
        <is>
          <t>MS Dhoni</t>
        </is>
      </c>
      <c r="N1925" t="inlineStr">
        <is>
          <t>entrackr | inc42</t>
        </is>
      </c>
      <c r="O1925" s="20" t="n">
        <v>2</v>
      </c>
      <c r="P1925" s="21" t="n">
        <v>0</v>
      </c>
      <c r="Q1925" t="inlineStr">
        <is>
          <t>C09</t>
        </is>
      </c>
      <c r="R1925" s="22" t="inlineStr">
        <is>
          <t>https://entrackr.com/snippets/ms-dhoni-invests-in-solarsquare-as-part-of-53-mn-series-c-round-12183463</t>
        </is>
      </c>
    </row>
    <row r="1926">
      <c r="A1926" t="inlineStr">
        <is>
          <t>R260721-suminterindiao</t>
        </is>
      </c>
      <c r="B1926" t="inlineStr">
        <is>
          <t>Suminter India Organics</t>
        </is>
      </c>
      <c r="C1926" s="17" t="n">
        <v>46224</v>
      </c>
      <c r="D1926" s="18" t="n">
        <v>46204</v>
      </c>
      <c r="E1926" s="19" t="n">
        <v>2.598</v>
      </c>
      <c r="F1926" s="19" t="n">
        <v>25</v>
      </c>
      <c r="G1926" t="inlineStr">
        <is>
          <t>Rs 25 crore</t>
        </is>
      </c>
      <c r="H1926" t="inlineStr">
        <is>
          <t>Debt</t>
        </is>
      </c>
      <c r="I1926" t="inlineStr">
        <is>
          <t>Debt</t>
        </is>
      </c>
      <c r="J1926" t="inlineStr">
        <is>
          <t>Cleantech</t>
        </is>
      </c>
      <c r="K1926" t="inlineStr">
        <is>
          <t>Unknown</t>
        </is>
      </c>
      <c r="L1926" t="inlineStr"/>
      <c r="M1926" t="inlineStr">
        <is>
          <t>BlackSoil Capital</t>
        </is>
      </c>
      <c r="N1926" t="inlineStr">
        <is>
          <t>entrackr</t>
        </is>
      </c>
      <c r="O1926" s="20" t="n">
        <v>1</v>
      </c>
      <c r="P1926" s="21" t="n">
        <v>0</v>
      </c>
      <c r="Q1926" t="inlineStr">
        <is>
          <t>C07</t>
        </is>
      </c>
      <c r="R1926" s="22" t="inlineStr">
        <is>
          <t>https://entrackr.com/snippets/suminter-india-organics-secures-rs-25-cr-debt-from-blacksoil-capital-12184884</t>
        </is>
      </c>
    </row>
    <row r="1927">
      <c r="A1927" t="inlineStr">
        <is>
          <t>R260722-bioscanresearc</t>
        </is>
      </c>
      <c r="B1927" t="inlineStr">
        <is>
          <t>Bioscan Research</t>
        </is>
      </c>
      <c r="C1927" s="17" t="n">
        <v>46225</v>
      </c>
      <c r="D1927" s="18" t="n">
        <v>46204</v>
      </c>
      <c r="E1927" s="19" t="n">
        <v>1</v>
      </c>
      <c r="F1927" s="19" t="n">
        <v>9.66</v>
      </c>
      <c r="G1927" t="inlineStr">
        <is>
          <t>$1 million</t>
        </is>
      </c>
      <c r="H1927" t="inlineStr">
        <is>
          <t>Seed</t>
        </is>
      </c>
      <c r="I1927" t="inlineStr">
        <is>
          <t>Early</t>
        </is>
      </c>
      <c r="J1927" t="inlineStr">
        <is>
          <t>Healthtech</t>
        </is>
      </c>
      <c r="K1927" t="inlineStr">
        <is>
          <t>Mumbai</t>
        </is>
      </c>
      <c r="L1927" t="inlineStr">
        <is>
          <t>Unicorn India Ventures</t>
        </is>
      </c>
      <c r="M1927" t="inlineStr">
        <is>
          <t>Unicorn India Ventures</t>
        </is>
      </c>
      <c r="N1927" t="inlineStr">
        <is>
          <t>entrackr | inc42</t>
        </is>
      </c>
      <c r="O1927" s="20" t="n">
        <v>2</v>
      </c>
      <c r="P1927" s="21" t="n">
        <v>0</v>
      </c>
      <c r="Q1927" t="inlineStr"/>
      <c r="R1927" s="22" t="inlineStr">
        <is>
          <t>https://entrackr.com/snippets/medtech-startup-bioscan-research-raises-1-mn-in-seed-round-led-by-unicorn-india-ventures-12186756</t>
        </is>
      </c>
    </row>
    <row r="1928">
      <c r="A1928" t="inlineStr">
        <is>
          <t>R260723-businessnext</t>
        </is>
      </c>
      <c r="B1928" t="inlineStr">
        <is>
          <t>BUSINESSNEXT</t>
        </is>
      </c>
      <c r="C1928" s="17" t="n">
        <v>46226</v>
      </c>
      <c r="D1928" s="18" t="n">
        <v>46204</v>
      </c>
      <c r="E1928" s="19" t="n">
        <v>40</v>
      </c>
      <c r="F1928" s="19" t="n">
        <v>386.36</v>
      </c>
      <c r="G1928" t="inlineStr">
        <is>
          <t>$40 million</t>
        </is>
      </c>
      <c r="H1928" t="inlineStr">
        <is>
          <t>Series C</t>
        </is>
      </c>
      <c r="I1928" t="inlineStr">
        <is>
          <t>Growth</t>
        </is>
      </c>
      <c r="J1928" t="inlineStr">
        <is>
          <t>Enterprise Tech</t>
        </is>
      </c>
      <c r="K1928" t="inlineStr">
        <is>
          <t>Delhi NCR</t>
        </is>
      </c>
      <c r="L1928" t="inlineStr">
        <is>
          <t>ServiceNow Ventures</t>
        </is>
      </c>
      <c r="M1928" t="inlineStr">
        <is>
          <t>ServiceNow Ventures</t>
        </is>
      </c>
      <c r="N1928" t="inlineStr">
        <is>
          <t>entrackr | inc42</t>
        </is>
      </c>
      <c r="O1928" s="20" t="n">
        <v>2</v>
      </c>
      <c r="P1928" s="21" t="n">
        <v>0</v>
      </c>
      <c r="Q1928" t="inlineStr">
        <is>
          <t>C18</t>
        </is>
      </c>
      <c r="R1928" s="22" t="inlineStr">
        <is>
          <t>https://entrackr.com/news/businessnext-raises-40-mn-from-servicenow-ventures-at-700-mn-valuation-12189549</t>
        </is>
      </c>
    </row>
    <row r="1929">
      <c r="A1929" t="inlineStr">
        <is>
          <t>R260723-carplai</t>
        </is>
      </c>
      <c r="B1929" t="inlineStr">
        <is>
          <t>CARPL.ai</t>
        </is>
      </c>
      <c r="C1929" s="17" t="n">
        <v>46226</v>
      </c>
      <c r="D1929" s="18" t="n">
        <v>46204</v>
      </c>
      <c r="E1929" s="19" t="n">
        <v>10</v>
      </c>
      <c r="F1929" s="19" t="n">
        <v>96.59</v>
      </c>
      <c r="G1929" t="inlineStr">
        <is>
          <t>$10 million</t>
        </is>
      </c>
      <c r="H1929" t="inlineStr">
        <is>
          <t>Series A</t>
        </is>
      </c>
      <c r="I1929" t="inlineStr">
        <is>
          <t>Early</t>
        </is>
      </c>
      <c r="J1929" t="inlineStr">
        <is>
          <t>Enterprise Tech</t>
        </is>
      </c>
      <c r="K1929" t="inlineStr">
        <is>
          <t>Unknown</t>
        </is>
      </c>
      <c r="L1929" t="inlineStr">
        <is>
          <t>International Finance Corporation</t>
        </is>
      </c>
      <c r="M1929" t="inlineStr">
        <is>
          <t>International Finance Corporation; Stellaris Venture Partners</t>
        </is>
      </c>
      <c r="N1929" t="inlineStr">
        <is>
          <t>entrackr | inc42</t>
        </is>
      </c>
      <c r="O1929" s="20" t="n">
        <v>2</v>
      </c>
      <c r="P1929" s="21" t="n">
        <v>0</v>
      </c>
      <c r="Q1929" t="inlineStr">
        <is>
          <t>C07</t>
        </is>
      </c>
      <c r="R1929" s="22" t="inlineStr">
        <is>
          <t>https://entrackr.com/snippets/healthtech-startup-carplai-raises-10-mn-series-a-led-by-ifc-12191147</t>
        </is>
      </c>
    </row>
    <row r="1930">
      <c r="A1930" t="inlineStr">
        <is>
          <t>R260723-farmwattinnova</t>
        </is>
      </c>
      <c r="B1930" t="inlineStr">
        <is>
          <t>Farm Watt</t>
        </is>
      </c>
      <c r="C1930" s="17" t="n">
        <v>46226</v>
      </c>
      <c r="D1930" s="18" t="n">
        <v>46204</v>
      </c>
      <c r="E1930" s="19" t="n">
        <v>3.365</v>
      </c>
      <c r="F1930" s="19" t="n">
        <v>32.5</v>
      </c>
      <c r="G1930" t="inlineStr">
        <is>
          <t>Rs 32.5 crore</t>
        </is>
      </c>
      <c r="H1930" t="inlineStr">
        <is>
          <t>Undisclosed</t>
        </is>
      </c>
      <c r="I1930" t="inlineStr">
        <is>
          <t>Undisclosed</t>
        </is>
      </c>
      <c r="J1930" t="inlineStr">
        <is>
          <t>Cleantech</t>
        </is>
      </c>
      <c r="K1930" t="inlineStr">
        <is>
          <t>Unknown</t>
        </is>
      </c>
      <c r="L1930" t="inlineStr">
        <is>
          <t>IAN Alpha Fund; Rainmatter</t>
        </is>
      </c>
      <c r="M1930" t="inlineStr">
        <is>
          <t>IAN Alpha Fund; Rainmatter</t>
        </is>
      </c>
      <c r="N1930" t="inlineStr">
        <is>
          <t>entrackr | inc42</t>
        </is>
      </c>
      <c r="O1930" s="20" t="n">
        <v>2</v>
      </c>
      <c r="P1930" s="21" t="n">
        <v>2</v>
      </c>
      <c r="Q1930" t="inlineStr">
        <is>
          <t>C04 C07</t>
        </is>
      </c>
      <c r="R1930" s="22" t="inlineStr">
        <is>
          <t>https://entrackr.com/snippets/farm-watt-innovations-raises-rs-325-cr-co-led-by-ian-alpha-fund-and-rainmatter-12190175</t>
        </is>
      </c>
    </row>
    <row r="1931">
      <c r="A1931" t="inlineStr">
        <is>
          <t>R260723-neuralkart</t>
        </is>
      </c>
      <c r="B1931" t="inlineStr">
        <is>
          <t>NeuralKart</t>
        </is>
      </c>
      <c r="C1931" s="17" t="n">
        <v>46226</v>
      </c>
      <c r="D1931" s="18" t="n">
        <v>46204</v>
      </c>
      <c r="E1931" s="19" t="n">
        <v>0.243</v>
      </c>
      <c r="F1931" s="19" t="n">
        <v>2.35</v>
      </c>
      <c r="G1931" t="inlineStr">
        <is>
          <t>Rs 2.35 crore</t>
        </is>
      </c>
      <c r="H1931" t="inlineStr">
        <is>
          <t>Seed</t>
        </is>
      </c>
      <c r="I1931" t="inlineStr">
        <is>
          <t>Early</t>
        </is>
      </c>
      <c r="J1931" t="inlineStr">
        <is>
          <t>Fintech</t>
        </is>
      </c>
      <c r="K1931" t="inlineStr">
        <is>
          <t>Bengaluru</t>
        </is>
      </c>
      <c r="L1931" t="inlineStr">
        <is>
          <t>Inflection Point Ventures</t>
        </is>
      </c>
      <c r="M1931" t="inlineStr">
        <is>
          <t>Inflection Point Ventures</t>
        </is>
      </c>
      <c r="N1931" t="inlineStr">
        <is>
          <t>entrackr | inc42</t>
        </is>
      </c>
      <c r="O1931" s="20" t="n">
        <v>2</v>
      </c>
      <c r="P1931" s="21" t="n">
        <v>0.1</v>
      </c>
      <c r="Q1931" t="inlineStr"/>
      <c r="R1931" s="22" t="inlineStr">
        <is>
          <t>https://entrackr.com/snippets/ai-insurtech-startup-neuralkart-raises-seed-funding-led-by-inflection-point-ventures-12189954</t>
        </is>
      </c>
    </row>
    <row r="1932">
      <c r="A1932" t="inlineStr">
        <is>
          <t>R260723-upkraft</t>
        </is>
      </c>
      <c r="B1932" t="inlineStr">
        <is>
          <t>UpKraft</t>
        </is>
      </c>
      <c r="C1932" s="17" t="n">
        <v>46226</v>
      </c>
      <c r="D1932" s="18" t="n">
        <v>46204</v>
      </c>
      <c r="E1932" s="19" t="n">
        <v>0.166</v>
      </c>
      <c r="F1932" s="19" t="n">
        <v>1.6</v>
      </c>
      <c r="G1932" t="inlineStr">
        <is>
          <t>Rs 1.6 crore</t>
        </is>
      </c>
      <c r="H1932" t="inlineStr">
        <is>
          <t>Pre-Seed</t>
        </is>
      </c>
      <c r="I1932" t="inlineStr">
        <is>
          <t>Early</t>
        </is>
      </c>
      <c r="J1932" t="inlineStr">
        <is>
          <t>Edtech</t>
        </is>
      </c>
      <c r="K1932" t="inlineStr">
        <is>
          <t>Bengaluru</t>
        </is>
      </c>
      <c r="L1932" t="inlineStr">
        <is>
          <t>PedalStart</t>
        </is>
      </c>
      <c r="M1932" t="inlineStr">
        <is>
          <t>PedalStart</t>
        </is>
      </c>
      <c r="N1932" t="inlineStr">
        <is>
          <t>entrackr</t>
        </is>
      </c>
      <c r="O1932" s="20" t="n">
        <v>1</v>
      </c>
      <c r="P1932" s="21" t="n">
        <v>0</v>
      </c>
      <c r="Q1932" t="inlineStr"/>
      <c r="R1932" s="22" t="inlineStr">
        <is>
          <t>https://entrackr.com/snippets/pedalstart-leads-pre-seed-round-in-extracurricular-learning-platform-upkraft-12190685</t>
        </is>
      </c>
    </row>
    <row r="1933">
      <c r="A1933" t="inlineStr">
        <is>
          <t>R260723-wiffy</t>
        </is>
      </c>
      <c r="B1933" t="inlineStr">
        <is>
          <t>Wiffy</t>
        </is>
      </c>
      <c r="C1933" s="17" t="n">
        <v>46226</v>
      </c>
      <c r="D1933" s="18" t="n">
        <v>46204</v>
      </c>
      <c r="E1933" s="19" t="n">
        <v>3</v>
      </c>
      <c r="F1933" s="19" t="n">
        <v>28.98</v>
      </c>
      <c r="G1933" t="inlineStr">
        <is>
          <t>$3 million</t>
        </is>
      </c>
      <c r="H1933" t="inlineStr">
        <is>
          <t>Series A</t>
        </is>
      </c>
      <c r="I1933" t="inlineStr">
        <is>
          <t>Early</t>
        </is>
      </c>
      <c r="J1933" t="inlineStr">
        <is>
          <t>Unclassified</t>
        </is>
      </c>
      <c r="K1933" t="inlineStr">
        <is>
          <t>Mumbai</t>
        </is>
      </c>
      <c r="L1933" t="inlineStr">
        <is>
          <t>Earth Fund</t>
        </is>
      </c>
      <c r="M1933" t="inlineStr">
        <is>
          <t>Earth Fund; Persol Holdings; Capria Ventures; Mount Judi Ventures; Blume Founders Fund</t>
        </is>
      </c>
      <c r="N1933" t="inlineStr">
        <is>
          <t>entrackr</t>
        </is>
      </c>
      <c r="O1933" s="20" t="n">
        <v>1</v>
      </c>
      <c r="P1933" s="21" t="n">
        <v>0</v>
      </c>
      <c r="Q1933" t="inlineStr">
        <is>
          <t>C06</t>
        </is>
      </c>
      <c r="R1933" s="22" t="inlineStr">
        <is>
          <t>https://entrackr.com/snippets/earth-fund-leads-3-mn-series-a-round-in-wiffy-12191137</t>
        </is>
      </c>
    </row>
    <row r="1934">
      <c r="A1934" t="inlineStr">
        <is>
          <t>R260724-zetwerk</t>
        </is>
      </c>
      <c r="B1934" t="inlineStr">
        <is>
          <t>Zetwerk</t>
        </is>
      </c>
      <c r="C1934" s="17" t="n">
        <v>46227</v>
      </c>
      <c r="D1934" s="18" t="n">
        <v>46204</v>
      </c>
      <c r="E1934" s="19" t="n">
        <v>52</v>
      </c>
      <c r="F1934" s="19" t="n">
        <v>502.11</v>
      </c>
      <c r="G1934" t="inlineStr">
        <is>
          <t>$52 Mn</t>
        </is>
      </c>
      <c r="H1934" t="inlineStr">
        <is>
          <t>Undisclosed</t>
        </is>
      </c>
      <c r="I1934" t="inlineStr">
        <is>
          <t>Undisclosed</t>
        </is>
      </c>
      <c r="J1934" t="inlineStr">
        <is>
          <t>Enterprise Tech</t>
        </is>
      </c>
      <c r="K1934" t="inlineStr">
        <is>
          <t>Bengaluru</t>
        </is>
      </c>
      <c r="L1934" t="inlineStr">
        <is>
          <t>Bharat Value Fund</t>
        </is>
      </c>
      <c r="M1934" t="inlineStr">
        <is>
          <t>Bharat Value Fund</t>
        </is>
      </c>
      <c r="N1934" t="inlineStr">
        <is>
          <t>inc42</t>
        </is>
      </c>
      <c r="O1934" s="20" t="n">
        <v>1</v>
      </c>
      <c r="P1934" s="21" t="n">
        <v>0</v>
      </c>
      <c r="Q1934" t="inlineStr">
        <is>
          <t>C04</t>
        </is>
      </c>
      <c r="R1934" s="22" t="inlineStr">
        <is>
          <t>https://inc42.com/buzz/from-zetwerk-to-veriqus-indian-startups-raised-209-mn-this-week/</t>
        </is>
      </c>
    </row>
    <row r="1935">
      <c r="A1935" t="inlineStr">
        <is>
          <t>R260727-omegaseikimobi</t>
        </is>
      </c>
      <c r="B1935" t="inlineStr">
        <is>
          <t>Omega Seiki Mobility</t>
        </is>
      </c>
      <c r="C1935" s="17" t="n">
        <v>46230</v>
      </c>
      <c r="D1935" s="18" t="n">
        <v>46204</v>
      </c>
      <c r="E1935" s="19" t="n">
        <v>5.213</v>
      </c>
      <c r="F1935" s="19" t="n">
        <v>50</v>
      </c>
      <c r="G1935" t="inlineStr">
        <is>
          <t>Rs 50 crore</t>
        </is>
      </c>
      <c r="H1935" t="inlineStr">
        <is>
          <t>Undisclosed</t>
        </is>
      </c>
      <c r="I1935" t="inlineStr">
        <is>
          <t>Undisclosed</t>
        </is>
      </c>
      <c r="J1935" t="inlineStr">
        <is>
          <t>Cleantech</t>
        </is>
      </c>
      <c r="K1935" t="inlineStr">
        <is>
          <t>Delhi NCR</t>
        </is>
      </c>
      <c r="L1935" t="inlineStr"/>
      <c r="M1935" t="inlineStr">
        <is>
          <t>Saket Aggarwal Family Office; Securocorp Securities; Sangeeta Pareekh; Vanshika Sharma</t>
        </is>
      </c>
      <c r="N1935" t="inlineStr">
        <is>
          <t>entrackr | inc42</t>
        </is>
      </c>
      <c r="O1935" s="20" t="n">
        <v>2</v>
      </c>
      <c r="P1935" s="21" t="n">
        <v>0.2</v>
      </c>
      <c r="Q1935" t="inlineStr">
        <is>
          <t>C04</t>
        </is>
      </c>
      <c r="R1935" s="22" t="inlineStr">
        <is>
          <t>https://entrackr.com/snippets/electric-commercial-vehicle-manufacturer-omega-seiki-mobility-raises-rs-50-cr-12201685</t>
        </is>
      </c>
    </row>
    <row r="1936">
      <c r="A1936" t="inlineStr">
        <is>
          <t>R260728-houseofstudent</t>
        </is>
      </c>
      <c r="B1936" t="inlineStr">
        <is>
          <t>House of Student</t>
        </is>
      </c>
      <c r="C1936" s="17" t="n">
        <v>46231</v>
      </c>
      <c r="D1936" s="18" t="n">
        <v>46204</v>
      </c>
      <c r="E1936" s="19" t="n">
        <v>2</v>
      </c>
      <c r="F1936" s="19" t="n">
        <v>19.17</v>
      </c>
      <c r="G1936" t="inlineStr">
        <is>
          <t>$2 million</t>
        </is>
      </c>
      <c r="H1936" t="inlineStr">
        <is>
          <t>Seed</t>
        </is>
      </c>
      <c r="I1936" t="inlineStr">
        <is>
          <t>Early</t>
        </is>
      </c>
      <c r="J1936" t="inlineStr">
        <is>
          <t>Real Estate Tech</t>
        </is>
      </c>
      <c r="K1936" t="inlineStr">
        <is>
          <t>Unknown</t>
        </is>
      </c>
      <c r="L1936" t="inlineStr">
        <is>
          <t>Nirmitsu Ventures; Saltwater Sutra</t>
        </is>
      </c>
      <c r="M1936" t="inlineStr">
        <is>
          <t>Nirmitsu Ventures; Gautam Verlekar; Glen Fernandes; Richard McCallum; Ali Moosa; Unilodgers; Saltwater Sutra</t>
        </is>
      </c>
      <c r="N1936" t="inlineStr">
        <is>
          <t>entrackr | inc42 | vccircle</t>
        </is>
      </c>
      <c r="O1936" s="20" t="n">
        <v>3</v>
      </c>
      <c r="P1936" s="21" t="n">
        <v>0</v>
      </c>
      <c r="Q1936" t="inlineStr">
        <is>
          <t>C07</t>
        </is>
      </c>
      <c r="R1936" s="22" t="inlineStr">
        <is>
          <t>https://entrackr.com/snippets/global-student-living-technology-startup-house-of-student-raises-2-mn-in-seed-round-12204999</t>
        </is>
      </c>
    </row>
    <row r="1937">
      <c r="A1937" t="inlineStr">
        <is>
          <t>R260728-walbhaindustri</t>
        </is>
      </c>
      <c r="B1937" t="inlineStr">
        <is>
          <t>Walbha Industries</t>
        </is>
      </c>
      <c r="C1937" s="17" t="n">
        <v>46231</v>
      </c>
      <c r="D1937" s="18" t="n">
        <v>46204</v>
      </c>
      <c r="E1937" s="19" t="n">
        <v>1.043</v>
      </c>
      <c r="F1937" s="19" t="n">
        <v>10</v>
      </c>
      <c r="G1937" t="inlineStr">
        <is>
          <t>Rs 10 crore</t>
        </is>
      </c>
      <c r="H1937" t="inlineStr">
        <is>
          <t>Undisclosed</t>
        </is>
      </c>
      <c r="I1937" t="inlineStr">
        <is>
          <t>Undisclosed</t>
        </is>
      </c>
      <c r="J1937" t="inlineStr">
        <is>
          <t>Unclassified</t>
        </is>
      </c>
      <c r="K1937" t="inlineStr">
        <is>
          <t>Unknown</t>
        </is>
      </c>
      <c r="L1937" t="inlineStr"/>
      <c r="M1937" t="inlineStr"/>
      <c r="N1937" t="inlineStr">
        <is>
          <t>entrackr</t>
        </is>
      </c>
      <c r="O1937" s="20" t="n">
        <v>1</v>
      </c>
      <c r="P1937" s="21" t="n">
        <v>0</v>
      </c>
      <c r="Q1937" t="inlineStr">
        <is>
          <t>C04 C05 C06 C07</t>
        </is>
      </c>
      <c r="R1937" s="22" t="inlineStr">
        <is>
          <t>https://entrackr.com/snippets/circular-economy-company-recykal-invests-rs-10-cr-in-walbha-industries-12205320</t>
        </is>
      </c>
    </row>
    <row r="1938">
      <c r="A1938" t="inlineStr">
        <is>
          <t>R260728-yaanendriya</t>
        </is>
      </c>
      <c r="B1938" t="inlineStr">
        <is>
          <t>Yaanendriya</t>
        </is>
      </c>
      <c r="C1938" s="17" t="n">
        <v>46231</v>
      </c>
      <c r="D1938" s="18" t="n">
        <v>46204</v>
      </c>
      <c r="E1938" s="19" t="n">
        <v>1.565</v>
      </c>
      <c r="F1938" s="19" t="n">
        <v>15</v>
      </c>
      <c r="G1938" t="inlineStr">
        <is>
          <t>Rs 15 crore</t>
        </is>
      </c>
      <c r="H1938" t="inlineStr">
        <is>
          <t>Seed</t>
        </is>
      </c>
      <c r="I1938" t="inlineStr">
        <is>
          <t>Early</t>
        </is>
      </c>
      <c r="J1938" t="inlineStr">
        <is>
          <t>Advanced Hardware &amp; Technology</t>
        </is>
      </c>
      <c r="K1938" t="inlineStr">
        <is>
          <t>Bengaluru</t>
        </is>
      </c>
      <c r="L1938" t="inlineStr">
        <is>
          <t>Piper Serica</t>
        </is>
      </c>
      <c r="M1938" t="inlineStr">
        <is>
          <t>Piper Serica</t>
        </is>
      </c>
      <c r="N1938" t="inlineStr">
        <is>
          <t>entrackr | inc42</t>
        </is>
      </c>
      <c r="O1938" s="20" t="n">
        <v>2</v>
      </c>
      <c r="P1938" s="21" t="n">
        <v>2.3</v>
      </c>
      <c r="Q1938" t="inlineStr"/>
      <c r="R1938" s="22" t="inlineStr">
        <is>
          <t>https://entrackr.com/snippets/piper-serica-leads-rs-15-cr-seed-round-in-deep-tech-startup-yaanendriya-12205479</t>
        </is>
      </c>
    </row>
    <row r="1939">
      <c r="A1939" t="inlineStr">
        <is>
          <t>R260729-fixxly</t>
        </is>
      </c>
      <c r="B1939" t="inlineStr">
        <is>
          <t>Fixxly</t>
        </is>
      </c>
      <c r="C1939" s="17" t="n">
        <v>46232</v>
      </c>
      <c r="D1939" s="18" t="n">
        <v>46204</v>
      </c>
      <c r="E1939" s="19" t="n">
        <v>5.5</v>
      </c>
      <c r="F1939" s="19" t="n">
        <v>52.61</v>
      </c>
      <c r="G1939" t="inlineStr">
        <is>
          <t>$5.5 million</t>
        </is>
      </c>
      <c r="H1939" t="inlineStr">
        <is>
          <t>Seed</t>
        </is>
      </c>
      <c r="I1939" t="inlineStr">
        <is>
          <t>Early</t>
        </is>
      </c>
      <c r="J1939" t="inlineStr">
        <is>
          <t>Consumer Services</t>
        </is>
      </c>
      <c r="K1939" t="inlineStr">
        <is>
          <t>Bengaluru</t>
        </is>
      </c>
      <c r="L1939" t="inlineStr">
        <is>
          <t>Accel; Fireside Ventures; Lightspeed India Partners</t>
        </is>
      </c>
      <c r="M1939" t="inlineStr">
        <is>
          <t>Accel; Fireside Ventures; Lightspeed India Partners</t>
        </is>
      </c>
      <c r="N1939" t="inlineStr">
        <is>
          <t>entrackr | inc42 | et</t>
        </is>
      </c>
      <c r="O1939" s="20" t="n">
        <v>3</v>
      </c>
      <c r="P1939" s="21" t="n">
        <v>0</v>
      </c>
      <c r="Q1939" t="inlineStr"/>
      <c r="R1939" s="22" t="inlineStr">
        <is>
          <t>https://entrackr.com/snippets/building-materials-quick-commerce-startup-fixxly-raises-55-mn-in-seed-round-12207612</t>
        </is>
      </c>
    </row>
    <row r="1940">
      <c r="A1940" t="inlineStr">
        <is>
          <t>R260729-freehand</t>
        </is>
      </c>
      <c r="B1940" t="inlineStr">
        <is>
          <t>Freehand</t>
        </is>
      </c>
      <c r="C1940" s="17" t="n">
        <v>46232</v>
      </c>
      <c r="D1940" s="18" t="n">
        <v>46204</v>
      </c>
      <c r="E1940" s="19" t="n">
        <v>75</v>
      </c>
      <c r="F1940" s="19" t="n">
        <v>717.38</v>
      </c>
      <c r="G1940" t="inlineStr">
        <is>
          <t>$75 Mn</t>
        </is>
      </c>
      <c r="H1940" t="inlineStr">
        <is>
          <t>Undisclosed</t>
        </is>
      </c>
      <c r="I1940" t="inlineStr">
        <is>
          <t>Undisclosed</t>
        </is>
      </c>
      <c r="J1940" t="inlineStr">
        <is>
          <t>Artificial Intelligence</t>
        </is>
      </c>
      <c r="K1940" t="inlineStr">
        <is>
          <t>Unknown</t>
        </is>
      </c>
      <c r="L1940" t="inlineStr">
        <is>
          <t>Battery Ventures; NewRoad Capital Partners</t>
        </is>
      </c>
      <c r="M1940" t="inlineStr">
        <is>
          <t>Battery Ventures; NewRoad Capital Partners; PSP Growth; Nexus Venture Partners</t>
        </is>
      </c>
      <c r="N1940" t="inlineStr">
        <is>
          <t>inc42 | et</t>
        </is>
      </c>
      <c r="O1940" s="20" t="n">
        <v>2</v>
      </c>
      <c r="P1940" s="21" t="n">
        <v>0</v>
      </c>
      <c r="Q1940" t="inlineStr">
        <is>
          <t>C04 C07</t>
        </is>
      </c>
      <c r="R1940" s="22" t="inlineStr">
        <is>
          <t>https://economictimes.indiatimes.com/tech/startups/ai-startup-freehand-raises-75-million-led-by-battery-ventures-newroad-nexus/articleshow/132711294.cms</t>
        </is>
      </c>
    </row>
    <row r="1941">
      <c r="A1941" t="inlineStr">
        <is>
          <t>R260729-revspot</t>
        </is>
      </c>
      <c r="B1941" t="inlineStr">
        <is>
          <t>Revspot</t>
        </is>
      </c>
      <c r="C1941" s="17" t="n">
        <v>46232</v>
      </c>
      <c r="D1941" s="18" t="n">
        <v>46204</v>
      </c>
      <c r="E1941" s="19" t="n">
        <v>4.8</v>
      </c>
      <c r="F1941" s="19" t="n">
        <v>45.91</v>
      </c>
      <c r="G1941" t="inlineStr">
        <is>
          <t>$4.8 million</t>
        </is>
      </c>
      <c r="H1941" t="inlineStr">
        <is>
          <t>Series A</t>
        </is>
      </c>
      <c r="I1941" t="inlineStr">
        <is>
          <t>Early</t>
        </is>
      </c>
      <c r="J1941" t="inlineStr">
        <is>
          <t>Artificial Intelligence</t>
        </is>
      </c>
      <c r="K1941" t="inlineStr">
        <is>
          <t>Bengaluru</t>
        </is>
      </c>
      <c r="L1941" t="inlineStr">
        <is>
          <t>Inflexor Ventures; Info Edge Ventures</t>
        </is>
      </c>
      <c r="M1941" t="inlineStr">
        <is>
          <t>Inflexor Ventures; Info Edge Ventures; Pentathlon Ventures; Silicon Road Ventures; Titan Capital; Kunal Shah</t>
        </is>
      </c>
      <c r="N1941" t="inlineStr">
        <is>
          <t>entrackr | inc42</t>
        </is>
      </c>
      <c r="O1941" s="20" t="n">
        <v>2</v>
      </c>
      <c r="P1941" s="21" t="n">
        <v>0</v>
      </c>
      <c r="Q1941" t="inlineStr"/>
      <c r="R1941" s="22" t="inlineStr">
        <is>
          <t>https://entrackr.com/snippets/revspot-raises-48-mn-in-series-a-round-co-led-by-inflexor-info-edge-ventures-12208007</t>
        </is>
      </c>
    </row>
    <row r="1942">
      <c r="A1942" t="inlineStr">
        <is>
          <t>R260730-ahamhousingfin</t>
        </is>
      </c>
      <c r="B1942" t="inlineStr">
        <is>
          <t>Aham Housing Finance</t>
        </is>
      </c>
      <c r="C1942" s="17" t="n">
        <v>46233</v>
      </c>
      <c r="D1942" s="18" t="n">
        <v>46204</v>
      </c>
      <c r="E1942" s="19" t="n">
        <v>10.45</v>
      </c>
      <c r="F1942" s="19" t="n">
        <v>100</v>
      </c>
      <c r="G1942" t="inlineStr">
        <is>
          <t>Rs 100 crore</t>
        </is>
      </c>
      <c r="H1942" t="inlineStr">
        <is>
          <t>Undisclosed</t>
        </is>
      </c>
      <c r="I1942" t="inlineStr">
        <is>
          <t>Undisclosed</t>
        </is>
      </c>
      <c r="J1942" t="inlineStr">
        <is>
          <t>Fintech</t>
        </is>
      </c>
      <c r="K1942" t="inlineStr">
        <is>
          <t>Unknown</t>
        </is>
      </c>
      <c r="L1942" t="inlineStr">
        <is>
          <t>Sanmar Group</t>
        </is>
      </c>
      <c r="M1942" t="inlineStr">
        <is>
          <t>Sanmar Group</t>
        </is>
      </c>
      <c r="N1942" t="inlineStr">
        <is>
          <t>entrackr</t>
        </is>
      </c>
      <c r="O1942" s="20" t="n">
        <v>1</v>
      </c>
      <c r="P1942" s="21" t="n">
        <v>0</v>
      </c>
      <c r="Q1942" t="inlineStr">
        <is>
          <t>C04 C07</t>
        </is>
      </c>
      <c r="R1942" s="22" t="inlineStr">
        <is>
          <t>https://entrackr.com/snippets/aham-housing-finance-raises-rs-100-cr-led-by-sanmar-group-12213357</t>
        </is>
      </c>
    </row>
    <row r="1943">
      <c r="A1943" t="inlineStr">
        <is>
          <t>R260730-apnamart</t>
        </is>
      </c>
      <c r="B1943" t="inlineStr">
        <is>
          <t>Apna Mart</t>
        </is>
      </c>
      <c r="C1943" s="17" t="n">
        <v>46233</v>
      </c>
      <c r="D1943" s="18" t="n">
        <v>46204</v>
      </c>
      <c r="E1943" s="19" t="n">
        <v>12.54</v>
      </c>
      <c r="F1943" s="19" t="n">
        <v>120</v>
      </c>
      <c r="G1943" t="inlineStr">
        <is>
          <t>Rs 120 crore</t>
        </is>
      </c>
      <c r="H1943" t="inlineStr">
        <is>
          <t>Series C</t>
        </is>
      </c>
      <c r="I1943" t="inlineStr">
        <is>
          <t>Growth</t>
        </is>
      </c>
      <c r="J1943" t="inlineStr">
        <is>
          <t>Ecommerce</t>
        </is>
      </c>
      <c r="K1943" t="inlineStr">
        <is>
          <t>Delhi NCR</t>
        </is>
      </c>
      <c r="L1943" t="inlineStr">
        <is>
          <t>Accel India; Fundamentum</t>
        </is>
      </c>
      <c r="M1943" t="inlineStr">
        <is>
          <t>Accel India; Fundamentum; Peak XV Partners</t>
        </is>
      </c>
      <c r="N1943" t="inlineStr">
        <is>
          <t>entrackr</t>
        </is>
      </c>
      <c r="O1943" s="20" t="n">
        <v>1</v>
      </c>
      <c r="P1943" s="21" t="n">
        <v>0</v>
      </c>
      <c r="Q1943" t="inlineStr"/>
      <c r="R1943" s="22" t="inlineStr">
        <is>
          <t>https://entrackr.com/news/apna-mart-raises-rs-120-cr-in-series-c-round-led-by-accel-fundamentum-12211453</t>
        </is>
      </c>
    </row>
    <row r="1944">
      <c r="A1944" t="inlineStr">
        <is>
          <t>R260730-arborealbioinn</t>
        </is>
      </c>
      <c r="B1944" t="inlineStr">
        <is>
          <t>Arboreal Bioinnovations</t>
        </is>
      </c>
      <c r="C1944" s="17" t="n">
        <v>46233</v>
      </c>
      <c r="D1944" s="18" t="n">
        <v>46204</v>
      </c>
      <c r="E1944" s="19" t="n">
        <v>24.036</v>
      </c>
      <c r="F1944" s="19" t="n">
        <v>230</v>
      </c>
      <c r="G1944" t="inlineStr">
        <is>
          <t>Rs 230 crore</t>
        </is>
      </c>
      <c r="H1944" t="inlineStr">
        <is>
          <t>Series A</t>
        </is>
      </c>
      <c r="I1944" t="inlineStr">
        <is>
          <t>Early</t>
        </is>
      </c>
      <c r="J1944" t="inlineStr">
        <is>
          <t>Enterprise Tech</t>
        </is>
      </c>
      <c r="K1944" t="inlineStr">
        <is>
          <t>Lucknow</t>
        </is>
      </c>
      <c r="L1944" t="inlineStr">
        <is>
          <t>EAAA Alternatives; Omnivore</t>
        </is>
      </c>
      <c r="M1944" t="inlineStr">
        <is>
          <t>EAAA Alternatives; Omnivore; Rainmatter</t>
        </is>
      </c>
      <c r="N1944" t="inlineStr">
        <is>
          <t>entrackr | inc42 | et</t>
        </is>
      </c>
      <c r="O1944" s="20" t="n">
        <v>3</v>
      </c>
      <c r="P1944" s="21" t="n">
        <v>0.1</v>
      </c>
      <c r="Q1944" t="inlineStr"/>
      <c r="R1944" s="22" t="inlineStr">
        <is>
          <t>https://entrackr.com/news/arboreal-bioinnovations-raises-rs-230-cr-in-series-a-led-by-edelweisss-eaaa-and-omnivore-12211900</t>
        </is>
      </c>
    </row>
    <row r="1945">
      <c r="A1945" t="inlineStr">
        <is>
          <t>R260730-sidfarm</t>
        </is>
      </c>
      <c r="B1945" t="inlineStr">
        <is>
          <t>Sid’s Farm</t>
        </is>
      </c>
      <c r="C1945" s="17" t="n">
        <v>46233</v>
      </c>
      <c r="D1945" s="18" t="n">
        <v>46204</v>
      </c>
      <c r="E1945" s="19" t="n">
        <v>8.465</v>
      </c>
      <c r="F1945" s="19" t="n">
        <v>81</v>
      </c>
      <c r="G1945" t="inlineStr">
        <is>
          <t>Rs 81 crore</t>
        </is>
      </c>
      <c r="H1945" t="inlineStr">
        <is>
          <t>Pre-Series B</t>
        </is>
      </c>
      <c r="I1945" t="inlineStr">
        <is>
          <t>Growth</t>
        </is>
      </c>
      <c r="J1945" t="inlineStr">
        <is>
          <t>Ecommerce</t>
        </is>
      </c>
      <c r="K1945" t="inlineStr">
        <is>
          <t>Hyderabad</t>
        </is>
      </c>
      <c r="L1945" t="inlineStr">
        <is>
          <t>Omnivore; NSFO; Dodla Dairy; Next Bharat Ventures; LIO</t>
        </is>
      </c>
      <c r="M1945" t="inlineStr">
        <is>
          <t>Omnivore; Narotam Sekhsaria Family Office; Dodla Dairy; Next Bharat Ventures; Leaders for India Organisation; NSFO; LIO</t>
        </is>
      </c>
      <c r="N1945" t="inlineStr">
        <is>
          <t>entrackr | inc42 | et</t>
        </is>
      </c>
      <c r="O1945" s="20" t="n">
        <v>3</v>
      </c>
      <c r="P1945" s="21" t="n">
        <v>1.2</v>
      </c>
      <c r="Q1945" t="inlineStr"/>
      <c r="R1945" s="22" t="inlineStr">
        <is>
          <t>https://entrackr.com/news/sids-farm-raises-over-rs-81-cr-in-pre-series-b-round-12211387</t>
        </is>
      </c>
    </row>
    <row r="1946">
      <c r="A1946" t="inlineStr">
        <is>
          <t>R260730-suind</t>
        </is>
      </c>
      <c r="B1946" t="inlineStr">
        <is>
          <t>SUIND</t>
        </is>
      </c>
      <c r="C1946" s="17" t="n">
        <v>46233</v>
      </c>
      <c r="D1946" s="18" t="n">
        <v>46204</v>
      </c>
      <c r="E1946" s="19" t="n">
        <v>2.142</v>
      </c>
      <c r="F1946" s="19" t="n">
        <v>20.5</v>
      </c>
      <c r="G1946" t="inlineStr">
        <is>
          <t>Rs 20.5 crore</t>
        </is>
      </c>
      <c r="H1946" t="inlineStr">
        <is>
          <t>Seed</t>
        </is>
      </c>
      <c r="I1946" t="inlineStr">
        <is>
          <t>Early</t>
        </is>
      </c>
      <c r="J1946" t="inlineStr">
        <is>
          <t>Advanced Hardware &amp; Technology</t>
        </is>
      </c>
      <c r="K1946" t="inlineStr">
        <is>
          <t>Bengaluru</t>
        </is>
      </c>
      <c r="L1946" t="inlineStr">
        <is>
          <t>Transition VC</t>
        </is>
      </c>
      <c r="M1946" t="inlineStr">
        <is>
          <t>Transition VC; IIMA Ventures</t>
        </is>
      </c>
      <c r="N1946" t="inlineStr">
        <is>
          <t>entrackr | inc42 | et</t>
        </is>
      </c>
      <c r="O1946" s="20" t="n">
        <v>3</v>
      </c>
      <c r="P1946" s="21" t="n">
        <v>2</v>
      </c>
      <c r="Q1946" t="inlineStr"/>
      <c r="R1946" s="22" t="inlineStr">
        <is>
          <t>https://entrackr.com/snippets/drone-startup-suind-raises-rs-205-cr-in-seed-round-led-by-transition-vc-12210797</t>
        </is>
      </c>
    </row>
    <row r="1947">
      <c r="A1947" t="inlineStr">
        <is>
          <t>R260730-truthandhair</t>
        </is>
      </c>
      <c r="B1947" t="inlineStr">
        <is>
          <t>Truth &amp; Hair</t>
        </is>
      </c>
      <c r="C1947" s="17" t="n">
        <v>46233</v>
      </c>
      <c r="D1947" s="18" t="n">
        <v>46204</v>
      </c>
      <c r="E1947" s="19" t="n">
        <v>0.5639999999999999</v>
      </c>
      <c r="F1947" s="19" t="n">
        <v>5.4</v>
      </c>
      <c r="G1947" t="inlineStr">
        <is>
          <t>Rs 5.4 crore</t>
        </is>
      </c>
      <c r="H1947" t="inlineStr">
        <is>
          <t>Seed</t>
        </is>
      </c>
      <c r="I1947" t="inlineStr">
        <is>
          <t>Early</t>
        </is>
      </c>
      <c r="J1947" t="inlineStr">
        <is>
          <t>Ecommerce</t>
        </is>
      </c>
      <c r="K1947" t="inlineStr">
        <is>
          <t>Delhi NCR</t>
        </is>
      </c>
      <c r="L1947" t="inlineStr">
        <is>
          <t>Inflection Point Ventures</t>
        </is>
      </c>
      <c r="M1947" t="inlineStr">
        <is>
          <t>Inflection Point Ventures; Varun Alagh</t>
        </is>
      </c>
      <c r="N1947" t="inlineStr">
        <is>
          <t>entrackr | inc42</t>
        </is>
      </c>
      <c r="O1947" s="20" t="n">
        <v>2</v>
      </c>
      <c r="P1947" s="21" t="n">
        <v>0.3</v>
      </c>
      <c r="Q1947" t="inlineStr"/>
      <c r="R1947" s="22" t="inlineStr">
        <is>
          <t>https://entrackr.com/snippets/ipv-leads-seed-round-in-hair-beauty-and-styling-brand-truth-hair-12212591</t>
        </is>
      </c>
    </row>
    <row r="1948">
      <c r="A1948" t="inlineStr">
        <is>
          <t>R260731-smallestai</t>
        </is>
      </c>
      <c r="B1948" t="inlineStr">
        <is>
          <t>Smallest.ai</t>
        </is>
      </c>
      <c r="C1948" s="17" t="n">
        <v>46234</v>
      </c>
      <c r="D1948" s="18" t="n">
        <v>46204</v>
      </c>
      <c r="E1948" s="19" t="n">
        <v>13</v>
      </c>
      <c r="F1948" s="19" t="n">
        <v>124.01</v>
      </c>
      <c r="G1948" t="inlineStr">
        <is>
          <t>$13 Mn</t>
        </is>
      </c>
      <c r="H1948" t="inlineStr">
        <is>
          <t>Series A</t>
        </is>
      </c>
      <c r="I1948" t="inlineStr">
        <is>
          <t>Early</t>
        </is>
      </c>
      <c r="J1948" t="inlineStr">
        <is>
          <t>Artificial Intelligence</t>
        </is>
      </c>
      <c r="K1948" t="inlineStr">
        <is>
          <t>Unknown</t>
        </is>
      </c>
      <c r="L1948" t="inlineStr">
        <is>
          <t>Seligman Ventures</t>
        </is>
      </c>
      <c r="M1948" t="inlineStr">
        <is>
          <t>Seligman Ventures; Sierra Ventures; 3one4 Capital</t>
        </is>
      </c>
      <c r="N1948" t="inlineStr">
        <is>
          <t>inc42</t>
        </is>
      </c>
      <c r="O1948" s="20" t="n">
        <v>1</v>
      </c>
      <c r="P1948" s="21" t="n">
        <v>0</v>
      </c>
      <c r="Q1948" t="inlineStr">
        <is>
          <t>C07</t>
        </is>
      </c>
      <c r="R1948" s="22" t="inlineStr">
        <is>
          <t>https://inc42.com/buzz/from-freehand-to-sids-farms-indian-startups-raised-142-mn-this-week/</t>
        </is>
      </c>
    </row>
    <row r="1949">
      <c r="A1949" t="inlineStr">
        <is>
          <t>R260801-kepleraerospac</t>
        </is>
      </c>
      <c r="B1949" t="inlineStr">
        <is>
          <t>Kepler Aerospace</t>
        </is>
      </c>
      <c r="C1949" s="17" t="n">
        <v>46235</v>
      </c>
      <c r="D1949" s="18" t="n">
        <v>46235</v>
      </c>
      <c r="E1949" s="19" t="n">
        <v>8</v>
      </c>
      <c r="F1949" s="19" t="n">
        <v>76.31</v>
      </c>
      <c r="G1949" t="inlineStr">
        <is>
          <t>$8 Mn</t>
        </is>
      </c>
      <c r="H1949" t="inlineStr">
        <is>
          <t>Seed</t>
        </is>
      </c>
      <c r="I1949" t="inlineStr">
        <is>
          <t>Early</t>
        </is>
      </c>
      <c r="J1949" t="inlineStr">
        <is>
          <t>Advanced Hardware &amp; Technology</t>
        </is>
      </c>
      <c r="K1949" t="inlineStr">
        <is>
          <t>Bengaluru</t>
        </is>
      </c>
      <c r="L1949" t="inlineStr">
        <is>
          <t>Blue Ashva Capital</t>
        </is>
      </c>
      <c r="M1949" t="inlineStr">
        <is>
          <t>Blue Ashva Capital; Finvolve; India Accelerator</t>
        </is>
      </c>
      <c r="N1949" t="inlineStr">
        <is>
          <t>inc42</t>
        </is>
      </c>
      <c r="O1949" s="20" t="n">
        <v>1</v>
      </c>
      <c r="P1949" s="21" t="n">
        <v>0</v>
      </c>
      <c r="Q1949" t="inlineStr"/>
      <c r="R1949" s="22" t="inlineStr">
        <is>
          <t>https://inc42.com/buzz/from-ultrahuman-to-comet-indian-startups-raised-over-177-mn-this-week/</t>
        </is>
      </c>
    </row>
    <row r="1950">
      <c r="A1950" t="inlineStr">
        <is>
          <t>R260803-kaapimachines</t>
        </is>
      </c>
      <c r="B1950" t="inlineStr">
        <is>
          <t>Kaapi Machines</t>
        </is>
      </c>
      <c r="C1950" s="17" t="n">
        <v>46237</v>
      </c>
      <c r="D1950" s="18" t="n">
        <v>46235</v>
      </c>
      <c r="E1950" s="19" t="n">
        <v>5.244</v>
      </c>
      <c r="F1950" s="19" t="n">
        <v>50</v>
      </c>
      <c r="G1950" t="inlineStr">
        <is>
          <t>Rs 50 crore</t>
        </is>
      </c>
      <c r="H1950" t="inlineStr">
        <is>
          <t>Undisclosed</t>
        </is>
      </c>
      <c r="I1950" t="inlineStr">
        <is>
          <t>Undisclosed</t>
        </is>
      </c>
      <c r="J1950" t="inlineStr">
        <is>
          <t>Ecommerce</t>
        </is>
      </c>
      <c r="K1950" t="inlineStr">
        <is>
          <t>Unknown</t>
        </is>
      </c>
      <c r="L1950" t="inlineStr"/>
      <c r="M1950" t="inlineStr">
        <is>
          <t>Sedna HoReCa</t>
        </is>
      </c>
      <c r="N1950" t="inlineStr">
        <is>
          <t>entrackr</t>
        </is>
      </c>
      <c r="O1950" s="20" t="n">
        <v>1</v>
      </c>
      <c r="P1950" s="21" t="n">
        <v>0</v>
      </c>
      <c r="Q1950" t="inlineStr">
        <is>
          <t>C04 C07</t>
        </is>
      </c>
      <c r="R1950" s="22" t="inlineStr">
        <is>
          <t>https://entrackr.com/snippets/coffee-equipment-and-services-provider-kaapi-machines-raises-rs-50-cr-from-sedna-horeca-12223166</t>
        </is>
      </c>
    </row>
    <row r="1951">
      <c r="A1951" t="inlineStr">
        <is>
          <t>R260803-matel</t>
        </is>
      </c>
      <c r="B1951" t="inlineStr">
        <is>
          <t>Matel</t>
        </is>
      </c>
      <c r="C1951" s="17" t="n">
        <v>46237</v>
      </c>
      <c r="D1951" s="18" t="n">
        <v>46235</v>
      </c>
      <c r="E1951" s="19" t="n">
        <v>13.635</v>
      </c>
      <c r="F1951" s="19" t="n">
        <v>130</v>
      </c>
      <c r="G1951" t="inlineStr">
        <is>
          <t>Rs 130 crore</t>
        </is>
      </c>
      <c r="H1951" t="inlineStr">
        <is>
          <t>Series B</t>
        </is>
      </c>
      <c r="I1951" t="inlineStr">
        <is>
          <t>Growth</t>
        </is>
      </c>
      <c r="J1951" t="inlineStr">
        <is>
          <t>Cleantech</t>
        </is>
      </c>
      <c r="K1951" t="inlineStr">
        <is>
          <t>Pune</t>
        </is>
      </c>
      <c r="L1951" t="inlineStr">
        <is>
          <t>UC Impower</t>
        </is>
      </c>
      <c r="M1951" t="inlineStr">
        <is>
          <t>UC Impower; Catamaran; Transition VC</t>
        </is>
      </c>
      <c r="N1951" t="inlineStr">
        <is>
          <t>entrackr | inc42 | et</t>
        </is>
      </c>
      <c r="O1951" s="20" t="n">
        <v>3</v>
      </c>
      <c r="P1951" s="21" t="n">
        <v>0.3</v>
      </c>
      <c r="Q1951" t="inlineStr"/>
      <c r="R1951" s="22" t="inlineStr">
        <is>
          <t>https://entrackr.com/news/transition-vc-backed-matel-raises-rs-130-cr-in-series-b-round-led-by-uc-impower-12223669</t>
        </is>
      </c>
    </row>
    <row r="1952">
      <c r="A1952" t="inlineStr">
        <is>
          <t>R260803-roadgrid</t>
        </is>
      </c>
      <c r="B1952" t="inlineStr">
        <is>
          <t>RoadGrid</t>
        </is>
      </c>
      <c r="C1952" s="17" t="n">
        <v>46237</v>
      </c>
      <c r="D1952" s="18" t="n">
        <v>46235</v>
      </c>
      <c r="E1952" s="19" t="n">
        <v>1.364</v>
      </c>
      <c r="F1952" s="19" t="n">
        <v>13</v>
      </c>
      <c r="G1952" t="inlineStr">
        <is>
          <t>Rs 13 crore</t>
        </is>
      </c>
      <c r="H1952" t="inlineStr">
        <is>
          <t>Undisclosed</t>
        </is>
      </c>
      <c r="I1952" t="inlineStr">
        <is>
          <t>Undisclosed</t>
        </is>
      </c>
      <c r="J1952" t="inlineStr">
        <is>
          <t>Cleantech</t>
        </is>
      </c>
      <c r="K1952" t="inlineStr">
        <is>
          <t>Unknown</t>
        </is>
      </c>
      <c r="L1952" t="inlineStr">
        <is>
          <t>Technology Development Board</t>
        </is>
      </c>
      <c r="M1952" t="inlineStr">
        <is>
          <t>Technology Development Board</t>
        </is>
      </c>
      <c r="N1952" t="inlineStr">
        <is>
          <t>entrackr | inc42</t>
        </is>
      </c>
      <c r="O1952" s="20" t="n">
        <v>2</v>
      </c>
      <c r="P1952" s="21" t="n">
        <v>2.7</v>
      </c>
      <c r="Q1952" t="inlineStr">
        <is>
          <t>C04 C07</t>
        </is>
      </c>
      <c r="R1952" s="22" t="inlineStr">
        <is>
          <t>https://entrackr.com/snippets/ev-charging-startup-roadgrid-secures-rs-13-cr-from-technology-development-board-12222755</t>
        </is>
      </c>
    </row>
    <row r="1953">
      <c r="A1953" t="inlineStr">
        <is>
          <t>R260803-unbloc</t>
        </is>
      </c>
      <c r="B1953" t="inlineStr">
        <is>
          <t>UN:BLOC</t>
        </is>
      </c>
      <c r="C1953" s="17" t="n">
        <v>46237</v>
      </c>
      <c r="D1953" s="18" t="n">
        <v>46235</v>
      </c>
      <c r="E1953" s="19" t="n"/>
      <c r="F1953" s="19" t="n"/>
      <c r="G1953" t="inlineStr"/>
      <c r="H1953" t="inlineStr">
        <is>
          <t>Undisclosed</t>
        </is>
      </c>
      <c r="I1953" t="inlineStr">
        <is>
          <t>Undisclosed</t>
        </is>
      </c>
      <c r="J1953" t="inlineStr">
        <is>
          <t>Healthtech</t>
        </is>
      </c>
      <c r="K1953" t="inlineStr">
        <is>
          <t>Unknown</t>
        </is>
      </c>
      <c r="L1953" t="inlineStr">
        <is>
          <t>Yuvraj Singh</t>
        </is>
      </c>
      <c r="M1953" t="inlineStr">
        <is>
          <t>Yuvraj Singh</t>
        </is>
      </c>
      <c r="N1953" t="inlineStr">
        <is>
          <t>inc42</t>
        </is>
      </c>
      <c r="O1953" s="20" t="n">
        <v>1</v>
      </c>
      <c r="P1953" s="21" t="n"/>
      <c r="Q1953" t="inlineStr">
        <is>
          <t>C03 C04 C07</t>
        </is>
      </c>
      <c r="R1953" s="22" t="inlineStr">
        <is>
          <t>https://inc42.com/buzz/from-river-mobility-to-blissclub-indian-startups-raised-274-mn-this-week/</t>
        </is>
      </c>
    </row>
    <row r="1954">
      <c r="A1954" t="inlineStr">
        <is>
          <t>R260804-getvantage</t>
        </is>
      </c>
      <c r="B1954" t="inlineStr">
        <is>
          <t>GetVantage</t>
        </is>
      </c>
      <c r="C1954" s="17" t="n">
        <v>46238</v>
      </c>
      <c r="D1954" s="18" t="n">
        <v>46235</v>
      </c>
      <c r="E1954" s="19" t="n">
        <v>6.605</v>
      </c>
      <c r="F1954" s="19" t="n">
        <v>63</v>
      </c>
      <c r="G1954" t="inlineStr">
        <is>
          <t>Rs 63 crore</t>
        </is>
      </c>
      <c r="H1954" t="inlineStr">
        <is>
          <t>Series A</t>
        </is>
      </c>
      <c r="I1954" t="inlineStr">
        <is>
          <t>Early</t>
        </is>
      </c>
      <c r="J1954" t="inlineStr">
        <is>
          <t>Fintech</t>
        </is>
      </c>
      <c r="K1954" t="inlineStr">
        <is>
          <t>Mumbai</t>
        </is>
      </c>
      <c r="L1954" t="inlineStr">
        <is>
          <t>Rajeev Ahuja; SanRaj Group</t>
        </is>
      </c>
      <c r="M1954" t="inlineStr">
        <is>
          <t>Rajeev Ahuja; SanRaj Group; Chiratae Ventures; Varanium Fintech Fund; VCMint</t>
        </is>
      </c>
      <c r="N1954" t="inlineStr">
        <is>
          <t>entrackr | inc42 | et</t>
        </is>
      </c>
      <c r="O1954" s="20" t="n">
        <v>3</v>
      </c>
      <c r="P1954" s="21" t="n">
        <v>0.1</v>
      </c>
      <c r="Q1954" t="inlineStr"/>
      <c r="R1954" s="22" t="inlineStr">
        <is>
          <t>https://entrackr.com/snippets/getvantage-secures-rs-63-cr-in-series-a1-round-12226948</t>
        </is>
      </c>
    </row>
    <row r="1955">
      <c r="A1955" t="inlineStr">
        <is>
          <t>R260804-kily</t>
        </is>
      </c>
      <c r="B1955" t="inlineStr">
        <is>
          <t>Kily</t>
        </is>
      </c>
      <c r="C1955" s="17" t="n">
        <v>46238</v>
      </c>
      <c r="D1955" s="18" t="n">
        <v>46235</v>
      </c>
      <c r="E1955" s="19" t="n">
        <v>3.145</v>
      </c>
      <c r="F1955" s="19" t="n">
        <v>30</v>
      </c>
      <c r="G1955" t="inlineStr">
        <is>
          <t>Rs 30 crore</t>
        </is>
      </c>
      <c r="H1955" t="inlineStr">
        <is>
          <t>Undisclosed</t>
        </is>
      </c>
      <c r="I1955" t="inlineStr">
        <is>
          <t>Undisclosed</t>
        </is>
      </c>
      <c r="J1955" t="inlineStr">
        <is>
          <t>Artificial Intelligence</t>
        </is>
      </c>
      <c r="K1955" t="inlineStr">
        <is>
          <t>Unknown</t>
        </is>
      </c>
      <c r="L1955" t="inlineStr">
        <is>
          <t>Sorin Investments</t>
        </is>
      </c>
      <c r="M1955" t="inlineStr">
        <is>
          <t>Sorin Investments; Razorpay; Wyser Capital</t>
        </is>
      </c>
      <c r="N1955" t="inlineStr">
        <is>
          <t>entrackr | inc42 | et</t>
        </is>
      </c>
      <c r="O1955" s="20" t="n">
        <v>3</v>
      </c>
      <c r="P1955" s="21" t="n">
        <v>1.7</v>
      </c>
      <c r="Q1955" t="inlineStr">
        <is>
          <t>C04 C07</t>
        </is>
      </c>
      <c r="R1955" s="22" t="inlineStr">
        <is>
          <t>https://entrackr.com/snippets/agentic-ai-startup-kily-raises-rs-30-cr-in-round-led-by-sorin-investments-12225876</t>
        </is>
      </c>
    </row>
    <row r="1956">
      <c r="A1956" t="inlineStr">
        <is>
          <t>R260804-nyai</t>
        </is>
      </c>
      <c r="B1956" t="inlineStr">
        <is>
          <t>NYAI</t>
        </is>
      </c>
      <c r="C1956" s="17" t="n">
        <v>46238</v>
      </c>
      <c r="D1956" s="18" t="n">
        <v>46235</v>
      </c>
      <c r="E1956" s="19" t="n">
        <v>1.5</v>
      </c>
      <c r="F1956" s="19" t="n">
        <v>14.31</v>
      </c>
      <c r="G1956" t="inlineStr">
        <is>
          <t>$1.5 million</t>
        </is>
      </c>
      <c r="H1956" t="inlineStr">
        <is>
          <t>Seed</t>
        </is>
      </c>
      <c r="I1956" t="inlineStr">
        <is>
          <t>Early</t>
        </is>
      </c>
      <c r="J1956" t="inlineStr">
        <is>
          <t>Artificial Intelligence</t>
        </is>
      </c>
      <c r="K1956" t="inlineStr">
        <is>
          <t>Pune</t>
        </is>
      </c>
      <c r="L1956" t="inlineStr"/>
      <c r="M1956" t="inlineStr"/>
      <c r="N1956" t="inlineStr">
        <is>
          <t>entrackr | inc42</t>
        </is>
      </c>
      <c r="O1956" s="20" t="n">
        <v>2</v>
      </c>
      <c r="P1956" s="21" t="n">
        <v>0</v>
      </c>
      <c r="Q1956" t="inlineStr">
        <is>
          <t>C05</t>
        </is>
      </c>
      <c r="R1956" s="22" t="inlineStr">
        <is>
          <t>https://entrackr.com/snippets/legal-tech-startup-nyai-raises-15-mn-in-seed-round-12227113</t>
        </is>
      </c>
    </row>
    <row r="1957">
      <c r="A1957" t="inlineStr">
        <is>
          <t>R260804-profound</t>
        </is>
      </c>
      <c r="B1957" t="inlineStr">
        <is>
          <t>Profound</t>
        </is>
      </c>
      <c r="C1957" s="17" t="n">
        <v>46238</v>
      </c>
      <c r="D1957" s="18" t="n">
        <v>46235</v>
      </c>
      <c r="E1957" s="19" t="n">
        <v>1.5</v>
      </c>
      <c r="F1957" s="19" t="n">
        <v>14.31</v>
      </c>
      <c r="G1957" t="inlineStr">
        <is>
          <t>$1.5 million</t>
        </is>
      </c>
      <c r="H1957" t="inlineStr">
        <is>
          <t>Seed</t>
        </is>
      </c>
      <c r="I1957" t="inlineStr">
        <is>
          <t>Early</t>
        </is>
      </c>
      <c r="J1957" t="inlineStr">
        <is>
          <t>Artificial Intelligence</t>
        </is>
      </c>
      <c r="K1957" t="inlineStr">
        <is>
          <t>Bengaluru</t>
        </is>
      </c>
      <c r="L1957" t="inlineStr">
        <is>
          <t>Stellaris Venture Partners; 3one4 Capital</t>
        </is>
      </c>
      <c r="M1957" t="inlineStr">
        <is>
          <t>Stellaris Venture Partners; 3one4 Capital; Sriharsha Majety; Nandan Reddy; Harshil Mathur; Kunal Shah; Bhuvan Gupta; Pankaj Chaddah</t>
        </is>
      </c>
      <c r="N1957" t="inlineStr">
        <is>
          <t>entrackr | inc42</t>
        </is>
      </c>
      <c r="O1957" s="20" t="n">
        <v>2</v>
      </c>
      <c r="P1957" s="21" t="n">
        <v>0</v>
      </c>
      <c r="Q1957" t="inlineStr"/>
      <c r="R1957" s="22" t="inlineStr">
        <is>
          <t>https://entrackr.com/snippets/former-swiggy-zomato-executives-launch-ai-startup-profound-with-15-mn-seed-round-12225874</t>
        </is>
      </c>
    </row>
    <row r="1958">
      <c r="A1958" t="inlineStr">
        <is>
          <t>R260804-superleap</t>
        </is>
      </c>
      <c r="B1958" t="inlineStr">
        <is>
          <t>Superleap</t>
        </is>
      </c>
      <c r="C1958" s="17" t="n">
        <v>46238</v>
      </c>
      <c r="D1958" s="18" t="n">
        <v>46235</v>
      </c>
      <c r="E1958" s="19" t="n">
        <v>3.774</v>
      </c>
      <c r="F1958" s="19" t="n">
        <v>36</v>
      </c>
      <c r="G1958" t="inlineStr">
        <is>
          <t>Rs 36 crore</t>
        </is>
      </c>
      <c r="H1958" t="inlineStr">
        <is>
          <t>Pre-Series A</t>
        </is>
      </c>
      <c r="I1958" t="inlineStr">
        <is>
          <t>Early</t>
        </is>
      </c>
      <c r="J1958" t="inlineStr">
        <is>
          <t>Artificial Intelligence</t>
        </is>
      </c>
      <c r="K1958" t="inlineStr">
        <is>
          <t>Bengaluru</t>
        </is>
      </c>
      <c r="L1958" t="inlineStr">
        <is>
          <t>Surge</t>
        </is>
      </c>
      <c r="M1958" t="inlineStr">
        <is>
          <t>Surge</t>
        </is>
      </c>
      <c r="N1958" t="inlineStr">
        <is>
          <t>entrackr | inc42 | et</t>
        </is>
      </c>
      <c r="O1958" s="20" t="n">
        <v>3</v>
      </c>
      <c r="P1958" s="21" t="n">
        <v>11.3</v>
      </c>
      <c r="Q1958" t="inlineStr">
        <is>
          <t>C15</t>
        </is>
      </c>
      <c r="R1958" s="22" t="inlineStr">
        <is>
          <t>https://entrackr.com/snippets/superleap-raises-rs-36-cr-in-pre-series-a-round-led-by-peak-xvs-surge-12226051</t>
        </is>
      </c>
    </row>
    <row r="1959">
      <c r="A1959" t="inlineStr">
        <is>
          <t>R260804-vaaree</t>
        </is>
      </c>
      <c r="B1959" t="inlineStr">
        <is>
          <t>Vaaree</t>
        </is>
      </c>
      <c r="C1959" s="17" t="n">
        <v>46238</v>
      </c>
      <c r="D1959" s="18" t="n">
        <v>46235</v>
      </c>
      <c r="E1959" s="19" t="n">
        <v>6.815</v>
      </c>
      <c r="F1959" s="19" t="n">
        <v>65</v>
      </c>
      <c r="G1959" t="inlineStr">
        <is>
          <t>Rs 65 crore</t>
        </is>
      </c>
      <c r="H1959" t="inlineStr">
        <is>
          <t>Series A</t>
        </is>
      </c>
      <c r="I1959" t="inlineStr">
        <is>
          <t>Early</t>
        </is>
      </c>
      <c r="J1959" t="inlineStr">
        <is>
          <t>Ecommerce</t>
        </is>
      </c>
      <c r="K1959" t="inlineStr">
        <is>
          <t>Bengaluru</t>
        </is>
      </c>
      <c r="L1959" t="inlineStr">
        <is>
          <t>Hero Enterprise; Cap Alpha Ventures</t>
        </is>
      </c>
      <c r="M1959" t="inlineStr">
        <is>
          <t>Hero Enterprise; Cap Alpha Ventures</t>
        </is>
      </c>
      <c r="N1959" t="inlineStr">
        <is>
          <t>entrackr | inc42</t>
        </is>
      </c>
      <c r="O1959" s="20" t="n">
        <v>2</v>
      </c>
      <c r="P1959" s="21" t="n">
        <v>0.2</v>
      </c>
      <c r="Q1959" t="inlineStr"/>
      <c r="R1959" s="22" t="inlineStr">
        <is>
          <t>https://entrackr.com/snippets/vaaree-raises-rs-65-cr-in-series-a-led-by-hero-enterprise-and-cap-alpha-ventures-12227333</t>
        </is>
      </c>
    </row>
    <row r="1960">
      <c r="A1960" t="inlineStr">
        <is>
          <t>R260804-zopplersystems</t>
        </is>
      </c>
      <c r="B1960" t="inlineStr">
        <is>
          <t>Zoppler Systems</t>
        </is>
      </c>
      <c r="C1960" s="17" t="n">
        <v>46238</v>
      </c>
      <c r="D1960" s="18" t="n">
        <v>46235</v>
      </c>
      <c r="E1960" s="19" t="n">
        <v>0.681</v>
      </c>
      <c r="F1960" s="19" t="n">
        <v>6.5</v>
      </c>
      <c r="G1960" t="inlineStr">
        <is>
          <t>Rs 6.5 crore</t>
        </is>
      </c>
      <c r="H1960" t="inlineStr">
        <is>
          <t>Undisclosed</t>
        </is>
      </c>
      <c r="I1960" t="inlineStr">
        <is>
          <t>Undisclosed</t>
        </is>
      </c>
      <c r="J1960" t="inlineStr">
        <is>
          <t>Advanced Hardware &amp; Technology</t>
        </is>
      </c>
      <c r="K1960" t="inlineStr">
        <is>
          <t>Bengaluru</t>
        </is>
      </c>
      <c r="L1960" t="inlineStr">
        <is>
          <t>Finvolve; India Accelerator</t>
        </is>
      </c>
      <c r="M1960" t="inlineStr">
        <is>
          <t>Finvolve; India Accelerator</t>
        </is>
      </c>
      <c r="N1960" t="inlineStr">
        <is>
          <t>entrackr | inc42</t>
        </is>
      </c>
      <c r="O1960" s="20" t="n">
        <v>2</v>
      </c>
      <c r="P1960" s="21" t="n">
        <v>0.2</v>
      </c>
      <c r="Q1960" t="inlineStr">
        <is>
          <t>C04</t>
        </is>
      </c>
      <c r="R1960" s="22" t="inlineStr">
        <is>
          <t>https://entrackr.com/snippets/zoppler-systems-raises-rs-65-cr-from-finvolve-and-india-accelerator-12227359</t>
        </is>
      </c>
    </row>
    <row r="1961">
      <c r="A1961" t="inlineStr">
        <is>
          <t>R260805-adiabatictechn</t>
        </is>
      </c>
      <c r="B1961" t="inlineStr">
        <is>
          <t>Adiabatic Technologies</t>
        </is>
      </c>
      <c r="C1961" s="17" t="n">
        <v>46239</v>
      </c>
      <c r="D1961" s="18" t="n">
        <v>46235</v>
      </c>
      <c r="E1961" s="19" t="n">
        <v>0.873</v>
      </c>
      <c r="F1961" s="19" t="n">
        <v>8.300000000000001</v>
      </c>
      <c r="G1961" t="inlineStr">
        <is>
          <t>Rs 8.3 crore</t>
        </is>
      </c>
      <c r="H1961" t="inlineStr">
        <is>
          <t>Seed</t>
        </is>
      </c>
      <c r="I1961" t="inlineStr">
        <is>
          <t>Early</t>
        </is>
      </c>
      <c r="J1961" t="inlineStr">
        <is>
          <t>Cleantech</t>
        </is>
      </c>
      <c r="K1961" t="inlineStr">
        <is>
          <t>Pune</t>
        </is>
      </c>
      <c r="L1961" t="inlineStr">
        <is>
          <t>Malpani Ventures; Avinya Ventures</t>
        </is>
      </c>
      <c r="M1961" t="inlineStr">
        <is>
          <t>Malpani Ventures; Avinya Ventures; Appreciate Capital; UPES Incubator; DeVC; Operators Studio</t>
        </is>
      </c>
      <c r="N1961" t="inlineStr">
        <is>
          <t>entrackr | inc42</t>
        </is>
      </c>
      <c r="O1961" s="20" t="n">
        <v>2</v>
      </c>
      <c r="P1961" s="21" t="n">
        <v>0.1</v>
      </c>
      <c r="Q1961" t="inlineStr"/>
      <c r="R1961" s="22" t="inlineStr">
        <is>
          <t>https://entrackr.com/snippets/deep-tech-energy-startup-adiabatic-technologies-raises-rs-83-cr-in-seed-round-12230018</t>
        </is>
      </c>
    </row>
    <row r="1962">
      <c r="A1962" t="inlineStr">
        <is>
          <t>R260805-hulp</t>
        </is>
      </c>
      <c r="B1962" t="inlineStr">
        <is>
          <t>Hulp</t>
        </is>
      </c>
      <c r="C1962" s="17" t="n">
        <v>46239</v>
      </c>
      <c r="D1962" s="18" t="n">
        <v>46235</v>
      </c>
      <c r="E1962" s="19" t="n">
        <v>2.6</v>
      </c>
      <c r="F1962" s="19" t="n">
        <v>24.73</v>
      </c>
      <c r="G1962" t="inlineStr">
        <is>
          <t>$2.6 million</t>
        </is>
      </c>
      <c r="H1962" t="inlineStr">
        <is>
          <t>Seed</t>
        </is>
      </c>
      <c r="I1962" t="inlineStr">
        <is>
          <t>Early</t>
        </is>
      </c>
      <c r="J1962" t="inlineStr">
        <is>
          <t>Artificial Intelligence</t>
        </is>
      </c>
      <c r="K1962" t="inlineStr">
        <is>
          <t>Delhi NCR</t>
        </is>
      </c>
      <c r="L1962" t="inlineStr">
        <is>
          <t>Sparrow Capital; BITKRAFT Ventures</t>
        </is>
      </c>
      <c r="M1962" t="inlineStr">
        <is>
          <t>Sparrow Capital; BITKRAFT Ventures; DeVC; Yashish Dahiya</t>
        </is>
      </c>
      <c r="N1962" t="inlineStr">
        <is>
          <t>entrackr | inc42 | et</t>
        </is>
      </c>
      <c r="O1962" s="20" t="n">
        <v>3</v>
      </c>
      <c r="P1962" s="21" t="n">
        <v>0</v>
      </c>
      <c r="Q1962" t="inlineStr"/>
      <c r="R1962" s="22" t="inlineStr">
        <is>
          <t>https://entrackr.com/snippets/personal-assistance-startup-hulp-secures-26-mn-seed-funding-12230169</t>
        </is>
      </c>
    </row>
    <row r="1963">
      <c r="A1963" t="inlineStr">
        <is>
          <t>R260805-inrisklabs</t>
        </is>
      </c>
      <c r="B1963" t="inlineStr">
        <is>
          <t>InRisk Labs</t>
        </is>
      </c>
      <c r="C1963" s="17" t="n">
        <v>46239</v>
      </c>
      <c r="D1963" s="18" t="n">
        <v>46235</v>
      </c>
      <c r="E1963" s="19" t="n">
        <v>27</v>
      </c>
      <c r="F1963" s="19" t="n">
        <v>256.82</v>
      </c>
      <c r="G1963" t="inlineStr">
        <is>
          <t>$27 million</t>
        </is>
      </c>
      <c r="H1963" t="inlineStr">
        <is>
          <t>Series A</t>
        </is>
      </c>
      <c r="I1963" t="inlineStr">
        <is>
          <t>Early</t>
        </is>
      </c>
      <c r="J1963" t="inlineStr">
        <is>
          <t>Fintech</t>
        </is>
      </c>
      <c r="K1963" t="inlineStr">
        <is>
          <t>Unknown</t>
        </is>
      </c>
      <c r="L1963" t="inlineStr">
        <is>
          <t>Bessemer Venture Partners; Northpoint Capital</t>
        </is>
      </c>
      <c r="M1963" t="inlineStr">
        <is>
          <t>Bessemer Venture Partners; Northpoint Capital; International Financial Services Centres Authority</t>
        </is>
      </c>
      <c r="N1963" t="inlineStr">
        <is>
          <t>entrackr | inc42 | et</t>
        </is>
      </c>
      <c r="O1963" s="20" t="n">
        <v>3</v>
      </c>
      <c r="P1963" s="21" t="n">
        <v>0</v>
      </c>
      <c r="Q1963" t="inlineStr">
        <is>
          <t>C07</t>
        </is>
      </c>
      <c r="R1963" s="22" t="inlineStr">
        <is>
          <t>https://entrackr.com/news/inrisk-labs-raises-27-mn-in-series-a-round-led-by-bessemer-northpoint-capital-12230166</t>
        </is>
      </c>
    </row>
    <row r="1964">
      <c r="A1964" t="inlineStr">
        <is>
          <t>R260805-lighthousecant</t>
        </is>
      </c>
      <c r="B1964" t="inlineStr">
        <is>
          <t>Lighthouse Canton</t>
        </is>
      </c>
      <c r="C1964" s="17" t="n">
        <v>46239</v>
      </c>
      <c r="D1964" s="18" t="n">
        <v>46235</v>
      </c>
      <c r="E1964" s="19" t="n">
        <v>11.039</v>
      </c>
      <c r="F1964" s="19" t="n">
        <v>105</v>
      </c>
      <c r="G1964" t="inlineStr">
        <is>
          <t>Rs 1,050 million</t>
        </is>
      </c>
      <c r="H1964" t="inlineStr">
        <is>
          <t>Undisclosed</t>
        </is>
      </c>
      <c r="I1964" t="inlineStr">
        <is>
          <t>Undisclosed</t>
        </is>
      </c>
      <c r="J1964" t="inlineStr">
        <is>
          <t>Unclassified</t>
        </is>
      </c>
      <c r="K1964" t="inlineStr">
        <is>
          <t>Unknown</t>
        </is>
      </c>
      <c r="L1964" t="inlineStr"/>
      <c r="M1964" t="inlineStr"/>
      <c r="N1964" t="inlineStr">
        <is>
          <t>entrackr</t>
        </is>
      </c>
      <c r="O1964" s="20" t="n">
        <v>1</v>
      </c>
      <c r="P1964" s="21" t="n">
        <v>0</v>
      </c>
      <c r="Q1964" t="inlineStr">
        <is>
          <t>C04 C05 C06 C07</t>
        </is>
      </c>
      <c r="R1964" s="22" t="inlineStr">
        <is>
          <t>https://entrackr.com/snippets/lighthouse-canton-closes-rs-1050-mn-private-credit-investment-in-emerald-leisures-12231787</t>
        </is>
      </c>
    </row>
    <row r="1965">
      <c r="A1965" t="inlineStr">
        <is>
          <t>R260805-mittilabs</t>
        </is>
      </c>
      <c r="B1965" t="inlineStr">
        <is>
          <t>Mitti Labs</t>
        </is>
      </c>
      <c r="C1965" s="17" t="n">
        <v>46239</v>
      </c>
      <c r="D1965" s="18" t="n">
        <v>46235</v>
      </c>
      <c r="E1965" s="19" t="n">
        <v>9.5</v>
      </c>
      <c r="F1965" s="19" t="n">
        <v>90.36</v>
      </c>
      <c r="G1965" t="inlineStr">
        <is>
          <t>$9.5 million</t>
        </is>
      </c>
      <c r="H1965" t="inlineStr">
        <is>
          <t>Series A</t>
        </is>
      </c>
      <c r="I1965" t="inlineStr">
        <is>
          <t>Early</t>
        </is>
      </c>
      <c r="J1965" t="inlineStr">
        <is>
          <t>Agritech</t>
        </is>
      </c>
      <c r="K1965" t="inlineStr">
        <is>
          <t>Unknown</t>
        </is>
      </c>
      <c r="L1965" t="inlineStr">
        <is>
          <t>Aramco Venture</t>
        </is>
      </c>
      <c r="M1965" t="inlineStr">
        <is>
          <t>Aramco Venture; Godrej Industries Group; Cisco Foundation; Volta Circle; Lightspeed India; Francis Family Fund</t>
        </is>
      </c>
      <c r="N1965" t="inlineStr">
        <is>
          <t>entrackr | inc42 | et</t>
        </is>
      </c>
      <c r="O1965" s="20" t="n">
        <v>3</v>
      </c>
      <c r="P1965" s="21" t="n">
        <v>0</v>
      </c>
      <c r="Q1965" t="inlineStr">
        <is>
          <t>C07</t>
        </is>
      </c>
      <c r="R1965" s="22" t="inlineStr">
        <is>
          <t>https://economictimes.indiatimes.com/tech/startups/climatetech-startup-mitti-labs-raises-9-5-million-led-by-aramco-ventures/articleshow/132913386.cms</t>
        </is>
      </c>
    </row>
    <row r="1966">
      <c r="A1966" t="inlineStr">
        <is>
          <t>R260805-pinegap</t>
        </is>
      </c>
      <c r="B1966" t="inlineStr">
        <is>
          <t>Pinegap</t>
        </is>
      </c>
      <c r="C1966" s="17" t="n">
        <v>46239</v>
      </c>
      <c r="D1966" s="18" t="n">
        <v>46235</v>
      </c>
      <c r="E1966" s="19" t="n">
        <v>8</v>
      </c>
      <c r="F1966" s="19" t="n">
        <v>76.09999999999999</v>
      </c>
      <c r="G1966" t="inlineStr">
        <is>
          <t>$8 Mn</t>
        </is>
      </c>
      <c r="H1966" t="inlineStr">
        <is>
          <t>Series A</t>
        </is>
      </c>
      <c r="I1966" t="inlineStr">
        <is>
          <t>Early</t>
        </is>
      </c>
      <c r="J1966" t="inlineStr">
        <is>
          <t>Artificial Intelligence</t>
        </is>
      </c>
      <c r="K1966" t="inlineStr">
        <is>
          <t>Unknown</t>
        </is>
      </c>
      <c r="L1966" t="inlineStr">
        <is>
          <t>Stellaris Venture Partners</t>
        </is>
      </c>
      <c r="M1966" t="inlineStr">
        <is>
          <t>Stellaris Venture Partners; Silicon Valley Quad; DeVC; Inventus</t>
        </is>
      </c>
      <c r="N1966" t="inlineStr">
        <is>
          <t>inc42 | et</t>
        </is>
      </c>
      <c r="O1966" s="20" t="n">
        <v>2</v>
      </c>
      <c r="P1966" s="21" t="n">
        <v>0</v>
      </c>
      <c r="Q1966" t="inlineStr">
        <is>
          <t>C07</t>
        </is>
      </c>
      <c r="R1966" s="22" t="inlineStr">
        <is>
          <t>https://inc42.com/buzz/from-river-mobility-to-blissclub-indian-startups-raised-274-mn-this-week/</t>
        </is>
      </c>
    </row>
    <row r="1967">
      <c r="A1967" t="inlineStr">
        <is>
          <t>R260805-rivermobility</t>
        </is>
      </c>
      <c r="B1967" t="inlineStr">
        <is>
          <t>River Mobility</t>
        </is>
      </c>
      <c r="C1967" s="17" t="n">
        <v>46239</v>
      </c>
      <c r="D1967" s="18" t="n">
        <v>46235</v>
      </c>
      <c r="E1967" s="19" t="n">
        <v>120</v>
      </c>
      <c r="F1967" s="19" t="n">
        <v>1141.44</v>
      </c>
      <c r="G1967" t="inlineStr">
        <is>
          <t>$120 million</t>
        </is>
      </c>
      <c r="H1967" t="inlineStr">
        <is>
          <t>Series C</t>
        </is>
      </c>
      <c r="I1967" t="inlineStr">
        <is>
          <t>Growth</t>
        </is>
      </c>
      <c r="J1967" t="inlineStr">
        <is>
          <t>Cleantech</t>
        </is>
      </c>
      <c r="K1967" t="inlineStr">
        <is>
          <t>Unknown</t>
        </is>
      </c>
      <c r="L1967" t="inlineStr">
        <is>
          <t>Elev8 Venture Partners; Claypond Capital</t>
        </is>
      </c>
      <c r="M1967" t="inlineStr">
        <is>
          <t>Elev8 Venture Partners; Claypond Capital; Singularity AMC; Anicut Capital; 360 ONE Asset; JIIF; HDFC AMC; Yamaha Motor Corporation; Al Futtaim Group; Mitsui &amp; Co; JIF Capital</t>
        </is>
      </c>
      <c r="N1967" t="inlineStr">
        <is>
          <t>entrackr | inc42 | et | vccircle</t>
        </is>
      </c>
      <c r="O1967" s="20" t="n">
        <v>4</v>
      </c>
      <c r="P1967" s="21" t="n">
        <v>0</v>
      </c>
      <c r="Q1967" t="inlineStr">
        <is>
          <t>C07</t>
        </is>
      </c>
      <c r="R1967" s="22" t="inlineStr">
        <is>
          <t>https://entrackr.com/news/river-mobility-raises-120-mn-in-series-c-led-by-elev8-claypond-capital-12232629</t>
        </is>
      </c>
    </row>
    <row r="1968">
      <c r="A1968" t="inlineStr">
        <is>
          <t>R260805-typsybeauty</t>
        </is>
      </c>
      <c r="B1968" t="inlineStr">
        <is>
          <t>Typsy Beauty</t>
        </is>
      </c>
      <c r="C1968" s="17" t="n">
        <v>46239</v>
      </c>
      <c r="D1968" s="18" t="n">
        <v>46235</v>
      </c>
      <c r="E1968" s="19" t="n">
        <v>2.1</v>
      </c>
      <c r="F1968" s="19" t="n">
        <v>19.98</v>
      </c>
      <c r="G1968" t="inlineStr">
        <is>
          <t>$2.1 Mn</t>
        </is>
      </c>
      <c r="H1968" t="inlineStr">
        <is>
          <t>Undisclosed</t>
        </is>
      </c>
      <c r="I1968" t="inlineStr">
        <is>
          <t>Undisclosed</t>
        </is>
      </c>
      <c r="J1968" t="inlineStr">
        <is>
          <t>Ecommerce</t>
        </is>
      </c>
      <c r="K1968" t="inlineStr">
        <is>
          <t>Unknown</t>
        </is>
      </c>
      <c r="L1968" t="inlineStr">
        <is>
          <t>Saama Capital</t>
        </is>
      </c>
      <c r="M1968" t="inlineStr">
        <is>
          <t>Saama Capital; Sanjay Kapoor; SRF Family Office; Tanaaz Bhatia</t>
        </is>
      </c>
      <c r="N1968" t="inlineStr">
        <is>
          <t>inc42 | et</t>
        </is>
      </c>
      <c r="O1968" s="20" t="n">
        <v>2</v>
      </c>
      <c r="P1968" s="21" t="n">
        <v>0.1</v>
      </c>
      <c r="Q1968" t="inlineStr">
        <is>
          <t>C04 C07</t>
        </is>
      </c>
      <c r="R1968" s="22" t="inlineStr">
        <is>
          <t>https://economictimes.indiatimes.com/tech/funding/d2c-brand-typsy-beauty-raises-rs-20-crore-led-by-saama-capital/articleshow/132917107.cms</t>
        </is>
      </c>
    </row>
    <row r="1969">
      <c r="A1969" t="inlineStr">
        <is>
          <t>R260805-vingo</t>
        </is>
      </c>
      <c r="B1969" t="inlineStr">
        <is>
          <t>Vingo</t>
        </is>
      </c>
      <c r="C1969" s="17" t="n">
        <v>46239</v>
      </c>
      <c r="D1969" s="18" t="n">
        <v>46235</v>
      </c>
      <c r="E1969" s="19" t="n">
        <v>1.051</v>
      </c>
      <c r="F1969" s="19" t="n">
        <v>10</v>
      </c>
      <c r="G1969" t="inlineStr">
        <is>
          <t>Rs 10 crore</t>
        </is>
      </c>
      <c r="H1969" t="inlineStr">
        <is>
          <t>Seed</t>
        </is>
      </c>
      <c r="I1969" t="inlineStr">
        <is>
          <t>Early</t>
        </is>
      </c>
      <c r="J1969" t="inlineStr">
        <is>
          <t>Ecommerce</t>
        </is>
      </c>
      <c r="K1969" t="inlineStr">
        <is>
          <t>Unknown</t>
        </is>
      </c>
      <c r="L1969" t="inlineStr">
        <is>
          <t>IndiaQuotient</t>
        </is>
      </c>
      <c r="M1969" t="inlineStr">
        <is>
          <t>IndiaQuotient; Inuka Capital; Rishabh Goel</t>
        </is>
      </c>
      <c r="N1969" t="inlineStr">
        <is>
          <t>entrackr | inc42</t>
        </is>
      </c>
      <c r="O1969" s="20" t="n">
        <v>2</v>
      </c>
      <c r="P1969" s="21" t="n">
        <v>14.1</v>
      </c>
      <c r="Q1969" t="inlineStr">
        <is>
          <t>C07 C15</t>
        </is>
      </c>
      <c r="R1969" s="22" t="inlineStr">
        <is>
          <t>https://entrackr.com/snippets/c2c-marketplace-vingo-raises-rs-10-cr-seed-round-led-by-indiaquotient-12231153</t>
        </is>
      </c>
    </row>
    <row r="1970">
      <c r="A1970" t="inlineStr">
        <is>
          <t>R260806-consintai</t>
        </is>
      </c>
      <c r="B1970" t="inlineStr">
        <is>
          <t>Consint.AI</t>
        </is>
      </c>
      <c r="C1970" s="17" t="n">
        <v>46240</v>
      </c>
      <c r="D1970" s="18" t="n">
        <v>46235</v>
      </c>
      <c r="E1970" s="19" t="n">
        <v>2.31</v>
      </c>
      <c r="F1970" s="19" t="n">
        <v>22</v>
      </c>
      <c r="G1970" t="inlineStr">
        <is>
          <t>Rs 22 crore</t>
        </is>
      </c>
      <c r="H1970" t="inlineStr">
        <is>
          <t>Series A</t>
        </is>
      </c>
      <c r="I1970" t="inlineStr">
        <is>
          <t>Early</t>
        </is>
      </c>
      <c r="J1970" t="inlineStr">
        <is>
          <t>Artificial Intelligence</t>
        </is>
      </c>
      <c r="K1970" t="inlineStr">
        <is>
          <t>Delhi NCR</t>
        </is>
      </c>
      <c r="L1970" t="inlineStr"/>
      <c r="M1970" t="inlineStr">
        <is>
          <t>BIG Global Investment JSC; Equanimity Ventures Trust II; Seafund Venture India Scheme I</t>
        </is>
      </c>
      <c r="N1970" t="inlineStr">
        <is>
          <t>entrackr | inc42</t>
        </is>
      </c>
      <c r="O1970" s="20" t="n">
        <v>2</v>
      </c>
      <c r="P1970" s="21" t="n">
        <v>0.4</v>
      </c>
      <c r="Q1970" t="inlineStr"/>
      <c r="R1970" s="22" t="inlineStr">
        <is>
          <t>https://entrackr.com/snippets/healthcare-ai-startup-consintai-raises-rs-22-cr-in-series-a-round-12234521</t>
        </is>
      </c>
    </row>
    <row r="1971">
      <c r="A1971" t="inlineStr">
        <is>
          <t>R260806-homerun</t>
        </is>
      </c>
      <c r="B1971" t="inlineStr">
        <is>
          <t>HomeRun</t>
        </is>
      </c>
      <c r="C1971" s="17" t="n">
        <v>46240</v>
      </c>
      <c r="D1971" s="18" t="n">
        <v>46235</v>
      </c>
      <c r="E1971" s="19" t="n">
        <v>12</v>
      </c>
      <c r="F1971" s="19" t="n">
        <v>114.28</v>
      </c>
      <c r="G1971" t="inlineStr">
        <is>
          <t>$12 million</t>
        </is>
      </c>
      <c r="H1971" t="inlineStr">
        <is>
          <t>Series A</t>
        </is>
      </c>
      <c r="I1971" t="inlineStr">
        <is>
          <t>Early</t>
        </is>
      </c>
      <c r="J1971" t="inlineStr">
        <is>
          <t>Consumer Services</t>
        </is>
      </c>
      <c r="K1971" t="inlineStr">
        <is>
          <t>Bengaluru</t>
        </is>
      </c>
      <c r="L1971" t="inlineStr">
        <is>
          <t>Nexus Venture Partners</t>
        </is>
      </c>
      <c r="M1971" t="inlineStr">
        <is>
          <t>Nexus Venture Partners; Sorin Investments; Titan Capital; Sparrow Capital</t>
        </is>
      </c>
      <c r="N1971" t="inlineStr">
        <is>
          <t>entrackr | inc42 | et</t>
        </is>
      </c>
      <c r="O1971" s="20" t="n">
        <v>3</v>
      </c>
      <c r="P1971" s="21" t="n">
        <v>0</v>
      </c>
      <c r="Q1971" t="inlineStr"/>
      <c r="R1971" s="22" t="inlineStr">
        <is>
          <t>https://entrackr.com/news/homerun-raises-12-mn-in-series-a-round-led-by-nexus-venture-partners-12234340</t>
        </is>
      </c>
    </row>
    <row r="1972">
      <c r="A1972" t="inlineStr">
        <is>
          <t>R260806-leapindia</t>
        </is>
      </c>
      <c r="B1972" t="inlineStr">
        <is>
          <t>Leap India</t>
        </is>
      </c>
      <c r="C1972" s="17" t="n">
        <v>46240</v>
      </c>
      <c r="D1972" s="18" t="n">
        <v>46235</v>
      </c>
      <c r="E1972" s="19" t="n">
        <v>38.99</v>
      </c>
      <c r="F1972" s="19" t="n">
        <v>371.3</v>
      </c>
      <c r="G1972" t="inlineStr">
        <is>
          <t>Rs 371.3 crore</t>
        </is>
      </c>
      <c r="H1972" t="inlineStr">
        <is>
          <t>Pre-IPO</t>
        </is>
      </c>
      <c r="I1972" t="inlineStr">
        <is>
          <t>Late</t>
        </is>
      </c>
      <c r="J1972" t="inlineStr">
        <is>
          <t>Logistics</t>
        </is>
      </c>
      <c r="K1972" t="inlineStr">
        <is>
          <t>Unknown</t>
        </is>
      </c>
      <c r="L1972" t="inlineStr"/>
      <c r="M1972" t="inlineStr">
        <is>
          <t>GIC's subsidiary Gamnat Pte Ltd; Dymon Asia Multi-Strategy Investment</t>
        </is>
      </c>
      <c r="N1972" t="inlineStr">
        <is>
          <t>entrackr</t>
        </is>
      </c>
      <c r="O1972" s="20" t="n">
        <v>1</v>
      </c>
      <c r="P1972" s="21" t="n">
        <v>0</v>
      </c>
      <c r="Q1972" t="inlineStr">
        <is>
          <t>C07</t>
        </is>
      </c>
      <c r="R1972" s="22" t="inlineStr">
        <is>
          <t>https://entrackr.com/news/leap-india-raises-rs-371-cr-in-pre-ipo-round-led-by-gic-arm-12235506</t>
        </is>
      </c>
    </row>
    <row r="1973">
      <c r="A1973" t="inlineStr">
        <is>
          <t>R260806-solinasintegri</t>
        </is>
      </c>
      <c r="B1973" t="inlineStr">
        <is>
          <t>Solinas Integrity</t>
        </is>
      </c>
      <c r="C1973" s="17" t="n">
        <v>46240</v>
      </c>
      <c r="D1973" s="18" t="n">
        <v>46235</v>
      </c>
      <c r="E1973" s="19" t="n">
        <v>5.5</v>
      </c>
      <c r="F1973" s="19" t="n">
        <v>52.38</v>
      </c>
      <c r="G1973" t="inlineStr">
        <is>
          <t>$5.5 million</t>
        </is>
      </c>
      <c r="H1973" t="inlineStr">
        <is>
          <t>Series A</t>
        </is>
      </c>
      <c r="I1973" t="inlineStr">
        <is>
          <t>Early</t>
        </is>
      </c>
      <c r="J1973" t="inlineStr">
        <is>
          <t>Advanced Hardware &amp; Technology</t>
        </is>
      </c>
      <c r="K1973" t="inlineStr">
        <is>
          <t>Chennai</t>
        </is>
      </c>
      <c r="L1973" t="inlineStr">
        <is>
          <t>Mela Ventures; Hero Enterprise Family Office</t>
        </is>
      </c>
      <c r="M1973" t="inlineStr">
        <is>
          <t>Mela Ventures; Hero Enterprise Family Office; Luthra Group; SBI Ventures Limited; Rainmatter Capital; 8X Ventures; 8X Ventures Fund I</t>
        </is>
      </c>
      <c r="N1973" t="inlineStr">
        <is>
          <t>entrackr | inc42 | et</t>
        </is>
      </c>
      <c r="O1973" s="20" t="n">
        <v>3</v>
      </c>
      <c r="P1973" s="21" t="n">
        <v>0</v>
      </c>
      <c r="Q1973" t="inlineStr"/>
      <c r="R1973" s="22" t="inlineStr">
        <is>
          <t>https://entrackr.com/snippets/mela-ventures-co-leads-55-mn-series-a1-round-in-solinas-integrity-12236009</t>
        </is>
      </c>
    </row>
    <row r="1974">
      <c r="A1974" t="inlineStr">
        <is>
          <t>R260807-benne</t>
        </is>
      </c>
      <c r="B1974" t="inlineStr">
        <is>
          <t>Benne</t>
        </is>
      </c>
      <c r="C1974" s="17" t="n">
        <v>46241</v>
      </c>
      <c r="D1974" s="18" t="n">
        <v>46235</v>
      </c>
      <c r="E1974" s="19" t="n">
        <v>3.676</v>
      </c>
      <c r="F1974" s="19" t="n">
        <v>35</v>
      </c>
      <c r="G1974" t="inlineStr">
        <is>
          <t>Rs 35 crore</t>
        </is>
      </c>
      <c r="H1974" t="inlineStr">
        <is>
          <t>Pre-Series A</t>
        </is>
      </c>
      <c r="I1974" t="inlineStr">
        <is>
          <t>Early</t>
        </is>
      </c>
      <c r="J1974" t="inlineStr">
        <is>
          <t>Unclassified</t>
        </is>
      </c>
      <c r="K1974" t="inlineStr">
        <is>
          <t>Mumbai</t>
        </is>
      </c>
      <c r="L1974" t="inlineStr">
        <is>
          <t>Ranjan pAi’ Claypond Capital</t>
        </is>
      </c>
      <c r="M1974" t="inlineStr">
        <is>
          <t>Ranjan pAi’ Claypond Capital</t>
        </is>
      </c>
      <c r="N1974" t="inlineStr">
        <is>
          <t>entrackr</t>
        </is>
      </c>
      <c r="O1974" s="20" t="n">
        <v>1</v>
      </c>
      <c r="P1974" s="21" t="n">
        <v>0</v>
      </c>
      <c r="Q1974" t="inlineStr">
        <is>
          <t>C06</t>
        </is>
      </c>
      <c r="R1974" s="22" t="inlineStr">
        <is>
          <t>https://entrackr.com/exclusive/exclusive-dosa-chain-benne-raises-rs-35-cr-led-by-rajan-pais-claypond-capital-12238246</t>
        </is>
      </c>
    </row>
    <row r="1975">
      <c r="A1975" t="inlineStr">
        <is>
          <t>R260807-blissclub</t>
        </is>
      </c>
      <c r="B1975" t="inlineStr">
        <is>
          <t>BlissClub</t>
        </is>
      </c>
      <c r="C1975" s="17" t="n">
        <v>46241</v>
      </c>
      <c r="D1975" s="18" t="n">
        <v>46235</v>
      </c>
      <c r="E1975" s="19" t="n">
        <v>16.805</v>
      </c>
      <c r="F1975" s="19" t="n">
        <v>160</v>
      </c>
      <c r="G1975" t="inlineStr">
        <is>
          <t>Rs 160 crore</t>
        </is>
      </c>
      <c r="H1975" t="inlineStr">
        <is>
          <t>Series B</t>
        </is>
      </c>
      <c r="I1975" t="inlineStr">
        <is>
          <t>Growth</t>
        </is>
      </c>
      <c r="J1975" t="inlineStr">
        <is>
          <t>Ecommerce</t>
        </is>
      </c>
      <c r="K1975" t="inlineStr">
        <is>
          <t>Bengaluru</t>
        </is>
      </c>
      <c r="L1975" t="inlineStr">
        <is>
          <t>Singularity AMC</t>
        </is>
      </c>
      <c r="M1975" t="inlineStr">
        <is>
          <t>Singularity AMC; Elevation Capital; Eight Roads Ventures; Minu Margeret; Vidit Aatrey</t>
        </is>
      </c>
      <c r="N1975" t="inlineStr">
        <is>
          <t>entrackr | inc42 | et</t>
        </is>
      </c>
      <c r="O1975" s="20" t="n">
        <v>3</v>
      </c>
      <c r="P1975" s="21" t="n">
        <v>0</v>
      </c>
      <c r="Q1975" t="inlineStr"/>
      <c r="R1975" s="22" t="inlineStr">
        <is>
          <t>https://entrackr.com/news/d2c-athleisure-brand-blissclub-raises-rs-160-cr-in-series-b-led-by-singularity-amc-12238770</t>
        </is>
      </c>
    </row>
    <row r="1976">
      <c r="A1976" t="inlineStr">
        <is>
          <t>R260807-m2p</t>
        </is>
      </c>
      <c r="B1976" t="inlineStr">
        <is>
          <t>M2P</t>
        </is>
      </c>
      <c r="C1976" s="17" t="n">
        <v>46241</v>
      </c>
      <c r="D1976" s="18" t="n">
        <v>46235</v>
      </c>
      <c r="E1976" s="19" t="n">
        <v>10.503</v>
      </c>
      <c r="F1976" s="19" t="n">
        <v>100</v>
      </c>
      <c r="G1976" t="inlineStr">
        <is>
          <t>Rs 100 crore</t>
        </is>
      </c>
      <c r="H1976" t="inlineStr">
        <is>
          <t>Debt</t>
        </is>
      </c>
      <c r="I1976" t="inlineStr">
        <is>
          <t>Debt</t>
        </is>
      </c>
      <c r="J1976" t="inlineStr">
        <is>
          <t>Unclassified</t>
        </is>
      </c>
      <c r="K1976" t="inlineStr">
        <is>
          <t>Unknown</t>
        </is>
      </c>
      <c r="L1976" t="inlineStr"/>
      <c r="M1976" t="inlineStr">
        <is>
          <t>Alteria Capital</t>
        </is>
      </c>
      <c r="N1976" t="inlineStr">
        <is>
          <t>et</t>
        </is>
      </c>
      <c r="O1976" s="20" t="n">
        <v>1</v>
      </c>
      <c r="P1976" s="21" t="n">
        <v>0</v>
      </c>
      <c r="Q1976" t="inlineStr">
        <is>
          <t>C06 C07</t>
        </is>
      </c>
      <c r="R1976" s="22" t="inlineStr">
        <is>
          <t>https://economictimes.indiatimes.com/tech/funding/m2p-raises-rs-100-crore-debt-from-alteria-to-fund-ai-expansion/articleshow/133001086.cms</t>
        </is>
      </c>
    </row>
    <row r="1977">
      <c r="A1977" t="inlineStr">
        <is>
          <t>R260810-bakingo</t>
        </is>
      </c>
      <c r="B1977" t="inlineStr">
        <is>
          <t>Bakingo</t>
        </is>
      </c>
      <c r="C1977" s="17" t="n">
        <v>46244</v>
      </c>
      <c r="D1977" s="18" t="n">
        <v>46235</v>
      </c>
      <c r="E1977" s="19" t="n">
        <v>10.493</v>
      </c>
      <c r="F1977" s="19" t="n">
        <v>100</v>
      </c>
      <c r="G1977" t="inlineStr">
        <is>
          <t>Rs 100 crore</t>
        </is>
      </c>
      <c r="H1977" t="inlineStr">
        <is>
          <t>Series B</t>
        </is>
      </c>
      <c r="I1977" t="inlineStr">
        <is>
          <t>Growth</t>
        </is>
      </c>
      <c r="J1977" t="inlineStr">
        <is>
          <t>Unclassified</t>
        </is>
      </c>
      <c r="K1977" t="inlineStr">
        <is>
          <t>Delhi NCR</t>
        </is>
      </c>
      <c r="L1977" t="inlineStr"/>
      <c r="M1977" t="inlineStr"/>
      <c r="N1977" t="inlineStr">
        <is>
          <t>entrackr</t>
        </is>
      </c>
      <c r="O1977" s="20" t="n">
        <v>1</v>
      </c>
      <c r="P1977" s="21" t="n">
        <v>0</v>
      </c>
      <c r="Q1977" t="inlineStr">
        <is>
          <t>C05 C06</t>
        </is>
      </c>
      <c r="R1977" s="22" t="inlineStr">
        <is>
          <t>https://entrackr.com/exclusive/exclusive-bakingo-raises-rs-100-cr-at-26x-higher-valuation-12246734</t>
        </is>
      </c>
    </row>
    <row r="1978">
      <c r="A1978" t="inlineStr">
        <is>
          <t>R260810-discoveredmate</t>
        </is>
      </c>
      <c r="B1978" t="inlineStr">
        <is>
          <t>Discovered Materials</t>
        </is>
      </c>
      <c r="C1978" s="17" t="n">
        <v>46244</v>
      </c>
      <c r="D1978" s="18" t="n">
        <v>46235</v>
      </c>
      <c r="E1978" s="19" t="n">
        <v>9</v>
      </c>
      <c r="F1978" s="19" t="n">
        <v>85.77</v>
      </c>
      <c r="G1978" t="inlineStr">
        <is>
          <t>$9 million</t>
        </is>
      </c>
      <c r="H1978" t="inlineStr">
        <is>
          <t>Seed</t>
        </is>
      </c>
      <c r="I1978" t="inlineStr">
        <is>
          <t>Early</t>
        </is>
      </c>
      <c r="J1978" t="inlineStr">
        <is>
          <t>Advanced Hardware &amp; Technology</t>
        </is>
      </c>
      <c r="K1978" t="inlineStr">
        <is>
          <t>Unknown</t>
        </is>
      </c>
      <c r="L1978" t="inlineStr">
        <is>
          <t>Lightspeed India Partners</t>
        </is>
      </c>
      <c r="M1978" t="inlineStr">
        <is>
          <t>Lightspeed India Partners; Y Combinator; Peak XV Partners; Paul Graham; Gokul Rajaram; Thariq Shihipar</t>
        </is>
      </c>
      <c r="N1978" t="inlineStr">
        <is>
          <t>entrackr | inc42 | et</t>
        </is>
      </c>
      <c r="O1978" s="20" t="n">
        <v>3</v>
      </c>
      <c r="P1978" s="21" t="n">
        <v>0</v>
      </c>
      <c r="Q1978" t="inlineStr">
        <is>
          <t>C07</t>
        </is>
      </c>
      <c r="R1978" s="22" t="inlineStr">
        <is>
          <t>https://economictimes.indiatimes.com/tech/funding/iit-madras-alumnis-discovered-materials-raises-9-million-from-lightspeed-yc-peak-xv/articleshow/133122577.cms</t>
        </is>
      </c>
    </row>
    <row r="1979">
      <c r="A1979" t="inlineStr">
        <is>
          <t>R260811-ayatidevices</t>
        </is>
      </c>
      <c r="B1979" t="inlineStr">
        <is>
          <t>Ayati Devices</t>
        </is>
      </c>
      <c r="C1979" s="17" t="n">
        <v>46245</v>
      </c>
      <c r="D1979" s="18" t="n">
        <v>46235</v>
      </c>
      <c r="E1979" s="19" t="n">
        <v>1.572</v>
      </c>
      <c r="F1979" s="19" t="n">
        <v>15</v>
      </c>
      <c r="G1979" t="inlineStr">
        <is>
          <t>Rs 15 crore</t>
        </is>
      </c>
      <c r="H1979" t="inlineStr">
        <is>
          <t>Pre-Series A</t>
        </is>
      </c>
      <c r="I1979" t="inlineStr">
        <is>
          <t>Early</t>
        </is>
      </c>
      <c r="J1979" t="inlineStr">
        <is>
          <t>Healthtech</t>
        </is>
      </c>
      <c r="K1979" t="inlineStr">
        <is>
          <t>Bengaluru</t>
        </is>
      </c>
      <c r="L1979" t="inlineStr">
        <is>
          <t>Inflexor Ventures</t>
        </is>
      </c>
      <c r="M1979" t="inlineStr">
        <is>
          <t>Inflexor Ventures</t>
        </is>
      </c>
      <c r="N1979" t="inlineStr">
        <is>
          <t>entrackr | inc42</t>
        </is>
      </c>
      <c r="O1979" s="20" t="n">
        <v>2</v>
      </c>
      <c r="P1979" s="21" t="n">
        <v>1.8</v>
      </c>
      <c r="Q1979" t="inlineStr"/>
      <c r="R1979" s="22" t="inlineStr">
        <is>
          <t>https://entrackr.com/snippets/ayati-devices-raises-rs-15-cr-led-by-inflexor-ventures-in-pre-series-a-12249549</t>
        </is>
      </c>
    </row>
    <row r="1980">
      <c r="A1980" t="inlineStr">
        <is>
          <t>R260811-freightfox</t>
        </is>
      </c>
      <c r="B1980" t="inlineStr">
        <is>
          <t>FreightFox</t>
        </is>
      </c>
      <c r="C1980" s="17" t="n">
        <v>46245</v>
      </c>
      <c r="D1980" s="18" t="n">
        <v>46235</v>
      </c>
      <c r="E1980" s="19" t="n">
        <v>0.524</v>
      </c>
      <c r="F1980" s="19" t="n">
        <v>5</v>
      </c>
      <c r="G1980" t="inlineStr">
        <is>
          <t>Rs 5 crore</t>
        </is>
      </c>
      <c r="H1980" t="inlineStr">
        <is>
          <t>Pre-Series A</t>
        </is>
      </c>
      <c r="I1980" t="inlineStr">
        <is>
          <t>Early</t>
        </is>
      </c>
      <c r="J1980" t="inlineStr">
        <is>
          <t>Logistics</t>
        </is>
      </c>
      <c r="K1980" t="inlineStr">
        <is>
          <t>Unknown</t>
        </is>
      </c>
      <c r="L1980" t="inlineStr">
        <is>
          <t>HighLeaf</t>
        </is>
      </c>
      <c r="M1980" t="inlineStr">
        <is>
          <t>HighLeaf; Vijender Yadav; Puru Gupta; Aeravti Ventures</t>
        </is>
      </c>
      <c r="N1980" t="inlineStr">
        <is>
          <t>entrackr | inc42</t>
        </is>
      </c>
      <c r="O1980" s="20" t="n">
        <v>2</v>
      </c>
      <c r="P1980" s="21" t="n">
        <v>0</v>
      </c>
      <c r="Q1980" t="inlineStr">
        <is>
          <t>C07</t>
        </is>
      </c>
      <c r="R1980" s="22" t="inlineStr">
        <is>
          <t>https://entrackr.com/snippets/highleaf-leads-rs-5-cr-pre-series-a-round-in-freightfox-12249334</t>
        </is>
      </c>
    </row>
    <row r="1981">
      <c r="A1981" t="inlineStr">
        <is>
          <t>R260811-vectonai</t>
        </is>
      </c>
      <c r="B1981" t="inlineStr">
        <is>
          <t>Vecton AI</t>
        </is>
      </c>
      <c r="C1981" s="17" t="n">
        <v>46245</v>
      </c>
      <c r="D1981" s="18" t="n">
        <v>46235</v>
      </c>
      <c r="E1981" s="19" t="n">
        <v>0.629</v>
      </c>
      <c r="F1981" s="19" t="n">
        <v>6</v>
      </c>
      <c r="G1981" t="inlineStr">
        <is>
          <t>Rs 6 crore</t>
        </is>
      </c>
      <c r="H1981" t="inlineStr">
        <is>
          <t>Pre-Seed</t>
        </is>
      </c>
      <c r="I1981" t="inlineStr">
        <is>
          <t>Early</t>
        </is>
      </c>
      <c r="J1981" t="inlineStr">
        <is>
          <t>Artificial Intelligence</t>
        </is>
      </c>
      <c r="K1981" t="inlineStr">
        <is>
          <t>Bengaluru</t>
        </is>
      </c>
      <c r="L1981" t="inlineStr">
        <is>
          <t>Zeropearl VC</t>
        </is>
      </c>
      <c r="M1981" t="inlineStr">
        <is>
          <t>Zeropearl VC</t>
        </is>
      </c>
      <c r="N1981" t="inlineStr">
        <is>
          <t>entrackr | inc42</t>
        </is>
      </c>
      <c r="O1981" s="20" t="n">
        <v>2</v>
      </c>
      <c r="P1981" s="21" t="n">
        <v>0.1</v>
      </c>
      <c r="Q1981" t="inlineStr"/>
      <c r="R1981" s="22" t="inlineStr">
        <is>
          <t>https://entrackr.com/snippets/vecton-ai-raises-rs-6-cr-in-pre-seed-round-led-by-zeropearl-vc-12250059</t>
        </is>
      </c>
    </row>
    <row r="1982">
      <c r="A1982" t="inlineStr">
        <is>
          <t>R260812-lane</t>
        </is>
      </c>
      <c r="B1982" t="inlineStr">
        <is>
          <t>Lane</t>
        </is>
      </c>
      <c r="C1982" s="17" t="n">
        <v>46246</v>
      </c>
      <c r="D1982" s="18" t="n">
        <v>46235</v>
      </c>
      <c r="E1982" s="19" t="n">
        <v>0.892</v>
      </c>
      <c r="F1982" s="19" t="n">
        <v>8.5</v>
      </c>
      <c r="G1982" t="inlineStr">
        <is>
          <t>Rs 8.5 crore</t>
        </is>
      </c>
      <c r="H1982" t="inlineStr">
        <is>
          <t>Pre-Seed</t>
        </is>
      </c>
      <c r="I1982" t="inlineStr">
        <is>
          <t>Early</t>
        </is>
      </c>
      <c r="J1982" t="inlineStr">
        <is>
          <t>Consumer Services</t>
        </is>
      </c>
      <c r="K1982" t="inlineStr">
        <is>
          <t>Bengaluru</t>
        </is>
      </c>
      <c r="L1982" t="inlineStr">
        <is>
          <t>Kae Capital</t>
        </is>
      </c>
      <c r="M1982" t="inlineStr">
        <is>
          <t>Kae Capital; DeVC; Antler India; Panthera Peak</t>
        </is>
      </c>
      <c r="N1982" t="inlineStr">
        <is>
          <t>entrackr | inc42</t>
        </is>
      </c>
      <c r="O1982" s="20" t="n">
        <v>2</v>
      </c>
      <c r="P1982" s="21" t="n">
        <v>0.1</v>
      </c>
      <c r="Q1982" t="inlineStr"/>
      <c r="R1982" s="22" t="inlineStr">
        <is>
          <t>https://entrackr.com/snippets/kae-capital-leads-rs-85-cr-pre-seed-round-in-lane-12252550</t>
        </is>
      </c>
    </row>
    <row r="1983">
      <c r="A1983" t="inlineStr">
        <is>
          <t>R260812-quarkitech</t>
        </is>
      </c>
      <c r="B1983" t="inlineStr">
        <is>
          <t>Quarkitech</t>
        </is>
      </c>
      <c r="C1983" s="17" t="n">
        <v>46246</v>
      </c>
      <c r="D1983" s="18" t="n">
        <v>46235</v>
      </c>
      <c r="E1983" s="19" t="n">
        <v>0.21</v>
      </c>
      <c r="F1983" s="19" t="n">
        <v>2</v>
      </c>
      <c r="G1983" t="inlineStr">
        <is>
          <t>Rs 2 crore</t>
        </is>
      </c>
      <c r="H1983" t="inlineStr">
        <is>
          <t>Pre-Seed</t>
        </is>
      </c>
      <c r="I1983" t="inlineStr">
        <is>
          <t>Early</t>
        </is>
      </c>
      <c r="J1983" t="inlineStr">
        <is>
          <t>Advanced Hardware &amp; Technology</t>
        </is>
      </c>
      <c r="K1983" t="inlineStr">
        <is>
          <t>Chennai</t>
        </is>
      </c>
      <c r="L1983" t="inlineStr">
        <is>
          <t>Artha Access</t>
        </is>
      </c>
      <c r="M1983" t="inlineStr">
        <is>
          <t>Artha Access; Finvolve</t>
        </is>
      </c>
      <c r="N1983" t="inlineStr">
        <is>
          <t>entrackr | inc42</t>
        </is>
      </c>
      <c r="O1983" s="20" t="n">
        <v>2</v>
      </c>
      <c r="P1983" s="21" t="n">
        <v>0.1</v>
      </c>
      <c r="Q1983" t="inlineStr"/>
      <c r="R1983" s="22" t="inlineStr">
        <is>
          <t>https://entrackr.com/snippets/deep-tech-startup-quarkitech-raises-pre-seed-funding-12254263</t>
        </is>
      </c>
    </row>
    <row r="1984">
      <c r="A1984" t="inlineStr">
        <is>
          <t>R260812-wippi</t>
        </is>
      </c>
      <c r="B1984" t="inlineStr">
        <is>
          <t>Wippi</t>
        </is>
      </c>
      <c r="C1984" s="17" t="n">
        <v>46246</v>
      </c>
      <c r="D1984" s="18" t="n">
        <v>46235</v>
      </c>
      <c r="E1984" s="19" t="n">
        <v>1.2</v>
      </c>
      <c r="F1984" s="19" t="n">
        <v>11.44</v>
      </c>
      <c r="G1984" t="inlineStr">
        <is>
          <t>$1.2 million</t>
        </is>
      </c>
      <c r="H1984" t="inlineStr">
        <is>
          <t>Seed</t>
        </is>
      </c>
      <c r="I1984" t="inlineStr">
        <is>
          <t>Early</t>
        </is>
      </c>
      <c r="J1984" t="inlineStr">
        <is>
          <t>Artificial Intelligence</t>
        </is>
      </c>
      <c r="K1984" t="inlineStr">
        <is>
          <t>Bengaluru</t>
        </is>
      </c>
      <c r="L1984" t="inlineStr">
        <is>
          <t>12 Flags</t>
        </is>
      </c>
      <c r="M1984" t="inlineStr">
        <is>
          <t>12 Flags; Warmup Ventures; Ventana Ventures; Ruvento Ventures</t>
        </is>
      </c>
      <c r="N1984" t="inlineStr">
        <is>
          <t>entrackr | inc42</t>
        </is>
      </c>
      <c r="O1984" s="20" t="n">
        <v>2</v>
      </c>
      <c r="P1984" s="21" t="n">
        <v>0</v>
      </c>
      <c r="Q1984" t="inlineStr"/>
      <c r="R1984" s="22" t="inlineStr">
        <is>
          <t>https://entrackr.com/snippets/wippi-raises-12-mn-in-seed-round-led-by-12-flags-12252576</t>
        </is>
      </c>
    </row>
    <row r="1985">
      <c r="A1985" t="inlineStr">
        <is>
          <t>R260812-yulu</t>
        </is>
      </c>
      <c r="B1985" t="inlineStr">
        <is>
          <t>Yulu</t>
        </is>
      </c>
      <c r="C1985" s="17" t="n">
        <v>46246</v>
      </c>
      <c r="D1985" s="18" t="n">
        <v>46235</v>
      </c>
      <c r="E1985" s="19" t="n">
        <v>93</v>
      </c>
      <c r="F1985" s="19" t="n">
        <v>886.66</v>
      </c>
      <c r="G1985" t="inlineStr">
        <is>
          <t>$93 million</t>
        </is>
      </c>
      <c r="H1985" t="inlineStr">
        <is>
          <t>Series C</t>
        </is>
      </c>
      <c r="I1985" t="inlineStr">
        <is>
          <t>Growth</t>
        </is>
      </c>
      <c r="J1985" t="inlineStr">
        <is>
          <t>Cleantech</t>
        </is>
      </c>
      <c r="K1985" t="inlineStr">
        <is>
          <t>Bengaluru</t>
        </is>
      </c>
      <c r="L1985" t="inlineStr">
        <is>
          <t>GEF Capital Partners</t>
        </is>
      </c>
      <c r="M1985" t="inlineStr">
        <is>
          <t>GEF Capital Partners</t>
        </is>
      </c>
      <c r="N1985" t="inlineStr">
        <is>
          <t>entrackr | inc42 | et</t>
        </is>
      </c>
      <c r="O1985" s="20" t="n">
        <v>3</v>
      </c>
      <c r="P1985" s="21" t="n">
        <v>0</v>
      </c>
      <c r="Q1985" t="inlineStr"/>
      <c r="R1985" s="22" t="inlineStr">
        <is>
          <t>https://entrackr.com/news/yulu-raises-93-mn-in-series-c-round-led-by-gef-capital-12252594</t>
        </is>
      </c>
    </row>
    <row r="1986">
      <c r="A1986" t="inlineStr">
        <is>
          <t>R260813-blacksmith</t>
        </is>
      </c>
      <c r="B1986" t="inlineStr">
        <is>
          <t>Blacksmith</t>
        </is>
      </c>
      <c r="C1986" s="17" t="n">
        <v>46246</v>
      </c>
      <c r="D1986" s="18" t="n">
        <v>46235</v>
      </c>
      <c r="E1986" s="19" t="n">
        <v>45</v>
      </c>
      <c r="F1986" s="19" t="n">
        <v>429.03</v>
      </c>
      <c r="G1986" t="inlineStr">
        <is>
          <t>$45 million</t>
        </is>
      </c>
      <c r="H1986" t="inlineStr">
        <is>
          <t>Series B</t>
        </is>
      </c>
      <c r="I1986" t="inlineStr">
        <is>
          <t>Growth</t>
        </is>
      </c>
      <c r="J1986" t="inlineStr">
        <is>
          <t>Artificial Intelligence</t>
        </is>
      </c>
      <c r="K1986" t="inlineStr">
        <is>
          <t>Unknown</t>
        </is>
      </c>
      <c r="L1986" t="inlineStr">
        <is>
          <t>Peak XV Partners</t>
        </is>
      </c>
      <c r="M1986" t="inlineStr">
        <is>
          <t>Peak XV Partners; Google Ventures; Y Combinator</t>
        </is>
      </c>
      <c r="N1986" t="inlineStr">
        <is>
          <t>entrackr | et</t>
        </is>
      </c>
      <c r="O1986" s="20" t="n">
        <v>2</v>
      </c>
      <c r="P1986" s="21" t="n">
        <v>0</v>
      </c>
      <c r="Q1986" t="inlineStr">
        <is>
          <t>C07</t>
        </is>
      </c>
      <c r="R1986" s="22" t="inlineStr">
        <is>
          <t>https://economictimes.indiatimes.com/tech/funding/ai-code-testing-platform-blacksmith-raises-45-million-led-by-peak-xv-valued-at-550-million/articleshow/133187342.cms</t>
        </is>
      </c>
    </row>
    <row r="1987">
      <c r="A1987" t="inlineStr">
        <is>
          <t>R260813-centricity</t>
        </is>
      </c>
      <c r="B1987" t="inlineStr">
        <is>
          <t>Centricity</t>
        </is>
      </c>
      <c r="C1987" s="17" t="n">
        <v>46247</v>
      </c>
      <c r="D1987" s="18" t="n">
        <v>46235</v>
      </c>
      <c r="E1987" s="19" t="n">
        <v>29.338</v>
      </c>
      <c r="F1987" s="19" t="n">
        <v>280</v>
      </c>
      <c r="G1987" t="inlineStr">
        <is>
          <t>Rs 280 crore</t>
        </is>
      </c>
      <c r="H1987" t="inlineStr">
        <is>
          <t>Series A</t>
        </is>
      </c>
      <c r="I1987" t="inlineStr">
        <is>
          <t>Early</t>
        </is>
      </c>
      <c r="J1987" t="inlineStr">
        <is>
          <t>Fintech</t>
        </is>
      </c>
      <c r="K1987" t="inlineStr">
        <is>
          <t>Delhi NCR</t>
        </is>
      </c>
      <c r="L1987" t="inlineStr">
        <is>
          <t>SMBC Asia Rising Fund</t>
        </is>
      </c>
      <c r="M1987" t="inlineStr">
        <is>
          <t>SMBC Asia Rising Fund; Lightspeed India Partners; Burman Family Office; RAAY Investments; Kuldeep Rathi Family Office; Stride Ventures; Innoven Capital</t>
        </is>
      </c>
      <c r="N1987" t="inlineStr">
        <is>
          <t>entrackr | inc42 | et</t>
        </is>
      </c>
      <c r="O1987" s="20" t="n">
        <v>3</v>
      </c>
      <c r="P1987" s="21" t="n">
        <v>1.2</v>
      </c>
      <c r="Q1987" t="inlineStr"/>
      <c r="R1987" s="22" t="inlineStr">
        <is>
          <t>https://entrackr.com/news/centricity-raises-rs-280-cr-in-series-a-round-led-by-smbc-asia-rising-fund-12255713</t>
        </is>
      </c>
    </row>
    <row r="1988">
      <c r="A1988" t="inlineStr">
        <is>
          <t>R260813-invisel</t>
        </is>
      </c>
      <c r="B1988" t="inlineStr">
        <is>
          <t>Invisel</t>
        </is>
      </c>
      <c r="C1988" s="17" t="n">
        <v>46247</v>
      </c>
      <c r="D1988" s="18" t="n">
        <v>46235</v>
      </c>
      <c r="E1988" s="19" t="n">
        <v>0.42</v>
      </c>
      <c r="F1988" s="19" t="n">
        <v>4.01</v>
      </c>
      <c r="G1988" t="inlineStr">
        <is>
          <t>$420K</t>
        </is>
      </c>
      <c r="H1988" t="inlineStr">
        <is>
          <t>Undisclosed</t>
        </is>
      </c>
      <c r="I1988" t="inlineStr">
        <is>
          <t>Undisclosed</t>
        </is>
      </c>
      <c r="J1988" t="inlineStr">
        <is>
          <t>Ecommerce</t>
        </is>
      </c>
      <c r="K1988" t="inlineStr">
        <is>
          <t>Unknown</t>
        </is>
      </c>
      <c r="L1988" t="inlineStr">
        <is>
          <t>IAN Group</t>
        </is>
      </c>
      <c r="M1988" t="inlineStr">
        <is>
          <t>IAN Group; BeyondSeed; FAAD Capital</t>
        </is>
      </c>
      <c r="N1988" t="inlineStr">
        <is>
          <t>inc42</t>
        </is>
      </c>
      <c r="O1988" s="20" t="n">
        <v>1</v>
      </c>
      <c r="P1988" s="21" t="n">
        <v>0</v>
      </c>
      <c r="Q1988" t="inlineStr">
        <is>
          <t>C04 C07</t>
        </is>
      </c>
      <c r="R1988" s="22" t="inlineStr">
        <is>
          <t>https://inc42.com/buzz/from-yulu-to-discovered-materials-indian-startups-raised-140-mn-this-week/</t>
        </is>
      </c>
    </row>
    <row r="1989">
      <c r="A1989" t="inlineStr">
        <is>
          <t>R260813-kshatralabs</t>
        </is>
      </c>
      <c r="B1989" t="inlineStr">
        <is>
          <t>KshatraLabs</t>
        </is>
      </c>
      <c r="C1989" s="17" t="n">
        <v>46247</v>
      </c>
      <c r="D1989" s="18" t="n">
        <v>46235</v>
      </c>
      <c r="E1989" s="19" t="n"/>
      <c r="F1989" s="19" t="n"/>
      <c r="G1989" t="inlineStr"/>
      <c r="H1989" t="inlineStr">
        <is>
          <t>Undisclosed</t>
        </is>
      </c>
      <c r="I1989" t="inlineStr">
        <is>
          <t>Undisclosed</t>
        </is>
      </c>
      <c r="J1989" t="inlineStr">
        <is>
          <t>Advanced Hardware &amp; Technology</t>
        </is>
      </c>
      <c r="K1989" t="inlineStr">
        <is>
          <t>Unknown</t>
        </is>
      </c>
      <c r="L1989" t="inlineStr">
        <is>
          <t>Finvolve; India Accelerator</t>
        </is>
      </c>
      <c r="M1989" t="inlineStr">
        <is>
          <t>Finvolve; India Accelerator</t>
        </is>
      </c>
      <c r="N1989" t="inlineStr">
        <is>
          <t>inc42</t>
        </is>
      </c>
      <c r="O1989" s="20" t="n">
        <v>1</v>
      </c>
      <c r="P1989" s="21" t="n"/>
      <c r="Q1989" t="inlineStr">
        <is>
          <t>C03 C04 C07</t>
        </is>
      </c>
      <c r="R1989" s="22" t="inlineStr">
        <is>
          <t>https://inc42.com/buzz/from-yulu-to-discovered-materials-indian-startups-raised-140-mn-this-week/</t>
        </is>
      </c>
    </row>
    <row r="1990">
      <c r="A1990" t="inlineStr">
        <is>
          <t>R260813-scrubsy</t>
        </is>
      </c>
      <c r="B1990" t="inlineStr">
        <is>
          <t>Scrubsy</t>
        </is>
      </c>
      <c r="C1990" s="17" t="n">
        <v>46247</v>
      </c>
      <c r="D1990" s="18" t="n">
        <v>46235</v>
      </c>
      <c r="E1990" s="19" t="n">
        <v>2.829</v>
      </c>
      <c r="F1990" s="19" t="n">
        <v>27</v>
      </c>
      <c r="G1990" t="inlineStr">
        <is>
          <t>Rs 27 crore</t>
        </is>
      </c>
      <c r="H1990" t="inlineStr">
        <is>
          <t>Seed</t>
        </is>
      </c>
      <c r="I1990" t="inlineStr">
        <is>
          <t>Early</t>
        </is>
      </c>
      <c r="J1990" t="inlineStr">
        <is>
          <t>Ecommerce</t>
        </is>
      </c>
      <c r="K1990" t="inlineStr">
        <is>
          <t>Delhi NCR</t>
        </is>
      </c>
      <c r="L1990" t="inlineStr">
        <is>
          <t>V3 Ventures</t>
        </is>
      </c>
      <c r="M1990" t="inlineStr">
        <is>
          <t>V3 Ventures</t>
        </is>
      </c>
      <c r="N1990" t="inlineStr">
        <is>
          <t>entrackr | inc42 | et</t>
        </is>
      </c>
      <c r="O1990" s="20" t="n">
        <v>3</v>
      </c>
      <c r="P1990" s="21" t="n">
        <v>6</v>
      </c>
      <c r="Q1990" t="inlineStr"/>
      <c r="R1990" s="22" t="inlineStr">
        <is>
          <t>https://entrackr.com/snippets/home-cleaning-products-startup-scrubsy-raises-rs-27-cr-from-v3-ventures-12256241</t>
        </is>
      </c>
    </row>
    <row r="1991">
      <c r="A1991" t="inlineStr">
        <is>
          <t>R260817-dehaathonestfa</t>
        </is>
      </c>
      <c r="B1991" t="inlineStr">
        <is>
          <t>DeHaat Honest Farms</t>
        </is>
      </c>
      <c r="C1991" s="17" t="n">
        <v>46251</v>
      </c>
      <c r="D1991" s="18" t="n">
        <v>46235</v>
      </c>
      <c r="E1991" s="19" t="n">
        <v>3.661</v>
      </c>
      <c r="F1991" s="19" t="n">
        <v>35</v>
      </c>
      <c r="G1991" t="inlineStr">
        <is>
          <t>Rs 35 crore</t>
        </is>
      </c>
      <c r="H1991" t="inlineStr">
        <is>
          <t>Pre-Series A</t>
        </is>
      </c>
      <c r="I1991" t="inlineStr">
        <is>
          <t>Early</t>
        </is>
      </c>
      <c r="J1991" t="inlineStr">
        <is>
          <t>Ecommerce</t>
        </is>
      </c>
      <c r="K1991" t="inlineStr">
        <is>
          <t>Unknown</t>
        </is>
      </c>
      <c r="L1991" t="inlineStr">
        <is>
          <t>OTP Ventures</t>
        </is>
      </c>
      <c r="M1991" t="inlineStr">
        <is>
          <t>OTP Ventures; Sadev Capital; Maiuni Ventures</t>
        </is>
      </c>
      <c r="N1991" t="inlineStr">
        <is>
          <t>entrackr | inc42</t>
        </is>
      </c>
      <c r="O1991" s="20" t="n">
        <v>2</v>
      </c>
      <c r="P1991" s="21" t="n">
        <v>1.7</v>
      </c>
      <c r="Q1991" t="inlineStr">
        <is>
          <t>C07</t>
        </is>
      </c>
      <c r="R1991" s="22" t="inlineStr">
        <is>
          <t>https://entrackr.com/snippets/otp-ventures-leads-rs-35-cr-pre-series-a-round-in-dehaat-honest-farms-12267830</t>
        </is>
      </c>
    </row>
    <row r="1992">
      <c r="A1992" t="inlineStr">
        <is>
          <t>R260818-wisprflow</t>
        </is>
      </c>
      <c r="B1992" t="inlineStr">
        <is>
          <t>Wispr Flow</t>
        </is>
      </c>
      <c r="C1992" s="17" t="n">
        <v>46251</v>
      </c>
      <c r="D1992" s="18" t="n">
        <v>46235</v>
      </c>
      <c r="E1992" s="19" t="n">
        <v>280</v>
      </c>
      <c r="F1992" s="19" t="n">
        <v>2677.08</v>
      </c>
      <c r="G1992" t="inlineStr">
        <is>
          <t>$280 million</t>
        </is>
      </c>
      <c r="H1992" t="inlineStr">
        <is>
          <t>Series B</t>
        </is>
      </c>
      <c r="I1992" t="inlineStr">
        <is>
          <t>Growth</t>
        </is>
      </c>
      <c r="J1992" t="inlineStr">
        <is>
          <t>Artificial Intelligence</t>
        </is>
      </c>
      <c r="K1992" t="inlineStr">
        <is>
          <t>Outside India</t>
        </is>
      </c>
      <c r="L1992" t="inlineStr">
        <is>
          <t>Menlo Ventures</t>
        </is>
      </c>
      <c r="M1992" t="inlineStr">
        <is>
          <t>Menlo Ventures; NEA; Neo Ventures; 8VC; MVP Ventures</t>
        </is>
      </c>
      <c r="N1992" t="inlineStr">
        <is>
          <t>entrackr | et</t>
        </is>
      </c>
      <c r="O1992" s="20" t="n">
        <v>2</v>
      </c>
      <c r="P1992" s="21" t="n">
        <v>0</v>
      </c>
      <c r="Q1992" t="inlineStr">
        <is>
          <t>C11</t>
        </is>
      </c>
      <c r="R1992" s="22" t="inlineStr">
        <is>
          <t>https://economictimes.indiatimes.com/tech/funding/wispr-flow-raises-280-million-at-2-billion-valuation-peak-xv-joins-new-round/articleshow/133301827.cms</t>
        </is>
      </c>
    </row>
    <row r="1993">
      <c r="A1993" t="inlineStr">
        <is>
          <t>R260818-lissun</t>
        </is>
      </c>
      <c r="B1993" t="inlineStr">
        <is>
          <t>LISSUN</t>
        </is>
      </c>
      <c r="C1993" s="17" t="n">
        <v>46252</v>
      </c>
      <c r="D1993" s="18" t="n">
        <v>46235</v>
      </c>
      <c r="E1993" s="19" t="n">
        <v>5.016</v>
      </c>
      <c r="F1993" s="19" t="n">
        <v>48</v>
      </c>
      <c r="G1993" t="inlineStr">
        <is>
          <t>Rs 48 crore</t>
        </is>
      </c>
      <c r="H1993" t="inlineStr">
        <is>
          <t>Series A</t>
        </is>
      </c>
      <c r="I1993" t="inlineStr">
        <is>
          <t>Early</t>
        </is>
      </c>
      <c r="J1993" t="inlineStr">
        <is>
          <t>Healthtech</t>
        </is>
      </c>
      <c r="K1993" t="inlineStr">
        <is>
          <t>Delhi NCR</t>
        </is>
      </c>
      <c r="L1993" t="inlineStr">
        <is>
          <t>Colossa Ventures</t>
        </is>
      </c>
      <c r="M1993" t="inlineStr">
        <is>
          <t>Colossa Ventures; Physis Capital; RPSG Capital Ventures; IvyCap Ventures; Rainmatter; Multiply Ventures; SucSEED Ventures; New Age India Fund; Beyond Capital Ventures</t>
        </is>
      </c>
      <c r="N1993" t="inlineStr">
        <is>
          <t>entrackr | inc42</t>
        </is>
      </c>
      <c r="O1993" s="20" t="n">
        <v>2</v>
      </c>
      <c r="P1993" s="21" t="n">
        <v>0.3</v>
      </c>
      <c r="Q1993" t="inlineStr"/>
      <c r="R1993" s="22" t="inlineStr">
        <is>
          <t>https://entrackr.com/snippets/health-tech-platform-lissun-raises-rs-48-cr-in-series-a-led-by-colossa-ventures-12391763</t>
        </is>
      </c>
    </row>
    <row r="1994">
      <c r="A1994" t="inlineStr">
        <is>
          <t>R260818-neogeo</t>
        </is>
      </c>
      <c r="B1994" t="inlineStr">
        <is>
          <t>NeoGeo</t>
        </is>
      </c>
      <c r="C1994" s="17" t="n">
        <v>46252</v>
      </c>
      <c r="D1994" s="18" t="n">
        <v>46235</v>
      </c>
      <c r="E1994" s="19" t="n">
        <v>20</v>
      </c>
      <c r="F1994" s="19" t="n">
        <v>191.38</v>
      </c>
      <c r="G1994" t="inlineStr">
        <is>
          <t>$20 Mn</t>
        </is>
      </c>
      <c r="H1994" t="inlineStr">
        <is>
          <t>Series A</t>
        </is>
      </c>
      <c r="I1994" t="inlineStr">
        <is>
          <t>Early</t>
        </is>
      </c>
      <c r="J1994" t="inlineStr">
        <is>
          <t>Advanced Hardware &amp; Technology</t>
        </is>
      </c>
      <c r="K1994" t="inlineStr">
        <is>
          <t>Unknown</t>
        </is>
      </c>
      <c r="L1994" t="inlineStr">
        <is>
          <t>SBI Ventures; Aavishkaar Capital</t>
        </is>
      </c>
      <c r="M1994" t="inlineStr">
        <is>
          <t>SBI Ventures; Aavishkaar Capital</t>
        </is>
      </c>
      <c r="N1994" t="inlineStr">
        <is>
          <t>inc42</t>
        </is>
      </c>
      <c r="O1994" s="20" t="n">
        <v>1</v>
      </c>
      <c r="P1994" s="21" t="n">
        <v>0</v>
      </c>
      <c r="Q1994" t="inlineStr">
        <is>
          <t>C07</t>
        </is>
      </c>
      <c r="R1994" s="22" t="inlineStr">
        <is>
          <t>https://inc42.com/buzz/from-navi-to-bookmyshow-indian-startups-raised-over-233-mn-this-week/</t>
        </is>
      </c>
    </row>
    <row r="1995">
      <c r="A1995" t="inlineStr">
        <is>
          <t>R260818-rezolv</t>
        </is>
      </c>
      <c r="B1995" t="inlineStr">
        <is>
          <t>Rezolv</t>
        </is>
      </c>
      <c r="C1995" s="17" t="n">
        <v>46252</v>
      </c>
      <c r="D1995" s="18" t="n">
        <v>46235</v>
      </c>
      <c r="E1995" s="19" t="n">
        <v>12.5</v>
      </c>
      <c r="F1995" s="19" t="n">
        <v>119.61</v>
      </c>
      <c r="G1995" t="inlineStr">
        <is>
          <t>$12.5 million</t>
        </is>
      </c>
      <c r="H1995" t="inlineStr">
        <is>
          <t>Series A</t>
        </is>
      </c>
      <c r="I1995" t="inlineStr">
        <is>
          <t>Early</t>
        </is>
      </c>
      <c r="J1995" t="inlineStr">
        <is>
          <t>Fintech</t>
        </is>
      </c>
      <c r="K1995" t="inlineStr">
        <is>
          <t>Mumbai</t>
        </is>
      </c>
      <c r="L1995" t="inlineStr">
        <is>
          <t>Norwest Capital</t>
        </is>
      </c>
      <c r="M1995" t="inlineStr">
        <is>
          <t>Norwest Capital; Vertex Ventures Southeast Asia; 3one4 Capital</t>
        </is>
      </c>
      <c r="N1995" t="inlineStr">
        <is>
          <t>entrackr | inc42 | et</t>
        </is>
      </c>
      <c r="O1995" s="20" t="n">
        <v>3</v>
      </c>
      <c r="P1995" s="21" t="n">
        <v>0</v>
      </c>
      <c r="Q1995" t="inlineStr">
        <is>
          <t>C18</t>
        </is>
      </c>
      <c r="R1995" s="22" t="inlineStr">
        <is>
          <t>https://entrackr.com/news/norwest-leads-125-mn-series-a-round-in-ai-lending-tech-platform-rezolv-12391129</t>
        </is>
      </c>
    </row>
    <row r="1996">
      <c r="A1996" t="inlineStr">
        <is>
          <t>R260819-algofet</t>
        </is>
      </c>
      <c r="B1996" t="inlineStr">
        <is>
          <t>AlgoFET</t>
        </is>
      </c>
      <c r="C1996" s="17" t="n">
        <v>46253</v>
      </c>
      <c r="D1996" s="18" t="n">
        <v>46235</v>
      </c>
      <c r="E1996" s="19" t="n">
        <v>1.566</v>
      </c>
      <c r="F1996" s="19" t="n">
        <v>15</v>
      </c>
      <c r="G1996" t="inlineStr">
        <is>
          <t>Rs 15 crore</t>
        </is>
      </c>
      <c r="H1996" t="inlineStr">
        <is>
          <t>Pre-Series A</t>
        </is>
      </c>
      <c r="I1996" t="inlineStr">
        <is>
          <t>Early</t>
        </is>
      </c>
      <c r="J1996" t="inlineStr">
        <is>
          <t>Advanced Hardware &amp; Technology</t>
        </is>
      </c>
      <c r="K1996" t="inlineStr">
        <is>
          <t>Bengaluru</t>
        </is>
      </c>
      <c r="L1996" t="inlineStr">
        <is>
          <t>Piper Serica</t>
        </is>
      </c>
      <c r="M1996" t="inlineStr">
        <is>
          <t>Piper Serica</t>
        </is>
      </c>
      <c r="N1996" t="inlineStr">
        <is>
          <t>entrackr | inc42 | et</t>
        </is>
      </c>
      <c r="O1996" s="20" t="n">
        <v>3</v>
      </c>
      <c r="P1996" s="21" t="n">
        <v>4.4</v>
      </c>
      <c r="Q1996" t="inlineStr"/>
      <c r="R1996" s="22" t="inlineStr">
        <is>
          <t>https://entrackr.com/snippets/piper-serica-leads-rs-15-cr-pre-series-a-round-in-deep-tech-startup-algofet-12395742</t>
        </is>
      </c>
    </row>
    <row r="1997">
      <c r="A1997" t="inlineStr">
        <is>
          <t>R260819-bookmyshow</t>
        </is>
      </c>
      <c r="B1997" t="inlineStr">
        <is>
          <t>BookMyShow</t>
        </is>
      </c>
      <c r="C1997" s="17" t="n">
        <v>46253</v>
      </c>
      <c r="D1997" s="18" t="n">
        <v>46235</v>
      </c>
      <c r="E1997" s="19" t="n">
        <v>40</v>
      </c>
      <c r="F1997" s="19" t="n">
        <v>383.04</v>
      </c>
      <c r="G1997" t="inlineStr">
        <is>
          <t>$40 Mn</t>
        </is>
      </c>
      <c r="H1997" t="inlineStr">
        <is>
          <t>Undisclosed</t>
        </is>
      </c>
      <c r="I1997" t="inlineStr">
        <is>
          <t>Undisclosed</t>
        </is>
      </c>
      <c r="J1997" t="inlineStr">
        <is>
          <t>Consumer Services</t>
        </is>
      </c>
      <c r="K1997" t="inlineStr">
        <is>
          <t>Unknown</t>
        </is>
      </c>
      <c r="L1997" t="inlineStr">
        <is>
          <t>KKR</t>
        </is>
      </c>
      <c r="M1997" t="inlineStr">
        <is>
          <t>KKR</t>
        </is>
      </c>
      <c r="N1997" t="inlineStr">
        <is>
          <t>inc42</t>
        </is>
      </c>
      <c r="O1997" s="20" t="n">
        <v>1</v>
      </c>
      <c r="P1997" s="21" t="n">
        <v>0</v>
      </c>
      <c r="Q1997" t="inlineStr">
        <is>
          <t>C04 C07</t>
        </is>
      </c>
      <c r="R1997" s="22" t="inlineStr">
        <is>
          <t>https://inc42.com/buzz/from-navi-to-bookmyshow-indian-startups-raised-over-233-mn-this-week/</t>
        </is>
      </c>
    </row>
    <row r="1998">
      <c r="A1998" t="inlineStr">
        <is>
          <t>R260819-butterflylearn</t>
        </is>
      </c>
      <c r="B1998" t="inlineStr">
        <is>
          <t>Butterfly Learnings</t>
        </is>
      </c>
      <c r="C1998" s="17" t="n">
        <v>46253</v>
      </c>
      <c r="D1998" s="18" t="n">
        <v>46235</v>
      </c>
      <c r="E1998" s="19" t="n">
        <v>6.788</v>
      </c>
      <c r="F1998" s="19" t="n">
        <v>65</v>
      </c>
      <c r="G1998" t="inlineStr">
        <is>
          <t>Rs 65 crore</t>
        </is>
      </c>
      <c r="H1998" t="inlineStr">
        <is>
          <t>Pre-Series B</t>
        </is>
      </c>
      <c r="I1998" t="inlineStr">
        <is>
          <t>Growth</t>
        </is>
      </c>
      <c r="J1998" t="inlineStr">
        <is>
          <t>Healthtech</t>
        </is>
      </c>
      <c r="K1998" t="inlineStr">
        <is>
          <t>Mumbai</t>
        </is>
      </c>
      <c r="L1998" t="inlineStr">
        <is>
          <t>Inflexor Ventures</t>
        </is>
      </c>
      <c r="M1998" t="inlineStr">
        <is>
          <t>Inflexor Ventures; Enzia Ventures; Insitor Impact Asia Fund; IIMA Ventures</t>
        </is>
      </c>
      <c r="N1998" t="inlineStr">
        <is>
          <t>entrackr | inc42</t>
        </is>
      </c>
      <c r="O1998" s="20" t="n">
        <v>2</v>
      </c>
      <c r="P1998" s="21" t="n">
        <v>1.3</v>
      </c>
      <c r="Q1998" t="inlineStr"/>
      <c r="R1998" s="22" t="inlineStr">
        <is>
          <t>https://entrackr.com/snippets/butterfly-learnings-raises-rs-65-cr-in-pre-series-b-round-led-by-inflexor-ventures-12394562</t>
        </is>
      </c>
    </row>
    <row r="1999">
      <c r="A1999" t="inlineStr">
        <is>
          <t>R260819-ctrls</t>
        </is>
      </c>
      <c r="B1999" t="inlineStr">
        <is>
          <t>CtrlS DataCenters</t>
        </is>
      </c>
      <c r="C1999" s="17" t="n">
        <v>46253</v>
      </c>
      <c r="D1999" s="18" t="n">
        <v>46235</v>
      </c>
      <c r="E1999" s="19" t="n">
        <v>26.107</v>
      </c>
      <c r="F1999" s="19" t="n">
        <v>250</v>
      </c>
      <c r="G1999" t="inlineStr">
        <is>
          <t>Rs 250 crore</t>
        </is>
      </c>
      <c r="H1999" t="inlineStr">
        <is>
          <t>Undisclosed</t>
        </is>
      </c>
      <c r="I1999" t="inlineStr">
        <is>
          <t>Undisclosed</t>
        </is>
      </c>
      <c r="J1999" t="inlineStr">
        <is>
          <t>Enterprise Tech</t>
        </is>
      </c>
      <c r="K1999" t="inlineStr">
        <is>
          <t>Unknown</t>
        </is>
      </c>
      <c r="L1999" t="inlineStr">
        <is>
          <t>Nikhil Kamath</t>
        </is>
      </c>
      <c r="M1999" t="inlineStr">
        <is>
          <t>Nikhil Kamath; Sreeram Reddy Vanga</t>
        </is>
      </c>
      <c r="N1999" t="inlineStr">
        <is>
          <t>entrackr | inc42 | vccircle</t>
        </is>
      </c>
      <c r="O1999" s="20" t="n">
        <v>3</v>
      </c>
      <c r="P1999" s="21" t="n">
        <v>0</v>
      </c>
      <c r="Q1999" t="inlineStr">
        <is>
          <t>C04 C07</t>
        </is>
      </c>
      <c r="R1999" s="22" t="inlineStr">
        <is>
          <t>https://entrackr.com/news/nikhil-kamath-invests-rs-200-cr-in-ctrls-as-hyperscale-data-centre-operator-raises-rs-250-cr-12395469</t>
        </is>
      </c>
    </row>
    <row r="2000">
      <c r="A2000" t="inlineStr">
        <is>
          <t>R260819-digidukan</t>
        </is>
      </c>
      <c r="B2000" t="inlineStr">
        <is>
          <t>Digidukan</t>
        </is>
      </c>
      <c r="C2000" s="17" t="n">
        <v>46253</v>
      </c>
      <c r="D2000" s="18" t="n">
        <v>46235</v>
      </c>
      <c r="E2000" s="19" t="n">
        <v>0.209</v>
      </c>
      <c r="F2000" s="19" t="n">
        <v>2</v>
      </c>
      <c r="G2000" t="inlineStr">
        <is>
          <t>Rs 2 crore</t>
        </is>
      </c>
      <c r="H2000" t="inlineStr">
        <is>
          <t>Angel</t>
        </is>
      </c>
      <c r="I2000" t="inlineStr">
        <is>
          <t>Early</t>
        </is>
      </c>
      <c r="J2000" t="inlineStr">
        <is>
          <t>Consumer Services</t>
        </is>
      </c>
      <c r="K2000" t="inlineStr">
        <is>
          <t>Jaipur</t>
        </is>
      </c>
      <c r="L2000" t="inlineStr"/>
      <c r="M2000" t="inlineStr">
        <is>
          <t>Vinay Gupta; Shubham Gupta</t>
        </is>
      </c>
      <c r="N2000" t="inlineStr">
        <is>
          <t>entrackr | inc42</t>
        </is>
      </c>
      <c r="O2000" s="20" t="n">
        <v>2</v>
      </c>
      <c r="P2000" s="21" t="n">
        <v>0.1</v>
      </c>
      <c r="Q2000" t="inlineStr"/>
      <c r="R2000" s="22" t="inlineStr">
        <is>
          <t>https://entrackr.com/snippets/digidukan-raises-rs-2-cr-in-angel-funding-from-united-plywood-directors-12395346</t>
        </is>
      </c>
    </row>
    <row r="2001">
      <c r="A2001" t="inlineStr">
        <is>
          <t>R260819-firstcoffee</t>
        </is>
      </c>
      <c r="B2001" t="inlineStr">
        <is>
          <t>First Coffee</t>
        </is>
      </c>
      <c r="C2001" s="17" t="n">
        <v>46253</v>
      </c>
      <c r="D2001" s="18" t="n">
        <v>46235</v>
      </c>
      <c r="E2001" s="19" t="n">
        <v>1.3</v>
      </c>
      <c r="F2001" s="19" t="n">
        <v>12.45</v>
      </c>
      <c r="G2001" t="inlineStr">
        <is>
          <t>$1.3 Mn</t>
        </is>
      </c>
      <c r="H2001" t="inlineStr">
        <is>
          <t>Pre-Series A</t>
        </is>
      </c>
      <c r="I2001" t="inlineStr">
        <is>
          <t>Early</t>
        </is>
      </c>
      <c r="J2001" t="inlineStr">
        <is>
          <t>Foodtech</t>
        </is>
      </c>
      <c r="K2001" t="inlineStr">
        <is>
          <t>Unknown</t>
        </is>
      </c>
      <c r="L2001" t="inlineStr">
        <is>
          <t>DG Daiwa Ventures</t>
        </is>
      </c>
      <c r="M2001" t="inlineStr">
        <is>
          <t>DG Daiwa Ventures; BEENEXT; Sanjay Kapoor; Shashank Bhagat</t>
        </is>
      </c>
      <c r="N2001" t="inlineStr">
        <is>
          <t>inc42</t>
        </is>
      </c>
      <c r="O2001" s="20" t="n">
        <v>1</v>
      </c>
      <c r="P2001" s="21" t="n">
        <v>0</v>
      </c>
      <c r="Q2001" t="inlineStr">
        <is>
          <t>C07</t>
        </is>
      </c>
      <c r="R2001" s="22" t="inlineStr">
        <is>
          <t>https://inc42.com/buzz/from-navi-to-bookmyshow-indian-startups-raised-over-233-mn-this-week/</t>
        </is>
      </c>
    </row>
    <row r="2002">
      <c r="A2002" t="inlineStr">
        <is>
          <t>R260819-navi</t>
        </is>
      </c>
      <c r="B2002" t="inlineStr">
        <is>
          <t>Navi</t>
        </is>
      </c>
      <c r="C2002" s="17" t="n">
        <v>46253</v>
      </c>
      <c r="D2002" s="18" t="n">
        <v>46235</v>
      </c>
      <c r="E2002" s="19" t="n">
        <v>100</v>
      </c>
      <c r="F2002" s="19" t="n">
        <v>957.6</v>
      </c>
      <c r="G2002" t="inlineStr">
        <is>
          <t>$100 million</t>
        </is>
      </c>
      <c r="H2002" t="inlineStr">
        <is>
          <t>Undisclosed</t>
        </is>
      </c>
      <c r="I2002" t="inlineStr">
        <is>
          <t>Undisclosed</t>
        </is>
      </c>
      <c r="J2002" t="inlineStr">
        <is>
          <t>Fintech</t>
        </is>
      </c>
      <c r="K2002" t="inlineStr">
        <is>
          <t>Bengaluru</t>
        </is>
      </c>
      <c r="L2002" t="inlineStr">
        <is>
          <t>Prosus</t>
        </is>
      </c>
      <c r="M2002" t="inlineStr">
        <is>
          <t>Prosus; Competition Commission of India</t>
        </is>
      </c>
      <c r="N2002" t="inlineStr">
        <is>
          <t>entrackr | inc42 | et | vccircle</t>
        </is>
      </c>
      <c r="O2002" s="20" t="n">
        <v>4</v>
      </c>
      <c r="P2002" s="21" t="n">
        <v>0</v>
      </c>
      <c r="Q2002" t="inlineStr">
        <is>
          <t>C04</t>
        </is>
      </c>
      <c r="R2002" s="22" t="inlineStr">
        <is>
          <t>https://entrackr.com/news/navi-raises-100-mn-from-prosus-ahead-of-ipo-12396548</t>
        </is>
      </c>
    </row>
    <row r="2003">
      <c r="A2003" t="inlineStr">
        <is>
          <t>R260819-yantrapacks</t>
        </is>
      </c>
      <c r="B2003" t="inlineStr">
        <is>
          <t>Yantra Packs</t>
        </is>
      </c>
      <c r="C2003" s="17" t="n">
        <v>46253</v>
      </c>
      <c r="D2003" s="18" t="n">
        <v>46235</v>
      </c>
      <c r="E2003" s="19" t="n">
        <v>1.253</v>
      </c>
      <c r="F2003" s="19" t="n">
        <v>12</v>
      </c>
      <c r="G2003" t="inlineStr">
        <is>
          <t>Rs 12 crore</t>
        </is>
      </c>
      <c r="H2003" t="inlineStr">
        <is>
          <t>Seed</t>
        </is>
      </c>
      <c r="I2003" t="inlineStr">
        <is>
          <t>Early</t>
        </is>
      </c>
      <c r="J2003" t="inlineStr">
        <is>
          <t>Logistics</t>
        </is>
      </c>
      <c r="K2003" t="inlineStr">
        <is>
          <t>Delhi NCR</t>
        </is>
      </c>
      <c r="L2003" t="inlineStr">
        <is>
          <t>Caret Capital</t>
        </is>
      </c>
      <c r="M2003" t="inlineStr">
        <is>
          <t>Caret Capital; Impact Infracap</t>
        </is>
      </c>
      <c r="N2003" t="inlineStr">
        <is>
          <t>entrackr | inc42</t>
        </is>
      </c>
      <c r="O2003" s="20" t="n">
        <v>2</v>
      </c>
      <c r="P2003" s="21" t="n">
        <v>4.4</v>
      </c>
      <c r="Q2003" t="inlineStr"/>
      <c r="R2003" s="22" t="inlineStr">
        <is>
          <t>https://entrackr.com/snippets/yantra-packs-raises-rs-12-cr-in-seed-round-led-by-caret-capital-12396605</t>
        </is>
      </c>
    </row>
    <row r="2004">
      <c r="A2004" t="inlineStr">
        <is>
          <t>R260819-zenalyst</t>
        </is>
      </c>
      <c r="B2004" t="inlineStr">
        <is>
          <t>Zenalyst</t>
        </is>
      </c>
      <c r="C2004" s="17" t="n">
        <v>46253</v>
      </c>
      <c r="D2004" s="18" t="n">
        <v>46235</v>
      </c>
      <c r="E2004" s="19" t="n">
        <v>0.313</v>
      </c>
      <c r="F2004" s="19" t="n">
        <v>3</v>
      </c>
      <c r="G2004" t="inlineStr">
        <is>
          <t>Rs 3 crore</t>
        </is>
      </c>
      <c r="H2004" t="inlineStr">
        <is>
          <t>Pre-Seed</t>
        </is>
      </c>
      <c r="I2004" t="inlineStr">
        <is>
          <t>Early</t>
        </is>
      </c>
      <c r="J2004" t="inlineStr">
        <is>
          <t>Artificial Intelligence</t>
        </is>
      </c>
      <c r="K2004" t="inlineStr">
        <is>
          <t>Bengaluru</t>
        </is>
      </c>
      <c r="L2004" t="inlineStr"/>
      <c r="M2004" t="inlineStr">
        <is>
          <t>SKIL Cabs; GERP Technologie; Anurag Jain; Manish Kumar Jeloka; Pratap Padode; Siddarth Razdan; P H Corp</t>
        </is>
      </c>
      <c r="N2004" t="inlineStr">
        <is>
          <t>entrackr | inc42</t>
        </is>
      </c>
      <c r="O2004" s="20" t="n">
        <v>2</v>
      </c>
      <c r="P2004" s="21" t="n">
        <v>0.2</v>
      </c>
      <c r="Q2004" t="inlineStr"/>
      <c r="R2004" s="22" t="inlineStr">
        <is>
          <t>https://entrackr.com/snippets/enterprise-ai-platform-zenalyst-raises-pre-seed-funding-12394262</t>
        </is>
      </c>
    </row>
    <row r="2005">
      <c r="A2005" t="inlineStr">
        <is>
          <t>R260820-bgauss</t>
        </is>
      </c>
      <c r="B2005" t="inlineStr">
        <is>
          <t>BGauss</t>
        </is>
      </c>
      <c r="C2005" s="17" t="n">
        <v>46254</v>
      </c>
      <c r="D2005" s="18" t="n">
        <v>46235</v>
      </c>
      <c r="E2005" s="19" t="n">
        <v>11.493</v>
      </c>
      <c r="F2005" s="19" t="n">
        <v>110</v>
      </c>
      <c r="G2005" t="inlineStr">
        <is>
          <t>Rs 110 crore</t>
        </is>
      </c>
      <c r="H2005" t="inlineStr">
        <is>
          <t>Series D</t>
        </is>
      </c>
      <c r="I2005" t="inlineStr">
        <is>
          <t>Late</t>
        </is>
      </c>
      <c r="J2005" t="inlineStr">
        <is>
          <t>Cleantech</t>
        </is>
      </c>
      <c r="K2005" t="inlineStr">
        <is>
          <t>Pune</t>
        </is>
      </c>
      <c r="L2005" t="inlineStr">
        <is>
          <t>Hemant Mahendrakumar Kabra</t>
        </is>
      </c>
      <c r="M2005" t="inlineStr">
        <is>
          <t>Hemant Mahendrakumar Kabra; Bharat Value Fund</t>
        </is>
      </c>
      <c r="N2005" t="inlineStr">
        <is>
          <t>entrackr</t>
        </is>
      </c>
      <c r="O2005" s="20" t="n">
        <v>1</v>
      </c>
      <c r="P2005" s="21" t="n">
        <v>0</v>
      </c>
      <c r="Q2005" t="inlineStr"/>
      <c r="R2005" s="22" t="inlineStr">
        <is>
          <t>https://entrackr.com/exclusive/exclusive-bgauss-raises-rs-110-cr-in-fresh-round-at-rs-1000-cr-valuation-12397665</t>
        </is>
      </c>
    </row>
    <row r="2006">
      <c r="A2006" t="inlineStr">
        <is>
          <t>R260820-brunomilano</t>
        </is>
      </c>
      <c r="B2006" t="inlineStr">
        <is>
          <t>Bruno Milano</t>
        </is>
      </c>
      <c r="C2006" s="17" t="n">
        <v>46254</v>
      </c>
      <c r="D2006" s="18" t="n">
        <v>46235</v>
      </c>
      <c r="E2006" s="19" t="n">
        <v>0.731</v>
      </c>
      <c r="F2006" s="19" t="n">
        <v>7</v>
      </c>
      <c r="G2006" t="inlineStr">
        <is>
          <t>$731K</t>
        </is>
      </c>
      <c r="H2006" t="inlineStr">
        <is>
          <t>Undisclosed</t>
        </is>
      </c>
      <c r="I2006" t="inlineStr">
        <is>
          <t>Undisclosed</t>
        </is>
      </c>
      <c r="J2006" t="inlineStr">
        <is>
          <t>Ecommerce</t>
        </is>
      </c>
      <c r="K2006" t="inlineStr">
        <is>
          <t>Delhi NCR</t>
        </is>
      </c>
      <c r="L2006" t="inlineStr">
        <is>
          <t>Sauce VC</t>
        </is>
      </c>
      <c r="M2006" t="inlineStr">
        <is>
          <t>Sauce VC; Titan Capital; Arjun Purkayastha; Roman Saini; Kitty Agarwal; SVP; Greater China; North Asia division</t>
        </is>
      </c>
      <c r="N2006" t="inlineStr">
        <is>
          <t>inc42 | et</t>
        </is>
      </c>
      <c r="O2006" s="20" t="n">
        <v>2</v>
      </c>
      <c r="P2006" s="21" t="n">
        <v>7.2</v>
      </c>
      <c r="Q2006" t="inlineStr">
        <is>
          <t>C04</t>
        </is>
      </c>
      <c r="R2006" s="22" t="inlineStr">
        <is>
          <t>https://economictimes.indiatimes.com/tech/funding/d2c-watch-brand-bruno-milano-raises-rs-7-5-crore-led-by-sauce-vc/articleshow/133376365.cms</t>
        </is>
      </c>
    </row>
    <row r="2007">
      <c r="A2007" t="inlineStr">
        <is>
          <t>R260820-neuromodaqua</t>
        </is>
      </c>
      <c r="B2007" t="inlineStr">
        <is>
          <t>Neuromod Aqua</t>
        </is>
      </c>
      <c r="C2007" s="17" t="n">
        <v>46254</v>
      </c>
      <c r="D2007" s="18" t="n">
        <v>46235</v>
      </c>
      <c r="E2007" s="19" t="n"/>
      <c r="F2007" s="19" t="n"/>
      <c r="G2007" t="inlineStr"/>
      <c r="H2007" t="inlineStr">
        <is>
          <t>Pre-Seed</t>
        </is>
      </c>
      <c r="I2007" t="inlineStr">
        <is>
          <t>Early</t>
        </is>
      </c>
      <c r="J2007" t="inlineStr">
        <is>
          <t>Advanced Hardware &amp; Technology</t>
        </is>
      </c>
      <c r="K2007" t="inlineStr">
        <is>
          <t>Delhi NCR</t>
        </is>
      </c>
      <c r="L2007" t="inlineStr">
        <is>
          <t>Porush Jain</t>
        </is>
      </c>
      <c r="M2007" t="inlineStr">
        <is>
          <t>Porush Jain</t>
        </is>
      </c>
      <c r="N2007" t="inlineStr">
        <is>
          <t>entrackr | inc42</t>
        </is>
      </c>
      <c r="O2007" s="20" t="n">
        <v>2</v>
      </c>
      <c r="P2007" s="21" t="n"/>
      <c r="Q2007" t="inlineStr">
        <is>
          <t>C03</t>
        </is>
      </c>
      <c r="R2007" s="22" t="inlineStr">
        <is>
          <t>https://entrackr.com/snippets/neuromod-aqua-raises-pre-seed-funding-from-sportskeeda-founder-porush-jain-12397827</t>
        </is>
      </c>
    </row>
    <row r="2008">
      <c r="A2008" t="inlineStr">
        <is>
          <t>R260820-peeko</t>
        </is>
      </c>
      <c r="B2008" t="inlineStr">
        <is>
          <t>Peeko</t>
        </is>
      </c>
      <c r="C2008" s="17" t="n">
        <v>46254</v>
      </c>
      <c r="D2008" s="18" t="n">
        <v>46235</v>
      </c>
      <c r="E2008" s="19" t="n">
        <v>7.042</v>
      </c>
      <c r="F2008" s="19" t="n">
        <v>67.40000000000001</v>
      </c>
      <c r="G2008" t="inlineStr">
        <is>
          <t>Rs 67.4 crore</t>
        </is>
      </c>
      <c r="H2008" t="inlineStr">
        <is>
          <t>Series A</t>
        </is>
      </c>
      <c r="I2008" t="inlineStr">
        <is>
          <t>Early</t>
        </is>
      </c>
      <c r="J2008" t="inlineStr">
        <is>
          <t>Consumer Services</t>
        </is>
      </c>
      <c r="K2008" t="inlineStr">
        <is>
          <t>Bengaluru</t>
        </is>
      </c>
      <c r="L2008" t="inlineStr">
        <is>
          <t>Chiratae Ventures</t>
        </is>
      </c>
      <c r="M2008" t="inlineStr">
        <is>
          <t>Chiratae Ventures; Stellaris Venture Partners; Maninder Gulati; Arjun Vaidya</t>
        </is>
      </c>
      <c r="N2008" t="inlineStr">
        <is>
          <t>entrackr | inc42 | et</t>
        </is>
      </c>
      <c r="O2008" s="20" t="n">
        <v>3</v>
      </c>
      <c r="P2008" s="21" t="n">
        <v>0.6</v>
      </c>
      <c r="Q2008" t="inlineStr"/>
      <c r="R2008" s="22" t="inlineStr">
        <is>
          <t>https://entrackr.com/snippets/babycare-quick-commerce-platform-peeko-raises-over-7-mn-led-by-chiratae-12397796</t>
        </is>
      </c>
    </row>
    <row r="2009">
      <c r="A2009" t="inlineStr">
        <is>
          <t>R260820-tross</t>
        </is>
      </c>
      <c r="B2009" t="inlineStr">
        <is>
          <t>Tross</t>
        </is>
      </c>
      <c r="C2009" s="17" t="n">
        <v>46254</v>
      </c>
      <c r="D2009" s="18" t="n">
        <v>46235</v>
      </c>
      <c r="E2009" s="19" t="n"/>
      <c r="F2009" s="19" t="n"/>
      <c r="G2009" t="inlineStr"/>
      <c r="H2009" t="inlineStr">
        <is>
          <t>Pre-Seed</t>
        </is>
      </c>
      <c r="I2009" t="inlineStr">
        <is>
          <t>Early</t>
        </is>
      </c>
      <c r="J2009" t="inlineStr">
        <is>
          <t>Artificial Intelligence</t>
        </is>
      </c>
      <c r="K2009" t="inlineStr">
        <is>
          <t>Delhi NCR</t>
        </is>
      </c>
      <c r="L2009" t="inlineStr">
        <is>
          <t>All In Capital</t>
        </is>
      </c>
      <c r="M2009" t="inlineStr">
        <is>
          <t>All In Capital; DeVC</t>
        </is>
      </c>
      <c r="N2009" t="inlineStr">
        <is>
          <t>entrackr | inc42</t>
        </is>
      </c>
      <c r="O2009" s="20" t="n">
        <v>2</v>
      </c>
      <c r="P2009" s="21" t="n"/>
      <c r="Q2009" t="inlineStr">
        <is>
          <t>C03</t>
        </is>
      </c>
      <c r="R2009" s="22" t="inlineStr">
        <is>
          <t>https://entrackr.com/snippets/all-in-capital-leads-pre-seed-round-in-healthcare-infrastructure-startup-tross-12398446</t>
        </is>
      </c>
    </row>
    <row r="2010">
      <c r="A2010" t="inlineStr">
        <is>
          <t>R260820-zaydn</t>
        </is>
      </c>
      <c r="B2010" t="inlineStr">
        <is>
          <t>Zaydn</t>
        </is>
      </c>
      <c r="C2010" s="17" t="n">
        <v>46254</v>
      </c>
      <c r="D2010" s="18" t="n">
        <v>46235</v>
      </c>
      <c r="E2010" s="19" t="n">
        <v>0.681</v>
      </c>
      <c r="F2010" s="19" t="n">
        <v>6.52</v>
      </c>
      <c r="G2010" t="inlineStr">
        <is>
          <t>$681K</t>
        </is>
      </c>
      <c r="H2010" t="inlineStr">
        <is>
          <t>Seed</t>
        </is>
      </c>
      <c r="I2010" t="inlineStr">
        <is>
          <t>Early</t>
        </is>
      </c>
      <c r="J2010" t="inlineStr">
        <is>
          <t>Ecommerce</t>
        </is>
      </c>
      <c r="K2010" t="inlineStr">
        <is>
          <t>Delhi NCR</t>
        </is>
      </c>
      <c r="L2010" t="inlineStr">
        <is>
          <t>Inflection Point Ventures</t>
        </is>
      </c>
      <c r="M2010" t="inlineStr">
        <is>
          <t>Inflection Point Ventures; BeyondSeed</t>
        </is>
      </c>
      <c r="N2010" t="inlineStr">
        <is>
          <t>entrackr | inc42</t>
        </is>
      </c>
      <c r="O2010" s="20" t="n">
        <v>2</v>
      </c>
      <c r="P2010" s="21" t="n">
        <v>0</v>
      </c>
      <c r="Q2010" t="inlineStr"/>
      <c r="R2010" s="22" t="inlineStr">
        <is>
          <t>https://entrackr.com/snippets/sneaker-brand-zaydn-raises-681k-in-seed-round-led-by-ipv-12398676</t>
        </is>
      </c>
    </row>
    <row r="2011">
      <c r="A2011" t="inlineStr">
        <is>
          <t>R260821-batterysmart</t>
        </is>
      </c>
      <c r="B2011" t="inlineStr">
        <is>
          <t>Battery Smart</t>
        </is>
      </c>
      <c r="C2011" s="17" t="n">
        <v>46255</v>
      </c>
      <c r="D2011" s="18" t="n">
        <v>46235</v>
      </c>
      <c r="E2011" s="19" t="n">
        <v>19.383</v>
      </c>
      <c r="F2011" s="19" t="n">
        <v>185.5</v>
      </c>
      <c r="G2011" t="inlineStr">
        <is>
          <t>Rs 185.5 crore</t>
        </is>
      </c>
      <c r="H2011" t="inlineStr">
        <is>
          <t>Pre-Series C</t>
        </is>
      </c>
      <c r="I2011" t="inlineStr">
        <is>
          <t>Growth</t>
        </is>
      </c>
      <c r="J2011" t="inlineStr">
        <is>
          <t>Cleantech</t>
        </is>
      </c>
      <c r="K2011" t="inlineStr">
        <is>
          <t>Delhi NCR</t>
        </is>
      </c>
      <c r="L2011" t="inlineStr">
        <is>
          <t>Rising Tide Ventures</t>
        </is>
      </c>
      <c r="M2011" t="inlineStr">
        <is>
          <t>Rising Tide Ventures; Ecosystem Integrity Fund; Blume Ventures; Acacia Inclusion; PC-SBI Kurashi Visionary Fund; Mirova in April</t>
        </is>
      </c>
      <c r="N2011" t="inlineStr">
        <is>
          <t>entrackr</t>
        </is>
      </c>
      <c r="O2011" s="20" t="n">
        <v>1</v>
      </c>
      <c r="P2011" s="21" t="n">
        <v>0</v>
      </c>
      <c r="Q2011" t="inlineStr"/>
      <c r="R2011" s="22" t="inlineStr">
        <is>
          <t>https://entrackr.com/exclusive/exclusive-battery-smart-raises-195-mn-at-430-mn-valuation-12405811</t>
        </is>
      </c>
    </row>
    <row r="2012">
      <c r="A2012" t="inlineStr">
        <is>
          <t>R260821-greenjoules</t>
        </is>
      </c>
      <c r="B2012" t="inlineStr">
        <is>
          <t>Greenjoules</t>
        </is>
      </c>
      <c r="C2012" s="17" t="n">
        <v>46255</v>
      </c>
      <c r="D2012" s="18" t="n">
        <v>46235</v>
      </c>
      <c r="E2012" s="19" t="n">
        <v>6.5</v>
      </c>
      <c r="F2012" s="19" t="n">
        <v>62.21</v>
      </c>
      <c r="G2012" t="inlineStr">
        <is>
          <t>$6.5 Mn</t>
        </is>
      </c>
      <c r="H2012" t="inlineStr">
        <is>
          <t>Undisclosed</t>
        </is>
      </c>
      <c r="I2012" t="inlineStr">
        <is>
          <t>Undisclosed</t>
        </is>
      </c>
      <c r="J2012" t="inlineStr">
        <is>
          <t>Cleantech</t>
        </is>
      </c>
      <c r="K2012" t="inlineStr">
        <is>
          <t>Unknown</t>
        </is>
      </c>
      <c r="L2012" t="inlineStr">
        <is>
          <t>Amazon</t>
        </is>
      </c>
      <c r="M2012" t="inlineStr">
        <is>
          <t>Amazon; Singularity AMC</t>
        </is>
      </c>
      <c r="N2012" t="inlineStr">
        <is>
          <t>inc42</t>
        </is>
      </c>
      <c r="O2012" s="20" t="n">
        <v>1</v>
      </c>
      <c r="P2012" s="21" t="n">
        <v>0</v>
      </c>
      <c r="Q2012" t="inlineStr">
        <is>
          <t>C04 C07</t>
        </is>
      </c>
      <c r="R2012" s="22" t="inlineStr">
        <is>
          <t>https://inc42.com/buzz/from-navi-to-bookmyshow-indian-startups-raised-over-233-mn-this-week/</t>
        </is>
      </c>
    </row>
    <row r="2013">
      <c r="A2013" t="inlineStr">
        <is>
          <t>R260822-atomberg</t>
        </is>
      </c>
      <c r="B2013" t="inlineStr">
        <is>
          <t>Atomberg</t>
        </is>
      </c>
      <c r="C2013" s="17" t="n">
        <v>46256</v>
      </c>
      <c r="D2013" s="18" t="n">
        <v>46235</v>
      </c>
      <c r="E2013" s="19" t="n">
        <v>14.943</v>
      </c>
      <c r="F2013" s="19" t="n">
        <v>143</v>
      </c>
      <c r="G2013" t="inlineStr">
        <is>
          <t>Rs 143 crore</t>
        </is>
      </c>
      <c r="H2013" t="inlineStr">
        <is>
          <t>Undisclosed</t>
        </is>
      </c>
      <c r="I2013" t="inlineStr">
        <is>
          <t>Undisclosed</t>
        </is>
      </c>
      <c r="J2013" t="inlineStr">
        <is>
          <t>Ecommerce</t>
        </is>
      </c>
      <c r="K2013" t="inlineStr">
        <is>
          <t>Unknown</t>
        </is>
      </c>
      <c r="L2013" t="inlineStr"/>
      <c r="M2013" t="inlineStr"/>
      <c r="N2013" t="inlineStr">
        <is>
          <t>entrackr</t>
        </is>
      </c>
      <c r="O2013" s="20" t="n">
        <v>1</v>
      </c>
      <c r="P2013" s="21" t="n">
        <v>0</v>
      </c>
      <c r="Q2013" t="inlineStr">
        <is>
          <t>C04 C05 C07</t>
        </is>
      </c>
      <c r="R2013" s="22" t="inlineStr">
        <is>
          <t>https://entrackr.com/analysis/a91-invests-rs-143-cr-in-atomberg-sells-rs-445-cr-stake-while-retaining-21-12413784</t>
        </is>
      </c>
    </row>
    <row r="2014">
      <c r="A2014" t="inlineStr">
        <is>
          <t>R260824-asaya</t>
        </is>
      </c>
      <c r="B2014" t="inlineStr">
        <is>
          <t>Asaya</t>
        </is>
      </c>
      <c r="C2014" s="17" t="n">
        <v>46258</v>
      </c>
      <c r="D2014" s="18" t="n">
        <v>46235</v>
      </c>
      <c r="E2014" s="19" t="n">
        <v>9.19</v>
      </c>
      <c r="F2014" s="19" t="n">
        <v>88</v>
      </c>
      <c r="G2014" t="inlineStr">
        <is>
          <t>Rs 88 crore</t>
        </is>
      </c>
      <c r="H2014" t="inlineStr">
        <is>
          <t>Series A</t>
        </is>
      </c>
      <c r="I2014" t="inlineStr">
        <is>
          <t>Early</t>
        </is>
      </c>
      <c r="J2014" t="inlineStr">
        <is>
          <t>Ecommerce</t>
        </is>
      </c>
      <c r="K2014" t="inlineStr">
        <is>
          <t>Bengaluru</t>
        </is>
      </c>
      <c r="L2014" t="inlineStr"/>
      <c r="M2014" t="inlineStr">
        <is>
          <t>RPSG Capital; OTP Ventures; Huddle Ventures; Hyperscale Ventures; 72 Ventures</t>
        </is>
      </c>
      <c r="N2014" t="inlineStr">
        <is>
          <t>entrackr | inc42 | et</t>
        </is>
      </c>
      <c r="O2014" s="20" t="n">
        <v>3</v>
      </c>
      <c r="P2014" s="21" t="n">
        <v>1</v>
      </c>
      <c r="Q2014" t="inlineStr"/>
      <c r="R2014" s="22" t="inlineStr">
        <is>
          <t>https://entrackr.com/news/d2c-skincare-brand-asaya-raises-rs-88-cr-from-rpsg-capital-otp-ventures-others-12425547</t>
        </is>
      </c>
    </row>
    <row r="2015">
      <c r="A2015" t="inlineStr">
        <is>
          <t>R260824-lightfurygames</t>
        </is>
      </c>
      <c r="B2015" t="inlineStr">
        <is>
          <t>LightFury Games</t>
        </is>
      </c>
      <c r="C2015" s="17" t="n">
        <v>46258</v>
      </c>
      <c r="D2015" s="18" t="n">
        <v>46235</v>
      </c>
      <c r="E2015" s="19" t="n"/>
      <c r="F2015" s="19" t="n"/>
      <c r="G2015" t="inlineStr"/>
      <c r="H2015" t="inlineStr">
        <is>
          <t>Undisclosed</t>
        </is>
      </c>
      <c r="I2015" t="inlineStr">
        <is>
          <t>Undisclosed</t>
        </is>
      </c>
      <c r="J2015" t="inlineStr">
        <is>
          <t>Media &amp; Entertainment</t>
        </is>
      </c>
      <c r="K2015" t="inlineStr">
        <is>
          <t>Bengaluru</t>
        </is>
      </c>
      <c r="L2015" t="inlineStr">
        <is>
          <t>Rohit Sharma</t>
        </is>
      </c>
      <c r="M2015" t="inlineStr">
        <is>
          <t>Rohit Sharma</t>
        </is>
      </c>
      <c r="N2015" t="inlineStr">
        <is>
          <t>inc42</t>
        </is>
      </c>
      <c r="O2015" s="20" t="n">
        <v>1</v>
      </c>
      <c r="P2015" s="21" t="n"/>
      <c r="Q2015" t="inlineStr">
        <is>
          <t>C03 C04</t>
        </is>
      </c>
      <c r="R2015" s="22" t="inlineStr">
        <is>
          <t>https://inc42.com/buzz/from-third-wave-coffee-to-matter-indian-startups-raised-over-210-mn-this-week/</t>
        </is>
      </c>
    </row>
    <row r="2016">
      <c r="A2016" t="inlineStr">
        <is>
          <t>R260824-thirdwavecoffe</t>
        </is>
      </c>
      <c r="B2016" t="inlineStr">
        <is>
          <t>Third Wave Coffee</t>
        </is>
      </c>
      <c r="C2016" s="17" t="n">
        <v>46258</v>
      </c>
      <c r="D2016" s="18" t="n">
        <v>46235</v>
      </c>
      <c r="E2016" s="19" t="n">
        <v>42.607</v>
      </c>
      <c r="F2016" s="19" t="n">
        <v>408</v>
      </c>
      <c r="G2016" t="inlineStr">
        <is>
          <t>Rs 408 crore</t>
        </is>
      </c>
      <c r="H2016" t="inlineStr">
        <is>
          <t>Undisclosed</t>
        </is>
      </c>
      <c r="I2016" t="inlineStr">
        <is>
          <t>Undisclosed</t>
        </is>
      </c>
      <c r="J2016" t="inlineStr">
        <is>
          <t>Ecommerce</t>
        </is>
      </c>
      <c r="K2016" t="inlineStr">
        <is>
          <t>Bengaluru</t>
        </is>
      </c>
      <c r="L2016" t="inlineStr">
        <is>
          <t>WestBridge Capital</t>
        </is>
      </c>
      <c r="M2016" t="inlineStr">
        <is>
          <t>WestBridge Capital; Creagis</t>
        </is>
      </c>
      <c r="N2016" t="inlineStr">
        <is>
          <t>entrackr | inc42 | et</t>
        </is>
      </c>
      <c r="O2016" s="20" t="n">
        <v>3</v>
      </c>
      <c r="P2016" s="21" t="n">
        <v>0.9</v>
      </c>
      <c r="Q2016" t="inlineStr">
        <is>
          <t>C04</t>
        </is>
      </c>
      <c r="R2016" s="22" t="inlineStr">
        <is>
          <t>https://entrackr.com/news/third-wave-coffee-raises-rs-408-cr-led-by-westbridge-12425559</t>
        </is>
      </c>
    </row>
    <row r="2017">
      <c r="A2017" t="inlineStr">
        <is>
          <t>R260824-water</t>
        </is>
      </c>
      <c r="B2017" t="inlineStr">
        <is>
          <t>WATER Robotics</t>
        </is>
      </c>
      <c r="C2017" s="17" t="n">
        <v>46258</v>
      </c>
      <c r="D2017" s="18" t="n">
        <v>46235</v>
      </c>
      <c r="E2017" s="19" t="n">
        <v>2.5</v>
      </c>
      <c r="F2017" s="19" t="n">
        <v>23.94</v>
      </c>
      <c r="G2017" t="inlineStr">
        <is>
          <t>$2.5 million</t>
        </is>
      </c>
      <c r="H2017" t="inlineStr">
        <is>
          <t>Seed</t>
        </is>
      </c>
      <c r="I2017" t="inlineStr">
        <is>
          <t>Early</t>
        </is>
      </c>
      <c r="J2017" t="inlineStr">
        <is>
          <t>Advanced Hardware &amp; Technology</t>
        </is>
      </c>
      <c r="K2017" t="inlineStr">
        <is>
          <t>Hyderabad</t>
        </is>
      </c>
      <c r="L2017" t="inlineStr">
        <is>
          <t>Endiya Partners</t>
        </is>
      </c>
      <c r="M2017" t="inlineStr">
        <is>
          <t>Endiya Partners; Pullela Gopichand; Rohit Chennamaneni; Nandan Reddy</t>
        </is>
      </c>
      <c r="N2017" t="inlineStr">
        <is>
          <t>entrackr | inc42</t>
        </is>
      </c>
      <c r="O2017" s="20" t="n">
        <v>2</v>
      </c>
      <c r="P2017" s="21" t="n">
        <v>0</v>
      </c>
      <c r="Q2017" t="inlineStr"/>
      <c r="R2017" s="22" t="inlineStr">
        <is>
          <t>https://entrackr.com/snippets/endiya-partners-leads-25-mn-seed-round-in-physical-ai-startup-water-12425820</t>
        </is>
      </c>
    </row>
    <row r="2018">
      <c r="A2018" t="inlineStr">
        <is>
          <t>R260825-airbound</t>
        </is>
      </c>
      <c r="B2018" t="inlineStr">
        <is>
          <t>Airbound</t>
        </is>
      </c>
      <c r="C2018" s="17" t="n">
        <v>46259</v>
      </c>
      <c r="D2018" s="18" t="n">
        <v>46235</v>
      </c>
      <c r="E2018" s="19" t="n">
        <v>37</v>
      </c>
      <c r="F2018" s="19" t="n">
        <v>353.05</v>
      </c>
      <c r="G2018" t="inlineStr">
        <is>
          <t>$37 million</t>
        </is>
      </c>
      <c r="H2018" t="inlineStr">
        <is>
          <t>Series A</t>
        </is>
      </c>
      <c r="I2018" t="inlineStr">
        <is>
          <t>Early</t>
        </is>
      </c>
      <c r="J2018" t="inlineStr">
        <is>
          <t>Advanced Hardware &amp; Technology</t>
        </is>
      </c>
      <c r="K2018" t="inlineStr">
        <is>
          <t>Bengaluru</t>
        </is>
      </c>
      <c r="L2018" t="inlineStr">
        <is>
          <t>Greenoaks</t>
        </is>
      </c>
      <c r="M2018" t="inlineStr">
        <is>
          <t>Greenoaks; DoorDash; Lachy Groom; Lightspeed; Humba Ventures</t>
        </is>
      </c>
      <c r="N2018" t="inlineStr">
        <is>
          <t>entrackr | inc42 | et</t>
        </is>
      </c>
      <c r="O2018" s="20" t="n">
        <v>3</v>
      </c>
      <c r="P2018" s="21" t="n">
        <v>0</v>
      </c>
      <c r="Q2018" t="inlineStr"/>
      <c r="R2018" s="22" t="inlineStr">
        <is>
          <t>https://entrackr.com/news/airbound-raises-37-mn-from-greenoaks-doordash-lachy-groom-and-others-12431939</t>
        </is>
      </c>
    </row>
    <row r="2019">
      <c r="A2019" t="inlineStr">
        <is>
          <t>R260825-carbonstrong</t>
        </is>
      </c>
      <c r="B2019" t="inlineStr">
        <is>
          <t>CarbonStrong</t>
        </is>
      </c>
      <c r="C2019" s="17" t="n">
        <v>46259</v>
      </c>
      <c r="D2019" s="18" t="n">
        <v>46235</v>
      </c>
      <c r="E2019" s="19" t="n">
        <v>1.31</v>
      </c>
      <c r="F2019" s="19" t="n">
        <v>12.5</v>
      </c>
      <c r="G2019" t="inlineStr">
        <is>
          <t>Rs 12.5 crore</t>
        </is>
      </c>
      <c r="H2019" t="inlineStr">
        <is>
          <t>Seed</t>
        </is>
      </c>
      <c r="I2019" t="inlineStr">
        <is>
          <t>Early</t>
        </is>
      </c>
      <c r="J2019" t="inlineStr">
        <is>
          <t>Cleantech</t>
        </is>
      </c>
      <c r="K2019" t="inlineStr">
        <is>
          <t>Bengaluru</t>
        </is>
      </c>
      <c r="L2019" t="inlineStr">
        <is>
          <t>IAN Group; Rainmatter; Full Circle Ventures; Spectrum Impact</t>
        </is>
      </c>
      <c r="M2019" t="inlineStr">
        <is>
          <t>IAN Group; Rainmatter; Social Alpha; Spectrum Impact; Full Circle Ventures</t>
        </is>
      </c>
      <c r="N2019" t="inlineStr">
        <is>
          <t>entrackr | inc42</t>
        </is>
      </c>
      <c r="O2019" s="20" t="n">
        <v>2</v>
      </c>
      <c r="P2019" s="21" t="n">
        <v>0.8</v>
      </c>
      <c r="Q2019" t="inlineStr"/>
      <c r="R2019" s="22" t="inlineStr">
        <is>
          <t>https://entrackr.com/snippets/ian-angel-fund-leads-rs-125-cr-seed-round-in-climate-tech-startup-carbonstrong-12432364</t>
        </is>
      </c>
    </row>
    <row r="2020">
      <c r="A2020" t="inlineStr">
        <is>
          <t>R260825-echovane</t>
        </is>
      </c>
      <c r="B2020" t="inlineStr">
        <is>
          <t>Echovane</t>
        </is>
      </c>
      <c r="C2020" s="17" t="n">
        <v>46259</v>
      </c>
      <c r="D2020" s="18" t="n">
        <v>46235</v>
      </c>
      <c r="E2020" s="19" t="n">
        <v>1</v>
      </c>
      <c r="F2020" s="19" t="n">
        <v>9.539999999999999</v>
      </c>
      <c r="G2020" t="inlineStr">
        <is>
          <t>$1 Mn</t>
        </is>
      </c>
      <c r="H2020" t="inlineStr">
        <is>
          <t>Pre-Seed</t>
        </is>
      </c>
      <c r="I2020" t="inlineStr">
        <is>
          <t>Early</t>
        </is>
      </c>
      <c r="J2020" t="inlineStr">
        <is>
          <t>Artificial Intelligence</t>
        </is>
      </c>
      <c r="K2020" t="inlineStr">
        <is>
          <t>Unknown</t>
        </is>
      </c>
      <c r="L2020" t="inlineStr">
        <is>
          <t>Titan Capital; Neon Fund</t>
        </is>
      </c>
      <c r="M2020" t="inlineStr">
        <is>
          <t>Titan Capital; Neon Fund</t>
        </is>
      </c>
      <c r="N2020" t="inlineStr">
        <is>
          <t>inc42</t>
        </is>
      </c>
      <c r="O2020" s="20" t="n">
        <v>1</v>
      </c>
      <c r="P2020" s="21" t="n">
        <v>0</v>
      </c>
      <c r="Q2020" t="inlineStr">
        <is>
          <t>C07</t>
        </is>
      </c>
      <c r="R2020" s="22" t="inlineStr">
        <is>
          <t>https://inc42.com/buzz/from-third-wave-coffee-to-matter-indian-startups-raised-over-210-mn-this-week/</t>
        </is>
      </c>
    </row>
    <row r="2021">
      <c r="A2021" t="inlineStr">
        <is>
          <t>R260825-matter</t>
        </is>
      </c>
      <c r="B2021" t="inlineStr">
        <is>
          <t>MATTER</t>
        </is>
      </c>
      <c r="C2021" s="17" t="n">
        <v>46259</v>
      </c>
      <c r="D2021" s="18" t="n">
        <v>46235</v>
      </c>
      <c r="E2021" s="19" t="n">
        <v>25</v>
      </c>
      <c r="F2021" s="19" t="n">
        <v>238.55</v>
      </c>
      <c r="G2021" t="inlineStr">
        <is>
          <t>$25 million</t>
        </is>
      </c>
      <c r="H2021" t="inlineStr">
        <is>
          <t>Series C</t>
        </is>
      </c>
      <c r="I2021" t="inlineStr">
        <is>
          <t>Growth</t>
        </is>
      </c>
      <c r="J2021" t="inlineStr">
        <is>
          <t>Cleantech</t>
        </is>
      </c>
      <c r="K2021" t="inlineStr">
        <is>
          <t>Ahmedabad</t>
        </is>
      </c>
      <c r="L2021" t="inlineStr"/>
      <c r="M2021" t="inlineStr">
        <is>
          <t>Helena; Capital 2B; Japan Airlines &amp; Translink Innovation Fund; Shakopee Mdewakanton Sioux Community</t>
        </is>
      </c>
      <c r="N2021" t="inlineStr">
        <is>
          <t>entrackr | inc42 | et | vccircle</t>
        </is>
      </c>
      <c r="O2021" s="20" t="n">
        <v>4</v>
      </c>
      <c r="P2021" s="21" t="n">
        <v>0</v>
      </c>
      <c r="Q2021" t="inlineStr"/>
      <c r="R2021" s="22" t="inlineStr">
        <is>
          <t>https://entrackr.com/news/electric-motorcycle-maker-matter-raises-25-mn-growth-round-12430180</t>
        </is>
      </c>
    </row>
    <row r="2022">
      <c r="A2022" t="inlineStr">
        <is>
          <t>R260825-nexedgecapital</t>
        </is>
      </c>
      <c r="B2022" t="inlineStr">
        <is>
          <t>Nexedge Capital</t>
        </is>
      </c>
      <c r="C2022" s="17" t="n">
        <v>46259</v>
      </c>
      <c r="D2022" s="18" t="n">
        <v>46235</v>
      </c>
      <c r="E2022" s="19" t="n">
        <v>20</v>
      </c>
      <c r="F2022" s="19" t="n">
        <v>190.84</v>
      </c>
      <c r="G2022" t="inlineStr">
        <is>
          <t>$20 Mn</t>
        </is>
      </c>
      <c r="H2022" t="inlineStr">
        <is>
          <t>Undisclosed</t>
        </is>
      </c>
      <c r="I2022" t="inlineStr">
        <is>
          <t>Undisclosed</t>
        </is>
      </c>
      <c r="J2022" t="inlineStr">
        <is>
          <t>Fintech</t>
        </is>
      </c>
      <c r="K2022" t="inlineStr">
        <is>
          <t>Unknown</t>
        </is>
      </c>
      <c r="L2022" t="inlineStr">
        <is>
          <t>Mirae Asset Venture Investment; Elev8 Venture Partners</t>
        </is>
      </c>
      <c r="M2022" t="inlineStr">
        <is>
          <t>Mirae Asset Venture Investment; Elev8 Venture Partners</t>
        </is>
      </c>
      <c r="N2022" t="inlineStr">
        <is>
          <t>inc42</t>
        </is>
      </c>
      <c r="O2022" s="20" t="n">
        <v>1</v>
      </c>
      <c r="P2022" s="21" t="n">
        <v>0</v>
      </c>
      <c r="Q2022" t="inlineStr">
        <is>
          <t>C04 C07</t>
        </is>
      </c>
      <c r="R2022" s="22" t="inlineStr">
        <is>
          <t>https://inc42.com/buzz/from-third-wave-coffee-to-matter-indian-startups-raised-over-210-mn-this-week/</t>
        </is>
      </c>
    </row>
    <row r="2023">
      <c r="A2023" t="inlineStr">
        <is>
          <t>R260825-staywellhealth</t>
        </is>
      </c>
      <c r="B2023" t="inlineStr">
        <is>
          <t>Staywell.Health</t>
        </is>
      </c>
      <c r="C2023" s="17" t="n">
        <v>46259</v>
      </c>
      <c r="D2023" s="18" t="n">
        <v>46235</v>
      </c>
      <c r="E2023" s="19" t="n"/>
      <c r="F2023" s="19" t="n"/>
      <c r="G2023" t="inlineStr"/>
      <c r="H2023" t="inlineStr">
        <is>
          <t>Undisclosed</t>
        </is>
      </c>
      <c r="I2023" t="inlineStr">
        <is>
          <t>Undisclosed</t>
        </is>
      </c>
      <c r="J2023" t="inlineStr">
        <is>
          <t>Fintech</t>
        </is>
      </c>
      <c r="K2023" t="inlineStr">
        <is>
          <t>Unknown</t>
        </is>
      </c>
      <c r="L2023" t="inlineStr">
        <is>
          <t>Equanimity Investments</t>
        </is>
      </c>
      <c r="M2023" t="inlineStr">
        <is>
          <t>Equanimity Investments</t>
        </is>
      </c>
      <c r="N2023" t="inlineStr">
        <is>
          <t>inc42</t>
        </is>
      </c>
      <c r="O2023" s="20" t="n">
        <v>1</v>
      </c>
      <c r="P2023" s="21" t="n"/>
      <c r="Q2023" t="inlineStr">
        <is>
          <t>C03 C04 C07</t>
        </is>
      </c>
      <c r="R2023" s="22" t="inlineStr">
        <is>
          <t>https://inc42.com/buzz/from-third-wave-coffee-to-matter-indian-startups-raised-over-210-mn-this-week/</t>
        </is>
      </c>
    </row>
    <row r="2024">
      <c r="A2024" t="inlineStr">
        <is>
          <t>R260825-utsav</t>
        </is>
      </c>
      <c r="B2024" t="inlineStr">
        <is>
          <t>Utsav App</t>
        </is>
      </c>
      <c r="C2024" s="17" t="n">
        <v>46259</v>
      </c>
      <c r="D2024" s="18" t="n">
        <v>46235</v>
      </c>
      <c r="E2024" s="19" t="n">
        <v>3.773</v>
      </c>
      <c r="F2024" s="19" t="n">
        <v>36</v>
      </c>
      <c r="G2024" t="inlineStr">
        <is>
          <t>Rs 36 crore</t>
        </is>
      </c>
      <c r="H2024" t="inlineStr">
        <is>
          <t>Series A</t>
        </is>
      </c>
      <c r="I2024" t="inlineStr">
        <is>
          <t>Early</t>
        </is>
      </c>
      <c r="J2024" t="inlineStr">
        <is>
          <t>Consumer Services</t>
        </is>
      </c>
      <c r="K2024" t="inlineStr">
        <is>
          <t>Kolkata</t>
        </is>
      </c>
      <c r="L2024" t="inlineStr">
        <is>
          <t>Atomic Capital</t>
        </is>
      </c>
      <c r="M2024" t="inlineStr">
        <is>
          <t>Atomic Capital; India Quotient; Equanimity Investments</t>
        </is>
      </c>
      <c r="N2024" t="inlineStr">
        <is>
          <t>entrackr | inc42</t>
        </is>
      </c>
      <c r="O2024" s="20" t="n">
        <v>2</v>
      </c>
      <c r="P2024" s="21" t="n">
        <v>0.7</v>
      </c>
      <c r="Q2024" t="inlineStr"/>
      <c r="R2024" s="22" t="inlineStr">
        <is>
          <t>https://entrackr.com/snippets/utsav-raises-rs-36-cr-in-series-a-led-by-atomic-capital-12431868</t>
        </is>
      </c>
    </row>
    <row r="2025">
      <c r="A2025" t="inlineStr">
        <is>
          <t>R260826-brisiltechnolo</t>
        </is>
      </c>
      <c r="B2025" t="inlineStr">
        <is>
          <t>Brisil Technologies</t>
        </is>
      </c>
      <c r="C2025" s="17" t="n">
        <v>46260</v>
      </c>
      <c r="D2025" s="18" t="n">
        <v>46235</v>
      </c>
      <c r="E2025" s="19" t="n"/>
      <c r="F2025" s="19" t="n"/>
      <c r="G2025" t="inlineStr"/>
      <c r="H2025" t="inlineStr">
        <is>
          <t>Pre-Series A</t>
        </is>
      </c>
      <c r="I2025" t="inlineStr">
        <is>
          <t>Early</t>
        </is>
      </c>
      <c r="J2025" t="inlineStr">
        <is>
          <t>Cleantech</t>
        </is>
      </c>
      <c r="K2025" t="inlineStr">
        <is>
          <t>Unknown</t>
        </is>
      </c>
      <c r="L2025" t="inlineStr">
        <is>
          <t>Peak Sustainability Ventures</t>
        </is>
      </c>
      <c r="M2025" t="inlineStr">
        <is>
          <t>Peak Sustainability Ventures</t>
        </is>
      </c>
      <c r="N2025" t="inlineStr">
        <is>
          <t>inc42</t>
        </is>
      </c>
      <c r="O2025" s="20" t="n">
        <v>1</v>
      </c>
      <c r="P2025" s="21" t="n"/>
      <c r="Q2025" t="inlineStr">
        <is>
          <t>C03 C07</t>
        </is>
      </c>
      <c r="R2025" s="22" t="inlineStr">
        <is>
          <t>https://inc42.com/buzz/from-third-wave-coffee-to-matter-indian-startups-raised-over-210-mn-this-week/</t>
        </is>
      </c>
    </row>
    <row r="2026">
      <c r="A2026" t="inlineStr">
        <is>
          <t>R260826-curaa</t>
        </is>
      </c>
      <c r="B2026" t="inlineStr">
        <is>
          <t>Curaa</t>
        </is>
      </c>
      <c r="C2026" s="17" t="n">
        <v>46260</v>
      </c>
      <c r="D2026" s="18" t="n">
        <v>46235</v>
      </c>
      <c r="E2026" s="19" t="n">
        <v>4.192</v>
      </c>
      <c r="F2026" s="19" t="n">
        <v>40</v>
      </c>
      <c r="G2026" t="inlineStr">
        <is>
          <t>Rs 40 crore</t>
        </is>
      </c>
      <c r="H2026" t="inlineStr">
        <is>
          <t>Series A</t>
        </is>
      </c>
      <c r="I2026" t="inlineStr">
        <is>
          <t>Early</t>
        </is>
      </c>
      <c r="J2026" t="inlineStr">
        <is>
          <t>Ecommerce</t>
        </is>
      </c>
      <c r="K2026" t="inlineStr">
        <is>
          <t>Delhi NCR</t>
        </is>
      </c>
      <c r="L2026" t="inlineStr">
        <is>
          <t>3one4 Capital</t>
        </is>
      </c>
      <c r="M2026" t="inlineStr">
        <is>
          <t>3one4 Capital; Kae Capital; Lumikai Fund; Better Capital</t>
        </is>
      </c>
      <c r="N2026" t="inlineStr">
        <is>
          <t>entrackr | inc42 | et</t>
        </is>
      </c>
      <c r="O2026" s="20" t="n">
        <v>3</v>
      </c>
      <c r="P2026" s="21" t="n">
        <v>0.2</v>
      </c>
      <c r="Q2026" t="inlineStr"/>
      <c r="R2026" s="22" t="inlineStr">
        <is>
          <t>https://entrackr.com/snippets/kitchen-and-lifestyle-brand-cüraa-raises-rs-40-cr-in-series-a-led-by-3one4-capital-12436981</t>
        </is>
      </c>
    </row>
    <row r="2027">
      <c r="A2027" t="inlineStr">
        <is>
          <t>R260826-ringg</t>
        </is>
      </c>
      <c r="B2027" t="inlineStr">
        <is>
          <t>Ringg AI</t>
        </is>
      </c>
      <c r="C2027" s="17" t="n">
        <v>46260</v>
      </c>
      <c r="D2027" s="18" t="n">
        <v>46235</v>
      </c>
      <c r="E2027" s="19" t="n">
        <v>10</v>
      </c>
      <c r="F2027" s="19" t="n">
        <v>95.42</v>
      </c>
      <c r="G2027" t="inlineStr">
        <is>
          <t>$10 million</t>
        </is>
      </c>
      <c r="H2027" t="inlineStr">
        <is>
          <t>Series A</t>
        </is>
      </c>
      <c r="I2027" t="inlineStr">
        <is>
          <t>Early</t>
        </is>
      </c>
      <c r="J2027" t="inlineStr">
        <is>
          <t>Artificial Intelligence</t>
        </is>
      </c>
      <c r="K2027" t="inlineStr">
        <is>
          <t>Bengaluru</t>
        </is>
      </c>
      <c r="L2027" t="inlineStr">
        <is>
          <t>Peak XV Partners</t>
        </is>
      </c>
      <c r="M2027" t="inlineStr">
        <is>
          <t>Peak XV Partners; Arkam Ventures; Capital 2B</t>
        </is>
      </c>
      <c r="N2027" t="inlineStr">
        <is>
          <t>entrackr | inc42 | et</t>
        </is>
      </c>
      <c r="O2027" s="20" t="n">
        <v>3</v>
      </c>
      <c r="P2027" s="21" t="n">
        <v>0</v>
      </c>
      <c r="Q2027" t="inlineStr"/>
      <c r="R2027" s="22" t="inlineStr">
        <is>
          <t>https://entrackr.com/news/voice-ai-startup-ringg-raises-10-mn-led-by-peak-xv-12435121</t>
        </is>
      </c>
    </row>
    <row r="2028">
      <c r="A2028" t="inlineStr">
        <is>
          <t>R260826-runable</t>
        </is>
      </c>
      <c r="B2028" t="inlineStr">
        <is>
          <t>Runable</t>
        </is>
      </c>
      <c r="C2028" s="17" t="n">
        <v>46260</v>
      </c>
      <c r="D2028" s="18" t="n">
        <v>46235</v>
      </c>
      <c r="E2028" s="19" t="n">
        <v>21</v>
      </c>
      <c r="F2028" s="19" t="n">
        <v>200.38</v>
      </c>
      <c r="G2028" t="inlineStr">
        <is>
          <t>$21 million</t>
        </is>
      </c>
      <c r="H2028" t="inlineStr">
        <is>
          <t>Series A</t>
        </is>
      </c>
      <c r="I2028" t="inlineStr">
        <is>
          <t>Early</t>
        </is>
      </c>
      <c r="J2028" t="inlineStr">
        <is>
          <t>Artificial Intelligence</t>
        </is>
      </c>
      <c r="K2028" t="inlineStr">
        <is>
          <t>Bengaluru</t>
        </is>
      </c>
      <c r="L2028" t="inlineStr">
        <is>
          <t>Susquehanna Venture Capital; Nexus Venture Partners</t>
        </is>
      </c>
      <c r="M2028" t="inlineStr">
        <is>
          <t>Susquehanna Venture Capital; Nexus Venture Partners; Together Fund; Array VC; Saksham Sarda; Runable allows users</t>
        </is>
      </c>
      <c r="N2028" t="inlineStr">
        <is>
          <t>entrackr | inc42 | et</t>
        </is>
      </c>
      <c r="O2028" s="20" t="n">
        <v>3</v>
      </c>
      <c r="P2028" s="21" t="n">
        <v>0</v>
      </c>
      <c r="Q2028" t="inlineStr"/>
      <c r="R2028" s="22" t="inlineStr">
        <is>
          <t>https://entrackr.com/news/agentic-ai-startup-runable-raises-21-mn-in-series-a-led-by-susquehanna-and-nexus-12440974</t>
        </is>
      </c>
    </row>
    <row r="2029">
      <c r="A2029" t="inlineStr">
        <is>
          <t>R260826-scooby</t>
        </is>
      </c>
      <c r="B2029" t="inlineStr">
        <is>
          <t>Scooby’s Club</t>
        </is>
      </c>
      <c r="C2029" s="17" t="n">
        <v>46260</v>
      </c>
      <c r="D2029" s="18" t="n">
        <v>46235</v>
      </c>
      <c r="E2029" s="19" t="n">
        <v>0.25</v>
      </c>
      <c r="F2029" s="19" t="n">
        <v>2.39</v>
      </c>
      <c r="G2029" t="inlineStr">
        <is>
          <t>$250K</t>
        </is>
      </c>
      <c r="H2029" t="inlineStr">
        <is>
          <t>Pre-Seed</t>
        </is>
      </c>
      <c r="I2029" t="inlineStr">
        <is>
          <t>Early</t>
        </is>
      </c>
      <c r="J2029" t="inlineStr">
        <is>
          <t>Consumer Services</t>
        </is>
      </c>
      <c r="K2029" t="inlineStr">
        <is>
          <t>Bengaluru</t>
        </is>
      </c>
      <c r="L2029" t="inlineStr">
        <is>
          <t>TDV Partners</t>
        </is>
      </c>
      <c r="M2029" t="inlineStr">
        <is>
          <t>TDV Partners</t>
        </is>
      </c>
      <c r="N2029" t="inlineStr">
        <is>
          <t>entrackr | inc42</t>
        </is>
      </c>
      <c r="O2029" s="20" t="n">
        <v>2</v>
      </c>
      <c r="P2029" s="21" t="n">
        <v>0</v>
      </c>
      <c r="Q2029" t="inlineStr"/>
      <c r="R2029" s="22" t="inlineStr">
        <is>
          <t>https://entrackr.com/snippets/tdv-partners-leads-250k-pre-seed-round-in-dog-care-platform-scoobys-club-12435096</t>
        </is>
      </c>
    </row>
    <row r="2030">
      <c r="A2030" t="inlineStr">
        <is>
          <t>R260827-biryanibees</t>
        </is>
      </c>
      <c r="B2030" t="inlineStr">
        <is>
          <t>Biryani Bees</t>
        </is>
      </c>
      <c r="C2030" s="17" t="n">
        <v>46261</v>
      </c>
      <c r="D2030" s="18" t="n">
        <v>46235</v>
      </c>
      <c r="E2030" s="19" t="n">
        <v>1</v>
      </c>
      <c r="F2030" s="19" t="n">
        <v>9.550000000000001</v>
      </c>
      <c r="G2030" t="inlineStr">
        <is>
          <t>$1 million</t>
        </is>
      </c>
      <c r="H2030" t="inlineStr">
        <is>
          <t>Undisclosed</t>
        </is>
      </c>
      <c r="I2030" t="inlineStr">
        <is>
          <t>Undisclosed</t>
        </is>
      </c>
      <c r="J2030" t="inlineStr">
        <is>
          <t>Foodtech</t>
        </is>
      </c>
      <c r="K2030" t="inlineStr">
        <is>
          <t>Unknown</t>
        </is>
      </c>
      <c r="L2030" t="inlineStr">
        <is>
          <t>Vivek Oberoi Family Office</t>
        </is>
      </c>
      <c r="M2030" t="inlineStr">
        <is>
          <t>Vivek Oberoi Family Office</t>
        </is>
      </c>
      <c r="N2030" t="inlineStr">
        <is>
          <t>entrackr | inc42</t>
        </is>
      </c>
      <c r="O2030" s="20" t="n">
        <v>2</v>
      </c>
      <c r="P2030" s="21" t="n">
        <v>0</v>
      </c>
      <c r="Q2030" t="inlineStr">
        <is>
          <t>C04 C07</t>
        </is>
      </c>
      <c r="R2030" s="22" t="inlineStr">
        <is>
          <t>https://entrackr.com/snippets/biryani-bees-raises-1-mn-from-vivek-oberoi-family-office-12442621</t>
        </is>
      </c>
    </row>
    <row r="2031">
      <c r="A2031" t="inlineStr">
        <is>
          <t>R260827-edgeverse</t>
        </is>
      </c>
      <c r="B2031" t="inlineStr">
        <is>
          <t>Edgeverse</t>
        </is>
      </c>
      <c r="C2031" s="17" t="n">
        <v>46261</v>
      </c>
      <c r="D2031" s="18" t="n">
        <v>46235</v>
      </c>
      <c r="E2031" s="19" t="n">
        <v>0.314</v>
      </c>
      <c r="F2031" s="19" t="n">
        <v>3</v>
      </c>
      <c r="G2031" t="inlineStr">
        <is>
          <t>$314K</t>
        </is>
      </c>
      <c r="H2031" t="inlineStr">
        <is>
          <t>Undisclosed</t>
        </is>
      </c>
      <c r="I2031" t="inlineStr">
        <is>
          <t>Undisclosed</t>
        </is>
      </c>
      <c r="J2031" t="inlineStr">
        <is>
          <t>Artificial Intelligence</t>
        </is>
      </c>
      <c r="K2031" t="inlineStr">
        <is>
          <t>Unknown</t>
        </is>
      </c>
      <c r="L2031" t="inlineStr">
        <is>
          <t>GVFL</t>
        </is>
      </c>
      <c r="M2031" t="inlineStr">
        <is>
          <t>GVFL</t>
        </is>
      </c>
      <c r="N2031" t="inlineStr">
        <is>
          <t>inc42</t>
        </is>
      </c>
      <c r="O2031" s="20" t="n">
        <v>1</v>
      </c>
      <c r="P2031" s="21" t="n">
        <v>0</v>
      </c>
      <c r="Q2031" t="inlineStr">
        <is>
          <t>C04 C07</t>
        </is>
      </c>
      <c r="R2031" s="22" t="inlineStr">
        <is>
          <t>https://inc42.com/buzz/from-third-wave-coffee-to-matter-indian-startups-raised-over-210-mn-this-week/</t>
        </is>
      </c>
    </row>
    <row r="2032">
      <c r="A2032" t="inlineStr">
        <is>
          <t>R260827-inspecity</t>
        </is>
      </c>
      <c r="B2032" t="inlineStr">
        <is>
          <t>InspeCity</t>
        </is>
      </c>
      <c r="C2032" s="17" t="n">
        <v>46261</v>
      </c>
      <c r="D2032" s="18" t="n">
        <v>46235</v>
      </c>
      <c r="E2032" s="19" t="n">
        <v>10.467</v>
      </c>
      <c r="F2032" s="19" t="n">
        <v>100</v>
      </c>
      <c r="G2032" t="inlineStr">
        <is>
          <t>Rs 100 crore</t>
        </is>
      </c>
      <c r="H2032" t="inlineStr">
        <is>
          <t>Pre-Series A</t>
        </is>
      </c>
      <c r="I2032" t="inlineStr">
        <is>
          <t>Early</t>
        </is>
      </c>
      <c r="J2032" t="inlineStr">
        <is>
          <t>Advanced Hardware &amp; Technology</t>
        </is>
      </c>
      <c r="K2032" t="inlineStr">
        <is>
          <t>Mumbai</t>
        </is>
      </c>
      <c r="L2032" t="inlineStr">
        <is>
          <t>Ashish Kacholia; Speciale Invest</t>
        </is>
      </c>
      <c r="M2032" t="inlineStr">
        <is>
          <t>Ashish Kacholia; Speciale Invest; Antler India; Shastra VC; Manish Gandhi; DeVC; MGF-Kavachh; Anicut Capital in May last year</t>
        </is>
      </c>
      <c r="N2032" t="inlineStr">
        <is>
          <t>entrackr | inc42 | et</t>
        </is>
      </c>
      <c r="O2032" s="20" t="n">
        <v>3</v>
      </c>
      <c r="P2032" s="21" t="n">
        <v>0.6</v>
      </c>
      <c r="Q2032" t="inlineStr"/>
      <c r="R2032" s="22" t="inlineStr">
        <is>
          <t>https://entrackr.com/news/spacetech-startup-inspecity-raises-rs-100-cr-in-pre-series-a-round-12442264</t>
        </is>
      </c>
    </row>
    <row r="2033">
      <c r="A2033" t="inlineStr">
        <is>
          <t>R260827-instaastro</t>
        </is>
      </c>
      <c r="B2033" t="inlineStr">
        <is>
          <t>InstaAstro</t>
        </is>
      </c>
      <c r="C2033" s="17" t="n">
        <v>46261</v>
      </c>
      <c r="D2033" s="18" t="n">
        <v>46235</v>
      </c>
      <c r="E2033" s="19" t="n">
        <v>12</v>
      </c>
      <c r="F2033" s="19" t="n">
        <v>114.65</v>
      </c>
      <c r="G2033" t="inlineStr">
        <is>
          <t>$12 million</t>
        </is>
      </c>
      <c r="H2033" t="inlineStr">
        <is>
          <t>Series A</t>
        </is>
      </c>
      <c r="I2033" t="inlineStr">
        <is>
          <t>Early</t>
        </is>
      </c>
      <c r="J2033" t="inlineStr">
        <is>
          <t>Consumer Services</t>
        </is>
      </c>
      <c r="K2033" t="inlineStr">
        <is>
          <t>Delhi NCR</t>
        </is>
      </c>
      <c r="L2033" t="inlineStr">
        <is>
          <t>Singularity AMC; Artha Venture Fund</t>
        </is>
      </c>
      <c r="M2033" t="inlineStr">
        <is>
          <t>Singularity AMC; Artha Venture Fund; Nitin Verma; Anirudh Damani</t>
        </is>
      </c>
      <c r="N2033" t="inlineStr">
        <is>
          <t>entrackr | inc42 | et</t>
        </is>
      </c>
      <c r="O2033" s="20" t="n">
        <v>3</v>
      </c>
      <c r="P2033" s="21" t="n">
        <v>0</v>
      </c>
      <c r="Q2033" t="inlineStr"/>
      <c r="R2033" s="22" t="inlineStr">
        <is>
          <t>https://entrackr.com/news/instaastro-raises-12-mn-in-series-a-round-12442163</t>
        </is>
      </c>
    </row>
    <row r="2034">
      <c r="A2034" t="inlineStr">
        <is>
          <t>R260827-oorjaa</t>
        </is>
      </c>
      <c r="B2034" t="inlineStr">
        <is>
          <t>OORJAA</t>
        </is>
      </c>
      <c r="C2034" s="17" t="n">
        <v>46261</v>
      </c>
      <c r="D2034" s="18" t="n">
        <v>46235</v>
      </c>
      <c r="E2034" s="19" t="n">
        <v>1.015</v>
      </c>
      <c r="F2034" s="19" t="n">
        <v>9.699999999999999</v>
      </c>
      <c r="G2034" t="inlineStr">
        <is>
          <t>Rs 9.7 crore</t>
        </is>
      </c>
      <c r="H2034" t="inlineStr">
        <is>
          <t>Series A</t>
        </is>
      </c>
      <c r="I2034" t="inlineStr">
        <is>
          <t>Early</t>
        </is>
      </c>
      <c r="J2034" t="inlineStr">
        <is>
          <t>Logistics</t>
        </is>
      </c>
      <c r="K2034" t="inlineStr">
        <is>
          <t>Mumbai</t>
        </is>
      </c>
      <c r="L2034" t="inlineStr">
        <is>
          <t>Equentis Angel Fund</t>
        </is>
      </c>
      <c r="M2034" t="inlineStr">
        <is>
          <t>Equentis Angel Fund; Inflection Point Ventures; Micello Fund; Capital-A; Java Capital; Anicut Capital; Lead Angels in September 2023</t>
        </is>
      </c>
      <c r="N2034" t="inlineStr">
        <is>
          <t>entrackr | inc42</t>
        </is>
      </c>
      <c r="O2034" s="20" t="n">
        <v>2</v>
      </c>
      <c r="P2034" s="21" t="n">
        <v>1.5</v>
      </c>
      <c r="Q2034" t="inlineStr">
        <is>
          <t>C11</t>
        </is>
      </c>
      <c r="R2034" s="22" t="inlineStr">
        <is>
          <t>https://entrackr.com/snippets/logistics-startup-oorjaa-raises-series-a-funding-led-by-equentis-angel-fund-12444247</t>
        </is>
      </c>
    </row>
    <row r="2035">
      <c r="A2035" t="inlineStr">
        <is>
          <t>R260827-trucksup</t>
        </is>
      </c>
      <c r="B2035" t="inlineStr">
        <is>
          <t>TrucksUp</t>
        </is>
      </c>
      <c r="C2035" s="17" t="n">
        <v>46261</v>
      </c>
      <c r="D2035" s="18" t="n">
        <v>46235</v>
      </c>
      <c r="E2035" s="19" t="n">
        <v>8.199999999999999</v>
      </c>
      <c r="F2035" s="19" t="n">
        <v>78.34</v>
      </c>
      <c r="G2035" t="inlineStr">
        <is>
          <t>$8.2 million</t>
        </is>
      </c>
      <c r="H2035" t="inlineStr">
        <is>
          <t>Undisclosed</t>
        </is>
      </c>
      <c r="I2035" t="inlineStr">
        <is>
          <t>Undisclosed</t>
        </is>
      </c>
      <c r="J2035" t="inlineStr">
        <is>
          <t>Logistics</t>
        </is>
      </c>
      <c r="K2035" t="inlineStr">
        <is>
          <t>Delhi NCR</t>
        </is>
      </c>
      <c r="L2035" t="inlineStr"/>
      <c r="M2035" t="inlineStr"/>
      <c r="N2035" t="inlineStr">
        <is>
          <t>entrackr | et</t>
        </is>
      </c>
      <c r="O2035" s="20" t="n">
        <v>2</v>
      </c>
      <c r="P2035" s="21" t="n">
        <v>0</v>
      </c>
      <c r="Q2035" t="inlineStr">
        <is>
          <t>C04 C05</t>
        </is>
      </c>
      <c r="R2035" s="22" t="inlineStr">
        <is>
          <t>https://entrackr.com/snippets/logistics-platform-trucksup-raises-82-mn-in-growth-round-12442109</t>
        </is>
      </c>
    </row>
    <row r="2036">
      <c r="A2036" t="inlineStr">
        <is>
          <t>R260829-beclinical</t>
        </is>
      </c>
      <c r="B2036" t="inlineStr">
        <is>
          <t>Be Clinical</t>
        </is>
      </c>
      <c r="C2036" s="17" t="n">
        <v>46263</v>
      </c>
      <c r="D2036" s="18" t="n">
        <v>46235</v>
      </c>
      <c r="E2036" s="19" t="n">
        <v>2.2</v>
      </c>
      <c r="F2036" s="19" t="n">
        <v>20.99</v>
      </c>
      <c r="G2036" t="inlineStr">
        <is>
          <t>$2.2 Mn</t>
        </is>
      </c>
      <c r="H2036" t="inlineStr">
        <is>
          <t>Seed</t>
        </is>
      </c>
      <c r="I2036" t="inlineStr">
        <is>
          <t>Early</t>
        </is>
      </c>
      <c r="J2036" t="inlineStr">
        <is>
          <t>Ecommerce</t>
        </is>
      </c>
      <c r="K2036" t="inlineStr">
        <is>
          <t>Mumbai</t>
        </is>
      </c>
      <c r="L2036" t="inlineStr">
        <is>
          <t>Sauce VC</t>
        </is>
      </c>
      <c r="M2036" t="inlineStr">
        <is>
          <t>Sauce VC; Sangeet Agrawal; Navin Parwal; Arjun Purkayastha; Shaunak Chirayu Amin</t>
        </is>
      </c>
      <c r="N2036" t="inlineStr">
        <is>
          <t>inc42</t>
        </is>
      </c>
      <c r="O2036" s="20" t="n">
        <v>1</v>
      </c>
      <c r="P2036" s="21" t="n">
        <v>0</v>
      </c>
      <c r="Q2036" t="inlineStr"/>
      <c r="R2036" s="22" t="inlineStr">
        <is>
          <t>https://inc42.com/buzz/from-third-wave-coffee-to-matter-indian-startups-raised-over-210-mn-this-week/</t>
        </is>
      </c>
    </row>
    <row r="2037">
      <c r="A2037" t="inlineStr">
        <is>
          <t>R260829-omegaseikimobi</t>
        </is>
      </c>
      <c r="B2037" t="inlineStr">
        <is>
          <t>Omega Seiki Mobility</t>
        </is>
      </c>
      <c r="C2037" s="17" t="n">
        <v>46263</v>
      </c>
      <c r="D2037" s="18" t="n">
        <v>46235</v>
      </c>
      <c r="E2037" s="19" t="n">
        <v>5.2</v>
      </c>
      <c r="F2037" s="19" t="n">
        <v>49.6</v>
      </c>
      <c r="G2037" t="inlineStr">
        <is>
          <t>$5.2 Mn</t>
        </is>
      </c>
      <c r="H2037" t="inlineStr">
        <is>
          <t>Undisclosed</t>
        </is>
      </c>
      <c r="I2037" t="inlineStr">
        <is>
          <t>Undisclosed</t>
        </is>
      </c>
      <c r="J2037" t="inlineStr">
        <is>
          <t>Cleantech</t>
        </is>
      </c>
      <c r="K2037" t="inlineStr">
        <is>
          <t>Delhi NCR</t>
        </is>
      </c>
      <c r="L2037" t="inlineStr">
        <is>
          <t>Abhishek Misra</t>
        </is>
      </c>
      <c r="M2037" t="inlineStr">
        <is>
          <t>Abhishek Misra; Sanjeev Agarwal Family Office; Brijesh Parekh Family Office</t>
        </is>
      </c>
      <c r="N2037" t="inlineStr">
        <is>
          <t>inc42</t>
        </is>
      </c>
      <c r="O2037" s="20" t="n">
        <v>1</v>
      </c>
      <c r="P2037" s="21" t="n">
        <v>0</v>
      </c>
      <c r="Q2037" t="inlineStr">
        <is>
          <t>C04 C09</t>
        </is>
      </c>
      <c r="R2037" s="22" t="inlineStr">
        <is>
          <t>https://inc42.com/buzz/from-third-wave-coffee-to-matter-indian-startups-raised-over-210-mn-this-week/</t>
        </is>
      </c>
    </row>
    <row r="2038">
      <c r="A2038" t="inlineStr">
        <is>
          <t>R260831-chinikum</t>
        </is>
      </c>
      <c r="B2038" t="inlineStr">
        <is>
          <t>CHINI KUM</t>
        </is>
      </c>
      <c r="C2038" s="17" t="n">
        <v>46265</v>
      </c>
      <c r="D2038" s="18" t="n">
        <v>46235</v>
      </c>
      <c r="E2038" s="19" t="n">
        <v>0.174</v>
      </c>
      <c r="F2038" s="19" t="n">
        <v>1.66</v>
      </c>
      <c r="G2038" t="inlineStr">
        <is>
          <t>$174K</t>
        </is>
      </c>
      <c r="H2038" t="inlineStr">
        <is>
          <t>Undisclosed</t>
        </is>
      </c>
      <c r="I2038" t="inlineStr">
        <is>
          <t>Undisclosed</t>
        </is>
      </c>
      <c r="J2038" t="inlineStr">
        <is>
          <t>Ecommerce</t>
        </is>
      </c>
      <c r="K2038" t="inlineStr">
        <is>
          <t>Unknown</t>
        </is>
      </c>
      <c r="L2038" t="inlineStr"/>
      <c r="M2038" t="inlineStr"/>
      <c r="N2038" t="inlineStr">
        <is>
          <t>inc42</t>
        </is>
      </c>
      <c r="O2038" s="20" t="n">
        <v>1</v>
      </c>
      <c r="P2038" s="21" t="n">
        <v>0</v>
      </c>
      <c r="Q2038" t="inlineStr">
        <is>
          <t>C04 C05 C07</t>
        </is>
      </c>
      <c r="R2038" s="22" t="inlineStr">
        <is>
          <t>https://inc42.com/buzz/from-ultrahuman-to-comet-indian-startups-raised-over-177-mn-this-week/</t>
        </is>
      </c>
    </row>
    <row r="2039">
      <c r="A2039" t="inlineStr">
        <is>
          <t>R260831-growwamc</t>
        </is>
      </c>
      <c r="B2039" t="inlineStr">
        <is>
          <t>Groww AMC</t>
        </is>
      </c>
      <c r="C2039" s="17" t="n">
        <v>46265</v>
      </c>
      <c r="D2039" s="18" t="n">
        <v>46235</v>
      </c>
      <c r="E2039" s="19" t="n">
        <v>60.944</v>
      </c>
      <c r="F2039" s="19" t="n">
        <v>580</v>
      </c>
      <c r="G2039" t="inlineStr">
        <is>
          <t>Rs 580 Cr</t>
        </is>
      </c>
      <c r="H2039" t="inlineStr">
        <is>
          <t>Undisclosed</t>
        </is>
      </c>
      <c r="I2039" t="inlineStr">
        <is>
          <t>Undisclosed</t>
        </is>
      </c>
      <c r="J2039" t="inlineStr">
        <is>
          <t>Unclassified</t>
        </is>
      </c>
      <c r="K2039" t="inlineStr">
        <is>
          <t>Unknown</t>
        </is>
      </c>
      <c r="L2039" t="inlineStr"/>
      <c r="M2039" t="inlineStr">
        <is>
          <t>State Street Investment Management</t>
        </is>
      </c>
      <c r="N2039" t="inlineStr">
        <is>
          <t>entrackr</t>
        </is>
      </c>
      <c r="O2039" s="20" t="n">
        <v>1</v>
      </c>
      <c r="P2039" s="21" t="n">
        <v>0</v>
      </c>
      <c r="Q2039" t="inlineStr">
        <is>
          <t>C04 C06 C07</t>
        </is>
      </c>
      <c r="R2039" s="22" t="inlineStr">
        <is>
          <t>https://entrackr.com/news/groww-amc-closes-state-streets-rs-580-cr-strategic-investment-12458404</t>
        </is>
      </c>
    </row>
    <row r="2040">
      <c r="A2040" t="inlineStr">
        <is>
          <t>R260831-yogacleanair</t>
        </is>
      </c>
      <c r="B2040" t="inlineStr">
        <is>
          <t>YOGa Clean Air</t>
        </is>
      </c>
      <c r="C2040" s="17" t="n">
        <v>46265</v>
      </c>
      <c r="D2040" s="18" t="n">
        <v>46235</v>
      </c>
      <c r="E2040" s="19" t="n">
        <v>2.102</v>
      </c>
      <c r="F2040" s="19" t="n">
        <v>20</v>
      </c>
      <c r="G2040" t="inlineStr">
        <is>
          <t>Rs 20 crore</t>
        </is>
      </c>
      <c r="H2040" t="inlineStr">
        <is>
          <t>Series A</t>
        </is>
      </c>
      <c r="I2040" t="inlineStr">
        <is>
          <t>Early</t>
        </is>
      </c>
      <c r="J2040" t="inlineStr">
        <is>
          <t>Cleantech</t>
        </is>
      </c>
      <c r="K2040" t="inlineStr">
        <is>
          <t>Delhi NCR</t>
        </is>
      </c>
      <c r="L2040" t="inlineStr">
        <is>
          <t>Info Edge Ventures</t>
        </is>
      </c>
      <c r="M2040" t="inlineStr">
        <is>
          <t>Info Edge Ventures; Deepider Goyal; Three Words Capital</t>
        </is>
      </c>
      <c r="N2040" t="inlineStr">
        <is>
          <t>entrackr | inc42 | et</t>
        </is>
      </c>
      <c r="O2040" s="20" t="n">
        <v>3</v>
      </c>
      <c r="P2040" s="21" t="n">
        <v>0.1</v>
      </c>
      <c r="Q2040" t="inlineStr"/>
      <c r="R2040" s="22" t="inlineStr">
        <is>
          <t>https://entrackr.com/snippets/info-edge-ventures-leads-rs-20-cr-series-a-round-in-yoga-clean-air-12458086</t>
        </is>
      </c>
    </row>
    <row r="2041">
      <c r="A2041" t="inlineStr">
        <is>
          <t>R260901-72street</t>
        </is>
      </c>
      <c r="B2041" t="inlineStr">
        <is>
          <t>72 Street</t>
        </is>
      </c>
      <c r="C2041" s="17" t="n">
        <v>46266</v>
      </c>
      <c r="D2041" s="18" t="n">
        <v>46266</v>
      </c>
      <c r="E2041" s="19" t="n">
        <v>0.48</v>
      </c>
      <c r="F2041" s="19" t="n">
        <v>4.56</v>
      </c>
      <c r="G2041" t="inlineStr">
        <is>
          <t>$480K</t>
        </is>
      </c>
      <c r="H2041" t="inlineStr">
        <is>
          <t>Undisclosed</t>
        </is>
      </c>
      <c r="I2041" t="inlineStr">
        <is>
          <t>Undisclosed</t>
        </is>
      </c>
      <c r="J2041" t="inlineStr">
        <is>
          <t>Fintech</t>
        </is>
      </c>
      <c r="K2041" t="inlineStr">
        <is>
          <t>Unknown</t>
        </is>
      </c>
      <c r="L2041" t="inlineStr"/>
      <c r="M2041" t="inlineStr"/>
      <c r="N2041" t="inlineStr">
        <is>
          <t>inc42</t>
        </is>
      </c>
      <c r="O2041" s="20" t="n">
        <v>1</v>
      </c>
      <c r="P2041" s="21" t="n">
        <v>0</v>
      </c>
      <c r="Q2041" t="inlineStr">
        <is>
          <t>C04 C05 C07</t>
        </is>
      </c>
      <c r="R2041" s="22" t="inlineStr">
        <is>
          <t>https://inc42.com/buzz/from-ultrahuman-to-comet-indian-startups-raised-over-177-mn-this-week/</t>
        </is>
      </c>
    </row>
    <row r="2042">
      <c r="A2042" t="inlineStr">
        <is>
          <t>R260901-aeronsystems</t>
        </is>
      </c>
      <c r="B2042" t="inlineStr">
        <is>
          <t>Aeron Systems</t>
        </is>
      </c>
      <c r="C2042" s="17" t="n">
        <v>46266</v>
      </c>
      <c r="D2042" s="18" t="n">
        <v>46266</v>
      </c>
      <c r="E2042" s="19" t="n">
        <v>4.739</v>
      </c>
      <c r="F2042" s="19" t="n">
        <v>45</v>
      </c>
      <c r="G2042" t="inlineStr">
        <is>
          <t>Rs 45 crore</t>
        </is>
      </c>
      <c r="H2042" t="inlineStr">
        <is>
          <t>Pre-Series B</t>
        </is>
      </c>
      <c r="I2042" t="inlineStr">
        <is>
          <t>Growth</t>
        </is>
      </c>
      <c r="J2042" t="inlineStr">
        <is>
          <t>Advanced Hardware &amp; Technology</t>
        </is>
      </c>
      <c r="K2042" t="inlineStr">
        <is>
          <t>Pune</t>
        </is>
      </c>
      <c r="L2042" t="inlineStr">
        <is>
          <t>Riverwalk Holdings; MGF-Kavachh</t>
        </is>
      </c>
      <c r="M2042" t="inlineStr">
        <is>
          <t>Riverwalk Holdings; MGF-Kavachh</t>
        </is>
      </c>
      <c r="N2042" t="inlineStr">
        <is>
          <t>entrackr | inc42</t>
        </is>
      </c>
      <c r="O2042" s="20" t="n">
        <v>2</v>
      </c>
      <c r="P2042" s="21" t="n">
        <v>0.8</v>
      </c>
      <c r="Q2042" t="inlineStr"/>
      <c r="R2042" s="22" t="inlineStr">
        <is>
          <t>https://entrackr.com/snippets/aeron-systems-raises-rs-45-cr-in-pre-series-b-round-12480196</t>
        </is>
      </c>
    </row>
    <row r="2043">
      <c r="A2043" t="inlineStr">
        <is>
          <t>R260901-alteon</t>
        </is>
      </c>
      <c r="B2043" t="inlineStr">
        <is>
          <t>Alteon</t>
        </is>
      </c>
      <c r="C2043" s="17" t="n">
        <v>46266</v>
      </c>
      <c r="D2043" s="18" t="n">
        <v>46266</v>
      </c>
      <c r="E2043" s="19" t="n">
        <v>2.5</v>
      </c>
      <c r="F2043" s="19" t="n">
        <v>23.74</v>
      </c>
      <c r="G2043" t="inlineStr">
        <is>
          <t>$2.5 million</t>
        </is>
      </c>
      <c r="H2043" t="inlineStr">
        <is>
          <t>Pre-Seed</t>
        </is>
      </c>
      <c r="I2043" t="inlineStr">
        <is>
          <t>Early</t>
        </is>
      </c>
      <c r="J2043" t="inlineStr">
        <is>
          <t>Advanced Hardware &amp; Technology</t>
        </is>
      </c>
      <c r="K2043" t="inlineStr">
        <is>
          <t>Bengaluru</t>
        </is>
      </c>
      <c r="L2043" t="inlineStr">
        <is>
          <t>Lachy Groom</t>
        </is>
      </c>
      <c r="M2043" t="inlineStr">
        <is>
          <t>Lachy Groom; Together Fund</t>
        </is>
      </c>
      <c r="N2043" t="inlineStr">
        <is>
          <t>entrackr | inc42 | et</t>
        </is>
      </c>
      <c r="O2043" s="20" t="n">
        <v>3</v>
      </c>
      <c r="P2043" s="21" t="n">
        <v>0</v>
      </c>
      <c r="Q2043" t="inlineStr"/>
      <c r="R2043" s="22" t="inlineStr">
        <is>
          <t>https://entrackr.com/snippets/deep-tech-aerospace-startup-alteon-raises-25-mn-led-by-lachy-groom-12479389</t>
        </is>
      </c>
    </row>
    <row r="2044">
      <c r="A2044" t="inlineStr">
        <is>
          <t>R260901-kepleraerospac</t>
        </is>
      </c>
      <c r="B2044" t="inlineStr">
        <is>
          <t>Kepler Aerospace</t>
        </is>
      </c>
      <c r="C2044" s="17" t="n">
        <v>46266</v>
      </c>
      <c r="D2044" s="18" t="n">
        <v>46266</v>
      </c>
      <c r="E2044" s="19" t="n">
        <v>8</v>
      </c>
      <c r="F2044" s="19" t="n">
        <v>75.95999999999999</v>
      </c>
      <c r="G2044" t="inlineStr">
        <is>
          <t>$8 million</t>
        </is>
      </c>
      <c r="H2044" t="inlineStr">
        <is>
          <t>Seed</t>
        </is>
      </c>
      <c r="I2044" t="inlineStr">
        <is>
          <t>Early</t>
        </is>
      </c>
      <c r="J2044" t="inlineStr">
        <is>
          <t>Advanced Hardware &amp; Technology</t>
        </is>
      </c>
      <c r="K2044" t="inlineStr">
        <is>
          <t>Bengaluru</t>
        </is>
      </c>
      <c r="L2044" t="inlineStr">
        <is>
          <t>Blue Ashva Capital; Finvolve India Accelerator</t>
        </is>
      </c>
      <c r="M2044" t="inlineStr">
        <is>
          <t>Blue Ashva Capital; Finvolve India Accelerator</t>
        </is>
      </c>
      <c r="N2044" t="inlineStr">
        <is>
          <t>entrackr | et</t>
        </is>
      </c>
      <c r="O2044" s="20" t="n">
        <v>2</v>
      </c>
      <c r="P2044" s="21" t="n">
        <v>0</v>
      </c>
      <c r="Q2044" t="inlineStr">
        <is>
          <t>C09</t>
        </is>
      </c>
      <c r="R2044" s="22" t="inlineStr">
        <is>
          <t>https://entrackr.com/news/spacetech-startup-kepler-aerospace-raises-8-mn-in-seed-round-led-by-blue-ashva-capital-12478666</t>
        </is>
      </c>
    </row>
    <row r="2045">
      <c r="A2045" t="inlineStr">
        <is>
          <t>R260901-minimacsystems</t>
        </is>
      </c>
      <c r="B2045" t="inlineStr">
        <is>
          <t>Minimac Systems</t>
        </is>
      </c>
      <c r="C2045" s="17" t="n">
        <v>46266</v>
      </c>
      <c r="D2045" s="18" t="n">
        <v>46266</v>
      </c>
      <c r="E2045" s="19" t="n">
        <v>3.16</v>
      </c>
      <c r="F2045" s="19" t="n">
        <v>30</v>
      </c>
      <c r="G2045" t="inlineStr">
        <is>
          <t>Rs 30 crore</t>
        </is>
      </c>
      <c r="H2045" t="inlineStr">
        <is>
          <t>Pre-Series A</t>
        </is>
      </c>
      <c r="I2045" t="inlineStr">
        <is>
          <t>Early</t>
        </is>
      </c>
      <c r="J2045" t="inlineStr">
        <is>
          <t>Cleantech</t>
        </is>
      </c>
      <c r="K2045" t="inlineStr">
        <is>
          <t>Pune</t>
        </is>
      </c>
      <c r="L2045" t="inlineStr">
        <is>
          <t>Rainmatter</t>
        </is>
      </c>
      <c r="M2045" t="inlineStr">
        <is>
          <t>Rainmatter; Zerodha</t>
        </is>
      </c>
      <c r="N2045" t="inlineStr">
        <is>
          <t>entrackr | inc42 | et</t>
        </is>
      </c>
      <c r="O2045" s="20" t="n">
        <v>3</v>
      </c>
      <c r="P2045" s="21" t="n">
        <v>1.3</v>
      </c>
      <c r="Q2045" t="inlineStr"/>
      <c r="R2045" s="22" t="inlineStr">
        <is>
          <t>https://entrackr.com/snippets/rainmatter-leads-rs-30-cr-pre-series-a-round-in-minimac-systems-12479900</t>
        </is>
      </c>
    </row>
    <row r="2046">
      <c r="A2046" t="inlineStr">
        <is>
          <t>R260901-oppexai</t>
        </is>
      </c>
      <c r="B2046" t="inlineStr">
        <is>
          <t>Oppex AI</t>
        </is>
      </c>
      <c r="C2046" s="17" t="n">
        <v>46266</v>
      </c>
      <c r="D2046" s="18" t="n">
        <v>46266</v>
      </c>
      <c r="E2046" s="19" t="n">
        <v>0.442</v>
      </c>
      <c r="F2046" s="19" t="n">
        <v>4.2</v>
      </c>
      <c r="G2046" t="inlineStr">
        <is>
          <t>Rs 4.2 crore</t>
        </is>
      </c>
      <c r="H2046" t="inlineStr">
        <is>
          <t>Pre-Seed</t>
        </is>
      </c>
      <c r="I2046" t="inlineStr">
        <is>
          <t>Early</t>
        </is>
      </c>
      <c r="J2046" t="inlineStr">
        <is>
          <t>Artificial Intelligence</t>
        </is>
      </c>
      <c r="K2046" t="inlineStr">
        <is>
          <t>Bengaluru</t>
        </is>
      </c>
      <c r="L2046" t="inlineStr">
        <is>
          <t>Info Edge Ventures</t>
        </is>
      </c>
      <c r="M2046" t="inlineStr">
        <is>
          <t>Info Edge Ventures</t>
        </is>
      </c>
      <c r="N2046" t="inlineStr">
        <is>
          <t>entrackr | inc42 | et</t>
        </is>
      </c>
      <c r="O2046" s="20" t="n">
        <v>3</v>
      </c>
      <c r="P2046" s="21" t="n">
        <v>0.6</v>
      </c>
      <c r="Q2046" t="inlineStr"/>
      <c r="R2046" s="22" t="inlineStr">
        <is>
          <t>https://entrackr.com/snippets/oppex-ai-raises-rs-42-cr-in-pre-seed-round-led-by-info-edge-ventures-12480269</t>
        </is>
      </c>
    </row>
    <row r="2047">
      <c r="A2047" t="inlineStr">
        <is>
          <t>R260901-speakx</t>
        </is>
      </c>
      <c r="B2047" t="inlineStr">
        <is>
          <t>SpeakX</t>
        </is>
      </c>
      <c r="C2047" s="17" t="n">
        <v>46266</v>
      </c>
      <c r="D2047" s="18" t="n">
        <v>46266</v>
      </c>
      <c r="E2047" s="19" t="n"/>
      <c r="F2047" s="19" t="n"/>
      <c r="G2047" t="inlineStr"/>
      <c r="H2047" t="inlineStr">
        <is>
          <t>Undisclosed</t>
        </is>
      </c>
      <c r="I2047" t="inlineStr">
        <is>
          <t>Undisclosed</t>
        </is>
      </c>
      <c r="J2047" t="inlineStr">
        <is>
          <t>Edtech</t>
        </is>
      </c>
      <c r="K2047" t="inlineStr">
        <is>
          <t>Delhi NCR</t>
        </is>
      </c>
      <c r="L2047" t="inlineStr">
        <is>
          <t>MS Dhoni</t>
        </is>
      </c>
      <c r="M2047" t="inlineStr">
        <is>
          <t>MS Dhoni</t>
        </is>
      </c>
      <c r="N2047" t="inlineStr">
        <is>
          <t>inc42</t>
        </is>
      </c>
      <c r="O2047" s="20" t="n">
        <v>1</v>
      </c>
      <c r="P2047" s="21" t="n"/>
      <c r="Q2047" t="inlineStr">
        <is>
          <t>C03 C04</t>
        </is>
      </c>
      <c r="R2047" s="22" t="inlineStr">
        <is>
          <t>https://inc42.com/buzz/from-ultrahuman-to-comet-indian-startups-raised-over-177-mn-this-week/</t>
        </is>
      </c>
    </row>
    <row r="2048">
      <c r="A2048" t="inlineStr">
        <is>
          <t>R260901-ultrahuman</t>
        </is>
      </c>
      <c r="B2048" t="inlineStr">
        <is>
          <t>Ultrahuman</t>
        </is>
      </c>
      <c r="C2048" s="17" t="n">
        <v>46266</v>
      </c>
      <c r="D2048" s="18" t="n">
        <v>46266</v>
      </c>
      <c r="E2048" s="19" t="n">
        <v>70</v>
      </c>
      <c r="F2048" s="19" t="n">
        <v>664.65</v>
      </c>
      <c r="G2048" t="inlineStr">
        <is>
          <t>$70 million</t>
        </is>
      </c>
      <c r="H2048" t="inlineStr">
        <is>
          <t>Undisclosed</t>
        </is>
      </c>
      <c r="I2048" t="inlineStr">
        <is>
          <t>Undisclosed</t>
        </is>
      </c>
      <c r="J2048" t="inlineStr">
        <is>
          <t>Healthtech</t>
        </is>
      </c>
      <c r="K2048" t="inlineStr">
        <is>
          <t>Bengaluru</t>
        </is>
      </c>
      <c r="L2048" t="inlineStr">
        <is>
          <t>Qualcomm Ventures</t>
        </is>
      </c>
      <c r="M2048" t="inlineStr">
        <is>
          <t>Qualcomm Ventures; Alpha Wave; Blume; Nexus; Alteria; Labcorp</t>
        </is>
      </c>
      <c r="N2048" t="inlineStr">
        <is>
          <t>entrackr | inc42 | et</t>
        </is>
      </c>
      <c r="O2048" s="20" t="n">
        <v>3</v>
      </c>
      <c r="P2048" s="21" t="n">
        <v>16.7</v>
      </c>
      <c r="Q2048" t="inlineStr">
        <is>
          <t>C04 C15</t>
        </is>
      </c>
      <c r="R2048" s="22" t="inlineStr">
        <is>
          <t>https://economictimes.indiatimes.com/tech/funding/ultrahuman-raises-60-million-led-by-qualcomm-ventures-at-360-million-valuation/articleshow/133682809.cms</t>
        </is>
      </c>
    </row>
    <row r="2049">
      <c r="A2049" t="inlineStr">
        <is>
          <t>R260901-wldd</t>
        </is>
      </c>
      <c r="B2049" t="inlineStr">
        <is>
          <t>WLDD</t>
        </is>
      </c>
      <c r="C2049" s="17" t="n">
        <v>46266</v>
      </c>
      <c r="D2049" s="18" t="n">
        <v>46266</v>
      </c>
      <c r="E2049" s="19" t="n"/>
      <c r="F2049" s="19" t="n"/>
      <c r="G2049" t="inlineStr"/>
      <c r="H2049" t="inlineStr">
        <is>
          <t>Undisclosed</t>
        </is>
      </c>
      <c r="I2049" t="inlineStr">
        <is>
          <t>Undisclosed</t>
        </is>
      </c>
      <c r="J2049" t="inlineStr">
        <is>
          <t>Enterprise Tech</t>
        </is>
      </c>
      <c r="K2049" t="inlineStr">
        <is>
          <t>Unknown</t>
        </is>
      </c>
      <c r="L2049" t="inlineStr">
        <is>
          <t>Adfactors</t>
        </is>
      </c>
      <c r="M2049" t="inlineStr">
        <is>
          <t>Adfactors; Vikas Khemani</t>
        </is>
      </c>
      <c r="N2049" t="inlineStr">
        <is>
          <t>inc42</t>
        </is>
      </c>
      <c r="O2049" s="20" t="n">
        <v>1</v>
      </c>
      <c r="P2049" s="21" t="n"/>
      <c r="Q2049" t="inlineStr">
        <is>
          <t>C03 C04 C07</t>
        </is>
      </c>
      <c r="R2049" s="22" t="inlineStr">
        <is>
          <t>https://inc42.com/buzz/from-ultrahuman-to-comet-indian-startups-raised-over-177-mn-this-week/</t>
        </is>
      </c>
    </row>
    <row r="2050">
      <c r="A2050" t="inlineStr">
        <is>
          <t>R260901-xstep</t>
        </is>
      </c>
      <c r="B2050" t="inlineStr">
        <is>
          <t>xStep</t>
        </is>
      </c>
      <c r="C2050" s="17" t="n">
        <v>46266</v>
      </c>
      <c r="D2050" s="18" t="n">
        <v>46266</v>
      </c>
      <c r="E2050" s="19" t="n"/>
      <c r="F2050" s="19" t="n"/>
      <c r="G2050" t="inlineStr"/>
      <c r="H2050" t="inlineStr">
        <is>
          <t>Undisclosed</t>
        </is>
      </c>
      <c r="I2050" t="inlineStr">
        <is>
          <t>Undisclosed</t>
        </is>
      </c>
      <c r="J2050" t="inlineStr">
        <is>
          <t>Healthtech</t>
        </is>
      </c>
      <c r="K2050" t="inlineStr">
        <is>
          <t>Unknown</t>
        </is>
      </c>
      <c r="L2050" t="inlineStr">
        <is>
          <t>Titan Capital</t>
        </is>
      </c>
      <c r="M2050" t="inlineStr">
        <is>
          <t>Titan Capital</t>
        </is>
      </c>
      <c r="N2050" t="inlineStr">
        <is>
          <t>inc42</t>
        </is>
      </c>
      <c r="O2050" s="20" t="n">
        <v>1</v>
      </c>
      <c r="P2050" s="21" t="n"/>
      <c r="Q2050" t="inlineStr">
        <is>
          <t>C03 C04 C07</t>
        </is>
      </c>
      <c r="R2050" s="22" t="inlineStr">
        <is>
          <t>https://inc42.com/buzz/from-ultrahuman-to-comet-indian-startups-raised-over-177-mn-this-week/</t>
        </is>
      </c>
    </row>
    <row r="2051">
      <c r="A2051" t="inlineStr">
        <is>
          <t>R260901-yumaenergy</t>
        </is>
      </c>
      <c r="B2051" t="inlineStr">
        <is>
          <t>Yuma Energy</t>
        </is>
      </c>
      <c r="C2051" s="17" t="n">
        <v>46266</v>
      </c>
      <c r="D2051" s="18" t="n">
        <v>46266</v>
      </c>
      <c r="E2051" s="19" t="n">
        <v>35</v>
      </c>
      <c r="F2051" s="19" t="n">
        <v>332.32</v>
      </c>
      <c r="G2051" t="inlineStr">
        <is>
          <t>$35 million</t>
        </is>
      </c>
      <c r="H2051" t="inlineStr">
        <is>
          <t>Series A</t>
        </is>
      </c>
      <c r="I2051" t="inlineStr">
        <is>
          <t>Early</t>
        </is>
      </c>
      <c r="J2051" t="inlineStr">
        <is>
          <t>Cleantech</t>
        </is>
      </c>
      <c r="K2051" t="inlineStr">
        <is>
          <t>Bengaluru</t>
        </is>
      </c>
      <c r="L2051" t="inlineStr">
        <is>
          <t>Magna International</t>
        </is>
      </c>
      <c r="M2051" t="inlineStr">
        <is>
          <t>Magna International</t>
        </is>
      </c>
      <c r="N2051" t="inlineStr">
        <is>
          <t>entrackr | inc42 | et</t>
        </is>
      </c>
      <c r="O2051" s="20" t="n">
        <v>3</v>
      </c>
      <c r="P2051" s="21" t="n">
        <v>0</v>
      </c>
      <c r="Q2051" t="inlineStr"/>
      <c r="R2051" s="22" t="inlineStr">
        <is>
          <t>https://entrackr.com/news/battery-swapping-startup-yuma-energy-raises-35-mn-from-magna-international-12479183</t>
        </is>
      </c>
    </row>
    <row r="2052">
      <c r="A2052" t="inlineStr">
        <is>
          <t>R260901-zenergize</t>
        </is>
      </c>
      <c r="B2052" t="inlineStr">
        <is>
          <t>Zenergize</t>
        </is>
      </c>
      <c r="C2052" s="17" t="n">
        <v>46266</v>
      </c>
      <c r="D2052" s="18" t="n">
        <v>46266</v>
      </c>
      <c r="E2052" s="19" t="n">
        <v>4</v>
      </c>
      <c r="F2052" s="19" t="n">
        <v>37.98</v>
      </c>
      <c r="G2052" t="inlineStr">
        <is>
          <t>$4 million</t>
        </is>
      </c>
      <c r="H2052" t="inlineStr">
        <is>
          <t>Pre-Series A</t>
        </is>
      </c>
      <c r="I2052" t="inlineStr">
        <is>
          <t>Early</t>
        </is>
      </c>
      <c r="J2052" t="inlineStr">
        <is>
          <t>Cleantech</t>
        </is>
      </c>
      <c r="K2052" t="inlineStr">
        <is>
          <t>Delhi NCR</t>
        </is>
      </c>
      <c r="L2052" t="inlineStr">
        <is>
          <t>Giraffe Studios</t>
        </is>
      </c>
      <c r="M2052" t="inlineStr">
        <is>
          <t>Giraffe Studios; Nikhil Sawhney; Varun Agarwal; Shyam Bagri; Raoul Bajaj; Sunil Kalra; Ajith Pai; Sandeep Barasia; Nitin Jain; Hemant Daga</t>
        </is>
      </c>
      <c r="N2052" t="inlineStr">
        <is>
          <t>entrackr | inc42</t>
        </is>
      </c>
      <c r="O2052" s="20" t="n">
        <v>2</v>
      </c>
      <c r="P2052" s="21" t="n">
        <v>0</v>
      </c>
      <c r="Q2052" t="inlineStr"/>
      <c r="R2052" s="22" t="inlineStr">
        <is>
          <t>https://entrackr.com/snippets/zenergize-raises-4-mn-in-pre-series-a-round-led-by-giraffe-studios-12478594</t>
        </is>
      </c>
    </row>
    <row r="2053">
      <c r="A2053" t="inlineStr">
        <is>
          <t>R260902-cradlewise</t>
        </is>
      </c>
      <c r="B2053" t="inlineStr">
        <is>
          <t>Cradlewise</t>
        </is>
      </c>
      <c r="C2053" s="17" t="n">
        <v>46267</v>
      </c>
      <c r="D2053" s="18" t="n">
        <v>46266</v>
      </c>
      <c r="E2053" s="19" t="n">
        <v>12</v>
      </c>
      <c r="F2053" s="19" t="n">
        <v>113.96</v>
      </c>
      <c r="G2053" t="inlineStr">
        <is>
          <t>$12 million</t>
        </is>
      </c>
      <c r="H2053" t="inlineStr">
        <is>
          <t>Series A</t>
        </is>
      </c>
      <c r="I2053" t="inlineStr">
        <is>
          <t>Early</t>
        </is>
      </c>
      <c r="J2053" t="inlineStr">
        <is>
          <t>Ecommerce</t>
        </is>
      </c>
      <c r="K2053" t="inlineStr">
        <is>
          <t>Outside India</t>
        </is>
      </c>
      <c r="L2053" t="inlineStr">
        <is>
          <t>3one4 Capital; Prudent Investment Management</t>
        </is>
      </c>
      <c r="M2053" t="inlineStr">
        <is>
          <t>3one4 Capital; Prudent Investment Management</t>
        </is>
      </c>
      <c r="N2053" t="inlineStr">
        <is>
          <t>entrackr | inc42 | et</t>
        </is>
      </c>
      <c r="O2053" s="20" t="n">
        <v>3</v>
      </c>
      <c r="P2053" s="21" t="n">
        <v>0</v>
      </c>
      <c r="Q2053" t="inlineStr"/>
      <c r="R2053" s="22" t="inlineStr">
        <is>
          <t>https://inc42.com/buzz/from-ultrahuman-to-comet-indian-startups-raised-over-177-mn-this-week/</t>
        </is>
      </c>
    </row>
    <row r="2054">
      <c r="A2054" t="inlineStr">
        <is>
          <t>R260902-creedom</t>
        </is>
      </c>
      <c r="B2054" t="inlineStr">
        <is>
          <t>Creedom</t>
        </is>
      </c>
      <c r="C2054" s="17" t="n">
        <v>46267</v>
      </c>
      <c r="D2054" s="18" t="n">
        <v>46266</v>
      </c>
      <c r="E2054" s="19" t="n">
        <v>0.432</v>
      </c>
      <c r="F2054" s="19" t="n">
        <v>4.1</v>
      </c>
      <c r="G2054" t="inlineStr">
        <is>
          <t>Rs 4.1 crore</t>
        </is>
      </c>
      <c r="H2054" t="inlineStr">
        <is>
          <t>Seed</t>
        </is>
      </c>
      <c r="I2054" t="inlineStr">
        <is>
          <t>Early</t>
        </is>
      </c>
      <c r="J2054" t="inlineStr">
        <is>
          <t>Artificial Intelligence</t>
        </is>
      </c>
      <c r="K2054" t="inlineStr">
        <is>
          <t>Unknown</t>
        </is>
      </c>
      <c r="L2054" t="inlineStr">
        <is>
          <t>Leigh Hopkins; Raghunandan G; Ravi Iyer; Kartheeswaran KK</t>
        </is>
      </c>
      <c r="M2054" t="inlineStr">
        <is>
          <t>Leigh Hopkins; Raghunandan G; Ravi Iyer; Kartheeswaran KK; Raghu Nathan Sethuraman; Senthil Kumar T P; Govindaswamy Megavarnan through Startup Singam</t>
        </is>
      </c>
      <c r="N2054" t="inlineStr">
        <is>
          <t>entrackr | inc42</t>
        </is>
      </c>
      <c r="O2054" s="20" t="n">
        <v>2</v>
      </c>
      <c r="P2054" s="21" t="n">
        <v>0.5</v>
      </c>
      <c r="Q2054" t="inlineStr">
        <is>
          <t>C07</t>
        </is>
      </c>
      <c r="R2054" s="22" t="inlineStr">
        <is>
          <t>https://entrackr.com/snippets/ai-content-creator-platform-creedom-raises-seed-round-12484133</t>
        </is>
      </c>
    </row>
    <row r="2055">
      <c r="A2055" t="inlineStr">
        <is>
          <t>R260902-docpharma</t>
        </is>
      </c>
      <c r="B2055" t="inlineStr">
        <is>
          <t>DocPharma</t>
        </is>
      </c>
      <c r="C2055" s="17" t="n">
        <v>46267</v>
      </c>
      <c r="D2055" s="18" t="n">
        <v>46266</v>
      </c>
      <c r="E2055" s="19" t="n">
        <v>2</v>
      </c>
      <c r="F2055" s="19" t="n">
        <v>18.99</v>
      </c>
      <c r="G2055" t="inlineStr">
        <is>
          <t>$2 million</t>
        </is>
      </c>
      <c r="H2055" t="inlineStr">
        <is>
          <t>Pre-Series A</t>
        </is>
      </c>
      <c r="I2055" t="inlineStr">
        <is>
          <t>Early</t>
        </is>
      </c>
      <c r="J2055" t="inlineStr">
        <is>
          <t>Healthtech</t>
        </is>
      </c>
      <c r="K2055" t="inlineStr">
        <is>
          <t>Bengaluru</t>
        </is>
      </c>
      <c r="L2055" t="inlineStr">
        <is>
          <t>Equentis</t>
        </is>
      </c>
      <c r="M2055" t="inlineStr">
        <is>
          <t>Equentis; 100Unicorns; Vinners</t>
        </is>
      </c>
      <c r="N2055" t="inlineStr">
        <is>
          <t>entrackr | inc42</t>
        </is>
      </c>
      <c r="O2055" s="20" t="n">
        <v>2</v>
      </c>
      <c r="P2055" s="21" t="n">
        <v>0</v>
      </c>
      <c r="Q2055" t="inlineStr"/>
      <c r="R2055" s="22" t="inlineStr">
        <is>
          <t>https://entrackr.com/snippets/equentis-leads-2-mn-pre-series-a-round-in-docpharma-12482287</t>
        </is>
      </c>
    </row>
    <row r="2056">
      <c r="A2056" t="inlineStr">
        <is>
          <t>R260903-makrmicrosyste</t>
        </is>
      </c>
      <c r="B2056" t="inlineStr">
        <is>
          <t>Makr Microsystems</t>
        </is>
      </c>
      <c r="C2056" s="17" t="n">
        <v>46268</v>
      </c>
      <c r="D2056" s="18" t="n">
        <v>46266</v>
      </c>
      <c r="E2056" s="19" t="n">
        <v>1.079</v>
      </c>
      <c r="F2056" s="19" t="n">
        <v>10.2</v>
      </c>
      <c r="G2056" t="inlineStr">
        <is>
          <t>Rs 10.2 crore</t>
        </is>
      </c>
      <c r="H2056" t="inlineStr">
        <is>
          <t>Seed</t>
        </is>
      </c>
      <c r="I2056" t="inlineStr">
        <is>
          <t>Early</t>
        </is>
      </c>
      <c r="J2056" t="inlineStr">
        <is>
          <t>Advanced Hardware &amp; Technology</t>
        </is>
      </c>
      <c r="K2056" t="inlineStr">
        <is>
          <t>Bengaluru</t>
        </is>
      </c>
      <c r="L2056" t="inlineStr">
        <is>
          <t>Bluehill VC</t>
        </is>
      </c>
      <c r="M2056" t="inlineStr">
        <is>
          <t>Bluehill VC; Artha Venture Fund</t>
        </is>
      </c>
      <c r="N2056" t="inlineStr">
        <is>
          <t>entrackr | inc42 | et</t>
        </is>
      </c>
      <c r="O2056" s="20" t="n">
        <v>3</v>
      </c>
      <c r="P2056" s="21" t="n">
        <v>1.9</v>
      </c>
      <c r="Q2056" t="inlineStr"/>
      <c r="R2056" s="22" t="inlineStr">
        <is>
          <t>https://entrackr.com/snippets/bluehill-vc-leads-rs-102-cr-seed-round-in-makr-microsystems-12486807</t>
        </is>
      </c>
    </row>
    <row r="2057">
      <c r="A2057" t="inlineStr">
        <is>
          <t>R260903-slice</t>
        </is>
      </c>
      <c r="B2057" t="inlineStr">
        <is>
          <t>Slice</t>
        </is>
      </c>
      <c r="C2057" s="17" t="n">
        <v>46268</v>
      </c>
      <c r="D2057" s="18" t="n">
        <v>46266</v>
      </c>
      <c r="E2057" s="19" t="n">
        <v>100</v>
      </c>
      <c r="F2057" s="19" t="n">
        <v>944.9</v>
      </c>
      <c r="G2057" t="inlineStr">
        <is>
          <t>$100 million</t>
        </is>
      </c>
      <c r="H2057" t="inlineStr">
        <is>
          <t>Undisclosed</t>
        </is>
      </c>
      <c r="I2057" t="inlineStr">
        <is>
          <t>Undisclosed</t>
        </is>
      </c>
      <c r="J2057" t="inlineStr">
        <is>
          <t>Unclassified</t>
        </is>
      </c>
      <c r="K2057" t="inlineStr">
        <is>
          <t>Bengaluru</t>
        </is>
      </c>
      <c r="L2057" t="inlineStr"/>
      <c r="M2057" t="inlineStr">
        <is>
          <t>Neo Wealth; Kado Global; Moore Strategic Ventures; Dhan-parent Raise Financial; Tiger Global; Insight Partners</t>
        </is>
      </c>
      <c r="N2057" t="inlineStr">
        <is>
          <t>entrackr | et</t>
        </is>
      </c>
      <c r="O2057" s="20" t="n">
        <v>2</v>
      </c>
      <c r="P2057" s="21" t="n">
        <v>0</v>
      </c>
      <c r="Q2057" t="inlineStr">
        <is>
          <t>C04 C06</t>
        </is>
      </c>
      <c r="R2057" s="22" t="inlineStr">
        <is>
          <t>https://entrackr.com/news/slice-raises-100-mn-at-450-mn-valuation-report-12488201</t>
        </is>
      </c>
    </row>
    <row r="2058">
      <c r="A2058" t="inlineStr">
        <is>
          <t>R260903-yolearnai</t>
        </is>
      </c>
      <c r="B2058" t="inlineStr">
        <is>
          <t>YoLearn.ai</t>
        </is>
      </c>
      <c r="C2058" s="17" t="n">
        <v>46268</v>
      </c>
      <c r="D2058" s="18" t="n">
        <v>46266</v>
      </c>
      <c r="E2058" s="19" t="n"/>
      <c r="F2058" s="19" t="n"/>
      <c r="G2058" t="inlineStr"/>
      <c r="H2058" t="inlineStr">
        <is>
          <t>Seed</t>
        </is>
      </c>
      <c r="I2058" t="inlineStr">
        <is>
          <t>Early</t>
        </is>
      </c>
      <c r="J2058" t="inlineStr">
        <is>
          <t>Artificial Intelligence</t>
        </is>
      </c>
      <c r="K2058" t="inlineStr">
        <is>
          <t>Delhi NCR</t>
        </is>
      </c>
      <c r="L2058" t="inlineStr">
        <is>
          <t>ABP Education</t>
        </is>
      </c>
      <c r="M2058" t="inlineStr">
        <is>
          <t>ABP Education; DataAlpha.ai; White Swan Global</t>
        </is>
      </c>
      <c r="N2058" t="inlineStr">
        <is>
          <t>entrackr</t>
        </is>
      </c>
      <c r="O2058" s="20" t="n">
        <v>1</v>
      </c>
      <c r="P2058" s="21" t="n"/>
      <c r="Q2058" t="inlineStr">
        <is>
          <t>C03</t>
        </is>
      </c>
      <c r="R2058" s="22" t="inlineStr">
        <is>
          <t>https://entrackr.com/snippets/abp-education-leads-seed-round-in-edtech-platform-yolearnai-12487249</t>
        </is>
      </c>
    </row>
    <row r="2059">
      <c r="A2059" t="inlineStr">
        <is>
          <t>R260904-comet</t>
        </is>
      </c>
      <c r="B2059" t="inlineStr">
        <is>
          <t>Comet</t>
        </is>
      </c>
      <c r="C2059" s="17" t="n">
        <v>46269</v>
      </c>
      <c r="D2059" s="18" t="n">
        <v>46266</v>
      </c>
      <c r="E2059" s="19" t="n">
        <v>10.583</v>
      </c>
      <c r="F2059" s="19" t="n">
        <v>100</v>
      </c>
      <c r="G2059" t="inlineStr">
        <is>
          <t>Rs 100 crore</t>
        </is>
      </c>
      <c r="H2059" t="inlineStr">
        <is>
          <t>Series B</t>
        </is>
      </c>
      <c r="I2059" t="inlineStr">
        <is>
          <t>Growth</t>
        </is>
      </c>
      <c r="J2059" t="inlineStr">
        <is>
          <t>Ecommerce</t>
        </is>
      </c>
      <c r="K2059" t="inlineStr">
        <is>
          <t>Bengaluru</t>
        </is>
      </c>
      <c r="L2059" t="inlineStr">
        <is>
          <t>Verlinvest</t>
        </is>
      </c>
      <c r="M2059" t="inlineStr">
        <is>
          <t>Verlinvest; Elevation Capital; Nexus Venture Partners; Ajit Mohan; Abhiraj Singh Bhal; Anand Ahuja; VegNonVeg</t>
        </is>
      </c>
      <c r="N2059" t="inlineStr">
        <is>
          <t>entrackr | inc42 | et</t>
        </is>
      </c>
      <c r="O2059" s="20" t="n">
        <v>3</v>
      </c>
      <c r="P2059" s="21" t="n">
        <v>0.2</v>
      </c>
      <c r="Q2059" t="inlineStr"/>
      <c r="R2059" s="22" t="inlineStr">
        <is>
          <t>https://entrackr.com/news/d2c-sneaker-brand-comet-raises-rs-100-cr-in-series-b-led-by-verlinvest-12493061</t>
        </is>
      </c>
    </row>
    <row r="2060">
      <c r="A2060" t="inlineStr">
        <is>
          <t>R260904-leanwatts</t>
        </is>
      </c>
      <c r="B2060" t="inlineStr">
        <is>
          <t>Leanwatts</t>
        </is>
      </c>
      <c r="C2060" s="17" t="n">
        <v>46269</v>
      </c>
      <c r="D2060" s="18" t="n">
        <v>46266</v>
      </c>
      <c r="E2060" s="19" t="n">
        <v>2</v>
      </c>
      <c r="F2060" s="19" t="n">
        <v>18.9</v>
      </c>
      <c r="G2060" t="inlineStr">
        <is>
          <t>$2 million</t>
        </is>
      </c>
      <c r="H2060" t="inlineStr">
        <is>
          <t>Seed</t>
        </is>
      </c>
      <c r="I2060" t="inlineStr">
        <is>
          <t>Early</t>
        </is>
      </c>
      <c r="J2060" t="inlineStr">
        <is>
          <t>Cleantech</t>
        </is>
      </c>
      <c r="K2060" t="inlineStr">
        <is>
          <t>Hyderabad</t>
        </is>
      </c>
      <c r="L2060" t="inlineStr">
        <is>
          <t>Trivest Partners</t>
        </is>
      </c>
      <c r="M2060" t="inlineStr">
        <is>
          <t>Trivest Partners; Abraham George; Alok Rungta</t>
        </is>
      </c>
      <c r="N2060" t="inlineStr">
        <is>
          <t>entrackr | inc42</t>
        </is>
      </c>
      <c r="O2060" s="20" t="n">
        <v>2</v>
      </c>
      <c r="P2060" s="21" t="n">
        <v>0</v>
      </c>
      <c r="Q2060" t="inlineStr"/>
      <c r="R2060" s="22" t="inlineStr">
        <is>
          <t>https://entrackr.com/snippets/trivest-partners-leads-2-mn-seed-round-in-power-electronics-startup-leanwatts-12489028</t>
        </is>
      </c>
    </row>
    <row r="2061">
      <c r="A2061" t="inlineStr">
        <is>
          <t>R260904-medulance</t>
        </is>
      </c>
      <c r="B2061" t="inlineStr">
        <is>
          <t>Medulance</t>
        </is>
      </c>
      <c r="C2061" s="17" t="n">
        <v>46269</v>
      </c>
      <c r="D2061" s="18" t="n">
        <v>46266</v>
      </c>
      <c r="E2061" s="19" t="n">
        <v>2.5</v>
      </c>
      <c r="F2061" s="19" t="n">
        <v>23.62</v>
      </c>
      <c r="G2061" t="inlineStr">
        <is>
          <t>$2.5 Mn</t>
        </is>
      </c>
      <c r="H2061" t="inlineStr">
        <is>
          <t>Series A</t>
        </is>
      </c>
      <c r="I2061" t="inlineStr">
        <is>
          <t>Early</t>
        </is>
      </c>
      <c r="J2061" t="inlineStr">
        <is>
          <t>Healthtech</t>
        </is>
      </c>
      <c r="K2061" t="inlineStr">
        <is>
          <t>Unknown</t>
        </is>
      </c>
      <c r="L2061" t="inlineStr"/>
      <c r="M2061" t="inlineStr">
        <is>
          <t>Auxano Capital; Alkemi; Equentis</t>
        </is>
      </c>
      <c r="N2061" t="inlineStr">
        <is>
          <t>inc42</t>
        </is>
      </c>
      <c r="O2061" s="20" t="n">
        <v>1</v>
      </c>
      <c r="P2061" s="21" t="n">
        <v>0</v>
      </c>
      <c r="Q2061" t="inlineStr">
        <is>
          <t>C07</t>
        </is>
      </c>
      <c r="R2061" s="22" t="inlineStr">
        <is>
          <t>https://inc42.com/buzz/from-ultrahuman-to-comet-indian-startups-raised-over-177-mn-this-week/</t>
        </is>
      </c>
    </row>
    <row r="2062">
      <c r="A2062" t="inlineStr">
        <is>
          <t>R260904-sugarcosmetics</t>
        </is>
      </c>
      <c r="B2062" t="inlineStr">
        <is>
          <t>SUGAR Cosmetics</t>
        </is>
      </c>
      <c r="C2062" s="17" t="n">
        <v>46269</v>
      </c>
      <c r="D2062" s="18" t="n">
        <v>46266</v>
      </c>
      <c r="E2062" s="19" t="n">
        <v>15.293</v>
      </c>
      <c r="F2062" s="19" t="n">
        <v>144.5</v>
      </c>
      <c r="G2062" t="inlineStr">
        <is>
          <t>Rs 144.5 crore</t>
        </is>
      </c>
      <c r="H2062" t="inlineStr">
        <is>
          <t>Undisclosed</t>
        </is>
      </c>
      <c r="I2062" t="inlineStr">
        <is>
          <t>Undisclosed</t>
        </is>
      </c>
      <c r="J2062" t="inlineStr">
        <is>
          <t>Ecommerce</t>
        </is>
      </c>
      <c r="K2062" t="inlineStr">
        <is>
          <t>Unknown</t>
        </is>
      </c>
      <c r="L2062" t="inlineStr">
        <is>
          <t>A91 Partners</t>
        </is>
      </c>
      <c r="M2062" t="inlineStr">
        <is>
          <t>A91 Partners</t>
        </is>
      </c>
      <c r="N2062" t="inlineStr">
        <is>
          <t>entrackr | inc42</t>
        </is>
      </c>
      <c r="O2062" s="20" t="n">
        <v>2</v>
      </c>
      <c r="P2062" s="21" t="n">
        <v>0</v>
      </c>
      <c r="Q2062" t="inlineStr">
        <is>
          <t>C04 C07</t>
        </is>
      </c>
      <c r="R2062" s="22" t="inlineStr">
        <is>
          <t>https://entrackr.com/news/sugar-cosmetics-raises-rs-144-cr-at-rs-755-cr-valuation-early-investors-seek-steep-discount-exits-12493909</t>
        </is>
      </c>
    </row>
    <row r="2063">
      <c r="A2063" t="inlineStr">
        <is>
          <t>R260907-damensch</t>
        </is>
      </c>
      <c r="B2063" t="inlineStr">
        <is>
          <t>DaMENSCH</t>
        </is>
      </c>
      <c r="C2063" s="17" t="n">
        <v>46272</v>
      </c>
      <c r="D2063" s="18" t="n">
        <v>46266</v>
      </c>
      <c r="E2063" s="19" t="n"/>
      <c r="F2063" s="19" t="n"/>
      <c r="G2063" t="inlineStr"/>
      <c r="H2063" t="inlineStr">
        <is>
          <t>Undisclosed</t>
        </is>
      </c>
      <c r="I2063" t="inlineStr">
        <is>
          <t>Undisclosed</t>
        </is>
      </c>
      <c r="J2063" t="inlineStr">
        <is>
          <t>Unclassified</t>
        </is>
      </c>
      <c r="K2063" t="inlineStr">
        <is>
          <t>Unknown</t>
        </is>
      </c>
      <c r="L2063" t="inlineStr"/>
      <c r="M2063" t="inlineStr"/>
      <c r="N2063" t="inlineStr">
        <is>
          <t>entrackr</t>
        </is>
      </c>
      <c r="O2063" s="20" t="n">
        <v>1</v>
      </c>
      <c r="P2063" s="21" t="n"/>
      <c r="Q2063" t="inlineStr">
        <is>
          <t>C03 C04 C05 C06 C07</t>
        </is>
      </c>
      <c r="R2063" s="22" t="inlineStr">
        <is>
          <t>https://entrackr.com/exclusive/exclusive-damensch-raises-fresh-funding-at-flat-valuation-of-rs-600-cr-12501961</t>
        </is>
      </c>
    </row>
    <row r="2064">
      <c r="A2064" t="inlineStr">
        <is>
          <t>R260907-herspace</t>
        </is>
      </c>
      <c r="B2064" t="inlineStr">
        <is>
          <t>HerSpace</t>
        </is>
      </c>
      <c r="C2064" s="17" t="n">
        <v>46272</v>
      </c>
      <c r="D2064" s="18" t="n">
        <v>46266</v>
      </c>
      <c r="E2064" s="19" t="n">
        <v>40</v>
      </c>
      <c r="F2064" s="19" t="n">
        <v>377.96</v>
      </c>
      <c r="G2064" t="inlineStr">
        <is>
          <t>$40 million</t>
        </is>
      </c>
      <c r="H2064" t="inlineStr">
        <is>
          <t>Undisclosed</t>
        </is>
      </c>
      <c r="I2064" t="inlineStr">
        <is>
          <t>Undisclosed</t>
        </is>
      </c>
      <c r="J2064" t="inlineStr">
        <is>
          <t>Unclassified</t>
        </is>
      </c>
      <c r="K2064" t="inlineStr">
        <is>
          <t>Bengaluru</t>
        </is>
      </c>
      <c r="L2064" t="inlineStr"/>
      <c r="M2064" t="inlineStr"/>
      <c r="N2064" t="inlineStr">
        <is>
          <t>entrackr</t>
        </is>
      </c>
      <c r="O2064" s="20" t="n">
        <v>1</v>
      </c>
      <c r="P2064" s="21" t="n">
        <v>0</v>
      </c>
      <c r="Q2064" t="inlineStr">
        <is>
          <t>C04 C05 C06</t>
        </is>
      </c>
      <c r="R2064" s="22" t="inlineStr">
        <is>
          <t>https://entrackr.com/news/herspace-secures-40-mn-from-existing-investor-gray-matters-capital-12502764</t>
        </is>
      </c>
    </row>
    <row r="2065">
      <c r="A2065" t="inlineStr">
        <is>
          <t>R260907-lickicious</t>
        </is>
      </c>
      <c r="B2065" t="inlineStr">
        <is>
          <t>Lickicious</t>
        </is>
      </c>
      <c r="C2065" s="17" t="n">
        <v>46272</v>
      </c>
      <c r="D2065" s="18" t="n">
        <v>46266</v>
      </c>
      <c r="E2065" s="19" t="n">
        <v>2.011</v>
      </c>
      <c r="F2065" s="19" t="n">
        <v>19</v>
      </c>
      <c r="G2065" t="inlineStr">
        <is>
          <t>Rs 19 crore</t>
        </is>
      </c>
      <c r="H2065" t="inlineStr">
        <is>
          <t>Undisclosed</t>
        </is>
      </c>
      <c r="I2065" t="inlineStr">
        <is>
          <t>Undisclosed</t>
        </is>
      </c>
      <c r="J2065" t="inlineStr">
        <is>
          <t>Ecommerce</t>
        </is>
      </c>
      <c r="K2065" t="inlineStr">
        <is>
          <t>Unknown</t>
        </is>
      </c>
      <c r="L2065" t="inlineStr">
        <is>
          <t>Prath Ventures</t>
        </is>
      </c>
      <c r="M2065" t="inlineStr">
        <is>
          <t>Prath Ventures; ISV Capital</t>
        </is>
      </c>
      <c r="N2065" t="inlineStr">
        <is>
          <t>entrackr | inc42</t>
        </is>
      </c>
      <c r="O2065" s="20" t="n">
        <v>2</v>
      </c>
      <c r="P2065" s="21" t="n">
        <v>4.4</v>
      </c>
      <c r="Q2065" t="inlineStr">
        <is>
          <t>C04 C07</t>
        </is>
      </c>
      <c r="R2065" s="22" t="inlineStr">
        <is>
          <t>https://entrackr.com/snippets/pet-food-and-nutrition-brand-lickicious-raises-rs-19-cr-led-by-prath-ventures-12501283</t>
        </is>
      </c>
    </row>
    <row r="2066">
      <c r="A2066" t="inlineStr">
        <is>
          <t>R260907-navanaai</t>
        </is>
      </c>
      <c r="B2066" t="inlineStr">
        <is>
          <t>Navana.ai</t>
        </is>
      </c>
      <c r="C2066" s="17" t="n">
        <v>46272</v>
      </c>
      <c r="D2066" s="18" t="n">
        <v>46266</v>
      </c>
      <c r="E2066" s="19" t="n">
        <v>4.233</v>
      </c>
      <c r="F2066" s="19" t="n">
        <v>40</v>
      </c>
      <c r="G2066" t="inlineStr">
        <is>
          <t>Rs 40 crore</t>
        </is>
      </c>
      <c r="H2066" t="inlineStr">
        <is>
          <t>Series A</t>
        </is>
      </c>
      <c r="I2066" t="inlineStr">
        <is>
          <t>Early</t>
        </is>
      </c>
      <c r="J2066" t="inlineStr">
        <is>
          <t>Artificial Intelligence</t>
        </is>
      </c>
      <c r="K2066" t="inlineStr">
        <is>
          <t>Unknown</t>
        </is>
      </c>
      <c r="L2066" t="inlineStr">
        <is>
          <t>Ronnie Screwala</t>
        </is>
      </c>
      <c r="M2066" t="inlineStr">
        <is>
          <t>Ronnie Screwala; Antler India; Sharad Sanghi; Sandeep Singhal; Paula Mariwala</t>
        </is>
      </c>
      <c r="N2066" t="inlineStr">
        <is>
          <t>entrackr | inc42</t>
        </is>
      </c>
      <c r="O2066" s="20" t="n">
        <v>2</v>
      </c>
      <c r="P2066" s="21" t="n">
        <v>0.8</v>
      </c>
      <c r="Q2066" t="inlineStr">
        <is>
          <t>C07</t>
        </is>
      </c>
      <c r="R2066" s="22" t="inlineStr">
        <is>
          <t>https://entrackr.com/snippets/voice-ai-startup-navanaai-raises-rs-40-cr-led-by-ronnie-screwvala-12501888</t>
        </is>
      </c>
    </row>
    <row r="2067">
      <c r="A2067" t="inlineStr">
        <is>
          <t>R260907-nua</t>
        </is>
      </c>
      <c r="B2067" t="inlineStr">
        <is>
          <t>Nua</t>
        </is>
      </c>
      <c r="C2067" s="17" t="n">
        <v>46272</v>
      </c>
      <c r="D2067" s="18" t="n">
        <v>46266</v>
      </c>
      <c r="E2067" s="19" t="n">
        <v>50</v>
      </c>
      <c r="F2067" s="19" t="n">
        <v>472.45</v>
      </c>
      <c r="G2067" t="inlineStr">
        <is>
          <t>$50 million</t>
        </is>
      </c>
      <c r="H2067" t="inlineStr">
        <is>
          <t>Series C</t>
        </is>
      </c>
      <c r="I2067" t="inlineStr">
        <is>
          <t>Growth</t>
        </is>
      </c>
      <c r="J2067" t="inlineStr">
        <is>
          <t>Ecommerce</t>
        </is>
      </c>
      <c r="K2067" t="inlineStr">
        <is>
          <t>Mumbai</t>
        </is>
      </c>
      <c r="L2067" t="inlineStr">
        <is>
          <t>Peak XV Partners; Filter Capital</t>
        </is>
      </c>
      <c r="M2067" t="inlineStr">
        <is>
          <t>Peak XV Partners; Filter Capital; Mirabilis Investment Trust; Footpath Ventures; Kae Capital; Lightbox VC</t>
        </is>
      </c>
      <c r="N2067" t="inlineStr">
        <is>
          <t>entrackr | inc42 | et | vccircle</t>
        </is>
      </c>
      <c r="O2067" s="20" t="n">
        <v>4</v>
      </c>
      <c r="P2067" s="21" t="n">
        <v>0</v>
      </c>
      <c r="Q2067" t="inlineStr"/>
      <c r="R2067" s="22" t="inlineStr">
        <is>
          <t>https://entrackr.com/news/womens-wellness-brand-nua-raises-50-mn-led-by-peak-xv-filter-capital-12501195</t>
        </is>
      </c>
    </row>
    <row r="2068">
      <c r="A2068" t="inlineStr">
        <is>
          <t>R260907-pixxel</t>
        </is>
      </c>
      <c r="B2068" t="inlineStr">
        <is>
          <t>Pixxel</t>
        </is>
      </c>
      <c r="C2068" s="17" t="n">
        <v>46272</v>
      </c>
      <c r="D2068" s="18" t="n">
        <v>46266</v>
      </c>
      <c r="E2068" s="19" t="n">
        <v>100</v>
      </c>
      <c r="F2068" s="19" t="n">
        <v>944.9</v>
      </c>
      <c r="G2068" t="inlineStr">
        <is>
          <t>$100 million</t>
        </is>
      </c>
      <c r="H2068" t="inlineStr">
        <is>
          <t>Series C</t>
        </is>
      </c>
      <c r="I2068" t="inlineStr">
        <is>
          <t>Growth</t>
        </is>
      </c>
      <c r="J2068" t="inlineStr">
        <is>
          <t>Advanced Hardware &amp; Technology</t>
        </is>
      </c>
      <c r="K2068" t="inlineStr">
        <is>
          <t>Bengaluru</t>
        </is>
      </c>
      <c r="L2068" t="inlineStr">
        <is>
          <t>Temasek; Seraphim</t>
        </is>
      </c>
      <c r="M2068" t="inlineStr">
        <is>
          <t>Temasek; Seraphim; 360 ONE Asset; IMM Investment; Radical Ventures</t>
        </is>
      </c>
      <c r="N2068" t="inlineStr">
        <is>
          <t>entrackr | inc42 | et</t>
        </is>
      </c>
      <c r="O2068" s="20" t="n">
        <v>3</v>
      </c>
      <c r="P2068" s="21" t="n">
        <v>0</v>
      </c>
      <c r="Q2068" t="inlineStr"/>
      <c r="R2068" s="22" t="inlineStr">
        <is>
          <t>https://entrackr.com/news/spactech-startup-pixxel-raises-100-mn-in-series-c-led-by-temasek-seraphim-12501095</t>
        </is>
      </c>
    </row>
    <row r="2069">
      <c r="A2069" t="inlineStr">
        <is>
          <t>R260908-arc</t>
        </is>
      </c>
      <c r="B2069" t="inlineStr">
        <is>
          <t>ARC</t>
        </is>
      </c>
      <c r="C2069" s="17" t="n">
        <v>46273</v>
      </c>
      <c r="D2069" s="18" t="n">
        <v>46266</v>
      </c>
      <c r="E2069" s="19" t="n">
        <v>1.107</v>
      </c>
      <c r="F2069" s="19" t="n">
        <v>10.5</v>
      </c>
      <c r="G2069" t="inlineStr">
        <is>
          <t>Rs 10.5 crore</t>
        </is>
      </c>
      <c r="H2069" t="inlineStr">
        <is>
          <t>Pre-Seed</t>
        </is>
      </c>
      <c r="I2069" t="inlineStr">
        <is>
          <t>Early</t>
        </is>
      </c>
      <c r="J2069" t="inlineStr">
        <is>
          <t>Media &amp; Entertainment</t>
        </is>
      </c>
      <c r="K2069" t="inlineStr">
        <is>
          <t>Unknown</t>
        </is>
      </c>
      <c r="L2069" t="inlineStr">
        <is>
          <t>Chimera VC; MIXI Global Investments</t>
        </is>
      </c>
      <c r="M2069" t="inlineStr">
        <is>
          <t>Chimera VC; MIXI Global Investments; Dhruv Vohra; Director at Meta APAC</t>
        </is>
      </c>
      <c r="N2069" t="inlineStr">
        <is>
          <t>entrackr | inc42</t>
        </is>
      </c>
      <c r="O2069" s="20" t="n">
        <v>2</v>
      </c>
      <c r="P2069" s="21" t="n">
        <v>0.7</v>
      </c>
      <c r="Q2069" t="inlineStr">
        <is>
          <t>C07</t>
        </is>
      </c>
      <c r="R2069" s="22" t="inlineStr">
        <is>
          <t>https://entrackr.com/snippets/gaming-tech-startup-arc-raises-rs-105-cr-in-pre-seed-round-12506561</t>
        </is>
      </c>
    </row>
    <row r="2070">
      <c r="A2070" t="inlineStr">
        <is>
          <t>R260908-circolife</t>
        </is>
      </c>
      <c r="B2070" t="inlineStr">
        <is>
          <t>Circolife</t>
        </is>
      </c>
      <c r="C2070" s="17" t="n">
        <v>46273</v>
      </c>
      <c r="D2070" s="18" t="n">
        <v>46266</v>
      </c>
      <c r="E2070" s="19" t="n">
        <v>4.5</v>
      </c>
      <c r="F2070" s="19" t="n">
        <v>42.67</v>
      </c>
      <c r="G2070" t="inlineStr">
        <is>
          <t>$4.5 million</t>
        </is>
      </c>
      <c r="H2070" t="inlineStr">
        <is>
          <t>Pre-Series A</t>
        </is>
      </c>
      <c r="I2070" t="inlineStr">
        <is>
          <t>Early</t>
        </is>
      </c>
      <c r="J2070" t="inlineStr">
        <is>
          <t>Cleantech</t>
        </is>
      </c>
      <c r="K2070" t="inlineStr">
        <is>
          <t>Mumbai</t>
        </is>
      </c>
      <c r="L2070" t="inlineStr">
        <is>
          <t>Bharat Jaisinghani</t>
        </is>
      </c>
      <c r="M2070" t="inlineStr">
        <is>
          <t>Bharat Jaisinghani; Nitish Mittersain; Intelliquity Ventures; Param Capital; Siddharth Ladsariya; Anand Ladsariya; Anant Goenka; Sky Impact Capital; Rohit Dev; Vyom Wealth; Sumit Jalan</t>
        </is>
      </c>
      <c r="N2070" t="inlineStr">
        <is>
          <t>entrackr | inc42</t>
        </is>
      </c>
      <c r="O2070" s="20" t="n">
        <v>2</v>
      </c>
      <c r="P2070" s="21" t="n">
        <v>0</v>
      </c>
      <c r="Q2070" t="inlineStr"/>
      <c r="R2070" s="22" t="inlineStr">
        <is>
          <t>https://entrackr.com/snippets/circolife-raises-45-mn-in-pre-series-a-round-led-by-bharat-jaisinghani-12507089</t>
        </is>
      </c>
    </row>
    <row r="2071">
      <c r="A2071" t="inlineStr">
        <is>
          <t>R260908-digitalpaani</t>
        </is>
      </c>
      <c r="B2071" t="inlineStr">
        <is>
          <t>DigitalPaani</t>
        </is>
      </c>
      <c r="C2071" s="17" t="n">
        <v>46273</v>
      </c>
      <c r="D2071" s="18" t="n">
        <v>46266</v>
      </c>
      <c r="E2071" s="19" t="n">
        <v>2.32</v>
      </c>
      <c r="F2071" s="19" t="n">
        <v>22</v>
      </c>
      <c r="G2071" t="inlineStr">
        <is>
          <t>Rs 22 crore</t>
        </is>
      </c>
      <c r="H2071" t="inlineStr">
        <is>
          <t>Undisclosed</t>
        </is>
      </c>
      <c r="I2071" t="inlineStr">
        <is>
          <t>Undisclosed</t>
        </is>
      </c>
      <c r="J2071" t="inlineStr">
        <is>
          <t>Cleantech</t>
        </is>
      </c>
      <c r="K2071" t="inlineStr">
        <is>
          <t>Delhi NCR</t>
        </is>
      </c>
      <c r="L2071" t="inlineStr">
        <is>
          <t>Navam Capital</t>
        </is>
      </c>
      <c r="M2071" t="inlineStr">
        <is>
          <t>Navam Capital; Enzia Ventures; Chakra Growth Capital; 3one4 Capital; Momentum Capital; Achieving Women Entrepreneurs Early Growth Fund; Echo River Capital</t>
        </is>
      </c>
      <c r="N2071" t="inlineStr">
        <is>
          <t>entrackr | inc42</t>
        </is>
      </c>
      <c r="O2071" s="20" t="n">
        <v>2</v>
      </c>
      <c r="P2071" s="21" t="n">
        <v>0.9</v>
      </c>
      <c r="Q2071" t="inlineStr">
        <is>
          <t>C04</t>
        </is>
      </c>
      <c r="R2071" s="22" t="inlineStr">
        <is>
          <t>https://entrackr.com/snippets/navam-capital-leads-rs-22-cr-round-in-digitalpaani-12507542</t>
        </is>
      </c>
    </row>
    <row r="2072">
      <c r="A2072" t="inlineStr">
        <is>
          <t>R260908-fundlyai</t>
        </is>
      </c>
      <c r="B2072" t="inlineStr">
        <is>
          <t>Fundly.ai</t>
        </is>
      </c>
      <c r="C2072" s="17" t="n">
        <v>46273</v>
      </c>
      <c r="D2072" s="18" t="n">
        <v>46266</v>
      </c>
      <c r="E2072" s="19" t="n">
        <v>4</v>
      </c>
      <c r="F2072" s="19" t="n">
        <v>37.93</v>
      </c>
      <c r="G2072" t="inlineStr">
        <is>
          <t>$4 million</t>
        </is>
      </c>
      <c r="H2072" t="inlineStr">
        <is>
          <t>Pre-Series A</t>
        </is>
      </c>
      <c r="I2072" t="inlineStr">
        <is>
          <t>Early</t>
        </is>
      </c>
      <c r="J2072" t="inlineStr">
        <is>
          <t>Artificial Intelligence</t>
        </is>
      </c>
      <c r="K2072" t="inlineStr">
        <is>
          <t>Mumbai</t>
        </is>
      </c>
      <c r="L2072" t="inlineStr">
        <is>
          <t>Accel; Multiply; Rajeev Ahuja</t>
        </is>
      </c>
      <c r="M2072" t="inlineStr">
        <is>
          <t>Accel; Multiply; Rajeev Ahuja</t>
        </is>
      </c>
      <c r="N2072" t="inlineStr">
        <is>
          <t>entrackr | inc42 | et</t>
        </is>
      </c>
      <c r="O2072" s="20" t="n">
        <v>3</v>
      </c>
      <c r="P2072" s="21" t="n">
        <v>0</v>
      </c>
      <c r="Q2072" t="inlineStr"/>
      <c r="R2072" s="22" t="inlineStr">
        <is>
          <t>https://entrackr.com/snippets/b2b-pharma-distribution-startup-fundlyai-raises-4-mn-led-by-accel-multiply-12505458</t>
        </is>
      </c>
    </row>
    <row r="2073">
      <c r="A2073" t="inlineStr">
        <is>
          <t>R260908-iztri</t>
        </is>
      </c>
      <c r="B2073" t="inlineStr">
        <is>
          <t>Iztri</t>
        </is>
      </c>
      <c r="C2073" s="17" t="n">
        <v>46273</v>
      </c>
      <c r="D2073" s="18" t="n">
        <v>46266</v>
      </c>
      <c r="E2073" s="19" t="n">
        <v>1.2</v>
      </c>
      <c r="F2073" s="19" t="n">
        <v>11.38</v>
      </c>
      <c r="G2073" t="inlineStr">
        <is>
          <t>$1.2 Mn</t>
        </is>
      </c>
      <c r="H2073" t="inlineStr">
        <is>
          <t>Seed</t>
        </is>
      </c>
      <c r="I2073" t="inlineStr">
        <is>
          <t>Early</t>
        </is>
      </c>
      <c r="J2073" t="inlineStr">
        <is>
          <t>Consumer Services</t>
        </is>
      </c>
      <c r="K2073" t="inlineStr">
        <is>
          <t>Bengaluru</t>
        </is>
      </c>
      <c r="L2073" t="inlineStr">
        <is>
          <t>All In Capital; Suashish Group</t>
        </is>
      </c>
      <c r="M2073" t="inlineStr">
        <is>
          <t>All In Capital; Suashish Group; Kunal Shah; Anupam Mittal; Tanmay Bhat; Roman Saini; Gaurav Munjal; Abhishek Goyal; PedalStart; JK Tyre Family Office; Shadowfax founders Abhishek Bansal; Vaibhav Khadelwal</t>
        </is>
      </c>
      <c r="N2073" t="inlineStr">
        <is>
          <t>entrackr | inc42 | et</t>
        </is>
      </c>
      <c r="O2073" s="20" t="n">
        <v>3</v>
      </c>
      <c r="P2073" s="21" t="n">
        <v>13.8</v>
      </c>
      <c r="Q2073" t="inlineStr">
        <is>
          <t>C15</t>
        </is>
      </c>
      <c r="R2073" s="22" t="inlineStr">
        <is>
          <t>https://entrackr.com/snippets/fabric-care-startup-iztri-raises-seed-round-led-by-all-in-capital-suashish-group-12506395</t>
        </is>
      </c>
    </row>
    <row r="2074">
      <c r="A2074" t="inlineStr">
        <is>
          <t>R260908-sorrysugar</t>
        </is>
      </c>
      <c r="B2074" t="inlineStr">
        <is>
          <t>Sorry Sugar</t>
        </is>
      </c>
      <c r="C2074" s="17" t="n">
        <v>46273</v>
      </c>
      <c r="D2074" s="18" t="n">
        <v>46266</v>
      </c>
      <c r="E2074" s="19" t="n">
        <v>1</v>
      </c>
      <c r="F2074" s="19" t="n">
        <v>9.48</v>
      </c>
      <c r="G2074" t="inlineStr">
        <is>
          <t>$1 million</t>
        </is>
      </c>
      <c r="H2074" t="inlineStr">
        <is>
          <t>Seed</t>
        </is>
      </c>
      <c r="I2074" t="inlineStr">
        <is>
          <t>Early</t>
        </is>
      </c>
      <c r="J2074" t="inlineStr">
        <is>
          <t>Ecommerce</t>
        </is>
      </c>
      <c r="K2074" t="inlineStr">
        <is>
          <t>Delhi NCR</t>
        </is>
      </c>
      <c r="L2074" t="inlineStr">
        <is>
          <t>Dhanuka Family; Amishi London</t>
        </is>
      </c>
      <c r="M2074" t="inlineStr">
        <is>
          <t>Dhanuka Family; Amishi London</t>
        </is>
      </c>
      <c r="N2074" t="inlineStr">
        <is>
          <t>entrackr | inc42</t>
        </is>
      </c>
      <c r="O2074" s="20" t="n">
        <v>2</v>
      </c>
      <c r="P2074" s="21" t="n">
        <v>0</v>
      </c>
      <c r="Q2074" t="inlineStr"/>
      <c r="R2074" s="22" t="inlineStr">
        <is>
          <t>https://entrackr.com/snippets/beverage-brand-sorry-sugar-raises-1-mn-in-seed-round-12506729</t>
        </is>
      </c>
    </row>
    <row r="2075">
      <c r="A2075" t="inlineStr">
        <is>
          <t>R260908-truefanai</t>
        </is>
      </c>
      <c r="B2075" t="inlineStr">
        <is>
          <t>TrueFan AI</t>
        </is>
      </c>
      <c r="C2075" s="17" t="n">
        <v>46273</v>
      </c>
      <c r="D2075" s="18" t="n">
        <v>46266</v>
      </c>
      <c r="E2075" s="19" t="n"/>
      <c r="F2075" s="19" t="n"/>
      <c r="G2075" t="inlineStr"/>
      <c r="H2075" t="inlineStr">
        <is>
          <t>Undisclosed</t>
        </is>
      </c>
      <c r="I2075" t="inlineStr">
        <is>
          <t>Undisclosed</t>
        </is>
      </c>
      <c r="J2075" t="inlineStr">
        <is>
          <t>Artificial Intelligence</t>
        </is>
      </c>
      <c r="K2075" t="inlineStr">
        <is>
          <t>Delhi NCR</t>
        </is>
      </c>
      <c r="L2075" t="inlineStr">
        <is>
          <t>Bajaj Finserv</t>
        </is>
      </c>
      <c r="M2075" t="inlineStr">
        <is>
          <t>Bajaj Finserv</t>
        </is>
      </c>
      <c r="N2075" t="inlineStr">
        <is>
          <t>inc42</t>
        </is>
      </c>
      <c r="O2075" s="20" t="n">
        <v>1</v>
      </c>
      <c r="P2075" s="21" t="n"/>
      <c r="Q2075" t="inlineStr">
        <is>
          <t>C03 C04</t>
        </is>
      </c>
      <c r="R2075" s="22" t="inlineStr">
        <is>
          <t>https://inc42.com/buzz/from-pixxel-to-swish-indian-startups-raised-over-321-9-mn-this-week/</t>
        </is>
      </c>
    </row>
    <row r="2076">
      <c r="A2076" t="inlineStr">
        <is>
          <t>R260909-carrummobility</t>
        </is>
      </c>
      <c r="B2076" t="inlineStr">
        <is>
          <t>Carrum Mobility</t>
        </is>
      </c>
      <c r="C2076" s="17" t="n">
        <v>46274</v>
      </c>
      <c r="D2076" s="18" t="n">
        <v>46266</v>
      </c>
      <c r="E2076" s="19" t="n">
        <v>10</v>
      </c>
      <c r="F2076" s="19" t="n">
        <v>95.11</v>
      </c>
      <c r="G2076" t="inlineStr">
        <is>
          <t>$10 million</t>
        </is>
      </c>
      <c r="H2076" t="inlineStr">
        <is>
          <t>Series B</t>
        </is>
      </c>
      <c r="I2076" t="inlineStr">
        <is>
          <t>Growth</t>
        </is>
      </c>
      <c r="J2076" t="inlineStr">
        <is>
          <t>Travel Tech</t>
        </is>
      </c>
      <c r="K2076" t="inlineStr">
        <is>
          <t>Unknown</t>
        </is>
      </c>
      <c r="L2076" t="inlineStr">
        <is>
          <t>Uber</t>
        </is>
      </c>
      <c r="M2076" t="inlineStr">
        <is>
          <t>Uber; CarDekho Group</t>
        </is>
      </c>
      <c r="N2076" t="inlineStr">
        <is>
          <t>entrackr | inc42 | et</t>
        </is>
      </c>
      <c r="O2076" s="20" t="n">
        <v>3</v>
      </c>
      <c r="P2076" s="21" t="n">
        <v>0</v>
      </c>
      <c r="Q2076" t="inlineStr">
        <is>
          <t>C07</t>
        </is>
      </c>
      <c r="R2076" s="22" t="inlineStr">
        <is>
          <t>https://entrackr.com/snippets/fleet-management-platform-carrum-mobility-raises-10-mn-in-series-b-led-by-uber-12511605</t>
        </is>
      </c>
    </row>
    <row r="2077">
      <c r="A2077" t="inlineStr">
        <is>
          <t>R260909-marmalade</t>
        </is>
      </c>
      <c r="B2077" t="inlineStr">
        <is>
          <t>Marmalade</t>
        </is>
      </c>
      <c r="C2077" s="17" t="n">
        <v>46274</v>
      </c>
      <c r="D2077" s="18" t="n">
        <v>46266</v>
      </c>
      <c r="E2077" s="19" t="n">
        <v>0.631</v>
      </c>
      <c r="F2077" s="19" t="n">
        <v>6</v>
      </c>
      <c r="G2077" t="inlineStr">
        <is>
          <t>Rs 6 crore</t>
        </is>
      </c>
      <c r="H2077" t="inlineStr">
        <is>
          <t>Seed</t>
        </is>
      </c>
      <c r="I2077" t="inlineStr">
        <is>
          <t>Early</t>
        </is>
      </c>
      <c r="J2077" t="inlineStr">
        <is>
          <t>Unclassified</t>
        </is>
      </c>
      <c r="K2077" t="inlineStr">
        <is>
          <t>Delhi NCR</t>
        </is>
      </c>
      <c r="L2077" t="inlineStr"/>
      <c r="M2077" t="inlineStr">
        <is>
          <t>Ashok Chokalingam; Robert Sellares; Ishank Gupta; HomeLane founders Srikanth Iyer; Tanuj Choudhry</t>
        </is>
      </c>
      <c r="N2077" t="inlineStr">
        <is>
          <t>entrackr | et</t>
        </is>
      </c>
      <c r="O2077" s="20" t="n">
        <v>2</v>
      </c>
      <c r="P2077" s="21" t="n">
        <v>0</v>
      </c>
      <c r="Q2077" t="inlineStr">
        <is>
          <t>C06</t>
        </is>
      </c>
      <c r="R2077" s="22" t="inlineStr">
        <is>
          <t>https://entrackr.com/snippets/alco-bev-startup-marmalade-raises-seed-round-12508946</t>
        </is>
      </c>
    </row>
    <row r="2078">
      <c r="A2078" t="inlineStr">
        <is>
          <t>R260909-qnulabs</t>
        </is>
      </c>
      <c r="B2078" t="inlineStr">
        <is>
          <t>QNu Labs</t>
        </is>
      </c>
      <c r="C2078" s="17" t="n">
        <v>46274</v>
      </c>
      <c r="D2078" s="18" t="n">
        <v>46266</v>
      </c>
      <c r="E2078" s="19" t="n">
        <v>21.028</v>
      </c>
      <c r="F2078" s="19" t="n">
        <v>200</v>
      </c>
      <c r="G2078" t="inlineStr">
        <is>
          <t>Rs 200 crore</t>
        </is>
      </c>
      <c r="H2078" t="inlineStr">
        <is>
          <t>Series A</t>
        </is>
      </c>
      <c r="I2078" t="inlineStr">
        <is>
          <t>Early</t>
        </is>
      </c>
      <c r="J2078" t="inlineStr">
        <is>
          <t>Advanced Hardware &amp; Technology</t>
        </is>
      </c>
      <c r="K2078" t="inlineStr">
        <is>
          <t>Bengaluru</t>
        </is>
      </c>
      <c r="L2078" t="inlineStr">
        <is>
          <t>National Quantum Mission; Speciale Invest</t>
        </is>
      </c>
      <c r="M2078" t="inlineStr">
        <is>
          <t>National Quantum Mission; Speciale Invest; Sony Innovation Fund; Gaja Capital; Artha Ventures</t>
        </is>
      </c>
      <c r="N2078" t="inlineStr">
        <is>
          <t>entrackr | inc42 | et</t>
        </is>
      </c>
      <c r="O2078" s="20" t="n">
        <v>3</v>
      </c>
      <c r="P2078" s="21" t="n">
        <v>0.1</v>
      </c>
      <c r="Q2078" t="inlineStr"/>
      <c r="R2078" s="22" t="inlineStr">
        <is>
          <t>https://entrackr.com/news/deep-tech-cybersecurity-company-qnu-labs-raises-rs-200-cr-in-series-a1-round-12509199</t>
        </is>
      </c>
    </row>
    <row r="2079">
      <c r="A2079" t="inlineStr">
        <is>
          <t>R260909-theater</t>
        </is>
      </c>
      <c r="B2079" t="inlineStr">
        <is>
          <t>Theater</t>
        </is>
      </c>
      <c r="C2079" s="17" t="n">
        <v>46274</v>
      </c>
      <c r="D2079" s="18" t="n">
        <v>46266</v>
      </c>
      <c r="E2079" s="19" t="n">
        <v>5.914</v>
      </c>
      <c r="F2079" s="19" t="n">
        <v>56.25</v>
      </c>
      <c r="G2079" t="inlineStr">
        <is>
          <t>Rs 56.25 crore</t>
        </is>
      </c>
      <c r="H2079" t="inlineStr">
        <is>
          <t>Series A</t>
        </is>
      </c>
      <c r="I2079" t="inlineStr">
        <is>
          <t>Early</t>
        </is>
      </c>
      <c r="J2079" t="inlineStr">
        <is>
          <t>Ecommerce</t>
        </is>
      </c>
      <c r="K2079" t="inlineStr">
        <is>
          <t>Mumbai</t>
        </is>
      </c>
      <c r="L2079" t="inlineStr">
        <is>
          <t>Niveshaay</t>
        </is>
      </c>
      <c r="M2079" t="inlineStr">
        <is>
          <t>Niveshaay; Physis Capital; Prath Ventures; FirstPort Capital; Skagen Ventures; Vishal Julka; IPV International</t>
        </is>
      </c>
      <c r="N2079" t="inlineStr">
        <is>
          <t>entrackr | inc42 | et</t>
        </is>
      </c>
      <c r="O2079" s="20" t="n">
        <v>3</v>
      </c>
      <c r="P2079" s="21" t="n">
        <v>33.3</v>
      </c>
      <c r="Q2079" t="inlineStr">
        <is>
          <t>C15</t>
        </is>
      </c>
      <c r="R2079" s="22" t="inlineStr">
        <is>
          <t>https://entrackr.com/exclusive/exclusive-fashion-brand-theater-raises-series-a-at-rs-400-cr-valuation-12509223</t>
        </is>
      </c>
    </row>
    <row r="2080">
      <c r="A2080" t="inlineStr">
        <is>
          <t>R260910-dialflo</t>
        </is>
      </c>
      <c r="B2080" t="inlineStr">
        <is>
          <t>Dialflo</t>
        </is>
      </c>
      <c r="C2080" s="17" t="n">
        <v>46275</v>
      </c>
      <c r="D2080" s="18" t="n">
        <v>46266</v>
      </c>
      <c r="E2080" s="19" t="n">
        <v>0.178</v>
      </c>
      <c r="F2080" s="19" t="n">
        <v>1.7</v>
      </c>
      <c r="G2080" t="inlineStr">
        <is>
          <t>Rs 1.7 crore</t>
        </is>
      </c>
      <c r="H2080" t="inlineStr">
        <is>
          <t>Undisclosed</t>
        </is>
      </c>
      <c r="I2080" t="inlineStr">
        <is>
          <t>Undisclosed</t>
        </is>
      </c>
      <c r="J2080" t="inlineStr">
        <is>
          <t>Artificial Intelligence</t>
        </is>
      </c>
      <c r="K2080" t="inlineStr">
        <is>
          <t>Unknown</t>
        </is>
      </c>
      <c r="L2080" t="inlineStr">
        <is>
          <t>AJVC</t>
        </is>
      </c>
      <c r="M2080" t="inlineStr">
        <is>
          <t>Afsar Ahmad; Arpit Dave; AJVC; Jani</t>
        </is>
      </c>
      <c r="N2080" t="inlineStr">
        <is>
          <t>entrackr | inc42</t>
        </is>
      </c>
      <c r="O2080" s="20" t="n">
        <v>2</v>
      </c>
      <c r="P2080" s="21" t="n">
        <v>0.1</v>
      </c>
      <c r="Q2080" t="inlineStr">
        <is>
          <t>C04 C07</t>
        </is>
      </c>
      <c r="R2080" s="22" t="inlineStr">
        <is>
          <t>https://entrackr.com/snippets/ai-contact-centre-startup-dialflo-raises-rs-17-cr-led-by-ajvc-12515938</t>
        </is>
      </c>
    </row>
    <row r="2081">
      <c r="A2081" t="inlineStr">
        <is>
          <t>R260910-graphai</t>
        </is>
      </c>
      <c r="B2081" t="inlineStr">
        <is>
          <t>Graph AI</t>
        </is>
      </c>
      <c r="C2081" s="17" t="n">
        <v>46275</v>
      </c>
      <c r="D2081" s="18" t="n">
        <v>46266</v>
      </c>
      <c r="E2081" s="19" t="n">
        <v>13.3</v>
      </c>
      <c r="F2081" s="19" t="n">
        <v>126.94</v>
      </c>
      <c r="G2081" t="inlineStr">
        <is>
          <t>$13.3 million</t>
        </is>
      </c>
      <c r="H2081" t="inlineStr">
        <is>
          <t>Series A</t>
        </is>
      </c>
      <c r="I2081" t="inlineStr">
        <is>
          <t>Early</t>
        </is>
      </c>
      <c r="J2081" t="inlineStr">
        <is>
          <t>Artificial Intelligence</t>
        </is>
      </c>
      <c r="K2081" t="inlineStr">
        <is>
          <t>Outside India</t>
        </is>
      </c>
      <c r="L2081" t="inlineStr">
        <is>
          <t>Insight Partners</t>
        </is>
      </c>
      <c r="M2081" t="inlineStr">
        <is>
          <t>Insight Partners; Bessemer Venture Partners</t>
        </is>
      </c>
      <c r="N2081" t="inlineStr">
        <is>
          <t>entrackr | inc42 | et</t>
        </is>
      </c>
      <c r="O2081" s="20" t="n">
        <v>3</v>
      </c>
      <c r="P2081" s="21" t="n">
        <v>0</v>
      </c>
      <c r="Q2081" t="inlineStr"/>
      <c r="R2081" s="22" t="inlineStr">
        <is>
          <t>https://entrackr.com/snippets/graph-ai-raises-133-mn-in-series-a-round-led-by-insight-partners-12516422</t>
        </is>
      </c>
    </row>
    <row r="2082">
      <c r="A2082" t="inlineStr">
        <is>
          <t>R260910-piston</t>
        </is>
      </c>
      <c r="B2082" t="inlineStr">
        <is>
          <t>Piston</t>
        </is>
      </c>
      <c r="C2082" s="17" t="n">
        <v>46275</v>
      </c>
      <c r="D2082" s="18" t="n">
        <v>46266</v>
      </c>
      <c r="E2082" s="19" t="n">
        <v>15</v>
      </c>
      <c r="F2082" s="19" t="n">
        <v>143.16</v>
      </c>
      <c r="G2082" t="inlineStr">
        <is>
          <t>$15 million</t>
        </is>
      </c>
      <c r="H2082" t="inlineStr">
        <is>
          <t>Series A</t>
        </is>
      </c>
      <c r="I2082" t="inlineStr">
        <is>
          <t>Early</t>
        </is>
      </c>
      <c r="J2082" t="inlineStr">
        <is>
          <t>Unclassified</t>
        </is>
      </c>
      <c r="K2082" t="inlineStr">
        <is>
          <t>Unknown</t>
        </is>
      </c>
      <c r="L2082" t="inlineStr">
        <is>
          <t>FPV Ventures</t>
        </is>
      </c>
      <c r="M2082" t="inlineStr">
        <is>
          <t>FPV Ventures; Spark Capital; Pear VC</t>
        </is>
      </c>
      <c r="N2082" t="inlineStr">
        <is>
          <t>entrackr</t>
        </is>
      </c>
      <c r="O2082" s="20" t="n">
        <v>1</v>
      </c>
      <c r="P2082" s="21" t="n">
        <v>0</v>
      </c>
      <c r="Q2082" t="inlineStr">
        <is>
          <t>C06 C07</t>
        </is>
      </c>
      <c r="R2082" s="22" t="inlineStr">
        <is>
          <t>https://entrackr.com/news/cardless-payments-platform-piston-raises-15-mn-in-series-a-led-by-fpv-ventures-12516055</t>
        </is>
      </c>
    </row>
    <row r="2083">
      <c r="A2083" t="inlineStr">
        <is>
          <t>R260910-swish</t>
        </is>
      </c>
      <c r="B2083" t="inlineStr">
        <is>
          <t>Swish</t>
        </is>
      </c>
      <c r="C2083" s="17" t="n">
        <v>46275</v>
      </c>
      <c r="D2083" s="18" t="n">
        <v>46266</v>
      </c>
      <c r="E2083" s="19" t="n">
        <v>24</v>
      </c>
      <c r="F2083" s="19" t="n">
        <v>229.06</v>
      </c>
      <c r="G2083" t="inlineStr">
        <is>
          <t>$24 million</t>
        </is>
      </c>
      <c r="H2083" t="inlineStr">
        <is>
          <t>Undisclosed</t>
        </is>
      </c>
      <c r="I2083" t="inlineStr">
        <is>
          <t>Undisclosed</t>
        </is>
      </c>
      <c r="J2083" t="inlineStr">
        <is>
          <t>Consumer Services</t>
        </is>
      </c>
      <c r="K2083" t="inlineStr">
        <is>
          <t>Bengaluru</t>
        </is>
      </c>
      <c r="L2083" t="inlineStr">
        <is>
          <t>Bertelsmann India Investments</t>
        </is>
      </c>
      <c r="M2083" t="inlineStr">
        <is>
          <t>Bertelsmann India Investments; Accel; Bain Capital Ventures; Hara Global</t>
        </is>
      </c>
      <c r="N2083" t="inlineStr">
        <is>
          <t>entrackr | inc42 | vccircle</t>
        </is>
      </c>
      <c r="O2083" s="20" t="n">
        <v>3</v>
      </c>
      <c r="P2083" s="21" t="n">
        <v>0</v>
      </c>
      <c r="Q2083" t="inlineStr">
        <is>
          <t>C04</t>
        </is>
      </c>
      <c r="R2083" s="22" t="inlineStr">
        <is>
          <t>https://entrackr.com/news/10-minute-food-delivery-startup-swish-raises-24-mn-led-by-bertelsmann-india-investments-12513814</t>
        </is>
      </c>
    </row>
    <row r="2084">
      <c r="A2084" t="inlineStr">
        <is>
          <t>R260911-peepbeauty</t>
        </is>
      </c>
      <c r="B2084" t="inlineStr">
        <is>
          <t>Peep Beauty</t>
        </is>
      </c>
      <c r="C2084" s="17" t="n">
        <v>46276</v>
      </c>
      <c r="D2084" s="18" t="n">
        <v>46266</v>
      </c>
      <c r="E2084" s="19" t="n">
        <v>1.2</v>
      </c>
      <c r="F2084" s="19" t="n">
        <v>11.47</v>
      </c>
      <c r="G2084" t="inlineStr">
        <is>
          <t>$1.2 Mn</t>
        </is>
      </c>
      <c r="H2084" t="inlineStr">
        <is>
          <t>Undisclosed</t>
        </is>
      </c>
      <c r="I2084" t="inlineStr">
        <is>
          <t>Undisclosed</t>
        </is>
      </c>
      <c r="J2084" t="inlineStr">
        <is>
          <t>Ecommerce</t>
        </is>
      </c>
      <c r="K2084" t="inlineStr">
        <is>
          <t>Unknown</t>
        </is>
      </c>
      <c r="L2084" t="inlineStr"/>
      <c r="M2084" t="inlineStr">
        <is>
          <t>Triptii Dimri; Sadev Ventures; iSeed; ISV; TDV Partners</t>
        </is>
      </c>
      <c r="N2084" t="inlineStr">
        <is>
          <t>inc42</t>
        </is>
      </c>
      <c r="O2084" s="20" t="n">
        <v>1</v>
      </c>
      <c r="P2084" s="21" t="n">
        <v>0</v>
      </c>
      <c r="Q2084" t="inlineStr">
        <is>
          <t>C04 C07</t>
        </is>
      </c>
      <c r="R2084" s="22" t="inlineStr">
        <is>
          <t>https://inc42.com/buzz/from-pixxel-to-swish-indian-startups-raised-over-321-9-mn-this-week/</t>
        </is>
      </c>
    </row>
    <row r="2085">
      <c r="A2085" t="inlineStr">
        <is>
          <t>R260911-popoglobal</t>
        </is>
      </c>
      <c r="B2085" t="inlineStr">
        <is>
          <t>Popo Global</t>
        </is>
      </c>
      <c r="C2085" s="17" t="n">
        <v>46276</v>
      </c>
      <c r="D2085" s="18" t="n">
        <v>46266</v>
      </c>
      <c r="E2085" s="19" t="n">
        <v>55.672</v>
      </c>
      <c r="F2085" s="19" t="n">
        <v>532</v>
      </c>
      <c r="G2085" t="inlineStr">
        <is>
          <t>Rs 532 crore</t>
        </is>
      </c>
      <c r="H2085" t="inlineStr">
        <is>
          <t>Undisclosed</t>
        </is>
      </c>
      <c r="I2085" t="inlineStr">
        <is>
          <t>Undisclosed</t>
        </is>
      </c>
      <c r="J2085" t="inlineStr">
        <is>
          <t>Foodtech</t>
        </is>
      </c>
      <c r="K2085" t="inlineStr">
        <is>
          <t>Bengaluru</t>
        </is>
      </c>
      <c r="L2085" t="inlineStr">
        <is>
          <t>Artal Asia</t>
        </is>
      </c>
      <c r="M2085" t="inlineStr">
        <is>
          <t>Artal Asia; Invus Group</t>
        </is>
      </c>
      <c r="N2085" t="inlineStr">
        <is>
          <t>entrackr | inc42 | et | vccircle</t>
        </is>
      </c>
      <c r="O2085" s="20" t="n">
        <v>4</v>
      </c>
      <c r="P2085" s="21" t="n">
        <v>0.6</v>
      </c>
      <c r="Q2085" t="inlineStr">
        <is>
          <t>C04</t>
        </is>
      </c>
      <c r="R2085" s="22" t="inlineStr">
        <is>
          <t>https://entrackr.com/snippets/the-pizza-bakery-operator-popo-global-raises-rs-532-cr-from-artal-asia-12518089</t>
        </is>
      </c>
    </row>
    <row r="2086">
      <c r="A2086" t="inlineStr">
        <is>
          <t>R260912-mokobara</t>
        </is>
      </c>
      <c r="B2086" t="inlineStr">
        <is>
          <t>Mokobara</t>
        </is>
      </c>
      <c r="C2086" s="17" t="n">
        <v>46277</v>
      </c>
      <c r="D2086" s="18" t="n">
        <v>46266</v>
      </c>
      <c r="E2086" s="19" t="n">
        <v>18</v>
      </c>
      <c r="F2086" s="19" t="n">
        <v>172.01</v>
      </c>
      <c r="G2086" t="inlineStr">
        <is>
          <t>$18 Mn</t>
        </is>
      </c>
      <c r="H2086" t="inlineStr">
        <is>
          <t>Series C</t>
        </is>
      </c>
      <c r="I2086" t="inlineStr">
        <is>
          <t>Growth</t>
        </is>
      </c>
      <c r="J2086" t="inlineStr">
        <is>
          <t>Ecommerce</t>
        </is>
      </c>
      <c r="K2086" t="inlineStr">
        <is>
          <t>Unknown</t>
        </is>
      </c>
      <c r="L2086" t="inlineStr">
        <is>
          <t>Sauce.vc</t>
        </is>
      </c>
      <c r="M2086" t="inlineStr">
        <is>
          <t>Sauce.vc; Peak XV Partners; AYRA Ventures; Niveshaay Investment</t>
        </is>
      </c>
      <c r="N2086" t="inlineStr">
        <is>
          <t>inc42</t>
        </is>
      </c>
      <c r="O2086" s="20" t="n">
        <v>1</v>
      </c>
      <c r="P2086" s="21" t="n">
        <v>0</v>
      </c>
      <c r="Q2086" t="inlineStr">
        <is>
          <t>C07</t>
        </is>
      </c>
      <c r="R2086" s="22" t="inlineStr">
        <is>
          <t>https://inc42.com/buzz/from-pixxel-to-swish-indian-startups-raised-over-321-9-mn-this-week/</t>
        </is>
      </c>
    </row>
    <row r="2087">
      <c r="A2087" t="inlineStr">
        <is>
          <t>R260914-uniqyou</t>
        </is>
      </c>
      <c r="B2087" t="inlineStr">
        <is>
          <t>UniqYou</t>
        </is>
      </c>
      <c r="C2087" s="17" t="n">
        <v>46279</v>
      </c>
      <c r="D2087" s="18" t="n">
        <v>46266</v>
      </c>
      <c r="E2087" s="19" t="n">
        <v>1.653</v>
      </c>
      <c r="F2087" s="19" t="n">
        <v>15.8</v>
      </c>
      <c r="G2087" t="inlineStr">
        <is>
          <t>Rs 15.8 crore</t>
        </is>
      </c>
      <c r="H2087" t="inlineStr">
        <is>
          <t>Seed</t>
        </is>
      </c>
      <c r="I2087" t="inlineStr">
        <is>
          <t>Early</t>
        </is>
      </c>
      <c r="J2087" t="inlineStr">
        <is>
          <t>Ecommerce</t>
        </is>
      </c>
      <c r="K2087" t="inlineStr">
        <is>
          <t>Unknown</t>
        </is>
      </c>
      <c r="L2087" t="inlineStr">
        <is>
          <t>Arkam Ventures; Antler</t>
        </is>
      </c>
      <c r="M2087" t="inlineStr">
        <is>
          <t>Arkam Ventures; Antler</t>
        </is>
      </c>
      <c r="N2087" t="inlineStr">
        <is>
          <t>entrackr</t>
        </is>
      </c>
      <c r="O2087" s="20" t="n">
        <v>1</v>
      </c>
      <c r="P2087" s="21" t="n">
        <v>0</v>
      </c>
      <c r="Q2087" t="inlineStr">
        <is>
          <t>C07</t>
        </is>
      </c>
      <c r="R2087" s="22" t="inlineStr">
        <is>
          <t>https://entrackr.com/exclusive/exclusive-fashion-startup-uniqyou-raises-seed-round-at-rs-64-cr-valuation-12530416</t>
        </is>
      </c>
    </row>
    <row r="2088">
      <c r="A2088" t="inlineStr">
        <is>
          <t>R260923-ultraviolette</t>
        </is>
      </c>
      <c r="B2088" t="inlineStr">
        <is>
          <t>Ultraviolette</t>
        </is>
      </c>
      <c r="C2088" s="17" t="n">
        <v>46279</v>
      </c>
      <c r="D2088" s="18" t="n">
        <v>46266</v>
      </c>
      <c r="E2088" s="19" t="n">
        <v>85</v>
      </c>
      <c r="F2088" s="19" t="n">
        <v>812.26</v>
      </c>
      <c r="G2088" t="inlineStr">
        <is>
          <t>$85 million</t>
        </is>
      </c>
      <c r="H2088" t="inlineStr">
        <is>
          <t>Series E</t>
        </is>
      </c>
      <c r="I2088" t="inlineStr">
        <is>
          <t>Late</t>
        </is>
      </c>
      <c r="J2088" t="inlineStr">
        <is>
          <t>Cleantech</t>
        </is>
      </c>
      <c r="K2088" t="inlineStr">
        <is>
          <t>Bengaluru</t>
        </is>
      </c>
      <c r="L2088" t="inlineStr">
        <is>
          <t>Yali Capital; TDK Ventures</t>
        </is>
      </c>
      <c r="M2088" t="inlineStr">
        <is>
          <t>Yali Capital; TDK Ventures; Lip-Bu Tan</t>
        </is>
      </c>
      <c r="N2088" t="inlineStr">
        <is>
          <t>entrackr | inc42 | et | vccircle</t>
        </is>
      </c>
      <c r="O2088" s="20" t="n">
        <v>4</v>
      </c>
      <c r="P2088" s="21" t="n">
        <v>0</v>
      </c>
      <c r="Q2088" t="inlineStr">
        <is>
          <t>C16</t>
        </is>
      </c>
      <c r="R2088" s="22" t="inlineStr">
        <is>
          <t>https://www.vccircle.com/grapevinense-lic-adia-speciale-invest-yali-capital-ultraviolette-others-in-news</t>
        </is>
      </c>
    </row>
    <row r="2089">
      <c r="A2089" t="inlineStr">
        <is>
          <t>R260915-darwinbox</t>
        </is>
      </c>
      <c r="B2089" t="inlineStr">
        <is>
          <t>Darwinbox</t>
        </is>
      </c>
      <c r="C2089" s="17" t="n">
        <v>46280</v>
      </c>
      <c r="D2089" s="18" t="n">
        <v>46266</v>
      </c>
      <c r="E2089" s="19" t="n">
        <v>40</v>
      </c>
      <c r="F2089" s="19" t="n">
        <v>383.84</v>
      </c>
      <c r="G2089" t="inlineStr">
        <is>
          <t>$40 million</t>
        </is>
      </c>
      <c r="H2089" t="inlineStr">
        <is>
          <t>Undisclosed</t>
        </is>
      </c>
      <c r="I2089" t="inlineStr">
        <is>
          <t>Undisclosed</t>
        </is>
      </c>
      <c r="J2089" t="inlineStr">
        <is>
          <t>Enterprise Tech</t>
        </is>
      </c>
      <c r="K2089" t="inlineStr">
        <is>
          <t>Hyderabad</t>
        </is>
      </c>
      <c r="L2089" t="inlineStr">
        <is>
          <t>Teachers’ Venture Growth</t>
        </is>
      </c>
      <c r="M2089" t="inlineStr">
        <is>
          <t>Teachers’ Venture Growth</t>
        </is>
      </c>
      <c r="N2089" t="inlineStr">
        <is>
          <t>inc42 | et</t>
        </is>
      </c>
      <c r="O2089" s="20" t="n">
        <v>2</v>
      </c>
      <c r="P2089" s="21" t="n">
        <v>0</v>
      </c>
      <c r="Q2089" t="inlineStr">
        <is>
          <t>C04</t>
        </is>
      </c>
      <c r="R2089" s="22" t="inlineStr">
        <is>
          <t>https://economictimes.indiatimes.com/tech/funding/canadas-otpp-invests-another-40-million-in-darwinbox-sources/articleshow/134268168.cms</t>
        </is>
      </c>
    </row>
    <row r="2090">
      <c r="A2090" t="inlineStr">
        <is>
          <t>R260915-flam</t>
        </is>
      </c>
      <c r="B2090" t="inlineStr">
        <is>
          <t>Flam</t>
        </is>
      </c>
      <c r="C2090" s="17" t="n">
        <v>46280</v>
      </c>
      <c r="D2090" s="18" t="n">
        <v>46266</v>
      </c>
      <c r="E2090" s="19" t="n">
        <v>40</v>
      </c>
      <c r="F2090" s="19" t="n">
        <v>383.84</v>
      </c>
      <c r="G2090" t="inlineStr">
        <is>
          <t>$40 million</t>
        </is>
      </c>
      <c r="H2090" t="inlineStr">
        <is>
          <t>Series B</t>
        </is>
      </c>
      <c r="I2090" t="inlineStr">
        <is>
          <t>Growth</t>
        </is>
      </c>
      <c r="J2090" t="inlineStr">
        <is>
          <t>Enterprise Tech</t>
        </is>
      </c>
      <c r="K2090" t="inlineStr">
        <is>
          <t>Bengaluru</t>
        </is>
      </c>
      <c r="L2090" t="inlineStr"/>
      <c r="M2090" t="inlineStr">
        <is>
          <t>RTP Global; Claypond Capital; Australian Gulf Capital; Martin Chavez; Olivier Pomel; Venky Harinarayan; Shah Rukh Khan; Dovetail</t>
        </is>
      </c>
      <c r="N2090" t="inlineStr">
        <is>
          <t>entrackr | inc42 | et</t>
        </is>
      </c>
      <c r="O2090" s="20" t="n">
        <v>3</v>
      </c>
      <c r="P2090" s="21" t="n">
        <v>0</v>
      </c>
      <c r="Q2090" t="inlineStr"/>
      <c r="R2090" s="22" t="inlineStr">
        <is>
          <t>https://entrackr.com/news/ai-interactive-content-startup-flam-raises-40-mn-led-by-qed-investors-12534934</t>
        </is>
      </c>
    </row>
    <row r="2091">
      <c r="A2091" t="inlineStr">
        <is>
          <t>R260916-firi</t>
        </is>
      </c>
      <c r="B2091" t="inlineStr">
        <is>
          <t>Firi</t>
        </is>
      </c>
      <c r="C2091" s="17" t="n">
        <v>46281</v>
      </c>
      <c r="D2091" s="18" t="n">
        <v>46266</v>
      </c>
      <c r="E2091" s="19" t="n">
        <v>3</v>
      </c>
      <c r="F2091" s="19" t="n">
        <v>28.79</v>
      </c>
      <c r="G2091" t="inlineStr">
        <is>
          <t>$3 million</t>
        </is>
      </c>
      <c r="H2091" t="inlineStr">
        <is>
          <t>Seed</t>
        </is>
      </c>
      <c r="I2091" t="inlineStr">
        <is>
          <t>Early</t>
        </is>
      </c>
      <c r="J2091" t="inlineStr">
        <is>
          <t>Consumer Services</t>
        </is>
      </c>
      <c r="K2091" t="inlineStr">
        <is>
          <t>Delhi NCR</t>
        </is>
      </c>
      <c r="L2091" t="inlineStr">
        <is>
          <t>360 ONE Asset</t>
        </is>
      </c>
      <c r="M2091" t="inlineStr">
        <is>
          <t>360 ONE Asset; Better Capital; Kunal Shah</t>
        </is>
      </c>
      <c r="N2091" t="inlineStr">
        <is>
          <t>entrackr | inc42 | et</t>
        </is>
      </c>
      <c r="O2091" s="20" t="n">
        <v>3</v>
      </c>
      <c r="P2091" s="21" t="n">
        <v>0</v>
      </c>
      <c r="Q2091" t="inlineStr"/>
      <c r="R2091" s="22" t="inlineStr">
        <is>
          <t>https://entrackr.com/snippets/beauty-quick-commerce-startup-firi-raises-3-mn-led-by-360-one-asset-12538816</t>
        </is>
      </c>
    </row>
    <row r="2092">
      <c r="A2092" t="inlineStr">
        <is>
          <t>R260916-slayd</t>
        </is>
      </c>
      <c r="B2092" t="inlineStr">
        <is>
          <t>Slayd</t>
        </is>
      </c>
      <c r="C2092" s="17" t="n">
        <v>46281</v>
      </c>
      <c r="D2092" s="18" t="n">
        <v>46266</v>
      </c>
      <c r="E2092" s="19" t="n">
        <v>0.156</v>
      </c>
      <c r="F2092" s="19" t="n">
        <v>1.5</v>
      </c>
      <c r="G2092" t="inlineStr">
        <is>
          <t>Rs 1.5 crore</t>
        </is>
      </c>
      <c r="H2092" t="inlineStr">
        <is>
          <t>Pre-Seed</t>
        </is>
      </c>
      <c r="I2092" t="inlineStr">
        <is>
          <t>Early</t>
        </is>
      </c>
      <c r="J2092" t="inlineStr">
        <is>
          <t>Ecommerce</t>
        </is>
      </c>
      <c r="K2092" t="inlineStr">
        <is>
          <t>Delhi NCR</t>
        </is>
      </c>
      <c r="L2092" t="inlineStr">
        <is>
          <t>AJVC</t>
        </is>
      </c>
      <c r="M2092" t="inlineStr">
        <is>
          <t>AJVC</t>
        </is>
      </c>
      <c r="N2092" t="inlineStr">
        <is>
          <t>entrackr | inc42</t>
        </is>
      </c>
      <c r="O2092" s="20" t="n">
        <v>2</v>
      </c>
      <c r="P2092" s="21" t="n">
        <v>0.2</v>
      </c>
      <c r="Q2092" t="inlineStr"/>
      <c r="R2092" s="22" t="inlineStr">
        <is>
          <t>https://entrackr.com/snippets/fashion-discovery-platform-slayd-raises-pre-seed-funding-led-by-ajvc-12538892</t>
        </is>
      </c>
    </row>
    <row r="2093">
      <c r="A2093" t="inlineStr">
        <is>
          <t>R260916-trueartis</t>
        </is>
      </c>
      <c r="B2093" t="inlineStr">
        <is>
          <t>TRUE ARTIS</t>
        </is>
      </c>
      <c r="C2093" s="17" t="n">
        <v>46281</v>
      </c>
      <c r="D2093" s="18" t="n">
        <v>46266</v>
      </c>
      <c r="E2093" s="19" t="n">
        <v>1.188</v>
      </c>
      <c r="F2093" s="19" t="n">
        <v>11.4</v>
      </c>
      <c r="G2093" t="inlineStr">
        <is>
          <t>Rs 11.4 crore</t>
        </is>
      </c>
      <c r="H2093" t="inlineStr">
        <is>
          <t>Seed</t>
        </is>
      </c>
      <c r="I2093" t="inlineStr">
        <is>
          <t>Early</t>
        </is>
      </c>
      <c r="J2093" t="inlineStr">
        <is>
          <t>Healthtech</t>
        </is>
      </c>
      <c r="K2093" t="inlineStr">
        <is>
          <t>Unknown</t>
        </is>
      </c>
      <c r="L2093" t="inlineStr">
        <is>
          <t>Zeropearl VC</t>
        </is>
      </c>
      <c r="M2093" t="inlineStr">
        <is>
          <t>Zeropearl VC; Eleven; Sunil Sachdeva; Airtel; OYO; Arjun Vaidya; Dhruv Joshi; Ambarish Gupta; Vivek Lohcheb; CBO of PhonePe</t>
        </is>
      </c>
      <c r="N2093" t="inlineStr">
        <is>
          <t>entrackr | inc42</t>
        </is>
      </c>
      <c r="O2093" s="20" t="n">
        <v>2</v>
      </c>
      <c r="P2093" s="21" t="n">
        <v>1</v>
      </c>
      <c r="Q2093" t="inlineStr">
        <is>
          <t>C07</t>
        </is>
      </c>
      <c r="R2093" s="22" t="inlineStr">
        <is>
          <t>https://entrackr.com/snippets/zeropearl-vc-leads-rs-114-cr-seed-round-in-aesthetic-surgery-platform-true-artis-12540682</t>
        </is>
      </c>
    </row>
    <row r="2094">
      <c r="A2094" t="inlineStr">
        <is>
          <t>R260916-verifaix</t>
        </is>
      </c>
      <c r="B2094" t="inlineStr">
        <is>
          <t>VerifAIX</t>
        </is>
      </c>
      <c r="C2094" s="17" t="n">
        <v>46281</v>
      </c>
      <c r="D2094" s="18" t="n">
        <v>46266</v>
      </c>
      <c r="E2094" s="19" t="n">
        <v>5</v>
      </c>
      <c r="F2094" s="19" t="n">
        <v>47.98</v>
      </c>
      <c r="G2094" t="inlineStr">
        <is>
          <t>$5 million</t>
        </is>
      </c>
      <c r="H2094" t="inlineStr">
        <is>
          <t>Seed</t>
        </is>
      </c>
      <c r="I2094" t="inlineStr">
        <is>
          <t>Early</t>
        </is>
      </c>
      <c r="J2094" t="inlineStr">
        <is>
          <t>Advanced Hardware &amp; Technology</t>
        </is>
      </c>
      <c r="K2094" t="inlineStr">
        <is>
          <t>Unknown</t>
        </is>
      </c>
      <c r="L2094" t="inlineStr">
        <is>
          <t>Endiya Partners; Bluehill VC</t>
        </is>
      </c>
      <c r="M2094" t="inlineStr">
        <is>
          <t>Endiya Partners; Bluehill VC</t>
        </is>
      </c>
      <c r="N2094" t="inlineStr">
        <is>
          <t>entrackr | inc42 | et</t>
        </is>
      </c>
      <c r="O2094" s="20" t="n">
        <v>3</v>
      </c>
      <c r="P2094" s="21" t="n">
        <v>0</v>
      </c>
      <c r="Q2094" t="inlineStr">
        <is>
          <t>C07</t>
        </is>
      </c>
      <c r="R2094" s="22" t="inlineStr">
        <is>
          <t>https://entrackr.com/snippets/semiconductor-verification-startup-verifaix-raises-5-mn-in-seed-round-12538970</t>
        </is>
      </c>
    </row>
    <row r="2095">
      <c r="A2095" t="inlineStr">
        <is>
          <t>R260917-dheyatech</t>
        </is>
      </c>
      <c r="B2095" t="inlineStr">
        <is>
          <t>DheyaTech</t>
        </is>
      </c>
      <c r="C2095" s="17" t="n">
        <v>46282</v>
      </c>
      <c r="D2095" s="18" t="n">
        <v>46266</v>
      </c>
      <c r="E2095" s="19" t="n">
        <v>4.482</v>
      </c>
      <c r="F2095" s="19" t="n">
        <v>43</v>
      </c>
      <c r="G2095" t="inlineStr">
        <is>
          <t>Rs 43 crore</t>
        </is>
      </c>
      <c r="H2095" t="inlineStr">
        <is>
          <t>Pre-Series A</t>
        </is>
      </c>
      <c r="I2095" t="inlineStr">
        <is>
          <t>Early</t>
        </is>
      </c>
      <c r="J2095" t="inlineStr">
        <is>
          <t>Advanced Hardware &amp; Technology</t>
        </is>
      </c>
      <c r="K2095" t="inlineStr">
        <is>
          <t>Bengaluru</t>
        </is>
      </c>
      <c r="L2095" t="inlineStr">
        <is>
          <t>Avaana Capital</t>
        </is>
      </c>
      <c r="M2095" t="inlineStr">
        <is>
          <t>Avaana Capital; Unimech Aerospace; Manufacturing</t>
        </is>
      </c>
      <c r="N2095" t="inlineStr">
        <is>
          <t>entrackr | inc42 | et</t>
        </is>
      </c>
      <c r="O2095" s="20" t="n">
        <v>3</v>
      </c>
      <c r="P2095" s="21" t="n">
        <v>13.8</v>
      </c>
      <c r="Q2095" t="inlineStr">
        <is>
          <t>C15</t>
        </is>
      </c>
      <c r="R2095" s="22" t="inlineStr">
        <is>
          <t>https://entrackr.com/snippets/avaana-capital-leads-rs-43-cr-pre-series-a-round-in-deeptech-company-dheyatech-12544665</t>
        </is>
      </c>
    </row>
    <row r="2096">
      <c r="A2096" t="inlineStr">
        <is>
          <t>R260917-ecosys</t>
        </is>
      </c>
      <c r="B2096" t="inlineStr">
        <is>
          <t>Ecosys</t>
        </is>
      </c>
      <c r="C2096" s="17" t="n">
        <v>46282</v>
      </c>
      <c r="D2096" s="18" t="n">
        <v>46266</v>
      </c>
      <c r="E2096" s="19" t="n">
        <v>0.521</v>
      </c>
      <c r="F2096" s="19" t="n">
        <v>5</v>
      </c>
      <c r="G2096" t="inlineStr">
        <is>
          <t>Rs 5 crore</t>
        </is>
      </c>
      <c r="H2096" t="inlineStr">
        <is>
          <t>Pre-Series A</t>
        </is>
      </c>
      <c r="I2096" t="inlineStr">
        <is>
          <t>Early</t>
        </is>
      </c>
      <c r="J2096" t="inlineStr">
        <is>
          <t>Consumer Services</t>
        </is>
      </c>
      <c r="K2096" t="inlineStr">
        <is>
          <t>Mumbai</t>
        </is>
      </c>
      <c r="L2096" t="inlineStr">
        <is>
          <t>GVFL Prarambh Fund</t>
        </is>
      </c>
      <c r="M2096" t="inlineStr">
        <is>
          <t>GVFL Prarambh Fund; Proteus Partners; Puru Gupta; Sreejith Moolayil</t>
        </is>
      </c>
      <c r="N2096" t="inlineStr">
        <is>
          <t>entrackr | inc42</t>
        </is>
      </c>
      <c r="O2096" s="20" t="n">
        <v>2</v>
      </c>
      <c r="P2096" s="21" t="n">
        <v>0</v>
      </c>
      <c r="Q2096" t="inlineStr"/>
      <c r="R2096" s="22" t="inlineStr">
        <is>
          <t>https://entrackr.com/snippets/laundry-and-home-cleaning-brand-ecosys-raises-rs-5-cr-in-pre-series-a-round-12544138</t>
        </is>
      </c>
    </row>
    <row r="2097">
      <c r="A2097" t="inlineStr">
        <is>
          <t>R260917-enlightmetals</t>
        </is>
      </c>
      <c r="B2097" t="inlineStr">
        <is>
          <t>Enlight Metals</t>
        </is>
      </c>
      <c r="C2097" s="17" t="n">
        <v>46282</v>
      </c>
      <c r="D2097" s="18" t="n">
        <v>46266</v>
      </c>
      <c r="E2097" s="19" t="n">
        <v>1.5</v>
      </c>
      <c r="F2097" s="19" t="n">
        <v>14.39</v>
      </c>
      <c r="G2097" t="inlineStr">
        <is>
          <t>$1.5 million</t>
        </is>
      </c>
      <c r="H2097" t="inlineStr">
        <is>
          <t>Undisclosed</t>
        </is>
      </c>
      <c r="I2097" t="inlineStr">
        <is>
          <t>Undisclosed</t>
        </is>
      </c>
      <c r="J2097" t="inlineStr">
        <is>
          <t>Enterprise Tech</t>
        </is>
      </c>
      <c r="K2097" t="inlineStr">
        <is>
          <t>Delhi NCR</t>
        </is>
      </c>
      <c r="L2097" t="inlineStr">
        <is>
          <t>Exar North Group</t>
        </is>
      </c>
      <c r="M2097" t="inlineStr">
        <is>
          <t>Exar North Group</t>
        </is>
      </c>
      <c r="N2097" t="inlineStr">
        <is>
          <t>entrackr | inc42</t>
        </is>
      </c>
      <c r="O2097" s="20" t="n">
        <v>2</v>
      </c>
      <c r="P2097" s="21" t="n">
        <v>0</v>
      </c>
      <c r="Q2097" t="inlineStr">
        <is>
          <t>C04</t>
        </is>
      </c>
      <c r="R2097" s="22" t="inlineStr">
        <is>
          <t>https://entrackr.com/snippets/enlight-metals-raises-15-mn-at-10-mn-valuation-from-exar-north-group-12543275</t>
        </is>
      </c>
    </row>
    <row r="2098">
      <c r="A2098" t="inlineStr">
        <is>
          <t>R260917-factrika</t>
        </is>
      </c>
      <c r="B2098" t="inlineStr">
        <is>
          <t>Factrika</t>
        </is>
      </c>
      <c r="C2098" s="17" t="n">
        <v>46282</v>
      </c>
      <c r="D2098" s="18" t="n">
        <v>46266</v>
      </c>
      <c r="E2098" s="19" t="n">
        <v>0.928</v>
      </c>
      <c r="F2098" s="19" t="n">
        <v>8.9</v>
      </c>
      <c r="G2098" t="inlineStr">
        <is>
          <t>Rs 8.9 crore</t>
        </is>
      </c>
      <c r="H2098" t="inlineStr">
        <is>
          <t>Seed</t>
        </is>
      </c>
      <c r="I2098" t="inlineStr">
        <is>
          <t>Early</t>
        </is>
      </c>
      <c r="J2098" t="inlineStr">
        <is>
          <t>Enterprise Tech</t>
        </is>
      </c>
      <c r="K2098" t="inlineStr">
        <is>
          <t>Delhi NCR</t>
        </is>
      </c>
      <c r="L2098" t="inlineStr">
        <is>
          <t>Info Edge Ventures</t>
        </is>
      </c>
      <c r="M2098" t="inlineStr">
        <is>
          <t>Info Edge Ventures</t>
        </is>
      </c>
      <c r="N2098" t="inlineStr">
        <is>
          <t>entrackr | inc42</t>
        </is>
      </c>
      <c r="O2098" s="20" t="n">
        <v>2</v>
      </c>
      <c r="P2098" s="21" t="n">
        <v>0</v>
      </c>
      <c r="Q2098" t="inlineStr"/>
      <c r="R2098" s="22" t="inlineStr">
        <is>
          <t>https://entrackr.com/snippets/info-edge-leads-rs-89-cr-seed-round-in-factrika-12544954</t>
        </is>
      </c>
    </row>
    <row r="2099">
      <c r="A2099" t="inlineStr">
        <is>
          <t>R260917-kiddo</t>
        </is>
      </c>
      <c r="B2099" t="inlineStr">
        <is>
          <t>Kiddo</t>
        </is>
      </c>
      <c r="C2099" s="17" t="n">
        <v>46282</v>
      </c>
      <c r="D2099" s="18" t="n">
        <v>46266</v>
      </c>
      <c r="E2099" s="19" t="n">
        <v>1.303</v>
      </c>
      <c r="F2099" s="19" t="n">
        <v>12.5</v>
      </c>
      <c r="G2099" t="inlineStr">
        <is>
          <t>Rs 12.5 crore</t>
        </is>
      </c>
      <c r="H2099" t="inlineStr">
        <is>
          <t>Pre-Seed</t>
        </is>
      </c>
      <c r="I2099" t="inlineStr">
        <is>
          <t>Early</t>
        </is>
      </c>
      <c r="J2099" t="inlineStr">
        <is>
          <t>Consumer Services</t>
        </is>
      </c>
      <c r="K2099" t="inlineStr">
        <is>
          <t>Unknown</t>
        </is>
      </c>
      <c r="L2099" t="inlineStr">
        <is>
          <t>Campus Fund</t>
        </is>
      </c>
      <c r="M2099" t="inlineStr">
        <is>
          <t>Campus Fund</t>
        </is>
      </c>
      <c r="N2099" t="inlineStr">
        <is>
          <t>entrackr | inc42</t>
        </is>
      </c>
      <c r="O2099" s="20" t="n">
        <v>2</v>
      </c>
      <c r="P2099" s="21" t="n">
        <v>0.2</v>
      </c>
      <c r="Q2099" t="inlineStr">
        <is>
          <t>C07</t>
        </is>
      </c>
      <c r="R2099" s="22" t="inlineStr">
        <is>
          <t>https://entrackr.com/snippets/baby-focused-quick-commerce-startup-kiddo-raises-rs-125-cr-led-by-campus-fund-12545586</t>
        </is>
      </c>
    </row>
    <row r="2100">
      <c r="A2100" t="inlineStr">
        <is>
          <t>R260917-yulu</t>
        </is>
      </c>
      <c r="B2100" t="inlineStr">
        <is>
          <t>Yulu</t>
        </is>
      </c>
      <c r="C2100" s="17" t="n">
        <v>46282</v>
      </c>
      <c r="D2100" s="18" t="n">
        <v>46266</v>
      </c>
      <c r="E2100" s="19" t="n">
        <v>93</v>
      </c>
      <c r="F2100" s="19" t="n">
        <v>892.24</v>
      </c>
      <c r="G2100" t="inlineStr">
        <is>
          <t>$93 million</t>
        </is>
      </c>
      <c r="H2100" t="inlineStr">
        <is>
          <t>Series C</t>
        </is>
      </c>
      <c r="I2100" t="inlineStr">
        <is>
          <t>Growth</t>
        </is>
      </c>
      <c r="J2100" t="inlineStr">
        <is>
          <t>Cleantech</t>
        </is>
      </c>
      <c r="K2100" t="inlineStr">
        <is>
          <t>Bengaluru</t>
        </is>
      </c>
      <c r="L2100" t="inlineStr">
        <is>
          <t>GEF Capital Partners</t>
        </is>
      </c>
      <c r="M2100" t="inlineStr">
        <is>
          <t>GEF Capital Partners; One Planet Partners</t>
        </is>
      </c>
      <c r="N2100" t="inlineStr">
        <is>
          <t>entrackr</t>
        </is>
      </c>
      <c r="O2100" s="20" t="n">
        <v>1</v>
      </c>
      <c r="P2100" s="21" t="n">
        <v>0</v>
      </c>
      <c r="Q2100" t="inlineStr">
        <is>
          <t>C09</t>
        </is>
      </c>
      <c r="R2100" s="22" t="inlineStr">
        <is>
          <t>https://entrackr.com/decoding/inside-yulus-series-c-funding-breakup-valuation-captable-12542887</t>
        </is>
      </c>
    </row>
    <row r="2101">
      <c r="A2101" t="inlineStr">
        <is>
          <t>R260918-beijan</t>
        </is>
      </c>
      <c r="B2101" t="inlineStr">
        <is>
          <t>Beijan</t>
        </is>
      </c>
      <c r="C2101" s="17" t="n">
        <v>46283</v>
      </c>
      <c r="D2101" s="18" t="n">
        <v>46266</v>
      </c>
      <c r="E2101" s="19" t="n">
        <v>0.156</v>
      </c>
      <c r="F2101" s="19" t="n">
        <v>1.5</v>
      </c>
      <c r="G2101" t="inlineStr">
        <is>
          <t>$156K</t>
        </is>
      </c>
      <c r="H2101" t="inlineStr">
        <is>
          <t>Undisclosed</t>
        </is>
      </c>
      <c r="I2101" t="inlineStr">
        <is>
          <t>Undisclosed</t>
        </is>
      </c>
      <c r="J2101" t="inlineStr">
        <is>
          <t>Advanced Hardware &amp; Technology</t>
        </is>
      </c>
      <c r="K2101" t="inlineStr">
        <is>
          <t>Unknown</t>
        </is>
      </c>
      <c r="L2101" t="inlineStr">
        <is>
          <t>AJVC</t>
        </is>
      </c>
      <c r="M2101" t="inlineStr">
        <is>
          <t>AJVC</t>
        </is>
      </c>
      <c r="N2101" t="inlineStr">
        <is>
          <t>inc42</t>
        </is>
      </c>
      <c r="O2101" s="20" t="n">
        <v>1</v>
      </c>
      <c r="P2101" s="21" t="n">
        <v>0</v>
      </c>
      <c r="Q2101" t="inlineStr">
        <is>
          <t>C04 C07</t>
        </is>
      </c>
      <c r="R2101" s="22" t="inlineStr">
        <is>
          <t>https://inc42.com/buzz/from-flam-to-verifaix-indian-startups-raised-about-59-mn-this-week/</t>
        </is>
      </c>
    </row>
    <row r="2102">
      <c r="A2102" t="inlineStr">
        <is>
          <t>R260918-jar</t>
        </is>
      </c>
      <c r="B2102" t="inlineStr">
        <is>
          <t>Jar</t>
        </is>
      </c>
      <c r="C2102" s="17" t="n">
        <v>46283</v>
      </c>
      <c r="D2102" s="18" t="n">
        <v>46266</v>
      </c>
      <c r="E2102" s="19" t="n">
        <v>3.025</v>
      </c>
      <c r="F2102" s="19" t="n">
        <v>29</v>
      </c>
      <c r="G2102" t="inlineStr">
        <is>
          <t>Rs 29 crore</t>
        </is>
      </c>
      <c r="H2102" t="inlineStr">
        <is>
          <t>Series B</t>
        </is>
      </c>
      <c r="I2102" t="inlineStr">
        <is>
          <t>Growth</t>
        </is>
      </c>
      <c r="J2102" t="inlineStr">
        <is>
          <t>Unclassified</t>
        </is>
      </c>
      <c r="K2102" t="inlineStr">
        <is>
          <t>Unknown</t>
        </is>
      </c>
      <c r="L2102" t="inlineStr"/>
      <c r="M2102" t="inlineStr">
        <is>
          <t>Unitary Fund</t>
        </is>
      </c>
      <c r="N2102" t="inlineStr">
        <is>
          <t>entrackr</t>
        </is>
      </c>
      <c r="O2102" s="20" t="n">
        <v>1</v>
      </c>
      <c r="P2102" s="21" t="n">
        <v>0</v>
      </c>
      <c r="Q2102" t="inlineStr">
        <is>
          <t>C06 C07</t>
        </is>
      </c>
      <c r="R2102" s="22" t="inlineStr">
        <is>
          <t>https://entrackr.com/exclusive/exclusive-jar-raises-small-fresh-funding-from-unitary-fund-12547515</t>
        </is>
      </c>
    </row>
    <row r="2103">
      <c r="A2103" t="inlineStr">
        <is>
          <t>R260918-moromaa</t>
        </is>
      </c>
      <c r="B2103" t="inlineStr">
        <is>
          <t>MoroMaa</t>
        </is>
      </c>
      <c r="C2103" s="17" t="n">
        <v>46283</v>
      </c>
      <c r="D2103" s="18" t="n">
        <v>46266</v>
      </c>
      <c r="E2103" s="19" t="n">
        <v>0.156</v>
      </c>
      <c r="F2103" s="19" t="n">
        <v>1.5</v>
      </c>
      <c r="G2103" t="inlineStr">
        <is>
          <t>Rs 1.5 crore</t>
        </is>
      </c>
      <c r="H2103" t="inlineStr">
        <is>
          <t>Undisclosed</t>
        </is>
      </c>
      <c r="I2103" t="inlineStr">
        <is>
          <t>Undisclosed</t>
        </is>
      </c>
      <c r="J2103" t="inlineStr">
        <is>
          <t>Ecommerce</t>
        </is>
      </c>
      <c r="K2103" t="inlineStr">
        <is>
          <t>Mumbai</t>
        </is>
      </c>
      <c r="L2103" t="inlineStr">
        <is>
          <t>AJVC</t>
        </is>
      </c>
      <c r="M2103" t="inlineStr">
        <is>
          <t>AJVC; Aviral Bhatnagar of AJ VC</t>
        </is>
      </c>
      <c r="N2103" t="inlineStr">
        <is>
          <t>entrackr | inc42</t>
        </is>
      </c>
      <c r="O2103" s="20" t="n">
        <v>2</v>
      </c>
      <c r="P2103" s="21" t="n">
        <v>0.3</v>
      </c>
      <c r="Q2103" t="inlineStr">
        <is>
          <t>C04</t>
        </is>
      </c>
      <c r="R2103" s="22" t="inlineStr">
        <is>
          <t>https://entrackr.com/snippets/beauty-and-body-care-brand-moromaa-raises-rs-15-cr-from-aj-vc-for-9-stake-12547407</t>
        </is>
      </c>
    </row>
    <row r="2104">
      <c r="A2104" t="inlineStr">
        <is>
          <t>R260918-physioplusheal</t>
        </is>
      </c>
      <c r="B2104" t="inlineStr">
        <is>
          <t>Physioplus Healthcare</t>
        </is>
      </c>
      <c r="C2104" s="17" t="n">
        <v>46283</v>
      </c>
      <c r="D2104" s="18" t="n">
        <v>46266</v>
      </c>
      <c r="E2104" s="19" t="n"/>
      <c r="F2104" s="19" t="n"/>
      <c r="G2104" t="inlineStr"/>
      <c r="H2104" t="inlineStr">
        <is>
          <t>Seed</t>
        </is>
      </c>
      <c r="I2104" t="inlineStr">
        <is>
          <t>Early</t>
        </is>
      </c>
      <c r="J2104" t="inlineStr">
        <is>
          <t>Unclassified</t>
        </is>
      </c>
      <c r="K2104" t="inlineStr">
        <is>
          <t>Jaipur</t>
        </is>
      </c>
      <c r="L2104" t="inlineStr"/>
      <c r="M2104" t="inlineStr">
        <is>
          <t>HBF India</t>
        </is>
      </c>
      <c r="N2104" t="inlineStr">
        <is>
          <t>entrackr</t>
        </is>
      </c>
      <c r="O2104" s="20" t="n">
        <v>1</v>
      </c>
      <c r="P2104" s="21" t="n"/>
      <c r="Q2104" t="inlineStr">
        <is>
          <t>C03 C06</t>
        </is>
      </c>
      <c r="R2104" s="22" t="inlineStr">
        <is>
          <t>https://entrackr.com/snippets/physioplus-healthcare-raises-seed-round-at-800k-valuation-12547680</t>
        </is>
      </c>
    </row>
    <row r="2105">
      <c r="A2105" t="inlineStr">
        <is>
          <t>R260918-zinara</t>
        </is>
      </c>
      <c r="B2105" t="inlineStr">
        <is>
          <t>Zinara</t>
        </is>
      </c>
      <c r="C2105" s="17" t="n">
        <v>46283</v>
      </c>
      <c r="D2105" s="18" t="n">
        <v>46266</v>
      </c>
      <c r="E2105" s="19" t="n"/>
      <c r="F2105" s="19" t="n"/>
      <c r="G2105" t="inlineStr"/>
      <c r="H2105" t="inlineStr">
        <is>
          <t>Undisclosed</t>
        </is>
      </c>
      <c r="I2105" t="inlineStr">
        <is>
          <t>Undisclosed</t>
        </is>
      </c>
      <c r="J2105" t="inlineStr">
        <is>
          <t>Ecommerce</t>
        </is>
      </c>
      <c r="K2105" t="inlineStr">
        <is>
          <t>Delhi NCR</t>
        </is>
      </c>
      <c r="L2105" t="inlineStr">
        <is>
          <t>Nikita Dutta</t>
        </is>
      </c>
      <c r="M2105" t="inlineStr">
        <is>
          <t>Nikita Dutta</t>
        </is>
      </c>
      <c r="N2105" t="inlineStr">
        <is>
          <t>inc42</t>
        </is>
      </c>
      <c r="O2105" s="20" t="n">
        <v>1</v>
      </c>
      <c r="P2105" s="21" t="n"/>
      <c r="Q2105" t="inlineStr">
        <is>
          <t>C03 C04</t>
        </is>
      </c>
      <c r="R2105" s="22" t="inlineStr">
        <is>
          <t>https://inc42.com/buzz/from-flam-to-verifaix-indian-startups-raised-about-59-mn-this-week/</t>
        </is>
      </c>
    </row>
    <row r="2106">
      <c r="A2106" t="inlineStr">
        <is>
          <t>R260919-dishaformerlyc</t>
        </is>
      </c>
      <c r="B2106" t="inlineStr">
        <is>
          <t>Disha (formerly Curelink)</t>
        </is>
      </c>
      <c r="C2106" s="17" t="n">
        <v>46284</v>
      </c>
      <c r="D2106" s="18" t="n">
        <v>46266</v>
      </c>
      <c r="E2106" s="19" t="n">
        <v>4.577</v>
      </c>
      <c r="F2106" s="19" t="n">
        <v>43.88</v>
      </c>
      <c r="G2106" t="inlineStr">
        <is>
          <t>Rs 43.88 crore</t>
        </is>
      </c>
      <c r="H2106" t="inlineStr">
        <is>
          <t>Series A</t>
        </is>
      </c>
      <c r="I2106" t="inlineStr">
        <is>
          <t>Early</t>
        </is>
      </c>
      <c r="J2106" t="inlineStr">
        <is>
          <t>Edtech</t>
        </is>
      </c>
      <c r="K2106" t="inlineStr">
        <is>
          <t>Unknown</t>
        </is>
      </c>
      <c r="L2106" t="inlineStr">
        <is>
          <t>General Catalyst; Elevation Capital; Venture Highway</t>
        </is>
      </c>
      <c r="M2106" t="inlineStr">
        <is>
          <t>General Catalyst; Elevation Capital; Venture Highway</t>
        </is>
      </c>
      <c r="N2106" t="inlineStr">
        <is>
          <t>entrackr</t>
        </is>
      </c>
      <c r="O2106" s="20" t="n">
        <v>1</v>
      </c>
      <c r="P2106" s="21" t="n">
        <v>0</v>
      </c>
      <c r="Q2106" t="inlineStr">
        <is>
          <t>C07</t>
        </is>
      </c>
      <c r="R2106" s="22" t="inlineStr">
        <is>
          <t>https://entrackr.com/exclusive/exclusive-disha-formerly-curelink-raises-series-a-led-by-general-catalyst-12551971</t>
        </is>
      </c>
    </row>
    <row r="2107">
      <c r="A2107" t="inlineStr">
        <is>
          <t>R260921-drivnindianent</t>
        </is>
      </c>
      <c r="B2107" t="inlineStr">
        <is>
          <t>Drivn’s Indian entity</t>
        </is>
      </c>
      <c r="C2107" s="17" t="n">
        <v>46286</v>
      </c>
      <c r="D2107" s="18" t="n">
        <v>46266</v>
      </c>
      <c r="E2107" s="19" t="n">
        <v>4.696</v>
      </c>
      <c r="F2107" s="19" t="n">
        <v>45</v>
      </c>
      <c r="G2107" t="inlineStr">
        <is>
          <t>Rs 45 crore</t>
        </is>
      </c>
      <c r="H2107" t="inlineStr">
        <is>
          <t>Seed</t>
        </is>
      </c>
      <c r="I2107" t="inlineStr">
        <is>
          <t>Early</t>
        </is>
      </c>
      <c r="J2107" t="inlineStr">
        <is>
          <t>Consumer Services</t>
        </is>
      </c>
      <c r="K2107" t="inlineStr">
        <is>
          <t>Unknown</t>
        </is>
      </c>
      <c r="L2107" t="inlineStr">
        <is>
          <t>Avaana Capital</t>
        </is>
      </c>
      <c r="M2107" t="inlineStr">
        <is>
          <t>Avaana Capital</t>
        </is>
      </c>
      <c r="N2107" t="inlineStr">
        <is>
          <t>entrackr</t>
        </is>
      </c>
      <c r="O2107" s="20" t="n">
        <v>1</v>
      </c>
      <c r="P2107" s="21" t="n">
        <v>0</v>
      </c>
      <c r="Q2107" t="inlineStr">
        <is>
          <t>C07</t>
        </is>
      </c>
      <c r="R2107" s="22" t="inlineStr">
        <is>
          <t>https://entrackr.com/exclusive/exclusive-drivns-indian-entity-raises-rs-45-cr-from-avaana-capital-12559250</t>
        </is>
      </c>
    </row>
    <row r="2108">
      <c r="A2108" t="inlineStr">
        <is>
          <t>R260922-definedge</t>
        </is>
      </c>
      <c r="B2108" t="inlineStr">
        <is>
          <t>Definedge</t>
        </is>
      </c>
      <c r="C2108" s="17" t="n">
        <v>46287</v>
      </c>
      <c r="D2108" s="18" t="n">
        <v>46266</v>
      </c>
      <c r="E2108" s="19" t="n">
        <v>2.301</v>
      </c>
      <c r="F2108" s="19" t="n">
        <v>22</v>
      </c>
      <c r="G2108" t="inlineStr">
        <is>
          <t>Rs 22 crore</t>
        </is>
      </c>
      <c r="H2108" t="inlineStr">
        <is>
          <t>Pre-Series A</t>
        </is>
      </c>
      <c r="I2108" t="inlineStr">
        <is>
          <t>Early</t>
        </is>
      </c>
      <c r="J2108" t="inlineStr">
        <is>
          <t>Fintech</t>
        </is>
      </c>
      <c r="K2108" t="inlineStr">
        <is>
          <t>Pune</t>
        </is>
      </c>
      <c r="L2108" t="inlineStr"/>
      <c r="M2108" t="inlineStr">
        <is>
          <t>Nitin Agarwal; D. Prasad; Anant Jain; Sachin Kasera</t>
        </is>
      </c>
      <c r="N2108" t="inlineStr">
        <is>
          <t>entrackr | inc42</t>
        </is>
      </c>
      <c r="O2108" s="20" t="n">
        <v>2</v>
      </c>
      <c r="P2108" s="21" t="n">
        <v>0.1</v>
      </c>
      <c r="Q2108" t="inlineStr"/>
      <c r="R2108" s="22" t="inlineStr">
        <is>
          <t>https://entrackr.com/snippets/fintech-and-brokerage-startup-definedge-raises-rs-22-cr-in-pre-series-a-12562400</t>
        </is>
      </c>
    </row>
    <row r="2109">
      <c r="A2109" t="inlineStr">
        <is>
          <t>R260922-demoverse</t>
        </is>
      </c>
      <c r="B2109" t="inlineStr">
        <is>
          <t>Demoverse</t>
        </is>
      </c>
      <c r="C2109" s="17" t="n">
        <v>46287</v>
      </c>
      <c r="D2109" s="18" t="n">
        <v>46266</v>
      </c>
      <c r="E2109" s="19" t="n">
        <v>0.6</v>
      </c>
      <c r="F2109" s="19" t="n">
        <v>5.74</v>
      </c>
      <c r="G2109" t="inlineStr">
        <is>
          <t>$600K</t>
        </is>
      </c>
      <c r="H2109" t="inlineStr">
        <is>
          <t>Pre-Seed</t>
        </is>
      </c>
      <c r="I2109" t="inlineStr">
        <is>
          <t>Early</t>
        </is>
      </c>
      <c r="J2109" t="inlineStr">
        <is>
          <t>Artificial Intelligence</t>
        </is>
      </c>
      <c r="K2109" t="inlineStr">
        <is>
          <t>Bengaluru</t>
        </is>
      </c>
      <c r="L2109" t="inlineStr">
        <is>
          <t>Lumikai</t>
        </is>
      </c>
      <c r="M2109" t="inlineStr">
        <is>
          <t>Lumikai; Marlan Space</t>
        </is>
      </c>
      <c r="N2109" t="inlineStr">
        <is>
          <t>entrackr | inc42</t>
        </is>
      </c>
      <c r="O2109" s="20" t="n">
        <v>2</v>
      </c>
      <c r="P2109" s="21" t="n">
        <v>0</v>
      </c>
      <c r="Q2109" t="inlineStr"/>
      <c r="R2109" s="22" t="inlineStr">
        <is>
          <t>https://entrackr.com/snippets/lumikai-leads-600k-pre-seed-round-in-demoverse-12562408</t>
        </is>
      </c>
    </row>
    <row r="2110">
      <c r="A2110" t="inlineStr">
        <is>
          <t>R260922-proteinpantry</t>
        </is>
      </c>
      <c r="B2110" t="inlineStr">
        <is>
          <t>Protein Pantry</t>
        </is>
      </c>
      <c r="C2110" s="17" t="n">
        <v>46287</v>
      </c>
      <c r="D2110" s="18" t="n">
        <v>46266</v>
      </c>
      <c r="E2110" s="19" t="n">
        <v>0.9419999999999999</v>
      </c>
      <c r="F2110" s="19" t="n">
        <v>9</v>
      </c>
      <c r="G2110" t="inlineStr">
        <is>
          <t>Rs 9 crore</t>
        </is>
      </c>
      <c r="H2110" t="inlineStr">
        <is>
          <t>Seed</t>
        </is>
      </c>
      <c r="I2110" t="inlineStr">
        <is>
          <t>Early</t>
        </is>
      </c>
      <c r="J2110" t="inlineStr">
        <is>
          <t>Ecommerce</t>
        </is>
      </c>
      <c r="K2110" t="inlineStr">
        <is>
          <t>Delhi NCR</t>
        </is>
      </c>
      <c r="L2110" t="inlineStr">
        <is>
          <t>Sharrp Ventures</t>
        </is>
      </c>
      <c r="M2110" t="inlineStr">
        <is>
          <t>Sharrp Ventures; Peercheque; Indian Silicon Valley Capital; Varun Alagh; Rishubh Satiya; Avnish Anand; Arush Chopra; Saurabh Munjal; Signal Ventures</t>
        </is>
      </c>
      <c r="N2110" t="inlineStr">
        <is>
          <t>entrackr | inc42</t>
        </is>
      </c>
      <c r="O2110" s="20" t="n">
        <v>2</v>
      </c>
      <c r="P2110" s="21" t="n">
        <v>0.3</v>
      </c>
      <c r="Q2110" t="inlineStr"/>
      <c r="R2110" s="22" t="inlineStr">
        <is>
          <t>https://entrackr.com/news/protein-pantry-raises-rs-9-cr-in-seed-round-led-by-sharrp-ventures-12562391</t>
        </is>
      </c>
    </row>
    <row r="2111">
      <c r="A2111" t="inlineStr">
        <is>
          <t>R260922-sol</t>
        </is>
      </c>
      <c r="B2111" t="inlineStr">
        <is>
          <t>Sol</t>
        </is>
      </c>
      <c r="C2111" s="17" t="n">
        <v>46287</v>
      </c>
      <c r="D2111" s="18" t="n">
        <v>46266</v>
      </c>
      <c r="E2111" s="19" t="n">
        <v>4</v>
      </c>
      <c r="F2111" s="19" t="n">
        <v>38.24</v>
      </c>
      <c r="G2111" t="inlineStr">
        <is>
          <t>$4 million</t>
        </is>
      </c>
      <c r="H2111" t="inlineStr">
        <is>
          <t>Undisclosed</t>
        </is>
      </c>
      <c r="I2111" t="inlineStr">
        <is>
          <t>Undisclosed</t>
        </is>
      </c>
      <c r="J2111" t="inlineStr">
        <is>
          <t>Artificial Intelligence</t>
        </is>
      </c>
      <c r="K2111" t="inlineStr">
        <is>
          <t>Unknown</t>
        </is>
      </c>
      <c r="L2111" t="inlineStr">
        <is>
          <t>General Catalyst; Nexus Venture Partners</t>
        </is>
      </c>
      <c r="M2111" t="inlineStr">
        <is>
          <t>General Catalyst; Nexus Venture Partners; DeVC; Peercheque; Kunal Shah</t>
        </is>
      </c>
      <c r="N2111" t="inlineStr">
        <is>
          <t>entrackr | et</t>
        </is>
      </c>
      <c r="O2111" s="20" t="n">
        <v>2</v>
      </c>
      <c r="P2111" s="21" t="n">
        <v>0</v>
      </c>
      <c r="Q2111" t="inlineStr">
        <is>
          <t>C04 C07</t>
        </is>
      </c>
      <c r="R2111" s="22" t="inlineStr">
        <is>
          <t>https://entrackr.com/snippets/proactive-ai-startup-sol-raises-4-mn-from-general-catalyst-nexus-vp-and-others-12565411</t>
        </is>
      </c>
    </row>
    <row r="2112">
      <c r="A2112" t="inlineStr">
        <is>
          <t>R260922-solfoundry</t>
        </is>
      </c>
      <c r="B2112" t="inlineStr">
        <is>
          <t>Sol Foundry</t>
        </is>
      </c>
      <c r="C2112" s="17" t="n">
        <v>46287</v>
      </c>
      <c r="D2112" s="18" t="n">
        <v>46266</v>
      </c>
      <c r="E2112" s="19" t="n">
        <v>4</v>
      </c>
      <c r="F2112" s="19" t="n">
        <v>38.24</v>
      </c>
      <c r="G2112" t="inlineStr">
        <is>
          <t>$4 Mn</t>
        </is>
      </c>
      <c r="H2112" t="inlineStr">
        <is>
          <t>Undisclosed</t>
        </is>
      </c>
      <c r="I2112" t="inlineStr">
        <is>
          <t>Undisclosed</t>
        </is>
      </c>
      <c r="J2112" t="inlineStr">
        <is>
          <t>Artificial Intelligence</t>
        </is>
      </c>
      <c r="K2112" t="inlineStr">
        <is>
          <t>Unknown</t>
        </is>
      </c>
      <c r="L2112" t="inlineStr"/>
      <c r="M2112" t="inlineStr">
        <is>
          <t>General Catalyst; Nexus Venture Partners; DeVC; Peercheque; Kunal Shah</t>
        </is>
      </c>
      <c r="N2112" t="inlineStr">
        <is>
          <t>inc42</t>
        </is>
      </c>
      <c r="O2112" s="20" t="n">
        <v>1</v>
      </c>
      <c r="P2112" s="21" t="n">
        <v>0</v>
      </c>
      <c r="Q2112" t="inlineStr">
        <is>
          <t>C04 C07</t>
        </is>
      </c>
      <c r="R2112" s="22" t="inlineStr">
        <is>
          <t>https://inc42.com/buzz/from-ultraviolette-automotive-to-galaxeye-indian-startups-raised-over-203-mn-this-week/</t>
        </is>
      </c>
    </row>
    <row r="2113">
      <c r="A2113" t="inlineStr">
        <is>
          <t>R260923-betterhood</t>
        </is>
      </c>
      <c r="B2113" t="inlineStr">
        <is>
          <t>betterhood</t>
        </is>
      </c>
      <c r="C2113" s="17" t="n">
        <v>46288</v>
      </c>
      <c r="D2113" s="18" t="n">
        <v>46266</v>
      </c>
      <c r="E2113" s="19" t="n">
        <v>1.201</v>
      </c>
      <c r="F2113" s="19" t="n">
        <v>11.5</v>
      </c>
      <c r="G2113" t="inlineStr">
        <is>
          <t>Rs 11.5 crore</t>
        </is>
      </c>
      <c r="H2113" t="inlineStr">
        <is>
          <t>Seed</t>
        </is>
      </c>
      <c r="I2113" t="inlineStr">
        <is>
          <t>Early</t>
        </is>
      </c>
      <c r="J2113" t="inlineStr">
        <is>
          <t>Ecommerce</t>
        </is>
      </c>
      <c r="K2113" t="inlineStr">
        <is>
          <t>Bengaluru</t>
        </is>
      </c>
      <c r="L2113" t="inlineStr">
        <is>
          <t>Sauce.VC</t>
        </is>
      </c>
      <c r="M2113" t="inlineStr">
        <is>
          <t>Sauce.VC; Kairon Capital; Yogesh Kabra; Rishubh Satiya; Rohit Chawla; Sifat Khurana</t>
        </is>
      </c>
      <c r="N2113" t="inlineStr">
        <is>
          <t>entrackr | inc42 | et</t>
        </is>
      </c>
      <c r="O2113" s="20" t="n">
        <v>3</v>
      </c>
      <c r="P2113" s="21" t="n">
        <v>0.1</v>
      </c>
      <c r="Q2113" t="inlineStr"/>
      <c r="R2113" s="22" t="inlineStr">
        <is>
          <t>https://entrackr.com/snippets/sauce-leads-seed-round-in-preventive-pain-care-brand-betterhood-12567909</t>
        </is>
      </c>
    </row>
    <row r="2114">
      <c r="A2114" t="inlineStr">
        <is>
          <t>R260923-indianwalker</t>
        </is>
      </c>
      <c r="B2114" t="inlineStr">
        <is>
          <t>Indian Walker</t>
        </is>
      </c>
      <c r="C2114" s="17" t="n">
        <v>46288</v>
      </c>
      <c r="D2114" s="18" t="n">
        <v>46266</v>
      </c>
      <c r="E2114" s="19" t="n"/>
      <c r="F2114" s="19" t="n"/>
      <c r="G2114" t="inlineStr"/>
      <c r="H2114" t="inlineStr">
        <is>
          <t>Pre-Seed</t>
        </is>
      </c>
      <c r="I2114" t="inlineStr">
        <is>
          <t>Early</t>
        </is>
      </c>
      <c r="J2114" t="inlineStr">
        <is>
          <t>Ecommerce</t>
        </is>
      </c>
      <c r="K2114" t="inlineStr">
        <is>
          <t>Delhi NCR</t>
        </is>
      </c>
      <c r="L2114" t="inlineStr">
        <is>
          <t>Palette Wealth Management</t>
        </is>
      </c>
      <c r="M2114" t="inlineStr">
        <is>
          <t>Palette Wealth Management</t>
        </is>
      </c>
      <c r="N2114" t="inlineStr">
        <is>
          <t>entrackr | inc42</t>
        </is>
      </c>
      <c r="O2114" s="20" t="n">
        <v>2</v>
      </c>
      <c r="P2114" s="21" t="n"/>
      <c r="Q2114" t="inlineStr">
        <is>
          <t>C03</t>
        </is>
      </c>
      <c r="R2114" s="22" t="inlineStr">
        <is>
          <t>https://entrackr.com/snippets/d2c-streetwear-brand-indian-walker-raises-pre-seed-round-at-rs-20-cr-post-money-valuation-12565349</t>
        </is>
      </c>
    </row>
    <row r="2115">
      <c r="A2115" t="inlineStr">
        <is>
          <t>R260923-riohealth</t>
        </is>
      </c>
      <c r="B2115" t="inlineStr">
        <is>
          <t>Rio Health</t>
        </is>
      </c>
      <c r="C2115" s="17" t="n">
        <v>46288</v>
      </c>
      <c r="D2115" s="18" t="n">
        <v>46266</v>
      </c>
      <c r="E2115" s="19" t="n">
        <v>4.5</v>
      </c>
      <c r="F2115" s="19" t="n">
        <v>43.08</v>
      </c>
      <c r="G2115" t="inlineStr">
        <is>
          <t>Rs 43.08 crore</t>
        </is>
      </c>
      <c r="H2115" t="inlineStr">
        <is>
          <t>Pre-Series A</t>
        </is>
      </c>
      <c r="I2115" t="inlineStr">
        <is>
          <t>Early</t>
        </is>
      </c>
      <c r="J2115" t="inlineStr">
        <is>
          <t>Consumer Services</t>
        </is>
      </c>
      <c r="K2115" t="inlineStr">
        <is>
          <t>Unknown</t>
        </is>
      </c>
      <c r="L2115" t="inlineStr">
        <is>
          <t>Version One Ventures</t>
        </is>
      </c>
      <c r="M2115" t="inlineStr">
        <is>
          <t>Version One Ventures; Xeed Ventures; Good Capital; Amplify</t>
        </is>
      </c>
      <c r="N2115" t="inlineStr">
        <is>
          <t>entrackr | inc42</t>
        </is>
      </c>
      <c r="O2115" s="20" t="n">
        <v>2</v>
      </c>
      <c r="P2115" s="21" t="n">
        <v>0</v>
      </c>
      <c r="Q2115" t="inlineStr">
        <is>
          <t>C07</t>
        </is>
      </c>
      <c r="R2115" s="22" t="inlineStr">
        <is>
          <t>https://entrackr.com/exclusive/exclusive-rioai-raises-rs-43-cr-in-pre-series-a-led-by-version-one-ventures-12566460</t>
        </is>
      </c>
    </row>
    <row r="2116">
      <c r="A2116" t="inlineStr">
        <is>
          <t>R260923-spacephilic</t>
        </is>
      </c>
      <c r="B2116" t="inlineStr">
        <is>
          <t>Space Philic</t>
        </is>
      </c>
      <c r="C2116" s="17" t="n">
        <v>46288</v>
      </c>
      <c r="D2116" s="18" t="n">
        <v>46266</v>
      </c>
      <c r="E2116" s="19" t="n"/>
      <c r="F2116" s="19" t="n"/>
      <c r="G2116" t="inlineStr"/>
      <c r="H2116" t="inlineStr">
        <is>
          <t>Undisclosed</t>
        </is>
      </c>
      <c r="I2116" t="inlineStr">
        <is>
          <t>Undisclosed</t>
        </is>
      </c>
      <c r="J2116" t="inlineStr">
        <is>
          <t>Advanced Hardware &amp; Technology</t>
        </is>
      </c>
      <c r="K2116" t="inlineStr">
        <is>
          <t>Unknown</t>
        </is>
      </c>
      <c r="L2116" t="inlineStr"/>
      <c r="M2116" t="inlineStr"/>
      <c r="N2116" t="inlineStr">
        <is>
          <t>inc42</t>
        </is>
      </c>
      <c r="O2116" s="20" t="n">
        <v>1</v>
      </c>
      <c r="P2116" s="21" t="n"/>
      <c r="Q2116" t="inlineStr">
        <is>
          <t>C03 C04 C05 C07</t>
        </is>
      </c>
      <c r="R2116" s="22" t="inlineStr">
        <is>
          <t>https://inc42.com/buzz/from-ultraviolette-automotive-to-galaxeye-indian-startups-raised-over-203-mn-this-week/</t>
        </is>
      </c>
    </row>
    <row r="2117">
      <c r="A2117" t="inlineStr">
        <is>
          <t>R260923-timbuckdo</t>
        </is>
      </c>
      <c r="B2117" t="inlineStr">
        <is>
          <t>TimBuckDo</t>
        </is>
      </c>
      <c r="C2117" s="17" t="n">
        <v>46288</v>
      </c>
      <c r="D2117" s="18" t="n">
        <v>46266</v>
      </c>
      <c r="E2117" s="19" t="n"/>
      <c r="F2117" s="19" t="n"/>
      <c r="G2117" t="inlineStr"/>
      <c r="H2117" t="inlineStr">
        <is>
          <t>Bridge</t>
        </is>
      </c>
      <c r="I2117" t="inlineStr">
        <is>
          <t>Other</t>
        </is>
      </c>
      <c r="J2117" t="inlineStr">
        <is>
          <t>Consumer Services</t>
        </is>
      </c>
      <c r="K2117" t="inlineStr">
        <is>
          <t>Bengaluru</t>
        </is>
      </c>
      <c r="L2117" t="inlineStr">
        <is>
          <t>Srinath Setty Adarsh Narahari</t>
        </is>
      </c>
      <c r="M2117" t="inlineStr">
        <is>
          <t>Srinath Setty; Adarsh Narahari; Trasa Ventures</t>
        </is>
      </c>
      <c r="N2117" t="inlineStr">
        <is>
          <t>entrackr | inc42</t>
        </is>
      </c>
      <c r="O2117" s="20" t="n">
        <v>2</v>
      </c>
      <c r="P2117" s="21" t="n"/>
      <c r="Q2117" t="inlineStr">
        <is>
          <t>C03</t>
        </is>
      </c>
      <c r="R2117" s="22" t="inlineStr">
        <is>
          <t>https://entrackr.com/snippets/on-demand-convenience-platform-timbuckdo-raises-bridge-round-at-rs-150-cr-valuation-12568862</t>
        </is>
      </c>
    </row>
    <row r="2118">
      <c r="A2118" t="inlineStr">
        <is>
          <t>R260923-unniyarcha</t>
        </is>
      </c>
      <c r="B2118" t="inlineStr">
        <is>
          <t>Unniyarcha</t>
        </is>
      </c>
      <c r="C2118" s="17" t="n">
        <v>46288</v>
      </c>
      <c r="D2118" s="18" t="n">
        <v>46266</v>
      </c>
      <c r="E2118" s="19" t="n">
        <v>1.044</v>
      </c>
      <c r="F2118" s="19" t="n">
        <v>10</v>
      </c>
      <c r="G2118" t="inlineStr">
        <is>
          <t>Rs 10 crore</t>
        </is>
      </c>
      <c r="H2118" t="inlineStr">
        <is>
          <t>Undisclosed</t>
        </is>
      </c>
      <c r="I2118" t="inlineStr">
        <is>
          <t>Undisclosed</t>
        </is>
      </c>
      <c r="J2118" t="inlineStr">
        <is>
          <t>Ecommerce</t>
        </is>
      </c>
      <c r="K2118" t="inlineStr">
        <is>
          <t>Delhi NCR</t>
        </is>
      </c>
      <c r="L2118" t="inlineStr">
        <is>
          <t>Sauce VC</t>
        </is>
      </c>
      <c r="M2118" t="inlineStr">
        <is>
          <t>Sauce.VC; Atrium.VC</t>
        </is>
      </c>
      <c r="N2118" t="inlineStr">
        <is>
          <t>inc42 | et</t>
        </is>
      </c>
      <c r="O2118" s="20" t="n">
        <v>2</v>
      </c>
      <c r="P2118" s="21" t="n">
        <v>0</v>
      </c>
      <c r="Q2118" t="inlineStr">
        <is>
          <t>C04</t>
        </is>
      </c>
      <c r="R2118" s="22" t="inlineStr">
        <is>
          <t>https://economictimes.indiatimes.com/tech/funding/d2c-silver-jewellery-brand-unniyarcha-raises-rs-10-crore-led-by-sauce-vc/articleshow/134441029.cms</t>
        </is>
      </c>
    </row>
    <row r="2119">
      <c r="A2119" t="inlineStr">
        <is>
          <t>R260924-ema</t>
        </is>
      </c>
      <c r="B2119" t="inlineStr">
        <is>
          <t>Ema</t>
        </is>
      </c>
      <c r="C2119" s="17" t="n">
        <v>46288</v>
      </c>
      <c r="D2119" s="18" t="n">
        <v>46266</v>
      </c>
      <c r="E2119" s="19" t="n">
        <v>77</v>
      </c>
      <c r="F2119" s="19" t="n">
        <v>737.2</v>
      </c>
      <c r="G2119" t="inlineStr">
        <is>
          <t>$77 million</t>
        </is>
      </c>
      <c r="H2119" t="inlineStr">
        <is>
          <t>Series B</t>
        </is>
      </c>
      <c r="I2119" t="inlineStr">
        <is>
          <t>Growth</t>
        </is>
      </c>
      <c r="J2119" t="inlineStr">
        <is>
          <t>Artificial Intelligence</t>
        </is>
      </c>
      <c r="K2119" t="inlineStr">
        <is>
          <t>Unknown</t>
        </is>
      </c>
      <c r="L2119" t="inlineStr">
        <is>
          <t>Creaegis</t>
        </is>
      </c>
      <c r="M2119" t="inlineStr">
        <is>
          <t>Creaegis; Accel; S32; Prosus; Hitachi Ventures; Wipro Ventures</t>
        </is>
      </c>
      <c r="N2119" t="inlineStr">
        <is>
          <t>entrackr | inc42 | et</t>
        </is>
      </c>
      <c r="O2119" s="20" t="n">
        <v>3</v>
      </c>
      <c r="P2119" s="21" t="n">
        <v>0</v>
      </c>
      <c r="Q2119" t="inlineStr">
        <is>
          <t>C07</t>
        </is>
      </c>
      <c r="R2119" s="22" t="inlineStr">
        <is>
          <t>https://economictimes.indiatimes.com/tech/funding/enterprise-ai-startup-ema-raises-77-million-led-by-creaegis/articleshow/134441820.cms</t>
        </is>
      </c>
    </row>
    <row r="2120">
      <c r="A2120" t="inlineStr">
        <is>
          <t>R260924-byteask</t>
        </is>
      </c>
      <c r="B2120" t="inlineStr">
        <is>
          <t>ByteAsk</t>
        </is>
      </c>
      <c r="C2120" s="17" t="n">
        <v>46289</v>
      </c>
      <c r="D2120" s="18" t="n">
        <v>46266</v>
      </c>
      <c r="E2120" s="19" t="n">
        <v>1</v>
      </c>
      <c r="F2120" s="19" t="n">
        <v>9.6</v>
      </c>
      <c r="G2120" t="inlineStr">
        <is>
          <t>$1 million</t>
        </is>
      </c>
      <c r="H2120" t="inlineStr">
        <is>
          <t>Pre-Seed</t>
        </is>
      </c>
      <c r="I2120" t="inlineStr">
        <is>
          <t>Early</t>
        </is>
      </c>
      <c r="J2120" t="inlineStr">
        <is>
          <t>Artificial Intelligence</t>
        </is>
      </c>
      <c r="K2120" t="inlineStr">
        <is>
          <t>Outside India</t>
        </is>
      </c>
      <c r="L2120" t="inlineStr">
        <is>
          <t>Y Combinator; Entrepreneur First</t>
        </is>
      </c>
      <c r="M2120" t="inlineStr">
        <is>
          <t>Y Combinator; Entrepreneur First</t>
        </is>
      </c>
      <c r="N2120" t="inlineStr">
        <is>
          <t>entrackr | inc42 | et</t>
        </is>
      </c>
      <c r="O2120" s="20" t="n">
        <v>3</v>
      </c>
      <c r="P2120" s="21" t="n">
        <v>0</v>
      </c>
      <c r="Q2120" t="inlineStr"/>
      <c r="R2120" s="22" t="inlineStr">
        <is>
          <t>https://entrackr.com/snippets/y-combinator-leads-1-mn-pre-seed-round-in-byteask-12568747</t>
        </is>
      </c>
    </row>
    <row r="2121">
      <c r="A2121" t="inlineStr">
        <is>
          <t>R260924-dextrai</t>
        </is>
      </c>
      <c r="B2121" t="inlineStr">
        <is>
          <t>Dextr AI</t>
        </is>
      </c>
      <c r="C2121" s="17" t="n">
        <v>46289</v>
      </c>
      <c r="D2121" s="18" t="n">
        <v>46266</v>
      </c>
      <c r="E2121" s="19" t="n">
        <v>6.7</v>
      </c>
      <c r="F2121" s="19" t="n">
        <v>64.29000000000001</v>
      </c>
      <c r="G2121" t="inlineStr">
        <is>
          <t>$6.7 million</t>
        </is>
      </c>
      <c r="H2121" t="inlineStr">
        <is>
          <t>Seed</t>
        </is>
      </c>
      <c r="I2121" t="inlineStr">
        <is>
          <t>Early</t>
        </is>
      </c>
      <c r="J2121" t="inlineStr">
        <is>
          <t>Artificial Intelligence</t>
        </is>
      </c>
      <c r="K2121" t="inlineStr">
        <is>
          <t>Unknown</t>
        </is>
      </c>
      <c r="L2121" t="inlineStr">
        <is>
          <t>Elevation Capital</t>
        </is>
      </c>
      <c r="M2121" t="inlineStr">
        <is>
          <t>Elevation Capital; Foundation Capital</t>
        </is>
      </c>
      <c r="N2121" t="inlineStr">
        <is>
          <t>entrackr | inc42 | et</t>
        </is>
      </c>
      <c r="O2121" s="20" t="n">
        <v>3</v>
      </c>
      <c r="P2121" s="21" t="n">
        <v>0</v>
      </c>
      <c r="Q2121" t="inlineStr">
        <is>
          <t>C07</t>
        </is>
      </c>
      <c r="R2121" s="22" t="inlineStr">
        <is>
          <t>https://economictimes.indiatimes.com/tech/funding/dextr-ai-raises-6-7-million-led-by-elevation-capital-to-build-ai-workforce-for-hospitality/articleshow/134466274.cms</t>
        </is>
      </c>
    </row>
    <row r="2122">
      <c r="A2122" t="inlineStr">
        <is>
          <t>R260924-myrx</t>
        </is>
      </c>
      <c r="B2122" t="inlineStr">
        <is>
          <t>MyRx</t>
        </is>
      </c>
      <c r="C2122" s="17" t="n">
        <v>46289</v>
      </c>
      <c r="D2122" s="18" t="n">
        <v>46266</v>
      </c>
      <c r="E2122" s="19" t="n"/>
      <c r="F2122" s="19" t="n"/>
      <c r="G2122" t="inlineStr"/>
      <c r="H2122" t="inlineStr">
        <is>
          <t>Seed</t>
        </is>
      </c>
      <c r="I2122" t="inlineStr">
        <is>
          <t>Early</t>
        </is>
      </c>
      <c r="J2122" t="inlineStr">
        <is>
          <t>Healthtech</t>
        </is>
      </c>
      <c r="K2122" t="inlineStr">
        <is>
          <t>Unknown</t>
        </is>
      </c>
      <c r="L2122" t="inlineStr">
        <is>
          <t>SteerX VC</t>
        </is>
      </c>
      <c r="M2122" t="inlineStr">
        <is>
          <t>SteerX VC</t>
        </is>
      </c>
      <c r="N2122" t="inlineStr">
        <is>
          <t>entrackr | inc42</t>
        </is>
      </c>
      <c r="O2122" s="20" t="n">
        <v>2</v>
      </c>
      <c r="P2122" s="21" t="n"/>
      <c r="Q2122" t="inlineStr">
        <is>
          <t>C03 C07</t>
        </is>
      </c>
      <c r="R2122" s="22" t="inlineStr">
        <is>
          <t>https://entrackr.com/snippets/myrx-raises-seed-round-led-by-steerx-vc-to-expand-primary-healthcare-infrastructure-12571606</t>
        </is>
      </c>
    </row>
    <row r="2123">
      <c r="A2123" t="inlineStr">
        <is>
          <t>R260924-nuvah</t>
        </is>
      </c>
      <c r="B2123" t="inlineStr">
        <is>
          <t>Nuvah</t>
        </is>
      </c>
      <c r="C2123" s="17" t="n">
        <v>46289</v>
      </c>
      <c r="D2123" s="18" t="n">
        <v>46266</v>
      </c>
      <c r="E2123" s="19" t="n">
        <v>0.417</v>
      </c>
      <c r="F2123" s="19" t="n">
        <v>4</v>
      </c>
      <c r="G2123" t="inlineStr">
        <is>
          <t>$417K</t>
        </is>
      </c>
      <c r="H2123" t="inlineStr">
        <is>
          <t>Pre-Seed</t>
        </is>
      </c>
      <c r="I2123" t="inlineStr">
        <is>
          <t>Early</t>
        </is>
      </c>
      <c r="J2123" t="inlineStr">
        <is>
          <t>Ecommerce</t>
        </is>
      </c>
      <c r="K2123" t="inlineStr">
        <is>
          <t>Unknown</t>
        </is>
      </c>
      <c r="L2123" t="inlineStr"/>
      <c r="M2123" t="inlineStr">
        <is>
          <t>Amit Jain; Shantanu Deshpande; Ishendra Agarwal</t>
        </is>
      </c>
      <c r="N2123" t="inlineStr">
        <is>
          <t>inc42</t>
        </is>
      </c>
      <c r="O2123" s="20" t="n">
        <v>1</v>
      </c>
      <c r="P2123" s="21" t="n">
        <v>0</v>
      </c>
      <c r="Q2123" t="inlineStr">
        <is>
          <t>C07</t>
        </is>
      </c>
      <c r="R2123" s="22" t="inlineStr">
        <is>
          <t>https://inc42.com/buzz/from-ultraviolette-automotive-to-galaxeye-indian-startups-raised-over-203-mn-this-week/</t>
        </is>
      </c>
    </row>
    <row r="2124">
      <c r="A2124" t="inlineStr">
        <is>
          <t>R260924-onya</t>
        </is>
      </c>
      <c r="B2124" t="inlineStr">
        <is>
          <t>ONYA</t>
        </is>
      </c>
      <c r="C2124" s="17" t="n">
        <v>46289</v>
      </c>
      <c r="D2124" s="18" t="n">
        <v>46266</v>
      </c>
      <c r="E2124" s="19" t="n">
        <v>1.303</v>
      </c>
      <c r="F2124" s="19" t="n">
        <v>12.5</v>
      </c>
      <c r="G2124" t="inlineStr">
        <is>
          <t>Rs 12.5 crore</t>
        </is>
      </c>
      <c r="H2124" t="inlineStr">
        <is>
          <t>Pre-Series A</t>
        </is>
      </c>
      <c r="I2124" t="inlineStr">
        <is>
          <t>Early</t>
        </is>
      </c>
      <c r="J2124" t="inlineStr">
        <is>
          <t>Ecommerce</t>
        </is>
      </c>
      <c r="K2124" t="inlineStr">
        <is>
          <t>Bengaluru</t>
        </is>
      </c>
      <c r="L2124" t="inlineStr">
        <is>
          <t>Divisa Family Office</t>
        </is>
      </c>
      <c r="M2124" t="inlineStr">
        <is>
          <t>Divisa Family Office; Zeropearl VC</t>
        </is>
      </c>
      <c r="N2124" t="inlineStr">
        <is>
          <t>entrackr | inc42</t>
        </is>
      </c>
      <c r="O2124" s="20" t="n">
        <v>2</v>
      </c>
      <c r="P2124" s="21" t="n">
        <v>0.2</v>
      </c>
      <c r="Q2124" t="inlineStr"/>
      <c r="R2124" s="22" t="inlineStr">
        <is>
          <t>https://entrackr.com/snippets/lab-grown-diamond-jewellery-brand-onya-raises-rs-125-crore-in-pre-series-a-round-12571229</t>
        </is>
      </c>
    </row>
    <row r="2125">
      <c r="A2125" t="inlineStr">
        <is>
          <t>R260924-ynos</t>
        </is>
      </c>
      <c r="B2125" t="inlineStr">
        <is>
          <t>YNOS</t>
        </is>
      </c>
      <c r="C2125" s="17" t="n">
        <v>46289</v>
      </c>
      <c r="D2125" s="18" t="n">
        <v>46266</v>
      </c>
      <c r="E2125" s="19" t="n">
        <v>0.221</v>
      </c>
      <c r="F2125" s="19" t="n">
        <v>2.12</v>
      </c>
      <c r="G2125" t="inlineStr">
        <is>
          <t>$221K</t>
        </is>
      </c>
      <c r="H2125" t="inlineStr">
        <is>
          <t>Undisclosed</t>
        </is>
      </c>
      <c r="I2125" t="inlineStr">
        <is>
          <t>Undisclosed</t>
        </is>
      </c>
      <c r="J2125" t="inlineStr">
        <is>
          <t>Enterprise Tech</t>
        </is>
      </c>
      <c r="K2125" t="inlineStr">
        <is>
          <t>Unknown</t>
        </is>
      </c>
      <c r="L2125" t="inlineStr">
        <is>
          <t>Gyan Circle Ventures</t>
        </is>
      </c>
      <c r="M2125" t="inlineStr">
        <is>
          <t>Gyan Circle Ventures</t>
        </is>
      </c>
      <c r="N2125" t="inlineStr">
        <is>
          <t>inc42</t>
        </is>
      </c>
      <c r="O2125" s="20" t="n">
        <v>1</v>
      </c>
      <c r="P2125" s="21" t="n">
        <v>0</v>
      </c>
      <c r="Q2125" t="inlineStr">
        <is>
          <t>C04 C07</t>
        </is>
      </c>
      <c r="R2125" s="22" t="inlineStr">
        <is>
          <t>https://inc42.com/buzz/from-ultraviolette-automotive-to-galaxeye-indian-startups-raised-over-203-mn-this-week/</t>
        </is>
      </c>
    </row>
    <row r="2126">
      <c r="A2126" t="inlineStr">
        <is>
          <t>R260925-1312interactiv</t>
        </is>
      </c>
      <c r="B2126" t="inlineStr">
        <is>
          <t>1312 Interactive</t>
        </is>
      </c>
      <c r="C2126" s="17" t="n">
        <v>46290</v>
      </c>
      <c r="D2126" s="18" t="n">
        <v>46266</v>
      </c>
      <c r="E2126" s="19" t="n">
        <v>1</v>
      </c>
      <c r="F2126" s="19" t="n">
        <v>9.58</v>
      </c>
      <c r="G2126" t="inlineStr">
        <is>
          <t>$1 Mn</t>
        </is>
      </c>
      <c r="H2126" t="inlineStr">
        <is>
          <t>Seed</t>
        </is>
      </c>
      <c r="I2126" t="inlineStr">
        <is>
          <t>Early</t>
        </is>
      </c>
      <c r="J2126" t="inlineStr">
        <is>
          <t>Media &amp; Entertainment</t>
        </is>
      </c>
      <c r="K2126" t="inlineStr">
        <is>
          <t>Unknown</t>
        </is>
      </c>
      <c r="L2126" t="inlineStr">
        <is>
          <t>Chimera VC; T-Accelerate Capital</t>
        </is>
      </c>
      <c r="M2126" t="inlineStr">
        <is>
          <t>Chimera VC; T-Accelerate Capital; Ventana Ventures; Rahul Reddy; Rohan Murukutla; Dasari Srinivas</t>
        </is>
      </c>
      <c r="N2126" t="inlineStr">
        <is>
          <t>inc42</t>
        </is>
      </c>
      <c r="O2126" s="20" t="n">
        <v>1</v>
      </c>
      <c r="P2126" s="21" t="n">
        <v>0</v>
      </c>
      <c r="Q2126" t="inlineStr">
        <is>
          <t>C07</t>
        </is>
      </c>
      <c r="R2126" s="22" t="inlineStr">
        <is>
          <t>https://inc42.com/buzz/from-ultraviolette-automotive-to-galaxeye-indian-startups-raised-over-203-mn-this-week/</t>
        </is>
      </c>
    </row>
    <row r="2127">
      <c r="A2127" t="inlineStr">
        <is>
          <t>R260925-galaxeye</t>
        </is>
      </c>
      <c r="B2127" t="inlineStr">
        <is>
          <t>GalaxEye</t>
        </is>
      </c>
      <c r="C2127" s="17" t="n">
        <v>46290</v>
      </c>
      <c r="D2127" s="18" t="n">
        <v>46266</v>
      </c>
      <c r="E2127" s="19" t="n">
        <v>6.7</v>
      </c>
      <c r="F2127" s="19" t="n">
        <v>64.2</v>
      </c>
      <c r="G2127" t="inlineStr">
        <is>
          <t>$6.7 Mn</t>
        </is>
      </c>
      <c r="H2127" t="inlineStr">
        <is>
          <t>Undisclosed</t>
        </is>
      </c>
      <c r="I2127" t="inlineStr">
        <is>
          <t>Undisclosed</t>
        </is>
      </c>
      <c r="J2127" t="inlineStr">
        <is>
          <t>Advanced Hardware &amp; Technology</t>
        </is>
      </c>
      <c r="K2127" t="inlineStr">
        <is>
          <t>Unknown</t>
        </is>
      </c>
      <c r="L2127" t="inlineStr">
        <is>
          <t>RDI Fund</t>
        </is>
      </c>
      <c r="M2127" t="inlineStr">
        <is>
          <t>RDI Fund</t>
        </is>
      </c>
      <c r="N2127" t="inlineStr">
        <is>
          <t>inc42</t>
        </is>
      </c>
      <c r="O2127" s="20" t="n">
        <v>1</v>
      </c>
      <c r="P2127" s="21" t="n">
        <v>0</v>
      </c>
      <c r="Q2127" t="inlineStr">
        <is>
          <t>C04 C07</t>
        </is>
      </c>
      <c r="R2127" s="22" t="inlineStr">
        <is>
          <t>https://inc42.com/buzz/from-ultraviolette-automotive-to-galaxeye-indian-startups-raised-over-203-mn-this-week/</t>
        </is>
      </c>
    </row>
    <row r="2128">
      <c r="A2128" t="inlineStr">
        <is>
          <t>R260925-rivet</t>
        </is>
      </c>
      <c r="B2128" t="inlineStr">
        <is>
          <t>Rivet</t>
        </is>
      </c>
      <c r="C2128" s="17" t="n">
        <v>46290</v>
      </c>
      <c r="D2128" s="18" t="n">
        <v>46266</v>
      </c>
      <c r="E2128" s="19" t="n">
        <v>10.5</v>
      </c>
      <c r="F2128" s="19" t="n">
        <v>100.61</v>
      </c>
      <c r="G2128" t="inlineStr">
        <is>
          <t>$10.5 Mn</t>
        </is>
      </c>
      <c r="H2128" t="inlineStr">
        <is>
          <t>Seed</t>
        </is>
      </c>
      <c r="I2128" t="inlineStr">
        <is>
          <t>Early</t>
        </is>
      </c>
      <c r="J2128" t="inlineStr">
        <is>
          <t>Media &amp; Entertainment</t>
        </is>
      </c>
      <c r="K2128" t="inlineStr">
        <is>
          <t>Unknown</t>
        </is>
      </c>
      <c r="L2128" t="inlineStr">
        <is>
          <t>PeakXV Partners</t>
        </is>
      </c>
      <c r="M2128" t="inlineStr">
        <is>
          <t>Peak XV Partners; Shine Capital; Blume Ventures</t>
        </is>
      </c>
      <c r="N2128" t="inlineStr">
        <is>
          <t>inc42</t>
        </is>
      </c>
      <c r="O2128" s="20" t="n">
        <v>1</v>
      </c>
      <c r="P2128" s="21" t="n">
        <v>0</v>
      </c>
      <c r="Q2128" t="inlineStr">
        <is>
          <t>C07</t>
        </is>
      </c>
      <c r="R2128" s="22" t="inlineStr">
        <is>
          <t>https://inc42.com/buzz/from-ultraviolette-automotive-to-galaxeye-indian-startups-raised-over-203-mn-this-week/</t>
        </is>
      </c>
    </row>
    <row r="2129">
      <c r="A2129" t="inlineStr">
        <is>
          <t>R260928-aliveapp</t>
        </is>
      </c>
      <c r="B2129" t="inlineStr">
        <is>
          <t>Alive App</t>
        </is>
      </c>
      <c r="C2129" s="17" t="n">
        <v>46293</v>
      </c>
      <c r="D2129" s="18" t="n">
        <v>46266</v>
      </c>
      <c r="E2129" s="19" t="n">
        <v>1</v>
      </c>
      <c r="F2129" s="19" t="n">
        <v>9.6</v>
      </c>
      <c r="G2129" t="inlineStr">
        <is>
          <t>$1 million</t>
        </is>
      </c>
      <c r="H2129" t="inlineStr">
        <is>
          <t>Seed</t>
        </is>
      </c>
      <c r="I2129" t="inlineStr">
        <is>
          <t>Early</t>
        </is>
      </c>
      <c r="J2129" t="inlineStr">
        <is>
          <t>Consumer Services</t>
        </is>
      </c>
      <c r="K2129" t="inlineStr">
        <is>
          <t>Bengaluru</t>
        </is>
      </c>
      <c r="L2129" t="inlineStr">
        <is>
          <t>Powerhouse Ventures; Flipkart Ventures</t>
        </is>
      </c>
      <c r="M2129" t="inlineStr">
        <is>
          <t>Powerhouse Ventures; Flipkart Ventures</t>
        </is>
      </c>
      <c r="N2129" t="inlineStr">
        <is>
          <t>entrackr | inc42</t>
        </is>
      </c>
      <c r="O2129" s="20" t="n">
        <v>2</v>
      </c>
      <c r="P2129" s="21" t="n">
        <v>0</v>
      </c>
      <c r="Q2129" t="inlineStr"/>
      <c r="R2129" s="22" t="inlineStr">
        <is>
          <t>https://entrackr.com/snippets/alive-app-raises-1-mn-from-powerhouse-flipkart-ventures-12583861</t>
        </is>
      </c>
    </row>
    <row r="2130">
      <c r="A2130" t="inlineStr">
        <is>
          <t>R260928-amaani</t>
        </is>
      </c>
      <c r="B2130" t="inlineStr">
        <is>
          <t>Amaani</t>
        </is>
      </c>
      <c r="C2130" s="17" t="n">
        <v>46293</v>
      </c>
      <c r="D2130" s="18" t="n">
        <v>46266</v>
      </c>
      <c r="E2130" s="19" t="n">
        <v>5</v>
      </c>
      <c r="F2130" s="19" t="n">
        <v>47.99</v>
      </c>
      <c r="G2130" t="inlineStr">
        <is>
          <t>$5 million</t>
        </is>
      </c>
      <c r="H2130" t="inlineStr">
        <is>
          <t>Series A</t>
        </is>
      </c>
      <c r="I2130" t="inlineStr">
        <is>
          <t>Early</t>
        </is>
      </c>
      <c r="J2130" t="inlineStr">
        <is>
          <t>Ecommerce</t>
        </is>
      </c>
      <c r="K2130" t="inlineStr">
        <is>
          <t>Unknown</t>
        </is>
      </c>
      <c r="L2130" t="inlineStr">
        <is>
          <t>BECO Capital</t>
        </is>
      </c>
      <c r="M2130" t="inlineStr">
        <is>
          <t>BECO Capital; Middle East; Homegrown Ventures; Surge</t>
        </is>
      </c>
      <c r="N2130" t="inlineStr">
        <is>
          <t>entrackr</t>
        </is>
      </c>
      <c r="O2130" s="20" t="n">
        <v>1</v>
      </c>
      <c r="P2130" s="21" t="n">
        <v>0</v>
      </c>
      <c r="Q2130" t="inlineStr">
        <is>
          <t>C07</t>
        </is>
      </c>
      <c r="R2130" s="22" t="inlineStr">
        <is>
          <t>https://entrackr.com/snippets/beauty-and-wellness-startup-amaani-raises-5-mn-led-by-beco-capital-12583526</t>
        </is>
      </c>
    </row>
    <row r="2131">
      <c r="A2131" t="inlineStr">
        <is>
          <t>R260928-aroviaconsumer</t>
        </is>
      </c>
      <c r="B2131" t="inlineStr">
        <is>
          <t>Arovia Consumer</t>
        </is>
      </c>
      <c r="C2131" s="17" t="n">
        <v>46293</v>
      </c>
      <c r="D2131" s="18" t="n">
        <v>46266</v>
      </c>
      <c r="E2131" s="19" t="n"/>
      <c r="F2131" s="19" t="n"/>
      <c r="G2131" t="inlineStr"/>
      <c r="H2131" t="inlineStr">
        <is>
          <t>Undisclosed</t>
        </is>
      </c>
      <c r="I2131" t="inlineStr">
        <is>
          <t>Undisclosed</t>
        </is>
      </c>
      <c r="J2131" t="inlineStr">
        <is>
          <t>Ecommerce</t>
        </is>
      </c>
      <c r="K2131" t="inlineStr">
        <is>
          <t>Unknown</t>
        </is>
      </c>
      <c r="L2131" t="inlineStr">
        <is>
          <t>Fireside Ventures</t>
        </is>
      </c>
      <c r="M2131" t="inlineStr">
        <is>
          <t>Fireside Ventures</t>
        </is>
      </c>
      <c r="N2131" t="inlineStr">
        <is>
          <t>inc42</t>
        </is>
      </c>
      <c r="O2131" s="20" t="n">
        <v>1</v>
      </c>
      <c r="P2131" s="21" t="n"/>
      <c r="Q2131" t="inlineStr">
        <is>
          <t>C03 C04 C07</t>
        </is>
      </c>
      <c r="R2131" s="22" t="inlineStr">
        <is>
          <t>https://inc42.com/buzz/from-simple-energy-to-arivihan-indian-startups-raised-over-233-mn-this-week/</t>
        </is>
      </c>
    </row>
    <row r="2132">
      <c r="A2132" t="inlineStr">
        <is>
          <t>R260928-balwaankrishi</t>
        </is>
      </c>
      <c r="B2132" t="inlineStr">
        <is>
          <t>Balwaan Krishi</t>
        </is>
      </c>
      <c r="C2132" s="17" t="n">
        <v>46293</v>
      </c>
      <c r="D2132" s="18" t="n">
        <v>46266</v>
      </c>
      <c r="E2132" s="19" t="n">
        <v>10.419</v>
      </c>
      <c r="F2132" s="19" t="n">
        <v>100</v>
      </c>
      <c r="G2132" t="inlineStr">
        <is>
          <t>Rs 100 crore</t>
        </is>
      </c>
      <c r="H2132" t="inlineStr">
        <is>
          <t>Series B</t>
        </is>
      </c>
      <c r="I2132" t="inlineStr">
        <is>
          <t>Growth</t>
        </is>
      </c>
      <c r="J2132" t="inlineStr">
        <is>
          <t>Agritech</t>
        </is>
      </c>
      <c r="K2132" t="inlineStr">
        <is>
          <t>Jaipur</t>
        </is>
      </c>
      <c r="L2132" t="inlineStr">
        <is>
          <t>First Bridge India Growth Fund Private Equity</t>
        </is>
      </c>
      <c r="M2132" t="inlineStr">
        <is>
          <t>First Bridge India Growth Fund Private Equity; Caspian Leap for Agriculture Fund; Deepak Agarwal; Rishab Jain; Pulkit Bachhawat in May 2023</t>
        </is>
      </c>
      <c r="N2132" t="inlineStr">
        <is>
          <t>entrackr | inc42 | vccircle</t>
        </is>
      </c>
      <c r="O2132" s="20" t="n">
        <v>3</v>
      </c>
      <c r="P2132" s="21" t="n">
        <v>0.2</v>
      </c>
      <c r="Q2132" t="inlineStr"/>
      <c r="R2132" s="22" t="inlineStr">
        <is>
          <t>https://entrackr.com/news/agricultural-machinery-company-balwaan-krishi-raises-rs-100-cr-in-series-b-round-12584408</t>
        </is>
      </c>
    </row>
    <row r="2133">
      <c r="A2133" t="inlineStr">
        <is>
          <t>R260928-keploy</t>
        </is>
      </c>
      <c r="B2133" t="inlineStr">
        <is>
          <t>Keploy</t>
        </is>
      </c>
      <c r="C2133" s="17" t="n">
        <v>46293</v>
      </c>
      <c r="D2133" s="18" t="n">
        <v>46266</v>
      </c>
      <c r="E2133" s="19" t="n"/>
      <c r="F2133" s="19" t="n"/>
      <c r="G2133" t="inlineStr"/>
      <c r="H2133" t="inlineStr">
        <is>
          <t>Undisclosed</t>
        </is>
      </c>
      <c r="I2133" t="inlineStr">
        <is>
          <t>Undisclosed</t>
        </is>
      </c>
      <c r="J2133" t="inlineStr">
        <is>
          <t>Enterprise Tech</t>
        </is>
      </c>
      <c r="K2133" t="inlineStr">
        <is>
          <t>Unknown</t>
        </is>
      </c>
      <c r="L2133" t="inlineStr">
        <is>
          <t>Flipkart Ventures</t>
        </is>
      </c>
      <c r="M2133" t="inlineStr">
        <is>
          <t>Flipkart Ventures</t>
        </is>
      </c>
      <c r="N2133" t="inlineStr">
        <is>
          <t>inc42</t>
        </is>
      </c>
      <c r="O2133" s="20" t="n">
        <v>1</v>
      </c>
      <c r="P2133" s="21" t="n"/>
      <c r="Q2133" t="inlineStr">
        <is>
          <t>C03 C04 C07</t>
        </is>
      </c>
      <c r="R2133" s="22" t="inlineStr">
        <is>
          <t>https://inc42.com/buzz/from-simple-energy-to-arivihan-indian-startups-raised-over-233-mn-this-week/</t>
        </is>
      </c>
    </row>
    <row r="2134">
      <c r="A2134" t="inlineStr">
        <is>
          <t>R260928-primerry</t>
        </is>
      </c>
      <c r="B2134" t="inlineStr">
        <is>
          <t>Primerry</t>
        </is>
      </c>
      <c r="C2134" s="17" t="n">
        <v>46293</v>
      </c>
      <c r="D2134" s="18" t="n">
        <v>46266</v>
      </c>
      <c r="E2134" s="19" t="n">
        <v>0.738</v>
      </c>
      <c r="F2134" s="19" t="n">
        <v>7.08</v>
      </c>
      <c r="G2134" t="inlineStr">
        <is>
          <t>$738K</t>
        </is>
      </c>
      <c r="H2134" t="inlineStr">
        <is>
          <t>Pre-Seed</t>
        </is>
      </c>
      <c r="I2134" t="inlineStr">
        <is>
          <t>Early</t>
        </is>
      </c>
      <c r="J2134" t="inlineStr">
        <is>
          <t>Healthtech</t>
        </is>
      </c>
      <c r="K2134" t="inlineStr">
        <is>
          <t>Unknown</t>
        </is>
      </c>
      <c r="L2134" t="inlineStr"/>
      <c r="M2134" t="inlineStr">
        <is>
          <t>Ashish Kacholia; Lashit Sanghvi; Mohit Sadaani; Hitesh Dhingra; Ajay Mehra; Samir Palod</t>
        </is>
      </c>
      <c r="N2134" t="inlineStr">
        <is>
          <t>inc42</t>
        </is>
      </c>
      <c r="O2134" s="20" t="n">
        <v>1</v>
      </c>
      <c r="P2134" s="21" t="n">
        <v>0</v>
      </c>
      <c r="Q2134" t="inlineStr">
        <is>
          <t>C07</t>
        </is>
      </c>
      <c r="R2134" s="22" t="inlineStr">
        <is>
          <t>https://inc42.com/buzz/from-simple-energy-to-arivihan-indian-startups-raised-over-233-mn-this-week/</t>
        </is>
      </c>
    </row>
    <row r="2135">
      <c r="A2135" t="inlineStr">
        <is>
          <t>R260928-simaai</t>
        </is>
      </c>
      <c r="B2135" t="inlineStr">
        <is>
          <t>SiMa.ai</t>
        </is>
      </c>
      <c r="C2135" s="17" t="n">
        <v>46293</v>
      </c>
      <c r="D2135" s="18" t="n">
        <v>46266</v>
      </c>
      <c r="E2135" s="19" t="n">
        <v>150</v>
      </c>
      <c r="F2135" s="19" t="n">
        <v>1439.7</v>
      </c>
      <c r="G2135" t="inlineStr">
        <is>
          <t>$150 million</t>
        </is>
      </c>
      <c r="H2135" t="inlineStr">
        <is>
          <t>Series C</t>
        </is>
      </c>
      <c r="I2135" t="inlineStr">
        <is>
          <t>Growth</t>
        </is>
      </c>
      <c r="J2135" t="inlineStr">
        <is>
          <t>Artificial Intelligence</t>
        </is>
      </c>
      <c r="K2135" t="inlineStr">
        <is>
          <t>Unknown</t>
        </is>
      </c>
      <c r="L2135" t="inlineStr">
        <is>
          <t>Fidelity Management &amp; Research Company; Amplify</t>
        </is>
      </c>
      <c r="M2135" t="inlineStr">
        <is>
          <t>Fidelity Management &amp; Research Company; Amplify; Alter Venture Partners; Dell Technologies Capital; StepStone Group; Fidelity Management &amp;amp</t>
        </is>
      </c>
      <c r="N2135" t="inlineStr">
        <is>
          <t>entrackr | et</t>
        </is>
      </c>
      <c r="O2135" s="20" t="n">
        <v>2</v>
      </c>
      <c r="P2135" s="21" t="n">
        <v>0</v>
      </c>
      <c r="Q2135" t="inlineStr">
        <is>
          <t>C07</t>
        </is>
      </c>
      <c r="R2135" s="22" t="inlineStr">
        <is>
          <t>https://entrackr.com/news/physical-ai-company-simaai-raises-150-mn-in-series-c-round-12587904</t>
        </is>
      </c>
    </row>
    <row r="2136">
      <c r="A2136" t="inlineStr">
        <is>
          <t>R260929-bharathousingn</t>
        </is>
      </c>
      <c r="B2136" t="inlineStr">
        <is>
          <t>Bharat Housing Network</t>
        </is>
      </c>
      <c r="C2136" s="17" t="n">
        <v>46294</v>
      </c>
      <c r="D2136" s="18" t="n">
        <v>46266</v>
      </c>
      <c r="E2136" s="19" t="n">
        <v>5</v>
      </c>
      <c r="F2136" s="19" t="n">
        <v>47.99</v>
      </c>
      <c r="G2136" t="inlineStr">
        <is>
          <t>$5 million</t>
        </is>
      </c>
      <c r="H2136" t="inlineStr">
        <is>
          <t>Undisclosed</t>
        </is>
      </c>
      <c r="I2136" t="inlineStr">
        <is>
          <t>Undisclosed</t>
        </is>
      </c>
      <c r="J2136" t="inlineStr">
        <is>
          <t>Fintech</t>
        </is>
      </c>
      <c r="K2136" t="inlineStr">
        <is>
          <t>Unknown</t>
        </is>
      </c>
      <c r="L2136" t="inlineStr"/>
      <c r="M2136" t="inlineStr">
        <is>
          <t>Symbiotics</t>
        </is>
      </c>
      <c r="N2136" t="inlineStr">
        <is>
          <t>entrackr</t>
        </is>
      </c>
      <c r="O2136" s="20" t="n">
        <v>1</v>
      </c>
      <c r="P2136" s="21" t="n">
        <v>0</v>
      </c>
      <c r="Q2136" t="inlineStr">
        <is>
          <t>C04 C07</t>
        </is>
      </c>
      <c r="R2136" s="22" t="inlineStr">
        <is>
          <t>https://entrackr.com/snippets/bharat-housing-network-raises-5-mn-from-symbiotics-12589182</t>
        </is>
      </c>
    </row>
    <row r="2137">
      <c r="A2137" t="inlineStr">
        <is>
          <t>R260929-figliving</t>
        </is>
      </c>
      <c r="B2137" t="inlineStr">
        <is>
          <t>FIG Living</t>
        </is>
      </c>
      <c r="C2137" s="17" t="n">
        <v>46294</v>
      </c>
      <c r="D2137" s="18" t="n">
        <v>46266</v>
      </c>
      <c r="E2137" s="19" t="n"/>
      <c r="F2137" s="19" t="n"/>
      <c r="G2137" t="inlineStr"/>
      <c r="H2137" t="inlineStr">
        <is>
          <t>Undisclosed</t>
        </is>
      </c>
      <c r="I2137" t="inlineStr">
        <is>
          <t>Undisclosed</t>
        </is>
      </c>
      <c r="J2137" t="inlineStr">
        <is>
          <t>Ecommerce</t>
        </is>
      </c>
      <c r="K2137" t="inlineStr">
        <is>
          <t>Unknown</t>
        </is>
      </c>
      <c r="L2137" t="inlineStr">
        <is>
          <t>Aman Gupta</t>
        </is>
      </c>
      <c r="M2137" t="inlineStr">
        <is>
          <t>Aman Gupta</t>
        </is>
      </c>
      <c r="N2137" t="inlineStr">
        <is>
          <t>inc42</t>
        </is>
      </c>
      <c r="O2137" s="20" t="n">
        <v>1</v>
      </c>
      <c r="P2137" s="21" t="n"/>
      <c r="Q2137" t="inlineStr">
        <is>
          <t>C03 C04 C07</t>
        </is>
      </c>
      <c r="R2137" s="22" t="inlineStr">
        <is>
          <t>https://inc42.com/buzz/from-simple-energy-to-arivihan-indian-startups-raised-over-233-mn-this-week/</t>
        </is>
      </c>
    </row>
    <row r="2138">
      <c r="A2138" t="inlineStr">
        <is>
          <t>R260929-formerboatexec</t>
        </is>
      </c>
      <c r="B2138" t="inlineStr">
        <is>
          <t>former boAt executive</t>
        </is>
      </c>
      <c r="C2138" s="17" t="n">
        <v>46294</v>
      </c>
      <c r="D2138" s="18" t="n">
        <v>46266</v>
      </c>
      <c r="E2138" s="19" t="n"/>
      <c r="F2138" s="19" t="n"/>
      <c r="G2138" t="inlineStr"/>
      <c r="H2138" t="inlineStr">
        <is>
          <t>Undisclosed</t>
        </is>
      </c>
      <c r="I2138" t="inlineStr">
        <is>
          <t>Undisclosed</t>
        </is>
      </c>
      <c r="J2138" t="inlineStr">
        <is>
          <t>Unclassified</t>
        </is>
      </c>
      <c r="K2138" t="inlineStr">
        <is>
          <t>Unknown</t>
        </is>
      </c>
      <c r="L2138" t="inlineStr"/>
      <c r="M2138" t="inlineStr"/>
      <c r="N2138" t="inlineStr">
        <is>
          <t>entrackr</t>
        </is>
      </c>
      <c r="O2138" s="20" t="n">
        <v>1</v>
      </c>
      <c r="P2138" s="21" t="n"/>
      <c r="Q2138" t="inlineStr">
        <is>
          <t>C03 C04 C05 C06 C07</t>
        </is>
      </c>
      <c r="R2138" s="22" t="inlineStr">
        <is>
          <t>https://entrackr.com/snippets/aman-gupta-invests-in-former-boat-executives-startup-fig-living-12589495</t>
        </is>
      </c>
    </row>
    <row r="2139">
      <c r="A2139" t="inlineStr">
        <is>
          <t>R260930-arivihan</t>
        </is>
      </c>
      <c r="B2139" t="inlineStr">
        <is>
          <t>Arivihan</t>
        </is>
      </c>
      <c r="C2139" s="17" t="n">
        <v>46295</v>
      </c>
      <c r="D2139" s="18" t="n">
        <v>46266</v>
      </c>
      <c r="E2139" s="19" t="n">
        <v>10</v>
      </c>
      <c r="F2139" s="19" t="n">
        <v>95.83</v>
      </c>
      <c r="G2139" t="inlineStr">
        <is>
          <t>$10 million</t>
        </is>
      </c>
      <c r="H2139" t="inlineStr">
        <is>
          <t>Series A</t>
        </is>
      </c>
      <c r="I2139" t="inlineStr">
        <is>
          <t>Early</t>
        </is>
      </c>
      <c r="J2139" t="inlineStr">
        <is>
          <t>Edtech</t>
        </is>
      </c>
      <c r="K2139" t="inlineStr">
        <is>
          <t>Bengaluru</t>
        </is>
      </c>
      <c r="L2139" t="inlineStr">
        <is>
          <t>Accel; Prosus Ventures</t>
        </is>
      </c>
      <c r="M2139" t="inlineStr">
        <is>
          <t>Accel; Prosus Ventures; Dinesh Chandra Agrawal; Dinesh Gulati; Rajesh Sawhney</t>
        </is>
      </c>
      <c r="N2139" t="inlineStr">
        <is>
          <t>entrackr | inc42 | et</t>
        </is>
      </c>
      <c r="O2139" s="20" t="n">
        <v>3</v>
      </c>
      <c r="P2139" s="21" t="n">
        <v>2</v>
      </c>
      <c r="Q2139" t="inlineStr"/>
      <c r="R2139" s="22" t="inlineStr">
        <is>
          <t>https://entrackr.com/news/edtech-startup-arivihan-raises-10-mn-in-series-a-led-by-accel-and-prosus-12592500</t>
        </is>
      </c>
    </row>
    <row r="2140">
      <c r="A2140" t="inlineStr">
        <is>
          <t>R260930-blitz</t>
        </is>
      </c>
      <c r="B2140" t="inlineStr">
        <is>
          <t>Blitz</t>
        </is>
      </c>
      <c r="C2140" s="17" t="n">
        <v>46295</v>
      </c>
      <c r="D2140" s="18" t="n">
        <v>46266</v>
      </c>
      <c r="E2140" s="19" t="n">
        <v>2.995</v>
      </c>
      <c r="F2140" s="19" t="n">
        <v>28.7</v>
      </c>
      <c r="G2140" t="inlineStr">
        <is>
          <t>Rs 28.70 crore</t>
        </is>
      </c>
      <c r="H2140" t="inlineStr">
        <is>
          <t>Pre-Series B</t>
        </is>
      </c>
      <c r="I2140" t="inlineStr">
        <is>
          <t>Growth</t>
        </is>
      </c>
      <c r="J2140" t="inlineStr">
        <is>
          <t>Media &amp; Entertainment</t>
        </is>
      </c>
      <c r="K2140" t="inlineStr">
        <is>
          <t>Unknown</t>
        </is>
      </c>
      <c r="L2140" t="inlineStr">
        <is>
          <t>IvyCap Ventures</t>
        </is>
      </c>
      <c r="M2140" t="inlineStr">
        <is>
          <t>IvyCap Ventures</t>
        </is>
      </c>
      <c r="N2140" t="inlineStr">
        <is>
          <t>entrackr</t>
        </is>
      </c>
      <c r="O2140" s="20" t="n">
        <v>1</v>
      </c>
      <c r="P2140" s="21" t="n">
        <v>0</v>
      </c>
      <c r="Q2140" t="inlineStr">
        <is>
          <t>C07</t>
        </is>
      </c>
      <c r="R2140" s="22" t="inlineStr">
        <is>
          <t>https://entrackr.com/exclusive/exclusive-blitz-kicks-off-pre-series-b-round-at-25x-valuation-premium-12592668</t>
        </is>
      </c>
    </row>
    <row r="2141">
      <c r="A2141" t="inlineStr">
        <is>
          <t>R260930-edt</t>
        </is>
      </c>
      <c r="B2141" t="inlineStr">
        <is>
          <t>EDT</t>
        </is>
      </c>
      <c r="C2141" s="17" t="n">
        <v>46295</v>
      </c>
      <c r="D2141" s="18" t="n">
        <v>46266</v>
      </c>
      <c r="E2141" s="19" t="n">
        <v>2.4</v>
      </c>
      <c r="F2141" s="19" t="n">
        <v>23</v>
      </c>
      <c r="G2141" t="inlineStr">
        <is>
          <t>$2.4 million</t>
        </is>
      </c>
      <c r="H2141" t="inlineStr">
        <is>
          <t>Pre-Series A</t>
        </is>
      </c>
      <c r="I2141" t="inlineStr">
        <is>
          <t>Early</t>
        </is>
      </c>
      <c r="J2141" t="inlineStr">
        <is>
          <t>Ecommerce</t>
        </is>
      </c>
      <c r="K2141" t="inlineStr">
        <is>
          <t>Mumbai</t>
        </is>
      </c>
      <c r="L2141" t="inlineStr">
        <is>
          <t>Sauce.VC</t>
        </is>
      </c>
      <c r="M2141" t="inlineStr">
        <is>
          <t>Sauce.VC; Alteria Capital; Raul Rai; Atomberg Shibam Das; Arindam Paul; Ajith Pai; Anushree Tainwala</t>
        </is>
      </c>
      <c r="N2141" t="inlineStr">
        <is>
          <t>entrackr | inc42 | et</t>
        </is>
      </c>
      <c r="O2141" s="20" t="n">
        <v>3</v>
      </c>
      <c r="P2141" s="21" t="n">
        <v>0</v>
      </c>
      <c r="Q2141" t="inlineStr"/>
      <c r="R2141" s="22" t="inlineStr">
        <is>
          <t>https://entrackr.com/snippets/edt-raises-24-mn-in-pre-series-a-round-led-by-sauce-enters-beauty-tech-12592472</t>
        </is>
      </c>
    </row>
    <row r="2142">
      <c r="A2142" t="inlineStr">
        <is>
          <t>R260930-gravity</t>
        </is>
      </c>
      <c r="B2142" t="inlineStr">
        <is>
          <t>Gravity</t>
        </is>
      </c>
      <c r="C2142" s="17" t="n">
        <v>46295</v>
      </c>
      <c r="D2142" s="18" t="n">
        <v>46266</v>
      </c>
      <c r="E2142" s="19" t="n">
        <v>15</v>
      </c>
      <c r="F2142" s="19" t="n">
        <v>143.74</v>
      </c>
      <c r="G2142" t="inlineStr">
        <is>
          <t>$15 million</t>
        </is>
      </c>
      <c r="H2142" t="inlineStr">
        <is>
          <t>Undisclosed</t>
        </is>
      </c>
      <c r="I2142" t="inlineStr">
        <is>
          <t>Undisclosed</t>
        </is>
      </c>
      <c r="J2142" t="inlineStr">
        <is>
          <t>Real Estate Tech</t>
        </is>
      </c>
      <c r="K2142" t="inlineStr">
        <is>
          <t>Bengaluru</t>
        </is>
      </c>
      <c r="L2142" t="inlineStr">
        <is>
          <t>3one4 Capital; Info Edge Ventures</t>
        </is>
      </c>
      <c r="M2142" t="inlineStr">
        <is>
          <t>3one4 Capital; Info Edge Ventures; Alteria Capital; Genesia Ventures; Jain told ET</t>
        </is>
      </c>
      <c r="N2142" t="inlineStr">
        <is>
          <t>entrackr | inc42 | et</t>
        </is>
      </c>
      <c r="O2142" s="20" t="n">
        <v>3</v>
      </c>
      <c r="P2142" s="21" t="n">
        <v>0</v>
      </c>
      <c r="Q2142" t="inlineStr">
        <is>
          <t>C04</t>
        </is>
      </c>
      <c r="R2142" s="22" t="inlineStr">
        <is>
          <t>https://entrackr.com/news/former-livspace-executives-startup-gravity-raises-15-mn-led-by-info-edge-ventures-and-3one4-capital-12593710</t>
        </is>
      </c>
    </row>
    <row r="2143">
      <c r="A2143" t="inlineStr">
        <is>
          <t>R260930-nknmedia</t>
        </is>
      </c>
      <c r="B2143" t="inlineStr">
        <is>
          <t>NKN Media</t>
        </is>
      </c>
      <c r="C2143" s="17" t="n">
        <v>46295</v>
      </c>
      <c r="D2143" s="18" t="n">
        <v>46266</v>
      </c>
      <c r="E2143" s="19" t="n">
        <v>4.08</v>
      </c>
      <c r="F2143" s="19" t="n">
        <v>39.1</v>
      </c>
      <c r="G2143" t="inlineStr">
        <is>
          <t>$4.08 million</t>
        </is>
      </c>
      <c r="H2143" t="inlineStr">
        <is>
          <t>Undisclosed</t>
        </is>
      </c>
      <c r="I2143" t="inlineStr">
        <is>
          <t>Undisclosed</t>
        </is>
      </c>
      <c r="J2143" t="inlineStr">
        <is>
          <t>Media &amp; Entertainment</t>
        </is>
      </c>
      <c r="K2143" t="inlineStr">
        <is>
          <t>Unknown</t>
        </is>
      </c>
      <c r="L2143" t="inlineStr"/>
      <c r="M2143" t="inlineStr"/>
      <c r="N2143" t="inlineStr">
        <is>
          <t>entrackr</t>
        </is>
      </c>
      <c r="O2143" s="20" t="n">
        <v>1</v>
      </c>
      <c r="P2143" s="21" t="n">
        <v>0</v>
      </c>
      <c r="Q2143" t="inlineStr">
        <is>
          <t>C04 C05 C07</t>
        </is>
      </c>
      <c r="R2143" s="22" t="inlineStr">
        <is>
          <t>https://entrackr.com/snippets/nkn-media-raises-408-mn-at-8169-mn-valuation-12613858</t>
        </is>
      </c>
    </row>
    <row r="2144">
      <c r="A2144" t="inlineStr">
        <is>
          <t>R260930-simpleenergy</t>
        </is>
      </c>
      <c r="B2144" t="inlineStr">
        <is>
          <t>Simple Energy</t>
        </is>
      </c>
      <c r="C2144" s="17" t="n">
        <v>46295</v>
      </c>
      <c r="D2144" s="18" t="n">
        <v>46266</v>
      </c>
      <c r="E2144" s="19" t="n">
        <v>182.615</v>
      </c>
      <c r="F2144" s="19" t="n">
        <v>1750</v>
      </c>
      <c r="G2144" t="inlineStr">
        <is>
          <t>Rs 1,750 crore</t>
        </is>
      </c>
      <c r="H2144" t="inlineStr">
        <is>
          <t>Series C</t>
        </is>
      </c>
      <c r="I2144" t="inlineStr">
        <is>
          <t>Growth</t>
        </is>
      </c>
      <c r="J2144" t="inlineStr">
        <is>
          <t>Cleantech</t>
        </is>
      </c>
      <c r="K2144" t="inlineStr">
        <is>
          <t>Bengaluru</t>
        </is>
      </c>
      <c r="L2144" t="inlineStr">
        <is>
          <t>Dr. Arokiaswamy Velumani Family Office</t>
        </is>
      </c>
      <c r="M2144" t="inlineStr">
        <is>
          <t>Dr. Arokiaswamy Velumani Family Office; Haran Family Office; Amit Mishra; Suhas Rajkumar; Ankit Gupta; Thyrocare Technologies</t>
        </is>
      </c>
      <c r="N2144" t="inlineStr">
        <is>
          <t>entrackr | inc42 | et | vccircle</t>
        </is>
      </c>
      <c r="O2144" s="20" t="n">
        <v>4</v>
      </c>
      <c r="P2144" s="21" t="n">
        <v>1.5</v>
      </c>
      <c r="Q2144" t="inlineStr"/>
      <c r="R2144" s="22" t="inlineStr">
        <is>
          <t>https://entrackr.com/news/ev-startup-simple-energy-raises-182-mn-in-series-c-round-12593947</t>
        </is>
      </c>
    </row>
    <row r="2145">
      <c r="A2145" t="inlineStr">
        <is>
          <t>R260930-vytalyou</t>
        </is>
      </c>
      <c r="B2145" t="inlineStr">
        <is>
          <t>Vytalyou</t>
        </is>
      </c>
      <c r="C2145" s="17" t="n">
        <v>46295</v>
      </c>
      <c r="D2145" s="18" t="n">
        <v>46266</v>
      </c>
      <c r="E2145" s="19" t="n">
        <v>0.9389999999999999</v>
      </c>
      <c r="F2145" s="19" t="n">
        <v>9</v>
      </c>
      <c r="G2145" t="inlineStr">
        <is>
          <t>Rs 9 crore</t>
        </is>
      </c>
      <c r="H2145" t="inlineStr">
        <is>
          <t>Pre-Series A</t>
        </is>
      </c>
      <c r="I2145" t="inlineStr">
        <is>
          <t>Early</t>
        </is>
      </c>
      <c r="J2145" t="inlineStr">
        <is>
          <t>Healthtech</t>
        </is>
      </c>
      <c r="K2145" t="inlineStr">
        <is>
          <t>Mumbai</t>
        </is>
      </c>
      <c r="L2145" t="inlineStr"/>
      <c r="M2145" t="inlineStr">
        <is>
          <t>Chetan Jain; Ratan Jain</t>
        </is>
      </c>
      <c r="N2145" t="inlineStr">
        <is>
          <t>entrackr | inc42</t>
        </is>
      </c>
      <c r="O2145" s="20" t="n">
        <v>2</v>
      </c>
      <c r="P2145" s="21" t="n">
        <v>0.3</v>
      </c>
      <c r="Q2145" t="inlineStr"/>
      <c r="R2145" s="22" t="inlineStr">
        <is>
          <t>https://entrackr.com/snippets/longevity-startup-vytalyou-raises-rs-9-cr-in-pre-series-a-round-12593640</t>
        </is>
      </c>
    </row>
    <row r="2146">
      <c r="A2146" t="inlineStr">
        <is>
          <t>R261001-aignosis</t>
        </is>
      </c>
      <c r="B2146" t="inlineStr">
        <is>
          <t>Aignosis</t>
        </is>
      </c>
      <c r="C2146" s="17" t="n">
        <v>46296</v>
      </c>
      <c r="D2146" s="18" t="n">
        <v>46296</v>
      </c>
      <c r="E2146" s="19" t="n">
        <v>0.415</v>
      </c>
      <c r="F2146" s="19" t="n">
        <v>4</v>
      </c>
      <c r="G2146" t="inlineStr">
        <is>
          <t>Rs 4 crore</t>
        </is>
      </c>
      <c r="H2146" t="inlineStr">
        <is>
          <t>Seed</t>
        </is>
      </c>
      <c r="I2146" t="inlineStr">
        <is>
          <t>Early</t>
        </is>
      </c>
      <c r="J2146" t="inlineStr">
        <is>
          <t>Healthtech</t>
        </is>
      </c>
      <c r="K2146" t="inlineStr">
        <is>
          <t>Jaipur</t>
        </is>
      </c>
      <c r="L2146" t="inlineStr">
        <is>
          <t>Antler; Nikhil Kamath; Varun Dua; IIMA Ventures</t>
        </is>
      </c>
      <c r="M2146" t="inlineStr">
        <is>
          <t>Antler; Nikhil Kamath; Varun Dua; IIMA Ventures; Rajneesh Bhandari; Amit Jain</t>
        </is>
      </c>
      <c r="N2146" t="inlineStr">
        <is>
          <t>entrackr | inc42</t>
        </is>
      </c>
      <c r="O2146" s="20" t="n">
        <v>2</v>
      </c>
      <c r="P2146" s="21" t="n">
        <v>0.2</v>
      </c>
      <c r="Q2146" t="inlineStr"/>
      <c r="R2146" s="22" t="inlineStr">
        <is>
          <t>https://entrackr.com/snippets/antler-nikhil-kamath-back-healthtech-startup-aignosis-with-rs-4-cr-seed-round-12611813</t>
        </is>
      </c>
    </row>
    <row r="2147">
      <c r="A2147" t="inlineStr">
        <is>
          <t>R261001-bangalorewatch</t>
        </is>
      </c>
      <c r="B2147" t="inlineStr">
        <is>
          <t>Banglore Watch Company</t>
        </is>
      </c>
      <c r="C2147" s="17" t="n">
        <v>46296</v>
      </c>
      <c r="D2147" s="18" t="n">
        <v>46296</v>
      </c>
      <c r="E2147" s="19" t="n">
        <v>1.4</v>
      </c>
      <c r="F2147" s="19" t="n">
        <v>13.49</v>
      </c>
      <c r="G2147" t="inlineStr">
        <is>
          <t>$1.4 million</t>
        </is>
      </c>
      <c r="H2147" t="inlineStr">
        <is>
          <t>Seed</t>
        </is>
      </c>
      <c r="I2147" t="inlineStr">
        <is>
          <t>Early</t>
        </is>
      </c>
      <c r="J2147" t="inlineStr">
        <is>
          <t>Ecommerce</t>
        </is>
      </c>
      <c r="K2147" t="inlineStr">
        <is>
          <t>Unknown</t>
        </is>
      </c>
      <c r="L2147" t="inlineStr"/>
      <c r="M2147" t="inlineStr"/>
      <c r="N2147" t="inlineStr">
        <is>
          <t>entrackr | inc42</t>
        </is>
      </c>
      <c r="O2147" s="20" t="n">
        <v>2</v>
      </c>
      <c r="P2147" s="21" t="n">
        <v>0</v>
      </c>
      <c r="Q2147" t="inlineStr">
        <is>
          <t>C05 C07</t>
        </is>
      </c>
      <c r="R2147" s="22" t="inlineStr">
        <is>
          <t>https://entrackr.com/snippets/bangalore-watch-company-raises-14-mn-in-seed-round-from-customers-family-office-hnis-12611688</t>
        </is>
      </c>
    </row>
    <row r="2148">
      <c r="A2148" t="inlineStr">
        <is>
          <t>R261001-seedsfincap</t>
        </is>
      </c>
      <c r="B2148" t="inlineStr">
        <is>
          <t>Seeds Fincap</t>
        </is>
      </c>
      <c r="C2148" s="17" t="n">
        <v>46296</v>
      </c>
      <c r="D2148" s="18" t="n">
        <v>46296</v>
      </c>
      <c r="E2148" s="19" t="n">
        <v>10.381</v>
      </c>
      <c r="F2148" s="19" t="n">
        <v>100</v>
      </c>
      <c r="G2148" t="inlineStr">
        <is>
          <t>Rs 100 crore</t>
        </is>
      </c>
      <c r="H2148" t="inlineStr">
        <is>
          <t>Series B</t>
        </is>
      </c>
      <c r="I2148" t="inlineStr">
        <is>
          <t>Growth</t>
        </is>
      </c>
      <c r="J2148" t="inlineStr">
        <is>
          <t>Fintech</t>
        </is>
      </c>
      <c r="K2148" t="inlineStr">
        <is>
          <t>Delhi NCR</t>
        </is>
      </c>
      <c r="L2148" t="inlineStr">
        <is>
          <t>Michael &amp; Susan Dell Foundation</t>
        </is>
      </c>
      <c r="M2148" t="inlineStr">
        <is>
          <t>Michael &amp; Susan Dell Foundation; Z47; Lok Capital; Norinchukin Capital; Alteria Capital</t>
        </is>
      </c>
      <c r="N2148" t="inlineStr">
        <is>
          <t>entrackr | inc42</t>
        </is>
      </c>
      <c r="O2148" s="20" t="n">
        <v>2</v>
      </c>
      <c r="P2148" s="21" t="n">
        <v>0.2</v>
      </c>
      <c r="Q2148" t="inlineStr"/>
      <c r="R2148" s="22" t="inlineStr">
        <is>
          <t>https://entrackr.com/news/seeds-fincap-raises-rs-100-cr-in-series-b-led-by-michael-susan-dell-foundation-12611889</t>
        </is>
      </c>
    </row>
    <row r="2149">
      <c r="A2149" t="inlineStr">
        <is>
          <t>R261001-unveilrai</t>
        </is>
      </c>
      <c r="B2149" t="inlineStr">
        <is>
          <t>Unveilr AI</t>
        </is>
      </c>
      <c r="C2149" s="17" t="n">
        <v>46296</v>
      </c>
      <c r="D2149" s="18" t="n">
        <v>46296</v>
      </c>
      <c r="E2149" s="19" t="n"/>
      <c r="F2149" s="19" t="n"/>
      <c r="G2149" t="inlineStr"/>
      <c r="H2149" t="inlineStr">
        <is>
          <t>Pre-Seed</t>
        </is>
      </c>
      <c r="I2149" t="inlineStr">
        <is>
          <t>Early</t>
        </is>
      </c>
      <c r="J2149" t="inlineStr">
        <is>
          <t>Artificial Intelligence</t>
        </is>
      </c>
      <c r="K2149" t="inlineStr">
        <is>
          <t>Mumbai</t>
        </is>
      </c>
      <c r="L2149" t="inlineStr">
        <is>
          <t>Aviral Bhatnagar</t>
        </is>
      </c>
      <c r="M2149" t="inlineStr">
        <is>
          <t>Aviral Bhatnagar; AJVC</t>
        </is>
      </c>
      <c r="N2149" t="inlineStr">
        <is>
          <t>entrackr | inc42</t>
        </is>
      </c>
      <c r="O2149" s="20" t="n">
        <v>2</v>
      </c>
      <c r="P2149" s="21" t="n"/>
      <c r="Q2149" t="inlineStr">
        <is>
          <t>C03</t>
        </is>
      </c>
      <c r="R2149" s="22" t="inlineStr">
        <is>
          <t>https://entrackr.com/snippets/unveilr-ai-raises-pre-seed-round-from-ajvc-at-rs-167-cr-valuation-12611816</t>
        </is>
      </c>
    </row>
    <row r="2150">
      <c r="A2150" t="inlineStr">
        <is>
          <t>R261001-zaperon</t>
        </is>
      </c>
      <c r="B2150" t="inlineStr">
        <is>
          <t>Zaperon</t>
        </is>
      </c>
      <c r="C2150" s="17" t="n">
        <v>46296</v>
      </c>
      <c r="D2150" s="18" t="n">
        <v>46296</v>
      </c>
      <c r="E2150" s="19" t="n">
        <v>0.727</v>
      </c>
      <c r="F2150" s="19" t="n">
        <v>7</v>
      </c>
      <c r="G2150" t="inlineStr">
        <is>
          <t>Rs 7 crore</t>
        </is>
      </c>
      <c r="H2150" t="inlineStr">
        <is>
          <t>Seed</t>
        </is>
      </c>
      <c r="I2150" t="inlineStr">
        <is>
          <t>Early</t>
        </is>
      </c>
      <c r="J2150" t="inlineStr">
        <is>
          <t>Enterprise Tech</t>
        </is>
      </c>
      <c r="K2150" t="inlineStr">
        <is>
          <t>Delhi NCR</t>
        </is>
      </c>
      <c r="L2150" t="inlineStr">
        <is>
          <t>Inflection Point Ventures</t>
        </is>
      </c>
      <c r="M2150" t="inlineStr">
        <is>
          <t>Inflection Point Ventures</t>
        </is>
      </c>
      <c r="N2150" t="inlineStr">
        <is>
          <t>entrackr | inc42</t>
        </is>
      </c>
      <c r="O2150" s="20" t="n">
        <v>2</v>
      </c>
      <c r="P2150" s="21" t="n">
        <v>0.2</v>
      </c>
      <c r="Q2150" t="inlineStr"/>
      <c r="R2150" s="22" t="inlineStr">
        <is>
          <t>https://entrackr.com/snippets/ipv-leads-rs-7-cr-seed-round-in-cybersecurity-startup-zaperon-12612485</t>
        </is>
      </c>
    </row>
    <row r="2151">
      <c r="A2151" t="inlineStr">
        <is>
          <t>R261005-qpiai</t>
        </is>
      </c>
      <c r="B2151" t="inlineStr">
        <is>
          <t>QpiAI</t>
        </is>
      </c>
      <c r="C2151" s="17" t="n">
        <v>46300</v>
      </c>
      <c r="D2151" s="18" t="n">
        <v>46296</v>
      </c>
      <c r="E2151" s="19" t="n">
        <v>5.192</v>
      </c>
      <c r="F2151" s="19" t="n">
        <v>50</v>
      </c>
      <c r="G2151" t="inlineStr">
        <is>
          <t>Rs 50 Cr</t>
        </is>
      </c>
      <c r="H2151" t="inlineStr">
        <is>
          <t>Debt</t>
        </is>
      </c>
      <c r="I2151" t="inlineStr">
        <is>
          <t>Debt</t>
        </is>
      </c>
      <c r="J2151" t="inlineStr">
        <is>
          <t>Advanced Hardware &amp; Technology</t>
        </is>
      </c>
      <c r="K2151" t="inlineStr">
        <is>
          <t>Bengaluru</t>
        </is>
      </c>
      <c r="L2151" t="inlineStr"/>
      <c r="M2151" t="inlineStr">
        <is>
          <t>InnoVen Capital</t>
        </is>
      </c>
      <c r="N2151" t="inlineStr">
        <is>
          <t>entrackr</t>
        </is>
      </c>
      <c r="O2151" s="20" t="n">
        <v>1</v>
      </c>
      <c r="P2151" s="21" t="n">
        <v>0</v>
      </c>
      <c r="Q2151" t="inlineStr"/>
      <c r="R2151" s="22" t="inlineStr">
        <is>
          <t>https://entrackr.com/exclusive/exclusive-qpiai-raises-rs-50-cr-in-debt-from-innoven-capital-12625901</t>
        </is>
      </c>
    </row>
    <row r="2152">
      <c r="A2152" t="inlineStr">
        <is>
          <t>R261005-scooter</t>
        </is>
      </c>
      <c r="B2152" t="inlineStr">
        <is>
          <t>Scooter</t>
        </is>
      </c>
      <c r="C2152" s="17" t="n">
        <v>46300</v>
      </c>
      <c r="D2152" s="18" t="n">
        <v>46296</v>
      </c>
      <c r="E2152" s="19" t="n">
        <v>0.156</v>
      </c>
      <c r="F2152" s="19" t="n">
        <v>1.5</v>
      </c>
      <c r="G2152" t="inlineStr">
        <is>
          <t>Rs 1.5 crore</t>
        </is>
      </c>
      <c r="H2152" t="inlineStr">
        <is>
          <t>Pre-Seed</t>
        </is>
      </c>
      <c r="I2152" t="inlineStr">
        <is>
          <t>Early</t>
        </is>
      </c>
      <c r="J2152" t="inlineStr">
        <is>
          <t>Artificial Intelligence</t>
        </is>
      </c>
      <c r="K2152" t="inlineStr">
        <is>
          <t>Pune</t>
        </is>
      </c>
      <c r="L2152" t="inlineStr">
        <is>
          <t>AJVC</t>
        </is>
      </c>
      <c r="M2152" t="inlineStr">
        <is>
          <t>AJVC</t>
        </is>
      </c>
      <c r="N2152" t="inlineStr">
        <is>
          <t>entrackr | inc42</t>
        </is>
      </c>
      <c r="O2152" s="20" t="n">
        <v>2</v>
      </c>
      <c r="P2152" s="21" t="n">
        <v>0.5</v>
      </c>
      <c r="Q2152" t="inlineStr"/>
      <c r="R2152" s="22" t="inlineStr">
        <is>
          <t>https://entrackr.com/snippets/sales-hiring-startup-scooter-raises-rs-15-cr-pre-seed-round-12624249</t>
        </is>
      </c>
    </row>
    <row r="2153">
      <c r="A2153" t="inlineStr">
        <is>
          <t>R261006-beyondapplianc</t>
        </is>
      </c>
      <c r="B2153" t="inlineStr">
        <is>
          <t>Beyond Appliances</t>
        </is>
      </c>
      <c r="C2153" s="17" t="n">
        <v>46301</v>
      </c>
      <c r="D2153" s="18" t="n">
        <v>46296</v>
      </c>
      <c r="E2153" s="19" t="n">
        <v>11.408</v>
      </c>
      <c r="F2153" s="19" t="n">
        <v>110</v>
      </c>
      <c r="G2153" t="inlineStr">
        <is>
          <t>Rs 110 crore</t>
        </is>
      </c>
      <c r="H2153" t="inlineStr">
        <is>
          <t>Series B</t>
        </is>
      </c>
      <c r="I2153" t="inlineStr">
        <is>
          <t>Growth</t>
        </is>
      </c>
      <c r="J2153" t="inlineStr">
        <is>
          <t>Ecommerce</t>
        </is>
      </c>
      <c r="K2153" t="inlineStr">
        <is>
          <t>Bengaluru</t>
        </is>
      </c>
      <c r="L2153" t="inlineStr">
        <is>
          <t>Fireside Ventures</t>
        </is>
      </c>
      <c r="M2153" t="inlineStr">
        <is>
          <t>Fireside Ventures; Dharana Capital</t>
        </is>
      </c>
      <c r="N2153" t="inlineStr">
        <is>
          <t>entrackr | inc42 | et</t>
        </is>
      </c>
      <c r="O2153" s="20" t="n">
        <v>3</v>
      </c>
      <c r="P2153" s="21" t="n">
        <v>9.699999999999999</v>
      </c>
      <c r="Q2153" t="inlineStr"/>
      <c r="R2153" s="22" t="inlineStr">
        <is>
          <t>https://entrackr.com/news/fireside-leads-rs-110-cr-series-b-round-in-beyond-appliances-12627573</t>
        </is>
      </c>
    </row>
    <row r="2154">
      <c r="A2154" t="inlineStr">
        <is>
          <t>R261006-curemeabroad</t>
        </is>
      </c>
      <c r="B2154" t="inlineStr">
        <is>
          <t>CureMeAbroad</t>
        </is>
      </c>
      <c r="C2154" s="17" t="n">
        <v>46301</v>
      </c>
      <c r="D2154" s="18" t="n">
        <v>46296</v>
      </c>
      <c r="E2154" s="19" t="n">
        <v>1.1</v>
      </c>
      <c r="F2154" s="19" t="n">
        <v>10.61</v>
      </c>
      <c r="G2154" t="inlineStr">
        <is>
          <t>$1.1 million</t>
        </is>
      </c>
      <c r="H2154" t="inlineStr">
        <is>
          <t>Pre-Seed</t>
        </is>
      </c>
      <c r="I2154" t="inlineStr">
        <is>
          <t>Early</t>
        </is>
      </c>
      <c r="J2154" t="inlineStr">
        <is>
          <t>Healthtech</t>
        </is>
      </c>
      <c r="K2154" t="inlineStr">
        <is>
          <t>Pune</t>
        </is>
      </c>
      <c r="L2154" t="inlineStr">
        <is>
          <t>SteerX Ventures</t>
        </is>
      </c>
      <c r="M2154" t="inlineStr">
        <is>
          <t>SteerX Ventures; AIRA</t>
        </is>
      </c>
      <c r="N2154" t="inlineStr">
        <is>
          <t>entrackr | inc42</t>
        </is>
      </c>
      <c r="O2154" s="20" t="n">
        <v>2</v>
      </c>
      <c r="P2154" s="21" t="n">
        <v>0</v>
      </c>
      <c r="Q2154" t="inlineStr"/>
      <c r="R2154" s="22" t="inlineStr">
        <is>
          <t>https://entrackr.com/snippets/medical-tourism-startup-curemeabroad-raises-11-mn-in-pre-seed-funding-12628366</t>
        </is>
      </c>
    </row>
    <row r="2155">
      <c r="A2155" t="inlineStr">
        <is>
          <t>R261006-curvetai</t>
        </is>
      </c>
      <c r="B2155" t="inlineStr">
        <is>
          <t>CurvetAI</t>
        </is>
      </c>
      <c r="C2155" s="17" t="n">
        <v>46301</v>
      </c>
      <c r="D2155" s="18" t="n">
        <v>46296</v>
      </c>
      <c r="E2155" s="19" t="n">
        <v>0.622</v>
      </c>
      <c r="F2155" s="19" t="n">
        <v>6</v>
      </c>
      <c r="G2155" t="inlineStr">
        <is>
          <t>Rs 6 crore</t>
        </is>
      </c>
      <c r="H2155" t="inlineStr">
        <is>
          <t>Pre-Seed</t>
        </is>
      </c>
      <c r="I2155" t="inlineStr">
        <is>
          <t>Early</t>
        </is>
      </c>
      <c r="J2155" t="inlineStr">
        <is>
          <t>Artificial Intelligence</t>
        </is>
      </c>
      <c r="K2155" t="inlineStr">
        <is>
          <t>Pune</t>
        </is>
      </c>
      <c r="L2155" t="inlineStr">
        <is>
          <t>Merak Ventures</t>
        </is>
      </c>
      <c r="M2155" t="inlineStr">
        <is>
          <t>Merak Ventures</t>
        </is>
      </c>
      <c r="N2155" t="inlineStr">
        <is>
          <t>entrackr | inc42</t>
        </is>
      </c>
      <c r="O2155" s="20" t="n">
        <v>2</v>
      </c>
      <c r="P2155" s="21" t="n">
        <v>0.4</v>
      </c>
      <c r="Q2155" t="inlineStr"/>
      <c r="R2155" s="22" t="inlineStr">
        <is>
          <t>https://entrackr.com/snippets/curvetai-raises-rs-6-cr-pre-seed-round-led-by-merak-ventures-12627784</t>
        </is>
      </c>
    </row>
    <row r="2156">
      <c r="A2156" t="inlineStr">
        <is>
          <t>R261006-indigotex</t>
        </is>
      </c>
      <c r="B2156" t="inlineStr">
        <is>
          <t>IndigoTex</t>
        </is>
      </c>
      <c r="C2156" s="17" t="n">
        <v>46301</v>
      </c>
      <c r="D2156" s="18" t="n">
        <v>46296</v>
      </c>
      <c r="E2156" s="19" t="n">
        <v>0.519</v>
      </c>
      <c r="F2156" s="19" t="n">
        <v>5</v>
      </c>
      <c r="G2156" t="inlineStr">
        <is>
          <t>Rs 5 crore</t>
        </is>
      </c>
      <c r="H2156" t="inlineStr">
        <is>
          <t>Undisclosed</t>
        </is>
      </c>
      <c r="I2156" t="inlineStr">
        <is>
          <t>Undisclosed</t>
        </is>
      </c>
      <c r="J2156" t="inlineStr">
        <is>
          <t>Enterprise Tech</t>
        </is>
      </c>
      <c r="K2156" t="inlineStr">
        <is>
          <t>Unknown</t>
        </is>
      </c>
      <c r="L2156" t="inlineStr">
        <is>
          <t>IAN Group</t>
        </is>
      </c>
      <c r="M2156" t="inlineStr">
        <is>
          <t>IAN Group; IDBI; FITT</t>
        </is>
      </c>
      <c r="N2156" t="inlineStr">
        <is>
          <t>entrackr | inc42</t>
        </is>
      </c>
      <c r="O2156" s="20" t="n">
        <v>2</v>
      </c>
      <c r="P2156" s="21" t="n">
        <v>0.3</v>
      </c>
      <c r="Q2156" t="inlineStr">
        <is>
          <t>C04 C07</t>
        </is>
      </c>
      <c r="R2156" s="22" t="inlineStr">
        <is>
          <t>https://entrackr.com/snippets/ian-angel-fund-leads-rs-5-cr-round-in-deeptech-textile-startup-indigotex-12628381</t>
        </is>
      </c>
    </row>
    <row r="2157">
      <c r="A2157" t="inlineStr">
        <is>
          <t>R261006-kineticage</t>
        </is>
      </c>
      <c r="B2157" t="inlineStr">
        <is>
          <t>Kinetic Age</t>
        </is>
      </c>
      <c r="C2157" s="17" t="n">
        <v>46301</v>
      </c>
      <c r="D2157" s="18" t="n">
        <v>46296</v>
      </c>
      <c r="E2157" s="19" t="n">
        <v>0.25</v>
      </c>
      <c r="F2157" s="19" t="n">
        <v>2.41</v>
      </c>
      <c r="G2157" t="inlineStr">
        <is>
          <t>$250,000</t>
        </is>
      </c>
      <c r="H2157" t="inlineStr">
        <is>
          <t>Undisclosed</t>
        </is>
      </c>
      <c r="I2157" t="inlineStr">
        <is>
          <t>Undisclosed</t>
        </is>
      </c>
      <c r="J2157" t="inlineStr">
        <is>
          <t>Healthtech</t>
        </is>
      </c>
      <c r="K2157" t="inlineStr">
        <is>
          <t>Bengaluru</t>
        </is>
      </c>
      <c r="L2157" t="inlineStr">
        <is>
          <t>AJVC; Agrasar Ventures</t>
        </is>
      </c>
      <c r="M2157" t="inlineStr">
        <is>
          <t>AJVC; Agrasar Ventures</t>
        </is>
      </c>
      <c r="N2157" t="inlineStr">
        <is>
          <t>entrackr | inc42</t>
        </is>
      </c>
      <c r="O2157" s="20" t="n">
        <v>2</v>
      </c>
      <c r="P2157" s="21" t="n">
        <v>0</v>
      </c>
      <c r="Q2157" t="inlineStr">
        <is>
          <t>C04</t>
        </is>
      </c>
      <c r="R2157" s="22" t="inlineStr">
        <is>
          <t>https://entrackr.com/snippets/kinetic-age-raises-250k-from-ajvc-agrasar-ventures-12627734</t>
        </is>
      </c>
    </row>
    <row r="2158">
      <c r="A2158" t="inlineStr">
        <is>
          <t>R261006-lorazzo</t>
        </is>
      </c>
      <c r="B2158" t="inlineStr">
        <is>
          <t>Lorazzo</t>
        </is>
      </c>
      <c r="C2158" s="17" t="n">
        <v>46301</v>
      </c>
      <c r="D2158" s="18" t="n">
        <v>46296</v>
      </c>
      <c r="E2158" s="19" t="n">
        <v>1.556</v>
      </c>
      <c r="F2158" s="19" t="n">
        <v>15</v>
      </c>
      <c r="G2158" t="inlineStr">
        <is>
          <t>Rs 15 crore</t>
        </is>
      </c>
      <c r="H2158" t="inlineStr">
        <is>
          <t>Undisclosed</t>
        </is>
      </c>
      <c r="I2158" t="inlineStr">
        <is>
          <t>Undisclosed</t>
        </is>
      </c>
      <c r="J2158" t="inlineStr">
        <is>
          <t>Ecommerce</t>
        </is>
      </c>
      <c r="K2158" t="inlineStr">
        <is>
          <t>Unknown</t>
        </is>
      </c>
      <c r="L2158" t="inlineStr">
        <is>
          <t>Sauce.Vc</t>
        </is>
      </c>
      <c r="M2158" t="inlineStr">
        <is>
          <t>Sauce.Vc; Sprout Venture Partners; Panthera Peak; Alteria Capital</t>
        </is>
      </c>
      <c r="N2158" t="inlineStr">
        <is>
          <t>entrackr | inc42 | et</t>
        </is>
      </c>
      <c r="O2158" s="20" t="n">
        <v>3</v>
      </c>
      <c r="P2158" s="21" t="n">
        <v>3.7</v>
      </c>
      <c r="Q2158" t="inlineStr">
        <is>
          <t>C04 C07</t>
        </is>
      </c>
      <c r="R2158" s="22" t="inlineStr">
        <is>
          <t>https://entrackr.com/snippets/sauce-leads-rs-15-cr-funding-round-in-kitchen-and-bathroom-brand-lorazzo-12628801</t>
        </is>
      </c>
    </row>
    <row r="2159">
      <c r="A2159" t="inlineStr">
        <is>
          <t>R261006-refitglobal</t>
        </is>
      </c>
      <c r="B2159" t="inlineStr">
        <is>
          <t>ReFit Global</t>
        </is>
      </c>
      <c r="C2159" s="17" t="n">
        <v>46301</v>
      </c>
      <c r="D2159" s="18" t="n">
        <v>46296</v>
      </c>
      <c r="E2159" s="19" t="n">
        <v>1</v>
      </c>
      <c r="F2159" s="19" t="n">
        <v>9.640000000000001</v>
      </c>
      <c r="G2159" t="inlineStr">
        <is>
          <t>$1 million</t>
        </is>
      </c>
      <c r="H2159" t="inlineStr">
        <is>
          <t>Seed</t>
        </is>
      </c>
      <c r="I2159" t="inlineStr">
        <is>
          <t>Early</t>
        </is>
      </c>
      <c r="J2159" t="inlineStr">
        <is>
          <t>Ecommerce</t>
        </is>
      </c>
      <c r="K2159" t="inlineStr">
        <is>
          <t>Delhi NCR</t>
        </is>
      </c>
      <c r="L2159" t="inlineStr"/>
      <c r="M2159" t="inlineStr">
        <is>
          <t>UAE Family Office</t>
        </is>
      </c>
      <c r="N2159" t="inlineStr">
        <is>
          <t>entrackr | inc42</t>
        </is>
      </c>
      <c r="O2159" s="20" t="n">
        <v>2</v>
      </c>
      <c r="P2159" s="21" t="n">
        <v>0</v>
      </c>
      <c r="Q2159" t="inlineStr"/>
      <c r="R2159" s="22" t="inlineStr">
        <is>
          <t>https://entrackr.com/snippets/refurbished-electronics-platform-refit-global-raises-1-mn-in-seed-round-12627826</t>
        </is>
      </c>
    </row>
    <row r="2160">
      <c r="A2160" t="inlineStr">
        <is>
          <t>R261006-soberandco</t>
        </is>
      </c>
      <c r="B2160" t="inlineStr">
        <is>
          <t>Sober &amp; Co</t>
        </is>
      </c>
      <c r="C2160" s="17" t="n">
        <v>46301</v>
      </c>
      <c r="D2160" s="18" t="n">
        <v>46296</v>
      </c>
      <c r="E2160" s="19" t="n">
        <v>0.077</v>
      </c>
      <c r="F2160" s="19" t="n">
        <v>0.74</v>
      </c>
      <c r="G2160" t="inlineStr">
        <is>
          <t>$77K</t>
        </is>
      </c>
      <c r="H2160" t="inlineStr">
        <is>
          <t>Undisclosed</t>
        </is>
      </c>
      <c r="I2160" t="inlineStr">
        <is>
          <t>Undisclosed</t>
        </is>
      </c>
      <c r="J2160" t="inlineStr">
        <is>
          <t>Ecommerce</t>
        </is>
      </c>
      <c r="K2160" t="inlineStr">
        <is>
          <t>Unknown</t>
        </is>
      </c>
      <c r="L2160" t="inlineStr">
        <is>
          <t>Sunaina Bhattacharya; Anuj Dhariwal</t>
        </is>
      </c>
      <c r="M2160" t="inlineStr">
        <is>
          <t>Sunaina Bhattacharya; Anuj Dhariwal</t>
        </is>
      </c>
      <c r="N2160" t="inlineStr">
        <is>
          <t>inc42</t>
        </is>
      </c>
      <c r="O2160" s="20" t="n">
        <v>1</v>
      </c>
      <c r="P2160" s="21" t="n">
        <v>0</v>
      </c>
      <c r="Q2160" t="inlineStr">
        <is>
          <t>C04 C07</t>
        </is>
      </c>
      <c r="R2160" s="22" t="inlineStr">
        <is>
          <t>https://inc42.com/buzz/from-dailyobjects-to-stockgro-indian-startups-raised-about-123-mn-this-week/</t>
        </is>
      </c>
    </row>
    <row r="2161">
      <c r="A2161" t="inlineStr">
        <is>
          <t>R261006-stockgro</t>
        </is>
      </c>
      <c r="B2161" t="inlineStr">
        <is>
          <t>StockGro</t>
        </is>
      </c>
      <c r="C2161" s="17" t="n">
        <v>46301</v>
      </c>
      <c r="D2161" s="18" t="n">
        <v>46296</v>
      </c>
      <c r="E2161" s="19" t="n">
        <v>10.4</v>
      </c>
      <c r="F2161" s="19" t="n">
        <v>100.28</v>
      </c>
      <c r="G2161" t="inlineStr">
        <is>
          <t>$10.4 Mn</t>
        </is>
      </c>
      <c r="H2161" t="inlineStr">
        <is>
          <t>Series B</t>
        </is>
      </c>
      <c r="I2161" t="inlineStr">
        <is>
          <t>Growth</t>
        </is>
      </c>
      <c r="J2161" t="inlineStr">
        <is>
          <t>Fintech</t>
        </is>
      </c>
      <c r="K2161" t="inlineStr">
        <is>
          <t>Bengaluru</t>
        </is>
      </c>
      <c r="L2161" t="inlineStr">
        <is>
          <t>BITKRAFT Ventures</t>
        </is>
      </c>
      <c r="M2161" t="inlineStr">
        <is>
          <t>BITKRAFT Ventures; Aditum Venture Capital Fund; India SME Growth Fund; Sunil Shetty</t>
        </is>
      </c>
      <c r="N2161" t="inlineStr">
        <is>
          <t>inc42</t>
        </is>
      </c>
      <c r="O2161" s="20" t="n">
        <v>1</v>
      </c>
      <c r="P2161" s="21" t="n">
        <v>0</v>
      </c>
      <c r="Q2161" t="inlineStr"/>
      <c r="R2161" s="22" t="inlineStr">
        <is>
          <t>https://inc42.com/buzz/from-dailyobjects-to-stockgro-indian-startups-raised-about-123-mn-this-week/</t>
        </is>
      </c>
    </row>
    <row r="2162">
      <c r="A2162" t="inlineStr">
        <is>
          <t>R261007-bytexl</t>
        </is>
      </c>
      <c r="B2162" t="inlineStr">
        <is>
          <t>byteXL</t>
        </is>
      </c>
      <c r="C2162" s="17" t="n">
        <v>46302</v>
      </c>
      <c r="D2162" s="18" t="n">
        <v>46296</v>
      </c>
      <c r="E2162" s="19" t="n">
        <v>9</v>
      </c>
      <c r="F2162" s="19" t="n">
        <v>87.06</v>
      </c>
      <c r="G2162" t="inlineStr">
        <is>
          <t>$9 million</t>
        </is>
      </c>
      <c r="H2162" t="inlineStr">
        <is>
          <t>Series B</t>
        </is>
      </c>
      <c r="I2162" t="inlineStr">
        <is>
          <t>Growth</t>
        </is>
      </c>
      <c r="J2162" t="inlineStr">
        <is>
          <t>Edtech</t>
        </is>
      </c>
      <c r="K2162" t="inlineStr">
        <is>
          <t>Hyderabad</t>
        </is>
      </c>
      <c r="L2162" t="inlineStr">
        <is>
          <t>Elevar Equity</t>
        </is>
      </c>
      <c r="M2162" t="inlineStr">
        <is>
          <t>Elevar Equity; Kalaari Capital; Michael &amp; Susan Dell Foundation</t>
        </is>
      </c>
      <c r="N2162" t="inlineStr">
        <is>
          <t>entrackr | inc42 | et</t>
        </is>
      </c>
      <c r="O2162" s="20" t="n">
        <v>3</v>
      </c>
      <c r="P2162" s="21" t="n">
        <v>0</v>
      </c>
      <c r="Q2162" t="inlineStr"/>
      <c r="R2162" s="22" t="inlineStr">
        <is>
          <t>https://entrackr.com/snippets/edtech-startup-bytexl-raises-9-mn-in-funding-round-led-by-elevar-equity-12632385</t>
        </is>
      </c>
    </row>
    <row r="2163">
      <c r="A2163" t="inlineStr">
        <is>
          <t>R261007-credfix</t>
        </is>
      </c>
      <c r="B2163" t="inlineStr">
        <is>
          <t>Credfix</t>
        </is>
      </c>
      <c r="C2163" s="17" t="n">
        <v>46302</v>
      </c>
      <c r="D2163" s="18" t="n">
        <v>46296</v>
      </c>
      <c r="E2163" s="19" t="n">
        <v>1.664</v>
      </c>
      <c r="F2163" s="19" t="n">
        <v>16.1</v>
      </c>
      <c r="G2163" t="inlineStr">
        <is>
          <t>Rs 16.1 crore</t>
        </is>
      </c>
      <c r="H2163" t="inlineStr">
        <is>
          <t>Seed</t>
        </is>
      </c>
      <c r="I2163" t="inlineStr">
        <is>
          <t>Early</t>
        </is>
      </c>
      <c r="J2163" t="inlineStr">
        <is>
          <t>Fintech</t>
        </is>
      </c>
      <c r="K2163" t="inlineStr">
        <is>
          <t>Unknown</t>
        </is>
      </c>
      <c r="L2163" t="inlineStr">
        <is>
          <t>Tanglin Venture Partners</t>
        </is>
      </c>
      <c r="M2163" t="inlineStr">
        <is>
          <t>Tanglin Venture Partners; Stargazer</t>
        </is>
      </c>
      <c r="N2163" t="inlineStr">
        <is>
          <t>entrackr | inc42</t>
        </is>
      </c>
      <c r="O2163" s="20" t="n">
        <v>2</v>
      </c>
      <c r="P2163" s="21" t="n">
        <v>4</v>
      </c>
      <c r="Q2163" t="inlineStr">
        <is>
          <t>C07</t>
        </is>
      </c>
      <c r="R2163" s="22" t="inlineStr">
        <is>
          <t>https://entrackr.com/snippets/tanglin-venture-leads-rs-161-cr-seed-round-in-debt-resolution-platform-credfix-12633304</t>
        </is>
      </c>
    </row>
    <row r="2164">
      <c r="A2164" t="inlineStr">
        <is>
          <t>R261007-desibleai</t>
        </is>
      </c>
      <c r="B2164" t="inlineStr">
        <is>
          <t>Desible.ai</t>
        </is>
      </c>
      <c r="C2164" s="17" t="n">
        <v>46302</v>
      </c>
      <c r="D2164" s="18" t="n">
        <v>46296</v>
      </c>
      <c r="E2164" s="19" t="n">
        <v>3.308</v>
      </c>
      <c r="F2164" s="19" t="n">
        <v>32</v>
      </c>
      <c r="G2164" t="inlineStr">
        <is>
          <t>Rs 32 crore</t>
        </is>
      </c>
      <c r="H2164" t="inlineStr">
        <is>
          <t>Seed</t>
        </is>
      </c>
      <c r="I2164" t="inlineStr">
        <is>
          <t>Early</t>
        </is>
      </c>
      <c r="J2164" t="inlineStr">
        <is>
          <t>Artificial Intelligence</t>
        </is>
      </c>
      <c r="K2164" t="inlineStr">
        <is>
          <t>Bengaluru</t>
        </is>
      </c>
      <c r="L2164" t="inlineStr">
        <is>
          <t>Prime Venture Partners</t>
        </is>
      </c>
      <c r="M2164" t="inlineStr">
        <is>
          <t>Prime Venture Partners; Invention Engine</t>
        </is>
      </c>
      <c r="N2164" t="inlineStr">
        <is>
          <t>entrackr | inc42</t>
        </is>
      </c>
      <c r="O2164" s="20" t="n">
        <v>2</v>
      </c>
      <c r="P2164" s="21" t="n">
        <v>0.2</v>
      </c>
      <c r="Q2164" t="inlineStr"/>
      <c r="R2164" s="22" t="inlineStr">
        <is>
          <t>https://entrackr.com/snippets/agentic-ai-startup-desibleai-raises-rs-32-cr-led-by-prime-venture-partners-12632530</t>
        </is>
      </c>
    </row>
    <row r="2165">
      <c r="A2165" t="inlineStr">
        <is>
          <t>R261007-garudaaerospac</t>
        </is>
      </c>
      <c r="B2165" t="inlineStr">
        <is>
          <t>Garuda Aerospace</t>
        </is>
      </c>
      <c r="C2165" s="17" t="n">
        <v>46302</v>
      </c>
      <c r="D2165" s="18" t="n">
        <v>46296</v>
      </c>
      <c r="E2165" s="19" t="n">
        <v>10</v>
      </c>
      <c r="F2165" s="19" t="n">
        <v>96.73</v>
      </c>
      <c r="G2165" t="inlineStr">
        <is>
          <t>$10 million</t>
        </is>
      </c>
      <c r="H2165" t="inlineStr">
        <is>
          <t>Pre-IPO</t>
        </is>
      </c>
      <c r="I2165" t="inlineStr">
        <is>
          <t>Late</t>
        </is>
      </c>
      <c r="J2165" t="inlineStr">
        <is>
          <t>Deeptech</t>
        </is>
      </c>
      <c r="K2165" t="inlineStr">
        <is>
          <t>Chennai</t>
        </is>
      </c>
      <c r="L2165" t="inlineStr"/>
      <c r="M2165" t="inlineStr"/>
      <c r="N2165" t="inlineStr">
        <is>
          <t>et</t>
        </is>
      </c>
      <c r="O2165" s="20" t="n">
        <v>1</v>
      </c>
      <c r="P2165" s="21" t="n">
        <v>0</v>
      </c>
      <c r="Q2165" t="inlineStr">
        <is>
          <t>C05</t>
        </is>
      </c>
      <c r="R2165" s="22" t="inlineStr">
        <is>
          <t>https://economictimes.indiatimes.com/tech/startups/garuda-aerospace-lands-10-million-pre-ipo-funding-at-320-million-valuation/articleshow/134746224.cms</t>
        </is>
      </c>
    </row>
    <row r="2166">
      <c r="A2166" t="inlineStr">
        <is>
          <t>R261007-ionage</t>
        </is>
      </c>
      <c r="B2166" t="inlineStr">
        <is>
          <t>IONAGE</t>
        </is>
      </c>
      <c r="C2166" s="17" t="n">
        <v>46302</v>
      </c>
      <c r="D2166" s="18" t="n">
        <v>46296</v>
      </c>
      <c r="E2166" s="19" t="n">
        <v>1.3</v>
      </c>
      <c r="F2166" s="19" t="n">
        <v>12.57</v>
      </c>
      <c r="G2166" t="inlineStr">
        <is>
          <t>$1.3 million</t>
        </is>
      </c>
      <c r="H2166" t="inlineStr">
        <is>
          <t>Pre-Series A</t>
        </is>
      </c>
      <c r="I2166" t="inlineStr">
        <is>
          <t>Early</t>
        </is>
      </c>
      <c r="J2166" t="inlineStr">
        <is>
          <t>Cleantech</t>
        </is>
      </c>
      <c r="K2166" t="inlineStr">
        <is>
          <t>Bengaluru</t>
        </is>
      </c>
      <c r="L2166" t="inlineStr"/>
      <c r="M2166" t="inlineStr"/>
      <c r="N2166" t="inlineStr">
        <is>
          <t>entrackr | inc42</t>
        </is>
      </c>
      <c r="O2166" s="20" t="n">
        <v>2</v>
      </c>
      <c r="P2166" s="21" t="n">
        <v>0</v>
      </c>
      <c r="Q2166" t="inlineStr">
        <is>
          <t>C05</t>
        </is>
      </c>
      <c r="R2166" s="22" t="inlineStr">
        <is>
          <t>https://entrackr.com/snippets/energy-management-platform-ionage-raises-13-mn-in-pre-series-a-round-12633801</t>
        </is>
      </c>
    </row>
    <row r="2167">
      <c r="A2167" t="inlineStr">
        <is>
          <t>R261007-lumio</t>
        </is>
      </c>
      <c r="B2167" t="inlineStr">
        <is>
          <t>Lumio</t>
        </is>
      </c>
      <c r="C2167" s="17" t="n">
        <v>46302</v>
      </c>
      <c r="D2167" s="18" t="n">
        <v>46296</v>
      </c>
      <c r="E2167" s="19" t="n">
        <v>12</v>
      </c>
      <c r="F2167" s="19" t="n">
        <v>116.08</v>
      </c>
      <c r="G2167" t="inlineStr">
        <is>
          <t>$12 Mn</t>
        </is>
      </c>
      <c r="H2167" t="inlineStr">
        <is>
          <t>Series A</t>
        </is>
      </c>
      <c r="I2167" t="inlineStr">
        <is>
          <t>Early</t>
        </is>
      </c>
      <c r="J2167" t="inlineStr">
        <is>
          <t>Ecommerce</t>
        </is>
      </c>
      <c r="K2167" t="inlineStr">
        <is>
          <t>Unknown</t>
        </is>
      </c>
      <c r="L2167" t="inlineStr">
        <is>
          <t>Blume Ventures</t>
        </is>
      </c>
      <c r="M2167" t="inlineStr">
        <is>
          <t>Blume Ventures; Stellaris Venture Partners; 3one4 Capital</t>
        </is>
      </c>
      <c r="N2167" t="inlineStr">
        <is>
          <t>inc42</t>
        </is>
      </c>
      <c r="O2167" s="20" t="n">
        <v>1</v>
      </c>
      <c r="P2167" s="21" t="n">
        <v>0</v>
      </c>
      <c r="Q2167" t="inlineStr">
        <is>
          <t>C07</t>
        </is>
      </c>
      <c r="R2167" s="22" t="inlineStr">
        <is>
          <t>https://inc42.com/buzz/from-dailyobjects-to-stockgro-indian-startups-raised-about-123-mn-this-week/</t>
        </is>
      </c>
    </row>
    <row r="2168">
      <c r="A2168" t="inlineStr">
        <is>
          <t>R261007-quanfluence</t>
        </is>
      </c>
      <c r="B2168" t="inlineStr">
        <is>
          <t>Quanfluence</t>
        </is>
      </c>
      <c r="C2168" s="17" t="n">
        <v>46302</v>
      </c>
      <c r="D2168" s="18" t="n">
        <v>46296</v>
      </c>
      <c r="E2168" s="19" t="n">
        <v>10</v>
      </c>
      <c r="F2168" s="19" t="n">
        <v>96.73</v>
      </c>
      <c r="G2168" t="inlineStr">
        <is>
          <t>$10 million</t>
        </is>
      </c>
      <c r="H2168" t="inlineStr">
        <is>
          <t>Undisclosed</t>
        </is>
      </c>
      <c r="I2168" t="inlineStr">
        <is>
          <t>Undisclosed</t>
        </is>
      </c>
      <c r="J2168" t="inlineStr">
        <is>
          <t>Advanced Hardware &amp; Technology</t>
        </is>
      </c>
      <c r="K2168" t="inlineStr">
        <is>
          <t>Bengaluru</t>
        </is>
      </c>
      <c r="L2168" t="inlineStr">
        <is>
          <t>Chiratae Ventures</t>
        </is>
      </c>
      <c r="M2168" t="inlineStr">
        <is>
          <t>Chiratae Ventures; Rainmatter; Pi Ventures; Golden Sparrow; Reena Dayal</t>
        </is>
      </c>
      <c r="N2168" t="inlineStr">
        <is>
          <t>entrackr | inc42 | et</t>
        </is>
      </c>
      <c r="O2168" s="20" t="n">
        <v>3</v>
      </c>
      <c r="P2168" s="21" t="n">
        <v>0</v>
      </c>
      <c r="Q2168" t="inlineStr">
        <is>
          <t>C04</t>
        </is>
      </c>
      <c r="R2168" s="22" t="inlineStr">
        <is>
          <t>https://entrackr.com/news/chiratae-ventures-leads-10-mn-round-in-photonic-quantum-startup-quanfluence-12631530</t>
        </is>
      </c>
    </row>
    <row r="2169">
      <c r="A2169" t="inlineStr">
        <is>
          <t>R261007-sunfoxtechnolo</t>
        </is>
      </c>
      <c r="B2169" t="inlineStr">
        <is>
          <t>Sunfox Technologies</t>
        </is>
      </c>
      <c r="C2169" s="17" t="n">
        <v>46302</v>
      </c>
      <c r="D2169" s="18" t="n">
        <v>46296</v>
      </c>
      <c r="E2169" s="19" t="n">
        <v>7</v>
      </c>
      <c r="F2169" s="19" t="n">
        <v>67.70999999999999</v>
      </c>
      <c r="G2169" t="inlineStr">
        <is>
          <t>$7 million</t>
        </is>
      </c>
      <c r="H2169" t="inlineStr">
        <is>
          <t>Series A</t>
        </is>
      </c>
      <c r="I2169" t="inlineStr">
        <is>
          <t>Early</t>
        </is>
      </c>
      <c r="J2169" t="inlineStr">
        <is>
          <t>Healthtech</t>
        </is>
      </c>
      <c r="K2169" t="inlineStr">
        <is>
          <t>Dehradun</t>
        </is>
      </c>
      <c r="L2169" t="inlineStr">
        <is>
          <t>Ashish Kacholia; Lashit Sanghvi; Alchemy Capital; 3one4 Capital</t>
        </is>
      </c>
      <c r="M2169" t="inlineStr">
        <is>
          <t>Ashish Kacholia; Lashit Sanghvi; Alchemy Capital; 3one4 Capital; Venture Catalysts; Brew Opportunities Fund; Universal Group; RP Singhvi Group</t>
        </is>
      </c>
      <c r="N2169" t="inlineStr">
        <is>
          <t>entrackr | inc42</t>
        </is>
      </c>
      <c r="O2169" s="20" t="n">
        <v>2</v>
      </c>
      <c r="P2169" s="21" t="n">
        <v>0</v>
      </c>
      <c r="Q2169" t="inlineStr"/>
      <c r="R2169" s="22" t="inlineStr">
        <is>
          <t>https://entrackr.com/snippets/med-tech-startup-sunfox-technologies-raises-7-mn-in-series-a-round-12633059</t>
        </is>
      </c>
    </row>
    <row r="2170">
      <c r="A2170" t="inlineStr">
        <is>
          <t>R261007-thedoughtherap</t>
        </is>
      </c>
      <c r="B2170" t="inlineStr">
        <is>
          <t>The Dough Therapy</t>
        </is>
      </c>
      <c r="C2170" s="17" t="n">
        <v>46302</v>
      </c>
      <c r="D2170" s="18" t="n">
        <v>46296</v>
      </c>
      <c r="E2170" s="19" t="n">
        <v>0.543</v>
      </c>
      <c r="F2170" s="19" t="n">
        <v>5.25</v>
      </c>
      <c r="G2170" t="inlineStr">
        <is>
          <t>Rs 5.25 crore</t>
        </is>
      </c>
      <c r="H2170" t="inlineStr">
        <is>
          <t>Seed</t>
        </is>
      </c>
      <c r="I2170" t="inlineStr">
        <is>
          <t>Early</t>
        </is>
      </c>
      <c r="J2170" t="inlineStr">
        <is>
          <t>Foodtech</t>
        </is>
      </c>
      <c r="K2170" t="inlineStr">
        <is>
          <t>Unknown</t>
        </is>
      </c>
      <c r="L2170" t="inlineStr">
        <is>
          <t>Michigan Capital Advisors</t>
        </is>
      </c>
      <c r="M2170" t="inlineStr">
        <is>
          <t>Michigan Capital Advisors; Equiglobe Investment</t>
        </is>
      </c>
      <c r="N2170" t="inlineStr">
        <is>
          <t>entrackr | inc42</t>
        </is>
      </c>
      <c r="O2170" s="20" t="n">
        <v>2</v>
      </c>
      <c r="P2170" s="21" t="n">
        <v>0</v>
      </c>
      <c r="Q2170" t="inlineStr">
        <is>
          <t>C07</t>
        </is>
      </c>
      <c r="R2170" s="22" t="inlineStr">
        <is>
          <t>https://entrackr.com/snippets/pizza-brand-the-dough-therapy-raises-rs-525-cr-in-seed-round-12634056</t>
        </is>
      </c>
    </row>
    <row r="2171">
      <c r="A2171" t="inlineStr">
        <is>
          <t>R261007-zomint</t>
        </is>
      </c>
      <c r="B2171" t="inlineStr">
        <is>
          <t>Zomint</t>
        </is>
      </c>
      <c r="C2171" s="17" t="n">
        <v>46302</v>
      </c>
      <c r="D2171" s="18" t="n">
        <v>46296</v>
      </c>
      <c r="E2171" s="19" t="n">
        <v>3.722</v>
      </c>
      <c r="F2171" s="19" t="n">
        <v>36</v>
      </c>
      <c r="G2171" t="inlineStr">
        <is>
          <t>Rs 36 crore</t>
        </is>
      </c>
      <c r="H2171" t="inlineStr">
        <is>
          <t>Seed</t>
        </is>
      </c>
      <c r="I2171" t="inlineStr">
        <is>
          <t>Early</t>
        </is>
      </c>
      <c r="J2171" t="inlineStr">
        <is>
          <t>Fintech</t>
        </is>
      </c>
      <c r="K2171" t="inlineStr">
        <is>
          <t>Unknown</t>
        </is>
      </c>
      <c r="L2171" t="inlineStr"/>
      <c r="M2171" t="inlineStr">
        <is>
          <t>Lightspeed; Prime Venture Partners</t>
        </is>
      </c>
      <c r="N2171" t="inlineStr">
        <is>
          <t>entrackr | inc42 | et</t>
        </is>
      </c>
      <c r="O2171" s="20" t="n">
        <v>3</v>
      </c>
      <c r="P2171" s="21" t="n">
        <v>0.6</v>
      </c>
      <c r="Q2171" t="inlineStr">
        <is>
          <t>C07</t>
        </is>
      </c>
      <c r="R2171" s="22" t="inlineStr">
        <is>
          <t>https://entrackr.com/snippets/zomint-raises-rs-36-cr-seed-round-from-lightspeed-and-prime-venture-partners-12631666</t>
        </is>
      </c>
    </row>
    <row r="2172">
      <c r="A2172" t="inlineStr">
        <is>
          <t>R261008-dailyobjects</t>
        </is>
      </c>
      <c r="B2172" t="inlineStr">
        <is>
          <t>DailyObjects</t>
        </is>
      </c>
      <c r="C2172" s="17" t="n">
        <v>46303</v>
      </c>
      <c r="D2172" s="18" t="n">
        <v>46296</v>
      </c>
      <c r="E2172" s="19" t="n">
        <v>34.305</v>
      </c>
      <c r="F2172" s="19" t="n">
        <v>332</v>
      </c>
      <c r="G2172" t="inlineStr">
        <is>
          <t>Rs 332 crore</t>
        </is>
      </c>
      <c r="H2172" t="inlineStr">
        <is>
          <t>Series C</t>
        </is>
      </c>
      <c r="I2172" t="inlineStr">
        <is>
          <t>Growth</t>
        </is>
      </c>
      <c r="J2172" t="inlineStr">
        <is>
          <t>Ecommerce</t>
        </is>
      </c>
      <c r="K2172" t="inlineStr">
        <is>
          <t>Unknown</t>
        </is>
      </c>
      <c r="L2172" t="inlineStr">
        <is>
          <t>Xponentia Capital Partners; Anicut Capital; Axiom Asia Private Capital</t>
        </is>
      </c>
      <c r="M2172" t="inlineStr">
        <is>
          <t>Xponentia Capital Partners; Anicut Capital; Axiom Asia Private Capital</t>
        </is>
      </c>
      <c r="N2172" t="inlineStr">
        <is>
          <t>entrackr | inc42 | et</t>
        </is>
      </c>
      <c r="O2172" s="20" t="n">
        <v>3</v>
      </c>
      <c r="P2172" s="21" t="n">
        <v>0</v>
      </c>
      <c r="Q2172" t="inlineStr">
        <is>
          <t>C07</t>
        </is>
      </c>
      <c r="R2172" s="22" t="inlineStr">
        <is>
          <t>https://entrackr.com/news/dailyobjects-raises-rs-332-cr-in-series-c-round-led-by-xponentia-anicut-axiom-asia-12638318</t>
        </is>
      </c>
    </row>
    <row r="2173">
      <c r="A2173" t="inlineStr">
        <is>
          <t>R261008-tailblazelonge</t>
        </is>
      </c>
      <c r="B2173" t="inlineStr">
        <is>
          <t>TailBlaze Longevity</t>
        </is>
      </c>
      <c r="C2173" s="17" t="n">
        <v>46303</v>
      </c>
      <c r="D2173" s="18" t="n">
        <v>46296</v>
      </c>
      <c r="E2173" s="19" t="n">
        <v>0.3</v>
      </c>
      <c r="F2173" s="19" t="n">
        <v>2.9</v>
      </c>
      <c r="G2173" t="inlineStr">
        <is>
          <t>$300K</t>
        </is>
      </c>
      <c r="H2173" t="inlineStr">
        <is>
          <t>Pre-Seed</t>
        </is>
      </c>
      <c r="I2173" t="inlineStr">
        <is>
          <t>Early</t>
        </is>
      </c>
      <c r="J2173" t="inlineStr">
        <is>
          <t>Ecommerce</t>
        </is>
      </c>
      <c r="K2173" t="inlineStr">
        <is>
          <t>Ahmedabad</t>
        </is>
      </c>
      <c r="L2173" t="inlineStr">
        <is>
          <t>Comma Capital</t>
        </is>
      </c>
      <c r="M2173" t="inlineStr">
        <is>
          <t>Comma Capital</t>
        </is>
      </c>
      <c r="N2173" t="inlineStr">
        <is>
          <t>entrackr | inc42</t>
        </is>
      </c>
      <c r="O2173" s="20" t="n">
        <v>2</v>
      </c>
      <c r="P2173" s="21" t="n">
        <v>0</v>
      </c>
      <c r="Q2173" t="inlineStr"/>
      <c r="R2173" s="22" t="inlineStr">
        <is>
          <t>https://entrackr.com/snippets/pet-food-startup-tailblaze-longevity-raises-pre-seed-funding-12637360</t>
        </is>
      </c>
    </row>
    <row r="2174">
      <c r="A2174" t="inlineStr">
        <is>
          <t>R261008-zinara</t>
        </is>
      </c>
      <c r="B2174" t="inlineStr">
        <is>
          <t>Zinara</t>
        </is>
      </c>
      <c r="C2174" s="17" t="n">
        <v>46303</v>
      </c>
      <c r="D2174" s="18" t="n">
        <v>46296</v>
      </c>
      <c r="E2174" s="19" t="n">
        <v>0.373</v>
      </c>
      <c r="F2174" s="19" t="n">
        <v>3.61</v>
      </c>
      <c r="G2174" t="inlineStr">
        <is>
          <t>Rs 3.61 crore</t>
        </is>
      </c>
      <c r="H2174" t="inlineStr">
        <is>
          <t>Pre-Seed</t>
        </is>
      </c>
      <c r="I2174" t="inlineStr">
        <is>
          <t>Early</t>
        </is>
      </c>
      <c r="J2174" t="inlineStr">
        <is>
          <t>Ecommerce</t>
        </is>
      </c>
      <c r="K2174" t="inlineStr">
        <is>
          <t>Delhi NCR</t>
        </is>
      </c>
      <c r="L2174" t="inlineStr">
        <is>
          <t>Inflection Point Ventures</t>
        </is>
      </c>
      <c r="M2174" t="inlineStr">
        <is>
          <t>Inflection Point Ventures; Nine Jewellery; Nikita Dutta</t>
        </is>
      </c>
      <c r="N2174" t="inlineStr">
        <is>
          <t>entrackr | inc42</t>
        </is>
      </c>
      <c r="O2174" s="20" t="n">
        <v>2</v>
      </c>
      <c r="P2174" s="21" t="n">
        <v>1.9</v>
      </c>
      <c r="Q2174" t="inlineStr">
        <is>
          <t>C09</t>
        </is>
      </c>
      <c r="R2174" s="22" t="inlineStr">
        <is>
          <t>https://entrackr.com/snippets/lab-grown-diamond-brand-zinara-raises-pre-seed-funding-led-by-inflection-point-ventures-12636439</t>
        </is>
      </c>
    </row>
    <row r="2175">
      <c r="A2175" t="inlineStr">
        <is>
          <t>R261009-gramiyaa</t>
        </is>
      </c>
      <c r="B2175" t="inlineStr">
        <is>
          <t>Gramiyaa</t>
        </is>
      </c>
      <c r="C2175" s="17" t="n">
        <v>46304</v>
      </c>
      <c r="D2175" s="18" t="n">
        <v>46296</v>
      </c>
      <c r="E2175" s="19" t="n">
        <v>1.928</v>
      </c>
      <c r="F2175" s="19" t="n">
        <v>18.65</v>
      </c>
      <c r="G2175" t="inlineStr">
        <is>
          <t>Rs 18.65 crore</t>
        </is>
      </c>
      <c r="H2175" t="inlineStr">
        <is>
          <t>Pre-Series A</t>
        </is>
      </c>
      <c r="I2175" t="inlineStr">
        <is>
          <t>Early</t>
        </is>
      </c>
      <c r="J2175" t="inlineStr">
        <is>
          <t>Ecommerce</t>
        </is>
      </c>
      <c r="K2175" t="inlineStr">
        <is>
          <t>Bengaluru</t>
        </is>
      </c>
      <c r="L2175" t="inlineStr">
        <is>
          <t>Optiscape Network Holdings; Homegrown Ventures; Campus Fund</t>
        </is>
      </c>
      <c r="M2175" t="inlineStr">
        <is>
          <t>Optiscape Network Holdings; Homegrown Ventures; Campus Fund</t>
        </is>
      </c>
      <c r="N2175" t="inlineStr">
        <is>
          <t>entrackr</t>
        </is>
      </c>
      <c r="O2175" s="20" t="n">
        <v>1</v>
      </c>
      <c r="P2175" s="21" t="n">
        <v>0</v>
      </c>
      <c r="Q2175" t="inlineStr"/>
      <c r="R2175" s="22" t="inlineStr">
        <is>
          <t>https://entrackr.com/exclusive/exclusive-gramiyaa-raises-fresh-capital-in-series-a-round-at-rs-110-cr-valuation-12658745</t>
        </is>
      </c>
    </row>
    <row r="2176">
      <c r="A2176" t="inlineStr">
        <is>
          <t>R261009-kisah</t>
        </is>
      </c>
      <c r="B2176" t="inlineStr">
        <is>
          <t>KISAH</t>
        </is>
      </c>
      <c r="C2176" s="17" t="n">
        <v>46304</v>
      </c>
      <c r="D2176" s="18" t="n">
        <v>46296</v>
      </c>
      <c r="E2176" s="19" t="n">
        <v>3.7</v>
      </c>
      <c r="F2176" s="19" t="n">
        <v>35.79</v>
      </c>
      <c r="G2176" t="inlineStr">
        <is>
          <t>$3.7 Mn</t>
        </is>
      </c>
      <c r="H2176" t="inlineStr">
        <is>
          <t>Series A</t>
        </is>
      </c>
      <c r="I2176" t="inlineStr">
        <is>
          <t>Early</t>
        </is>
      </c>
      <c r="J2176" t="inlineStr">
        <is>
          <t>Ecommerce</t>
        </is>
      </c>
      <c r="K2176" t="inlineStr">
        <is>
          <t>Kolkata</t>
        </is>
      </c>
      <c r="L2176" t="inlineStr">
        <is>
          <t>Fireside Ventures</t>
        </is>
      </c>
      <c r="M2176" t="inlineStr">
        <is>
          <t>Fireside Ventures</t>
        </is>
      </c>
      <c r="N2176" t="inlineStr">
        <is>
          <t>inc42</t>
        </is>
      </c>
      <c r="O2176" s="20" t="n">
        <v>1</v>
      </c>
      <c r="P2176" s="21" t="n">
        <v>0</v>
      </c>
      <c r="Q2176" t="inlineStr"/>
      <c r="R2176" s="22" t="inlineStr">
        <is>
          <t>https://inc42.com/buzz/from-dailyobjects-to-stockgro-indian-startups-raised-about-123-mn-this-week/</t>
        </is>
      </c>
    </row>
    <row r="2177">
      <c r="A2177" t="inlineStr">
        <is>
          <t>R261009-moneytruva</t>
        </is>
      </c>
      <c r="B2177" t="inlineStr">
        <is>
          <t>MoneyTruVa</t>
        </is>
      </c>
      <c r="C2177" s="17" t="n">
        <v>46304</v>
      </c>
      <c r="D2177" s="18" t="n">
        <v>46296</v>
      </c>
      <c r="E2177" s="19" t="n"/>
      <c r="F2177" s="19" t="n"/>
      <c r="G2177" t="inlineStr"/>
      <c r="H2177" t="inlineStr">
        <is>
          <t>Undisclosed</t>
        </is>
      </c>
      <c r="I2177" t="inlineStr">
        <is>
          <t>Undisclosed</t>
        </is>
      </c>
      <c r="J2177" t="inlineStr">
        <is>
          <t>Fintech</t>
        </is>
      </c>
      <c r="K2177" t="inlineStr">
        <is>
          <t>Unknown</t>
        </is>
      </c>
      <c r="L2177" t="inlineStr"/>
      <c r="M2177" t="inlineStr"/>
      <c r="N2177" t="inlineStr">
        <is>
          <t>inc42</t>
        </is>
      </c>
      <c r="O2177" s="20" t="n">
        <v>1</v>
      </c>
      <c r="P2177" s="21" t="n"/>
      <c r="Q2177" t="inlineStr">
        <is>
          <t>C03 C04 C05 C07</t>
        </is>
      </c>
      <c r="R2177" s="22" t="inlineStr">
        <is>
          <t>https://inc42.com/buzz/from-dailyobjects-to-stockgro-indian-startups-raised-about-123-mn-this-week/</t>
        </is>
      </c>
    </row>
    <row r="2178">
      <c r="A2178" t="inlineStr">
        <is>
          <t>R261009-neogrowth</t>
        </is>
      </c>
      <c r="B2178" t="inlineStr">
        <is>
          <t>NeoGrowth</t>
        </is>
      </c>
      <c r="C2178" s="17" t="n">
        <v>46304</v>
      </c>
      <c r="D2178" s="18" t="n">
        <v>46296</v>
      </c>
      <c r="E2178" s="19" t="n">
        <v>8.787000000000001</v>
      </c>
      <c r="F2178" s="19" t="n">
        <v>85</v>
      </c>
      <c r="G2178" t="inlineStr">
        <is>
          <t>Rs 85 crore</t>
        </is>
      </c>
      <c r="H2178" t="inlineStr">
        <is>
          <t>Undisclosed</t>
        </is>
      </c>
      <c r="I2178" t="inlineStr">
        <is>
          <t>Undisclosed</t>
        </is>
      </c>
      <c r="J2178" t="inlineStr">
        <is>
          <t>Fintech</t>
        </is>
      </c>
      <c r="K2178" t="inlineStr">
        <is>
          <t>Mumbai</t>
        </is>
      </c>
      <c r="L2178" t="inlineStr">
        <is>
          <t>Dutch Development Bank FMO</t>
        </is>
      </c>
      <c r="M2178" t="inlineStr">
        <is>
          <t>Dutch Development Bank FMO; LeapFrog Investments</t>
        </is>
      </c>
      <c r="N2178" t="inlineStr">
        <is>
          <t>entrackr | inc42 | et | vccircle</t>
        </is>
      </c>
      <c r="O2178" s="20" t="n">
        <v>4</v>
      </c>
      <c r="P2178" s="21" t="n">
        <v>1.1</v>
      </c>
      <c r="Q2178" t="inlineStr">
        <is>
          <t>C04</t>
        </is>
      </c>
      <c r="R2178" s="22" t="inlineStr">
        <is>
          <t>https://entrackr.com/news/msme-focused-digital-lender-neogrowth-raises-rs-85-cr-from-fmo-leapfrog-12658698</t>
        </is>
      </c>
    </row>
    <row r="2179">
      <c r="A2179" t="inlineStr">
        <is>
          <t>R261010-nathabit</t>
        </is>
      </c>
      <c r="B2179" t="inlineStr">
        <is>
          <t>Nat Habit</t>
        </is>
      </c>
      <c r="C2179" s="17" t="n">
        <v>46305</v>
      </c>
      <c r="D2179" s="18" t="n">
        <v>46296</v>
      </c>
      <c r="E2179" s="19" t="n">
        <v>14.68</v>
      </c>
      <c r="F2179" s="19" t="n">
        <v>142</v>
      </c>
      <c r="G2179" t="inlineStr">
        <is>
          <t>Rs 142 crore</t>
        </is>
      </c>
      <c r="H2179" t="inlineStr">
        <is>
          <t>Undisclosed</t>
        </is>
      </c>
      <c r="I2179" t="inlineStr">
        <is>
          <t>Undisclosed</t>
        </is>
      </c>
      <c r="J2179" t="inlineStr">
        <is>
          <t>Ecommerce</t>
        </is>
      </c>
      <c r="K2179" t="inlineStr">
        <is>
          <t>Unknown</t>
        </is>
      </c>
      <c r="L2179" t="inlineStr">
        <is>
          <t>Trident Growth Partners</t>
        </is>
      </c>
      <c r="M2179" t="inlineStr">
        <is>
          <t>Trident Growth Partners; Physis Capital; Bertelsmann India Investments; Mirabilis Investment Trust; Sharrp Ventures</t>
        </is>
      </c>
      <c r="N2179" t="inlineStr">
        <is>
          <t>et</t>
        </is>
      </c>
      <c r="O2179" s="20" t="n">
        <v>1</v>
      </c>
      <c r="P2179" s="21" t="n">
        <v>0</v>
      </c>
      <c r="Q2179" t="inlineStr">
        <is>
          <t>C04 C07</t>
        </is>
      </c>
      <c r="R2179" s="22" t="inlineStr">
        <is>
          <t>https://economictimes.indiatimes.com/tech/startups/ayurveda-focused-d2c-startup-nat-habit-raises-rs-142-crore-led-by-trident-growth-partners/articleshow/134855727.cms</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 xmlns:r="http://schemas.openxmlformats.org/officeDocument/2006/relationships" ref="R1150" r:id="rId1149"/>
    <hyperlink xmlns:r="http://schemas.openxmlformats.org/officeDocument/2006/relationships" ref="R1151" r:id="rId1150"/>
    <hyperlink xmlns:r="http://schemas.openxmlformats.org/officeDocument/2006/relationships" ref="R1152" r:id="rId1151"/>
    <hyperlink xmlns:r="http://schemas.openxmlformats.org/officeDocument/2006/relationships" ref="R1153" r:id="rId1152"/>
    <hyperlink xmlns:r="http://schemas.openxmlformats.org/officeDocument/2006/relationships" ref="R1154" r:id="rId1153"/>
    <hyperlink xmlns:r="http://schemas.openxmlformats.org/officeDocument/2006/relationships" ref="R1155" r:id="rId1154"/>
    <hyperlink xmlns:r="http://schemas.openxmlformats.org/officeDocument/2006/relationships" ref="R1156" r:id="rId1155"/>
    <hyperlink xmlns:r="http://schemas.openxmlformats.org/officeDocument/2006/relationships" ref="R1157" r:id="rId1156"/>
    <hyperlink xmlns:r="http://schemas.openxmlformats.org/officeDocument/2006/relationships" ref="R1158" r:id="rId1157"/>
    <hyperlink xmlns:r="http://schemas.openxmlformats.org/officeDocument/2006/relationships" ref="R1159" r:id="rId1158"/>
    <hyperlink xmlns:r="http://schemas.openxmlformats.org/officeDocument/2006/relationships" ref="R1160" r:id="rId1159"/>
    <hyperlink xmlns:r="http://schemas.openxmlformats.org/officeDocument/2006/relationships" ref="R1161" r:id="rId1160"/>
    <hyperlink xmlns:r="http://schemas.openxmlformats.org/officeDocument/2006/relationships" ref="R1162" r:id="rId1161"/>
    <hyperlink xmlns:r="http://schemas.openxmlformats.org/officeDocument/2006/relationships" ref="R1163" r:id="rId1162"/>
    <hyperlink xmlns:r="http://schemas.openxmlformats.org/officeDocument/2006/relationships" ref="R1164" r:id="rId1163"/>
    <hyperlink xmlns:r="http://schemas.openxmlformats.org/officeDocument/2006/relationships" ref="R1165" r:id="rId1164"/>
    <hyperlink xmlns:r="http://schemas.openxmlformats.org/officeDocument/2006/relationships" ref="R1166" r:id="rId1165"/>
    <hyperlink xmlns:r="http://schemas.openxmlformats.org/officeDocument/2006/relationships" ref="R1167" r:id="rId1166"/>
    <hyperlink xmlns:r="http://schemas.openxmlformats.org/officeDocument/2006/relationships" ref="R1168" r:id="rId1167"/>
    <hyperlink xmlns:r="http://schemas.openxmlformats.org/officeDocument/2006/relationships" ref="R1169" r:id="rId1168"/>
    <hyperlink xmlns:r="http://schemas.openxmlformats.org/officeDocument/2006/relationships" ref="R1170" r:id="rId1169"/>
    <hyperlink xmlns:r="http://schemas.openxmlformats.org/officeDocument/2006/relationships" ref="R1171" r:id="rId1170"/>
    <hyperlink xmlns:r="http://schemas.openxmlformats.org/officeDocument/2006/relationships" ref="R1172" r:id="rId1171"/>
    <hyperlink xmlns:r="http://schemas.openxmlformats.org/officeDocument/2006/relationships" ref="R1173" r:id="rId1172"/>
    <hyperlink xmlns:r="http://schemas.openxmlformats.org/officeDocument/2006/relationships" ref="R1174" r:id="rId1173"/>
    <hyperlink xmlns:r="http://schemas.openxmlformats.org/officeDocument/2006/relationships" ref="R1175" r:id="rId1174"/>
    <hyperlink xmlns:r="http://schemas.openxmlformats.org/officeDocument/2006/relationships" ref="R1176" r:id="rId1175"/>
    <hyperlink xmlns:r="http://schemas.openxmlformats.org/officeDocument/2006/relationships" ref="R1177" r:id="rId1176"/>
    <hyperlink xmlns:r="http://schemas.openxmlformats.org/officeDocument/2006/relationships" ref="R1178" r:id="rId1177"/>
    <hyperlink xmlns:r="http://schemas.openxmlformats.org/officeDocument/2006/relationships" ref="R1179" r:id="rId1178"/>
    <hyperlink xmlns:r="http://schemas.openxmlformats.org/officeDocument/2006/relationships" ref="R1180" r:id="rId1179"/>
    <hyperlink xmlns:r="http://schemas.openxmlformats.org/officeDocument/2006/relationships" ref="R1181" r:id="rId1180"/>
    <hyperlink xmlns:r="http://schemas.openxmlformats.org/officeDocument/2006/relationships" ref="R1182" r:id="rId1181"/>
    <hyperlink xmlns:r="http://schemas.openxmlformats.org/officeDocument/2006/relationships" ref="R1183" r:id="rId1182"/>
    <hyperlink xmlns:r="http://schemas.openxmlformats.org/officeDocument/2006/relationships" ref="R1184" r:id="rId1183"/>
    <hyperlink xmlns:r="http://schemas.openxmlformats.org/officeDocument/2006/relationships" ref="R1185" r:id="rId1184"/>
    <hyperlink xmlns:r="http://schemas.openxmlformats.org/officeDocument/2006/relationships" ref="R1186" r:id="rId1185"/>
    <hyperlink xmlns:r="http://schemas.openxmlformats.org/officeDocument/2006/relationships" ref="R1187" r:id="rId1186"/>
    <hyperlink xmlns:r="http://schemas.openxmlformats.org/officeDocument/2006/relationships" ref="R1188" r:id="rId1187"/>
    <hyperlink xmlns:r="http://schemas.openxmlformats.org/officeDocument/2006/relationships" ref="R1189" r:id="rId1188"/>
    <hyperlink xmlns:r="http://schemas.openxmlformats.org/officeDocument/2006/relationships" ref="R1190" r:id="rId1189"/>
    <hyperlink xmlns:r="http://schemas.openxmlformats.org/officeDocument/2006/relationships" ref="R1191" r:id="rId1190"/>
    <hyperlink xmlns:r="http://schemas.openxmlformats.org/officeDocument/2006/relationships" ref="R1192" r:id="rId1191"/>
    <hyperlink xmlns:r="http://schemas.openxmlformats.org/officeDocument/2006/relationships" ref="R1193" r:id="rId1192"/>
    <hyperlink xmlns:r="http://schemas.openxmlformats.org/officeDocument/2006/relationships" ref="R1194" r:id="rId1193"/>
    <hyperlink xmlns:r="http://schemas.openxmlformats.org/officeDocument/2006/relationships" ref="R1195" r:id="rId1194"/>
    <hyperlink xmlns:r="http://schemas.openxmlformats.org/officeDocument/2006/relationships" ref="R1196" r:id="rId1195"/>
    <hyperlink xmlns:r="http://schemas.openxmlformats.org/officeDocument/2006/relationships" ref="R1197" r:id="rId1196"/>
    <hyperlink xmlns:r="http://schemas.openxmlformats.org/officeDocument/2006/relationships" ref="R1198" r:id="rId1197"/>
    <hyperlink xmlns:r="http://schemas.openxmlformats.org/officeDocument/2006/relationships" ref="R1199" r:id="rId1198"/>
    <hyperlink xmlns:r="http://schemas.openxmlformats.org/officeDocument/2006/relationships" ref="R1200" r:id="rId1199"/>
    <hyperlink xmlns:r="http://schemas.openxmlformats.org/officeDocument/2006/relationships" ref="R1201" r:id="rId1200"/>
    <hyperlink xmlns:r="http://schemas.openxmlformats.org/officeDocument/2006/relationships" ref="R1202" r:id="rId1201"/>
    <hyperlink xmlns:r="http://schemas.openxmlformats.org/officeDocument/2006/relationships" ref="R1203" r:id="rId1202"/>
    <hyperlink xmlns:r="http://schemas.openxmlformats.org/officeDocument/2006/relationships" ref="R1204" r:id="rId1203"/>
    <hyperlink xmlns:r="http://schemas.openxmlformats.org/officeDocument/2006/relationships" ref="R1205" r:id="rId1204"/>
    <hyperlink xmlns:r="http://schemas.openxmlformats.org/officeDocument/2006/relationships" ref="R1206" r:id="rId1205"/>
    <hyperlink xmlns:r="http://schemas.openxmlformats.org/officeDocument/2006/relationships" ref="R1207" r:id="rId1206"/>
    <hyperlink xmlns:r="http://schemas.openxmlformats.org/officeDocument/2006/relationships" ref="R1208" r:id="rId1207"/>
    <hyperlink xmlns:r="http://schemas.openxmlformats.org/officeDocument/2006/relationships" ref="R1209" r:id="rId1208"/>
    <hyperlink xmlns:r="http://schemas.openxmlformats.org/officeDocument/2006/relationships" ref="R1210" r:id="rId1209"/>
    <hyperlink xmlns:r="http://schemas.openxmlformats.org/officeDocument/2006/relationships" ref="R1211" r:id="rId1210"/>
    <hyperlink xmlns:r="http://schemas.openxmlformats.org/officeDocument/2006/relationships" ref="R1212" r:id="rId1211"/>
    <hyperlink xmlns:r="http://schemas.openxmlformats.org/officeDocument/2006/relationships" ref="R1213" r:id="rId1212"/>
    <hyperlink xmlns:r="http://schemas.openxmlformats.org/officeDocument/2006/relationships" ref="R1214" r:id="rId1213"/>
    <hyperlink xmlns:r="http://schemas.openxmlformats.org/officeDocument/2006/relationships" ref="R1215" r:id="rId1214"/>
    <hyperlink xmlns:r="http://schemas.openxmlformats.org/officeDocument/2006/relationships" ref="R1216" r:id="rId1215"/>
    <hyperlink xmlns:r="http://schemas.openxmlformats.org/officeDocument/2006/relationships" ref="R1217" r:id="rId1216"/>
    <hyperlink xmlns:r="http://schemas.openxmlformats.org/officeDocument/2006/relationships" ref="R1218" r:id="rId1217"/>
    <hyperlink xmlns:r="http://schemas.openxmlformats.org/officeDocument/2006/relationships" ref="R1219" r:id="rId1218"/>
    <hyperlink xmlns:r="http://schemas.openxmlformats.org/officeDocument/2006/relationships" ref="R1220" r:id="rId1219"/>
    <hyperlink xmlns:r="http://schemas.openxmlformats.org/officeDocument/2006/relationships" ref="R1221" r:id="rId1220"/>
    <hyperlink xmlns:r="http://schemas.openxmlformats.org/officeDocument/2006/relationships" ref="R1222" r:id="rId1221"/>
    <hyperlink xmlns:r="http://schemas.openxmlformats.org/officeDocument/2006/relationships" ref="R1223" r:id="rId1222"/>
    <hyperlink xmlns:r="http://schemas.openxmlformats.org/officeDocument/2006/relationships" ref="R1224" r:id="rId1223"/>
    <hyperlink xmlns:r="http://schemas.openxmlformats.org/officeDocument/2006/relationships" ref="R1225" r:id="rId1224"/>
    <hyperlink xmlns:r="http://schemas.openxmlformats.org/officeDocument/2006/relationships" ref="R1226" r:id="rId1225"/>
    <hyperlink xmlns:r="http://schemas.openxmlformats.org/officeDocument/2006/relationships" ref="R1227" r:id="rId1226"/>
    <hyperlink xmlns:r="http://schemas.openxmlformats.org/officeDocument/2006/relationships" ref="R1228" r:id="rId1227"/>
    <hyperlink xmlns:r="http://schemas.openxmlformats.org/officeDocument/2006/relationships" ref="R1229" r:id="rId1228"/>
    <hyperlink xmlns:r="http://schemas.openxmlformats.org/officeDocument/2006/relationships" ref="R1230" r:id="rId1229"/>
    <hyperlink xmlns:r="http://schemas.openxmlformats.org/officeDocument/2006/relationships" ref="R1231" r:id="rId1230"/>
    <hyperlink xmlns:r="http://schemas.openxmlformats.org/officeDocument/2006/relationships" ref="R1232" r:id="rId1231"/>
    <hyperlink xmlns:r="http://schemas.openxmlformats.org/officeDocument/2006/relationships" ref="R1233" r:id="rId1232"/>
    <hyperlink xmlns:r="http://schemas.openxmlformats.org/officeDocument/2006/relationships" ref="R1234" r:id="rId1233"/>
    <hyperlink xmlns:r="http://schemas.openxmlformats.org/officeDocument/2006/relationships" ref="R1235" r:id="rId1234"/>
    <hyperlink xmlns:r="http://schemas.openxmlformats.org/officeDocument/2006/relationships" ref="R1236" r:id="rId1235"/>
    <hyperlink xmlns:r="http://schemas.openxmlformats.org/officeDocument/2006/relationships" ref="R1237" r:id="rId1236"/>
    <hyperlink xmlns:r="http://schemas.openxmlformats.org/officeDocument/2006/relationships" ref="R1238" r:id="rId1237"/>
    <hyperlink xmlns:r="http://schemas.openxmlformats.org/officeDocument/2006/relationships" ref="R1239" r:id="rId1238"/>
    <hyperlink xmlns:r="http://schemas.openxmlformats.org/officeDocument/2006/relationships" ref="R1240" r:id="rId1239"/>
    <hyperlink xmlns:r="http://schemas.openxmlformats.org/officeDocument/2006/relationships" ref="R1241" r:id="rId1240"/>
    <hyperlink xmlns:r="http://schemas.openxmlformats.org/officeDocument/2006/relationships" ref="R1242" r:id="rId1241"/>
    <hyperlink xmlns:r="http://schemas.openxmlformats.org/officeDocument/2006/relationships" ref="R1243" r:id="rId1242"/>
    <hyperlink xmlns:r="http://schemas.openxmlformats.org/officeDocument/2006/relationships" ref="R1244" r:id="rId1243"/>
    <hyperlink xmlns:r="http://schemas.openxmlformats.org/officeDocument/2006/relationships" ref="R1245" r:id="rId1244"/>
    <hyperlink xmlns:r="http://schemas.openxmlformats.org/officeDocument/2006/relationships" ref="R1246" r:id="rId1245"/>
    <hyperlink xmlns:r="http://schemas.openxmlformats.org/officeDocument/2006/relationships" ref="R1247" r:id="rId1246"/>
    <hyperlink xmlns:r="http://schemas.openxmlformats.org/officeDocument/2006/relationships" ref="R1248" r:id="rId1247"/>
    <hyperlink xmlns:r="http://schemas.openxmlformats.org/officeDocument/2006/relationships" ref="R1249" r:id="rId1248"/>
    <hyperlink xmlns:r="http://schemas.openxmlformats.org/officeDocument/2006/relationships" ref="R1250" r:id="rId1249"/>
    <hyperlink xmlns:r="http://schemas.openxmlformats.org/officeDocument/2006/relationships" ref="R1251" r:id="rId1250"/>
    <hyperlink xmlns:r="http://schemas.openxmlformats.org/officeDocument/2006/relationships" ref="R1252" r:id="rId1251"/>
    <hyperlink xmlns:r="http://schemas.openxmlformats.org/officeDocument/2006/relationships" ref="R1253" r:id="rId1252"/>
    <hyperlink xmlns:r="http://schemas.openxmlformats.org/officeDocument/2006/relationships" ref="R1254" r:id="rId1253"/>
    <hyperlink xmlns:r="http://schemas.openxmlformats.org/officeDocument/2006/relationships" ref="R1255" r:id="rId1254"/>
    <hyperlink xmlns:r="http://schemas.openxmlformats.org/officeDocument/2006/relationships" ref="R1256" r:id="rId1255"/>
    <hyperlink xmlns:r="http://schemas.openxmlformats.org/officeDocument/2006/relationships" ref="R1257" r:id="rId1256"/>
    <hyperlink xmlns:r="http://schemas.openxmlformats.org/officeDocument/2006/relationships" ref="R1258" r:id="rId1257"/>
    <hyperlink xmlns:r="http://schemas.openxmlformats.org/officeDocument/2006/relationships" ref="R1259" r:id="rId1258"/>
    <hyperlink xmlns:r="http://schemas.openxmlformats.org/officeDocument/2006/relationships" ref="R1260" r:id="rId1259"/>
    <hyperlink xmlns:r="http://schemas.openxmlformats.org/officeDocument/2006/relationships" ref="R1261" r:id="rId1260"/>
    <hyperlink xmlns:r="http://schemas.openxmlformats.org/officeDocument/2006/relationships" ref="R1262" r:id="rId1261"/>
    <hyperlink xmlns:r="http://schemas.openxmlformats.org/officeDocument/2006/relationships" ref="R1263" r:id="rId1262"/>
    <hyperlink xmlns:r="http://schemas.openxmlformats.org/officeDocument/2006/relationships" ref="R1264" r:id="rId1263"/>
    <hyperlink xmlns:r="http://schemas.openxmlformats.org/officeDocument/2006/relationships" ref="R1265" r:id="rId1264"/>
    <hyperlink xmlns:r="http://schemas.openxmlformats.org/officeDocument/2006/relationships" ref="R1266" r:id="rId1265"/>
    <hyperlink xmlns:r="http://schemas.openxmlformats.org/officeDocument/2006/relationships" ref="R1267" r:id="rId1266"/>
    <hyperlink xmlns:r="http://schemas.openxmlformats.org/officeDocument/2006/relationships" ref="R1268" r:id="rId1267"/>
    <hyperlink xmlns:r="http://schemas.openxmlformats.org/officeDocument/2006/relationships" ref="R1269" r:id="rId1268"/>
    <hyperlink xmlns:r="http://schemas.openxmlformats.org/officeDocument/2006/relationships" ref="R1270" r:id="rId1269"/>
    <hyperlink xmlns:r="http://schemas.openxmlformats.org/officeDocument/2006/relationships" ref="R1271" r:id="rId1270"/>
    <hyperlink xmlns:r="http://schemas.openxmlformats.org/officeDocument/2006/relationships" ref="R1272" r:id="rId1271"/>
    <hyperlink xmlns:r="http://schemas.openxmlformats.org/officeDocument/2006/relationships" ref="R1273" r:id="rId1272"/>
    <hyperlink xmlns:r="http://schemas.openxmlformats.org/officeDocument/2006/relationships" ref="R1274" r:id="rId1273"/>
    <hyperlink xmlns:r="http://schemas.openxmlformats.org/officeDocument/2006/relationships" ref="R1275" r:id="rId1274"/>
    <hyperlink xmlns:r="http://schemas.openxmlformats.org/officeDocument/2006/relationships" ref="R1276" r:id="rId1275"/>
    <hyperlink xmlns:r="http://schemas.openxmlformats.org/officeDocument/2006/relationships" ref="R1277" r:id="rId1276"/>
    <hyperlink xmlns:r="http://schemas.openxmlformats.org/officeDocument/2006/relationships" ref="R1278" r:id="rId1277"/>
    <hyperlink xmlns:r="http://schemas.openxmlformats.org/officeDocument/2006/relationships" ref="R1279" r:id="rId1278"/>
    <hyperlink xmlns:r="http://schemas.openxmlformats.org/officeDocument/2006/relationships" ref="R1280" r:id="rId1279"/>
    <hyperlink xmlns:r="http://schemas.openxmlformats.org/officeDocument/2006/relationships" ref="R1281" r:id="rId1280"/>
    <hyperlink xmlns:r="http://schemas.openxmlformats.org/officeDocument/2006/relationships" ref="R1282" r:id="rId1281"/>
    <hyperlink xmlns:r="http://schemas.openxmlformats.org/officeDocument/2006/relationships" ref="R1283" r:id="rId1282"/>
    <hyperlink xmlns:r="http://schemas.openxmlformats.org/officeDocument/2006/relationships" ref="R1284" r:id="rId1283"/>
    <hyperlink xmlns:r="http://schemas.openxmlformats.org/officeDocument/2006/relationships" ref="R1285" r:id="rId1284"/>
    <hyperlink xmlns:r="http://schemas.openxmlformats.org/officeDocument/2006/relationships" ref="R1286" r:id="rId1285"/>
    <hyperlink xmlns:r="http://schemas.openxmlformats.org/officeDocument/2006/relationships" ref="R1287" r:id="rId1286"/>
    <hyperlink xmlns:r="http://schemas.openxmlformats.org/officeDocument/2006/relationships" ref="R1288" r:id="rId1287"/>
    <hyperlink xmlns:r="http://schemas.openxmlformats.org/officeDocument/2006/relationships" ref="R1289" r:id="rId1288"/>
    <hyperlink xmlns:r="http://schemas.openxmlformats.org/officeDocument/2006/relationships" ref="R1290" r:id="rId1289"/>
    <hyperlink xmlns:r="http://schemas.openxmlformats.org/officeDocument/2006/relationships" ref="R1291" r:id="rId1290"/>
    <hyperlink xmlns:r="http://schemas.openxmlformats.org/officeDocument/2006/relationships" ref="R1292" r:id="rId1291"/>
    <hyperlink xmlns:r="http://schemas.openxmlformats.org/officeDocument/2006/relationships" ref="R1293" r:id="rId1292"/>
    <hyperlink xmlns:r="http://schemas.openxmlformats.org/officeDocument/2006/relationships" ref="R1294" r:id="rId1293"/>
    <hyperlink xmlns:r="http://schemas.openxmlformats.org/officeDocument/2006/relationships" ref="R1295" r:id="rId1294"/>
    <hyperlink xmlns:r="http://schemas.openxmlformats.org/officeDocument/2006/relationships" ref="R1296" r:id="rId1295"/>
    <hyperlink xmlns:r="http://schemas.openxmlformats.org/officeDocument/2006/relationships" ref="R1297" r:id="rId1296"/>
    <hyperlink xmlns:r="http://schemas.openxmlformats.org/officeDocument/2006/relationships" ref="R1298" r:id="rId1297"/>
    <hyperlink xmlns:r="http://schemas.openxmlformats.org/officeDocument/2006/relationships" ref="R1299" r:id="rId1298"/>
    <hyperlink xmlns:r="http://schemas.openxmlformats.org/officeDocument/2006/relationships" ref="R1300" r:id="rId1299"/>
    <hyperlink xmlns:r="http://schemas.openxmlformats.org/officeDocument/2006/relationships" ref="R1301" r:id="rId1300"/>
    <hyperlink xmlns:r="http://schemas.openxmlformats.org/officeDocument/2006/relationships" ref="R1302" r:id="rId1301"/>
    <hyperlink xmlns:r="http://schemas.openxmlformats.org/officeDocument/2006/relationships" ref="R1303" r:id="rId1302"/>
    <hyperlink xmlns:r="http://schemas.openxmlformats.org/officeDocument/2006/relationships" ref="R1304" r:id="rId1303"/>
    <hyperlink xmlns:r="http://schemas.openxmlformats.org/officeDocument/2006/relationships" ref="R1305" r:id="rId1304"/>
    <hyperlink xmlns:r="http://schemas.openxmlformats.org/officeDocument/2006/relationships" ref="R1306" r:id="rId1305"/>
    <hyperlink xmlns:r="http://schemas.openxmlformats.org/officeDocument/2006/relationships" ref="R1307" r:id="rId1306"/>
    <hyperlink xmlns:r="http://schemas.openxmlformats.org/officeDocument/2006/relationships" ref="R1308" r:id="rId1307"/>
    <hyperlink xmlns:r="http://schemas.openxmlformats.org/officeDocument/2006/relationships" ref="R1309" r:id="rId1308"/>
    <hyperlink xmlns:r="http://schemas.openxmlformats.org/officeDocument/2006/relationships" ref="R1310" r:id="rId1309"/>
    <hyperlink xmlns:r="http://schemas.openxmlformats.org/officeDocument/2006/relationships" ref="R1311" r:id="rId1310"/>
    <hyperlink xmlns:r="http://schemas.openxmlformats.org/officeDocument/2006/relationships" ref="R1312" r:id="rId1311"/>
    <hyperlink xmlns:r="http://schemas.openxmlformats.org/officeDocument/2006/relationships" ref="R1313" r:id="rId1312"/>
    <hyperlink xmlns:r="http://schemas.openxmlformats.org/officeDocument/2006/relationships" ref="R1314" r:id="rId1313"/>
    <hyperlink xmlns:r="http://schemas.openxmlformats.org/officeDocument/2006/relationships" ref="R1315" r:id="rId1314"/>
    <hyperlink xmlns:r="http://schemas.openxmlformats.org/officeDocument/2006/relationships" ref="R1316" r:id="rId1315"/>
    <hyperlink xmlns:r="http://schemas.openxmlformats.org/officeDocument/2006/relationships" ref="R1317" r:id="rId1316"/>
    <hyperlink xmlns:r="http://schemas.openxmlformats.org/officeDocument/2006/relationships" ref="R1318" r:id="rId1317"/>
    <hyperlink xmlns:r="http://schemas.openxmlformats.org/officeDocument/2006/relationships" ref="R1319" r:id="rId1318"/>
    <hyperlink xmlns:r="http://schemas.openxmlformats.org/officeDocument/2006/relationships" ref="R1320" r:id="rId1319"/>
    <hyperlink xmlns:r="http://schemas.openxmlformats.org/officeDocument/2006/relationships" ref="R1321" r:id="rId1320"/>
    <hyperlink xmlns:r="http://schemas.openxmlformats.org/officeDocument/2006/relationships" ref="R1322" r:id="rId1321"/>
    <hyperlink xmlns:r="http://schemas.openxmlformats.org/officeDocument/2006/relationships" ref="R1323" r:id="rId1322"/>
    <hyperlink xmlns:r="http://schemas.openxmlformats.org/officeDocument/2006/relationships" ref="R1324" r:id="rId1323"/>
    <hyperlink xmlns:r="http://schemas.openxmlformats.org/officeDocument/2006/relationships" ref="R1325" r:id="rId1324"/>
    <hyperlink xmlns:r="http://schemas.openxmlformats.org/officeDocument/2006/relationships" ref="R1326" r:id="rId1325"/>
    <hyperlink xmlns:r="http://schemas.openxmlformats.org/officeDocument/2006/relationships" ref="R1327" r:id="rId1326"/>
    <hyperlink xmlns:r="http://schemas.openxmlformats.org/officeDocument/2006/relationships" ref="R1328" r:id="rId1327"/>
    <hyperlink xmlns:r="http://schemas.openxmlformats.org/officeDocument/2006/relationships" ref="R1329" r:id="rId1328"/>
    <hyperlink xmlns:r="http://schemas.openxmlformats.org/officeDocument/2006/relationships" ref="R1330" r:id="rId1329"/>
    <hyperlink xmlns:r="http://schemas.openxmlformats.org/officeDocument/2006/relationships" ref="R1331" r:id="rId1330"/>
    <hyperlink xmlns:r="http://schemas.openxmlformats.org/officeDocument/2006/relationships" ref="R1332" r:id="rId1331"/>
    <hyperlink xmlns:r="http://schemas.openxmlformats.org/officeDocument/2006/relationships" ref="R1333" r:id="rId1332"/>
    <hyperlink xmlns:r="http://schemas.openxmlformats.org/officeDocument/2006/relationships" ref="R1334" r:id="rId1333"/>
    <hyperlink xmlns:r="http://schemas.openxmlformats.org/officeDocument/2006/relationships" ref="R1335" r:id="rId1334"/>
    <hyperlink xmlns:r="http://schemas.openxmlformats.org/officeDocument/2006/relationships" ref="R1336" r:id="rId1335"/>
    <hyperlink xmlns:r="http://schemas.openxmlformats.org/officeDocument/2006/relationships" ref="R1337" r:id="rId1336"/>
    <hyperlink xmlns:r="http://schemas.openxmlformats.org/officeDocument/2006/relationships" ref="R1338" r:id="rId1337"/>
    <hyperlink xmlns:r="http://schemas.openxmlformats.org/officeDocument/2006/relationships" ref="R1339" r:id="rId1338"/>
    <hyperlink xmlns:r="http://schemas.openxmlformats.org/officeDocument/2006/relationships" ref="R1340" r:id="rId1339"/>
    <hyperlink xmlns:r="http://schemas.openxmlformats.org/officeDocument/2006/relationships" ref="R1341" r:id="rId1340"/>
    <hyperlink xmlns:r="http://schemas.openxmlformats.org/officeDocument/2006/relationships" ref="R1342" r:id="rId1341"/>
    <hyperlink xmlns:r="http://schemas.openxmlformats.org/officeDocument/2006/relationships" ref="R1343" r:id="rId1342"/>
    <hyperlink xmlns:r="http://schemas.openxmlformats.org/officeDocument/2006/relationships" ref="R1344" r:id="rId1343"/>
    <hyperlink xmlns:r="http://schemas.openxmlformats.org/officeDocument/2006/relationships" ref="R1345" r:id="rId1344"/>
    <hyperlink xmlns:r="http://schemas.openxmlformats.org/officeDocument/2006/relationships" ref="R1346" r:id="rId1345"/>
    <hyperlink xmlns:r="http://schemas.openxmlformats.org/officeDocument/2006/relationships" ref="R1347" r:id="rId1346"/>
    <hyperlink xmlns:r="http://schemas.openxmlformats.org/officeDocument/2006/relationships" ref="R1348" r:id="rId1347"/>
    <hyperlink xmlns:r="http://schemas.openxmlformats.org/officeDocument/2006/relationships" ref="R1349" r:id="rId1348"/>
    <hyperlink xmlns:r="http://schemas.openxmlformats.org/officeDocument/2006/relationships" ref="R1350" r:id="rId1349"/>
    <hyperlink xmlns:r="http://schemas.openxmlformats.org/officeDocument/2006/relationships" ref="R1351" r:id="rId1350"/>
    <hyperlink xmlns:r="http://schemas.openxmlformats.org/officeDocument/2006/relationships" ref="R1352" r:id="rId1351"/>
    <hyperlink xmlns:r="http://schemas.openxmlformats.org/officeDocument/2006/relationships" ref="R1353" r:id="rId1352"/>
    <hyperlink xmlns:r="http://schemas.openxmlformats.org/officeDocument/2006/relationships" ref="R1354" r:id="rId1353"/>
    <hyperlink xmlns:r="http://schemas.openxmlformats.org/officeDocument/2006/relationships" ref="R1355" r:id="rId1354"/>
    <hyperlink xmlns:r="http://schemas.openxmlformats.org/officeDocument/2006/relationships" ref="R1356" r:id="rId1355"/>
    <hyperlink xmlns:r="http://schemas.openxmlformats.org/officeDocument/2006/relationships" ref="R1357" r:id="rId1356"/>
    <hyperlink xmlns:r="http://schemas.openxmlformats.org/officeDocument/2006/relationships" ref="R1358" r:id="rId1357"/>
    <hyperlink xmlns:r="http://schemas.openxmlformats.org/officeDocument/2006/relationships" ref="R1359" r:id="rId1358"/>
    <hyperlink xmlns:r="http://schemas.openxmlformats.org/officeDocument/2006/relationships" ref="R1360" r:id="rId1359"/>
    <hyperlink xmlns:r="http://schemas.openxmlformats.org/officeDocument/2006/relationships" ref="R1361" r:id="rId1360"/>
    <hyperlink xmlns:r="http://schemas.openxmlformats.org/officeDocument/2006/relationships" ref="R1362" r:id="rId1361"/>
    <hyperlink xmlns:r="http://schemas.openxmlformats.org/officeDocument/2006/relationships" ref="R1363" r:id="rId1362"/>
    <hyperlink xmlns:r="http://schemas.openxmlformats.org/officeDocument/2006/relationships" ref="R1364" r:id="rId1363"/>
    <hyperlink xmlns:r="http://schemas.openxmlformats.org/officeDocument/2006/relationships" ref="R1365" r:id="rId1364"/>
    <hyperlink xmlns:r="http://schemas.openxmlformats.org/officeDocument/2006/relationships" ref="R1366" r:id="rId1365"/>
    <hyperlink xmlns:r="http://schemas.openxmlformats.org/officeDocument/2006/relationships" ref="R1367" r:id="rId1366"/>
    <hyperlink xmlns:r="http://schemas.openxmlformats.org/officeDocument/2006/relationships" ref="R1368" r:id="rId1367"/>
    <hyperlink xmlns:r="http://schemas.openxmlformats.org/officeDocument/2006/relationships" ref="R1369" r:id="rId1368"/>
    <hyperlink xmlns:r="http://schemas.openxmlformats.org/officeDocument/2006/relationships" ref="R1370" r:id="rId1369"/>
    <hyperlink xmlns:r="http://schemas.openxmlformats.org/officeDocument/2006/relationships" ref="R1371" r:id="rId1370"/>
    <hyperlink xmlns:r="http://schemas.openxmlformats.org/officeDocument/2006/relationships" ref="R1372" r:id="rId1371"/>
    <hyperlink xmlns:r="http://schemas.openxmlformats.org/officeDocument/2006/relationships" ref="R1373" r:id="rId1372"/>
    <hyperlink xmlns:r="http://schemas.openxmlformats.org/officeDocument/2006/relationships" ref="R1374" r:id="rId1373"/>
    <hyperlink xmlns:r="http://schemas.openxmlformats.org/officeDocument/2006/relationships" ref="R1375" r:id="rId1374"/>
    <hyperlink xmlns:r="http://schemas.openxmlformats.org/officeDocument/2006/relationships" ref="R1376" r:id="rId1375"/>
    <hyperlink xmlns:r="http://schemas.openxmlformats.org/officeDocument/2006/relationships" ref="R1377" r:id="rId1376"/>
    <hyperlink xmlns:r="http://schemas.openxmlformats.org/officeDocument/2006/relationships" ref="R1378" r:id="rId1377"/>
    <hyperlink xmlns:r="http://schemas.openxmlformats.org/officeDocument/2006/relationships" ref="R1379" r:id="rId1378"/>
    <hyperlink xmlns:r="http://schemas.openxmlformats.org/officeDocument/2006/relationships" ref="R1380" r:id="rId1379"/>
    <hyperlink xmlns:r="http://schemas.openxmlformats.org/officeDocument/2006/relationships" ref="R1381" r:id="rId1380"/>
    <hyperlink xmlns:r="http://schemas.openxmlformats.org/officeDocument/2006/relationships" ref="R1382" r:id="rId1381"/>
    <hyperlink xmlns:r="http://schemas.openxmlformats.org/officeDocument/2006/relationships" ref="R1383" r:id="rId1382"/>
    <hyperlink xmlns:r="http://schemas.openxmlformats.org/officeDocument/2006/relationships" ref="R1384" r:id="rId1383"/>
    <hyperlink xmlns:r="http://schemas.openxmlformats.org/officeDocument/2006/relationships" ref="R1385" r:id="rId1384"/>
    <hyperlink xmlns:r="http://schemas.openxmlformats.org/officeDocument/2006/relationships" ref="R1386" r:id="rId1385"/>
    <hyperlink xmlns:r="http://schemas.openxmlformats.org/officeDocument/2006/relationships" ref="R1387" r:id="rId1386"/>
    <hyperlink xmlns:r="http://schemas.openxmlformats.org/officeDocument/2006/relationships" ref="R1388" r:id="rId1387"/>
    <hyperlink xmlns:r="http://schemas.openxmlformats.org/officeDocument/2006/relationships" ref="R1389" r:id="rId1388"/>
    <hyperlink xmlns:r="http://schemas.openxmlformats.org/officeDocument/2006/relationships" ref="R1390" r:id="rId1389"/>
    <hyperlink xmlns:r="http://schemas.openxmlformats.org/officeDocument/2006/relationships" ref="R1391" r:id="rId1390"/>
    <hyperlink xmlns:r="http://schemas.openxmlformats.org/officeDocument/2006/relationships" ref="R1392" r:id="rId1391"/>
    <hyperlink xmlns:r="http://schemas.openxmlformats.org/officeDocument/2006/relationships" ref="R1393" r:id="rId1392"/>
    <hyperlink xmlns:r="http://schemas.openxmlformats.org/officeDocument/2006/relationships" ref="R1394" r:id="rId1393"/>
    <hyperlink xmlns:r="http://schemas.openxmlformats.org/officeDocument/2006/relationships" ref="R1395" r:id="rId1394"/>
    <hyperlink xmlns:r="http://schemas.openxmlformats.org/officeDocument/2006/relationships" ref="R1396" r:id="rId1395"/>
    <hyperlink xmlns:r="http://schemas.openxmlformats.org/officeDocument/2006/relationships" ref="R1397" r:id="rId1396"/>
    <hyperlink xmlns:r="http://schemas.openxmlformats.org/officeDocument/2006/relationships" ref="R1398" r:id="rId1397"/>
    <hyperlink xmlns:r="http://schemas.openxmlformats.org/officeDocument/2006/relationships" ref="R1399" r:id="rId1398"/>
    <hyperlink xmlns:r="http://schemas.openxmlformats.org/officeDocument/2006/relationships" ref="R1400" r:id="rId1399"/>
    <hyperlink xmlns:r="http://schemas.openxmlformats.org/officeDocument/2006/relationships" ref="R1401" r:id="rId1400"/>
    <hyperlink xmlns:r="http://schemas.openxmlformats.org/officeDocument/2006/relationships" ref="R1402" r:id="rId1401"/>
    <hyperlink xmlns:r="http://schemas.openxmlformats.org/officeDocument/2006/relationships" ref="R1403" r:id="rId1402"/>
    <hyperlink xmlns:r="http://schemas.openxmlformats.org/officeDocument/2006/relationships" ref="R1404" r:id="rId1403"/>
    <hyperlink xmlns:r="http://schemas.openxmlformats.org/officeDocument/2006/relationships" ref="R1405" r:id="rId1404"/>
    <hyperlink xmlns:r="http://schemas.openxmlformats.org/officeDocument/2006/relationships" ref="R1406" r:id="rId1405"/>
    <hyperlink xmlns:r="http://schemas.openxmlformats.org/officeDocument/2006/relationships" ref="R1407" r:id="rId1406"/>
    <hyperlink xmlns:r="http://schemas.openxmlformats.org/officeDocument/2006/relationships" ref="R1408" r:id="rId1407"/>
    <hyperlink xmlns:r="http://schemas.openxmlformats.org/officeDocument/2006/relationships" ref="R1409" r:id="rId1408"/>
    <hyperlink xmlns:r="http://schemas.openxmlformats.org/officeDocument/2006/relationships" ref="R1410" r:id="rId1409"/>
    <hyperlink xmlns:r="http://schemas.openxmlformats.org/officeDocument/2006/relationships" ref="R1411" r:id="rId1410"/>
    <hyperlink xmlns:r="http://schemas.openxmlformats.org/officeDocument/2006/relationships" ref="R1412" r:id="rId1411"/>
    <hyperlink xmlns:r="http://schemas.openxmlformats.org/officeDocument/2006/relationships" ref="R1413" r:id="rId1412"/>
    <hyperlink xmlns:r="http://schemas.openxmlformats.org/officeDocument/2006/relationships" ref="R1414" r:id="rId1413"/>
    <hyperlink xmlns:r="http://schemas.openxmlformats.org/officeDocument/2006/relationships" ref="R1415" r:id="rId1414"/>
    <hyperlink xmlns:r="http://schemas.openxmlformats.org/officeDocument/2006/relationships" ref="R1416" r:id="rId1415"/>
    <hyperlink xmlns:r="http://schemas.openxmlformats.org/officeDocument/2006/relationships" ref="R1417" r:id="rId1416"/>
    <hyperlink xmlns:r="http://schemas.openxmlformats.org/officeDocument/2006/relationships" ref="R1418" r:id="rId1417"/>
    <hyperlink xmlns:r="http://schemas.openxmlformats.org/officeDocument/2006/relationships" ref="R1419" r:id="rId1418"/>
    <hyperlink xmlns:r="http://schemas.openxmlformats.org/officeDocument/2006/relationships" ref="R1420" r:id="rId1419"/>
    <hyperlink xmlns:r="http://schemas.openxmlformats.org/officeDocument/2006/relationships" ref="R1421" r:id="rId1420"/>
    <hyperlink xmlns:r="http://schemas.openxmlformats.org/officeDocument/2006/relationships" ref="R1422" r:id="rId1421"/>
    <hyperlink xmlns:r="http://schemas.openxmlformats.org/officeDocument/2006/relationships" ref="R1423" r:id="rId1422"/>
    <hyperlink xmlns:r="http://schemas.openxmlformats.org/officeDocument/2006/relationships" ref="R1424" r:id="rId1423"/>
    <hyperlink xmlns:r="http://schemas.openxmlformats.org/officeDocument/2006/relationships" ref="R1425" r:id="rId1424"/>
    <hyperlink xmlns:r="http://schemas.openxmlformats.org/officeDocument/2006/relationships" ref="R1426" r:id="rId1425"/>
    <hyperlink xmlns:r="http://schemas.openxmlformats.org/officeDocument/2006/relationships" ref="R1427" r:id="rId1426"/>
    <hyperlink xmlns:r="http://schemas.openxmlformats.org/officeDocument/2006/relationships" ref="R1428" r:id="rId1427"/>
    <hyperlink xmlns:r="http://schemas.openxmlformats.org/officeDocument/2006/relationships" ref="R1429" r:id="rId1428"/>
    <hyperlink xmlns:r="http://schemas.openxmlformats.org/officeDocument/2006/relationships" ref="R1430" r:id="rId1429"/>
    <hyperlink xmlns:r="http://schemas.openxmlformats.org/officeDocument/2006/relationships" ref="R1431" r:id="rId1430"/>
    <hyperlink xmlns:r="http://schemas.openxmlformats.org/officeDocument/2006/relationships" ref="R1432" r:id="rId1431"/>
    <hyperlink xmlns:r="http://schemas.openxmlformats.org/officeDocument/2006/relationships" ref="R1433" r:id="rId1432"/>
    <hyperlink xmlns:r="http://schemas.openxmlformats.org/officeDocument/2006/relationships" ref="R1434" r:id="rId1433"/>
    <hyperlink xmlns:r="http://schemas.openxmlformats.org/officeDocument/2006/relationships" ref="R1435" r:id="rId1434"/>
    <hyperlink xmlns:r="http://schemas.openxmlformats.org/officeDocument/2006/relationships" ref="R1436" r:id="rId1435"/>
    <hyperlink xmlns:r="http://schemas.openxmlformats.org/officeDocument/2006/relationships" ref="R1437" r:id="rId1436"/>
    <hyperlink xmlns:r="http://schemas.openxmlformats.org/officeDocument/2006/relationships" ref="R1438" r:id="rId1437"/>
    <hyperlink xmlns:r="http://schemas.openxmlformats.org/officeDocument/2006/relationships" ref="R1439" r:id="rId1438"/>
    <hyperlink xmlns:r="http://schemas.openxmlformats.org/officeDocument/2006/relationships" ref="R1440" r:id="rId1439"/>
    <hyperlink xmlns:r="http://schemas.openxmlformats.org/officeDocument/2006/relationships" ref="R1441" r:id="rId1440"/>
    <hyperlink xmlns:r="http://schemas.openxmlformats.org/officeDocument/2006/relationships" ref="R1442" r:id="rId1441"/>
    <hyperlink xmlns:r="http://schemas.openxmlformats.org/officeDocument/2006/relationships" ref="R1443" r:id="rId1442"/>
    <hyperlink xmlns:r="http://schemas.openxmlformats.org/officeDocument/2006/relationships" ref="R1444" r:id="rId1443"/>
    <hyperlink xmlns:r="http://schemas.openxmlformats.org/officeDocument/2006/relationships" ref="R1445" r:id="rId1444"/>
    <hyperlink xmlns:r="http://schemas.openxmlformats.org/officeDocument/2006/relationships" ref="R1446" r:id="rId1445"/>
    <hyperlink xmlns:r="http://schemas.openxmlformats.org/officeDocument/2006/relationships" ref="R1447" r:id="rId1446"/>
    <hyperlink xmlns:r="http://schemas.openxmlformats.org/officeDocument/2006/relationships" ref="R1448" r:id="rId1447"/>
    <hyperlink xmlns:r="http://schemas.openxmlformats.org/officeDocument/2006/relationships" ref="R1449" r:id="rId1448"/>
    <hyperlink xmlns:r="http://schemas.openxmlformats.org/officeDocument/2006/relationships" ref="R1450" r:id="rId1449"/>
    <hyperlink xmlns:r="http://schemas.openxmlformats.org/officeDocument/2006/relationships" ref="R1451" r:id="rId1450"/>
    <hyperlink xmlns:r="http://schemas.openxmlformats.org/officeDocument/2006/relationships" ref="R1452" r:id="rId1451"/>
    <hyperlink xmlns:r="http://schemas.openxmlformats.org/officeDocument/2006/relationships" ref="R1453" r:id="rId1452"/>
    <hyperlink xmlns:r="http://schemas.openxmlformats.org/officeDocument/2006/relationships" ref="R1454" r:id="rId1453"/>
    <hyperlink xmlns:r="http://schemas.openxmlformats.org/officeDocument/2006/relationships" ref="R1455" r:id="rId1454"/>
    <hyperlink xmlns:r="http://schemas.openxmlformats.org/officeDocument/2006/relationships" ref="R1456" r:id="rId1455"/>
    <hyperlink xmlns:r="http://schemas.openxmlformats.org/officeDocument/2006/relationships" ref="R1457" r:id="rId1456"/>
    <hyperlink xmlns:r="http://schemas.openxmlformats.org/officeDocument/2006/relationships" ref="R1458" r:id="rId1457"/>
    <hyperlink xmlns:r="http://schemas.openxmlformats.org/officeDocument/2006/relationships" ref="R1459" r:id="rId1458"/>
    <hyperlink xmlns:r="http://schemas.openxmlformats.org/officeDocument/2006/relationships" ref="R1460" r:id="rId1459"/>
    <hyperlink xmlns:r="http://schemas.openxmlformats.org/officeDocument/2006/relationships" ref="R1461" r:id="rId1460"/>
    <hyperlink xmlns:r="http://schemas.openxmlformats.org/officeDocument/2006/relationships" ref="R1462" r:id="rId1461"/>
    <hyperlink xmlns:r="http://schemas.openxmlformats.org/officeDocument/2006/relationships" ref="R1463" r:id="rId1462"/>
    <hyperlink xmlns:r="http://schemas.openxmlformats.org/officeDocument/2006/relationships" ref="R1464" r:id="rId1463"/>
    <hyperlink xmlns:r="http://schemas.openxmlformats.org/officeDocument/2006/relationships" ref="R1465" r:id="rId1464"/>
    <hyperlink xmlns:r="http://schemas.openxmlformats.org/officeDocument/2006/relationships" ref="R1466" r:id="rId1465"/>
    <hyperlink xmlns:r="http://schemas.openxmlformats.org/officeDocument/2006/relationships" ref="R1467" r:id="rId1466"/>
    <hyperlink xmlns:r="http://schemas.openxmlformats.org/officeDocument/2006/relationships" ref="R1468" r:id="rId1467"/>
    <hyperlink xmlns:r="http://schemas.openxmlformats.org/officeDocument/2006/relationships" ref="R1469" r:id="rId1468"/>
    <hyperlink xmlns:r="http://schemas.openxmlformats.org/officeDocument/2006/relationships" ref="R1470" r:id="rId1469"/>
    <hyperlink xmlns:r="http://schemas.openxmlformats.org/officeDocument/2006/relationships" ref="R1471" r:id="rId1470"/>
    <hyperlink xmlns:r="http://schemas.openxmlformats.org/officeDocument/2006/relationships" ref="R1472" r:id="rId1471"/>
    <hyperlink xmlns:r="http://schemas.openxmlformats.org/officeDocument/2006/relationships" ref="R1473" r:id="rId1472"/>
    <hyperlink xmlns:r="http://schemas.openxmlformats.org/officeDocument/2006/relationships" ref="R1474" r:id="rId1473"/>
    <hyperlink xmlns:r="http://schemas.openxmlformats.org/officeDocument/2006/relationships" ref="R1475" r:id="rId1474"/>
    <hyperlink xmlns:r="http://schemas.openxmlformats.org/officeDocument/2006/relationships" ref="R1476" r:id="rId1475"/>
    <hyperlink xmlns:r="http://schemas.openxmlformats.org/officeDocument/2006/relationships" ref="R1477" r:id="rId1476"/>
    <hyperlink xmlns:r="http://schemas.openxmlformats.org/officeDocument/2006/relationships" ref="R1478" r:id="rId1477"/>
    <hyperlink xmlns:r="http://schemas.openxmlformats.org/officeDocument/2006/relationships" ref="R1479" r:id="rId1478"/>
    <hyperlink xmlns:r="http://schemas.openxmlformats.org/officeDocument/2006/relationships" ref="R1480" r:id="rId1479"/>
    <hyperlink xmlns:r="http://schemas.openxmlformats.org/officeDocument/2006/relationships" ref="R1481" r:id="rId1480"/>
    <hyperlink xmlns:r="http://schemas.openxmlformats.org/officeDocument/2006/relationships" ref="R1482" r:id="rId1481"/>
    <hyperlink xmlns:r="http://schemas.openxmlformats.org/officeDocument/2006/relationships" ref="R1483" r:id="rId1482"/>
    <hyperlink xmlns:r="http://schemas.openxmlformats.org/officeDocument/2006/relationships" ref="R1484" r:id="rId1483"/>
    <hyperlink xmlns:r="http://schemas.openxmlformats.org/officeDocument/2006/relationships" ref="R1485" r:id="rId1484"/>
    <hyperlink xmlns:r="http://schemas.openxmlformats.org/officeDocument/2006/relationships" ref="R1486" r:id="rId1485"/>
    <hyperlink xmlns:r="http://schemas.openxmlformats.org/officeDocument/2006/relationships" ref="R1487" r:id="rId1486"/>
    <hyperlink xmlns:r="http://schemas.openxmlformats.org/officeDocument/2006/relationships" ref="R1488" r:id="rId1487"/>
    <hyperlink xmlns:r="http://schemas.openxmlformats.org/officeDocument/2006/relationships" ref="R1489" r:id="rId1488"/>
    <hyperlink xmlns:r="http://schemas.openxmlformats.org/officeDocument/2006/relationships" ref="R1490" r:id="rId1489"/>
    <hyperlink xmlns:r="http://schemas.openxmlformats.org/officeDocument/2006/relationships" ref="R1491" r:id="rId1490"/>
    <hyperlink xmlns:r="http://schemas.openxmlformats.org/officeDocument/2006/relationships" ref="R1492" r:id="rId1491"/>
    <hyperlink xmlns:r="http://schemas.openxmlformats.org/officeDocument/2006/relationships" ref="R1493" r:id="rId1492"/>
    <hyperlink xmlns:r="http://schemas.openxmlformats.org/officeDocument/2006/relationships" ref="R1494" r:id="rId1493"/>
    <hyperlink xmlns:r="http://schemas.openxmlformats.org/officeDocument/2006/relationships" ref="R1495" r:id="rId1494"/>
    <hyperlink xmlns:r="http://schemas.openxmlformats.org/officeDocument/2006/relationships" ref="R1496" r:id="rId1495"/>
    <hyperlink xmlns:r="http://schemas.openxmlformats.org/officeDocument/2006/relationships" ref="R1497" r:id="rId1496"/>
    <hyperlink xmlns:r="http://schemas.openxmlformats.org/officeDocument/2006/relationships" ref="R1498" r:id="rId1497"/>
    <hyperlink xmlns:r="http://schemas.openxmlformats.org/officeDocument/2006/relationships" ref="R1499" r:id="rId1498"/>
    <hyperlink xmlns:r="http://schemas.openxmlformats.org/officeDocument/2006/relationships" ref="R1500" r:id="rId1499"/>
    <hyperlink xmlns:r="http://schemas.openxmlformats.org/officeDocument/2006/relationships" ref="R1501" r:id="rId1500"/>
    <hyperlink xmlns:r="http://schemas.openxmlformats.org/officeDocument/2006/relationships" ref="R1502" r:id="rId1501"/>
    <hyperlink xmlns:r="http://schemas.openxmlformats.org/officeDocument/2006/relationships" ref="R1503" r:id="rId1502"/>
    <hyperlink xmlns:r="http://schemas.openxmlformats.org/officeDocument/2006/relationships" ref="R1504" r:id="rId1503"/>
    <hyperlink xmlns:r="http://schemas.openxmlformats.org/officeDocument/2006/relationships" ref="R1505" r:id="rId1504"/>
    <hyperlink xmlns:r="http://schemas.openxmlformats.org/officeDocument/2006/relationships" ref="R1506" r:id="rId1505"/>
    <hyperlink xmlns:r="http://schemas.openxmlformats.org/officeDocument/2006/relationships" ref="R1507" r:id="rId1506"/>
    <hyperlink xmlns:r="http://schemas.openxmlformats.org/officeDocument/2006/relationships" ref="R1508" r:id="rId1507"/>
    <hyperlink xmlns:r="http://schemas.openxmlformats.org/officeDocument/2006/relationships" ref="R1509" r:id="rId1508"/>
    <hyperlink xmlns:r="http://schemas.openxmlformats.org/officeDocument/2006/relationships" ref="R1510" r:id="rId1509"/>
    <hyperlink xmlns:r="http://schemas.openxmlformats.org/officeDocument/2006/relationships" ref="R1511" r:id="rId1510"/>
    <hyperlink xmlns:r="http://schemas.openxmlformats.org/officeDocument/2006/relationships" ref="R1512" r:id="rId1511"/>
    <hyperlink xmlns:r="http://schemas.openxmlformats.org/officeDocument/2006/relationships" ref="R1513" r:id="rId1512"/>
    <hyperlink xmlns:r="http://schemas.openxmlformats.org/officeDocument/2006/relationships" ref="R1514" r:id="rId1513"/>
    <hyperlink xmlns:r="http://schemas.openxmlformats.org/officeDocument/2006/relationships" ref="R1515" r:id="rId1514"/>
    <hyperlink xmlns:r="http://schemas.openxmlformats.org/officeDocument/2006/relationships" ref="R1516" r:id="rId1515"/>
    <hyperlink xmlns:r="http://schemas.openxmlformats.org/officeDocument/2006/relationships" ref="R1517" r:id="rId1516"/>
    <hyperlink xmlns:r="http://schemas.openxmlformats.org/officeDocument/2006/relationships" ref="R1518" r:id="rId1517"/>
    <hyperlink xmlns:r="http://schemas.openxmlformats.org/officeDocument/2006/relationships" ref="R1519" r:id="rId1518"/>
    <hyperlink xmlns:r="http://schemas.openxmlformats.org/officeDocument/2006/relationships" ref="R1520" r:id="rId1519"/>
    <hyperlink xmlns:r="http://schemas.openxmlformats.org/officeDocument/2006/relationships" ref="R1521" r:id="rId1520"/>
    <hyperlink xmlns:r="http://schemas.openxmlformats.org/officeDocument/2006/relationships" ref="R1522" r:id="rId1521"/>
    <hyperlink xmlns:r="http://schemas.openxmlformats.org/officeDocument/2006/relationships" ref="R1523" r:id="rId1522"/>
    <hyperlink xmlns:r="http://schemas.openxmlformats.org/officeDocument/2006/relationships" ref="R1524" r:id="rId1523"/>
    <hyperlink xmlns:r="http://schemas.openxmlformats.org/officeDocument/2006/relationships" ref="R1525" r:id="rId1524"/>
    <hyperlink xmlns:r="http://schemas.openxmlformats.org/officeDocument/2006/relationships" ref="R1526" r:id="rId1525"/>
    <hyperlink xmlns:r="http://schemas.openxmlformats.org/officeDocument/2006/relationships" ref="R1527" r:id="rId1526"/>
    <hyperlink xmlns:r="http://schemas.openxmlformats.org/officeDocument/2006/relationships" ref="R1528" r:id="rId1527"/>
    <hyperlink xmlns:r="http://schemas.openxmlformats.org/officeDocument/2006/relationships" ref="R1529" r:id="rId1528"/>
    <hyperlink xmlns:r="http://schemas.openxmlformats.org/officeDocument/2006/relationships" ref="R1530" r:id="rId1529"/>
    <hyperlink xmlns:r="http://schemas.openxmlformats.org/officeDocument/2006/relationships" ref="R1531" r:id="rId1530"/>
    <hyperlink xmlns:r="http://schemas.openxmlformats.org/officeDocument/2006/relationships" ref="R1532" r:id="rId1531"/>
    <hyperlink xmlns:r="http://schemas.openxmlformats.org/officeDocument/2006/relationships" ref="R1533" r:id="rId1532"/>
    <hyperlink xmlns:r="http://schemas.openxmlformats.org/officeDocument/2006/relationships" ref="R1534" r:id="rId1533"/>
    <hyperlink xmlns:r="http://schemas.openxmlformats.org/officeDocument/2006/relationships" ref="R1535" r:id="rId1534"/>
    <hyperlink xmlns:r="http://schemas.openxmlformats.org/officeDocument/2006/relationships" ref="R1536" r:id="rId1535"/>
    <hyperlink xmlns:r="http://schemas.openxmlformats.org/officeDocument/2006/relationships" ref="R1537" r:id="rId1536"/>
    <hyperlink xmlns:r="http://schemas.openxmlformats.org/officeDocument/2006/relationships" ref="R1538" r:id="rId1537"/>
    <hyperlink xmlns:r="http://schemas.openxmlformats.org/officeDocument/2006/relationships" ref="R1539" r:id="rId1538"/>
    <hyperlink xmlns:r="http://schemas.openxmlformats.org/officeDocument/2006/relationships" ref="R1540" r:id="rId1539"/>
    <hyperlink xmlns:r="http://schemas.openxmlformats.org/officeDocument/2006/relationships" ref="R1541" r:id="rId1540"/>
    <hyperlink xmlns:r="http://schemas.openxmlformats.org/officeDocument/2006/relationships" ref="R1542" r:id="rId1541"/>
    <hyperlink xmlns:r="http://schemas.openxmlformats.org/officeDocument/2006/relationships" ref="R1543" r:id="rId1542"/>
    <hyperlink xmlns:r="http://schemas.openxmlformats.org/officeDocument/2006/relationships" ref="R1544" r:id="rId1543"/>
    <hyperlink xmlns:r="http://schemas.openxmlformats.org/officeDocument/2006/relationships" ref="R1545" r:id="rId1544"/>
    <hyperlink xmlns:r="http://schemas.openxmlformats.org/officeDocument/2006/relationships" ref="R1546" r:id="rId1545"/>
    <hyperlink xmlns:r="http://schemas.openxmlformats.org/officeDocument/2006/relationships" ref="R1547" r:id="rId1546"/>
    <hyperlink xmlns:r="http://schemas.openxmlformats.org/officeDocument/2006/relationships" ref="R1548" r:id="rId1547"/>
    <hyperlink xmlns:r="http://schemas.openxmlformats.org/officeDocument/2006/relationships" ref="R1549" r:id="rId1548"/>
    <hyperlink xmlns:r="http://schemas.openxmlformats.org/officeDocument/2006/relationships" ref="R1550" r:id="rId1549"/>
    <hyperlink xmlns:r="http://schemas.openxmlformats.org/officeDocument/2006/relationships" ref="R1551" r:id="rId1550"/>
    <hyperlink xmlns:r="http://schemas.openxmlformats.org/officeDocument/2006/relationships" ref="R1552" r:id="rId1551"/>
    <hyperlink xmlns:r="http://schemas.openxmlformats.org/officeDocument/2006/relationships" ref="R1553" r:id="rId1552"/>
    <hyperlink xmlns:r="http://schemas.openxmlformats.org/officeDocument/2006/relationships" ref="R1554" r:id="rId1553"/>
    <hyperlink xmlns:r="http://schemas.openxmlformats.org/officeDocument/2006/relationships" ref="R1555" r:id="rId1554"/>
    <hyperlink xmlns:r="http://schemas.openxmlformats.org/officeDocument/2006/relationships" ref="R1556" r:id="rId1555"/>
    <hyperlink xmlns:r="http://schemas.openxmlformats.org/officeDocument/2006/relationships" ref="R1557" r:id="rId1556"/>
    <hyperlink xmlns:r="http://schemas.openxmlformats.org/officeDocument/2006/relationships" ref="R1558" r:id="rId1557"/>
    <hyperlink xmlns:r="http://schemas.openxmlformats.org/officeDocument/2006/relationships" ref="R1559" r:id="rId1558"/>
    <hyperlink xmlns:r="http://schemas.openxmlformats.org/officeDocument/2006/relationships" ref="R1560" r:id="rId1559"/>
    <hyperlink xmlns:r="http://schemas.openxmlformats.org/officeDocument/2006/relationships" ref="R1561" r:id="rId1560"/>
    <hyperlink xmlns:r="http://schemas.openxmlformats.org/officeDocument/2006/relationships" ref="R1562" r:id="rId1561"/>
    <hyperlink xmlns:r="http://schemas.openxmlformats.org/officeDocument/2006/relationships" ref="R1563" r:id="rId1562"/>
    <hyperlink xmlns:r="http://schemas.openxmlformats.org/officeDocument/2006/relationships" ref="R1564" r:id="rId1563"/>
    <hyperlink xmlns:r="http://schemas.openxmlformats.org/officeDocument/2006/relationships" ref="R1565" r:id="rId1564"/>
    <hyperlink xmlns:r="http://schemas.openxmlformats.org/officeDocument/2006/relationships" ref="R1566" r:id="rId1565"/>
    <hyperlink xmlns:r="http://schemas.openxmlformats.org/officeDocument/2006/relationships" ref="R1567" r:id="rId1566"/>
    <hyperlink xmlns:r="http://schemas.openxmlformats.org/officeDocument/2006/relationships" ref="R1568" r:id="rId1567"/>
    <hyperlink xmlns:r="http://schemas.openxmlformats.org/officeDocument/2006/relationships" ref="R1569" r:id="rId1568"/>
    <hyperlink xmlns:r="http://schemas.openxmlformats.org/officeDocument/2006/relationships" ref="R1570" r:id="rId1569"/>
    <hyperlink xmlns:r="http://schemas.openxmlformats.org/officeDocument/2006/relationships" ref="R1571" r:id="rId1570"/>
    <hyperlink xmlns:r="http://schemas.openxmlformats.org/officeDocument/2006/relationships" ref="R1572" r:id="rId1571"/>
    <hyperlink xmlns:r="http://schemas.openxmlformats.org/officeDocument/2006/relationships" ref="R1573" r:id="rId1572"/>
    <hyperlink xmlns:r="http://schemas.openxmlformats.org/officeDocument/2006/relationships" ref="R1574" r:id="rId1573"/>
    <hyperlink xmlns:r="http://schemas.openxmlformats.org/officeDocument/2006/relationships" ref="R1575" r:id="rId1574"/>
    <hyperlink xmlns:r="http://schemas.openxmlformats.org/officeDocument/2006/relationships" ref="R1576" r:id="rId1575"/>
    <hyperlink xmlns:r="http://schemas.openxmlformats.org/officeDocument/2006/relationships" ref="R1577" r:id="rId1576"/>
    <hyperlink xmlns:r="http://schemas.openxmlformats.org/officeDocument/2006/relationships" ref="R1578" r:id="rId1577"/>
    <hyperlink xmlns:r="http://schemas.openxmlformats.org/officeDocument/2006/relationships" ref="R1579" r:id="rId1578"/>
    <hyperlink xmlns:r="http://schemas.openxmlformats.org/officeDocument/2006/relationships" ref="R1580" r:id="rId1579"/>
    <hyperlink xmlns:r="http://schemas.openxmlformats.org/officeDocument/2006/relationships" ref="R1581" r:id="rId1580"/>
    <hyperlink xmlns:r="http://schemas.openxmlformats.org/officeDocument/2006/relationships" ref="R1582" r:id="rId1581"/>
    <hyperlink xmlns:r="http://schemas.openxmlformats.org/officeDocument/2006/relationships" ref="R1583" r:id="rId1582"/>
    <hyperlink xmlns:r="http://schemas.openxmlformats.org/officeDocument/2006/relationships" ref="R1584" r:id="rId1583"/>
    <hyperlink xmlns:r="http://schemas.openxmlformats.org/officeDocument/2006/relationships" ref="R1585" r:id="rId1584"/>
    <hyperlink xmlns:r="http://schemas.openxmlformats.org/officeDocument/2006/relationships" ref="R1586" r:id="rId1585"/>
    <hyperlink xmlns:r="http://schemas.openxmlformats.org/officeDocument/2006/relationships" ref="R1587" r:id="rId1586"/>
    <hyperlink xmlns:r="http://schemas.openxmlformats.org/officeDocument/2006/relationships" ref="R1588" r:id="rId1587"/>
    <hyperlink xmlns:r="http://schemas.openxmlformats.org/officeDocument/2006/relationships" ref="R1589" r:id="rId1588"/>
    <hyperlink xmlns:r="http://schemas.openxmlformats.org/officeDocument/2006/relationships" ref="R1590" r:id="rId1589"/>
    <hyperlink xmlns:r="http://schemas.openxmlformats.org/officeDocument/2006/relationships" ref="R1591" r:id="rId1590"/>
    <hyperlink xmlns:r="http://schemas.openxmlformats.org/officeDocument/2006/relationships" ref="R1592" r:id="rId1591"/>
    <hyperlink xmlns:r="http://schemas.openxmlformats.org/officeDocument/2006/relationships" ref="R1593" r:id="rId1592"/>
    <hyperlink xmlns:r="http://schemas.openxmlformats.org/officeDocument/2006/relationships" ref="R1594" r:id="rId1593"/>
    <hyperlink xmlns:r="http://schemas.openxmlformats.org/officeDocument/2006/relationships" ref="R1595" r:id="rId1594"/>
    <hyperlink xmlns:r="http://schemas.openxmlformats.org/officeDocument/2006/relationships" ref="R1596" r:id="rId1595"/>
    <hyperlink xmlns:r="http://schemas.openxmlformats.org/officeDocument/2006/relationships" ref="R1597" r:id="rId1596"/>
    <hyperlink xmlns:r="http://schemas.openxmlformats.org/officeDocument/2006/relationships" ref="R1598" r:id="rId1597"/>
    <hyperlink xmlns:r="http://schemas.openxmlformats.org/officeDocument/2006/relationships" ref="R1599" r:id="rId1598"/>
    <hyperlink xmlns:r="http://schemas.openxmlformats.org/officeDocument/2006/relationships" ref="R1600" r:id="rId1599"/>
    <hyperlink xmlns:r="http://schemas.openxmlformats.org/officeDocument/2006/relationships" ref="R1601" r:id="rId1600"/>
    <hyperlink xmlns:r="http://schemas.openxmlformats.org/officeDocument/2006/relationships" ref="R1602" r:id="rId1601"/>
    <hyperlink xmlns:r="http://schemas.openxmlformats.org/officeDocument/2006/relationships" ref="R1603" r:id="rId1602"/>
    <hyperlink xmlns:r="http://schemas.openxmlformats.org/officeDocument/2006/relationships" ref="R1604" r:id="rId1603"/>
    <hyperlink xmlns:r="http://schemas.openxmlformats.org/officeDocument/2006/relationships" ref="R1605" r:id="rId1604"/>
    <hyperlink xmlns:r="http://schemas.openxmlformats.org/officeDocument/2006/relationships" ref="R1606" r:id="rId1605"/>
    <hyperlink xmlns:r="http://schemas.openxmlformats.org/officeDocument/2006/relationships" ref="R1607" r:id="rId1606"/>
    <hyperlink xmlns:r="http://schemas.openxmlformats.org/officeDocument/2006/relationships" ref="R1608" r:id="rId1607"/>
    <hyperlink xmlns:r="http://schemas.openxmlformats.org/officeDocument/2006/relationships" ref="R1609" r:id="rId1608"/>
    <hyperlink xmlns:r="http://schemas.openxmlformats.org/officeDocument/2006/relationships" ref="R1610" r:id="rId1609"/>
    <hyperlink xmlns:r="http://schemas.openxmlformats.org/officeDocument/2006/relationships" ref="R1611" r:id="rId1610"/>
    <hyperlink xmlns:r="http://schemas.openxmlformats.org/officeDocument/2006/relationships" ref="R1612" r:id="rId1611"/>
    <hyperlink xmlns:r="http://schemas.openxmlformats.org/officeDocument/2006/relationships" ref="R1613" r:id="rId1612"/>
    <hyperlink xmlns:r="http://schemas.openxmlformats.org/officeDocument/2006/relationships" ref="R1614" r:id="rId1613"/>
    <hyperlink xmlns:r="http://schemas.openxmlformats.org/officeDocument/2006/relationships" ref="R1615" r:id="rId1614"/>
    <hyperlink xmlns:r="http://schemas.openxmlformats.org/officeDocument/2006/relationships" ref="R1616" r:id="rId1615"/>
    <hyperlink xmlns:r="http://schemas.openxmlformats.org/officeDocument/2006/relationships" ref="R1617" r:id="rId1616"/>
    <hyperlink xmlns:r="http://schemas.openxmlformats.org/officeDocument/2006/relationships" ref="R1618" r:id="rId1617"/>
    <hyperlink xmlns:r="http://schemas.openxmlformats.org/officeDocument/2006/relationships" ref="R1619" r:id="rId1618"/>
    <hyperlink xmlns:r="http://schemas.openxmlformats.org/officeDocument/2006/relationships" ref="R1620" r:id="rId1619"/>
    <hyperlink xmlns:r="http://schemas.openxmlformats.org/officeDocument/2006/relationships" ref="R1621" r:id="rId1620"/>
    <hyperlink xmlns:r="http://schemas.openxmlformats.org/officeDocument/2006/relationships" ref="R1622" r:id="rId1621"/>
    <hyperlink xmlns:r="http://schemas.openxmlformats.org/officeDocument/2006/relationships" ref="R1623" r:id="rId1622"/>
    <hyperlink xmlns:r="http://schemas.openxmlformats.org/officeDocument/2006/relationships" ref="R1624" r:id="rId1623"/>
    <hyperlink xmlns:r="http://schemas.openxmlformats.org/officeDocument/2006/relationships" ref="R1625" r:id="rId1624"/>
    <hyperlink xmlns:r="http://schemas.openxmlformats.org/officeDocument/2006/relationships" ref="R1626" r:id="rId1625"/>
    <hyperlink xmlns:r="http://schemas.openxmlformats.org/officeDocument/2006/relationships" ref="R1627" r:id="rId1626"/>
    <hyperlink xmlns:r="http://schemas.openxmlformats.org/officeDocument/2006/relationships" ref="R1628" r:id="rId1627"/>
    <hyperlink xmlns:r="http://schemas.openxmlformats.org/officeDocument/2006/relationships" ref="R1629" r:id="rId1628"/>
    <hyperlink xmlns:r="http://schemas.openxmlformats.org/officeDocument/2006/relationships" ref="R1630" r:id="rId1629"/>
    <hyperlink xmlns:r="http://schemas.openxmlformats.org/officeDocument/2006/relationships" ref="R1631" r:id="rId1630"/>
    <hyperlink xmlns:r="http://schemas.openxmlformats.org/officeDocument/2006/relationships" ref="R1632" r:id="rId1631"/>
    <hyperlink xmlns:r="http://schemas.openxmlformats.org/officeDocument/2006/relationships" ref="R1633" r:id="rId1632"/>
    <hyperlink xmlns:r="http://schemas.openxmlformats.org/officeDocument/2006/relationships" ref="R1634" r:id="rId1633"/>
    <hyperlink xmlns:r="http://schemas.openxmlformats.org/officeDocument/2006/relationships" ref="R1635" r:id="rId1634"/>
    <hyperlink xmlns:r="http://schemas.openxmlformats.org/officeDocument/2006/relationships" ref="R1636" r:id="rId1635"/>
    <hyperlink xmlns:r="http://schemas.openxmlformats.org/officeDocument/2006/relationships" ref="R1637" r:id="rId1636"/>
    <hyperlink xmlns:r="http://schemas.openxmlformats.org/officeDocument/2006/relationships" ref="R1638" r:id="rId1637"/>
    <hyperlink xmlns:r="http://schemas.openxmlformats.org/officeDocument/2006/relationships" ref="R1639" r:id="rId1638"/>
    <hyperlink xmlns:r="http://schemas.openxmlformats.org/officeDocument/2006/relationships" ref="R1640" r:id="rId1639"/>
    <hyperlink xmlns:r="http://schemas.openxmlformats.org/officeDocument/2006/relationships" ref="R1641" r:id="rId1640"/>
    <hyperlink xmlns:r="http://schemas.openxmlformats.org/officeDocument/2006/relationships" ref="R1642" r:id="rId1641"/>
    <hyperlink xmlns:r="http://schemas.openxmlformats.org/officeDocument/2006/relationships" ref="R1643" r:id="rId1642"/>
    <hyperlink xmlns:r="http://schemas.openxmlformats.org/officeDocument/2006/relationships" ref="R1644" r:id="rId1643"/>
    <hyperlink xmlns:r="http://schemas.openxmlformats.org/officeDocument/2006/relationships" ref="R1645" r:id="rId1644"/>
    <hyperlink xmlns:r="http://schemas.openxmlformats.org/officeDocument/2006/relationships" ref="R1646" r:id="rId1645"/>
    <hyperlink xmlns:r="http://schemas.openxmlformats.org/officeDocument/2006/relationships" ref="R1647" r:id="rId1646"/>
    <hyperlink xmlns:r="http://schemas.openxmlformats.org/officeDocument/2006/relationships" ref="R1648" r:id="rId1647"/>
    <hyperlink xmlns:r="http://schemas.openxmlformats.org/officeDocument/2006/relationships" ref="R1649" r:id="rId1648"/>
    <hyperlink xmlns:r="http://schemas.openxmlformats.org/officeDocument/2006/relationships" ref="R1650" r:id="rId1649"/>
    <hyperlink xmlns:r="http://schemas.openxmlformats.org/officeDocument/2006/relationships" ref="R1651" r:id="rId1650"/>
    <hyperlink xmlns:r="http://schemas.openxmlformats.org/officeDocument/2006/relationships" ref="R1652" r:id="rId1651"/>
    <hyperlink xmlns:r="http://schemas.openxmlformats.org/officeDocument/2006/relationships" ref="R1653" r:id="rId1652"/>
    <hyperlink xmlns:r="http://schemas.openxmlformats.org/officeDocument/2006/relationships" ref="R1654" r:id="rId1653"/>
    <hyperlink xmlns:r="http://schemas.openxmlformats.org/officeDocument/2006/relationships" ref="R1655" r:id="rId1654"/>
    <hyperlink xmlns:r="http://schemas.openxmlformats.org/officeDocument/2006/relationships" ref="R1656" r:id="rId1655"/>
    <hyperlink xmlns:r="http://schemas.openxmlformats.org/officeDocument/2006/relationships" ref="R1657" r:id="rId1656"/>
    <hyperlink xmlns:r="http://schemas.openxmlformats.org/officeDocument/2006/relationships" ref="R1658" r:id="rId1657"/>
    <hyperlink xmlns:r="http://schemas.openxmlformats.org/officeDocument/2006/relationships" ref="R1659" r:id="rId1658"/>
    <hyperlink xmlns:r="http://schemas.openxmlformats.org/officeDocument/2006/relationships" ref="R1660" r:id="rId1659"/>
    <hyperlink xmlns:r="http://schemas.openxmlformats.org/officeDocument/2006/relationships" ref="R1661" r:id="rId1660"/>
    <hyperlink xmlns:r="http://schemas.openxmlformats.org/officeDocument/2006/relationships" ref="R1662" r:id="rId1661"/>
    <hyperlink xmlns:r="http://schemas.openxmlformats.org/officeDocument/2006/relationships" ref="R1663" r:id="rId1662"/>
    <hyperlink xmlns:r="http://schemas.openxmlformats.org/officeDocument/2006/relationships" ref="R1664" r:id="rId1663"/>
    <hyperlink xmlns:r="http://schemas.openxmlformats.org/officeDocument/2006/relationships" ref="R1665" r:id="rId1664"/>
    <hyperlink xmlns:r="http://schemas.openxmlformats.org/officeDocument/2006/relationships" ref="R1666" r:id="rId1665"/>
    <hyperlink xmlns:r="http://schemas.openxmlformats.org/officeDocument/2006/relationships" ref="R1667" r:id="rId1666"/>
    <hyperlink xmlns:r="http://schemas.openxmlformats.org/officeDocument/2006/relationships" ref="R1668" r:id="rId1667"/>
    <hyperlink xmlns:r="http://schemas.openxmlformats.org/officeDocument/2006/relationships" ref="R1669" r:id="rId1668"/>
    <hyperlink xmlns:r="http://schemas.openxmlformats.org/officeDocument/2006/relationships" ref="R1670" r:id="rId1669"/>
    <hyperlink xmlns:r="http://schemas.openxmlformats.org/officeDocument/2006/relationships" ref="R1671" r:id="rId1670"/>
    <hyperlink xmlns:r="http://schemas.openxmlformats.org/officeDocument/2006/relationships" ref="R1672" r:id="rId1671"/>
    <hyperlink xmlns:r="http://schemas.openxmlformats.org/officeDocument/2006/relationships" ref="R1673" r:id="rId1672"/>
    <hyperlink xmlns:r="http://schemas.openxmlformats.org/officeDocument/2006/relationships" ref="R1674" r:id="rId1673"/>
    <hyperlink xmlns:r="http://schemas.openxmlformats.org/officeDocument/2006/relationships" ref="R1675" r:id="rId1674"/>
    <hyperlink xmlns:r="http://schemas.openxmlformats.org/officeDocument/2006/relationships" ref="R1676" r:id="rId1675"/>
    <hyperlink xmlns:r="http://schemas.openxmlformats.org/officeDocument/2006/relationships" ref="R1677" r:id="rId1676"/>
    <hyperlink xmlns:r="http://schemas.openxmlformats.org/officeDocument/2006/relationships" ref="R1678" r:id="rId1677"/>
    <hyperlink xmlns:r="http://schemas.openxmlformats.org/officeDocument/2006/relationships" ref="R1679" r:id="rId1678"/>
    <hyperlink xmlns:r="http://schemas.openxmlformats.org/officeDocument/2006/relationships" ref="R1680" r:id="rId1679"/>
    <hyperlink xmlns:r="http://schemas.openxmlformats.org/officeDocument/2006/relationships" ref="R1681" r:id="rId1680"/>
    <hyperlink xmlns:r="http://schemas.openxmlformats.org/officeDocument/2006/relationships" ref="R1682" r:id="rId1681"/>
    <hyperlink xmlns:r="http://schemas.openxmlformats.org/officeDocument/2006/relationships" ref="R1683" r:id="rId1682"/>
    <hyperlink xmlns:r="http://schemas.openxmlformats.org/officeDocument/2006/relationships" ref="R1684" r:id="rId1683"/>
    <hyperlink xmlns:r="http://schemas.openxmlformats.org/officeDocument/2006/relationships" ref="R1685" r:id="rId1684"/>
    <hyperlink xmlns:r="http://schemas.openxmlformats.org/officeDocument/2006/relationships" ref="R1686" r:id="rId1685"/>
    <hyperlink xmlns:r="http://schemas.openxmlformats.org/officeDocument/2006/relationships" ref="R1687" r:id="rId1686"/>
    <hyperlink xmlns:r="http://schemas.openxmlformats.org/officeDocument/2006/relationships" ref="R1688" r:id="rId1687"/>
    <hyperlink xmlns:r="http://schemas.openxmlformats.org/officeDocument/2006/relationships" ref="R1689" r:id="rId1688"/>
    <hyperlink xmlns:r="http://schemas.openxmlformats.org/officeDocument/2006/relationships" ref="R1690" r:id="rId1689"/>
    <hyperlink xmlns:r="http://schemas.openxmlformats.org/officeDocument/2006/relationships" ref="R1691" r:id="rId1690"/>
    <hyperlink xmlns:r="http://schemas.openxmlformats.org/officeDocument/2006/relationships" ref="R1692" r:id="rId1691"/>
    <hyperlink xmlns:r="http://schemas.openxmlformats.org/officeDocument/2006/relationships" ref="R1693" r:id="rId1692"/>
    <hyperlink xmlns:r="http://schemas.openxmlformats.org/officeDocument/2006/relationships" ref="R1694" r:id="rId1693"/>
    <hyperlink xmlns:r="http://schemas.openxmlformats.org/officeDocument/2006/relationships" ref="R1695" r:id="rId1694"/>
    <hyperlink xmlns:r="http://schemas.openxmlformats.org/officeDocument/2006/relationships" ref="R1696" r:id="rId1695"/>
    <hyperlink xmlns:r="http://schemas.openxmlformats.org/officeDocument/2006/relationships" ref="R1697" r:id="rId1696"/>
    <hyperlink xmlns:r="http://schemas.openxmlformats.org/officeDocument/2006/relationships" ref="R1698" r:id="rId1697"/>
    <hyperlink xmlns:r="http://schemas.openxmlformats.org/officeDocument/2006/relationships" ref="R1699" r:id="rId1698"/>
    <hyperlink xmlns:r="http://schemas.openxmlformats.org/officeDocument/2006/relationships" ref="R1700" r:id="rId1699"/>
    <hyperlink xmlns:r="http://schemas.openxmlformats.org/officeDocument/2006/relationships" ref="R1701" r:id="rId1700"/>
    <hyperlink xmlns:r="http://schemas.openxmlformats.org/officeDocument/2006/relationships" ref="R1702" r:id="rId1701"/>
    <hyperlink xmlns:r="http://schemas.openxmlformats.org/officeDocument/2006/relationships" ref="R1703" r:id="rId1702"/>
    <hyperlink xmlns:r="http://schemas.openxmlformats.org/officeDocument/2006/relationships" ref="R1704" r:id="rId1703"/>
    <hyperlink xmlns:r="http://schemas.openxmlformats.org/officeDocument/2006/relationships" ref="R1705" r:id="rId1704"/>
    <hyperlink xmlns:r="http://schemas.openxmlformats.org/officeDocument/2006/relationships" ref="R1706" r:id="rId1705"/>
    <hyperlink xmlns:r="http://schemas.openxmlformats.org/officeDocument/2006/relationships" ref="R1707" r:id="rId1706"/>
    <hyperlink xmlns:r="http://schemas.openxmlformats.org/officeDocument/2006/relationships" ref="R1708" r:id="rId1707"/>
    <hyperlink xmlns:r="http://schemas.openxmlformats.org/officeDocument/2006/relationships" ref="R1709" r:id="rId1708"/>
    <hyperlink xmlns:r="http://schemas.openxmlformats.org/officeDocument/2006/relationships" ref="R1710" r:id="rId1709"/>
    <hyperlink xmlns:r="http://schemas.openxmlformats.org/officeDocument/2006/relationships" ref="R1711" r:id="rId1710"/>
    <hyperlink xmlns:r="http://schemas.openxmlformats.org/officeDocument/2006/relationships" ref="R1712" r:id="rId1711"/>
    <hyperlink xmlns:r="http://schemas.openxmlformats.org/officeDocument/2006/relationships" ref="R1713" r:id="rId1712"/>
    <hyperlink xmlns:r="http://schemas.openxmlformats.org/officeDocument/2006/relationships" ref="R1714" r:id="rId1713"/>
    <hyperlink xmlns:r="http://schemas.openxmlformats.org/officeDocument/2006/relationships" ref="R1715" r:id="rId1714"/>
    <hyperlink xmlns:r="http://schemas.openxmlformats.org/officeDocument/2006/relationships" ref="R1716" r:id="rId1715"/>
    <hyperlink xmlns:r="http://schemas.openxmlformats.org/officeDocument/2006/relationships" ref="R1717" r:id="rId1716"/>
    <hyperlink xmlns:r="http://schemas.openxmlformats.org/officeDocument/2006/relationships" ref="R1718" r:id="rId1717"/>
    <hyperlink xmlns:r="http://schemas.openxmlformats.org/officeDocument/2006/relationships" ref="R1719" r:id="rId1718"/>
    <hyperlink xmlns:r="http://schemas.openxmlformats.org/officeDocument/2006/relationships" ref="R1720" r:id="rId1719"/>
    <hyperlink xmlns:r="http://schemas.openxmlformats.org/officeDocument/2006/relationships" ref="R1721" r:id="rId1720"/>
    <hyperlink xmlns:r="http://schemas.openxmlformats.org/officeDocument/2006/relationships" ref="R1722" r:id="rId1721"/>
    <hyperlink xmlns:r="http://schemas.openxmlformats.org/officeDocument/2006/relationships" ref="R1723" r:id="rId1722"/>
    <hyperlink xmlns:r="http://schemas.openxmlformats.org/officeDocument/2006/relationships" ref="R1724" r:id="rId1723"/>
    <hyperlink xmlns:r="http://schemas.openxmlformats.org/officeDocument/2006/relationships" ref="R1725" r:id="rId1724"/>
    <hyperlink xmlns:r="http://schemas.openxmlformats.org/officeDocument/2006/relationships" ref="R1726" r:id="rId1725"/>
    <hyperlink xmlns:r="http://schemas.openxmlformats.org/officeDocument/2006/relationships" ref="R1727" r:id="rId1726"/>
    <hyperlink xmlns:r="http://schemas.openxmlformats.org/officeDocument/2006/relationships" ref="R1728" r:id="rId1727"/>
    <hyperlink xmlns:r="http://schemas.openxmlformats.org/officeDocument/2006/relationships" ref="R1729" r:id="rId1728"/>
    <hyperlink xmlns:r="http://schemas.openxmlformats.org/officeDocument/2006/relationships" ref="R1730" r:id="rId1729"/>
    <hyperlink xmlns:r="http://schemas.openxmlformats.org/officeDocument/2006/relationships" ref="R1731" r:id="rId1730"/>
    <hyperlink xmlns:r="http://schemas.openxmlformats.org/officeDocument/2006/relationships" ref="R1732" r:id="rId1731"/>
    <hyperlink xmlns:r="http://schemas.openxmlformats.org/officeDocument/2006/relationships" ref="R1733" r:id="rId1732"/>
    <hyperlink xmlns:r="http://schemas.openxmlformats.org/officeDocument/2006/relationships" ref="R1734" r:id="rId1733"/>
    <hyperlink xmlns:r="http://schemas.openxmlformats.org/officeDocument/2006/relationships" ref="R1735" r:id="rId1734"/>
    <hyperlink xmlns:r="http://schemas.openxmlformats.org/officeDocument/2006/relationships" ref="R1736" r:id="rId1735"/>
    <hyperlink xmlns:r="http://schemas.openxmlformats.org/officeDocument/2006/relationships" ref="R1737" r:id="rId1736"/>
    <hyperlink xmlns:r="http://schemas.openxmlformats.org/officeDocument/2006/relationships" ref="R1738" r:id="rId1737"/>
    <hyperlink xmlns:r="http://schemas.openxmlformats.org/officeDocument/2006/relationships" ref="R1739" r:id="rId1738"/>
    <hyperlink xmlns:r="http://schemas.openxmlformats.org/officeDocument/2006/relationships" ref="R1740" r:id="rId1739"/>
    <hyperlink xmlns:r="http://schemas.openxmlformats.org/officeDocument/2006/relationships" ref="R1741" r:id="rId1740"/>
    <hyperlink xmlns:r="http://schemas.openxmlformats.org/officeDocument/2006/relationships" ref="R1742" r:id="rId1741"/>
    <hyperlink xmlns:r="http://schemas.openxmlformats.org/officeDocument/2006/relationships" ref="R1743" r:id="rId1742"/>
    <hyperlink xmlns:r="http://schemas.openxmlformats.org/officeDocument/2006/relationships" ref="R1744" r:id="rId1743"/>
    <hyperlink xmlns:r="http://schemas.openxmlformats.org/officeDocument/2006/relationships" ref="R1745" r:id="rId1744"/>
    <hyperlink xmlns:r="http://schemas.openxmlformats.org/officeDocument/2006/relationships" ref="R1746" r:id="rId1745"/>
    <hyperlink xmlns:r="http://schemas.openxmlformats.org/officeDocument/2006/relationships" ref="R1747" r:id="rId1746"/>
    <hyperlink xmlns:r="http://schemas.openxmlformats.org/officeDocument/2006/relationships" ref="R1748" r:id="rId1747"/>
    <hyperlink xmlns:r="http://schemas.openxmlformats.org/officeDocument/2006/relationships" ref="R1749" r:id="rId1748"/>
    <hyperlink xmlns:r="http://schemas.openxmlformats.org/officeDocument/2006/relationships" ref="R1750" r:id="rId1749"/>
    <hyperlink xmlns:r="http://schemas.openxmlformats.org/officeDocument/2006/relationships" ref="R1751" r:id="rId1750"/>
    <hyperlink xmlns:r="http://schemas.openxmlformats.org/officeDocument/2006/relationships" ref="R1752" r:id="rId1751"/>
    <hyperlink xmlns:r="http://schemas.openxmlformats.org/officeDocument/2006/relationships" ref="R1753" r:id="rId1752"/>
    <hyperlink xmlns:r="http://schemas.openxmlformats.org/officeDocument/2006/relationships" ref="R1754" r:id="rId1753"/>
    <hyperlink xmlns:r="http://schemas.openxmlformats.org/officeDocument/2006/relationships" ref="R1755" r:id="rId1754"/>
    <hyperlink xmlns:r="http://schemas.openxmlformats.org/officeDocument/2006/relationships" ref="R1756" r:id="rId1755"/>
    <hyperlink xmlns:r="http://schemas.openxmlformats.org/officeDocument/2006/relationships" ref="R1757" r:id="rId1756"/>
    <hyperlink xmlns:r="http://schemas.openxmlformats.org/officeDocument/2006/relationships" ref="R1758" r:id="rId1757"/>
    <hyperlink xmlns:r="http://schemas.openxmlformats.org/officeDocument/2006/relationships" ref="R1759" r:id="rId1758"/>
    <hyperlink xmlns:r="http://schemas.openxmlformats.org/officeDocument/2006/relationships" ref="R1760" r:id="rId1759"/>
    <hyperlink xmlns:r="http://schemas.openxmlformats.org/officeDocument/2006/relationships" ref="R1761" r:id="rId1760"/>
    <hyperlink xmlns:r="http://schemas.openxmlformats.org/officeDocument/2006/relationships" ref="R1762" r:id="rId1761"/>
    <hyperlink xmlns:r="http://schemas.openxmlformats.org/officeDocument/2006/relationships" ref="R1763" r:id="rId1762"/>
    <hyperlink xmlns:r="http://schemas.openxmlformats.org/officeDocument/2006/relationships" ref="R1764" r:id="rId1763"/>
    <hyperlink xmlns:r="http://schemas.openxmlformats.org/officeDocument/2006/relationships" ref="R1765" r:id="rId1764"/>
    <hyperlink xmlns:r="http://schemas.openxmlformats.org/officeDocument/2006/relationships" ref="R1766" r:id="rId1765"/>
    <hyperlink xmlns:r="http://schemas.openxmlformats.org/officeDocument/2006/relationships" ref="R1767" r:id="rId1766"/>
    <hyperlink xmlns:r="http://schemas.openxmlformats.org/officeDocument/2006/relationships" ref="R1768" r:id="rId1767"/>
    <hyperlink xmlns:r="http://schemas.openxmlformats.org/officeDocument/2006/relationships" ref="R1769" r:id="rId1768"/>
    <hyperlink xmlns:r="http://schemas.openxmlformats.org/officeDocument/2006/relationships" ref="R1770" r:id="rId1769"/>
    <hyperlink xmlns:r="http://schemas.openxmlformats.org/officeDocument/2006/relationships" ref="R1771" r:id="rId1770"/>
    <hyperlink xmlns:r="http://schemas.openxmlformats.org/officeDocument/2006/relationships" ref="R1772" r:id="rId1771"/>
    <hyperlink xmlns:r="http://schemas.openxmlformats.org/officeDocument/2006/relationships" ref="R1773" r:id="rId1772"/>
    <hyperlink xmlns:r="http://schemas.openxmlformats.org/officeDocument/2006/relationships" ref="R1774" r:id="rId1773"/>
    <hyperlink xmlns:r="http://schemas.openxmlformats.org/officeDocument/2006/relationships" ref="R1775" r:id="rId1774"/>
    <hyperlink xmlns:r="http://schemas.openxmlformats.org/officeDocument/2006/relationships" ref="R1776" r:id="rId1775"/>
    <hyperlink xmlns:r="http://schemas.openxmlformats.org/officeDocument/2006/relationships" ref="R1777" r:id="rId1776"/>
    <hyperlink xmlns:r="http://schemas.openxmlformats.org/officeDocument/2006/relationships" ref="R1778" r:id="rId1777"/>
    <hyperlink xmlns:r="http://schemas.openxmlformats.org/officeDocument/2006/relationships" ref="R1779" r:id="rId1778"/>
    <hyperlink xmlns:r="http://schemas.openxmlformats.org/officeDocument/2006/relationships" ref="R1780" r:id="rId1779"/>
    <hyperlink xmlns:r="http://schemas.openxmlformats.org/officeDocument/2006/relationships" ref="R1781" r:id="rId1780"/>
    <hyperlink xmlns:r="http://schemas.openxmlformats.org/officeDocument/2006/relationships" ref="R1782" r:id="rId1781"/>
    <hyperlink xmlns:r="http://schemas.openxmlformats.org/officeDocument/2006/relationships" ref="R1783" r:id="rId1782"/>
    <hyperlink xmlns:r="http://schemas.openxmlformats.org/officeDocument/2006/relationships" ref="R1784" r:id="rId1783"/>
    <hyperlink xmlns:r="http://schemas.openxmlformats.org/officeDocument/2006/relationships" ref="R1785" r:id="rId1784"/>
    <hyperlink xmlns:r="http://schemas.openxmlformats.org/officeDocument/2006/relationships" ref="R1786" r:id="rId1785"/>
    <hyperlink xmlns:r="http://schemas.openxmlformats.org/officeDocument/2006/relationships" ref="R1787" r:id="rId1786"/>
    <hyperlink xmlns:r="http://schemas.openxmlformats.org/officeDocument/2006/relationships" ref="R1788" r:id="rId1787"/>
    <hyperlink xmlns:r="http://schemas.openxmlformats.org/officeDocument/2006/relationships" ref="R1789" r:id="rId1788"/>
    <hyperlink xmlns:r="http://schemas.openxmlformats.org/officeDocument/2006/relationships" ref="R1790" r:id="rId1789"/>
    <hyperlink xmlns:r="http://schemas.openxmlformats.org/officeDocument/2006/relationships" ref="R1791" r:id="rId1790"/>
    <hyperlink xmlns:r="http://schemas.openxmlformats.org/officeDocument/2006/relationships" ref="R1792" r:id="rId1791"/>
    <hyperlink xmlns:r="http://schemas.openxmlformats.org/officeDocument/2006/relationships" ref="R1793" r:id="rId1792"/>
    <hyperlink xmlns:r="http://schemas.openxmlformats.org/officeDocument/2006/relationships" ref="R1794" r:id="rId1793"/>
    <hyperlink xmlns:r="http://schemas.openxmlformats.org/officeDocument/2006/relationships" ref="R1795" r:id="rId1794"/>
    <hyperlink xmlns:r="http://schemas.openxmlformats.org/officeDocument/2006/relationships" ref="R1796" r:id="rId1795"/>
    <hyperlink xmlns:r="http://schemas.openxmlformats.org/officeDocument/2006/relationships" ref="R1797" r:id="rId1796"/>
    <hyperlink xmlns:r="http://schemas.openxmlformats.org/officeDocument/2006/relationships" ref="R1798" r:id="rId1797"/>
    <hyperlink xmlns:r="http://schemas.openxmlformats.org/officeDocument/2006/relationships" ref="R1799" r:id="rId1798"/>
    <hyperlink xmlns:r="http://schemas.openxmlformats.org/officeDocument/2006/relationships" ref="R1800" r:id="rId1799"/>
    <hyperlink xmlns:r="http://schemas.openxmlformats.org/officeDocument/2006/relationships" ref="R1801" r:id="rId1800"/>
    <hyperlink xmlns:r="http://schemas.openxmlformats.org/officeDocument/2006/relationships" ref="R1802" r:id="rId1801"/>
    <hyperlink xmlns:r="http://schemas.openxmlformats.org/officeDocument/2006/relationships" ref="R1803" r:id="rId1802"/>
    <hyperlink xmlns:r="http://schemas.openxmlformats.org/officeDocument/2006/relationships" ref="R1804" r:id="rId1803"/>
    <hyperlink xmlns:r="http://schemas.openxmlformats.org/officeDocument/2006/relationships" ref="R1805" r:id="rId1804"/>
    <hyperlink xmlns:r="http://schemas.openxmlformats.org/officeDocument/2006/relationships" ref="R1806" r:id="rId1805"/>
    <hyperlink xmlns:r="http://schemas.openxmlformats.org/officeDocument/2006/relationships" ref="R1807" r:id="rId1806"/>
    <hyperlink xmlns:r="http://schemas.openxmlformats.org/officeDocument/2006/relationships" ref="R1808" r:id="rId1807"/>
    <hyperlink xmlns:r="http://schemas.openxmlformats.org/officeDocument/2006/relationships" ref="R1809" r:id="rId1808"/>
    <hyperlink xmlns:r="http://schemas.openxmlformats.org/officeDocument/2006/relationships" ref="R1810" r:id="rId1809"/>
    <hyperlink xmlns:r="http://schemas.openxmlformats.org/officeDocument/2006/relationships" ref="R1811" r:id="rId1810"/>
    <hyperlink xmlns:r="http://schemas.openxmlformats.org/officeDocument/2006/relationships" ref="R1812" r:id="rId1811"/>
    <hyperlink xmlns:r="http://schemas.openxmlformats.org/officeDocument/2006/relationships" ref="R1813" r:id="rId1812"/>
    <hyperlink xmlns:r="http://schemas.openxmlformats.org/officeDocument/2006/relationships" ref="R1814" r:id="rId1813"/>
    <hyperlink xmlns:r="http://schemas.openxmlformats.org/officeDocument/2006/relationships" ref="R1815" r:id="rId1814"/>
    <hyperlink xmlns:r="http://schemas.openxmlformats.org/officeDocument/2006/relationships" ref="R1816" r:id="rId1815"/>
    <hyperlink xmlns:r="http://schemas.openxmlformats.org/officeDocument/2006/relationships" ref="R1817" r:id="rId1816"/>
    <hyperlink xmlns:r="http://schemas.openxmlformats.org/officeDocument/2006/relationships" ref="R1818" r:id="rId1817"/>
    <hyperlink xmlns:r="http://schemas.openxmlformats.org/officeDocument/2006/relationships" ref="R1819" r:id="rId1818"/>
    <hyperlink xmlns:r="http://schemas.openxmlformats.org/officeDocument/2006/relationships" ref="R1820" r:id="rId1819"/>
    <hyperlink xmlns:r="http://schemas.openxmlformats.org/officeDocument/2006/relationships" ref="R1821" r:id="rId1820"/>
    <hyperlink xmlns:r="http://schemas.openxmlformats.org/officeDocument/2006/relationships" ref="R1822" r:id="rId1821"/>
    <hyperlink xmlns:r="http://schemas.openxmlformats.org/officeDocument/2006/relationships" ref="R1823" r:id="rId1822"/>
    <hyperlink xmlns:r="http://schemas.openxmlformats.org/officeDocument/2006/relationships" ref="R1824" r:id="rId1823"/>
    <hyperlink xmlns:r="http://schemas.openxmlformats.org/officeDocument/2006/relationships" ref="R1825" r:id="rId1824"/>
    <hyperlink xmlns:r="http://schemas.openxmlformats.org/officeDocument/2006/relationships" ref="R1826" r:id="rId1825"/>
    <hyperlink xmlns:r="http://schemas.openxmlformats.org/officeDocument/2006/relationships" ref="R1827" r:id="rId1826"/>
    <hyperlink xmlns:r="http://schemas.openxmlformats.org/officeDocument/2006/relationships" ref="R1828" r:id="rId1827"/>
    <hyperlink xmlns:r="http://schemas.openxmlformats.org/officeDocument/2006/relationships" ref="R1829" r:id="rId1828"/>
    <hyperlink xmlns:r="http://schemas.openxmlformats.org/officeDocument/2006/relationships" ref="R1830" r:id="rId1829"/>
    <hyperlink xmlns:r="http://schemas.openxmlformats.org/officeDocument/2006/relationships" ref="R1831" r:id="rId1830"/>
    <hyperlink xmlns:r="http://schemas.openxmlformats.org/officeDocument/2006/relationships" ref="R1832" r:id="rId1831"/>
    <hyperlink xmlns:r="http://schemas.openxmlformats.org/officeDocument/2006/relationships" ref="R1833" r:id="rId1832"/>
    <hyperlink xmlns:r="http://schemas.openxmlformats.org/officeDocument/2006/relationships" ref="R1834" r:id="rId1833"/>
    <hyperlink xmlns:r="http://schemas.openxmlformats.org/officeDocument/2006/relationships" ref="R1835" r:id="rId1834"/>
    <hyperlink xmlns:r="http://schemas.openxmlformats.org/officeDocument/2006/relationships" ref="R1836" r:id="rId1835"/>
    <hyperlink xmlns:r="http://schemas.openxmlformats.org/officeDocument/2006/relationships" ref="R1837" r:id="rId1836"/>
    <hyperlink xmlns:r="http://schemas.openxmlformats.org/officeDocument/2006/relationships" ref="R1838" r:id="rId1837"/>
    <hyperlink xmlns:r="http://schemas.openxmlformats.org/officeDocument/2006/relationships" ref="R1839" r:id="rId1838"/>
    <hyperlink xmlns:r="http://schemas.openxmlformats.org/officeDocument/2006/relationships" ref="R1840" r:id="rId1839"/>
    <hyperlink xmlns:r="http://schemas.openxmlformats.org/officeDocument/2006/relationships" ref="R1841" r:id="rId1840"/>
    <hyperlink xmlns:r="http://schemas.openxmlformats.org/officeDocument/2006/relationships" ref="R1842" r:id="rId1841"/>
    <hyperlink xmlns:r="http://schemas.openxmlformats.org/officeDocument/2006/relationships" ref="R1843" r:id="rId1842"/>
    <hyperlink xmlns:r="http://schemas.openxmlformats.org/officeDocument/2006/relationships" ref="R1844" r:id="rId1843"/>
    <hyperlink xmlns:r="http://schemas.openxmlformats.org/officeDocument/2006/relationships" ref="R1845" r:id="rId1844"/>
    <hyperlink xmlns:r="http://schemas.openxmlformats.org/officeDocument/2006/relationships" ref="R1846" r:id="rId1845"/>
    <hyperlink xmlns:r="http://schemas.openxmlformats.org/officeDocument/2006/relationships" ref="R1847" r:id="rId1846"/>
    <hyperlink xmlns:r="http://schemas.openxmlformats.org/officeDocument/2006/relationships" ref="R1848" r:id="rId1847"/>
    <hyperlink xmlns:r="http://schemas.openxmlformats.org/officeDocument/2006/relationships" ref="R1849" r:id="rId1848"/>
    <hyperlink xmlns:r="http://schemas.openxmlformats.org/officeDocument/2006/relationships" ref="R1850" r:id="rId1849"/>
    <hyperlink xmlns:r="http://schemas.openxmlformats.org/officeDocument/2006/relationships" ref="R1851" r:id="rId1850"/>
    <hyperlink xmlns:r="http://schemas.openxmlformats.org/officeDocument/2006/relationships" ref="R1852" r:id="rId1851"/>
    <hyperlink xmlns:r="http://schemas.openxmlformats.org/officeDocument/2006/relationships" ref="R1853" r:id="rId1852"/>
    <hyperlink xmlns:r="http://schemas.openxmlformats.org/officeDocument/2006/relationships" ref="R1854" r:id="rId1853"/>
    <hyperlink xmlns:r="http://schemas.openxmlformats.org/officeDocument/2006/relationships" ref="R1855" r:id="rId1854"/>
    <hyperlink xmlns:r="http://schemas.openxmlformats.org/officeDocument/2006/relationships" ref="R1856" r:id="rId1855"/>
    <hyperlink xmlns:r="http://schemas.openxmlformats.org/officeDocument/2006/relationships" ref="R1857" r:id="rId1856"/>
    <hyperlink xmlns:r="http://schemas.openxmlformats.org/officeDocument/2006/relationships" ref="R1858" r:id="rId1857"/>
    <hyperlink xmlns:r="http://schemas.openxmlformats.org/officeDocument/2006/relationships" ref="R1859" r:id="rId1858"/>
    <hyperlink xmlns:r="http://schemas.openxmlformats.org/officeDocument/2006/relationships" ref="R1860" r:id="rId1859"/>
    <hyperlink xmlns:r="http://schemas.openxmlformats.org/officeDocument/2006/relationships" ref="R1861" r:id="rId1860"/>
    <hyperlink xmlns:r="http://schemas.openxmlformats.org/officeDocument/2006/relationships" ref="R1862" r:id="rId1861"/>
    <hyperlink xmlns:r="http://schemas.openxmlformats.org/officeDocument/2006/relationships" ref="R1863" r:id="rId1862"/>
    <hyperlink xmlns:r="http://schemas.openxmlformats.org/officeDocument/2006/relationships" ref="R1864" r:id="rId1863"/>
    <hyperlink xmlns:r="http://schemas.openxmlformats.org/officeDocument/2006/relationships" ref="R1865" r:id="rId1864"/>
    <hyperlink xmlns:r="http://schemas.openxmlformats.org/officeDocument/2006/relationships" ref="R1866" r:id="rId1865"/>
    <hyperlink xmlns:r="http://schemas.openxmlformats.org/officeDocument/2006/relationships" ref="R1867" r:id="rId1866"/>
    <hyperlink xmlns:r="http://schemas.openxmlformats.org/officeDocument/2006/relationships" ref="R1868" r:id="rId1867"/>
    <hyperlink xmlns:r="http://schemas.openxmlformats.org/officeDocument/2006/relationships" ref="R1869" r:id="rId1868"/>
    <hyperlink xmlns:r="http://schemas.openxmlformats.org/officeDocument/2006/relationships" ref="R1870" r:id="rId1869"/>
    <hyperlink xmlns:r="http://schemas.openxmlformats.org/officeDocument/2006/relationships" ref="R1871" r:id="rId1870"/>
    <hyperlink xmlns:r="http://schemas.openxmlformats.org/officeDocument/2006/relationships" ref="R1872" r:id="rId1871"/>
    <hyperlink xmlns:r="http://schemas.openxmlformats.org/officeDocument/2006/relationships" ref="R1873" r:id="rId1872"/>
    <hyperlink xmlns:r="http://schemas.openxmlformats.org/officeDocument/2006/relationships" ref="R1874" r:id="rId1873"/>
    <hyperlink xmlns:r="http://schemas.openxmlformats.org/officeDocument/2006/relationships" ref="R1875" r:id="rId1874"/>
    <hyperlink xmlns:r="http://schemas.openxmlformats.org/officeDocument/2006/relationships" ref="R1876" r:id="rId1875"/>
    <hyperlink xmlns:r="http://schemas.openxmlformats.org/officeDocument/2006/relationships" ref="R1877" r:id="rId1876"/>
    <hyperlink xmlns:r="http://schemas.openxmlformats.org/officeDocument/2006/relationships" ref="R1878" r:id="rId1877"/>
    <hyperlink xmlns:r="http://schemas.openxmlformats.org/officeDocument/2006/relationships" ref="R1879" r:id="rId1878"/>
    <hyperlink xmlns:r="http://schemas.openxmlformats.org/officeDocument/2006/relationships" ref="R1880" r:id="rId1879"/>
    <hyperlink xmlns:r="http://schemas.openxmlformats.org/officeDocument/2006/relationships" ref="R1881" r:id="rId1880"/>
    <hyperlink xmlns:r="http://schemas.openxmlformats.org/officeDocument/2006/relationships" ref="R1882" r:id="rId1881"/>
    <hyperlink xmlns:r="http://schemas.openxmlformats.org/officeDocument/2006/relationships" ref="R1883" r:id="rId1882"/>
    <hyperlink xmlns:r="http://schemas.openxmlformats.org/officeDocument/2006/relationships" ref="R1884" r:id="rId1883"/>
    <hyperlink xmlns:r="http://schemas.openxmlformats.org/officeDocument/2006/relationships" ref="R1885" r:id="rId1884"/>
    <hyperlink xmlns:r="http://schemas.openxmlformats.org/officeDocument/2006/relationships" ref="R1886" r:id="rId1885"/>
    <hyperlink xmlns:r="http://schemas.openxmlformats.org/officeDocument/2006/relationships" ref="R1887" r:id="rId1886"/>
    <hyperlink xmlns:r="http://schemas.openxmlformats.org/officeDocument/2006/relationships" ref="R1888" r:id="rId1887"/>
    <hyperlink xmlns:r="http://schemas.openxmlformats.org/officeDocument/2006/relationships" ref="R1889" r:id="rId1888"/>
    <hyperlink xmlns:r="http://schemas.openxmlformats.org/officeDocument/2006/relationships" ref="R1890" r:id="rId1889"/>
    <hyperlink xmlns:r="http://schemas.openxmlformats.org/officeDocument/2006/relationships" ref="R1891" r:id="rId1890"/>
    <hyperlink xmlns:r="http://schemas.openxmlformats.org/officeDocument/2006/relationships" ref="R1892" r:id="rId1891"/>
    <hyperlink xmlns:r="http://schemas.openxmlformats.org/officeDocument/2006/relationships" ref="R1893" r:id="rId1892"/>
    <hyperlink xmlns:r="http://schemas.openxmlformats.org/officeDocument/2006/relationships" ref="R1894" r:id="rId1893"/>
    <hyperlink xmlns:r="http://schemas.openxmlformats.org/officeDocument/2006/relationships" ref="R1895" r:id="rId1894"/>
    <hyperlink xmlns:r="http://schemas.openxmlformats.org/officeDocument/2006/relationships" ref="R1896" r:id="rId1895"/>
    <hyperlink xmlns:r="http://schemas.openxmlformats.org/officeDocument/2006/relationships" ref="R1897" r:id="rId1896"/>
    <hyperlink xmlns:r="http://schemas.openxmlformats.org/officeDocument/2006/relationships" ref="R1898" r:id="rId1897"/>
    <hyperlink xmlns:r="http://schemas.openxmlformats.org/officeDocument/2006/relationships" ref="R1899" r:id="rId1898"/>
    <hyperlink xmlns:r="http://schemas.openxmlformats.org/officeDocument/2006/relationships" ref="R1900" r:id="rId1899"/>
    <hyperlink xmlns:r="http://schemas.openxmlformats.org/officeDocument/2006/relationships" ref="R1901" r:id="rId1900"/>
    <hyperlink xmlns:r="http://schemas.openxmlformats.org/officeDocument/2006/relationships" ref="R1902" r:id="rId1901"/>
    <hyperlink xmlns:r="http://schemas.openxmlformats.org/officeDocument/2006/relationships" ref="R1903" r:id="rId1902"/>
    <hyperlink xmlns:r="http://schemas.openxmlformats.org/officeDocument/2006/relationships" ref="R1904" r:id="rId1903"/>
    <hyperlink xmlns:r="http://schemas.openxmlformats.org/officeDocument/2006/relationships" ref="R1905" r:id="rId1904"/>
    <hyperlink xmlns:r="http://schemas.openxmlformats.org/officeDocument/2006/relationships" ref="R1906" r:id="rId1905"/>
    <hyperlink xmlns:r="http://schemas.openxmlformats.org/officeDocument/2006/relationships" ref="R1907" r:id="rId1906"/>
    <hyperlink xmlns:r="http://schemas.openxmlformats.org/officeDocument/2006/relationships" ref="R1908" r:id="rId1907"/>
    <hyperlink xmlns:r="http://schemas.openxmlformats.org/officeDocument/2006/relationships" ref="R1909" r:id="rId1908"/>
    <hyperlink xmlns:r="http://schemas.openxmlformats.org/officeDocument/2006/relationships" ref="R1910" r:id="rId1909"/>
    <hyperlink xmlns:r="http://schemas.openxmlformats.org/officeDocument/2006/relationships" ref="R1911" r:id="rId1910"/>
    <hyperlink xmlns:r="http://schemas.openxmlformats.org/officeDocument/2006/relationships" ref="R1912" r:id="rId1911"/>
    <hyperlink xmlns:r="http://schemas.openxmlformats.org/officeDocument/2006/relationships" ref="R1913" r:id="rId1912"/>
    <hyperlink xmlns:r="http://schemas.openxmlformats.org/officeDocument/2006/relationships" ref="R1914" r:id="rId1913"/>
    <hyperlink xmlns:r="http://schemas.openxmlformats.org/officeDocument/2006/relationships" ref="R1915" r:id="rId1914"/>
    <hyperlink xmlns:r="http://schemas.openxmlformats.org/officeDocument/2006/relationships" ref="R1916" r:id="rId1915"/>
    <hyperlink xmlns:r="http://schemas.openxmlformats.org/officeDocument/2006/relationships" ref="R1917" r:id="rId1916"/>
    <hyperlink xmlns:r="http://schemas.openxmlformats.org/officeDocument/2006/relationships" ref="R1918" r:id="rId1917"/>
    <hyperlink xmlns:r="http://schemas.openxmlformats.org/officeDocument/2006/relationships" ref="R1919" r:id="rId1918"/>
    <hyperlink xmlns:r="http://schemas.openxmlformats.org/officeDocument/2006/relationships" ref="R1920" r:id="rId1919"/>
    <hyperlink xmlns:r="http://schemas.openxmlformats.org/officeDocument/2006/relationships" ref="R1921" r:id="rId1920"/>
    <hyperlink xmlns:r="http://schemas.openxmlformats.org/officeDocument/2006/relationships" ref="R1922" r:id="rId1921"/>
    <hyperlink xmlns:r="http://schemas.openxmlformats.org/officeDocument/2006/relationships" ref="R1923" r:id="rId1922"/>
    <hyperlink xmlns:r="http://schemas.openxmlformats.org/officeDocument/2006/relationships" ref="R1924" r:id="rId1923"/>
    <hyperlink xmlns:r="http://schemas.openxmlformats.org/officeDocument/2006/relationships" ref="R1925" r:id="rId1924"/>
    <hyperlink xmlns:r="http://schemas.openxmlformats.org/officeDocument/2006/relationships" ref="R1926" r:id="rId1925"/>
    <hyperlink xmlns:r="http://schemas.openxmlformats.org/officeDocument/2006/relationships" ref="R1927" r:id="rId1926"/>
    <hyperlink xmlns:r="http://schemas.openxmlformats.org/officeDocument/2006/relationships" ref="R1928" r:id="rId1927"/>
    <hyperlink xmlns:r="http://schemas.openxmlformats.org/officeDocument/2006/relationships" ref="R1929" r:id="rId1928"/>
    <hyperlink xmlns:r="http://schemas.openxmlformats.org/officeDocument/2006/relationships" ref="R1930" r:id="rId1929"/>
    <hyperlink xmlns:r="http://schemas.openxmlformats.org/officeDocument/2006/relationships" ref="R1931" r:id="rId1930"/>
    <hyperlink xmlns:r="http://schemas.openxmlformats.org/officeDocument/2006/relationships" ref="R1932" r:id="rId1931"/>
    <hyperlink xmlns:r="http://schemas.openxmlformats.org/officeDocument/2006/relationships" ref="R1933" r:id="rId1932"/>
    <hyperlink xmlns:r="http://schemas.openxmlformats.org/officeDocument/2006/relationships" ref="R1934" r:id="rId1933"/>
    <hyperlink xmlns:r="http://schemas.openxmlformats.org/officeDocument/2006/relationships" ref="R1935" r:id="rId1934"/>
    <hyperlink xmlns:r="http://schemas.openxmlformats.org/officeDocument/2006/relationships" ref="R1936" r:id="rId1935"/>
    <hyperlink xmlns:r="http://schemas.openxmlformats.org/officeDocument/2006/relationships" ref="R1937" r:id="rId1936"/>
    <hyperlink xmlns:r="http://schemas.openxmlformats.org/officeDocument/2006/relationships" ref="R1938" r:id="rId1937"/>
    <hyperlink xmlns:r="http://schemas.openxmlformats.org/officeDocument/2006/relationships" ref="R1939" r:id="rId1938"/>
    <hyperlink xmlns:r="http://schemas.openxmlformats.org/officeDocument/2006/relationships" ref="R1940" r:id="rId1939"/>
    <hyperlink xmlns:r="http://schemas.openxmlformats.org/officeDocument/2006/relationships" ref="R1941" r:id="rId1940"/>
    <hyperlink xmlns:r="http://schemas.openxmlformats.org/officeDocument/2006/relationships" ref="R1942" r:id="rId1941"/>
    <hyperlink xmlns:r="http://schemas.openxmlformats.org/officeDocument/2006/relationships" ref="R1943" r:id="rId1942"/>
    <hyperlink xmlns:r="http://schemas.openxmlformats.org/officeDocument/2006/relationships" ref="R1944" r:id="rId1943"/>
    <hyperlink xmlns:r="http://schemas.openxmlformats.org/officeDocument/2006/relationships" ref="R1945" r:id="rId1944"/>
    <hyperlink xmlns:r="http://schemas.openxmlformats.org/officeDocument/2006/relationships" ref="R1946" r:id="rId1945"/>
    <hyperlink xmlns:r="http://schemas.openxmlformats.org/officeDocument/2006/relationships" ref="R1947" r:id="rId1946"/>
    <hyperlink xmlns:r="http://schemas.openxmlformats.org/officeDocument/2006/relationships" ref="R1948" r:id="rId1947"/>
    <hyperlink xmlns:r="http://schemas.openxmlformats.org/officeDocument/2006/relationships" ref="R1949" r:id="rId1948"/>
    <hyperlink xmlns:r="http://schemas.openxmlformats.org/officeDocument/2006/relationships" ref="R1950" r:id="rId1949"/>
    <hyperlink xmlns:r="http://schemas.openxmlformats.org/officeDocument/2006/relationships" ref="R1951" r:id="rId1950"/>
    <hyperlink xmlns:r="http://schemas.openxmlformats.org/officeDocument/2006/relationships" ref="R1952" r:id="rId1951"/>
    <hyperlink xmlns:r="http://schemas.openxmlformats.org/officeDocument/2006/relationships" ref="R1953" r:id="rId1952"/>
    <hyperlink xmlns:r="http://schemas.openxmlformats.org/officeDocument/2006/relationships" ref="R1954" r:id="rId1953"/>
    <hyperlink xmlns:r="http://schemas.openxmlformats.org/officeDocument/2006/relationships" ref="R1955" r:id="rId1954"/>
    <hyperlink xmlns:r="http://schemas.openxmlformats.org/officeDocument/2006/relationships" ref="R1956" r:id="rId1955"/>
    <hyperlink xmlns:r="http://schemas.openxmlformats.org/officeDocument/2006/relationships" ref="R1957" r:id="rId1956"/>
    <hyperlink xmlns:r="http://schemas.openxmlformats.org/officeDocument/2006/relationships" ref="R1958" r:id="rId1957"/>
    <hyperlink xmlns:r="http://schemas.openxmlformats.org/officeDocument/2006/relationships" ref="R1959" r:id="rId1958"/>
    <hyperlink xmlns:r="http://schemas.openxmlformats.org/officeDocument/2006/relationships" ref="R1960" r:id="rId1959"/>
    <hyperlink xmlns:r="http://schemas.openxmlformats.org/officeDocument/2006/relationships" ref="R1961" r:id="rId1960"/>
    <hyperlink xmlns:r="http://schemas.openxmlformats.org/officeDocument/2006/relationships" ref="R1962" r:id="rId1961"/>
    <hyperlink xmlns:r="http://schemas.openxmlformats.org/officeDocument/2006/relationships" ref="R1963" r:id="rId1962"/>
    <hyperlink xmlns:r="http://schemas.openxmlformats.org/officeDocument/2006/relationships" ref="R1964" r:id="rId1963"/>
    <hyperlink xmlns:r="http://schemas.openxmlformats.org/officeDocument/2006/relationships" ref="R1965" r:id="rId1964"/>
    <hyperlink xmlns:r="http://schemas.openxmlformats.org/officeDocument/2006/relationships" ref="R1966" r:id="rId1965"/>
    <hyperlink xmlns:r="http://schemas.openxmlformats.org/officeDocument/2006/relationships" ref="R1967" r:id="rId1966"/>
    <hyperlink xmlns:r="http://schemas.openxmlformats.org/officeDocument/2006/relationships" ref="R1968" r:id="rId1967"/>
    <hyperlink xmlns:r="http://schemas.openxmlformats.org/officeDocument/2006/relationships" ref="R1969" r:id="rId1968"/>
    <hyperlink xmlns:r="http://schemas.openxmlformats.org/officeDocument/2006/relationships" ref="R1970" r:id="rId1969"/>
    <hyperlink xmlns:r="http://schemas.openxmlformats.org/officeDocument/2006/relationships" ref="R1971" r:id="rId1970"/>
    <hyperlink xmlns:r="http://schemas.openxmlformats.org/officeDocument/2006/relationships" ref="R1972" r:id="rId1971"/>
    <hyperlink xmlns:r="http://schemas.openxmlformats.org/officeDocument/2006/relationships" ref="R1973" r:id="rId1972"/>
    <hyperlink xmlns:r="http://schemas.openxmlformats.org/officeDocument/2006/relationships" ref="R1974" r:id="rId1973"/>
    <hyperlink xmlns:r="http://schemas.openxmlformats.org/officeDocument/2006/relationships" ref="R1975" r:id="rId1974"/>
    <hyperlink xmlns:r="http://schemas.openxmlformats.org/officeDocument/2006/relationships" ref="R1976" r:id="rId1975"/>
    <hyperlink xmlns:r="http://schemas.openxmlformats.org/officeDocument/2006/relationships" ref="R1977" r:id="rId1976"/>
    <hyperlink xmlns:r="http://schemas.openxmlformats.org/officeDocument/2006/relationships" ref="R1978" r:id="rId1977"/>
    <hyperlink xmlns:r="http://schemas.openxmlformats.org/officeDocument/2006/relationships" ref="R1979" r:id="rId1978"/>
    <hyperlink xmlns:r="http://schemas.openxmlformats.org/officeDocument/2006/relationships" ref="R1980" r:id="rId1979"/>
    <hyperlink xmlns:r="http://schemas.openxmlformats.org/officeDocument/2006/relationships" ref="R1981" r:id="rId1980"/>
    <hyperlink xmlns:r="http://schemas.openxmlformats.org/officeDocument/2006/relationships" ref="R1982" r:id="rId1981"/>
    <hyperlink xmlns:r="http://schemas.openxmlformats.org/officeDocument/2006/relationships" ref="R1983" r:id="rId1982"/>
    <hyperlink xmlns:r="http://schemas.openxmlformats.org/officeDocument/2006/relationships" ref="R1984" r:id="rId1983"/>
    <hyperlink xmlns:r="http://schemas.openxmlformats.org/officeDocument/2006/relationships" ref="R1985" r:id="rId1984"/>
    <hyperlink xmlns:r="http://schemas.openxmlformats.org/officeDocument/2006/relationships" ref="R1986" r:id="rId1985"/>
    <hyperlink xmlns:r="http://schemas.openxmlformats.org/officeDocument/2006/relationships" ref="R1987" r:id="rId1986"/>
    <hyperlink xmlns:r="http://schemas.openxmlformats.org/officeDocument/2006/relationships" ref="R1988" r:id="rId1987"/>
    <hyperlink xmlns:r="http://schemas.openxmlformats.org/officeDocument/2006/relationships" ref="R1989" r:id="rId1988"/>
    <hyperlink xmlns:r="http://schemas.openxmlformats.org/officeDocument/2006/relationships" ref="R1990" r:id="rId1989"/>
    <hyperlink xmlns:r="http://schemas.openxmlformats.org/officeDocument/2006/relationships" ref="R1991" r:id="rId1990"/>
    <hyperlink xmlns:r="http://schemas.openxmlformats.org/officeDocument/2006/relationships" ref="R1992" r:id="rId1991"/>
    <hyperlink xmlns:r="http://schemas.openxmlformats.org/officeDocument/2006/relationships" ref="R1993" r:id="rId1992"/>
    <hyperlink xmlns:r="http://schemas.openxmlformats.org/officeDocument/2006/relationships" ref="R1994" r:id="rId1993"/>
    <hyperlink xmlns:r="http://schemas.openxmlformats.org/officeDocument/2006/relationships" ref="R1995" r:id="rId1994"/>
    <hyperlink xmlns:r="http://schemas.openxmlformats.org/officeDocument/2006/relationships" ref="R1996" r:id="rId1995"/>
    <hyperlink xmlns:r="http://schemas.openxmlformats.org/officeDocument/2006/relationships" ref="R1997" r:id="rId1996"/>
    <hyperlink xmlns:r="http://schemas.openxmlformats.org/officeDocument/2006/relationships" ref="R1998" r:id="rId1997"/>
    <hyperlink xmlns:r="http://schemas.openxmlformats.org/officeDocument/2006/relationships" ref="R1999" r:id="rId1998"/>
    <hyperlink xmlns:r="http://schemas.openxmlformats.org/officeDocument/2006/relationships" ref="R2000" r:id="rId1999"/>
    <hyperlink xmlns:r="http://schemas.openxmlformats.org/officeDocument/2006/relationships" ref="R2001" r:id="rId2000"/>
    <hyperlink xmlns:r="http://schemas.openxmlformats.org/officeDocument/2006/relationships" ref="R2002" r:id="rId2001"/>
    <hyperlink xmlns:r="http://schemas.openxmlformats.org/officeDocument/2006/relationships" ref="R2003" r:id="rId2002"/>
    <hyperlink xmlns:r="http://schemas.openxmlformats.org/officeDocument/2006/relationships" ref="R2004" r:id="rId2003"/>
    <hyperlink xmlns:r="http://schemas.openxmlformats.org/officeDocument/2006/relationships" ref="R2005" r:id="rId2004"/>
    <hyperlink xmlns:r="http://schemas.openxmlformats.org/officeDocument/2006/relationships" ref="R2006" r:id="rId2005"/>
    <hyperlink xmlns:r="http://schemas.openxmlformats.org/officeDocument/2006/relationships" ref="R2007" r:id="rId2006"/>
    <hyperlink xmlns:r="http://schemas.openxmlformats.org/officeDocument/2006/relationships" ref="R2008" r:id="rId2007"/>
    <hyperlink xmlns:r="http://schemas.openxmlformats.org/officeDocument/2006/relationships" ref="R2009" r:id="rId2008"/>
    <hyperlink xmlns:r="http://schemas.openxmlformats.org/officeDocument/2006/relationships" ref="R2010" r:id="rId2009"/>
    <hyperlink xmlns:r="http://schemas.openxmlformats.org/officeDocument/2006/relationships" ref="R2011" r:id="rId2010"/>
    <hyperlink xmlns:r="http://schemas.openxmlformats.org/officeDocument/2006/relationships" ref="R2012" r:id="rId2011"/>
    <hyperlink xmlns:r="http://schemas.openxmlformats.org/officeDocument/2006/relationships" ref="R2013" r:id="rId2012"/>
    <hyperlink xmlns:r="http://schemas.openxmlformats.org/officeDocument/2006/relationships" ref="R2014" r:id="rId2013"/>
    <hyperlink xmlns:r="http://schemas.openxmlformats.org/officeDocument/2006/relationships" ref="R2015" r:id="rId2014"/>
    <hyperlink xmlns:r="http://schemas.openxmlformats.org/officeDocument/2006/relationships" ref="R2016" r:id="rId2015"/>
    <hyperlink xmlns:r="http://schemas.openxmlformats.org/officeDocument/2006/relationships" ref="R2017" r:id="rId2016"/>
    <hyperlink xmlns:r="http://schemas.openxmlformats.org/officeDocument/2006/relationships" ref="R2018" r:id="rId2017"/>
    <hyperlink xmlns:r="http://schemas.openxmlformats.org/officeDocument/2006/relationships" ref="R2019" r:id="rId2018"/>
    <hyperlink xmlns:r="http://schemas.openxmlformats.org/officeDocument/2006/relationships" ref="R2020" r:id="rId2019"/>
    <hyperlink xmlns:r="http://schemas.openxmlformats.org/officeDocument/2006/relationships" ref="R2021" r:id="rId2020"/>
    <hyperlink xmlns:r="http://schemas.openxmlformats.org/officeDocument/2006/relationships" ref="R2022" r:id="rId2021"/>
    <hyperlink xmlns:r="http://schemas.openxmlformats.org/officeDocument/2006/relationships" ref="R2023" r:id="rId2022"/>
    <hyperlink xmlns:r="http://schemas.openxmlformats.org/officeDocument/2006/relationships" ref="R2024" r:id="rId2023"/>
    <hyperlink xmlns:r="http://schemas.openxmlformats.org/officeDocument/2006/relationships" ref="R2025" r:id="rId2024"/>
    <hyperlink xmlns:r="http://schemas.openxmlformats.org/officeDocument/2006/relationships" ref="R2026" r:id="rId2025"/>
    <hyperlink xmlns:r="http://schemas.openxmlformats.org/officeDocument/2006/relationships" ref="R2027" r:id="rId2026"/>
    <hyperlink xmlns:r="http://schemas.openxmlformats.org/officeDocument/2006/relationships" ref="R2028" r:id="rId2027"/>
    <hyperlink xmlns:r="http://schemas.openxmlformats.org/officeDocument/2006/relationships" ref="R2029" r:id="rId2028"/>
    <hyperlink xmlns:r="http://schemas.openxmlformats.org/officeDocument/2006/relationships" ref="R2030" r:id="rId2029"/>
    <hyperlink xmlns:r="http://schemas.openxmlformats.org/officeDocument/2006/relationships" ref="R2031" r:id="rId2030"/>
    <hyperlink xmlns:r="http://schemas.openxmlformats.org/officeDocument/2006/relationships" ref="R2032" r:id="rId2031"/>
    <hyperlink xmlns:r="http://schemas.openxmlformats.org/officeDocument/2006/relationships" ref="R2033" r:id="rId2032"/>
    <hyperlink xmlns:r="http://schemas.openxmlformats.org/officeDocument/2006/relationships" ref="R2034" r:id="rId2033"/>
    <hyperlink xmlns:r="http://schemas.openxmlformats.org/officeDocument/2006/relationships" ref="R2035" r:id="rId2034"/>
    <hyperlink xmlns:r="http://schemas.openxmlformats.org/officeDocument/2006/relationships" ref="R2036" r:id="rId2035"/>
    <hyperlink xmlns:r="http://schemas.openxmlformats.org/officeDocument/2006/relationships" ref="R2037" r:id="rId2036"/>
    <hyperlink xmlns:r="http://schemas.openxmlformats.org/officeDocument/2006/relationships" ref="R2038" r:id="rId2037"/>
    <hyperlink xmlns:r="http://schemas.openxmlformats.org/officeDocument/2006/relationships" ref="R2039" r:id="rId2038"/>
    <hyperlink xmlns:r="http://schemas.openxmlformats.org/officeDocument/2006/relationships" ref="R2040" r:id="rId2039"/>
    <hyperlink xmlns:r="http://schemas.openxmlformats.org/officeDocument/2006/relationships" ref="R2041" r:id="rId2040"/>
    <hyperlink xmlns:r="http://schemas.openxmlformats.org/officeDocument/2006/relationships" ref="R2042" r:id="rId2041"/>
    <hyperlink xmlns:r="http://schemas.openxmlformats.org/officeDocument/2006/relationships" ref="R2043" r:id="rId2042"/>
    <hyperlink xmlns:r="http://schemas.openxmlformats.org/officeDocument/2006/relationships" ref="R2044" r:id="rId2043"/>
    <hyperlink xmlns:r="http://schemas.openxmlformats.org/officeDocument/2006/relationships" ref="R2045" r:id="rId2044"/>
    <hyperlink xmlns:r="http://schemas.openxmlformats.org/officeDocument/2006/relationships" ref="R2046" r:id="rId2045"/>
    <hyperlink xmlns:r="http://schemas.openxmlformats.org/officeDocument/2006/relationships" ref="R2047" r:id="rId2046"/>
    <hyperlink xmlns:r="http://schemas.openxmlformats.org/officeDocument/2006/relationships" ref="R2048" r:id="rId2047"/>
    <hyperlink xmlns:r="http://schemas.openxmlformats.org/officeDocument/2006/relationships" ref="R2049" r:id="rId2048"/>
    <hyperlink xmlns:r="http://schemas.openxmlformats.org/officeDocument/2006/relationships" ref="R2050" r:id="rId2049"/>
    <hyperlink xmlns:r="http://schemas.openxmlformats.org/officeDocument/2006/relationships" ref="R2051" r:id="rId2050"/>
    <hyperlink xmlns:r="http://schemas.openxmlformats.org/officeDocument/2006/relationships" ref="R2052" r:id="rId2051"/>
    <hyperlink xmlns:r="http://schemas.openxmlformats.org/officeDocument/2006/relationships" ref="R2053" r:id="rId2052"/>
    <hyperlink xmlns:r="http://schemas.openxmlformats.org/officeDocument/2006/relationships" ref="R2054" r:id="rId2053"/>
    <hyperlink xmlns:r="http://schemas.openxmlformats.org/officeDocument/2006/relationships" ref="R2055" r:id="rId2054"/>
    <hyperlink xmlns:r="http://schemas.openxmlformats.org/officeDocument/2006/relationships" ref="R2056" r:id="rId2055"/>
    <hyperlink xmlns:r="http://schemas.openxmlformats.org/officeDocument/2006/relationships" ref="R2057" r:id="rId2056"/>
    <hyperlink xmlns:r="http://schemas.openxmlformats.org/officeDocument/2006/relationships" ref="R2058" r:id="rId2057"/>
    <hyperlink xmlns:r="http://schemas.openxmlformats.org/officeDocument/2006/relationships" ref="R2059" r:id="rId2058"/>
    <hyperlink xmlns:r="http://schemas.openxmlformats.org/officeDocument/2006/relationships" ref="R2060" r:id="rId2059"/>
    <hyperlink xmlns:r="http://schemas.openxmlformats.org/officeDocument/2006/relationships" ref="R2061" r:id="rId2060"/>
    <hyperlink xmlns:r="http://schemas.openxmlformats.org/officeDocument/2006/relationships" ref="R2062" r:id="rId2061"/>
    <hyperlink xmlns:r="http://schemas.openxmlformats.org/officeDocument/2006/relationships" ref="R2063" r:id="rId2062"/>
    <hyperlink xmlns:r="http://schemas.openxmlformats.org/officeDocument/2006/relationships" ref="R2064" r:id="rId2063"/>
    <hyperlink xmlns:r="http://schemas.openxmlformats.org/officeDocument/2006/relationships" ref="R2065" r:id="rId2064"/>
    <hyperlink xmlns:r="http://schemas.openxmlformats.org/officeDocument/2006/relationships" ref="R2066" r:id="rId2065"/>
    <hyperlink xmlns:r="http://schemas.openxmlformats.org/officeDocument/2006/relationships" ref="R2067" r:id="rId2066"/>
    <hyperlink xmlns:r="http://schemas.openxmlformats.org/officeDocument/2006/relationships" ref="R2068" r:id="rId2067"/>
    <hyperlink xmlns:r="http://schemas.openxmlformats.org/officeDocument/2006/relationships" ref="R2069" r:id="rId2068"/>
    <hyperlink xmlns:r="http://schemas.openxmlformats.org/officeDocument/2006/relationships" ref="R2070" r:id="rId2069"/>
    <hyperlink xmlns:r="http://schemas.openxmlformats.org/officeDocument/2006/relationships" ref="R2071" r:id="rId2070"/>
    <hyperlink xmlns:r="http://schemas.openxmlformats.org/officeDocument/2006/relationships" ref="R2072" r:id="rId2071"/>
    <hyperlink xmlns:r="http://schemas.openxmlformats.org/officeDocument/2006/relationships" ref="R2073" r:id="rId2072"/>
    <hyperlink xmlns:r="http://schemas.openxmlformats.org/officeDocument/2006/relationships" ref="R2074" r:id="rId2073"/>
    <hyperlink xmlns:r="http://schemas.openxmlformats.org/officeDocument/2006/relationships" ref="R2075" r:id="rId2074"/>
    <hyperlink xmlns:r="http://schemas.openxmlformats.org/officeDocument/2006/relationships" ref="R2076" r:id="rId2075"/>
    <hyperlink xmlns:r="http://schemas.openxmlformats.org/officeDocument/2006/relationships" ref="R2077" r:id="rId2076"/>
    <hyperlink xmlns:r="http://schemas.openxmlformats.org/officeDocument/2006/relationships" ref="R2078" r:id="rId2077"/>
    <hyperlink xmlns:r="http://schemas.openxmlformats.org/officeDocument/2006/relationships" ref="R2079" r:id="rId2078"/>
    <hyperlink xmlns:r="http://schemas.openxmlformats.org/officeDocument/2006/relationships" ref="R2080" r:id="rId2079"/>
    <hyperlink xmlns:r="http://schemas.openxmlformats.org/officeDocument/2006/relationships" ref="R2081" r:id="rId2080"/>
    <hyperlink xmlns:r="http://schemas.openxmlformats.org/officeDocument/2006/relationships" ref="R2082" r:id="rId2081"/>
    <hyperlink xmlns:r="http://schemas.openxmlformats.org/officeDocument/2006/relationships" ref="R2083" r:id="rId2082"/>
    <hyperlink xmlns:r="http://schemas.openxmlformats.org/officeDocument/2006/relationships" ref="R2084" r:id="rId2083"/>
    <hyperlink xmlns:r="http://schemas.openxmlformats.org/officeDocument/2006/relationships" ref="R2085" r:id="rId2084"/>
    <hyperlink xmlns:r="http://schemas.openxmlformats.org/officeDocument/2006/relationships" ref="R2086" r:id="rId2085"/>
    <hyperlink xmlns:r="http://schemas.openxmlformats.org/officeDocument/2006/relationships" ref="R2087" r:id="rId2086"/>
    <hyperlink xmlns:r="http://schemas.openxmlformats.org/officeDocument/2006/relationships" ref="R2088" r:id="rId2087"/>
    <hyperlink xmlns:r="http://schemas.openxmlformats.org/officeDocument/2006/relationships" ref="R2089" r:id="rId2088"/>
    <hyperlink xmlns:r="http://schemas.openxmlformats.org/officeDocument/2006/relationships" ref="R2090" r:id="rId2089"/>
    <hyperlink xmlns:r="http://schemas.openxmlformats.org/officeDocument/2006/relationships" ref="R2091" r:id="rId2090"/>
    <hyperlink xmlns:r="http://schemas.openxmlformats.org/officeDocument/2006/relationships" ref="R2092" r:id="rId2091"/>
    <hyperlink xmlns:r="http://schemas.openxmlformats.org/officeDocument/2006/relationships" ref="R2093" r:id="rId2092"/>
    <hyperlink xmlns:r="http://schemas.openxmlformats.org/officeDocument/2006/relationships" ref="R2094" r:id="rId2093"/>
    <hyperlink xmlns:r="http://schemas.openxmlformats.org/officeDocument/2006/relationships" ref="R2095" r:id="rId2094"/>
    <hyperlink xmlns:r="http://schemas.openxmlformats.org/officeDocument/2006/relationships" ref="R2096" r:id="rId2095"/>
    <hyperlink xmlns:r="http://schemas.openxmlformats.org/officeDocument/2006/relationships" ref="R2097" r:id="rId2096"/>
    <hyperlink xmlns:r="http://schemas.openxmlformats.org/officeDocument/2006/relationships" ref="R2098" r:id="rId2097"/>
    <hyperlink xmlns:r="http://schemas.openxmlformats.org/officeDocument/2006/relationships" ref="R2099" r:id="rId2098"/>
    <hyperlink xmlns:r="http://schemas.openxmlformats.org/officeDocument/2006/relationships" ref="R2100" r:id="rId2099"/>
    <hyperlink xmlns:r="http://schemas.openxmlformats.org/officeDocument/2006/relationships" ref="R2101" r:id="rId2100"/>
    <hyperlink xmlns:r="http://schemas.openxmlformats.org/officeDocument/2006/relationships" ref="R2102" r:id="rId2101"/>
    <hyperlink xmlns:r="http://schemas.openxmlformats.org/officeDocument/2006/relationships" ref="R2103" r:id="rId2102"/>
    <hyperlink xmlns:r="http://schemas.openxmlformats.org/officeDocument/2006/relationships" ref="R2104" r:id="rId2103"/>
    <hyperlink xmlns:r="http://schemas.openxmlformats.org/officeDocument/2006/relationships" ref="R2105" r:id="rId2104"/>
    <hyperlink xmlns:r="http://schemas.openxmlformats.org/officeDocument/2006/relationships" ref="R2106" r:id="rId2105"/>
    <hyperlink xmlns:r="http://schemas.openxmlformats.org/officeDocument/2006/relationships" ref="R2107" r:id="rId2106"/>
    <hyperlink xmlns:r="http://schemas.openxmlformats.org/officeDocument/2006/relationships" ref="R2108" r:id="rId2107"/>
    <hyperlink xmlns:r="http://schemas.openxmlformats.org/officeDocument/2006/relationships" ref="R2109" r:id="rId2108"/>
    <hyperlink xmlns:r="http://schemas.openxmlformats.org/officeDocument/2006/relationships" ref="R2110" r:id="rId2109"/>
    <hyperlink xmlns:r="http://schemas.openxmlformats.org/officeDocument/2006/relationships" ref="R2111" r:id="rId2110"/>
    <hyperlink xmlns:r="http://schemas.openxmlformats.org/officeDocument/2006/relationships" ref="R2112" r:id="rId2111"/>
    <hyperlink xmlns:r="http://schemas.openxmlformats.org/officeDocument/2006/relationships" ref="R2113" r:id="rId2112"/>
    <hyperlink xmlns:r="http://schemas.openxmlformats.org/officeDocument/2006/relationships" ref="R2114" r:id="rId2113"/>
    <hyperlink xmlns:r="http://schemas.openxmlformats.org/officeDocument/2006/relationships" ref="R2115" r:id="rId2114"/>
    <hyperlink xmlns:r="http://schemas.openxmlformats.org/officeDocument/2006/relationships" ref="R2116" r:id="rId2115"/>
    <hyperlink xmlns:r="http://schemas.openxmlformats.org/officeDocument/2006/relationships" ref="R2117" r:id="rId2116"/>
    <hyperlink xmlns:r="http://schemas.openxmlformats.org/officeDocument/2006/relationships" ref="R2118" r:id="rId2117"/>
    <hyperlink xmlns:r="http://schemas.openxmlformats.org/officeDocument/2006/relationships" ref="R2119" r:id="rId2118"/>
    <hyperlink xmlns:r="http://schemas.openxmlformats.org/officeDocument/2006/relationships" ref="R2120" r:id="rId2119"/>
    <hyperlink xmlns:r="http://schemas.openxmlformats.org/officeDocument/2006/relationships" ref="R2121" r:id="rId2120"/>
    <hyperlink xmlns:r="http://schemas.openxmlformats.org/officeDocument/2006/relationships" ref="R2122" r:id="rId2121"/>
    <hyperlink xmlns:r="http://schemas.openxmlformats.org/officeDocument/2006/relationships" ref="R2123" r:id="rId2122"/>
    <hyperlink xmlns:r="http://schemas.openxmlformats.org/officeDocument/2006/relationships" ref="R2124" r:id="rId2123"/>
    <hyperlink xmlns:r="http://schemas.openxmlformats.org/officeDocument/2006/relationships" ref="R2125" r:id="rId2124"/>
    <hyperlink xmlns:r="http://schemas.openxmlformats.org/officeDocument/2006/relationships" ref="R2126" r:id="rId2125"/>
    <hyperlink xmlns:r="http://schemas.openxmlformats.org/officeDocument/2006/relationships" ref="R2127" r:id="rId2126"/>
    <hyperlink xmlns:r="http://schemas.openxmlformats.org/officeDocument/2006/relationships" ref="R2128" r:id="rId2127"/>
    <hyperlink xmlns:r="http://schemas.openxmlformats.org/officeDocument/2006/relationships" ref="R2129" r:id="rId2128"/>
    <hyperlink xmlns:r="http://schemas.openxmlformats.org/officeDocument/2006/relationships" ref="R2130" r:id="rId2129"/>
    <hyperlink xmlns:r="http://schemas.openxmlformats.org/officeDocument/2006/relationships" ref="R2131" r:id="rId2130"/>
    <hyperlink xmlns:r="http://schemas.openxmlformats.org/officeDocument/2006/relationships" ref="R2132" r:id="rId2131"/>
    <hyperlink xmlns:r="http://schemas.openxmlformats.org/officeDocument/2006/relationships" ref="R2133" r:id="rId2132"/>
    <hyperlink xmlns:r="http://schemas.openxmlformats.org/officeDocument/2006/relationships" ref="R2134" r:id="rId2133"/>
    <hyperlink xmlns:r="http://schemas.openxmlformats.org/officeDocument/2006/relationships" ref="R2135" r:id="rId2134"/>
    <hyperlink xmlns:r="http://schemas.openxmlformats.org/officeDocument/2006/relationships" ref="R2136" r:id="rId2135"/>
    <hyperlink xmlns:r="http://schemas.openxmlformats.org/officeDocument/2006/relationships" ref="R2137" r:id="rId2136"/>
    <hyperlink xmlns:r="http://schemas.openxmlformats.org/officeDocument/2006/relationships" ref="R2138" r:id="rId2137"/>
    <hyperlink xmlns:r="http://schemas.openxmlformats.org/officeDocument/2006/relationships" ref="R2139" r:id="rId2138"/>
    <hyperlink xmlns:r="http://schemas.openxmlformats.org/officeDocument/2006/relationships" ref="R2140" r:id="rId2139"/>
    <hyperlink xmlns:r="http://schemas.openxmlformats.org/officeDocument/2006/relationships" ref="R2141" r:id="rId2140"/>
    <hyperlink xmlns:r="http://schemas.openxmlformats.org/officeDocument/2006/relationships" ref="R2142" r:id="rId2141"/>
    <hyperlink xmlns:r="http://schemas.openxmlformats.org/officeDocument/2006/relationships" ref="R2143" r:id="rId2142"/>
    <hyperlink xmlns:r="http://schemas.openxmlformats.org/officeDocument/2006/relationships" ref="R2144" r:id="rId2143"/>
    <hyperlink xmlns:r="http://schemas.openxmlformats.org/officeDocument/2006/relationships" ref="R2145" r:id="rId2144"/>
    <hyperlink xmlns:r="http://schemas.openxmlformats.org/officeDocument/2006/relationships" ref="R2146" r:id="rId2145"/>
    <hyperlink xmlns:r="http://schemas.openxmlformats.org/officeDocument/2006/relationships" ref="R2147" r:id="rId2146"/>
    <hyperlink xmlns:r="http://schemas.openxmlformats.org/officeDocument/2006/relationships" ref="R2148" r:id="rId2147"/>
    <hyperlink xmlns:r="http://schemas.openxmlformats.org/officeDocument/2006/relationships" ref="R2149" r:id="rId2148"/>
    <hyperlink xmlns:r="http://schemas.openxmlformats.org/officeDocument/2006/relationships" ref="R2150" r:id="rId2149"/>
    <hyperlink xmlns:r="http://schemas.openxmlformats.org/officeDocument/2006/relationships" ref="R2151" r:id="rId2150"/>
    <hyperlink xmlns:r="http://schemas.openxmlformats.org/officeDocument/2006/relationships" ref="R2152" r:id="rId2151"/>
    <hyperlink xmlns:r="http://schemas.openxmlformats.org/officeDocument/2006/relationships" ref="R2153" r:id="rId2152"/>
    <hyperlink xmlns:r="http://schemas.openxmlformats.org/officeDocument/2006/relationships" ref="R2154" r:id="rId2153"/>
    <hyperlink xmlns:r="http://schemas.openxmlformats.org/officeDocument/2006/relationships" ref="R2155" r:id="rId2154"/>
    <hyperlink xmlns:r="http://schemas.openxmlformats.org/officeDocument/2006/relationships" ref="R2156" r:id="rId2155"/>
    <hyperlink xmlns:r="http://schemas.openxmlformats.org/officeDocument/2006/relationships" ref="R2157" r:id="rId2156"/>
    <hyperlink xmlns:r="http://schemas.openxmlformats.org/officeDocument/2006/relationships" ref="R2158" r:id="rId2157"/>
    <hyperlink xmlns:r="http://schemas.openxmlformats.org/officeDocument/2006/relationships" ref="R2159" r:id="rId2158"/>
    <hyperlink xmlns:r="http://schemas.openxmlformats.org/officeDocument/2006/relationships" ref="R2160" r:id="rId2159"/>
    <hyperlink xmlns:r="http://schemas.openxmlformats.org/officeDocument/2006/relationships" ref="R2161" r:id="rId2160"/>
    <hyperlink xmlns:r="http://schemas.openxmlformats.org/officeDocument/2006/relationships" ref="R2162" r:id="rId2161"/>
    <hyperlink xmlns:r="http://schemas.openxmlformats.org/officeDocument/2006/relationships" ref="R2163" r:id="rId2162"/>
    <hyperlink xmlns:r="http://schemas.openxmlformats.org/officeDocument/2006/relationships" ref="R2164" r:id="rId2163"/>
    <hyperlink xmlns:r="http://schemas.openxmlformats.org/officeDocument/2006/relationships" ref="R2165" r:id="rId2164"/>
    <hyperlink xmlns:r="http://schemas.openxmlformats.org/officeDocument/2006/relationships" ref="R2166" r:id="rId2165"/>
    <hyperlink xmlns:r="http://schemas.openxmlformats.org/officeDocument/2006/relationships" ref="R2167" r:id="rId2166"/>
    <hyperlink xmlns:r="http://schemas.openxmlformats.org/officeDocument/2006/relationships" ref="R2168" r:id="rId2167"/>
    <hyperlink xmlns:r="http://schemas.openxmlformats.org/officeDocument/2006/relationships" ref="R2169" r:id="rId2168"/>
    <hyperlink xmlns:r="http://schemas.openxmlformats.org/officeDocument/2006/relationships" ref="R2170" r:id="rId2169"/>
    <hyperlink xmlns:r="http://schemas.openxmlformats.org/officeDocument/2006/relationships" ref="R2171" r:id="rId2170"/>
    <hyperlink xmlns:r="http://schemas.openxmlformats.org/officeDocument/2006/relationships" ref="R2172" r:id="rId2171"/>
    <hyperlink xmlns:r="http://schemas.openxmlformats.org/officeDocument/2006/relationships" ref="R2173" r:id="rId2172"/>
    <hyperlink xmlns:r="http://schemas.openxmlformats.org/officeDocument/2006/relationships" ref="R2174" r:id="rId2173"/>
    <hyperlink xmlns:r="http://schemas.openxmlformats.org/officeDocument/2006/relationships" ref="R2175" r:id="rId2174"/>
    <hyperlink xmlns:r="http://schemas.openxmlformats.org/officeDocument/2006/relationships" ref="R2176" r:id="rId2175"/>
    <hyperlink xmlns:r="http://schemas.openxmlformats.org/officeDocument/2006/relationships" ref="R2177" r:id="rId2176"/>
    <hyperlink xmlns:r="http://schemas.openxmlformats.org/officeDocument/2006/relationships" ref="R2178" r:id="rId2177"/>
    <hyperlink xmlns:r="http://schemas.openxmlformats.org/officeDocument/2006/relationships" ref="R2179" r:id="rId2178"/>
  </hyperlinks>
  <pageMargins left="0.75" right="0.75" top="1" bottom="1" header="0.5" footer="0.5"/>
  <tableParts count="1">
    <tablePart xmlns:r="http://schemas.openxmlformats.org/officeDocument/2006/relationships" r:id="rId2179"/>
  </tableParts>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2" customWidth="1" min="1" max="1"/>
    <col width="12" customWidth="1" min="2" max="2"/>
    <col width="16" customWidth="1" min="3" max="3"/>
    <col width="18" customWidth="1" min="4" max="4"/>
  </cols>
  <sheetData>
    <row r="1">
      <c r="A1" s="23" t="inlineStr">
        <is>
          <t>Rounds by sector</t>
        </is>
      </c>
    </row>
    <row r="2">
      <c r="A2" s="2" t="inlineStr">
        <is>
          <t>PivotTable on the Rounds table. It refreshes when the file opens; drag fields to re-cut it.</t>
        </is>
      </c>
    </row>
    <row r="4">
      <c r="B4" t="inlineStr">
        <is>
          <t>Values</t>
        </is>
      </c>
    </row>
    <row r="5">
      <c r="A5" s="24" t="inlineStr">
        <is>
          <t>Sector</t>
        </is>
      </c>
      <c r="B5" s="24" t="inlineStr">
        <is>
          <t>Rounds</t>
        </is>
      </c>
      <c r="C5" s="24" t="inlineStr">
        <is>
          <t>Total USD mn</t>
        </is>
      </c>
      <c r="D5" s="24" t="inlineStr">
        <is>
          <t>Average USD mn</t>
        </is>
      </c>
    </row>
    <row r="6">
      <c r="A6" t="inlineStr">
        <is>
          <t>Ecommerce</t>
        </is>
      </c>
      <c r="B6" s="25" t="n">
        <v>478</v>
      </c>
      <c r="C6" s="25" t="n">
        <v>4180.835</v>
      </c>
      <c r="D6" s="19" t="n">
        <v>9.56712814645309</v>
      </c>
    </row>
    <row r="7">
      <c r="A7" t="inlineStr">
        <is>
          <t>Fintech</t>
        </is>
      </c>
      <c r="B7" s="25" t="n">
        <v>238</v>
      </c>
      <c r="C7" s="25" t="n">
        <v>5687.77</v>
      </c>
      <c r="D7" s="19" t="n">
        <v>25.27897777777778</v>
      </c>
    </row>
    <row r="8">
      <c r="A8" t="inlineStr">
        <is>
          <t>Artificial Intelligence</t>
        </is>
      </c>
      <c r="B8" s="25" t="n">
        <v>216</v>
      </c>
      <c r="C8" s="25" t="n">
        <v>3571.075</v>
      </c>
      <c r="D8" s="19" t="n">
        <v>18.03573232323232</v>
      </c>
    </row>
    <row r="9">
      <c r="A9" t="inlineStr">
        <is>
          <t>Enterprise Tech</t>
        </is>
      </c>
      <c r="B9" s="25" t="n">
        <v>177</v>
      </c>
      <c r="C9" s="25" t="n">
        <v>2460.343</v>
      </c>
      <c r="D9" s="19" t="n">
        <v>15.00209146341463</v>
      </c>
    </row>
    <row r="10">
      <c r="A10" t="inlineStr">
        <is>
          <t>Advanced Hardware &amp; Technology</t>
        </is>
      </c>
      <c r="B10" s="25" t="n">
        <v>167</v>
      </c>
      <c r="C10" s="25" t="n">
        <v>1160.449</v>
      </c>
      <c r="D10" s="19" t="n">
        <v>7.486767741935484</v>
      </c>
    </row>
    <row r="11">
      <c r="A11" t="inlineStr">
        <is>
          <t>Cleantech</t>
        </is>
      </c>
      <c r="B11" s="25" t="n">
        <v>151</v>
      </c>
      <c r="C11" s="25" t="n">
        <v>2122.735</v>
      </c>
      <c r="D11" s="19" t="n">
        <v>14.63955172413793</v>
      </c>
    </row>
    <row r="12">
      <c r="A12" t="inlineStr">
        <is>
          <t>Healthtech</t>
        </is>
      </c>
      <c r="B12" s="25" t="n">
        <v>137</v>
      </c>
      <c r="C12" s="25" t="n">
        <v>1640.126</v>
      </c>
      <c r="D12" s="19" t="n">
        <v>12.813484375</v>
      </c>
    </row>
    <row r="13">
      <c r="A13" t="inlineStr">
        <is>
          <t>Consumer Services</t>
        </is>
      </c>
      <c r="B13" s="25" t="n">
        <v>125</v>
      </c>
      <c r="C13" s="25" t="n">
        <v>1274.084</v>
      </c>
      <c r="D13" s="19" t="n">
        <v>11.07899130434783</v>
      </c>
    </row>
    <row r="14">
      <c r="A14" t="inlineStr">
        <is>
          <t>Media &amp; Entertainment</t>
        </is>
      </c>
      <c r="B14" s="25" t="n">
        <v>64</v>
      </c>
      <c r="C14" s="25" t="n">
        <v>456.963</v>
      </c>
      <c r="D14" s="19" t="n">
        <v>8.462277777777777</v>
      </c>
    </row>
    <row r="15">
      <c r="A15" t="inlineStr">
        <is>
          <t>Deeptech</t>
        </is>
      </c>
      <c r="B15" s="25" t="n">
        <v>49</v>
      </c>
      <c r="C15" s="25" t="n">
        <v>206.335</v>
      </c>
      <c r="D15" s="19" t="n">
        <v>4.390106382978724</v>
      </c>
    </row>
    <row r="16">
      <c r="A16" t="inlineStr">
        <is>
          <t>Travel Tech</t>
        </is>
      </c>
      <c r="B16" s="25" t="n">
        <v>45</v>
      </c>
      <c r="C16" s="25" t="n">
        <v>590.648</v>
      </c>
      <c r="D16" s="19" t="n">
        <v>13.42381818181818</v>
      </c>
    </row>
    <row r="17">
      <c r="A17" t="inlineStr">
        <is>
          <t>Agritech</t>
        </is>
      </c>
      <c r="B17" s="25" t="n">
        <v>45</v>
      </c>
      <c r="C17" s="25" t="n">
        <v>470.834</v>
      </c>
      <c r="D17" s="19" t="n">
        <v>10.94962790697674</v>
      </c>
    </row>
    <row r="18">
      <c r="A18" t="inlineStr">
        <is>
          <t>Real Estate Tech</t>
        </is>
      </c>
      <c r="B18" s="25" t="n">
        <v>45</v>
      </c>
      <c r="C18" s="25" t="n">
        <v>730.302</v>
      </c>
      <c r="D18" s="19" t="n">
        <v>17.81224390243903</v>
      </c>
    </row>
    <row r="19">
      <c r="A19" t="inlineStr">
        <is>
          <t>Edtech</t>
        </is>
      </c>
      <c r="B19" s="25" t="n">
        <v>39</v>
      </c>
      <c r="C19" s="25" t="n">
        <v>407.249</v>
      </c>
      <c r="D19" s="19" t="n">
        <v>12.34087878787879</v>
      </c>
    </row>
    <row r="20">
      <c r="A20" t="inlineStr">
        <is>
          <t>Logistics</t>
        </is>
      </c>
      <c r="B20" s="25" t="n">
        <v>35</v>
      </c>
      <c r="C20" s="25" t="n">
        <v>538.913</v>
      </c>
      <c r="D20" s="19" t="n">
        <v>16.33069696969697</v>
      </c>
    </row>
    <row r="21">
      <c r="A21" t="inlineStr">
        <is>
          <t>Foodtech</t>
        </is>
      </c>
      <c r="B21" s="25" t="n">
        <v>23</v>
      </c>
      <c r="C21" s="25" t="n">
        <v>240.124</v>
      </c>
      <c r="D21" s="19" t="n">
        <v>10.91472727272727</v>
      </c>
    </row>
    <row r="22">
      <c r="A22" t="inlineStr">
        <is>
          <t>Alcoholic Beverages</t>
        </is>
      </c>
      <c r="B22" s="25" t="n">
        <v>4</v>
      </c>
      <c r="C22" s="25" t="n">
        <v>8.300000000000001</v>
      </c>
      <c r="D22" s="19" t="n">
        <v>2.766666666666667</v>
      </c>
    </row>
    <row r="23">
      <c r="A23" t="inlineStr">
        <is>
          <t>Web3</t>
        </is>
      </c>
      <c r="B23" s="25" t="n">
        <v>4</v>
      </c>
      <c r="C23" s="25" t="n">
        <v>22</v>
      </c>
      <c r="D23" s="19" t="n">
        <v>7.333333333333333</v>
      </c>
    </row>
    <row r="24">
      <c r="A24" t="inlineStr">
        <is>
          <t>Unclassified</t>
        </is>
      </c>
      <c r="B24" s="25" t="n">
        <v>136</v>
      </c>
      <c r="C24" s="25" t="n">
        <v>2699.774</v>
      </c>
      <c r="D24" s="19" t="n">
        <v>21.94938211382114</v>
      </c>
    </row>
    <row r="25">
      <c r="A25" s="24" t="inlineStr">
        <is>
          <t>Grand Total</t>
        </is>
      </c>
      <c r="B25" s="26" t="n">
        <v>2178</v>
      </c>
      <c r="C25" s="26" t="n">
        <v>28468.859</v>
      </c>
      <c r="D25" s="27" t="n">
        <v>14.14250322901142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2" customWidth="1" min="1" max="1"/>
    <col width="12" customWidth="1" min="2" max="2"/>
    <col width="16" customWidth="1" min="3" max="3"/>
    <col width="18" customWidth="1" min="4" max="4"/>
  </cols>
  <sheetData>
    <row r="1">
      <c r="A1" s="23" t="inlineStr">
        <is>
          <t>Rounds by stage</t>
        </is>
      </c>
    </row>
    <row r="2">
      <c r="A2" s="2" t="inlineStr">
        <is>
          <t>PivotTable on the Rounds table. It refreshes when the file opens; drag fields to re-cut it.</t>
        </is>
      </c>
    </row>
    <row r="4">
      <c r="B4" t="inlineStr">
        <is>
          <t>Values</t>
        </is>
      </c>
    </row>
    <row r="5">
      <c r="A5" s="24" t="inlineStr">
        <is>
          <t>Stage</t>
        </is>
      </c>
      <c r="B5" s="24" t="inlineStr">
        <is>
          <t>Rounds</t>
        </is>
      </c>
      <c r="C5" s="24" t="inlineStr">
        <is>
          <t>Total USD mn</t>
        </is>
      </c>
      <c r="D5" s="24" t="inlineStr">
        <is>
          <t>Average USD mn</t>
        </is>
      </c>
    </row>
    <row r="6">
      <c r="A6" t="inlineStr">
        <is>
          <t>Pre-Seed</t>
        </is>
      </c>
      <c r="B6" s="25" t="n">
        <v>242</v>
      </c>
      <c r="C6" s="25" t="n">
        <v>203.326</v>
      </c>
      <c r="D6" s="19" t="n">
        <v>0.9284292237442922</v>
      </c>
    </row>
    <row r="7">
      <c r="A7" t="inlineStr">
        <is>
          <t>Seed</t>
        </is>
      </c>
      <c r="B7" s="25" t="n">
        <v>467</v>
      </c>
      <c r="C7" s="25" t="n">
        <v>1702.189</v>
      </c>
      <c r="D7" s="19" t="n">
        <v>3.782642222222222</v>
      </c>
    </row>
    <row r="8">
      <c r="A8" t="inlineStr">
        <is>
          <t>Angel</t>
        </is>
      </c>
      <c r="B8" s="25" t="n">
        <v>9</v>
      </c>
      <c r="C8" s="25" t="n">
        <v>4.718999999999999</v>
      </c>
      <c r="D8" s="19" t="n">
        <v>0.7864999999999999</v>
      </c>
    </row>
    <row r="9">
      <c r="A9" t="inlineStr">
        <is>
          <t>Pre-Series A</t>
        </is>
      </c>
      <c r="B9" s="25" t="n">
        <v>231</v>
      </c>
      <c r="C9" s="25" t="n">
        <v>569.341</v>
      </c>
      <c r="D9" s="19" t="n">
        <v>2.576203619909502</v>
      </c>
    </row>
    <row r="10">
      <c r="A10" t="inlineStr">
        <is>
          <t>Series A</t>
        </is>
      </c>
      <c r="B10" s="25" t="n">
        <v>311</v>
      </c>
      <c r="C10" s="25" t="n">
        <v>3070.803</v>
      </c>
      <c r="D10" s="19" t="n">
        <v>9.97013961038961</v>
      </c>
    </row>
    <row r="11">
      <c r="A11" t="inlineStr">
        <is>
          <t>Pre-Series B</t>
        </is>
      </c>
      <c r="B11" s="25" t="n">
        <v>25</v>
      </c>
      <c r="C11" s="25" t="n">
        <v>205.636</v>
      </c>
      <c r="D11" s="19" t="n">
        <v>8.568166666666666</v>
      </c>
    </row>
    <row r="12">
      <c r="A12" t="inlineStr">
        <is>
          <t>Series B</t>
        </is>
      </c>
      <c r="B12" s="25" t="n">
        <v>150</v>
      </c>
      <c r="C12" s="25" t="n">
        <v>4126.042</v>
      </c>
      <c r="D12" s="19" t="n">
        <v>27.69155704697987</v>
      </c>
    </row>
    <row r="13">
      <c r="A13" t="inlineStr">
        <is>
          <t>Pre-Series C</t>
        </is>
      </c>
      <c r="B13" s="25" t="n">
        <v>7</v>
      </c>
      <c r="C13" s="25" t="n">
        <v>77.178</v>
      </c>
      <c r="D13" s="19" t="n">
        <v>11.02542857142857</v>
      </c>
    </row>
    <row r="14">
      <c r="A14" t="inlineStr">
        <is>
          <t>Series C</t>
        </is>
      </c>
      <c r="B14" s="25" t="n">
        <v>51</v>
      </c>
      <c r="C14" s="25" t="n">
        <v>2431.568</v>
      </c>
      <c r="D14" s="19" t="n">
        <v>48.63136</v>
      </c>
    </row>
    <row r="15">
      <c r="A15" t="inlineStr">
        <is>
          <t>Series D</t>
        </is>
      </c>
      <c r="B15" s="25" t="n">
        <v>22</v>
      </c>
      <c r="C15" s="25" t="n">
        <v>952.316</v>
      </c>
      <c r="D15" s="19" t="n">
        <v>43.28709090909091</v>
      </c>
    </row>
    <row r="16">
      <c r="A16" t="inlineStr">
        <is>
          <t>Series E</t>
        </is>
      </c>
      <c r="B16" s="25" t="n">
        <v>11</v>
      </c>
      <c r="C16" s="25" t="n">
        <v>869.889</v>
      </c>
      <c r="D16" s="19" t="n">
        <v>79.08081818181819</v>
      </c>
    </row>
    <row r="17">
      <c r="A17" t="inlineStr">
        <is>
          <t>Series F</t>
        </is>
      </c>
      <c r="B17" s="25" t="n">
        <v>12</v>
      </c>
      <c r="C17" s="25" t="n">
        <v>1464.217</v>
      </c>
      <c r="D17" s="19" t="n">
        <v>122.0180833333333</v>
      </c>
    </row>
    <row r="18">
      <c r="A18" t="inlineStr">
        <is>
          <t>Series G</t>
        </is>
      </c>
      <c r="B18" s="25" t="n">
        <v>6</v>
      </c>
      <c r="C18" s="25" t="n">
        <v>561.229</v>
      </c>
      <c r="D18" s="19" t="n">
        <v>93.53816666666667</v>
      </c>
    </row>
    <row r="19">
      <c r="A19" t="inlineStr">
        <is>
          <t>Series H+</t>
        </is>
      </c>
      <c r="B19" s="25" t="n">
        <v>1</v>
      </c>
      <c r="C19" s="25" t="n">
        <v>900</v>
      </c>
      <c r="D19" s="19" t="n">
        <v>900</v>
      </c>
    </row>
    <row r="20">
      <c r="A20" t="inlineStr">
        <is>
          <t>Bridge</t>
        </is>
      </c>
      <c r="B20" s="25" t="n">
        <v>18</v>
      </c>
      <c r="C20" s="25" t="n">
        <v>99.22199999999999</v>
      </c>
      <c r="D20" s="19" t="n">
        <v>6.201375</v>
      </c>
    </row>
    <row r="21">
      <c r="A21" t="inlineStr">
        <is>
          <t>Pre-IPO</t>
        </is>
      </c>
      <c r="B21" s="25" t="n">
        <v>9</v>
      </c>
      <c r="C21" s="25" t="n">
        <v>173.707</v>
      </c>
      <c r="D21" s="19" t="n">
        <v>21.713375</v>
      </c>
    </row>
    <row r="22">
      <c r="A22" t="inlineStr">
        <is>
          <t>Debt</t>
        </is>
      </c>
      <c r="B22" s="25" t="n">
        <v>79</v>
      </c>
      <c r="C22" s="25" t="n">
        <v>1544.377</v>
      </c>
      <c r="D22" s="19" t="n">
        <v>19.79970512820513</v>
      </c>
    </row>
    <row r="23">
      <c r="A23" t="inlineStr">
        <is>
          <t>Undisclosed</t>
        </is>
      </c>
      <c r="B23" s="25" t="n">
        <v>527</v>
      </c>
      <c r="C23" s="25" t="n">
        <v>9513.1</v>
      </c>
      <c r="D23" s="19" t="n">
        <v>22.38376470588235</v>
      </c>
    </row>
    <row r="24">
      <c r="A24" s="24" t="inlineStr">
        <is>
          <t>Grand Total</t>
        </is>
      </c>
      <c r="B24" s="26" t="n">
        <v>2178</v>
      </c>
      <c r="C24" s="26" t="n">
        <v>28468.859</v>
      </c>
      <c r="D24" s="27" t="n">
        <v>14.14250322901142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2" customWidth="1" min="1" max="1"/>
    <col width="12" customWidth="1" min="2" max="2"/>
    <col width="16" customWidth="1" min="3" max="3"/>
    <col width="18" customWidth="1" min="4" max="4"/>
  </cols>
  <sheetData>
    <row r="1">
      <c r="A1" s="23" t="inlineStr">
        <is>
          <t>Rounds by city</t>
        </is>
      </c>
    </row>
    <row r="2">
      <c r="A2" s="2" t="inlineStr">
        <is>
          <t>PivotTable on the Rounds table. It refreshes when the file opens; drag fields to re-cut it.</t>
        </is>
      </c>
    </row>
    <row r="4">
      <c r="B4" t="inlineStr">
        <is>
          <t>Values</t>
        </is>
      </c>
    </row>
    <row r="5">
      <c r="A5" s="24" t="inlineStr">
        <is>
          <t>City</t>
        </is>
      </c>
      <c r="B5" s="24" t="inlineStr">
        <is>
          <t>Rounds</t>
        </is>
      </c>
      <c r="C5" s="24" t="inlineStr">
        <is>
          <t>Total USD mn</t>
        </is>
      </c>
      <c r="D5" s="24" t="inlineStr">
        <is>
          <t>Average USD mn</t>
        </is>
      </c>
    </row>
    <row r="6">
      <c r="A6" t="inlineStr">
        <is>
          <t>Bengaluru</t>
        </is>
      </c>
      <c r="B6" s="25" t="n">
        <v>461</v>
      </c>
      <c r="C6" s="25" t="n">
        <v>6699.193</v>
      </c>
      <c r="D6" s="19" t="n">
        <v>14.75593171806167</v>
      </c>
    </row>
    <row r="7">
      <c r="A7" t="inlineStr">
        <is>
          <t>Delhi NCR</t>
        </is>
      </c>
      <c r="B7" s="25" t="n">
        <v>283</v>
      </c>
      <c r="C7" s="25" t="n">
        <v>2980.407</v>
      </c>
      <c r="D7" s="19" t="n">
        <v>10.99781180811808</v>
      </c>
    </row>
    <row r="8">
      <c r="A8" t="inlineStr">
        <is>
          <t>Mumbai</t>
        </is>
      </c>
      <c r="B8" s="25" t="n">
        <v>191</v>
      </c>
      <c r="C8" s="25" t="n">
        <v>4648.204</v>
      </c>
      <c r="D8" s="19" t="n">
        <v>25.26197826086957</v>
      </c>
    </row>
    <row r="9">
      <c r="A9" t="inlineStr">
        <is>
          <t>Pune</t>
        </is>
      </c>
      <c r="B9" s="25" t="n">
        <v>52</v>
      </c>
      <c r="C9" s="25" t="n">
        <v>347.969</v>
      </c>
      <c r="D9" s="19" t="n">
        <v>7.101408163265306</v>
      </c>
    </row>
    <row r="10">
      <c r="A10" t="inlineStr">
        <is>
          <t>Chennai</t>
        </is>
      </c>
      <c r="B10" s="25" t="n">
        <v>52</v>
      </c>
      <c r="C10" s="25" t="n">
        <v>403.913</v>
      </c>
      <c r="D10" s="19" t="n">
        <v>8.07826</v>
      </c>
    </row>
    <row r="11">
      <c r="A11" t="inlineStr">
        <is>
          <t>Hyderabad</t>
        </is>
      </c>
      <c r="B11" s="25" t="n">
        <v>51</v>
      </c>
      <c r="C11" s="25" t="n">
        <v>560.729</v>
      </c>
      <c r="D11" s="19" t="n">
        <v>10.9946862745098</v>
      </c>
    </row>
    <row r="12">
      <c r="A12" t="inlineStr">
        <is>
          <t>Ahmedabad</t>
        </is>
      </c>
      <c r="B12" s="25" t="n">
        <v>18</v>
      </c>
      <c r="C12" s="25" t="n">
        <v>156.199</v>
      </c>
      <c r="D12" s="19" t="n">
        <v>9.762437500000001</v>
      </c>
    </row>
    <row r="13">
      <c r="A13" t="inlineStr">
        <is>
          <t>Jaipur</t>
        </is>
      </c>
      <c r="B13" s="25" t="n">
        <v>15</v>
      </c>
      <c r="C13" s="25" t="n">
        <v>98.34</v>
      </c>
      <c r="D13" s="19" t="n">
        <v>7.564615384615385</v>
      </c>
    </row>
    <row r="14">
      <c r="A14" t="inlineStr">
        <is>
          <t>Kolkata</t>
        </is>
      </c>
      <c r="B14" s="25" t="n">
        <v>8</v>
      </c>
      <c r="C14" s="25" t="n">
        <v>21.031</v>
      </c>
      <c r="D14" s="19" t="n">
        <v>2.628875</v>
      </c>
    </row>
    <row r="15">
      <c r="A15" t="inlineStr">
        <is>
          <t>Chandigarh</t>
        </is>
      </c>
      <c r="B15" s="25" t="n">
        <v>7</v>
      </c>
      <c r="C15" s="25" t="n">
        <v>25.884</v>
      </c>
      <c r="D15" s="19" t="n">
        <v>3.697714285714286</v>
      </c>
    </row>
    <row r="16">
      <c r="A16" t="inlineStr">
        <is>
          <t>Surat</t>
        </is>
      </c>
      <c r="B16" s="25" t="n">
        <v>6</v>
      </c>
      <c r="C16" s="25" t="n">
        <v>38.034</v>
      </c>
      <c r="D16" s="19" t="n">
        <v>7.6068</v>
      </c>
    </row>
    <row r="17">
      <c r="A17" t="inlineStr">
        <is>
          <t>Bhubaneswar</t>
        </is>
      </c>
      <c r="B17" s="25" t="n">
        <v>5</v>
      </c>
      <c r="C17" s="25" t="n">
        <v>8.333</v>
      </c>
      <c r="D17" s="19" t="n">
        <v>2.08325</v>
      </c>
    </row>
    <row r="18">
      <c r="A18" t="inlineStr">
        <is>
          <t>Lucknow</t>
        </is>
      </c>
      <c r="B18" s="25" t="n">
        <v>4</v>
      </c>
      <c r="C18" s="25" t="n">
        <v>28.776</v>
      </c>
      <c r="D18" s="19" t="n">
        <v>7.194000000000001</v>
      </c>
    </row>
    <row r="19">
      <c r="A19" t="inlineStr">
        <is>
          <t>Indore</t>
        </is>
      </c>
      <c r="B19" s="25" t="n">
        <v>3</v>
      </c>
      <c r="C19" s="25" t="n">
        <v>2.275</v>
      </c>
      <c r="D19" s="19" t="n">
        <v>1.1375</v>
      </c>
    </row>
    <row r="20">
      <c r="A20" t="inlineStr">
        <is>
          <t>Goa</t>
        </is>
      </c>
      <c r="B20" s="25" t="n">
        <v>2</v>
      </c>
      <c r="C20" s="25" t="n">
        <v>8.409000000000001</v>
      </c>
      <c r="D20" s="19" t="n">
        <v>4.2045</v>
      </c>
    </row>
    <row r="21">
      <c r="A21" t="inlineStr">
        <is>
          <t>Raipur</t>
        </is>
      </c>
      <c r="B21" s="25" t="n">
        <v>2</v>
      </c>
      <c r="C21" s="25" t="n">
        <v>12.5</v>
      </c>
      <c r="D21" s="19" t="n">
        <v>6.25</v>
      </c>
    </row>
    <row r="22">
      <c r="A22" t="inlineStr">
        <is>
          <t>Thiruvananthapuram</t>
        </is>
      </c>
      <c r="B22" s="25" t="n">
        <v>2</v>
      </c>
      <c r="C22" s="25" t="n">
        <v>5.65</v>
      </c>
      <c r="D22" s="19" t="n">
        <v>2.825</v>
      </c>
    </row>
    <row r="23">
      <c r="A23" t="inlineStr">
        <is>
          <t>Kota</t>
        </is>
      </c>
      <c r="B23" s="25" t="n">
        <v>2</v>
      </c>
      <c r="C23" s="25" t="n">
        <v>7.177</v>
      </c>
      <c r="D23" s="19" t="n">
        <v>3.5885</v>
      </c>
    </row>
    <row r="24">
      <c r="A24" t="inlineStr">
        <is>
          <t>Jodhpur</t>
        </is>
      </c>
      <c r="B24" s="25" t="n">
        <v>2</v>
      </c>
      <c r="C24" s="25" t="n">
        <v>1.5</v>
      </c>
      <c r="D24" s="19" t="n">
        <v>1.5</v>
      </c>
    </row>
    <row r="25">
      <c r="A25" t="inlineStr">
        <is>
          <t>Nagpur</t>
        </is>
      </c>
      <c r="B25" s="25" t="n">
        <v>2</v>
      </c>
      <c r="C25" s="25" t="n">
        <v>34.524</v>
      </c>
      <c r="D25" s="19" t="n">
        <v>17.262</v>
      </c>
    </row>
    <row r="26">
      <c r="A26" t="inlineStr">
        <is>
          <t>Udaipur</t>
        </is>
      </c>
      <c r="B26" s="25" t="n">
        <v>2</v>
      </c>
      <c r="C26" s="25" t="n">
        <v>3.026</v>
      </c>
      <c r="D26" s="19" t="n">
        <v>1.513</v>
      </c>
    </row>
    <row r="27">
      <c r="A27" t="inlineStr">
        <is>
          <t>Jabalpur</t>
        </is>
      </c>
      <c r="B27" s="25" t="n">
        <v>1</v>
      </c>
      <c r="C27" s="25" t="n">
        <v>0.462</v>
      </c>
      <c r="D27" s="19" t="n">
        <v>0.462</v>
      </c>
    </row>
    <row r="28">
      <c r="A28" t="inlineStr">
        <is>
          <t>Mysuru</t>
        </is>
      </c>
      <c r="B28" s="25" t="n">
        <v>1</v>
      </c>
      <c r="C28" s="25" t="n">
        <v>34.463</v>
      </c>
      <c r="D28" s="19" t="n">
        <v>34.463</v>
      </c>
    </row>
    <row r="29">
      <c r="A29" t="inlineStr">
        <is>
          <t>Vadodara</t>
        </is>
      </c>
      <c r="B29" s="25" t="n">
        <v>1</v>
      </c>
      <c r="C29" s="25" t="n">
        <v>0.461</v>
      </c>
      <c r="D29" s="19" t="n">
        <v>0.461</v>
      </c>
    </row>
    <row r="30">
      <c r="A30" t="inlineStr">
        <is>
          <t>Guwahati</t>
        </is>
      </c>
      <c r="B30" s="25" t="n">
        <v>1</v>
      </c>
      <c r="C30" s="25" t="n">
        <v>2</v>
      </c>
      <c r="D30" s="19" t="n">
        <v>2</v>
      </c>
    </row>
    <row r="31">
      <c r="A31" t="inlineStr">
        <is>
          <t>Mangaluru</t>
        </is>
      </c>
      <c r="B31" s="25" t="n">
        <v>1</v>
      </c>
      <c r="C31" s="25" t="n">
        <v>5</v>
      </c>
      <c r="D31" s="19" t="n">
        <v>5</v>
      </c>
    </row>
    <row r="32">
      <c r="A32" t="inlineStr">
        <is>
          <t>Coimbatore</t>
        </is>
      </c>
      <c r="B32" s="25" t="n">
        <v>1</v>
      </c>
      <c r="C32" s="25" t="n">
        <v>3.325</v>
      </c>
      <c r="D32" s="19" t="n">
        <v>3.325</v>
      </c>
    </row>
    <row r="33">
      <c r="A33" t="inlineStr">
        <is>
          <t>Gwalior</t>
        </is>
      </c>
      <c r="B33" s="25" t="n">
        <v>1</v>
      </c>
      <c r="C33" s="25" t="n">
        <v>7.697</v>
      </c>
      <c r="D33" s="19" t="n">
        <v>7.697</v>
      </c>
    </row>
    <row r="34">
      <c r="A34" t="inlineStr">
        <is>
          <t>Kochi</t>
        </is>
      </c>
      <c r="B34" s="25" t="n">
        <v>1</v>
      </c>
      <c r="C34" s="25" t="n">
        <v>2.386</v>
      </c>
      <c r="D34" s="19" t="n">
        <v>2.386</v>
      </c>
    </row>
    <row r="35">
      <c r="A35" t="inlineStr">
        <is>
          <t>Erode</t>
        </is>
      </c>
      <c r="B35" s="25" t="n">
        <v>1</v>
      </c>
      <c r="C35" s="25" t="n">
        <v>50.689</v>
      </c>
      <c r="D35" s="19" t="n">
        <v>50.689</v>
      </c>
    </row>
    <row r="36">
      <c r="A36" t="inlineStr">
        <is>
          <t>Dehradun</t>
        </is>
      </c>
      <c r="B36" s="25" t="n">
        <v>1</v>
      </c>
      <c r="C36" s="25" t="n">
        <v>7</v>
      </c>
      <c r="D36" s="19" t="n">
        <v>7</v>
      </c>
    </row>
    <row r="37">
      <c r="A37" t="inlineStr">
        <is>
          <t>Outside India</t>
        </is>
      </c>
      <c r="B37" s="25" t="n">
        <v>48</v>
      </c>
      <c r="C37" s="25" t="n">
        <v>1872.694</v>
      </c>
      <c r="D37" s="19" t="n">
        <v>39.01445833333333</v>
      </c>
    </row>
    <row r="38">
      <c r="A38" t="inlineStr">
        <is>
          <t>Unknown</t>
        </is>
      </c>
      <c r="B38" s="25" t="n">
        <v>950</v>
      </c>
      <c r="C38" s="25" t="n">
        <v>10390.609</v>
      </c>
      <c r="D38" s="19" t="n">
        <v>12.60996237864078</v>
      </c>
    </row>
    <row r="39">
      <c r="A39" s="24" t="inlineStr">
        <is>
          <t>Grand Total</t>
        </is>
      </c>
      <c r="B39" s="26" t="n">
        <v>2178</v>
      </c>
      <c r="C39" s="26" t="n">
        <v>28468.859</v>
      </c>
      <c r="D39" s="27" t="n">
        <v>14.14250322901142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36" customWidth="1" min="3" max="3"/>
    <col width="78" customWidth="1" min="4" max="4"/>
    <col width="11" customWidth="1" min="5" max="5"/>
    <col width="15" customWidth="1" min="6" max="6"/>
    <col width="15" customWidth="1" min="7" max="7"/>
    <col width="14" customWidth="1" min="8" max="8"/>
    <col width="3" customWidth="1" min="9" max="9"/>
  </cols>
  <sheetData>
    <row r="1">
      <c r="A1" s="23" t="inlineStr">
        <is>
          <t>The 18 automated checks</t>
        </is>
      </c>
    </row>
    <row r="2">
      <c r="A2" s="2" t="inlineStr">
        <is>
          <t>Every round is tested on each run. A flag sends the round to a person; nothing is corrected automatically.</t>
        </is>
      </c>
    </row>
    <row r="4">
      <c r="A4" t="inlineStr">
        <is>
          <t>ID</t>
        </is>
      </c>
      <c r="B4" t="inlineStr">
        <is>
          <t>Category</t>
        </is>
      </c>
      <c r="C4" t="inlineStr">
        <is>
          <t>Check</t>
        </is>
      </c>
      <c r="D4" t="inlineStr">
        <is>
          <t>Rule</t>
        </is>
      </c>
      <c r="E4" t="inlineStr">
        <is>
          <t>Severity</t>
        </is>
      </c>
      <c r="F4" t="inlineStr">
        <is>
          <t>Rounds checked</t>
        </is>
      </c>
      <c r="G4" t="inlineStr">
        <is>
          <t>Rounds flagged</t>
        </is>
      </c>
      <c r="H4" t="inlineStr">
        <is>
          <t>Share flagged</t>
        </is>
      </c>
    </row>
    <row r="5">
      <c r="A5" t="inlineStr">
        <is>
          <t>C01</t>
        </is>
      </c>
      <c r="B5" t="inlineStr">
        <is>
          <t>Nulls</t>
        </is>
      </c>
      <c r="C5" t="inlineStr">
        <is>
          <t>Company name missing</t>
        </is>
      </c>
      <c r="D5" t="inlineStr">
        <is>
          <t>company is blank</t>
        </is>
      </c>
      <c r="E5" t="inlineStr">
        <is>
          <t>error</t>
        </is>
      </c>
      <c r="F5" s="25" t="n">
        <v>2178</v>
      </c>
      <c r="G5" s="25" t="n">
        <v>0</v>
      </c>
      <c r="H5" s="28" t="n">
        <v>0</v>
      </c>
      <c r="I5" s="29" t="inlineStr">
        <is>
          <t>●</t>
        </is>
      </c>
    </row>
    <row r="6">
      <c r="A6" t="inlineStr">
        <is>
          <t>C02</t>
        </is>
      </c>
      <c r="B6" t="inlineStr">
        <is>
          <t>Nulls</t>
        </is>
      </c>
      <c r="C6" t="inlineStr">
        <is>
          <t>Announcement date missing</t>
        </is>
      </c>
      <c r="D6" t="inlineStr">
        <is>
          <t>announced_date is blank or not a date</t>
        </is>
      </c>
      <c r="E6" t="inlineStr">
        <is>
          <t>error</t>
        </is>
      </c>
      <c r="F6" s="25" t="n">
        <v>2178</v>
      </c>
      <c r="G6" s="25" t="n">
        <v>0</v>
      </c>
      <c r="H6" s="28" t="n">
        <v>0</v>
      </c>
      <c r="I6" s="29" t="inlineStr">
        <is>
          <t>●</t>
        </is>
      </c>
    </row>
    <row r="7">
      <c r="A7" t="inlineStr">
        <is>
          <t>C03</t>
        </is>
      </c>
      <c r="B7" t="inlineStr">
        <is>
          <t>Nulls</t>
        </is>
      </c>
      <c r="C7" t="inlineStr">
        <is>
          <t>Amount undisclosed</t>
        </is>
      </c>
      <c r="D7" t="inlineStr">
        <is>
          <t>no source reports an amount</t>
        </is>
      </c>
      <c r="E7" t="inlineStr">
        <is>
          <t>info</t>
        </is>
      </c>
      <c r="F7" s="25" t="n">
        <v>2178</v>
      </c>
      <c r="G7" s="25" t="n">
        <v>165</v>
      </c>
      <c r="H7" s="28" t="n">
        <v>0.07580000000000001</v>
      </c>
      <c r="I7" s="30" t="inlineStr">
        <is>
          <t>●</t>
        </is>
      </c>
    </row>
    <row r="8">
      <c r="A8" t="inlineStr">
        <is>
          <t>C04</t>
        </is>
      </c>
      <c r="B8" t="inlineStr">
        <is>
          <t>Nulls</t>
        </is>
      </c>
      <c r="C8" t="inlineStr">
        <is>
          <t>Stage undisclosed</t>
        </is>
      </c>
      <c r="D8" t="inlineStr">
        <is>
          <t>no source names the round stage</t>
        </is>
      </c>
      <c r="E8" t="inlineStr">
        <is>
          <t>info</t>
        </is>
      </c>
      <c r="F8" s="25" t="n">
        <v>2178</v>
      </c>
      <c r="G8" s="25" t="n">
        <v>527</v>
      </c>
      <c r="H8" s="28" t="n">
        <v>0.242</v>
      </c>
      <c r="I8" s="30" t="inlineStr">
        <is>
          <t>●</t>
        </is>
      </c>
    </row>
    <row r="9">
      <c r="A9" t="inlineStr">
        <is>
          <t>C05</t>
        </is>
      </c>
      <c r="B9" t="inlineStr">
        <is>
          <t>Nulls</t>
        </is>
      </c>
      <c r="C9" t="inlineStr">
        <is>
          <t>No investor named</t>
        </is>
      </c>
      <c r="D9" t="inlineStr">
        <is>
          <t>no source names an investor</t>
        </is>
      </c>
      <c r="E9" t="inlineStr">
        <is>
          <t>info</t>
        </is>
      </c>
      <c r="F9" s="25" t="n">
        <v>2178</v>
      </c>
      <c r="G9" s="25" t="n">
        <v>124</v>
      </c>
      <c r="H9" s="28" t="n">
        <v>0.0569</v>
      </c>
      <c r="I9" s="30" t="inlineStr">
        <is>
          <t>●</t>
        </is>
      </c>
    </row>
    <row r="10">
      <c r="A10" t="inlineStr">
        <is>
          <t>C06</t>
        </is>
      </c>
      <c r="B10" t="inlineStr">
        <is>
          <t>Nulls</t>
        </is>
      </c>
      <c r="C10" t="inlineStr">
        <is>
          <t>Sector unclassified</t>
        </is>
      </c>
      <c r="D10" t="inlineStr">
        <is>
          <t>no sector label in a source table and no keyword match</t>
        </is>
      </c>
      <c r="E10" t="inlineStr">
        <is>
          <t>warning</t>
        </is>
      </c>
      <c r="F10" s="25" t="n">
        <v>2178</v>
      </c>
      <c r="G10" s="25" t="n">
        <v>136</v>
      </c>
      <c r="H10" s="28" t="n">
        <v>0.0624</v>
      </c>
      <c r="I10" s="31" t="inlineStr">
        <is>
          <t>●</t>
        </is>
      </c>
    </row>
    <row r="11">
      <c r="A11" t="inlineStr">
        <is>
          <t>C07</t>
        </is>
      </c>
      <c r="B11" t="inlineStr">
        <is>
          <t>Nulls</t>
        </is>
      </c>
      <c r="C11" t="inlineStr">
        <is>
          <t>City unknown</t>
        </is>
      </c>
      <c r="D11" t="inlineStr">
        <is>
          <t>no report says where the company is based</t>
        </is>
      </c>
      <c r="E11" t="inlineStr">
        <is>
          <t>info</t>
        </is>
      </c>
      <c r="F11" s="25" t="n">
        <v>2178</v>
      </c>
      <c r="G11" s="25" t="n">
        <v>950</v>
      </c>
      <c r="H11" s="28" t="n">
        <v>0.4362</v>
      </c>
      <c r="I11" s="30" t="inlineStr">
        <is>
          <t>●</t>
        </is>
      </c>
    </row>
    <row r="12">
      <c r="A12" t="inlineStr">
        <is>
          <t>C08</t>
        </is>
      </c>
      <c r="B12" t="inlineStr">
        <is>
          <t>Duplicates</t>
        </is>
      </c>
      <c r="C12" t="inlineStr">
        <is>
          <t>Duplicate report</t>
        </is>
      </c>
      <c r="D12" t="inlineStr">
        <is>
          <t>one article URL appears more than once in the source records</t>
        </is>
      </c>
      <c r="E12" t="inlineStr">
        <is>
          <t>error</t>
        </is>
      </c>
      <c r="F12" s="25" t="n">
        <v>2178</v>
      </c>
      <c r="G12" s="25" t="n">
        <v>0</v>
      </c>
      <c r="H12" s="28" t="n">
        <v>0</v>
      </c>
      <c r="I12" s="29" t="inlineStr">
        <is>
          <t>●</t>
        </is>
      </c>
    </row>
    <row r="13">
      <c r="A13" t="inlineStr">
        <is>
          <t>C09</t>
        </is>
      </c>
      <c r="B13" t="inlineStr">
        <is>
          <t>Duplicates</t>
        </is>
      </c>
      <c r="C13" t="inlineStr">
        <is>
          <t>Possible duplicate round</t>
        </is>
      </c>
      <c r="D13" t="inlineStr">
        <is>
          <t>same company has another round within 45 days</t>
        </is>
      </c>
      <c r="E13" t="inlineStr">
        <is>
          <t>warning</t>
        </is>
      </c>
      <c r="F13" s="25" t="n">
        <v>2178</v>
      </c>
      <c r="G13" s="25" t="n">
        <v>29</v>
      </c>
      <c r="H13" s="28" t="n">
        <v>0.0133</v>
      </c>
      <c r="I13" s="31" t="inlineStr">
        <is>
          <t>●</t>
        </is>
      </c>
    </row>
    <row r="14">
      <c r="A14" t="inlineStr">
        <is>
          <t>C10</t>
        </is>
      </c>
      <c r="B14" t="inlineStr">
        <is>
          <t>Validity</t>
        </is>
      </c>
      <c r="C14" t="inlineStr">
        <is>
          <t>Date outside tracking window</t>
        </is>
      </c>
      <c r="D14" t="inlineStr">
        <is>
          <t>announced_date before 2025-01-01 or in the future</t>
        </is>
      </c>
      <c r="E14" t="inlineStr">
        <is>
          <t>error</t>
        </is>
      </c>
      <c r="F14" s="25" t="n">
        <v>2178</v>
      </c>
      <c r="G14" s="25" t="n">
        <v>0</v>
      </c>
      <c r="H14" s="28" t="n">
        <v>0</v>
      </c>
      <c r="I14" s="29" t="inlineStr">
        <is>
          <t>●</t>
        </is>
      </c>
    </row>
    <row r="15">
      <c r="A15" t="inlineStr">
        <is>
          <t>C11</t>
        </is>
      </c>
      <c r="B15" t="inlineStr">
        <is>
          <t>Outliers</t>
        </is>
      </c>
      <c r="C15" t="inlineStr">
        <is>
          <t>Amount outlier for its stage</t>
        </is>
      </c>
      <c r="D15" t="inlineStr">
        <is>
          <t>log10(amount) beyond 1.5 x IQR for the stage (stages with at least 10 amounts)</t>
        </is>
      </c>
      <c r="E15" t="inlineStr">
        <is>
          <t>warning</t>
        </is>
      </c>
      <c r="F15" s="25" t="n">
        <v>2178</v>
      </c>
      <c r="G15" s="25" t="n">
        <v>26</v>
      </c>
      <c r="H15" s="28" t="n">
        <v>0.0119</v>
      </c>
      <c r="I15" s="31" t="inlineStr">
        <is>
          <t>●</t>
        </is>
      </c>
    </row>
    <row r="16">
      <c r="A16" t="inlineStr">
        <is>
          <t>C12</t>
        </is>
      </c>
      <c r="B16" t="inlineStr">
        <is>
          <t>Outliers</t>
        </is>
      </c>
      <c r="C16" t="inlineStr">
        <is>
          <t>Implausible amount</t>
        </is>
      </c>
      <c r="D16" t="inlineStr">
        <is>
          <t>amount below $0.01 Mn or above $2000 Mn</t>
        </is>
      </c>
      <c r="E16" t="inlineStr">
        <is>
          <t>warning</t>
        </is>
      </c>
      <c r="F16" s="25" t="n">
        <v>2178</v>
      </c>
      <c r="G16" s="25" t="n">
        <v>0</v>
      </c>
      <c r="H16" s="28" t="n">
        <v>0</v>
      </c>
      <c r="I16" s="31" t="inlineStr">
        <is>
          <t>●</t>
        </is>
      </c>
    </row>
    <row r="17">
      <c r="A17" t="inlineStr">
        <is>
          <t>C13</t>
        </is>
      </c>
      <c r="B17" t="inlineStr">
        <is>
          <t>Units</t>
        </is>
      </c>
      <c r="C17" t="inlineStr">
        <is>
          <t>INR/USD mismatch</t>
        </is>
      </c>
      <c r="D17" t="inlineStr">
        <is>
          <t>a report's rupee and dollar figures imply a rate more than 10% from the reference rate</t>
        </is>
      </c>
      <c r="E17" t="inlineStr">
        <is>
          <t>warning</t>
        </is>
      </c>
      <c r="F17" s="25" t="n">
        <v>2178</v>
      </c>
      <c r="G17" s="25" t="n">
        <v>8</v>
      </c>
      <c r="H17" s="28" t="n">
        <v>0.0037</v>
      </c>
      <c r="I17" s="31" t="inlineStr">
        <is>
          <t>●</t>
        </is>
      </c>
    </row>
    <row r="18">
      <c r="A18" t="inlineStr">
        <is>
          <t>C14</t>
        </is>
      </c>
      <c r="B18" t="inlineStr">
        <is>
          <t>Units</t>
        </is>
      </c>
      <c r="C18" t="inlineStr">
        <is>
          <t>Lakh/crore or million/billion mismatch</t>
        </is>
      </c>
      <c r="D18" t="inlineStr">
        <is>
          <t>reports of one round differ by a factor of about 10, 100 or 1,000</t>
        </is>
      </c>
      <c r="E18" t="inlineStr">
        <is>
          <t>error</t>
        </is>
      </c>
      <c r="F18" s="25" t="n">
        <v>2178</v>
      </c>
      <c r="G18" s="25" t="n">
        <v>1</v>
      </c>
      <c r="H18" s="28" t="n">
        <v>0.0005</v>
      </c>
      <c r="I18" s="29" t="inlineStr">
        <is>
          <t>●</t>
        </is>
      </c>
    </row>
    <row r="19">
      <c r="A19" t="inlineStr">
        <is>
          <t>C15</t>
        </is>
      </c>
      <c r="B19" t="inlineStr">
        <is>
          <t>Cross-source</t>
        </is>
      </c>
      <c r="C19" t="inlineStr">
        <is>
          <t>Amount disagreement</t>
        </is>
      </c>
      <c r="D19" t="inlineStr">
        <is>
          <t>highest and lowest reported amount differ by more than 10%</t>
        </is>
      </c>
      <c r="E19" t="inlineStr">
        <is>
          <t>warning</t>
        </is>
      </c>
      <c r="F19" s="25" t="n">
        <v>2178</v>
      </c>
      <c r="G19" s="25" t="n">
        <v>68</v>
      </c>
      <c r="H19" s="28" t="n">
        <v>0.0312</v>
      </c>
      <c r="I19" s="31" t="inlineStr">
        <is>
          <t>●</t>
        </is>
      </c>
    </row>
    <row r="20">
      <c r="A20" t="inlineStr">
        <is>
          <t>C16</t>
        </is>
      </c>
      <c r="B20" t="inlineStr">
        <is>
          <t>Cross-source</t>
        </is>
      </c>
      <c r="C20" t="inlineStr">
        <is>
          <t>Date disagreement</t>
        </is>
      </c>
      <c r="D20" t="inlineStr">
        <is>
          <t>reports of one round are more than 7 days apart</t>
        </is>
      </c>
      <c r="E20" t="inlineStr">
        <is>
          <t>info</t>
        </is>
      </c>
      <c r="F20" s="25" t="n">
        <v>2178</v>
      </c>
      <c r="G20" s="25" t="n">
        <v>23</v>
      </c>
      <c r="H20" s="28" t="n">
        <v>0.0106</v>
      </c>
      <c r="I20" s="30" t="inlineStr">
        <is>
          <t>●</t>
        </is>
      </c>
    </row>
    <row r="21">
      <c r="A21" t="inlineStr">
        <is>
          <t>C17</t>
        </is>
      </c>
      <c r="B21" t="inlineStr">
        <is>
          <t>Cross-source</t>
        </is>
      </c>
      <c r="C21" t="inlineStr">
        <is>
          <t>Lead investor disagreement</t>
        </is>
      </c>
      <c r="D21" t="inlineStr">
        <is>
          <t>two detailed sources each name a lead investor and have none in common</t>
        </is>
      </c>
      <c r="E21" t="inlineStr">
        <is>
          <t>warning</t>
        </is>
      </c>
      <c r="F21" s="25" t="n">
        <v>2178</v>
      </c>
      <c r="G21" s="25" t="n">
        <v>43</v>
      </c>
      <c r="H21" s="28" t="n">
        <v>0.0197</v>
      </c>
      <c r="I21" s="31" t="inlineStr">
        <is>
          <t>●</t>
        </is>
      </c>
    </row>
    <row r="22">
      <c r="A22" t="inlineStr">
        <is>
          <t>C18</t>
        </is>
      </c>
      <c r="B22" t="inlineStr">
        <is>
          <t>Cross-source</t>
        </is>
      </c>
      <c r="C22" t="inlineStr">
        <is>
          <t>Stage disagreement</t>
        </is>
      </c>
      <c r="D22" t="inlineStr">
        <is>
          <t>two detailed sources state different stages</t>
        </is>
      </c>
      <c r="E22" t="inlineStr">
        <is>
          <t>warning</t>
        </is>
      </c>
      <c r="F22" s="25" t="n">
        <v>2178</v>
      </c>
      <c r="G22" s="25" t="n">
        <v>31</v>
      </c>
      <c r="H22" s="28" t="n">
        <v>0.0142</v>
      </c>
      <c r="I22" s="31" t="inlineStr">
        <is>
          <t>●</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137"/>
  <sheetViews>
    <sheetView workbookViewId="0">
      <pane ySplit="4" topLeftCell="A5" activePane="bottomLeft" state="frozen"/>
      <selection pane="bottomLeft" activeCell="A1" sqref="A1"/>
    </sheetView>
  </sheetViews>
  <sheetFormatPr baseColWidth="8" defaultRowHeight="15"/>
  <cols>
    <col width="10" customWidth="1" min="1" max="1"/>
    <col width="36" customWidth="1" min="2" max="2"/>
    <col width="11" customWidth="1" min="3" max="3"/>
    <col width="24" customWidth="1" min="4" max="4"/>
    <col width="28" customWidth="1" min="5" max="5"/>
    <col width="13" customWidth="1" min="6" max="6"/>
    <col width="110" customWidth="1" min="7" max="7"/>
  </cols>
  <sheetData>
    <row r="1">
      <c r="A1" s="23" t="inlineStr">
        <is>
          <t>Exceptions: every flag raised by the checks</t>
        </is>
      </c>
    </row>
    <row r="2">
      <c r="A2" s="2" t="inlineStr">
        <is>
          <t>Filter by Check ID or Severity. The Flags column on the Rounds sheet lists the same IDs per round.</t>
        </is>
      </c>
    </row>
    <row r="4">
      <c r="A4" t="inlineStr">
        <is>
          <t>Check ID</t>
        </is>
      </c>
      <c r="B4" t="inlineStr">
        <is>
          <t>Check</t>
        </is>
      </c>
      <c r="C4" t="inlineStr">
        <is>
          <t>Severity</t>
        </is>
      </c>
      <c r="D4" t="inlineStr">
        <is>
          <t>Round ID</t>
        </is>
      </c>
      <c r="E4" t="inlineStr">
        <is>
          <t>Company</t>
        </is>
      </c>
      <c r="F4" t="inlineStr">
        <is>
          <t>Announced</t>
        </is>
      </c>
      <c r="G4" t="inlineStr">
        <is>
          <t>Detail</t>
        </is>
      </c>
    </row>
    <row r="5">
      <c r="A5" t="inlineStr">
        <is>
          <t>C03</t>
        </is>
      </c>
      <c r="B5" t="inlineStr">
        <is>
          <t>Amount undisclosed</t>
        </is>
      </c>
      <c r="C5" t="inlineStr">
        <is>
          <t>info</t>
        </is>
      </c>
      <c r="D5" t="inlineStr">
        <is>
          <t>R250102-klassroom</t>
        </is>
      </c>
      <c r="E5" t="inlineStr">
        <is>
          <t>Klassroom</t>
        </is>
      </c>
      <c r="F5" s="17" t="n">
        <v>45659</v>
      </c>
      <c r="G5" t="inlineStr">
        <is>
          <t>amount not disclosed by any source</t>
        </is>
      </c>
    </row>
    <row r="6">
      <c r="A6" t="inlineStr">
        <is>
          <t>C03</t>
        </is>
      </c>
      <c r="B6" t="inlineStr">
        <is>
          <t>Amount undisclosed</t>
        </is>
      </c>
      <c r="C6" t="inlineStr">
        <is>
          <t>info</t>
        </is>
      </c>
      <c r="D6" t="inlineStr">
        <is>
          <t>R250106-blackcarrot</t>
        </is>
      </c>
      <c r="E6" t="inlineStr">
        <is>
          <t>BlackCarrot</t>
        </is>
      </c>
      <c r="F6" s="17" t="n">
        <v>45663</v>
      </c>
      <c r="G6" t="inlineStr">
        <is>
          <t>amount not disclosed by any source</t>
        </is>
      </c>
    </row>
    <row r="7">
      <c r="A7" t="inlineStr">
        <is>
          <t>C03</t>
        </is>
      </c>
      <c r="B7" t="inlineStr">
        <is>
          <t>Amount undisclosed</t>
        </is>
      </c>
      <c r="C7" t="inlineStr">
        <is>
          <t>info</t>
        </is>
      </c>
      <c r="D7" t="inlineStr">
        <is>
          <t>R250107-bodmastechnolo</t>
        </is>
      </c>
      <c r="E7" t="inlineStr">
        <is>
          <t>Bodmas Technologies</t>
        </is>
      </c>
      <c r="F7" s="17" t="n">
        <v>45664</v>
      </c>
      <c r="G7" t="inlineStr">
        <is>
          <t>amount not disclosed by any source</t>
        </is>
      </c>
    </row>
    <row r="8">
      <c r="A8" t="inlineStr">
        <is>
          <t>C03</t>
        </is>
      </c>
      <c r="B8" t="inlineStr">
        <is>
          <t>Amount undisclosed</t>
        </is>
      </c>
      <c r="C8" t="inlineStr">
        <is>
          <t>info</t>
        </is>
      </c>
      <c r="D8" t="inlineStr">
        <is>
          <t>R250109-integrishealth</t>
        </is>
      </c>
      <c r="E8" t="inlineStr">
        <is>
          <t>Integris Health</t>
        </is>
      </c>
      <c r="F8" s="17" t="n">
        <v>45666</v>
      </c>
      <c r="G8" t="inlineStr">
        <is>
          <t>amount not disclosed by any source</t>
        </is>
      </c>
    </row>
    <row r="9">
      <c r="A9" t="inlineStr">
        <is>
          <t>C03</t>
        </is>
      </c>
      <c r="B9" t="inlineStr">
        <is>
          <t>Amount undisclosed</t>
        </is>
      </c>
      <c r="C9" t="inlineStr">
        <is>
          <t>info</t>
        </is>
      </c>
      <c r="D9" t="inlineStr">
        <is>
          <t>R250109-revivo</t>
        </is>
      </c>
      <c r="E9" t="inlineStr">
        <is>
          <t>Revivo</t>
        </is>
      </c>
      <c r="F9" s="17" t="n">
        <v>45666</v>
      </c>
      <c r="G9" t="inlineStr">
        <is>
          <t>amount not disclosed by any source</t>
        </is>
      </c>
    </row>
    <row r="10">
      <c r="A10" t="inlineStr">
        <is>
          <t>C03</t>
        </is>
      </c>
      <c r="B10" t="inlineStr">
        <is>
          <t>Amount undisclosed</t>
        </is>
      </c>
      <c r="C10" t="inlineStr">
        <is>
          <t>info</t>
        </is>
      </c>
      <c r="D10" t="inlineStr">
        <is>
          <t>R250116-motorfloor</t>
        </is>
      </c>
      <c r="E10" t="inlineStr">
        <is>
          <t>Motorfloor</t>
        </is>
      </c>
      <c r="F10" s="17" t="n">
        <v>45673</v>
      </c>
      <c r="G10" t="inlineStr">
        <is>
          <t>amount not disclosed by any source</t>
        </is>
      </c>
    </row>
    <row r="11">
      <c r="A11" t="inlineStr">
        <is>
          <t>C03</t>
        </is>
      </c>
      <c r="B11" t="inlineStr">
        <is>
          <t>Amount undisclosed</t>
        </is>
      </c>
      <c r="C11" t="inlineStr">
        <is>
          <t>info</t>
        </is>
      </c>
      <c r="D11" t="inlineStr">
        <is>
          <t>R250122-spare8</t>
        </is>
      </c>
      <c r="E11" t="inlineStr">
        <is>
          <t>Spare8</t>
        </is>
      </c>
      <c r="F11" s="17" t="n">
        <v>45679</v>
      </c>
      <c r="G11" t="inlineStr">
        <is>
          <t>amount not disclosed by any source</t>
        </is>
      </c>
    </row>
    <row r="12">
      <c r="A12" t="inlineStr">
        <is>
          <t>C03</t>
        </is>
      </c>
      <c r="B12" t="inlineStr">
        <is>
          <t>Amount undisclosed</t>
        </is>
      </c>
      <c r="C12" t="inlineStr">
        <is>
          <t>info</t>
        </is>
      </c>
      <c r="D12" t="inlineStr">
        <is>
          <t>R250127-tracknow</t>
        </is>
      </c>
      <c r="E12" t="inlineStr">
        <is>
          <t>trackNOW</t>
        </is>
      </c>
      <c r="F12" s="17" t="n">
        <v>45684</v>
      </c>
      <c r="G12" t="inlineStr">
        <is>
          <t>amount not disclosed by any source</t>
        </is>
      </c>
    </row>
    <row r="13">
      <c r="A13" t="inlineStr">
        <is>
          <t>C03</t>
        </is>
      </c>
      <c r="B13" t="inlineStr">
        <is>
          <t>Amount undisclosed</t>
        </is>
      </c>
      <c r="C13" t="inlineStr">
        <is>
          <t>info</t>
        </is>
      </c>
      <c r="D13" t="inlineStr">
        <is>
          <t>R250129-manastuspace</t>
        </is>
      </c>
      <c r="E13" t="inlineStr">
        <is>
          <t>Manastu Space</t>
        </is>
      </c>
      <c r="F13" s="17" t="n">
        <v>45686</v>
      </c>
      <c r="G13" t="inlineStr">
        <is>
          <t>amount not disclosed by any source</t>
        </is>
      </c>
    </row>
    <row r="14">
      <c r="A14" t="inlineStr">
        <is>
          <t>C03</t>
        </is>
      </c>
      <c r="B14" t="inlineStr">
        <is>
          <t>Amount undisclosed</t>
        </is>
      </c>
      <c r="C14" t="inlineStr">
        <is>
          <t>info</t>
        </is>
      </c>
      <c r="D14" t="inlineStr">
        <is>
          <t>R250203-builditindia</t>
        </is>
      </c>
      <c r="E14" t="inlineStr">
        <is>
          <t>BuilditIndia</t>
        </is>
      </c>
      <c r="F14" s="17" t="n">
        <v>45691</v>
      </c>
      <c r="G14" t="inlineStr">
        <is>
          <t>amount not disclosed by any source</t>
        </is>
      </c>
    </row>
    <row r="15">
      <c r="A15" t="inlineStr">
        <is>
          <t>C03</t>
        </is>
      </c>
      <c r="B15" t="inlineStr">
        <is>
          <t>Amount undisclosed</t>
        </is>
      </c>
      <c r="C15" t="inlineStr">
        <is>
          <t>info</t>
        </is>
      </c>
      <c r="D15" t="inlineStr">
        <is>
          <t>R250203-curefoods</t>
        </is>
      </c>
      <c r="E15" t="inlineStr">
        <is>
          <t>Curefoods</t>
        </is>
      </c>
      <c r="F15" s="17" t="n">
        <v>45691</v>
      </c>
      <c r="G15" t="inlineStr">
        <is>
          <t>amount not disclosed by any source</t>
        </is>
      </c>
    </row>
    <row r="16">
      <c r="A16" t="inlineStr">
        <is>
          <t>C03</t>
        </is>
      </c>
      <c r="B16" t="inlineStr">
        <is>
          <t>Amount undisclosed</t>
        </is>
      </c>
      <c r="C16" t="inlineStr">
        <is>
          <t>info</t>
        </is>
      </c>
      <c r="D16" t="inlineStr">
        <is>
          <t>R250204-coluxe</t>
        </is>
      </c>
      <c r="E16" t="inlineStr">
        <is>
          <t>COLUXE</t>
        </is>
      </c>
      <c r="F16" s="17" t="n">
        <v>45692</v>
      </c>
      <c r="G16" t="inlineStr">
        <is>
          <t>amount not disclosed by any source</t>
        </is>
      </c>
    </row>
    <row r="17">
      <c r="A17" t="inlineStr">
        <is>
          <t>C03</t>
        </is>
      </c>
      <c r="B17" t="inlineStr">
        <is>
          <t>Amount undisclosed</t>
        </is>
      </c>
      <c r="C17" t="inlineStr">
        <is>
          <t>info</t>
        </is>
      </c>
      <c r="D17" t="inlineStr">
        <is>
          <t>R250204-supergaming</t>
        </is>
      </c>
      <c r="E17" t="inlineStr">
        <is>
          <t>Super Gaming</t>
        </is>
      </c>
      <c r="F17" s="17" t="n">
        <v>45692</v>
      </c>
      <c r="G17" t="inlineStr">
        <is>
          <t>amount not disclosed by any source</t>
        </is>
      </c>
    </row>
    <row r="18">
      <c r="A18" t="inlineStr">
        <is>
          <t>C03</t>
        </is>
      </c>
      <c r="B18" t="inlineStr">
        <is>
          <t>Amount undisclosed</t>
        </is>
      </c>
      <c r="C18" t="inlineStr">
        <is>
          <t>info</t>
        </is>
      </c>
      <c r="D18" t="inlineStr">
        <is>
          <t>R250206-basilalliance</t>
        </is>
      </c>
      <c r="E18" t="inlineStr">
        <is>
          <t>Basil Alliance</t>
        </is>
      </c>
      <c r="F18" s="17" t="n">
        <v>45694</v>
      </c>
      <c r="G18" t="inlineStr">
        <is>
          <t>amount not disclosed by any source</t>
        </is>
      </c>
    </row>
    <row r="19">
      <c r="A19" t="inlineStr">
        <is>
          <t>C03</t>
        </is>
      </c>
      <c r="B19" t="inlineStr">
        <is>
          <t>Amount undisclosed</t>
        </is>
      </c>
      <c r="C19" t="inlineStr">
        <is>
          <t>info</t>
        </is>
      </c>
      <c r="D19" t="inlineStr">
        <is>
          <t>R250207-vahanai</t>
        </is>
      </c>
      <c r="E19" t="inlineStr">
        <is>
          <t>Vahan.ai</t>
        </is>
      </c>
      <c r="F19" s="17" t="n">
        <v>45695</v>
      </c>
      <c r="G19" t="inlineStr">
        <is>
          <t>amount not disclosed by any source</t>
        </is>
      </c>
    </row>
    <row r="20">
      <c r="A20" t="inlineStr">
        <is>
          <t>C03</t>
        </is>
      </c>
      <c r="B20" t="inlineStr">
        <is>
          <t>Amount undisclosed</t>
        </is>
      </c>
      <c r="C20" t="inlineStr">
        <is>
          <t>info</t>
        </is>
      </c>
      <c r="D20" t="inlineStr">
        <is>
          <t>R250210-rubyworks</t>
        </is>
      </c>
      <c r="E20" t="inlineStr">
        <is>
          <t>Rubyworks</t>
        </is>
      </c>
      <c r="F20" s="17" t="n">
        <v>45698</v>
      </c>
      <c r="G20" t="inlineStr">
        <is>
          <t>amount not disclosed by any source</t>
        </is>
      </c>
    </row>
    <row r="21">
      <c r="A21" t="inlineStr">
        <is>
          <t>C03</t>
        </is>
      </c>
      <c r="B21" t="inlineStr">
        <is>
          <t>Amount undisclosed</t>
        </is>
      </c>
      <c r="C21" t="inlineStr">
        <is>
          <t>info</t>
        </is>
      </c>
      <c r="D21" t="inlineStr">
        <is>
          <t>R250215-ridev</t>
        </is>
      </c>
      <c r="E21" t="inlineStr">
        <is>
          <t>RIDEV</t>
        </is>
      </c>
      <c r="F21" s="17" t="n">
        <v>45703</v>
      </c>
      <c r="G21" t="inlineStr">
        <is>
          <t>amount not disclosed by any source</t>
        </is>
      </c>
    </row>
    <row r="22">
      <c r="A22" t="inlineStr">
        <is>
          <t>C03</t>
        </is>
      </c>
      <c r="B22" t="inlineStr">
        <is>
          <t>Amount undisclosed</t>
        </is>
      </c>
      <c r="C22" t="inlineStr">
        <is>
          <t>info</t>
        </is>
      </c>
      <c r="D22" t="inlineStr">
        <is>
          <t>R250217-lurny</t>
        </is>
      </c>
      <c r="E22" t="inlineStr">
        <is>
          <t>Lurny</t>
        </is>
      </c>
      <c r="F22" s="17" t="n">
        <v>45705</v>
      </c>
      <c r="G22" t="inlineStr">
        <is>
          <t>amount not disclosed by any source</t>
        </is>
      </c>
    </row>
    <row r="23">
      <c r="A23" t="inlineStr">
        <is>
          <t>C03</t>
        </is>
      </c>
      <c r="B23" t="inlineStr">
        <is>
          <t>Amount undisclosed</t>
        </is>
      </c>
      <c r="C23" t="inlineStr">
        <is>
          <t>info</t>
        </is>
      </c>
      <c r="D23" t="inlineStr">
        <is>
          <t>R250224-kiranapro</t>
        </is>
      </c>
      <c r="E23" t="inlineStr">
        <is>
          <t>KiranaPro</t>
        </is>
      </c>
      <c r="F23" s="17" t="n">
        <v>45712</v>
      </c>
      <c r="G23" t="inlineStr">
        <is>
          <t>amount not disclosed by any source</t>
        </is>
      </c>
    </row>
    <row r="24">
      <c r="A24" t="inlineStr">
        <is>
          <t>C03</t>
        </is>
      </c>
      <c r="B24" t="inlineStr">
        <is>
          <t>Amount undisclosed</t>
        </is>
      </c>
      <c r="C24" t="inlineStr">
        <is>
          <t>info</t>
        </is>
      </c>
      <c r="D24" t="inlineStr">
        <is>
          <t>R250228-leadinvest</t>
        </is>
      </c>
      <c r="E24" t="inlineStr">
        <is>
          <t>Lead Invest</t>
        </is>
      </c>
      <c r="F24" s="17" t="n">
        <v>45716</v>
      </c>
      <c r="G24" t="inlineStr">
        <is>
          <t>amount not disclosed by any source</t>
        </is>
      </c>
    </row>
    <row r="25">
      <c r="A25" t="inlineStr">
        <is>
          <t>C03</t>
        </is>
      </c>
      <c r="B25" t="inlineStr">
        <is>
          <t>Amount undisclosed</t>
        </is>
      </c>
      <c r="C25" t="inlineStr">
        <is>
          <t>info</t>
        </is>
      </c>
      <c r="D25" t="inlineStr">
        <is>
          <t>R250304-bullagritech</t>
        </is>
      </c>
      <c r="E25" t="inlineStr">
        <is>
          <t>Bull Agritech</t>
        </is>
      </c>
      <c r="F25" s="17" t="n">
        <v>45720</v>
      </c>
      <c r="G25" t="inlineStr">
        <is>
          <t>amount not disclosed by any source</t>
        </is>
      </c>
    </row>
    <row r="26">
      <c r="A26" t="inlineStr">
        <is>
          <t>C03</t>
        </is>
      </c>
      <c r="B26" t="inlineStr">
        <is>
          <t>Amount undisclosed</t>
        </is>
      </c>
      <c r="C26" t="inlineStr">
        <is>
          <t>info</t>
        </is>
      </c>
      <c r="D26" t="inlineStr">
        <is>
          <t>R250304-sila</t>
        </is>
      </c>
      <c r="E26" t="inlineStr">
        <is>
          <t>SILA</t>
        </is>
      </c>
      <c r="F26" s="17" t="n">
        <v>45720</v>
      </c>
      <c r="G26" t="inlineStr">
        <is>
          <t>amount not disclosed by any source</t>
        </is>
      </c>
    </row>
    <row r="27">
      <c r="A27" t="inlineStr">
        <is>
          <t>C03</t>
        </is>
      </c>
      <c r="B27" t="inlineStr">
        <is>
          <t>Amount undisclosed</t>
        </is>
      </c>
      <c r="C27" t="inlineStr">
        <is>
          <t>info</t>
        </is>
      </c>
      <c r="D27" t="inlineStr">
        <is>
          <t>R250304-uptimeai</t>
        </is>
      </c>
      <c r="E27" t="inlineStr">
        <is>
          <t>UptimeAI</t>
        </is>
      </c>
      <c r="F27" s="17" t="n">
        <v>45720</v>
      </c>
      <c r="G27" t="inlineStr">
        <is>
          <t>amount not disclosed by any source</t>
        </is>
      </c>
    </row>
    <row r="28">
      <c r="A28" t="inlineStr">
        <is>
          <t>C03</t>
        </is>
      </c>
      <c r="B28" t="inlineStr">
        <is>
          <t>Amount undisclosed</t>
        </is>
      </c>
      <c r="C28" t="inlineStr">
        <is>
          <t>info</t>
        </is>
      </c>
      <c r="D28" t="inlineStr">
        <is>
          <t>R250305-naarica</t>
        </is>
      </c>
      <c r="E28" t="inlineStr">
        <is>
          <t>Naarica</t>
        </is>
      </c>
      <c r="F28" s="17" t="n">
        <v>45721</v>
      </c>
      <c r="G28" t="inlineStr">
        <is>
          <t>amount not disclosed by any source</t>
        </is>
      </c>
    </row>
    <row r="29">
      <c r="A29" t="inlineStr">
        <is>
          <t>C03</t>
        </is>
      </c>
      <c r="B29" t="inlineStr">
        <is>
          <t>Amount undisclosed</t>
        </is>
      </c>
      <c r="C29" t="inlineStr">
        <is>
          <t>info</t>
        </is>
      </c>
      <c r="D29" t="inlineStr">
        <is>
          <t>R250306-rajeevmisrason</t>
        </is>
      </c>
      <c r="E29" t="inlineStr">
        <is>
          <t>Rajeev Misra's son</t>
        </is>
      </c>
      <c r="F29" s="17" t="n">
        <v>45722</v>
      </c>
      <c r="G29" t="inlineStr">
        <is>
          <t>amount not disclosed by any source</t>
        </is>
      </c>
    </row>
    <row r="30">
      <c r="A30" t="inlineStr">
        <is>
          <t>C03</t>
        </is>
      </c>
      <c r="B30" t="inlineStr">
        <is>
          <t>Amount undisclosed</t>
        </is>
      </c>
      <c r="C30" t="inlineStr">
        <is>
          <t>info</t>
        </is>
      </c>
      <c r="D30" t="inlineStr">
        <is>
          <t>R250310-voltmoney</t>
        </is>
      </c>
      <c r="E30" t="inlineStr">
        <is>
          <t>Volt Money</t>
        </is>
      </c>
      <c r="F30" s="17" t="n">
        <v>45726</v>
      </c>
      <c r="G30" t="inlineStr">
        <is>
          <t>amount not disclosed by any source</t>
        </is>
      </c>
    </row>
    <row r="31">
      <c r="A31" t="inlineStr">
        <is>
          <t>C03</t>
        </is>
      </c>
      <c r="B31" t="inlineStr">
        <is>
          <t>Amount undisclosed</t>
        </is>
      </c>
      <c r="C31" t="inlineStr">
        <is>
          <t>info</t>
        </is>
      </c>
      <c r="D31" t="inlineStr">
        <is>
          <t>R250311-dreamtimelearn</t>
        </is>
      </c>
      <c r="E31" t="inlineStr">
        <is>
          <t>Dreamtime Learning</t>
        </is>
      </c>
      <c r="F31" s="17" t="n">
        <v>45727</v>
      </c>
      <c r="G31" t="inlineStr">
        <is>
          <t>amount not disclosed by any source</t>
        </is>
      </c>
    </row>
    <row r="32">
      <c r="A32" t="inlineStr">
        <is>
          <t>C03</t>
        </is>
      </c>
      <c r="B32" t="inlineStr">
        <is>
          <t>Amount undisclosed</t>
        </is>
      </c>
      <c r="C32" t="inlineStr">
        <is>
          <t>info</t>
        </is>
      </c>
      <c r="D32" t="inlineStr">
        <is>
          <t>R250318-broadway</t>
        </is>
      </c>
      <c r="E32" t="inlineStr">
        <is>
          <t>Broadway</t>
        </is>
      </c>
      <c r="F32" s="17" t="n">
        <v>45734</v>
      </c>
      <c r="G32" t="inlineStr">
        <is>
          <t>amount not disclosed by any source</t>
        </is>
      </c>
    </row>
    <row r="33">
      <c r="A33" t="inlineStr">
        <is>
          <t>C03</t>
        </is>
      </c>
      <c r="B33" t="inlineStr">
        <is>
          <t>Amount undisclosed</t>
        </is>
      </c>
      <c r="C33" t="inlineStr">
        <is>
          <t>info</t>
        </is>
      </c>
      <c r="D33" t="inlineStr">
        <is>
          <t>R250318-gooat</t>
        </is>
      </c>
      <c r="E33" t="inlineStr">
        <is>
          <t>GoOAT</t>
        </is>
      </c>
      <c r="F33" s="17" t="n">
        <v>45734</v>
      </c>
      <c r="G33" t="inlineStr">
        <is>
          <t>amount not disclosed by any source</t>
        </is>
      </c>
    </row>
    <row r="34">
      <c r="A34" t="inlineStr">
        <is>
          <t>C03</t>
        </is>
      </c>
      <c r="B34" t="inlineStr">
        <is>
          <t>Amount undisclosed</t>
        </is>
      </c>
      <c r="C34" t="inlineStr">
        <is>
          <t>info</t>
        </is>
      </c>
      <c r="D34" t="inlineStr">
        <is>
          <t>R250320-kraftshala</t>
        </is>
      </c>
      <c r="E34" t="inlineStr">
        <is>
          <t>Kraftshala</t>
        </is>
      </c>
      <c r="F34" s="17" t="n">
        <v>45736</v>
      </c>
      <c r="G34" t="inlineStr">
        <is>
          <t>amount not disclosed by any source</t>
        </is>
      </c>
    </row>
    <row r="35">
      <c r="A35" t="inlineStr">
        <is>
          <t>C03</t>
        </is>
      </c>
      <c r="B35" t="inlineStr">
        <is>
          <t>Amount undisclosed</t>
        </is>
      </c>
      <c r="C35" t="inlineStr">
        <is>
          <t>info</t>
        </is>
      </c>
      <c r="D35" t="inlineStr">
        <is>
          <t>R250320-mypahadidukan</t>
        </is>
      </c>
      <c r="E35" t="inlineStr">
        <is>
          <t>My Pahadi Dukan</t>
        </is>
      </c>
      <c r="F35" s="17" t="n">
        <v>45736</v>
      </c>
      <c r="G35" t="inlineStr">
        <is>
          <t>amount not disclosed by any source</t>
        </is>
      </c>
    </row>
    <row r="36">
      <c r="A36" t="inlineStr">
        <is>
          <t>C03</t>
        </is>
      </c>
      <c r="B36" t="inlineStr">
        <is>
          <t>Amount undisclosed</t>
        </is>
      </c>
      <c r="C36" t="inlineStr">
        <is>
          <t>info</t>
        </is>
      </c>
      <c r="D36" t="inlineStr">
        <is>
          <t>R250326-zealopiatechno</t>
        </is>
      </c>
      <c r="E36" t="inlineStr">
        <is>
          <t>Zealopia Technologies</t>
        </is>
      </c>
      <c r="F36" s="17" t="n">
        <v>45742</v>
      </c>
      <c r="G36" t="inlineStr">
        <is>
          <t>amount not disclosed by any source</t>
        </is>
      </c>
    </row>
    <row r="37">
      <c r="A37" t="inlineStr">
        <is>
          <t>C03</t>
        </is>
      </c>
      <c r="B37" t="inlineStr">
        <is>
          <t>Amount undisclosed</t>
        </is>
      </c>
      <c r="C37" t="inlineStr">
        <is>
          <t>info</t>
        </is>
      </c>
      <c r="D37" t="inlineStr">
        <is>
          <t>R250327-konectu</t>
        </is>
      </c>
      <c r="E37" t="inlineStr">
        <is>
          <t>Konect U</t>
        </is>
      </c>
      <c r="F37" s="17" t="n">
        <v>45743</v>
      </c>
      <c r="G37" t="inlineStr">
        <is>
          <t>amount not disclosed by any source</t>
        </is>
      </c>
    </row>
    <row r="38">
      <c r="A38" t="inlineStr">
        <is>
          <t>C03</t>
        </is>
      </c>
      <c r="B38" t="inlineStr">
        <is>
          <t>Amount undisclosed</t>
        </is>
      </c>
      <c r="C38" t="inlineStr">
        <is>
          <t>info</t>
        </is>
      </c>
      <c r="D38" t="inlineStr">
        <is>
          <t>R250402-yatrikart</t>
        </is>
      </c>
      <c r="E38" t="inlineStr">
        <is>
          <t>Yatrikart</t>
        </is>
      </c>
      <c r="F38" s="17" t="n">
        <v>45749</v>
      </c>
      <c r="G38" t="inlineStr">
        <is>
          <t>amount not disclosed by any source</t>
        </is>
      </c>
    </row>
    <row r="39">
      <c r="A39" t="inlineStr">
        <is>
          <t>C03</t>
        </is>
      </c>
      <c r="B39" t="inlineStr">
        <is>
          <t>Amount undisclosed</t>
        </is>
      </c>
      <c r="C39" t="inlineStr">
        <is>
          <t>info</t>
        </is>
      </c>
      <c r="D39" t="inlineStr">
        <is>
          <t>R250410-drivefitt</t>
        </is>
      </c>
      <c r="E39" t="inlineStr">
        <is>
          <t>DRIVE FITT</t>
        </is>
      </c>
      <c r="F39" s="17" t="n">
        <v>45757</v>
      </c>
      <c r="G39" t="inlineStr">
        <is>
          <t>amount not disclosed by any source</t>
        </is>
      </c>
    </row>
    <row r="40">
      <c r="A40" t="inlineStr">
        <is>
          <t>C03</t>
        </is>
      </c>
      <c r="B40" t="inlineStr">
        <is>
          <t>Amount undisclosed</t>
        </is>
      </c>
      <c r="C40" t="inlineStr">
        <is>
          <t>info</t>
        </is>
      </c>
      <c r="D40" t="inlineStr">
        <is>
          <t>R250414-sportsskill</t>
        </is>
      </c>
      <c r="E40" t="inlineStr">
        <is>
          <t>SportsSkill</t>
        </is>
      </c>
      <c r="F40" s="17" t="n">
        <v>45761</v>
      </c>
      <c r="G40" t="inlineStr">
        <is>
          <t>amount not disclosed by any source</t>
        </is>
      </c>
    </row>
    <row r="41">
      <c r="A41" t="inlineStr">
        <is>
          <t>C03</t>
        </is>
      </c>
      <c r="B41" t="inlineStr">
        <is>
          <t>Amount undisclosed</t>
        </is>
      </c>
      <c r="C41" t="inlineStr">
        <is>
          <t>info</t>
        </is>
      </c>
      <c r="D41" t="inlineStr">
        <is>
          <t>R250414-uppercase</t>
        </is>
      </c>
      <c r="E41" t="inlineStr">
        <is>
          <t>uppercase</t>
        </is>
      </c>
      <c r="F41" s="17" t="n">
        <v>45761</v>
      </c>
      <c r="G41" t="inlineStr">
        <is>
          <t>amount not disclosed by any source</t>
        </is>
      </c>
    </row>
    <row r="42">
      <c r="A42" t="inlineStr">
        <is>
          <t>C03</t>
        </is>
      </c>
      <c r="B42" t="inlineStr">
        <is>
          <t>Amount undisclosed</t>
        </is>
      </c>
      <c r="C42" t="inlineStr">
        <is>
          <t>info</t>
        </is>
      </c>
      <c r="D42" t="inlineStr">
        <is>
          <t>R250415-ochrespirits</t>
        </is>
      </c>
      <c r="E42" t="inlineStr">
        <is>
          <t>Ochre Spirits</t>
        </is>
      </c>
      <c r="F42" s="17" t="n">
        <v>45762</v>
      </c>
      <c r="G42" t="inlineStr">
        <is>
          <t>amount not disclosed by any source</t>
        </is>
      </c>
    </row>
    <row r="43">
      <c r="A43" t="inlineStr">
        <is>
          <t>C03</t>
        </is>
      </c>
      <c r="B43" t="inlineStr">
        <is>
          <t>Amount undisclosed</t>
        </is>
      </c>
      <c r="C43" t="inlineStr">
        <is>
          <t>info</t>
        </is>
      </c>
      <c r="D43" t="inlineStr">
        <is>
          <t>R250417-jetsynthesys</t>
        </is>
      </c>
      <c r="E43" t="inlineStr">
        <is>
          <t>JetSynthesys</t>
        </is>
      </c>
      <c r="F43" s="17" t="n">
        <v>45764</v>
      </c>
      <c r="G43" t="inlineStr">
        <is>
          <t>amount not disclosed by any source</t>
        </is>
      </c>
    </row>
    <row r="44">
      <c r="A44" t="inlineStr">
        <is>
          <t>C03</t>
        </is>
      </c>
      <c r="B44" t="inlineStr">
        <is>
          <t>Amount undisclosed</t>
        </is>
      </c>
      <c r="C44" t="inlineStr">
        <is>
          <t>info</t>
        </is>
      </c>
      <c r="D44" t="inlineStr">
        <is>
          <t>R250422-catalogus</t>
        </is>
      </c>
      <c r="E44" t="inlineStr">
        <is>
          <t>Catalogus</t>
        </is>
      </c>
      <c r="F44" s="17" t="n">
        <v>45769</v>
      </c>
      <c r="G44" t="inlineStr">
        <is>
          <t>amount not disclosed by any source</t>
        </is>
      </c>
    </row>
    <row r="45">
      <c r="A45" t="inlineStr">
        <is>
          <t>C03</t>
        </is>
      </c>
      <c r="B45" t="inlineStr">
        <is>
          <t>Amount undisclosed</t>
        </is>
      </c>
      <c r="C45" t="inlineStr">
        <is>
          <t>info</t>
        </is>
      </c>
      <c r="D45" t="inlineStr">
        <is>
          <t>R250422-devassure</t>
        </is>
      </c>
      <c r="E45" t="inlineStr">
        <is>
          <t>DevAssure</t>
        </is>
      </c>
      <c r="F45" s="17" t="n">
        <v>45769</v>
      </c>
      <c r="G45" t="inlineStr">
        <is>
          <t>amount not disclosed by any source</t>
        </is>
      </c>
    </row>
    <row r="46">
      <c r="A46" t="inlineStr">
        <is>
          <t>C03</t>
        </is>
      </c>
      <c r="B46" t="inlineStr">
        <is>
          <t>Amount undisclosed</t>
        </is>
      </c>
      <c r="C46" t="inlineStr">
        <is>
          <t>info</t>
        </is>
      </c>
      <c r="D46" t="inlineStr">
        <is>
          <t>R250422-kiranapro</t>
        </is>
      </c>
      <c r="E46" t="inlineStr">
        <is>
          <t>KiranaPro</t>
        </is>
      </c>
      <c r="F46" s="17" t="n">
        <v>45769</v>
      </c>
      <c r="G46" t="inlineStr">
        <is>
          <t>amount not disclosed by any source</t>
        </is>
      </c>
    </row>
    <row r="47">
      <c r="A47" t="inlineStr">
        <is>
          <t>C03</t>
        </is>
      </c>
      <c r="B47" t="inlineStr">
        <is>
          <t>Amount undisclosed</t>
        </is>
      </c>
      <c r="C47" t="inlineStr">
        <is>
          <t>info</t>
        </is>
      </c>
      <c r="D47" t="inlineStr">
        <is>
          <t>R250429-beat22</t>
        </is>
      </c>
      <c r="E47" t="inlineStr">
        <is>
          <t>Beat22</t>
        </is>
      </c>
      <c r="F47" s="17" t="n">
        <v>45776</v>
      </c>
      <c r="G47" t="inlineStr">
        <is>
          <t>amount not disclosed by any source</t>
        </is>
      </c>
    </row>
    <row r="48">
      <c r="A48" t="inlineStr">
        <is>
          <t>C03</t>
        </is>
      </c>
      <c r="B48" t="inlineStr">
        <is>
          <t>Amount undisclosed</t>
        </is>
      </c>
      <c r="C48" t="inlineStr">
        <is>
          <t>info</t>
        </is>
      </c>
      <c r="D48" t="inlineStr">
        <is>
          <t>R250516-airbotsaerospa</t>
        </is>
      </c>
      <c r="E48" t="inlineStr">
        <is>
          <t>Airbots Aerospace</t>
        </is>
      </c>
      <c r="F48" s="17" t="n">
        <v>45793</v>
      </c>
      <c r="G48" t="inlineStr">
        <is>
          <t>amount not disclosed by any source</t>
        </is>
      </c>
    </row>
    <row r="49">
      <c r="A49" t="inlineStr">
        <is>
          <t>C03</t>
        </is>
      </c>
      <c r="B49" t="inlineStr">
        <is>
          <t>Amount undisclosed</t>
        </is>
      </c>
      <c r="C49" t="inlineStr">
        <is>
          <t>info</t>
        </is>
      </c>
      <c r="D49" t="inlineStr">
        <is>
          <t>R250521-thesockstreet</t>
        </is>
      </c>
      <c r="E49" t="inlineStr">
        <is>
          <t>The Sock Street</t>
        </is>
      </c>
      <c r="F49" s="17" t="n">
        <v>45798</v>
      </c>
      <c r="G49" t="inlineStr">
        <is>
          <t>amount not disclosed by any source</t>
        </is>
      </c>
    </row>
    <row r="50">
      <c r="A50" t="inlineStr">
        <is>
          <t>C03</t>
        </is>
      </c>
      <c r="B50" t="inlineStr">
        <is>
          <t>Amount undisclosed</t>
        </is>
      </c>
      <c r="C50" t="inlineStr">
        <is>
          <t>info</t>
        </is>
      </c>
      <c r="D50" t="inlineStr">
        <is>
          <t>R250522-blackcarrot</t>
        </is>
      </c>
      <c r="E50" t="inlineStr">
        <is>
          <t>BlackCarrot</t>
        </is>
      </c>
      <c r="F50" s="17" t="n">
        <v>45799</v>
      </c>
      <c r="G50" t="inlineStr">
        <is>
          <t>amount not disclosed by any source</t>
        </is>
      </c>
    </row>
    <row r="51">
      <c r="A51" t="inlineStr">
        <is>
          <t>C03</t>
        </is>
      </c>
      <c r="B51" t="inlineStr">
        <is>
          <t>Amount undisclosed</t>
        </is>
      </c>
      <c r="C51" t="inlineStr">
        <is>
          <t>info</t>
        </is>
      </c>
      <c r="D51" t="inlineStr">
        <is>
          <t>R250527-tova</t>
        </is>
      </c>
      <c r="E51" t="inlineStr">
        <is>
          <t>TOVA</t>
        </is>
      </c>
      <c r="F51" s="17" t="n">
        <v>45804</v>
      </c>
      <c r="G51" t="inlineStr">
        <is>
          <t>amount not disclosed by any source</t>
        </is>
      </c>
    </row>
    <row r="52">
      <c r="A52" t="inlineStr">
        <is>
          <t>C03</t>
        </is>
      </c>
      <c r="B52" t="inlineStr">
        <is>
          <t>Amount undisclosed</t>
        </is>
      </c>
      <c r="C52" t="inlineStr">
        <is>
          <t>info</t>
        </is>
      </c>
      <c r="D52" t="inlineStr">
        <is>
          <t>R250529-gydexp</t>
        </is>
      </c>
      <c r="E52" t="inlineStr">
        <is>
          <t>GydeXP</t>
        </is>
      </c>
      <c r="F52" s="17" t="n">
        <v>45806</v>
      </c>
      <c r="G52" t="inlineStr">
        <is>
          <t>amount not disclosed by any source</t>
        </is>
      </c>
    </row>
    <row r="53">
      <c r="A53" t="inlineStr">
        <is>
          <t>C03</t>
        </is>
      </c>
      <c r="B53" t="inlineStr">
        <is>
          <t>Amount undisclosed</t>
        </is>
      </c>
      <c r="C53" t="inlineStr">
        <is>
          <t>info</t>
        </is>
      </c>
      <c r="D53" t="inlineStr">
        <is>
          <t>R250529-ziniosa</t>
        </is>
      </c>
      <c r="E53" t="inlineStr">
        <is>
          <t>Ziniosa</t>
        </is>
      </c>
      <c r="F53" s="17" t="n">
        <v>45806</v>
      </c>
      <c r="G53" t="inlineStr">
        <is>
          <t>amount not disclosed by any source</t>
        </is>
      </c>
    </row>
    <row r="54">
      <c r="A54" t="inlineStr">
        <is>
          <t>C03</t>
        </is>
      </c>
      <c r="B54" t="inlineStr">
        <is>
          <t>Amount undisclosed</t>
        </is>
      </c>
      <c r="C54" t="inlineStr">
        <is>
          <t>info</t>
        </is>
      </c>
      <c r="D54" t="inlineStr">
        <is>
          <t>R250603-serveclub</t>
        </is>
      </c>
      <c r="E54" t="inlineStr">
        <is>
          <t>ServeClub</t>
        </is>
      </c>
      <c r="F54" s="17" t="n">
        <v>45811</v>
      </c>
      <c r="G54" t="inlineStr">
        <is>
          <t>amount not disclosed by any source</t>
        </is>
      </c>
    </row>
    <row r="55">
      <c r="A55" t="inlineStr">
        <is>
          <t>C03</t>
        </is>
      </c>
      <c r="B55" t="inlineStr">
        <is>
          <t>Amount undisclosed</t>
        </is>
      </c>
      <c r="C55" t="inlineStr">
        <is>
          <t>info</t>
        </is>
      </c>
      <c r="D55" t="inlineStr">
        <is>
          <t>R250611-zolo</t>
        </is>
      </c>
      <c r="E55" t="inlineStr">
        <is>
          <t>Zolo</t>
        </is>
      </c>
      <c r="F55" s="17" t="n">
        <v>45819</v>
      </c>
      <c r="G55" t="inlineStr">
        <is>
          <t>amount not disclosed by any source</t>
        </is>
      </c>
    </row>
    <row r="56">
      <c r="A56" t="inlineStr">
        <is>
          <t>C03</t>
        </is>
      </c>
      <c r="B56" t="inlineStr">
        <is>
          <t>Amount undisclosed</t>
        </is>
      </c>
      <c r="C56" t="inlineStr">
        <is>
          <t>info</t>
        </is>
      </c>
      <c r="D56" t="inlineStr">
        <is>
          <t>R250617-xportel</t>
        </is>
      </c>
      <c r="E56" t="inlineStr">
        <is>
          <t>Xportel</t>
        </is>
      </c>
      <c r="F56" s="17" t="n">
        <v>45825</v>
      </c>
      <c r="G56" t="inlineStr">
        <is>
          <t>amount not disclosed by any source</t>
        </is>
      </c>
    </row>
    <row r="57">
      <c r="A57" t="inlineStr">
        <is>
          <t>C03</t>
        </is>
      </c>
      <c r="B57" t="inlineStr">
        <is>
          <t>Amount undisclosed</t>
        </is>
      </c>
      <c r="C57" t="inlineStr">
        <is>
          <t>info</t>
        </is>
      </c>
      <c r="D57" t="inlineStr">
        <is>
          <t>R250619-onehandclapmed</t>
        </is>
      </c>
      <c r="E57" t="inlineStr">
        <is>
          <t>One Hand Clap Media</t>
        </is>
      </c>
      <c r="F57" s="17" t="n">
        <v>45827</v>
      </c>
      <c r="G57" t="inlineStr">
        <is>
          <t>amount not disclosed by any source</t>
        </is>
      </c>
    </row>
    <row r="58">
      <c r="A58" t="inlineStr">
        <is>
          <t>C03</t>
        </is>
      </c>
      <c r="B58" t="inlineStr">
        <is>
          <t>Amount undisclosed</t>
        </is>
      </c>
      <c r="C58" t="inlineStr">
        <is>
          <t>info</t>
        </is>
      </c>
      <c r="D58" t="inlineStr">
        <is>
          <t>R250623-truliv</t>
        </is>
      </c>
      <c r="E58" t="inlineStr">
        <is>
          <t>Truliv</t>
        </is>
      </c>
      <c r="F58" s="17" t="n">
        <v>45831</v>
      </c>
      <c r="G58" t="inlineStr">
        <is>
          <t>amount not disclosed by any source</t>
        </is>
      </c>
    </row>
    <row r="59">
      <c r="A59" t="inlineStr">
        <is>
          <t>C03</t>
        </is>
      </c>
      <c r="B59" t="inlineStr">
        <is>
          <t>Amount undisclosed</t>
        </is>
      </c>
      <c r="C59" t="inlineStr">
        <is>
          <t>info</t>
        </is>
      </c>
      <c r="D59" t="inlineStr">
        <is>
          <t>R250704-ajnalens</t>
        </is>
      </c>
      <c r="E59" t="inlineStr">
        <is>
          <t>AjnaLens</t>
        </is>
      </c>
      <c r="F59" s="17" t="n">
        <v>45842</v>
      </c>
      <c r="G59" t="inlineStr">
        <is>
          <t>amount not disclosed by any source</t>
        </is>
      </c>
    </row>
    <row r="60">
      <c r="A60" t="inlineStr">
        <is>
          <t>C03</t>
        </is>
      </c>
      <c r="B60" t="inlineStr">
        <is>
          <t>Amount undisclosed</t>
        </is>
      </c>
      <c r="C60" t="inlineStr">
        <is>
          <t>info</t>
        </is>
      </c>
      <c r="D60" t="inlineStr">
        <is>
          <t>R250709-jehaerospace</t>
        </is>
      </c>
      <c r="E60" t="inlineStr">
        <is>
          <t>Jeh Aerospace</t>
        </is>
      </c>
      <c r="F60" s="17" t="n">
        <v>45847</v>
      </c>
      <c r="G60" t="inlineStr">
        <is>
          <t>amount not disclosed by any source</t>
        </is>
      </c>
    </row>
    <row r="61">
      <c r="A61" t="inlineStr">
        <is>
          <t>C03</t>
        </is>
      </c>
      <c r="B61" t="inlineStr">
        <is>
          <t>Amount undisclosed</t>
        </is>
      </c>
      <c r="C61" t="inlineStr">
        <is>
          <t>info</t>
        </is>
      </c>
      <c r="D61" t="inlineStr">
        <is>
          <t>R250709-ldotr</t>
        </is>
      </c>
      <c r="E61" t="inlineStr">
        <is>
          <t>LdotR</t>
        </is>
      </c>
      <c r="F61" s="17" t="n">
        <v>45847</v>
      </c>
      <c r="G61" t="inlineStr">
        <is>
          <t>amount not disclosed by any source</t>
        </is>
      </c>
    </row>
    <row r="62">
      <c r="A62" t="inlineStr">
        <is>
          <t>C03</t>
        </is>
      </c>
      <c r="B62" t="inlineStr">
        <is>
          <t>Amount undisclosed</t>
        </is>
      </c>
      <c r="C62" t="inlineStr">
        <is>
          <t>info</t>
        </is>
      </c>
      <c r="D62" t="inlineStr">
        <is>
          <t>R250715-cosmoss</t>
        </is>
      </c>
      <c r="E62" t="inlineStr">
        <is>
          <t>CosMoss</t>
        </is>
      </c>
      <c r="F62" s="17" t="n">
        <v>45853</v>
      </c>
      <c r="G62" t="inlineStr">
        <is>
          <t>amount not disclosed by any source</t>
        </is>
      </c>
    </row>
    <row r="63">
      <c r="A63" t="inlineStr">
        <is>
          <t>C03</t>
        </is>
      </c>
      <c r="B63" t="inlineStr">
        <is>
          <t>Amount undisclosed</t>
        </is>
      </c>
      <c r="C63" t="inlineStr">
        <is>
          <t>info</t>
        </is>
      </c>
      <c r="D63" t="inlineStr">
        <is>
          <t>R250716-fireai</t>
        </is>
      </c>
      <c r="E63" t="inlineStr">
        <is>
          <t>Fire AI</t>
        </is>
      </c>
      <c r="F63" s="17" t="n">
        <v>45854</v>
      </c>
      <c r="G63" t="inlineStr">
        <is>
          <t>amount not disclosed by any source</t>
        </is>
      </c>
    </row>
    <row r="64">
      <c r="A64" t="inlineStr">
        <is>
          <t>C03</t>
        </is>
      </c>
      <c r="B64" t="inlineStr">
        <is>
          <t>Amount undisclosed</t>
        </is>
      </c>
      <c r="C64" t="inlineStr">
        <is>
          <t>info</t>
        </is>
      </c>
      <c r="D64" t="inlineStr">
        <is>
          <t>R250717-onetabai</t>
        </is>
      </c>
      <c r="E64" t="inlineStr">
        <is>
          <t>Onetab.ai</t>
        </is>
      </c>
      <c r="F64" s="17" t="n">
        <v>45855</v>
      </c>
      <c r="G64" t="inlineStr">
        <is>
          <t>amount not disclosed by any source</t>
        </is>
      </c>
    </row>
    <row r="65">
      <c r="A65" t="inlineStr">
        <is>
          <t>C03</t>
        </is>
      </c>
      <c r="B65" t="inlineStr">
        <is>
          <t>Amount undisclosed</t>
        </is>
      </c>
      <c r="C65" t="inlineStr">
        <is>
          <t>info</t>
        </is>
      </c>
      <c r="D65" t="inlineStr">
        <is>
          <t>R250722-klugklug</t>
        </is>
      </c>
      <c r="E65" t="inlineStr">
        <is>
          <t>KlugKlug</t>
        </is>
      </c>
      <c r="F65" s="17" t="n">
        <v>45860</v>
      </c>
      <c r="G65" t="inlineStr">
        <is>
          <t>amount not disclosed by any source</t>
        </is>
      </c>
    </row>
    <row r="66">
      <c r="A66" t="inlineStr">
        <is>
          <t>C03</t>
        </is>
      </c>
      <c r="B66" t="inlineStr">
        <is>
          <t>Amount undisclosed</t>
        </is>
      </c>
      <c r="C66" t="inlineStr">
        <is>
          <t>info</t>
        </is>
      </c>
      <c r="D66" t="inlineStr">
        <is>
          <t>R250722-magma</t>
        </is>
      </c>
      <c r="E66" t="inlineStr">
        <is>
          <t>Magma</t>
        </is>
      </c>
      <c r="F66" s="17" t="n">
        <v>45860</v>
      </c>
      <c r="G66" t="inlineStr">
        <is>
          <t>amount not disclosed by any source</t>
        </is>
      </c>
    </row>
    <row r="67">
      <c r="A67" t="inlineStr">
        <is>
          <t>C03</t>
        </is>
      </c>
      <c r="B67" t="inlineStr">
        <is>
          <t>Amount undisclosed</t>
        </is>
      </c>
      <c r="C67" t="inlineStr">
        <is>
          <t>info</t>
        </is>
      </c>
      <c r="D67" t="inlineStr">
        <is>
          <t>R250723-coluxe</t>
        </is>
      </c>
      <c r="E67" t="inlineStr">
        <is>
          <t>Coluxe</t>
        </is>
      </c>
      <c r="F67" s="17" t="n">
        <v>45861</v>
      </c>
      <c r="G67" t="inlineStr">
        <is>
          <t>amount not disclosed by any source</t>
        </is>
      </c>
    </row>
    <row r="68">
      <c r="A68" t="inlineStr">
        <is>
          <t>C03</t>
        </is>
      </c>
      <c r="B68" t="inlineStr">
        <is>
          <t>Amount undisclosed</t>
        </is>
      </c>
      <c r="C68" t="inlineStr">
        <is>
          <t>info</t>
        </is>
      </c>
      <c r="D68" t="inlineStr">
        <is>
          <t>R250724-roastfoods</t>
        </is>
      </c>
      <c r="E68" t="inlineStr">
        <is>
          <t>Roast Foods</t>
        </is>
      </c>
      <c r="F68" s="17" t="n">
        <v>45862</v>
      </c>
      <c r="G68" t="inlineStr">
        <is>
          <t>amount not disclosed by any source</t>
        </is>
      </c>
    </row>
    <row r="69">
      <c r="A69" t="inlineStr">
        <is>
          <t>C03</t>
        </is>
      </c>
      <c r="B69" t="inlineStr">
        <is>
          <t>Amount undisclosed</t>
        </is>
      </c>
      <c r="C69" t="inlineStr">
        <is>
          <t>info</t>
        </is>
      </c>
      <c r="D69" t="inlineStr">
        <is>
          <t>R250729-optiproai</t>
        </is>
      </c>
      <c r="E69" t="inlineStr">
        <is>
          <t>Optipro AI</t>
        </is>
      </c>
      <c r="F69" s="17" t="n">
        <v>45867</v>
      </c>
      <c r="G69" t="inlineStr">
        <is>
          <t>amount not disclosed by any source</t>
        </is>
      </c>
    </row>
    <row r="70">
      <c r="A70" t="inlineStr">
        <is>
          <t>C03</t>
        </is>
      </c>
      <c r="B70" t="inlineStr">
        <is>
          <t>Amount undisclosed</t>
        </is>
      </c>
      <c r="C70" t="inlineStr">
        <is>
          <t>info</t>
        </is>
      </c>
      <c r="D70" t="inlineStr">
        <is>
          <t>R250730-acko</t>
        </is>
      </c>
      <c r="E70" t="inlineStr">
        <is>
          <t>Acko</t>
        </is>
      </c>
      <c r="F70" s="17" t="n">
        <v>45868</v>
      </c>
      <c r="G70" t="inlineStr">
        <is>
          <t>amount not disclosed by any source</t>
        </is>
      </c>
    </row>
    <row r="71">
      <c r="A71" t="inlineStr">
        <is>
          <t>C03</t>
        </is>
      </c>
      <c r="B71" t="inlineStr">
        <is>
          <t>Amount undisclosed</t>
        </is>
      </c>
      <c r="C71" t="inlineStr">
        <is>
          <t>info</t>
        </is>
      </c>
      <c r="D71" t="inlineStr">
        <is>
          <t>R250730-vahanai</t>
        </is>
      </c>
      <c r="E71" t="inlineStr">
        <is>
          <t>Vahan.ai</t>
        </is>
      </c>
      <c r="F71" s="17" t="n">
        <v>45868</v>
      </c>
      <c r="G71" t="inlineStr">
        <is>
          <t>amount not disclosed by any source</t>
        </is>
      </c>
    </row>
    <row r="72">
      <c r="A72" t="inlineStr">
        <is>
          <t>C03</t>
        </is>
      </c>
      <c r="B72" t="inlineStr">
        <is>
          <t>Amount undisclosed</t>
        </is>
      </c>
      <c r="C72" t="inlineStr">
        <is>
          <t>info</t>
        </is>
      </c>
      <c r="D72" t="inlineStr">
        <is>
          <t>R250805-politepowertec</t>
        </is>
      </c>
      <c r="E72" t="inlineStr">
        <is>
          <t>Polite Powertech</t>
        </is>
      </c>
      <c r="F72" s="17" t="n">
        <v>45874</v>
      </c>
      <c r="G72" t="inlineStr">
        <is>
          <t>amount not disclosed by any source</t>
        </is>
      </c>
    </row>
    <row r="73">
      <c r="A73" t="inlineStr">
        <is>
          <t>C03</t>
        </is>
      </c>
      <c r="B73" t="inlineStr">
        <is>
          <t>Amount undisclosed</t>
        </is>
      </c>
      <c r="C73" t="inlineStr">
        <is>
          <t>info</t>
        </is>
      </c>
      <c r="D73" t="inlineStr">
        <is>
          <t>R250805-prozo</t>
        </is>
      </c>
      <c r="E73" t="inlineStr">
        <is>
          <t>Prozo</t>
        </is>
      </c>
      <c r="F73" s="17" t="n">
        <v>45874</v>
      </c>
      <c r="G73" t="inlineStr">
        <is>
          <t>amount not disclosed by any source</t>
        </is>
      </c>
    </row>
    <row r="74">
      <c r="A74" t="inlineStr">
        <is>
          <t>C03</t>
        </is>
      </c>
      <c r="B74" t="inlineStr">
        <is>
          <t>Amount undisclosed</t>
        </is>
      </c>
      <c r="C74" t="inlineStr">
        <is>
          <t>info</t>
        </is>
      </c>
      <c r="D74" t="inlineStr">
        <is>
          <t>R250807-nprep</t>
        </is>
      </c>
      <c r="E74" t="inlineStr">
        <is>
          <t>NPrep</t>
        </is>
      </c>
      <c r="F74" s="17" t="n">
        <v>45876</v>
      </c>
      <c r="G74" t="inlineStr">
        <is>
          <t>amount not disclosed by any source</t>
        </is>
      </c>
    </row>
    <row r="75">
      <c r="A75" t="inlineStr">
        <is>
          <t>C03</t>
        </is>
      </c>
      <c r="B75" t="inlineStr">
        <is>
          <t>Amount undisclosed</t>
        </is>
      </c>
      <c r="C75" t="inlineStr">
        <is>
          <t>info</t>
        </is>
      </c>
      <c r="D75" t="inlineStr">
        <is>
          <t>R250819-zenzebra</t>
        </is>
      </c>
      <c r="E75" t="inlineStr">
        <is>
          <t>ZenZebra</t>
        </is>
      </c>
      <c r="F75" s="17" t="n">
        <v>45888</v>
      </c>
      <c r="G75" t="inlineStr">
        <is>
          <t>amount not disclosed by any source</t>
        </is>
      </c>
    </row>
    <row r="76">
      <c r="A76" t="inlineStr">
        <is>
          <t>C03</t>
        </is>
      </c>
      <c r="B76" t="inlineStr">
        <is>
          <t>Amount undisclosed</t>
        </is>
      </c>
      <c r="C76" t="inlineStr">
        <is>
          <t>info</t>
        </is>
      </c>
      <c r="D76" t="inlineStr">
        <is>
          <t>R250908-misfits</t>
        </is>
      </c>
      <c r="E76" t="inlineStr">
        <is>
          <t>Misfits</t>
        </is>
      </c>
      <c r="F76" s="17" t="n">
        <v>45908</v>
      </c>
      <c r="G76" t="inlineStr">
        <is>
          <t>amount not disclosed by any source</t>
        </is>
      </c>
    </row>
    <row r="77">
      <c r="A77" t="inlineStr">
        <is>
          <t>C03</t>
        </is>
      </c>
      <c r="B77" t="inlineStr">
        <is>
          <t>Amount undisclosed</t>
        </is>
      </c>
      <c r="C77" t="inlineStr">
        <is>
          <t>info</t>
        </is>
      </c>
      <c r="D77" t="inlineStr">
        <is>
          <t>R250909-traqcheck</t>
        </is>
      </c>
      <c r="E77" t="inlineStr">
        <is>
          <t>TraqCheck</t>
        </is>
      </c>
      <c r="F77" s="17" t="n">
        <v>45909</v>
      </c>
      <c r="G77" t="inlineStr">
        <is>
          <t>amount not disclosed by any source</t>
        </is>
      </c>
    </row>
    <row r="78">
      <c r="A78" t="inlineStr">
        <is>
          <t>C03</t>
        </is>
      </c>
      <c r="B78" t="inlineStr">
        <is>
          <t>Amount undisclosed</t>
        </is>
      </c>
      <c r="C78" t="inlineStr">
        <is>
          <t>info</t>
        </is>
      </c>
      <c r="D78" t="inlineStr">
        <is>
          <t>R250918-rapteehv</t>
        </is>
      </c>
      <c r="E78" t="inlineStr">
        <is>
          <t>Raptee.HV</t>
        </is>
      </c>
      <c r="F78" s="17" t="n">
        <v>45918</v>
      </c>
      <c r="G78" t="inlineStr">
        <is>
          <t>amount not disclosed by any source</t>
        </is>
      </c>
    </row>
    <row r="79">
      <c r="A79" t="inlineStr">
        <is>
          <t>C03</t>
        </is>
      </c>
      <c r="B79" t="inlineStr">
        <is>
          <t>Amount undisclosed</t>
        </is>
      </c>
      <c r="C79" t="inlineStr">
        <is>
          <t>info</t>
        </is>
      </c>
      <c r="D79" t="inlineStr">
        <is>
          <t>R250922-carbonmasters</t>
        </is>
      </c>
      <c r="E79" t="inlineStr">
        <is>
          <t>Carbon Masters</t>
        </is>
      </c>
      <c r="F79" s="17" t="n">
        <v>45922</v>
      </c>
      <c r="G79" t="inlineStr">
        <is>
          <t>amount not disclosed by any source</t>
        </is>
      </c>
    </row>
    <row r="80">
      <c r="A80" t="inlineStr">
        <is>
          <t>C03</t>
        </is>
      </c>
      <c r="B80" t="inlineStr">
        <is>
          <t>Amount undisclosed</t>
        </is>
      </c>
      <c r="C80" t="inlineStr">
        <is>
          <t>info</t>
        </is>
      </c>
      <c r="D80" t="inlineStr">
        <is>
          <t>R250923-gabit</t>
        </is>
      </c>
      <c r="E80" t="inlineStr">
        <is>
          <t>Gabit</t>
        </is>
      </c>
      <c r="F80" s="17" t="n">
        <v>45923</v>
      </c>
      <c r="G80" t="inlineStr">
        <is>
          <t>amount not disclosed by any source</t>
        </is>
      </c>
    </row>
    <row r="81">
      <c r="A81" t="inlineStr">
        <is>
          <t>C03</t>
        </is>
      </c>
      <c r="B81" t="inlineStr">
        <is>
          <t>Amount undisclosed</t>
        </is>
      </c>
      <c r="C81" t="inlineStr">
        <is>
          <t>info</t>
        </is>
      </c>
      <c r="D81" t="inlineStr">
        <is>
          <t>R251006-iifl</t>
        </is>
      </c>
      <c r="E81" t="inlineStr">
        <is>
          <t>IIFL</t>
        </is>
      </c>
      <c r="F81" s="17" t="n">
        <v>45936</v>
      </c>
      <c r="G81" t="inlineStr">
        <is>
          <t>amount not disclosed by any source</t>
        </is>
      </c>
    </row>
    <row r="82">
      <c r="A82" t="inlineStr">
        <is>
          <t>C03</t>
        </is>
      </c>
      <c r="B82" t="inlineStr">
        <is>
          <t>Amount undisclosed</t>
        </is>
      </c>
      <c r="C82" t="inlineStr">
        <is>
          <t>info</t>
        </is>
      </c>
      <c r="D82" t="inlineStr">
        <is>
          <t>R251013-aiensured</t>
        </is>
      </c>
      <c r="E82" t="inlineStr">
        <is>
          <t>AIensured</t>
        </is>
      </c>
      <c r="F82" s="17" t="n">
        <v>45943</v>
      </c>
      <c r="G82" t="inlineStr">
        <is>
          <t>amount not disclosed by any source</t>
        </is>
      </c>
    </row>
    <row r="83">
      <c r="A83" t="inlineStr">
        <is>
          <t>C03</t>
        </is>
      </c>
      <c r="B83" t="inlineStr">
        <is>
          <t>Amount undisclosed</t>
        </is>
      </c>
      <c r="C83" t="inlineStr">
        <is>
          <t>info</t>
        </is>
      </c>
      <c r="D83" t="inlineStr">
        <is>
          <t>R251015-coindcx</t>
        </is>
      </c>
      <c r="E83" t="inlineStr">
        <is>
          <t>CoinDCX</t>
        </is>
      </c>
      <c r="F83" s="17" t="n">
        <v>45945</v>
      </c>
      <c r="G83" t="inlineStr">
        <is>
          <t>amount not disclosed by any source</t>
        </is>
      </c>
    </row>
    <row r="84">
      <c r="A84" t="inlineStr">
        <is>
          <t>C03</t>
        </is>
      </c>
      <c r="B84" t="inlineStr">
        <is>
          <t>Amount undisclosed</t>
        </is>
      </c>
      <c r="C84" t="inlineStr">
        <is>
          <t>info</t>
        </is>
      </c>
      <c r="D84" t="inlineStr">
        <is>
          <t>R251027-finallayer</t>
        </is>
      </c>
      <c r="E84" t="inlineStr">
        <is>
          <t>FinalLayer</t>
        </is>
      </c>
      <c r="F84" s="17" t="n">
        <v>45957</v>
      </c>
      <c r="G84" t="inlineStr">
        <is>
          <t>amount not disclosed by any source</t>
        </is>
      </c>
    </row>
    <row r="85">
      <c r="A85" t="inlineStr">
        <is>
          <t>C03</t>
        </is>
      </c>
      <c r="B85" t="inlineStr">
        <is>
          <t>Amount undisclosed</t>
        </is>
      </c>
      <c r="C85" t="inlineStr">
        <is>
          <t>info</t>
        </is>
      </c>
      <c r="D85" t="inlineStr">
        <is>
          <t>R251027-versabytedatas</t>
        </is>
      </c>
      <c r="E85" t="inlineStr">
        <is>
          <t>Versabyte Data Systems</t>
        </is>
      </c>
      <c r="F85" s="17" t="n">
        <v>45957</v>
      </c>
      <c r="G85" t="inlineStr">
        <is>
          <t>amount not disclosed by any source</t>
        </is>
      </c>
    </row>
    <row r="86">
      <c r="A86" t="inlineStr">
        <is>
          <t>C03</t>
        </is>
      </c>
      <c r="B86" t="inlineStr">
        <is>
          <t>Amount undisclosed</t>
        </is>
      </c>
      <c r="C86" t="inlineStr">
        <is>
          <t>info</t>
        </is>
      </c>
      <c r="D86" t="inlineStr">
        <is>
          <t>R251028-cybrilla</t>
        </is>
      </c>
      <c r="E86" t="inlineStr">
        <is>
          <t>Cybrilla</t>
        </is>
      </c>
      <c r="F86" s="17" t="n">
        <v>45958</v>
      </c>
      <c r="G86" t="inlineStr">
        <is>
          <t>amount not disclosed by any source</t>
        </is>
      </c>
    </row>
    <row r="87">
      <c r="A87" t="inlineStr">
        <is>
          <t>C03</t>
        </is>
      </c>
      <c r="B87" t="inlineStr">
        <is>
          <t>Amount undisclosed</t>
        </is>
      </c>
      <c r="C87" t="inlineStr">
        <is>
          <t>info</t>
        </is>
      </c>
      <c r="D87" t="inlineStr">
        <is>
          <t>R251028-gubbachhi</t>
        </is>
      </c>
      <c r="E87" t="inlineStr">
        <is>
          <t>Gubbachhi</t>
        </is>
      </c>
      <c r="F87" s="17" t="n">
        <v>45958</v>
      </c>
      <c r="G87" t="inlineStr">
        <is>
          <t>amount not disclosed by any source</t>
        </is>
      </c>
    </row>
    <row r="88">
      <c r="A88" t="inlineStr">
        <is>
          <t>C03</t>
        </is>
      </c>
      <c r="B88" t="inlineStr">
        <is>
          <t>Amount undisclosed</t>
        </is>
      </c>
      <c r="C88" t="inlineStr">
        <is>
          <t>info</t>
        </is>
      </c>
      <c r="D88" t="inlineStr">
        <is>
          <t>R251028-ticket9</t>
        </is>
      </c>
      <c r="E88" t="inlineStr">
        <is>
          <t>Ticket9</t>
        </is>
      </c>
      <c r="F88" s="17" t="n">
        <v>45958</v>
      </c>
      <c r="G88" t="inlineStr">
        <is>
          <t>amount not disclosed by any source</t>
        </is>
      </c>
    </row>
    <row r="89">
      <c r="A89" t="inlineStr">
        <is>
          <t>C03</t>
        </is>
      </c>
      <c r="B89" t="inlineStr">
        <is>
          <t>Amount undisclosed</t>
        </is>
      </c>
      <c r="C89" t="inlineStr">
        <is>
          <t>info</t>
        </is>
      </c>
      <c r="D89" t="inlineStr">
        <is>
          <t>R251029-novanova</t>
        </is>
      </c>
      <c r="E89" t="inlineStr">
        <is>
          <t>Nova Nova</t>
        </is>
      </c>
      <c r="F89" s="17" t="n">
        <v>45959</v>
      </c>
      <c r="G89" t="inlineStr">
        <is>
          <t>amount not disclosed by any source</t>
        </is>
      </c>
    </row>
    <row r="90">
      <c r="A90" t="inlineStr">
        <is>
          <t>C03</t>
        </is>
      </c>
      <c r="B90" t="inlineStr">
        <is>
          <t>Amount undisclosed</t>
        </is>
      </c>
      <c r="C90" t="inlineStr">
        <is>
          <t>info</t>
        </is>
      </c>
      <c r="D90" t="inlineStr">
        <is>
          <t>R251125-blostem</t>
        </is>
      </c>
      <c r="E90" t="inlineStr">
        <is>
          <t>Blostem</t>
        </is>
      </c>
      <c r="F90" s="17" t="n">
        <v>45986</v>
      </c>
      <c r="G90" t="inlineStr">
        <is>
          <t>amount not disclosed by any source</t>
        </is>
      </c>
    </row>
    <row r="91">
      <c r="A91" t="inlineStr">
        <is>
          <t>C03</t>
        </is>
      </c>
      <c r="B91" t="inlineStr">
        <is>
          <t>Amount undisclosed</t>
        </is>
      </c>
      <c r="C91" t="inlineStr">
        <is>
          <t>info</t>
        </is>
      </c>
      <c r="D91" t="inlineStr">
        <is>
          <t>R251126-definedge</t>
        </is>
      </c>
      <c r="E91" t="inlineStr">
        <is>
          <t>Definedge</t>
        </is>
      </c>
      <c r="F91" s="17" t="n">
        <v>45987</v>
      </c>
      <c r="G91" t="inlineStr">
        <is>
          <t>amount not disclosed by any source</t>
        </is>
      </c>
    </row>
    <row r="92">
      <c r="A92" t="inlineStr">
        <is>
          <t>C03</t>
        </is>
      </c>
      <c r="B92" t="inlineStr">
        <is>
          <t>Amount undisclosed</t>
        </is>
      </c>
      <c r="C92" t="inlineStr">
        <is>
          <t>info</t>
        </is>
      </c>
      <c r="D92" t="inlineStr">
        <is>
          <t>R251127-lemnisca</t>
        </is>
      </c>
      <c r="E92" t="inlineStr">
        <is>
          <t>Lemnisca</t>
        </is>
      </c>
      <c r="F92" s="17" t="n">
        <v>45988</v>
      </c>
      <c r="G92" t="inlineStr">
        <is>
          <t>amount not disclosed by any source</t>
        </is>
      </c>
    </row>
    <row r="93">
      <c r="A93" t="inlineStr">
        <is>
          <t>C03</t>
        </is>
      </c>
      <c r="B93" t="inlineStr">
        <is>
          <t>Amount undisclosed</t>
        </is>
      </c>
      <c r="C93" t="inlineStr">
        <is>
          <t>info</t>
        </is>
      </c>
      <c r="D93" t="inlineStr">
        <is>
          <t>R251202-superhealth</t>
        </is>
      </c>
      <c r="E93" t="inlineStr">
        <is>
          <t>Superhealth</t>
        </is>
      </c>
      <c r="F93" s="17" t="n">
        <v>45993</v>
      </c>
      <c r="G93" t="inlineStr">
        <is>
          <t>amount not disclosed by any source</t>
        </is>
      </c>
    </row>
    <row r="94">
      <c r="A94" t="inlineStr">
        <is>
          <t>C03</t>
        </is>
      </c>
      <c r="B94" t="inlineStr">
        <is>
          <t>Amount undisclosed</t>
        </is>
      </c>
      <c r="C94" t="inlineStr">
        <is>
          <t>info</t>
        </is>
      </c>
      <c r="D94" t="inlineStr">
        <is>
          <t>R251209-clayworks</t>
        </is>
      </c>
      <c r="E94" t="inlineStr">
        <is>
          <t>ClayWorks</t>
        </is>
      </c>
      <c r="F94" s="17" t="n">
        <v>46000</v>
      </c>
      <c r="G94" t="inlineStr">
        <is>
          <t>amount not disclosed by any source</t>
        </is>
      </c>
    </row>
    <row r="95">
      <c r="A95" t="inlineStr">
        <is>
          <t>C03</t>
        </is>
      </c>
      <c r="B95" t="inlineStr">
        <is>
          <t>Amount undisclosed</t>
        </is>
      </c>
      <c r="C95" t="inlineStr">
        <is>
          <t>info</t>
        </is>
      </c>
      <c r="D95" t="inlineStr">
        <is>
          <t>R251209-emergent</t>
        </is>
      </c>
      <c r="E95" t="inlineStr">
        <is>
          <t>Emergent</t>
        </is>
      </c>
      <c r="F95" s="17" t="n">
        <v>46000</v>
      </c>
      <c r="G95" t="inlineStr">
        <is>
          <t>amount not disclosed by any source</t>
        </is>
      </c>
    </row>
    <row r="96">
      <c r="A96" t="inlineStr">
        <is>
          <t>C03</t>
        </is>
      </c>
      <c r="B96" t="inlineStr">
        <is>
          <t>Amount undisclosed</t>
        </is>
      </c>
      <c r="C96" t="inlineStr">
        <is>
          <t>info</t>
        </is>
      </c>
      <c r="D96" t="inlineStr">
        <is>
          <t>R251209-mukundjha</t>
        </is>
      </c>
      <c r="E96" t="inlineStr">
        <is>
          <t>Mukund Jha</t>
        </is>
      </c>
      <c r="F96" s="17" t="n">
        <v>46000</v>
      </c>
      <c r="G96" t="inlineStr">
        <is>
          <t>amount not disclosed by any source</t>
        </is>
      </c>
    </row>
    <row r="97">
      <c r="A97" t="inlineStr">
        <is>
          <t>C03</t>
        </is>
      </c>
      <c r="B97" t="inlineStr">
        <is>
          <t>Amount undisclosed</t>
        </is>
      </c>
      <c r="C97" t="inlineStr">
        <is>
          <t>info</t>
        </is>
      </c>
      <c r="D97" t="inlineStr">
        <is>
          <t>R251211-whilterai</t>
        </is>
      </c>
      <c r="E97" t="inlineStr">
        <is>
          <t>Whilter AI</t>
        </is>
      </c>
      <c r="F97" s="17" t="n">
        <v>46002</v>
      </c>
      <c r="G97" t="inlineStr">
        <is>
          <t>amount not disclosed by any source</t>
        </is>
      </c>
    </row>
    <row r="98">
      <c r="A98" t="inlineStr">
        <is>
          <t>C03</t>
        </is>
      </c>
      <c r="B98" t="inlineStr">
        <is>
          <t>Amount undisclosed</t>
        </is>
      </c>
      <c r="C98" t="inlineStr">
        <is>
          <t>info</t>
        </is>
      </c>
      <c r="D98" t="inlineStr">
        <is>
          <t>R251220-novytematerial</t>
        </is>
      </c>
      <c r="E98" t="inlineStr">
        <is>
          <t>Novyte Materials</t>
        </is>
      </c>
      <c r="F98" s="17" t="n">
        <v>46011</v>
      </c>
      <c r="G98" t="inlineStr">
        <is>
          <t>amount not disclosed by any source</t>
        </is>
      </c>
    </row>
    <row r="99">
      <c r="A99" t="inlineStr">
        <is>
          <t>C03</t>
        </is>
      </c>
      <c r="B99" t="inlineStr">
        <is>
          <t>Amount undisclosed</t>
        </is>
      </c>
      <c r="C99" t="inlineStr">
        <is>
          <t>info</t>
        </is>
      </c>
      <c r="D99" t="inlineStr">
        <is>
          <t>R251222-supply6</t>
        </is>
      </c>
      <c r="E99" t="inlineStr">
        <is>
          <t>Supply6</t>
        </is>
      </c>
      <c r="F99" s="17" t="n">
        <v>46013</v>
      </c>
      <c r="G99" t="inlineStr">
        <is>
          <t>amount not disclosed by any source</t>
        </is>
      </c>
    </row>
    <row r="100">
      <c r="A100" t="inlineStr">
        <is>
          <t>C03</t>
        </is>
      </c>
      <c r="B100" t="inlineStr">
        <is>
          <t>Amount undisclosed</t>
        </is>
      </c>
      <c r="C100" t="inlineStr">
        <is>
          <t>info</t>
        </is>
      </c>
      <c r="D100" t="inlineStr">
        <is>
          <t>R251224-magicdecor</t>
        </is>
      </c>
      <c r="E100" t="inlineStr">
        <is>
          <t>MagicDecor</t>
        </is>
      </c>
      <c r="F100" s="17" t="n">
        <v>46015</v>
      </c>
      <c r="G100" t="inlineStr">
        <is>
          <t>amount not disclosed by any source</t>
        </is>
      </c>
    </row>
    <row r="101">
      <c r="A101" t="inlineStr">
        <is>
          <t>C03</t>
        </is>
      </c>
      <c r="B101" t="inlineStr">
        <is>
          <t>Amount undisclosed</t>
        </is>
      </c>
      <c r="C101" t="inlineStr">
        <is>
          <t>info</t>
        </is>
      </c>
      <c r="D101" t="inlineStr">
        <is>
          <t>R251229-neeman</t>
        </is>
      </c>
      <c r="E101" t="inlineStr">
        <is>
          <t>Neeman’s</t>
        </is>
      </c>
      <c r="F101" s="17" t="n">
        <v>46020</v>
      </c>
      <c r="G101" t="inlineStr">
        <is>
          <t>amount not disclosed by any source</t>
        </is>
      </c>
    </row>
    <row r="102">
      <c r="A102" t="inlineStr">
        <is>
          <t>C03</t>
        </is>
      </c>
      <c r="B102" t="inlineStr">
        <is>
          <t>Amount undisclosed</t>
        </is>
      </c>
      <c r="C102" t="inlineStr">
        <is>
          <t>info</t>
        </is>
      </c>
      <c r="D102" t="inlineStr">
        <is>
          <t>R260106-lohiaaerospace</t>
        </is>
      </c>
      <c r="E102" t="inlineStr">
        <is>
          <t>Lohia Aerospace Systems</t>
        </is>
      </c>
      <c r="F102" s="17" t="n">
        <v>46028</v>
      </c>
      <c r="G102" t="inlineStr">
        <is>
          <t>amount not disclosed by any source</t>
        </is>
      </c>
    </row>
    <row r="103">
      <c r="A103" t="inlineStr">
        <is>
          <t>C03</t>
        </is>
      </c>
      <c r="B103" t="inlineStr">
        <is>
          <t>Amount undisclosed</t>
        </is>
      </c>
      <c r="C103" t="inlineStr">
        <is>
          <t>info</t>
        </is>
      </c>
      <c r="D103" t="inlineStr">
        <is>
          <t>R260108-projectstudioa</t>
        </is>
      </c>
      <c r="E103" t="inlineStr">
        <is>
          <t>Project Studio AI</t>
        </is>
      </c>
      <c r="F103" s="17" t="n">
        <v>46030</v>
      </c>
      <c r="G103" t="inlineStr">
        <is>
          <t>amount not disclosed by any source</t>
        </is>
      </c>
    </row>
    <row r="104">
      <c r="A104" t="inlineStr">
        <is>
          <t>C03</t>
        </is>
      </c>
      <c r="B104" t="inlineStr">
        <is>
          <t>Amount undisclosed</t>
        </is>
      </c>
      <c r="C104" t="inlineStr">
        <is>
          <t>info</t>
        </is>
      </c>
      <c r="D104" t="inlineStr">
        <is>
          <t>R260120-polycycl</t>
        </is>
      </c>
      <c r="E104" t="inlineStr">
        <is>
          <t>PolyCycl</t>
        </is>
      </c>
      <c r="F104" s="17" t="n">
        <v>46042</v>
      </c>
      <c r="G104" t="inlineStr">
        <is>
          <t>amount not disclosed by any source</t>
        </is>
      </c>
    </row>
    <row r="105">
      <c r="A105" t="inlineStr">
        <is>
          <t>C03</t>
        </is>
      </c>
      <c r="B105" t="inlineStr">
        <is>
          <t>Amount undisclosed</t>
        </is>
      </c>
      <c r="C105" t="inlineStr">
        <is>
          <t>info</t>
        </is>
      </c>
      <c r="D105" t="inlineStr">
        <is>
          <t>R260121-xoxoday</t>
        </is>
      </c>
      <c r="E105" t="inlineStr">
        <is>
          <t>Xoxoday</t>
        </is>
      </c>
      <c r="F105" s="17" t="n">
        <v>46043</v>
      </c>
      <c r="G105" t="inlineStr">
        <is>
          <t>amount not disclosed by any source</t>
        </is>
      </c>
    </row>
    <row r="106">
      <c r="A106" t="inlineStr">
        <is>
          <t>C03</t>
        </is>
      </c>
      <c r="B106" t="inlineStr">
        <is>
          <t>Amount undisclosed</t>
        </is>
      </c>
      <c r="C106" t="inlineStr">
        <is>
          <t>info</t>
        </is>
      </c>
      <c r="D106" t="inlineStr">
        <is>
          <t>R260128-koreai</t>
        </is>
      </c>
      <c r="E106" t="inlineStr">
        <is>
          <t>Kore.ai</t>
        </is>
      </c>
      <c r="F106" s="17" t="n">
        <v>46050</v>
      </c>
      <c r="G106" t="inlineStr">
        <is>
          <t>amount not disclosed by any source</t>
        </is>
      </c>
    </row>
    <row r="107">
      <c r="A107" t="inlineStr">
        <is>
          <t>C03</t>
        </is>
      </c>
      <c r="B107" t="inlineStr">
        <is>
          <t>Amount undisclosed</t>
        </is>
      </c>
      <c r="C107" t="inlineStr">
        <is>
          <t>info</t>
        </is>
      </c>
      <c r="D107" t="inlineStr">
        <is>
          <t>R260128-taketwo</t>
        </is>
      </c>
      <c r="E107" t="inlineStr">
        <is>
          <t>TakeTwo</t>
        </is>
      </c>
      <c r="F107" s="17" t="n">
        <v>46050</v>
      </c>
      <c r="G107" t="inlineStr">
        <is>
          <t>amount not disclosed by any source</t>
        </is>
      </c>
    </row>
    <row r="108">
      <c r="A108" t="inlineStr">
        <is>
          <t>C03</t>
        </is>
      </c>
      <c r="B108" t="inlineStr">
        <is>
          <t>Amount undisclosed</t>
        </is>
      </c>
      <c r="C108" t="inlineStr">
        <is>
          <t>info</t>
        </is>
      </c>
      <c r="D108" t="inlineStr">
        <is>
          <t>R260206-em5</t>
        </is>
      </c>
      <c r="E108" t="inlineStr">
        <is>
          <t>EM5</t>
        </is>
      </c>
      <c r="F108" s="17" t="n">
        <v>46059</v>
      </c>
      <c r="G108" t="inlineStr">
        <is>
          <t>amount not disclosed by any source</t>
        </is>
      </c>
    </row>
    <row r="109">
      <c r="A109" t="inlineStr">
        <is>
          <t>C03</t>
        </is>
      </c>
      <c r="B109" t="inlineStr">
        <is>
          <t>Amount undisclosed</t>
        </is>
      </c>
      <c r="C109" t="inlineStr">
        <is>
          <t>info</t>
        </is>
      </c>
      <c r="D109" t="inlineStr">
        <is>
          <t>R260211-articulussurgi</t>
        </is>
      </c>
      <c r="E109" t="inlineStr">
        <is>
          <t>Articulus Surgical</t>
        </is>
      </c>
      <c r="F109" s="17" t="n">
        <v>46064</v>
      </c>
      <c r="G109" t="inlineStr">
        <is>
          <t>amount not disclosed by any source</t>
        </is>
      </c>
    </row>
    <row r="110">
      <c r="A110" t="inlineStr">
        <is>
          <t>C03</t>
        </is>
      </c>
      <c r="B110" t="inlineStr">
        <is>
          <t>Amount undisclosed</t>
        </is>
      </c>
      <c r="C110" t="inlineStr">
        <is>
          <t>info</t>
        </is>
      </c>
      <c r="D110" t="inlineStr">
        <is>
          <t>R260220-coreshieldtech</t>
        </is>
      </c>
      <c r="E110" t="inlineStr">
        <is>
          <t>CoreShield Technologies</t>
        </is>
      </c>
      <c r="F110" s="17" t="n">
        <v>46073</v>
      </c>
      <c r="G110" t="inlineStr">
        <is>
          <t>amount not disclosed by any source</t>
        </is>
      </c>
    </row>
    <row r="111">
      <c r="A111" t="inlineStr">
        <is>
          <t>C03</t>
        </is>
      </c>
      <c r="B111" t="inlineStr">
        <is>
          <t>Amount undisclosed</t>
        </is>
      </c>
      <c r="C111" t="inlineStr">
        <is>
          <t>info</t>
        </is>
      </c>
      <c r="D111" t="inlineStr">
        <is>
          <t>R260226-nailinit</t>
        </is>
      </c>
      <c r="E111" t="inlineStr">
        <is>
          <t>Nailinit</t>
        </is>
      </c>
      <c r="F111" s="17" t="n">
        <v>46079</v>
      </c>
      <c r="G111" t="inlineStr">
        <is>
          <t>amount not disclosed by any source</t>
        </is>
      </c>
    </row>
    <row r="112">
      <c r="A112" t="inlineStr">
        <is>
          <t>C03</t>
        </is>
      </c>
      <c r="B112" t="inlineStr">
        <is>
          <t>Amount undisclosed</t>
        </is>
      </c>
      <c r="C112" t="inlineStr">
        <is>
          <t>info</t>
        </is>
      </c>
      <c r="D112" t="inlineStr">
        <is>
          <t>R260309-latentai</t>
        </is>
      </c>
      <c r="E112" t="inlineStr">
        <is>
          <t>Latent AI</t>
        </is>
      </c>
      <c r="F112" s="17" t="n">
        <v>46090</v>
      </c>
      <c r="G112" t="inlineStr">
        <is>
          <t>amount not disclosed by any source</t>
        </is>
      </c>
    </row>
    <row r="113">
      <c r="A113" t="inlineStr">
        <is>
          <t>C03</t>
        </is>
      </c>
      <c r="B113" t="inlineStr">
        <is>
          <t>Amount undisclosed</t>
        </is>
      </c>
      <c r="C113" t="inlineStr">
        <is>
          <t>info</t>
        </is>
      </c>
      <c r="D113" t="inlineStr">
        <is>
          <t>R260324-curiouscatsai</t>
        </is>
      </c>
      <c r="E113" t="inlineStr">
        <is>
          <t>CuriousCats.ai</t>
        </is>
      </c>
      <c r="F113" s="17" t="n">
        <v>46105</v>
      </c>
      <c r="G113" t="inlineStr">
        <is>
          <t>amount not disclosed by any source</t>
        </is>
      </c>
    </row>
    <row r="114">
      <c r="A114" t="inlineStr">
        <is>
          <t>C03</t>
        </is>
      </c>
      <c r="B114" t="inlineStr">
        <is>
          <t>Amount undisclosed</t>
        </is>
      </c>
      <c r="C114" t="inlineStr">
        <is>
          <t>info</t>
        </is>
      </c>
      <c r="D114" t="inlineStr">
        <is>
          <t>R260330-kuku</t>
        </is>
      </c>
      <c r="E114" t="inlineStr">
        <is>
          <t>Kuku</t>
        </is>
      </c>
      <c r="F114" s="17" t="n">
        <v>46111</v>
      </c>
      <c r="G114" t="inlineStr">
        <is>
          <t>amount not disclosed by any source</t>
        </is>
      </c>
    </row>
    <row r="115">
      <c r="A115" t="inlineStr">
        <is>
          <t>C03</t>
        </is>
      </c>
      <c r="B115" t="inlineStr">
        <is>
          <t>Amount undisclosed</t>
        </is>
      </c>
      <c r="C115" t="inlineStr">
        <is>
          <t>info</t>
        </is>
      </c>
      <c r="D115" t="inlineStr">
        <is>
          <t>R260401-credresolve</t>
        </is>
      </c>
      <c r="E115" t="inlineStr">
        <is>
          <t>CredResolve</t>
        </is>
      </c>
      <c r="F115" s="17" t="n">
        <v>46113</v>
      </c>
      <c r="G115" t="inlineStr">
        <is>
          <t>amount not disclosed by any source</t>
        </is>
      </c>
    </row>
    <row r="116">
      <c r="A116" t="inlineStr">
        <is>
          <t>C03</t>
        </is>
      </c>
      <c r="B116" t="inlineStr">
        <is>
          <t>Amount undisclosed</t>
        </is>
      </c>
      <c r="C116" t="inlineStr">
        <is>
          <t>info</t>
        </is>
      </c>
      <c r="D116" t="inlineStr">
        <is>
          <t>R260401-cygnienergy</t>
        </is>
      </c>
      <c r="E116" t="inlineStr">
        <is>
          <t>Cygni Energy</t>
        </is>
      </c>
      <c r="F116" s="17" t="n">
        <v>46113</v>
      </c>
      <c r="G116" t="inlineStr">
        <is>
          <t>amount not disclosed by any source</t>
        </is>
      </c>
    </row>
    <row r="117">
      <c r="A117" t="inlineStr">
        <is>
          <t>C03</t>
        </is>
      </c>
      <c r="B117" t="inlineStr">
        <is>
          <t>Amount undisclosed</t>
        </is>
      </c>
      <c r="C117" t="inlineStr">
        <is>
          <t>info</t>
        </is>
      </c>
      <c r="D117" t="inlineStr">
        <is>
          <t>R260401-intercosmos</t>
        </is>
      </c>
      <c r="E117" t="inlineStr">
        <is>
          <t>InterCosmos</t>
        </is>
      </c>
      <c r="F117" s="17" t="n">
        <v>46113</v>
      </c>
      <c r="G117" t="inlineStr">
        <is>
          <t>amount not disclosed by any source</t>
        </is>
      </c>
    </row>
    <row r="118">
      <c r="A118" t="inlineStr">
        <is>
          <t>C03</t>
        </is>
      </c>
      <c r="B118" t="inlineStr">
        <is>
          <t>Amount undisclosed</t>
        </is>
      </c>
      <c r="C118" t="inlineStr">
        <is>
          <t>info</t>
        </is>
      </c>
      <c r="D118" t="inlineStr">
        <is>
          <t>R260406-satarkai</t>
        </is>
      </c>
      <c r="E118" t="inlineStr">
        <is>
          <t>Satark AI</t>
        </is>
      </c>
      <c r="F118" s="17" t="n">
        <v>46118</v>
      </c>
      <c r="G118" t="inlineStr">
        <is>
          <t>amount not disclosed by any source</t>
        </is>
      </c>
    </row>
    <row r="119">
      <c r="A119" t="inlineStr">
        <is>
          <t>C03</t>
        </is>
      </c>
      <c r="B119" t="inlineStr">
        <is>
          <t>Amount undisclosed</t>
        </is>
      </c>
      <c r="C119" t="inlineStr">
        <is>
          <t>info</t>
        </is>
      </c>
      <c r="D119" t="inlineStr">
        <is>
          <t>R260413-devmilkfoods</t>
        </is>
      </c>
      <c r="E119" t="inlineStr">
        <is>
          <t>Dev Milk Foods</t>
        </is>
      </c>
      <c r="F119" s="17" t="n">
        <v>46125</v>
      </c>
      <c r="G119" t="inlineStr">
        <is>
          <t>amount not disclosed by any source</t>
        </is>
      </c>
    </row>
    <row r="120">
      <c r="A120" t="inlineStr">
        <is>
          <t>C03</t>
        </is>
      </c>
      <c r="B120" t="inlineStr">
        <is>
          <t>Amount undisclosed</t>
        </is>
      </c>
      <c r="C120" t="inlineStr">
        <is>
          <t>info</t>
        </is>
      </c>
      <c r="D120" t="inlineStr">
        <is>
          <t>R260413-frubon</t>
        </is>
      </c>
      <c r="E120" t="inlineStr">
        <is>
          <t>FruBon</t>
        </is>
      </c>
      <c r="F120" s="17" t="n">
        <v>46125</v>
      </c>
      <c r="G120" t="inlineStr">
        <is>
          <t>amount not disclosed by any source</t>
        </is>
      </c>
    </row>
    <row r="121">
      <c r="A121" t="inlineStr">
        <is>
          <t>C03</t>
        </is>
      </c>
      <c r="B121" t="inlineStr">
        <is>
          <t>Amount undisclosed</t>
        </is>
      </c>
      <c r="C121" t="inlineStr">
        <is>
          <t>info</t>
        </is>
      </c>
      <c r="D121" t="inlineStr">
        <is>
          <t>R260420-khetika</t>
        </is>
      </c>
      <c r="E121" t="inlineStr">
        <is>
          <t>Khetika</t>
        </is>
      </c>
      <c r="F121" s="17" t="n">
        <v>46132</v>
      </c>
      <c r="G121" t="inlineStr">
        <is>
          <t>amount not disclosed by any source</t>
        </is>
      </c>
    </row>
    <row r="122">
      <c r="A122" t="inlineStr">
        <is>
          <t>C03</t>
        </is>
      </c>
      <c r="B122" t="inlineStr">
        <is>
          <t>Amount undisclosed</t>
        </is>
      </c>
      <c r="C122" t="inlineStr">
        <is>
          <t>info</t>
        </is>
      </c>
      <c r="D122" t="inlineStr">
        <is>
          <t>R260420-panoculonlabs</t>
        </is>
      </c>
      <c r="E122" t="inlineStr">
        <is>
          <t>Panoculon Labs</t>
        </is>
      </c>
      <c r="F122" s="17" t="n">
        <v>46132</v>
      </c>
      <c r="G122" t="inlineStr">
        <is>
          <t>amount not disclosed by any source</t>
        </is>
      </c>
    </row>
    <row r="123">
      <c r="A123" t="inlineStr">
        <is>
          <t>C03</t>
        </is>
      </c>
      <c r="B123" t="inlineStr">
        <is>
          <t>Amount undisclosed</t>
        </is>
      </c>
      <c r="C123" t="inlineStr">
        <is>
          <t>info</t>
        </is>
      </c>
      <c r="D123" t="inlineStr">
        <is>
          <t>R260421-digitalpaani</t>
        </is>
      </c>
      <c r="E123" t="inlineStr">
        <is>
          <t>Digital Paani</t>
        </is>
      </c>
      <c r="F123" s="17" t="n">
        <v>46133</v>
      </c>
      <c r="G123" t="inlineStr">
        <is>
          <t>amount not disclosed by any source</t>
        </is>
      </c>
    </row>
    <row r="124">
      <c r="A124" t="inlineStr">
        <is>
          <t>C03</t>
        </is>
      </c>
      <c r="B124" t="inlineStr">
        <is>
          <t>Amount undisclosed</t>
        </is>
      </c>
      <c r="C124" t="inlineStr">
        <is>
          <t>info</t>
        </is>
      </c>
      <c r="D124" t="inlineStr">
        <is>
          <t>R260422-chupps</t>
        </is>
      </c>
      <c r="E124" t="inlineStr">
        <is>
          <t>Chupps</t>
        </is>
      </c>
      <c r="F124" s="17" t="n">
        <v>46134</v>
      </c>
      <c r="G124" t="inlineStr">
        <is>
          <t>amount not disclosed by any source</t>
        </is>
      </c>
    </row>
    <row r="125">
      <c r="A125" t="inlineStr">
        <is>
          <t>C03</t>
        </is>
      </c>
      <c r="B125" t="inlineStr">
        <is>
          <t>Amount undisclosed</t>
        </is>
      </c>
      <c r="C125" t="inlineStr">
        <is>
          <t>info</t>
        </is>
      </c>
      <c r="D125" t="inlineStr">
        <is>
          <t>R260427-emomee</t>
        </is>
      </c>
      <c r="E125" t="inlineStr">
        <is>
          <t>EMoMee</t>
        </is>
      </c>
      <c r="F125" s="17" t="n">
        <v>46139</v>
      </c>
      <c r="G125" t="inlineStr">
        <is>
          <t>amount not disclosed by any source</t>
        </is>
      </c>
    </row>
    <row r="126">
      <c r="A126" t="inlineStr">
        <is>
          <t>C03</t>
        </is>
      </c>
      <c r="B126" t="inlineStr">
        <is>
          <t>Amount undisclosed</t>
        </is>
      </c>
      <c r="C126" t="inlineStr">
        <is>
          <t>info</t>
        </is>
      </c>
      <c r="D126" t="inlineStr">
        <is>
          <t>R260506-figtreepharmac</t>
        </is>
      </c>
      <c r="E126" t="inlineStr">
        <is>
          <t>Figtree Pharmacy</t>
        </is>
      </c>
      <c r="F126" s="17" t="n">
        <v>46148</v>
      </c>
      <c r="G126" t="inlineStr">
        <is>
          <t>amount not disclosed by any source</t>
        </is>
      </c>
    </row>
    <row r="127">
      <c r="A127" t="inlineStr">
        <is>
          <t>C03</t>
        </is>
      </c>
      <c r="B127" t="inlineStr">
        <is>
          <t>Amount undisclosed</t>
        </is>
      </c>
      <c r="C127" t="inlineStr">
        <is>
          <t>info</t>
        </is>
      </c>
      <c r="D127" t="inlineStr">
        <is>
          <t>R260506-mochatrade</t>
        </is>
      </c>
      <c r="E127" t="inlineStr">
        <is>
          <t>MochaTrade</t>
        </is>
      </c>
      <c r="F127" s="17" t="n">
        <v>46148</v>
      </c>
      <c r="G127" t="inlineStr">
        <is>
          <t>amount not disclosed by any source</t>
        </is>
      </c>
    </row>
    <row r="128">
      <c r="A128" t="inlineStr">
        <is>
          <t>C03</t>
        </is>
      </c>
      <c r="B128" t="inlineStr">
        <is>
          <t>Amount undisclosed</t>
        </is>
      </c>
      <c r="C128" t="inlineStr">
        <is>
          <t>info</t>
        </is>
      </c>
      <c r="D128" t="inlineStr">
        <is>
          <t>R260512-incredcapital</t>
        </is>
      </c>
      <c r="E128" t="inlineStr">
        <is>
          <t>InCred Capital</t>
        </is>
      </c>
      <c r="F128" s="17" t="n">
        <v>46154</v>
      </c>
      <c r="G128" t="inlineStr">
        <is>
          <t>amount not disclosed by any source</t>
        </is>
      </c>
    </row>
    <row r="129">
      <c r="A129" t="inlineStr">
        <is>
          <t>C03</t>
        </is>
      </c>
      <c r="B129" t="inlineStr">
        <is>
          <t>Amount undisclosed</t>
        </is>
      </c>
      <c r="C129" t="inlineStr">
        <is>
          <t>info</t>
        </is>
      </c>
      <c r="D129" t="inlineStr">
        <is>
          <t>R260518-nothingbut</t>
        </is>
      </c>
      <c r="E129" t="inlineStr">
        <is>
          <t>Nothing But</t>
        </is>
      </c>
      <c r="F129" s="17" t="n">
        <v>46160</v>
      </c>
      <c r="G129" t="inlineStr">
        <is>
          <t>amount not disclosed by any source</t>
        </is>
      </c>
    </row>
    <row r="130">
      <c r="A130" t="inlineStr">
        <is>
          <t>C03</t>
        </is>
      </c>
      <c r="B130" t="inlineStr">
        <is>
          <t>Amount undisclosed</t>
        </is>
      </c>
      <c r="C130" t="inlineStr">
        <is>
          <t>info</t>
        </is>
      </c>
      <c r="D130" t="inlineStr">
        <is>
          <t>R260525-giva</t>
        </is>
      </c>
      <c r="E130" t="inlineStr">
        <is>
          <t>GIVA</t>
        </is>
      </c>
      <c r="F130" s="17" t="n">
        <v>46167</v>
      </c>
      <c r="G130" t="inlineStr">
        <is>
          <t>amount not disclosed by any source</t>
        </is>
      </c>
    </row>
    <row r="131">
      <c r="A131" t="inlineStr">
        <is>
          <t>C03</t>
        </is>
      </c>
      <c r="B131" t="inlineStr">
        <is>
          <t>Amount undisclosed</t>
        </is>
      </c>
      <c r="C131" t="inlineStr">
        <is>
          <t>info</t>
        </is>
      </c>
      <c r="D131" t="inlineStr">
        <is>
          <t>R260525-pramatraspace</t>
        </is>
      </c>
      <c r="E131" t="inlineStr">
        <is>
          <t>Pramatra Space</t>
        </is>
      </c>
      <c r="F131" s="17" t="n">
        <v>46167</v>
      </c>
      <c r="G131" t="inlineStr">
        <is>
          <t>amount not disclosed by any source</t>
        </is>
      </c>
    </row>
    <row r="132">
      <c r="A132" t="inlineStr">
        <is>
          <t>C03</t>
        </is>
      </c>
      <c r="B132" t="inlineStr">
        <is>
          <t>Amount undisclosed</t>
        </is>
      </c>
      <c r="C132" t="inlineStr">
        <is>
          <t>info</t>
        </is>
      </c>
      <c r="D132" t="inlineStr">
        <is>
          <t>R260526-quantumtiger</t>
        </is>
      </c>
      <c r="E132" t="inlineStr">
        <is>
          <t>Quantum Tiger</t>
        </is>
      </c>
      <c r="F132" s="17" t="n">
        <v>46168</v>
      </c>
      <c r="G132" t="inlineStr">
        <is>
          <t>amount not disclosed by any source</t>
        </is>
      </c>
    </row>
    <row r="133">
      <c r="A133" t="inlineStr">
        <is>
          <t>C03</t>
        </is>
      </c>
      <c r="B133" t="inlineStr">
        <is>
          <t>Amount undisclosed</t>
        </is>
      </c>
      <c r="C133" t="inlineStr">
        <is>
          <t>info</t>
        </is>
      </c>
      <c r="D133" t="inlineStr">
        <is>
          <t>R260601-intercosmos</t>
        </is>
      </c>
      <c r="E133" t="inlineStr">
        <is>
          <t>InterCosmos</t>
        </is>
      </c>
      <c r="F133" s="17" t="n">
        <v>46174</v>
      </c>
      <c r="G133" t="inlineStr">
        <is>
          <t>amount not disclosed by any source</t>
        </is>
      </c>
    </row>
    <row r="134">
      <c r="A134" t="inlineStr">
        <is>
          <t>C03</t>
        </is>
      </c>
      <c r="B134" t="inlineStr">
        <is>
          <t>Amount undisclosed</t>
        </is>
      </c>
      <c r="C134" t="inlineStr">
        <is>
          <t>info</t>
        </is>
      </c>
      <c r="D134" t="inlineStr">
        <is>
          <t>R260602-rosada</t>
        </is>
      </c>
      <c r="E134" t="inlineStr">
        <is>
          <t>Rosada</t>
        </is>
      </c>
      <c r="F134" s="17" t="n">
        <v>46175</v>
      </c>
      <c r="G134" t="inlineStr">
        <is>
          <t>amount not disclosed by any source</t>
        </is>
      </c>
    </row>
    <row r="135">
      <c r="A135" t="inlineStr">
        <is>
          <t>C03</t>
        </is>
      </c>
      <c r="B135" t="inlineStr">
        <is>
          <t>Amount undisclosed</t>
        </is>
      </c>
      <c r="C135" t="inlineStr">
        <is>
          <t>info</t>
        </is>
      </c>
      <c r="D135" t="inlineStr">
        <is>
          <t>R260610-fold</t>
        </is>
      </c>
      <c r="E135" t="inlineStr">
        <is>
          <t>Fold</t>
        </is>
      </c>
      <c r="F135" s="17" t="n">
        <v>46183</v>
      </c>
      <c r="G135" t="inlineStr">
        <is>
          <t>amount not disclosed by any source</t>
        </is>
      </c>
    </row>
    <row r="136">
      <c r="A136" t="inlineStr">
        <is>
          <t>C03</t>
        </is>
      </c>
      <c r="B136" t="inlineStr">
        <is>
          <t>Amount undisclosed</t>
        </is>
      </c>
      <c r="C136" t="inlineStr">
        <is>
          <t>info</t>
        </is>
      </c>
      <c r="D136" t="inlineStr">
        <is>
          <t>R260612-fittr</t>
        </is>
      </c>
      <c r="E136" t="inlineStr">
        <is>
          <t>Fittr</t>
        </is>
      </c>
      <c r="F136" s="17" t="n">
        <v>46185</v>
      </c>
      <c r="G136" t="inlineStr">
        <is>
          <t>amount not disclosed by any source</t>
        </is>
      </c>
    </row>
    <row r="137">
      <c r="A137" t="inlineStr">
        <is>
          <t>C03</t>
        </is>
      </c>
      <c r="B137" t="inlineStr">
        <is>
          <t>Amount undisclosed</t>
        </is>
      </c>
      <c r="C137" t="inlineStr">
        <is>
          <t>info</t>
        </is>
      </c>
      <c r="D137" t="inlineStr">
        <is>
          <t>R260617-influish</t>
        </is>
      </c>
      <c r="E137" t="inlineStr">
        <is>
          <t>INFLUISH</t>
        </is>
      </c>
      <c r="F137" s="17" t="n">
        <v>46190</v>
      </c>
      <c r="G137" t="inlineStr">
        <is>
          <t>amount not disclosed by any source</t>
        </is>
      </c>
    </row>
    <row r="138">
      <c r="A138" t="inlineStr">
        <is>
          <t>C03</t>
        </is>
      </c>
      <c r="B138" t="inlineStr">
        <is>
          <t>Amount undisclosed</t>
        </is>
      </c>
      <c r="C138" t="inlineStr">
        <is>
          <t>info</t>
        </is>
      </c>
      <c r="D138" t="inlineStr">
        <is>
          <t>R260629-ruskmedia</t>
        </is>
      </c>
      <c r="E138" t="inlineStr">
        <is>
          <t>Rusk Media</t>
        </is>
      </c>
      <c r="F138" s="17" t="n">
        <v>46202</v>
      </c>
      <c r="G138" t="inlineStr">
        <is>
          <t>amount not disclosed by any source</t>
        </is>
      </c>
    </row>
    <row r="139">
      <c r="A139" t="inlineStr">
        <is>
          <t>C03</t>
        </is>
      </c>
      <c r="B139" t="inlineStr">
        <is>
          <t>Amount undisclosed</t>
        </is>
      </c>
      <c r="C139" t="inlineStr">
        <is>
          <t>info</t>
        </is>
      </c>
      <c r="D139" t="inlineStr">
        <is>
          <t>R260707-fizzygoblet</t>
        </is>
      </c>
      <c r="E139" t="inlineStr">
        <is>
          <t>Fizzy Goblet</t>
        </is>
      </c>
      <c r="F139" s="17" t="n">
        <v>46210</v>
      </c>
      <c r="G139" t="inlineStr">
        <is>
          <t>amount not disclosed by any source</t>
        </is>
      </c>
    </row>
    <row r="140">
      <c r="A140" t="inlineStr">
        <is>
          <t>C03</t>
        </is>
      </c>
      <c r="B140" t="inlineStr">
        <is>
          <t>Amount undisclosed</t>
        </is>
      </c>
      <c r="C140" t="inlineStr">
        <is>
          <t>info</t>
        </is>
      </c>
      <c r="D140" t="inlineStr">
        <is>
          <t>R260707-rocketlane</t>
        </is>
      </c>
      <c r="E140" t="inlineStr">
        <is>
          <t>Rocketlane</t>
        </is>
      </c>
      <c r="F140" s="17" t="n">
        <v>46210</v>
      </c>
      <c r="G140" t="inlineStr">
        <is>
          <t>amount not disclosed by any source</t>
        </is>
      </c>
    </row>
    <row r="141">
      <c r="A141" t="inlineStr">
        <is>
          <t>C03</t>
        </is>
      </c>
      <c r="B141" t="inlineStr">
        <is>
          <t>Amount undisclosed</t>
        </is>
      </c>
      <c r="C141" t="inlineStr">
        <is>
          <t>info</t>
        </is>
      </c>
      <c r="D141" t="inlineStr">
        <is>
          <t>R260708-rawbare</t>
        </is>
      </c>
      <c r="E141" t="inlineStr">
        <is>
          <t>Rawbare</t>
        </is>
      </c>
      <c r="F141" s="17" t="n">
        <v>46211</v>
      </c>
      <c r="G141" t="inlineStr">
        <is>
          <t>amount not disclosed by any source</t>
        </is>
      </c>
    </row>
    <row r="142">
      <c r="A142" t="inlineStr">
        <is>
          <t>C03</t>
        </is>
      </c>
      <c r="B142" t="inlineStr">
        <is>
          <t>Amount undisclosed</t>
        </is>
      </c>
      <c r="C142" t="inlineStr">
        <is>
          <t>info</t>
        </is>
      </c>
      <c r="D142" t="inlineStr">
        <is>
          <t>R260715-hisabkitab</t>
        </is>
      </c>
      <c r="E142" t="inlineStr">
        <is>
          <t>Hisabkitab</t>
        </is>
      </c>
      <c r="F142" s="17" t="n">
        <v>46218</v>
      </c>
      <c r="G142" t="inlineStr">
        <is>
          <t>amount not disclosed by any source</t>
        </is>
      </c>
    </row>
    <row r="143">
      <c r="A143" t="inlineStr">
        <is>
          <t>C03</t>
        </is>
      </c>
      <c r="B143" t="inlineStr">
        <is>
          <t>Amount undisclosed</t>
        </is>
      </c>
      <c r="C143" t="inlineStr">
        <is>
          <t>info</t>
        </is>
      </c>
      <c r="D143" t="inlineStr">
        <is>
          <t>R260716-smytten</t>
        </is>
      </c>
      <c r="E143" t="inlineStr">
        <is>
          <t>Smytten</t>
        </is>
      </c>
      <c r="F143" s="17" t="n">
        <v>46219</v>
      </c>
      <c r="G143" t="inlineStr">
        <is>
          <t>amount not disclosed by any source</t>
        </is>
      </c>
    </row>
    <row r="144">
      <c r="A144" t="inlineStr">
        <is>
          <t>C03</t>
        </is>
      </c>
      <c r="B144" t="inlineStr">
        <is>
          <t>Amount undisclosed</t>
        </is>
      </c>
      <c r="C144" t="inlineStr">
        <is>
          <t>info</t>
        </is>
      </c>
      <c r="D144" t="inlineStr">
        <is>
          <t>R260721-khageshvaraavi</t>
        </is>
      </c>
      <c r="E144" t="inlineStr">
        <is>
          <t>Khageshvara Aviation Technology</t>
        </is>
      </c>
      <c r="F144" s="17" t="n">
        <v>46224</v>
      </c>
      <c r="G144" t="inlineStr">
        <is>
          <t>amount not disclosed by any source</t>
        </is>
      </c>
    </row>
    <row r="145">
      <c r="A145" t="inlineStr">
        <is>
          <t>C03</t>
        </is>
      </c>
      <c r="B145" t="inlineStr">
        <is>
          <t>Amount undisclosed</t>
        </is>
      </c>
      <c r="C145" t="inlineStr">
        <is>
          <t>info</t>
        </is>
      </c>
      <c r="D145" t="inlineStr">
        <is>
          <t>R260803-unbloc</t>
        </is>
      </c>
      <c r="E145" t="inlineStr">
        <is>
          <t>UN:BLOC</t>
        </is>
      </c>
      <c r="F145" s="17" t="n">
        <v>46237</v>
      </c>
      <c r="G145" t="inlineStr">
        <is>
          <t>amount not disclosed by any source</t>
        </is>
      </c>
    </row>
    <row r="146">
      <c r="A146" t="inlineStr">
        <is>
          <t>C03</t>
        </is>
      </c>
      <c r="B146" t="inlineStr">
        <is>
          <t>Amount undisclosed</t>
        </is>
      </c>
      <c r="C146" t="inlineStr">
        <is>
          <t>info</t>
        </is>
      </c>
      <c r="D146" t="inlineStr">
        <is>
          <t>R260813-kshatralabs</t>
        </is>
      </c>
      <c r="E146" t="inlineStr">
        <is>
          <t>KshatraLabs</t>
        </is>
      </c>
      <c r="F146" s="17" t="n">
        <v>46247</v>
      </c>
      <c r="G146" t="inlineStr">
        <is>
          <t>amount not disclosed by any source</t>
        </is>
      </c>
    </row>
    <row r="147">
      <c r="A147" t="inlineStr">
        <is>
          <t>C03</t>
        </is>
      </c>
      <c r="B147" t="inlineStr">
        <is>
          <t>Amount undisclosed</t>
        </is>
      </c>
      <c r="C147" t="inlineStr">
        <is>
          <t>info</t>
        </is>
      </c>
      <c r="D147" t="inlineStr">
        <is>
          <t>R260820-neuromodaqua</t>
        </is>
      </c>
      <c r="E147" t="inlineStr">
        <is>
          <t>Neuromod Aqua</t>
        </is>
      </c>
      <c r="F147" s="17" t="n">
        <v>46254</v>
      </c>
      <c r="G147" t="inlineStr">
        <is>
          <t>amount not disclosed by any source</t>
        </is>
      </c>
    </row>
    <row r="148">
      <c r="A148" t="inlineStr">
        <is>
          <t>C03</t>
        </is>
      </c>
      <c r="B148" t="inlineStr">
        <is>
          <t>Amount undisclosed</t>
        </is>
      </c>
      <c r="C148" t="inlineStr">
        <is>
          <t>info</t>
        </is>
      </c>
      <c r="D148" t="inlineStr">
        <is>
          <t>R260820-tross</t>
        </is>
      </c>
      <c r="E148" t="inlineStr">
        <is>
          <t>Tross</t>
        </is>
      </c>
      <c r="F148" s="17" t="n">
        <v>46254</v>
      </c>
      <c r="G148" t="inlineStr">
        <is>
          <t>amount not disclosed by any source</t>
        </is>
      </c>
    </row>
    <row r="149">
      <c r="A149" t="inlineStr">
        <is>
          <t>C03</t>
        </is>
      </c>
      <c r="B149" t="inlineStr">
        <is>
          <t>Amount undisclosed</t>
        </is>
      </c>
      <c r="C149" t="inlineStr">
        <is>
          <t>info</t>
        </is>
      </c>
      <c r="D149" t="inlineStr">
        <is>
          <t>R260824-lightfurygames</t>
        </is>
      </c>
      <c r="E149" t="inlineStr">
        <is>
          <t>LightFury Games</t>
        </is>
      </c>
      <c r="F149" s="17" t="n">
        <v>46258</v>
      </c>
      <c r="G149" t="inlineStr">
        <is>
          <t>amount not disclosed by any source</t>
        </is>
      </c>
    </row>
    <row r="150">
      <c r="A150" t="inlineStr">
        <is>
          <t>C03</t>
        </is>
      </c>
      <c r="B150" t="inlineStr">
        <is>
          <t>Amount undisclosed</t>
        </is>
      </c>
      <c r="C150" t="inlineStr">
        <is>
          <t>info</t>
        </is>
      </c>
      <c r="D150" t="inlineStr">
        <is>
          <t>R260825-staywellhealth</t>
        </is>
      </c>
      <c r="E150" t="inlineStr">
        <is>
          <t>Staywell.Health</t>
        </is>
      </c>
      <c r="F150" s="17" t="n">
        <v>46259</v>
      </c>
      <c r="G150" t="inlineStr">
        <is>
          <t>amount not disclosed by any source</t>
        </is>
      </c>
    </row>
    <row r="151">
      <c r="A151" t="inlineStr">
        <is>
          <t>C03</t>
        </is>
      </c>
      <c r="B151" t="inlineStr">
        <is>
          <t>Amount undisclosed</t>
        </is>
      </c>
      <c r="C151" t="inlineStr">
        <is>
          <t>info</t>
        </is>
      </c>
      <c r="D151" t="inlineStr">
        <is>
          <t>R260826-brisiltechnolo</t>
        </is>
      </c>
      <c r="E151" t="inlineStr">
        <is>
          <t>Brisil Technologies</t>
        </is>
      </c>
      <c r="F151" s="17" t="n">
        <v>46260</v>
      </c>
      <c r="G151" t="inlineStr">
        <is>
          <t>amount not disclosed by any source</t>
        </is>
      </c>
    </row>
    <row r="152">
      <c r="A152" t="inlineStr">
        <is>
          <t>C03</t>
        </is>
      </c>
      <c r="B152" t="inlineStr">
        <is>
          <t>Amount undisclosed</t>
        </is>
      </c>
      <c r="C152" t="inlineStr">
        <is>
          <t>info</t>
        </is>
      </c>
      <c r="D152" t="inlineStr">
        <is>
          <t>R260901-speakx</t>
        </is>
      </c>
      <c r="E152" t="inlineStr">
        <is>
          <t>SpeakX</t>
        </is>
      </c>
      <c r="F152" s="17" t="n">
        <v>46266</v>
      </c>
      <c r="G152" t="inlineStr">
        <is>
          <t>amount not disclosed by any source</t>
        </is>
      </c>
    </row>
    <row r="153">
      <c r="A153" t="inlineStr">
        <is>
          <t>C03</t>
        </is>
      </c>
      <c r="B153" t="inlineStr">
        <is>
          <t>Amount undisclosed</t>
        </is>
      </c>
      <c r="C153" t="inlineStr">
        <is>
          <t>info</t>
        </is>
      </c>
      <c r="D153" t="inlineStr">
        <is>
          <t>R260901-wldd</t>
        </is>
      </c>
      <c r="E153" t="inlineStr">
        <is>
          <t>WLDD</t>
        </is>
      </c>
      <c r="F153" s="17" t="n">
        <v>46266</v>
      </c>
      <c r="G153" t="inlineStr">
        <is>
          <t>amount not disclosed by any source</t>
        </is>
      </c>
    </row>
    <row r="154">
      <c r="A154" t="inlineStr">
        <is>
          <t>C03</t>
        </is>
      </c>
      <c r="B154" t="inlineStr">
        <is>
          <t>Amount undisclosed</t>
        </is>
      </c>
      <c r="C154" t="inlineStr">
        <is>
          <t>info</t>
        </is>
      </c>
      <c r="D154" t="inlineStr">
        <is>
          <t>R260901-xstep</t>
        </is>
      </c>
      <c r="E154" t="inlineStr">
        <is>
          <t>xStep</t>
        </is>
      </c>
      <c r="F154" s="17" t="n">
        <v>46266</v>
      </c>
      <c r="G154" t="inlineStr">
        <is>
          <t>amount not disclosed by any source</t>
        </is>
      </c>
    </row>
    <row r="155">
      <c r="A155" t="inlineStr">
        <is>
          <t>C03</t>
        </is>
      </c>
      <c r="B155" t="inlineStr">
        <is>
          <t>Amount undisclosed</t>
        </is>
      </c>
      <c r="C155" t="inlineStr">
        <is>
          <t>info</t>
        </is>
      </c>
      <c r="D155" t="inlineStr">
        <is>
          <t>R260903-yolearnai</t>
        </is>
      </c>
      <c r="E155" t="inlineStr">
        <is>
          <t>YoLearn.ai</t>
        </is>
      </c>
      <c r="F155" s="17" t="n">
        <v>46268</v>
      </c>
      <c r="G155" t="inlineStr">
        <is>
          <t>amount not disclosed by any source</t>
        </is>
      </c>
    </row>
    <row r="156">
      <c r="A156" t="inlineStr">
        <is>
          <t>C03</t>
        </is>
      </c>
      <c r="B156" t="inlineStr">
        <is>
          <t>Amount undisclosed</t>
        </is>
      </c>
      <c r="C156" t="inlineStr">
        <is>
          <t>info</t>
        </is>
      </c>
      <c r="D156" t="inlineStr">
        <is>
          <t>R260907-damensch</t>
        </is>
      </c>
      <c r="E156" t="inlineStr">
        <is>
          <t>DaMENSCH</t>
        </is>
      </c>
      <c r="F156" s="17" t="n">
        <v>46272</v>
      </c>
      <c r="G156" t="inlineStr">
        <is>
          <t>amount not disclosed by any source</t>
        </is>
      </c>
    </row>
    <row r="157">
      <c r="A157" t="inlineStr">
        <is>
          <t>C03</t>
        </is>
      </c>
      <c r="B157" t="inlineStr">
        <is>
          <t>Amount undisclosed</t>
        </is>
      </c>
      <c r="C157" t="inlineStr">
        <is>
          <t>info</t>
        </is>
      </c>
      <c r="D157" t="inlineStr">
        <is>
          <t>R260908-truefanai</t>
        </is>
      </c>
      <c r="E157" t="inlineStr">
        <is>
          <t>TrueFan AI</t>
        </is>
      </c>
      <c r="F157" s="17" t="n">
        <v>46273</v>
      </c>
      <c r="G157" t="inlineStr">
        <is>
          <t>amount not disclosed by any source</t>
        </is>
      </c>
    </row>
    <row r="158">
      <c r="A158" t="inlineStr">
        <is>
          <t>C03</t>
        </is>
      </c>
      <c r="B158" t="inlineStr">
        <is>
          <t>Amount undisclosed</t>
        </is>
      </c>
      <c r="C158" t="inlineStr">
        <is>
          <t>info</t>
        </is>
      </c>
      <c r="D158" t="inlineStr">
        <is>
          <t>R260918-physioplusheal</t>
        </is>
      </c>
      <c r="E158" t="inlineStr">
        <is>
          <t>Physioplus Healthcare</t>
        </is>
      </c>
      <c r="F158" s="17" t="n">
        <v>46283</v>
      </c>
      <c r="G158" t="inlineStr">
        <is>
          <t>amount not disclosed by any source</t>
        </is>
      </c>
    </row>
    <row r="159">
      <c r="A159" t="inlineStr">
        <is>
          <t>C03</t>
        </is>
      </c>
      <c r="B159" t="inlineStr">
        <is>
          <t>Amount undisclosed</t>
        </is>
      </c>
      <c r="C159" t="inlineStr">
        <is>
          <t>info</t>
        </is>
      </c>
      <c r="D159" t="inlineStr">
        <is>
          <t>R260918-zinara</t>
        </is>
      </c>
      <c r="E159" t="inlineStr">
        <is>
          <t>Zinara</t>
        </is>
      </c>
      <c r="F159" s="17" t="n">
        <v>46283</v>
      </c>
      <c r="G159" t="inlineStr">
        <is>
          <t>amount not disclosed by any source</t>
        </is>
      </c>
    </row>
    <row r="160">
      <c r="A160" t="inlineStr">
        <is>
          <t>C03</t>
        </is>
      </c>
      <c r="B160" t="inlineStr">
        <is>
          <t>Amount undisclosed</t>
        </is>
      </c>
      <c r="C160" t="inlineStr">
        <is>
          <t>info</t>
        </is>
      </c>
      <c r="D160" t="inlineStr">
        <is>
          <t>R260923-indianwalker</t>
        </is>
      </c>
      <c r="E160" t="inlineStr">
        <is>
          <t>Indian Walker</t>
        </is>
      </c>
      <c r="F160" s="17" t="n">
        <v>46288</v>
      </c>
      <c r="G160" t="inlineStr">
        <is>
          <t>amount not disclosed by any source</t>
        </is>
      </c>
    </row>
    <row r="161">
      <c r="A161" t="inlineStr">
        <is>
          <t>C03</t>
        </is>
      </c>
      <c r="B161" t="inlineStr">
        <is>
          <t>Amount undisclosed</t>
        </is>
      </c>
      <c r="C161" t="inlineStr">
        <is>
          <t>info</t>
        </is>
      </c>
      <c r="D161" t="inlineStr">
        <is>
          <t>R260923-spacephilic</t>
        </is>
      </c>
      <c r="E161" t="inlineStr">
        <is>
          <t>Space Philic</t>
        </is>
      </c>
      <c r="F161" s="17" t="n">
        <v>46288</v>
      </c>
      <c r="G161" t="inlineStr">
        <is>
          <t>amount not disclosed by any source</t>
        </is>
      </c>
    </row>
    <row r="162">
      <c r="A162" t="inlineStr">
        <is>
          <t>C03</t>
        </is>
      </c>
      <c r="B162" t="inlineStr">
        <is>
          <t>Amount undisclosed</t>
        </is>
      </c>
      <c r="C162" t="inlineStr">
        <is>
          <t>info</t>
        </is>
      </c>
      <c r="D162" t="inlineStr">
        <is>
          <t>R260923-timbuckdo</t>
        </is>
      </c>
      <c r="E162" t="inlineStr">
        <is>
          <t>TimBuckDo</t>
        </is>
      </c>
      <c r="F162" s="17" t="n">
        <v>46288</v>
      </c>
      <c r="G162" t="inlineStr">
        <is>
          <t>amount not disclosed by any source</t>
        </is>
      </c>
    </row>
    <row r="163">
      <c r="A163" t="inlineStr">
        <is>
          <t>C03</t>
        </is>
      </c>
      <c r="B163" t="inlineStr">
        <is>
          <t>Amount undisclosed</t>
        </is>
      </c>
      <c r="C163" t="inlineStr">
        <is>
          <t>info</t>
        </is>
      </c>
      <c r="D163" t="inlineStr">
        <is>
          <t>R260924-myrx</t>
        </is>
      </c>
      <c r="E163" t="inlineStr">
        <is>
          <t>MyRx</t>
        </is>
      </c>
      <c r="F163" s="17" t="n">
        <v>46289</v>
      </c>
      <c r="G163" t="inlineStr">
        <is>
          <t>amount not disclosed by any source</t>
        </is>
      </c>
    </row>
    <row r="164">
      <c r="A164" t="inlineStr">
        <is>
          <t>C03</t>
        </is>
      </c>
      <c r="B164" t="inlineStr">
        <is>
          <t>Amount undisclosed</t>
        </is>
      </c>
      <c r="C164" t="inlineStr">
        <is>
          <t>info</t>
        </is>
      </c>
      <c r="D164" t="inlineStr">
        <is>
          <t>R260928-aroviaconsumer</t>
        </is>
      </c>
      <c r="E164" t="inlineStr">
        <is>
          <t>Arovia Consumer</t>
        </is>
      </c>
      <c r="F164" s="17" t="n">
        <v>46293</v>
      </c>
      <c r="G164" t="inlineStr">
        <is>
          <t>amount not disclosed by any source</t>
        </is>
      </c>
    </row>
    <row r="165">
      <c r="A165" t="inlineStr">
        <is>
          <t>C03</t>
        </is>
      </c>
      <c r="B165" t="inlineStr">
        <is>
          <t>Amount undisclosed</t>
        </is>
      </c>
      <c r="C165" t="inlineStr">
        <is>
          <t>info</t>
        </is>
      </c>
      <c r="D165" t="inlineStr">
        <is>
          <t>R260928-keploy</t>
        </is>
      </c>
      <c r="E165" t="inlineStr">
        <is>
          <t>Keploy</t>
        </is>
      </c>
      <c r="F165" s="17" t="n">
        <v>46293</v>
      </c>
      <c r="G165" t="inlineStr">
        <is>
          <t>amount not disclosed by any source</t>
        </is>
      </c>
    </row>
    <row r="166">
      <c r="A166" t="inlineStr">
        <is>
          <t>C03</t>
        </is>
      </c>
      <c r="B166" t="inlineStr">
        <is>
          <t>Amount undisclosed</t>
        </is>
      </c>
      <c r="C166" t="inlineStr">
        <is>
          <t>info</t>
        </is>
      </c>
      <c r="D166" t="inlineStr">
        <is>
          <t>R260929-figliving</t>
        </is>
      </c>
      <c r="E166" t="inlineStr">
        <is>
          <t>FIG Living</t>
        </is>
      </c>
      <c r="F166" s="17" t="n">
        <v>46294</v>
      </c>
      <c r="G166" t="inlineStr">
        <is>
          <t>amount not disclosed by any source</t>
        </is>
      </c>
    </row>
    <row r="167">
      <c r="A167" t="inlineStr">
        <is>
          <t>C03</t>
        </is>
      </c>
      <c r="B167" t="inlineStr">
        <is>
          <t>Amount undisclosed</t>
        </is>
      </c>
      <c r="C167" t="inlineStr">
        <is>
          <t>info</t>
        </is>
      </c>
      <c r="D167" t="inlineStr">
        <is>
          <t>R260929-formerboatexec</t>
        </is>
      </c>
      <c r="E167" t="inlineStr">
        <is>
          <t>former boAt executive</t>
        </is>
      </c>
      <c r="F167" s="17" t="n">
        <v>46294</v>
      </c>
      <c r="G167" t="inlineStr">
        <is>
          <t>amount not disclosed by any source</t>
        </is>
      </c>
    </row>
    <row r="168">
      <c r="A168" t="inlineStr">
        <is>
          <t>C03</t>
        </is>
      </c>
      <c r="B168" t="inlineStr">
        <is>
          <t>Amount undisclosed</t>
        </is>
      </c>
      <c r="C168" t="inlineStr">
        <is>
          <t>info</t>
        </is>
      </c>
      <c r="D168" t="inlineStr">
        <is>
          <t>R261001-unveilrai</t>
        </is>
      </c>
      <c r="E168" t="inlineStr">
        <is>
          <t>Unveilr AI</t>
        </is>
      </c>
      <c r="F168" s="17" t="n">
        <v>46296</v>
      </c>
      <c r="G168" t="inlineStr">
        <is>
          <t>amount not disclosed by any source</t>
        </is>
      </c>
    </row>
    <row r="169">
      <c r="A169" t="inlineStr">
        <is>
          <t>C03</t>
        </is>
      </c>
      <c r="B169" t="inlineStr">
        <is>
          <t>Amount undisclosed</t>
        </is>
      </c>
      <c r="C169" t="inlineStr">
        <is>
          <t>info</t>
        </is>
      </c>
      <c r="D169" t="inlineStr">
        <is>
          <t>R261009-moneytruva</t>
        </is>
      </c>
      <c r="E169" t="inlineStr">
        <is>
          <t>MoneyTruVa</t>
        </is>
      </c>
      <c r="F169" s="17" t="n">
        <v>46304</v>
      </c>
      <c r="G169" t="inlineStr">
        <is>
          <t>amount not disclosed by any source</t>
        </is>
      </c>
    </row>
    <row r="170">
      <c r="A170" t="inlineStr">
        <is>
          <t>C04</t>
        </is>
      </c>
      <c r="B170" t="inlineStr">
        <is>
          <t>Stage undisclosed</t>
        </is>
      </c>
      <c r="C170" t="inlineStr">
        <is>
          <t>info</t>
        </is>
      </c>
      <c r="D170" t="inlineStr">
        <is>
          <t>R250104-oyo</t>
        </is>
      </c>
      <c r="E170" t="inlineStr">
        <is>
          <t>OYO</t>
        </is>
      </c>
      <c r="F170" s="17" t="n">
        <v>45661</v>
      </c>
      <c r="G170" t="inlineStr">
        <is>
          <t>no source names the stage</t>
        </is>
      </c>
    </row>
    <row r="171">
      <c r="A171" t="inlineStr">
        <is>
          <t>C04</t>
        </is>
      </c>
      <c r="B171" t="inlineStr">
        <is>
          <t>Stage undisclosed</t>
        </is>
      </c>
      <c r="C171" t="inlineStr">
        <is>
          <t>info</t>
        </is>
      </c>
      <c r="D171" t="inlineStr">
        <is>
          <t>R250107-bodmastechnolo</t>
        </is>
      </c>
      <c r="E171" t="inlineStr">
        <is>
          <t>Bodmas Technologies</t>
        </is>
      </c>
      <c r="F171" s="17" t="n">
        <v>45664</v>
      </c>
      <c r="G171" t="inlineStr">
        <is>
          <t>no source names the stage</t>
        </is>
      </c>
    </row>
    <row r="172">
      <c r="A172" t="inlineStr">
        <is>
          <t>C04</t>
        </is>
      </c>
      <c r="B172" t="inlineStr">
        <is>
          <t>Stage undisclosed</t>
        </is>
      </c>
      <c r="C172" t="inlineStr">
        <is>
          <t>info</t>
        </is>
      </c>
      <c r="D172" t="inlineStr">
        <is>
          <t>R250107-pratilipi</t>
        </is>
      </c>
      <c r="E172" t="inlineStr">
        <is>
          <t>Pratilipi</t>
        </is>
      </c>
      <c r="F172" s="17" t="n">
        <v>45664</v>
      </c>
      <c r="G172" t="inlineStr">
        <is>
          <t>no source names the stage</t>
        </is>
      </c>
    </row>
    <row r="173">
      <c r="A173" t="inlineStr">
        <is>
          <t>C04</t>
        </is>
      </c>
      <c r="B173" t="inlineStr">
        <is>
          <t>Stage undisclosed</t>
        </is>
      </c>
      <c r="C173" t="inlineStr">
        <is>
          <t>info</t>
        </is>
      </c>
      <c r="D173" t="inlineStr">
        <is>
          <t>R250109-infinityfincor</t>
        </is>
      </c>
      <c r="E173" t="inlineStr">
        <is>
          <t>Infinity Fincorp</t>
        </is>
      </c>
      <c r="F173" s="17" t="n">
        <v>45666</v>
      </c>
      <c r="G173" t="inlineStr">
        <is>
          <t>no source names the stage</t>
        </is>
      </c>
    </row>
    <row r="174">
      <c r="A174" t="inlineStr">
        <is>
          <t>C04</t>
        </is>
      </c>
      <c r="B174" t="inlineStr">
        <is>
          <t>Stage undisclosed</t>
        </is>
      </c>
      <c r="C174" t="inlineStr">
        <is>
          <t>info</t>
        </is>
      </c>
      <c r="D174" t="inlineStr">
        <is>
          <t>R250109-integrishealth</t>
        </is>
      </c>
      <c r="E174" t="inlineStr">
        <is>
          <t>Integris Health</t>
        </is>
      </c>
      <c r="F174" s="17" t="n">
        <v>45666</v>
      </c>
      <c r="G174" t="inlineStr">
        <is>
          <t>no source names the stage</t>
        </is>
      </c>
    </row>
    <row r="175">
      <c r="A175" t="inlineStr">
        <is>
          <t>C04</t>
        </is>
      </c>
      <c r="B175" t="inlineStr">
        <is>
          <t>Stage undisclosed</t>
        </is>
      </c>
      <c r="C175" t="inlineStr">
        <is>
          <t>info</t>
        </is>
      </c>
      <c r="D175" t="inlineStr">
        <is>
          <t>R250109-waycool</t>
        </is>
      </c>
      <c r="E175" t="inlineStr">
        <is>
          <t>WayCool</t>
        </is>
      </c>
      <c r="F175" s="17" t="n">
        <v>45666</v>
      </c>
      <c r="G175" t="inlineStr">
        <is>
          <t>no source names the stage</t>
        </is>
      </c>
    </row>
    <row r="176">
      <c r="A176" t="inlineStr">
        <is>
          <t>C04</t>
        </is>
      </c>
      <c r="B176" t="inlineStr">
        <is>
          <t>Stage undisclosed</t>
        </is>
      </c>
      <c r="C176" t="inlineStr">
        <is>
          <t>info</t>
        </is>
      </c>
      <c r="D176" t="inlineStr">
        <is>
          <t>R250113-weworkindia</t>
        </is>
      </c>
      <c r="E176" t="inlineStr">
        <is>
          <t>WeWork India</t>
        </is>
      </c>
      <c r="F176" s="17" t="n">
        <v>45670</v>
      </c>
      <c r="G176" t="inlineStr">
        <is>
          <t>no source names the stage</t>
        </is>
      </c>
    </row>
    <row r="177">
      <c r="A177" t="inlineStr">
        <is>
          <t>C04</t>
        </is>
      </c>
      <c r="B177" t="inlineStr">
        <is>
          <t>Stage undisclosed</t>
        </is>
      </c>
      <c r="C177" t="inlineStr">
        <is>
          <t>info</t>
        </is>
      </c>
      <c r="D177" t="inlineStr">
        <is>
          <t>R250114-bgauss</t>
        </is>
      </c>
      <c r="E177" t="inlineStr">
        <is>
          <t>BGauss</t>
        </is>
      </c>
      <c r="F177" s="17" t="n">
        <v>45671</v>
      </c>
      <c r="G177" t="inlineStr">
        <is>
          <t>no source names the stage</t>
        </is>
      </c>
    </row>
    <row r="178">
      <c r="A178" t="inlineStr">
        <is>
          <t>C04</t>
        </is>
      </c>
      <c r="B178" t="inlineStr">
        <is>
          <t>Stage undisclosed</t>
        </is>
      </c>
      <c r="C178" t="inlineStr">
        <is>
          <t>info</t>
        </is>
      </c>
      <c r="D178" t="inlineStr">
        <is>
          <t>R250115-parkmate</t>
        </is>
      </c>
      <c r="E178" t="inlineStr">
        <is>
          <t>ParkMate</t>
        </is>
      </c>
      <c r="F178" s="17" t="n">
        <v>45672</v>
      </c>
      <c r="G178" t="inlineStr">
        <is>
          <t>no source names the stage</t>
        </is>
      </c>
    </row>
    <row r="179">
      <c r="A179" t="inlineStr">
        <is>
          <t>C04</t>
        </is>
      </c>
      <c r="B179" t="inlineStr">
        <is>
          <t>Stage undisclosed</t>
        </is>
      </c>
      <c r="C179" t="inlineStr">
        <is>
          <t>info</t>
        </is>
      </c>
      <c r="D179" t="inlineStr">
        <is>
          <t>R250115-tyreplex</t>
        </is>
      </c>
      <c r="E179" t="inlineStr">
        <is>
          <t>TyrePlex</t>
        </is>
      </c>
      <c r="F179" s="17" t="n">
        <v>45672</v>
      </c>
      <c r="G179" t="inlineStr">
        <is>
          <t>no source names the stage</t>
        </is>
      </c>
    </row>
    <row r="180">
      <c r="A180" t="inlineStr">
        <is>
          <t>C04</t>
        </is>
      </c>
      <c r="B180" t="inlineStr">
        <is>
          <t>Stage undisclosed</t>
        </is>
      </c>
      <c r="C180" t="inlineStr">
        <is>
          <t>info</t>
        </is>
      </c>
      <c r="D180" t="inlineStr">
        <is>
          <t>R250116-emiza</t>
        </is>
      </c>
      <c r="E180" t="inlineStr">
        <is>
          <t>Emiza</t>
        </is>
      </c>
      <c r="F180" s="17" t="n">
        <v>45673</v>
      </c>
      <c r="G180" t="inlineStr">
        <is>
          <t>no source names the stage</t>
        </is>
      </c>
    </row>
    <row r="181">
      <c r="A181" t="inlineStr">
        <is>
          <t>C04</t>
        </is>
      </c>
      <c r="B181" t="inlineStr">
        <is>
          <t>Stage undisclosed</t>
        </is>
      </c>
      <c r="C181" t="inlineStr">
        <is>
          <t>info</t>
        </is>
      </c>
      <c r="D181" t="inlineStr">
        <is>
          <t>R250116-zerocircle</t>
        </is>
      </c>
      <c r="E181" t="inlineStr">
        <is>
          <t>Zerocircle</t>
        </is>
      </c>
      <c r="F181" s="17" t="n">
        <v>45673</v>
      </c>
      <c r="G181" t="inlineStr">
        <is>
          <t>no source names the stage</t>
        </is>
      </c>
    </row>
    <row r="182">
      <c r="A182" t="inlineStr">
        <is>
          <t>C04</t>
        </is>
      </c>
      <c r="B182" t="inlineStr">
        <is>
          <t>Stage undisclosed</t>
        </is>
      </c>
      <c r="C182" t="inlineStr">
        <is>
          <t>info</t>
        </is>
      </c>
      <c r="D182" t="inlineStr">
        <is>
          <t>R250118-gridos</t>
        </is>
      </c>
      <c r="E182" t="inlineStr">
        <is>
          <t>Grid OS</t>
        </is>
      </c>
      <c r="F182" s="17" t="n">
        <v>45675</v>
      </c>
      <c r="G182" t="inlineStr">
        <is>
          <t>no source names the stage</t>
        </is>
      </c>
    </row>
    <row r="183">
      <c r="A183" t="inlineStr">
        <is>
          <t>C04</t>
        </is>
      </c>
      <c r="B183" t="inlineStr">
        <is>
          <t>Stage undisclosed</t>
        </is>
      </c>
      <c r="C183" t="inlineStr">
        <is>
          <t>info</t>
        </is>
      </c>
      <c r="D183" t="inlineStr">
        <is>
          <t>R250120-burmaburma</t>
        </is>
      </c>
      <c r="E183" t="inlineStr">
        <is>
          <t>Burma Burma</t>
        </is>
      </c>
      <c r="F183" s="17" t="n">
        <v>45677</v>
      </c>
      <c r="G183" t="inlineStr">
        <is>
          <t>no source names the stage</t>
        </is>
      </c>
    </row>
    <row r="184">
      <c r="A184" t="inlineStr">
        <is>
          <t>C04</t>
        </is>
      </c>
      <c r="B184" t="inlineStr">
        <is>
          <t>Stage undisclosed</t>
        </is>
      </c>
      <c r="C184" t="inlineStr">
        <is>
          <t>info</t>
        </is>
      </c>
      <c r="D184" t="inlineStr">
        <is>
          <t>R250120-nazara</t>
        </is>
      </c>
      <c r="E184" t="inlineStr">
        <is>
          <t>Nazara</t>
        </is>
      </c>
      <c r="F184" s="17" t="n">
        <v>45677</v>
      </c>
      <c r="G184" t="inlineStr">
        <is>
          <t>no source names the stage</t>
        </is>
      </c>
    </row>
    <row r="185">
      <c r="A185" t="inlineStr">
        <is>
          <t>C04</t>
        </is>
      </c>
      <c r="B185" t="inlineStr">
        <is>
          <t>Stage undisclosed</t>
        </is>
      </c>
      <c r="C185" t="inlineStr">
        <is>
          <t>info</t>
        </is>
      </c>
      <c r="D185" t="inlineStr">
        <is>
          <t>R250121-workie</t>
        </is>
      </c>
      <c r="E185" t="inlineStr">
        <is>
          <t>Workie</t>
        </is>
      </c>
      <c r="F185" s="17" t="n">
        <v>45678</v>
      </c>
      <c r="G185" t="inlineStr">
        <is>
          <t>no source names the stage</t>
        </is>
      </c>
    </row>
    <row r="186">
      <c r="A186" t="inlineStr">
        <is>
          <t>C04</t>
        </is>
      </c>
      <c r="B186" t="inlineStr">
        <is>
          <t>Stage undisclosed</t>
        </is>
      </c>
      <c r="C186" t="inlineStr">
        <is>
          <t>info</t>
        </is>
      </c>
      <c r="D186" t="inlineStr">
        <is>
          <t>R250122-deconstruct</t>
        </is>
      </c>
      <c r="E186" t="inlineStr">
        <is>
          <t>DeConstruct</t>
        </is>
      </c>
      <c r="F186" s="17" t="n">
        <v>45679</v>
      </c>
      <c r="G186" t="inlineStr">
        <is>
          <t>no source names the stage</t>
        </is>
      </c>
    </row>
    <row r="187">
      <c r="A187" t="inlineStr">
        <is>
          <t>C04</t>
        </is>
      </c>
      <c r="B187" t="inlineStr">
        <is>
          <t>Stage undisclosed</t>
        </is>
      </c>
      <c r="C187" t="inlineStr">
        <is>
          <t>info</t>
        </is>
      </c>
      <c r="D187" t="inlineStr">
        <is>
          <t>R250122-spare8</t>
        </is>
      </c>
      <c r="E187" t="inlineStr">
        <is>
          <t>Spare8</t>
        </is>
      </c>
      <c r="F187" s="17" t="n">
        <v>45679</v>
      </c>
      <c r="G187" t="inlineStr">
        <is>
          <t>no source names the stage</t>
        </is>
      </c>
    </row>
    <row r="188">
      <c r="A188" t="inlineStr">
        <is>
          <t>C04</t>
        </is>
      </c>
      <c r="B188" t="inlineStr">
        <is>
          <t>Stage undisclosed</t>
        </is>
      </c>
      <c r="C188" t="inlineStr">
        <is>
          <t>info</t>
        </is>
      </c>
      <c r="D188" t="inlineStr">
        <is>
          <t>R250122-zeelabpharmacy</t>
        </is>
      </c>
      <c r="E188" t="inlineStr">
        <is>
          <t>Zeelab Pharmacy</t>
        </is>
      </c>
      <c r="F188" s="17" t="n">
        <v>45679</v>
      </c>
      <c r="G188" t="inlineStr">
        <is>
          <t>no source names the stage</t>
        </is>
      </c>
    </row>
    <row r="189">
      <c r="A189" t="inlineStr">
        <is>
          <t>C04</t>
        </is>
      </c>
      <c r="B189" t="inlineStr">
        <is>
          <t>Stage undisclosed</t>
        </is>
      </c>
      <c r="C189" t="inlineStr">
        <is>
          <t>info</t>
        </is>
      </c>
      <c r="D189" t="inlineStr">
        <is>
          <t>R250123-arisinfra</t>
        </is>
      </c>
      <c r="E189" t="inlineStr">
        <is>
          <t>ArisInfra</t>
        </is>
      </c>
      <c r="F189" s="17" t="n">
        <v>45680</v>
      </c>
      <c r="G189" t="inlineStr">
        <is>
          <t>no source names the stage</t>
        </is>
      </c>
    </row>
    <row r="190">
      <c r="A190" t="inlineStr">
        <is>
          <t>C04</t>
        </is>
      </c>
      <c r="B190" t="inlineStr">
        <is>
          <t>Stage undisclosed</t>
        </is>
      </c>
      <c r="C190" t="inlineStr">
        <is>
          <t>info</t>
        </is>
      </c>
      <c r="D190" t="inlineStr">
        <is>
          <t>R250123-landeed</t>
        </is>
      </c>
      <c r="E190" t="inlineStr">
        <is>
          <t>Landeed</t>
        </is>
      </c>
      <c r="F190" s="17" t="n">
        <v>45680</v>
      </c>
      <c r="G190" t="inlineStr">
        <is>
          <t>no source names the stage</t>
        </is>
      </c>
    </row>
    <row r="191">
      <c r="A191" t="inlineStr">
        <is>
          <t>C04</t>
        </is>
      </c>
      <c r="B191" t="inlineStr">
        <is>
          <t>Stage undisclosed</t>
        </is>
      </c>
      <c r="C191" t="inlineStr">
        <is>
          <t>info</t>
        </is>
      </c>
      <c r="D191" t="inlineStr">
        <is>
          <t>R250127-astrometechnol</t>
        </is>
      </c>
      <c r="E191" t="inlineStr">
        <is>
          <t>Astrome</t>
        </is>
      </c>
      <c r="F191" s="17" t="n">
        <v>45684</v>
      </c>
      <c r="G191" t="inlineStr">
        <is>
          <t>no source names the stage</t>
        </is>
      </c>
    </row>
    <row r="192">
      <c r="A192" t="inlineStr">
        <is>
          <t>C04</t>
        </is>
      </c>
      <c r="B192" t="inlineStr">
        <is>
          <t>Stage undisclosed</t>
        </is>
      </c>
      <c r="C192" t="inlineStr">
        <is>
          <t>info</t>
        </is>
      </c>
      <c r="D192" t="inlineStr">
        <is>
          <t>R250127-gericarehealth</t>
        </is>
      </c>
      <c r="E192" t="inlineStr">
        <is>
          <t>Geri Care Health Services</t>
        </is>
      </c>
      <c r="F192" s="17" t="n">
        <v>45684</v>
      </c>
      <c r="G192" t="inlineStr">
        <is>
          <t>no source names the stage</t>
        </is>
      </c>
    </row>
    <row r="193">
      <c r="A193" t="inlineStr">
        <is>
          <t>C04</t>
        </is>
      </c>
      <c r="B193" t="inlineStr">
        <is>
          <t>Stage undisclosed</t>
        </is>
      </c>
      <c r="C193" t="inlineStr">
        <is>
          <t>info</t>
        </is>
      </c>
      <c r="D193" t="inlineStr">
        <is>
          <t>R250127-indulgeglobal</t>
        </is>
      </c>
      <c r="E193" t="inlineStr">
        <is>
          <t>Indulge Global</t>
        </is>
      </c>
      <c r="F193" s="17" t="n">
        <v>45684</v>
      </c>
      <c r="G193" t="inlineStr">
        <is>
          <t>no source names the stage</t>
        </is>
      </c>
    </row>
    <row r="194">
      <c r="A194" t="inlineStr">
        <is>
          <t>C04</t>
        </is>
      </c>
      <c r="B194" t="inlineStr">
        <is>
          <t>Stage undisclosed</t>
        </is>
      </c>
      <c r="C194" t="inlineStr">
        <is>
          <t>info</t>
        </is>
      </c>
      <c r="D194" t="inlineStr">
        <is>
          <t>R250127-meesho</t>
        </is>
      </c>
      <c r="E194" t="inlineStr">
        <is>
          <t>Meesho</t>
        </is>
      </c>
      <c r="F194" s="17" t="n">
        <v>45684</v>
      </c>
      <c r="G194" t="inlineStr">
        <is>
          <t>no source names the stage</t>
        </is>
      </c>
    </row>
    <row r="195">
      <c r="A195" t="inlineStr">
        <is>
          <t>C04</t>
        </is>
      </c>
      <c r="B195" t="inlineStr">
        <is>
          <t>Stage undisclosed</t>
        </is>
      </c>
      <c r="C195" t="inlineStr">
        <is>
          <t>info</t>
        </is>
      </c>
      <c r="D195" t="inlineStr">
        <is>
          <t>R250127-tracknow</t>
        </is>
      </c>
      <c r="E195" t="inlineStr">
        <is>
          <t>trackNOW</t>
        </is>
      </c>
      <c r="F195" s="17" t="n">
        <v>45684</v>
      </c>
      <c r="G195" t="inlineStr">
        <is>
          <t>no source names the stage</t>
        </is>
      </c>
    </row>
    <row r="196">
      <c r="A196" t="inlineStr">
        <is>
          <t>C04</t>
        </is>
      </c>
      <c r="B196" t="inlineStr">
        <is>
          <t>Stage undisclosed</t>
        </is>
      </c>
      <c r="C196" t="inlineStr">
        <is>
          <t>info</t>
        </is>
      </c>
      <c r="D196" t="inlineStr">
        <is>
          <t>R250128-innov8</t>
        </is>
      </c>
      <c r="E196" t="inlineStr">
        <is>
          <t>Innov8</t>
        </is>
      </c>
      <c r="F196" s="17" t="n">
        <v>45685</v>
      </c>
      <c r="G196" t="inlineStr">
        <is>
          <t>no source names the stage</t>
        </is>
      </c>
    </row>
    <row r="197">
      <c r="A197" t="inlineStr">
        <is>
          <t>C04</t>
        </is>
      </c>
      <c r="B197" t="inlineStr">
        <is>
          <t>Stage undisclosed</t>
        </is>
      </c>
      <c r="C197" t="inlineStr">
        <is>
          <t>info</t>
        </is>
      </c>
      <c r="D197" t="inlineStr">
        <is>
          <t>R250129-growxcdfinance</t>
        </is>
      </c>
      <c r="E197" t="inlineStr">
        <is>
          <t>GrowXCD Finance</t>
        </is>
      </c>
      <c r="F197" s="17" t="n">
        <v>45686</v>
      </c>
      <c r="G197" t="inlineStr">
        <is>
          <t>no source names the stage</t>
        </is>
      </c>
    </row>
    <row r="198">
      <c r="A198" t="inlineStr">
        <is>
          <t>C04</t>
        </is>
      </c>
      <c r="B198" t="inlineStr">
        <is>
          <t>Stage undisclosed</t>
        </is>
      </c>
      <c r="C198" t="inlineStr">
        <is>
          <t>info</t>
        </is>
      </c>
      <c r="D198" t="inlineStr">
        <is>
          <t>R250129-manastuspace</t>
        </is>
      </c>
      <c r="E198" t="inlineStr">
        <is>
          <t>Manastu Space</t>
        </is>
      </c>
      <c r="F198" s="17" t="n">
        <v>45686</v>
      </c>
      <c r="G198" t="inlineStr">
        <is>
          <t>no source names the stage</t>
        </is>
      </c>
    </row>
    <row r="199">
      <c r="A199" t="inlineStr">
        <is>
          <t>C04</t>
        </is>
      </c>
      <c r="B199" t="inlineStr">
        <is>
          <t>Stage undisclosed</t>
        </is>
      </c>
      <c r="C199" t="inlineStr">
        <is>
          <t>info</t>
        </is>
      </c>
      <c r="D199" t="inlineStr">
        <is>
          <t>R250203-builditindia</t>
        </is>
      </c>
      <c r="E199" t="inlineStr">
        <is>
          <t>BuilditIndia</t>
        </is>
      </c>
      <c r="F199" s="17" t="n">
        <v>45691</v>
      </c>
      <c r="G199" t="inlineStr">
        <is>
          <t>no source names the stage</t>
        </is>
      </c>
    </row>
    <row r="200">
      <c r="A200" t="inlineStr">
        <is>
          <t>C04</t>
        </is>
      </c>
      <c r="B200" t="inlineStr">
        <is>
          <t>Stage undisclosed</t>
        </is>
      </c>
      <c r="C200" t="inlineStr">
        <is>
          <t>info</t>
        </is>
      </c>
      <c r="D200" t="inlineStr">
        <is>
          <t>R250203-curefoods</t>
        </is>
      </c>
      <c r="E200" t="inlineStr">
        <is>
          <t>Curefoods</t>
        </is>
      </c>
      <c r="F200" s="17" t="n">
        <v>45691</v>
      </c>
      <c r="G200" t="inlineStr">
        <is>
          <t>no source names the stage</t>
        </is>
      </c>
    </row>
    <row r="201">
      <c r="A201" t="inlineStr">
        <is>
          <t>C04</t>
        </is>
      </c>
      <c r="B201" t="inlineStr">
        <is>
          <t>Stage undisclosed</t>
        </is>
      </c>
      <c r="C201" t="inlineStr">
        <is>
          <t>info</t>
        </is>
      </c>
      <c r="D201" t="inlineStr">
        <is>
          <t>R250204-supergaming</t>
        </is>
      </c>
      <c r="E201" t="inlineStr">
        <is>
          <t>Super Gaming</t>
        </is>
      </c>
      <c r="F201" s="17" t="n">
        <v>45692</v>
      </c>
      <c r="G201" t="inlineStr">
        <is>
          <t>no source names the stage</t>
        </is>
      </c>
    </row>
    <row r="202">
      <c r="A202" t="inlineStr">
        <is>
          <t>C04</t>
        </is>
      </c>
      <c r="B202" t="inlineStr">
        <is>
          <t>Stage undisclosed</t>
        </is>
      </c>
      <c r="C202" t="inlineStr">
        <is>
          <t>info</t>
        </is>
      </c>
      <c r="D202" t="inlineStr">
        <is>
          <t>R250205-astrasecurity</t>
        </is>
      </c>
      <c r="E202" t="inlineStr">
        <is>
          <t>Astra Security</t>
        </is>
      </c>
      <c r="F202" s="17" t="n">
        <v>45693</v>
      </c>
      <c r="G202" t="inlineStr">
        <is>
          <t>no source names the stage</t>
        </is>
      </c>
    </row>
    <row r="203">
      <c r="A203" t="inlineStr">
        <is>
          <t>C04</t>
        </is>
      </c>
      <c r="B203" t="inlineStr">
        <is>
          <t>Stage undisclosed</t>
        </is>
      </c>
      <c r="C203" t="inlineStr">
        <is>
          <t>info</t>
        </is>
      </c>
      <c r="D203" t="inlineStr">
        <is>
          <t>R250205-mealawe</t>
        </is>
      </c>
      <c r="E203" t="inlineStr">
        <is>
          <t>Mealawe</t>
        </is>
      </c>
      <c r="F203" s="17" t="n">
        <v>45693</v>
      </c>
      <c r="G203" t="inlineStr">
        <is>
          <t>no source names the stage</t>
        </is>
      </c>
    </row>
    <row r="204">
      <c r="A204" t="inlineStr">
        <is>
          <t>C04</t>
        </is>
      </c>
      <c r="B204" t="inlineStr">
        <is>
          <t>Stage undisclosed</t>
        </is>
      </c>
      <c r="C204" t="inlineStr">
        <is>
          <t>info</t>
        </is>
      </c>
      <c r="D204" t="inlineStr">
        <is>
          <t>R250206-basilalliance</t>
        </is>
      </c>
      <c r="E204" t="inlineStr">
        <is>
          <t>Basil Alliance</t>
        </is>
      </c>
      <c r="F204" s="17" t="n">
        <v>45694</v>
      </c>
      <c r="G204" t="inlineStr">
        <is>
          <t>no source names the stage</t>
        </is>
      </c>
    </row>
    <row r="205">
      <c r="A205" t="inlineStr">
        <is>
          <t>C04</t>
        </is>
      </c>
      <c r="B205" t="inlineStr">
        <is>
          <t>Stage undisclosed</t>
        </is>
      </c>
      <c r="C205" t="inlineStr">
        <is>
          <t>info</t>
        </is>
      </c>
      <c r="D205" t="inlineStr">
        <is>
          <t>R250207-bobabhai</t>
        </is>
      </c>
      <c r="E205" t="inlineStr">
        <is>
          <t>Boba Bhai</t>
        </is>
      </c>
      <c r="F205" s="17" t="n">
        <v>45695</v>
      </c>
      <c r="G205" t="inlineStr">
        <is>
          <t>no source names the stage</t>
        </is>
      </c>
    </row>
    <row r="206">
      <c r="A206" t="inlineStr">
        <is>
          <t>C04</t>
        </is>
      </c>
      <c r="B206" t="inlineStr">
        <is>
          <t>Stage undisclosed</t>
        </is>
      </c>
      <c r="C206" t="inlineStr">
        <is>
          <t>info</t>
        </is>
      </c>
      <c r="D206" t="inlineStr">
        <is>
          <t>R250207-vahanai</t>
        </is>
      </c>
      <c r="E206" t="inlineStr">
        <is>
          <t>Vahan.ai</t>
        </is>
      </c>
      <c r="F206" s="17" t="n">
        <v>45695</v>
      </c>
      <c r="G206" t="inlineStr">
        <is>
          <t>no source names the stage</t>
        </is>
      </c>
    </row>
    <row r="207">
      <c r="A207" t="inlineStr">
        <is>
          <t>C04</t>
        </is>
      </c>
      <c r="B207" t="inlineStr">
        <is>
          <t>Stage undisclosed</t>
        </is>
      </c>
      <c r="C207" t="inlineStr">
        <is>
          <t>info</t>
        </is>
      </c>
      <c r="D207" t="inlineStr">
        <is>
          <t>R250210-borderplus</t>
        </is>
      </c>
      <c r="E207" t="inlineStr">
        <is>
          <t>BorderPlus</t>
        </is>
      </c>
      <c r="F207" s="17" t="n">
        <v>45698</v>
      </c>
      <c r="G207" t="inlineStr">
        <is>
          <t>no source names the stage</t>
        </is>
      </c>
    </row>
    <row r="208">
      <c r="A208" t="inlineStr">
        <is>
          <t>C04</t>
        </is>
      </c>
      <c r="B208" t="inlineStr">
        <is>
          <t>Stage undisclosed</t>
        </is>
      </c>
      <c r="C208" t="inlineStr">
        <is>
          <t>info</t>
        </is>
      </c>
      <c r="D208" t="inlineStr">
        <is>
          <t>R250211-zeta</t>
        </is>
      </c>
      <c r="E208" t="inlineStr">
        <is>
          <t>Zeta</t>
        </is>
      </c>
      <c r="F208" s="17" t="n">
        <v>45699</v>
      </c>
      <c r="G208" t="inlineStr">
        <is>
          <t>no source names the stage</t>
        </is>
      </c>
    </row>
    <row r="209">
      <c r="A209" t="inlineStr">
        <is>
          <t>C04</t>
        </is>
      </c>
      <c r="B209" t="inlineStr">
        <is>
          <t>Stage undisclosed</t>
        </is>
      </c>
      <c r="C209" t="inlineStr">
        <is>
          <t>info</t>
        </is>
      </c>
      <c r="D209" t="inlineStr">
        <is>
          <t>R250212-raptureinnovat</t>
        </is>
      </c>
      <c r="E209" t="inlineStr">
        <is>
          <t>Rapture Innovation Labs</t>
        </is>
      </c>
      <c r="F209" s="17" t="n">
        <v>45700</v>
      </c>
      <c r="G209" t="inlineStr">
        <is>
          <t>no source names the stage</t>
        </is>
      </c>
    </row>
    <row r="210">
      <c r="A210" t="inlineStr">
        <is>
          <t>C04</t>
        </is>
      </c>
      <c r="B210" t="inlineStr">
        <is>
          <t>Stage undisclosed</t>
        </is>
      </c>
      <c r="C210" t="inlineStr">
        <is>
          <t>info</t>
        </is>
      </c>
      <c r="D210" t="inlineStr">
        <is>
          <t>R250214-pmielectromobi</t>
        </is>
      </c>
      <c r="E210" t="inlineStr">
        <is>
          <t>PMI Electro Mobility</t>
        </is>
      </c>
      <c r="F210" s="17" t="n">
        <v>45702</v>
      </c>
      <c r="G210" t="inlineStr">
        <is>
          <t>no source names the stage</t>
        </is>
      </c>
    </row>
    <row r="211">
      <c r="A211" t="inlineStr">
        <is>
          <t>C04</t>
        </is>
      </c>
      <c r="B211" t="inlineStr">
        <is>
          <t>Stage undisclosed</t>
        </is>
      </c>
      <c r="C211" t="inlineStr">
        <is>
          <t>info</t>
        </is>
      </c>
      <c r="D211" t="inlineStr">
        <is>
          <t>R250215-ridev</t>
        </is>
      </c>
      <c r="E211" t="inlineStr">
        <is>
          <t>RIDEV</t>
        </is>
      </c>
      <c r="F211" s="17" t="n">
        <v>45703</v>
      </c>
      <c r="G211" t="inlineStr">
        <is>
          <t>no source names the stage</t>
        </is>
      </c>
    </row>
    <row r="212">
      <c r="A212" t="inlineStr">
        <is>
          <t>C04</t>
        </is>
      </c>
      <c r="B212" t="inlineStr">
        <is>
          <t>Stage undisclosed</t>
        </is>
      </c>
      <c r="C212" t="inlineStr">
        <is>
          <t>info</t>
        </is>
      </c>
      <c r="D212" t="inlineStr">
        <is>
          <t>R250217-lurny</t>
        </is>
      </c>
      <c r="E212" t="inlineStr">
        <is>
          <t>Lurny</t>
        </is>
      </c>
      <c r="F212" s="17" t="n">
        <v>45705</v>
      </c>
      <c r="G212" t="inlineStr">
        <is>
          <t>no source names the stage</t>
        </is>
      </c>
    </row>
    <row r="213">
      <c r="A213" t="inlineStr">
        <is>
          <t>C04</t>
        </is>
      </c>
      <c r="B213" t="inlineStr">
        <is>
          <t>Stage undisclosed</t>
        </is>
      </c>
      <c r="C213" t="inlineStr">
        <is>
          <t>info</t>
        </is>
      </c>
      <c r="D213" t="inlineStr">
        <is>
          <t>R250217-rarerabbit</t>
        </is>
      </c>
      <c r="E213" t="inlineStr">
        <is>
          <t>Rare Rabbit</t>
        </is>
      </c>
      <c r="F213" s="17" t="n">
        <v>45705</v>
      </c>
      <c r="G213" t="inlineStr">
        <is>
          <t>no source names the stage</t>
        </is>
      </c>
    </row>
    <row r="214">
      <c r="A214" t="inlineStr">
        <is>
          <t>C04</t>
        </is>
      </c>
      <c r="B214" t="inlineStr">
        <is>
          <t>Stage undisclosed</t>
        </is>
      </c>
      <c r="C214" t="inlineStr">
        <is>
          <t>info</t>
        </is>
      </c>
      <c r="D214" t="inlineStr">
        <is>
          <t>R250217-youcarelifesty</t>
        </is>
      </c>
      <c r="E214" t="inlineStr">
        <is>
          <t>You Care Lifestyle</t>
        </is>
      </c>
      <c r="F214" s="17" t="n">
        <v>45705</v>
      </c>
      <c r="G214" t="inlineStr">
        <is>
          <t>no source names the stage</t>
        </is>
      </c>
    </row>
    <row r="215">
      <c r="A215" t="inlineStr">
        <is>
          <t>C04</t>
        </is>
      </c>
      <c r="B215" t="inlineStr">
        <is>
          <t>Stage undisclosed</t>
        </is>
      </c>
      <c r="C215" t="inlineStr">
        <is>
          <t>info</t>
        </is>
      </c>
      <c r="D215" t="inlineStr">
        <is>
          <t>R250218-lightstrom</t>
        </is>
      </c>
      <c r="E215" t="inlineStr">
        <is>
          <t>Lightstrom</t>
        </is>
      </c>
      <c r="F215" s="17" t="n">
        <v>45706</v>
      </c>
      <c r="G215" t="inlineStr">
        <is>
          <t>no source names the stage</t>
        </is>
      </c>
    </row>
    <row r="216">
      <c r="A216" t="inlineStr">
        <is>
          <t>C04</t>
        </is>
      </c>
      <c r="B216" t="inlineStr">
        <is>
          <t>Stage undisclosed</t>
        </is>
      </c>
      <c r="C216" t="inlineStr">
        <is>
          <t>info</t>
        </is>
      </c>
      <c r="D216" t="inlineStr">
        <is>
          <t>R250220-notoicecream</t>
        </is>
      </c>
      <c r="E216" t="inlineStr">
        <is>
          <t>NOTO</t>
        </is>
      </c>
      <c r="F216" s="17" t="n">
        <v>45708</v>
      </c>
      <c r="G216" t="inlineStr">
        <is>
          <t>no source names the stage</t>
        </is>
      </c>
    </row>
    <row r="217">
      <c r="A217" t="inlineStr">
        <is>
          <t>C04</t>
        </is>
      </c>
      <c r="B217" t="inlineStr">
        <is>
          <t>Stage undisclosed</t>
        </is>
      </c>
      <c r="C217" t="inlineStr">
        <is>
          <t>info</t>
        </is>
      </c>
      <c r="D217" t="inlineStr">
        <is>
          <t>R250222-niyogin</t>
        </is>
      </c>
      <c r="E217" t="inlineStr">
        <is>
          <t>Niyogin</t>
        </is>
      </c>
      <c r="F217" s="17" t="n">
        <v>45710</v>
      </c>
      <c r="G217" t="inlineStr">
        <is>
          <t>no source names the stage</t>
        </is>
      </c>
    </row>
    <row r="218">
      <c r="A218" t="inlineStr">
        <is>
          <t>C04</t>
        </is>
      </c>
      <c r="B218" t="inlineStr">
        <is>
          <t>Stage undisclosed</t>
        </is>
      </c>
      <c r="C218" t="inlineStr">
        <is>
          <t>info</t>
        </is>
      </c>
      <c r="D218" t="inlineStr">
        <is>
          <t>R250224-kiranapro</t>
        </is>
      </c>
      <c r="E218" t="inlineStr">
        <is>
          <t>KiranaPro</t>
        </is>
      </c>
      <c r="F218" s="17" t="n">
        <v>45712</v>
      </c>
      <c r="G218" t="inlineStr">
        <is>
          <t>no source names the stage</t>
        </is>
      </c>
    </row>
    <row r="219">
      <c r="A219" t="inlineStr">
        <is>
          <t>C04</t>
        </is>
      </c>
      <c r="B219" t="inlineStr">
        <is>
          <t>Stage undisclosed</t>
        </is>
      </c>
      <c r="C219" t="inlineStr">
        <is>
          <t>info</t>
        </is>
      </c>
      <c r="D219" t="inlineStr">
        <is>
          <t>R250225-jobizo</t>
        </is>
      </c>
      <c r="E219" t="inlineStr">
        <is>
          <t>Jobizo</t>
        </is>
      </c>
      <c r="F219" s="17" t="n">
        <v>45713</v>
      </c>
      <c r="G219" t="inlineStr">
        <is>
          <t>no source names the stage</t>
        </is>
      </c>
    </row>
    <row r="220">
      <c r="A220" t="inlineStr">
        <is>
          <t>C04</t>
        </is>
      </c>
      <c r="B220" t="inlineStr">
        <is>
          <t>Stage undisclosed</t>
        </is>
      </c>
      <c r="C220" t="inlineStr">
        <is>
          <t>info</t>
        </is>
      </c>
      <c r="D220" t="inlineStr">
        <is>
          <t>R250226-drreddy</t>
        </is>
      </c>
      <c r="E220" t="inlineStr">
        <is>
          <t>Dr. Reddy</t>
        </is>
      </c>
      <c r="F220" s="17" t="n">
        <v>45714</v>
      </c>
      <c r="G220" t="inlineStr">
        <is>
          <t>no source names the stage</t>
        </is>
      </c>
    </row>
    <row r="221">
      <c r="A221" t="inlineStr">
        <is>
          <t>C04</t>
        </is>
      </c>
      <c r="B221" t="inlineStr">
        <is>
          <t>Stage undisclosed</t>
        </is>
      </c>
      <c r="C221" t="inlineStr">
        <is>
          <t>info</t>
        </is>
      </c>
      <c r="D221" t="inlineStr">
        <is>
          <t>R250226-vidyut</t>
        </is>
      </c>
      <c r="E221" t="inlineStr">
        <is>
          <t>Vidyut</t>
        </is>
      </c>
      <c r="F221" s="17" t="n">
        <v>45714</v>
      </c>
      <c r="G221" t="inlineStr">
        <is>
          <t>no source names the stage</t>
        </is>
      </c>
    </row>
    <row r="222">
      <c r="A222" t="inlineStr">
        <is>
          <t>C04</t>
        </is>
      </c>
      <c r="B222" t="inlineStr">
        <is>
          <t>Stage undisclosed</t>
        </is>
      </c>
      <c r="C222" t="inlineStr">
        <is>
          <t>info</t>
        </is>
      </c>
      <c r="D222" t="inlineStr">
        <is>
          <t>R250227-astrogatelabs</t>
        </is>
      </c>
      <c r="E222" t="inlineStr">
        <is>
          <t>Astrogate Labs</t>
        </is>
      </c>
      <c r="F222" s="17" t="n">
        <v>45715</v>
      </c>
      <c r="G222" t="inlineStr">
        <is>
          <t>no source names the stage</t>
        </is>
      </c>
    </row>
    <row r="223">
      <c r="A223" t="inlineStr">
        <is>
          <t>C04</t>
        </is>
      </c>
      <c r="B223" t="inlineStr">
        <is>
          <t>Stage undisclosed</t>
        </is>
      </c>
      <c r="C223" t="inlineStr">
        <is>
          <t>info</t>
        </is>
      </c>
      <c r="D223" t="inlineStr">
        <is>
          <t>R250227-fantv</t>
        </is>
      </c>
      <c r="E223" t="inlineStr">
        <is>
          <t>FanTV</t>
        </is>
      </c>
      <c r="F223" s="17" t="n">
        <v>45715</v>
      </c>
      <c r="G223" t="inlineStr">
        <is>
          <t>no source names the stage</t>
        </is>
      </c>
    </row>
    <row r="224">
      <c r="A224" t="inlineStr">
        <is>
          <t>C04</t>
        </is>
      </c>
      <c r="B224" t="inlineStr">
        <is>
          <t>Stage undisclosed</t>
        </is>
      </c>
      <c r="C224" t="inlineStr">
        <is>
          <t>info</t>
        </is>
      </c>
      <c r="D224" t="inlineStr">
        <is>
          <t>R250227-ritualistic</t>
        </is>
      </c>
      <c r="E224" t="inlineStr">
        <is>
          <t>Ritualistic</t>
        </is>
      </c>
      <c r="F224" s="17" t="n">
        <v>45715</v>
      </c>
      <c r="G224" t="inlineStr">
        <is>
          <t>no source names the stage</t>
        </is>
      </c>
    </row>
    <row r="225">
      <c r="A225" t="inlineStr">
        <is>
          <t>C04</t>
        </is>
      </c>
      <c r="B225" t="inlineStr">
        <is>
          <t>Stage undisclosed</t>
        </is>
      </c>
      <c r="C225" t="inlineStr">
        <is>
          <t>info</t>
        </is>
      </c>
      <c r="D225" t="inlineStr">
        <is>
          <t>R250304-beautywise</t>
        </is>
      </c>
      <c r="E225" t="inlineStr">
        <is>
          <t>Beautywise</t>
        </is>
      </c>
      <c r="F225" s="17" t="n">
        <v>45720</v>
      </c>
      <c r="G225" t="inlineStr">
        <is>
          <t>no source names the stage</t>
        </is>
      </c>
    </row>
    <row r="226">
      <c r="A226" t="inlineStr">
        <is>
          <t>C04</t>
        </is>
      </c>
      <c r="B226" t="inlineStr">
        <is>
          <t>Stage undisclosed</t>
        </is>
      </c>
      <c r="C226" t="inlineStr">
        <is>
          <t>info</t>
        </is>
      </c>
      <c r="D226" t="inlineStr">
        <is>
          <t>R250304-bullagritech</t>
        </is>
      </c>
      <c r="E226" t="inlineStr">
        <is>
          <t>Bull Agritech</t>
        </is>
      </c>
      <c r="F226" s="17" t="n">
        <v>45720</v>
      </c>
      <c r="G226" t="inlineStr">
        <is>
          <t>no source names the stage</t>
        </is>
      </c>
    </row>
    <row r="227">
      <c r="A227" t="inlineStr">
        <is>
          <t>C04</t>
        </is>
      </c>
      <c r="B227" t="inlineStr">
        <is>
          <t>Stage undisclosed</t>
        </is>
      </c>
      <c r="C227" t="inlineStr">
        <is>
          <t>info</t>
        </is>
      </c>
      <c r="D227" t="inlineStr">
        <is>
          <t>R250304-dotme</t>
        </is>
      </c>
      <c r="E227" t="inlineStr">
        <is>
          <t>DotMe</t>
        </is>
      </c>
      <c r="F227" s="17" t="n">
        <v>45720</v>
      </c>
      <c r="G227" t="inlineStr">
        <is>
          <t>no source names the stage</t>
        </is>
      </c>
    </row>
    <row r="228">
      <c r="A228" t="inlineStr">
        <is>
          <t>C04</t>
        </is>
      </c>
      <c r="B228" t="inlineStr">
        <is>
          <t>Stage undisclosed</t>
        </is>
      </c>
      <c r="C228" t="inlineStr">
        <is>
          <t>info</t>
        </is>
      </c>
      <c r="D228" t="inlineStr">
        <is>
          <t>R250304-insurancedekho</t>
        </is>
      </c>
      <c r="E228" t="inlineStr">
        <is>
          <t>InsuranceDekho</t>
        </is>
      </c>
      <c r="F228" s="17" t="n">
        <v>45720</v>
      </c>
      <c r="G228" t="inlineStr">
        <is>
          <t>no source names the stage</t>
        </is>
      </c>
    </row>
    <row r="229">
      <c r="A229" t="inlineStr">
        <is>
          <t>C04</t>
        </is>
      </c>
      <c r="B229" t="inlineStr">
        <is>
          <t>Stage undisclosed</t>
        </is>
      </c>
      <c r="C229" t="inlineStr">
        <is>
          <t>info</t>
        </is>
      </c>
      <c r="D229" t="inlineStr">
        <is>
          <t>R250304-sila</t>
        </is>
      </c>
      <c r="E229" t="inlineStr">
        <is>
          <t>SILA</t>
        </is>
      </c>
      <c r="F229" s="17" t="n">
        <v>45720</v>
      </c>
      <c r="G229" t="inlineStr">
        <is>
          <t>no source names the stage</t>
        </is>
      </c>
    </row>
    <row r="230">
      <c r="A230" t="inlineStr">
        <is>
          <t>C04</t>
        </is>
      </c>
      <c r="B230" t="inlineStr">
        <is>
          <t>Stage undisclosed</t>
        </is>
      </c>
      <c r="C230" t="inlineStr">
        <is>
          <t>info</t>
        </is>
      </c>
      <c r="D230" t="inlineStr">
        <is>
          <t>R250304-uptimeai</t>
        </is>
      </c>
      <c r="E230" t="inlineStr">
        <is>
          <t>UptimeAI</t>
        </is>
      </c>
      <c r="F230" s="17" t="n">
        <v>45720</v>
      </c>
      <c r="G230" t="inlineStr">
        <is>
          <t>no source names the stage</t>
        </is>
      </c>
    </row>
    <row r="231">
      <c r="A231" t="inlineStr">
        <is>
          <t>C04</t>
        </is>
      </c>
      <c r="B231" t="inlineStr">
        <is>
          <t>Stage undisclosed</t>
        </is>
      </c>
      <c r="C231" t="inlineStr">
        <is>
          <t>info</t>
        </is>
      </c>
      <c r="D231" t="inlineStr">
        <is>
          <t>R250305-darwinbox</t>
        </is>
      </c>
      <c r="E231" t="inlineStr">
        <is>
          <t>Darwinbox</t>
        </is>
      </c>
      <c r="F231" s="17" t="n">
        <v>45721</v>
      </c>
      <c r="G231" t="inlineStr">
        <is>
          <t>no source names the stage</t>
        </is>
      </c>
    </row>
    <row r="232">
      <c r="A232" t="inlineStr">
        <is>
          <t>C04</t>
        </is>
      </c>
      <c r="B232" t="inlineStr">
        <is>
          <t>Stage undisclosed</t>
        </is>
      </c>
      <c r="C232" t="inlineStr">
        <is>
          <t>info</t>
        </is>
      </c>
      <c r="D232" t="inlineStr">
        <is>
          <t>R250305-naarica</t>
        </is>
      </c>
      <c r="E232" t="inlineStr">
        <is>
          <t>Naarica</t>
        </is>
      </c>
      <c r="F232" s="17" t="n">
        <v>45721</v>
      </c>
      <c r="G232" t="inlineStr">
        <is>
          <t>no source names the stage</t>
        </is>
      </c>
    </row>
    <row r="233">
      <c r="A233" t="inlineStr">
        <is>
          <t>C04</t>
        </is>
      </c>
      <c r="B233" t="inlineStr">
        <is>
          <t>Stage undisclosed</t>
        </is>
      </c>
      <c r="C233" t="inlineStr">
        <is>
          <t>info</t>
        </is>
      </c>
      <c r="D233" t="inlineStr">
        <is>
          <t>R250305-zetwerk</t>
        </is>
      </c>
      <c r="E233" t="inlineStr">
        <is>
          <t>Zetwerk</t>
        </is>
      </c>
      <c r="F233" s="17" t="n">
        <v>45721</v>
      </c>
      <c r="G233" t="inlineStr">
        <is>
          <t>no source names the stage</t>
        </is>
      </c>
    </row>
    <row r="234">
      <c r="A234" t="inlineStr">
        <is>
          <t>C04</t>
        </is>
      </c>
      <c r="B234" t="inlineStr">
        <is>
          <t>Stage undisclosed</t>
        </is>
      </c>
      <c r="C234" t="inlineStr">
        <is>
          <t>info</t>
        </is>
      </c>
      <c r="D234" t="inlineStr">
        <is>
          <t>R250306-innoviti</t>
        </is>
      </c>
      <c r="E234" t="inlineStr">
        <is>
          <t>Innoviti</t>
        </is>
      </c>
      <c r="F234" s="17" t="n">
        <v>45722</v>
      </c>
      <c r="G234" t="inlineStr">
        <is>
          <t>no source names the stage</t>
        </is>
      </c>
    </row>
    <row r="235">
      <c r="A235" t="inlineStr">
        <is>
          <t>C04</t>
        </is>
      </c>
      <c r="B235" t="inlineStr">
        <is>
          <t>Stage undisclosed</t>
        </is>
      </c>
      <c r="C235" t="inlineStr">
        <is>
          <t>info</t>
        </is>
      </c>
      <c r="D235" t="inlineStr">
        <is>
          <t>R250306-rajeevmisrason</t>
        </is>
      </c>
      <c r="E235" t="inlineStr">
        <is>
          <t>Rajeev Misra's son</t>
        </is>
      </c>
      <c r="F235" s="17" t="n">
        <v>45722</v>
      </c>
      <c r="G235" t="inlineStr">
        <is>
          <t>no source names the stage</t>
        </is>
      </c>
    </row>
    <row r="236">
      <c r="A236" t="inlineStr">
        <is>
          <t>C04</t>
        </is>
      </c>
      <c r="B236" t="inlineStr">
        <is>
          <t>Stage undisclosed</t>
        </is>
      </c>
      <c r="C236" t="inlineStr">
        <is>
          <t>info</t>
        </is>
      </c>
      <c r="D236" t="inlineStr">
        <is>
          <t>R250306-yenmo</t>
        </is>
      </c>
      <c r="E236" t="inlineStr">
        <is>
          <t>Yenmo</t>
        </is>
      </c>
      <c r="F236" s="17" t="n">
        <v>45722</v>
      </c>
      <c r="G236" t="inlineStr">
        <is>
          <t>no source names the stage</t>
        </is>
      </c>
    </row>
    <row r="237">
      <c r="A237" t="inlineStr">
        <is>
          <t>C04</t>
        </is>
      </c>
      <c r="B237" t="inlineStr">
        <is>
          <t>Stage undisclosed</t>
        </is>
      </c>
      <c r="C237" t="inlineStr">
        <is>
          <t>info</t>
        </is>
      </c>
      <c r="D237" t="inlineStr">
        <is>
          <t>R250306-zuppaneonaviga</t>
        </is>
      </c>
      <c r="E237" t="inlineStr">
        <is>
          <t>Zuppa Neo Navigation Technologies</t>
        </is>
      </c>
      <c r="F237" s="17" t="n">
        <v>45722</v>
      </c>
      <c r="G237" t="inlineStr">
        <is>
          <t>no source names the stage</t>
        </is>
      </c>
    </row>
    <row r="238">
      <c r="A238" t="inlineStr">
        <is>
          <t>C04</t>
        </is>
      </c>
      <c r="B238" t="inlineStr">
        <is>
          <t>Stage undisclosed</t>
        </is>
      </c>
      <c r="C238" t="inlineStr">
        <is>
          <t>info</t>
        </is>
      </c>
      <c r="D238" t="inlineStr">
        <is>
          <t>R250307-baccabucci</t>
        </is>
      </c>
      <c r="E238" t="inlineStr">
        <is>
          <t>Bacca Bucci</t>
        </is>
      </c>
      <c r="F238" s="17" t="n">
        <v>45723</v>
      </c>
      <c r="G238" t="inlineStr">
        <is>
          <t>no source names the stage</t>
        </is>
      </c>
    </row>
    <row r="239">
      <c r="A239" t="inlineStr">
        <is>
          <t>C04</t>
        </is>
      </c>
      <c r="B239" t="inlineStr">
        <is>
          <t>Stage undisclosed</t>
        </is>
      </c>
      <c r="C239" t="inlineStr">
        <is>
          <t>info</t>
        </is>
      </c>
      <c r="D239" t="inlineStr">
        <is>
          <t>R250307-indewild</t>
        </is>
      </c>
      <c r="E239" t="inlineStr">
        <is>
          <t>indē wild</t>
        </is>
      </c>
      <c r="F239" s="17" t="n">
        <v>45723</v>
      </c>
      <c r="G239" t="inlineStr">
        <is>
          <t>no source names the stage</t>
        </is>
      </c>
    </row>
    <row r="240">
      <c r="A240" t="inlineStr">
        <is>
          <t>C04</t>
        </is>
      </c>
      <c r="B240" t="inlineStr">
        <is>
          <t>Stage undisclosed</t>
        </is>
      </c>
      <c r="C240" t="inlineStr">
        <is>
          <t>info</t>
        </is>
      </c>
      <c r="D240" t="inlineStr">
        <is>
          <t>R250310-giva</t>
        </is>
      </c>
      <c r="E240" t="inlineStr">
        <is>
          <t>GIVA</t>
        </is>
      </c>
      <c r="F240" s="17" t="n">
        <v>45726</v>
      </c>
      <c r="G240" t="inlineStr">
        <is>
          <t>no source names the stage</t>
        </is>
      </c>
    </row>
    <row r="241">
      <c r="A241" t="inlineStr">
        <is>
          <t>C04</t>
        </is>
      </c>
      <c r="B241" t="inlineStr">
        <is>
          <t>Stage undisclosed</t>
        </is>
      </c>
      <c r="C241" t="inlineStr">
        <is>
          <t>info</t>
        </is>
      </c>
      <c r="D241" t="inlineStr">
        <is>
          <t>R250310-voltmoney</t>
        </is>
      </c>
      <c r="E241" t="inlineStr">
        <is>
          <t>Volt Money</t>
        </is>
      </c>
      <c r="F241" s="17" t="n">
        <v>45726</v>
      </c>
      <c r="G241" t="inlineStr">
        <is>
          <t>no source names the stage</t>
        </is>
      </c>
    </row>
    <row r="242">
      <c r="A242" t="inlineStr">
        <is>
          <t>C04</t>
        </is>
      </c>
      <c r="B242" t="inlineStr">
        <is>
          <t>Stage undisclosed</t>
        </is>
      </c>
      <c r="C242" t="inlineStr">
        <is>
          <t>info</t>
        </is>
      </c>
      <c r="D242" t="inlineStr">
        <is>
          <t>R250313-rangsonsaerosp</t>
        </is>
      </c>
      <c r="E242" t="inlineStr">
        <is>
          <t>Rangsons Aerospace</t>
        </is>
      </c>
      <c r="F242" s="17" t="n">
        <v>45729</v>
      </c>
      <c r="G242" t="inlineStr">
        <is>
          <t>no source names the stage</t>
        </is>
      </c>
    </row>
    <row r="243">
      <c r="A243" t="inlineStr">
        <is>
          <t>C04</t>
        </is>
      </c>
      <c r="B243" t="inlineStr">
        <is>
          <t>Stage undisclosed</t>
        </is>
      </c>
      <c r="C243" t="inlineStr">
        <is>
          <t>info</t>
        </is>
      </c>
      <c r="D243" t="inlineStr">
        <is>
          <t>R250317-thebearhouse</t>
        </is>
      </c>
      <c r="E243" t="inlineStr">
        <is>
          <t>The Bear House</t>
        </is>
      </c>
      <c r="F243" s="17" t="n">
        <v>45733</v>
      </c>
      <c r="G243" t="inlineStr">
        <is>
          <t>no source names the stage</t>
        </is>
      </c>
    </row>
    <row r="244">
      <c r="A244" t="inlineStr">
        <is>
          <t>C04</t>
        </is>
      </c>
      <c r="B244" t="inlineStr">
        <is>
          <t>Stage undisclosed</t>
        </is>
      </c>
      <c r="C244" t="inlineStr">
        <is>
          <t>info</t>
        </is>
      </c>
      <c r="D244" t="inlineStr">
        <is>
          <t>R250318-broadway</t>
        </is>
      </c>
      <c r="E244" t="inlineStr">
        <is>
          <t>Broadway</t>
        </is>
      </c>
      <c r="F244" s="17" t="n">
        <v>45734</v>
      </c>
      <c r="G244" t="inlineStr">
        <is>
          <t>no source names the stage</t>
        </is>
      </c>
    </row>
    <row r="245">
      <c r="A245" t="inlineStr">
        <is>
          <t>C04</t>
        </is>
      </c>
      <c r="B245" t="inlineStr">
        <is>
          <t>Stage undisclosed</t>
        </is>
      </c>
      <c r="C245" t="inlineStr">
        <is>
          <t>info</t>
        </is>
      </c>
      <c r="D245" t="inlineStr">
        <is>
          <t>R250318-pilgrim</t>
        </is>
      </c>
      <c r="E245" t="inlineStr">
        <is>
          <t>Pilgrim</t>
        </is>
      </c>
      <c r="F245" s="17" t="n">
        <v>45734</v>
      </c>
      <c r="G245" t="inlineStr">
        <is>
          <t>no source names the stage</t>
        </is>
      </c>
    </row>
    <row r="246">
      <c r="A246" t="inlineStr">
        <is>
          <t>C04</t>
        </is>
      </c>
      <c r="B246" t="inlineStr">
        <is>
          <t>Stage undisclosed</t>
        </is>
      </c>
      <c r="C246" t="inlineStr">
        <is>
          <t>info</t>
        </is>
      </c>
      <c r="D246" t="inlineStr">
        <is>
          <t>R250318-yummybee</t>
        </is>
      </c>
      <c r="E246" t="inlineStr">
        <is>
          <t>Yummy Bee</t>
        </is>
      </c>
      <c r="F246" s="17" t="n">
        <v>45734</v>
      </c>
      <c r="G246" t="inlineStr">
        <is>
          <t>no source names the stage</t>
        </is>
      </c>
    </row>
    <row r="247">
      <c r="A247" t="inlineStr">
        <is>
          <t>C04</t>
        </is>
      </c>
      <c r="B247" t="inlineStr">
        <is>
          <t>Stage undisclosed</t>
        </is>
      </c>
      <c r="C247" t="inlineStr">
        <is>
          <t>info</t>
        </is>
      </c>
      <c r="D247" t="inlineStr">
        <is>
          <t>R250320-eulermotors</t>
        </is>
      </c>
      <c r="E247" t="inlineStr">
        <is>
          <t>Euler Motors</t>
        </is>
      </c>
      <c r="F247" s="17" t="n">
        <v>45736</v>
      </c>
      <c r="G247" t="inlineStr">
        <is>
          <t>no source names the stage</t>
        </is>
      </c>
    </row>
    <row r="248">
      <c r="A248" t="inlineStr">
        <is>
          <t>C04</t>
        </is>
      </c>
      <c r="B248" t="inlineStr">
        <is>
          <t>Stage undisclosed</t>
        </is>
      </c>
      <c r="C248" t="inlineStr">
        <is>
          <t>info</t>
        </is>
      </c>
      <c r="D248" t="inlineStr">
        <is>
          <t>R250320-lighthouseprop</t>
        </is>
      </c>
      <c r="E248" t="inlineStr">
        <is>
          <t>Lighthouse PropTech</t>
        </is>
      </c>
      <c r="F248" s="17" t="n">
        <v>45736</v>
      </c>
      <c r="G248" t="inlineStr">
        <is>
          <t>no source names the stage</t>
        </is>
      </c>
    </row>
    <row r="249">
      <c r="A249" t="inlineStr">
        <is>
          <t>C04</t>
        </is>
      </c>
      <c r="B249" t="inlineStr">
        <is>
          <t>Stage undisclosed</t>
        </is>
      </c>
      <c r="C249" t="inlineStr">
        <is>
          <t>info</t>
        </is>
      </c>
      <c r="D249" t="inlineStr">
        <is>
          <t>R250324-apnamart</t>
        </is>
      </c>
      <c r="E249" t="inlineStr">
        <is>
          <t>Apna Mart</t>
        </is>
      </c>
      <c r="F249" s="17" t="n">
        <v>45740</v>
      </c>
      <c r="G249" t="inlineStr">
        <is>
          <t>no source names the stage</t>
        </is>
      </c>
    </row>
    <row r="250">
      <c r="A250" t="inlineStr">
        <is>
          <t>C04</t>
        </is>
      </c>
      <c r="B250" t="inlineStr">
        <is>
          <t>Stage undisclosed</t>
        </is>
      </c>
      <c r="C250" t="inlineStr">
        <is>
          <t>info</t>
        </is>
      </c>
      <c r="D250" t="inlineStr">
        <is>
          <t>R250324-dcdckidneycare</t>
        </is>
      </c>
      <c r="E250" t="inlineStr">
        <is>
          <t>DCDC Kidney Care</t>
        </is>
      </c>
      <c r="F250" s="17" t="n">
        <v>45740</v>
      </c>
      <c r="G250" t="inlineStr">
        <is>
          <t>no source names the stage</t>
        </is>
      </c>
    </row>
    <row r="251">
      <c r="A251" t="inlineStr">
        <is>
          <t>C04</t>
        </is>
      </c>
      <c r="B251" t="inlineStr">
        <is>
          <t>Stage undisclosed</t>
        </is>
      </c>
      <c r="C251" t="inlineStr">
        <is>
          <t>info</t>
        </is>
      </c>
      <c r="D251" t="inlineStr">
        <is>
          <t>R250324-taxina</t>
        </is>
      </c>
      <c r="E251" t="inlineStr">
        <is>
          <t>Taxi’na</t>
        </is>
      </c>
      <c r="F251" s="17" t="n">
        <v>45740</v>
      </c>
      <c r="G251" t="inlineStr">
        <is>
          <t>no source names the stage</t>
        </is>
      </c>
    </row>
    <row r="252">
      <c r="A252" t="inlineStr">
        <is>
          <t>C04</t>
        </is>
      </c>
      <c r="B252" t="inlineStr">
        <is>
          <t>Stage undisclosed</t>
        </is>
      </c>
      <c r="C252" t="inlineStr">
        <is>
          <t>info</t>
        </is>
      </c>
      <c r="D252" t="inlineStr">
        <is>
          <t>R250325-dozee</t>
        </is>
      </c>
      <c r="E252" t="inlineStr">
        <is>
          <t>Dozee</t>
        </is>
      </c>
      <c r="F252" s="17" t="n">
        <v>45741</v>
      </c>
      <c r="G252" t="inlineStr">
        <is>
          <t>no source names the stage</t>
        </is>
      </c>
    </row>
    <row r="253">
      <c r="A253" t="inlineStr">
        <is>
          <t>C04</t>
        </is>
      </c>
      <c r="B253" t="inlineStr">
        <is>
          <t>Stage undisclosed</t>
        </is>
      </c>
      <c r="C253" t="inlineStr">
        <is>
          <t>info</t>
        </is>
      </c>
      <c r="D253" t="inlineStr">
        <is>
          <t>R250325-growindigo</t>
        </is>
      </c>
      <c r="E253" t="inlineStr">
        <is>
          <t>Grow Indigo</t>
        </is>
      </c>
      <c r="F253" s="17" t="n">
        <v>45741</v>
      </c>
      <c r="G253" t="inlineStr">
        <is>
          <t>no source names the stage</t>
        </is>
      </c>
    </row>
    <row r="254">
      <c r="A254" t="inlineStr">
        <is>
          <t>C04</t>
        </is>
      </c>
      <c r="B254" t="inlineStr">
        <is>
          <t>Stage undisclosed</t>
        </is>
      </c>
      <c r="C254" t="inlineStr">
        <is>
          <t>info</t>
        </is>
      </c>
      <c r="D254" t="inlineStr">
        <is>
          <t>R250326-droom</t>
        </is>
      </c>
      <c r="E254" t="inlineStr">
        <is>
          <t>Droom</t>
        </is>
      </c>
      <c r="F254" s="17" t="n">
        <v>45742</v>
      </c>
      <c r="G254" t="inlineStr">
        <is>
          <t>no source names the stage</t>
        </is>
      </c>
    </row>
    <row r="255">
      <c r="A255" t="inlineStr">
        <is>
          <t>C04</t>
        </is>
      </c>
      <c r="B255" t="inlineStr">
        <is>
          <t>Stage undisclosed</t>
        </is>
      </c>
      <c r="C255" t="inlineStr">
        <is>
          <t>info</t>
        </is>
      </c>
      <c r="D255" t="inlineStr">
        <is>
          <t>R250326-nabhdrishtiaer</t>
        </is>
      </c>
      <c r="E255" t="inlineStr">
        <is>
          <t>Nabhdrishti Aerospace</t>
        </is>
      </c>
      <c r="F255" s="17" t="n">
        <v>45742</v>
      </c>
      <c r="G255" t="inlineStr">
        <is>
          <t>no source names the stage</t>
        </is>
      </c>
    </row>
    <row r="256">
      <c r="A256" t="inlineStr">
        <is>
          <t>C04</t>
        </is>
      </c>
      <c r="B256" t="inlineStr">
        <is>
          <t>Stage undisclosed</t>
        </is>
      </c>
      <c r="C256" t="inlineStr">
        <is>
          <t>info</t>
        </is>
      </c>
      <c r="D256" t="inlineStr">
        <is>
          <t>R250326-vahdamindia</t>
        </is>
      </c>
      <c r="E256" t="inlineStr">
        <is>
          <t>Vahdam</t>
        </is>
      </c>
      <c r="F256" s="17" t="n">
        <v>45742</v>
      </c>
      <c r="G256" t="inlineStr">
        <is>
          <t>no source names the stage</t>
        </is>
      </c>
    </row>
    <row r="257">
      <c r="A257" t="inlineStr">
        <is>
          <t>C04</t>
        </is>
      </c>
      <c r="B257" t="inlineStr">
        <is>
          <t>Stage undisclosed</t>
        </is>
      </c>
      <c r="C257" t="inlineStr">
        <is>
          <t>info</t>
        </is>
      </c>
      <c r="D257" t="inlineStr">
        <is>
          <t>R250326-zealopiatechno</t>
        </is>
      </c>
      <c r="E257" t="inlineStr">
        <is>
          <t>Zealopia Technologies</t>
        </is>
      </c>
      <c r="F257" s="17" t="n">
        <v>45742</v>
      </c>
      <c r="G257" t="inlineStr">
        <is>
          <t>no source names the stage</t>
        </is>
      </c>
    </row>
    <row r="258">
      <c r="A258" t="inlineStr">
        <is>
          <t>C04</t>
        </is>
      </c>
      <c r="B258" t="inlineStr">
        <is>
          <t>Stage undisclosed</t>
        </is>
      </c>
      <c r="C258" t="inlineStr">
        <is>
          <t>info</t>
        </is>
      </c>
      <c r="D258" t="inlineStr">
        <is>
          <t>R250327-konectu</t>
        </is>
      </c>
      <c r="E258" t="inlineStr">
        <is>
          <t>Konect U</t>
        </is>
      </c>
      <c r="F258" s="17" t="n">
        <v>45743</v>
      </c>
      <c r="G258" t="inlineStr">
        <is>
          <t>no source names the stage</t>
        </is>
      </c>
    </row>
    <row r="259">
      <c r="A259" t="inlineStr">
        <is>
          <t>C04</t>
        </is>
      </c>
      <c r="B259" t="inlineStr">
        <is>
          <t>Stage undisclosed</t>
        </is>
      </c>
      <c r="C259" t="inlineStr">
        <is>
          <t>info</t>
        </is>
      </c>
      <c r="D259" t="inlineStr">
        <is>
          <t>R250327-m1xchange</t>
        </is>
      </c>
      <c r="E259" t="inlineStr">
        <is>
          <t>M1xchange</t>
        </is>
      </c>
      <c r="F259" s="17" t="n">
        <v>45743</v>
      </c>
      <c r="G259" t="inlineStr">
        <is>
          <t>no source names the stage</t>
        </is>
      </c>
    </row>
    <row r="260">
      <c r="A260" t="inlineStr">
        <is>
          <t>C04</t>
        </is>
      </c>
      <c r="B260" t="inlineStr">
        <is>
          <t>Stage undisclosed</t>
        </is>
      </c>
      <c r="C260" t="inlineStr">
        <is>
          <t>info</t>
        </is>
      </c>
      <c r="D260" t="inlineStr">
        <is>
          <t>R250327-outplay</t>
        </is>
      </c>
      <c r="E260" t="inlineStr">
        <is>
          <t>Outplay</t>
        </is>
      </c>
      <c r="F260" s="17" t="n">
        <v>45743</v>
      </c>
      <c r="G260" t="inlineStr">
        <is>
          <t>no source names the stage</t>
        </is>
      </c>
    </row>
    <row r="261">
      <c r="A261" t="inlineStr">
        <is>
          <t>C04</t>
        </is>
      </c>
      <c r="B261" t="inlineStr">
        <is>
          <t>Stage undisclosed</t>
        </is>
      </c>
      <c r="C261" t="inlineStr">
        <is>
          <t>info</t>
        </is>
      </c>
      <c r="D261" t="inlineStr">
        <is>
          <t>R250328-axitrustsurety</t>
        </is>
      </c>
      <c r="E261" t="inlineStr">
        <is>
          <t>axiTrust Surety</t>
        </is>
      </c>
      <c r="F261" s="17" t="n">
        <v>45744</v>
      </c>
      <c r="G261" t="inlineStr">
        <is>
          <t>no source names the stage</t>
        </is>
      </c>
    </row>
    <row r="262">
      <c r="A262" t="inlineStr">
        <is>
          <t>C04</t>
        </is>
      </c>
      <c r="B262" t="inlineStr">
        <is>
          <t>Stage undisclosed</t>
        </is>
      </c>
      <c r="C262" t="inlineStr">
        <is>
          <t>info</t>
        </is>
      </c>
      <c r="D262" t="inlineStr">
        <is>
          <t>R250331-spinny</t>
        </is>
      </c>
      <c r="E262" t="inlineStr">
        <is>
          <t>Spinny</t>
        </is>
      </c>
      <c r="F262" s="17" t="n">
        <v>45747</v>
      </c>
      <c r="G262" t="inlineStr">
        <is>
          <t>no source names the stage</t>
        </is>
      </c>
    </row>
    <row r="263">
      <c r="A263" t="inlineStr">
        <is>
          <t>C04</t>
        </is>
      </c>
      <c r="B263" t="inlineStr">
        <is>
          <t>Stage undisclosed</t>
        </is>
      </c>
      <c r="C263" t="inlineStr">
        <is>
          <t>info</t>
        </is>
      </c>
      <c r="D263" t="inlineStr">
        <is>
          <t>R250401-collegedekho</t>
        </is>
      </c>
      <c r="E263" t="inlineStr">
        <is>
          <t>CollegeDekho</t>
        </is>
      </c>
      <c r="F263" s="17" t="n">
        <v>45748</v>
      </c>
      <c r="G263" t="inlineStr">
        <is>
          <t>no source names the stage</t>
        </is>
      </c>
    </row>
    <row r="264">
      <c r="A264" t="inlineStr">
        <is>
          <t>C04</t>
        </is>
      </c>
      <c r="B264" t="inlineStr">
        <is>
          <t>Stage undisclosed</t>
        </is>
      </c>
      <c r="C264" t="inlineStr">
        <is>
          <t>info</t>
        </is>
      </c>
      <c r="D264" t="inlineStr">
        <is>
          <t>R250401-entvinai</t>
        </is>
      </c>
      <c r="E264" t="inlineStr">
        <is>
          <t>Entvin AI</t>
        </is>
      </c>
      <c r="F264" s="17" t="n">
        <v>45748</v>
      </c>
      <c r="G264" t="inlineStr">
        <is>
          <t>no source names the stage</t>
        </is>
      </c>
    </row>
    <row r="265">
      <c r="A265" t="inlineStr">
        <is>
          <t>C04</t>
        </is>
      </c>
      <c r="B265" t="inlineStr">
        <is>
          <t>Stage undisclosed</t>
        </is>
      </c>
      <c r="C265" t="inlineStr">
        <is>
          <t>info</t>
        </is>
      </c>
      <c r="D265" t="inlineStr">
        <is>
          <t>R250401-ezstays</t>
        </is>
      </c>
      <c r="E265" t="inlineStr">
        <is>
          <t>EZStays</t>
        </is>
      </c>
      <c r="F265" s="17" t="n">
        <v>45748</v>
      </c>
      <c r="G265" t="inlineStr">
        <is>
          <t>no source names the stage</t>
        </is>
      </c>
    </row>
    <row r="266">
      <c r="A266" t="inlineStr">
        <is>
          <t>C04</t>
        </is>
      </c>
      <c r="B266" t="inlineStr">
        <is>
          <t>Stage undisclosed</t>
        </is>
      </c>
      <c r="C266" t="inlineStr">
        <is>
          <t>info</t>
        </is>
      </c>
      <c r="D266" t="inlineStr">
        <is>
          <t>R250407-ashaventures</t>
        </is>
      </c>
      <c r="E266" t="inlineStr">
        <is>
          <t>Asha Ventures</t>
        </is>
      </c>
      <c r="F266" s="17" t="n">
        <v>45754</v>
      </c>
      <c r="G266" t="inlineStr">
        <is>
          <t>no source names the stage</t>
        </is>
      </c>
    </row>
    <row r="267">
      <c r="A267" t="inlineStr">
        <is>
          <t>C04</t>
        </is>
      </c>
      <c r="B267" t="inlineStr">
        <is>
          <t>Stage undisclosed</t>
        </is>
      </c>
      <c r="C267" t="inlineStr">
        <is>
          <t>info</t>
        </is>
      </c>
      <c r="D267" t="inlineStr">
        <is>
          <t>R250408-agrostar</t>
        </is>
      </c>
      <c r="E267" t="inlineStr">
        <is>
          <t>AgroStar</t>
        </is>
      </c>
      <c r="F267" s="17" t="n">
        <v>45755</v>
      </c>
      <c r="G267" t="inlineStr">
        <is>
          <t>no source names the stage</t>
        </is>
      </c>
    </row>
    <row r="268">
      <c r="A268" t="inlineStr">
        <is>
          <t>C04</t>
        </is>
      </c>
      <c r="B268" t="inlineStr">
        <is>
          <t>Stage undisclosed</t>
        </is>
      </c>
      <c r="C268" t="inlineStr">
        <is>
          <t>info</t>
        </is>
      </c>
      <c r="D268" t="inlineStr">
        <is>
          <t>R250409-noise</t>
        </is>
      </c>
      <c r="E268" t="inlineStr">
        <is>
          <t>Noise</t>
        </is>
      </c>
      <c r="F268" s="17" t="n">
        <v>45756</v>
      </c>
      <c r="G268" t="inlineStr">
        <is>
          <t>no source names the stage</t>
        </is>
      </c>
    </row>
    <row r="269">
      <c r="A269" t="inlineStr">
        <is>
          <t>C04</t>
        </is>
      </c>
      <c r="B269" t="inlineStr">
        <is>
          <t>Stage undisclosed</t>
        </is>
      </c>
      <c r="C269" t="inlineStr">
        <is>
          <t>info</t>
        </is>
      </c>
      <c r="D269" t="inlineStr">
        <is>
          <t>R250410-drivefitt</t>
        </is>
      </c>
      <c r="E269" t="inlineStr">
        <is>
          <t>DRIVE FITT</t>
        </is>
      </c>
      <c r="F269" s="17" t="n">
        <v>45757</v>
      </c>
      <c r="G269" t="inlineStr">
        <is>
          <t>no source names the stage</t>
        </is>
      </c>
    </row>
    <row r="270">
      <c r="A270" t="inlineStr">
        <is>
          <t>C04</t>
        </is>
      </c>
      <c r="B270" t="inlineStr">
        <is>
          <t>Stage undisclosed</t>
        </is>
      </c>
      <c r="C270" t="inlineStr">
        <is>
          <t>info</t>
        </is>
      </c>
      <c r="D270" t="inlineStr">
        <is>
          <t>R250410-mosaicwellness</t>
        </is>
      </c>
      <c r="E270" t="inlineStr">
        <is>
          <t>Mosaic Wellness</t>
        </is>
      </c>
      <c r="F270" s="17" t="n">
        <v>45757</v>
      </c>
      <c r="G270" t="inlineStr">
        <is>
          <t>no source names the stage</t>
        </is>
      </c>
    </row>
    <row r="271">
      <c r="A271" t="inlineStr">
        <is>
          <t>C04</t>
        </is>
      </c>
      <c r="B271" t="inlineStr">
        <is>
          <t>Stage undisclosed</t>
        </is>
      </c>
      <c r="C271" t="inlineStr">
        <is>
          <t>info</t>
        </is>
      </c>
      <c r="D271" t="inlineStr">
        <is>
          <t>R250411-greenline</t>
        </is>
      </c>
      <c r="E271" t="inlineStr">
        <is>
          <t>GreenLine</t>
        </is>
      </c>
      <c r="F271" s="17" t="n">
        <v>45757</v>
      </c>
      <c r="G271" t="inlineStr">
        <is>
          <t>no source names the stage</t>
        </is>
      </c>
    </row>
    <row r="272">
      <c r="A272" t="inlineStr">
        <is>
          <t>C04</t>
        </is>
      </c>
      <c r="B272" t="inlineStr">
        <is>
          <t>Stage undisclosed</t>
        </is>
      </c>
      <c r="C272" t="inlineStr">
        <is>
          <t>info</t>
        </is>
      </c>
      <c r="D272" t="inlineStr">
        <is>
          <t>R250414-beastlife</t>
        </is>
      </c>
      <c r="E272" t="inlineStr">
        <is>
          <t>BeastLife</t>
        </is>
      </c>
      <c r="F272" s="17" t="n">
        <v>45761</v>
      </c>
      <c r="G272" t="inlineStr">
        <is>
          <t>no source names the stage</t>
        </is>
      </c>
    </row>
    <row r="273">
      <c r="A273" t="inlineStr">
        <is>
          <t>C04</t>
        </is>
      </c>
      <c r="B273" t="inlineStr">
        <is>
          <t>Stage undisclosed</t>
        </is>
      </c>
      <c r="C273" t="inlineStr">
        <is>
          <t>info</t>
        </is>
      </c>
      <c r="D273" t="inlineStr">
        <is>
          <t>R250414-uppercase</t>
        </is>
      </c>
      <c r="E273" t="inlineStr">
        <is>
          <t>uppercase</t>
        </is>
      </c>
      <c r="F273" s="17" t="n">
        <v>45761</v>
      </c>
      <c r="G273" t="inlineStr">
        <is>
          <t>no source names the stage</t>
        </is>
      </c>
    </row>
    <row r="274">
      <c r="A274" t="inlineStr">
        <is>
          <t>C04</t>
        </is>
      </c>
      <c r="B274" t="inlineStr">
        <is>
          <t>Stage undisclosed</t>
        </is>
      </c>
      <c r="C274" t="inlineStr">
        <is>
          <t>info</t>
        </is>
      </c>
      <c r="D274" t="inlineStr">
        <is>
          <t>R250415-ochrespirits</t>
        </is>
      </c>
      <c r="E274" t="inlineStr">
        <is>
          <t>Ochre Spirits</t>
        </is>
      </c>
      <c r="F274" s="17" t="n">
        <v>45762</v>
      </c>
      <c r="G274" t="inlineStr">
        <is>
          <t>no source names the stage</t>
        </is>
      </c>
    </row>
    <row r="275">
      <c r="A275" t="inlineStr">
        <is>
          <t>C04</t>
        </is>
      </c>
      <c r="B275" t="inlineStr">
        <is>
          <t>Stage undisclosed</t>
        </is>
      </c>
      <c r="C275" t="inlineStr">
        <is>
          <t>info</t>
        </is>
      </c>
      <c r="D275" t="inlineStr">
        <is>
          <t>R250416-ipec</t>
        </is>
      </c>
      <c r="E275" t="inlineStr">
        <is>
          <t>IPEC</t>
        </is>
      </c>
      <c r="F275" s="17" t="n">
        <v>45763</v>
      </c>
      <c r="G275" t="inlineStr">
        <is>
          <t>no source names the stage</t>
        </is>
      </c>
    </row>
    <row r="276">
      <c r="A276" t="inlineStr">
        <is>
          <t>C04</t>
        </is>
      </c>
      <c r="B276" t="inlineStr">
        <is>
          <t>Stage undisclosed</t>
        </is>
      </c>
      <c r="C276" t="inlineStr">
        <is>
          <t>info</t>
        </is>
      </c>
      <c r="D276" t="inlineStr">
        <is>
          <t>R250416-ofbusiness</t>
        </is>
      </c>
      <c r="E276" t="inlineStr">
        <is>
          <t>OfBusiness</t>
        </is>
      </c>
      <c r="F276" s="17" t="n">
        <v>45763</v>
      </c>
      <c r="G276" t="inlineStr">
        <is>
          <t>no source names the stage</t>
        </is>
      </c>
    </row>
    <row r="277">
      <c r="A277" t="inlineStr">
        <is>
          <t>C04</t>
        </is>
      </c>
      <c r="B277" t="inlineStr">
        <is>
          <t>Stage undisclosed</t>
        </is>
      </c>
      <c r="C277" t="inlineStr">
        <is>
          <t>info</t>
        </is>
      </c>
      <c r="D277" t="inlineStr">
        <is>
          <t>R250417-jetsynthesys</t>
        </is>
      </c>
      <c r="E277" t="inlineStr">
        <is>
          <t>JetSynthesys</t>
        </is>
      </c>
      <c r="F277" s="17" t="n">
        <v>45764</v>
      </c>
      <c r="G277" t="inlineStr">
        <is>
          <t>no source names the stage</t>
        </is>
      </c>
    </row>
    <row r="278">
      <c r="A278" t="inlineStr">
        <is>
          <t>C04</t>
        </is>
      </c>
      <c r="B278" t="inlineStr">
        <is>
          <t>Stage undisclosed</t>
        </is>
      </c>
      <c r="C278" t="inlineStr">
        <is>
          <t>info</t>
        </is>
      </c>
      <c r="D278" t="inlineStr">
        <is>
          <t>R250418-rayzonsolar</t>
        </is>
      </c>
      <c r="E278" t="inlineStr">
        <is>
          <t>Rayzon Solar</t>
        </is>
      </c>
      <c r="F278" s="17" t="n">
        <v>45765</v>
      </c>
      <c r="G278" t="inlineStr">
        <is>
          <t>no source names the stage</t>
        </is>
      </c>
    </row>
    <row r="279">
      <c r="A279" t="inlineStr">
        <is>
          <t>C04</t>
        </is>
      </c>
      <c r="B279" t="inlineStr">
        <is>
          <t>Stage undisclosed</t>
        </is>
      </c>
      <c r="C279" t="inlineStr">
        <is>
          <t>info</t>
        </is>
      </c>
      <c r="D279" t="inlineStr">
        <is>
          <t>R250421-ivory</t>
        </is>
      </c>
      <c r="E279" t="inlineStr">
        <is>
          <t>Ivory</t>
        </is>
      </c>
      <c r="F279" s="17" t="n">
        <v>45768</v>
      </c>
      <c r="G279" t="inlineStr">
        <is>
          <t>no source names the stage</t>
        </is>
      </c>
    </row>
    <row r="280">
      <c r="A280" t="inlineStr">
        <is>
          <t>C04</t>
        </is>
      </c>
      <c r="B280" t="inlineStr">
        <is>
          <t>Stage undisclosed</t>
        </is>
      </c>
      <c r="C280" t="inlineStr">
        <is>
          <t>info</t>
        </is>
      </c>
      <c r="D280" t="inlineStr">
        <is>
          <t>R250422-kiranapro</t>
        </is>
      </c>
      <c r="E280" t="inlineStr">
        <is>
          <t>KiranaPro</t>
        </is>
      </c>
      <c r="F280" s="17" t="n">
        <v>45769</v>
      </c>
      <c r="G280" t="inlineStr">
        <is>
          <t>no source names the stage</t>
        </is>
      </c>
    </row>
    <row r="281">
      <c r="A281" t="inlineStr">
        <is>
          <t>C04</t>
        </is>
      </c>
      <c r="B281" t="inlineStr">
        <is>
          <t>Stage undisclosed</t>
        </is>
      </c>
      <c r="C281" t="inlineStr">
        <is>
          <t>info</t>
        </is>
      </c>
      <c r="D281" t="inlineStr">
        <is>
          <t>R250422-poshsmetal</t>
        </is>
      </c>
      <c r="E281" t="inlineStr">
        <is>
          <t>Poshs Metal</t>
        </is>
      </c>
      <c r="F281" s="17" t="n">
        <v>45769</v>
      </c>
      <c r="G281" t="inlineStr">
        <is>
          <t>no source names the stage</t>
        </is>
      </c>
    </row>
    <row r="282">
      <c r="A282" t="inlineStr">
        <is>
          <t>C04</t>
        </is>
      </c>
      <c r="B282" t="inlineStr">
        <is>
          <t>Stage undisclosed</t>
        </is>
      </c>
      <c r="C282" t="inlineStr">
        <is>
          <t>info</t>
        </is>
      </c>
      <c r="D282" t="inlineStr">
        <is>
          <t>R250422-rebelfoods</t>
        </is>
      </c>
      <c r="E282" t="inlineStr">
        <is>
          <t>Rebel Foods</t>
        </is>
      </c>
      <c r="F282" s="17" t="n">
        <v>45769</v>
      </c>
      <c r="G282" t="inlineStr">
        <is>
          <t>no source names the stage</t>
        </is>
      </c>
    </row>
    <row r="283">
      <c r="A283" t="inlineStr">
        <is>
          <t>C04</t>
        </is>
      </c>
      <c r="B283" t="inlineStr">
        <is>
          <t>Stage undisclosed</t>
        </is>
      </c>
      <c r="C283" t="inlineStr">
        <is>
          <t>info</t>
        </is>
      </c>
      <c r="D283" t="inlineStr">
        <is>
          <t>R250422-vayudh</t>
        </is>
      </c>
      <c r="E283" t="inlineStr">
        <is>
          <t>Vayudh</t>
        </is>
      </c>
      <c r="F283" s="17" t="n">
        <v>45769</v>
      </c>
      <c r="G283" t="inlineStr">
        <is>
          <t>no source names the stage</t>
        </is>
      </c>
    </row>
    <row r="284">
      <c r="A284" t="inlineStr">
        <is>
          <t>C04</t>
        </is>
      </c>
      <c r="B284" t="inlineStr">
        <is>
          <t>Stage undisclosed</t>
        </is>
      </c>
      <c r="C284" t="inlineStr">
        <is>
          <t>info</t>
        </is>
      </c>
      <c r="D284" t="inlineStr">
        <is>
          <t>R250423-beyondoddstech</t>
        </is>
      </c>
      <c r="E284" t="inlineStr">
        <is>
          <t>Beyond Odds Technologies</t>
        </is>
      </c>
      <c r="F284" s="17" t="n">
        <v>45770</v>
      </c>
      <c r="G284" t="inlineStr">
        <is>
          <t>no source names the stage</t>
        </is>
      </c>
    </row>
    <row r="285">
      <c r="A285" t="inlineStr">
        <is>
          <t>C04</t>
        </is>
      </c>
      <c r="B285" t="inlineStr">
        <is>
          <t>Stage undisclosed</t>
        </is>
      </c>
      <c r="C285" t="inlineStr">
        <is>
          <t>info</t>
        </is>
      </c>
      <c r="D285" t="inlineStr">
        <is>
          <t>R250423-farmart</t>
        </is>
      </c>
      <c r="E285" t="inlineStr">
        <is>
          <t>FarMart</t>
        </is>
      </c>
      <c r="F285" s="17" t="n">
        <v>45770</v>
      </c>
      <c r="G285" t="inlineStr">
        <is>
          <t>no source names the stage</t>
        </is>
      </c>
    </row>
    <row r="286">
      <c r="A286" t="inlineStr">
        <is>
          <t>C04</t>
        </is>
      </c>
      <c r="B286" t="inlineStr">
        <is>
          <t>Stage undisclosed</t>
        </is>
      </c>
      <c r="C286" t="inlineStr">
        <is>
          <t>info</t>
        </is>
      </c>
      <c r="D286" t="inlineStr">
        <is>
          <t>R250423-savein</t>
        </is>
      </c>
      <c r="E286" t="inlineStr">
        <is>
          <t>SaveIn</t>
        </is>
      </c>
      <c r="F286" s="17" t="n">
        <v>45770</v>
      </c>
      <c r="G286" t="inlineStr">
        <is>
          <t>no source names the stage</t>
        </is>
      </c>
    </row>
    <row r="287">
      <c r="A287" t="inlineStr">
        <is>
          <t>C04</t>
        </is>
      </c>
      <c r="B287" t="inlineStr">
        <is>
          <t>Stage undisclosed</t>
        </is>
      </c>
      <c r="C287" t="inlineStr">
        <is>
          <t>info</t>
        </is>
      </c>
      <c r="D287" t="inlineStr">
        <is>
          <t>R250429-nbfcmetafin</t>
        </is>
      </c>
      <c r="E287" t="inlineStr">
        <is>
          <t>NBFC Metafin</t>
        </is>
      </c>
      <c r="F287" s="17" t="n">
        <v>45776</v>
      </c>
      <c r="G287" t="inlineStr">
        <is>
          <t>no source names the stage</t>
        </is>
      </c>
    </row>
    <row r="288">
      <c r="A288" t="inlineStr">
        <is>
          <t>C04</t>
        </is>
      </c>
      <c r="B288" t="inlineStr">
        <is>
          <t>Stage undisclosed</t>
        </is>
      </c>
      <c r="C288" t="inlineStr">
        <is>
          <t>info</t>
        </is>
      </c>
      <c r="D288" t="inlineStr">
        <is>
          <t>R250430-sadhavoffshore</t>
        </is>
      </c>
      <c r="E288" t="inlineStr">
        <is>
          <t>Sadhav Offshore</t>
        </is>
      </c>
      <c r="F288" s="17" t="n">
        <v>45777</v>
      </c>
      <c r="G288" t="inlineStr">
        <is>
          <t>no source names the stage</t>
        </is>
      </c>
    </row>
    <row r="289">
      <c r="A289" t="inlineStr">
        <is>
          <t>C04</t>
        </is>
      </c>
      <c r="B289" t="inlineStr">
        <is>
          <t>Stage undisclosed</t>
        </is>
      </c>
      <c r="C289" t="inlineStr">
        <is>
          <t>info</t>
        </is>
      </c>
      <c r="D289" t="inlineStr">
        <is>
          <t>R250502-byteedge</t>
        </is>
      </c>
      <c r="E289" t="inlineStr">
        <is>
          <t>ByteEdge</t>
        </is>
      </c>
      <c r="F289" s="17" t="n">
        <v>45779</v>
      </c>
      <c r="G289" t="inlineStr">
        <is>
          <t>no source names the stage</t>
        </is>
      </c>
    </row>
    <row r="290">
      <c r="A290" t="inlineStr">
        <is>
          <t>C04</t>
        </is>
      </c>
      <c r="B290" t="inlineStr">
        <is>
          <t>Stage undisclosed</t>
        </is>
      </c>
      <c r="C290" t="inlineStr">
        <is>
          <t>info</t>
        </is>
      </c>
      <c r="D290" t="inlineStr">
        <is>
          <t>R250502-kaleidofin</t>
        </is>
      </c>
      <c r="E290" t="inlineStr">
        <is>
          <t>Kaleidofin</t>
        </is>
      </c>
      <c r="F290" s="17" t="n">
        <v>45779</v>
      </c>
      <c r="G290" t="inlineStr">
        <is>
          <t>no source names the stage</t>
        </is>
      </c>
    </row>
    <row r="291">
      <c r="A291" t="inlineStr">
        <is>
          <t>C04</t>
        </is>
      </c>
      <c r="B291" t="inlineStr">
        <is>
          <t>Stage undisclosed</t>
        </is>
      </c>
      <c r="C291" t="inlineStr">
        <is>
          <t>info</t>
        </is>
      </c>
      <c r="D291" t="inlineStr">
        <is>
          <t>R250502-sednahoreca</t>
        </is>
      </c>
      <c r="E291" t="inlineStr">
        <is>
          <t>Sedna HoReCa</t>
        </is>
      </c>
      <c r="F291" s="17" t="n">
        <v>45779</v>
      </c>
      <c r="G291" t="inlineStr">
        <is>
          <t>no source names the stage</t>
        </is>
      </c>
    </row>
    <row r="292">
      <c r="A292" t="inlineStr">
        <is>
          <t>C04</t>
        </is>
      </c>
      <c r="B292" t="inlineStr">
        <is>
          <t>Stage undisclosed</t>
        </is>
      </c>
      <c r="C292" t="inlineStr">
        <is>
          <t>info</t>
        </is>
      </c>
      <c r="D292" t="inlineStr">
        <is>
          <t>R250505-storemygoods</t>
        </is>
      </c>
      <c r="E292" t="inlineStr">
        <is>
          <t>Store My Goods</t>
        </is>
      </c>
      <c r="F292" s="17" t="n">
        <v>45782</v>
      </c>
      <c r="G292" t="inlineStr">
        <is>
          <t>no source names the stage</t>
        </is>
      </c>
    </row>
    <row r="293">
      <c r="A293" t="inlineStr">
        <is>
          <t>C04</t>
        </is>
      </c>
      <c r="B293" t="inlineStr">
        <is>
          <t>Stage undisclosed</t>
        </is>
      </c>
      <c r="C293" t="inlineStr">
        <is>
          <t>info</t>
        </is>
      </c>
      <c r="D293" t="inlineStr">
        <is>
          <t>R250506-insurancesamad</t>
        </is>
      </c>
      <c r="E293" t="inlineStr">
        <is>
          <t>Insurance Samadhan</t>
        </is>
      </c>
      <c r="F293" s="17" t="n">
        <v>45783</v>
      </c>
      <c r="G293" t="inlineStr">
        <is>
          <t>no source names the stage</t>
        </is>
      </c>
    </row>
    <row r="294">
      <c r="A294" t="inlineStr">
        <is>
          <t>C04</t>
        </is>
      </c>
      <c r="B294" t="inlineStr">
        <is>
          <t>Stage undisclosed</t>
        </is>
      </c>
      <c r="C294" t="inlineStr">
        <is>
          <t>info</t>
        </is>
      </c>
      <c r="D294" t="inlineStr">
        <is>
          <t>R250506-saleassistai</t>
        </is>
      </c>
      <c r="E294" t="inlineStr">
        <is>
          <t>SaleAssist.ai</t>
        </is>
      </c>
      <c r="F294" s="17" t="n">
        <v>45783</v>
      </c>
      <c r="G294" t="inlineStr">
        <is>
          <t>no source names the stage</t>
        </is>
      </c>
    </row>
    <row r="295">
      <c r="A295" t="inlineStr">
        <is>
          <t>C04</t>
        </is>
      </c>
      <c r="B295" t="inlineStr">
        <is>
          <t>Stage undisclosed</t>
        </is>
      </c>
      <c r="C295" t="inlineStr">
        <is>
          <t>info</t>
        </is>
      </c>
      <c r="D295" t="inlineStr">
        <is>
          <t>R250507-codeantai</t>
        </is>
      </c>
      <c r="E295" t="inlineStr">
        <is>
          <t>CodeAnt AI</t>
        </is>
      </c>
      <c r="F295" s="17" t="n">
        <v>45784</v>
      </c>
      <c r="G295" t="inlineStr">
        <is>
          <t>no source names the stage</t>
        </is>
      </c>
    </row>
    <row r="296">
      <c r="A296" t="inlineStr">
        <is>
          <t>C04</t>
        </is>
      </c>
      <c r="B296" t="inlineStr">
        <is>
          <t>Stage undisclosed</t>
        </is>
      </c>
      <c r="C296" t="inlineStr">
        <is>
          <t>info</t>
        </is>
      </c>
      <c r="D296" t="inlineStr">
        <is>
          <t>R250507-flipspaces</t>
        </is>
      </c>
      <c r="E296" t="inlineStr">
        <is>
          <t>Flipspaces</t>
        </is>
      </c>
      <c r="F296" s="17" t="n">
        <v>45784</v>
      </c>
      <c r="G296" t="inlineStr">
        <is>
          <t>no source names the stage</t>
        </is>
      </c>
    </row>
    <row r="297">
      <c r="A297" t="inlineStr">
        <is>
          <t>C04</t>
        </is>
      </c>
      <c r="B297" t="inlineStr">
        <is>
          <t>Stage undisclosed</t>
        </is>
      </c>
      <c r="C297" t="inlineStr">
        <is>
          <t>info</t>
        </is>
      </c>
      <c r="D297" t="inlineStr">
        <is>
          <t>R250507-lahori</t>
        </is>
      </c>
      <c r="E297" t="inlineStr">
        <is>
          <t>Lahori</t>
        </is>
      </c>
      <c r="F297" s="17" t="n">
        <v>45784</v>
      </c>
      <c r="G297" t="inlineStr">
        <is>
          <t>no source names the stage</t>
        </is>
      </c>
    </row>
    <row r="298">
      <c r="A298" t="inlineStr">
        <is>
          <t>C04</t>
        </is>
      </c>
      <c r="B298" t="inlineStr">
        <is>
          <t>Stage undisclosed</t>
        </is>
      </c>
      <c r="C298" t="inlineStr">
        <is>
          <t>info</t>
        </is>
      </c>
      <c r="D298" t="inlineStr">
        <is>
          <t>R250513-neurostellar</t>
        </is>
      </c>
      <c r="E298" t="inlineStr">
        <is>
          <t>Neurostellar</t>
        </is>
      </c>
      <c r="F298" s="17" t="n">
        <v>45790</v>
      </c>
      <c r="G298" t="inlineStr">
        <is>
          <t>no source names the stage</t>
        </is>
      </c>
    </row>
    <row r="299">
      <c r="A299" t="inlineStr">
        <is>
          <t>C04</t>
        </is>
      </c>
      <c r="B299" t="inlineStr">
        <is>
          <t>Stage undisclosed</t>
        </is>
      </c>
      <c r="C299" t="inlineStr">
        <is>
          <t>info</t>
        </is>
      </c>
      <c r="D299" t="inlineStr">
        <is>
          <t>R250513-tieaconnectors</t>
        </is>
      </c>
      <c r="E299" t="inlineStr">
        <is>
          <t>TIEA Connectors</t>
        </is>
      </c>
      <c r="F299" s="17" t="n">
        <v>45790</v>
      </c>
      <c r="G299" t="inlineStr">
        <is>
          <t>no source names the stage</t>
        </is>
      </c>
    </row>
    <row r="300">
      <c r="A300" t="inlineStr">
        <is>
          <t>C04</t>
        </is>
      </c>
      <c r="B300" t="inlineStr">
        <is>
          <t>Stage undisclosed</t>
        </is>
      </c>
      <c r="C300" t="inlineStr">
        <is>
          <t>info</t>
        </is>
      </c>
      <c r="D300" t="inlineStr">
        <is>
          <t>R250514-vflowtech</t>
        </is>
      </c>
      <c r="E300" t="inlineStr">
        <is>
          <t>VFlowTech</t>
        </is>
      </c>
      <c r="F300" s="17" t="n">
        <v>45791</v>
      </c>
      <c r="G300" t="inlineStr">
        <is>
          <t>no source names the stage</t>
        </is>
      </c>
    </row>
    <row r="301">
      <c r="A301" t="inlineStr">
        <is>
          <t>C04</t>
        </is>
      </c>
      <c r="B301" t="inlineStr">
        <is>
          <t>Stage undisclosed</t>
        </is>
      </c>
      <c r="C301" t="inlineStr">
        <is>
          <t>info</t>
        </is>
      </c>
      <c r="D301" t="inlineStr">
        <is>
          <t>R250516-nobelhygiene</t>
        </is>
      </c>
      <c r="E301" t="inlineStr">
        <is>
          <t>Nobel Hygiene</t>
        </is>
      </c>
      <c r="F301" s="17" t="n">
        <v>45792</v>
      </c>
      <c r="G301" t="inlineStr">
        <is>
          <t>no source names the stage</t>
        </is>
      </c>
    </row>
    <row r="302">
      <c r="A302" t="inlineStr">
        <is>
          <t>C04</t>
        </is>
      </c>
      <c r="B302" t="inlineStr">
        <is>
          <t>Stage undisclosed</t>
        </is>
      </c>
      <c r="C302" t="inlineStr">
        <is>
          <t>info</t>
        </is>
      </c>
      <c r="D302" t="inlineStr">
        <is>
          <t>R250516-airbotsaerospa</t>
        </is>
      </c>
      <c r="E302" t="inlineStr">
        <is>
          <t>Airbots Aerospace</t>
        </is>
      </c>
      <c r="F302" s="17" t="n">
        <v>45793</v>
      </c>
      <c r="G302" t="inlineStr">
        <is>
          <t>no source names the stage</t>
        </is>
      </c>
    </row>
    <row r="303">
      <c r="A303" t="inlineStr">
        <is>
          <t>C04</t>
        </is>
      </c>
      <c r="B303" t="inlineStr">
        <is>
          <t>Stage undisclosed</t>
        </is>
      </c>
      <c r="C303" t="inlineStr">
        <is>
          <t>info</t>
        </is>
      </c>
      <c r="D303" t="inlineStr">
        <is>
          <t>R250516-pronto</t>
        </is>
      </c>
      <c r="E303" t="inlineStr">
        <is>
          <t>Pronto</t>
        </is>
      </c>
      <c r="F303" s="17" t="n">
        <v>45793</v>
      </c>
      <c r="G303" t="inlineStr">
        <is>
          <t>no source names the stage</t>
        </is>
      </c>
    </row>
    <row r="304">
      <c r="A304" t="inlineStr">
        <is>
          <t>C04</t>
        </is>
      </c>
      <c r="B304" t="inlineStr">
        <is>
          <t>Stage undisclosed</t>
        </is>
      </c>
      <c r="C304" t="inlineStr">
        <is>
          <t>info</t>
        </is>
      </c>
      <c r="D304" t="inlineStr">
        <is>
          <t>R250517-fynmobility</t>
        </is>
      </c>
      <c r="E304" t="inlineStr">
        <is>
          <t>Fyn Mobility</t>
        </is>
      </c>
      <c r="F304" s="17" t="n">
        <v>45794</v>
      </c>
      <c r="G304" t="inlineStr">
        <is>
          <t>no source names the stage</t>
        </is>
      </c>
    </row>
    <row r="305">
      <c r="A305" t="inlineStr">
        <is>
          <t>C04</t>
        </is>
      </c>
      <c r="B305" t="inlineStr">
        <is>
          <t>Stage undisclosed</t>
        </is>
      </c>
      <c r="C305" t="inlineStr">
        <is>
          <t>info</t>
        </is>
      </c>
      <c r="D305" t="inlineStr">
        <is>
          <t>R250521-thesockstreet</t>
        </is>
      </c>
      <c r="E305" t="inlineStr">
        <is>
          <t>The Sock Street</t>
        </is>
      </c>
      <c r="F305" s="17" t="n">
        <v>45798</v>
      </c>
      <c r="G305" t="inlineStr">
        <is>
          <t>no source names the stage</t>
        </is>
      </c>
    </row>
    <row r="306">
      <c r="A306" t="inlineStr">
        <is>
          <t>C04</t>
        </is>
      </c>
      <c r="B306" t="inlineStr">
        <is>
          <t>Stage undisclosed</t>
        </is>
      </c>
      <c r="C306" t="inlineStr">
        <is>
          <t>info</t>
        </is>
      </c>
      <c r="D306" t="inlineStr">
        <is>
          <t>R250522-zoca</t>
        </is>
      </c>
      <c r="E306" t="inlineStr">
        <is>
          <t>Zoca</t>
        </is>
      </c>
      <c r="F306" s="17" t="n">
        <v>45798</v>
      </c>
      <c r="G306" t="inlineStr">
        <is>
          <t>no source names the stage</t>
        </is>
      </c>
    </row>
    <row r="307">
      <c r="A307" t="inlineStr">
        <is>
          <t>C04</t>
        </is>
      </c>
      <c r="B307" t="inlineStr">
        <is>
          <t>Stage undisclosed</t>
        </is>
      </c>
      <c r="C307" t="inlineStr">
        <is>
          <t>info</t>
        </is>
      </c>
      <c r="D307" t="inlineStr">
        <is>
          <t>R250522-shuru</t>
        </is>
      </c>
      <c r="E307" t="inlineStr">
        <is>
          <t>Shuru</t>
        </is>
      </c>
      <c r="F307" s="17" t="n">
        <v>45799</v>
      </c>
      <c r="G307" t="inlineStr">
        <is>
          <t>no source names the stage</t>
        </is>
      </c>
    </row>
    <row r="308">
      <c r="A308" t="inlineStr">
        <is>
          <t>C04</t>
        </is>
      </c>
      <c r="B308" t="inlineStr">
        <is>
          <t>Stage undisclosed</t>
        </is>
      </c>
      <c r="C308" t="inlineStr">
        <is>
          <t>info</t>
        </is>
      </c>
      <c r="D308" t="inlineStr">
        <is>
          <t>R250523-borderless</t>
        </is>
      </c>
      <c r="E308" t="inlineStr">
        <is>
          <t>Borderless</t>
        </is>
      </c>
      <c r="F308" s="17" t="n">
        <v>45800</v>
      </c>
      <c r="G308" t="inlineStr">
        <is>
          <t>no source names the stage</t>
        </is>
      </c>
    </row>
    <row r="309">
      <c r="A309" t="inlineStr">
        <is>
          <t>C04</t>
        </is>
      </c>
      <c r="B309" t="inlineStr">
        <is>
          <t>Stage undisclosed</t>
        </is>
      </c>
      <c r="C309" t="inlineStr">
        <is>
          <t>info</t>
        </is>
      </c>
      <c r="D309" t="inlineStr">
        <is>
          <t>R250523-kskt</t>
        </is>
      </c>
      <c r="E309" t="inlineStr">
        <is>
          <t>KSKT</t>
        </is>
      </c>
      <c r="F309" s="17" t="n">
        <v>45800</v>
      </c>
      <c r="G309" t="inlineStr">
        <is>
          <t>no source names the stage</t>
        </is>
      </c>
    </row>
    <row r="310">
      <c r="A310" t="inlineStr">
        <is>
          <t>C04</t>
        </is>
      </c>
      <c r="B310" t="inlineStr">
        <is>
          <t>Stage undisclosed</t>
        </is>
      </c>
      <c r="C310" t="inlineStr">
        <is>
          <t>info</t>
        </is>
      </c>
      <c r="D310" t="inlineStr">
        <is>
          <t>R250527-tova</t>
        </is>
      </c>
      <c r="E310" t="inlineStr">
        <is>
          <t>TOVA</t>
        </is>
      </c>
      <c r="F310" s="17" t="n">
        <v>45804</v>
      </c>
      <c r="G310" t="inlineStr">
        <is>
          <t>no source names the stage</t>
        </is>
      </c>
    </row>
    <row r="311">
      <c r="A311" t="inlineStr">
        <is>
          <t>C04</t>
        </is>
      </c>
      <c r="B311" t="inlineStr">
        <is>
          <t>Stage undisclosed</t>
        </is>
      </c>
      <c r="C311" t="inlineStr">
        <is>
          <t>info</t>
        </is>
      </c>
      <c r="D311" t="inlineStr">
        <is>
          <t>R250529-ziniosa</t>
        </is>
      </c>
      <c r="E311" t="inlineStr">
        <is>
          <t>Ziniosa</t>
        </is>
      </c>
      <c r="F311" s="17" t="n">
        <v>45806</v>
      </c>
      <c r="G311" t="inlineStr">
        <is>
          <t>no source names the stage</t>
        </is>
      </c>
    </row>
    <row r="312">
      <c r="A312" t="inlineStr">
        <is>
          <t>C04</t>
        </is>
      </c>
      <c r="B312" t="inlineStr">
        <is>
          <t>Stage undisclosed</t>
        </is>
      </c>
      <c r="C312" t="inlineStr">
        <is>
          <t>info</t>
        </is>
      </c>
      <c r="D312" t="inlineStr">
        <is>
          <t>R250530-chalo</t>
        </is>
      </c>
      <c r="E312" t="inlineStr">
        <is>
          <t>Chalo</t>
        </is>
      </c>
      <c r="F312" s="17" t="n">
        <v>45807</v>
      </c>
      <c r="G312" t="inlineStr">
        <is>
          <t>no source names the stage</t>
        </is>
      </c>
    </row>
    <row r="313">
      <c r="A313" t="inlineStr">
        <is>
          <t>C04</t>
        </is>
      </c>
      <c r="B313" t="inlineStr">
        <is>
          <t>Stage undisclosed</t>
        </is>
      </c>
      <c r="C313" t="inlineStr">
        <is>
          <t>info</t>
        </is>
      </c>
      <c r="D313" t="inlineStr">
        <is>
          <t>R250602-pepperfry</t>
        </is>
      </c>
      <c r="E313" t="inlineStr">
        <is>
          <t>Pepperfry</t>
        </is>
      </c>
      <c r="F313" s="17" t="n">
        <v>45810</v>
      </c>
      <c r="G313" t="inlineStr">
        <is>
          <t>no source names the stage</t>
        </is>
      </c>
    </row>
    <row r="314">
      <c r="A314" t="inlineStr">
        <is>
          <t>C04</t>
        </is>
      </c>
      <c r="B314" t="inlineStr">
        <is>
          <t>Stage undisclosed</t>
        </is>
      </c>
      <c r="C314" t="inlineStr">
        <is>
          <t>info</t>
        </is>
      </c>
      <c r="D314" t="inlineStr">
        <is>
          <t>R250604-naagin</t>
        </is>
      </c>
      <c r="E314" t="inlineStr">
        <is>
          <t>Naagin</t>
        </is>
      </c>
      <c r="F314" s="17" t="n">
        <v>45812</v>
      </c>
      <c r="G314" t="inlineStr">
        <is>
          <t>no source names the stage</t>
        </is>
      </c>
    </row>
    <row r="315">
      <c r="A315" t="inlineStr">
        <is>
          <t>C04</t>
        </is>
      </c>
      <c r="B315" t="inlineStr">
        <is>
          <t>Stage undisclosed</t>
        </is>
      </c>
      <c r="C315" t="inlineStr">
        <is>
          <t>info</t>
        </is>
      </c>
      <c r="D315" t="inlineStr">
        <is>
          <t>R250611-garudaaerospac</t>
        </is>
      </c>
      <c r="E315" t="inlineStr">
        <is>
          <t>Garuda Aerospace</t>
        </is>
      </c>
      <c r="F315" s="17" t="n">
        <v>45819</v>
      </c>
      <c r="G315" t="inlineStr">
        <is>
          <t>no source names the stage</t>
        </is>
      </c>
    </row>
    <row r="316">
      <c r="A316" t="inlineStr">
        <is>
          <t>C04</t>
        </is>
      </c>
      <c r="B316" t="inlineStr">
        <is>
          <t>Stage undisclosed</t>
        </is>
      </c>
      <c r="C316" t="inlineStr">
        <is>
          <t>info</t>
        </is>
      </c>
      <c r="D316" t="inlineStr">
        <is>
          <t>R250611-machaxi</t>
        </is>
      </c>
      <c r="E316" t="inlineStr">
        <is>
          <t>Machaxi</t>
        </is>
      </c>
      <c r="F316" s="17" t="n">
        <v>45819</v>
      </c>
      <c r="G316" t="inlineStr">
        <is>
          <t>no source names the stage</t>
        </is>
      </c>
    </row>
    <row r="317">
      <c r="A317" t="inlineStr">
        <is>
          <t>C04</t>
        </is>
      </c>
      <c r="B317" t="inlineStr">
        <is>
          <t>Stage undisclosed</t>
        </is>
      </c>
      <c r="C317" t="inlineStr">
        <is>
          <t>info</t>
        </is>
      </c>
      <c r="D317" t="inlineStr">
        <is>
          <t>R250616-fundbyatomicca</t>
        </is>
      </c>
      <c r="E317" t="inlineStr">
        <is>
          <t>fund by Atomic Capital</t>
        </is>
      </c>
      <c r="F317" s="17" t="n">
        <v>45824</v>
      </c>
      <c r="G317" t="inlineStr">
        <is>
          <t>no source names the stage</t>
        </is>
      </c>
    </row>
    <row r="318">
      <c r="A318" t="inlineStr">
        <is>
          <t>C04</t>
        </is>
      </c>
      <c r="B318" t="inlineStr">
        <is>
          <t>Stage undisclosed</t>
        </is>
      </c>
      <c r="C318" t="inlineStr">
        <is>
          <t>info</t>
        </is>
      </c>
      <c r="D318" t="inlineStr">
        <is>
          <t>R250617-pop</t>
        </is>
      </c>
      <c r="E318" t="inlineStr">
        <is>
          <t>POP</t>
        </is>
      </c>
      <c r="F318" s="17" t="n">
        <v>45825</v>
      </c>
      <c r="G318" t="inlineStr">
        <is>
          <t>no source names the stage</t>
        </is>
      </c>
    </row>
    <row r="319">
      <c r="A319" t="inlineStr">
        <is>
          <t>C04</t>
        </is>
      </c>
      <c r="B319" t="inlineStr">
        <is>
          <t>Stage undisclosed</t>
        </is>
      </c>
      <c r="C319" t="inlineStr">
        <is>
          <t>info</t>
        </is>
      </c>
      <c r="D319" t="inlineStr">
        <is>
          <t>R250618-clrfacilityser</t>
        </is>
      </c>
      <c r="E319" t="inlineStr">
        <is>
          <t>CLR Facility Services</t>
        </is>
      </c>
      <c r="F319" s="17" t="n">
        <v>45826</v>
      </c>
      <c r="G319" t="inlineStr">
        <is>
          <t>no source names the stage</t>
        </is>
      </c>
    </row>
    <row r="320">
      <c r="A320" t="inlineStr">
        <is>
          <t>C04</t>
        </is>
      </c>
      <c r="B320" t="inlineStr">
        <is>
          <t>Stage undisclosed</t>
        </is>
      </c>
      <c r="C320" t="inlineStr">
        <is>
          <t>info</t>
        </is>
      </c>
      <c r="D320" t="inlineStr">
        <is>
          <t>R250618-techfino</t>
        </is>
      </c>
      <c r="E320" t="inlineStr">
        <is>
          <t>Techfino</t>
        </is>
      </c>
      <c r="F320" s="17" t="n">
        <v>45826</v>
      </c>
      <c r="G320" t="inlineStr">
        <is>
          <t>no source names the stage</t>
        </is>
      </c>
    </row>
    <row r="321">
      <c r="A321" t="inlineStr">
        <is>
          <t>C04</t>
        </is>
      </c>
      <c r="B321" t="inlineStr">
        <is>
          <t>Stage undisclosed</t>
        </is>
      </c>
      <c r="C321" t="inlineStr">
        <is>
          <t>info</t>
        </is>
      </c>
      <c r="D321" t="inlineStr">
        <is>
          <t>R250618-wiom</t>
        </is>
      </c>
      <c r="E321" t="inlineStr">
        <is>
          <t>WIOM</t>
        </is>
      </c>
      <c r="F321" s="17" t="n">
        <v>45826</v>
      </c>
      <c r="G321" t="inlineStr">
        <is>
          <t>no source names the stage</t>
        </is>
      </c>
    </row>
    <row r="322">
      <c r="A322" t="inlineStr">
        <is>
          <t>C04</t>
        </is>
      </c>
      <c r="B322" t="inlineStr">
        <is>
          <t>Stage undisclosed</t>
        </is>
      </c>
      <c r="C322" t="inlineStr">
        <is>
          <t>info</t>
        </is>
      </c>
      <c r="D322" t="inlineStr">
        <is>
          <t>R250619-okinawa</t>
        </is>
      </c>
      <c r="E322" t="inlineStr">
        <is>
          <t>Okinawa</t>
        </is>
      </c>
      <c r="F322" s="17" t="n">
        <v>45827</v>
      </c>
      <c r="G322" t="inlineStr">
        <is>
          <t>no source names the stage</t>
        </is>
      </c>
    </row>
    <row r="323">
      <c r="A323" t="inlineStr">
        <is>
          <t>C04</t>
        </is>
      </c>
      <c r="B323" t="inlineStr">
        <is>
          <t>Stage undisclosed</t>
        </is>
      </c>
      <c r="C323" t="inlineStr">
        <is>
          <t>info</t>
        </is>
      </c>
      <c r="D323" t="inlineStr">
        <is>
          <t>R250619-onehandclapmed</t>
        </is>
      </c>
      <c r="E323" t="inlineStr">
        <is>
          <t>One Hand Clap Media</t>
        </is>
      </c>
      <c r="F323" s="17" t="n">
        <v>45827</v>
      </c>
      <c r="G323" t="inlineStr">
        <is>
          <t>no source names the stage</t>
        </is>
      </c>
    </row>
    <row r="324">
      <c r="A324" t="inlineStr">
        <is>
          <t>C04</t>
        </is>
      </c>
      <c r="B324" t="inlineStr">
        <is>
          <t>Stage undisclosed</t>
        </is>
      </c>
      <c r="C324" t="inlineStr">
        <is>
          <t>info</t>
        </is>
      </c>
      <c r="D324" t="inlineStr">
        <is>
          <t>R250620-renewbuy</t>
        </is>
      </c>
      <c r="E324" t="inlineStr">
        <is>
          <t>Renewbuy</t>
        </is>
      </c>
      <c r="F324" s="17" t="n">
        <v>45828</v>
      </c>
      <c r="G324" t="inlineStr">
        <is>
          <t>no source names the stage</t>
        </is>
      </c>
    </row>
    <row r="325">
      <c r="A325" t="inlineStr">
        <is>
          <t>C04</t>
        </is>
      </c>
      <c r="B325" t="inlineStr">
        <is>
          <t>Stage undisclosed</t>
        </is>
      </c>
      <c r="C325" t="inlineStr">
        <is>
          <t>info</t>
        </is>
      </c>
      <c r="D325" t="inlineStr">
        <is>
          <t>R250623-ekamobility</t>
        </is>
      </c>
      <c r="E325" t="inlineStr">
        <is>
          <t>EKA Mobility</t>
        </is>
      </c>
      <c r="F325" s="17" t="n">
        <v>45831</v>
      </c>
      <c r="G325" t="inlineStr">
        <is>
          <t>no source names the stage</t>
        </is>
      </c>
    </row>
    <row r="326">
      <c r="A326" t="inlineStr">
        <is>
          <t>C04</t>
        </is>
      </c>
      <c r="B326" t="inlineStr">
        <is>
          <t>Stage undisclosed</t>
        </is>
      </c>
      <c r="C326" t="inlineStr">
        <is>
          <t>info</t>
        </is>
      </c>
      <c r="D326" t="inlineStr">
        <is>
          <t>R250623-incredholdings</t>
        </is>
      </c>
      <c r="E326" t="inlineStr">
        <is>
          <t>InCred Holdings</t>
        </is>
      </c>
      <c r="F326" s="17" t="n">
        <v>45831</v>
      </c>
      <c r="G326" t="inlineStr">
        <is>
          <t>no source names the stage</t>
        </is>
      </c>
    </row>
    <row r="327">
      <c r="A327" t="inlineStr">
        <is>
          <t>C04</t>
        </is>
      </c>
      <c r="B327" t="inlineStr">
        <is>
          <t>Stage undisclosed</t>
        </is>
      </c>
      <c r="C327" t="inlineStr">
        <is>
          <t>info</t>
        </is>
      </c>
      <c r="D327" t="inlineStr">
        <is>
          <t>R250623-truliv</t>
        </is>
      </c>
      <c r="E327" t="inlineStr">
        <is>
          <t>Truliv</t>
        </is>
      </c>
      <c r="F327" s="17" t="n">
        <v>45831</v>
      </c>
      <c r="G327" t="inlineStr">
        <is>
          <t>no source names the stage</t>
        </is>
      </c>
    </row>
    <row r="328">
      <c r="A328" t="inlineStr">
        <is>
          <t>C04</t>
        </is>
      </c>
      <c r="B328" t="inlineStr">
        <is>
          <t>Stage undisclosed</t>
        </is>
      </c>
      <c r="C328" t="inlineStr">
        <is>
          <t>info</t>
        </is>
      </c>
      <c r="D328" t="inlineStr">
        <is>
          <t>R250624-gokwik</t>
        </is>
      </c>
      <c r="E328" t="inlineStr">
        <is>
          <t>GoKwik</t>
        </is>
      </c>
      <c r="F328" s="17" t="n">
        <v>45832</v>
      </c>
      <c r="G328" t="inlineStr">
        <is>
          <t>no source names the stage</t>
        </is>
      </c>
    </row>
    <row r="329">
      <c r="A329" t="inlineStr">
        <is>
          <t>C04</t>
        </is>
      </c>
      <c r="B329" t="inlineStr">
        <is>
          <t>Stage undisclosed</t>
        </is>
      </c>
      <c r="C329" t="inlineStr">
        <is>
          <t>info</t>
        </is>
      </c>
      <c r="D329" t="inlineStr">
        <is>
          <t>R250625-armory</t>
        </is>
      </c>
      <c r="E329" t="inlineStr">
        <is>
          <t>Armory</t>
        </is>
      </c>
      <c r="F329" s="17" t="n">
        <v>45833</v>
      </c>
      <c r="G329" t="inlineStr">
        <is>
          <t>no source names the stage</t>
        </is>
      </c>
    </row>
    <row r="330">
      <c r="A330" t="inlineStr">
        <is>
          <t>C04</t>
        </is>
      </c>
      <c r="B330" t="inlineStr">
        <is>
          <t>Stage undisclosed</t>
        </is>
      </c>
      <c r="C330" t="inlineStr">
        <is>
          <t>info</t>
        </is>
      </c>
      <c r="D330" t="inlineStr">
        <is>
          <t>R250625-indiabonds</t>
        </is>
      </c>
      <c r="E330" t="inlineStr">
        <is>
          <t>IndiaBonds</t>
        </is>
      </c>
      <c r="F330" s="17" t="n">
        <v>45833</v>
      </c>
      <c r="G330" t="inlineStr">
        <is>
          <t>no source names the stage</t>
        </is>
      </c>
    </row>
    <row r="331">
      <c r="A331" t="inlineStr">
        <is>
          <t>C04</t>
        </is>
      </c>
      <c r="B331" t="inlineStr">
        <is>
          <t>Stage undisclosed</t>
        </is>
      </c>
      <c r="C331" t="inlineStr">
        <is>
          <t>info</t>
        </is>
      </c>
      <c r="D331" t="inlineStr">
        <is>
          <t>R250626-flipspaces</t>
        </is>
      </c>
      <c r="E331" t="inlineStr">
        <is>
          <t>Flipspaces</t>
        </is>
      </c>
      <c r="F331" s="17" t="n">
        <v>45834</v>
      </c>
      <c r="G331" t="inlineStr">
        <is>
          <t>no source names the stage</t>
        </is>
      </c>
    </row>
    <row r="332">
      <c r="A332" t="inlineStr">
        <is>
          <t>C04</t>
        </is>
      </c>
      <c r="B332" t="inlineStr">
        <is>
          <t>Stage undisclosed</t>
        </is>
      </c>
      <c r="C332" t="inlineStr">
        <is>
          <t>info</t>
        </is>
      </c>
      <c r="D332" t="inlineStr">
        <is>
          <t>R250626-raphemphibr</t>
        </is>
      </c>
      <c r="E332" t="inlineStr">
        <is>
          <t>Raphe mPhibr</t>
        </is>
      </c>
      <c r="F332" s="17" t="n">
        <v>45834</v>
      </c>
      <c r="G332" t="inlineStr">
        <is>
          <t>no source names the stage</t>
        </is>
      </c>
    </row>
    <row r="333">
      <c r="A333" t="inlineStr">
        <is>
          <t>C04</t>
        </is>
      </c>
      <c r="B333" t="inlineStr">
        <is>
          <t>Stage undisclosed</t>
        </is>
      </c>
      <c r="C333" t="inlineStr">
        <is>
          <t>info</t>
        </is>
      </c>
      <c r="D333" t="inlineStr">
        <is>
          <t>R250704-ajnalens</t>
        </is>
      </c>
      <c r="E333" t="inlineStr">
        <is>
          <t>AjnaLens</t>
        </is>
      </c>
      <c r="F333" s="17" t="n">
        <v>45842</v>
      </c>
      <c r="G333" t="inlineStr">
        <is>
          <t>no source names the stage</t>
        </is>
      </c>
    </row>
    <row r="334">
      <c r="A334" t="inlineStr">
        <is>
          <t>C04</t>
        </is>
      </c>
      <c r="B334" t="inlineStr">
        <is>
          <t>Stage undisclosed</t>
        </is>
      </c>
      <c r="C334" t="inlineStr">
        <is>
          <t>info</t>
        </is>
      </c>
      <c r="D334" t="inlineStr">
        <is>
          <t>R250707-amama</t>
        </is>
      </c>
      <c r="E334" t="inlineStr">
        <is>
          <t>AMAMA</t>
        </is>
      </c>
      <c r="F334" s="17" t="n">
        <v>45845</v>
      </c>
      <c r="G334" t="inlineStr">
        <is>
          <t>no source names the stage</t>
        </is>
      </c>
    </row>
    <row r="335">
      <c r="A335" t="inlineStr">
        <is>
          <t>C04</t>
        </is>
      </c>
      <c r="B335" t="inlineStr">
        <is>
          <t>Stage undisclosed</t>
        </is>
      </c>
      <c r="C335" t="inlineStr">
        <is>
          <t>info</t>
        </is>
      </c>
      <c r="D335" t="inlineStr">
        <is>
          <t>R250708-creditwisecapi</t>
        </is>
      </c>
      <c r="E335" t="inlineStr">
        <is>
          <t>Credit Wise Capital</t>
        </is>
      </c>
      <c r="F335" s="17" t="n">
        <v>45846</v>
      </c>
      <c r="G335" t="inlineStr">
        <is>
          <t>no source names the stage</t>
        </is>
      </c>
    </row>
    <row r="336">
      <c r="A336" t="inlineStr">
        <is>
          <t>C04</t>
        </is>
      </c>
      <c r="B336" t="inlineStr">
        <is>
          <t>Stage undisclosed</t>
        </is>
      </c>
      <c r="C336" t="inlineStr">
        <is>
          <t>info</t>
        </is>
      </c>
      <c r="D336" t="inlineStr">
        <is>
          <t>R250709-jehaerospace</t>
        </is>
      </c>
      <c r="E336" t="inlineStr">
        <is>
          <t>Jeh Aerospace</t>
        </is>
      </c>
      <c r="F336" s="17" t="n">
        <v>45847</v>
      </c>
      <c r="G336" t="inlineStr">
        <is>
          <t>no source names the stage</t>
        </is>
      </c>
    </row>
    <row r="337">
      <c r="A337" t="inlineStr">
        <is>
          <t>C04</t>
        </is>
      </c>
      <c r="B337" t="inlineStr">
        <is>
          <t>Stage undisclosed</t>
        </is>
      </c>
      <c r="C337" t="inlineStr">
        <is>
          <t>info</t>
        </is>
      </c>
      <c r="D337" t="inlineStr">
        <is>
          <t>R250709-ldotr</t>
        </is>
      </c>
      <c r="E337" t="inlineStr">
        <is>
          <t>LdotR</t>
        </is>
      </c>
      <c r="F337" s="17" t="n">
        <v>45847</v>
      </c>
      <c r="G337" t="inlineStr">
        <is>
          <t>no source names the stage</t>
        </is>
      </c>
    </row>
    <row r="338">
      <c r="A338" t="inlineStr">
        <is>
          <t>C04</t>
        </is>
      </c>
      <c r="B338" t="inlineStr">
        <is>
          <t>Stage undisclosed</t>
        </is>
      </c>
      <c r="C338" t="inlineStr">
        <is>
          <t>info</t>
        </is>
      </c>
      <c r="D338" t="inlineStr">
        <is>
          <t>R250710-infinityfincor</t>
        </is>
      </c>
      <c r="E338" t="inlineStr">
        <is>
          <t>Infinity Fincorp</t>
        </is>
      </c>
      <c r="F338" s="17" t="n">
        <v>45848</v>
      </c>
      <c r="G338" t="inlineStr">
        <is>
          <t>no source names the stage</t>
        </is>
      </c>
    </row>
    <row r="339">
      <c r="A339" t="inlineStr">
        <is>
          <t>C04</t>
        </is>
      </c>
      <c r="B339" t="inlineStr">
        <is>
          <t>Stage undisclosed</t>
        </is>
      </c>
      <c r="C339" t="inlineStr">
        <is>
          <t>info</t>
        </is>
      </c>
      <c r="D339" t="inlineStr">
        <is>
          <t>R250711-gramik</t>
        </is>
      </c>
      <c r="E339" t="inlineStr">
        <is>
          <t>Gramik</t>
        </is>
      </c>
      <c r="F339" s="17" t="n">
        <v>45849</v>
      </c>
      <c r="G339" t="inlineStr">
        <is>
          <t>no source names the stage</t>
        </is>
      </c>
    </row>
    <row r="340">
      <c r="A340" t="inlineStr">
        <is>
          <t>C04</t>
        </is>
      </c>
      <c r="B340" t="inlineStr">
        <is>
          <t>Stage undisclosed</t>
        </is>
      </c>
      <c r="C340" t="inlineStr">
        <is>
          <t>info</t>
        </is>
      </c>
      <c r="D340" t="inlineStr">
        <is>
          <t>R250715-fractal</t>
        </is>
      </c>
      <c r="E340" t="inlineStr">
        <is>
          <t>Fractal</t>
        </is>
      </c>
      <c r="F340" s="17" t="n">
        <v>45853</v>
      </c>
      <c r="G340" t="inlineStr">
        <is>
          <t>no source names the stage</t>
        </is>
      </c>
    </row>
    <row r="341">
      <c r="A341" t="inlineStr">
        <is>
          <t>C04</t>
        </is>
      </c>
      <c r="B341" t="inlineStr">
        <is>
          <t>Stage undisclosed</t>
        </is>
      </c>
      <c r="C341" t="inlineStr">
        <is>
          <t>info</t>
        </is>
      </c>
      <c r="D341" t="inlineStr">
        <is>
          <t>R250716-culturecircle</t>
        </is>
      </c>
      <c r="E341" t="inlineStr">
        <is>
          <t>Culture Circle</t>
        </is>
      </c>
      <c r="F341" s="17" t="n">
        <v>45854</v>
      </c>
      <c r="G341" t="inlineStr">
        <is>
          <t>no source names the stage</t>
        </is>
      </c>
    </row>
    <row r="342">
      <c r="A342" t="inlineStr">
        <is>
          <t>C04</t>
        </is>
      </c>
      <c r="B342" t="inlineStr">
        <is>
          <t>Stage undisclosed</t>
        </is>
      </c>
      <c r="C342" t="inlineStr">
        <is>
          <t>info</t>
        </is>
      </c>
      <c r="D342" t="inlineStr">
        <is>
          <t>R250717-onetabai</t>
        </is>
      </c>
      <c r="E342" t="inlineStr">
        <is>
          <t>Onetab.ai</t>
        </is>
      </c>
      <c r="F342" s="17" t="n">
        <v>45855</v>
      </c>
      <c r="G342" t="inlineStr">
        <is>
          <t>no source names the stage</t>
        </is>
      </c>
    </row>
    <row r="343">
      <c r="A343" t="inlineStr">
        <is>
          <t>C04</t>
        </is>
      </c>
      <c r="B343" t="inlineStr">
        <is>
          <t>Stage undisclosed</t>
        </is>
      </c>
      <c r="C343" t="inlineStr">
        <is>
          <t>info</t>
        </is>
      </c>
      <c r="D343" t="inlineStr">
        <is>
          <t>R250718-curefit</t>
        </is>
      </c>
      <c r="E343" t="inlineStr">
        <is>
          <t>CureFit</t>
        </is>
      </c>
      <c r="F343" s="17" t="n">
        <v>45856</v>
      </c>
      <c r="G343" t="inlineStr">
        <is>
          <t>no source names the stage</t>
        </is>
      </c>
    </row>
    <row r="344">
      <c r="A344" t="inlineStr">
        <is>
          <t>C04</t>
        </is>
      </c>
      <c r="B344" t="inlineStr">
        <is>
          <t>Stage undisclosed</t>
        </is>
      </c>
      <c r="C344" t="inlineStr">
        <is>
          <t>info</t>
        </is>
      </c>
      <c r="D344" t="inlineStr">
        <is>
          <t>R250722-composio</t>
        </is>
      </c>
      <c r="E344" t="inlineStr">
        <is>
          <t>Composio</t>
        </is>
      </c>
      <c r="F344" s="17" t="n">
        <v>45860</v>
      </c>
      <c r="G344" t="inlineStr">
        <is>
          <t>no source names the stage</t>
        </is>
      </c>
    </row>
    <row r="345">
      <c r="A345" t="inlineStr">
        <is>
          <t>C04</t>
        </is>
      </c>
      <c r="B345" t="inlineStr">
        <is>
          <t>Stage undisclosed</t>
        </is>
      </c>
      <c r="C345" t="inlineStr">
        <is>
          <t>info</t>
        </is>
      </c>
      <c r="D345" t="inlineStr">
        <is>
          <t>R250722-klugklug</t>
        </is>
      </c>
      <c r="E345" t="inlineStr">
        <is>
          <t>KlugKlug</t>
        </is>
      </c>
      <c r="F345" s="17" t="n">
        <v>45860</v>
      </c>
      <c r="G345" t="inlineStr">
        <is>
          <t>no source names the stage</t>
        </is>
      </c>
    </row>
    <row r="346">
      <c r="A346" t="inlineStr">
        <is>
          <t>C04</t>
        </is>
      </c>
      <c r="B346" t="inlineStr">
        <is>
          <t>Stage undisclosed</t>
        </is>
      </c>
      <c r="C346" t="inlineStr">
        <is>
          <t>info</t>
        </is>
      </c>
      <c r="D346" t="inlineStr">
        <is>
          <t>R250723-coluxe</t>
        </is>
      </c>
      <c r="E346" t="inlineStr">
        <is>
          <t>Coluxe</t>
        </is>
      </c>
      <c r="F346" s="17" t="n">
        <v>45861</v>
      </c>
      <c r="G346" t="inlineStr">
        <is>
          <t>no source names the stage</t>
        </is>
      </c>
    </row>
    <row r="347">
      <c r="A347" t="inlineStr">
        <is>
          <t>C04</t>
        </is>
      </c>
      <c r="B347" t="inlineStr">
        <is>
          <t>Stage undisclosed</t>
        </is>
      </c>
      <c r="C347" t="inlineStr">
        <is>
          <t>info</t>
        </is>
      </c>
      <c r="D347" t="inlineStr">
        <is>
          <t>R250723-gupshup</t>
        </is>
      </c>
      <c r="E347" t="inlineStr">
        <is>
          <t>Gupshup</t>
        </is>
      </c>
      <c r="F347" s="17" t="n">
        <v>45861</v>
      </c>
      <c r="G347" t="inlineStr">
        <is>
          <t>no source names the stage</t>
        </is>
      </c>
    </row>
    <row r="348">
      <c r="A348" t="inlineStr">
        <is>
          <t>C04</t>
        </is>
      </c>
      <c r="B348" t="inlineStr">
        <is>
          <t>Stage undisclosed</t>
        </is>
      </c>
      <c r="C348" t="inlineStr">
        <is>
          <t>info</t>
        </is>
      </c>
      <c r="D348" t="inlineStr">
        <is>
          <t>R250723-pristyncare</t>
        </is>
      </c>
      <c r="E348" t="inlineStr">
        <is>
          <t>Pristyn Care</t>
        </is>
      </c>
      <c r="F348" s="17" t="n">
        <v>45861</v>
      </c>
      <c r="G348" t="inlineStr">
        <is>
          <t>no source names the stage</t>
        </is>
      </c>
    </row>
    <row r="349">
      <c r="A349" t="inlineStr">
        <is>
          <t>C04</t>
        </is>
      </c>
      <c r="B349" t="inlineStr">
        <is>
          <t>Stage undisclosed</t>
        </is>
      </c>
      <c r="C349" t="inlineStr">
        <is>
          <t>info</t>
        </is>
      </c>
      <c r="D349" t="inlineStr">
        <is>
          <t>R250723-sugarcosmetics</t>
        </is>
      </c>
      <c r="E349" t="inlineStr">
        <is>
          <t>Sugar Cosmetics</t>
        </is>
      </c>
      <c r="F349" s="17" t="n">
        <v>45861</v>
      </c>
      <c r="G349" t="inlineStr">
        <is>
          <t>no source names the stage</t>
        </is>
      </c>
    </row>
    <row r="350">
      <c r="A350" t="inlineStr">
        <is>
          <t>C04</t>
        </is>
      </c>
      <c r="B350" t="inlineStr">
        <is>
          <t>Stage undisclosed</t>
        </is>
      </c>
      <c r="C350" t="inlineStr">
        <is>
          <t>info</t>
        </is>
      </c>
      <c r="D350" t="inlineStr">
        <is>
          <t>R250724-bharatsure</t>
        </is>
      </c>
      <c r="E350" t="inlineStr">
        <is>
          <t>Bharatsure</t>
        </is>
      </c>
      <c r="F350" s="17" t="n">
        <v>45862</v>
      </c>
      <c r="G350" t="inlineStr">
        <is>
          <t>no source names the stage</t>
        </is>
      </c>
    </row>
    <row r="351">
      <c r="A351" t="inlineStr">
        <is>
          <t>C04</t>
        </is>
      </c>
      <c r="B351" t="inlineStr">
        <is>
          <t>Stage undisclosed</t>
        </is>
      </c>
      <c r="C351" t="inlineStr">
        <is>
          <t>info</t>
        </is>
      </c>
      <c r="D351" t="inlineStr">
        <is>
          <t>R250724-roastfoods</t>
        </is>
      </c>
      <c r="E351" t="inlineStr">
        <is>
          <t>Roast Foods</t>
        </is>
      </c>
      <c r="F351" s="17" t="n">
        <v>45862</v>
      </c>
      <c r="G351" t="inlineStr">
        <is>
          <t>no source names the stage</t>
        </is>
      </c>
    </row>
    <row r="352">
      <c r="A352" t="inlineStr">
        <is>
          <t>C04</t>
        </is>
      </c>
      <c r="B352" t="inlineStr">
        <is>
          <t>Stage undisclosed</t>
        </is>
      </c>
      <c r="C352" t="inlineStr">
        <is>
          <t>info</t>
        </is>
      </c>
      <c r="D352" t="inlineStr">
        <is>
          <t>R250729-optiproai</t>
        </is>
      </c>
      <c r="E352" t="inlineStr">
        <is>
          <t>Optipro AI</t>
        </is>
      </c>
      <c r="F352" s="17" t="n">
        <v>45867</v>
      </c>
      <c r="G352" t="inlineStr">
        <is>
          <t>no source names the stage</t>
        </is>
      </c>
    </row>
    <row r="353">
      <c r="A353" t="inlineStr">
        <is>
          <t>C04</t>
        </is>
      </c>
      <c r="B353" t="inlineStr">
        <is>
          <t>Stage undisclosed</t>
        </is>
      </c>
      <c r="C353" t="inlineStr">
        <is>
          <t>info</t>
        </is>
      </c>
      <c r="D353" t="inlineStr">
        <is>
          <t>R250729-zepto</t>
        </is>
      </c>
      <c r="E353" t="inlineStr">
        <is>
          <t>Zepto</t>
        </is>
      </c>
      <c r="F353" s="17" t="n">
        <v>45867</v>
      </c>
      <c r="G353" t="inlineStr">
        <is>
          <t>no source names the stage</t>
        </is>
      </c>
    </row>
    <row r="354">
      <c r="A354" t="inlineStr">
        <is>
          <t>C04</t>
        </is>
      </c>
      <c r="B354" t="inlineStr">
        <is>
          <t>Stage undisclosed</t>
        </is>
      </c>
      <c r="C354" t="inlineStr">
        <is>
          <t>info</t>
        </is>
      </c>
      <c r="D354" t="inlineStr">
        <is>
          <t>R250730-acko</t>
        </is>
      </c>
      <c r="E354" t="inlineStr">
        <is>
          <t>Acko</t>
        </is>
      </c>
      <c r="F354" s="17" t="n">
        <v>45868</v>
      </c>
      <c r="G354" t="inlineStr">
        <is>
          <t>no source names the stage</t>
        </is>
      </c>
    </row>
    <row r="355">
      <c r="A355" t="inlineStr">
        <is>
          <t>C04</t>
        </is>
      </c>
      <c r="B355" t="inlineStr">
        <is>
          <t>Stage undisclosed</t>
        </is>
      </c>
      <c r="C355" t="inlineStr">
        <is>
          <t>info</t>
        </is>
      </c>
      <c r="D355" t="inlineStr">
        <is>
          <t>R250730-vahanai</t>
        </is>
      </c>
      <c r="E355" t="inlineStr">
        <is>
          <t>Vahan.ai</t>
        </is>
      </c>
      <c r="F355" s="17" t="n">
        <v>45868</v>
      </c>
      <c r="G355" t="inlineStr">
        <is>
          <t>no source names the stage</t>
        </is>
      </c>
    </row>
    <row r="356">
      <c r="A356" t="inlineStr">
        <is>
          <t>C04</t>
        </is>
      </c>
      <c r="B356" t="inlineStr">
        <is>
          <t>Stage undisclosed</t>
        </is>
      </c>
      <c r="C356" t="inlineStr">
        <is>
          <t>info</t>
        </is>
      </c>
      <c r="D356" t="inlineStr">
        <is>
          <t>R250805-prozo</t>
        </is>
      </c>
      <c r="E356" t="inlineStr">
        <is>
          <t>Prozo</t>
        </is>
      </c>
      <c r="F356" s="17" t="n">
        <v>45874</v>
      </c>
      <c r="G356" t="inlineStr">
        <is>
          <t>no source names the stage</t>
        </is>
      </c>
    </row>
    <row r="357">
      <c r="A357" t="inlineStr">
        <is>
          <t>C04</t>
        </is>
      </c>
      <c r="B357" t="inlineStr">
        <is>
          <t>Stage undisclosed</t>
        </is>
      </c>
      <c r="C357" t="inlineStr">
        <is>
          <t>info</t>
        </is>
      </c>
      <c r="D357" t="inlineStr">
        <is>
          <t>R250805-rifaai</t>
        </is>
      </c>
      <c r="E357" t="inlineStr">
        <is>
          <t>Rifa AI</t>
        </is>
      </c>
      <c r="F357" s="17" t="n">
        <v>45874</v>
      </c>
      <c r="G357" t="inlineStr">
        <is>
          <t>no source names the stage</t>
        </is>
      </c>
    </row>
    <row r="358">
      <c r="A358" t="inlineStr">
        <is>
          <t>C04</t>
        </is>
      </c>
      <c r="B358" t="inlineStr">
        <is>
          <t>Stage undisclosed</t>
        </is>
      </c>
      <c r="C358" t="inlineStr">
        <is>
          <t>info</t>
        </is>
      </c>
      <c r="D358" t="inlineStr">
        <is>
          <t>R250806-gladful</t>
        </is>
      </c>
      <c r="E358" t="inlineStr">
        <is>
          <t>Gladful</t>
        </is>
      </c>
      <c r="F358" s="17" t="n">
        <v>45875</v>
      </c>
      <c r="G358" t="inlineStr">
        <is>
          <t>no source names the stage</t>
        </is>
      </c>
    </row>
    <row r="359">
      <c r="A359" t="inlineStr">
        <is>
          <t>C04</t>
        </is>
      </c>
      <c r="B359" t="inlineStr">
        <is>
          <t>Stage undisclosed</t>
        </is>
      </c>
      <c r="C359" t="inlineStr">
        <is>
          <t>info</t>
        </is>
      </c>
      <c r="D359" t="inlineStr">
        <is>
          <t>R250806-zype</t>
        </is>
      </c>
      <c r="E359" t="inlineStr">
        <is>
          <t>Zype</t>
        </is>
      </c>
      <c r="F359" s="17" t="n">
        <v>45875</v>
      </c>
      <c r="G359" t="inlineStr">
        <is>
          <t>no source names the stage</t>
        </is>
      </c>
    </row>
    <row r="360">
      <c r="A360" t="inlineStr">
        <is>
          <t>C04</t>
        </is>
      </c>
      <c r="B360" t="inlineStr">
        <is>
          <t>Stage undisclosed</t>
        </is>
      </c>
      <c r="C360" t="inlineStr">
        <is>
          <t>info</t>
        </is>
      </c>
      <c r="D360" t="inlineStr">
        <is>
          <t>R250812-kimirica</t>
        </is>
      </c>
      <c r="E360" t="inlineStr">
        <is>
          <t>Kimirica</t>
        </is>
      </c>
      <c r="F360" s="17" t="n">
        <v>45881</v>
      </c>
      <c r="G360" t="inlineStr">
        <is>
          <t>no source names the stage</t>
        </is>
      </c>
    </row>
    <row r="361">
      <c r="A361" t="inlineStr">
        <is>
          <t>C04</t>
        </is>
      </c>
      <c r="B361" t="inlineStr">
        <is>
          <t>Stage undisclosed</t>
        </is>
      </c>
      <c r="C361" t="inlineStr">
        <is>
          <t>info</t>
        </is>
      </c>
      <c r="D361" t="inlineStr">
        <is>
          <t>R250812-seedsfincap</t>
        </is>
      </c>
      <c r="E361" t="inlineStr">
        <is>
          <t>Seeds Fincap</t>
        </is>
      </c>
      <c r="F361" s="17" t="n">
        <v>45881</v>
      </c>
      <c r="G361" t="inlineStr">
        <is>
          <t>no source names the stage</t>
        </is>
      </c>
    </row>
    <row r="362">
      <c r="A362" t="inlineStr">
        <is>
          <t>C04</t>
        </is>
      </c>
      <c r="B362" t="inlineStr">
        <is>
          <t>Stage undisclosed</t>
        </is>
      </c>
      <c r="C362" t="inlineStr">
        <is>
          <t>info</t>
        </is>
      </c>
      <c r="D362" t="inlineStr">
        <is>
          <t>R250812-ultraviolette</t>
        </is>
      </c>
      <c r="E362" t="inlineStr">
        <is>
          <t>Ultraviolette</t>
        </is>
      </c>
      <c r="F362" s="17" t="n">
        <v>45881</v>
      </c>
      <c r="G362" t="inlineStr">
        <is>
          <t>no source names the stage</t>
        </is>
      </c>
    </row>
    <row r="363">
      <c r="A363" t="inlineStr">
        <is>
          <t>C04</t>
        </is>
      </c>
      <c r="B363" t="inlineStr">
        <is>
          <t>Stage undisclosed</t>
        </is>
      </c>
      <c r="C363" t="inlineStr">
        <is>
          <t>info</t>
        </is>
      </c>
      <c r="D363" t="inlineStr">
        <is>
          <t>R250813-comminent</t>
        </is>
      </c>
      <c r="E363" t="inlineStr">
        <is>
          <t>Comminent</t>
        </is>
      </c>
      <c r="F363" s="17" t="n">
        <v>45882</v>
      </c>
      <c r="G363" t="inlineStr">
        <is>
          <t>no source names the stage</t>
        </is>
      </c>
    </row>
    <row r="364">
      <c r="A364" t="inlineStr">
        <is>
          <t>C04</t>
        </is>
      </c>
      <c r="B364" t="inlineStr">
        <is>
          <t>Stage undisclosed</t>
        </is>
      </c>
      <c r="C364" t="inlineStr">
        <is>
          <t>info</t>
        </is>
      </c>
      <c r="D364" t="inlineStr">
        <is>
          <t>R250814-darwinbox</t>
        </is>
      </c>
      <c r="E364" t="inlineStr">
        <is>
          <t>Darwinbox</t>
        </is>
      </c>
      <c r="F364" s="17" t="n">
        <v>45883</v>
      </c>
      <c r="G364" t="inlineStr">
        <is>
          <t>no source names the stage</t>
        </is>
      </c>
    </row>
    <row r="365">
      <c r="A365" t="inlineStr">
        <is>
          <t>C04</t>
        </is>
      </c>
      <c r="B365" t="inlineStr">
        <is>
          <t>Stage undisclosed</t>
        </is>
      </c>
      <c r="C365" t="inlineStr">
        <is>
          <t>info</t>
        </is>
      </c>
      <c r="D365" t="inlineStr">
        <is>
          <t>R250814-lifelongonline</t>
        </is>
      </c>
      <c r="E365" t="inlineStr">
        <is>
          <t>Lifelong Online</t>
        </is>
      </c>
      <c r="F365" s="17" t="n">
        <v>45883</v>
      </c>
      <c r="G365" t="inlineStr">
        <is>
          <t>no source names the stage</t>
        </is>
      </c>
    </row>
    <row r="366">
      <c r="A366" t="inlineStr">
        <is>
          <t>C04</t>
        </is>
      </c>
      <c r="B366" t="inlineStr">
        <is>
          <t>Stage undisclosed</t>
        </is>
      </c>
      <c r="C366" t="inlineStr">
        <is>
          <t>info</t>
        </is>
      </c>
      <c r="D366" t="inlineStr">
        <is>
          <t>R250814-shivaliksmallf</t>
        </is>
      </c>
      <c r="E366" t="inlineStr">
        <is>
          <t>Shivalik Small Finance Bank</t>
        </is>
      </c>
      <c r="F366" s="17" t="n">
        <v>45883</v>
      </c>
      <c r="G366" t="inlineStr">
        <is>
          <t>no source names the stage</t>
        </is>
      </c>
    </row>
    <row r="367">
      <c r="A367" t="inlineStr">
        <is>
          <t>C04</t>
        </is>
      </c>
      <c r="B367" t="inlineStr">
        <is>
          <t>Stage undisclosed</t>
        </is>
      </c>
      <c r="C367" t="inlineStr">
        <is>
          <t>info</t>
        </is>
      </c>
      <c r="D367" t="inlineStr">
        <is>
          <t>R250814-shreetech</t>
        </is>
      </c>
      <c r="E367" t="inlineStr">
        <is>
          <t>Shreetech</t>
        </is>
      </c>
      <c r="F367" s="17" t="n">
        <v>45883</v>
      </c>
      <c r="G367" t="inlineStr">
        <is>
          <t>no source names the stage</t>
        </is>
      </c>
    </row>
    <row r="368">
      <c r="A368" t="inlineStr">
        <is>
          <t>C04</t>
        </is>
      </c>
      <c r="B368" t="inlineStr">
        <is>
          <t>Stage undisclosed</t>
        </is>
      </c>
      <c r="C368" t="inlineStr">
        <is>
          <t>info</t>
        </is>
      </c>
      <c r="D368" t="inlineStr">
        <is>
          <t>R250818-amnex</t>
        </is>
      </c>
      <c r="E368" t="inlineStr">
        <is>
          <t>Amnex</t>
        </is>
      </c>
      <c r="F368" s="17" t="n">
        <v>45887</v>
      </c>
      <c r="G368" t="inlineStr">
        <is>
          <t>no source names the stage</t>
        </is>
      </c>
    </row>
    <row r="369">
      <c r="A369" t="inlineStr">
        <is>
          <t>C04</t>
        </is>
      </c>
      <c r="B369" t="inlineStr">
        <is>
          <t>Stage undisclosed</t>
        </is>
      </c>
      <c r="C369" t="inlineStr">
        <is>
          <t>info</t>
        </is>
      </c>
      <c r="D369" t="inlineStr">
        <is>
          <t>R250818-goldisolar</t>
        </is>
      </c>
      <c r="E369" t="inlineStr">
        <is>
          <t>Goldi Solar</t>
        </is>
      </c>
      <c r="F369" s="17" t="n">
        <v>45887</v>
      </c>
      <c r="G369" t="inlineStr">
        <is>
          <t>no source names the stage</t>
        </is>
      </c>
    </row>
    <row r="370">
      <c r="A370" t="inlineStr">
        <is>
          <t>C04</t>
        </is>
      </c>
      <c r="B370" t="inlineStr">
        <is>
          <t>Stage undisclosed</t>
        </is>
      </c>
      <c r="C370" t="inlineStr">
        <is>
          <t>info</t>
        </is>
      </c>
      <c r="D370" t="inlineStr">
        <is>
          <t>R250819-houseofbiryan</t>
        </is>
      </c>
      <c r="E370" t="inlineStr">
        <is>
          <t>House Of Biryan</t>
        </is>
      </c>
      <c r="F370" s="17" t="n">
        <v>45888</v>
      </c>
      <c r="G370" t="inlineStr">
        <is>
          <t>no source names the stage</t>
        </is>
      </c>
    </row>
    <row r="371">
      <c r="A371" t="inlineStr">
        <is>
          <t>C04</t>
        </is>
      </c>
      <c r="B371" t="inlineStr">
        <is>
          <t>Stage undisclosed</t>
        </is>
      </c>
      <c r="C371" t="inlineStr">
        <is>
          <t>info</t>
        </is>
      </c>
      <c r="D371" t="inlineStr">
        <is>
          <t>R250819-weaverservices</t>
        </is>
      </c>
      <c r="E371" t="inlineStr">
        <is>
          <t>Weaver Services</t>
        </is>
      </c>
      <c r="F371" s="17" t="n">
        <v>45888</v>
      </c>
      <c r="G371" t="inlineStr">
        <is>
          <t>no source names the stage</t>
        </is>
      </c>
    </row>
    <row r="372">
      <c r="A372" t="inlineStr">
        <is>
          <t>C04</t>
        </is>
      </c>
      <c r="B372" t="inlineStr">
        <is>
          <t>Stage undisclosed</t>
        </is>
      </c>
      <c r="C372" t="inlineStr">
        <is>
          <t>info</t>
        </is>
      </c>
      <c r="D372" t="inlineStr">
        <is>
          <t>R250825-altumcredo</t>
        </is>
      </c>
      <c r="E372" t="inlineStr">
        <is>
          <t>Altum Credo</t>
        </is>
      </c>
      <c r="F372" s="17" t="n">
        <v>45894</v>
      </c>
      <c r="G372" t="inlineStr">
        <is>
          <t>no source names the stage</t>
        </is>
      </c>
    </row>
    <row r="373">
      <c r="A373" t="inlineStr">
        <is>
          <t>C04</t>
        </is>
      </c>
      <c r="B373" t="inlineStr">
        <is>
          <t>Stage undisclosed</t>
        </is>
      </c>
      <c r="C373" t="inlineStr">
        <is>
          <t>info</t>
        </is>
      </c>
      <c r="D373" t="inlineStr">
        <is>
          <t>R250825-vaave</t>
        </is>
      </c>
      <c r="E373" t="inlineStr">
        <is>
          <t>Vaave</t>
        </is>
      </c>
      <c r="F373" s="17" t="n">
        <v>45894</v>
      </c>
      <c r="G373" t="inlineStr">
        <is>
          <t>no source names the stage</t>
        </is>
      </c>
    </row>
    <row r="374">
      <c r="A374" t="inlineStr">
        <is>
          <t>C04</t>
        </is>
      </c>
      <c r="B374" t="inlineStr">
        <is>
          <t>Stage undisclosed</t>
        </is>
      </c>
      <c r="C374" t="inlineStr">
        <is>
          <t>info</t>
        </is>
      </c>
      <c r="D374" t="inlineStr">
        <is>
          <t>R250827-bhaobhao</t>
        </is>
      </c>
      <c r="E374" t="inlineStr">
        <is>
          <t>BhaoBhao</t>
        </is>
      </c>
      <c r="F374" s="17" t="n">
        <v>45896</v>
      </c>
      <c r="G374" t="inlineStr">
        <is>
          <t>no source names the stage</t>
        </is>
      </c>
    </row>
    <row r="375">
      <c r="A375" t="inlineStr">
        <is>
          <t>C04</t>
        </is>
      </c>
      <c r="B375" t="inlineStr">
        <is>
          <t>Stage undisclosed</t>
        </is>
      </c>
      <c r="C375" t="inlineStr">
        <is>
          <t>info</t>
        </is>
      </c>
      <c r="D375" t="inlineStr">
        <is>
          <t>R250827-cuminco</t>
        </is>
      </c>
      <c r="E375" t="inlineStr">
        <is>
          <t>Cumin Co</t>
        </is>
      </c>
      <c r="F375" s="17" t="n">
        <v>45896</v>
      </c>
      <c r="G375" t="inlineStr">
        <is>
          <t>no source names the stage</t>
        </is>
      </c>
    </row>
    <row r="376">
      <c r="A376" t="inlineStr">
        <is>
          <t>C04</t>
        </is>
      </c>
      <c r="B376" t="inlineStr">
        <is>
          <t>Stage undisclosed</t>
        </is>
      </c>
      <c r="C376" t="inlineStr">
        <is>
          <t>info</t>
        </is>
      </c>
      <c r="D376" t="inlineStr">
        <is>
          <t>R250901-tessolve</t>
        </is>
      </c>
      <c r="E376" t="inlineStr">
        <is>
          <t>Tessolve</t>
        </is>
      </c>
      <c r="F376" s="17" t="n">
        <v>45901</v>
      </c>
      <c r="G376" t="inlineStr">
        <is>
          <t>no source names the stage</t>
        </is>
      </c>
    </row>
    <row r="377">
      <c r="A377" t="inlineStr">
        <is>
          <t>C04</t>
        </is>
      </c>
      <c r="B377" t="inlineStr">
        <is>
          <t>Stage undisclosed</t>
        </is>
      </c>
      <c r="C377" t="inlineStr">
        <is>
          <t>info</t>
        </is>
      </c>
      <c r="D377" t="inlineStr">
        <is>
          <t>R250903-onlinepharmacy</t>
        </is>
      </c>
      <c r="E377" t="inlineStr">
        <is>
          <t>Online pharmacy PlatinumRx</t>
        </is>
      </c>
      <c r="F377" s="17" t="n">
        <v>45903</v>
      </c>
      <c r="G377" t="inlineStr">
        <is>
          <t>no source names the stage</t>
        </is>
      </c>
    </row>
    <row r="378">
      <c r="A378" t="inlineStr">
        <is>
          <t>C04</t>
        </is>
      </c>
      <c r="B378" t="inlineStr">
        <is>
          <t>Stage undisclosed</t>
        </is>
      </c>
      <c r="C378" t="inlineStr">
        <is>
          <t>info</t>
        </is>
      </c>
      <c r="D378" t="inlineStr">
        <is>
          <t>R250903-waterscience</t>
        </is>
      </c>
      <c r="E378" t="inlineStr">
        <is>
          <t>Waterscience</t>
        </is>
      </c>
      <c r="F378" s="17" t="n">
        <v>45903</v>
      </c>
      <c r="G378" t="inlineStr">
        <is>
          <t>no source names the stage</t>
        </is>
      </c>
    </row>
    <row r="379">
      <c r="A379" t="inlineStr">
        <is>
          <t>C04</t>
        </is>
      </c>
      <c r="B379" t="inlineStr">
        <is>
          <t>Stage undisclosed</t>
        </is>
      </c>
      <c r="C379" t="inlineStr">
        <is>
          <t>info</t>
        </is>
      </c>
      <c r="D379" t="inlineStr">
        <is>
          <t>R250905-dectrocel</t>
        </is>
      </c>
      <c r="E379" t="inlineStr">
        <is>
          <t>Dectrocel</t>
        </is>
      </c>
      <c r="F379" s="17" t="n">
        <v>45905</v>
      </c>
      <c r="G379" t="inlineStr">
        <is>
          <t>no source names the stage</t>
        </is>
      </c>
    </row>
    <row r="380">
      <c r="A380" t="inlineStr">
        <is>
          <t>C04</t>
        </is>
      </c>
      <c r="B380" t="inlineStr">
        <is>
          <t>Stage undisclosed</t>
        </is>
      </c>
      <c r="C380" t="inlineStr">
        <is>
          <t>info</t>
        </is>
      </c>
      <c r="D380" t="inlineStr">
        <is>
          <t>R250908-trufrostandbut</t>
        </is>
      </c>
      <c r="E380" t="inlineStr">
        <is>
          <t>Trufrost &amp; Butler</t>
        </is>
      </c>
      <c r="F380" s="17" t="n">
        <v>45908</v>
      </c>
      <c r="G380" t="inlineStr">
        <is>
          <t>no source names the stage</t>
        </is>
      </c>
    </row>
    <row r="381">
      <c r="A381" t="inlineStr">
        <is>
          <t>C04</t>
        </is>
      </c>
      <c r="B381" t="inlineStr">
        <is>
          <t>Stage undisclosed</t>
        </is>
      </c>
      <c r="C381" t="inlineStr">
        <is>
          <t>info</t>
        </is>
      </c>
      <c r="D381" t="inlineStr">
        <is>
          <t>R250909-indigrid</t>
        </is>
      </c>
      <c r="E381" t="inlineStr">
        <is>
          <t>Indigrid Technology</t>
        </is>
      </c>
      <c r="F381" s="17" t="n">
        <v>45909</v>
      </c>
      <c r="G381" t="inlineStr">
        <is>
          <t>no source names the stage</t>
        </is>
      </c>
    </row>
    <row r="382">
      <c r="A382" t="inlineStr">
        <is>
          <t>C04</t>
        </is>
      </c>
      <c r="B382" t="inlineStr">
        <is>
          <t>Stage undisclosed</t>
        </is>
      </c>
      <c r="C382" t="inlineStr">
        <is>
          <t>info</t>
        </is>
      </c>
      <c r="D382" t="inlineStr">
        <is>
          <t>R250910-endureair</t>
        </is>
      </c>
      <c r="E382" t="inlineStr">
        <is>
          <t>EndureAir Systems</t>
        </is>
      </c>
      <c r="F382" s="17" t="n">
        <v>45910</v>
      </c>
      <c r="G382" t="inlineStr">
        <is>
          <t>no source names the stage</t>
        </is>
      </c>
    </row>
    <row r="383">
      <c r="A383" t="inlineStr">
        <is>
          <t>C04</t>
        </is>
      </c>
      <c r="B383" t="inlineStr">
        <is>
          <t>Stage undisclosed</t>
        </is>
      </c>
      <c r="C383" t="inlineStr">
        <is>
          <t>info</t>
        </is>
      </c>
      <c r="D383" t="inlineStr">
        <is>
          <t>R250911-criontechnolog</t>
        </is>
      </c>
      <c r="E383" t="inlineStr">
        <is>
          <t>Crion Technologies</t>
        </is>
      </c>
      <c r="F383" s="17" t="n">
        <v>45911</v>
      </c>
      <c r="G383" t="inlineStr">
        <is>
          <t>no source names the stage</t>
        </is>
      </c>
    </row>
    <row r="384">
      <c r="A384" t="inlineStr">
        <is>
          <t>C04</t>
        </is>
      </c>
      <c r="B384" t="inlineStr">
        <is>
          <t>Stage undisclosed</t>
        </is>
      </c>
      <c r="C384" t="inlineStr">
        <is>
          <t>info</t>
        </is>
      </c>
      <c r="D384" t="inlineStr">
        <is>
          <t>R250911-eruditus</t>
        </is>
      </c>
      <c r="E384" t="inlineStr">
        <is>
          <t>Eruditus</t>
        </is>
      </c>
      <c r="F384" s="17" t="n">
        <v>45911</v>
      </c>
      <c r="G384" t="inlineStr">
        <is>
          <t>no source names the stage</t>
        </is>
      </c>
    </row>
    <row r="385">
      <c r="A385" t="inlineStr">
        <is>
          <t>C04</t>
        </is>
      </c>
      <c r="B385" t="inlineStr">
        <is>
          <t>Stage undisclosed</t>
        </is>
      </c>
      <c r="C385" t="inlineStr">
        <is>
          <t>info</t>
        </is>
      </c>
      <c r="D385" t="inlineStr">
        <is>
          <t>R250912-zunroof</t>
        </is>
      </c>
      <c r="E385" t="inlineStr">
        <is>
          <t>Zunroof</t>
        </is>
      </c>
      <c r="F385" s="17" t="n">
        <v>45912</v>
      </c>
      <c r="G385" t="inlineStr">
        <is>
          <t>no source names the stage</t>
        </is>
      </c>
    </row>
    <row r="386">
      <c r="A386" t="inlineStr">
        <is>
          <t>C04</t>
        </is>
      </c>
      <c r="B386" t="inlineStr">
        <is>
          <t>Stage undisclosed</t>
        </is>
      </c>
      <c r="C386" t="inlineStr">
        <is>
          <t>info</t>
        </is>
      </c>
      <c r="D386" t="inlineStr">
        <is>
          <t>R250916-idodevices</t>
        </is>
      </c>
      <c r="E386" t="inlineStr">
        <is>
          <t>iDO Devices</t>
        </is>
      </c>
      <c r="F386" s="17" t="n">
        <v>45916</v>
      </c>
      <c r="G386" t="inlineStr">
        <is>
          <t>no source names the stage</t>
        </is>
      </c>
    </row>
    <row r="387">
      <c r="A387" t="inlineStr">
        <is>
          <t>C04</t>
        </is>
      </c>
      <c r="B387" t="inlineStr">
        <is>
          <t>Stage undisclosed</t>
        </is>
      </c>
      <c r="C387" t="inlineStr">
        <is>
          <t>info</t>
        </is>
      </c>
      <c r="D387" t="inlineStr">
        <is>
          <t>R250916-incredmoney</t>
        </is>
      </c>
      <c r="E387" t="inlineStr">
        <is>
          <t>InCred Money</t>
        </is>
      </c>
      <c r="F387" s="17" t="n">
        <v>45916</v>
      </c>
      <c r="G387" t="inlineStr">
        <is>
          <t>no source names the stage</t>
        </is>
      </c>
    </row>
    <row r="388">
      <c r="A388" t="inlineStr">
        <is>
          <t>C04</t>
        </is>
      </c>
      <c r="B388" t="inlineStr">
        <is>
          <t>Stage undisclosed</t>
        </is>
      </c>
      <c r="C388" t="inlineStr">
        <is>
          <t>info</t>
        </is>
      </c>
      <c r="D388" t="inlineStr">
        <is>
          <t>R250916-indkal</t>
        </is>
      </c>
      <c r="E388" t="inlineStr">
        <is>
          <t>Indkal</t>
        </is>
      </c>
      <c r="F388" s="17" t="n">
        <v>45916</v>
      </c>
      <c r="G388" t="inlineStr">
        <is>
          <t>no source names the stage</t>
        </is>
      </c>
    </row>
    <row r="389">
      <c r="A389" t="inlineStr">
        <is>
          <t>C04</t>
        </is>
      </c>
      <c r="B389" t="inlineStr">
        <is>
          <t>Stage undisclosed</t>
        </is>
      </c>
      <c r="C389" t="inlineStr">
        <is>
          <t>info</t>
        </is>
      </c>
      <c r="D389" t="inlineStr">
        <is>
          <t>R250917-evoluteiq</t>
        </is>
      </c>
      <c r="E389" t="inlineStr">
        <is>
          <t>EvoluteIQ</t>
        </is>
      </c>
      <c r="F389" s="17" t="n">
        <v>45917</v>
      </c>
      <c r="G389" t="inlineStr">
        <is>
          <t>no source names the stage</t>
        </is>
      </c>
    </row>
    <row r="390">
      <c r="A390" t="inlineStr">
        <is>
          <t>C04</t>
        </is>
      </c>
      <c r="B390" t="inlineStr">
        <is>
          <t>Stage undisclosed</t>
        </is>
      </c>
      <c r="C390" t="inlineStr">
        <is>
          <t>info</t>
        </is>
      </c>
      <c r="D390" t="inlineStr">
        <is>
          <t>R250918-rapteehv</t>
        </is>
      </c>
      <c r="E390" t="inlineStr">
        <is>
          <t>Raptee.HV</t>
        </is>
      </c>
      <c r="F390" s="17" t="n">
        <v>45918</v>
      </c>
      <c r="G390" t="inlineStr">
        <is>
          <t>no source names the stage</t>
        </is>
      </c>
    </row>
    <row r="391">
      <c r="A391" t="inlineStr">
        <is>
          <t>C04</t>
        </is>
      </c>
      <c r="B391" t="inlineStr">
        <is>
          <t>Stage undisclosed</t>
        </is>
      </c>
      <c r="C391" t="inlineStr">
        <is>
          <t>info</t>
        </is>
      </c>
      <c r="D391" t="inlineStr">
        <is>
          <t>R250919-blueenergymoto</t>
        </is>
      </c>
      <c r="E391" t="inlineStr">
        <is>
          <t>Blue Energy Motors</t>
        </is>
      </c>
      <c r="F391" s="17" t="n">
        <v>45919</v>
      </c>
      <c r="G391" t="inlineStr">
        <is>
          <t>no source names the stage</t>
        </is>
      </c>
    </row>
    <row r="392">
      <c r="A392" t="inlineStr">
        <is>
          <t>C04</t>
        </is>
      </c>
      <c r="B392" t="inlineStr">
        <is>
          <t>Stage undisclosed</t>
        </is>
      </c>
      <c r="C392" t="inlineStr">
        <is>
          <t>info</t>
        </is>
      </c>
      <c r="D392" t="inlineStr">
        <is>
          <t>R250922-carbonmasters</t>
        </is>
      </c>
      <c r="E392" t="inlineStr">
        <is>
          <t>Carbon Masters</t>
        </is>
      </c>
      <c r="F392" s="17" t="n">
        <v>45922</v>
      </c>
      <c r="G392" t="inlineStr">
        <is>
          <t>no source names the stage</t>
        </is>
      </c>
    </row>
    <row r="393">
      <c r="A393" t="inlineStr">
        <is>
          <t>C04</t>
        </is>
      </c>
      <c r="B393" t="inlineStr">
        <is>
          <t>Stage undisclosed</t>
        </is>
      </c>
      <c r="C393" t="inlineStr">
        <is>
          <t>info</t>
        </is>
      </c>
      <c r="D393" t="inlineStr">
        <is>
          <t>R250923-gabit</t>
        </is>
      </c>
      <c r="E393" t="inlineStr">
        <is>
          <t>Gabit</t>
        </is>
      </c>
      <c r="F393" s="17" t="n">
        <v>45923</v>
      </c>
      <c r="G393" t="inlineStr">
        <is>
          <t>no source names the stage</t>
        </is>
      </c>
    </row>
    <row r="394">
      <c r="A394" t="inlineStr">
        <is>
          <t>C04</t>
        </is>
      </c>
      <c r="B394" t="inlineStr">
        <is>
          <t>Stage undisclosed</t>
        </is>
      </c>
      <c r="C394" t="inlineStr">
        <is>
          <t>info</t>
        </is>
      </c>
      <c r="D394" t="inlineStr">
        <is>
          <t>R250923-grest</t>
        </is>
      </c>
      <c r="E394" t="inlineStr">
        <is>
          <t>Grest</t>
        </is>
      </c>
      <c r="F394" s="17" t="n">
        <v>45923</v>
      </c>
      <c r="G394" t="inlineStr">
        <is>
          <t>no source names the stage</t>
        </is>
      </c>
    </row>
    <row r="395">
      <c r="A395" t="inlineStr">
        <is>
          <t>C04</t>
        </is>
      </c>
      <c r="B395" t="inlineStr">
        <is>
          <t>Stage undisclosed</t>
        </is>
      </c>
      <c r="C395" t="inlineStr">
        <is>
          <t>info</t>
        </is>
      </c>
      <c r="D395" t="inlineStr">
        <is>
          <t>R250923-prism</t>
        </is>
      </c>
      <c r="E395" t="inlineStr">
        <is>
          <t>PRISM</t>
        </is>
      </c>
      <c r="F395" s="17" t="n">
        <v>45923</v>
      </c>
      <c r="G395" t="inlineStr">
        <is>
          <t>no source names the stage</t>
        </is>
      </c>
    </row>
    <row r="396">
      <c r="A396" t="inlineStr">
        <is>
          <t>C04</t>
        </is>
      </c>
      <c r="B396" t="inlineStr">
        <is>
          <t>Stage undisclosed</t>
        </is>
      </c>
      <c r="C396" t="inlineStr">
        <is>
          <t>info</t>
        </is>
      </c>
      <c r="D396" t="inlineStr">
        <is>
          <t>R250926-vedantu</t>
        </is>
      </c>
      <c r="E396" t="inlineStr">
        <is>
          <t>Vedantu</t>
        </is>
      </c>
      <c r="F396" s="17" t="n">
        <v>45926</v>
      </c>
      <c r="G396" t="inlineStr">
        <is>
          <t>no source names the stage</t>
        </is>
      </c>
    </row>
    <row r="397">
      <c r="A397" t="inlineStr">
        <is>
          <t>C04</t>
        </is>
      </c>
      <c r="B397" t="inlineStr">
        <is>
          <t>Stage undisclosed</t>
        </is>
      </c>
      <c r="C397" t="inlineStr">
        <is>
          <t>info</t>
        </is>
      </c>
      <c r="D397" t="inlineStr">
        <is>
          <t>R250927-plazza</t>
        </is>
      </c>
      <c r="E397" t="inlineStr">
        <is>
          <t>Plazza</t>
        </is>
      </c>
      <c r="F397" s="17" t="n">
        <v>45927</v>
      </c>
      <c r="G397" t="inlineStr">
        <is>
          <t>no source names the stage</t>
        </is>
      </c>
    </row>
    <row r="398">
      <c r="A398" t="inlineStr">
        <is>
          <t>C04</t>
        </is>
      </c>
      <c r="B398" t="inlineStr">
        <is>
          <t>Stage undisclosed</t>
        </is>
      </c>
      <c r="C398" t="inlineStr">
        <is>
          <t>info</t>
        </is>
      </c>
      <c r="D398" t="inlineStr">
        <is>
          <t>R250929-hocco</t>
        </is>
      </c>
      <c r="E398" t="inlineStr">
        <is>
          <t>Hocco</t>
        </is>
      </c>
      <c r="F398" s="17" t="n">
        <v>45929</v>
      </c>
      <c r="G398" t="inlineStr">
        <is>
          <t>no source names the stage</t>
        </is>
      </c>
    </row>
    <row r="399">
      <c r="A399" t="inlineStr">
        <is>
          <t>C04</t>
        </is>
      </c>
      <c r="B399" t="inlineStr">
        <is>
          <t>Stage undisclosed</t>
        </is>
      </c>
      <c r="C399" t="inlineStr">
        <is>
          <t>info</t>
        </is>
      </c>
      <c r="D399" t="inlineStr">
        <is>
          <t>R250930-assessli</t>
        </is>
      </c>
      <c r="E399" t="inlineStr">
        <is>
          <t>Assessli</t>
        </is>
      </c>
      <c r="F399" s="17" t="n">
        <v>45930</v>
      </c>
      <c r="G399" t="inlineStr">
        <is>
          <t>no source names the stage</t>
        </is>
      </c>
    </row>
    <row r="400">
      <c r="A400" t="inlineStr">
        <is>
          <t>C04</t>
        </is>
      </c>
      <c r="B400" t="inlineStr">
        <is>
          <t>Stage undisclosed</t>
        </is>
      </c>
      <c r="C400" t="inlineStr">
        <is>
          <t>info</t>
        </is>
      </c>
      <c r="D400" t="inlineStr">
        <is>
          <t>R250930-climatyai</t>
        </is>
      </c>
      <c r="E400" t="inlineStr">
        <is>
          <t>Climaty AI</t>
        </is>
      </c>
      <c r="F400" s="17" t="n">
        <v>45930</v>
      </c>
      <c r="G400" t="inlineStr">
        <is>
          <t>no source names the stage</t>
        </is>
      </c>
    </row>
    <row r="401">
      <c r="A401" t="inlineStr">
        <is>
          <t>C04</t>
        </is>
      </c>
      <c r="B401" t="inlineStr">
        <is>
          <t>Stage undisclosed</t>
        </is>
      </c>
      <c r="C401" t="inlineStr">
        <is>
          <t>info</t>
        </is>
      </c>
      <c r="D401" t="inlineStr">
        <is>
          <t>R251001-growxcdfinance</t>
        </is>
      </c>
      <c r="E401" t="inlineStr">
        <is>
          <t>GrowXCD Finance</t>
        </is>
      </c>
      <c r="F401" s="17" t="n">
        <v>45931</v>
      </c>
      <c r="G401" t="inlineStr">
        <is>
          <t>no source names the stage</t>
        </is>
      </c>
    </row>
    <row r="402">
      <c r="A402" t="inlineStr">
        <is>
          <t>C04</t>
        </is>
      </c>
      <c r="B402" t="inlineStr">
        <is>
          <t>Stage undisclosed</t>
        </is>
      </c>
      <c r="C402" t="inlineStr">
        <is>
          <t>info</t>
        </is>
      </c>
      <c r="D402" t="inlineStr">
        <is>
          <t>R251007-kgen</t>
        </is>
      </c>
      <c r="E402" t="inlineStr">
        <is>
          <t>KGen</t>
        </is>
      </c>
      <c r="F402" s="17" t="n">
        <v>45933</v>
      </c>
      <c r="G402" t="inlineStr">
        <is>
          <t>no source names the stage</t>
        </is>
      </c>
    </row>
    <row r="403">
      <c r="A403" t="inlineStr">
        <is>
          <t>C04</t>
        </is>
      </c>
      <c r="B403" t="inlineStr">
        <is>
          <t>Stage undisclosed</t>
        </is>
      </c>
      <c r="C403" t="inlineStr">
        <is>
          <t>info</t>
        </is>
      </c>
      <c r="D403" t="inlineStr">
        <is>
          <t>R251006-iifl</t>
        </is>
      </c>
      <c r="E403" t="inlineStr">
        <is>
          <t>IIFL</t>
        </is>
      </c>
      <c r="F403" s="17" t="n">
        <v>45936</v>
      </c>
      <c r="G403" t="inlineStr">
        <is>
          <t>no source names the stage</t>
        </is>
      </c>
    </row>
    <row r="404">
      <c r="A404" t="inlineStr">
        <is>
          <t>C04</t>
        </is>
      </c>
      <c r="B404" t="inlineStr">
        <is>
          <t>Stage undisclosed</t>
        </is>
      </c>
      <c r="C404" t="inlineStr">
        <is>
          <t>info</t>
        </is>
      </c>
      <c r="D404" t="inlineStr">
        <is>
          <t>R251006-jswoneplatform</t>
        </is>
      </c>
      <c r="E404" t="inlineStr">
        <is>
          <t>JSW One Platforms</t>
        </is>
      </c>
      <c r="F404" s="17" t="n">
        <v>45936</v>
      </c>
      <c r="G404" t="inlineStr">
        <is>
          <t>no source names the stage</t>
        </is>
      </c>
    </row>
    <row r="405">
      <c r="A405" t="inlineStr">
        <is>
          <t>C04</t>
        </is>
      </c>
      <c r="B405" t="inlineStr">
        <is>
          <t>Stage undisclosed</t>
        </is>
      </c>
      <c r="C405" t="inlineStr">
        <is>
          <t>info</t>
        </is>
      </c>
      <c r="D405" t="inlineStr">
        <is>
          <t>R251006-navatasupplych</t>
        </is>
      </c>
      <c r="E405" t="inlineStr">
        <is>
          <t>Navata Supply Chain Solution</t>
        </is>
      </c>
      <c r="F405" s="17" t="n">
        <v>45936</v>
      </c>
      <c r="G405" t="inlineStr">
        <is>
          <t>no source names the stage</t>
        </is>
      </c>
    </row>
    <row r="406">
      <c r="A406" t="inlineStr">
        <is>
          <t>C04</t>
        </is>
      </c>
      <c r="B406" t="inlineStr">
        <is>
          <t>Stage undisclosed</t>
        </is>
      </c>
      <c r="C406" t="inlineStr">
        <is>
          <t>info</t>
        </is>
      </c>
      <c r="D406" t="inlineStr">
        <is>
          <t>R251010-hunger</t>
        </is>
      </c>
      <c r="E406" t="inlineStr">
        <is>
          <t>Hunger Inc</t>
        </is>
      </c>
      <c r="F406" s="17" t="n">
        <v>45940</v>
      </c>
      <c r="G406" t="inlineStr">
        <is>
          <t>no source names the stage</t>
        </is>
      </c>
    </row>
    <row r="407">
      <c r="A407" t="inlineStr">
        <is>
          <t>C04</t>
        </is>
      </c>
      <c r="B407" t="inlineStr">
        <is>
          <t>Stage undisclosed</t>
        </is>
      </c>
      <c r="C407" t="inlineStr">
        <is>
          <t>info</t>
        </is>
      </c>
      <c r="D407" t="inlineStr">
        <is>
          <t>R251013-aiensured</t>
        </is>
      </c>
      <c r="E407" t="inlineStr">
        <is>
          <t>AIensured</t>
        </is>
      </c>
      <c r="F407" s="17" t="n">
        <v>45943</v>
      </c>
      <c r="G407" t="inlineStr">
        <is>
          <t>no source names the stage</t>
        </is>
      </c>
    </row>
    <row r="408">
      <c r="A408" t="inlineStr">
        <is>
          <t>C04</t>
        </is>
      </c>
      <c r="B408" t="inlineStr">
        <is>
          <t>Stage undisclosed</t>
        </is>
      </c>
      <c r="C408" t="inlineStr">
        <is>
          <t>info</t>
        </is>
      </c>
      <c r="D408" t="inlineStr">
        <is>
          <t>R251014-currently</t>
        </is>
      </c>
      <c r="E408" t="inlineStr">
        <is>
          <t>Currently</t>
        </is>
      </c>
      <c r="F408" s="17" t="n">
        <v>45944</v>
      </c>
      <c r="G408" t="inlineStr">
        <is>
          <t>no source names the stage</t>
        </is>
      </c>
    </row>
    <row r="409">
      <c r="A409" t="inlineStr">
        <is>
          <t>C04</t>
        </is>
      </c>
      <c r="B409" t="inlineStr">
        <is>
          <t>Stage undisclosed</t>
        </is>
      </c>
      <c r="C409" t="inlineStr">
        <is>
          <t>info</t>
        </is>
      </c>
      <c r="D409" t="inlineStr">
        <is>
          <t>R251015-coindcx</t>
        </is>
      </c>
      <c r="E409" t="inlineStr">
        <is>
          <t>CoinDCX</t>
        </is>
      </c>
      <c r="F409" s="17" t="n">
        <v>45945</v>
      </c>
      <c r="G409" t="inlineStr">
        <is>
          <t>no source names the stage</t>
        </is>
      </c>
    </row>
    <row r="410">
      <c r="A410" t="inlineStr">
        <is>
          <t>C04</t>
        </is>
      </c>
      <c r="B410" t="inlineStr">
        <is>
          <t>Stage undisclosed</t>
        </is>
      </c>
      <c r="C410" t="inlineStr">
        <is>
          <t>info</t>
        </is>
      </c>
      <c r="D410" t="inlineStr">
        <is>
          <t>R251016-zepto</t>
        </is>
      </c>
      <c r="E410" t="inlineStr">
        <is>
          <t>Zepto</t>
        </is>
      </c>
      <c r="F410" s="17" t="n">
        <v>45946</v>
      </c>
      <c r="G410" t="inlineStr">
        <is>
          <t>no source names the stage</t>
        </is>
      </c>
    </row>
    <row r="411">
      <c r="A411" t="inlineStr">
        <is>
          <t>C04</t>
        </is>
      </c>
      <c r="B411" t="inlineStr">
        <is>
          <t>Stage undisclosed</t>
        </is>
      </c>
      <c r="C411" t="inlineStr">
        <is>
          <t>info</t>
        </is>
      </c>
      <c r="D411" t="inlineStr">
        <is>
          <t>R251017-ekamobility</t>
        </is>
      </c>
      <c r="E411" t="inlineStr">
        <is>
          <t>EKA Mobility</t>
        </is>
      </c>
      <c r="F411" s="17" t="n">
        <v>45947</v>
      </c>
      <c r="G411" t="inlineStr">
        <is>
          <t>no source names the stage</t>
        </is>
      </c>
    </row>
    <row r="412">
      <c r="A412" t="inlineStr">
        <is>
          <t>C04</t>
        </is>
      </c>
      <c r="B412" t="inlineStr">
        <is>
          <t>Stage undisclosed</t>
        </is>
      </c>
      <c r="C412" t="inlineStr">
        <is>
          <t>info</t>
        </is>
      </c>
      <c r="D412" t="inlineStr">
        <is>
          <t>R251023-pavebank</t>
        </is>
      </c>
      <c r="E412" t="inlineStr">
        <is>
          <t>Pave Bank</t>
        </is>
      </c>
      <c r="F412" s="17" t="n">
        <v>45953</v>
      </c>
      <c r="G412" t="inlineStr">
        <is>
          <t>no source names the stage</t>
        </is>
      </c>
    </row>
    <row r="413">
      <c r="A413" t="inlineStr">
        <is>
          <t>C04</t>
        </is>
      </c>
      <c r="B413" t="inlineStr">
        <is>
          <t>Stage undisclosed</t>
        </is>
      </c>
      <c r="C413" t="inlineStr">
        <is>
          <t>info</t>
        </is>
      </c>
      <c r="D413" t="inlineStr">
        <is>
          <t>R251025-relianceintell</t>
        </is>
      </c>
      <c r="E413" t="inlineStr">
        <is>
          <t>Reliance Intelligence Limited (RIL)</t>
        </is>
      </c>
      <c r="F413" s="17" t="n">
        <v>45955</v>
      </c>
      <c r="G413" t="inlineStr">
        <is>
          <t>no source names the stage</t>
        </is>
      </c>
    </row>
    <row r="414">
      <c r="A414" t="inlineStr">
        <is>
          <t>C04</t>
        </is>
      </c>
      <c r="B414" t="inlineStr">
        <is>
          <t>Stage undisclosed</t>
        </is>
      </c>
      <c r="C414" t="inlineStr">
        <is>
          <t>info</t>
        </is>
      </c>
      <c r="D414" t="inlineStr">
        <is>
          <t>R251027-finallayer</t>
        </is>
      </c>
      <c r="E414" t="inlineStr">
        <is>
          <t>FinalLayer</t>
        </is>
      </c>
      <c r="F414" s="17" t="n">
        <v>45957</v>
      </c>
      <c r="G414" t="inlineStr">
        <is>
          <t>no source names the stage</t>
        </is>
      </c>
    </row>
    <row r="415">
      <c r="A415" t="inlineStr">
        <is>
          <t>C04</t>
        </is>
      </c>
      <c r="B415" t="inlineStr">
        <is>
          <t>Stage undisclosed</t>
        </is>
      </c>
      <c r="C415" t="inlineStr">
        <is>
          <t>info</t>
        </is>
      </c>
      <c r="D415" t="inlineStr">
        <is>
          <t>R251027-versabytedatas</t>
        </is>
      </c>
      <c r="E415" t="inlineStr">
        <is>
          <t>Versabyte Data Systems</t>
        </is>
      </c>
      <c r="F415" s="17" t="n">
        <v>45957</v>
      </c>
      <c r="G415" t="inlineStr">
        <is>
          <t>no source names the stage</t>
        </is>
      </c>
    </row>
    <row r="416">
      <c r="A416" t="inlineStr">
        <is>
          <t>C04</t>
        </is>
      </c>
      <c r="B416" t="inlineStr">
        <is>
          <t>Stage undisclosed</t>
        </is>
      </c>
      <c r="C416" t="inlineStr">
        <is>
          <t>info</t>
        </is>
      </c>
      <c r="D416" t="inlineStr">
        <is>
          <t>R251028-ticket9</t>
        </is>
      </c>
      <c r="E416" t="inlineStr">
        <is>
          <t>Ticket9</t>
        </is>
      </c>
      <c r="F416" s="17" t="n">
        <v>45958</v>
      </c>
      <c r="G416" t="inlineStr">
        <is>
          <t>no source names the stage</t>
        </is>
      </c>
    </row>
    <row r="417">
      <c r="A417" t="inlineStr">
        <is>
          <t>C04</t>
        </is>
      </c>
      <c r="B417" t="inlineStr">
        <is>
          <t>Stage undisclosed</t>
        </is>
      </c>
      <c r="C417" t="inlineStr">
        <is>
          <t>info</t>
        </is>
      </c>
      <c r="D417" t="inlineStr">
        <is>
          <t>R251029-happiplanet</t>
        </is>
      </c>
      <c r="E417" t="inlineStr">
        <is>
          <t>Happi Planet</t>
        </is>
      </c>
      <c r="F417" s="17" t="n">
        <v>45959</v>
      </c>
      <c r="G417" t="inlineStr">
        <is>
          <t>no source names the stage</t>
        </is>
      </c>
    </row>
    <row r="418">
      <c r="A418" t="inlineStr">
        <is>
          <t>C04</t>
        </is>
      </c>
      <c r="B418" t="inlineStr">
        <is>
          <t>Stage undisclosed</t>
        </is>
      </c>
      <c r="C418" t="inlineStr">
        <is>
          <t>info</t>
        </is>
      </c>
      <c r="D418" t="inlineStr">
        <is>
          <t>R251029-jupiter</t>
        </is>
      </c>
      <c r="E418" t="inlineStr">
        <is>
          <t>Jupiter</t>
        </is>
      </c>
      <c r="F418" s="17" t="n">
        <v>45959</v>
      </c>
      <c r="G418" t="inlineStr">
        <is>
          <t>no source names the stage</t>
        </is>
      </c>
    </row>
    <row r="419">
      <c r="A419" t="inlineStr">
        <is>
          <t>C04</t>
        </is>
      </c>
      <c r="B419" t="inlineStr">
        <is>
          <t>Stage undisclosed</t>
        </is>
      </c>
      <c r="C419" t="inlineStr">
        <is>
          <t>info</t>
        </is>
      </c>
      <c r="D419" t="inlineStr">
        <is>
          <t>R251029-oroos</t>
        </is>
      </c>
      <c r="E419" t="inlineStr">
        <is>
          <t>Oroos</t>
        </is>
      </c>
      <c r="F419" s="17" t="n">
        <v>45959</v>
      </c>
      <c r="G419" t="inlineStr">
        <is>
          <t>no source names the stage</t>
        </is>
      </c>
    </row>
    <row r="420">
      <c r="A420" t="inlineStr">
        <is>
          <t>C04</t>
        </is>
      </c>
      <c r="B420" t="inlineStr">
        <is>
          <t>Stage undisclosed</t>
        </is>
      </c>
      <c r="C420" t="inlineStr">
        <is>
          <t>info</t>
        </is>
      </c>
      <c r="D420" t="inlineStr">
        <is>
          <t>R251104-quickads</t>
        </is>
      </c>
      <c r="E420" t="inlineStr">
        <is>
          <t>QuickAds</t>
        </is>
      </c>
      <c r="F420" s="17" t="n">
        <v>45965</v>
      </c>
      <c r="G420" t="inlineStr">
        <is>
          <t>no source names the stage</t>
        </is>
      </c>
    </row>
    <row r="421">
      <c r="A421" t="inlineStr">
        <is>
          <t>C04</t>
        </is>
      </c>
      <c r="B421" t="inlineStr">
        <is>
          <t>Stage undisclosed</t>
        </is>
      </c>
      <c r="C421" t="inlineStr">
        <is>
          <t>info</t>
        </is>
      </c>
      <c r="D421" t="inlineStr">
        <is>
          <t>R251104-tabpsnacksandb</t>
        </is>
      </c>
      <c r="E421" t="inlineStr">
        <is>
          <t>TABP Snacks and Beverages</t>
        </is>
      </c>
      <c r="F421" s="17" t="n">
        <v>45965</v>
      </c>
      <c r="G421" t="inlineStr">
        <is>
          <t>no source names the stage</t>
        </is>
      </c>
    </row>
    <row r="422">
      <c r="A422" t="inlineStr">
        <is>
          <t>C04</t>
        </is>
      </c>
      <c r="B422" t="inlineStr">
        <is>
          <t>Stage undisclosed</t>
        </is>
      </c>
      <c r="C422" t="inlineStr">
        <is>
          <t>info</t>
        </is>
      </c>
      <c r="D422" t="inlineStr">
        <is>
          <t>R251104-tsallaaerospac</t>
        </is>
      </c>
      <c r="E422" t="inlineStr">
        <is>
          <t>Tsalla Aerospace</t>
        </is>
      </c>
      <c r="F422" s="17" t="n">
        <v>45965</v>
      </c>
      <c r="G422" t="inlineStr">
        <is>
          <t>no source names the stage</t>
        </is>
      </c>
    </row>
    <row r="423">
      <c r="A423" t="inlineStr">
        <is>
          <t>C04</t>
        </is>
      </c>
      <c r="B423" t="inlineStr">
        <is>
          <t>Stage undisclosed</t>
        </is>
      </c>
      <c r="C423" t="inlineStr">
        <is>
          <t>info</t>
        </is>
      </c>
      <c r="D423" t="inlineStr">
        <is>
          <t>R251105-krieya</t>
        </is>
      </c>
      <c r="E423" t="inlineStr">
        <is>
          <t>Krieya Beauty &amp; Wellness</t>
        </is>
      </c>
      <c r="F423" s="17" t="n">
        <v>45966</v>
      </c>
      <c r="G423" t="inlineStr">
        <is>
          <t>no source names the stage</t>
        </is>
      </c>
    </row>
    <row r="424">
      <c r="A424" t="inlineStr">
        <is>
          <t>C04</t>
        </is>
      </c>
      <c r="B424" t="inlineStr">
        <is>
          <t>Stage undisclosed</t>
        </is>
      </c>
      <c r="C424" t="inlineStr">
        <is>
          <t>info</t>
        </is>
      </c>
      <c r="D424" t="inlineStr">
        <is>
          <t>R251105-lighthousecant</t>
        </is>
      </c>
      <c r="E424" t="inlineStr">
        <is>
          <t>Lighthouse Canton</t>
        </is>
      </c>
      <c r="F424" s="17" t="n">
        <v>45966</v>
      </c>
      <c r="G424" t="inlineStr">
        <is>
          <t>no source names the stage</t>
        </is>
      </c>
    </row>
    <row r="425">
      <c r="A425" t="inlineStr">
        <is>
          <t>C04</t>
        </is>
      </c>
      <c r="B425" t="inlineStr">
        <is>
          <t>Stage undisclosed</t>
        </is>
      </c>
      <c r="C425" t="inlineStr">
        <is>
          <t>info</t>
        </is>
      </c>
      <c r="D425" t="inlineStr">
        <is>
          <t>R251105-spacewood</t>
        </is>
      </c>
      <c r="E425" t="inlineStr">
        <is>
          <t>Spacewood Furnishers</t>
        </is>
      </c>
      <c r="F425" s="17" t="n">
        <v>45966</v>
      </c>
      <c r="G425" t="inlineStr">
        <is>
          <t>no source names the stage</t>
        </is>
      </c>
    </row>
    <row r="426">
      <c r="A426" t="inlineStr">
        <is>
          <t>C04</t>
        </is>
      </c>
      <c r="B426" t="inlineStr">
        <is>
          <t>Stage undisclosed</t>
        </is>
      </c>
      <c r="C426" t="inlineStr">
        <is>
          <t>info</t>
        </is>
      </c>
      <c r="D426" t="inlineStr">
        <is>
          <t>R251105-stackbox</t>
        </is>
      </c>
      <c r="E426" t="inlineStr">
        <is>
          <t>StackBOX</t>
        </is>
      </c>
      <c r="F426" s="17" t="n">
        <v>45966</v>
      </c>
      <c r="G426" t="inlineStr">
        <is>
          <t>no source names the stage</t>
        </is>
      </c>
    </row>
    <row r="427">
      <c r="A427" t="inlineStr">
        <is>
          <t>C04</t>
        </is>
      </c>
      <c r="B427" t="inlineStr">
        <is>
          <t>Stage undisclosed</t>
        </is>
      </c>
      <c r="C427" t="inlineStr">
        <is>
          <t>info</t>
        </is>
      </c>
      <c r="D427" t="inlineStr">
        <is>
          <t>R251107-agnikul</t>
        </is>
      </c>
      <c r="E427" t="inlineStr">
        <is>
          <t>Agnikul Cosmos</t>
        </is>
      </c>
      <c r="F427" s="17" t="n">
        <v>45968</v>
      </c>
      <c r="G427" t="inlineStr">
        <is>
          <t>no source names the stage</t>
        </is>
      </c>
    </row>
    <row r="428">
      <c r="A428" t="inlineStr">
        <is>
          <t>C04</t>
        </is>
      </c>
      <c r="B428" t="inlineStr">
        <is>
          <t>Stage undisclosed</t>
        </is>
      </c>
      <c r="C428" t="inlineStr">
        <is>
          <t>info</t>
        </is>
      </c>
      <c r="D428" t="inlineStr">
        <is>
          <t>R251107-miko</t>
        </is>
      </c>
      <c r="E428" t="inlineStr">
        <is>
          <t>Miko</t>
        </is>
      </c>
      <c r="F428" s="17" t="n">
        <v>45968</v>
      </c>
      <c r="G428" t="inlineStr">
        <is>
          <t>no source names the stage</t>
        </is>
      </c>
    </row>
    <row r="429">
      <c r="A429" t="inlineStr">
        <is>
          <t>C04</t>
        </is>
      </c>
      <c r="B429" t="inlineStr">
        <is>
          <t>Stage undisclosed</t>
        </is>
      </c>
      <c r="C429" t="inlineStr">
        <is>
          <t>info</t>
        </is>
      </c>
      <c r="D429" t="inlineStr">
        <is>
          <t>R251111-finnable</t>
        </is>
      </c>
      <c r="E429" t="inlineStr">
        <is>
          <t>Finnable</t>
        </is>
      </c>
      <c r="F429" s="17" t="n">
        <v>45972</v>
      </c>
      <c r="G429" t="inlineStr">
        <is>
          <t>no source names the stage</t>
        </is>
      </c>
    </row>
    <row r="430">
      <c r="A430" t="inlineStr">
        <is>
          <t>C04</t>
        </is>
      </c>
      <c r="B430" t="inlineStr">
        <is>
          <t>Stage undisclosed</t>
        </is>
      </c>
      <c r="C430" t="inlineStr">
        <is>
          <t>info</t>
        </is>
      </c>
      <c r="D430" t="inlineStr">
        <is>
          <t>R251111-hausandkinder</t>
        </is>
      </c>
      <c r="E430" t="inlineStr">
        <is>
          <t>Haus &amp; Kinder</t>
        </is>
      </c>
      <c r="F430" s="17" t="n">
        <v>45972</v>
      </c>
      <c r="G430" t="inlineStr">
        <is>
          <t>no source names the stage</t>
        </is>
      </c>
    </row>
    <row r="431">
      <c r="A431" t="inlineStr">
        <is>
          <t>C04</t>
        </is>
      </c>
      <c r="B431" t="inlineStr">
        <is>
          <t>Stage undisclosed</t>
        </is>
      </c>
      <c r="C431" t="inlineStr">
        <is>
          <t>info</t>
        </is>
      </c>
      <c r="D431" t="inlineStr">
        <is>
          <t>R251111-mindtalk</t>
        </is>
      </c>
      <c r="E431" t="inlineStr">
        <is>
          <t>MindTalk</t>
        </is>
      </c>
      <c r="F431" s="17" t="n">
        <v>45972</v>
      </c>
      <c r="G431" t="inlineStr">
        <is>
          <t>no source names the stage</t>
        </is>
      </c>
    </row>
    <row r="432">
      <c r="A432" t="inlineStr">
        <is>
          <t>C04</t>
        </is>
      </c>
      <c r="B432" t="inlineStr">
        <is>
          <t>Stage undisclosed</t>
        </is>
      </c>
      <c r="C432" t="inlineStr">
        <is>
          <t>info</t>
        </is>
      </c>
      <c r="D432" t="inlineStr">
        <is>
          <t>R251112-alive</t>
        </is>
      </c>
      <c r="E432" t="inlineStr">
        <is>
          <t>Alive</t>
        </is>
      </c>
      <c r="F432" s="17" t="n">
        <v>45973</v>
      </c>
      <c r="G432" t="inlineStr">
        <is>
          <t>no source names the stage</t>
        </is>
      </c>
    </row>
    <row r="433">
      <c r="A433" t="inlineStr">
        <is>
          <t>C04</t>
        </is>
      </c>
      <c r="B433" t="inlineStr">
        <is>
          <t>Stage undisclosed</t>
        </is>
      </c>
      <c r="C433" t="inlineStr">
        <is>
          <t>info</t>
        </is>
      </c>
      <c r="D433" t="inlineStr">
        <is>
          <t>R251112-bombayshavingc</t>
        </is>
      </c>
      <c r="E433" t="inlineStr">
        <is>
          <t>Bombay Shaving Company</t>
        </is>
      </c>
      <c r="F433" s="17" t="n">
        <v>45973</v>
      </c>
      <c r="G433" t="inlineStr">
        <is>
          <t>no source names the stage</t>
        </is>
      </c>
    </row>
    <row r="434">
      <c r="A434" t="inlineStr">
        <is>
          <t>C04</t>
        </is>
      </c>
      <c r="B434" t="inlineStr">
        <is>
          <t>Stage undisclosed</t>
        </is>
      </c>
      <c r="C434" t="inlineStr">
        <is>
          <t>info</t>
        </is>
      </c>
      <c r="D434" t="inlineStr">
        <is>
          <t>R251112-coratiatechnol</t>
        </is>
      </c>
      <c r="E434" t="inlineStr">
        <is>
          <t>Coratia Technologies</t>
        </is>
      </c>
      <c r="F434" s="17" t="n">
        <v>45973</v>
      </c>
      <c r="G434" t="inlineStr">
        <is>
          <t>no source names the stage</t>
        </is>
      </c>
    </row>
    <row r="435">
      <c r="A435" t="inlineStr">
        <is>
          <t>C04</t>
        </is>
      </c>
      <c r="B435" t="inlineStr">
        <is>
          <t>Stage undisclosed</t>
        </is>
      </c>
      <c r="C435" t="inlineStr">
        <is>
          <t>info</t>
        </is>
      </c>
      <c r="D435" t="inlineStr">
        <is>
          <t>R251112-couchcommerce</t>
        </is>
      </c>
      <c r="E435" t="inlineStr">
        <is>
          <t>Couch Commerce</t>
        </is>
      </c>
      <c r="F435" s="17" t="n">
        <v>45973</v>
      </c>
      <c r="G435" t="inlineStr">
        <is>
          <t>no source names the stage</t>
        </is>
      </c>
    </row>
    <row r="436">
      <c r="A436" t="inlineStr">
        <is>
          <t>C04</t>
        </is>
      </c>
      <c r="B436" t="inlineStr">
        <is>
          <t>Stage undisclosed</t>
        </is>
      </c>
      <c r="C436" t="inlineStr">
        <is>
          <t>info</t>
        </is>
      </c>
      <c r="D436" t="inlineStr">
        <is>
          <t>R251112-tetrcollege</t>
        </is>
      </c>
      <c r="E436" t="inlineStr">
        <is>
          <t>Tetr College</t>
        </is>
      </c>
      <c r="F436" s="17" t="n">
        <v>45973</v>
      </c>
      <c r="G436" t="inlineStr">
        <is>
          <t>no source names the stage</t>
        </is>
      </c>
    </row>
    <row r="437">
      <c r="A437" t="inlineStr">
        <is>
          <t>C04</t>
        </is>
      </c>
      <c r="B437" t="inlineStr">
        <is>
          <t>Stage undisclosed</t>
        </is>
      </c>
      <c r="C437" t="inlineStr">
        <is>
          <t>info</t>
        </is>
      </c>
      <c r="D437" t="inlineStr">
        <is>
          <t>R251113-varaha</t>
        </is>
      </c>
      <c r="E437" t="inlineStr">
        <is>
          <t>Varaha</t>
        </is>
      </c>
      <c r="F437" s="17" t="n">
        <v>45974</v>
      </c>
      <c r="G437" t="inlineStr">
        <is>
          <t>no source names the stage</t>
        </is>
      </c>
    </row>
    <row r="438">
      <c r="A438" t="inlineStr">
        <is>
          <t>C04</t>
        </is>
      </c>
      <c r="B438" t="inlineStr">
        <is>
          <t>Stage undisclosed</t>
        </is>
      </c>
      <c r="C438" t="inlineStr">
        <is>
          <t>info</t>
        </is>
      </c>
      <c r="D438" t="inlineStr">
        <is>
          <t>R251118-yubigroup</t>
        </is>
      </c>
      <c r="E438" t="inlineStr">
        <is>
          <t>Yubi</t>
        </is>
      </c>
      <c r="F438" s="17" t="n">
        <v>45979</v>
      </c>
      <c r="G438" t="inlineStr">
        <is>
          <t>no source names the stage</t>
        </is>
      </c>
    </row>
    <row r="439">
      <c r="A439" t="inlineStr">
        <is>
          <t>C04</t>
        </is>
      </c>
      <c r="B439" t="inlineStr">
        <is>
          <t>Stage undisclosed</t>
        </is>
      </c>
      <c r="C439" t="inlineStr">
        <is>
          <t>info</t>
        </is>
      </c>
      <c r="D439" t="inlineStr">
        <is>
          <t>R251120-agrostar</t>
        </is>
      </c>
      <c r="E439" t="inlineStr">
        <is>
          <t>AgroStar</t>
        </is>
      </c>
      <c r="F439" s="17" t="n">
        <v>45981</v>
      </c>
      <c r="G439" t="inlineStr">
        <is>
          <t>no source names the stage</t>
        </is>
      </c>
    </row>
    <row r="440">
      <c r="A440" t="inlineStr">
        <is>
          <t>C04</t>
        </is>
      </c>
      <c r="B440" t="inlineStr">
        <is>
          <t>Stage undisclosed</t>
        </is>
      </c>
      <c r="C440" t="inlineStr">
        <is>
          <t>info</t>
        </is>
      </c>
      <c r="D440" t="inlineStr">
        <is>
          <t>R251122-agnikul</t>
        </is>
      </c>
      <c r="E440" t="inlineStr">
        <is>
          <t>Agnikul</t>
        </is>
      </c>
      <c r="F440" s="17" t="n">
        <v>45983</v>
      </c>
      <c r="G440" t="inlineStr">
        <is>
          <t>no source names the stage</t>
        </is>
      </c>
    </row>
    <row r="441">
      <c r="A441" t="inlineStr">
        <is>
          <t>C04</t>
        </is>
      </c>
      <c r="B441" t="inlineStr">
        <is>
          <t>Stage undisclosed</t>
        </is>
      </c>
      <c r="C441" t="inlineStr">
        <is>
          <t>info</t>
        </is>
      </c>
      <c r="D441" t="inlineStr">
        <is>
          <t>R251124-dweepiandedgeh</t>
        </is>
      </c>
      <c r="E441" t="inlineStr">
        <is>
          <t>Dweepi and Edgehax</t>
        </is>
      </c>
      <c r="F441" s="17" t="n">
        <v>45985</v>
      </c>
      <c r="G441" t="inlineStr">
        <is>
          <t>no source names the stage</t>
        </is>
      </c>
    </row>
    <row r="442">
      <c r="A442" t="inlineStr">
        <is>
          <t>C04</t>
        </is>
      </c>
      <c r="B442" t="inlineStr">
        <is>
          <t>Stage undisclosed</t>
        </is>
      </c>
      <c r="C442" t="inlineStr">
        <is>
          <t>info</t>
        </is>
      </c>
      <c r="D442" t="inlineStr">
        <is>
          <t>R251124-faebeauty</t>
        </is>
      </c>
      <c r="E442" t="inlineStr">
        <is>
          <t>FAE Beauty</t>
        </is>
      </c>
      <c r="F442" s="17" t="n">
        <v>45985</v>
      </c>
      <c r="G442" t="inlineStr">
        <is>
          <t>no source names the stage</t>
        </is>
      </c>
    </row>
    <row r="443">
      <c r="A443" t="inlineStr">
        <is>
          <t>C04</t>
        </is>
      </c>
      <c r="B443" t="inlineStr">
        <is>
          <t>Stage undisclosed</t>
        </is>
      </c>
      <c r="C443" t="inlineStr">
        <is>
          <t>info</t>
        </is>
      </c>
      <c r="D443" t="inlineStr">
        <is>
          <t>R251124-finreach</t>
        </is>
      </c>
      <c r="E443" t="inlineStr">
        <is>
          <t>FinReach</t>
        </is>
      </c>
      <c r="F443" s="17" t="n">
        <v>45985</v>
      </c>
      <c r="G443" t="inlineStr">
        <is>
          <t>no source names the stage</t>
        </is>
      </c>
    </row>
    <row r="444">
      <c r="A444" t="inlineStr">
        <is>
          <t>C04</t>
        </is>
      </c>
      <c r="B444" t="inlineStr">
        <is>
          <t>Stage undisclosed</t>
        </is>
      </c>
      <c r="C444" t="inlineStr">
        <is>
          <t>info</t>
        </is>
      </c>
      <c r="D444" t="inlineStr">
        <is>
          <t>R251127-squareyards</t>
        </is>
      </c>
      <c r="E444" t="inlineStr">
        <is>
          <t>Square Yards</t>
        </is>
      </c>
      <c r="F444" s="17" t="n">
        <v>45987</v>
      </c>
      <c r="G444" t="inlineStr">
        <is>
          <t>no source names the stage</t>
        </is>
      </c>
    </row>
    <row r="445">
      <c r="A445" t="inlineStr">
        <is>
          <t>C04</t>
        </is>
      </c>
      <c r="B445" t="inlineStr">
        <is>
          <t>Stage undisclosed</t>
        </is>
      </c>
      <c r="C445" t="inlineStr">
        <is>
          <t>info</t>
        </is>
      </c>
      <c r="D445" t="inlineStr">
        <is>
          <t>R251127-aceinternation</t>
        </is>
      </c>
      <c r="E445" t="inlineStr">
        <is>
          <t>Ace International</t>
        </is>
      </c>
      <c r="F445" s="17" t="n">
        <v>45988</v>
      </c>
      <c r="G445" t="inlineStr">
        <is>
          <t>no source names the stage</t>
        </is>
      </c>
    </row>
    <row r="446">
      <c r="A446" t="inlineStr">
        <is>
          <t>C04</t>
        </is>
      </c>
      <c r="B446" t="inlineStr">
        <is>
          <t>Stage undisclosed</t>
        </is>
      </c>
      <c r="C446" t="inlineStr">
        <is>
          <t>info</t>
        </is>
      </c>
      <c r="D446" t="inlineStr">
        <is>
          <t>R251127-tijori</t>
        </is>
      </c>
      <c r="E446" t="inlineStr">
        <is>
          <t>Tijori</t>
        </is>
      </c>
      <c r="F446" s="17" t="n">
        <v>45988</v>
      </c>
      <c r="G446" t="inlineStr">
        <is>
          <t>no source names the stage</t>
        </is>
      </c>
    </row>
    <row r="447">
      <c r="A447" t="inlineStr">
        <is>
          <t>C04</t>
        </is>
      </c>
      <c r="B447" t="inlineStr">
        <is>
          <t>Stage undisclosed</t>
        </is>
      </c>
      <c r="C447" t="inlineStr">
        <is>
          <t>info</t>
        </is>
      </c>
      <c r="D447" t="inlineStr">
        <is>
          <t>R251201-finvu</t>
        </is>
      </c>
      <c r="E447" t="inlineStr">
        <is>
          <t>Finvu</t>
        </is>
      </c>
      <c r="F447" s="17" t="n">
        <v>45992</v>
      </c>
      <c r="G447" t="inlineStr">
        <is>
          <t>no source names the stage</t>
        </is>
      </c>
    </row>
    <row r="448">
      <c r="A448" t="inlineStr">
        <is>
          <t>C04</t>
        </is>
      </c>
      <c r="B448" t="inlineStr">
        <is>
          <t>Stage undisclosed</t>
        </is>
      </c>
      <c r="C448" t="inlineStr">
        <is>
          <t>info</t>
        </is>
      </c>
      <c r="D448" t="inlineStr">
        <is>
          <t>R251202-superhealth</t>
        </is>
      </c>
      <c r="E448" t="inlineStr">
        <is>
          <t>Superhealth</t>
        </is>
      </c>
      <c r="F448" s="17" t="n">
        <v>45993</v>
      </c>
      <c r="G448" t="inlineStr">
        <is>
          <t>no source names the stage</t>
        </is>
      </c>
    </row>
    <row r="449">
      <c r="A449" t="inlineStr">
        <is>
          <t>C04</t>
        </is>
      </c>
      <c r="B449" t="inlineStr">
        <is>
          <t>Stage undisclosed</t>
        </is>
      </c>
      <c r="C449" t="inlineStr">
        <is>
          <t>info</t>
        </is>
      </c>
      <c r="D449" t="inlineStr">
        <is>
          <t>R251203-furlenco</t>
        </is>
      </c>
      <c r="E449" t="inlineStr">
        <is>
          <t>Furlenco</t>
        </is>
      </c>
      <c r="F449" s="17" t="n">
        <v>45994</v>
      </c>
      <c r="G449" t="inlineStr">
        <is>
          <t>no source names the stage</t>
        </is>
      </c>
    </row>
    <row r="450">
      <c r="A450" t="inlineStr">
        <is>
          <t>C04</t>
        </is>
      </c>
      <c r="B450" t="inlineStr">
        <is>
          <t>Stage undisclosed</t>
        </is>
      </c>
      <c r="C450" t="inlineStr">
        <is>
          <t>info</t>
        </is>
      </c>
      <c r="D450" t="inlineStr">
        <is>
          <t>R251204-inmobi</t>
        </is>
      </c>
      <c r="E450" t="inlineStr">
        <is>
          <t>InMobi</t>
        </is>
      </c>
      <c r="F450" s="17" t="n">
        <v>45995</v>
      </c>
      <c r="G450" t="inlineStr">
        <is>
          <t>no source names the stage</t>
        </is>
      </c>
    </row>
    <row r="451">
      <c r="A451" t="inlineStr">
        <is>
          <t>C04</t>
        </is>
      </c>
      <c r="B451" t="inlineStr">
        <is>
          <t>Stage undisclosed</t>
        </is>
      </c>
      <c r="C451" t="inlineStr">
        <is>
          <t>info</t>
        </is>
      </c>
      <c r="D451" t="inlineStr">
        <is>
          <t>R251204-planystechnolo</t>
        </is>
      </c>
      <c r="E451" t="inlineStr">
        <is>
          <t>Planys Technologies</t>
        </is>
      </c>
      <c r="F451" s="17" t="n">
        <v>45995</v>
      </c>
      <c r="G451" t="inlineStr">
        <is>
          <t>no source names the stage</t>
        </is>
      </c>
    </row>
    <row r="452">
      <c r="A452" t="inlineStr">
        <is>
          <t>C04</t>
        </is>
      </c>
      <c r="B452" t="inlineStr">
        <is>
          <t>Stage undisclosed</t>
        </is>
      </c>
      <c r="C452" t="inlineStr">
        <is>
          <t>info</t>
        </is>
      </c>
      <c r="D452" t="inlineStr">
        <is>
          <t>R251208-agilitassports</t>
        </is>
      </c>
      <c r="E452" t="inlineStr">
        <is>
          <t>Agilitas Sports</t>
        </is>
      </c>
      <c r="F452" s="17" t="n">
        <v>45999</v>
      </c>
      <c r="G452" t="inlineStr">
        <is>
          <t>no source names the stage</t>
        </is>
      </c>
    </row>
    <row r="453">
      <c r="A453" t="inlineStr">
        <is>
          <t>C04</t>
        </is>
      </c>
      <c r="B453" t="inlineStr">
        <is>
          <t>Stage undisclosed</t>
        </is>
      </c>
      <c r="C453" t="inlineStr">
        <is>
          <t>info</t>
        </is>
      </c>
      <c r="D453" t="inlineStr">
        <is>
          <t>R251209-clayworks</t>
        </is>
      </c>
      <c r="E453" t="inlineStr">
        <is>
          <t>ClayWorks</t>
        </is>
      </c>
      <c r="F453" s="17" t="n">
        <v>46000</v>
      </c>
      <c r="G453" t="inlineStr">
        <is>
          <t>no source names the stage</t>
        </is>
      </c>
    </row>
    <row r="454">
      <c r="A454" t="inlineStr">
        <is>
          <t>C04</t>
        </is>
      </c>
      <c r="B454" t="inlineStr">
        <is>
          <t>Stage undisclosed</t>
        </is>
      </c>
      <c r="C454" t="inlineStr">
        <is>
          <t>info</t>
        </is>
      </c>
      <c r="D454" t="inlineStr">
        <is>
          <t>R251209-emergent</t>
        </is>
      </c>
      <c r="E454" t="inlineStr">
        <is>
          <t>Emergent</t>
        </is>
      </c>
      <c r="F454" s="17" t="n">
        <v>46000</v>
      </c>
      <c r="G454" t="inlineStr">
        <is>
          <t>no source names the stage</t>
        </is>
      </c>
    </row>
    <row r="455">
      <c r="A455" t="inlineStr">
        <is>
          <t>C04</t>
        </is>
      </c>
      <c r="B455" t="inlineStr">
        <is>
          <t>Stage undisclosed</t>
        </is>
      </c>
      <c r="C455" t="inlineStr">
        <is>
          <t>info</t>
        </is>
      </c>
      <c r="D455" t="inlineStr">
        <is>
          <t>R251209-mukundjha</t>
        </is>
      </c>
      <c r="E455" t="inlineStr">
        <is>
          <t>Mukund Jha</t>
        </is>
      </c>
      <c r="F455" s="17" t="n">
        <v>46000</v>
      </c>
      <c r="G455" t="inlineStr">
        <is>
          <t>no source names the stage</t>
        </is>
      </c>
    </row>
    <row r="456">
      <c r="A456" t="inlineStr">
        <is>
          <t>C04</t>
        </is>
      </c>
      <c r="B456" t="inlineStr">
        <is>
          <t>Stage undisclosed</t>
        </is>
      </c>
      <c r="C456" t="inlineStr">
        <is>
          <t>info</t>
        </is>
      </c>
      <c r="D456" t="inlineStr">
        <is>
          <t>R251210-faraday</t>
        </is>
      </c>
      <c r="E456" t="inlineStr">
        <is>
          <t>Faraday</t>
        </is>
      </c>
      <c r="F456" s="17" t="n">
        <v>46001</v>
      </c>
      <c r="G456" t="inlineStr">
        <is>
          <t>no source names the stage</t>
        </is>
      </c>
    </row>
    <row r="457">
      <c r="A457" t="inlineStr">
        <is>
          <t>C04</t>
        </is>
      </c>
      <c r="B457" t="inlineStr">
        <is>
          <t>Stage undisclosed</t>
        </is>
      </c>
      <c r="C457" t="inlineStr">
        <is>
          <t>info</t>
        </is>
      </c>
      <c r="D457" t="inlineStr">
        <is>
          <t>R251210-knot</t>
        </is>
      </c>
      <c r="E457" t="inlineStr">
        <is>
          <t>KNOT</t>
        </is>
      </c>
      <c r="F457" s="17" t="n">
        <v>46001</v>
      </c>
      <c r="G457" t="inlineStr">
        <is>
          <t>no source names the stage</t>
        </is>
      </c>
    </row>
    <row r="458">
      <c r="A458" t="inlineStr">
        <is>
          <t>C04</t>
        </is>
      </c>
      <c r="B458" t="inlineStr">
        <is>
          <t>Stage undisclosed</t>
        </is>
      </c>
      <c r="C458" t="inlineStr">
        <is>
          <t>info</t>
        </is>
      </c>
      <c r="D458" t="inlineStr">
        <is>
          <t>R251211-whilterai</t>
        </is>
      </c>
      <c r="E458" t="inlineStr">
        <is>
          <t>Whilter AI</t>
        </is>
      </c>
      <c r="F458" s="17" t="n">
        <v>46002</v>
      </c>
      <c r="G458" t="inlineStr">
        <is>
          <t>no source names the stage</t>
        </is>
      </c>
    </row>
    <row r="459">
      <c r="A459" t="inlineStr">
        <is>
          <t>C04</t>
        </is>
      </c>
      <c r="B459" t="inlineStr">
        <is>
          <t>Stage undisclosed</t>
        </is>
      </c>
      <c r="C459" t="inlineStr">
        <is>
          <t>info</t>
        </is>
      </c>
      <c r="D459" t="inlineStr">
        <is>
          <t>R251215-atomberg</t>
        </is>
      </c>
      <c r="E459" t="inlineStr">
        <is>
          <t>Atomberg</t>
        </is>
      </c>
      <c r="F459" s="17" t="n">
        <v>46006</v>
      </c>
      <c r="G459" t="inlineStr">
        <is>
          <t>no source names the stage</t>
        </is>
      </c>
    </row>
    <row r="460">
      <c r="A460" t="inlineStr">
        <is>
          <t>C04</t>
        </is>
      </c>
      <c r="B460" t="inlineStr">
        <is>
          <t>Stage undisclosed</t>
        </is>
      </c>
      <c r="C460" t="inlineStr">
        <is>
          <t>info</t>
        </is>
      </c>
      <c r="D460" t="inlineStr">
        <is>
          <t>R251215-lawyered</t>
        </is>
      </c>
      <c r="E460" t="inlineStr">
        <is>
          <t>Lawyered</t>
        </is>
      </c>
      <c r="F460" s="17" t="n">
        <v>46006</v>
      </c>
      <c r="G460" t="inlineStr">
        <is>
          <t>no source names the stage</t>
        </is>
      </c>
    </row>
    <row r="461">
      <c r="A461" t="inlineStr">
        <is>
          <t>C04</t>
        </is>
      </c>
      <c r="B461" t="inlineStr">
        <is>
          <t>Stage undisclosed</t>
        </is>
      </c>
      <c r="C461" t="inlineStr">
        <is>
          <t>info</t>
        </is>
      </c>
      <c r="D461" t="inlineStr">
        <is>
          <t>R251215-tagbin</t>
        </is>
      </c>
      <c r="E461" t="inlineStr">
        <is>
          <t>Tagbin</t>
        </is>
      </c>
      <c r="F461" s="17" t="n">
        <v>46006</v>
      </c>
      <c r="G461" t="inlineStr">
        <is>
          <t>no source names the stage</t>
        </is>
      </c>
    </row>
    <row r="462">
      <c r="A462" t="inlineStr">
        <is>
          <t>C04</t>
        </is>
      </c>
      <c r="B462" t="inlineStr">
        <is>
          <t>Stage undisclosed</t>
        </is>
      </c>
      <c r="C462" t="inlineStr">
        <is>
          <t>info</t>
        </is>
      </c>
      <c r="D462" t="inlineStr">
        <is>
          <t>R251217-wickedgud</t>
        </is>
      </c>
      <c r="E462" t="inlineStr">
        <is>
          <t>WickedGud</t>
        </is>
      </c>
      <c r="F462" s="17" t="n">
        <v>46008</v>
      </c>
      <c r="G462" t="inlineStr">
        <is>
          <t>no source names the stage</t>
        </is>
      </c>
    </row>
    <row r="463">
      <c r="A463" t="inlineStr">
        <is>
          <t>C04</t>
        </is>
      </c>
      <c r="B463" t="inlineStr">
        <is>
          <t>Stage undisclosed</t>
        </is>
      </c>
      <c r="C463" t="inlineStr">
        <is>
          <t>info</t>
        </is>
      </c>
      <c r="D463" t="inlineStr">
        <is>
          <t>R251219-milkstation</t>
        </is>
      </c>
      <c r="E463" t="inlineStr">
        <is>
          <t>Milk Station</t>
        </is>
      </c>
      <c r="F463" s="17" t="n">
        <v>46010</v>
      </c>
      <c r="G463" t="inlineStr">
        <is>
          <t>no source names the stage</t>
        </is>
      </c>
    </row>
    <row r="464">
      <c r="A464" t="inlineStr">
        <is>
          <t>C04</t>
        </is>
      </c>
      <c r="B464" t="inlineStr">
        <is>
          <t>Stage undisclosed</t>
        </is>
      </c>
      <c r="C464" t="inlineStr">
        <is>
          <t>info</t>
        </is>
      </c>
      <c r="D464" t="inlineStr">
        <is>
          <t>R251222-plasmagenbiosc</t>
        </is>
      </c>
      <c r="E464" t="inlineStr">
        <is>
          <t>PlasmaGen Biosciences</t>
        </is>
      </c>
      <c r="F464" s="17" t="n">
        <v>46013</v>
      </c>
      <c r="G464" t="inlineStr">
        <is>
          <t>no source names the stage</t>
        </is>
      </c>
    </row>
    <row r="465">
      <c r="A465" t="inlineStr">
        <is>
          <t>C04</t>
        </is>
      </c>
      <c r="B465" t="inlineStr">
        <is>
          <t>Stage undisclosed</t>
        </is>
      </c>
      <c r="C465" t="inlineStr">
        <is>
          <t>info</t>
        </is>
      </c>
      <c r="D465" t="inlineStr">
        <is>
          <t>R251222-supply6</t>
        </is>
      </c>
      <c r="E465" t="inlineStr">
        <is>
          <t>Supply6</t>
        </is>
      </c>
      <c r="F465" s="17" t="n">
        <v>46013</v>
      </c>
      <c r="G465" t="inlineStr">
        <is>
          <t>no source names the stage</t>
        </is>
      </c>
    </row>
    <row r="466">
      <c r="A466" t="inlineStr">
        <is>
          <t>C04</t>
        </is>
      </c>
      <c r="B466" t="inlineStr">
        <is>
          <t>Stage undisclosed</t>
        </is>
      </c>
      <c r="C466" t="inlineStr">
        <is>
          <t>info</t>
        </is>
      </c>
      <c r="D466" t="inlineStr">
        <is>
          <t>R251224-magicdecor</t>
        </is>
      </c>
      <c r="E466" t="inlineStr">
        <is>
          <t>MagicDecor</t>
        </is>
      </c>
      <c r="F466" s="17" t="n">
        <v>46015</v>
      </c>
      <c r="G466" t="inlineStr">
        <is>
          <t>no source names the stage</t>
        </is>
      </c>
    </row>
    <row r="467">
      <c r="A467" t="inlineStr">
        <is>
          <t>C04</t>
        </is>
      </c>
      <c r="B467" t="inlineStr">
        <is>
          <t>Stage undisclosed</t>
        </is>
      </c>
      <c r="C467" t="inlineStr">
        <is>
          <t>info</t>
        </is>
      </c>
      <c r="D467" t="inlineStr">
        <is>
          <t>R251225-olaelectric</t>
        </is>
      </c>
      <c r="E467" t="inlineStr">
        <is>
          <t>Ola Electric</t>
        </is>
      </c>
      <c r="F467" s="17" t="n">
        <v>46016</v>
      </c>
      <c r="G467" t="inlineStr">
        <is>
          <t>no source names the stage</t>
        </is>
      </c>
    </row>
    <row r="468">
      <c r="A468" t="inlineStr">
        <is>
          <t>C04</t>
        </is>
      </c>
      <c r="B468" t="inlineStr">
        <is>
          <t>Stage undisclosed</t>
        </is>
      </c>
      <c r="C468" t="inlineStr">
        <is>
          <t>info</t>
        </is>
      </c>
      <c r="D468" t="inlineStr">
        <is>
          <t>R251231-speed</t>
        </is>
      </c>
      <c r="E468" t="inlineStr">
        <is>
          <t>Speed</t>
        </is>
      </c>
      <c r="F468" s="17" t="n">
        <v>46022</v>
      </c>
      <c r="G468" t="inlineStr">
        <is>
          <t>no source names the stage</t>
        </is>
      </c>
    </row>
    <row r="469">
      <c r="A469" t="inlineStr">
        <is>
          <t>C04</t>
        </is>
      </c>
      <c r="B469" t="inlineStr">
        <is>
          <t>Stage undisclosed</t>
        </is>
      </c>
      <c r="C469" t="inlineStr">
        <is>
          <t>info</t>
        </is>
      </c>
      <c r="D469" t="inlineStr">
        <is>
          <t>R251231-truva</t>
        </is>
      </c>
      <c r="E469" t="inlineStr">
        <is>
          <t>Truva</t>
        </is>
      </c>
      <c r="F469" s="17" t="n">
        <v>46022</v>
      </c>
      <c r="G469" t="inlineStr">
        <is>
          <t>no source names the stage</t>
        </is>
      </c>
    </row>
    <row r="470">
      <c r="A470" t="inlineStr">
        <is>
          <t>C04</t>
        </is>
      </c>
      <c r="B470" t="inlineStr">
        <is>
          <t>Stage undisclosed</t>
        </is>
      </c>
      <c r="C470" t="inlineStr">
        <is>
          <t>info</t>
        </is>
      </c>
      <c r="D470" t="inlineStr">
        <is>
          <t>R260106-lohiaaerospace</t>
        </is>
      </c>
      <c r="E470" t="inlineStr">
        <is>
          <t>Lohia Aerospace Systems</t>
        </is>
      </c>
      <c r="F470" s="17" t="n">
        <v>46028</v>
      </c>
      <c r="G470" t="inlineStr">
        <is>
          <t>no source names the stage</t>
        </is>
      </c>
    </row>
    <row r="471">
      <c r="A471" t="inlineStr">
        <is>
          <t>C04</t>
        </is>
      </c>
      <c r="B471" t="inlineStr">
        <is>
          <t>Stage undisclosed</t>
        </is>
      </c>
      <c r="C471" t="inlineStr">
        <is>
          <t>info</t>
        </is>
      </c>
      <c r="D471" t="inlineStr">
        <is>
          <t>R260107-oppdoor</t>
        </is>
      </c>
      <c r="E471" t="inlineStr">
        <is>
          <t>Oppdoor</t>
        </is>
      </c>
      <c r="F471" s="17" t="n">
        <v>46029</v>
      </c>
      <c r="G471" t="inlineStr">
        <is>
          <t>no source names the stage</t>
        </is>
      </c>
    </row>
    <row r="472">
      <c r="A472" t="inlineStr">
        <is>
          <t>C04</t>
        </is>
      </c>
      <c r="B472" t="inlineStr">
        <is>
          <t>Stage undisclosed</t>
        </is>
      </c>
      <c r="C472" t="inlineStr">
        <is>
          <t>info</t>
        </is>
      </c>
      <c r="D472" t="inlineStr">
        <is>
          <t>R260108-projectstudioa</t>
        </is>
      </c>
      <c r="E472" t="inlineStr">
        <is>
          <t>Project Studio AI</t>
        </is>
      </c>
      <c r="F472" s="17" t="n">
        <v>46030</v>
      </c>
      <c r="G472" t="inlineStr">
        <is>
          <t>no source names the stage</t>
        </is>
      </c>
    </row>
    <row r="473">
      <c r="A473" t="inlineStr">
        <is>
          <t>C04</t>
        </is>
      </c>
      <c r="B473" t="inlineStr">
        <is>
          <t>Stage undisclosed</t>
        </is>
      </c>
      <c r="C473" t="inlineStr">
        <is>
          <t>info</t>
        </is>
      </c>
      <c r="D473" t="inlineStr">
        <is>
          <t>R260108-spectorai</t>
        </is>
      </c>
      <c r="E473" t="inlineStr">
        <is>
          <t>Spector.AI</t>
        </is>
      </c>
      <c r="F473" s="17" t="n">
        <v>46030</v>
      </c>
      <c r="G473" t="inlineStr">
        <is>
          <t>no source names the stage</t>
        </is>
      </c>
    </row>
    <row r="474">
      <c r="A474" t="inlineStr">
        <is>
          <t>C04</t>
        </is>
      </c>
      <c r="B474" t="inlineStr">
        <is>
          <t>Stage undisclosed</t>
        </is>
      </c>
      <c r="C474" t="inlineStr">
        <is>
          <t>info</t>
        </is>
      </c>
      <c r="D474" t="inlineStr">
        <is>
          <t>R260113-billionemobili</t>
        </is>
      </c>
      <c r="E474" t="inlineStr">
        <is>
          <t>BillionE Mobility</t>
        </is>
      </c>
      <c r="F474" s="17" t="n">
        <v>46035</v>
      </c>
      <c r="G474" t="inlineStr">
        <is>
          <t>no source names the stage</t>
        </is>
      </c>
    </row>
    <row r="475">
      <c r="A475" t="inlineStr">
        <is>
          <t>C04</t>
        </is>
      </c>
      <c r="B475" t="inlineStr">
        <is>
          <t>Stage undisclosed</t>
        </is>
      </c>
      <c r="C475" t="inlineStr">
        <is>
          <t>info</t>
        </is>
      </c>
      <c r="D475" t="inlineStr">
        <is>
          <t>R260113-greentech</t>
        </is>
      </c>
      <c r="E475" t="inlineStr">
        <is>
          <t>GreenTech</t>
        </is>
      </c>
      <c r="F475" s="17" t="n">
        <v>46035</v>
      </c>
      <c r="G475" t="inlineStr">
        <is>
          <t>no source names the stage</t>
        </is>
      </c>
    </row>
    <row r="476">
      <c r="A476" t="inlineStr">
        <is>
          <t>C04</t>
        </is>
      </c>
      <c r="B476" t="inlineStr">
        <is>
          <t>Stage undisclosed</t>
        </is>
      </c>
      <c r="C476" t="inlineStr">
        <is>
          <t>info</t>
        </is>
      </c>
      <c r="D476" t="inlineStr">
        <is>
          <t>R260115-growthpal</t>
        </is>
      </c>
      <c r="E476" t="inlineStr">
        <is>
          <t>GrowthPal</t>
        </is>
      </c>
      <c r="F476" s="17" t="n">
        <v>46037</v>
      </c>
      <c r="G476" t="inlineStr">
        <is>
          <t>no source names the stage</t>
        </is>
      </c>
    </row>
    <row r="477">
      <c r="A477" t="inlineStr">
        <is>
          <t>C04</t>
        </is>
      </c>
      <c r="B477" t="inlineStr">
        <is>
          <t>Stage undisclosed</t>
        </is>
      </c>
      <c r="C477" t="inlineStr">
        <is>
          <t>info</t>
        </is>
      </c>
      <c r="D477" t="inlineStr">
        <is>
          <t>R260115-truva</t>
        </is>
      </c>
      <c r="E477" t="inlineStr">
        <is>
          <t>Truva</t>
        </is>
      </c>
      <c r="F477" s="17" t="n">
        <v>46037</v>
      </c>
      <c r="G477" t="inlineStr">
        <is>
          <t>no source names the stage</t>
        </is>
      </c>
    </row>
    <row r="478">
      <c r="A478" t="inlineStr">
        <is>
          <t>C04</t>
        </is>
      </c>
      <c r="B478" t="inlineStr">
        <is>
          <t>Stage undisclosed</t>
        </is>
      </c>
      <c r="C478" t="inlineStr">
        <is>
          <t>info</t>
        </is>
      </c>
      <c r="D478" t="inlineStr">
        <is>
          <t>R260119-assetplus</t>
        </is>
      </c>
      <c r="E478" t="inlineStr">
        <is>
          <t>AssetPlus</t>
        </is>
      </c>
      <c r="F478" s="17" t="n">
        <v>46041</v>
      </c>
      <c r="G478" t="inlineStr">
        <is>
          <t>no source names the stage</t>
        </is>
      </c>
    </row>
    <row r="479">
      <c r="A479" t="inlineStr">
        <is>
          <t>C04</t>
        </is>
      </c>
      <c r="B479" t="inlineStr">
        <is>
          <t>Stage undisclosed</t>
        </is>
      </c>
      <c r="C479" t="inlineStr">
        <is>
          <t>info</t>
        </is>
      </c>
      <c r="D479" t="inlineStr">
        <is>
          <t>R260119-salty</t>
        </is>
      </c>
      <c r="E479" t="inlineStr">
        <is>
          <t>Salty</t>
        </is>
      </c>
      <c r="F479" s="17" t="n">
        <v>46041</v>
      </c>
      <c r="G479" t="inlineStr">
        <is>
          <t>no source names the stage</t>
        </is>
      </c>
    </row>
    <row r="480">
      <c r="A480" t="inlineStr">
        <is>
          <t>C04</t>
        </is>
      </c>
      <c r="B480" t="inlineStr">
        <is>
          <t>Stage undisclosed</t>
        </is>
      </c>
      <c r="C480" t="inlineStr">
        <is>
          <t>info</t>
        </is>
      </c>
      <c r="D480" t="inlineStr">
        <is>
          <t>R260120-superliving</t>
        </is>
      </c>
      <c r="E480" t="inlineStr">
        <is>
          <t>SuperLiving</t>
        </is>
      </c>
      <c r="F480" s="17" t="n">
        <v>46042</v>
      </c>
      <c r="G480" t="inlineStr">
        <is>
          <t>no source names the stage</t>
        </is>
      </c>
    </row>
    <row r="481">
      <c r="A481" t="inlineStr">
        <is>
          <t>C04</t>
        </is>
      </c>
      <c r="B481" t="inlineStr">
        <is>
          <t>Stage undisclosed</t>
        </is>
      </c>
      <c r="C481" t="inlineStr">
        <is>
          <t>info</t>
        </is>
      </c>
      <c r="D481" t="inlineStr">
        <is>
          <t>R260121-grest</t>
        </is>
      </c>
      <c r="E481" t="inlineStr">
        <is>
          <t>GREST</t>
        </is>
      </c>
      <c r="F481" s="17" t="n">
        <v>46043</v>
      </c>
      <c r="G481" t="inlineStr">
        <is>
          <t>no source names the stage</t>
        </is>
      </c>
    </row>
    <row r="482">
      <c r="A482" t="inlineStr">
        <is>
          <t>C04</t>
        </is>
      </c>
      <c r="B482" t="inlineStr">
        <is>
          <t>Stage undisclosed</t>
        </is>
      </c>
      <c r="C482" t="inlineStr">
        <is>
          <t>info</t>
        </is>
      </c>
      <c r="D482" t="inlineStr">
        <is>
          <t>R260122-chargeup</t>
        </is>
      </c>
      <c r="E482" t="inlineStr">
        <is>
          <t>Chargeup</t>
        </is>
      </c>
      <c r="F482" s="17" t="n">
        <v>46044</v>
      </c>
      <c r="G482" t="inlineStr">
        <is>
          <t>no source names the stage</t>
        </is>
      </c>
    </row>
    <row r="483">
      <c r="A483" t="inlineStr">
        <is>
          <t>C04</t>
        </is>
      </c>
      <c r="B483" t="inlineStr">
        <is>
          <t>Stage undisclosed</t>
        </is>
      </c>
      <c r="C483" t="inlineStr">
        <is>
          <t>info</t>
        </is>
      </c>
      <c r="D483" t="inlineStr">
        <is>
          <t>R260122-cosmoserve</t>
        </is>
      </c>
      <c r="E483" t="inlineStr">
        <is>
          <t>Cosmoserve</t>
        </is>
      </c>
      <c r="F483" s="17" t="n">
        <v>46044</v>
      </c>
      <c r="G483" t="inlineStr">
        <is>
          <t>no source names the stage</t>
        </is>
      </c>
    </row>
    <row r="484">
      <c r="A484" t="inlineStr">
        <is>
          <t>C04</t>
        </is>
      </c>
      <c r="B484" t="inlineStr">
        <is>
          <t>Stage undisclosed</t>
        </is>
      </c>
      <c r="C484" t="inlineStr">
        <is>
          <t>info</t>
        </is>
      </c>
      <c r="D484" t="inlineStr">
        <is>
          <t>R260123-dhunwellness</t>
        </is>
      </c>
      <c r="E484" t="inlineStr">
        <is>
          <t>Dhun Wellness</t>
        </is>
      </c>
      <c r="F484" s="17" t="n">
        <v>46045</v>
      </c>
      <c r="G484" t="inlineStr">
        <is>
          <t>no source names the stage</t>
        </is>
      </c>
    </row>
    <row r="485">
      <c r="A485" t="inlineStr">
        <is>
          <t>C04</t>
        </is>
      </c>
      <c r="B485" t="inlineStr">
        <is>
          <t>Stage undisclosed</t>
        </is>
      </c>
      <c r="C485" t="inlineStr">
        <is>
          <t>info</t>
        </is>
      </c>
      <c r="D485" t="inlineStr">
        <is>
          <t>R260127-entellusindust</t>
        </is>
      </c>
      <c r="E485" t="inlineStr">
        <is>
          <t>Entellus Industries</t>
        </is>
      </c>
      <c r="F485" s="17" t="n">
        <v>46049</v>
      </c>
      <c r="G485" t="inlineStr">
        <is>
          <t>no source names the stage</t>
        </is>
      </c>
    </row>
    <row r="486">
      <c r="A486" t="inlineStr">
        <is>
          <t>C04</t>
        </is>
      </c>
      <c r="B486" t="inlineStr">
        <is>
          <t>Stage undisclosed</t>
        </is>
      </c>
      <c r="C486" t="inlineStr">
        <is>
          <t>info</t>
        </is>
      </c>
      <c r="D486" t="inlineStr">
        <is>
          <t>R260128-dpropulse</t>
        </is>
      </c>
      <c r="E486" t="inlineStr">
        <is>
          <t>D-Propulse</t>
        </is>
      </c>
      <c r="F486" s="17" t="n">
        <v>46050</v>
      </c>
      <c r="G486" t="inlineStr">
        <is>
          <t>no source names the stage</t>
        </is>
      </c>
    </row>
    <row r="487">
      <c r="A487" t="inlineStr">
        <is>
          <t>C04</t>
        </is>
      </c>
      <c r="B487" t="inlineStr">
        <is>
          <t>Stage undisclosed</t>
        </is>
      </c>
      <c r="C487" t="inlineStr">
        <is>
          <t>info</t>
        </is>
      </c>
      <c r="D487" t="inlineStr">
        <is>
          <t>R260128-koreai</t>
        </is>
      </c>
      <c r="E487" t="inlineStr">
        <is>
          <t>Kore.ai</t>
        </is>
      </c>
      <c r="F487" s="17" t="n">
        <v>46050</v>
      </c>
      <c r="G487" t="inlineStr">
        <is>
          <t>no source names the stage</t>
        </is>
      </c>
    </row>
    <row r="488">
      <c r="A488" t="inlineStr">
        <is>
          <t>C04</t>
        </is>
      </c>
      <c r="B488" t="inlineStr">
        <is>
          <t>Stage undisclosed</t>
        </is>
      </c>
      <c r="C488" t="inlineStr">
        <is>
          <t>info</t>
        </is>
      </c>
      <c r="D488" t="inlineStr">
        <is>
          <t>R260129-biopeak</t>
        </is>
      </c>
      <c r="E488" t="inlineStr">
        <is>
          <t>Biopeak</t>
        </is>
      </c>
      <c r="F488" s="17" t="n">
        <v>46051</v>
      </c>
      <c r="G488" t="inlineStr">
        <is>
          <t>no source names the stage</t>
        </is>
      </c>
    </row>
    <row r="489">
      <c r="A489" t="inlineStr">
        <is>
          <t>C04</t>
        </is>
      </c>
      <c r="B489" t="inlineStr">
        <is>
          <t>Stage undisclosed</t>
        </is>
      </c>
      <c r="C489" t="inlineStr">
        <is>
          <t>info</t>
        </is>
      </c>
      <c r="D489" t="inlineStr">
        <is>
          <t>R260202-drivn</t>
        </is>
      </c>
      <c r="E489" t="inlineStr">
        <is>
          <t>Drivn</t>
        </is>
      </c>
      <c r="F489" s="17" t="n">
        <v>46055</v>
      </c>
      <c r="G489" t="inlineStr">
        <is>
          <t>no source names the stage</t>
        </is>
      </c>
    </row>
    <row r="490">
      <c r="A490" t="inlineStr">
        <is>
          <t>C04</t>
        </is>
      </c>
      <c r="B490" t="inlineStr">
        <is>
          <t>Stage undisclosed</t>
        </is>
      </c>
      <c r="C490" t="inlineStr">
        <is>
          <t>info</t>
        </is>
      </c>
      <c r="D490" t="inlineStr">
        <is>
          <t>R260203-digitalstriker</t>
        </is>
      </c>
      <c r="E490" t="inlineStr">
        <is>
          <t>Digital Striker</t>
        </is>
      </c>
      <c r="F490" s="17" t="n">
        <v>46056</v>
      </c>
      <c r="G490" t="inlineStr">
        <is>
          <t>no source names the stage</t>
        </is>
      </c>
    </row>
    <row r="491">
      <c r="A491" t="inlineStr">
        <is>
          <t>C04</t>
        </is>
      </c>
      <c r="B491" t="inlineStr">
        <is>
          <t>Stage undisclosed</t>
        </is>
      </c>
      <c r="C491" t="inlineStr">
        <is>
          <t>info</t>
        </is>
      </c>
      <c r="D491" t="inlineStr">
        <is>
          <t>R260206-em5</t>
        </is>
      </c>
      <c r="E491" t="inlineStr">
        <is>
          <t>EM5</t>
        </is>
      </c>
      <c r="F491" s="17" t="n">
        <v>46059</v>
      </c>
      <c r="G491" t="inlineStr">
        <is>
          <t>no source names the stage</t>
        </is>
      </c>
    </row>
    <row r="492">
      <c r="A492" t="inlineStr">
        <is>
          <t>C04</t>
        </is>
      </c>
      <c r="B492" t="inlineStr">
        <is>
          <t>Stage undisclosed</t>
        </is>
      </c>
      <c r="C492" t="inlineStr">
        <is>
          <t>info</t>
        </is>
      </c>
      <c r="D492" t="inlineStr">
        <is>
          <t>R260206-invogue</t>
        </is>
      </c>
      <c r="E492" t="inlineStr">
        <is>
          <t>Invogue</t>
        </is>
      </c>
      <c r="F492" s="17" t="n">
        <v>46059</v>
      </c>
      <c r="G492" t="inlineStr">
        <is>
          <t>no source names the stage</t>
        </is>
      </c>
    </row>
    <row r="493">
      <c r="A493" t="inlineStr">
        <is>
          <t>C04</t>
        </is>
      </c>
      <c r="B493" t="inlineStr">
        <is>
          <t>Stage undisclosed</t>
        </is>
      </c>
      <c r="C493" t="inlineStr">
        <is>
          <t>info</t>
        </is>
      </c>
      <c r="D493" t="inlineStr">
        <is>
          <t>R260209-satlabsspacesy</t>
        </is>
      </c>
      <c r="E493" t="inlineStr">
        <is>
          <t>Satlabs</t>
        </is>
      </c>
      <c r="F493" s="17" t="n">
        <v>46062</v>
      </c>
      <c r="G493" t="inlineStr">
        <is>
          <t>no source names the stage</t>
        </is>
      </c>
    </row>
    <row r="494">
      <c r="A494" t="inlineStr">
        <is>
          <t>C04</t>
        </is>
      </c>
      <c r="B494" t="inlineStr">
        <is>
          <t>Stage undisclosed</t>
        </is>
      </c>
      <c r="C494" t="inlineStr">
        <is>
          <t>info</t>
        </is>
      </c>
      <c r="D494" t="inlineStr">
        <is>
          <t>R260210-ethera</t>
        </is>
      </c>
      <c r="E494" t="inlineStr">
        <is>
          <t>Ethera</t>
        </is>
      </c>
      <c r="F494" s="17" t="n">
        <v>46063</v>
      </c>
      <c r="G494" t="inlineStr">
        <is>
          <t>no source names the stage</t>
        </is>
      </c>
    </row>
    <row r="495">
      <c r="A495" t="inlineStr">
        <is>
          <t>C04</t>
        </is>
      </c>
      <c r="B495" t="inlineStr">
        <is>
          <t>Stage undisclosed</t>
        </is>
      </c>
      <c r="C495" t="inlineStr">
        <is>
          <t>info</t>
        </is>
      </c>
      <c r="D495" t="inlineStr">
        <is>
          <t>R260210-pandabox</t>
        </is>
      </c>
      <c r="E495" t="inlineStr">
        <is>
          <t>Panda’s Box</t>
        </is>
      </c>
      <c r="F495" s="17" t="n">
        <v>46063</v>
      </c>
      <c r="G495" t="inlineStr">
        <is>
          <t>no source names the stage</t>
        </is>
      </c>
    </row>
    <row r="496">
      <c r="A496" t="inlineStr">
        <is>
          <t>C04</t>
        </is>
      </c>
      <c r="B496" t="inlineStr">
        <is>
          <t>Stage undisclosed</t>
        </is>
      </c>
      <c r="C496" t="inlineStr">
        <is>
          <t>info</t>
        </is>
      </c>
      <c r="D496" t="inlineStr">
        <is>
          <t>R260210-truthandhair</t>
        </is>
      </c>
      <c r="E496" t="inlineStr">
        <is>
          <t>Truth &amp; Hair</t>
        </is>
      </c>
      <c r="F496" s="17" t="n">
        <v>46063</v>
      </c>
      <c r="G496" t="inlineStr">
        <is>
          <t>no source names the stage</t>
        </is>
      </c>
    </row>
    <row r="497">
      <c r="A497" t="inlineStr">
        <is>
          <t>C04</t>
        </is>
      </c>
      <c r="B497" t="inlineStr">
        <is>
          <t>Stage undisclosed</t>
        </is>
      </c>
      <c r="C497" t="inlineStr">
        <is>
          <t>info</t>
        </is>
      </c>
      <c r="D497" t="inlineStr">
        <is>
          <t>R260211-bighaat</t>
        </is>
      </c>
      <c r="E497" t="inlineStr">
        <is>
          <t>BigHaat</t>
        </is>
      </c>
      <c r="F497" s="17" t="n">
        <v>46064</v>
      </c>
      <c r="G497" t="inlineStr">
        <is>
          <t>no source names the stage</t>
        </is>
      </c>
    </row>
    <row r="498">
      <c r="A498" t="inlineStr">
        <is>
          <t>C04</t>
        </is>
      </c>
      <c r="B498" t="inlineStr">
        <is>
          <t>Stage undisclosed</t>
        </is>
      </c>
      <c r="C498" t="inlineStr">
        <is>
          <t>info</t>
        </is>
      </c>
      <c r="D498" t="inlineStr">
        <is>
          <t>R260211-timbuckdo</t>
        </is>
      </c>
      <c r="E498" t="inlineStr">
        <is>
          <t>TimBuckDo</t>
        </is>
      </c>
      <c r="F498" s="17" t="n">
        <v>46064</v>
      </c>
      <c r="G498" t="inlineStr">
        <is>
          <t>no source names the stage</t>
        </is>
      </c>
    </row>
    <row r="499">
      <c r="A499" t="inlineStr">
        <is>
          <t>C04</t>
        </is>
      </c>
      <c r="B499" t="inlineStr">
        <is>
          <t>Stage undisclosed</t>
        </is>
      </c>
      <c r="C499" t="inlineStr">
        <is>
          <t>info</t>
        </is>
      </c>
      <c r="D499" t="inlineStr">
        <is>
          <t>R260212-heliware</t>
        </is>
      </c>
      <c r="E499" t="inlineStr">
        <is>
          <t>Heliware</t>
        </is>
      </c>
      <c r="F499" s="17" t="n">
        <v>46065</v>
      </c>
      <c r="G499" t="inlineStr">
        <is>
          <t>no source names the stage</t>
        </is>
      </c>
    </row>
    <row r="500">
      <c r="A500" t="inlineStr">
        <is>
          <t>C04</t>
        </is>
      </c>
      <c r="B500" t="inlineStr">
        <is>
          <t>Stage undisclosed</t>
        </is>
      </c>
      <c r="C500" t="inlineStr">
        <is>
          <t>info</t>
        </is>
      </c>
      <c r="D500" t="inlineStr">
        <is>
          <t>R260213-everbrands</t>
        </is>
      </c>
      <c r="E500" t="inlineStr">
        <is>
          <t>EverBrands</t>
        </is>
      </c>
      <c r="F500" s="17" t="n">
        <v>46066</v>
      </c>
      <c r="G500" t="inlineStr">
        <is>
          <t>no source names the stage</t>
        </is>
      </c>
    </row>
    <row r="501">
      <c r="A501" t="inlineStr">
        <is>
          <t>C04</t>
        </is>
      </c>
      <c r="B501" t="inlineStr">
        <is>
          <t>Stage undisclosed</t>
        </is>
      </c>
      <c r="C501" t="inlineStr">
        <is>
          <t>info</t>
        </is>
      </c>
      <c r="D501" t="inlineStr">
        <is>
          <t>R260216-neysa</t>
        </is>
      </c>
      <c r="E501" t="inlineStr">
        <is>
          <t>Neysa</t>
        </is>
      </c>
      <c r="F501" s="17" t="n">
        <v>46069</v>
      </c>
      <c r="G501" t="inlineStr">
        <is>
          <t>no source names the stage</t>
        </is>
      </c>
    </row>
    <row r="502">
      <c r="A502" t="inlineStr">
        <is>
          <t>C04</t>
        </is>
      </c>
      <c r="B502" t="inlineStr">
        <is>
          <t>Stage undisclosed</t>
        </is>
      </c>
      <c r="C502" t="inlineStr">
        <is>
          <t>info</t>
        </is>
      </c>
      <c r="D502" t="inlineStr">
        <is>
          <t>R260217-tonetag</t>
        </is>
      </c>
      <c r="E502" t="inlineStr">
        <is>
          <t>ToneTag</t>
        </is>
      </c>
      <c r="F502" s="17" t="n">
        <v>46070</v>
      </c>
      <c r="G502" t="inlineStr">
        <is>
          <t>no source names the stage</t>
        </is>
      </c>
    </row>
    <row r="503">
      <c r="A503" t="inlineStr">
        <is>
          <t>C04</t>
        </is>
      </c>
      <c r="B503" t="inlineStr">
        <is>
          <t>Stage undisclosed</t>
        </is>
      </c>
      <c r="C503" t="inlineStr">
        <is>
          <t>info</t>
        </is>
      </c>
      <c r="D503" t="inlineStr">
        <is>
          <t>R260218-artociti</t>
        </is>
      </c>
      <c r="E503" t="inlineStr">
        <is>
          <t>Artociti</t>
        </is>
      </c>
      <c r="F503" s="17" t="n">
        <v>46071</v>
      </c>
      <c r="G503" t="inlineStr">
        <is>
          <t>no source names the stage</t>
        </is>
      </c>
    </row>
    <row r="504">
      <c r="A504" t="inlineStr">
        <is>
          <t>C04</t>
        </is>
      </c>
      <c r="B504" t="inlineStr">
        <is>
          <t>Stage undisclosed</t>
        </is>
      </c>
      <c r="C504" t="inlineStr">
        <is>
          <t>info</t>
        </is>
      </c>
      <c r="D504" t="inlineStr">
        <is>
          <t>R260218-statiq</t>
        </is>
      </c>
      <c r="E504" t="inlineStr">
        <is>
          <t>Statiq</t>
        </is>
      </c>
      <c r="F504" s="17" t="n">
        <v>46071</v>
      </c>
      <c r="G504" t="inlineStr">
        <is>
          <t>no source names the stage</t>
        </is>
      </c>
    </row>
    <row r="505">
      <c r="A505" t="inlineStr">
        <is>
          <t>C04</t>
        </is>
      </c>
      <c r="B505" t="inlineStr">
        <is>
          <t>Stage undisclosed</t>
        </is>
      </c>
      <c r="C505" t="inlineStr">
        <is>
          <t>info</t>
        </is>
      </c>
      <c r="D505" t="inlineStr">
        <is>
          <t>R260220-myelinfoundry</t>
        </is>
      </c>
      <c r="E505" t="inlineStr">
        <is>
          <t>Myelin Foundry</t>
        </is>
      </c>
      <c r="F505" s="17" t="n">
        <v>46073</v>
      </c>
      <c r="G505" t="inlineStr">
        <is>
          <t>no source names the stage</t>
        </is>
      </c>
    </row>
    <row r="506">
      <c r="A506" t="inlineStr">
        <is>
          <t>C04</t>
        </is>
      </c>
      <c r="B506" t="inlineStr">
        <is>
          <t>Stage undisclosed</t>
        </is>
      </c>
      <c r="C506" t="inlineStr">
        <is>
          <t>info</t>
        </is>
      </c>
      <c r="D506" t="inlineStr">
        <is>
          <t>R260223-mojro</t>
        </is>
      </c>
      <c r="E506" t="inlineStr">
        <is>
          <t>Mojro</t>
        </is>
      </c>
      <c r="F506" s="17" t="n">
        <v>46076</v>
      </c>
      <c r="G506" t="inlineStr">
        <is>
          <t>no source names the stage</t>
        </is>
      </c>
    </row>
    <row r="507">
      <c r="A507" t="inlineStr">
        <is>
          <t>C04</t>
        </is>
      </c>
      <c r="B507" t="inlineStr">
        <is>
          <t>Stage undisclosed</t>
        </is>
      </c>
      <c r="C507" t="inlineStr">
        <is>
          <t>info</t>
        </is>
      </c>
      <c r="D507" t="inlineStr">
        <is>
          <t>R260225-s2dev</t>
        </is>
      </c>
      <c r="E507" t="inlineStr">
        <is>
          <t>S2.dev</t>
        </is>
      </c>
      <c r="F507" s="17" t="n">
        <v>46078</v>
      </c>
      <c r="G507" t="inlineStr">
        <is>
          <t>no source names the stage</t>
        </is>
      </c>
    </row>
    <row r="508">
      <c r="A508" t="inlineStr">
        <is>
          <t>C04</t>
        </is>
      </c>
      <c r="B508" t="inlineStr">
        <is>
          <t>Stage undisclosed</t>
        </is>
      </c>
      <c r="C508" t="inlineStr">
        <is>
          <t>info</t>
        </is>
      </c>
      <c r="D508" t="inlineStr">
        <is>
          <t>R260226-gushwork</t>
        </is>
      </c>
      <c r="E508" t="inlineStr">
        <is>
          <t>Gushwork</t>
        </is>
      </c>
      <c r="F508" s="17" t="n">
        <v>46079</v>
      </c>
      <c r="G508" t="inlineStr">
        <is>
          <t>no source names the stage</t>
        </is>
      </c>
    </row>
    <row r="509">
      <c r="A509" t="inlineStr">
        <is>
          <t>C04</t>
        </is>
      </c>
      <c r="B509" t="inlineStr">
        <is>
          <t>Stage undisclosed</t>
        </is>
      </c>
      <c r="C509" t="inlineStr">
        <is>
          <t>info</t>
        </is>
      </c>
      <c r="D509" t="inlineStr">
        <is>
          <t>R260227-constelli</t>
        </is>
      </c>
      <c r="E509" t="inlineStr">
        <is>
          <t>Constelli</t>
        </is>
      </c>
      <c r="F509" s="17" t="n">
        <v>46080</v>
      </c>
      <c r="G509" t="inlineStr">
        <is>
          <t>no source names the stage</t>
        </is>
      </c>
    </row>
    <row r="510">
      <c r="A510" t="inlineStr">
        <is>
          <t>C04</t>
        </is>
      </c>
      <c r="B510" t="inlineStr">
        <is>
          <t>Stage undisclosed</t>
        </is>
      </c>
      <c r="C510" t="inlineStr">
        <is>
          <t>info</t>
        </is>
      </c>
      <c r="D510" t="inlineStr">
        <is>
          <t>R260227-origa</t>
        </is>
      </c>
      <c r="E510" t="inlineStr">
        <is>
          <t>Origa</t>
        </is>
      </c>
      <c r="F510" s="17" t="n">
        <v>46080</v>
      </c>
      <c r="G510" t="inlineStr">
        <is>
          <t>no source names the stage</t>
        </is>
      </c>
    </row>
    <row r="511">
      <c r="A511" t="inlineStr">
        <is>
          <t>C04</t>
        </is>
      </c>
      <c r="B511" t="inlineStr">
        <is>
          <t>Stage undisclosed</t>
        </is>
      </c>
      <c r="C511" t="inlineStr">
        <is>
          <t>info</t>
        </is>
      </c>
      <c r="D511" t="inlineStr">
        <is>
          <t>R260228-innoviti</t>
        </is>
      </c>
      <c r="E511" t="inlineStr">
        <is>
          <t>Innoviti</t>
        </is>
      </c>
      <c r="F511" s="17" t="n">
        <v>46081</v>
      </c>
      <c r="G511" t="inlineStr">
        <is>
          <t>no source names the stage</t>
        </is>
      </c>
    </row>
    <row r="512">
      <c r="A512" t="inlineStr">
        <is>
          <t>C04</t>
        </is>
      </c>
      <c r="B512" t="inlineStr">
        <is>
          <t>Stage undisclosed</t>
        </is>
      </c>
      <c r="C512" t="inlineStr">
        <is>
          <t>info</t>
        </is>
      </c>
      <c r="D512" t="inlineStr">
        <is>
          <t>R260304-moneyboxxfinan</t>
        </is>
      </c>
      <c r="E512" t="inlineStr">
        <is>
          <t>Moneyboxx Finance</t>
        </is>
      </c>
      <c r="F512" s="17" t="n">
        <v>46085</v>
      </c>
      <c r="G512" t="inlineStr">
        <is>
          <t>no source names the stage</t>
        </is>
      </c>
    </row>
    <row r="513">
      <c r="A513" t="inlineStr">
        <is>
          <t>C04</t>
        </is>
      </c>
      <c r="B513" t="inlineStr">
        <is>
          <t>Stage undisclosed</t>
        </is>
      </c>
      <c r="C513" t="inlineStr">
        <is>
          <t>info</t>
        </is>
      </c>
      <c r="D513" t="inlineStr">
        <is>
          <t>R260305-peping</t>
        </is>
      </c>
      <c r="E513" t="inlineStr">
        <is>
          <t>Peping</t>
        </is>
      </c>
      <c r="F513" s="17" t="n">
        <v>46086</v>
      </c>
      <c r="G513" t="inlineStr">
        <is>
          <t>no source names the stage</t>
        </is>
      </c>
    </row>
    <row r="514">
      <c r="A514" t="inlineStr">
        <is>
          <t>C04</t>
        </is>
      </c>
      <c r="B514" t="inlineStr">
        <is>
          <t>Stage undisclosed</t>
        </is>
      </c>
      <c r="C514" t="inlineStr">
        <is>
          <t>info</t>
        </is>
      </c>
      <c r="D514" t="inlineStr">
        <is>
          <t>R260309-latentai</t>
        </is>
      </c>
      <c r="E514" t="inlineStr">
        <is>
          <t>Latent AI</t>
        </is>
      </c>
      <c r="F514" s="17" t="n">
        <v>46090</v>
      </c>
      <c r="G514" t="inlineStr">
        <is>
          <t>no source names the stage</t>
        </is>
      </c>
    </row>
    <row r="515">
      <c r="A515" t="inlineStr">
        <is>
          <t>C04</t>
        </is>
      </c>
      <c r="B515" t="inlineStr">
        <is>
          <t>Stage undisclosed</t>
        </is>
      </c>
      <c r="C515" t="inlineStr">
        <is>
          <t>info</t>
        </is>
      </c>
      <c r="D515" t="inlineStr">
        <is>
          <t>R260309-strideone</t>
        </is>
      </c>
      <c r="E515" t="inlineStr">
        <is>
          <t>StrideOne</t>
        </is>
      </c>
      <c r="F515" s="17" t="n">
        <v>46090</v>
      </c>
      <c r="G515" t="inlineStr">
        <is>
          <t>no source names the stage</t>
        </is>
      </c>
    </row>
    <row r="516">
      <c r="A516" t="inlineStr">
        <is>
          <t>C04</t>
        </is>
      </c>
      <c r="B516" t="inlineStr">
        <is>
          <t>Stage undisclosed</t>
        </is>
      </c>
      <c r="C516" t="inlineStr">
        <is>
          <t>info</t>
        </is>
      </c>
      <c r="D516" t="inlineStr">
        <is>
          <t>R260312-mosaicwellness</t>
        </is>
      </c>
      <c r="E516" t="inlineStr">
        <is>
          <t>Mosiac Wellness</t>
        </is>
      </c>
      <c r="F516" s="17" t="n">
        <v>46091</v>
      </c>
      <c r="G516" t="inlineStr">
        <is>
          <t>no source names the stage</t>
        </is>
      </c>
    </row>
    <row r="517">
      <c r="A517" t="inlineStr">
        <is>
          <t>C04</t>
        </is>
      </c>
      <c r="B517" t="inlineStr">
        <is>
          <t>Stage undisclosed</t>
        </is>
      </c>
      <c r="C517" t="inlineStr">
        <is>
          <t>info</t>
        </is>
      </c>
      <c r="D517" t="inlineStr">
        <is>
          <t>R260311-adititoys</t>
        </is>
      </c>
      <c r="E517" t="inlineStr">
        <is>
          <t>Aditi Toys</t>
        </is>
      </c>
      <c r="F517" s="17" t="n">
        <v>46092</v>
      </c>
      <c r="G517" t="inlineStr">
        <is>
          <t>no source names the stage</t>
        </is>
      </c>
    </row>
    <row r="518">
      <c r="A518" t="inlineStr">
        <is>
          <t>C04</t>
        </is>
      </c>
      <c r="B518" t="inlineStr">
        <is>
          <t>Stage undisclosed</t>
        </is>
      </c>
      <c r="C518" t="inlineStr">
        <is>
          <t>info</t>
        </is>
      </c>
      <c r="D518" t="inlineStr">
        <is>
          <t>R260311-bobabhai</t>
        </is>
      </c>
      <c r="E518" t="inlineStr">
        <is>
          <t>Boba Bhai</t>
        </is>
      </c>
      <c r="F518" s="17" t="n">
        <v>46092</v>
      </c>
      <c r="G518" t="inlineStr">
        <is>
          <t>no source names the stage</t>
        </is>
      </c>
    </row>
    <row r="519">
      <c r="A519" t="inlineStr">
        <is>
          <t>C04</t>
        </is>
      </c>
      <c r="B519" t="inlineStr">
        <is>
          <t>Stage undisclosed</t>
        </is>
      </c>
      <c r="C519" t="inlineStr">
        <is>
          <t>info</t>
        </is>
      </c>
      <c r="D519" t="inlineStr">
        <is>
          <t>R260311-drinkprime</t>
        </is>
      </c>
      <c r="E519" t="inlineStr">
        <is>
          <t>DrinkPrime</t>
        </is>
      </c>
      <c r="F519" s="17" t="n">
        <v>46092</v>
      </c>
      <c r="G519" t="inlineStr">
        <is>
          <t>no source names the stage</t>
        </is>
      </c>
    </row>
    <row r="520">
      <c r="A520" t="inlineStr">
        <is>
          <t>C04</t>
        </is>
      </c>
      <c r="B520" t="inlineStr">
        <is>
          <t>Stage undisclosed</t>
        </is>
      </c>
      <c r="C520" t="inlineStr">
        <is>
          <t>info</t>
        </is>
      </c>
      <c r="D520" t="inlineStr">
        <is>
          <t>R260311-upandrun</t>
        </is>
      </c>
      <c r="E520" t="inlineStr">
        <is>
          <t>UP&amp;RUN</t>
        </is>
      </c>
      <c r="F520" s="17" t="n">
        <v>46092</v>
      </c>
      <c r="G520" t="inlineStr">
        <is>
          <t>no source names the stage</t>
        </is>
      </c>
    </row>
    <row r="521">
      <c r="A521" t="inlineStr">
        <is>
          <t>C04</t>
        </is>
      </c>
      <c r="B521" t="inlineStr">
        <is>
          <t>Stage undisclosed</t>
        </is>
      </c>
      <c r="C521" t="inlineStr">
        <is>
          <t>info</t>
        </is>
      </c>
      <c r="D521" t="inlineStr">
        <is>
          <t>R260313-waycool</t>
        </is>
      </c>
      <c r="E521" t="inlineStr">
        <is>
          <t>Waycool</t>
        </is>
      </c>
      <c r="F521" s="17" t="n">
        <v>46094</v>
      </c>
      <c r="G521" t="inlineStr">
        <is>
          <t>no source names the stage</t>
        </is>
      </c>
    </row>
    <row r="522">
      <c r="A522" t="inlineStr">
        <is>
          <t>C04</t>
        </is>
      </c>
      <c r="B522" t="inlineStr">
        <is>
          <t>Stage undisclosed</t>
        </is>
      </c>
      <c r="C522" t="inlineStr">
        <is>
          <t>info</t>
        </is>
      </c>
      <c r="D522" t="inlineStr">
        <is>
          <t>R260315-officebanao</t>
        </is>
      </c>
      <c r="E522" t="inlineStr">
        <is>
          <t>OfficeBanao</t>
        </is>
      </c>
      <c r="F522" s="17" t="n">
        <v>46096</v>
      </c>
      <c r="G522" t="inlineStr">
        <is>
          <t>no source names the stage</t>
        </is>
      </c>
    </row>
    <row r="523">
      <c r="A523" t="inlineStr">
        <is>
          <t>C04</t>
        </is>
      </c>
      <c r="B523" t="inlineStr">
        <is>
          <t>Stage undisclosed</t>
        </is>
      </c>
      <c r="C523" t="inlineStr">
        <is>
          <t>info</t>
        </is>
      </c>
      <c r="D523" t="inlineStr">
        <is>
          <t>R260316-grapevine</t>
        </is>
      </c>
      <c r="E523" t="inlineStr">
        <is>
          <t>Grapevine</t>
        </is>
      </c>
      <c r="F523" s="17" t="n">
        <v>46097</v>
      </c>
      <c r="G523" t="inlineStr">
        <is>
          <t>no source names the stage</t>
        </is>
      </c>
    </row>
    <row r="524">
      <c r="A524" t="inlineStr">
        <is>
          <t>C04</t>
        </is>
      </c>
      <c r="B524" t="inlineStr">
        <is>
          <t>Stage undisclosed</t>
        </is>
      </c>
      <c r="C524" t="inlineStr">
        <is>
          <t>info</t>
        </is>
      </c>
      <c r="D524" t="inlineStr">
        <is>
          <t>R260317-bamboobox</t>
        </is>
      </c>
      <c r="E524" t="inlineStr">
        <is>
          <t>BambooBox</t>
        </is>
      </c>
      <c r="F524" s="17" t="n">
        <v>46098</v>
      </c>
      <c r="G524" t="inlineStr">
        <is>
          <t>no source names the stage</t>
        </is>
      </c>
    </row>
    <row r="525">
      <c r="A525" t="inlineStr">
        <is>
          <t>C04</t>
        </is>
      </c>
      <c r="B525" t="inlineStr">
        <is>
          <t>Stage undisclosed</t>
        </is>
      </c>
      <c r="C525" t="inlineStr">
        <is>
          <t>info</t>
        </is>
      </c>
      <c r="D525" t="inlineStr">
        <is>
          <t>R260317-canvaloop</t>
        </is>
      </c>
      <c r="E525" t="inlineStr">
        <is>
          <t>Canvaloop</t>
        </is>
      </c>
      <c r="F525" s="17" t="n">
        <v>46098</v>
      </c>
      <c r="G525" t="inlineStr">
        <is>
          <t>no source names the stage</t>
        </is>
      </c>
    </row>
    <row r="526">
      <c r="A526" t="inlineStr">
        <is>
          <t>C04</t>
        </is>
      </c>
      <c r="B526" t="inlineStr">
        <is>
          <t>Stage undisclosed</t>
        </is>
      </c>
      <c r="C526" t="inlineStr">
        <is>
          <t>info</t>
        </is>
      </c>
      <c r="D526" t="inlineStr">
        <is>
          <t>R260318-cometchat</t>
        </is>
      </c>
      <c r="E526" t="inlineStr">
        <is>
          <t>CometChat</t>
        </is>
      </c>
      <c r="F526" s="17" t="n">
        <v>46099</v>
      </c>
      <c r="G526" t="inlineStr">
        <is>
          <t>no source names the stage</t>
        </is>
      </c>
    </row>
    <row r="527">
      <c r="A527" t="inlineStr">
        <is>
          <t>C04</t>
        </is>
      </c>
      <c r="B527" t="inlineStr">
        <is>
          <t>Stage undisclosed</t>
        </is>
      </c>
      <c r="C527" t="inlineStr">
        <is>
          <t>info</t>
        </is>
      </c>
      <c r="D527" t="inlineStr">
        <is>
          <t>R260318-weaverservices</t>
        </is>
      </c>
      <c r="E527" t="inlineStr">
        <is>
          <t>Weaver Services</t>
        </is>
      </c>
      <c r="F527" s="17" t="n">
        <v>46099</v>
      </c>
      <c r="G527" t="inlineStr">
        <is>
          <t>no source names the stage</t>
        </is>
      </c>
    </row>
    <row r="528">
      <c r="A528" t="inlineStr">
        <is>
          <t>C04</t>
        </is>
      </c>
      <c r="B528" t="inlineStr">
        <is>
          <t>Stage undisclosed</t>
        </is>
      </c>
      <c r="C528" t="inlineStr">
        <is>
          <t>info</t>
        </is>
      </c>
      <c r="D528" t="inlineStr">
        <is>
          <t>R260323-cultfit</t>
        </is>
      </c>
      <c r="E528" t="inlineStr">
        <is>
          <t>Cultfit</t>
        </is>
      </c>
      <c r="F528" s="17" t="n">
        <v>46104</v>
      </c>
      <c r="G528" t="inlineStr">
        <is>
          <t>no source names the stage</t>
        </is>
      </c>
    </row>
    <row r="529">
      <c r="A529" t="inlineStr">
        <is>
          <t>C04</t>
        </is>
      </c>
      <c r="B529" t="inlineStr">
        <is>
          <t>Stage undisclosed</t>
        </is>
      </c>
      <c r="C529" t="inlineStr">
        <is>
          <t>info</t>
        </is>
      </c>
      <c r="D529" t="inlineStr">
        <is>
          <t>R260324-pranos</t>
        </is>
      </c>
      <c r="E529" t="inlineStr">
        <is>
          <t>Pranos</t>
        </is>
      </c>
      <c r="F529" s="17" t="n">
        <v>46105</v>
      </c>
      <c r="G529" t="inlineStr">
        <is>
          <t>no source names the stage</t>
        </is>
      </c>
    </row>
    <row r="530">
      <c r="A530" t="inlineStr">
        <is>
          <t>C04</t>
        </is>
      </c>
      <c r="B530" t="inlineStr">
        <is>
          <t>Stage undisclosed</t>
        </is>
      </c>
      <c r="C530" t="inlineStr">
        <is>
          <t>info</t>
        </is>
      </c>
      <c r="D530" t="inlineStr">
        <is>
          <t>R260325-burmaburma</t>
        </is>
      </c>
      <c r="E530" t="inlineStr">
        <is>
          <t>Burma Burma</t>
        </is>
      </c>
      <c r="F530" s="17" t="n">
        <v>46106</v>
      </c>
      <c r="G530" t="inlineStr">
        <is>
          <t>no source names the stage</t>
        </is>
      </c>
    </row>
    <row r="531">
      <c r="A531" t="inlineStr">
        <is>
          <t>C04</t>
        </is>
      </c>
      <c r="B531" t="inlineStr">
        <is>
          <t>Stage undisclosed</t>
        </is>
      </c>
      <c r="C531" t="inlineStr">
        <is>
          <t>info</t>
        </is>
      </c>
      <c r="D531" t="inlineStr">
        <is>
          <t>R260325-noveltywealth</t>
        </is>
      </c>
      <c r="E531" t="inlineStr">
        <is>
          <t>Novelty Wealth</t>
        </is>
      </c>
      <c r="F531" s="17" t="n">
        <v>46106</v>
      </c>
      <c r="G531" t="inlineStr">
        <is>
          <t>no source names the stage</t>
        </is>
      </c>
    </row>
    <row r="532">
      <c r="A532" t="inlineStr">
        <is>
          <t>C04</t>
        </is>
      </c>
      <c r="B532" t="inlineStr">
        <is>
          <t>Stage undisclosed</t>
        </is>
      </c>
      <c r="C532" t="inlineStr">
        <is>
          <t>info</t>
        </is>
      </c>
      <c r="D532" t="inlineStr">
        <is>
          <t>R260325-proxgy</t>
        </is>
      </c>
      <c r="E532" t="inlineStr">
        <is>
          <t>Proxgy</t>
        </is>
      </c>
      <c r="F532" s="17" t="n">
        <v>46106</v>
      </c>
      <c r="G532" t="inlineStr">
        <is>
          <t>no source names the stage</t>
        </is>
      </c>
    </row>
    <row r="533">
      <c r="A533" t="inlineStr">
        <is>
          <t>C04</t>
        </is>
      </c>
      <c r="B533" t="inlineStr">
        <is>
          <t>Stage undisclosed</t>
        </is>
      </c>
      <c r="C533" t="inlineStr">
        <is>
          <t>info</t>
        </is>
      </c>
      <c r="D533" t="inlineStr">
        <is>
          <t>R260330-kuku</t>
        </is>
      </c>
      <c r="E533" t="inlineStr">
        <is>
          <t>Kuku</t>
        </is>
      </c>
      <c r="F533" s="17" t="n">
        <v>46111</v>
      </c>
      <c r="G533" t="inlineStr">
        <is>
          <t>no source names the stage</t>
        </is>
      </c>
    </row>
    <row r="534">
      <c r="A534" t="inlineStr">
        <is>
          <t>C04</t>
        </is>
      </c>
      <c r="B534" t="inlineStr">
        <is>
          <t>Stage undisclosed</t>
        </is>
      </c>
      <c r="C534" t="inlineStr">
        <is>
          <t>info</t>
        </is>
      </c>
      <c r="D534" t="inlineStr">
        <is>
          <t>R260330-sign3</t>
        </is>
      </c>
      <c r="E534" t="inlineStr">
        <is>
          <t>Sign3</t>
        </is>
      </c>
      <c r="F534" s="17" t="n">
        <v>46111</v>
      </c>
      <c r="G534" t="inlineStr">
        <is>
          <t>no source names the stage</t>
        </is>
      </c>
    </row>
    <row r="535">
      <c r="A535" t="inlineStr">
        <is>
          <t>C04</t>
        </is>
      </c>
      <c r="B535" t="inlineStr">
        <is>
          <t>Stage undisclosed</t>
        </is>
      </c>
      <c r="C535" t="inlineStr">
        <is>
          <t>info</t>
        </is>
      </c>
      <c r="D535" t="inlineStr">
        <is>
          <t>R260331-openfx</t>
        </is>
      </c>
      <c r="E535" t="inlineStr">
        <is>
          <t>OpenFX</t>
        </is>
      </c>
      <c r="F535" s="17" t="n">
        <v>46112</v>
      </c>
      <c r="G535" t="inlineStr">
        <is>
          <t>no source names the stage</t>
        </is>
      </c>
    </row>
    <row r="536">
      <c r="A536" t="inlineStr">
        <is>
          <t>C04</t>
        </is>
      </c>
      <c r="B536" t="inlineStr">
        <is>
          <t>Stage undisclosed</t>
        </is>
      </c>
      <c r="C536" t="inlineStr">
        <is>
          <t>info</t>
        </is>
      </c>
      <c r="D536" t="inlineStr">
        <is>
          <t>R260401-cygnienergy</t>
        </is>
      </c>
      <c r="E536" t="inlineStr">
        <is>
          <t>Cygni Energy</t>
        </is>
      </c>
      <c r="F536" s="17" t="n">
        <v>46113</v>
      </c>
      <c r="G536" t="inlineStr">
        <is>
          <t>no source names the stage</t>
        </is>
      </c>
    </row>
    <row r="537">
      <c r="A537" t="inlineStr">
        <is>
          <t>C04</t>
        </is>
      </c>
      <c r="B537" t="inlineStr">
        <is>
          <t>Stage undisclosed</t>
        </is>
      </c>
      <c r="C537" t="inlineStr">
        <is>
          <t>info</t>
        </is>
      </c>
      <c r="D537" t="inlineStr">
        <is>
          <t>R260401-intercosmos</t>
        </is>
      </c>
      <c r="E537" t="inlineStr">
        <is>
          <t>InterCosmos</t>
        </is>
      </c>
      <c r="F537" s="17" t="n">
        <v>46113</v>
      </c>
      <c r="G537" t="inlineStr">
        <is>
          <t>no source names the stage</t>
        </is>
      </c>
    </row>
    <row r="538">
      <c r="A538" t="inlineStr">
        <is>
          <t>C04</t>
        </is>
      </c>
      <c r="B538" t="inlineStr">
        <is>
          <t>Stage undisclosed</t>
        </is>
      </c>
      <c r="C538" t="inlineStr">
        <is>
          <t>info</t>
        </is>
      </c>
      <c r="D538" t="inlineStr">
        <is>
          <t>R260401-xovianaerospac</t>
        </is>
      </c>
      <c r="E538" t="inlineStr">
        <is>
          <t>Xovian Aerospace</t>
        </is>
      </c>
      <c r="F538" s="17" t="n">
        <v>46113</v>
      </c>
      <c r="G538" t="inlineStr">
        <is>
          <t>no source names the stage</t>
        </is>
      </c>
    </row>
    <row r="539">
      <c r="A539" t="inlineStr">
        <is>
          <t>C04</t>
        </is>
      </c>
      <c r="B539" t="inlineStr">
        <is>
          <t>Stage undisclosed</t>
        </is>
      </c>
      <c r="C539" t="inlineStr">
        <is>
          <t>info</t>
        </is>
      </c>
      <c r="D539" t="inlineStr">
        <is>
          <t>R260403-noon</t>
        </is>
      </c>
      <c r="E539" t="inlineStr">
        <is>
          <t>Noon</t>
        </is>
      </c>
      <c r="F539" s="17" t="n">
        <v>46115</v>
      </c>
      <c r="G539" t="inlineStr">
        <is>
          <t>no source names the stage</t>
        </is>
      </c>
    </row>
    <row r="540">
      <c r="A540" t="inlineStr">
        <is>
          <t>C04</t>
        </is>
      </c>
      <c r="B540" t="inlineStr">
        <is>
          <t>Stage undisclosed</t>
        </is>
      </c>
      <c r="C540" t="inlineStr">
        <is>
          <t>info</t>
        </is>
      </c>
      <c r="D540" t="inlineStr">
        <is>
          <t>R260403-uppercase</t>
        </is>
      </c>
      <c r="E540" t="inlineStr">
        <is>
          <t>Uppercase</t>
        </is>
      </c>
      <c r="F540" s="17" t="n">
        <v>46115</v>
      </c>
      <c r="G540" t="inlineStr">
        <is>
          <t>no source names the stage</t>
        </is>
      </c>
    </row>
    <row r="541">
      <c r="A541" t="inlineStr">
        <is>
          <t>C04</t>
        </is>
      </c>
      <c r="B541" t="inlineStr">
        <is>
          <t>Stage undisclosed</t>
        </is>
      </c>
      <c r="C541" t="inlineStr">
        <is>
          <t>info</t>
        </is>
      </c>
      <c r="D541" t="inlineStr">
        <is>
          <t>R260406-damgoodfish</t>
        </is>
      </c>
      <c r="E541" t="inlineStr">
        <is>
          <t>Dam Good Fish</t>
        </is>
      </c>
      <c r="F541" s="17" t="n">
        <v>46118</v>
      </c>
      <c r="G541" t="inlineStr">
        <is>
          <t>no source names the stage</t>
        </is>
      </c>
    </row>
    <row r="542">
      <c r="A542" t="inlineStr">
        <is>
          <t>C04</t>
        </is>
      </c>
      <c r="B542" t="inlineStr">
        <is>
          <t>Stage undisclosed</t>
        </is>
      </c>
      <c r="C542" t="inlineStr">
        <is>
          <t>info</t>
        </is>
      </c>
      <c r="D542" t="inlineStr">
        <is>
          <t>R260406-wingify</t>
        </is>
      </c>
      <c r="E542" t="inlineStr">
        <is>
          <t>Wingify</t>
        </is>
      </c>
      <c r="F542" s="17" t="n">
        <v>46118</v>
      </c>
      <c r="G542" t="inlineStr">
        <is>
          <t>no source names the stage</t>
        </is>
      </c>
    </row>
    <row r="543">
      <c r="A543" t="inlineStr">
        <is>
          <t>C04</t>
        </is>
      </c>
      <c r="B543" t="inlineStr">
        <is>
          <t>Stage undisclosed</t>
        </is>
      </c>
      <c r="C543" t="inlineStr">
        <is>
          <t>info</t>
        </is>
      </c>
      <c r="D543" t="inlineStr">
        <is>
          <t>R260406-zanskartech</t>
        </is>
      </c>
      <c r="E543" t="inlineStr">
        <is>
          <t>Zanskar Tech</t>
        </is>
      </c>
      <c r="F543" s="17" t="n">
        <v>46118</v>
      </c>
      <c r="G543" t="inlineStr">
        <is>
          <t>no source names the stage</t>
        </is>
      </c>
    </row>
    <row r="544">
      <c r="A544" t="inlineStr">
        <is>
          <t>C04</t>
        </is>
      </c>
      <c r="B544" t="inlineStr">
        <is>
          <t>Stage undisclosed</t>
        </is>
      </c>
      <c r="C544" t="inlineStr">
        <is>
          <t>info</t>
        </is>
      </c>
      <c r="D544" t="inlineStr">
        <is>
          <t>R260407-cozyfarms</t>
        </is>
      </c>
      <c r="E544" t="inlineStr">
        <is>
          <t>Cozy Farms</t>
        </is>
      </c>
      <c r="F544" s="17" t="n">
        <v>46119</v>
      </c>
      <c r="G544" t="inlineStr">
        <is>
          <t>no source names the stage</t>
        </is>
      </c>
    </row>
    <row r="545">
      <c r="A545" t="inlineStr">
        <is>
          <t>C04</t>
        </is>
      </c>
      <c r="B545" t="inlineStr">
        <is>
          <t>Stage undisclosed</t>
        </is>
      </c>
      <c r="C545" t="inlineStr">
        <is>
          <t>info</t>
        </is>
      </c>
      <c r="D545" t="inlineStr">
        <is>
          <t>R260407-glaas</t>
        </is>
      </c>
      <c r="E545" t="inlineStr">
        <is>
          <t>GLAAS</t>
        </is>
      </c>
      <c r="F545" s="17" t="n">
        <v>46119</v>
      </c>
      <c r="G545" t="inlineStr">
        <is>
          <t>no source names the stage</t>
        </is>
      </c>
    </row>
    <row r="546">
      <c r="A546" t="inlineStr">
        <is>
          <t>C04</t>
        </is>
      </c>
      <c r="B546" t="inlineStr">
        <is>
          <t>Stage undisclosed</t>
        </is>
      </c>
      <c r="C546" t="inlineStr">
        <is>
          <t>info</t>
        </is>
      </c>
      <c r="D546" t="inlineStr">
        <is>
          <t>R260407-workongrid</t>
        </is>
      </c>
      <c r="E546" t="inlineStr">
        <is>
          <t>WorkOnGrid</t>
        </is>
      </c>
      <c r="F546" s="17" t="n">
        <v>46119</v>
      </c>
      <c r="G546" t="inlineStr">
        <is>
          <t>no source names the stage</t>
        </is>
      </c>
    </row>
    <row r="547">
      <c r="A547" t="inlineStr">
        <is>
          <t>C04</t>
        </is>
      </c>
      <c r="B547" t="inlineStr">
        <is>
          <t>Stage undisclosed</t>
        </is>
      </c>
      <c r="C547" t="inlineStr">
        <is>
          <t>info</t>
        </is>
      </c>
      <c r="D547" t="inlineStr">
        <is>
          <t>R260407-xccelera</t>
        </is>
      </c>
      <c r="E547" t="inlineStr">
        <is>
          <t>Xccelera</t>
        </is>
      </c>
      <c r="F547" s="17" t="n">
        <v>46119</v>
      </c>
      <c r="G547" t="inlineStr">
        <is>
          <t>no source names the stage</t>
        </is>
      </c>
    </row>
    <row r="548">
      <c r="A548" t="inlineStr">
        <is>
          <t>C04</t>
        </is>
      </c>
      <c r="B548" t="inlineStr">
        <is>
          <t>Stage undisclosed</t>
        </is>
      </c>
      <c r="C548" t="inlineStr">
        <is>
          <t>info</t>
        </is>
      </c>
      <c r="D548" t="inlineStr">
        <is>
          <t>R260408-roshai</t>
        </is>
      </c>
      <c r="E548" t="inlineStr">
        <is>
          <t>RoshAi</t>
        </is>
      </c>
      <c r="F548" s="17" t="n">
        <v>46120</v>
      </c>
      <c r="G548" t="inlineStr">
        <is>
          <t>no source names the stage</t>
        </is>
      </c>
    </row>
    <row r="549">
      <c r="A549" t="inlineStr">
        <is>
          <t>C04</t>
        </is>
      </c>
      <c r="B549" t="inlineStr">
        <is>
          <t>Stage undisclosed</t>
        </is>
      </c>
      <c r="C549" t="inlineStr">
        <is>
          <t>info</t>
        </is>
      </c>
      <c r="D549" t="inlineStr">
        <is>
          <t>R260408-tsecondai</t>
        </is>
      </c>
      <c r="E549" t="inlineStr">
        <is>
          <t>Tsecond.ai</t>
        </is>
      </c>
      <c r="F549" s="17" t="n">
        <v>46120</v>
      </c>
      <c r="G549" t="inlineStr">
        <is>
          <t>no source names the stage</t>
        </is>
      </c>
    </row>
    <row r="550">
      <c r="A550" t="inlineStr">
        <is>
          <t>C04</t>
        </is>
      </c>
      <c r="B550" t="inlineStr">
        <is>
          <t>Stage undisclosed</t>
        </is>
      </c>
      <c r="C550" t="inlineStr">
        <is>
          <t>info</t>
        </is>
      </c>
      <c r="D550" t="inlineStr">
        <is>
          <t>R260409-swageazy</t>
        </is>
      </c>
      <c r="E550" t="inlineStr">
        <is>
          <t>Swageazy</t>
        </is>
      </c>
      <c r="F550" s="17" t="n">
        <v>46121</v>
      </c>
      <c r="G550" t="inlineStr">
        <is>
          <t>no source names the stage</t>
        </is>
      </c>
    </row>
    <row r="551">
      <c r="A551" t="inlineStr">
        <is>
          <t>C04</t>
        </is>
      </c>
      <c r="B551" t="inlineStr">
        <is>
          <t>Stage undisclosed</t>
        </is>
      </c>
      <c r="C551" t="inlineStr">
        <is>
          <t>info</t>
        </is>
      </c>
      <c r="D551" t="inlineStr">
        <is>
          <t>R260413-devmilkfoods</t>
        </is>
      </c>
      <c r="E551" t="inlineStr">
        <is>
          <t>Dev Milk Foods</t>
        </is>
      </c>
      <c r="F551" s="17" t="n">
        <v>46125</v>
      </c>
      <c r="G551" t="inlineStr">
        <is>
          <t>no source names the stage</t>
        </is>
      </c>
    </row>
    <row r="552">
      <c r="A552" t="inlineStr">
        <is>
          <t>C04</t>
        </is>
      </c>
      <c r="B552" t="inlineStr">
        <is>
          <t>Stage undisclosed</t>
        </is>
      </c>
      <c r="C552" t="inlineStr">
        <is>
          <t>info</t>
        </is>
      </c>
      <c r="D552" t="inlineStr">
        <is>
          <t>R260413-frubon</t>
        </is>
      </c>
      <c r="E552" t="inlineStr">
        <is>
          <t>FruBon</t>
        </is>
      </c>
      <c r="F552" s="17" t="n">
        <v>46125</v>
      </c>
      <c r="G552" t="inlineStr">
        <is>
          <t>no source names the stage</t>
        </is>
      </c>
    </row>
    <row r="553">
      <c r="A553" t="inlineStr">
        <is>
          <t>C04</t>
        </is>
      </c>
      <c r="B553" t="inlineStr">
        <is>
          <t>Stage undisclosed</t>
        </is>
      </c>
      <c r="C553" t="inlineStr">
        <is>
          <t>info</t>
        </is>
      </c>
      <c r="D553" t="inlineStr">
        <is>
          <t>R260416-kingdomofchess</t>
        </is>
      </c>
      <c r="E553" t="inlineStr">
        <is>
          <t>KingdomOfChess</t>
        </is>
      </c>
      <c r="F553" s="17" t="n">
        <v>46128</v>
      </c>
      <c r="G553" t="inlineStr">
        <is>
          <t>no source names the stage</t>
        </is>
      </c>
    </row>
    <row r="554">
      <c r="A554" t="inlineStr">
        <is>
          <t>C04</t>
        </is>
      </c>
      <c r="B554" t="inlineStr">
        <is>
          <t>Stage undisclosed</t>
        </is>
      </c>
      <c r="C554" t="inlineStr">
        <is>
          <t>info</t>
        </is>
      </c>
      <c r="D554" t="inlineStr">
        <is>
          <t>R260416-polaris</t>
        </is>
      </c>
      <c r="E554" t="inlineStr">
        <is>
          <t>Polaris</t>
        </is>
      </c>
      <c r="F554" s="17" t="n">
        <v>46128</v>
      </c>
      <c r="G554" t="inlineStr">
        <is>
          <t>no source names the stage</t>
        </is>
      </c>
    </row>
    <row r="555">
      <c r="A555" t="inlineStr">
        <is>
          <t>C04</t>
        </is>
      </c>
      <c r="B555" t="inlineStr">
        <is>
          <t>Stage undisclosed</t>
        </is>
      </c>
      <c r="C555" t="inlineStr">
        <is>
          <t>info</t>
        </is>
      </c>
      <c r="D555" t="inlineStr">
        <is>
          <t>R260416-sarlaaviation</t>
        </is>
      </c>
      <c r="E555" t="inlineStr">
        <is>
          <t>Sarla Aviation</t>
        </is>
      </c>
      <c r="F555" s="17" t="n">
        <v>46128</v>
      </c>
      <c r="G555" t="inlineStr">
        <is>
          <t>no source names the stage</t>
        </is>
      </c>
    </row>
    <row r="556">
      <c r="A556" t="inlineStr">
        <is>
          <t>C04</t>
        </is>
      </c>
      <c r="B556" t="inlineStr">
        <is>
          <t>Stage undisclosed</t>
        </is>
      </c>
      <c r="C556" t="inlineStr">
        <is>
          <t>info</t>
        </is>
      </c>
      <c r="D556" t="inlineStr">
        <is>
          <t>R260416-unbound</t>
        </is>
      </c>
      <c r="E556" t="inlineStr">
        <is>
          <t>Unbound</t>
        </is>
      </c>
      <c r="F556" s="17" t="n">
        <v>46128</v>
      </c>
      <c r="G556" t="inlineStr">
        <is>
          <t>no source names the stage</t>
        </is>
      </c>
    </row>
    <row r="557">
      <c r="A557" t="inlineStr">
        <is>
          <t>C04</t>
        </is>
      </c>
      <c r="B557" t="inlineStr">
        <is>
          <t>Stage undisclosed</t>
        </is>
      </c>
      <c r="C557" t="inlineStr">
        <is>
          <t>info</t>
        </is>
      </c>
      <c r="D557" t="inlineStr">
        <is>
          <t>R260418-hocco</t>
        </is>
      </c>
      <c r="E557" t="inlineStr">
        <is>
          <t>HOCCO</t>
        </is>
      </c>
      <c r="F557" s="17" t="n">
        <v>46130</v>
      </c>
      <c r="G557" t="inlineStr">
        <is>
          <t>no source names the stage</t>
        </is>
      </c>
    </row>
    <row r="558">
      <c r="A558" t="inlineStr">
        <is>
          <t>C04</t>
        </is>
      </c>
      <c r="B558" t="inlineStr">
        <is>
          <t>Stage undisclosed</t>
        </is>
      </c>
      <c r="C558" t="inlineStr">
        <is>
          <t>info</t>
        </is>
      </c>
      <c r="D558" t="inlineStr">
        <is>
          <t>R260420-axtenhospitals</t>
        </is>
      </c>
      <c r="E558" t="inlineStr">
        <is>
          <t>Axten Hospitals</t>
        </is>
      </c>
      <c r="F558" s="17" t="n">
        <v>46132</v>
      </c>
      <c r="G558" t="inlineStr">
        <is>
          <t>no source names the stage</t>
        </is>
      </c>
    </row>
    <row r="559">
      <c r="A559" t="inlineStr">
        <is>
          <t>C04</t>
        </is>
      </c>
      <c r="B559" t="inlineStr">
        <is>
          <t>Stage undisclosed</t>
        </is>
      </c>
      <c r="C559" t="inlineStr">
        <is>
          <t>info</t>
        </is>
      </c>
      <c r="D559" t="inlineStr">
        <is>
          <t>R260420-coral</t>
        </is>
      </c>
      <c r="E559" t="inlineStr">
        <is>
          <t>Coral</t>
        </is>
      </c>
      <c r="F559" s="17" t="n">
        <v>46132</v>
      </c>
      <c r="G559" t="inlineStr">
        <is>
          <t>no source names the stage</t>
        </is>
      </c>
    </row>
    <row r="560">
      <c r="A560" t="inlineStr">
        <is>
          <t>C04</t>
        </is>
      </c>
      <c r="B560" t="inlineStr">
        <is>
          <t>Stage undisclosed</t>
        </is>
      </c>
      <c r="C560" t="inlineStr">
        <is>
          <t>info</t>
        </is>
      </c>
      <c r="D560" t="inlineStr">
        <is>
          <t>R260420-khetika</t>
        </is>
      </c>
      <c r="E560" t="inlineStr">
        <is>
          <t>Khetika</t>
        </is>
      </c>
      <c r="F560" s="17" t="n">
        <v>46132</v>
      </c>
      <c r="G560" t="inlineStr">
        <is>
          <t>no source names the stage</t>
        </is>
      </c>
    </row>
    <row r="561">
      <c r="A561" t="inlineStr">
        <is>
          <t>C04</t>
        </is>
      </c>
      <c r="B561" t="inlineStr">
        <is>
          <t>Stage undisclosed</t>
        </is>
      </c>
      <c r="C561" t="inlineStr">
        <is>
          <t>info</t>
        </is>
      </c>
      <c r="D561" t="inlineStr">
        <is>
          <t>R260421-digitalpaani</t>
        </is>
      </c>
      <c r="E561" t="inlineStr">
        <is>
          <t>Digital Paani</t>
        </is>
      </c>
      <c r="F561" s="17" t="n">
        <v>46133</v>
      </c>
      <c r="G561" t="inlineStr">
        <is>
          <t>no source names the stage</t>
        </is>
      </c>
    </row>
    <row r="562">
      <c r="A562" t="inlineStr">
        <is>
          <t>C04</t>
        </is>
      </c>
      <c r="B562" t="inlineStr">
        <is>
          <t>Stage undisclosed</t>
        </is>
      </c>
      <c r="C562" t="inlineStr">
        <is>
          <t>info</t>
        </is>
      </c>
      <c r="D562" t="inlineStr">
        <is>
          <t>R260421-rainmatterinve</t>
        </is>
      </c>
      <c r="E562" t="inlineStr">
        <is>
          <t>Rainmatter invests</t>
        </is>
      </c>
      <c r="F562" s="17" t="n">
        <v>46133</v>
      </c>
      <c r="G562" t="inlineStr">
        <is>
          <t>no source names the stage</t>
        </is>
      </c>
    </row>
    <row r="563">
      <c r="A563" t="inlineStr">
        <is>
          <t>C04</t>
        </is>
      </c>
      <c r="B563" t="inlineStr">
        <is>
          <t>Stage undisclosed</t>
        </is>
      </c>
      <c r="C563" t="inlineStr">
        <is>
          <t>info</t>
        </is>
      </c>
      <c r="D563" t="inlineStr">
        <is>
          <t>R260427-emomee</t>
        </is>
      </c>
      <c r="E563" t="inlineStr">
        <is>
          <t>EMoMee</t>
        </is>
      </c>
      <c r="F563" s="17" t="n">
        <v>46139</v>
      </c>
      <c r="G563" t="inlineStr">
        <is>
          <t>no source names the stage</t>
        </is>
      </c>
    </row>
    <row r="564">
      <c r="A564" t="inlineStr">
        <is>
          <t>C04</t>
        </is>
      </c>
      <c r="B564" t="inlineStr">
        <is>
          <t>Stage undisclosed</t>
        </is>
      </c>
      <c r="C564" t="inlineStr">
        <is>
          <t>info</t>
        </is>
      </c>
      <c r="D564" t="inlineStr">
        <is>
          <t>R260428-kissht</t>
        </is>
      </c>
      <c r="E564" t="inlineStr">
        <is>
          <t>Kissht</t>
        </is>
      </c>
      <c r="F564" s="17" t="n">
        <v>46140</v>
      </c>
      <c r="G564" t="inlineStr">
        <is>
          <t>no source names the stage</t>
        </is>
      </c>
    </row>
    <row r="565">
      <c r="A565" t="inlineStr">
        <is>
          <t>C04</t>
        </is>
      </c>
      <c r="B565" t="inlineStr">
        <is>
          <t>Stage undisclosed</t>
        </is>
      </c>
      <c r="C565" t="inlineStr">
        <is>
          <t>info</t>
        </is>
      </c>
      <c r="D565" t="inlineStr">
        <is>
          <t>R260428-sahamati</t>
        </is>
      </c>
      <c r="E565" t="inlineStr">
        <is>
          <t>Sahamati</t>
        </is>
      </c>
      <c r="F565" s="17" t="n">
        <v>46140</v>
      </c>
      <c r="G565" t="inlineStr">
        <is>
          <t>no source names the stage</t>
        </is>
      </c>
    </row>
    <row r="566">
      <c r="A566" t="inlineStr">
        <is>
          <t>C04</t>
        </is>
      </c>
      <c r="B566" t="inlineStr">
        <is>
          <t>Stage undisclosed</t>
        </is>
      </c>
      <c r="C566" t="inlineStr">
        <is>
          <t>info</t>
        </is>
      </c>
      <c r="D566" t="inlineStr">
        <is>
          <t>R260429-optimizedelect</t>
        </is>
      </c>
      <c r="E566" t="inlineStr">
        <is>
          <t>Optimized Electrotech</t>
        </is>
      </c>
      <c r="F566" s="17" t="n">
        <v>46141</v>
      </c>
      <c r="G566" t="inlineStr">
        <is>
          <t>no source names the stage</t>
        </is>
      </c>
    </row>
    <row r="567">
      <c r="A567" t="inlineStr">
        <is>
          <t>C04</t>
        </is>
      </c>
      <c r="B567" t="inlineStr">
        <is>
          <t>Stage undisclosed</t>
        </is>
      </c>
      <c r="C567" t="inlineStr">
        <is>
          <t>info</t>
        </is>
      </c>
      <c r="D567" t="inlineStr">
        <is>
          <t>R260429-sportvot</t>
        </is>
      </c>
      <c r="E567" t="inlineStr">
        <is>
          <t>SportVot</t>
        </is>
      </c>
      <c r="F567" s="17" t="n">
        <v>46141</v>
      </c>
      <c r="G567" t="inlineStr">
        <is>
          <t>no source names the stage</t>
        </is>
      </c>
    </row>
    <row r="568">
      <c r="A568" t="inlineStr">
        <is>
          <t>C04</t>
        </is>
      </c>
      <c r="B568" t="inlineStr">
        <is>
          <t>Stage undisclosed</t>
        </is>
      </c>
      <c r="C568" t="inlineStr">
        <is>
          <t>info</t>
        </is>
      </c>
      <c r="D568" t="inlineStr">
        <is>
          <t>R260505-jurisphere</t>
        </is>
      </c>
      <c r="E568" t="inlineStr">
        <is>
          <t>Jurisphere</t>
        </is>
      </c>
      <c r="F568" s="17" t="n">
        <v>46147</v>
      </c>
      <c r="G568" t="inlineStr">
        <is>
          <t>no source names the stage</t>
        </is>
      </c>
    </row>
    <row r="569">
      <c r="A569" t="inlineStr">
        <is>
          <t>C04</t>
        </is>
      </c>
      <c r="B569" t="inlineStr">
        <is>
          <t>Stage undisclosed</t>
        </is>
      </c>
      <c r="C569" t="inlineStr">
        <is>
          <t>info</t>
        </is>
      </c>
      <c r="D569" t="inlineStr">
        <is>
          <t>R260506-medvital</t>
        </is>
      </c>
      <c r="E569" t="inlineStr">
        <is>
          <t>MedVital</t>
        </is>
      </c>
      <c r="F569" s="17" t="n">
        <v>46148</v>
      </c>
      <c r="G569" t="inlineStr">
        <is>
          <t>no source names the stage</t>
        </is>
      </c>
    </row>
    <row r="570">
      <c r="A570" t="inlineStr">
        <is>
          <t>C04</t>
        </is>
      </c>
      <c r="B570" t="inlineStr">
        <is>
          <t>Stage undisclosed</t>
        </is>
      </c>
      <c r="C570" t="inlineStr">
        <is>
          <t>info</t>
        </is>
      </c>
      <c r="D570" t="inlineStr">
        <is>
          <t>R260507-skyrootaerospa</t>
        </is>
      </c>
      <c r="E570" t="inlineStr">
        <is>
          <t>Skyroot</t>
        </is>
      </c>
      <c r="F570" s="17" t="n">
        <v>46149</v>
      </c>
      <c r="G570" t="inlineStr">
        <is>
          <t>no source names the stage</t>
        </is>
      </c>
    </row>
    <row r="571">
      <c r="A571" t="inlineStr">
        <is>
          <t>C04</t>
        </is>
      </c>
      <c r="B571" t="inlineStr">
        <is>
          <t>Stage undisclosed</t>
        </is>
      </c>
      <c r="C571" t="inlineStr">
        <is>
          <t>info</t>
        </is>
      </c>
      <c r="D571" t="inlineStr">
        <is>
          <t>R260512-incredcapital</t>
        </is>
      </c>
      <c r="E571" t="inlineStr">
        <is>
          <t>InCred Capital</t>
        </is>
      </c>
      <c r="F571" s="17" t="n">
        <v>46154</v>
      </c>
      <c r="G571" t="inlineStr">
        <is>
          <t>no source names the stage</t>
        </is>
      </c>
    </row>
    <row r="572">
      <c r="A572" t="inlineStr">
        <is>
          <t>C04</t>
        </is>
      </c>
      <c r="B572" t="inlineStr">
        <is>
          <t>Stage undisclosed</t>
        </is>
      </c>
      <c r="C572" t="inlineStr">
        <is>
          <t>info</t>
        </is>
      </c>
      <c r="D572" t="inlineStr">
        <is>
          <t>R260513-ondc</t>
        </is>
      </c>
      <c r="E572" t="inlineStr">
        <is>
          <t>ONDC</t>
        </is>
      </c>
      <c r="F572" s="17" t="n">
        <v>46155</v>
      </c>
      <c r="G572" t="inlineStr">
        <is>
          <t>no source names the stage</t>
        </is>
      </c>
    </row>
    <row r="573">
      <c r="A573" t="inlineStr">
        <is>
          <t>C04</t>
        </is>
      </c>
      <c r="B573" t="inlineStr">
        <is>
          <t>Stage undisclosed</t>
        </is>
      </c>
      <c r="C573" t="inlineStr">
        <is>
          <t>info</t>
        </is>
      </c>
      <c r="D573" t="inlineStr">
        <is>
          <t>R260513-theelefant</t>
        </is>
      </c>
      <c r="E573" t="inlineStr">
        <is>
          <t>The EleFant</t>
        </is>
      </c>
      <c r="F573" s="17" t="n">
        <v>46155</v>
      </c>
      <c r="G573" t="inlineStr">
        <is>
          <t>no source names the stage</t>
        </is>
      </c>
    </row>
    <row r="574">
      <c r="A574" t="inlineStr">
        <is>
          <t>C04</t>
        </is>
      </c>
      <c r="B574" t="inlineStr">
        <is>
          <t>Stage undisclosed</t>
        </is>
      </c>
      <c r="C574" t="inlineStr">
        <is>
          <t>info</t>
        </is>
      </c>
      <c r="D574" t="inlineStr">
        <is>
          <t>R260514-dhruvaspace</t>
        </is>
      </c>
      <c r="E574" t="inlineStr">
        <is>
          <t>Dhruva Space</t>
        </is>
      </c>
      <c r="F574" s="17" t="n">
        <v>46156</v>
      </c>
      <c r="G574" t="inlineStr">
        <is>
          <t>no source names the stage</t>
        </is>
      </c>
    </row>
    <row r="575">
      <c r="A575" t="inlineStr">
        <is>
          <t>C04</t>
        </is>
      </c>
      <c r="B575" t="inlineStr">
        <is>
          <t>Stage undisclosed</t>
        </is>
      </c>
      <c r="C575" t="inlineStr">
        <is>
          <t>info</t>
        </is>
      </c>
      <c r="D575" t="inlineStr">
        <is>
          <t>R260514-thesweetchange</t>
        </is>
      </c>
      <c r="E575" t="inlineStr">
        <is>
          <t>The Sweet Change</t>
        </is>
      </c>
      <c r="F575" s="17" t="n">
        <v>46156</v>
      </c>
      <c r="G575" t="inlineStr">
        <is>
          <t>no source names the stage</t>
        </is>
      </c>
    </row>
    <row r="576">
      <c r="A576" t="inlineStr">
        <is>
          <t>C04</t>
        </is>
      </c>
      <c r="B576" t="inlineStr">
        <is>
          <t>Stage undisclosed</t>
        </is>
      </c>
      <c r="C576" t="inlineStr">
        <is>
          <t>info</t>
        </is>
      </c>
      <c r="D576" t="inlineStr">
        <is>
          <t>R260515-rapido</t>
        </is>
      </c>
      <c r="E576" t="inlineStr">
        <is>
          <t>Rapido</t>
        </is>
      </c>
      <c r="F576" s="17" t="n">
        <v>46157</v>
      </c>
      <c r="G576" t="inlineStr">
        <is>
          <t>no source names the stage</t>
        </is>
      </c>
    </row>
    <row r="577">
      <c r="A577" t="inlineStr">
        <is>
          <t>C04</t>
        </is>
      </c>
      <c r="B577" t="inlineStr">
        <is>
          <t>Stage undisclosed</t>
        </is>
      </c>
      <c r="C577" t="inlineStr">
        <is>
          <t>info</t>
        </is>
      </c>
      <c r="D577" t="inlineStr">
        <is>
          <t>R260518-cellogentherap</t>
        </is>
      </c>
      <c r="E577" t="inlineStr">
        <is>
          <t>Cellogen Therapeutics</t>
        </is>
      </c>
      <c r="F577" s="17" t="n">
        <v>46160</v>
      </c>
      <c r="G577" t="inlineStr">
        <is>
          <t>no source names the stage</t>
        </is>
      </c>
    </row>
    <row r="578">
      <c r="A578" t="inlineStr">
        <is>
          <t>C04</t>
        </is>
      </c>
      <c r="B578" t="inlineStr">
        <is>
          <t>Stage undisclosed</t>
        </is>
      </c>
      <c r="C578" t="inlineStr">
        <is>
          <t>info</t>
        </is>
      </c>
      <c r="D578" t="inlineStr">
        <is>
          <t>R260519-damroo</t>
        </is>
      </c>
      <c r="E578" t="inlineStr">
        <is>
          <t>Damroo</t>
        </is>
      </c>
      <c r="F578" s="17" t="n">
        <v>46161</v>
      </c>
      <c r="G578" t="inlineStr">
        <is>
          <t>no source names the stage</t>
        </is>
      </c>
    </row>
    <row r="579">
      <c r="A579" t="inlineStr">
        <is>
          <t>C04</t>
        </is>
      </c>
      <c r="B579" t="inlineStr">
        <is>
          <t>Stage undisclosed</t>
        </is>
      </c>
      <c r="C579" t="inlineStr">
        <is>
          <t>info</t>
        </is>
      </c>
      <c r="D579" t="inlineStr">
        <is>
          <t>R260520-endureair</t>
        </is>
      </c>
      <c r="E579" t="inlineStr">
        <is>
          <t>EndureAir</t>
        </is>
      </c>
      <c r="F579" s="17" t="n">
        <v>46162</v>
      </c>
      <c r="G579" t="inlineStr">
        <is>
          <t>no source names the stage</t>
        </is>
      </c>
    </row>
    <row r="580">
      <c r="A580" t="inlineStr">
        <is>
          <t>C04</t>
        </is>
      </c>
      <c r="B580" t="inlineStr">
        <is>
          <t>Stage undisclosed</t>
        </is>
      </c>
      <c r="C580" t="inlineStr">
        <is>
          <t>info</t>
        </is>
      </c>
      <c r="D580" t="inlineStr">
        <is>
          <t>R260520-mythik</t>
        </is>
      </c>
      <c r="E580" t="inlineStr">
        <is>
          <t>Mythik</t>
        </is>
      </c>
      <c r="F580" s="17" t="n">
        <v>46162</v>
      </c>
      <c r="G580" t="inlineStr">
        <is>
          <t>no source names the stage</t>
        </is>
      </c>
    </row>
    <row r="581">
      <c r="A581" t="inlineStr">
        <is>
          <t>C04</t>
        </is>
      </c>
      <c r="B581" t="inlineStr">
        <is>
          <t>Stage undisclosed</t>
        </is>
      </c>
      <c r="C581" t="inlineStr">
        <is>
          <t>info</t>
        </is>
      </c>
      <c r="D581" t="inlineStr">
        <is>
          <t>R260522-gabit</t>
        </is>
      </c>
      <c r="E581" t="inlineStr">
        <is>
          <t>Gabit</t>
        </is>
      </c>
      <c r="F581" s="17" t="n">
        <v>46164</v>
      </c>
      <c r="G581" t="inlineStr">
        <is>
          <t>no source names the stage</t>
        </is>
      </c>
    </row>
    <row r="582">
      <c r="A582" t="inlineStr">
        <is>
          <t>C04</t>
        </is>
      </c>
      <c r="B582" t="inlineStr">
        <is>
          <t>Stage undisclosed</t>
        </is>
      </c>
      <c r="C582" t="inlineStr">
        <is>
          <t>info</t>
        </is>
      </c>
      <c r="D582" t="inlineStr">
        <is>
          <t>R260525-giva</t>
        </is>
      </c>
      <c r="E582" t="inlineStr">
        <is>
          <t>GIVA</t>
        </is>
      </c>
      <c r="F582" s="17" t="n">
        <v>46167</v>
      </c>
      <c r="G582" t="inlineStr">
        <is>
          <t>no source names the stage</t>
        </is>
      </c>
    </row>
    <row r="583">
      <c r="A583" t="inlineStr">
        <is>
          <t>C04</t>
        </is>
      </c>
      <c r="B583" t="inlineStr">
        <is>
          <t>Stage undisclosed</t>
        </is>
      </c>
      <c r="C583" t="inlineStr">
        <is>
          <t>info</t>
        </is>
      </c>
      <c r="D583" t="inlineStr">
        <is>
          <t>R260525-strainxbiowork</t>
        </is>
      </c>
      <c r="E583" t="inlineStr">
        <is>
          <t>StrainX Bioworks</t>
        </is>
      </c>
      <c r="F583" s="17" t="n">
        <v>46167</v>
      </c>
      <c r="G583" t="inlineStr">
        <is>
          <t>no source names the stage</t>
        </is>
      </c>
    </row>
    <row r="584">
      <c r="A584" t="inlineStr">
        <is>
          <t>C04</t>
        </is>
      </c>
      <c r="B584" t="inlineStr">
        <is>
          <t>Stage undisclosed</t>
        </is>
      </c>
      <c r="C584" t="inlineStr">
        <is>
          <t>info</t>
        </is>
      </c>
      <c r="D584" t="inlineStr">
        <is>
          <t>R260526-quantumtiger</t>
        </is>
      </c>
      <c r="E584" t="inlineStr">
        <is>
          <t>Quantum Tiger</t>
        </is>
      </c>
      <c r="F584" s="17" t="n">
        <v>46168</v>
      </c>
      <c r="G584" t="inlineStr">
        <is>
          <t>no source names the stage</t>
        </is>
      </c>
    </row>
    <row r="585">
      <c r="A585" t="inlineStr">
        <is>
          <t>C04</t>
        </is>
      </c>
      <c r="B585" t="inlineStr">
        <is>
          <t>Stage undisclosed</t>
        </is>
      </c>
      <c r="C585" t="inlineStr">
        <is>
          <t>info</t>
        </is>
      </c>
      <c r="D585" t="inlineStr">
        <is>
          <t>R260528-eazzy</t>
        </is>
      </c>
      <c r="E585" t="inlineStr">
        <is>
          <t>Eazzy</t>
        </is>
      </c>
      <c r="F585" s="17" t="n">
        <v>46170</v>
      </c>
      <c r="G585" t="inlineStr">
        <is>
          <t>no source names the stage</t>
        </is>
      </c>
    </row>
    <row r="586">
      <c r="A586" t="inlineStr">
        <is>
          <t>C04</t>
        </is>
      </c>
      <c r="B586" t="inlineStr">
        <is>
          <t>Stage undisclosed</t>
        </is>
      </c>
      <c r="C586" t="inlineStr">
        <is>
          <t>info</t>
        </is>
      </c>
      <c r="D586" t="inlineStr">
        <is>
          <t>R260601-intercosmos</t>
        </is>
      </c>
      <c r="E586" t="inlineStr">
        <is>
          <t>InterCosmos</t>
        </is>
      </c>
      <c r="F586" s="17" t="n">
        <v>46174</v>
      </c>
      <c r="G586" t="inlineStr">
        <is>
          <t>no source names the stage</t>
        </is>
      </c>
    </row>
    <row r="587">
      <c r="A587" t="inlineStr">
        <is>
          <t>C04</t>
        </is>
      </c>
      <c r="B587" t="inlineStr">
        <is>
          <t>Stage undisclosed</t>
        </is>
      </c>
      <c r="C587" t="inlineStr">
        <is>
          <t>info</t>
        </is>
      </c>
      <c r="D587" t="inlineStr">
        <is>
          <t>R260602-ondc</t>
        </is>
      </c>
      <c r="E587" t="inlineStr">
        <is>
          <t>ONDC</t>
        </is>
      </c>
      <c r="F587" s="17" t="n">
        <v>46175</v>
      </c>
      <c r="G587" t="inlineStr">
        <is>
          <t>no source names the stage</t>
        </is>
      </c>
    </row>
    <row r="588">
      <c r="A588" t="inlineStr">
        <is>
          <t>C04</t>
        </is>
      </c>
      <c r="B588" t="inlineStr">
        <is>
          <t>Stage undisclosed</t>
        </is>
      </c>
      <c r="C588" t="inlineStr">
        <is>
          <t>info</t>
        </is>
      </c>
      <c r="D588" t="inlineStr">
        <is>
          <t>R260602-rosada</t>
        </is>
      </c>
      <c r="E588" t="inlineStr">
        <is>
          <t>Rosada</t>
        </is>
      </c>
      <c r="F588" s="17" t="n">
        <v>46175</v>
      </c>
      <c r="G588" t="inlineStr">
        <is>
          <t>no source names the stage</t>
        </is>
      </c>
    </row>
    <row r="589">
      <c r="A589" t="inlineStr">
        <is>
          <t>C04</t>
        </is>
      </c>
      <c r="B589" t="inlineStr">
        <is>
          <t>Stage undisclosed</t>
        </is>
      </c>
      <c r="C589" t="inlineStr">
        <is>
          <t>info</t>
        </is>
      </c>
      <c r="D589" t="inlineStr">
        <is>
          <t>R260603-agilitassports</t>
        </is>
      </c>
      <c r="E589" t="inlineStr">
        <is>
          <t>Agilitas Sports</t>
        </is>
      </c>
      <c r="F589" s="17" t="n">
        <v>46176</v>
      </c>
      <c r="G589" t="inlineStr">
        <is>
          <t>no source names the stage</t>
        </is>
      </c>
    </row>
    <row r="590">
      <c r="A590" t="inlineStr">
        <is>
          <t>C04</t>
        </is>
      </c>
      <c r="B590" t="inlineStr">
        <is>
          <t>Stage undisclosed</t>
        </is>
      </c>
      <c r="C590" t="inlineStr">
        <is>
          <t>info</t>
        </is>
      </c>
      <c r="D590" t="inlineStr">
        <is>
          <t>R260610-fold</t>
        </is>
      </c>
      <c r="E590" t="inlineStr">
        <is>
          <t>Fold</t>
        </is>
      </c>
      <c r="F590" s="17" t="n">
        <v>46183</v>
      </c>
      <c r="G590" t="inlineStr">
        <is>
          <t>no source names the stage</t>
        </is>
      </c>
    </row>
    <row r="591">
      <c r="A591" t="inlineStr">
        <is>
          <t>C04</t>
        </is>
      </c>
      <c r="B591" t="inlineStr">
        <is>
          <t>Stage undisclosed</t>
        </is>
      </c>
      <c r="C591" t="inlineStr">
        <is>
          <t>info</t>
        </is>
      </c>
      <c r="D591" t="inlineStr">
        <is>
          <t>R260610-mygate</t>
        </is>
      </c>
      <c r="E591" t="inlineStr">
        <is>
          <t>MyGate</t>
        </is>
      </c>
      <c r="F591" s="17" t="n">
        <v>46183</v>
      </c>
      <c r="G591" t="inlineStr">
        <is>
          <t>no source names the stage</t>
        </is>
      </c>
    </row>
    <row r="592">
      <c r="A592" t="inlineStr">
        <is>
          <t>C04</t>
        </is>
      </c>
      <c r="B592" t="inlineStr">
        <is>
          <t>Stage undisclosed</t>
        </is>
      </c>
      <c r="C592" t="inlineStr">
        <is>
          <t>info</t>
        </is>
      </c>
      <c r="D592" t="inlineStr">
        <is>
          <t>R260611-biodimension</t>
        </is>
      </c>
      <c r="E592" t="inlineStr">
        <is>
          <t>Biodimension</t>
        </is>
      </c>
      <c r="F592" s="17" t="n">
        <v>46184</v>
      </c>
      <c r="G592" t="inlineStr">
        <is>
          <t>no source names the stage</t>
        </is>
      </c>
    </row>
    <row r="593">
      <c r="A593" t="inlineStr">
        <is>
          <t>C04</t>
        </is>
      </c>
      <c r="B593" t="inlineStr">
        <is>
          <t>Stage undisclosed</t>
        </is>
      </c>
      <c r="C593" t="inlineStr">
        <is>
          <t>info</t>
        </is>
      </c>
      <c r="D593" t="inlineStr">
        <is>
          <t>R260612-fittr</t>
        </is>
      </c>
      <c r="E593" t="inlineStr">
        <is>
          <t>Fittr</t>
        </is>
      </c>
      <c r="F593" s="17" t="n">
        <v>46185</v>
      </c>
      <c r="G593" t="inlineStr">
        <is>
          <t>no source names the stage</t>
        </is>
      </c>
    </row>
    <row r="594">
      <c r="A594" t="inlineStr">
        <is>
          <t>C04</t>
        </is>
      </c>
      <c r="B594" t="inlineStr">
        <is>
          <t>Stage undisclosed</t>
        </is>
      </c>
      <c r="C594" t="inlineStr">
        <is>
          <t>info</t>
        </is>
      </c>
      <c r="D594" t="inlineStr">
        <is>
          <t>R260612-trevel</t>
        </is>
      </c>
      <c r="E594" t="inlineStr">
        <is>
          <t>Trevel</t>
        </is>
      </c>
      <c r="F594" s="17" t="n">
        <v>46185</v>
      </c>
      <c r="G594" t="inlineStr">
        <is>
          <t>no source names the stage</t>
        </is>
      </c>
    </row>
    <row r="595">
      <c r="A595" t="inlineStr">
        <is>
          <t>C04</t>
        </is>
      </c>
      <c r="B595" t="inlineStr">
        <is>
          <t>Stage undisclosed</t>
        </is>
      </c>
      <c r="C595" t="inlineStr">
        <is>
          <t>info</t>
        </is>
      </c>
      <c r="D595" t="inlineStr">
        <is>
          <t>R260615-autovrse</t>
        </is>
      </c>
      <c r="E595" t="inlineStr">
        <is>
          <t>AutoVRse</t>
        </is>
      </c>
      <c r="F595" s="17" t="n">
        <v>46188</v>
      </c>
      <c r="G595" t="inlineStr">
        <is>
          <t>no source names the stage</t>
        </is>
      </c>
    </row>
    <row r="596">
      <c r="A596" t="inlineStr">
        <is>
          <t>C04</t>
        </is>
      </c>
      <c r="B596" t="inlineStr">
        <is>
          <t>Stage undisclosed</t>
        </is>
      </c>
      <c r="C596" t="inlineStr">
        <is>
          <t>info</t>
        </is>
      </c>
      <c r="D596" t="inlineStr">
        <is>
          <t>R260617-lissun</t>
        </is>
      </c>
      <c r="E596" t="inlineStr">
        <is>
          <t>Lissun</t>
        </is>
      </c>
      <c r="F596" s="17" t="n">
        <v>46190</v>
      </c>
      <c r="G596" t="inlineStr">
        <is>
          <t>no source names the stage</t>
        </is>
      </c>
    </row>
    <row r="597">
      <c r="A597" t="inlineStr">
        <is>
          <t>C04</t>
        </is>
      </c>
      <c r="B597" t="inlineStr">
        <is>
          <t>Stage undisclosed</t>
        </is>
      </c>
      <c r="C597" t="inlineStr">
        <is>
          <t>info</t>
        </is>
      </c>
      <c r="D597" t="inlineStr">
        <is>
          <t>R260618-vetic</t>
        </is>
      </c>
      <c r="E597" t="inlineStr">
        <is>
          <t>Vetic</t>
        </is>
      </c>
      <c r="F597" s="17" t="n">
        <v>46191</v>
      </c>
      <c r="G597" t="inlineStr">
        <is>
          <t>no source names the stage</t>
        </is>
      </c>
    </row>
    <row r="598">
      <c r="A598" t="inlineStr">
        <is>
          <t>C04</t>
        </is>
      </c>
      <c r="B598" t="inlineStr">
        <is>
          <t>Stage undisclosed</t>
        </is>
      </c>
      <c r="C598" t="inlineStr">
        <is>
          <t>info</t>
        </is>
      </c>
      <c r="D598" t="inlineStr">
        <is>
          <t>R260623-squareyards</t>
        </is>
      </c>
      <c r="E598" t="inlineStr">
        <is>
          <t>Square Yards</t>
        </is>
      </c>
      <c r="F598" s="17" t="n">
        <v>46196</v>
      </c>
      <c r="G598" t="inlineStr">
        <is>
          <t>no source names the stage</t>
        </is>
      </c>
    </row>
    <row r="599">
      <c r="A599" t="inlineStr">
        <is>
          <t>C04</t>
        </is>
      </c>
      <c r="B599" t="inlineStr">
        <is>
          <t>Stage undisclosed</t>
        </is>
      </c>
      <c r="C599" t="inlineStr">
        <is>
          <t>info</t>
        </is>
      </c>
      <c r="D599" t="inlineStr">
        <is>
          <t>R260624-saffronstays</t>
        </is>
      </c>
      <c r="E599" t="inlineStr">
        <is>
          <t>SaffronStays</t>
        </is>
      </c>
      <c r="F599" s="17" t="n">
        <v>46197</v>
      </c>
      <c r="G599" t="inlineStr">
        <is>
          <t>no source names the stage</t>
        </is>
      </c>
    </row>
    <row r="600">
      <c r="A600" t="inlineStr">
        <is>
          <t>C04</t>
        </is>
      </c>
      <c r="B600" t="inlineStr">
        <is>
          <t>Stage undisclosed</t>
        </is>
      </c>
      <c r="C600" t="inlineStr">
        <is>
          <t>info</t>
        </is>
      </c>
      <c r="D600" t="inlineStr">
        <is>
          <t>R260626-finnovatefinan</t>
        </is>
      </c>
      <c r="E600" t="inlineStr">
        <is>
          <t>Finnovate Financial Services</t>
        </is>
      </c>
      <c r="F600" s="17" t="n">
        <v>46199</v>
      </c>
      <c r="G600" t="inlineStr">
        <is>
          <t>no source names the stage</t>
        </is>
      </c>
    </row>
    <row r="601">
      <c r="A601" t="inlineStr">
        <is>
          <t>C04</t>
        </is>
      </c>
      <c r="B601" t="inlineStr">
        <is>
          <t>Stage undisclosed</t>
        </is>
      </c>
      <c r="C601" t="inlineStr">
        <is>
          <t>info</t>
        </is>
      </c>
      <c r="D601" t="inlineStr">
        <is>
          <t>R260629-incuspaze</t>
        </is>
      </c>
      <c r="E601" t="inlineStr">
        <is>
          <t>Incuspaze</t>
        </is>
      </c>
      <c r="F601" s="17" t="n">
        <v>46202</v>
      </c>
      <c r="G601" t="inlineStr">
        <is>
          <t>no source names the stage</t>
        </is>
      </c>
    </row>
    <row r="602">
      <c r="A602" t="inlineStr">
        <is>
          <t>C04</t>
        </is>
      </c>
      <c r="B602" t="inlineStr">
        <is>
          <t>Stage undisclosed</t>
        </is>
      </c>
      <c r="C602" t="inlineStr">
        <is>
          <t>info</t>
        </is>
      </c>
      <c r="D602" t="inlineStr">
        <is>
          <t>R260629-ruskmedia</t>
        </is>
      </c>
      <c r="E602" t="inlineStr">
        <is>
          <t>Rusk Media</t>
        </is>
      </c>
      <c r="F602" s="17" t="n">
        <v>46202</v>
      </c>
      <c r="G602" t="inlineStr">
        <is>
          <t>no source names the stage</t>
        </is>
      </c>
    </row>
    <row r="603">
      <c r="A603" t="inlineStr">
        <is>
          <t>C04</t>
        </is>
      </c>
      <c r="B603" t="inlineStr">
        <is>
          <t>Stage undisclosed</t>
        </is>
      </c>
      <c r="C603" t="inlineStr">
        <is>
          <t>info</t>
        </is>
      </c>
      <c r="D603" t="inlineStr">
        <is>
          <t>R260630-brekfuz</t>
        </is>
      </c>
      <c r="E603" t="inlineStr">
        <is>
          <t>Brekfuz</t>
        </is>
      </c>
      <c r="F603" s="17" t="n">
        <v>46203</v>
      </c>
      <c r="G603" t="inlineStr">
        <is>
          <t>no source names the stage</t>
        </is>
      </c>
    </row>
    <row r="604">
      <c r="A604" t="inlineStr">
        <is>
          <t>C04</t>
        </is>
      </c>
      <c r="B604" t="inlineStr">
        <is>
          <t>Stage undisclosed</t>
        </is>
      </c>
      <c r="C604" t="inlineStr">
        <is>
          <t>info</t>
        </is>
      </c>
      <c r="D604" t="inlineStr">
        <is>
          <t>R260701-limelightdiamo</t>
        </is>
      </c>
      <c r="E604" t="inlineStr">
        <is>
          <t>Limelight Diamonds</t>
        </is>
      </c>
      <c r="F604" s="17" t="n">
        <v>46204</v>
      </c>
      <c r="G604" t="inlineStr">
        <is>
          <t>no source names the stage</t>
        </is>
      </c>
    </row>
    <row r="605">
      <c r="A605" t="inlineStr">
        <is>
          <t>C04</t>
        </is>
      </c>
      <c r="B605" t="inlineStr">
        <is>
          <t>Stage undisclosed</t>
        </is>
      </c>
      <c r="C605" t="inlineStr">
        <is>
          <t>info</t>
        </is>
      </c>
      <c r="D605" t="inlineStr">
        <is>
          <t>R260701-supply6</t>
        </is>
      </c>
      <c r="E605" t="inlineStr">
        <is>
          <t>Supply6</t>
        </is>
      </c>
      <c r="F605" s="17" t="n">
        <v>46204</v>
      </c>
      <c r="G605" t="inlineStr">
        <is>
          <t>no source names the stage</t>
        </is>
      </c>
    </row>
    <row r="606">
      <c r="A606" t="inlineStr">
        <is>
          <t>C04</t>
        </is>
      </c>
      <c r="B606" t="inlineStr">
        <is>
          <t>Stage undisclosed</t>
        </is>
      </c>
      <c r="C606" t="inlineStr">
        <is>
          <t>info</t>
        </is>
      </c>
      <c r="D606" t="inlineStr">
        <is>
          <t>R260702-ninjacart</t>
        </is>
      </c>
      <c r="E606" t="inlineStr">
        <is>
          <t>Ninjacart</t>
        </is>
      </c>
      <c r="F606" s="17" t="n">
        <v>46205</v>
      </c>
      <c r="G606" t="inlineStr">
        <is>
          <t>no source names the stage</t>
        </is>
      </c>
    </row>
    <row r="607">
      <c r="A607" t="inlineStr">
        <is>
          <t>C04</t>
        </is>
      </c>
      <c r="B607" t="inlineStr">
        <is>
          <t>Stage undisclosed</t>
        </is>
      </c>
      <c r="C607" t="inlineStr">
        <is>
          <t>info</t>
        </is>
      </c>
      <c r="D607" t="inlineStr">
        <is>
          <t>R260707-fizzygoblet</t>
        </is>
      </c>
      <c r="E607" t="inlineStr">
        <is>
          <t>Fizzy Goblet</t>
        </is>
      </c>
      <c r="F607" s="17" t="n">
        <v>46210</v>
      </c>
      <c r="G607" t="inlineStr">
        <is>
          <t>no source names the stage</t>
        </is>
      </c>
    </row>
    <row r="608">
      <c r="A608" t="inlineStr">
        <is>
          <t>C04</t>
        </is>
      </c>
      <c r="B608" t="inlineStr">
        <is>
          <t>Stage undisclosed</t>
        </is>
      </c>
      <c r="C608" t="inlineStr">
        <is>
          <t>info</t>
        </is>
      </c>
      <c r="D608" t="inlineStr">
        <is>
          <t>R260707-rocketlane</t>
        </is>
      </c>
      <c r="E608" t="inlineStr">
        <is>
          <t>Rocketlane</t>
        </is>
      </c>
      <c r="F608" s="17" t="n">
        <v>46210</v>
      </c>
      <c r="G608" t="inlineStr">
        <is>
          <t>no source names the stage</t>
        </is>
      </c>
    </row>
    <row r="609">
      <c r="A609" t="inlineStr">
        <is>
          <t>C04</t>
        </is>
      </c>
      <c r="B609" t="inlineStr">
        <is>
          <t>Stage undisclosed</t>
        </is>
      </c>
      <c r="C609" t="inlineStr">
        <is>
          <t>info</t>
        </is>
      </c>
      <c r="D609" t="inlineStr">
        <is>
          <t>R260708-adageautomatio</t>
        </is>
      </c>
      <c r="E609" t="inlineStr">
        <is>
          <t>Adage Automation</t>
        </is>
      </c>
      <c r="F609" s="17" t="n">
        <v>46211</v>
      </c>
      <c r="G609" t="inlineStr">
        <is>
          <t>no source names the stage</t>
        </is>
      </c>
    </row>
    <row r="610">
      <c r="A610" t="inlineStr">
        <is>
          <t>C04</t>
        </is>
      </c>
      <c r="B610" t="inlineStr">
        <is>
          <t>Stage undisclosed</t>
        </is>
      </c>
      <c r="C610" t="inlineStr">
        <is>
          <t>info</t>
        </is>
      </c>
      <c r="D610" t="inlineStr">
        <is>
          <t>R260708-doodhvalefarms</t>
        </is>
      </c>
      <c r="E610" t="inlineStr">
        <is>
          <t>Doodhvale Farms</t>
        </is>
      </c>
      <c r="F610" s="17" t="n">
        <v>46211</v>
      </c>
      <c r="G610" t="inlineStr">
        <is>
          <t>no source names the stage</t>
        </is>
      </c>
    </row>
    <row r="611">
      <c r="A611" t="inlineStr">
        <is>
          <t>C04</t>
        </is>
      </c>
      <c r="B611" t="inlineStr">
        <is>
          <t>Stage undisclosed</t>
        </is>
      </c>
      <c r="C611" t="inlineStr">
        <is>
          <t>info</t>
        </is>
      </c>
      <c r="D611" t="inlineStr">
        <is>
          <t>R260708-rawbare</t>
        </is>
      </c>
      <c r="E611" t="inlineStr">
        <is>
          <t>Rawbare</t>
        </is>
      </c>
      <c r="F611" s="17" t="n">
        <v>46211</v>
      </c>
      <c r="G611" t="inlineStr">
        <is>
          <t>no source names the stage</t>
        </is>
      </c>
    </row>
    <row r="612">
      <c r="A612" t="inlineStr">
        <is>
          <t>C04</t>
        </is>
      </c>
      <c r="B612" t="inlineStr">
        <is>
          <t>Stage undisclosed</t>
        </is>
      </c>
      <c r="C612" t="inlineStr">
        <is>
          <t>info</t>
        </is>
      </c>
      <c r="D612" t="inlineStr">
        <is>
          <t>R260709-hakimo</t>
        </is>
      </c>
      <c r="E612" t="inlineStr">
        <is>
          <t>Hakimo</t>
        </is>
      </c>
      <c r="F612" s="17" t="n">
        <v>46212</v>
      </c>
      <c r="G612" t="inlineStr">
        <is>
          <t>no source names the stage</t>
        </is>
      </c>
    </row>
    <row r="613">
      <c r="A613" t="inlineStr">
        <is>
          <t>C04</t>
        </is>
      </c>
      <c r="B613" t="inlineStr">
        <is>
          <t>Stage undisclosed</t>
        </is>
      </c>
      <c r="C613" t="inlineStr">
        <is>
          <t>info</t>
        </is>
      </c>
      <c r="D613" t="inlineStr">
        <is>
          <t>R260709-neothera</t>
        </is>
      </c>
      <c r="E613" t="inlineStr">
        <is>
          <t>Neothera</t>
        </is>
      </c>
      <c r="F613" s="17" t="n">
        <v>46212</v>
      </c>
      <c r="G613" t="inlineStr">
        <is>
          <t>no source names the stage</t>
        </is>
      </c>
    </row>
    <row r="614">
      <c r="A614" t="inlineStr">
        <is>
          <t>C04</t>
        </is>
      </c>
      <c r="B614" t="inlineStr">
        <is>
          <t>Stage undisclosed</t>
        </is>
      </c>
      <c r="C614" t="inlineStr">
        <is>
          <t>info</t>
        </is>
      </c>
      <c r="D614" t="inlineStr">
        <is>
          <t>R260709-wheelocity</t>
        </is>
      </c>
      <c r="E614" t="inlineStr">
        <is>
          <t>Wheelocity</t>
        </is>
      </c>
      <c r="F614" s="17" t="n">
        <v>46212</v>
      </c>
      <c r="G614" t="inlineStr">
        <is>
          <t>no source names the stage</t>
        </is>
      </c>
    </row>
    <row r="615">
      <c r="A615" t="inlineStr">
        <is>
          <t>C04</t>
        </is>
      </c>
      <c r="B615" t="inlineStr">
        <is>
          <t>Stage undisclosed</t>
        </is>
      </c>
      <c r="C615" t="inlineStr">
        <is>
          <t>info</t>
        </is>
      </c>
      <c r="D615" t="inlineStr">
        <is>
          <t>R260709-wizcommerce</t>
        </is>
      </c>
      <c r="E615" t="inlineStr">
        <is>
          <t>WizCommerce</t>
        </is>
      </c>
      <c r="F615" s="17" t="n">
        <v>46212</v>
      </c>
      <c r="G615" t="inlineStr">
        <is>
          <t>no source names the stage</t>
        </is>
      </c>
    </row>
    <row r="616">
      <c r="A616" t="inlineStr">
        <is>
          <t>C04</t>
        </is>
      </c>
      <c r="B616" t="inlineStr">
        <is>
          <t>Stage undisclosed</t>
        </is>
      </c>
      <c r="C616" t="inlineStr">
        <is>
          <t>info</t>
        </is>
      </c>
      <c r="D616" t="inlineStr">
        <is>
          <t>R260715-ather</t>
        </is>
      </c>
      <c r="E616" t="inlineStr">
        <is>
          <t>Ather</t>
        </is>
      </c>
      <c r="F616" s="17" t="n">
        <v>46218</v>
      </c>
      <c r="G616" t="inlineStr">
        <is>
          <t>no source names the stage</t>
        </is>
      </c>
    </row>
    <row r="617">
      <c r="A617" t="inlineStr">
        <is>
          <t>C04</t>
        </is>
      </c>
      <c r="B617" t="inlineStr">
        <is>
          <t>Stage undisclosed</t>
        </is>
      </c>
      <c r="C617" t="inlineStr">
        <is>
          <t>info</t>
        </is>
      </c>
      <c r="D617" t="inlineStr">
        <is>
          <t>R260715-opensecret</t>
        </is>
      </c>
      <c r="E617" t="inlineStr">
        <is>
          <t>Open Secret</t>
        </is>
      </c>
      <c r="F617" s="17" t="n">
        <v>46218</v>
      </c>
      <c r="G617" t="inlineStr">
        <is>
          <t>no source names the stage</t>
        </is>
      </c>
    </row>
    <row r="618">
      <c r="A618" t="inlineStr">
        <is>
          <t>C04</t>
        </is>
      </c>
      <c r="B618" t="inlineStr">
        <is>
          <t>Stage undisclosed</t>
        </is>
      </c>
      <c r="C618" t="inlineStr">
        <is>
          <t>info</t>
        </is>
      </c>
      <c r="D618" t="inlineStr">
        <is>
          <t>R260715-promom</t>
        </is>
      </c>
      <c r="E618" t="inlineStr">
        <is>
          <t>Promom</t>
        </is>
      </c>
      <c r="F618" s="17" t="n">
        <v>46218</v>
      </c>
      <c r="G618" t="inlineStr">
        <is>
          <t>no source names the stage</t>
        </is>
      </c>
    </row>
    <row r="619">
      <c r="A619" t="inlineStr">
        <is>
          <t>C04</t>
        </is>
      </c>
      <c r="B619" t="inlineStr">
        <is>
          <t>Stage undisclosed</t>
        </is>
      </c>
      <c r="C619" t="inlineStr">
        <is>
          <t>info</t>
        </is>
      </c>
      <c r="D619" t="inlineStr">
        <is>
          <t>R260716-othorai</t>
        </is>
      </c>
      <c r="E619" t="inlineStr">
        <is>
          <t>Othor AI</t>
        </is>
      </c>
      <c r="F619" s="17" t="n">
        <v>46219</v>
      </c>
      <c r="G619" t="inlineStr">
        <is>
          <t>no source names the stage</t>
        </is>
      </c>
    </row>
    <row r="620">
      <c r="A620" t="inlineStr">
        <is>
          <t>C04</t>
        </is>
      </c>
      <c r="B620" t="inlineStr">
        <is>
          <t>Stage undisclosed</t>
        </is>
      </c>
      <c r="C620" t="inlineStr">
        <is>
          <t>info</t>
        </is>
      </c>
      <c r="D620" t="inlineStr">
        <is>
          <t>R260716-smytten</t>
        </is>
      </c>
      <c r="E620" t="inlineStr">
        <is>
          <t>Smytten</t>
        </is>
      </c>
      <c r="F620" s="17" t="n">
        <v>46219</v>
      </c>
      <c r="G620" t="inlineStr">
        <is>
          <t>no source names the stage</t>
        </is>
      </c>
    </row>
    <row r="621">
      <c r="A621" t="inlineStr">
        <is>
          <t>C04</t>
        </is>
      </c>
      <c r="B621" t="inlineStr">
        <is>
          <t>Stage undisclosed</t>
        </is>
      </c>
      <c r="C621" t="inlineStr">
        <is>
          <t>info</t>
        </is>
      </c>
      <c r="D621" t="inlineStr">
        <is>
          <t>R260720-veriqus</t>
        </is>
      </c>
      <c r="E621" t="inlineStr">
        <is>
          <t>Veriqus</t>
        </is>
      </c>
      <c r="F621" s="17" t="n">
        <v>46223</v>
      </c>
      <c r="G621" t="inlineStr">
        <is>
          <t>no source names the stage</t>
        </is>
      </c>
    </row>
    <row r="622">
      <c r="A622" t="inlineStr">
        <is>
          <t>C04</t>
        </is>
      </c>
      <c r="B622" t="inlineStr">
        <is>
          <t>Stage undisclosed</t>
        </is>
      </c>
      <c r="C622" t="inlineStr">
        <is>
          <t>info</t>
        </is>
      </c>
      <c r="D622" t="inlineStr">
        <is>
          <t>R260721-fireai</t>
        </is>
      </c>
      <c r="E622" t="inlineStr">
        <is>
          <t>FireAI</t>
        </is>
      </c>
      <c r="F622" s="17" t="n">
        <v>46224</v>
      </c>
      <c r="G622" t="inlineStr">
        <is>
          <t>no source names the stage</t>
        </is>
      </c>
    </row>
    <row r="623">
      <c r="A623" t="inlineStr">
        <is>
          <t>C04</t>
        </is>
      </c>
      <c r="B623" t="inlineStr">
        <is>
          <t>Stage undisclosed</t>
        </is>
      </c>
      <c r="C623" t="inlineStr">
        <is>
          <t>info</t>
        </is>
      </c>
      <c r="D623" t="inlineStr">
        <is>
          <t>R260721-khageshvaraavi</t>
        </is>
      </c>
      <c r="E623" t="inlineStr">
        <is>
          <t>Khageshvara Aviation Technology</t>
        </is>
      </c>
      <c r="F623" s="17" t="n">
        <v>46224</v>
      </c>
      <c r="G623" t="inlineStr">
        <is>
          <t>no source names the stage</t>
        </is>
      </c>
    </row>
    <row r="624">
      <c r="A624" t="inlineStr">
        <is>
          <t>C04</t>
        </is>
      </c>
      <c r="B624" t="inlineStr">
        <is>
          <t>Stage undisclosed</t>
        </is>
      </c>
      <c r="C624" t="inlineStr">
        <is>
          <t>info</t>
        </is>
      </c>
      <c r="D624" t="inlineStr">
        <is>
          <t>R260723-farmwattinnova</t>
        </is>
      </c>
      <c r="E624" t="inlineStr">
        <is>
          <t>Farm Watt</t>
        </is>
      </c>
      <c r="F624" s="17" t="n">
        <v>46226</v>
      </c>
      <c r="G624" t="inlineStr">
        <is>
          <t>no source names the stage</t>
        </is>
      </c>
    </row>
    <row r="625">
      <c r="A625" t="inlineStr">
        <is>
          <t>C04</t>
        </is>
      </c>
      <c r="B625" t="inlineStr">
        <is>
          <t>Stage undisclosed</t>
        </is>
      </c>
      <c r="C625" t="inlineStr">
        <is>
          <t>info</t>
        </is>
      </c>
      <c r="D625" t="inlineStr">
        <is>
          <t>R260724-zetwerk</t>
        </is>
      </c>
      <c r="E625" t="inlineStr">
        <is>
          <t>Zetwerk</t>
        </is>
      </c>
      <c r="F625" s="17" t="n">
        <v>46227</v>
      </c>
      <c r="G625" t="inlineStr">
        <is>
          <t>no source names the stage</t>
        </is>
      </c>
    </row>
    <row r="626">
      <c r="A626" t="inlineStr">
        <is>
          <t>C04</t>
        </is>
      </c>
      <c r="B626" t="inlineStr">
        <is>
          <t>Stage undisclosed</t>
        </is>
      </c>
      <c r="C626" t="inlineStr">
        <is>
          <t>info</t>
        </is>
      </c>
      <c r="D626" t="inlineStr">
        <is>
          <t>R260727-omegaseikimobi</t>
        </is>
      </c>
      <c r="E626" t="inlineStr">
        <is>
          <t>Omega Seiki Mobility</t>
        </is>
      </c>
      <c r="F626" s="17" t="n">
        <v>46230</v>
      </c>
      <c r="G626" t="inlineStr">
        <is>
          <t>no source names the stage</t>
        </is>
      </c>
    </row>
    <row r="627">
      <c r="A627" t="inlineStr">
        <is>
          <t>C04</t>
        </is>
      </c>
      <c r="B627" t="inlineStr">
        <is>
          <t>Stage undisclosed</t>
        </is>
      </c>
      <c r="C627" t="inlineStr">
        <is>
          <t>info</t>
        </is>
      </c>
      <c r="D627" t="inlineStr">
        <is>
          <t>R260728-walbhaindustri</t>
        </is>
      </c>
      <c r="E627" t="inlineStr">
        <is>
          <t>Walbha Industries</t>
        </is>
      </c>
      <c r="F627" s="17" t="n">
        <v>46231</v>
      </c>
      <c r="G627" t="inlineStr">
        <is>
          <t>no source names the stage</t>
        </is>
      </c>
    </row>
    <row r="628">
      <c r="A628" t="inlineStr">
        <is>
          <t>C04</t>
        </is>
      </c>
      <c r="B628" t="inlineStr">
        <is>
          <t>Stage undisclosed</t>
        </is>
      </c>
      <c r="C628" t="inlineStr">
        <is>
          <t>info</t>
        </is>
      </c>
      <c r="D628" t="inlineStr">
        <is>
          <t>R260729-freehand</t>
        </is>
      </c>
      <c r="E628" t="inlineStr">
        <is>
          <t>Freehand</t>
        </is>
      </c>
      <c r="F628" s="17" t="n">
        <v>46232</v>
      </c>
      <c r="G628" t="inlineStr">
        <is>
          <t>no source names the stage</t>
        </is>
      </c>
    </row>
    <row r="629">
      <c r="A629" t="inlineStr">
        <is>
          <t>C04</t>
        </is>
      </c>
      <c r="B629" t="inlineStr">
        <is>
          <t>Stage undisclosed</t>
        </is>
      </c>
      <c r="C629" t="inlineStr">
        <is>
          <t>info</t>
        </is>
      </c>
      <c r="D629" t="inlineStr">
        <is>
          <t>R260730-ahamhousingfin</t>
        </is>
      </c>
      <c r="E629" t="inlineStr">
        <is>
          <t>Aham Housing Finance</t>
        </is>
      </c>
      <c r="F629" s="17" t="n">
        <v>46233</v>
      </c>
      <c r="G629" t="inlineStr">
        <is>
          <t>no source names the stage</t>
        </is>
      </c>
    </row>
    <row r="630">
      <c r="A630" t="inlineStr">
        <is>
          <t>C04</t>
        </is>
      </c>
      <c r="B630" t="inlineStr">
        <is>
          <t>Stage undisclosed</t>
        </is>
      </c>
      <c r="C630" t="inlineStr">
        <is>
          <t>info</t>
        </is>
      </c>
      <c r="D630" t="inlineStr">
        <is>
          <t>R260803-kaapimachines</t>
        </is>
      </c>
      <c r="E630" t="inlineStr">
        <is>
          <t>Kaapi Machines</t>
        </is>
      </c>
      <c r="F630" s="17" t="n">
        <v>46237</v>
      </c>
      <c r="G630" t="inlineStr">
        <is>
          <t>no source names the stage</t>
        </is>
      </c>
    </row>
    <row r="631">
      <c r="A631" t="inlineStr">
        <is>
          <t>C04</t>
        </is>
      </c>
      <c r="B631" t="inlineStr">
        <is>
          <t>Stage undisclosed</t>
        </is>
      </c>
      <c r="C631" t="inlineStr">
        <is>
          <t>info</t>
        </is>
      </c>
      <c r="D631" t="inlineStr">
        <is>
          <t>R260803-roadgrid</t>
        </is>
      </c>
      <c r="E631" t="inlineStr">
        <is>
          <t>RoadGrid</t>
        </is>
      </c>
      <c r="F631" s="17" t="n">
        <v>46237</v>
      </c>
      <c r="G631" t="inlineStr">
        <is>
          <t>no source names the stage</t>
        </is>
      </c>
    </row>
    <row r="632">
      <c r="A632" t="inlineStr">
        <is>
          <t>C04</t>
        </is>
      </c>
      <c r="B632" t="inlineStr">
        <is>
          <t>Stage undisclosed</t>
        </is>
      </c>
      <c r="C632" t="inlineStr">
        <is>
          <t>info</t>
        </is>
      </c>
      <c r="D632" t="inlineStr">
        <is>
          <t>R260803-unbloc</t>
        </is>
      </c>
      <c r="E632" t="inlineStr">
        <is>
          <t>UN:BLOC</t>
        </is>
      </c>
      <c r="F632" s="17" t="n">
        <v>46237</v>
      </c>
      <c r="G632" t="inlineStr">
        <is>
          <t>no source names the stage</t>
        </is>
      </c>
    </row>
    <row r="633">
      <c r="A633" t="inlineStr">
        <is>
          <t>C04</t>
        </is>
      </c>
      <c r="B633" t="inlineStr">
        <is>
          <t>Stage undisclosed</t>
        </is>
      </c>
      <c r="C633" t="inlineStr">
        <is>
          <t>info</t>
        </is>
      </c>
      <c r="D633" t="inlineStr">
        <is>
          <t>R260804-kily</t>
        </is>
      </c>
      <c r="E633" t="inlineStr">
        <is>
          <t>Kily</t>
        </is>
      </c>
      <c r="F633" s="17" t="n">
        <v>46238</v>
      </c>
      <c r="G633" t="inlineStr">
        <is>
          <t>no source names the stage</t>
        </is>
      </c>
    </row>
    <row r="634">
      <c r="A634" t="inlineStr">
        <is>
          <t>C04</t>
        </is>
      </c>
      <c r="B634" t="inlineStr">
        <is>
          <t>Stage undisclosed</t>
        </is>
      </c>
      <c r="C634" t="inlineStr">
        <is>
          <t>info</t>
        </is>
      </c>
      <c r="D634" t="inlineStr">
        <is>
          <t>R260804-zopplersystems</t>
        </is>
      </c>
      <c r="E634" t="inlineStr">
        <is>
          <t>Zoppler Systems</t>
        </is>
      </c>
      <c r="F634" s="17" t="n">
        <v>46238</v>
      </c>
      <c r="G634" t="inlineStr">
        <is>
          <t>no source names the stage</t>
        </is>
      </c>
    </row>
    <row r="635">
      <c r="A635" t="inlineStr">
        <is>
          <t>C04</t>
        </is>
      </c>
      <c r="B635" t="inlineStr">
        <is>
          <t>Stage undisclosed</t>
        </is>
      </c>
      <c r="C635" t="inlineStr">
        <is>
          <t>info</t>
        </is>
      </c>
      <c r="D635" t="inlineStr">
        <is>
          <t>R260805-lighthousecant</t>
        </is>
      </c>
      <c r="E635" t="inlineStr">
        <is>
          <t>Lighthouse Canton</t>
        </is>
      </c>
      <c r="F635" s="17" t="n">
        <v>46239</v>
      </c>
      <c r="G635" t="inlineStr">
        <is>
          <t>no source names the stage</t>
        </is>
      </c>
    </row>
    <row r="636">
      <c r="A636" t="inlineStr">
        <is>
          <t>C04</t>
        </is>
      </c>
      <c r="B636" t="inlineStr">
        <is>
          <t>Stage undisclosed</t>
        </is>
      </c>
      <c r="C636" t="inlineStr">
        <is>
          <t>info</t>
        </is>
      </c>
      <c r="D636" t="inlineStr">
        <is>
          <t>R260805-typsybeauty</t>
        </is>
      </c>
      <c r="E636" t="inlineStr">
        <is>
          <t>Typsy Beauty</t>
        </is>
      </c>
      <c r="F636" s="17" t="n">
        <v>46239</v>
      </c>
      <c r="G636" t="inlineStr">
        <is>
          <t>no source names the stage</t>
        </is>
      </c>
    </row>
    <row r="637">
      <c r="A637" t="inlineStr">
        <is>
          <t>C04</t>
        </is>
      </c>
      <c r="B637" t="inlineStr">
        <is>
          <t>Stage undisclosed</t>
        </is>
      </c>
      <c r="C637" t="inlineStr">
        <is>
          <t>info</t>
        </is>
      </c>
      <c r="D637" t="inlineStr">
        <is>
          <t>R260813-invisel</t>
        </is>
      </c>
      <c r="E637" t="inlineStr">
        <is>
          <t>Invisel</t>
        </is>
      </c>
      <c r="F637" s="17" t="n">
        <v>46247</v>
      </c>
      <c r="G637" t="inlineStr">
        <is>
          <t>no source names the stage</t>
        </is>
      </c>
    </row>
    <row r="638">
      <c r="A638" t="inlineStr">
        <is>
          <t>C04</t>
        </is>
      </c>
      <c r="B638" t="inlineStr">
        <is>
          <t>Stage undisclosed</t>
        </is>
      </c>
      <c r="C638" t="inlineStr">
        <is>
          <t>info</t>
        </is>
      </c>
      <c r="D638" t="inlineStr">
        <is>
          <t>R260813-kshatralabs</t>
        </is>
      </c>
      <c r="E638" t="inlineStr">
        <is>
          <t>KshatraLabs</t>
        </is>
      </c>
      <c r="F638" s="17" t="n">
        <v>46247</v>
      </c>
      <c r="G638" t="inlineStr">
        <is>
          <t>no source names the stage</t>
        </is>
      </c>
    </row>
    <row r="639">
      <c r="A639" t="inlineStr">
        <is>
          <t>C04</t>
        </is>
      </c>
      <c r="B639" t="inlineStr">
        <is>
          <t>Stage undisclosed</t>
        </is>
      </c>
      <c r="C639" t="inlineStr">
        <is>
          <t>info</t>
        </is>
      </c>
      <c r="D639" t="inlineStr">
        <is>
          <t>R260819-bookmyshow</t>
        </is>
      </c>
      <c r="E639" t="inlineStr">
        <is>
          <t>BookMyShow</t>
        </is>
      </c>
      <c r="F639" s="17" t="n">
        <v>46253</v>
      </c>
      <c r="G639" t="inlineStr">
        <is>
          <t>no source names the stage</t>
        </is>
      </c>
    </row>
    <row r="640">
      <c r="A640" t="inlineStr">
        <is>
          <t>C04</t>
        </is>
      </c>
      <c r="B640" t="inlineStr">
        <is>
          <t>Stage undisclosed</t>
        </is>
      </c>
      <c r="C640" t="inlineStr">
        <is>
          <t>info</t>
        </is>
      </c>
      <c r="D640" t="inlineStr">
        <is>
          <t>R260819-ctrls</t>
        </is>
      </c>
      <c r="E640" t="inlineStr">
        <is>
          <t>CtrlS DataCenters</t>
        </is>
      </c>
      <c r="F640" s="17" t="n">
        <v>46253</v>
      </c>
      <c r="G640" t="inlineStr">
        <is>
          <t>no source names the stage</t>
        </is>
      </c>
    </row>
    <row r="641">
      <c r="A641" t="inlineStr">
        <is>
          <t>C04</t>
        </is>
      </c>
      <c r="B641" t="inlineStr">
        <is>
          <t>Stage undisclosed</t>
        </is>
      </c>
      <c r="C641" t="inlineStr">
        <is>
          <t>info</t>
        </is>
      </c>
      <c r="D641" t="inlineStr">
        <is>
          <t>R260819-navi</t>
        </is>
      </c>
      <c r="E641" t="inlineStr">
        <is>
          <t>Navi</t>
        </is>
      </c>
      <c r="F641" s="17" t="n">
        <v>46253</v>
      </c>
      <c r="G641" t="inlineStr">
        <is>
          <t>no source names the stage</t>
        </is>
      </c>
    </row>
    <row r="642">
      <c r="A642" t="inlineStr">
        <is>
          <t>C04</t>
        </is>
      </c>
      <c r="B642" t="inlineStr">
        <is>
          <t>Stage undisclosed</t>
        </is>
      </c>
      <c r="C642" t="inlineStr">
        <is>
          <t>info</t>
        </is>
      </c>
      <c r="D642" t="inlineStr">
        <is>
          <t>R260820-brunomilano</t>
        </is>
      </c>
      <c r="E642" t="inlineStr">
        <is>
          <t>Bruno Milano</t>
        </is>
      </c>
      <c r="F642" s="17" t="n">
        <v>46254</v>
      </c>
      <c r="G642" t="inlineStr">
        <is>
          <t>no source names the stage</t>
        </is>
      </c>
    </row>
    <row r="643">
      <c r="A643" t="inlineStr">
        <is>
          <t>C04</t>
        </is>
      </c>
      <c r="B643" t="inlineStr">
        <is>
          <t>Stage undisclosed</t>
        </is>
      </c>
      <c r="C643" t="inlineStr">
        <is>
          <t>info</t>
        </is>
      </c>
      <c r="D643" t="inlineStr">
        <is>
          <t>R260821-greenjoules</t>
        </is>
      </c>
      <c r="E643" t="inlineStr">
        <is>
          <t>Greenjoules</t>
        </is>
      </c>
      <c r="F643" s="17" t="n">
        <v>46255</v>
      </c>
      <c r="G643" t="inlineStr">
        <is>
          <t>no source names the stage</t>
        </is>
      </c>
    </row>
    <row r="644">
      <c r="A644" t="inlineStr">
        <is>
          <t>C04</t>
        </is>
      </c>
      <c r="B644" t="inlineStr">
        <is>
          <t>Stage undisclosed</t>
        </is>
      </c>
      <c r="C644" t="inlineStr">
        <is>
          <t>info</t>
        </is>
      </c>
      <c r="D644" t="inlineStr">
        <is>
          <t>R260822-atomberg</t>
        </is>
      </c>
      <c r="E644" t="inlineStr">
        <is>
          <t>Atomberg</t>
        </is>
      </c>
      <c r="F644" s="17" t="n">
        <v>46256</v>
      </c>
      <c r="G644" t="inlineStr">
        <is>
          <t>no source names the stage</t>
        </is>
      </c>
    </row>
    <row r="645">
      <c r="A645" t="inlineStr">
        <is>
          <t>C04</t>
        </is>
      </c>
      <c r="B645" t="inlineStr">
        <is>
          <t>Stage undisclosed</t>
        </is>
      </c>
      <c r="C645" t="inlineStr">
        <is>
          <t>info</t>
        </is>
      </c>
      <c r="D645" t="inlineStr">
        <is>
          <t>R260824-lightfurygames</t>
        </is>
      </c>
      <c r="E645" t="inlineStr">
        <is>
          <t>LightFury Games</t>
        </is>
      </c>
      <c r="F645" s="17" t="n">
        <v>46258</v>
      </c>
      <c r="G645" t="inlineStr">
        <is>
          <t>no source names the stage</t>
        </is>
      </c>
    </row>
    <row r="646">
      <c r="A646" t="inlineStr">
        <is>
          <t>C04</t>
        </is>
      </c>
      <c r="B646" t="inlineStr">
        <is>
          <t>Stage undisclosed</t>
        </is>
      </c>
      <c r="C646" t="inlineStr">
        <is>
          <t>info</t>
        </is>
      </c>
      <c r="D646" t="inlineStr">
        <is>
          <t>R260824-thirdwavecoffe</t>
        </is>
      </c>
      <c r="E646" t="inlineStr">
        <is>
          <t>Third Wave Coffee</t>
        </is>
      </c>
      <c r="F646" s="17" t="n">
        <v>46258</v>
      </c>
      <c r="G646" t="inlineStr">
        <is>
          <t>no source names the stage</t>
        </is>
      </c>
    </row>
    <row r="647">
      <c r="A647" t="inlineStr">
        <is>
          <t>C04</t>
        </is>
      </c>
      <c r="B647" t="inlineStr">
        <is>
          <t>Stage undisclosed</t>
        </is>
      </c>
      <c r="C647" t="inlineStr">
        <is>
          <t>info</t>
        </is>
      </c>
      <c r="D647" t="inlineStr">
        <is>
          <t>R260825-nexedgecapital</t>
        </is>
      </c>
      <c r="E647" t="inlineStr">
        <is>
          <t>Nexedge Capital</t>
        </is>
      </c>
      <c r="F647" s="17" t="n">
        <v>46259</v>
      </c>
      <c r="G647" t="inlineStr">
        <is>
          <t>no source names the stage</t>
        </is>
      </c>
    </row>
    <row r="648">
      <c r="A648" t="inlineStr">
        <is>
          <t>C04</t>
        </is>
      </c>
      <c r="B648" t="inlineStr">
        <is>
          <t>Stage undisclosed</t>
        </is>
      </c>
      <c r="C648" t="inlineStr">
        <is>
          <t>info</t>
        </is>
      </c>
      <c r="D648" t="inlineStr">
        <is>
          <t>R260825-staywellhealth</t>
        </is>
      </c>
      <c r="E648" t="inlineStr">
        <is>
          <t>Staywell.Health</t>
        </is>
      </c>
      <c r="F648" s="17" t="n">
        <v>46259</v>
      </c>
      <c r="G648" t="inlineStr">
        <is>
          <t>no source names the stage</t>
        </is>
      </c>
    </row>
    <row r="649">
      <c r="A649" t="inlineStr">
        <is>
          <t>C04</t>
        </is>
      </c>
      <c r="B649" t="inlineStr">
        <is>
          <t>Stage undisclosed</t>
        </is>
      </c>
      <c r="C649" t="inlineStr">
        <is>
          <t>info</t>
        </is>
      </c>
      <c r="D649" t="inlineStr">
        <is>
          <t>R260827-biryanibees</t>
        </is>
      </c>
      <c r="E649" t="inlineStr">
        <is>
          <t>Biryani Bees</t>
        </is>
      </c>
      <c r="F649" s="17" t="n">
        <v>46261</v>
      </c>
      <c r="G649" t="inlineStr">
        <is>
          <t>no source names the stage</t>
        </is>
      </c>
    </row>
    <row r="650">
      <c r="A650" t="inlineStr">
        <is>
          <t>C04</t>
        </is>
      </c>
      <c r="B650" t="inlineStr">
        <is>
          <t>Stage undisclosed</t>
        </is>
      </c>
      <c r="C650" t="inlineStr">
        <is>
          <t>info</t>
        </is>
      </c>
      <c r="D650" t="inlineStr">
        <is>
          <t>R260827-edgeverse</t>
        </is>
      </c>
      <c r="E650" t="inlineStr">
        <is>
          <t>Edgeverse</t>
        </is>
      </c>
      <c r="F650" s="17" t="n">
        <v>46261</v>
      </c>
      <c r="G650" t="inlineStr">
        <is>
          <t>no source names the stage</t>
        </is>
      </c>
    </row>
    <row r="651">
      <c r="A651" t="inlineStr">
        <is>
          <t>C04</t>
        </is>
      </c>
      <c r="B651" t="inlineStr">
        <is>
          <t>Stage undisclosed</t>
        </is>
      </c>
      <c r="C651" t="inlineStr">
        <is>
          <t>info</t>
        </is>
      </c>
      <c r="D651" t="inlineStr">
        <is>
          <t>R260827-trucksup</t>
        </is>
      </c>
      <c r="E651" t="inlineStr">
        <is>
          <t>TrucksUp</t>
        </is>
      </c>
      <c r="F651" s="17" t="n">
        <v>46261</v>
      </c>
      <c r="G651" t="inlineStr">
        <is>
          <t>no source names the stage</t>
        </is>
      </c>
    </row>
    <row r="652">
      <c r="A652" t="inlineStr">
        <is>
          <t>C04</t>
        </is>
      </c>
      <c r="B652" t="inlineStr">
        <is>
          <t>Stage undisclosed</t>
        </is>
      </c>
      <c r="C652" t="inlineStr">
        <is>
          <t>info</t>
        </is>
      </c>
      <c r="D652" t="inlineStr">
        <is>
          <t>R260829-omegaseikimobi</t>
        </is>
      </c>
      <c r="E652" t="inlineStr">
        <is>
          <t>Omega Seiki Mobility</t>
        </is>
      </c>
      <c r="F652" s="17" t="n">
        <v>46263</v>
      </c>
      <c r="G652" t="inlineStr">
        <is>
          <t>no source names the stage</t>
        </is>
      </c>
    </row>
    <row r="653">
      <c r="A653" t="inlineStr">
        <is>
          <t>C04</t>
        </is>
      </c>
      <c r="B653" t="inlineStr">
        <is>
          <t>Stage undisclosed</t>
        </is>
      </c>
      <c r="C653" t="inlineStr">
        <is>
          <t>info</t>
        </is>
      </c>
      <c r="D653" t="inlineStr">
        <is>
          <t>R260831-chinikum</t>
        </is>
      </c>
      <c r="E653" t="inlineStr">
        <is>
          <t>CHINI KUM</t>
        </is>
      </c>
      <c r="F653" s="17" t="n">
        <v>46265</v>
      </c>
      <c r="G653" t="inlineStr">
        <is>
          <t>no source names the stage</t>
        </is>
      </c>
    </row>
    <row r="654">
      <c r="A654" t="inlineStr">
        <is>
          <t>C04</t>
        </is>
      </c>
      <c r="B654" t="inlineStr">
        <is>
          <t>Stage undisclosed</t>
        </is>
      </c>
      <c r="C654" t="inlineStr">
        <is>
          <t>info</t>
        </is>
      </c>
      <c r="D654" t="inlineStr">
        <is>
          <t>R260831-growwamc</t>
        </is>
      </c>
      <c r="E654" t="inlineStr">
        <is>
          <t>Groww AMC</t>
        </is>
      </c>
      <c r="F654" s="17" t="n">
        <v>46265</v>
      </c>
      <c r="G654" t="inlineStr">
        <is>
          <t>no source names the stage</t>
        </is>
      </c>
    </row>
    <row r="655">
      <c r="A655" t="inlineStr">
        <is>
          <t>C04</t>
        </is>
      </c>
      <c r="B655" t="inlineStr">
        <is>
          <t>Stage undisclosed</t>
        </is>
      </c>
      <c r="C655" t="inlineStr">
        <is>
          <t>info</t>
        </is>
      </c>
      <c r="D655" t="inlineStr">
        <is>
          <t>R260901-72street</t>
        </is>
      </c>
      <c r="E655" t="inlineStr">
        <is>
          <t>72 Street</t>
        </is>
      </c>
      <c r="F655" s="17" t="n">
        <v>46266</v>
      </c>
      <c r="G655" t="inlineStr">
        <is>
          <t>no source names the stage</t>
        </is>
      </c>
    </row>
    <row r="656">
      <c r="A656" t="inlineStr">
        <is>
          <t>C04</t>
        </is>
      </c>
      <c r="B656" t="inlineStr">
        <is>
          <t>Stage undisclosed</t>
        </is>
      </c>
      <c r="C656" t="inlineStr">
        <is>
          <t>info</t>
        </is>
      </c>
      <c r="D656" t="inlineStr">
        <is>
          <t>R260901-speakx</t>
        </is>
      </c>
      <c r="E656" t="inlineStr">
        <is>
          <t>SpeakX</t>
        </is>
      </c>
      <c r="F656" s="17" t="n">
        <v>46266</v>
      </c>
      <c r="G656" t="inlineStr">
        <is>
          <t>no source names the stage</t>
        </is>
      </c>
    </row>
    <row r="657">
      <c r="A657" t="inlineStr">
        <is>
          <t>C04</t>
        </is>
      </c>
      <c r="B657" t="inlineStr">
        <is>
          <t>Stage undisclosed</t>
        </is>
      </c>
      <c r="C657" t="inlineStr">
        <is>
          <t>info</t>
        </is>
      </c>
      <c r="D657" t="inlineStr">
        <is>
          <t>R260901-ultrahuman</t>
        </is>
      </c>
      <c r="E657" t="inlineStr">
        <is>
          <t>Ultrahuman</t>
        </is>
      </c>
      <c r="F657" s="17" t="n">
        <v>46266</v>
      </c>
      <c r="G657" t="inlineStr">
        <is>
          <t>no source names the stage</t>
        </is>
      </c>
    </row>
    <row r="658">
      <c r="A658" t="inlineStr">
        <is>
          <t>C04</t>
        </is>
      </c>
      <c r="B658" t="inlineStr">
        <is>
          <t>Stage undisclosed</t>
        </is>
      </c>
      <c r="C658" t="inlineStr">
        <is>
          <t>info</t>
        </is>
      </c>
      <c r="D658" t="inlineStr">
        <is>
          <t>R260901-wldd</t>
        </is>
      </c>
      <c r="E658" t="inlineStr">
        <is>
          <t>WLDD</t>
        </is>
      </c>
      <c r="F658" s="17" t="n">
        <v>46266</v>
      </c>
      <c r="G658" t="inlineStr">
        <is>
          <t>no source names the stage</t>
        </is>
      </c>
    </row>
    <row r="659">
      <c r="A659" t="inlineStr">
        <is>
          <t>C04</t>
        </is>
      </c>
      <c r="B659" t="inlineStr">
        <is>
          <t>Stage undisclosed</t>
        </is>
      </c>
      <c r="C659" t="inlineStr">
        <is>
          <t>info</t>
        </is>
      </c>
      <c r="D659" t="inlineStr">
        <is>
          <t>R260901-xstep</t>
        </is>
      </c>
      <c r="E659" t="inlineStr">
        <is>
          <t>xStep</t>
        </is>
      </c>
      <c r="F659" s="17" t="n">
        <v>46266</v>
      </c>
      <c r="G659" t="inlineStr">
        <is>
          <t>no source names the stage</t>
        </is>
      </c>
    </row>
    <row r="660">
      <c r="A660" t="inlineStr">
        <is>
          <t>C04</t>
        </is>
      </c>
      <c r="B660" t="inlineStr">
        <is>
          <t>Stage undisclosed</t>
        </is>
      </c>
      <c r="C660" t="inlineStr">
        <is>
          <t>info</t>
        </is>
      </c>
      <c r="D660" t="inlineStr">
        <is>
          <t>R260903-slice</t>
        </is>
      </c>
      <c r="E660" t="inlineStr">
        <is>
          <t>Slice</t>
        </is>
      </c>
      <c r="F660" s="17" t="n">
        <v>46268</v>
      </c>
      <c r="G660" t="inlineStr">
        <is>
          <t>no source names the stage</t>
        </is>
      </c>
    </row>
    <row r="661">
      <c r="A661" t="inlineStr">
        <is>
          <t>C04</t>
        </is>
      </c>
      <c r="B661" t="inlineStr">
        <is>
          <t>Stage undisclosed</t>
        </is>
      </c>
      <c r="C661" t="inlineStr">
        <is>
          <t>info</t>
        </is>
      </c>
      <c r="D661" t="inlineStr">
        <is>
          <t>R260904-sugarcosmetics</t>
        </is>
      </c>
      <c r="E661" t="inlineStr">
        <is>
          <t>SUGAR Cosmetics</t>
        </is>
      </c>
      <c r="F661" s="17" t="n">
        <v>46269</v>
      </c>
      <c r="G661" t="inlineStr">
        <is>
          <t>no source names the stage</t>
        </is>
      </c>
    </row>
    <row r="662">
      <c r="A662" t="inlineStr">
        <is>
          <t>C04</t>
        </is>
      </c>
      <c r="B662" t="inlineStr">
        <is>
          <t>Stage undisclosed</t>
        </is>
      </c>
      <c r="C662" t="inlineStr">
        <is>
          <t>info</t>
        </is>
      </c>
      <c r="D662" t="inlineStr">
        <is>
          <t>R260907-damensch</t>
        </is>
      </c>
      <c r="E662" t="inlineStr">
        <is>
          <t>DaMENSCH</t>
        </is>
      </c>
      <c r="F662" s="17" t="n">
        <v>46272</v>
      </c>
      <c r="G662" t="inlineStr">
        <is>
          <t>no source names the stage</t>
        </is>
      </c>
    </row>
    <row r="663">
      <c r="A663" t="inlineStr">
        <is>
          <t>C04</t>
        </is>
      </c>
      <c r="B663" t="inlineStr">
        <is>
          <t>Stage undisclosed</t>
        </is>
      </c>
      <c r="C663" t="inlineStr">
        <is>
          <t>info</t>
        </is>
      </c>
      <c r="D663" t="inlineStr">
        <is>
          <t>R260907-herspace</t>
        </is>
      </c>
      <c r="E663" t="inlineStr">
        <is>
          <t>HerSpace</t>
        </is>
      </c>
      <c r="F663" s="17" t="n">
        <v>46272</v>
      </c>
      <c r="G663" t="inlineStr">
        <is>
          <t>no source names the stage</t>
        </is>
      </c>
    </row>
    <row r="664">
      <c r="A664" t="inlineStr">
        <is>
          <t>C04</t>
        </is>
      </c>
      <c r="B664" t="inlineStr">
        <is>
          <t>Stage undisclosed</t>
        </is>
      </c>
      <c r="C664" t="inlineStr">
        <is>
          <t>info</t>
        </is>
      </c>
      <c r="D664" t="inlineStr">
        <is>
          <t>R260907-lickicious</t>
        </is>
      </c>
      <c r="E664" t="inlineStr">
        <is>
          <t>Lickicious</t>
        </is>
      </c>
      <c r="F664" s="17" t="n">
        <v>46272</v>
      </c>
      <c r="G664" t="inlineStr">
        <is>
          <t>no source names the stage</t>
        </is>
      </c>
    </row>
    <row r="665">
      <c r="A665" t="inlineStr">
        <is>
          <t>C04</t>
        </is>
      </c>
      <c r="B665" t="inlineStr">
        <is>
          <t>Stage undisclosed</t>
        </is>
      </c>
      <c r="C665" t="inlineStr">
        <is>
          <t>info</t>
        </is>
      </c>
      <c r="D665" t="inlineStr">
        <is>
          <t>R260908-digitalpaani</t>
        </is>
      </c>
      <c r="E665" t="inlineStr">
        <is>
          <t>DigitalPaani</t>
        </is>
      </c>
      <c r="F665" s="17" t="n">
        <v>46273</v>
      </c>
      <c r="G665" t="inlineStr">
        <is>
          <t>no source names the stage</t>
        </is>
      </c>
    </row>
    <row r="666">
      <c r="A666" t="inlineStr">
        <is>
          <t>C04</t>
        </is>
      </c>
      <c r="B666" t="inlineStr">
        <is>
          <t>Stage undisclosed</t>
        </is>
      </c>
      <c r="C666" t="inlineStr">
        <is>
          <t>info</t>
        </is>
      </c>
      <c r="D666" t="inlineStr">
        <is>
          <t>R260908-truefanai</t>
        </is>
      </c>
      <c r="E666" t="inlineStr">
        <is>
          <t>TrueFan AI</t>
        </is>
      </c>
      <c r="F666" s="17" t="n">
        <v>46273</v>
      </c>
      <c r="G666" t="inlineStr">
        <is>
          <t>no source names the stage</t>
        </is>
      </c>
    </row>
    <row r="667">
      <c r="A667" t="inlineStr">
        <is>
          <t>C04</t>
        </is>
      </c>
      <c r="B667" t="inlineStr">
        <is>
          <t>Stage undisclosed</t>
        </is>
      </c>
      <c r="C667" t="inlineStr">
        <is>
          <t>info</t>
        </is>
      </c>
      <c r="D667" t="inlineStr">
        <is>
          <t>R260910-dialflo</t>
        </is>
      </c>
      <c r="E667" t="inlineStr">
        <is>
          <t>Dialflo</t>
        </is>
      </c>
      <c r="F667" s="17" t="n">
        <v>46275</v>
      </c>
      <c r="G667" t="inlineStr">
        <is>
          <t>no source names the stage</t>
        </is>
      </c>
    </row>
    <row r="668">
      <c r="A668" t="inlineStr">
        <is>
          <t>C04</t>
        </is>
      </c>
      <c r="B668" t="inlineStr">
        <is>
          <t>Stage undisclosed</t>
        </is>
      </c>
      <c r="C668" t="inlineStr">
        <is>
          <t>info</t>
        </is>
      </c>
      <c r="D668" t="inlineStr">
        <is>
          <t>R260910-swish</t>
        </is>
      </c>
      <c r="E668" t="inlineStr">
        <is>
          <t>Swish</t>
        </is>
      </c>
      <c r="F668" s="17" t="n">
        <v>46275</v>
      </c>
      <c r="G668" t="inlineStr">
        <is>
          <t>no source names the stage</t>
        </is>
      </c>
    </row>
    <row r="669">
      <c r="A669" t="inlineStr">
        <is>
          <t>C04</t>
        </is>
      </c>
      <c r="B669" t="inlineStr">
        <is>
          <t>Stage undisclosed</t>
        </is>
      </c>
      <c r="C669" t="inlineStr">
        <is>
          <t>info</t>
        </is>
      </c>
      <c r="D669" t="inlineStr">
        <is>
          <t>R260911-peepbeauty</t>
        </is>
      </c>
      <c r="E669" t="inlineStr">
        <is>
          <t>Peep Beauty</t>
        </is>
      </c>
      <c r="F669" s="17" t="n">
        <v>46276</v>
      </c>
      <c r="G669" t="inlineStr">
        <is>
          <t>no source names the stage</t>
        </is>
      </c>
    </row>
    <row r="670">
      <c r="A670" t="inlineStr">
        <is>
          <t>C04</t>
        </is>
      </c>
      <c r="B670" t="inlineStr">
        <is>
          <t>Stage undisclosed</t>
        </is>
      </c>
      <c r="C670" t="inlineStr">
        <is>
          <t>info</t>
        </is>
      </c>
      <c r="D670" t="inlineStr">
        <is>
          <t>R260911-popoglobal</t>
        </is>
      </c>
      <c r="E670" t="inlineStr">
        <is>
          <t>Popo Global</t>
        </is>
      </c>
      <c r="F670" s="17" t="n">
        <v>46276</v>
      </c>
      <c r="G670" t="inlineStr">
        <is>
          <t>no source names the stage</t>
        </is>
      </c>
    </row>
    <row r="671">
      <c r="A671" t="inlineStr">
        <is>
          <t>C04</t>
        </is>
      </c>
      <c r="B671" t="inlineStr">
        <is>
          <t>Stage undisclosed</t>
        </is>
      </c>
      <c r="C671" t="inlineStr">
        <is>
          <t>info</t>
        </is>
      </c>
      <c r="D671" t="inlineStr">
        <is>
          <t>R260915-darwinbox</t>
        </is>
      </c>
      <c r="E671" t="inlineStr">
        <is>
          <t>Darwinbox</t>
        </is>
      </c>
      <c r="F671" s="17" t="n">
        <v>46280</v>
      </c>
      <c r="G671" t="inlineStr">
        <is>
          <t>no source names the stage</t>
        </is>
      </c>
    </row>
    <row r="672">
      <c r="A672" t="inlineStr">
        <is>
          <t>C04</t>
        </is>
      </c>
      <c r="B672" t="inlineStr">
        <is>
          <t>Stage undisclosed</t>
        </is>
      </c>
      <c r="C672" t="inlineStr">
        <is>
          <t>info</t>
        </is>
      </c>
      <c r="D672" t="inlineStr">
        <is>
          <t>R260917-enlightmetals</t>
        </is>
      </c>
      <c r="E672" t="inlineStr">
        <is>
          <t>Enlight Metals</t>
        </is>
      </c>
      <c r="F672" s="17" t="n">
        <v>46282</v>
      </c>
      <c r="G672" t="inlineStr">
        <is>
          <t>no source names the stage</t>
        </is>
      </c>
    </row>
    <row r="673">
      <c r="A673" t="inlineStr">
        <is>
          <t>C04</t>
        </is>
      </c>
      <c r="B673" t="inlineStr">
        <is>
          <t>Stage undisclosed</t>
        </is>
      </c>
      <c r="C673" t="inlineStr">
        <is>
          <t>info</t>
        </is>
      </c>
      <c r="D673" t="inlineStr">
        <is>
          <t>R260918-beijan</t>
        </is>
      </c>
      <c r="E673" t="inlineStr">
        <is>
          <t>Beijan</t>
        </is>
      </c>
      <c r="F673" s="17" t="n">
        <v>46283</v>
      </c>
      <c r="G673" t="inlineStr">
        <is>
          <t>no source names the stage</t>
        </is>
      </c>
    </row>
    <row r="674">
      <c r="A674" t="inlineStr">
        <is>
          <t>C04</t>
        </is>
      </c>
      <c r="B674" t="inlineStr">
        <is>
          <t>Stage undisclosed</t>
        </is>
      </c>
      <c r="C674" t="inlineStr">
        <is>
          <t>info</t>
        </is>
      </c>
      <c r="D674" t="inlineStr">
        <is>
          <t>R260918-moromaa</t>
        </is>
      </c>
      <c r="E674" t="inlineStr">
        <is>
          <t>MoroMaa</t>
        </is>
      </c>
      <c r="F674" s="17" t="n">
        <v>46283</v>
      </c>
      <c r="G674" t="inlineStr">
        <is>
          <t>no source names the stage</t>
        </is>
      </c>
    </row>
    <row r="675">
      <c r="A675" t="inlineStr">
        <is>
          <t>C04</t>
        </is>
      </c>
      <c r="B675" t="inlineStr">
        <is>
          <t>Stage undisclosed</t>
        </is>
      </c>
      <c r="C675" t="inlineStr">
        <is>
          <t>info</t>
        </is>
      </c>
      <c r="D675" t="inlineStr">
        <is>
          <t>R260918-zinara</t>
        </is>
      </c>
      <c r="E675" t="inlineStr">
        <is>
          <t>Zinara</t>
        </is>
      </c>
      <c r="F675" s="17" t="n">
        <v>46283</v>
      </c>
      <c r="G675" t="inlineStr">
        <is>
          <t>no source names the stage</t>
        </is>
      </c>
    </row>
    <row r="676">
      <c r="A676" t="inlineStr">
        <is>
          <t>C04</t>
        </is>
      </c>
      <c r="B676" t="inlineStr">
        <is>
          <t>Stage undisclosed</t>
        </is>
      </c>
      <c r="C676" t="inlineStr">
        <is>
          <t>info</t>
        </is>
      </c>
      <c r="D676" t="inlineStr">
        <is>
          <t>R260922-sol</t>
        </is>
      </c>
      <c r="E676" t="inlineStr">
        <is>
          <t>Sol</t>
        </is>
      </c>
      <c r="F676" s="17" t="n">
        <v>46287</v>
      </c>
      <c r="G676" t="inlineStr">
        <is>
          <t>no source names the stage</t>
        </is>
      </c>
    </row>
    <row r="677">
      <c r="A677" t="inlineStr">
        <is>
          <t>C04</t>
        </is>
      </c>
      <c r="B677" t="inlineStr">
        <is>
          <t>Stage undisclosed</t>
        </is>
      </c>
      <c r="C677" t="inlineStr">
        <is>
          <t>info</t>
        </is>
      </c>
      <c r="D677" t="inlineStr">
        <is>
          <t>R260922-solfoundry</t>
        </is>
      </c>
      <c r="E677" t="inlineStr">
        <is>
          <t>Sol Foundry</t>
        </is>
      </c>
      <c r="F677" s="17" t="n">
        <v>46287</v>
      </c>
      <c r="G677" t="inlineStr">
        <is>
          <t>no source names the stage</t>
        </is>
      </c>
    </row>
    <row r="678">
      <c r="A678" t="inlineStr">
        <is>
          <t>C04</t>
        </is>
      </c>
      <c r="B678" t="inlineStr">
        <is>
          <t>Stage undisclosed</t>
        </is>
      </c>
      <c r="C678" t="inlineStr">
        <is>
          <t>info</t>
        </is>
      </c>
      <c r="D678" t="inlineStr">
        <is>
          <t>R260923-spacephilic</t>
        </is>
      </c>
      <c r="E678" t="inlineStr">
        <is>
          <t>Space Philic</t>
        </is>
      </c>
      <c r="F678" s="17" t="n">
        <v>46288</v>
      </c>
      <c r="G678" t="inlineStr">
        <is>
          <t>no source names the stage</t>
        </is>
      </c>
    </row>
    <row r="679">
      <c r="A679" t="inlineStr">
        <is>
          <t>C04</t>
        </is>
      </c>
      <c r="B679" t="inlineStr">
        <is>
          <t>Stage undisclosed</t>
        </is>
      </c>
      <c r="C679" t="inlineStr">
        <is>
          <t>info</t>
        </is>
      </c>
      <c r="D679" t="inlineStr">
        <is>
          <t>R260923-unniyarcha</t>
        </is>
      </c>
      <c r="E679" t="inlineStr">
        <is>
          <t>Unniyarcha</t>
        </is>
      </c>
      <c r="F679" s="17" t="n">
        <v>46288</v>
      </c>
      <c r="G679" t="inlineStr">
        <is>
          <t>no source names the stage</t>
        </is>
      </c>
    </row>
    <row r="680">
      <c r="A680" t="inlineStr">
        <is>
          <t>C04</t>
        </is>
      </c>
      <c r="B680" t="inlineStr">
        <is>
          <t>Stage undisclosed</t>
        </is>
      </c>
      <c r="C680" t="inlineStr">
        <is>
          <t>info</t>
        </is>
      </c>
      <c r="D680" t="inlineStr">
        <is>
          <t>R260924-ynos</t>
        </is>
      </c>
      <c r="E680" t="inlineStr">
        <is>
          <t>YNOS</t>
        </is>
      </c>
      <c r="F680" s="17" t="n">
        <v>46289</v>
      </c>
      <c r="G680" t="inlineStr">
        <is>
          <t>no source names the stage</t>
        </is>
      </c>
    </row>
    <row r="681">
      <c r="A681" t="inlineStr">
        <is>
          <t>C04</t>
        </is>
      </c>
      <c r="B681" t="inlineStr">
        <is>
          <t>Stage undisclosed</t>
        </is>
      </c>
      <c r="C681" t="inlineStr">
        <is>
          <t>info</t>
        </is>
      </c>
      <c r="D681" t="inlineStr">
        <is>
          <t>R260925-galaxeye</t>
        </is>
      </c>
      <c r="E681" t="inlineStr">
        <is>
          <t>GalaxEye</t>
        </is>
      </c>
      <c r="F681" s="17" t="n">
        <v>46290</v>
      </c>
      <c r="G681" t="inlineStr">
        <is>
          <t>no source names the stage</t>
        </is>
      </c>
    </row>
    <row r="682">
      <c r="A682" t="inlineStr">
        <is>
          <t>C04</t>
        </is>
      </c>
      <c r="B682" t="inlineStr">
        <is>
          <t>Stage undisclosed</t>
        </is>
      </c>
      <c r="C682" t="inlineStr">
        <is>
          <t>info</t>
        </is>
      </c>
      <c r="D682" t="inlineStr">
        <is>
          <t>R260928-aroviaconsumer</t>
        </is>
      </c>
      <c r="E682" t="inlineStr">
        <is>
          <t>Arovia Consumer</t>
        </is>
      </c>
      <c r="F682" s="17" t="n">
        <v>46293</v>
      </c>
      <c r="G682" t="inlineStr">
        <is>
          <t>no source names the stage</t>
        </is>
      </c>
    </row>
    <row r="683">
      <c r="A683" t="inlineStr">
        <is>
          <t>C04</t>
        </is>
      </c>
      <c r="B683" t="inlineStr">
        <is>
          <t>Stage undisclosed</t>
        </is>
      </c>
      <c r="C683" t="inlineStr">
        <is>
          <t>info</t>
        </is>
      </c>
      <c r="D683" t="inlineStr">
        <is>
          <t>R260928-keploy</t>
        </is>
      </c>
      <c r="E683" t="inlineStr">
        <is>
          <t>Keploy</t>
        </is>
      </c>
      <c r="F683" s="17" t="n">
        <v>46293</v>
      </c>
      <c r="G683" t="inlineStr">
        <is>
          <t>no source names the stage</t>
        </is>
      </c>
    </row>
    <row r="684">
      <c r="A684" t="inlineStr">
        <is>
          <t>C04</t>
        </is>
      </c>
      <c r="B684" t="inlineStr">
        <is>
          <t>Stage undisclosed</t>
        </is>
      </c>
      <c r="C684" t="inlineStr">
        <is>
          <t>info</t>
        </is>
      </c>
      <c r="D684" t="inlineStr">
        <is>
          <t>R260929-bharathousingn</t>
        </is>
      </c>
      <c r="E684" t="inlineStr">
        <is>
          <t>Bharat Housing Network</t>
        </is>
      </c>
      <c r="F684" s="17" t="n">
        <v>46294</v>
      </c>
      <c r="G684" t="inlineStr">
        <is>
          <t>no source names the stage</t>
        </is>
      </c>
    </row>
    <row r="685">
      <c r="A685" t="inlineStr">
        <is>
          <t>C04</t>
        </is>
      </c>
      <c r="B685" t="inlineStr">
        <is>
          <t>Stage undisclosed</t>
        </is>
      </c>
      <c r="C685" t="inlineStr">
        <is>
          <t>info</t>
        </is>
      </c>
      <c r="D685" t="inlineStr">
        <is>
          <t>R260929-figliving</t>
        </is>
      </c>
      <c r="E685" t="inlineStr">
        <is>
          <t>FIG Living</t>
        </is>
      </c>
      <c r="F685" s="17" t="n">
        <v>46294</v>
      </c>
      <c r="G685" t="inlineStr">
        <is>
          <t>no source names the stage</t>
        </is>
      </c>
    </row>
    <row r="686">
      <c r="A686" t="inlineStr">
        <is>
          <t>C04</t>
        </is>
      </c>
      <c r="B686" t="inlineStr">
        <is>
          <t>Stage undisclosed</t>
        </is>
      </c>
      <c r="C686" t="inlineStr">
        <is>
          <t>info</t>
        </is>
      </c>
      <c r="D686" t="inlineStr">
        <is>
          <t>R260929-formerboatexec</t>
        </is>
      </c>
      <c r="E686" t="inlineStr">
        <is>
          <t>former boAt executive</t>
        </is>
      </c>
      <c r="F686" s="17" t="n">
        <v>46294</v>
      </c>
      <c r="G686" t="inlineStr">
        <is>
          <t>no source names the stage</t>
        </is>
      </c>
    </row>
    <row r="687">
      <c r="A687" t="inlineStr">
        <is>
          <t>C04</t>
        </is>
      </c>
      <c r="B687" t="inlineStr">
        <is>
          <t>Stage undisclosed</t>
        </is>
      </c>
      <c r="C687" t="inlineStr">
        <is>
          <t>info</t>
        </is>
      </c>
      <c r="D687" t="inlineStr">
        <is>
          <t>R260930-gravity</t>
        </is>
      </c>
      <c r="E687" t="inlineStr">
        <is>
          <t>Gravity</t>
        </is>
      </c>
      <c r="F687" s="17" t="n">
        <v>46295</v>
      </c>
      <c r="G687" t="inlineStr">
        <is>
          <t>no source names the stage</t>
        </is>
      </c>
    </row>
    <row r="688">
      <c r="A688" t="inlineStr">
        <is>
          <t>C04</t>
        </is>
      </c>
      <c r="B688" t="inlineStr">
        <is>
          <t>Stage undisclosed</t>
        </is>
      </c>
      <c r="C688" t="inlineStr">
        <is>
          <t>info</t>
        </is>
      </c>
      <c r="D688" t="inlineStr">
        <is>
          <t>R260930-nknmedia</t>
        </is>
      </c>
      <c r="E688" t="inlineStr">
        <is>
          <t>NKN Media</t>
        </is>
      </c>
      <c r="F688" s="17" t="n">
        <v>46295</v>
      </c>
      <c r="G688" t="inlineStr">
        <is>
          <t>no source names the stage</t>
        </is>
      </c>
    </row>
    <row r="689">
      <c r="A689" t="inlineStr">
        <is>
          <t>C04</t>
        </is>
      </c>
      <c r="B689" t="inlineStr">
        <is>
          <t>Stage undisclosed</t>
        </is>
      </c>
      <c r="C689" t="inlineStr">
        <is>
          <t>info</t>
        </is>
      </c>
      <c r="D689" t="inlineStr">
        <is>
          <t>R261006-indigotex</t>
        </is>
      </c>
      <c r="E689" t="inlineStr">
        <is>
          <t>IndigoTex</t>
        </is>
      </c>
      <c r="F689" s="17" t="n">
        <v>46301</v>
      </c>
      <c r="G689" t="inlineStr">
        <is>
          <t>no source names the stage</t>
        </is>
      </c>
    </row>
    <row r="690">
      <c r="A690" t="inlineStr">
        <is>
          <t>C04</t>
        </is>
      </c>
      <c r="B690" t="inlineStr">
        <is>
          <t>Stage undisclosed</t>
        </is>
      </c>
      <c r="C690" t="inlineStr">
        <is>
          <t>info</t>
        </is>
      </c>
      <c r="D690" t="inlineStr">
        <is>
          <t>R261006-kineticage</t>
        </is>
      </c>
      <c r="E690" t="inlineStr">
        <is>
          <t>Kinetic Age</t>
        </is>
      </c>
      <c r="F690" s="17" t="n">
        <v>46301</v>
      </c>
      <c r="G690" t="inlineStr">
        <is>
          <t>no source names the stage</t>
        </is>
      </c>
    </row>
    <row r="691">
      <c r="A691" t="inlineStr">
        <is>
          <t>C04</t>
        </is>
      </c>
      <c r="B691" t="inlineStr">
        <is>
          <t>Stage undisclosed</t>
        </is>
      </c>
      <c r="C691" t="inlineStr">
        <is>
          <t>info</t>
        </is>
      </c>
      <c r="D691" t="inlineStr">
        <is>
          <t>R261006-lorazzo</t>
        </is>
      </c>
      <c r="E691" t="inlineStr">
        <is>
          <t>Lorazzo</t>
        </is>
      </c>
      <c r="F691" s="17" t="n">
        <v>46301</v>
      </c>
      <c r="G691" t="inlineStr">
        <is>
          <t>no source names the stage</t>
        </is>
      </c>
    </row>
    <row r="692">
      <c r="A692" t="inlineStr">
        <is>
          <t>C04</t>
        </is>
      </c>
      <c r="B692" t="inlineStr">
        <is>
          <t>Stage undisclosed</t>
        </is>
      </c>
      <c r="C692" t="inlineStr">
        <is>
          <t>info</t>
        </is>
      </c>
      <c r="D692" t="inlineStr">
        <is>
          <t>R261006-soberandco</t>
        </is>
      </c>
      <c r="E692" t="inlineStr">
        <is>
          <t>Sober &amp; Co</t>
        </is>
      </c>
      <c r="F692" s="17" t="n">
        <v>46301</v>
      </c>
      <c r="G692" t="inlineStr">
        <is>
          <t>no source names the stage</t>
        </is>
      </c>
    </row>
    <row r="693">
      <c r="A693" t="inlineStr">
        <is>
          <t>C04</t>
        </is>
      </c>
      <c r="B693" t="inlineStr">
        <is>
          <t>Stage undisclosed</t>
        </is>
      </c>
      <c r="C693" t="inlineStr">
        <is>
          <t>info</t>
        </is>
      </c>
      <c r="D693" t="inlineStr">
        <is>
          <t>R261007-quanfluence</t>
        </is>
      </c>
      <c r="E693" t="inlineStr">
        <is>
          <t>Quanfluence</t>
        </is>
      </c>
      <c r="F693" s="17" t="n">
        <v>46302</v>
      </c>
      <c r="G693" t="inlineStr">
        <is>
          <t>no source names the stage</t>
        </is>
      </c>
    </row>
    <row r="694">
      <c r="A694" t="inlineStr">
        <is>
          <t>C04</t>
        </is>
      </c>
      <c r="B694" t="inlineStr">
        <is>
          <t>Stage undisclosed</t>
        </is>
      </c>
      <c r="C694" t="inlineStr">
        <is>
          <t>info</t>
        </is>
      </c>
      <c r="D694" t="inlineStr">
        <is>
          <t>R261009-moneytruva</t>
        </is>
      </c>
      <c r="E694" t="inlineStr">
        <is>
          <t>MoneyTruVa</t>
        </is>
      </c>
      <c r="F694" s="17" t="n">
        <v>46304</v>
      </c>
      <c r="G694" t="inlineStr">
        <is>
          <t>no source names the stage</t>
        </is>
      </c>
    </row>
    <row r="695">
      <c r="A695" t="inlineStr">
        <is>
          <t>C04</t>
        </is>
      </c>
      <c r="B695" t="inlineStr">
        <is>
          <t>Stage undisclosed</t>
        </is>
      </c>
      <c r="C695" t="inlineStr">
        <is>
          <t>info</t>
        </is>
      </c>
      <c r="D695" t="inlineStr">
        <is>
          <t>R261009-neogrowth</t>
        </is>
      </c>
      <c r="E695" t="inlineStr">
        <is>
          <t>NeoGrowth</t>
        </is>
      </c>
      <c r="F695" s="17" t="n">
        <v>46304</v>
      </c>
      <c r="G695" t="inlineStr">
        <is>
          <t>no source names the stage</t>
        </is>
      </c>
    </row>
    <row r="696">
      <c r="A696" t="inlineStr">
        <is>
          <t>C04</t>
        </is>
      </c>
      <c r="B696" t="inlineStr">
        <is>
          <t>Stage undisclosed</t>
        </is>
      </c>
      <c r="C696" t="inlineStr">
        <is>
          <t>info</t>
        </is>
      </c>
      <c r="D696" t="inlineStr">
        <is>
          <t>R261010-nathabit</t>
        </is>
      </c>
      <c r="E696" t="inlineStr">
        <is>
          <t>Nat Habit</t>
        </is>
      </c>
      <c r="F696" s="17" t="n">
        <v>46305</v>
      </c>
      <c r="G696" t="inlineStr">
        <is>
          <t>no source names the stage</t>
        </is>
      </c>
    </row>
    <row r="697">
      <c r="A697" t="inlineStr">
        <is>
          <t>C05</t>
        </is>
      </c>
      <c r="B697" t="inlineStr">
        <is>
          <t>No investor named</t>
        </is>
      </c>
      <c r="C697" t="inlineStr">
        <is>
          <t>info</t>
        </is>
      </c>
      <c r="D697" t="inlineStr">
        <is>
          <t>R250113-weworkindia</t>
        </is>
      </c>
      <c r="E697" t="inlineStr">
        <is>
          <t>WeWork India</t>
        </is>
      </c>
      <c r="F697" s="17" t="n">
        <v>45670</v>
      </c>
      <c r="G697" t="inlineStr">
        <is>
          <t>no investor named</t>
        </is>
      </c>
    </row>
    <row r="698">
      <c r="A698" t="inlineStr">
        <is>
          <t>C05</t>
        </is>
      </c>
      <c r="B698" t="inlineStr">
        <is>
          <t>No investor named</t>
        </is>
      </c>
      <c r="C698" t="inlineStr">
        <is>
          <t>info</t>
        </is>
      </c>
      <c r="D698" t="inlineStr">
        <is>
          <t>R250115-eulermotors</t>
        </is>
      </c>
      <c r="E698" t="inlineStr">
        <is>
          <t>Euler Motors</t>
        </is>
      </c>
      <c r="F698" s="17" t="n">
        <v>45672</v>
      </c>
      <c r="G698" t="inlineStr">
        <is>
          <t>no investor named</t>
        </is>
      </c>
    </row>
    <row r="699">
      <c r="A699" t="inlineStr">
        <is>
          <t>C05</t>
        </is>
      </c>
      <c r="B699" t="inlineStr">
        <is>
          <t>No investor named</t>
        </is>
      </c>
      <c r="C699" t="inlineStr">
        <is>
          <t>info</t>
        </is>
      </c>
      <c r="D699" t="inlineStr">
        <is>
          <t>R250116-houseofchikank</t>
        </is>
      </c>
      <c r="E699" t="inlineStr">
        <is>
          <t>House of Chikankari</t>
        </is>
      </c>
      <c r="F699" s="17" t="n">
        <v>45673</v>
      </c>
      <c r="G699" t="inlineStr">
        <is>
          <t>no investor named</t>
        </is>
      </c>
    </row>
    <row r="700">
      <c r="A700" t="inlineStr">
        <is>
          <t>C05</t>
        </is>
      </c>
      <c r="B700" t="inlineStr">
        <is>
          <t>No investor named</t>
        </is>
      </c>
      <c r="C700" t="inlineStr">
        <is>
          <t>info</t>
        </is>
      </c>
      <c r="D700" t="inlineStr">
        <is>
          <t>R250127-meesho</t>
        </is>
      </c>
      <c r="E700" t="inlineStr">
        <is>
          <t>Meesho</t>
        </is>
      </c>
      <c r="F700" s="17" t="n">
        <v>45684</v>
      </c>
      <c r="G700" t="inlineStr">
        <is>
          <t>no investor named</t>
        </is>
      </c>
    </row>
    <row r="701">
      <c r="A701" t="inlineStr">
        <is>
          <t>C05</t>
        </is>
      </c>
      <c r="B701" t="inlineStr">
        <is>
          <t>No investor named</t>
        </is>
      </c>
      <c r="C701" t="inlineStr">
        <is>
          <t>info</t>
        </is>
      </c>
      <c r="D701" t="inlineStr">
        <is>
          <t>R250204-coluxe</t>
        </is>
      </c>
      <c r="E701" t="inlineStr">
        <is>
          <t>COLUXE</t>
        </is>
      </c>
      <c r="F701" s="17" t="n">
        <v>45692</v>
      </c>
      <c r="G701" t="inlineStr">
        <is>
          <t>no investor named</t>
        </is>
      </c>
    </row>
    <row r="702">
      <c r="A702" t="inlineStr">
        <is>
          <t>C05</t>
        </is>
      </c>
      <c r="B702" t="inlineStr">
        <is>
          <t>No investor named</t>
        </is>
      </c>
      <c r="C702" t="inlineStr">
        <is>
          <t>info</t>
        </is>
      </c>
      <c r="D702" t="inlineStr">
        <is>
          <t>R250205-mealawe</t>
        </is>
      </c>
      <c r="E702" t="inlineStr">
        <is>
          <t>Mealawe</t>
        </is>
      </c>
      <c r="F702" s="17" t="n">
        <v>45693</v>
      </c>
      <c r="G702" t="inlineStr">
        <is>
          <t>no investor named</t>
        </is>
      </c>
    </row>
    <row r="703">
      <c r="A703" t="inlineStr">
        <is>
          <t>C05</t>
        </is>
      </c>
      <c r="B703" t="inlineStr">
        <is>
          <t>No investor named</t>
        </is>
      </c>
      <c r="C703" t="inlineStr">
        <is>
          <t>info</t>
        </is>
      </c>
      <c r="D703" t="inlineStr">
        <is>
          <t>R250210-rubyworks</t>
        </is>
      </c>
      <c r="E703" t="inlineStr">
        <is>
          <t>Rubyworks</t>
        </is>
      </c>
      <c r="F703" s="17" t="n">
        <v>45698</v>
      </c>
      <c r="G703" t="inlineStr">
        <is>
          <t>no investor named</t>
        </is>
      </c>
    </row>
    <row r="704">
      <c r="A704" t="inlineStr">
        <is>
          <t>C05</t>
        </is>
      </c>
      <c r="B704" t="inlineStr">
        <is>
          <t>No investor named</t>
        </is>
      </c>
      <c r="C704" t="inlineStr">
        <is>
          <t>info</t>
        </is>
      </c>
      <c r="D704" t="inlineStr">
        <is>
          <t>R250219-agrilectric</t>
        </is>
      </c>
      <c r="E704" t="inlineStr">
        <is>
          <t>Agrilectric</t>
        </is>
      </c>
      <c r="F704" s="17" t="n">
        <v>45707</v>
      </c>
      <c r="G704" t="inlineStr">
        <is>
          <t>no investor named</t>
        </is>
      </c>
    </row>
    <row r="705">
      <c r="A705" t="inlineStr">
        <is>
          <t>C05</t>
        </is>
      </c>
      <c r="B705" t="inlineStr">
        <is>
          <t>No investor named</t>
        </is>
      </c>
      <c r="C705" t="inlineStr">
        <is>
          <t>info</t>
        </is>
      </c>
      <c r="D705" t="inlineStr">
        <is>
          <t>R250226-drreddy</t>
        </is>
      </c>
      <c r="E705" t="inlineStr">
        <is>
          <t>Dr. Reddy</t>
        </is>
      </c>
      <c r="F705" s="17" t="n">
        <v>45714</v>
      </c>
      <c r="G705" t="inlineStr">
        <is>
          <t>no investor named</t>
        </is>
      </c>
    </row>
    <row r="706">
      <c r="A706" t="inlineStr">
        <is>
          <t>C05</t>
        </is>
      </c>
      <c r="B706" t="inlineStr">
        <is>
          <t>No investor named</t>
        </is>
      </c>
      <c r="C706" t="inlineStr">
        <is>
          <t>info</t>
        </is>
      </c>
      <c r="D706" t="inlineStr">
        <is>
          <t>R250228-leadinvest</t>
        </is>
      </c>
      <c r="E706" t="inlineStr">
        <is>
          <t>Lead Invest</t>
        </is>
      </c>
      <c r="F706" s="17" t="n">
        <v>45716</v>
      </c>
      <c r="G706" t="inlineStr">
        <is>
          <t>no investor named</t>
        </is>
      </c>
    </row>
    <row r="707">
      <c r="A707" t="inlineStr">
        <is>
          <t>C05</t>
        </is>
      </c>
      <c r="B707" t="inlineStr">
        <is>
          <t>No investor named</t>
        </is>
      </c>
      <c r="C707" t="inlineStr">
        <is>
          <t>info</t>
        </is>
      </c>
      <c r="D707" t="inlineStr">
        <is>
          <t>R250304-fuzenio</t>
        </is>
      </c>
      <c r="E707" t="inlineStr">
        <is>
          <t>Fuzen.io</t>
        </is>
      </c>
      <c r="F707" s="17" t="n">
        <v>45720</v>
      </c>
      <c r="G707" t="inlineStr">
        <is>
          <t>no investor named</t>
        </is>
      </c>
    </row>
    <row r="708">
      <c r="A708" t="inlineStr">
        <is>
          <t>C05</t>
        </is>
      </c>
      <c r="B708" t="inlineStr">
        <is>
          <t>No investor named</t>
        </is>
      </c>
      <c r="C708" t="inlineStr">
        <is>
          <t>info</t>
        </is>
      </c>
      <c r="D708" t="inlineStr">
        <is>
          <t>R250304-sila</t>
        </is>
      </c>
      <c r="E708" t="inlineStr">
        <is>
          <t>SILA</t>
        </is>
      </c>
      <c r="F708" s="17" t="n">
        <v>45720</v>
      </c>
      <c r="G708" t="inlineStr">
        <is>
          <t>no investor named</t>
        </is>
      </c>
    </row>
    <row r="709">
      <c r="A709" t="inlineStr">
        <is>
          <t>C05</t>
        </is>
      </c>
      <c r="B709" t="inlineStr">
        <is>
          <t>No investor named</t>
        </is>
      </c>
      <c r="C709" t="inlineStr">
        <is>
          <t>info</t>
        </is>
      </c>
      <c r="D709" t="inlineStr">
        <is>
          <t>R250306-rajeevmisrason</t>
        </is>
      </c>
      <c r="E709" t="inlineStr">
        <is>
          <t>Rajeev Misra's son</t>
        </is>
      </c>
      <c r="F709" s="17" t="n">
        <v>45722</v>
      </c>
      <c r="G709" t="inlineStr">
        <is>
          <t>no investor named</t>
        </is>
      </c>
    </row>
    <row r="710">
      <c r="A710" t="inlineStr">
        <is>
          <t>C05</t>
        </is>
      </c>
      <c r="B710" t="inlineStr">
        <is>
          <t>No investor named</t>
        </is>
      </c>
      <c r="C710" t="inlineStr">
        <is>
          <t>info</t>
        </is>
      </c>
      <c r="D710" t="inlineStr">
        <is>
          <t>R250310-voltmoney</t>
        </is>
      </c>
      <c r="E710" t="inlineStr">
        <is>
          <t>Volt Money</t>
        </is>
      </c>
      <c r="F710" s="17" t="n">
        <v>45726</v>
      </c>
      <c r="G710" t="inlineStr">
        <is>
          <t>no investor named</t>
        </is>
      </c>
    </row>
    <row r="711">
      <c r="A711" t="inlineStr">
        <is>
          <t>C05</t>
        </is>
      </c>
      <c r="B711" t="inlineStr">
        <is>
          <t>No investor named</t>
        </is>
      </c>
      <c r="C711" t="inlineStr">
        <is>
          <t>info</t>
        </is>
      </c>
      <c r="D711" t="inlineStr">
        <is>
          <t>R250312-weskill</t>
        </is>
      </c>
      <c r="E711" t="inlineStr">
        <is>
          <t>Weskill</t>
        </is>
      </c>
      <c r="F711" s="17" t="n">
        <v>45728</v>
      </c>
      <c r="G711" t="inlineStr">
        <is>
          <t>no investor named</t>
        </is>
      </c>
    </row>
    <row r="712">
      <c r="A712" t="inlineStr">
        <is>
          <t>C05</t>
        </is>
      </c>
      <c r="B712" t="inlineStr">
        <is>
          <t>No investor named</t>
        </is>
      </c>
      <c r="C712" t="inlineStr">
        <is>
          <t>info</t>
        </is>
      </c>
      <c r="D712" t="inlineStr">
        <is>
          <t>R250318-ihubrobotics</t>
        </is>
      </c>
      <c r="E712" t="inlineStr">
        <is>
          <t>iHub Robotics</t>
        </is>
      </c>
      <c r="F712" s="17" t="n">
        <v>45734</v>
      </c>
      <c r="G712" t="inlineStr">
        <is>
          <t>no investor named</t>
        </is>
      </c>
    </row>
    <row r="713">
      <c r="A713" t="inlineStr">
        <is>
          <t>C05</t>
        </is>
      </c>
      <c r="B713" t="inlineStr">
        <is>
          <t>No investor named</t>
        </is>
      </c>
      <c r="C713" t="inlineStr">
        <is>
          <t>info</t>
        </is>
      </c>
      <c r="D713" t="inlineStr">
        <is>
          <t>R250320-eulermotors</t>
        </is>
      </c>
      <c r="E713" t="inlineStr">
        <is>
          <t>Euler Motors</t>
        </is>
      </c>
      <c r="F713" s="17" t="n">
        <v>45736</v>
      </c>
      <c r="G713" t="inlineStr">
        <is>
          <t>no investor named</t>
        </is>
      </c>
    </row>
    <row r="714">
      <c r="A714" t="inlineStr">
        <is>
          <t>C05</t>
        </is>
      </c>
      <c r="B714" t="inlineStr">
        <is>
          <t>No investor named</t>
        </is>
      </c>
      <c r="C714" t="inlineStr">
        <is>
          <t>info</t>
        </is>
      </c>
      <c r="D714" t="inlineStr">
        <is>
          <t>R250320-everhopeoncolo</t>
        </is>
      </c>
      <c r="E714" t="inlineStr">
        <is>
          <t>Everhope Oncology</t>
        </is>
      </c>
      <c r="F714" s="17" t="n">
        <v>45736</v>
      </c>
      <c r="G714" t="inlineStr">
        <is>
          <t>no investor named</t>
        </is>
      </c>
    </row>
    <row r="715">
      <c r="A715" t="inlineStr">
        <is>
          <t>C05</t>
        </is>
      </c>
      <c r="B715" t="inlineStr">
        <is>
          <t>No investor named</t>
        </is>
      </c>
      <c r="C715" t="inlineStr">
        <is>
          <t>info</t>
        </is>
      </c>
      <c r="D715" t="inlineStr">
        <is>
          <t>R250325-pizzawings</t>
        </is>
      </c>
      <c r="E715" t="inlineStr">
        <is>
          <t>Pizza Wings</t>
        </is>
      </c>
      <c r="F715" s="17" t="n">
        <v>45741</v>
      </c>
      <c r="G715" t="inlineStr">
        <is>
          <t>no investor named</t>
        </is>
      </c>
    </row>
    <row r="716">
      <c r="A716" t="inlineStr">
        <is>
          <t>C05</t>
        </is>
      </c>
      <c r="B716" t="inlineStr">
        <is>
          <t>No investor named</t>
        </is>
      </c>
      <c r="C716" t="inlineStr">
        <is>
          <t>info</t>
        </is>
      </c>
      <c r="D716" t="inlineStr">
        <is>
          <t>R250326-zealopiatechno</t>
        </is>
      </c>
      <c r="E716" t="inlineStr">
        <is>
          <t>Zealopia Technologies</t>
        </is>
      </c>
      <c r="F716" s="17" t="n">
        <v>45742</v>
      </c>
      <c r="G716" t="inlineStr">
        <is>
          <t>no investor named</t>
        </is>
      </c>
    </row>
    <row r="717">
      <c r="A717" t="inlineStr">
        <is>
          <t>C05</t>
        </is>
      </c>
      <c r="B717" t="inlineStr">
        <is>
          <t>No investor named</t>
        </is>
      </c>
      <c r="C717" t="inlineStr">
        <is>
          <t>info</t>
        </is>
      </c>
      <c r="D717" t="inlineStr">
        <is>
          <t>R250327-konectu</t>
        </is>
      </c>
      <c r="E717" t="inlineStr">
        <is>
          <t>Konect U</t>
        </is>
      </c>
      <c r="F717" s="17" t="n">
        <v>45743</v>
      </c>
      <c r="G717" t="inlineStr">
        <is>
          <t>no investor named</t>
        </is>
      </c>
    </row>
    <row r="718">
      <c r="A718" t="inlineStr">
        <is>
          <t>C05</t>
        </is>
      </c>
      <c r="B718" t="inlineStr">
        <is>
          <t>No investor named</t>
        </is>
      </c>
      <c r="C718" t="inlineStr">
        <is>
          <t>info</t>
        </is>
      </c>
      <c r="D718" t="inlineStr">
        <is>
          <t>R250327-m1xchange</t>
        </is>
      </c>
      <c r="E718" t="inlineStr">
        <is>
          <t>M1xchange</t>
        </is>
      </c>
      <c r="F718" s="17" t="n">
        <v>45743</v>
      </c>
      <c r="G718" t="inlineStr">
        <is>
          <t>no investor named</t>
        </is>
      </c>
    </row>
    <row r="719">
      <c r="A719" t="inlineStr">
        <is>
          <t>C05</t>
        </is>
      </c>
      <c r="B719" t="inlineStr">
        <is>
          <t>No investor named</t>
        </is>
      </c>
      <c r="C719" t="inlineStr">
        <is>
          <t>info</t>
        </is>
      </c>
      <c r="D719" t="inlineStr">
        <is>
          <t>R250402-argoswatches</t>
        </is>
      </c>
      <c r="E719" t="inlineStr">
        <is>
          <t>Argos Watches</t>
        </is>
      </c>
      <c r="F719" s="17" t="n">
        <v>45749</v>
      </c>
      <c r="G719" t="inlineStr">
        <is>
          <t>no investor named</t>
        </is>
      </c>
    </row>
    <row r="720">
      <c r="A720" t="inlineStr">
        <is>
          <t>C05</t>
        </is>
      </c>
      <c r="B720" t="inlineStr">
        <is>
          <t>No investor named</t>
        </is>
      </c>
      <c r="C720" t="inlineStr">
        <is>
          <t>info</t>
        </is>
      </c>
      <c r="D720" t="inlineStr">
        <is>
          <t>R250407-sadbhavfuturet</t>
        </is>
      </c>
      <c r="E720" t="inlineStr">
        <is>
          <t>Sadbhav Future Tech</t>
        </is>
      </c>
      <c r="F720" s="17" t="n">
        <v>45754</v>
      </c>
      <c r="G720" t="inlineStr">
        <is>
          <t>no investor named</t>
        </is>
      </c>
    </row>
    <row r="721">
      <c r="A721" t="inlineStr">
        <is>
          <t>C05</t>
        </is>
      </c>
      <c r="B721" t="inlineStr">
        <is>
          <t>No investor named</t>
        </is>
      </c>
      <c r="C721" t="inlineStr">
        <is>
          <t>info</t>
        </is>
      </c>
      <c r="D721" t="inlineStr">
        <is>
          <t>R250411-greenline</t>
        </is>
      </c>
      <c r="E721" t="inlineStr">
        <is>
          <t>GreenLine</t>
        </is>
      </c>
      <c r="F721" s="17" t="n">
        <v>45757</v>
      </c>
      <c r="G721" t="inlineStr">
        <is>
          <t>no investor named</t>
        </is>
      </c>
    </row>
    <row r="722">
      <c r="A722" t="inlineStr">
        <is>
          <t>C05</t>
        </is>
      </c>
      <c r="B722" t="inlineStr">
        <is>
          <t>No investor named</t>
        </is>
      </c>
      <c r="C722" t="inlineStr">
        <is>
          <t>info</t>
        </is>
      </c>
      <c r="D722" t="inlineStr">
        <is>
          <t>R250414-pujashreeprodu</t>
        </is>
      </c>
      <c r="E722" t="inlineStr">
        <is>
          <t>PujaShree Products Global</t>
        </is>
      </c>
      <c r="F722" s="17" t="n">
        <v>45761</v>
      </c>
      <c r="G722" t="inlineStr">
        <is>
          <t>no investor named</t>
        </is>
      </c>
    </row>
    <row r="723">
      <c r="A723" t="inlineStr">
        <is>
          <t>C05</t>
        </is>
      </c>
      <c r="B723" t="inlineStr">
        <is>
          <t>No investor named</t>
        </is>
      </c>
      <c r="C723" t="inlineStr">
        <is>
          <t>info</t>
        </is>
      </c>
      <c r="D723" t="inlineStr">
        <is>
          <t>R250415-ochrespirits</t>
        </is>
      </c>
      <c r="E723" t="inlineStr">
        <is>
          <t>Ochre Spirits</t>
        </is>
      </c>
      <c r="F723" s="17" t="n">
        <v>45762</v>
      </c>
      <c r="G723" t="inlineStr">
        <is>
          <t>no investor named</t>
        </is>
      </c>
    </row>
    <row r="724">
      <c r="A724" t="inlineStr">
        <is>
          <t>C05</t>
        </is>
      </c>
      <c r="B724" t="inlineStr">
        <is>
          <t>No investor named</t>
        </is>
      </c>
      <c r="C724" t="inlineStr">
        <is>
          <t>info</t>
        </is>
      </c>
      <c r="D724" t="inlineStr">
        <is>
          <t>R250423-farmart</t>
        </is>
      </c>
      <c r="E724" t="inlineStr">
        <is>
          <t>FarMart</t>
        </is>
      </c>
      <c r="F724" s="17" t="n">
        <v>45770</v>
      </c>
      <c r="G724" t="inlineStr">
        <is>
          <t>no investor named</t>
        </is>
      </c>
    </row>
    <row r="725">
      <c r="A725" t="inlineStr">
        <is>
          <t>C05</t>
        </is>
      </c>
      <c r="B725" t="inlineStr">
        <is>
          <t>No investor named</t>
        </is>
      </c>
      <c r="C725" t="inlineStr">
        <is>
          <t>info</t>
        </is>
      </c>
      <c r="D725" t="inlineStr">
        <is>
          <t>R250514-thirdbracket</t>
        </is>
      </c>
      <c r="E725" t="inlineStr">
        <is>
          <t>Third Bracket</t>
        </is>
      </c>
      <c r="F725" s="17" t="n">
        <v>45791</v>
      </c>
      <c r="G725" t="inlineStr">
        <is>
          <t>no investor named</t>
        </is>
      </c>
    </row>
    <row r="726">
      <c r="A726" t="inlineStr">
        <is>
          <t>C05</t>
        </is>
      </c>
      <c r="B726" t="inlineStr">
        <is>
          <t>No investor named</t>
        </is>
      </c>
      <c r="C726" t="inlineStr">
        <is>
          <t>info</t>
        </is>
      </c>
      <c r="D726" t="inlineStr">
        <is>
          <t>R250520-paysprint</t>
        </is>
      </c>
      <c r="E726" t="inlineStr">
        <is>
          <t>PaySprint</t>
        </is>
      </c>
      <c r="F726" s="17" t="n">
        <v>45797</v>
      </c>
      <c r="G726" t="inlineStr">
        <is>
          <t>no investor named</t>
        </is>
      </c>
    </row>
    <row r="727">
      <c r="A727" t="inlineStr">
        <is>
          <t>C05</t>
        </is>
      </c>
      <c r="B727" t="inlineStr">
        <is>
          <t>No investor named</t>
        </is>
      </c>
      <c r="C727" t="inlineStr">
        <is>
          <t>info</t>
        </is>
      </c>
      <c r="D727" t="inlineStr">
        <is>
          <t>R250528-ilios72alterna</t>
        </is>
      </c>
      <c r="E727" t="inlineStr">
        <is>
          <t>ILIOS 72 Alternative Capital</t>
        </is>
      </c>
      <c r="F727" s="17" t="n">
        <v>45805</v>
      </c>
      <c r="G727" t="inlineStr">
        <is>
          <t>no investor named</t>
        </is>
      </c>
    </row>
    <row r="728">
      <c r="A728" t="inlineStr">
        <is>
          <t>C05</t>
        </is>
      </c>
      <c r="B728" t="inlineStr">
        <is>
          <t>No investor named</t>
        </is>
      </c>
      <c r="C728" t="inlineStr">
        <is>
          <t>info</t>
        </is>
      </c>
      <c r="D728" t="inlineStr">
        <is>
          <t>R250602-pepperfry</t>
        </is>
      </c>
      <c r="E728" t="inlineStr">
        <is>
          <t>Pepperfry</t>
        </is>
      </c>
      <c r="F728" s="17" t="n">
        <v>45810</v>
      </c>
      <c r="G728" t="inlineStr">
        <is>
          <t>no investor named</t>
        </is>
      </c>
    </row>
    <row r="729">
      <c r="A729" t="inlineStr">
        <is>
          <t>C05</t>
        </is>
      </c>
      <c r="B729" t="inlineStr">
        <is>
          <t>No investor named</t>
        </is>
      </c>
      <c r="C729" t="inlineStr">
        <is>
          <t>info</t>
        </is>
      </c>
      <c r="D729" t="inlineStr">
        <is>
          <t>R250606-kosmcai</t>
        </is>
      </c>
      <c r="E729" t="inlineStr">
        <is>
          <t>Kosmc AI</t>
        </is>
      </c>
      <c r="F729" s="17" t="n">
        <v>45814</v>
      </c>
      <c r="G729" t="inlineStr">
        <is>
          <t>no investor named</t>
        </is>
      </c>
    </row>
    <row r="730">
      <c r="A730" t="inlineStr">
        <is>
          <t>C05</t>
        </is>
      </c>
      <c r="B730" t="inlineStr">
        <is>
          <t>No investor named</t>
        </is>
      </c>
      <c r="C730" t="inlineStr">
        <is>
          <t>info</t>
        </is>
      </c>
      <c r="D730" t="inlineStr">
        <is>
          <t>R250612-zype</t>
        </is>
      </c>
      <c r="E730" t="inlineStr">
        <is>
          <t>Zype</t>
        </is>
      </c>
      <c r="F730" s="17" t="n">
        <v>45820</v>
      </c>
      <c r="G730" t="inlineStr">
        <is>
          <t>no investor named</t>
        </is>
      </c>
    </row>
    <row r="731">
      <c r="A731" t="inlineStr">
        <is>
          <t>C05</t>
        </is>
      </c>
      <c r="B731" t="inlineStr">
        <is>
          <t>No investor named</t>
        </is>
      </c>
      <c r="C731" t="inlineStr">
        <is>
          <t>info</t>
        </is>
      </c>
      <c r="D731" t="inlineStr">
        <is>
          <t>R250616-fundbyatomicca</t>
        </is>
      </c>
      <c r="E731" t="inlineStr">
        <is>
          <t>fund by Atomic Capital</t>
        </is>
      </c>
      <c r="F731" s="17" t="n">
        <v>45824</v>
      </c>
      <c r="G731" t="inlineStr">
        <is>
          <t>no investor named</t>
        </is>
      </c>
    </row>
    <row r="732">
      <c r="A732" t="inlineStr">
        <is>
          <t>C05</t>
        </is>
      </c>
      <c r="B732" t="inlineStr">
        <is>
          <t>No investor named</t>
        </is>
      </c>
      <c r="C732" t="inlineStr">
        <is>
          <t>info</t>
        </is>
      </c>
      <c r="D732" t="inlineStr">
        <is>
          <t>R250617-nbfcdugarfinan</t>
        </is>
      </c>
      <c r="E732" t="inlineStr">
        <is>
          <t>NBFC Dugar Finance</t>
        </is>
      </c>
      <c r="F732" s="17" t="n">
        <v>45825</v>
      </c>
      <c r="G732" t="inlineStr">
        <is>
          <t>no investor named</t>
        </is>
      </c>
    </row>
    <row r="733">
      <c r="A733" t="inlineStr">
        <is>
          <t>C05</t>
        </is>
      </c>
      <c r="B733" t="inlineStr">
        <is>
          <t>No investor named</t>
        </is>
      </c>
      <c r="C733" t="inlineStr">
        <is>
          <t>info</t>
        </is>
      </c>
      <c r="D733" t="inlineStr">
        <is>
          <t>R250619-okinawa</t>
        </is>
      </c>
      <c r="E733" t="inlineStr">
        <is>
          <t>Okinawa</t>
        </is>
      </c>
      <c r="F733" s="17" t="n">
        <v>45827</v>
      </c>
      <c r="G733" t="inlineStr">
        <is>
          <t>no investor named</t>
        </is>
      </c>
    </row>
    <row r="734">
      <c r="A734" t="inlineStr">
        <is>
          <t>C05</t>
        </is>
      </c>
      <c r="B734" t="inlineStr">
        <is>
          <t>No investor named</t>
        </is>
      </c>
      <c r="C734" t="inlineStr">
        <is>
          <t>info</t>
        </is>
      </c>
      <c r="D734" t="inlineStr">
        <is>
          <t>R250619-onehandclapmed</t>
        </is>
      </c>
      <c r="E734" t="inlineStr">
        <is>
          <t>One Hand Clap Media</t>
        </is>
      </c>
      <c r="F734" s="17" t="n">
        <v>45827</v>
      </c>
      <c r="G734" t="inlineStr">
        <is>
          <t>no investor named</t>
        </is>
      </c>
    </row>
    <row r="735">
      <c r="A735" t="inlineStr">
        <is>
          <t>C05</t>
        </is>
      </c>
      <c r="B735" t="inlineStr">
        <is>
          <t>No investor named</t>
        </is>
      </c>
      <c r="C735" t="inlineStr">
        <is>
          <t>info</t>
        </is>
      </c>
      <c r="D735" t="inlineStr">
        <is>
          <t>R250623-incredholdings</t>
        </is>
      </c>
      <c r="E735" t="inlineStr">
        <is>
          <t>InCred Holdings</t>
        </is>
      </c>
      <c r="F735" s="17" t="n">
        <v>45831</v>
      </c>
      <c r="G735" t="inlineStr">
        <is>
          <t>no investor named</t>
        </is>
      </c>
    </row>
    <row r="736">
      <c r="A736" t="inlineStr">
        <is>
          <t>C05</t>
        </is>
      </c>
      <c r="B736" t="inlineStr">
        <is>
          <t>No investor named</t>
        </is>
      </c>
      <c r="C736" t="inlineStr">
        <is>
          <t>info</t>
        </is>
      </c>
      <c r="D736" t="inlineStr">
        <is>
          <t>R250624-skippi</t>
        </is>
      </c>
      <c r="E736" t="inlineStr">
        <is>
          <t>Skippi</t>
        </is>
      </c>
      <c r="F736" s="17" t="n">
        <v>45832</v>
      </c>
      <c r="G736" t="inlineStr">
        <is>
          <t>no investor named</t>
        </is>
      </c>
    </row>
    <row r="737">
      <c r="A737" t="inlineStr">
        <is>
          <t>C05</t>
        </is>
      </c>
      <c r="B737" t="inlineStr">
        <is>
          <t>No investor named</t>
        </is>
      </c>
      <c r="C737" t="inlineStr">
        <is>
          <t>info</t>
        </is>
      </c>
      <c r="D737" t="inlineStr">
        <is>
          <t>R250625-indiabonds</t>
        </is>
      </c>
      <c r="E737" t="inlineStr">
        <is>
          <t>IndiaBonds</t>
        </is>
      </c>
      <c r="F737" s="17" t="n">
        <v>45833</v>
      </c>
      <c r="G737" t="inlineStr">
        <is>
          <t>no investor named</t>
        </is>
      </c>
    </row>
    <row r="738">
      <c r="A738" t="inlineStr">
        <is>
          <t>C05</t>
        </is>
      </c>
      <c r="B738" t="inlineStr">
        <is>
          <t>No investor named</t>
        </is>
      </c>
      <c r="C738" t="inlineStr">
        <is>
          <t>info</t>
        </is>
      </c>
      <c r="D738" t="inlineStr">
        <is>
          <t>R250701-astrophelaeros</t>
        </is>
      </c>
      <c r="E738" t="inlineStr">
        <is>
          <t>Astrophel Aerospace</t>
        </is>
      </c>
      <c r="F738" s="17" t="n">
        <v>45839</v>
      </c>
      <c r="G738" t="inlineStr">
        <is>
          <t>no investor named</t>
        </is>
      </c>
    </row>
    <row r="739">
      <c r="A739" t="inlineStr">
        <is>
          <t>C05</t>
        </is>
      </c>
      <c r="B739" t="inlineStr">
        <is>
          <t>No investor named</t>
        </is>
      </c>
      <c r="C739" t="inlineStr">
        <is>
          <t>info</t>
        </is>
      </c>
      <c r="D739" t="inlineStr">
        <is>
          <t>R250708-creditwisecapi</t>
        </is>
      </c>
      <c r="E739" t="inlineStr">
        <is>
          <t>Credit Wise Capital</t>
        </is>
      </c>
      <c r="F739" s="17" t="n">
        <v>45846</v>
      </c>
      <c r="G739" t="inlineStr">
        <is>
          <t>no investor named</t>
        </is>
      </c>
    </row>
    <row r="740">
      <c r="A740" t="inlineStr">
        <is>
          <t>C05</t>
        </is>
      </c>
      <c r="B740" t="inlineStr">
        <is>
          <t>No investor named</t>
        </is>
      </c>
      <c r="C740" t="inlineStr">
        <is>
          <t>info</t>
        </is>
      </c>
      <c r="D740" t="inlineStr">
        <is>
          <t>R250708-qoruz</t>
        </is>
      </c>
      <c r="E740" t="inlineStr">
        <is>
          <t>Qoruz</t>
        </is>
      </c>
      <c r="F740" s="17" t="n">
        <v>45846</v>
      </c>
      <c r="G740" t="inlineStr">
        <is>
          <t>no investor named</t>
        </is>
      </c>
    </row>
    <row r="741">
      <c r="A741" t="inlineStr">
        <is>
          <t>C05</t>
        </is>
      </c>
      <c r="B741" t="inlineStr">
        <is>
          <t>No investor named</t>
        </is>
      </c>
      <c r="C741" t="inlineStr">
        <is>
          <t>info</t>
        </is>
      </c>
      <c r="D741" t="inlineStr">
        <is>
          <t>R250709-enercomp</t>
        </is>
      </c>
      <c r="E741" t="inlineStr">
        <is>
          <t>Enercomp</t>
        </is>
      </c>
      <c r="F741" s="17" t="n">
        <v>45847</v>
      </c>
      <c r="G741" t="inlineStr">
        <is>
          <t>no investor named</t>
        </is>
      </c>
    </row>
    <row r="742">
      <c r="A742" t="inlineStr">
        <is>
          <t>C05</t>
        </is>
      </c>
      <c r="B742" t="inlineStr">
        <is>
          <t>No investor named</t>
        </is>
      </c>
      <c r="C742" t="inlineStr">
        <is>
          <t>info</t>
        </is>
      </c>
      <c r="D742" t="inlineStr">
        <is>
          <t>R250710-infinityfincor</t>
        </is>
      </c>
      <c r="E742" t="inlineStr">
        <is>
          <t>Infinity Fincorp</t>
        </is>
      </c>
      <c r="F742" s="17" t="n">
        <v>45848</v>
      </c>
      <c r="G742" t="inlineStr">
        <is>
          <t>no investor named</t>
        </is>
      </c>
    </row>
    <row r="743">
      <c r="A743" t="inlineStr">
        <is>
          <t>C05</t>
        </is>
      </c>
      <c r="B743" t="inlineStr">
        <is>
          <t>No investor named</t>
        </is>
      </c>
      <c r="C743" t="inlineStr">
        <is>
          <t>info</t>
        </is>
      </c>
      <c r="D743" t="inlineStr">
        <is>
          <t>R250715-fractal</t>
        </is>
      </c>
      <c r="E743" t="inlineStr">
        <is>
          <t>Fractal</t>
        </is>
      </c>
      <c r="F743" s="17" t="n">
        <v>45853</v>
      </c>
      <c r="G743" t="inlineStr">
        <is>
          <t>no investor named</t>
        </is>
      </c>
    </row>
    <row r="744">
      <c r="A744" t="inlineStr">
        <is>
          <t>C05</t>
        </is>
      </c>
      <c r="B744" t="inlineStr">
        <is>
          <t>No investor named</t>
        </is>
      </c>
      <c r="C744" t="inlineStr">
        <is>
          <t>info</t>
        </is>
      </c>
      <c r="D744" t="inlineStr">
        <is>
          <t>R250718-omspace</t>
        </is>
      </c>
      <c r="E744" t="inlineStr">
        <is>
          <t>Omspace Rocket &amp; Exploration</t>
        </is>
      </c>
      <c r="F744" s="17" t="n">
        <v>45856</v>
      </c>
      <c r="G744" t="inlineStr">
        <is>
          <t>no investor named</t>
        </is>
      </c>
    </row>
    <row r="745">
      <c r="A745" t="inlineStr">
        <is>
          <t>C05</t>
        </is>
      </c>
      <c r="B745" t="inlineStr">
        <is>
          <t>No investor named</t>
        </is>
      </c>
      <c r="C745" t="inlineStr">
        <is>
          <t>info</t>
        </is>
      </c>
      <c r="D745" t="inlineStr">
        <is>
          <t>R250722-klugklug</t>
        </is>
      </c>
      <c r="E745" t="inlineStr">
        <is>
          <t>KlugKlug</t>
        </is>
      </c>
      <c r="F745" s="17" t="n">
        <v>45860</v>
      </c>
      <c r="G745" t="inlineStr">
        <is>
          <t>no investor named</t>
        </is>
      </c>
    </row>
    <row r="746">
      <c r="A746" t="inlineStr">
        <is>
          <t>C05</t>
        </is>
      </c>
      <c r="B746" t="inlineStr">
        <is>
          <t>No investor named</t>
        </is>
      </c>
      <c r="C746" t="inlineStr">
        <is>
          <t>info</t>
        </is>
      </c>
      <c r="D746" t="inlineStr">
        <is>
          <t>R250723-pristyncare</t>
        </is>
      </c>
      <c r="E746" t="inlineStr">
        <is>
          <t>Pristyn Care</t>
        </is>
      </c>
      <c r="F746" s="17" t="n">
        <v>45861</v>
      </c>
      <c r="G746" t="inlineStr">
        <is>
          <t>no investor named</t>
        </is>
      </c>
    </row>
    <row r="747">
      <c r="A747" t="inlineStr">
        <is>
          <t>C05</t>
        </is>
      </c>
      <c r="B747" t="inlineStr">
        <is>
          <t>No investor named</t>
        </is>
      </c>
      <c r="C747" t="inlineStr">
        <is>
          <t>info</t>
        </is>
      </c>
      <c r="D747" t="inlineStr">
        <is>
          <t>R250729-optiproai</t>
        </is>
      </c>
      <c r="E747" t="inlineStr">
        <is>
          <t>Optipro AI</t>
        </is>
      </c>
      <c r="F747" s="17" t="n">
        <v>45867</v>
      </c>
      <c r="G747" t="inlineStr">
        <is>
          <t>no investor named</t>
        </is>
      </c>
    </row>
    <row r="748">
      <c r="A748" t="inlineStr">
        <is>
          <t>C05</t>
        </is>
      </c>
      <c r="B748" t="inlineStr">
        <is>
          <t>No investor named</t>
        </is>
      </c>
      <c r="C748" t="inlineStr">
        <is>
          <t>info</t>
        </is>
      </c>
      <c r="D748" t="inlineStr">
        <is>
          <t>R250730-acko</t>
        </is>
      </c>
      <c r="E748" t="inlineStr">
        <is>
          <t>Acko</t>
        </is>
      </c>
      <c r="F748" s="17" t="n">
        <v>45868</v>
      </c>
      <c r="G748" t="inlineStr">
        <is>
          <t>no investor named</t>
        </is>
      </c>
    </row>
    <row r="749">
      <c r="A749" t="inlineStr">
        <is>
          <t>C05</t>
        </is>
      </c>
      <c r="B749" t="inlineStr">
        <is>
          <t>No investor named</t>
        </is>
      </c>
      <c r="C749" t="inlineStr">
        <is>
          <t>info</t>
        </is>
      </c>
      <c r="D749" t="inlineStr">
        <is>
          <t>R250730-iline</t>
        </is>
      </c>
      <c r="E749" t="inlineStr">
        <is>
          <t>ILine</t>
        </is>
      </c>
      <c r="F749" s="17" t="n">
        <v>45868</v>
      </c>
      <c r="G749" t="inlineStr">
        <is>
          <t>no investor named</t>
        </is>
      </c>
    </row>
    <row r="750">
      <c r="A750" t="inlineStr">
        <is>
          <t>C05</t>
        </is>
      </c>
      <c r="B750" t="inlineStr">
        <is>
          <t>No investor named</t>
        </is>
      </c>
      <c r="C750" t="inlineStr">
        <is>
          <t>info</t>
        </is>
      </c>
      <c r="D750" t="inlineStr">
        <is>
          <t>R250805-politepowertec</t>
        </is>
      </c>
      <c r="E750" t="inlineStr">
        <is>
          <t>Polite Powertech</t>
        </is>
      </c>
      <c r="F750" s="17" t="n">
        <v>45874</v>
      </c>
      <c r="G750" t="inlineStr">
        <is>
          <t>no investor named</t>
        </is>
      </c>
    </row>
    <row r="751">
      <c r="A751" t="inlineStr">
        <is>
          <t>C05</t>
        </is>
      </c>
      <c r="B751" t="inlineStr">
        <is>
          <t>No investor named</t>
        </is>
      </c>
      <c r="C751" t="inlineStr">
        <is>
          <t>info</t>
        </is>
      </c>
      <c r="D751" t="inlineStr">
        <is>
          <t>R250805-shortgun</t>
        </is>
      </c>
      <c r="E751" t="inlineStr">
        <is>
          <t>Shortgun Games</t>
        </is>
      </c>
      <c r="F751" s="17" t="n">
        <v>45874</v>
      </c>
      <c r="G751" t="inlineStr">
        <is>
          <t>no investor named</t>
        </is>
      </c>
    </row>
    <row r="752">
      <c r="A752" t="inlineStr">
        <is>
          <t>C05</t>
        </is>
      </c>
      <c r="B752" t="inlineStr">
        <is>
          <t>No investor named</t>
        </is>
      </c>
      <c r="C752" t="inlineStr">
        <is>
          <t>info</t>
        </is>
      </c>
      <c r="D752" t="inlineStr">
        <is>
          <t>R250818-amnex</t>
        </is>
      </c>
      <c r="E752" t="inlineStr">
        <is>
          <t>Amnex</t>
        </is>
      </c>
      <c r="F752" s="17" t="n">
        <v>45887</v>
      </c>
      <c r="G752" t="inlineStr">
        <is>
          <t>no investor named</t>
        </is>
      </c>
    </row>
    <row r="753">
      <c r="A753" t="inlineStr">
        <is>
          <t>C05</t>
        </is>
      </c>
      <c r="B753" t="inlineStr">
        <is>
          <t>No investor named</t>
        </is>
      </c>
      <c r="C753" t="inlineStr">
        <is>
          <t>info</t>
        </is>
      </c>
      <c r="D753" t="inlineStr">
        <is>
          <t>R250818-arthaselectfun</t>
        </is>
      </c>
      <c r="E753" t="inlineStr">
        <is>
          <t>Artha Select Fund</t>
        </is>
      </c>
      <c r="F753" s="17" t="n">
        <v>45887</v>
      </c>
      <c r="G753" t="inlineStr">
        <is>
          <t>no investor named</t>
        </is>
      </c>
    </row>
    <row r="754">
      <c r="A754" t="inlineStr">
        <is>
          <t>C05</t>
        </is>
      </c>
      <c r="B754" t="inlineStr">
        <is>
          <t>No investor named</t>
        </is>
      </c>
      <c r="C754" t="inlineStr">
        <is>
          <t>info</t>
        </is>
      </c>
      <c r="D754" t="inlineStr">
        <is>
          <t>R250827-bhaobhao</t>
        </is>
      </c>
      <c r="E754" t="inlineStr">
        <is>
          <t>BhaoBhao</t>
        </is>
      </c>
      <c r="F754" s="17" t="n">
        <v>45896</v>
      </c>
      <c r="G754" t="inlineStr">
        <is>
          <t>no investor named</t>
        </is>
      </c>
    </row>
    <row r="755">
      <c r="A755" t="inlineStr">
        <is>
          <t>C05</t>
        </is>
      </c>
      <c r="B755" t="inlineStr">
        <is>
          <t>No investor named</t>
        </is>
      </c>
      <c r="C755" t="inlineStr">
        <is>
          <t>info</t>
        </is>
      </c>
      <c r="D755" t="inlineStr">
        <is>
          <t>R250916-genovationsolu</t>
        </is>
      </c>
      <c r="E755" t="inlineStr">
        <is>
          <t>Genovation Solutions</t>
        </is>
      </c>
      <c r="F755" s="17" t="n">
        <v>45916</v>
      </c>
      <c r="G755" t="inlineStr">
        <is>
          <t>no investor named</t>
        </is>
      </c>
    </row>
    <row r="756">
      <c r="A756" t="inlineStr">
        <is>
          <t>C05</t>
        </is>
      </c>
      <c r="B756" t="inlineStr">
        <is>
          <t>No investor named</t>
        </is>
      </c>
      <c r="C756" t="inlineStr">
        <is>
          <t>info</t>
        </is>
      </c>
      <c r="D756" t="inlineStr">
        <is>
          <t>R250929-igowisemobilit</t>
        </is>
      </c>
      <c r="E756" t="inlineStr">
        <is>
          <t>iGoWise Mobility</t>
        </is>
      </c>
      <c r="F756" s="17" t="n">
        <v>45929</v>
      </c>
      <c r="G756" t="inlineStr">
        <is>
          <t>no investor named</t>
        </is>
      </c>
    </row>
    <row r="757">
      <c r="A757" t="inlineStr">
        <is>
          <t>C05</t>
        </is>
      </c>
      <c r="B757" t="inlineStr">
        <is>
          <t>No investor named</t>
        </is>
      </c>
      <c r="C757" t="inlineStr">
        <is>
          <t>info</t>
        </is>
      </c>
      <c r="D757" t="inlineStr">
        <is>
          <t>R251006-iifl</t>
        </is>
      </c>
      <c r="E757" t="inlineStr">
        <is>
          <t>IIFL</t>
        </is>
      </c>
      <c r="F757" s="17" t="n">
        <v>45936</v>
      </c>
      <c r="G757" t="inlineStr">
        <is>
          <t>no investor named</t>
        </is>
      </c>
    </row>
    <row r="758">
      <c r="A758" t="inlineStr">
        <is>
          <t>C05</t>
        </is>
      </c>
      <c r="B758" t="inlineStr">
        <is>
          <t>No investor named</t>
        </is>
      </c>
      <c r="C758" t="inlineStr">
        <is>
          <t>info</t>
        </is>
      </c>
      <c r="D758" t="inlineStr">
        <is>
          <t>R251014-muttleycrew</t>
        </is>
      </c>
      <c r="E758" t="inlineStr">
        <is>
          <t>Muttley Crew</t>
        </is>
      </c>
      <c r="F758" s="17" t="n">
        <v>45944</v>
      </c>
      <c r="G758" t="inlineStr">
        <is>
          <t>no investor named</t>
        </is>
      </c>
    </row>
    <row r="759">
      <c r="A759" t="inlineStr">
        <is>
          <t>C05</t>
        </is>
      </c>
      <c r="B759" t="inlineStr">
        <is>
          <t>No investor named</t>
        </is>
      </c>
      <c r="C759" t="inlineStr">
        <is>
          <t>info</t>
        </is>
      </c>
      <c r="D759" t="inlineStr">
        <is>
          <t>R251025-relianceintell</t>
        </is>
      </c>
      <c r="E759" t="inlineStr">
        <is>
          <t>Reliance Intelligence Limited (RIL)</t>
        </is>
      </c>
      <c r="F759" s="17" t="n">
        <v>45955</v>
      </c>
      <c r="G759" t="inlineStr">
        <is>
          <t>no investor named</t>
        </is>
      </c>
    </row>
    <row r="760">
      <c r="A760" t="inlineStr">
        <is>
          <t>C05</t>
        </is>
      </c>
      <c r="B760" t="inlineStr">
        <is>
          <t>No investor named</t>
        </is>
      </c>
      <c r="C760" t="inlineStr">
        <is>
          <t>info</t>
        </is>
      </c>
      <c r="D760" t="inlineStr">
        <is>
          <t>R251027-bananaclub</t>
        </is>
      </c>
      <c r="E760" t="inlineStr">
        <is>
          <t>Banana Club</t>
        </is>
      </c>
      <c r="F760" s="17" t="n">
        <v>45957</v>
      </c>
      <c r="G760" t="inlineStr">
        <is>
          <t>no investor named</t>
        </is>
      </c>
    </row>
    <row r="761">
      <c r="A761" t="inlineStr">
        <is>
          <t>C05</t>
        </is>
      </c>
      <c r="B761" t="inlineStr">
        <is>
          <t>No investor named</t>
        </is>
      </c>
      <c r="C761" t="inlineStr">
        <is>
          <t>info</t>
        </is>
      </c>
      <c r="D761" t="inlineStr">
        <is>
          <t>R251027-versabytedatas</t>
        </is>
      </c>
      <c r="E761" t="inlineStr">
        <is>
          <t>Versabyte Data Systems</t>
        </is>
      </c>
      <c r="F761" s="17" t="n">
        <v>45957</v>
      </c>
      <c r="G761" t="inlineStr">
        <is>
          <t>no investor named</t>
        </is>
      </c>
    </row>
    <row r="762">
      <c r="A762" t="inlineStr">
        <is>
          <t>C05</t>
        </is>
      </c>
      <c r="B762" t="inlineStr">
        <is>
          <t>No investor named</t>
        </is>
      </c>
      <c r="C762" t="inlineStr">
        <is>
          <t>info</t>
        </is>
      </c>
      <c r="D762" t="inlineStr">
        <is>
          <t>R251030-vijyafintech</t>
        </is>
      </c>
      <c r="E762" t="inlineStr">
        <is>
          <t>Vijya Fintech</t>
        </is>
      </c>
      <c r="F762" s="17" t="n">
        <v>45960</v>
      </c>
      <c r="G762" t="inlineStr">
        <is>
          <t>no investor named</t>
        </is>
      </c>
    </row>
    <row r="763">
      <c r="A763" t="inlineStr">
        <is>
          <t>C05</t>
        </is>
      </c>
      <c r="B763" t="inlineStr">
        <is>
          <t>No investor named</t>
        </is>
      </c>
      <c r="C763" t="inlineStr">
        <is>
          <t>info</t>
        </is>
      </c>
      <c r="D763" t="inlineStr">
        <is>
          <t>R251112-couchcommerce</t>
        </is>
      </c>
      <c r="E763" t="inlineStr">
        <is>
          <t>Couch Commerce</t>
        </is>
      </c>
      <c r="F763" s="17" t="n">
        <v>45973</v>
      </c>
      <c r="G763" t="inlineStr">
        <is>
          <t>no investor named</t>
        </is>
      </c>
    </row>
    <row r="764">
      <c r="A764" t="inlineStr">
        <is>
          <t>C05</t>
        </is>
      </c>
      <c r="B764" t="inlineStr">
        <is>
          <t>No investor named</t>
        </is>
      </c>
      <c r="C764" t="inlineStr">
        <is>
          <t>info</t>
        </is>
      </c>
      <c r="D764" t="inlineStr">
        <is>
          <t>R251113-varaha</t>
        </is>
      </c>
      <c r="E764" t="inlineStr">
        <is>
          <t>Varaha</t>
        </is>
      </c>
      <c r="F764" s="17" t="n">
        <v>45974</v>
      </c>
      <c r="G764" t="inlineStr">
        <is>
          <t>no investor named</t>
        </is>
      </c>
    </row>
    <row r="765">
      <c r="A765" t="inlineStr">
        <is>
          <t>C05</t>
        </is>
      </c>
      <c r="B765" t="inlineStr">
        <is>
          <t>No investor named</t>
        </is>
      </c>
      <c r="C765" t="inlineStr">
        <is>
          <t>info</t>
        </is>
      </c>
      <c r="D765" t="inlineStr">
        <is>
          <t>R251117-unlimitr</t>
        </is>
      </c>
      <c r="E765" t="inlineStr">
        <is>
          <t>Unlimitr</t>
        </is>
      </c>
      <c r="F765" s="17" t="n">
        <v>45978</v>
      </c>
      <c r="G765" t="inlineStr">
        <is>
          <t>no investor named</t>
        </is>
      </c>
    </row>
    <row r="766">
      <c r="A766" t="inlineStr">
        <is>
          <t>C05</t>
        </is>
      </c>
      <c r="B766" t="inlineStr">
        <is>
          <t>No investor named</t>
        </is>
      </c>
      <c r="C766" t="inlineStr">
        <is>
          <t>info</t>
        </is>
      </c>
      <c r="D766" t="inlineStr">
        <is>
          <t>R251124-dweepiandedgeh</t>
        </is>
      </c>
      <c r="E766" t="inlineStr">
        <is>
          <t>Dweepi and Edgehax</t>
        </is>
      </c>
      <c r="F766" s="17" t="n">
        <v>45985</v>
      </c>
      <c r="G766" t="inlineStr">
        <is>
          <t>no investor named</t>
        </is>
      </c>
    </row>
    <row r="767">
      <c r="A767" t="inlineStr">
        <is>
          <t>C05</t>
        </is>
      </c>
      <c r="B767" t="inlineStr">
        <is>
          <t>No investor named</t>
        </is>
      </c>
      <c r="C767" t="inlineStr">
        <is>
          <t>info</t>
        </is>
      </c>
      <c r="D767" t="inlineStr">
        <is>
          <t>R251125-blostem</t>
        </is>
      </c>
      <c r="E767" t="inlineStr">
        <is>
          <t>Blostem</t>
        </is>
      </c>
      <c r="F767" s="17" t="n">
        <v>45986</v>
      </c>
      <c r="G767" t="inlineStr">
        <is>
          <t>no investor named</t>
        </is>
      </c>
    </row>
    <row r="768">
      <c r="A768" t="inlineStr">
        <is>
          <t>C05</t>
        </is>
      </c>
      <c r="B768" t="inlineStr">
        <is>
          <t>No investor named</t>
        </is>
      </c>
      <c r="C768" t="inlineStr">
        <is>
          <t>info</t>
        </is>
      </c>
      <c r="D768" t="inlineStr">
        <is>
          <t>R251127-cloudextel</t>
        </is>
      </c>
      <c r="E768" t="inlineStr">
        <is>
          <t>CloudExtel</t>
        </is>
      </c>
      <c r="F768" s="17" t="n">
        <v>45988</v>
      </c>
      <c r="G768" t="inlineStr">
        <is>
          <t>no investor named</t>
        </is>
      </c>
    </row>
    <row r="769">
      <c r="A769" t="inlineStr">
        <is>
          <t>C05</t>
        </is>
      </c>
      <c r="B769" t="inlineStr">
        <is>
          <t>No investor named</t>
        </is>
      </c>
      <c r="C769" t="inlineStr">
        <is>
          <t>info</t>
        </is>
      </c>
      <c r="D769" t="inlineStr">
        <is>
          <t>R251210-faraday</t>
        </is>
      </c>
      <c r="E769" t="inlineStr">
        <is>
          <t>Faraday</t>
        </is>
      </c>
      <c r="F769" s="17" t="n">
        <v>46001</v>
      </c>
      <c r="G769" t="inlineStr">
        <is>
          <t>no investor named</t>
        </is>
      </c>
    </row>
    <row r="770">
      <c r="A770" t="inlineStr">
        <is>
          <t>C05</t>
        </is>
      </c>
      <c r="B770" t="inlineStr">
        <is>
          <t>No investor named</t>
        </is>
      </c>
      <c r="C770" t="inlineStr">
        <is>
          <t>info</t>
        </is>
      </c>
      <c r="D770" t="inlineStr">
        <is>
          <t>R251215-lawyered</t>
        </is>
      </c>
      <c r="E770" t="inlineStr">
        <is>
          <t>Lawyered</t>
        </is>
      </c>
      <c r="F770" s="17" t="n">
        <v>46006</v>
      </c>
      <c r="G770" t="inlineStr">
        <is>
          <t>no investor named</t>
        </is>
      </c>
    </row>
    <row r="771">
      <c r="A771" t="inlineStr">
        <is>
          <t>C05</t>
        </is>
      </c>
      <c r="B771" t="inlineStr">
        <is>
          <t>No investor named</t>
        </is>
      </c>
      <c r="C771" t="inlineStr">
        <is>
          <t>info</t>
        </is>
      </c>
      <c r="D771" t="inlineStr">
        <is>
          <t>R251229-neeman</t>
        </is>
      </c>
      <c r="E771" t="inlineStr">
        <is>
          <t>Neeman’s</t>
        </is>
      </c>
      <c r="F771" s="17" t="n">
        <v>46020</v>
      </c>
      <c r="G771" t="inlineStr">
        <is>
          <t>no investor named</t>
        </is>
      </c>
    </row>
    <row r="772">
      <c r="A772" t="inlineStr">
        <is>
          <t>C05</t>
        </is>
      </c>
      <c r="B772" t="inlineStr">
        <is>
          <t>No investor named</t>
        </is>
      </c>
      <c r="C772" t="inlineStr">
        <is>
          <t>info</t>
        </is>
      </c>
      <c r="D772" t="inlineStr">
        <is>
          <t>R251231-truva</t>
        </is>
      </c>
      <c r="E772" t="inlineStr">
        <is>
          <t>Truva</t>
        </is>
      </c>
      <c r="F772" s="17" t="n">
        <v>46022</v>
      </c>
      <c r="G772" t="inlineStr">
        <is>
          <t>no investor named</t>
        </is>
      </c>
    </row>
    <row r="773">
      <c r="A773" t="inlineStr">
        <is>
          <t>C05</t>
        </is>
      </c>
      <c r="B773" t="inlineStr">
        <is>
          <t>No investor named</t>
        </is>
      </c>
      <c r="C773" t="inlineStr">
        <is>
          <t>info</t>
        </is>
      </c>
      <c r="D773" t="inlineStr">
        <is>
          <t>R260216-neysa</t>
        </is>
      </c>
      <c r="E773" t="inlineStr">
        <is>
          <t>Neysa</t>
        </is>
      </c>
      <c r="F773" s="17" t="n">
        <v>46069</v>
      </c>
      <c r="G773" t="inlineStr">
        <is>
          <t>no investor named</t>
        </is>
      </c>
    </row>
    <row r="774">
      <c r="A774" t="inlineStr">
        <is>
          <t>C05</t>
        </is>
      </c>
      <c r="B774" t="inlineStr">
        <is>
          <t>No investor named</t>
        </is>
      </c>
      <c r="C774" t="inlineStr">
        <is>
          <t>info</t>
        </is>
      </c>
      <c r="D774" t="inlineStr">
        <is>
          <t>R260218-artociti</t>
        </is>
      </c>
      <c r="E774" t="inlineStr">
        <is>
          <t>Artociti</t>
        </is>
      </c>
      <c r="F774" s="17" t="n">
        <v>46071</v>
      </c>
      <c r="G774" t="inlineStr">
        <is>
          <t>no investor named</t>
        </is>
      </c>
    </row>
    <row r="775">
      <c r="A775" t="inlineStr">
        <is>
          <t>C05</t>
        </is>
      </c>
      <c r="B775" t="inlineStr">
        <is>
          <t>No investor named</t>
        </is>
      </c>
      <c r="C775" t="inlineStr">
        <is>
          <t>info</t>
        </is>
      </c>
      <c r="D775" t="inlineStr">
        <is>
          <t>R260225-gutclinic</t>
        </is>
      </c>
      <c r="E775" t="inlineStr">
        <is>
          <t>Gut Clinic</t>
        </is>
      </c>
      <c r="F775" s="17" t="n">
        <v>46078</v>
      </c>
      <c r="G775" t="inlineStr">
        <is>
          <t>no investor named</t>
        </is>
      </c>
    </row>
    <row r="776">
      <c r="A776" t="inlineStr">
        <is>
          <t>C05</t>
        </is>
      </c>
      <c r="B776" t="inlineStr">
        <is>
          <t>No investor named</t>
        </is>
      </c>
      <c r="C776" t="inlineStr">
        <is>
          <t>info</t>
        </is>
      </c>
      <c r="D776" t="inlineStr">
        <is>
          <t>R260225-zeroharmscienc</t>
        </is>
      </c>
      <c r="E776" t="inlineStr">
        <is>
          <t>ZeroHarm Sciences</t>
        </is>
      </c>
      <c r="F776" s="17" t="n">
        <v>46078</v>
      </c>
      <c r="G776" t="inlineStr">
        <is>
          <t>no investor named</t>
        </is>
      </c>
    </row>
    <row r="777">
      <c r="A777" t="inlineStr">
        <is>
          <t>C05</t>
        </is>
      </c>
      <c r="B777" t="inlineStr">
        <is>
          <t>No investor named</t>
        </is>
      </c>
      <c r="C777" t="inlineStr">
        <is>
          <t>info</t>
        </is>
      </c>
      <c r="D777" t="inlineStr">
        <is>
          <t>R260304-moneyboxxfinan</t>
        </is>
      </c>
      <c r="E777" t="inlineStr">
        <is>
          <t>Moneyboxx Finance</t>
        </is>
      </c>
      <c r="F777" s="17" t="n">
        <v>46085</v>
      </c>
      <c r="G777" t="inlineStr">
        <is>
          <t>no investor named</t>
        </is>
      </c>
    </row>
    <row r="778">
      <c r="A778" t="inlineStr">
        <is>
          <t>C05</t>
        </is>
      </c>
      <c r="B778" t="inlineStr">
        <is>
          <t>No investor named</t>
        </is>
      </c>
      <c r="C778" t="inlineStr">
        <is>
          <t>info</t>
        </is>
      </c>
      <c r="D778" t="inlineStr">
        <is>
          <t>R260309-strideone</t>
        </is>
      </c>
      <c r="E778" t="inlineStr">
        <is>
          <t>StrideOne</t>
        </is>
      </c>
      <c r="F778" s="17" t="n">
        <v>46090</v>
      </c>
      <c r="G778" t="inlineStr">
        <is>
          <t>no investor named</t>
        </is>
      </c>
    </row>
    <row r="779">
      <c r="A779" t="inlineStr">
        <is>
          <t>C05</t>
        </is>
      </c>
      <c r="B779" t="inlineStr">
        <is>
          <t>No investor named</t>
        </is>
      </c>
      <c r="C779" t="inlineStr">
        <is>
          <t>info</t>
        </is>
      </c>
      <c r="D779" t="inlineStr">
        <is>
          <t>R260311-upandrun</t>
        </is>
      </c>
      <c r="E779" t="inlineStr">
        <is>
          <t>UP&amp;RUN</t>
        </is>
      </c>
      <c r="F779" s="17" t="n">
        <v>46092</v>
      </c>
      <c r="G779" t="inlineStr">
        <is>
          <t>no investor named</t>
        </is>
      </c>
    </row>
    <row r="780">
      <c r="A780" t="inlineStr">
        <is>
          <t>C05</t>
        </is>
      </c>
      <c r="B780" t="inlineStr">
        <is>
          <t>No investor named</t>
        </is>
      </c>
      <c r="C780" t="inlineStr">
        <is>
          <t>info</t>
        </is>
      </c>
      <c r="D780" t="inlineStr">
        <is>
          <t>R260320-aamraseniorscl</t>
        </is>
      </c>
      <c r="E780" t="inlineStr">
        <is>
          <t>Aamra Seniors Club</t>
        </is>
      </c>
      <c r="F780" s="17" t="n">
        <v>46101</v>
      </c>
      <c r="G780" t="inlineStr">
        <is>
          <t>no investor named</t>
        </is>
      </c>
    </row>
    <row r="781">
      <c r="A781" t="inlineStr">
        <is>
          <t>C05</t>
        </is>
      </c>
      <c r="B781" t="inlineStr">
        <is>
          <t>No investor named</t>
        </is>
      </c>
      <c r="C781" t="inlineStr">
        <is>
          <t>info</t>
        </is>
      </c>
      <c r="D781" t="inlineStr">
        <is>
          <t>R260401-cygnienergy</t>
        </is>
      </c>
      <c r="E781" t="inlineStr">
        <is>
          <t>Cygni Energy</t>
        </is>
      </c>
      <c r="F781" s="17" t="n">
        <v>46113</v>
      </c>
      <c r="G781" t="inlineStr">
        <is>
          <t>no investor named</t>
        </is>
      </c>
    </row>
    <row r="782">
      <c r="A782" t="inlineStr">
        <is>
          <t>C05</t>
        </is>
      </c>
      <c r="B782" t="inlineStr">
        <is>
          <t>No investor named</t>
        </is>
      </c>
      <c r="C782" t="inlineStr">
        <is>
          <t>info</t>
        </is>
      </c>
      <c r="D782" t="inlineStr">
        <is>
          <t>R260406-damgoodfish</t>
        </is>
      </c>
      <c r="E782" t="inlineStr">
        <is>
          <t>Dam Good Fish</t>
        </is>
      </c>
      <c r="F782" s="17" t="n">
        <v>46118</v>
      </c>
      <c r="G782" t="inlineStr">
        <is>
          <t>no investor named</t>
        </is>
      </c>
    </row>
    <row r="783">
      <c r="A783" t="inlineStr">
        <is>
          <t>C05</t>
        </is>
      </c>
      <c r="B783" t="inlineStr">
        <is>
          <t>No investor named</t>
        </is>
      </c>
      <c r="C783" t="inlineStr">
        <is>
          <t>info</t>
        </is>
      </c>
      <c r="D783" t="inlineStr">
        <is>
          <t>R260406-satarkai</t>
        </is>
      </c>
      <c r="E783" t="inlineStr">
        <is>
          <t>Satark AI</t>
        </is>
      </c>
      <c r="F783" s="17" t="n">
        <v>46118</v>
      </c>
      <c r="G783" t="inlineStr">
        <is>
          <t>no investor named</t>
        </is>
      </c>
    </row>
    <row r="784">
      <c r="A784" t="inlineStr">
        <is>
          <t>C05</t>
        </is>
      </c>
      <c r="B784" t="inlineStr">
        <is>
          <t>No investor named</t>
        </is>
      </c>
      <c r="C784" t="inlineStr">
        <is>
          <t>info</t>
        </is>
      </c>
      <c r="D784" t="inlineStr">
        <is>
          <t>R260407-cozyfarms</t>
        </is>
      </c>
      <c r="E784" t="inlineStr">
        <is>
          <t>Cozy Farms</t>
        </is>
      </c>
      <c r="F784" s="17" t="n">
        <v>46119</v>
      </c>
      <c r="G784" t="inlineStr">
        <is>
          <t>no investor named</t>
        </is>
      </c>
    </row>
    <row r="785">
      <c r="A785" t="inlineStr">
        <is>
          <t>C05</t>
        </is>
      </c>
      <c r="B785" t="inlineStr">
        <is>
          <t>No investor named</t>
        </is>
      </c>
      <c r="C785" t="inlineStr">
        <is>
          <t>info</t>
        </is>
      </c>
      <c r="D785" t="inlineStr">
        <is>
          <t>R260407-filliandme</t>
        </is>
      </c>
      <c r="E785" t="inlineStr">
        <is>
          <t>Filli &amp; Me</t>
        </is>
      </c>
      <c r="F785" s="17" t="n">
        <v>46119</v>
      </c>
      <c r="G785" t="inlineStr">
        <is>
          <t>no investor named</t>
        </is>
      </c>
    </row>
    <row r="786">
      <c r="A786" t="inlineStr">
        <is>
          <t>C05</t>
        </is>
      </c>
      <c r="B786" t="inlineStr">
        <is>
          <t>No investor named</t>
        </is>
      </c>
      <c r="C786" t="inlineStr">
        <is>
          <t>info</t>
        </is>
      </c>
      <c r="D786" t="inlineStr">
        <is>
          <t>R260407-glaas</t>
        </is>
      </c>
      <c r="E786" t="inlineStr">
        <is>
          <t>GLAAS</t>
        </is>
      </c>
      <c r="F786" s="17" t="n">
        <v>46119</v>
      </c>
      <c r="G786" t="inlineStr">
        <is>
          <t>no investor named</t>
        </is>
      </c>
    </row>
    <row r="787">
      <c r="A787" t="inlineStr">
        <is>
          <t>C05</t>
        </is>
      </c>
      <c r="B787" t="inlineStr">
        <is>
          <t>No investor named</t>
        </is>
      </c>
      <c r="C787" t="inlineStr">
        <is>
          <t>info</t>
        </is>
      </c>
      <c r="D787" t="inlineStr">
        <is>
          <t>R260413-smartgarage</t>
        </is>
      </c>
      <c r="E787" t="inlineStr">
        <is>
          <t>Smart Garage</t>
        </is>
      </c>
      <c r="F787" s="17" t="n">
        <v>46125</v>
      </c>
      <c r="G787" t="inlineStr">
        <is>
          <t>no investor named</t>
        </is>
      </c>
    </row>
    <row r="788">
      <c r="A788" t="inlineStr">
        <is>
          <t>C05</t>
        </is>
      </c>
      <c r="B788" t="inlineStr">
        <is>
          <t>No investor named</t>
        </is>
      </c>
      <c r="C788" t="inlineStr">
        <is>
          <t>info</t>
        </is>
      </c>
      <c r="D788" t="inlineStr">
        <is>
          <t>R260421-digitalpaani</t>
        </is>
      </c>
      <c r="E788" t="inlineStr">
        <is>
          <t>Digital Paani</t>
        </is>
      </c>
      <c r="F788" s="17" t="n">
        <v>46133</v>
      </c>
      <c r="G788" t="inlineStr">
        <is>
          <t>no investor named</t>
        </is>
      </c>
    </row>
    <row r="789">
      <c r="A789" t="inlineStr">
        <is>
          <t>C05</t>
        </is>
      </c>
      <c r="B789" t="inlineStr">
        <is>
          <t>No investor named</t>
        </is>
      </c>
      <c r="C789" t="inlineStr">
        <is>
          <t>info</t>
        </is>
      </c>
      <c r="D789" t="inlineStr">
        <is>
          <t>R260428-kissht</t>
        </is>
      </c>
      <c r="E789" t="inlineStr">
        <is>
          <t>Kissht</t>
        </is>
      </c>
      <c r="F789" s="17" t="n">
        <v>46140</v>
      </c>
      <c r="G789" t="inlineStr">
        <is>
          <t>no investor named</t>
        </is>
      </c>
    </row>
    <row r="790">
      <c r="A790" t="inlineStr">
        <is>
          <t>C05</t>
        </is>
      </c>
      <c r="B790" t="inlineStr">
        <is>
          <t>No investor named</t>
        </is>
      </c>
      <c r="C790" t="inlineStr">
        <is>
          <t>info</t>
        </is>
      </c>
      <c r="D790" t="inlineStr">
        <is>
          <t>R260506-ailibrary</t>
        </is>
      </c>
      <c r="E790" t="inlineStr">
        <is>
          <t>AI Library</t>
        </is>
      </c>
      <c r="F790" s="17" t="n">
        <v>46148</v>
      </c>
      <c r="G790" t="inlineStr">
        <is>
          <t>no investor named</t>
        </is>
      </c>
    </row>
    <row r="791">
      <c r="A791" t="inlineStr">
        <is>
          <t>C05</t>
        </is>
      </c>
      <c r="B791" t="inlineStr">
        <is>
          <t>No investor named</t>
        </is>
      </c>
      <c r="C791" t="inlineStr">
        <is>
          <t>info</t>
        </is>
      </c>
      <c r="D791" t="inlineStr">
        <is>
          <t>R260511-bobakat</t>
        </is>
      </c>
      <c r="E791" t="inlineStr">
        <is>
          <t>Bobakat</t>
        </is>
      </c>
      <c r="F791" s="17" t="n">
        <v>46153</v>
      </c>
      <c r="G791" t="inlineStr">
        <is>
          <t>no investor named</t>
        </is>
      </c>
    </row>
    <row r="792">
      <c r="A792" t="inlineStr">
        <is>
          <t>C05</t>
        </is>
      </c>
      <c r="B792" t="inlineStr">
        <is>
          <t>No investor named</t>
        </is>
      </c>
      <c r="C792" t="inlineStr">
        <is>
          <t>info</t>
        </is>
      </c>
      <c r="D792" t="inlineStr">
        <is>
          <t>R260511-kathybeverages</t>
        </is>
      </c>
      <c r="E792" t="inlineStr">
        <is>
          <t>Kathy’s Beverages</t>
        </is>
      </c>
      <c r="F792" s="17" t="n">
        <v>46153</v>
      </c>
      <c r="G792" t="inlineStr">
        <is>
          <t>no investor named</t>
        </is>
      </c>
    </row>
    <row r="793">
      <c r="A793" t="inlineStr">
        <is>
          <t>C05</t>
        </is>
      </c>
      <c r="B793" t="inlineStr">
        <is>
          <t>No investor named</t>
        </is>
      </c>
      <c r="C793" t="inlineStr">
        <is>
          <t>info</t>
        </is>
      </c>
      <c r="D793" t="inlineStr">
        <is>
          <t>R260511-sindhujamicroc</t>
        </is>
      </c>
      <c r="E793" t="inlineStr">
        <is>
          <t>Sindhuja Microcredit</t>
        </is>
      </c>
      <c r="F793" s="17" t="n">
        <v>46153</v>
      </c>
      <c r="G793" t="inlineStr">
        <is>
          <t>no investor named</t>
        </is>
      </c>
    </row>
    <row r="794">
      <c r="A794" t="inlineStr">
        <is>
          <t>C05</t>
        </is>
      </c>
      <c r="B794" t="inlineStr">
        <is>
          <t>No investor named</t>
        </is>
      </c>
      <c r="C794" t="inlineStr">
        <is>
          <t>info</t>
        </is>
      </c>
      <c r="D794" t="inlineStr">
        <is>
          <t>R260512-incredcapital</t>
        </is>
      </c>
      <c r="E794" t="inlineStr">
        <is>
          <t>InCred Capital</t>
        </is>
      </c>
      <c r="F794" s="17" t="n">
        <v>46154</v>
      </c>
      <c r="G794" t="inlineStr">
        <is>
          <t>no investor named</t>
        </is>
      </c>
    </row>
    <row r="795">
      <c r="A795" t="inlineStr">
        <is>
          <t>C05</t>
        </is>
      </c>
      <c r="B795" t="inlineStr">
        <is>
          <t>No investor named</t>
        </is>
      </c>
      <c r="C795" t="inlineStr">
        <is>
          <t>info</t>
        </is>
      </c>
      <c r="D795" t="inlineStr">
        <is>
          <t>R260513-ondc</t>
        </is>
      </c>
      <c r="E795" t="inlineStr">
        <is>
          <t>ONDC</t>
        </is>
      </c>
      <c r="F795" s="17" t="n">
        <v>46155</v>
      </c>
      <c r="G795" t="inlineStr">
        <is>
          <t>no investor named</t>
        </is>
      </c>
    </row>
    <row r="796">
      <c r="A796" t="inlineStr">
        <is>
          <t>C05</t>
        </is>
      </c>
      <c r="B796" t="inlineStr">
        <is>
          <t>No investor named</t>
        </is>
      </c>
      <c r="C796" t="inlineStr">
        <is>
          <t>info</t>
        </is>
      </c>
      <c r="D796" t="inlineStr">
        <is>
          <t>R260520-gamehok</t>
        </is>
      </c>
      <c r="E796" t="inlineStr">
        <is>
          <t>Gamehok</t>
        </is>
      </c>
      <c r="F796" s="17" t="n">
        <v>46162</v>
      </c>
      <c r="G796" t="inlineStr">
        <is>
          <t>no investor named</t>
        </is>
      </c>
    </row>
    <row r="797">
      <c r="A797" t="inlineStr">
        <is>
          <t>C05</t>
        </is>
      </c>
      <c r="B797" t="inlineStr">
        <is>
          <t>No investor named</t>
        </is>
      </c>
      <c r="C797" t="inlineStr">
        <is>
          <t>info</t>
        </is>
      </c>
      <c r="D797" t="inlineStr">
        <is>
          <t>R260526-quantumtiger</t>
        </is>
      </c>
      <c r="E797" t="inlineStr">
        <is>
          <t>Quantum Tiger</t>
        </is>
      </c>
      <c r="F797" s="17" t="n">
        <v>46168</v>
      </c>
      <c r="G797" t="inlineStr">
        <is>
          <t>no investor named</t>
        </is>
      </c>
    </row>
    <row r="798">
      <c r="A798" t="inlineStr">
        <is>
          <t>C05</t>
        </is>
      </c>
      <c r="B798" t="inlineStr">
        <is>
          <t>No investor named</t>
        </is>
      </c>
      <c r="C798" t="inlineStr">
        <is>
          <t>info</t>
        </is>
      </c>
      <c r="D798" t="inlineStr">
        <is>
          <t>R260528-eazzy</t>
        </is>
      </c>
      <c r="E798" t="inlineStr">
        <is>
          <t>Eazzy</t>
        </is>
      </c>
      <c r="F798" s="17" t="n">
        <v>46170</v>
      </c>
      <c r="G798" t="inlineStr">
        <is>
          <t>no investor named</t>
        </is>
      </c>
    </row>
    <row r="799">
      <c r="A799" t="inlineStr">
        <is>
          <t>C05</t>
        </is>
      </c>
      <c r="B799" t="inlineStr">
        <is>
          <t>No investor named</t>
        </is>
      </c>
      <c r="C799" t="inlineStr">
        <is>
          <t>info</t>
        </is>
      </c>
      <c r="D799" t="inlineStr">
        <is>
          <t>R260601-intercosmos</t>
        </is>
      </c>
      <c r="E799" t="inlineStr">
        <is>
          <t>InterCosmos</t>
        </is>
      </c>
      <c r="F799" s="17" t="n">
        <v>46174</v>
      </c>
      <c r="G799" t="inlineStr">
        <is>
          <t>no investor named</t>
        </is>
      </c>
    </row>
    <row r="800">
      <c r="A800" t="inlineStr">
        <is>
          <t>C05</t>
        </is>
      </c>
      <c r="B800" t="inlineStr">
        <is>
          <t>No investor named</t>
        </is>
      </c>
      <c r="C800" t="inlineStr">
        <is>
          <t>info</t>
        </is>
      </c>
      <c r="D800" t="inlineStr">
        <is>
          <t>R260623-bharattender</t>
        </is>
      </c>
      <c r="E800" t="inlineStr">
        <is>
          <t>BharatTender</t>
        </is>
      </c>
      <c r="F800" s="17" t="n">
        <v>46196</v>
      </c>
      <c r="G800" t="inlineStr">
        <is>
          <t>no investor named</t>
        </is>
      </c>
    </row>
    <row r="801">
      <c r="A801" t="inlineStr">
        <is>
          <t>C05</t>
        </is>
      </c>
      <c r="B801" t="inlineStr">
        <is>
          <t>No investor named</t>
        </is>
      </c>
      <c r="C801" t="inlineStr">
        <is>
          <t>info</t>
        </is>
      </c>
      <c r="D801" t="inlineStr">
        <is>
          <t>R260626-finnovatefinan</t>
        </is>
      </c>
      <c r="E801" t="inlineStr">
        <is>
          <t>Finnovate Financial Services</t>
        </is>
      </c>
      <c r="F801" s="17" t="n">
        <v>46199</v>
      </c>
      <c r="G801" t="inlineStr">
        <is>
          <t>no investor named</t>
        </is>
      </c>
    </row>
    <row r="802">
      <c r="A802" t="inlineStr">
        <is>
          <t>C05</t>
        </is>
      </c>
      <c r="B802" t="inlineStr">
        <is>
          <t>No investor named</t>
        </is>
      </c>
      <c r="C802" t="inlineStr">
        <is>
          <t>info</t>
        </is>
      </c>
      <c r="D802" t="inlineStr">
        <is>
          <t>R260701-datasciencewiz</t>
        </is>
      </c>
      <c r="E802" t="inlineStr">
        <is>
          <t>Data Science Wizards</t>
        </is>
      </c>
      <c r="F802" s="17" t="n">
        <v>46204</v>
      </c>
      <c r="G802" t="inlineStr">
        <is>
          <t>no investor named</t>
        </is>
      </c>
    </row>
    <row r="803">
      <c r="A803" t="inlineStr">
        <is>
          <t>C05</t>
        </is>
      </c>
      <c r="B803" t="inlineStr">
        <is>
          <t>No investor named</t>
        </is>
      </c>
      <c r="C803" t="inlineStr">
        <is>
          <t>info</t>
        </is>
      </c>
      <c r="D803" t="inlineStr">
        <is>
          <t>R260715-hisabkitab</t>
        </is>
      </c>
      <c r="E803" t="inlineStr">
        <is>
          <t>Hisabkitab</t>
        </is>
      </c>
      <c r="F803" s="17" t="n">
        <v>46218</v>
      </c>
      <c r="G803" t="inlineStr">
        <is>
          <t>no investor named</t>
        </is>
      </c>
    </row>
    <row r="804">
      <c r="A804" t="inlineStr">
        <is>
          <t>C05</t>
        </is>
      </c>
      <c r="B804" t="inlineStr">
        <is>
          <t>No investor named</t>
        </is>
      </c>
      <c r="C804" t="inlineStr">
        <is>
          <t>info</t>
        </is>
      </c>
      <c r="D804" t="inlineStr">
        <is>
          <t>R260728-walbhaindustri</t>
        </is>
      </c>
      <c r="E804" t="inlineStr">
        <is>
          <t>Walbha Industries</t>
        </is>
      </c>
      <c r="F804" s="17" t="n">
        <v>46231</v>
      </c>
      <c r="G804" t="inlineStr">
        <is>
          <t>no investor named</t>
        </is>
      </c>
    </row>
    <row r="805">
      <c r="A805" t="inlineStr">
        <is>
          <t>C05</t>
        </is>
      </c>
      <c r="B805" t="inlineStr">
        <is>
          <t>No investor named</t>
        </is>
      </c>
      <c r="C805" t="inlineStr">
        <is>
          <t>info</t>
        </is>
      </c>
      <c r="D805" t="inlineStr">
        <is>
          <t>R260804-nyai</t>
        </is>
      </c>
      <c r="E805" t="inlineStr">
        <is>
          <t>NYAI</t>
        </is>
      </c>
      <c r="F805" s="17" t="n">
        <v>46238</v>
      </c>
      <c r="G805" t="inlineStr">
        <is>
          <t>no investor named</t>
        </is>
      </c>
    </row>
    <row r="806">
      <c r="A806" t="inlineStr">
        <is>
          <t>C05</t>
        </is>
      </c>
      <c r="B806" t="inlineStr">
        <is>
          <t>No investor named</t>
        </is>
      </c>
      <c r="C806" t="inlineStr">
        <is>
          <t>info</t>
        </is>
      </c>
      <c r="D806" t="inlineStr">
        <is>
          <t>R260805-lighthousecant</t>
        </is>
      </c>
      <c r="E806" t="inlineStr">
        <is>
          <t>Lighthouse Canton</t>
        </is>
      </c>
      <c r="F806" s="17" t="n">
        <v>46239</v>
      </c>
      <c r="G806" t="inlineStr">
        <is>
          <t>no investor named</t>
        </is>
      </c>
    </row>
    <row r="807">
      <c r="A807" t="inlineStr">
        <is>
          <t>C05</t>
        </is>
      </c>
      <c r="B807" t="inlineStr">
        <is>
          <t>No investor named</t>
        </is>
      </c>
      <c r="C807" t="inlineStr">
        <is>
          <t>info</t>
        </is>
      </c>
      <c r="D807" t="inlineStr">
        <is>
          <t>R260810-bakingo</t>
        </is>
      </c>
      <c r="E807" t="inlineStr">
        <is>
          <t>Bakingo</t>
        </is>
      </c>
      <c r="F807" s="17" t="n">
        <v>46244</v>
      </c>
      <c r="G807" t="inlineStr">
        <is>
          <t>no investor named</t>
        </is>
      </c>
    </row>
    <row r="808">
      <c r="A808" t="inlineStr">
        <is>
          <t>C05</t>
        </is>
      </c>
      <c r="B808" t="inlineStr">
        <is>
          <t>No investor named</t>
        </is>
      </c>
      <c r="C808" t="inlineStr">
        <is>
          <t>info</t>
        </is>
      </c>
      <c r="D808" t="inlineStr">
        <is>
          <t>R260822-atomberg</t>
        </is>
      </c>
      <c r="E808" t="inlineStr">
        <is>
          <t>Atomberg</t>
        </is>
      </c>
      <c r="F808" s="17" t="n">
        <v>46256</v>
      </c>
      <c r="G808" t="inlineStr">
        <is>
          <t>no investor named</t>
        </is>
      </c>
    </row>
    <row r="809">
      <c r="A809" t="inlineStr">
        <is>
          <t>C05</t>
        </is>
      </c>
      <c r="B809" t="inlineStr">
        <is>
          <t>No investor named</t>
        </is>
      </c>
      <c r="C809" t="inlineStr">
        <is>
          <t>info</t>
        </is>
      </c>
      <c r="D809" t="inlineStr">
        <is>
          <t>R260827-trucksup</t>
        </is>
      </c>
      <c r="E809" t="inlineStr">
        <is>
          <t>TrucksUp</t>
        </is>
      </c>
      <c r="F809" s="17" t="n">
        <v>46261</v>
      </c>
      <c r="G809" t="inlineStr">
        <is>
          <t>no investor named</t>
        </is>
      </c>
    </row>
    <row r="810">
      <c r="A810" t="inlineStr">
        <is>
          <t>C05</t>
        </is>
      </c>
      <c r="B810" t="inlineStr">
        <is>
          <t>No investor named</t>
        </is>
      </c>
      <c r="C810" t="inlineStr">
        <is>
          <t>info</t>
        </is>
      </c>
      <c r="D810" t="inlineStr">
        <is>
          <t>R260831-chinikum</t>
        </is>
      </c>
      <c r="E810" t="inlineStr">
        <is>
          <t>CHINI KUM</t>
        </is>
      </c>
      <c r="F810" s="17" t="n">
        <v>46265</v>
      </c>
      <c r="G810" t="inlineStr">
        <is>
          <t>no investor named</t>
        </is>
      </c>
    </row>
    <row r="811">
      <c r="A811" t="inlineStr">
        <is>
          <t>C05</t>
        </is>
      </c>
      <c r="B811" t="inlineStr">
        <is>
          <t>No investor named</t>
        </is>
      </c>
      <c r="C811" t="inlineStr">
        <is>
          <t>info</t>
        </is>
      </c>
      <c r="D811" t="inlineStr">
        <is>
          <t>R260901-72street</t>
        </is>
      </c>
      <c r="E811" t="inlineStr">
        <is>
          <t>72 Street</t>
        </is>
      </c>
      <c r="F811" s="17" t="n">
        <v>46266</v>
      </c>
      <c r="G811" t="inlineStr">
        <is>
          <t>no investor named</t>
        </is>
      </c>
    </row>
    <row r="812">
      <c r="A812" t="inlineStr">
        <is>
          <t>C05</t>
        </is>
      </c>
      <c r="B812" t="inlineStr">
        <is>
          <t>No investor named</t>
        </is>
      </c>
      <c r="C812" t="inlineStr">
        <is>
          <t>info</t>
        </is>
      </c>
      <c r="D812" t="inlineStr">
        <is>
          <t>R260907-damensch</t>
        </is>
      </c>
      <c r="E812" t="inlineStr">
        <is>
          <t>DaMENSCH</t>
        </is>
      </c>
      <c r="F812" s="17" t="n">
        <v>46272</v>
      </c>
      <c r="G812" t="inlineStr">
        <is>
          <t>no investor named</t>
        </is>
      </c>
    </row>
    <row r="813">
      <c r="A813" t="inlineStr">
        <is>
          <t>C05</t>
        </is>
      </c>
      <c r="B813" t="inlineStr">
        <is>
          <t>No investor named</t>
        </is>
      </c>
      <c r="C813" t="inlineStr">
        <is>
          <t>info</t>
        </is>
      </c>
      <c r="D813" t="inlineStr">
        <is>
          <t>R260907-herspace</t>
        </is>
      </c>
      <c r="E813" t="inlineStr">
        <is>
          <t>HerSpace</t>
        </is>
      </c>
      <c r="F813" s="17" t="n">
        <v>46272</v>
      </c>
      <c r="G813" t="inlineStr">
        <is>
          <t>no investor named</t>
        </is>
      </c>
    </row>
    <row r="814">
      <c r="A814" t="inlineStr">
        <is>
          <t>C05</t>
        </is>
      </c>
      <c r="B814" t="inlineStr">
        <is>
          <t>No investor named</t>
        </is>
      </c>
      <c r="C814" t="inlineStr">
        <is>
          <t>info</t>
        </is>
      </c>
      <c r="D814" t="inlineStr">
        <is>
          <t>R260923-spacephilic</t>
        </is>
      </c>
      <c r="E814" t="inlineStr">
        <is>
          <t>Space Philic</t>
        </is>
      </c>
      <c r="F814" s="17" t="n">
        <v>46288</v>
      </c>
      <c r="G814" t="inlineStr">
        <is>
          <t>no investor named</t>
        </is>
      </c>
    </row>
    <row r="815">
      <c r="A815" t="inlineStr">
        <is>
          <t>C05</t>
        </is>
      </c>
      <c r="B815" t="inlineStr">
        <is>
          <t>No investor named</t>
        </is>
      </c>
      <c r="C815" t="inlineStr">
        <is>
          <t>info</t>
        </is>
      </c>
      <c r="D815" t="inlineStr">
        <is>
          <t>R260929-formerboatexec</t>
        </is>
      </c>
      <c r="E815" t="inlineStr">
        <is>
          <t>former boAt executive</t>
        </is>
      </c>
      <c r="F815" s="17" t="n">
        <v>46294</v>
      </c>
      <c r="G815" t="inlineStr">
        <is>
          <t>no investor named</t>
        </is>
      </c>
    </row>
    <row r="816">
      <c r="A816" t="inlineStr">
        <is>
          <t>C05</t>
        </is>
      </c>
      <c r="B816" t="inlineStr">
        <is>
          <t>No investor named</t>
        </is>
      </c>
      <c r="C816" t="inlineStr">
        <is>
          <t>info</t>
        </is>
      </c>
      <c r="D816" t="inlineStr">
        <is>
          <t>R260930-nknmedia</t>
        </is>
      </c>
      <c r="E816" t="inlineStr">
        <is>
          <t>NKN Media</t>
        </is>
      </c>
      <c r="F816" s="17" t="n">
        <v>46295</v>
      </c>
      <c r="G816" t="inlineStr">
        <is>
          <t>no investor named</t>
        </is>
      </c>
    </row>
    <row r="817">
      <c r="A817" t="inlineStr">
        <is>
          <t>C05</t>
        </is>
      </c>
      <c r="B817" t="inlineStr">
        <is>
          <t>No investor named</t>
        </is>
      </c>
      <c r="C817" t="inlineStr">
        <is>
          <t>info</t>
        </is>
      </c>
      <c r="D817" t="inlineStr">
        <is>
          <t>R261001-bangalorewatch</t>
        </is>
      </c>
      <c r="E817" t="inlineStr">
        <is>
          <t>Banglore Watch Company</t>
        </is>
      </c>
      <c r="F817" s="17" t="n">
        <v>46296</v>
      </c>
      <c r="G817" t="inlineStr">
        <is>
          <t>no investor named</t>
        </is>
      </c>
    </row>
    <row r="818">
      <c r="A818" t="inlineStr">
        <is>
          <t>C05</t>
        </is>
      </c>
      <c r="B818" t="inlineStr">
        <is>
          <t>No investor named</t>
        </is>
      </c>
      <c r="C818" t="inlineStr">
        <is>
          <t>info</t>
        </is>
      </c>
      <c r="D818" t="inlineStr">
        <is>
          <t>R261007-garudaaerospac</t>
        </is>
      </c>
      <c r="E818" t="inlineStr">
        <is>
          <t>Garuda Aerospace</t>
        </is>
      </c>
      <c r="F818" s="17" t="n">
        <v>46302</v>
      </c>
      <c r="G818" t="inlineStr">
        <is>
          <t>no investor named</t>
        </is>
      </c>
    </row>
    <row r="819">
      <c r="A819" t="inlineStr">
        <is>
          <t>C05</t>
        </is>
      </c>
      <c r="B819" t="inlineStr">
        <is>
          <t>No investor named</t>
        </is>
      </c>
      <c r="C819" t="inlineStr">
        <is>
          <t>info</t>
        </is>
      </c>
      <c r="D819" t="inlineStr">
        <is>
          <t>R261007-ionage</t>
        </is>
      </c>
      <c r="E819" t="inlineStr">
        <is>
          <t>IONAGE</t>
        </is>
      </c>
      <c r="F819" s="17" t="n">
        <v>46302</v>
      </c>
      <c r="G819" t="inlineStr">
        <is>
          <t>no investor named</t>
        </is>
      </c>
    </row>
    <row r="820">
      <c r="A820" t="inlineStr">
        <is>
          <t>C05</t>
        </is>
      </c>
      <c r="B820" t="inlineStr">
        <is>
          <t>No investor named</t>
        </is>
      </c>
      <c r="C820" t="inlineStr">
        <is>
          <t>info</t>
        </is>
      </c>
      <c r="D820" t="inlineStr">
        <is>
          <t>R261009-moneytruva</t>
        </is>
      </c>
      <c r="E820" t="inlineStr">
        <is>
          <t>MoneyTruVa</t>
        </is>
      </c>
      <c r="F820" s="17" t="n">
        <v>46304</v>
      </c>
      <c r="G820" t="inlineStr">
        <is>
          <t>no investor named</t>
        </is>
      </c>
    </row>
    <row r="821">
      <c r="A821" t="inlineStr">
        <is>
          <t>C06</t>
        </is>
      </c>
      <c r="B821" t="inlineStr">
        <is>
          <t>Sector unclassified</t>
        </is>
      </c>
      <c r="C821" t="inlineStr">
        <is>
          <t>warning</t>
        </is>
      </c>
      <c r="D821" t="inlineStr">
        <is>
          <t>R250107-vehanttechnolo</t>
        </is>
      </c>
      <c r="E821" t="inlineStr">
        <is>
          <t>Vehant Technologies</t>
        </is>
      </c>
      <c r="F821" s="17" t="n">
        <v>45664</v>
      </c>
      <c r="G821" t="inlineStr">
        <is>
          <t>no sector label and no keyword match</t>
        </is>
      </c>
    </row>
    <row r="822">
      <c r="A822" t="inlineStr">
        <is>
          <t>C06</t>
        </is>
      </c>
      <c r="B822" t="inlineStr">
        <is>
          <t>Sector unclassified</t>
        </is>
      </c>
      <c r="C822" t="inlineStr">
        <is>
          <t>warning</t>
        </is>
      </c>
      <c r="D822" t="inlineStr">
        <is>
          <t>R250116-motorfloor</t>
        </is>
      </c>
      <c r="E822" t="inlineStr">
        <is>
          <t>Motorfloor</t>
        </is>
      </c>
      <c r="F822" s="17" t="n">
        <v>45673</v>
      </c>
      <c r="G822" t="inlineStr">
        <is>
          <t>no sector label and no keyword match</t>
        </is>
      </c>
    </row>
    <row r="823">
      <c r="A823" t="inlineStr">
        <is>
          <t>C06</t>
        </is>
      </c>
      <c r="B823" t="inlineStr">
        <is>
          <t>Sector unclassified</t>
        </is>
      </c>
      <c r="C823" t="inlineStr">
        <is>
          <t>warning</t>
        </is>
      </c>
      <c r="D823" t="inlineStr">
        <is>
          <t>R250118-gridos</t>
        </is>
      </c>
      <c r="E823" t="inlineStr">
        <is>
          <t>Grid OS</t>
        </is>
      </c>
      <c r="F823" s="17" t="n">
        <v>45675</v>
      </c>
      <c r="G823" t="inlineStr">
        <is>
          <t>no sector label and no keyword match</t>
        </is>
      </c>
    </row>
    <row r="824">
      <c r="A824" t="inlineStr">
        <is>
          <t>C06</t>
        </is>
      </c>
      <c r="B824" t="inlineStr">
        <is>
          <t>Sector unclassified</t>
        </is>
      </c>
      <c r="C824" t="inlineStr">
        <is>
          <t>warning</t>
        </is>
      </c>
      <c r="D824" t="inlineStr">
        <is>
          <t>R250120-bprhub</t>
        </is>
      </c>
      <c r="E824" t="inlineStr">
        <is>
          <t>BPR Hub</t>
        </is>
      </c>
      <c r="F824" s="17" t="n">
        <v>45677</v>
      </c>
      <c r="G824" t="inlineStr">
        <is>
          <t>no sector label and no keyword match</t>
        </is>
      </c>
    </row>
    <row r="825">
      <c r="A825" t="inlineStr">
        <is>
          <t>C06</t>
        </is>
      </c>
      <c r="B825" t="inlineStr">
        <is>
          <t>Sector unclassified</t>
        </is>
      </c>
      <c r="C825" t="inlineStr">
        <is>
          <t>warning</t>
        </is>
      </c>
      <c r="D825" t="inlineStr">
        <is>
          <t>R250207-nbfcauxilo</t>
        </is>
      </c>
      <c r="E825" t="inlineStr">
        <is>
          <t>NBFC Auxilo</t>
        </is>
      </c>
      <c r="F825" s="17" t="n">
        <v>45695</v>
      </c>
      <c r="G825" t="inlineStr">
        <is>
          <t>no sector label and no keyword match</t>
        </is>
      </c>
    </row>
    <row r="826">
      <c r="A826" t="inlineStr">
        <is>
          <t>C06</t>
        </is>
      </c>
      <c r="B826" t="inlineStr">
        <is>
          <t>Sector unclassified</t>
        </is>
      </c>
      <c r="C826" t="inlineStr">
        <is>
          <t>warning</t>
        </is>
      </c>
      <c r="D826" t="inlineStr">
        <is>
          <t>R250217-youcarelifesty</t>
        </is>
      </c>
      <c r="E826" t="inlineStr">
        <is>
          <t>You Care Lifestyle</t>
        </is>
      </c>
      <c r="F826" s="17" t="n">
        <v>45705</v>
      </c>
      <c r="G826" t="inlineStr">
        <is>
          <t>no sector label and no keyword match</t>
        </is>
      </c>
    </row>
    <row r="827">
      <c r="A827" t="inlineStr">
        <is>
          <t>C06</t>
        </is>
      </c>
      <c r="B827" t="inlineStr">
        <is>
          <t>Sector unclassified</t>
        </is>
      </c>
      <c r="C827" t="inlineStr">
        <is>
          <t>warning</t>
        </is>
      </c>
      <c r="D827" t="inlineStr">
        <is>
          <t>R250218-lightstrom</t>
        </is>
      </c>
      <c r="E827" t="inlineStr">
        <is>
          <t>Lightstrom</t>
        </is>
      </c>
      <c r="F827" s="17" t="n">
        <v>45706</v>
      </c>
      <c r="G827" t="inlineStr">
        <is>
          <t>no sector label and no keyword match</t>
        </is>
      </c>
    </row>
    <row r="828">
      <c r="A828" t="inlineStr">
        <is>
          <t>C06</t>
        </is>
      </c>
      <c r="B828" t="inlineStr">
        <is>
          <t>Sector unclassified</t>
        </is>
      </c>
      <c r="C828" t="inlineStr">
        <is>
          <t>warning</t>
        </is>
      </c>
      <c r="D828" t="inlineStr">
        <is>
          <t>R250225-technodysis</t>
        </is>
      </c>
      <c r="E828" t="inlineStr">
        <is>
          <t>Technodysis</t>
        </is>
      </c>
      <c r="F828" s="17" t="n">
        <v>45713</v>
      </c>
      <c r="G828" t="inlineStr">
        <is>
          <t>no sector label and no keyword match</t>
        </is>
      </c>
    </row>
    <row r="829">
      <c r="A829" t="inlineStr">
        <is>
          <t>C06</t>
        </is>
      </c>
      <c r="B829" t="inlineStr">
        <is>
          <t>Sector unclassified</t>
        </is>
      </c>
      <c r="C829" t="inlineStr">
        <is>
          <t>warning</t>
        </is>
      </c>
      <c r="D829" t="inlineStr">
        <is>
          <t>R250226-moccancercare</t>
        </is>
      </c>
      <c r="E829" t="inlineStr">
        <is>
          <t>MOC Cancer Care</t>
        </is>
      </c>
      <c r="F829" s="17" t="n">
        <v>45714</v>
      </c>
      <c r="G829" t="inlineStr">
        <is>
          <t>no sector label and no keyword match</t>
        </is>
      </c>
    </row>
    <row r="830">
      <c r="A830" t="inlineStr">
        <is>
          <t>C06</t>
        </is>
      </c>
      <c r="B830" t="inlineStr">
        <is>
          <t>Sector unclassified</t>
        </is>
      </c>
      <c r="C830" t="inlineStr">
        <is>
          <t>warning</t>
        </is>
      </c>
      <c r="D830" t="inlineStr">
        <is>
          <t>R250306-gainhubai</t>
        </is>
      </c>
      <c r="E830" t="inlineStr">
        <is>
          <t>Gainhub.Ai</t>
        </is>
      </c>
      <c r="F830" s="17" t="n">
        <v>45722</v>
      </c>
      <c r="G830" t="inlineStr">
        <is>
          <t>no sector label and no keyword match</t>
        </is>
      </c>
    </row>
    <row r="831">
      <c r="A831" t="inlineStr">
        <is>
          <t>C06</t>
        </is>
      </c>
      <c r="B831" t="inlineStr">
        <is>
          <t>Sector unclassified</t>
        </is>
      </c>
      <c r="C831" t="inlineStr">
        <is>
          <t>warning</t>
        </is>
      </c>
      <c r="D831" t="inlineStr">
        <is>
          <t>R250306-rajeevmisrason</t>
        </is>
      </c>
      <c r="E831" t="inlineStr">
        <is>
          <t>Rajeev Misra's son</t>
        </is>
      </c>
      <c r="F831" s="17" t="n">
        <v>45722</v>
      </c>
      <c r="G831" t="inlineStr">
        <is>
          <t>no sector label and no keyword match</t>
        </is>
      </c>
    </row>
    <row r="832">
      <c r="A832" t="inlineStr">
        <is>
          <t>C06</t>
        </is>
      </c>
      <c r="B832" t="inlineStr">
        <is>
          <t>Sector unclassified</t>
        </is>
      </c>
      <c r="C832" t="inlineStr">
        <is>
          <t>warning</t>
        </is>
      </c>
      <c r="D832" t="inlineStr">
        <is>
          <t>R250310-voltmoney</t>
        </is>
      </c>
      <c r="E832" t="inlineStr">
        <is>
          <t>Volt Money</t>
        </is>
      </c>
      <c r="F832" s="17" t="n">
        <v>45726</v>
      </c>
      <c r="G832" t="inlineStr">
        <is>
          <t>no sector label and no keyword match</t>
        </is>
      </c>
    </row>
    <row r="833">
      <c r="A833" t="inlineStr">
        <is>
          <t>C06</t>
        </is>
      </c>
      <c r="B833" t="inlineStr">
        <is>
          <t>Sector unclassified</t>
        </is>
      </c>
      <c r="C833" t="inlineStr">
        <is>
          <t>warning</t>
        </is>
      </c>
      <c r="D833" t="inlineStr">
        <is>
          <t>R250318-yummybee</t>
        </is>
      </c>
      <c r="E833" t="inlineStr">
        <is>
          <t>Yummy Bee</t>
        </is>
      </c>
      <c r="F833" s="17" t="n">
        <v>45734</v>
      </c>
      <c r="G833" t="inlineStr">
        <is>
          <t>no sector label and no keyword match</t>
        </is>
      </c>
    </row>
    <row r="834">
      <c r="A834" t="inlineStr">
        <is>
          <t>C06</t>
        </is>
      </c>
      <c r="B834" t="inlineStr">
        <is>
          <t>Sector unclassified</t>
        </is>
      </c>
      <c r="C834" t="inlineStr">
        <is>
          <t>warning</t>
        </is>
      </c>
      <c r="D834" t="inlineStr">
        <is>
          <t>R250324-dcdckidneycare</t>
        </is>
      </c>
      <c r="E834" t="inlineStr">
        <is>
          <t>DCDC Kidney Care</t>
        </is>
      </c>
      <c r="F834" s="17" t="n">
        <v>45740</v>
      </c>
      <c r="G834" t="inlineStr">
        <is>
          <t>no sector label and no keyword match</t>
        </is>
      </c>
    </row>
    <row r="835">
      <c r="A835" t="inlineStr">
        <is>
          <t>C06</t>
        </is>
      </c>
      <c r="B835" t="inlineStr">
        <is>
          <t>Sector unclassified</t>
        </is>
      </c>
      <c r="C835" t="inlineStr">
        <is>
          <t>warning</t>
        </is>
      </c>
      <c r="D835" t="inlineStr">
        <is>
          <t>R250327-expertiaai</t>
        </is>
      </c>
      <c r="E835" t="inlineStr">
        <is>
          <t>Expertia AI</t>
        </is>
      </c>
      <c r="F835" s="17" t="n">
        <v>45743</v>
      </c>
      <c r="G835" t="inlineStr">
        <is>
          <t>no sector label and no keyword match</t>
        </is>
      </c>
    </row>
    <row r="836">
      <c r="A836" t="inlineStr">
        <is>
          <t>C06</t>
        </is>
      </c>
      <c r="B836" t="inlineStr">
        <is>
          <t>Sector unclassified</t>
        </is>
      </c>
      <c r="C836" t="inlineStr">
        <is>
          <t>warning</t>
        </is>
      </c>
      <c r="D836" t="inlineStr">
        <is>
          <t>R250327-m1xchange</t>
        </is>
      </c>
      <c r="E836" t="inlineStr">
        <is>
          <t>M1xchange</t>
        </is>
      </c>
      <c r="F836" s="17" t="n">
        <v>45743</v>
      </c>
      <c r="G836" t="inlineStr">
        <is>
          <t>no sector label and no keyword match</t>
        </is>
      </c>
    </row>
    <row r="837">
      <c r="A837" t="inlineStr">
        <is>
          <t>C06</t>
        </is>
      </c>
      <c r="B837" t="inlineStr">
        <is>
          <t>Sector unclassified</t>
        </is>
      </c>
      <c r="C837" t="inlineStr">
        <is>
          <t>warning</t>
        </is>
      </c>
      <c r="D837" t="inlineStr">
        <is>
          <t>R250401-chefrobotics</t>
        </is>
      </c>
      <c r="E837" t="inlineStr">
        <is>
          <t>Chef Robotics</t>
        </is>
      </c>
      <c r="F837" s="17" t="n">
        <v>45748</v>
      </c>
      <c r="G837" t="inlineStr">
        <is>
          <t>no sector label and no keyword match</t>
        </is>
      </c>
    </row>
    <row r="838">
      <c r="A838" t="inlineStr">
        <is>
          <t>C06</t>
        </is>
      </c>
      <c r="B838" t="inlineStr">
        <is>
          <t>Sector unclassified</t>
        </is>
      </c>
      <c r="C838" t="inlineStr">
        <is>
          <t>warning</t>
        </is>
      </c>
      <c r="D838" t="inlineStr">
        <is>
          <t>R250401-collegedekho</t>
        </is>
      </c>
      <c r="E838" t="inlineStr">
        <is>
          <t>CollegeDekho</t>
        </is>
      </c>
      <c r="F838" s="17" t="n">
        <v>45748</v>
      </c>
      <c r="G838" t="inlineStr">
        <is>
          <t>no sector label and no keyword match</t>
        </is>
      </c>
    </row>
    <row r="839">
      <c r="A839" t="inlineStr">
        <is>
          <t>C06</t>
        </is>
      </c>
      <c r="B839" t="inlineStr">
        <is>
          <t>Sector unclassified</t>
        </is>
      </c>
      <c r="C839" t="inlineStr">
        <is>
          <t>warning</t>
        </is>
      </c>
      <c r="D839" t="inlineStr">
        <is>
          <t>R250407-ashaventures</t>
        </is>
      </c>
      <c r="E839" t="inlineStr">
        <is>
          <t>Asha Ventures</t>
        </is>
      </c>
      <c r="F839" s="17" t="n">
        <v>45754</v>
      </c>
      <c r="G839" t="inlineStr">
        <is>
          <t>no sector label and no keyword match</t>
        </is>
      </c>
    </row>
    <row r="840">
      <c r="A840" t="inlineStr">
        <is>
          <t>C06</t>
        </is>
      </c>
      <c r="B840" t="inlineStr">
        <is>
          <t>Sector unclassified</t>
        </is>
      </c>
      <c r="C840" t="inlineStr">
        <is>
          <t>warning</t>
        </is>
      </c>
      <c r="D840" t="inlineStr">
        <is>
          <t>R250407-sadbhavfuturet</t>
        </is>
      </c>
      <c r="E840" t="inlineStr">
        <is>
          <t>Sadbhav Future Tech</t>
        </is>
      </c>
      <c r="F840" s="17" t="n">
        <v>45754</v>
      </c>
      <c r="G840" t="inlineStr">
        <is>
          <t>no sector label and no keyword match</t>
        </is>
      </c>
    </row>
    <row r="841">
      <c r="A841" t="inlineStr">
        <is>
          <t>C06</t>
        </is>
      </c>
      <c r="B841" t="inlineStr">
        <is>
          <t>Sector unclassified</t>
        </is>
      </c>
      <c r="C841" t="inlineStr">
        <is>
          <t>warning</t>
        </is>
      </c>
      <c r="D841" t="inlineStr">
        <is>
          <t>R250411-greenline</t>
        </is>
      </c>
      <c r="E841" t="inlineStr">
        <is>
          <t>GreenLine</t>
        </is>
      </c>
      <c r="F841" s="17" t="n">
        <v>45757</v>
      </c>
      <c r="G841" t="inlineStr">
        <is>
          <t>no sector label and no keyword match</t>
        </is>
      </c>
    </row>
    <row r="842">
      <c r="A842" t="inlineStr">
        <is>
          <t>C06</t>
        </is>
      </c>
      <c r="B842" t="inlineStr">
        <is>
          <t>Sector unclassified</t>
        </is>
      </c>
      <c r="C842" t="inlineStr">
        <is>
          <t>warning</t>
        </is>
      </c>
      <c r="D842" t="inlineStr">
        <is>
          <t>R250418-rayzonsolar</t>
        </is>
      </c>
      <c r="E842" t="inlineStr">
        <is>
          <t>Rayzon Solar</t>
        </is>
      </c>
      <c r="F842" s="17" t="n">
        <v>45765</v>
      </c>
      <c r="G842" t="inlineStr">
        <is>
          <t>no sector label and no keyword match</t>
        </is>
      </c>
    </row>
    <row r="843">
      <c r="A843" t="inlineStr">
        <is>
          <t>C06</t>
        </is>
      </c>
      <c r="B843" t="inlineStr">
        <is>
          <t>Sector unclassified</t>
        </is>
      </c>
      <c r="C843" t="inlineStr">
        <is>
          <t>warning</t>
        </is>
      </c>
      <c r="D843" t="inlineStr">
        <is>
          <t>R250421-matbook</t>
        </is>
      </c>
      <c r="E843" t="inlineStr">
        <is>
          <t>MatBook</t>
        </is>
      </c>
      <c r="F843" s="17" t="n">
        <v>45768</v>
      </c>
      <c r="G843" t="inlineStr">
        <is>
          <t>no sector label and no keyword match</t>
        </is>
      </c>
    </row>
    <row r="844">
      <c r="A844" t="inlineStr">
        <is>
          <t>C06</t>
        </is>
      </c>
      <c r="B844" t="inlineStr">
        <is>
          <t>Sector unclassified</t>
        </is>
      </c>
      <c r="C844" t="inlineStr">
        <is>
          <t>warning</t>
        </is>
      </c>
      <c r="D844" t="inlineStr">
        <is>
          <t>R250422-poshsmetal</t>
        </is>
      </c>
      <c r="E844" t="inlineStr">
        <is>
          <t>Poshs Metal</t>
        </is>
      </c>
      <c r="F844" s="17" t="n">
        <v>45769</v>
      </c>
      <c r="G844" t="inlineStr">
        <is>
          <t>no sector label and no keyword match</t>
        </is>
      </c>
    </row>
    <row r="845">
      <c r="A845" t="inlineStr">
        <is>
          <t>C06</t>
        </is>
      </c>
      <c r="B845" t="inlineStr">
        <is>
          <t>Sector unclassified</t>
        </is>
      </c>
      <c r="C845" t="inlineStr">
        <is>
          <t>warning</t>
        </is>
      </c>
      <c r="D845" t="inlineStr">
        <is>
          <t>R250423-beyondoddstech</t>
        </is>
      </c>
      <c r="E845" t="inlineStr">
        <is>
          <t>Beyond Odds Technologies</t>
        </is>
      </c>
      <c r="F845" s="17" t="n">
        <v>45770</v>
      </c>
      <c r="G845" t="inlineStr">
        <is>
          <t>no sector label and no keyword match</t>
        </is>
      </c>
    </row>
    <row r="846">
      <c r="A846" t="inlineStr">
        <is>
          <t>C06</t>
        </is>
      </c>
      <c r="B846" t="inlineStr">
        <is>
          <t>Sector unclassified</t>
        </is>
      </c>
      <c r="C846" t="inlineStr">
        <is>
          <t>warning</t>
        </is>
      </c>
      <c r="D846" t="inlineStr">
        <is>
          <t>R250423-farmart</t>
        </is>
      </c>
      <c r="E846" t="inlineStr">
        <is>
          <t>FarMart</t>
        </is>
      </c>
      <c r="F846" s="17" t="n">
        <v>45770</v>
      </c>
      <c r="G846" t="inlineStr">
        <is>
          <t>no sector label and no keyword match</t>
        </is>
      </c>
    </row>
    <row r="847">
      <c r="A847" t="inlineStr">
        <is>
          <t>C06</t>
        </is>
      </c>
      <c r="B847" t="inlineStr">
        <is>
          <t>Sector unclassified</t>
        </is>
      </c>
      <c r="C847" t="inlineStr">
        <is>
          <t>warning</t>
        </is>
      </c>
      <c r="D847" t="inlineStr">
        <is>
          <t>R250429-collegedekho</t>
        </is>
      </c>
      <c r="E847" t="inlineStr">
        <is>
          <t>CollegeDekho</t>
        </is>
      </c>
      <c r="F847" s="17" t="n">
        <v>45776</v>
      </c>
      <c r="G847" t="inlineStr">
        <is>
          <t>no sector label and no keyword match</t>
        </is>
      </c>
    </row>
    <row r="848">
      <c r="A848" t="inlineStr">
        <is>
          <t>C06</t>
        </is>
      </c>
      <c r="B848" t="inlineStr">
        <is>
          <t>Sector unclassified</t>
        </is>
      </c>
      <c r="C848" t="inlineStr">
        <is>
          <t>warning</t>
        </is>
      </c>
      <c r="D848" t="inlineStr">
        <is>
          <t>R250429-nbfcmetafin</t>
        </is>
      </c>
      <c r="E848" t="inlineStr">
        <is>
          <t>NBFC Metafin</t>
        </is>
      </c>
      <c r="F848" s="17" t="n">
        <v>45776</v>
      </c>
      <c r="G848" t="inlineStr">
        <is>
          <t>no sector label and no keyword match</t>
        </is>
      </c>
    </row>
    <row r="849">
      <c r="A849" t="inlineStr">
        <is>
          <t>C06</t>
        </is>
      </c>
      <c r="B849" t="inlineStr">
        <is>
          <t>Sector unclassified</t>
        </is>
      </c>
      <c r="C849" t="inlineStr">
        <is>
          <t>warning</t>
        </is>
      </c>
      <c r="D849" t="inlineStr">
        <is>
          <t>R250430-sadhavoffshore</t>
        </is>
      </c>
      <c r="E849" t="inlineStr">
        <is>
          <t>Sadhav Offshore</t>
        </is>
      </c>
      <c r="F849" s="17" t="n">
        <v>45777</v>
      </c>
      <c r="G849" t="inlineStr">
        <is>
          <t>no sector label and no keyword match</t>
        </is>
      </c>
    </row>
    <row r="850">
      <c r="A850" t="inlineStr">
        <is>
          <t>C06</t>
        </is>
      </c>
      <c r="B850" t="inlineStr">
        <is>
          <t>Sector unclassified</t>
        </is>
      </c>
      <c r="C850" t="inlineStr">
        <is>
          <t>warning</t>
        </is>
      </c>
      <c r="D850" t="inlineStr">
        <is>
          <t>R250501-fuze</t>
        </is>
      </c>
      <c r="E850" t="inlineStr">
        <is>
          <t>Fuze</t>
        </is>
      </c>
      <c r="F850" s="17" t="n">
        <v>45778</v>
      </c>
      <c r="G850" t="inlineStr">
        <is>
          <t>no sector label and no keyword match</t>
        </is>
      </c>
    </row>
    <row r="851">
      <c r="A851" t="inlineStr">
        <is>
          <t>C06</t>
        </is>
      </c>
      <c r="B851" t="inlineStr">
        <is>
          <t>Sector unclassified</t>
        </is>
      </c>
      <c r="C851" t="inlineStr">
        <is>
          <t>warning</t>
        </is>
      </c>
      <c r="D851" t="inlineStr">
        <is>
          <t>R250514-karanbajaj</t>
        </is>
      </c>
      <c r="E851" t="inlineStr">
        <is>
          <t>Karan Bajaj</t>
        </is>
      </c>
      <c r="F851" s="17" t="n">
        <v>45791</v>
      </c>
      <c r="G851" t="inlineStr">
        <is>
          <t>no sector label and no keyword match</t>
        </is>
      </c>
    </row>
    <row r="852">
      <c r="A852" t="inlineStr">
        <is>
          <t>C06</t>
        </is>
      </c>
      <c r="B852" t="inlineStr">
        <is>
          <t>Sector unclassified</t>
        </is>
      </c>
      <c r="C852" t="inlineStr">
        <is>
          <t>warning</t>
        </is>
      </c>
      <c r="D852" t="inlineStr">
        <is>
          <t>R250516-nobelhygiene</t>
        </is>
      </c>
      <c r="E852" t="inlineStr">
        <is>
          <t>Nobel Hygiene</t>
        </is>
      </c>
      <c r="F852" s="17" t="n">
        <v>45792</v>
      </c>
      <c r="G852" t="inlineStr">
        <is>
          <t>no sector label and no keyword match</t>
        </is>
      </c>
    </row>
    <row r="853">
      <c r="A853" t="inlineStr">
        <is>
          <t>C06</t>
        </is>
      </c>
      <c r="B853" t="inlineStr">
        <is>
          <t>Sector unclassified</t>
        </is>
      </c>
      <c r="C853" t="inlineStr">
        <is>
          <t>warning</t>
        </is>
      </c>
      <c r="D853" t="inlineStr">
        <is>
          <t>R250517-fynmobility</t>
        </is>
      </c>
      <c r="E853" t="inlineStr">
        <is>
          <t>Fyn Mobility</t>
        </is>
      </c>
      <c r="F853" s="17" t="n">
        <v>45794</v>
      </c>
      <c r="G853" t="inlineStr">
        <is>
          <t>no sector label and no keyword match</t>
        </is>
      </c>
    </row>
    <row r="854">
      <c r="A854" t="inlineStr">
        <is>
          <t>C06</t>
        </is>
      </c>
      <c r="B854" t="inlineStr">
        <is>
          <t>Sector unclassified</t>
        </is>
      </c>
      <c r="C854" t="inlineStr">
        <is>
          <t>warning</t>
        </is>
      </c>
      <c r="D854" t="inlineStr">
        <is>
          <t>R250527-citykart</t>
        </is>
      </c>
      <c r="E854" t="inlineStr">
        <is>
          <t>Citykart</t>
        </is>
      </c>
      <c r="F854" s="17" t="n">
        <v>45804</v>
      </c>
      <c r="G854" t="inlineStr">
        <is>
          <t>no sector label and no keyword match</t>
        </is>
      </c>
    </row>
    <row r="855">
      <c r="A855" t="inlineStr">
        <is>
          <t>C06</t>
        </is>
      </c>
      <c r="B855" t="inlineStr">
        <is>
          <t>Sector unclassified</t>
        </is>
      </c>
      <c r="C855" t="inlineStr">
        <is>
          <t>warning</t>
        </is>
      </c>
      <c r="D855" t="inlineStr">
        <is>
          <t>R250616-fundbyatomicca</t>
        </is>
      </c>
      <c r="E855" t="inlineStr">
        <is>
          <t>fund by Atomic Capital</t>
        </is>
      </c>
      <c r="F855" s="17" t="n">
        <v>45824</v>
      </c>
      <c r="G855" t="inlineStr">
        <is>
          <t>no sector label and no keyword match</t>
        </is>
      </c>
    </row>
    <row r="856">
      <c r="A856" t="inlineStr">
        <is>
          <t>C06</t>
        </is>
      </c>
      <c r="B856" t="inlineStr">
        <is>
          <t>Sector unclassified</t>
        </is>
      </c>
      <c r="C856" t="inlineStr">
        <is>
          <t>warning</t>
        </is>
      </c>
      <c r="D856" t="inlineStr">
        <is>
          <t>R250617-coralogix</t>
        </is>
      </c>
      <c r="E856" t="inlineStr">
        <is>
          <t>Coralogix</t>
        </is>
      </c>
      <c r="F856" s="17" t="n">
        <v>45825</v>
      </c>
      <c r="G856" t="inlineStr">
        <is>
          <t>no sector label and no keyword match</t>
        </is>
      </c>
    </row>
    <row r="857">
      <c r="A857" t="inlineStr">
        <is>
          <t>C06</t>
        </is>
      </c>
      <c r="B857" t="inlineStr">
        <is>
          <t>Sector unclassified</t>
        </is>
      </c>
      <c r="C857" t="inlineStr">
        <is>
          <t>warning</t>
        </is>
      </c>
      <c r="D857" t="inlineStr">
        <is>
          <t>R250617-israelcoralogi</t>
        </is>
      </c>
      <c r="E857" t="inlineStr">
        <is>
          <t>Israel's Coralogix</t>
        </is>
      </c>
      <c r="F857" s="17" t="n">
        <v>45825</v>
      </c>
      <c r="G857" t="inlineStr">
        <is>
          <t>no sector label and no keyword match</t>
        </is>
      </c>
    </row>
    <row r="858">
      <c r="A858" t="inlineStr">
        <is>
          <t>C06</t>
        </is>
      </c>
      <c r="B858" t="inlineStr">
        <is>
          <t>Sector unclassified</t>
        </is>
      </c>
      <c r="C858" t="inlineStr">
        <is>
          <t>warning</t>
        </is>
      </c>
      <c r="D858" t="inlineStr">
        <is>
          <t>R250617-nbfcdugarfinan</t>
        </is>
      </c>
      <c r="E858" t="inlineStr">
        <is>
          <t>NBFC Dugar Finance</t>
        </is>
      </c>
      <c r="F858" s="17" t="n">
        <v>45825</v>
      </c>
      <c r="G858" t="inlineStr">
        <is>
          <t>no sector label and no keyword match</t>
        </is>
      </c>
    </row>
    <row r="859">
      <c r="A859" t="inlineStr">
        <is>
          <t>C06</t>
        </is>
      </c>
      <c r="B859" t="inlineStr">
        <is>
          <t>Sector unclassified</t>
        </is>
      </c>
      <c r="C859" t="inlineStr">
        <is>
          <t>warning</t>
        </is>
      </c>
      <c r="D859" t="inlineStr">
        <is>
          <t>R250618-clrfacilityser</t>
        </is>
      </c>
      <c r="E859" t="inlineStr">
        <is>
          <t>CLR Facility Services</t>
        </is>
      </c>
      <c r="F859" s="17" t="n">
        <v>45826</v>
      </c>
      <c r="G859" t="inlineStr">
        <is>
          <t>no sector label and no keyword match</t>
        </is>
      </c>
    </row>
    <row r="860">
      <c r="A860" t="inlineStr">
        <is>
          <t>C06</t>
        </is>
      </c>
      <c r="B860" t="inlineStr">
        <is>
          <t>Sector unclassified</t>
        </is>
      </c>
      <c r="C860" t="inlineStr">
        <is>
          <t>warning</t>
        </is>
      </c>
      <c r="D860" t="inlineStr">
        <is>
          <t>R250619-onehandclapmed</t>
        </is>
      </c>
      <c r="E860" t="inlineStr">
        <is>
          <t>One Hand Clap Media</t>
        </is>
      </c>
      <c r="F860" s="17" t="n">
        <v>45827</v>
      </c>
      <c r="G860" t="inlineStr">
        <is>
          <t>no sector label and no keyword match</t>
        </is>
      </c>
    </row>
    <row r="861">
      <c r="A861" t="inlineStr">
        <is>
          <t>C06</t>
        </is>
      </c>
      <c r="B861" t="inlineStr">
        <is>
          <t>Sector unclassified</t>
        </is>
      </c>
      <c r="C861" t="inlineStr">
        <is>
          <t>warning</t>
        </is>
      </c>
      <c r="D861" t="inlineStr">
        <is>
          <t>R250623-incredholdings</t>
        </is>
      </c>
      <c r="E861" t="inlineStr">
        <is>
          <t>InCred Holdings</t>
        </is>
      </c>
      <c r="F861" s="17" t="n">
        <v>45831</v>
      </c>
      <c r="G861" t="inlineStr">
        <is>
          <t>no sector label and no keyword match</t>
        </is>
      </c>
    </row>
    <row r="862">
      <c r="A862" t="inlineStr">
        <is>
          <t>C06</t>
        </is>
      </c>
      <c r="B862" t="inlineStr">
        <is>
          <t>Sector unclassified</t>
        </is>
      </c>
      <c r="C862" t="inlineStr">
        <is>
          <t>warning</t>
        </is>
      </c>
      <c r="D862" t="inlineStr">
        <is>
          <t>R250624-utopiatherapeu</t>
        </is>
      </c>
      <c r="E862" t="inlineStr">
        <is>
          <t>Utopia Therapeutics</t>
        </is>
      </c>
      <c r="F862" s="17" t="n">
        <v>45832</v>
      </c>
      <c r="G862" t="inlineStr">
        <is>
          <t>no sector label and no keyword match</t>
        </is>
      </c>
    </row>
    <row r="863">
      <c r="A863" t="inlineStr">
        <is>
          <t>C06</t>
        </is>
      </c>
      <c r="B863" t="inlineStr">
        <is>
          <t>Sector unclassified</t>
        </is>
      </c>
      <c r="C863" t="inlineStr">
        <is>
          <t>warning</t>
        </is>
      </c>
      <c r="D863" t="inlineStr">
        <is>
          <t>R250702-iora</t>
        </is>
      </c>
      <c r="E863" t="inlineStr">
        <is>
          <t>IORA</t>
        </is>
      </c>
      <c r="F863" s="17" t="n">
        <v>45840</v>
      </c>
      <c r="G863" t="inlineStr">
        <is>
          <t>no sector label and no keyword match</t>
        </is>
      </c>
    </row>
    <row r="864">
      <c r="A864" t="inlineStr">
        <is>
          <t>C06</t>
        </is>
      </c>
      <c r="B864" t="inlineStr">
        <is>
          <t>Sector unclassified</t>
        </is>
      </c>
      <c r="C864" t="inlineStr">
        <is>
          <t>warning</t>
        </is>
      </c>
      <c r="D864" t="inlineStr">
        <is>
          <t>R250708-creditwisecapi</t>
        </is>
      </c>
      <c r="E864" t="inlineStr">
        <is>
          <t>Credit Wise Capital</t>
        </is>
      </c>
      <c r="F864" s="17" t="n">
        <v>45846</v>
      </c>
      <c r="G864" t="inlineStr">
        <is>
          <t>no sector label and no keyword match</t>
        </is>
      </c>
    </row>
    <row r="865">
      <c r="A865" t="inlineStr">
        <is>
          <t>C06</t>
        </is>
      </c>
      <c r="B865" t="inlineStr">
        <is>
          <t>Sector unclassified</t>
        </is>
      </c>
      <c r="C865" t="inlineStr">
        <is>
          <t>warning</t>
        </is>
      </c>
      <c r="D865" t="inlineStr">
        <is>
          <t>R250716-zeushygia</t>
        </is>
      </c>
      <c r="E865" t="inlineStr">
        <is>
          <t>Zeus Hygia</t>
        </is>
      </c>
      <c r="F865" s="17" t="n">
        <v>45854</v>
      </c>
      <c r="G865" t="inlineStr">
        <is>
          <t>no sector label and no keyword match</t>
        </is>
      </c>
    </row>
    <row r="866">
      <c r="A866" t="inlineStr">
        <is>
          <t>C06</t>
        </is>
      </c>
      <c r="B866" t="inlineStr">
        <is>
          <t>Sector unclassified</t>
        </is>
      </c>
      <c r="C866" t="inlineStr">
        <is>
          <t>warning</t>
        </is>
      </c>
      <c r="D866" t="inlineStr">
        <is>
          <t>R250717-lofoods</t>
        </is>
      </c>
      <c r="E866" t="inlineStr">
        <is>
          <t>Lo! Foods</t>
        </is>
      </c>
      <c r="F866" s="17" t="n">
        <v>45855</v>
      </c>
      <c r="G866" t="inlineStr">
        <is>
          <t>no sector label and no keyword match</t>
        </is>
      </c>
    </row>
    <row r="867">
      <c r="A867" t="inlineStr">
        <is>
          <t>C06</t>
        </is>
      </c>
      <c r="B867" t="inlineStr">
        <is>
          <t>Sector unclassified</t>
        </is>
      </c>
      <c r="C867" t="inlineStr">
        <is>
          <t>warning</t>
        </is>
      </c>
      <c r="D867" t="inlineStr">
        <is>
          <t>R250805-gameramp</t>
        </is>
      </c>
      <c r="E867" t="inlineStr">
        <is>
          <t>GameRamp</t>
        </is>
      </c>
      <c r="F867" s="17" t="n">
        <v>45874</v>
      </c>
      <c r="G867" t="inlineStr">
        <is>
          <t>no sector label and no keyword match</t>
        </is>
      </c>
    </row>
    <row r="868">
      <c r="A868" t="inlineStr">
        <is>
          <t>C06</t>
        </is>
      </c>
      <c r="B868" t="inlineStr">
        <is>
          <t>Sector unclassified</t>
        </is>
      </c>
      <c r="C868" t="inlineStr">
        <is>
          <t>warning</t>
        </is>
      </c>
      <c r="D868" t="inlineStr">
        <is>
          <t>R250805-politepowertec</t>
        </is>
      </c>
      <c r="E868" t="inlineStr">
        <is>
          <t>Polite Powertech</t>
        </is>
      </c>
      <c r="F868" s="17" t="n">
        <v>45874</v>
      </c>
      <c r="G868" t="inlineStr">
        <is>
          <t>no sector label and no keyword match</t>
        </is>
      </c>
    </row>
    <row r="869">
      <c r="A869" t="inlineStr">
        <is>
          <t>C06</t>
        </is>
      </c>
      <c r="B869" t="inlineStr">
        <is>
          <t>Sector unclassified</t>
        </is>
      </c>
      <c r="C869" t="inlineStr">
        <is>
          <t>warning</t>
        </is>
      </c>
      <c r="D869" t="inlineStr">
        <is>
          <t>R250812-elever</t>
        </is>
      </c>
      <c r="E869" t="inlineStr">
        <is>
          <t>Elever</t>
        </is>
      </c>
      <c r="F869" s="17" t="n">
        <v>45881</v>
      </c>
      <c r="G869" t="inlineStr">
        <is>
          <t>no sector label and no keyword match</t>
        </is>
      </c>
    </row>
    <row r="870">
      <c r="A870" t="inlineStr">
        <is>
          <t>C06</t>
        </is>
      </c>
      <c r="B870" t="inlineStr">
        <is>
          <t>Sector unclassified</t>
        </is>
      </c>
      <c r="C870" t="inlineStr">
        <is>
          <t>warning</t>
        </is>
      </c>
      <c r="D870" t="inlineStr">
        <is>
          <t>R250814-shivaliksmallf</t>
        </is>
      </c>
      <c r="E870" t="inlineStr">
        <is>
          <t>Shivalik Small Finance Bank</t>
        </is>
      </c>
      <c r="F870" s="17" t="n">
        <v>45883</v>
      </c>
      <c r="G870" t="inlineStr">
        <is>
          <t>no sector label and no keyword match</t>
        </is>
      </c>
    </row>
    <row r="871">
      <c r="A871" t="inlineStr">
        <is>
          <t>C06</t>
        </is>
      </c>
      <c r="B871" t="inlineStr">
        <is>
          <t>Sector unclassified</t>
        </is>
      </c>
      <c r="C871" t="inlineStr">
        <is>
          <t>warning</t>
        </is>
      </c>
      <c r="D871" t="inlineStr">
        <is>
          <t>R250814-shreetech</t>
        </is>
      </c>
      <c r="E871" t="inlineStr">
        <is>
          <t>Shreetech</t>
        </is>
      </c>
      <c r="F871" s="17" t="n">
        <v>45883</v>
      </c>
      <c r="G871" t="inlineStr">
        <is>
          <t>no sector label and no keyword match</t>
        </is>
      </c>
    </row>
    <row r="872">
      <c r="A872" t="inlineStr">
        <is>
          <t>C06</t>
        </is>
      </c>
      <c r="B872" t="inlineStr">
        <is>
          <t>Sector unclassified</t>
        </is>
      </c>
      <c r="C872" t="inlineStr">
        <is>
          <t>warning</t>
        </is>
      </c>
      <c r="D872" t="inlineStr">
        <is>
          <t>R250818-amnex</t>
        </is>
      </c>
      <c r="E872" t="inlineStr">
        <is>
          <t>Amnex</t>
        </is>
      </c>
      <c r="F872" s="17" t="n">
        <v>45887</v>
      </c>
      <c r="G872" t="inlineStr">
        <is>
          <t>no sector label and no keyword match</t>
        </is>
      </c>
    </row>
    <row r="873">
      <c r="A873" t="inlineStr">
        <is>
          <t>C06</t>
        </is>
      </c>
      <c r="B873" t="inlineStr">
        <is>
          <t>Sector unclassified</t>
        </is>
      </c>
      <c r="C873" t="inlineStr">
        <is>
          <t>warning</t>
        </is>
      </c>
      <c r="D873" t="inlineStr">
        <is>
          <t>R250818-arthaselectfun</t>
        </is>
      </c>
      <c r="E873" t="inlineStr">
        <is>
          <t>Artha Select Fund</t>
        </is>
      </c>
      <c r="F873" s="17" t="n">
        <v>45887</v>
      </c>
      <c r="G873" t="inlineStr">
        <is>
          <t>no sector label and no keyword match</t>
        </is>
      </c>
    </row>
    <row r="874">
      <c r="A874" t="inlineStr">
        <is>
          <t>C06</t>
        </is>
      </c>
      <c r="B874" t="inlineStr">
        <is>
          <t>Sector unclassified</t>
        </is>
      </c>
      <c r="C874" t="inlineStr">
        <is>
          <t>warning</t>
        </is>
      </c>
      <c r="D874" t="inlineStr">
        <is>
          <t>R250818-stanzaliving</t>
        </is>
      </c>
      <c r="E874" t="inlineStr">
        <is>
          <t>Stanza Living</t>
        </is>
      </c>
      <c r="F874" s="17" t="n">
        <v>45887</v>
      </c>
      <c r="G874" t="inlineStr">
        <is>
          <t>no sector label and no keyword match</t>
        </is>
      </c>
    </row>
    <row r="875">
      <c r="A875" t="inlineStr">
        <is>
          <t>C06</t>
        </is>
      </c>
      <c r="B875" t="inlineStr">
        <is>
          <t>Sector unclassified</t>
        </is>
      </c>
      <c r="C875" t="inlineStr">
        <is>
          <t>warning</t>
        </is>
      </c>
      <c r="D875" t="inlineStr">
        <is>
          <t>R250820-mithilafoods</t>
        </is>
      </c>
      <c r="E875" t="inlineStr">
        <is>
          <t>Mithila Foods</t>
        </is>
      </c>
      <c r="F875" s="17" t="n">
        <v>45889</v>
      </c>
      <c r="G875" t="inlineStr">
        <is>
          <t>no sector label and no keyword match</t>
        </is>
      </c>
    </row>
    <row r="876">
      <c r="A876" t="inlineStr">
        <is>
          <t>C06</t>
        </is>
      </c>
      <c r="B876" t="inlineStr">
        <is>
          <t>Sector unclassified</t>
        </is>
      </c>
      <c r="C876" t="inlineStr">
        <is>
          <t>warning</t>
        </is>
      </c>
      <c r="D876" t="inlineStr">
        <is>
          <t>R250828-savemicrofinan</t>
        </is>
      </c>
      <c r="E876" t="inlineStr">
        <is>
          <t>SAVE Microfinance</t>
        </is>
      </c>
      <c r="F876" s="17" t="n">
        <v>45897</v>
      </c>
      <c r="G876" t="inlineStr">
        <is>
          <t>no sector label and no keyword match</t>
        </is>
      </c>
    </row>
    <row r="877">
      <c r="A877" t="inlineStr">
        <is>
          <t>C06</t>
        </is>
      </c>
      <c r="B877" t="inlineStr">
        <is>
          <t>Sector unclassified</t>
        </is>
      </c>
      <c r="C877" t="inlineStr">
        <is>
          <t>warning</t>
        </is>
      </c>
      <c r="D877" t="inlineStr">
        <is>
          <t>R250901-tessolve</t>
        </is>
      </c>
      <c r="E877" t="inlineStr">
        <is>
          <t>Tessolve</t>
        </is>
      </c>
      <c r="F877" s="17" t="n">
        <v>45901</v>
      </c>
      <c r="G877" t="inlineStr">
        <is>
          <t>no sector label and no keyword match</t>
        </is>
      </c>
    </row>
    <row r="878">
      <c r="A878" t="inlineStr">
        <is>
          <t>C06</t>
        </is>
      </c>
      <c r="B878" t="inlineStr">
        <is>
          <t>Sector unclassified</t>
        </is>
      </c>
      <c r="C878" t="inlineStr">
        <is>
          <t>warning</t>
        </is>
      </c>
      <c r="D878" t="inlineStr">
        <is>
          <t>R250903-onlinepharmacy</t>
        </is>
      </c>
      <c r="E878" t="inlineStr">
        <is>
          <t>Online pharmacy PlatinumRx</t>
        </is>
      </c>
      <c r="F878" s="17" t="n">
        <v>45903</v>
      </c>
      <c r="G878" t="inlineStr">
        <is>
          <t>no sector label and no keyword match</t>
        </is>
      </c>
    </row>
    <row r="879">
      <c r="A879" t="inlineStr">
        <is>
          <t>C06</t>
        </is>
      </c>
      <c r="B879" t="inlineStr">
        <is>
          <t>Sector unclassified</t>
        </is>
      </c>
      <c r="C879" t="inlineStr">
        <is>
          <t>warning</t>
        </is>
      </c>
      <c r="D879" t="inlineStr">
        <is>
          <t>R250908-trufrostandbut</t>
        </is>
      </c>
      <c r="E879" t="inlineStr">
        <is>
          <t>Trufrost &amp; Butler</t>
        </is>
      </c>
      <c r="F879" s="17" t="n">
        <v>45908</v>
      </c>
      <c r="G879" t="inlineStr">
        <is>
          <t>no sector label and no keyword match</t>
        </is>
      </c>
    </row>
    <row r="880">
      <c r="A880" t="inlineStr">
        <is>
          <t>C06</t>
        </is>
      </c>
      <c r="B880" t="inlineStr">
        <is>
          <t>Sector unclassified</t>
        </is>
      </c>
      <c r="C880" t="inlineStr">
        <is>
          <t>warning</t>
        </is>
      </c>
      <c r="D880" t="inlineStr">
        <is>
          <t>R250916-genovationsolu</t>
        </is>
      </c>
      <c r="E880" t="inlineStr">
        <is>
          <t>Genovation Solutions</t>
        </is>
      </c>
      <c r="F880" s="17" t="n">
        <v>45916</v>
      </c>
      <c r="G880" t="inlineStr">
        <is>
          <t>no sector label and no keyword match</t>
        </is>
      </c>
    </row>
    <row r="881">
      <c r="A881" t="inlineStr">
        <is>
          <t>C06</t>
        </is>
      </c>
      <c r="B881" t="inlineStr">
        <is>
          <t>Sector unclassified</t>
        </is>
      </c>
      <c r="C881" t="inlineStr">
        <is>
          <t>warning</t>
        </is>
      </c>
      <c r="D881" t="inlineStr">
        <is>
          <t>R250922-allthingspeopl</t>
        </is>
      </c>
      <c r="E881" t="inlineStr">
        <is>
          <t>All Things People</t>
        </is>
      </c>
      <c r="F881" s="17" t="n">
        <v>45922</v>
      </c>
      <c r="G881" t="inlineStr">
        <is>
          <t>no sector label and no keyword match</t>
        </is>
      </c>
    </row>
    <row r="882">
      <c r="A882" t="inlineStr">
        <is>
          <t>C06</t>
        </is>
      </c>
      <c r="B882" t="inlineStr">
        <is>
          <t>Sector unclassified</t>
        </is>
      </c>
      <c r="C882" t="inlineStr">
        <is>
          <t>warning</t>
        </is>
      </c>
      <c r="D882" t="inlineStr">
        <is>
          <t>R250929-rugrfintech</t>
        </is>
      </c>
      <c r="E882" t="inlineStr">
        <is>
          <t>RUGR Fintech</t>
        </is>
      </c>
      <c r="F882" s="17" t="n">
        <v>45929</v>
      </c>
      <c r="G882" t="inlineStr">
        <is>
          <t>no sector label and no keyword match</t>
        </is>
      </c>
    </row>
    <row r="883">
      <c r="A883" t="inlineStr">
        <is>
          <t>C06</t>
        </is>
      </c>
      <c r="B883" t="inlineStr">
        <is>
          <t>Sector unclassified</t>
        </is>
      </c>
      <c r="C883" t="inlineStr">
        <is>
          <t>warning</t>
        </is>
      </c>
      <c r="D883" t="inlineStr">
        <is>
          <t>R251006-affluenseai</t>
        </is>
      </c>
      <c r="E883" t="inlineStr">
        <is>
          <t>Affluense AI</t>
        </is>
      </c>
      <c r="F883" s="17" t="n">
        <v>45936</v>
      </c>
      <c r="G883" t="inlineStr">
        <is>
          <t>no sector label and no keyword match</t>
        </is>
      </c>
    </row>
    <row r="884">
      <c r="A884" t="inlineStr">
        <is>
          <t>C06</t>
        </is>
      </c>
      <c r="B884" t="inlineStr">
        <is>
          <t>Sector unclassified</t>
        </is>
      </c>
      <c r="C884" t="inlineStr">
        <is>
          <t>warning</t>
        </is>
      </c>
      <c r="D884" t="inlineStr">
        <is>
          <t>R251023-pavebank</t>
        </is>
      </c>
      <c r="E884" t="inlineStr">
        <is>
          <t>Pave Bank</t>
        </is>
      </c>
      <c r="F884" s="17" t="n">
        <v>45953</v>
      </c>
      <c r="G884" t="inlineStr">
        <is>
          <t>no sector label and no keyword match</t>
        </is>
      </c>
    </row>
    <row r="885">
      <c r="A885" t="inlineStr">
        <is>
          <t>C06</t>
        </is>
      </c>
      <c r="B885" t="inlineStr">
        <is>
          <t>Sector unclassified</t>
        </is>
      </c>
      <c r="C885" t="inlineStr">
        <is>
          <t>warning</t>
        </is>
      </c>
      <c r="D885" t="inlineStr">
        <is>
          <t>R251025-relianceintell</t>
        </is>
      </c>
      <c r="E885" t="inlineStr">
        <is>
          <t>Reliance Intelligence Limited (RIL)</t>
        </is>
      </c>
      <c r="F885" s="17" t="n">
        <v>45955</v>
      </c>
      <c r="G885" t="inlineStr">
        <is>
          <t>no sector label and no keyword match</t>
        </is>
      </c>
    </row>
    <row r="886">
      <c r="A886" t="inlineStr">
        <is>
          <t>C06</t>
        </is>
      </c>
      <c r="B886" t="inlineStr">
        <is>
          <t>Sector unclassified</t>
        </is>
      </c>
      <c r="C886" t="inlineStr">
        <is>
          <t>warning</t>
        </is>
      </c>
      <c r="D886" t="inlineStr">
        <is>
          <t>R251027-versabytedatas</t>
        </is>
      </c>
      <c r="E886" t="inlineStr">
        <is>
          <t>Versabyte Data Systems</t>
        </is>
      </c>
      <c r="F886" s="17" t="n">
        <v>45957</v>
      </c>
      <c r="G886" t="inlineStr">
        <is>
          <t>no sector label and no keyword match</t>
        </is>
      </c>
    </row>
    <row r="887">
      <c r="A887" t="inlineStr">
        <is>
          <t>C06</t>
        </is>
      </c>
      <c r="B887" t="inlineStr">
        <is>
          <t>Sector unclassified</t>
        </is>
      </c>
      <c r="C887" t="inlineStr">
        <is>
          <t>warning</t>
        </is>
      </c>
      <c r="D887" t="inlineStr">
        <is>
          <t>R251028-ticket9</t>
        </is>
      </c>
      <c r="E887" t="inlineStr">
        <is>
          <t>Ticket9</t>
        </is>
      </c>
      <c r="F887" s="17" t="n">
        <v>45958</v>
      </c>
      <c r="G887" t="inlineStr">
        <is>
          <t>no sector label and no keyword match</t>
        </is>
      </c>
    </row>
    <row r="888">
      <c r="A888" t="inlineStr">
        <is>
          <t>C06</t>
        </is>
      </c>
      <c r="B888" t="inlineStr">
        <is>
          <t>Sector unclassified</t>
        </is>
      </c>
      <c r="C888" t="inlineStr">
        <is>
          <t>warning</t>
        </is>
      </c>
      <c r="D888" t="inlineStr">
        <is>
          <t>R251104-tabpsnacksandb</t>
        </is>
      </c>
      <c r="E888" t="inlineStr">
        <is>
          <t>TABP Snacks and Beverages</t>
        </is>
      </c>
      <c r="F888" s="17" t="n">
        <v>45965</v>
      </c>
      <c r="G888" t="inlineStr">
        <is>
          <t>no sector label and no keyword match</t>
        </is>
      </c>
    </row>
    <row r="889">
      <c r="A889" t="inlineStr">
        <is>
          <t>C06</t>
        </is>
      </c>
      <c r="B889" t="inlineStr">
        <is>
          <t>Sector unclassified</t>
        </is>
      </c>
      <c r="C889" t="inlineStr">
        <is>
          <t>warning</t>
        </is>
      </c>
      <c r="D889" t="inlineStr">
        <is>
          <t>R251105-lighthousecant</t>
        </is>
      </c>
      <c r="E889" t="inlineStr">
        <is>
          <t>Lighthouse Canton</t>
        </is>
      </c>
      <c r="F889" s="17" t="n">
        <v>45966</v>
      </c>
      <c r="G889" t="inlineStr">
        <is>
          <t>no sector label and no keyword match</t>
        </is>
      </c>
    </row>
    <row r="890">
      <c r="A890" t="inlineStr">
        <is>
          <t>C06</t>
        </is>
      </c>
      <c r="B890" t="inlineStr">
        <is>
          <t>Sector unclassified</t>
        </is>
      </c>
      <c r="C890" t="inlineStr">
        <is>
          <t>warning</t>
        </is>
      </c>
      <c r="D890" t="inlineStr">
        <is>
          <t>R251111-mindtalk</t>
        </is>
      </c>
      <c r="E890" t="inlineStr">
        <is>
          <t>MindTalk</t>
        </is>
      </c>
      <c r="F890" s="17" t="n">
        <v>45972</v>
      </c>
      <c r="G890" t="inlineStr">
        <is>
          <t>no sector label and no keyword match</t>
        </is>
      </c>
    </row>
    <row r="891">
      <c r="A891" t="inlineStr">
        <is>
          <t>C06</t>
        </is>
      </c>
      <c r="B891" t="inlineStr">
        <is>
          <t>Sector unclassified</t>
        </is>
      </c>
      <c r="C891" t="inlineStr">
        <is>
          <t>warning</t>
        </is>
      </c>
      <c r="D891" t="inlineStr">
        <is>
          <t>R251112-couchcommerce</t>
        </is>
      </c>
      <c r="E891" t="inlineStr">
        <is>
          <t>Couch Commerce</t>
        </is>
      </c>
      <c r="F891" s="17" t="n">
        <v>45973</v>
      </c>
      <c r="G891" t="inlineStr">
        <is>
          <t>no sector label and no keyword match</t>
        </is>
      </c>
    </row>
    <row r="892">
      <c r="A892" t="inlineStr">
        <is>
          <t>C06</t>
        </is>
      </c>
      <c r="B892" t="inlineStr">
        <is>
          <t>Sector unclassified</t>
        </is>
      </c>
      <c r="C892" t="inlineStr">
        <is>
          <t>warning</t>
        </is>
      </c>
      <c r="D892" t="inlineStr">
        <is>
          <t>R251113-eventplanettec</t>
        </is>
      </c>
      <c r="E892" t="inlineStr">
        <is>
          <t>Event Planet Technologies</t>
        </is>
      </c>
      <c r="F892" s="17" t="n">
        <v>45974</v>
      </c>
      <c r="G892" t="inlineStr">
        <is>
          <t>no sector label and no keyword match</t>
        </is>
      </c>
    </row>
    <row r="893">
      <c r="A893" t="inlineStr">
        <is>
          <t>C06</t>
        </is>
      </c>
      <c r="B893" t="inlineStr">
        <is>
          <t>Sector unclassified</t>
        </is>
      </c>
      <c r="C893" t="inlineStr">
        <is>
          <t>warning</t>
        </is>
      </c>
      <c r="D893" t="inlineStr">
        <is>
          <t>R251113-parallelwebsys</t>
        </is>
      </c>
      <c r="E893" t="inlineStr">
        <is>
          <t>Parallel Web Systems</t>
        </is>
      </c>
      <c r="F893" s="17" t="n">
        <v>45974</v>
      </c>
      <c r="G893" t="inlineStr">
        <is>
          <t>no sector label and no keyword match</t>
        </is>
      </c>
    </row>
    <row r="894">
      <c r="A894" t="inlineStr">
        <is>
          <t>C06</t>
        </is>
      </c>
      <c r="B894" t="inlineStr">
        <is>
          <t>Sector unclassified</t>
        </is>
      </c>
      <c r="C894" t="inlineStr">
        <is>
          <t>warning</t>
        </is>
      </c>
      <c r="D894" t="inlineStr">
        <is>
          <t>R251114-isprava</t>
        </is>
      </c>
      <c r="E894" t="inlineStr">
        <is>
          <t>Isprava</t>
        </is>
      </c>
      <c r="F894" s="17" t="n">
        <v>45975</v>
      </c>
      <c r="G894" t="inlineStr">
        <is>
          <t>no sector label and no keyword match</t>
        </is>
      </c>
    </row>
    <row r="895">
      <c r="A895" t="inlineStr">
        <is>
          <t>C06</t>
        </is>
      </c>
      <c r="B895" t="inlineStr">
        <is>
          <t>Sector unclassified</t>
        </is>
      </c>
      <c r="C895" t="inlineStr">
        <is>
          <t>warning</t>
        </is>
      </c>
      <c r="D895" t="inlineStr">
        <is>
          <t>R251126-lightspeedphot</t>
        </is>
      </c>
      <c r="E895" t="inlineStr">
        <is>
          <t>LightSpeed Photonics</t>
        </is>
      </c>
      <c r="F895" s="17" t="n">
        <v>45987</v>
      </c>
      <c r="G895" t="inlineStr">
        <is>
          <t>no sector label and no keyword match</t>
        </is>
      </c>
    </row>
    <row r="896">
      <c r="A896" t="inlineStr">
        <is>
          <t>C06</t>
        </is>
      </c>
      <c r="B896" t="inlineStr">
        <is>
          <t>Sector unclassified</t>
        </is>
      </c>
      <c r="C896" t="inlineStr">
        <is>
          <t>warning</t>
        </is>
      </c>
      <c r="D896" t="inlineStr">
        <is>
          <t>R251127-auxilo</t>
        </is>
      </c>
      <c r="E896" t="inlineStr">
        <is>
          <t>Auxilo</t>
        </is>
      </c>
      <c r="F896" s="17" t="n">
        <v>45988</v>
      </c>
      <c r="G896" t="inlineStr">
        <is>
          <t>no sector label and no keyword match</t>
        </is>
      </c>
    </row>
    <row r="897">
      <c r="A897" t="inlineStr">
        <is>
          <t>C06</t>
        </is>
      </c>
      <c r="B897" t="inlineStr">
        <is>
          <t>Sector unclassified</t>
        </is>
      </c>
      <c r="C897" t="inlineStr">
        <is>
          <t>warning</t>
        </is>
      </c>
      <c r="D897" t="inlineStr">
        <is>
          <t>R251127-cloudextel</t>
        </is>
      </c>
      <c r="E897" t="inlineStr">
        <is>
          <t>CloudExtel</t>
        </is>
      </c>
      <c r="F897" s="17" t="n">
        <v>45988</v>
      </c>
      <c r="G897" t="inlineStr">
        <is>
          <t>no sector label and no keyword match</t>
        </is>
      </c>
    </row>
    <row r="898">
      <c r="A898" t="inlineStr">
        <is>
          <t>C06</t>
        </is>
      </c>
      <c r="B898" t="inlineStr">
        <is>
          <t>Sector unclassified</t>
        </is>
      </c>
      <c r="C898" t="inlineStr">
        <is>
          <t>warning</t>
        </is>
      </c>
      <c r="D898" t="inlineStr">
        <is>
          <t>R251128-candisolar</t>
        </is>
      </c>
      <c r="E898" t="inlineStr">
        <is>
          <t>Candi Solar</t>
        </is>
      </c>
      <c r="F898" s="17" t="n">
        <v>45989</v>
      </c>
      <c r="G898" t="inlineStr">
        <is>
          <t>no sector label and no keyword match</t>
        </is>
      </c>
    </row>
    <row r="899">
      <c r="A899" t="inlineStr">
        <is>
          <t>C06</t>
        </is>
      </c>
      <c r="B899" t="inlineStr">
        <is>
          <t>Sector unclassified</t>
        </is>
      </c>
      <c r="C899" t="inlineStr">
        <is>
          <t>warning</t>
        </is>
      </c>
      <c r="D899" t="inlineStr">
        <is>
          <t>R251201-finvu</t>
        </is>
      </c>
      <c r="E899" t="inlineStr">
        <is>
          <t>Finvu</t>
        </is>
      </c>
      <c r="F899" s="17" t="n">
        <v>45992</v>
      </c>
      <c r="G899" t="inlineStr">
        <is>
          <t>no sector label and no keyword match</t>
        </is>
      </c>
    </row>
    <row r="900">
      <c r="A900" t="inlineStr">
        <is>
          <t>C06</t>
        </is>
      </c>
      <c r="B900" t="inlineStr">
        <is>
          <t>Sector unclassified</t>
        </is>
      </c>
      <c r="C900" t="inlineStr">
        <is>
          <t>warning</t>
        </is>
      </c>
      <c r="D900" t="inlineStr">
        <is>
          <t>R251204-inmobi</t>
        </is>
      </c>
      <c r="E900" t="inlineStr">
        <is>
          <t>InMobi</t>
        </is>
      </c>
      <c r="F900" s="17" t="n">
        <v>45995</v>
      </c>
      <c r="G900" t="inlineStr">
        <is>
          <t>no sector label and no keyword match</t>
        </is>
      </c>
    </row>
    <row r="901">
      <c r="A901" t="inlineStr">
        <is>
          <t>C06</t>
        </is>
      </c>
      <c r="B901" t="inlineStr">
        <is>
          <t>Sector unclassified</t>
        </is>
      </c>
      <c r="C901" t="inlineStr">
        <is>
          <t>warning</t>
        </is>
      </c>
      <c r="D901" t="inlineStr">
        <is>
          <t>R251209-mukundjha</t>
        </is>
      </c>
      <c r="E901" t="inlineStr">
        <is>
          <t>Mukund Jha</t>
        </is>
      </c>
      <c r="F901" s="17" t="n">
        <v>46000</v>
      </c>
      <c r="G901" t="inlineStr">
        <is>
          <t>no sector label and no keyword match</t>
        </is>
      </c>
    </row>
    <row r="902">
      <c r="A902" t="inlineStr">
        <is>
          <t>C06</t>
        </is>
      </c>
      <c r="B902" t="inlineStr">
        <is>
          <t>Sector unclassified</t>
        </is>
      </c>
      <c r="C902" t="inlineStr">
        <is>
          <t>warning</t>
        </is>
      </c>
      <c r="D902" t="inlineStr">
        <is>
          <t>R251210-aiemailclientf</t>
        </is>
      </c>
      <c r="E902" t="inlineStr">
        <is>
          <t>AI email client Faraday</t>
        </is>
      </c>
      <c r="F902" s="17" t="n">
        <v>46001</v>
      </c>
      <c r="G902" t="inlineStr">
        <is>
          <t>no sector label and no keyword match</t>
        </is>
      </c>
    </row>
    <row r="903">
      <c r="A903" t="inlineStr">
        <is>
          <t>C06</t>
        </is>
      </c>
      <c r="B903" t="inlineStr">
        <is>
          <t>Sector unclassified</t>
        </is>
      </c>
      <c r="C903" t="inlineStr">
        <is>
          <t>warning</t>
        </is>
      </c>
      <c r="D903" t="inlineStr">
        <is>
          <t>R251218-qucev</t>
        </is>
      </c>
      <c r="E903" t="inlineStr">
        <is>
          <t>Qucev</t>
        </is>
      </c>
      <c r="F903" s="17" t="n">
        <v>46009</v>
      </c>
      <c r="G903" t="inlineStr">
        <is>
          <t>no sector label and no keyword match</t>
        </is>
      </c>
    </row>
    <row r="904">
      <c r="A904" t="inlineStr">
        <is>
          <t>C06</t>
        </is>
      </c>
      <c r="B904" t="inlineStr">
        <is>
          <t>Sector unclassified</t>
        </is>
      </c>
      <c r="C904" t="inlineStr">
        <is>
          <t>warning</t>
        </is>
      </c>
      <c r="D904" t="inlineStr">
        <is>
          <t>R251222-dugarfinance</t>
        </is>
      </c>
      <c r="E904" t="inlineStr">
        <is>
          <t>Dugar Finance</t>
        </is>
      </c>
      <c r="F904" s="17" t="n">
        <v>46013</v>
      </c>
      <c r="G904" t="inlineStr">
        <is>
          <t>no sector label and no keyword match</t>
        </is>
      </c>
    </row>
    <row r="905">
      <c r="A905" t="inlineStr">
        <is>
          <t>C06</t>
        </is>
      </c>
      <c r="B905" t="inlineStr">
        <is>
          <t>Sector unclassified</t>
        </is>
      </c>
      <c r="C905" t="inlineStr">
        <is>
          <t>warning</t>
        </is>
      </c>
      <c r="D905" t="inlineStr">
        <is>
          <t>R260107-oppdoor</t>
        </is>
      </c>
      <c r="E905" t="inlineStr">
        <is>
          <t>Oppdoor</t>
        </is>
      </c>
      <c r="F905" s="17" t="n">
        <v>46029</v>
      </c>
      <c r="G905" t="inlineStr">
        <is>
          <t>no sector label and no keyword match</t>
        </is>
      </c>
    </row>
    <row r="906">
      <c r="A906" t="inlineStr">
        <is>
          <t>C06</t>
        </is>
      </c>
      <c r="B906" t="inlineStr">
        <is>
          <t>Sector unclassified</t>
        </is>
      </c>
      <c r="C906" t="inlineStr">
        <is>
          <t>warning</t>
        </is>
      </c>
      <c r="D906" t="inlineStr">
        <is>
          <t>R260108-minipix</t>
        </is>
      </c>
      <c r="E906" t="inlineStr">
        <is>
          <t>MiniPix</t>
        </is>
      </c>
      <c r="F906" s="17" t="n">
        <v>46030</v>
      </c>
      <c r="G906" t="inlineStr">
        <is>
          <t>no sector label and no keyword match</t>
        </is>
      </c>
    </row>
    <row r="907">
      <c r="A907" t="inlineStr">
        <is>
          <t>C06</t>
        </is>
      </c>
      <c r="B907" t="inlineStr">
        <is>
          <t>Sector unclassified</t>
        </is>
      </c>
      <c r="C907" t="inlineStr">
        <is>
          <t>warning</t>
        </is>
      </c>
      <c r="D907" t="inlineStr">
        <is>
          <t>R260119-33andbrew</t>
        </is>
      </c>
      <c r="E907" t="inlineStr">
        <is>
          <t>33&amp;Brew</t>
        </is>
      </c>
      <c r="F907" s="17" t="n">
        <v>46041</v>
      </c>
      <c r="G907" t="inlineStr">
        <is>
          <t>no sector label and no keyword match</t>
        </is>
      </c>
    </row>
    <row r="908">
      <c r="A908" t="inlineStr">
        <is>
          <t>C06</t>
        </is>
      </c>
      <c r="B908" t="inlineStr">
        <is>
          <t>Sector unclassified</t>
        </is>
      </c>
      <c r="C908" t="inlineStr">
        <is>
          <t>warning</t>
        </is>
      </c>
      <c r="D908" t="inlineStr">
        <is>
          <t>R260120-rspl</t>
        </is>
      </c>
      <c r="E908" t="inlineStr">
        <is>
          <t>RSPL</t>
        </is>
      </c>
      <c r="F908" s="17" t="n">
        <v>46042</v>
      </c>
      <c r="G908" t="inlineStr">
        <is>
          <t>no sector label and no keyword match</t>
        </is>
      </c>
    </row>
    <row r="909">
      <c r="A909" t="inlineStr">
        <is>
          <t>C06</t>
        </is>
      </c>
      <c r="B909" t="inlineStr">
        <is>
          <t>Sector unclassified</t>
        </is>
      </c>
      <c r="C909" t="inlineStr">
        <is>
          <t>warning</t>
        </is>
      </c>
      <c r="D909" t="inlineStr">
        <is>
          <t>R260121-arthum</t>
        </is>
      </c>
      <c r="E909" t="inlineStr">
        <is>
          <t>Arthum</t>
        </is>
      </c>
      <c r="F909" s="17" t="n">
        <v>46043</v>
      </c>
      <c r="G909" t="inlineStr">
        <is>
          <t>no sector label and no keyword match</t>
        </is>
      </c>
    </row>
    <row r="910">
      <c r="A910" t="inlineStr">
        <is>
          <t>C06</t>
        </is>
      </c>
      <c r="B910" t="inlineStr">
        <is>
          <t>Sector unclassified</t>
        </is>
      </c>
      <c r="C910" t="inlineStr">
        <is>
          <t>warning</t>
        </is>
      </c>
      <c r="D910" t="inlineStr">
        <is>
          <t>R260128-sbc</t>
        </is>
      </c>
      <c r="E910" t="inlineStr">
        <is>
          <t>SBC LLP</t>
        </is>
      </c>
      <c r="F910" s="17" t="n">
        <v>46050</v>
      </c>
      <c r="G910" t="inlineStr">
        <is>
          <t>no sector label and no keyword match</t>
        </is>
      </c>
    </row>
    <row r="911">
      <c r="A911" t="inlineStr">
        <is>
          <t>C06</t>
        </is>
      </c>
      <c r="B911" t="inlineStr">
        <is>
          <t>Sector unclassified</t>
        </is>
      </c>
      <c r="C911" t="inlineStr">
        <is>
          <t>warning</t>
        </is>
      </c>
      <c r="D911" t="inlineStr">
        <is>
          <t>R260206-jaincord</t>
        </is>
      </c>
      <c r="E911" t="inlineStr">
        <is>
          <t>Jain Cord</t>
        </is>
      </c>
      <c r="F911" s="17" t="n">
        <v>46059</v>
      </c>
      <c r="G911" t="inlineStr">
        <is>
          <t>no sector label and no keyword match</t>
        </is>
      </c>
    </row>
    <row r="912">
      <c r="A912" t="inlineStr">
        <is>
          <t>C06</t>
        </is>
      </c>
      <c r="B912" t="inlineStr">
        <is>
          <t>Sector unclassified</t>
        </is>
      </c>
      <c r="C912" t="inlineStr">
        <is>
          <t>warning</t>
        </is>
      </c>
      <c r="D912" t="inlineStr">
        <is>
          <t>R260209-aramyaparent</t>
        </is>
      </c>
      <c r="E912" t="inlineStr">
        <is>
          <t>Aramya parent</t>
        </is>
      </c>
      <c r="F912" s="17" t="n">
        <v>46062</v>
      </c>
      <c r="G912" t="inlineStr">
        <is>
          <t>no sector label and no keyword match</t>
        </is>
      </c>
    </row>
    <row r="913">
      <c r="A913" t="inlineStr">
        <is>
          <t>C06</t>
        </is>
      </c>
      <c r="B913" t="inlineStr">
        <is>
          <t>Sector unclassified</t>
        </is>
      </c>
      <c r="C913" t="inlineStr">
        <is>
          <t>warning</t>
        </is>
      </c>
      <c r="D913" t="inlineStr">
        <is>
          <t>R260210-pandabox</t>
        </is>
      </c>
      <c r="E913" t="inlineStr">
        <is>
          <t>Panda’s Box</t>
        </is>
      </c>
      <c r="F913" s="17" t="n">
        <v>46063</v>
      </c>
      <c r="G913" t="inlineStr">
        <is>
          <t>no sector label and no keyword match</t>
        </is>
      </c>
    </row>
    <row r="914">
      <c r="A914" t="inlineStr">
        <is>
          <t>C06</t>
        </is>
      </c>
      <c r="B914" t="inlineStr">
        <is>
          <t>Sector unclassified</t>
        </is>
      </c>
      <c r="C914" t="inlineStr">
        <is>
          <t>warning</t>
        </is>
      </c>
      <c r="D914" t="inlineStr">
        <is>
          <t>R260213-everbrands</t>
        </is>
      </c>
      <c r="E914" t="inlineStr">
        <is>
          <t>EverBrands</t>
        </is>
      </c>
      <c r="F914" s="17" t="n">
        <v>46066</v>
      </c>
      <c r="G914" t="inlineStr">
        <is>
          <t>no sector label and no keyword match</t>
        </is>
      </c>
    </row>
    <row r="915">
      <c r="A915" t="inlineStr">
        <is>
          <t>C06</t>
        </is>
      </c>
      <c r="B915" t="inlineStr">
        <is>
          <t>Sector unclassified</t>
        </is>
      </c>
      <c r="C915" t="inlineStr">
        <is>
          <t>warning</t>
        </is>
      </c>
      <c r="D915" t="inlineStr">
        <is>
          <t>R260216-localhost</t>
        </is>
      </c>
      <c r="E915" t="inlineStr">
        <is>
          <t>LocalHost</t>
        </is>
      </c>
      <c r="F915" s="17" t="n">
        <v>46069</v>
      </c>
      <c r="G915" t="inlineStr">
        <is>
          <t>no sector label and no keyword match</t>
        </is>
      </c>
    </row>
    <row r="916">
      <c r="A916" t="inlineStr">
        <is>
          <t>C06</t>
        </is>
      </c>
      <c r="B916" t="inlineStr">
        <is>
          <t>Sector unclassified</t>
        </is>
      </c>
      <c r="C916" t="inlineStr">
        <is>
          <t>warning</t>
        </is>
      </c>
      <c r="D916" t="inlineStr">
        <is>
          <t>R260218-artociti</t>
        </is>
      </c>
      <c r="E916" t="inlineStr">
        <is>
          <t>Artociti</t>
        </is>
      </c>
      <c r="F916" s="17" t="n">
        <v>46071</v>
      </c>
      <c r="G916" t="inlineStr">
        <is>
          <t>no sector label and no keyword match</t>
        </is>
      </c>
    </row>
    <row r="917">
      <c r="A917" t="inlineStr">
        <is>
          <t>C06</t>
        </is>
      </c>
      <c r="B917" t="inlineStr">
        <is>
          <t>Sector unclassified</t>
        </is>
      </c>
      <c r="C917" t="inlineStr">
        <is>
          <t>warning</t>
        </is>
      </c>
      <c r="D917" t="inlineStr">
        <is>
          <t>R260224-basil</t>
        </is>
      </c>
      <c r="E917" t="inlineStr">
        <is>
          <t>Basil</t>
        </is>
      </c>
      <c r="F917" s="17" t="n">
        <v>46077</v>
      </c>
      <c r="G917" t="inlineStr">
        <is>
          <t>no sector label and no keyword match</t>
        </is>
      </c>
    </row>
    <row r="918">
      <c r="A918" t="inlineStr">
        <is>
          <t>C06</t>
        </is>
      </c>
      <c r="B918" t="inlineStr">
        <is>
          <t>Sector unclassified</t>
        </is>
      </c>
      <c r="C918" t="inlineStr">
        <is>
          <t>warning</t>
        </is>
      </c>
      <c r="D918" t="inlineStr">
        <is>
          <t>R260224-oncare</t>
        </is>
      </c>
      <c r="E918" t="inlineStr">
        <is>
          <t>Oncare</t>
        </is>
      </c>
      <c r="F918" s="17" t="n">
        <v>46077</v>
      </c>
      <c r="G918" t="inlineStr">
        <is>
          <t>no sector label and no keyword match</t>
        </is>
      </c>
    </row>
    <row r="919">
      <c r="A919" t="inlineStr">
        <is>
          <t>C06</t>
        </is>
      </c>
      <c r="B919" t="inlineStr">
        <is>
          <t>Sector unclassified</t>
        </is>
      </c>
      <c r="C919" t="inlineStr">
        <is>
          <t>warning</t>
        </is>
      </c>
      <c r="D919" t="inlineStr">
        <is>
          <t>R260225-finanjo</t>
        </is>
      </c>
      <c r="E919" t="inlineStr">
        <is>
          <t>Finanjo</t>
        </is>
      </c>
      <c r="F919" s="17" t="n">
        <v>46078</v>
      </c>
      <c r="G919" t="inlineStr">
        <is>
          <t>no sector label and no keyword match</t>
        </is>
      </c>
    </row>
    <row r="920">
      <c r="A920" t="inlineStr">
        <is>
          <t>C06</t>
        </is>
      </c>
      <c r="B920" t="inlineStr">
        <is>
          <t>Sector unclassified</t>
        </is>
      </c>
      <c r="C920" t="inlineStr">
        <is>
          <t>warning</t>
        </is>
      </c>
      <c r="D920" t="inlineStr">
        <is>
          <t>R260225-s2dev</t>
        </is>
      </c>
      <c r="E920" t="inlineStr">
        <is>
          <t>S2.dev</t>
        </is>
      </c>
      <c r="F920" s="17" t="n">
        <v>46078</v>
      </c>
      <c r="G920" t="inlineStr">
        <is>
          <t>no sector label and no keyword match</t>
        </is>
      </c>
    </row>
    <row r="921">
      <c r="A921" t="inlineStr">
        <is>
          <t>C06</t>
        </is>
      </c>
      <c r="B921" t="inlineStr">
        <is>
          <t>Sector unclassified</t>
        </is>
      </c>
      <c r="C921" t="inlineStr">
        <is>
          <t>warning</t>
        </is>
      </c>
      <c r="D921" t="inlineStr">
        <is>
          <t>R260226-freed</t>
        </is>
      </c>
      <c r="E921" t="inlineStr">
        <is>
          <t>FREED</t>
        </is>
      </c>
      <c r="F921" s="17" t="n">
        <v>46079</v>
      </c>
      <c r="G921" t="inlineStr">
        <is>
          <t>no sector label and no keyword match</t>
        </is>
      </c>
    </row>
    <row r="922">
      <c r="A922" t="inlineStr">
        <is>
          <t>C06</t>
        </is>
      </c>
      <c r="B922" t="inlineStr">
        <is>
          <t>Sector unclassified</t>
        </is>
      </c>
      <c r="C922" t="inlineStr">
        <is>
          <t>warning</t>
        </is>
      </c>
      <c r="D922" t="inlineStr">
        <is>
          <t>R260226-prayaancapital</t>
        </is>
      </c>
      <c r="E922" t="inlineStr">
        <is>
          <t>Prayaan Capital</t>
        </is>
      </c>
      <c r="F922" s="17" t="n">
        <v>46079</v>
      </c>
      <c r="G922" t="inlineStr">
        <is>
          <t>no sector label and no keyword match</t>
        </is>
      </c>
    </row>
    <row r="923">
      <c r="A923" t="inlineStr">
        <is>
          <t>C06</t>
        </is>
      </c>
      <c r="B923" t="inlineStr">
        <is>
          <t>Sector unclassified</t>
        </is>
      </c>
      <c r="C923" t="inlineStr">
        <is>
          <t>warning</t>
        </is>
      </c>
      <c r="D923" t="inlineStr">
        <is>
          <t>R260227-temple</t>
        </is>
      </c>
      <c r="E923" t="inlineStr">
        <is>
          <t>Temple</t>
        </is>
      </c>
      <c r="F923" s="17" t="n">
        <v>46080</v>
      </c>
      <c r="G923" t="inlineStr">
        <is>
          <t>no sector label and no keyword match</t>
        </is>
      </c>
    </row>
    <row r="924">
      <c r="A924" t="inlineStr">
        <is>
          <t>C06</t>
        </is>
      </c>
      <c r="B924" t="inlineStr">
        <is>
          <t>Sector unclassified</t>
        </is>
      </c>
      <c r="C924" t="inlineStr">
        <is>
          <t>warning</t>
        </is>
      </c>
      <c r="D924" t="inlineStr">
        <is>
          <t>R260304-moneyboxxfinan</t>
        </is>
      </c>
      <c r="E924" t="inlineStr">
        <is>
          <t>Moneyboxx Finance</t>
        </is>
      </c>
      <c r="F924" s="17" t="n">
        <v>46085</v>
      </c>
      <c r="G924" t="inlineStr">
        <is>
          <t>no sector label and no keyword match</t>
        </is>
      </c>
    </row>
    <row r="925">
      <c r="A925" t="inlineStr">
        <is>
          <t>C06</t>
        </is>
      </c>
      <c r="B925" t="inlineStr">
        <is>
          <t>Sector unclassified</t>
        </is>
      </c>
      <c r="C925" t="inlineStr">
        <is>
          <t>warning</t>
        </is>
      </c>
      <c r="D925" t="inlineStr">
        <is>
          <t>R260305-infinitybox</t>
        </is>
      </c>
      <c r="E925" t="inlineStr">
        <is>
          <t>InfinityBox</t>
        </is>
      </c>
      <c r="F925" s="17" t="n">
        <v>46086</v>
      </c>
      <c r="G925" t="inlineStr">
        <is>
          <t>no sector label and no keyword match</t>
        </is>
      </c>
    </row>
    <row r="926">
      <c r="A926" t="inlineStr">
        <is>
          <t>C06</t>
        </is>
      </c>
      <c r="B926" t="inlineStr">
        <is>
          <t>Sector unclassified</t>
        </is>
      </c>
      <c r="C926" t="inlineStr">
        <is>
          <t>warning</t>
        </is>
      </c>
      <c r="D926" t="inlineStr">
        <is>
          <t>R260327-bellatrixaeros</t>
        </is>
      </c>
      <c r="E926" t="inlineStr">
        <is>
          <t>Bellatrix Aerospace</t>
        </is>
      </c>
      <c r="F926" s="17" t="n">
        <v>46108</v>
      </c>
      <c r="G926" t="inlineStr">
        <is>
          <t>no sector label and no keyword match</t>
        </is>
      </c>
    </row>
    <row r="927">
      <c r="A927" t="inlineStr">
        <is>
          <t>C06</t>
        </is>
      </c>
      <c r="B927" t="inlineStr">
        <is>
          <t>Sector unclassified</t>
        </is>
      </c>
      <c r="C927" t="inlineStr">
        <is>
          <t>warning</t>
        </is>
      </c>
      <c r="D927" t="inlineStr">
        <is>
          <t>R260401-cygnienergy</t>
        </is>
      </c>
      <c r="E927" t="inlineStr">
        <is>
          <t>Cygni Energy</t>
        </is>
      </c>
      <c r="F927" s="17" t="n">
        <v>46113</v>
      </c>
      <c r="G927" t="inlineStr">
        <is>
          <t>no sector label and no keyword match</t>
        </is>
      </c>
    </row>
    <row r="928">
      <c r="A928" t="inlineStr">
        <is>
          <t>C06</t>
        </is>
      </c>
      <c r="B928" t="inlineStr">
        <is>
          <t>Sector unclassified</t>
        </is>
      </c>
      <c r="C928" t="inlineStr">
        <is>
          <t>warning</t>
        </is>
      </c>
      <c r="D928" t="inlineStr">
        <is>
          <t>R260406-damgoodfish</t>
        </is>
      </c>
      <c r="E928" t="inlineStr">
        <is>
          <t>Dam Good Fish</t>
        </is>
      </c>
      <c r="F928" s="17" t="n">
        <v>46118</v>
      </c>
      <c r="G928" t="inlineStr">
        <is>
          <t>no sector label and no keyword match</t>
        </is>
      </c>
    </row>
    <row r="929">
      <c r="A929" t="inlineStr">
        <is>
          <t>C06</t>
        </is>
      </c>
      <c r="B929" t="inlineStr">
        <is>
          <t>Sector unclassified</t>
        </is>
      </c>
      <c r="C929" t="inlineStr">
        <is>
          <t>warning</t>
        </is>
      </c>
      <c r="D929" t="inlineStr">
        <is>
          <t>R260406-zanskartech</t>
        </is>
      </c>
      <c r="E929" t="inlineStr">
        <is>
          <t>Zanskar Tech</t>
        </is>
      </c>
      <c r="F929" s="17" t="n">
        <v>46118</v>
      </c>
      <c r="G929" t="inlineStr">
        <is>
          <t>no sector label and no keyword match</t>
        </is>
      </c>
    </row>
    <row r="930">
      <c r="A930" t="inlineStr">
        <is>
          <t>C06</t>
        </is>
      </c>
      <c r="B930" t="inlineStr">
        <is>
          <t>Sector unclassified</t>
        </is>
      </c>
      <c r="C930" t="inlineStr">
        <is>
          <t>warning</t>
        </is>
      </c>
      <c r="D930" t="inlineStr">
        <is>
          <t>R260416-polaris</t>
        </is>
      </c>
      <c r="E930" t="inlineStr">
        <is>
          <t>Polaris</t>
        </is>
      </c>
      <c r="F930" s="17" t="n">
        <v>46128</v>
      </c>
      <c r="G930" t="inlineStr">
        <is>
          <t>no sector label and no keyword match</t>
        </is>
      </c>
    </row>
    <row r="931">
      <c r="A931" t="inlineStr">
        <is>
          <t>C06</t>
        </is>
      </c>
      <c r="B931" t="inlineStr">
        <is>
          <t>Sector unclassified</t>
        </is>
      </c>
      <c r="C931" t="inlineStr">
        <is>
          <t>warning</t>
        </is>
      </c>
      <c r="D931" t="inlineStr">
        <is>
          <t>R260420-axtenhospitals</t>
        </is>
      </c>
      <c r="E931" t="inlineStr">
        <is>
          <t>Axten Hospitals</t>
        </is>
      </c>
      <c r="F931" s="17" t="n">
        <v>46132</v>
      </c>
      <c r="G931" t="inlineStr">
        <is>
          <t>no sector label and no keyword match</t>
        </is>
      </c>
    </row>
    <row r="932">
      <c r="A932" t="inlineStr">
        <is>
          <t>C06</t>
        </is>
      </c>
      <c r="B932" t="inlineStr">
        <is>
          <t>Sector unclassified</t>
        </is>
      </c>
      <c r="C932" t="inlineStr">
        <is>
          <t>warning</t>
        </is>
      </c>
      <c r="D932" t="inlineStr">
        <is>
          <t>R260421-rainmatterinve</t>
        </is>
      </c>
      <c r="E932" t="inlineStr">
        <is>
          <t>Rainmatter invests</t>
        </is>
      </c>
      <c r="F932" s="17" t="n">
        <v>46133</v>
      </c>
      <c r="G932" t="inlineStr">
        <is>
          <t>no sector label and no keyword match</t>
        </is>
      </c>
    </row>
    <row r="933">
      <c r="A933" t="inlineStr">
        <is>
          <t>C06</t>
        </is>
      </c>
      <c r="B933" t="inlineStr">
        <is>
          <t>Sector unclassified</t>
        </is>
      </c>
      <c r="C933" t="inlineStr">
        <is>
          <t>warning</t>
        </is>
      </c>
      <c r="D933" t="inlineStr">
        <is>
          <t>R260422-aits</t>
        </is>
      </c>
      <c r="E933" t="inlineStr">
        <is>
          <t>AITS</t>
        </is>
      </c>
      <c r="F933" s="17" t="n">
        <v>46134</v>
      </c>
      <c r="G933" t="inlineStr">
        <is>
          <t>no sector label and no keyword match</t>
        </is>
      </c>
    </row>
    <row r="934">
      <c r="A934" t="inlineStr">
        <is>
          <t>C06</t>
        </is>
      </c>
      <c r="B934" t="inlineStr">
        <is>
          <t>Sector unclassified</t>
        </is>
      </c>
      <c r="C934" t="inlineStr">
        <is>
          <t>warning</t>
        </is>
      </c>
      <c r="D934" t="inlineStr">
        <is>
          <t>R260511-wingreensacqui</t>
        </is>
      </c>
      <c r="E934" t="inlineStr">
        <is>
          <t>Wingreens acquires Safe Harvest;</t>
        </is>
      </c>
      <c r="F934" s="17" t="n">
        <v>46153</v>
      </c>
      <c r="G934" t="inlineStr">
        <is>
          <t>no sector label and no keyword match</t>
        </is>
      </c>
    </row>
    <row r="935">
      <c r="A935" t="inlineStr">
        <is>
          <t>C06</t>
        </is>
      </c>
      <c r="B935" t="inlineStr">
        <is>
          <t>Sector unclassified</t>
        </is>
      </c>
      <c r="C935" t="inlineStr">
        <is>
          <t>warning</t>
        </is>
      </c>
      <c r="D935" t="inlineStr">
        <is>
          <t>R260512-incredcapital</t>
        </is>
      </c>
      <c r="E935" t="inlineStr">
        <is>
          <t>InCred Capital</t>
        </is>
      </c>
      <c r="F935" s="17" t="n">
        <v>46154</v>
      </c>
      <c r="G935" t="inlineStr">
        <is>
          <t>no sector label and no keyword match</t>
        </is>
      </c>
    </row>
    <row r="936">
      <c r="A936" t="inlineStr">
        <is>
          <t>C06</t>
        </is>
      </c>
      <c r="B936" t="inlineStr">
        <is>
          <t>Sector unclassified</t>
        </is>
      </c>
      <c r="C936" t="inlineStr">
        <is>
          <t>warning</t>
        </is>
      </c>
      <c r="D936" t="inlineStr">
        <is>
          <t>R260513-ondc</t>
        </is>
      </c>
      <c r="E936" t="inlineStr">
        <is>
          <t>ONDC</t>
        </is>
      </c>
      <c r="F936" s="17" t="n">
        <v>46155</v>
      </c>
      <c r="G936" t="inlineStr">
        <is>
          <t>no sector label and no keyword match</t>
        </is>
      </c>
    </row>
    <row r="937">
      <c r="A937" t="inlineStr">
        <is>
          <t>C06</t>
        </is>
      </c>
      <c r="B937" t="inlineStr">
        <is>
          <t>Sector unclassified</t>
        </is>
      </c>
      <c r="C937" t="inlineStr">
        <is>
          <t>warning</t>
        </is>
      </c>
      <c r="D937" t="inlineStr">
        <is>
          <t>R260602-ondc</t>
        </is>
      </c>
      <c r="E937" t="inlineStr">
        <is>
          <t>ONDC</t>
        </is>
      </c>
      <c r="F937" s="17" t="n">
        <v>46175</v>
      </c>
      <c r="G937" t="inlineStr">
        <is>
          <t>no sector label and no keyword match</t>
        </is>
      </c>
    </row>
    <row r="938">
      <c r="A938" t="inlineStr">
        <is>
          <t>C06</t>
        </is>
      </c>
      <c r="B938" t="inlineStr">
        <is>
          <t>Sector unclassified</t>
        </is>
      </c>
      <c r="C938" t="inlineStr">
        <is>
          <t>warning</t>
        </is>
      </c>
      <c r="D938" t="inlineStr">
        <is>
          <t>R260623-lillbud</t>
        </is>
      </c>
      <c r="E938" t="inlineStr">
        <is>
          <t>LiLLBUD</t>
        </is>
      </c>
      <c r="F938" s="17" t="n">
        <v>46196</v>
      </c>
      <c r="G938" t="inlineStr">
        <is>
          <t>no sector label and no keyword match</t>
        </is>
      </c>
    </row>
    <row r="939">
      <c r="A939" t="inlineStr">
        <is>
          <t>C06</t>
        </is>
      </c>
      <c r="B939" t="inlineStr">
        <is>
          <t>Sector unclassified</t>
        </is>
      </c>
      <c r="C939" t="inlineStr">
        <is>
          <t>warning</t>
        </is>
      </c>
      <c r="D939" t="inlineStr">
        <is>
          <t>R260624-vishalsikka</t>
        </is>
      </c>
      <c r="E939" t="inlineStr">
        <is>
          <t>Vishal Sikka</t>
        </is>
      </c>
      <c r="F939" s="17" t="n">
        <v>46197</v>
      </c>
      <c r="G939" t="inlineStr">
        <is>
          <t>no sector label and no keyword match</t>
        </is>
      </c>
    </row>
    <row r="940">
      <c r="A940" t="inlineStr">
        <is>
          <t>C06</t>
        </is>
      </c>
      <c r="B940" t="inlineStr">
        <is>
          <t>Sector unclassified</t>
        </is>
      </c>
      <c r="C940" t="inlineStr">
        <is>
          <t>warning</t>
        </is>
      </c>
      <c r="D940" t="inlineStr">
        <is>
          <t>R260629-thecapitalistv</t>
        </is>
      </c>
      <c r="E940" t="inlineStr">
        <is>
          <t>The Capitalist Ventures</t>
        </is>
      </c>
      <c r="F940" s="17" t="n">
        <v>46202</v>
      </c>
      <c r="G940" t="inlineStr">
        <is>
          <t>no sector label and no keyword match</t>
        </is>
      </c>
    </row>
    <row r="941">
      <c r="A941" t="inlineStr">
        <is>
          <t>C06</t>
        </is>
      </c>
      <c r="B941" t="inlineStr">
        <is>
          <t>Sector unclassified</t>
        </is>
      </c>
      <c r="C941" t="inlineStr">
        <is>
          <t>warning</t>
        </is>
      </c>
      <c r="D941" t="inlineStr">
        <is>
          <t>R260707-onpoint</t>
        </is>
      </c>
      <c r="E941" t="inlineStr">
        <is>
          <t>Onpoint</t>
        </is>
      </c>
      <c r="F941" s="17" t="n">
        <v>46210</v>
      </c>
      <c r="G941" t="inlineStr">
        <is>
          <t>no sector label and no keyword match</t>
        </is>
      </c>
    </row>
    <row r="942">
      <c r="A942" t="inlineStr">
        <is>
          <t>C06</t>
        </is>
      </c>
      <c r="B942" t="inlineStr">
        <is>
          <t>Sector unclassified</t>
        </is>
      </c>
      <c r="C942" t="inlineStr">
        <is>
          <t>warning</t>
        </is>
      </c>
      <c r="D942" t="inlineStr">
        <is>
          <t>R260723-wiffy</t>
        </is>
      </c>
      <c r="E942" t="inlineStr">
        <is>
          <t>Wiffy</t>
        </is>
      </c>
      <c r="F942" s="17" t="n">
        <v>46226</v>
      </c>
      <c r="G942" t="inlineStr">
        <is>
          <t>no sector label and no keyword match</t>
        </is>
      </c>
    </row>
    <row r="943">
      <c r="A943" t="inlineStr">
        <is>
          <t>C06</t>
        </is>
      </c>
      <c r="B943" t="inlineStr">
        <is>
          <t>Sector unclassified</t>
        </is>
      </c>
      <c r="C943" t="inlineStr">
        <is>
          <t>warning</t>
        </is>
      </c>
      <c r="D943" t="inlineStr">
        <is>
          <t>R260728-walbhaindustri</t>
        </is>
      </c>
      <c r="E943" t="inlineStr">
        <is>
          <t>Walbha Industries</t>
        </is>
      </c>
      <c r="F943" s="17" t="n">
        <v>46231</v>
      </c>
      <c r="G943" t="inlineStr">
        <is>
          <t>no sector label and no keyword match</t>
        </is>
      </c>
    </row>
    <row r="944">
      <c r="A944" t="inlineStr">
        <is>
          <t>C06</t>
        </is>
      </c>
      <c r="B944" t="inlineStr">
        <is>
          <t>Sector unclassified</t>
        </is>
      </c>
      <c r="C944" t="inlineStr">
        <is>
          <t>warning</t>
        </is>
      </c>
      <c r="D944" t="inlineStr">
        <is>
          <t>R260805-lighthousecant</t>
        </is>
      </c>
      <c r="E944" t="inlineStr">
        <is>
          <t>Lighthouse Canton</t>
        </is>
      </c>
      <c r="F944" s="17" t="n">
        <v>46239</v>
      </c>
      <c r="G944" t="inlineStr">
        <is>
          <t>no sector label and no keyword match</t>
        </is>
      </c>
    </row>
    <row r="945">
      <c r="A945" t="inlineStr">
        <is>
          <t>C06</t>
        </is>
      </c>
      <c r="B945" t="inlineStr">
        <is>
          <t>Sector unclassified</t>
        </is>
      </c>
      <c r="C945" t="inlineStr">
        <is>
          <t>warning</t>
        </is>
      </c>
      <c r="D945" t="inlineStr">
        <is>
          <t>R260807-benne</t>
        </is>
      </c>
      <c r="E945" t="inlineStr">
        <is>
          <t>Benne</t>
        </is>
      </c>
      <c r="F945" s="17" t="n">
        <v>46241</v>
      </c>
      <c r="G945" t="inlineStr">
        <is>
          <t>no sector label and no keyword match</t>
        </is>
      </c>
    </row>
    <row r="946">
      <c r="A946" t="inlineStr">
        <is>
          <t>C06</t>
        </is>
      </c>
      <c r="B946" t="inlineStr">
        <is>
          <t>Sector unclassified</t>
        </is>
      </c>
      <c r="C946" t="inlineStr">
        <is>
          <t>warning</t>
        </is>
      </c>
      <c r="D946" t="inlineStr">
        <is>
          <t>R260807-m2p</t>
        </is>
      </c>
      <c r="E946" t="inlineStr">
        <is>
          <t>M2P</t>
        </is>
      </c>
      <c r="F946" s="17" t="n">
        <v>46241</v>
      </c>
      <c r="G946" t="inlineStr">
        <is>
          <t>no sector label and no keyword match</t>
        </is>
      </c>
    </row>
    <row r="947">
      <c r="A947" t="inlineStr">
        <is>
          <t>C06</t>
        </is>
      </c>
      <c r="B947" t="inlineStr">
        <is>
          <t>Sector unclassified</t>
        </is>
      </c>
      <c r="C947" t="inlineStr">
        <is>
          <t>warning</t>
        </is>
      </c>
      <c r="D947" t="inlineStr">
        <is>
          <t>R260810-bakingo</t>
        </is>
      </c>
      <c r="E947" t="inlineStr">
        <is>
          <t>Bakingo</t>
        </is>
      </c>
      <c r="F947" s="17" t="n">
        <v>46244</v>
      </c>
      <c r="G947" t="inlineStr">
        <is>
          <t>no sector label and no keyword match</t>
        </is>
      </c>
    </row>
    <row r="948">
      <c r="A948" t="inlineStr">
        <is>
          <t>C06</t>
        </is>
      </c>
      <c r="B948" t="inlineStr">
        <is>
          <t>Sector unclassified</t>
        </is>
      </c>
      <c r="C948" t="inlineStr">
        <is>
          <t>warning</t>
        </is>
      </c>
      <c r="D948" t="inlineStr">
        <is>
          <t>R260831-growwamc</t>
        </is>
      </c>
      <c r="E948" t="inlineStr">
        <is>
          <t>Groww AMC</t>
        </is>
      </c>
      <c r="F948" s="17" t="n">
        <v>46265</v>
      </c>
      <c r="G948" t="inlineStr">
        <is>
          <t>no sector label and no keyword match</t>
        </is>
      </c>
    </row>
    <row r="949">
      <c r="A949" t="inlineStr">
        <is>
          <t>C06</t>
        </is>
      </c>
      <c r="B949" t="inlineStr">
        <is>
          <t>Sector unclassified</t>
        </is>
      </c>
      <c r="C949" t="inlineStr">
        <is>
          <t>warning</t>
        </is>
      </c>
      <c r="D949" t="inlineStr">
        <is>
          <t>R260903-slice</t>
        </is>
      </c>
      <c r="E949" t="inlineStr">
        <is>
          <t>Slice</t>
        </is>
      </c>
      <c r="F949" s="17" t="n">
        <v>46268</v>
      </c>
      <c r="G949" t="inlineStr">
        <is>
          <t>no sector label and no keyword match</t>
        </is>
      </c>
    </row>
    <row r="950">
      <c r="A950" t="inlineStr">
        <is>
          <t>C06</t>
        </is>
      </c>
      <c r="B950" t="inlineStr">
        <is>
          <t>Sector unclassified</t>
        </is>
      </c>
      <c r="C950" t="inlineStr">
        <is>
          <t>warning</t>
        </is>
      </c>
      <c r="D950" t="inlineStr">
        <is>
          <t>R260907-damensch</t>
        </is>
      </c>
      <c r="E950" t="inlineStr">
        <is>
          <t>DaMENSCH</t>
        </is>
      </c>
      <c r="F950" s="17" t="n">
        <v>46272</v>
      </c>
      <c r="G950" t="inlineStr">
        <is>
          <t>no sector label and no keyword match</t>
        </is>
      </c>
    </row>
    <row r="951">
      <c r="A951" t="inlineStr">
        <is>
          <t>C06</t>
        </is>
      </c>
      <c r="B951" t="inlineStr">
        <is>
          <t>Sector unclassified</t>
        </is>
      </c>
      <c r="C951" t="inlineStr">
        <is>
          <t>warning</t>
        </is>
      </c>
      <c r="D951" t="inlineStr">
        <is>
          <t>R260907-herspace</t>
        </is>
      </c>
      <c r="E951" t="inlineStr">
        <is>
          <t>HerSpace</t>
        </is>
      </c>
      <c r="F951" s="17" t="n">
        <v>46272</v>
      </c>
      <c r="G951" t="inlineStr">
        <is>
          <t>no sector label and no keyword match</t>
        </is>
      </c>
    </row>
    <row r="952">
      <c r="A952" t="inlineStr">
        <is>
          <t>C06</t>
        </is>
      </c>
      <c r="B952" t="inlineStr">
        <is>
          <t>Sector unclassified</t>
        </is>
      </c>
      <c r="C952" t="inlineStr">
        <is>
          <t>warning</t>
        </is>
      </c>
      <c r="D952" t="inlineStr">
        <is>
          <t>R260909-marmalade</t>
        </is>
      </c>
      <c r="E952" t="inlineStr">
        <is>
          <t>Marmalade</t>
        </is>
      </c>
      <c r="F952" s="17" t="n">
        <v>46274</v>
      </c>
      <c r="G952" t="inlineStr">
        <is>
          <t>no sector label and no keyword match</t>
        </is>
      </c>
    </row>
    <row r="953">
      <c r="A953" t="inlineStr">
        <is>
          <t>C06</t>
        </is>
      </c>
      <c r="B953" t="inlineStr">
        <is>
          <t>Sector unclassified</t>
        </is>
      </c>
      <c r="C953" t="inlineStr">
        <is>
          <t>warning</t>
        </is>
      </c>
      <c r="D953" t="inlineStr">
        <is>
          <t>R260910-piston</t>
        </is>
      </c>
      <c r="E953" t="inlineStr">
        <is>
          <t>Piston</t>
        </is>
      </c>
      <c r="F953" s="17" t="n">
        <v>46275</v>
      </c>
      <c r="G953" t="inlineStr">
        <is>
          <t>no sector label and no keyword match</t>
        </is>
      </c>
    </row>
    <row r="954">
      <c r="A954" t="inlineStr">
        <is>
          <t>C06</t>
        </is>
      </c>
      <c r="B954" t="inlineStr">
        <is>
          <t>Sector unclassified</t>
        </is>
      </c>
      <c r="C954" t="inlineStr">
        <is>
          <t>warning</t>
        </is>
      </c>
      <c r="D954" t="inlineStr">
        <is>
          <t>R260918-jar</t>
        </is>
      </c>
      <c r="E954" t="inlineStr">
        <is>
          <t>Jar</t>
        </is>
      </c>
      <c r="F954" s="17" t="n">
        <v>46283</v>
      </c>
      <c r="G954" t="inlineStr">
        <is>
          <t>no sector label and no keyword match</t>
        </is>
      </c>
    </row>
    <row r="955">
      <c r="A955" t="inlineStr">
        <is>
          <t>C06</t>
        </is>
      </c>
      <c r="B955" t="inlineStr">
        <is>
          <t>Sector unclassified</t>
        </is>
      </c>
      <c r="C955" t="inlineStr">
        <is>
          <t>warning</t>
        </is>
      </c>
      <c r="D955" t="inlineStr">
        <is>
          <t>R260918-physioplusheal</t>
        </is>
      </c>
      <c r="E955" t="inlineStr">
        <is>
          <t>Physioplus Healthcare</t>
        </is>
      </c>
      <c r="F955" s="17" t="n">
        <v>46283</v>
      </c>
      <c r="G955" t="inlineStr">
        <is>
          <t>no sector label and no keyword match</t>
        </is>
      </c>
    </row>
    <row r="956">
      <c r="A956" t="inlineStr">
        <is>
          <t>C06</t>
        </is>
      </c>
      <c r="B956" t="inlineStr">
        <is>
          <t>Sector unclassified</t>
        </is>
      </c>
      <c r="C956" t="inlineStr">
        <is>
          <t>warning</t>
        </is>
      </c>
      <c r="D956" t="inlineStr">
        <is>
          <t>R260929-formerboatexec</t>
        </is>
      </c>
      <c r="E956" t="inlineStr">
        <is>
          <t>former boAt executive</t>
        </is>
      </c>
      <c r="F956" s="17" t="n">
        <v>46294</v>
      </c>
      <c r="G956" t="inlineStr">
        <is>
          <t>no sector label and no keyword match</t>
        </is>
      </c>
    </row>
    <row r="957">
      <c r="A957" t="inlineStr">
        <is>
          <t>C07</t>
        </is>
      </c>
      <c r="B957" t="inlineStr">
        <is>
          <t>City unknown</t>
        </is>
      </c>
      <c r="C957" t="inlineStr">
        <is>
          <t>info</t>
        </is>
      </c>
      <c r="D957" t="inlineStr">
        <is>
          <t>R250102-ayefinance</t>
        </is>
      </c>
      <c r="E957" t="inlineStr">
        <is>
          <t>Aye Finance</t>
        </is>
      </c>
      <c r="F957" s="17" t="n">
        <v>45659</v>
      </c>
      <c r="G957" t="inlineStr">
        <is>
          <t>no report states where the company is based</t>
        </is>
      </c>
    </row>
    <row r="958">
      <c r="A958" t="inlineStr">
        <is>
          <t>C07</t>
        </is>
      </c>
      <c r="B958" t="inlineStr">
        <is>
          <t>City unknown</t>
        </is>
      </c>
      <c r="C958" t="inlineStr">
        <is>
          <t>info</t>
        </is>
      </c>
      <c r="D958" t="inlineStr">
        <is>
          <t>R250102-klassroom</t>
        </is>
      </c>
      <c r="E958" t="inlineStr">
        <is>
          <t>Klassroom</t>
        </is>
      </c>
      <c r="F958" s="17" t="n">
        <v>45659</v>
      </c>
      <c r="G958" t="inlineStr">
        <is>
          <t>no report states where the company is based</t>
        </is>
      </c>
    </row>
    <row r="959">
      <c r="A959" t="inlineStr">
        <is>
          <t>C07</t>
        </is>
      </c>
      <c r="B959" t="inlineStr">
        <is>
          <t>City unknown</t>
        </is>
      </c>
      <c r="C959" t="inlineStr">
        <is>
          <t>info</t>
        </is>
      </c>
      <c r="D959" t="inlineStr">
        <is>
          <t>R250106-blackcarrot</t>
        </is>
      </c>
      <c r="E959" t="inlineStr">
        <is>
          <t>BlackCarrot</t>
        </is>
      </c>
      <c r="F959" s="17" t="n">
        <v>45663</v>
      </c>
      <c r="G959" t="inlineStr">
        <is>
          <t>no report states where the company is based</t>
        </is>
      </c>
    </row>
    <row r="960">
      <c r="A960" t="inlineStr">
        <is>
          <t>C07</t>
        </is>
      </c>
      <c r="B960" t="inlineStr">
        <is>
          <t>City unknown</t>
        </is>
      </c>
      <c r="C960" t="inlineStr">
        <is>
          <t>info</t>
        </is>
      </c>
      <c r="D960" t="inlineStr">
        <is>
          <t>R250107-bodmastechnolo</t>
        </is>
      </c>
      <c r="E960" t="inlineStr">
        <is>
          <t>Bodmas Technologies</t>
        </is>
      </c>
      <c r="F960" s="17" t="n">
        <v>45664</v>
      </c>
      <c r="G960" t="inlineStr">
        <is>
          <t>no report states where the company is based</t>
        </is>
      </c>
    </row>
    <row r="961">
      <c r="A961" t="inlineStr">
        <is>
          <t>C07</t>
        </is>
      </c>
      <c r="B961" t="inlineStr">
        <is>
          <t>City unknown</t>
        </is>
      </c>
      <c r="C961" t="inlineStr">
        <is>
          <t>info</t>
        </is>
      </c>
      <c r="D961" t="inlineStr">
        <is>
          <t>R250109-beyondsnack</t>
        </is>
      </c>
      <c r="E961" t="inlineStr">
        <is>
          <t>Beyond Snack</t>
        </is>
      </c>
      <c r="F961" s="17" t="n">
        <v>45666</v>
      </c>
      <c r="G961" t="inlineStr">
        <is>
          <t>no report states where the company is based</t>
        </is>
      </c>
    </row>
    <row r="962">
      <c r="A962" t="inlineStr">
        <is>
          <t>C07</t>
        </is>
      </c>
      <c r="B962" t="inlineStr">
        <is>
          <t>City unknown</t>
        </is>
      </c>
      <c r="C962" t="inlineStr">
        <is>
          <t>info</t>
        </is>
      </c>
      <c r="D962" t="inlineStr">
        <is>
          <t>R250109-innovaccer</t>
        </is>
      </c>
      <c r="E962" t="inlineStr">
        <is>
          <t>Innovaccer</t>
        </is>
      </c>
      <c r="F962" s="17" t="n">
        <v>45666</v>
      </c>
      <c r="G962" t="inlineStr">
        <is>
          <t>no report states where the company is based</t>
        </is>
      </c>
    </row>
    <row r="963">
      <c r="A963" t="inlineStr">
        <is>
          <t>C07</t>
        </is>
      </c>
      <c r="B963" t="inlineStr">
        <is>
          <t>City unknown</t>
        </is>
      </c>
      <c r="C963" t="inlineStr">
        <is>
          <t>info</t>
        </is>
      </c>
      <c r="D963" t="inlineStr">
        <is>
          <t>R250109-integrishealth</t>
        </is>
      </c>
      <c r="E963" t="inlineStr">
        <is>
          <t>Integris Health</t>
        </is>
      </c>
      <c r="F963" s="17" t="n">
        <v>45666</v>
      </c>
      <c r="G963" t="inlineStr">
        <is>
          <t>no report states where the company is based</t>
        </is>
      </c>
    </row>
    <row r="964">
      <c r="A964" t="inlineStr">
        <is>
          <t>C07</t>
        </is>
      </c>
      <c r="B964" t="inlineStr">
        <is>
          <t>City unknown</t>
        </is>
      </c>
      <c r="C964" t="inlineStr">
        <is>
          <t>info</t>
        </is>
      </c>
      <c r="D964" t="inlineStr">
        <is>
          <t>R250109-revivo</t>
        </is>
      </c>
      <c r="E964" t="inlineStr">
        <is>
          <t>Revivo</t>
        </is>
      </c>
      <c r="F964" s="17" t="n">
        <v>45666</v>
      </c>
      <c r="G964" t="inlineStr">
        <is>
          <t>no report states where the company is based</t>
        </is>
      </c>
    </row>
    <row r="965">
      <c r="A965" t="inlineStr">
        <is>
          <t>C07</t>
        </is>
      </c>
      <c r="B965" t="inlineStr">
        <is>
          <t>City unknown</t>
        </is>
      </c>
      <c r="C965" t="inlineStr">
        <is>
          <t>info</t>
        </is>
      </c>
      <c r="D965" t="inlineStr">
        <is>
          <t>R250113-weworkindia</t>
        </is>
      </c>
      <c r="E965" t="inlineStr">
        <is>
          <t>WeWork India</t>
        </is>
      </c>
      <c r="F965" s="17" t="n">
        <v>45670</v>
      </c>
      <c r="G965" t="inlineStr">
        <is>
          <t>no report states where the company is based</t>
        </is>
      </c>
    </row>
    <row r="966">
      <c r="A966" t="inlineStr">
        <is>
          <t>C07</t>
        </is>
      </c>
      <c r="B966" t="inlineStr">
        <is>
          <t>City unknown</t>
        </is>
      </c>
      <c r="C966" t="inlineStr">
        <is>
          <t>info</t>
        </is>
      </c>
      <c r="D966" t="inlineStr">
        <is>
          <t>R250114-bharatpe</t>
        </is>
      </c>
      <c r="E966" t="inlineStr">
        <is>
          <t>BharatPe</t>
        </is>
      </c>
      <c r="F966" s="17" t="n">
        <v>45671</v>
      </c>
      <c r="G966" t="inlineStr">
        <is>
          <t>no report states where the company is based</t>
        </is>
      </c>
    </row>
    <row r="967">
      <c r="A967" t="inlineStr">
        <is>
          <t>C07</t>
        </is>
      </c>
      <c r="B967" t="inlineStr">
        <is>
          <t>City unknown</t>
        </is>
      </c>
      <c r="C967" t="inlineStr">
        <is>
          <t>info</t>
        </is>
      </c>
      <c r="D967" t="inlineStr">
        <is>
          <t>R250115-eccentricengin</t>
        </is>
      </c>
      <c r="E967" t="inlineStr">
        <is>
          <t>Eccentric</t>
        </is>
      </c>
      <c r="F967" s="17" t="n">
        <v>45672</v>
      </c>
      <c r="G967" t="inlineStr">
        <is>
          <t>no report states where the company is based</t>
        </is>
      </c>
    </row>
    <row r="968">
      <c r="A968" t="inlineStr">
        <is>
          <t>C07</t>
        </is>
      </c>
      <c r="B968" t="inlineStr">
        <is>
          <t>City unknown</t>
        </is>
      </c>
      <c r="C968" t="inlineStr">
        <is>
          <t>info</t>
        </is>
      </c>
      <c r="D968" t="inlineStr">
        <is>
          <t>R250115-erlysign</t>
        </is>
      </c>
      <c r="E968" t="inlineStr">
        <is>
          <t>ErlySign</t>
        </is>
      </c>
      <c r="F968" s="17" t="n">
        <v>45672</v>
      </c>
      <c r="G968" t="inlineStr">
        <is>
          <t>no report states where the company is based</t>
        </is>
      </c>
    </row>
    <row r="969">
      <c r="A969" t="inlineStr">
        <is>
          <t>C07</t>
        </is>
      </c>
      <c r="B969" t="inlineStr">
        <is>
          <t>City unknown</t>
        </is>
      </c>
      <c r="C969" t="inlineStr">
        <is>
          <t>info</t>
        </is>
      </c>
      <c r="D969" t="inlineStr">
        <is>
          <t>R250115-sarlaaviation</t>
        </is>
      </c>
      <c r="E969" t="inlineStr">
        <is>
          <t>Sarla Aviation</t>
        </is>
      </c>
      <c r="F969" s="17" t="n">
        <v>45672</v>
      </c>
      <c r="G969" t="inlineStr">
        <is>
          <t>no report states where the company is based</t>
        </is>
      </c>
    </row>
    <row r="970">
      <c r="A970" t="inlineStr">
        <is>
          <t>C07</t>
        </is>
      </c>
      <c r="B970" t="inlineStr">
        <is>
          <t>City unknown</t>
        </is>
      </c>
      <c r="C970" t="inlineStr">
        <is>
          <t>info</t>
        </is>
      </c>
      <c r="D970" t="inlineStr">
        <is>
          <t>R250115-sukoonunlimite</t>
        </is>
      </c>
      <c r="E970" t="inlineStr">
        <is>
          <t>Sukoon Unlimited</t>
        </is>
      </c>
      <c r="F970" s="17" t="n">
        <v>45672</v>
      </c>
      <c r="G970" t="inlineStr">
        <is>
          <t>no report states where the company is based</t>
        </is>
      </c>
    </row>
    <row r="971">
      <c r="A971" t="inlineStr">
        <is>
          <t>C07</t>
        </is>
      </c>
      <c r="B971" t="inlineStr">
        <is>
          <t>City unknown</t>
        </is>
      </c>
      <c r="C971" t="inlineStr">
        <is>
          <t>info</t>
        </is>
      </c>
      <c r="D971" t="inlineStr">
        <is>
          <t>R250115-tyreplex</t>
        </is>
      </c>
      <c r="E971" t="inlineStr">
        <is>
          <t>TyrePlex</t>
        </is>
      </c>
      <c r="F971" s="17" t="n">
        <v>45672</v>
      </c>
      <c r="G971" t="inlineStr">
        <is>
          <t>no report states where the company is based</t>
        </is>
      </c>
    </row>
    <row r="972">
      <c r="A972" t="inlineStr">
        <is>
          <t>C07</t>
        </is>
      </c>
      <c r="B972" t="inlineStr">
        <is>
          <t>City unknown</t>
        </is>
      </c>
      <c r="C972" t="inlineStr">
        <is>
          <t>info</t>
        </is>
      </c>
      <c r="D972" t="inlineStr">
        <is>
          <t>R250116-astrosureai</t>
        </is>
      </c>
      <c r="E972" t="inlineStr">
        <is>
          <t>AstroSure</t>
        </is>
      </c>
      <c r="F972" s="17" t="n">
        <v>45673</v>
      </c>
      <c r="G972" t="inlineStr">
        <is>
          <t>no report states where the company is based</t>
        </is>
      </c>
    </row>
    <row r="973">
      <c r="A973" t="inlineStr">
        <is>
          <t>C07</t>
        </is>
      </c>
      <c r="B973" t="inlineStr">
        <is>
          <t>City unknown</t>
        </is>
      </c>
      <c r="C973" t="inlineStr">
        <is>
          <t>info</t>
        </is>
      </c>
      <c r="D973" t="inlineStr">
        <is>
          <t>R250116-wevois</t>
        </is>
      </c>
      <c r="E973" t="inlineStr">
        <is>
          <t>WeVOIS</t>
        </is>
      </c>
      <c r="F973" s="17" t="n">
        <v>45673</v>
      </c>
      <c r="G973" t="inlineStr">
        <is>
          <t>no report states where the company is based</t>
        </is>
      </c>
    </row>
    <row r="974">
      <c r="A974" t="inlineStr">
        <is>
          <t>C07</t>
        </is>
      </c>
      <c r="B974" t="inlineStr">
        <is>
          <t>City unknown</t>
        </is>
      </c>
      <c r="C974" t="inlineStr">
        <is>
          <t>info</t>
        </is>
      </c>
      <c r="D974" t="inlineStr">
        <is>
          <t>R250117-boltearth</t>
        </is>
      </c>
      <c r="E974" t="inlineStr">
        <is>
          <t>Bolt.Earth</t>
        </is>
      </c>
      <c r="F974" s="17" t="n">
        <v>45674</v>
      </c>
      <c r="G974" t="inlineStr">
        <is>
          <t>no report states where the company is based</t>
        </is>
      </c>
    </row>
    <row r="975">
      <c r="A975" t="inlineStr">
        <is>
          <t>C07</t>
        </is>
      </c>
      <c r="B975" t="inlineStr">
        <is>
          <t>City unknown</t>
        </is>
      </c>
      <c r="C975" t="inlineStr">
        <is>
          <t>info</t>
        </is>
      </c>
      <c r="D975" t="inlineStr">
        <is>
          <t>R250117-catalyxspace</t>
        </is>
      </c>
      <c r="E975" t="inlineStr">
        <is>
          <t>Catalyx Space</t>
        </is>
      </c>
      <c r="F975" s="17" t="n">
        <v>45674</v>
      </c>
      <c r="G975" t="inlineStr">
        <is>
          <t>no report states where the company is based</t>
        </is>
      </c>
    </row>
    <row r="976">
      <c r="A976" t="inlineStr">
        <is>
          <t>C07</t>
        </is>
      </c>
      <c r="B976" t="inlineStr">
        <is>
          <t>City unknown</t>
        </is>
      </c>
      <c r="C976" t="inlineStr">
        <is>
          <t>info</t>
        </is>
      </c>
      <c r="D976" t="inlineStr">
        <is>
          <t>R250117-netradyne</t>
        </is>
      </c>
      <c r="E976" t="inlineStr">
        <is>
          <t>Netradyne</t>
        </is>
      </c>
      <c r="F976" s="17" t="n">
        <v>45674</v>
      </c>
      <c r="G976" t="inlineStr">
        <is>
          <t>no report states where the company is based</t>
        </is>
      </c>
    </row>
    <row r="977">
      <c r="A977" t="inlineStr">
        <is>
          <t>C07</t>
        </is>
      </c>
      <c r="B977" t="inlineStr">
        <is>
          <t>City unknown</t>
        </is>
      </c>
      <c r="C977" t="inlineStr">
        <is>
          <t>info</t>
        </is>
      </c>
      <c r="D977" t="inlineStr">
        <is>
          <t>R250117-trezix</t>
        </is>
      </c>
      <c r="E977" t="inlineStr">
        <is>
          <t>TreZix</t>
        </is>
      </c>
      <c r="F977" s="17" t="n">
        <v>45674</v>
      </c>
      <c r="G977" t="inlineStr">
        <is>
          <t>no report states where the company is based</t>
        </is>
      </c>
    </row>
    <row r="978">
      <c r="A978" t="inlineStr">
        <is>
          <t>C07</t>
        </is>
      </c>
      <c r="B978" t="inlineStr">
        <is>
          <t>City unknown</t>
        </is>
      </c>
      <c r="C978" t="inlineStr">
        <is>
          <t>info</t>
        </is>
      </c>
      <c r="D978" t="inlineStr">
        <is>
          <t>R250120-burmaburma</t>
        </is>
      </c>
      <c r="E978" t="inlineStr">
        <is>
          <t>Burma Burma</t>
        </is>
      </c>
      <c r="F978" s="17" t="n">
        <v>45677</v>
      </c>
      <c r="G978" t="inlineStr">
        <is>
          <t>no report states where the company is based</t>
        </is>
      </c>
    </row>
    <row r="979">
      <c r="A979" t="inlineStr">
        <is>
          <t>C07</t>
        </is>
      </c>
      <c r="B979" t="inlineStr">
        <is>
          <t>City unknown</t>
        </is>
      </c>
      <c r="C979" t="inlineStr">
        <is>
          <t>info</t>
        </is>
      </c>
      <c r="D979" t="inlineStr">
        <is>
          <t>R250120-kisankonnect</t>
        </is>
      </c>
      <c r="E979" t="inlineStr">
        <is>
          <t>KisanKonnect</t>
        </is>
      </c>
      <c r="F979" s="17" t="n">
        <v>45677</v>
      </c>
      <c r="G979" t="inlineStr">
        <is>
          <t>no report states where the company is based</t>
        </is>
      </c>
    </row>
    <row r="980">
      <c r="A980" t="inlineStr">
        <is>
          <t>C07</t>
        </is>
      </c>
      <c r="B980" t="inlineStr">
        <is>
          <t>City unknown</t>
        </is>
      </c>
      <c r="C980" t="inlineStr">
        <is>
          <t>info</t>
        </is>
      </c>
      <c r="D980" t="inlineStr">
        <is>
          <t>R250120-krvvy</t>
        </is>
      </c>
      <c r="E980" t="inlineStr">
        <is>
          <t>Krvvy</t>
        </is>
      </c>
      <c r="F980" s="17" t="n">
        <v>45677</v>
      </c>
      <c r="G980" t="inlineStr">
        <is>
          <t>no report states where the company is based</t>
        </is>
      </c>
    </row>
    <row r="981">
      <c r="A981" t="inlineStr">
        <is>
          <t>C07</t>
        </is>
      </c>
      <c r="B981" t="inlineStr">
        <is>
          <t>City unknown</t>
        </is>
      </c>
      <c r="C981" t="inlineStr">
        <is>
          <t>info</t>
        </is>
      </c>
      <c r="D981" t="inlineStr">
        <is>
          <t>R250120-procureyard</t>
        </is>
      </c>
      <c r="E981" t="inlineStr">
        <is>
          <t>ProcureYard</t>
        </is>
      </c>
      <c r="F981" s="17" t="n">
        <v>45677</v>
      </c>
      <c r="G981" t="inlineStr">
        <is>
          <t>no report states where the company is based</t>
        </is>
      </c>
    </row>
    <row r="982">
      <c r="A982" t="inlineStr">
        <is>
          <t>C07</t>
        </is>
      </c>
      <c r="B982" t="inlineStr">
        <is>
          <t>City unknown</t>
        </is>
      </c>
      <c r="C982" t="inlineStr">
        <is>
          <t>info</t>
        </is>
      </c>
      <c r="D982" t="inlineStr">
        <is>
          <t>R250121-joyspoon</t>
        </is>
      </c>
      <c r="E982" t="inlineStr">
        <is>
          <t>JoySpoon</t>
        </is>
      </c>
      <c r="F982" s="17" t="n">
        <v>45678</v>
      </c>
      <c r="G982" t="inlineStr">
        <is>
          <t>no report states where the company is based</t>
        </is>
      </c>
    </row>
    <row r="983">
      <c r="A983" t="inlineStr">
        <is>
          <t>C07</t>
        </is>
      </c>
      <c r="B983" t="inlineStr">
        <is>
          <t>City unknown</t>
        </is>
      </c>
      <c r="C983" t="inlineStr">
        <is>
          <t>info</t>
        </is>
      </c>
      <c r="D983" t="inlineStr">
        <is>
          <t>R250121-postudio</t>
        </is>
      </c>
      <c r="E983" t="inlineStr">
        <is>
          <t>Postudio</t>
        </is>
      </c>
      <c r="F983" s="17" t="n">
        <v>45678</v>
      </c>
      <c r="G983" t="inlineStr">
        <is>
          <t>no report states where the company is based</t>
        </is>
      </c>
    </row>
    <row r="984">
      <c r="A984" t="inlineStr">
        <is>
          <t>C07</t>
        </is>
      </c>
      <c r="B984" t="inlineStr">
        <is>
          <t>City unknown</t>
        </is>
      </c>
      <c r="C984" t="inlineStr">
        <is>
          <t>info</t>
        </is>
      </c>
      <c r="D984" t="inlineStr">
        <is>
          <t>R250122-deconstruct</t>
        </is>
      </c>
      <c r="E984" t="inlineStr">
        <is>
          <t>DeConstruct</t>
        </is>
      </c>
      <c r="F984" s="17" t="n">
        <v>45679</v>
      </c>
      <c r="G984" t="inlineStr">
        <is>
          <t>no report states where the company is based</t>
        </is>
      </c>
    </row>
    <row r="985">
      <c r="A985" t="inlineStr">
        <is>
          <t>C07</t>
        </is>
      </c>
      <c r="B985" t="inlineStr">
        <is>
          <t>City unknown</t>
        </is>
      </c>
      <c r="C985" t="inlineStr">
        <is>
          <t>info</t>
        </is>
      </c>
      <c r="D985" t="inlineStr">
        <is>
          <t>R250122-spare8</t>
        </is>
      </c>
      <c r="E985" t="inlineStr">
        <is>
          <t>Spare8</t>
        </is>
      </c>
      <c r="F985" s="17" t="n">
        <v>45679</v>
      </c>
      <c r="G985" t="inlineStr">
        <is>
          <t>no report states where the company is based</t>
        </is>
      </c>
    </row>
    <row r="986">
      <c r="A986" t="inlineStr">
        <is>
          <t>C07</t>
        </is>
      </c>
      <c r="B986" t="inlineStr">
        <is>
          <t>City unknown</t>
        </is>
      </c>
      <c r="C986" t="inlineStr">
        <is>
          <t>info</t>
        </is>
      </c>
      <c r="D986" t="inlineStr">
        <is>
          <t>R250123-arisinfra</t>
        </is>
      </c>
      <c r="E986" t="inlineStr">
        <is>
          <t>ArisInfra</t>
        </is>
      </c>
      <c r="F986" s="17" t="n">
        <v>45680</v>
      </c>
      <c r="G986" t="inlineStr">
        <is>
          <t>no report states where the company is based</t>
        </is>
      </c>
    </row>
    <row r="987">
      <c r="A987" t="inlineStr">
        <is>
          <t>C07</t>
        </is>
      </c>
      <c r="B987" t="inlineStr">
        <is>
          <t>City unknown</t>
        </is>
      </c>
      <c r="C987" t="inlineStr">
        <is>
          <t>info</t>
        </is>
      </c>
      <c r="D987" t="inlineStr">
        <is>
          <t>R250123-landeed</t>
        </is>
      </c>
      <c r="E987" t="inlineStr">
        <is>
          <t>Landeed</t>
        </is>
      </c>
      <c r="F987" s="17" t="n">
        <v>45680</v>
      </c>
      <c r="G987" t="inlineStr">
        <is>
          <t>no report states where the company is based</t>
        </is>
      </c>
    </row>
    <row r="988">
      <c r="A988" t="inlineStr">
        <is>
          <t>C07</t>
        </is>
      </c>
      <c r="B988" t="inlineStr">
        <is>
          <t>City unknown</t>
        </is>
      </c>
      <c r="C988" t="inlineStr">
        <is>
          <t>info</t>
        </is>
      </c>
      <c r="D988" t="inlineStr">
        <is>
          <t>R250124-pipeshift</t>
        </is>
      </c>
      <c r="E988" t="inlineStr">
        <is>
          <t>Pipeshift</t>
        </is>
      </c>
      <c r="F988" s="17" t="n">
        <v>45680</v>
      </c>
      <c r="G988" t="inlineStr">
        <is>
          <t>no report states where the company is based</t>
        </is>
      </c>
    </row>
    <row r="989">
      <c r="A989" t="inlineStr">
        <is>
          <t>C07</t>
        </is>
      </c>
      <c r="B989" t="inlineStr">
        <is>
          <t>City unknown</t>
        </is>
      </c>
      <c r="C989" t="inlineStr">
        <is>
          <t>info</t>
        </is>
      </c>
      <c r="D989" t="inlineStr">
        <is>
          <t>R250124-capgrid</t>
        </is>
      </c>
      <c r="E989" t="inlineStr">
        <is>
          <t>CapGrid</t>
        </is>
      </c>
      <c r="F989" s="17" t="n">
        <v>45681</v>
      </c>
      <c r="G989" t="inlineStr">
        <is>
          <t>no report states where the company is based</t>
        </is>
      </c>
    </row>
    <row r="990">
      <c r="A990" t="inlineStr">
        <is>
          <t>C07</t>
        </is>
      </c>
      <c r="B990" t="inlineStr">
        <is>
          <t>City unknown</t>
        </is>
      </c>
      <c r="C990" t="inlineStr">
        <is>
          <t>info</t>
        </is>
      </c>
      <c r="D990" t="inlineStr">
        <is>
          <t>R250127-astrometechnol</t>
        </is>
      </c>
      <c r="E990" t="inlineStr">
        <is>
          <t>Astrome</t>
        </is>
      </c>
      <c r="F990" s="17" t="n">
        <v>45684</v>
      </c>
      <c r="G990" t="inlineStr">
        <is>
          <t>no report states where the company is based</t>
        </is>
      </c>
    </row>
    <row r="991">
      <c r="A991" t="inlineStr">
        <is>
          <t>C07</t>
        </is>
      </c>
      <c r="B991" t="inlineStr">
        <is>
          <t>City unknown</t>
        </is>
      </c>
      <c r="C991" t="inlineStr">
        <is>
          <t>info</t>
        </is>
      </c>
      <c r="D991" t="inlineStr">
        <is>
          <t>R250127-indulgeglobal</t>
        </is>
      </c>
      <c r="E991" t="inlineStr">
        <is>
          <t>Indulge Global</t>
        </is>
      </c>
      <c r="F991" s="17" t="n">
        <v>45684</v>
      </c>
      <c r="G991" t="inlineStr">
        <is>
          <t>no report states where the company is based</t>
        </is>
      </c>
    </row>
    <row r="992">
      <c r="A992" t="inlineStr">
        <is>
          <t>C07</t>
        </is>
      </c>
      <c r="B992" t="inlineStr">
        <is>
          <t>City unknown</t>
        </is>
      </c>
      <c r="C992" t="inlineStr">
        <is>
          <t>info</t>
        </is>
      </c>
      <c r="D992" t="inlineStr">
        <is>
          <t>R250127-tracknow</t>
        </is>
      </c>
      <c r="E992" t="inlineStr">
        <is>
          <t>trackNOW</t>
        </is>
      </c>
      <c r="F992" s="17" t="n">
        <v>45684</v>
      </c>
      <c r="G992" t="inlineStr">
        <is>
          <t>no report states where the company is based</t>
        </is>
      </c>
    </row>
    <row r="993">
      <c r="A993" t="inlineStr">
        <is>
          <t>C07</t>
        </is>
      </c>
      <c r="B993" t="inlineStr">
        <is>
          <t>City unknown</t>
        </is>
      </c>
      <c r="C993" t="inlineStr">
        <is>
          <t>info</t>
        </is>
      </c>
      <c r="D993" t="inlineStr">
        <is>
          <t>R250128-bizloan</t>
        </is>
      </c>
      <c r="E993" t="inlineStr">
        <is>
          <t>Bizloan</t>
        </is>
      </c>
      <c r="F993" s="17" t="n">
        <v>45685</v>
      </c>
      <c r="G993" t="inlineStr">
        <is>
          <t>no report states where the company is based</t>
        </is>
      </c>
    </row>
    <row r="994">
      <c r="A994" t="inlineStr">
        <is>
          <t>C07</t>
        </is>
      </c>
      <c r="B994" t="inlineStr">
        <is>
          <t>City unknown</t>
        </is>
      </c>
      <c r="C994" t="inlineStr">
        <is>
          <t>info</t>
        </is>
      </c>
      <c r="D994" t="inlineStr">
        <is>
          <t>R250128-innov8</t>
        </is>
      </c>
      <c r="E994" t="inlineStr">
        <is>
          <t>Innov8</t>
        </is>
      </c>
      <c r="F994" s="17" t="n">
        <v>45685</v>
      </c>
      <c r="G994" t="inlineStr">
        <is>
          <t>no report states where the company is based</t>
        </is>
      </c>
    </row>
    <row r="995">
      <c r="A995" t="inlineStr">
        <is>
          <t>C07</t>
        </is>
      </c>
      <c r="B995" t="inlineStr">
        <is>
          <t>City unknown</t>
        </is>
      </c>
      <c r="C995" t="inlineStr">
        <is>
          <t>info</t>
        </is>
      </c>
      <c r="D995" t="inlineStr">
        <is>
          <t>R250129-gallabox</t>
        </is>
      </c>
      <c r="E995" t="inlineStr">
        <is>
          <t>Gallabox</t>
        </is>
      </c>
      <c r="F995" s="17" t="n">
        <v>45686</v>
      </c>
      <c r="G995" t="inlineStr">
        <is>
          <t>no report states where the company is based</t>
        </is>
      </c>
    </row>
    <row r="996">
      <c r="A996" t="inlineStr">
        <is>
          <t>C07</t>
        </is>
      </c>
      <c r="B996" t="inlineStr">
        <is>
          <t>City unknown</t>
        </is>
      </c>
      <c r="C996" t="inlineStr">
        <is>
          <t>info</t>
        </is>
      </c>
      <c r="D996" t="inlineStr">
        <is>
          <t>R250129-growxcdfinance</t>
        </is>
      </c>
      <c r="E996" t="inlineStr">
        <is>
          <t>GrowXCD Finance</t>
        </is>
      </c>
      <c r="F996" s="17" t="n">
        <v>45686</v>
      </c>
      <c r="G996" t="inlineStr">
        <is>
          <t>no report states where the company is based</t>
        </is>
      </c>
    </row>
    <row r="997">
      <c r="A997" t="inlineStr">
        <is>
          <t>C07</t>
        </is>
      </c>
      <c r="B997" t="inlineStr">
        <is>
          <t>City unknown</t>
        </is>
      </c>
      <c r="C997" t="inlineStr">
        <is>
          <t>info</t>
        </is>
      </c>
      <c r="D997" t="inlineStr">
        <is>
          <t>R250129-leap</t>
        </is>
      </c>
      <c r="E997" t="inlineStr">
        <is>
          <t>Leap</t>
        </is>
      </c>
      <c r="F997" s="17" t="n">
        <v>45686</v>
      </c>
      <c r="G997" t="inlineStr">
        <is>
          <t>no report states where the company is based</t>
        </is>
      </c>
    </row>
    <row r="998">
      <c r="A998" t="inlineStr">
        <is>
          <t>C07</t>
        </is>
      </c>
      <c r="B998" t="inlineStr">
        <is>
          <t>City unknown</t>
        </is>
      </c>
      <c r="C998" t="inlineStr">
        <is>
          <t>info</t>
        </is>
      </c>
      <c r="D998" t="inlineStr">
        <is>
          <t>R250129-shoppin</t>
        </is>
      </c>
      <c r="E998" t="inlineStr">
        <is>
          <t>shoppin’</t>
        </is>
      </c>
      <c r="F998" s="17" t="n">
        <v>45686</v>
      </c>
      <c r="G998" t="inlineStr">
        <is>
          <t>no report states where the company is based</t>
        </is>
      </c>
    </row>
    <row r="999">
      <c r="A999" t="inlineStr">
        <is>
          <t>C07</t>
        </is>
      </c>
      <c r="B999" t="inlineStr">
        <is>
          <t>City unknown</t>
        </is>
      </c>
      <c r="C999" t="inlineStr">
        <is>
          <t>info</t>
        </is>
      </c>
      <c r="D999" t="inlineStr">
        <is>
          <t>R250130-bonvaero</t>
        </is>
      </c>
      <c r="E999" t="inlineStr">
        <is>
          <t>BonV</t>
        </is>
      </c>
      <c r="F999" s="17" t="n">
        <v>45687</v>
      </c>
      <c r="G999" t="inlineStr">
        <is>
          <t>no report states where the company is based</t>
        </is>
      </c>
    </row>
    <row r="1000">
      <c r="A1000" t="inlineStr">
        <is>
          <t>C07</t>
        </is>
      </c>
      <c r="B1000" t="inlineStr">
        <is>
          <t>City unknown</t>
        </is>
      </c>
      <c r="C1000" t="inlineStr">
        <is>
          <t>info</t>
        </is>
      </c>
      <c r="D1000" t="inlineStr">
        <is>
          <t>R250130-saladdays</t>
        </is>
      </c>
      <c r="E1000" t="inlineStr">
        <is>
          <t>Salad Days</t>
        </is>
      </c>
      <c r="F1000" s="17" t="n">
        <v>45687</v>
      </c>
      <c r="G1000" t="inlineStr">
        <is>
          <t>no report states where the company is based</t>
        </is>
      </c>
    </row>
    <row r="1001">
      <c r="A1001" t="inlineStr">
        <is>
          <t>C07</t>
        </is>
      </c>
      <c r="B1001" t="inlineStr">
        <is>
          <t>City unknown</t>
        </is>
      </c>
      <c r="C1001" t="inlineStr">
        <is>
          <t>info</t>
        </is>
      </c>
      <c r="D1001" t="inlineStr">
        <is>
          <t>R250130-sammmm</t>
        </is>
      </c>
      <c r="E1001" t="inlineStr">
        <is>
          <t>Sammmm</t>
        </is>
      </c>
      <c r="F1001" s="17" t="n">
        <v>45687</v>
      </c>
      <c r="G1001" t="inlineStr">
        <is>
          <t>no report states where the company is based</t>
        </is>
      </c>
    </row>
    <row r="1002">
      <c r="A1002" t="inlineStr">
        <is>
          <t>C07</t>
        </is>
      </c>
      <c r="B1002" t="inlineStr">
        <is>
          <t>City unknown</t>
        </is>
      </c>
      <c r="C1002" t="inlineStr">
        <is>
          <t>info</t>
        </is>
      </c>
      <c r="D1002" t="inlineStr">
        <is>
          <t>R250130-superops</t>
        </is>
      </c>
      <c r="E1002" t="inlineStr">
        <is>
          <t>SuperOps</t>
        </is>
      </c>
      <c r="F1002" s="17" t="n">
        <v>45687</v>
      </c>
      <c r="G1002" t="inlineStr">
        <is>
          <t>no report states where the company is based</t>
        </is>
      </c>
    </row>
    <row r="1003">
      <c r="A1003" t="inlineStr">
        <is>
          <t>C07</t>
        </is>
      </c>
      <c r="B1003" t="inlineStr">
        <is>
          <t>City unknown</t>
        </is>
      </c>
      <c r="C1003" t="inlineStr">
        <is>
          <t>info</t>
        </is>
      </c>
      <c r="D1003" t="inlineStr">
        <is>
          <t>R250203-builditindia</t>
        </is>
      </c>
      <c r="E1003" t="inlineStr">
        <is>
          <t>BuilditIndia</t>
        </is>
      </c>
      <c r="F1003" s="17" t="n">
        <v>45691</v>
      </c>
      <c r="G1003" t="inlineStr">
        <is>
          <t>no report states where the company is based</t>
        </is>
      </c>
    </row>
    <row r="1004">
      <c r="A1004" t="inlineStr">
        <is>
          <t>C07</t>
        </is>
      </c>
      <c r="B1004" t="inlineStr">
        <is>
          <t>City unknown</t>
        </is>
      </c>
      <c r="C1004" t="inlineStr">
        <is>
          <t>info</t>
        </is>
      </c>
      <c r="D1004" t="inlineStr">
        <is>
          <t>R250203-shadowfax</t>
        </is>
      </c>
      <c r="E1004" t="inlineStr">
        <is>
          <t>Shadowfax</t>
        </is>
      </c>
      <c r="F1004" s="17" t="n">
        <v>45691</v>
      </c>
      <c r="G1004" t="inlineStr">
        <is>
          <t>no report states where the company is based</t>
        </is>
      </c>
    </row>
    <row r="1005">
      <c r="A1005" t="inlineStr">
        <is>
          <t>C07</t>
        </is>
      </c>
      <c r="B1005" t="inlineStr">
        <is>
          <t>City unknown</t>
        </is>
      </c>
      <c r="C1005" t="inlineStr">
        <is>
          <t>info</t>
        </is>
      </c>
      <c r="D1005" t="inlineStr">
        <is>
          <t>R250204-coluxe</t>
        </is>
      </c>
      <c r="E1005" t="inlineStr">
        <is>
          <t>COLUXE</t>
        </is>
      </c>
      <c r="F1005" s="17" t="n">
        <v>45692</v>
      </c>
      <c r="G1005" t="inlineStr">
        <is>
          <t>no report states where the company is based</t>
        </is>
      </c>
    </row>
    <row r="1006">
      <c r="A1006" t="inlineStr">
        <is>
          <t>C07</t>
        </is>
      </c>
      <c r="B1006" t="inlineStr">
        <is>
          <t>City unknown</t>
        </is>
      </c>
      <c r="C1006" t="inlineStr">
        <is>
          <t>info</t>
        </is>
      </c>
      <c r="D1006" t="inlineStr">
        <is>
          <t>R250204-hairoriginals</t>
        </is>
      </c>
      <c r="E1006" t="inlineStr">
        <is>
          <t>HairOriginals</t>
        </is>
      </c>
      <c r="F1006" s="17" t="n">
        <v>45692</v>
      </c>
      <c r="G1006" t="inlineStr">
        <is>
          <t>no report states where the company is based</t>
        </is>
      </c>
    </row>
    <row r="1007">
      <c r="A1007" t="inlineStr">
        <is>
          <t>C07</t>
        </is>
      </c>
      <c r="B1007" t="inlineStr">
        <is>
          <t>City unknown</t>
        </is>
      </c>
      <c r="C1007" t="inlineStr">
        <is>
          <t>info</t>
        </is>
      </c>
      <c r="D1007" t="inlineStr">
        <is>
          <t>R250204-presentationsa</t>
        </is>
      </c>
      <c r="E1007" t="inlineStr">
        <is>
          <t>Presentations.AI</t>
        </is>
      </c>
      <c r="F1007" s="17" t="n">
        <v>45692</v>
      </c>
      <c r="G1007" t="inlineStr">
        <is>
          <t>no report states where the company is based</t>
        </is>
      </c>
    </row>
    <row r="1008">
      <c r="A1008" t="inlineStr">
        <is>
          <t>C07</t>
        </is>
      </c>
      <c r="B1008" t="inlineStr">
        <is>
          <t>City unknown</t>
        </is>
      </c>
      <c r="C1008" t="inlineStr">
        <is>
          <t>info</t>
        </is>
      </c>
      <c r="D1008" t="inlineStr">
        <is>
          <t>R250205-mealawe</t>
        </is>
      </c>
      <c r="E1008" t="inlineStr">
        <is>
          <t>Mealawe</t>
        </is>
      </c>
      <c r="F1008" s="17" t="n">
        <v>45693</v>
      </c>
      <c r="G1008" t="inlineStr">
        <is>
          <t>no report states where the company is based</t>
        </is>
      </c>
    </row>
    <row r="1009">
      <c r="A1009" t="inlineStr">
        <is>
          <t>C07</t>
        </is>
      </c>
      <c r="B1009" t="inlineStr">
        <is>
          <t>City unknown</t>
        </is>
      </c>
      <c r="C1009" t="inlineStr">
        <is>
          <t>info</t>
        </is>
      </c>
      <c r="D1009" t="inlineStr">
        <is>
          <t>R250206-babynama</t>
        </is>
      </c>
      <c r="E1009" t="inlineStr">
        <is>
          <t>Babynama</t>
        </is>
      </c>
      <c r="F1009" s="17" t="n">
        <v>45694</v>
      </c>
      <c r="G1009" t="inlineStr">
        <is>
          <t>no report states where the company is based</t>
        </is>
      </c>
    </row>
    <row r="1010">
      <c r="A1010" t="inlineStr">
        <is>
          <t>C07</t>
        </is>
      </c>
      <c r="B1010" t="inlineStr">
        <is>
          <t>City unknown</t>
        </is>
      </c>
      <c r="C1010" t="inlineStr">
        <is>
          <t>info</t>
        </is>
      </c>
      <c r="D1010" t="inlineStr">
        <is>
          <t>R250206-basilalliance</t>
        </is>
      </c>
      <c r="E1010" t="inlineStr">
        <is>
          <t>Basil Alliance</t>
        </is>
      </c>
      <c r="F1010" s="17" t="n">
        <v>45694</v>
      </c>
      <c r="G1010" t="inlineStr">
        <is>
          <t>no report states where the company is based</t>
        </is>
      </c>
    </row>
    <row r="1011">
      <c r="A1011" t="inlineStr">
        <is>
          <t>C07</t>
        </is>
      </c>
      <c r="B1011" t="inlineStr">
        <is>
          <t>City unknown</t>
        </is>
      </c>
      <c r="C1011" t="inlineStr">
        <is>
          <t>info</t>
        </is>
      </c>
      <c r="D1011" t="inlineStr">
        <is>
          <t>R250206-playsuper</t>
        </is>
      </c>
      <c r="E1011" t="inlineStr">
        <is>
          <t>PlaySuper</t>
        </is>
      </c>
      <c r="F1011" s="17" t="n">
        <v>45694</v>
      </c>
      <c r="G1011" t="inlineStr">
        <is>
          <t>no report states where the company is based</t>
        </is>
      </c>
    </row>
    <row r="1012">
      <c r="A1012" t="inlineStr">
        <is>
          <t>C07</t>
        </is>
      </c>
      <c r="B1012" t="inlineStr">
        <is>
          <t>City unknown</t>
        </is>
      </c>
      <c r="C1012" t="inlineStr">
        <is>
          <t>info</t>
        </is>
      </c>
      <c r="D1012" t="inlineStr">
        <is>
          <t>R250206-truefoundry</t>
        </is>
      </c>
      <c r="E1012" t="inlineStr">
        <is>
          <t>TrueFondry</t>
        </is>
      </c>
      <c r="F1012" s="17" t="n">
        <v>45694</v>
      </c>
      <c r="G1012" t="inlineStr">
        <is>
          <t>no report states where the company is based</t>
        </is>
      </c>
    </row>
    <row r="1013">
      <c r="A1013" t="inlineStr">
        <is>
          <t>C07</t>
        </is>
      </c>
      <c r="B1013" t="inlineStr">
        <is>
          <t>City unknown</t>
        </is>
      </c>
      <c r="C1013" t="inlineStr">
        <is>
          <t>info</t>
        </is>
      </c>
      <c r="D1013" t="inlineStr">
        <is>
          <t>R250207-nbfcauxilo</t>
        </is>
      </c>
      <c r="E1013" t="inlineStr">
        <is>
          <t>NBFC Auxilo</t>
        </is>
      </c>
      <c r="F1013" s="17" t="n">
        <v>45695</v>
      </c>
      <c r="G1013" t="inlineStr">
        <is>
          <t>no report states where the company is based</t>
        </is>
      </c>
    </row>
    <row r="1014">
      <c r="A1014" t="inlineStr">
        <is>
          <t>C07</t>
        </is>
      </c>
      <c r="B1014" t="inlineStr">
        <is>
          <t>City unknown</t>
        </is>
      </c>
      <c r="C1014" t="inlineStr">
        <is>
          <t>info</t>
        </is>
      </c>
      <c r="D1014" t="inlineStr">
        <is>
          <t>R250207-vahanai</t>
        </is>
      </c>
      <c r="E1014" t="inlineStr">
        <is>
          <t>Vahan.ai</t>
        </is>
      </c>
      <c r="F1014" s="17" t="n">
        <v>45695</v>
      </c>
      <c r="G1014" t="inlineStr">
        <is>
          <t>no report states where the company is based</t>
        </is>
      </c>
    </row>
    <row r="1015">
      <c r="A1015" t="inlineStr">
        <is>
          <t>C07</t>
        </is>
      </c>
      <c r="B1015" t="inlineStr">
        <is>
          <t>City unknown</t>
        </is>
      </c>
      <c r="C1015" t="inlineStr">
        <is>
          <t>info</t>
        </is>
      </c>
      <c r="D1015" t="inlineStr">
        <is>
          <t>R250208-cremeitalia</t>
        </is>
      </c>
      <c r="E1015" t="inlineStr">
        <is>
          <t>Cremeitalia</t>
        </is>
      </c>
      <c r="F1015" s="17" t="n">
        <v>45696</v>
      </c>
      <c r="G1015" t="inlineStr">
        <is>
          <t>no report states where the company is based</t>
        </is>
      </c>
    </row>
    <row r="1016">
      <c r="A1016" t="inlineStr">
        <is>
          <t>C07</t>
        </is>
      </c>
      <c r="B1016" t="inlineStr">
        <is>
          <t>City unknown</t>
        </is>
      </c>
      <c r="C1016" t="inlineStr">
        <is>
          <t>info</t>
        </is>
      </c>
      <c r="D1016" t="inlineStr">
        <is>
          <t>R250208-eduvanz</t>
        </is>
      </c>
      <c r="E1016" t="inlineStr">
        <is>
          <t>Eduvanz</t>
        </is>
      </c>
      <c r="F1016" s="17" t="n">
        <v>45696</v>
      </c>
      <c r="G1016" t="inlineStr">
        <is>
          <t>no report states where the company is based</t>
        </is>
      </c>
    </row>
    <row r="1017">
      <c r="A1017" t="inlineStr">
        <is>
          <t>C07</t>
        </is>
      </c>
      <c r="B1017" t="inlineStr">
        <is>
          <t>City unknown</t>
        </is>
      </c>
      <c r="C1017" t="inlineStr">
        <is>
          <t>info</t>
        </is>
      </c>
      <c r="D1017" t="inlineStr">
        <is>
          <t>R250210-rubyworks</t>
        </is>
      </c>
      <c r="E1017" t="inlineStr">
        <is>
          <t>Rubyworks</t>
        </is>
      </c>
      <c r="F1017" s="17" t="n">
        <v>45698</v>
      </c>
      <c r="G1017" t="inlineStr">
        <is>
          <t>no report states where the company is based</t>
        </is>
      </c>
    </row>
    <row r="1018">
      <c r="A1018" t="inlineStr">
        <is>
          <t>C07</t>
        </is>
      </c>
      <c r="B1018" t="inlineStr">
        <is>
          <t>City unknown</t>
        </is>
      </c>
      <c r="C1018" t="inlineStr">
        <is>
          <t>info</t>
        </is>
      </c>
      <c r="D1018" t="inlineStr">
        <is>
          <t>R250210-rupeeflo</t>
        </is>
      </c>
      <c r="E1018" t="inlineStr">
        <is>
          <t>Rupeeflo</t>
        </is>
      </c>
      <c r="F1018" s="17" t="n">
        <v>45698</v>
      </c>
      <c r="G1018" t="inlineStr">
        <is>
          <t>no report states where the company is based</t>
        </is>
      </c>
    </row>
    <row r="1019">
      <c r="A1019" t="inlineStr">
        <is>
          <t>C07</t>
        </is>
      </c>
      <c r="B1019" t="inlineStr">
        <is>
          <t>City unknown</t>
        </is>
      </c>
      <c r="C1019" t="inlineStr">
        <is>
          <t>info</t>
        </is>
      </c>
      <c r="D1019" t="inlineStr">
        <is>
          <t>R250211-croftbeverages</t>
        </is>
      </c>
      <c r="E1019" t="inlineStr">
        <is>
          <t>Croft Beverages</t>
        </is>
      </c>
      <c r="F1019" s="17" t="n">
        <v>45699</v>
      </c>
      <c r="G1019" t="inlineStr">
        <is>
          <t>no report states where the company is based</t>
        </is>
      </c>
    </row>
    <row r="1020">
      <c r="A1020" t="inlineStr">
        <is>
          <t>C07</t>
        </is>
      </c>
      <c r="B1020" t="inlineStr">
        <is>
          <t>City unknown</t>
        </is>
      </c>
      <c r="C1020" t="inlineStr">
        <is>
          <t>info</t>
        </is>
      </c>
      <c r="D1020" t="inlineStr">
        <is>
          <t>R250211-thehonesthomec</t>
        </is>
      </c>
      <c r="E1020" t="inlineStr">
        <is>
          <t>The Honest Home Company</t>
        </is>
      </c>
      <c r="F1020" s="17" t="n">
        <v>45699</v>
      </c>
      <c r="G1020" t="inlineStr">
        <is>
          <t>no report states where the company is based</t>
        </is>
      </c>
    </row>
    <row r="1021">
      <c r="A1021" t="inlineStr">
        <is>
          <t>C07</t>
        </is>
      </c>
      <c r="B1021" t="inlineStr">
        <is>
          <t>City unknown</t>
        </is>
      </c>
      <c r="C1021" t="inlineStr">
        <is>
          <t>info</t>
        </is>
      </c>
      <c r="D1021" t="inlineStr">
        <is>
          <t>R250212-gorally</t>
        </is>
      </c>
      <c r="E1021" t="inlineStr">
        <is>
          <t>GoRally</t>
        </is>
      </c>
      <c r="F1021" s="17" t="n">
        <v>45700</v>
      </c>
      <c r="G1021" t="inlineStr">
        <is>
          <t>no report states where the company is based</t>
        </is>
      </c>
    </row>
    <row r="1022">
      <c r="A1022" t="inlineStr">
        <is>
          <t>C07</t>
        </is>
      </c>
      <c r="B1022" t="inlineStr">
        <is>
          <t>City unknown</t>
        </is>
      </c>
      <c r="C1022" t="inlineStr">
        <is>
          <t>info</t>
        </is>
      </c>
      <c r="D1022" t="inlineStr">
        <is>
          <t>R250212-raptureinnovat</t>
        </is>
      </c>
      <c r="E1022" t="inlineStr">
        <is>
          <t>Rapture Innovation Labs</t>
        </is>
      </c>
      <c r="F1022" s="17" t="n">
        <v>45700</v>
      </c>
      <c r="G1022" t="inlineStr">
        <is>
          <t>no report states where the company is based</t>
        </is>
      </c>
    </row>
    <row r="1023">
      <c r="A1023" t="inlineStr">
        <is>
          <t>C07</t>
        </is>
      </c>
      <c r="B1023" t="inlineStr">
        <is>
          <t>City unknown</t>
        </is>
      </c>
      <c r="C1023" t="inlineStr">
        <is>
          <t>info</t>
        </is>
      </c>
      <c r="D1023" t="inlineStr">
        <is>
          <t>R250212-toonsutra</t>
        </is>
      </c>
      <c r="E1023" t="inlineStr">
        <is>
          <t>Toonsutra</t>
        </is>
      </c>
      <c r="F1023" s="17" t="n">
        <v>45700</v>
      </c>
      <c r="G1023" t="inlineStr">
        <is>
          <t>no report states where the company is based</t>
        </is>
      </c>
    </row>
    <row r="1024">
      <c r="A1024" t="inlineStr">
        <is>
          <t>C07</t>
        </is>
      </c>
      <c r="B1024" t="inlineStr">
        <is>
          <t>City unknown</t>
        </is>
      </c>
      <c r="C1024" t="inlineStr">
        <is>
          <t>info</t>
        </is>
      </c>
      <c r="D1024" t="inlineStr">
        <is>
          <t>R250214-cherrapunjicra</t>
        </is>
      </c>
      <c r="E1024" t="inlineStr">
        <is>
          <t>Cherrapunji Craft Gin</t>
        </is>
      </c>
      <c r="F1024" s="17" t="n">
        <v>45702</v>
      </c>
      <c r="G1024" t="inlineStr">
        <is>
          <t>no report states where the company is based</t>
        </is>
      </c>
    </row>
    <row r="1025">
      <c r="A1025" t="inlineStr">
        <is>
          <t>C07</t>
        </is>
      </c>
      <c r="B1025" t="inlineStr">
        <is>
          <t>City unknown</t>
        </is>
      </c>
      <c r="C1025" t="inlineStr">
        <is>
          <t>info</t>
        </is>
      </c>
      <c r="D1025" t="inlineStr">
        <is>
          <t>R250214-pmielectromobi</t>
        </is>
      </c>
      <c r="E1025" t="inlineStr">
        <is>
          <t>PMI Electro Mobility</t>
        </is>
      </c>
      <c r="F1025" s="17" t="n">
        <v>45702</v>
      </c>
      <c r="G1025" t="inlineStr">
        <is>
          <t>no report states where the company is based</t>
        </is>
      </c>
    </row>
    <row r="1026">
      <c r="A1026" t="inlineStr">
        <is>
          <t>C07</t>
        </is>
      </c>
      <c r="B1026" t="inlineStr">
        <is>
          <t>City unknown</t>
        </is>
      </c>
      <c r="C1026" t="inlineStr">
        <is>
          <t>info</t>
        </is>
      </c>
      <c r="D1026" t="inlineStr">
        <is>
          <t>R250214-raincheckearth</t>
        </is>
      </c>
      <c r="E1026" t="inlineStr">
        <is>
          <t>Raincheck Earth Co.</t>
        </is>
      </c>
      <c r="F1026" s="17" t="n">
        <v>45702</v>
      </c>
      <c r="G1026" t="inlineStr">
        <is>
          <t>no report states where the company is based</t>
        </is>
      </c>
    </row>
    <row r="1027">
      <c r="A1027" t="inlineStr">
        <is>
          <t>C07</t>
        </is>
      </c>
      <c r="B1027" t="inlineStr">
        <is>
          <t>City unknown</t>
        </is>
      </c>
      <c r="C1027" t="inlineStr">
        <is>
          <t>info</t>
        </is>
      </c>
      <c r="D1027" t="inlineStr">
        <is>
          <t>R250215-ridev</t>
        </is>
      </c>
      <c r="E1027" t="inlineStr">
        <is>
          <t>RIDEV</t>
        </is>
      </c>
      <c r="F1027" s="17" t="n">
        <v>45703</v>
      </c>
      <c r="G1027" t="inlineStr">
        <is>
          <t>no report states where the company is based</t>
        </is>
      </c>
    </row>
    <row r="1028">
      <c r="A1028" t="inlineStr">
        <is>
          <t>C07</t>
        </is>
      </c>
      <c r="B1028" t="inlineStr">
        <is>
          <t>City unknown</t>
        </is>
      </c>
      <c r="C1028" t="inlineStr">
        <is>
          <t>info</t>
        </is>
      </c>
      <c r="D1028" t="inlineStr">
        <is>
          <t>R250217-lurny</t>
        </is>
      </c>
      <c r="E1028" t="inlineStr">
        <is>
          <t>Lurny</t>
        </is>
      </c>
      <c r="F1028" s="17" t="n">
        <v>45705</v>
      </c>
      <c r="G1028" t="inlineStr">
        <is>
          <t>no report states where the company is based</t>
        </is>
      </c>
    </row>
    <row r="1029">
      <c r="A1029" t="inlineStr">
        <is>
          <t>C07</t>
        </is>
      </c>
      <c r="B1029" t="inlineStr">
        <is>
          <t>City unknown</t>
        </is>
      </c>
      <c r="C1029" t="inlineStr">
        <is>
          <t>info</t>
        </is>
      </c>
      <c r="D1029" t="inlineStr">
        <is>
          <t>R250218-lightstrom</t>
        </is>
      </c>
      <c r="E1029" t="inlineStr">
        <is>
          <t>Lightstrom</t>
        </is>
      </c>
      <c r="F1029" s="17" t="n">
        <v>45706</v>
      </c>
      <c r="G1029" t="inlineStr">
        <is>
          <t>no report states where the company is based</t>
        </is>
      </c>
    </row>
    <row r="1030">
      <c r="A1030" t="inlineStr">
        <is>
          <t>C07</t>
        </is>
      </c>
      <c r="B1030" t="inlineStr">
        <is>
          <t>City unknown</t>
        </is>
      </c>
      <c r="C1030" t="inlineStr">
        <is>
          <t>info</t>
        </is>
      </c>
      <c r="D1030" t="inlineStr">
        <is>
          <t>R250218-singulrai</t>
        </is>
      </c>
      <c r="E1030" t="inlineStr">
        <is>
          <t>Singulr AI</t>
        </is>
      </c>
      <c r="F1030" s="17" t="n">
        <v>45706</v>
      </c>
      <c r="G1030" t="inlineStr">
        <is>
          <t>no report states where the company is based</t>
        </is>
      </c>
    </row>
    <row r="1031">
      <c r="A1031" t="inlineStr">
        <is>
          <t>C07</t>
        </is>
      </c>
      <c r="B1031" t="inlineStr">
        <is>
          <t>City unknown</t>
        </is>
      </c>
      <c r="C1031" t="inlineStr">
        <is>
          <t>info</t>
        </is>
      </c>
      <c r="D1031" t="inlineStr">
        <is>
          <t>R250218-theenergycompa</t>
        </is>
      </c>
      <c r="E1031" t="inlineStr">
        <is>
          <t>The Energy Company</t>
        </is>
      </c>
      <c r="F1031" s="17" t="n">
        <v>45706</v>
      </c>
      <c r="G1031" t="inlineStr">
        <is>
          <t>no report states where the company is based</t>
        </is>
      </c>
    </row>
    <row r="1032">
      <c r="A1032" t="inlineStr">
        <is>
          <t>C07</t>
        </is>
      </c>
      <c r="B1032" t="inlineStr">
        <is>
          <t>City unknown</t>
        </is>
      </c>
      <c r="C1032" t="inlineStr">
        <is>
          <t>info</t>
        </is>
      </c>
      <c r="D1032" t="inlineStr">
        <is>
          <t>R250219-agrilectric</t>
        </is>
      </c>
      <c r="E1032" t="inlineStr">
        <is>
          <t>Agrilectric</t>
        </is>
      </c>
      <c r="F1032" s="17" t="n">
        <v>45707</v>
      </c>
      <c r="G1032" t="inlineStr">
        <is>
          <t>no report states where the company is based</t>
        </is>
      </c>
    </row>
    <row r="1033">
      <c r="A1033" t="inlineStr">
        <is>
          <t>C07</t>
        </is>
      </c>
      <c r="B1033" t="inlineStr">
        <is>
          <t>City unknown</t>
        </is>
      </c>
      <c r="C1033" t="inlineStr">
        <is>
          <t>info</t>
        </is>
      </c>
      <c r="D1033" t="inlineStr">
        <is>
          <t>R250219-creditfair</t>
        </is>
      </c>
      <c r="E1033" t="inlineStr">
        <is>
          <t>Credit Fair</t>
        </is>
      </c>
      <c r="F1033" s="17" t="n">
        <v>45707</v>
      </c>
      <c r="G1033" t="inlineStr">
        <is>
          <t>no report states where the company is based</t>
        </is>
      </c>
    </row>
    <row r="1034">
      <c r="A1034" t="inlineStr">
        <is>
          <t>C07</t>
        </is>
      </c>
      <c r="B1034" t="inlineStr">
        <is>
          <t>City unknown</t>
        </is>
      </c>
      <c r="C1034" t="inlineStr">
        <is>
          <t>info</t>
        </is>
      </c>
      <c r="D1034" t="inlineStr">
        <is>
          <t>R250219-probus</t>
        </is>
      </c>
      <c r="E1034" t="inlineStr">
        <is>
          <t>Probus</t>
        </is>
      </c>
      <c r="F1034" s="17" t="n">
        <v>45707</v>
      </c>
      <c r="G1034" t="inlineStr">
        <is>
          <t>no report states where the company is based</t>
        </is>
      </c>
    </row>
    <row r="1035">
      <c r="A1035" t="inlineStr">
        <is>
          <t>C07</t>
        </is>
      </c>
      <c r="B1035" t="inlineStr">
        <is>
          <t>City unknown</t>
        </is>
      </c>
      <c r="C1035" t="inlineStr">
        <is>
          <t>info</t>
        </is>
      </c>
      <c r="D1035" t="inlineStr">
        <is>
          <t>R250220-onetabai</t>
        </is>
      </c>
      <c r="E1035" t="inlineStr">
        <is>
          <t>OneTab</t>
        </is>
      </c>
      <c r="F1035" s="17" t="n">
        <v>45708</v>
      </c>
      <c r="G1035" t="inlineStr">
        <is>
          <t>no report states where the company is based</t>
        </is>
      </c>
    </row>
    <row r="1036">
      <c r="A1036" t="inlineStr">
        <is>
          <t>C07</t>
        </is>
      </c>
      <c r="B1036" t="inlineStr">
        <is>
          <t>City unknown</t>
        </is>
      </c>
      <c r="C1036" t="inlineStr">
        <is>
          <t>info</t>
        </is>
      </c>
      <c r="D1036" t="inlineStr">
        <is>
          <t>R250222-niyogin</t>
        </is>
      </c>
      <c r="E1036" t="inlineStr">
        <is>
          <t>Niyogin</t>
        </is>
      </c>
      <c r="F1036" s="17" t="n">
        <v>45710</v>
      </c>
      <c r="G1036" t="inlineStr">
        <is>
          <t>no report states where the company is based</t>
        </is>
      </c>
    </row>
    <row r="1037">
      <c r="A1037" t="inlineStr">
        <is>
          <t>C07</t>
        </is>
      </c>
      <c r="B1037" t="inlineStr">
        <is>
          <t>City unknown</t>
        </is>
      </c>
      <c r="C1037" t="inlineStr">
        <is>
          <t>info</t>
        </is>
      </c>
      <c r="D1037" t="inlineStr">
        <is>
          <t>R250224-kiranapro</t>
        </is>
      </c>
      <c r="E1037" t="inlineStr">
        <is>
          <t>KiranaPro</t>
        </is>
      </c>
      <c r="F1037" s="17" t="n">
        <v>45712</v>
      </c>
      <c r="G1037" t="inlineStr">
        <is>
          <t>no report states where the company is based</t>
        </is>
      </c>
    </row>
    <row r="1038">
      <c r="A1038" t="inlineStr">
        <is>
          <t>C07</t>
        </is>
      </c>
      <c r="B1038" t="inlineStr">
        <is>
          <t>City unknown</t>
        </is>
      </c>
      <c r="C1038" t="inlineStr">
        <is>
          <t>info</t>
        </is>
      </c>
      <c r="D1038" t="inlineStr">
        <is>
          <t>R250224-makeinbox</t>
        </is>
      </c>
      <c r="E1038" t="inlineStr">
        <is>
          <t>Make in Box</t>
        </is>
      </c>
      <c r="F1038" s="17" t="n">
        <v>45712</v>
      </c>
      <c r="G1038" t="inlineStr">
        <is>
          <t>no report states where the company is based</t>
        </is>
      </c>
    </row>
    <row r="1039">
      <c r="A1039" t="inlineStr">
        <is>
          <t>C07</t>
        </is>
      </c>
      <c r="B1039" t="inlineStr">
        <is>
          <t>City unknown</t>
        </is>
      </c>
      <c r="C1039" t="inlineStr">
        <is>
          <t>info</t>
        </is>
      </c>
      <c r="D1039" t="inlineStr">
        <is>
          <t>R250225-jobizo</t>
        </is>
      </c>
      <c r="E1039" t="inlineStr">
        <is>
          <t>Jobizo</t>
        </is>
      </c>
      <c r="F1039" s="17" t="n">
        <v>45713</v>
      </c>
      <c r="G1039" t="inlineStr">
        <is>
          <t>no report states where the company is based</t>
        </is>
      </c>
    </row>
    <row r="1040">
      <c r="A1040" t="inlineStr">
        <is>
          <t>C07</t>
        </is>
      </c>
      <c r="B1040" t="inlineStr">
        <is>
          <t>City unknown</t>
        </is>
      </c>
      <c r="C1040" t="inlineStr">
        <is>
          <t>info</t>
        </is>
      </c>
      <c r="D1040" t="inlineStr">
        <is>
          <t>R250226-drreddy</t>
        </is>
      </c>
      <c r="E1040" t="inlineStr">
        <is>
          <t>Dr. Reddy</t>
        </is>
      </c>
      <c r="F1040" s="17" t="n">
        <v>45714</v>
      </c>
      <c r="G1040" t="inlineStr">
        <is>
          <t>no report states where the company is based</t>
        </is>
      </c>
    </row>
    <row r="1041">
      <c r="A1041" t="inlineStr">
        <is>
          <t>C07</t>
        </is>
      </c>
      <c r="B1041" t="inlineStr">
        <is>
          <t>City unknown</t>
        </is>
      </c>
      <c r="C1041" t="inlineStr">
        <is>
          <t>info</t>
        </is>
      </c>
      <c r="D1041" t="inlineStr">
        <is>
          <t>R250226-hornet</t>
        </is>
      </c>
      <c r="E1041" t="inlineStr">
        <is>
          <t>Hornet</t>
        </is>
      </c>
      <c r="F1041" s="17" t="n">
        <v>45714</v>
      </c>
      <c r="G1041" t="inlineStr">
        <is>
          <t>no report states where the company is based</t>
        </is>
      </c>
    </row>
    <row r="1042">
      <c r="A1042" t="inlineStr">
        <is>
          <t>C07</t>
        </is>
      </c>
      <c r="B1042" t="inlineStr">
        <is>
          <t>City unknown</t>
        </is>
      </c>
      <c r="C1042" t="inlineStr">
        <is>
          <t>info</t>
        </is>
      </c>
      <c r="D1042" t="inlineStr">
        <is>
          <t>R250227-fantv</t>
        </is>
      </c>
      <c r="E1042" t="inlineStr">
        <is>
          <t>FanTV</t>
        </is>
      </c>
      <c r="F1042" s="17" t="n">
        <v>45715</v>
      </c>
      <c r="G1042" t="inlineStr">
        <is>
          <t>no report states where the company is based</t>
        </is>
      </c>
    </row>
    <row r="1043">
      <c r="A1043" t="inlineStr">
        <is>
          <t>C07</t>
        </is>
      </c>
      <c r="B1043" t="inlineStr">
        <is>
          <t>City unknown</t>
        </is>
      </c>
      <c r="C1043" t="inlineStr">
        <is>
          <t>info</t>
        </is>
      </c>
      <c r="D1043" t="inlineStr">
        <is>
          <t>R250228-leadinvest</t>
        </is>
      </c>
      <c r="E1043" t="inlineStr">
        <is>
          <t>Lead Invest</t>
        </is>
      </c>
      <c r="F1043" s="17" t="n">
        <v>45716</v>
      </c>
      <c r="G1043" t="inlineStr">
        <is>
          <t>no report states where the company is based</t>
        </is>
      </c>
    </row>
    <row r="1044">
      <c r="A1044" t="inlineStr">
        <is>
          <t>C07</t>
        </is>
      </c>
      <c r="B1044" t="inlineStr">
        <is>
          <t>City unknown</t>
        </is>
      </c>
      <c r="C1044" t="inlineStr">
        <is>
          <t>info</t>
        </is>
      </c>
      <c r="D1044" t="inlineStr">
        <is>
          <t>R250228-sisirradar</t>
        </is>
      </c>
      <c r="E1044" t="inlineStr">
        <is>
          <t>Sisir Radar</t>
        </is>
      </c>
      <c r="F1044" s="17" t="n">
        <v>45716</v>
      </c>
      <c r="G1044" t="inlineStr">
        <is>
          <t>no report states where the company is based</t>
        </is>
      </c>
    </row>
    <row r="1045">
      <c r="A1045" t="inlineStr">
        <is>
          <t>C07</t>
        </is>
      </c>
      <c r="B1045" t="inlineStr">
        <is>
          <t>City unknown</t>
        </is>
      </c>
      <c r="C1045" t="inlineStr">
        <is>
          <t>info</t>
        </is>
      </c>
      <c r="D1045" t="inlineStr">
        <is>
          <t>R250303-arvahealth</t>
        </is>
      </c>
      <c r="E1045" t="inlineStr">
        <is>
          <t>Arva Health</t>
        </is>
      </c>
      <c r="F1045" s="17" t="n">
        <v>45719</v>
      </c>
      <c r="G1045" t="inlineStr">
        <is>
          <t>no report states where the company is based</t>
        </is>
      </c>
    </row>
    <row r="1046">
      <c r="A1046" t="inlineStr">
        <is>
          <t>C07</t>
        </is>
      </c>
      <c r="B1046" t="inlineStr">
        <is>
          <t>City unknown</t>
        </is>
      </c>
      <c r="C1046" t="inlineStr">
        <is>
          <t>info</t>
        </is>
      </c>
      <c r="D1046" t="inlineStr">
        <is>
          <t>R250304-beautywise</t>
        </is>
      </c>
      <c r="E1046" t="inlineStr">
        <is>
          <t>Beautywise</t>
        </is>
      </c>
      <c r="F1046" s="17" t="n">
        <v>45720</v>
      </c>
      <c r="G1046" t="inlineStr">
        <is>
          <t>no report states where the company is based</t>
        </is>
      </c>
    </row>
    <row r="1047">
      <c r="A1047" t="inlineStr">
        <is>
          <t>C07</t>
        </is>
      </c>
      <c r="B1047" t="inlineStr">
        <is>
          <t>City unknown</t>
        </is>
      </c>
      <c r="C1047" t="inlineStr">
        <is>
          <t>info</t>
        </is>
      </c>
      <c r="D1047" t="inlineStr">
        <is>
          <t>R250304-bullagritech</t>
        </is>
      </c>
      <c r="E1047" t="inlineStr">
        <is>
          <t>Bull Agritech</t>
        </is>
      </c>
      <c r="F1047" s="17" t="n">
        <v>45720</v>
      </c>
      <c r="G1047" t="inlineStr">
        <is>
          <t>no report states where the company is based</t>
        </is>
      </c>
    </row>
    <row r="1048">
      <c r="A1048" t="inlineStr">
        <is>
          <t>C07</t>
        </is>
      </c>
      <c r="B1048" t="inlineStr">
        <is>
          <t>City unknown</t>
        </is>
      </c>
      <c r="C1048" t="inlineStr">
        <is>
          <t>info</t>
        </is>
      </c>
      <c r="D1048" t="inlineStr">
        <is>
          <t>R250304-deciml</t>
        </is>
      </c>
      <c r="E1048" t="inlineStr">
        <is>
          <t>Deciml</t>
        </is>
      </c>
      <c r="F1048" s="17" t="n">
        <v>45720</v>
      </c>
      <c r="G1048" t="inlineStr">
        <is>
          <t>no report states where the company is based</t>
        </is>
      </c>
    </row>
    <row r="1049">
      <c r="A1049" t="inlineStr">
        <is>
          <t>C07</t>
        </is>
      </c>
      <c r="B1049" t="inlineStr">
        <is>
          <t>City unknown</t>
        </is>
      </c>
      <c r="C1049" t="inlineStr">
        <is>
          <t>info</t>
        </is>
      </c>
      <c r="D1049" t="inlineStr">
        <is>
          <t>R250304-dotme</t>
        </is>
      </c>
      <c r="E1049" t="inlineStr">
        <is>
          <t>DotMe</t>
        </is>
      </c>
      <c r="F1049" s="17" t="n">
        <v>45720</v>
      </c>
      <c r="G1049" t="inlineStr">
        <is>
          <t>no report states where the company is based</t>
        </is>
      </c>
    </row>
    <row r="1050">
      <c r="A1050" t="inlineStr">
        <is>
          <t>C07</t>
        </is>
      </c>
      <c r="B1050" t="inlineStr">
        <is>
          <t>City unknown</t>
        </is>
      </c>
      <c r="C1050" t="inlineStr">
        <is>
          <t>info</t>
        </is>
      </c>
      <c r="D1050" t="inlineStr">
        <is>
          <t>R250304-fuzenio</t>
        </is>
      </c>
      <c r="E1050" t="inlineStr">
        <is>
          <t>Fuzen.io</t>
        </is>
      </c>
      <c r="F1050" s="17" t="n">
        <v>45720</v>
      </c>
      <c r="G1050" t="inlineStr">
        <is>
          <t>no report states where the company is based</t>
        </is>
      </c>
    </row>
    <row r="1051">
      <c r="A1051" t="inlineStr">
        <is>
          <t>C07</t>
        </is>
      </c>
      <c r="B1051" t="inlineStr">
        <is>
          <t>City unknown</t>
        </is>
      </c>
      <c r="C1051" t="inlineStr">
        <is>
          <t>info</t>
        </is>
      </c>
      <c r="D1051" t="inlineStr">
        <is>
          <t>R250304-naptapgo</t>
        </is>
      </c>
      <c r="E1051" t="inlineStr">
        <is>
          <t>NapTapGo</t>
        </is>
      </c>
      <c r="F1051" s="17" t="n">
        <v>45720</v>
      </c>
      <c r="G1051" t="inlineStr">
        <is>
          <t>no report states where the company is based</t>
        </is>
      </c>
    </row>
    <row r="1052">
      <c r="A1052" t="inlineStr">
        <is>
          <t>C07</t>
        </is>
      </c>
      <c r="B1052" t="inlineStr">
        <is>
          <t>City unknown</t>
        </is>
      </c>
      <c r="C1052" t="inlineStr">
        <is>
          <t>info</t>
        </is>
      </c>
      <c r="D1052" t="inlineStr">
        <is>
          <t>R250304-nuuk</t>
        </is>
      </c>
      <c r="E1052" t="inlineStr">
        <is>
          <t>Nuuk</t>
        </is>
      </c>
      <c r="F1052" s="17" t="n">
        <v>45720</v>
      </c>
      <c r="G1052" t="inlineStr">
        <is>
          <t>no report states where the company is based</t>
        </is>
      </c>
    </row>
    <row r="1053">
      <c r="A1053" t="inlineStr">
        <is>
          <t>C07</t>
        </is>
      </c>
      <c r="B1053" t="inlineStr">
        <is>
          <t>City unknown</t>
        </is>
      </c>
      <c r="C1053" t="inlineStr">
        <is>
          <t>info</t>
        </is>
      </c>
      <c r="D1053" t="inlineStr">
        <is>
          <t>R250304-sila</t>
        </is>
      </c>
      <c r="E1053" t="inlineStr">
        <is>
          <t>SILA</t>
        </is>
      </c>
      <c r="F1053" s="17" t="n">
        <v>45720</v>
      </c>
      <c r="G1053" t="inlineStr">
        <is>
          <t>no report states where the company is based</t>
        </is>
      </c>
    </row>
    <row r="1054">
      <c r="A1054" t="inlineStr">
        <is>
          <t>C07</t>
        </is>
      </c>
      <c r="B1054" t="inlineStr">
        <is>
          <t>City unknown</t>
        </is>
      </c>
      <c r="C1054" t="inlineStr">
        <is>
          <t>info</t>
        </is>
      </c>
      <c r="D1054" t="inlineStr">
        <is>
          <t>R250304-uptimeai</t>
        </is>
      </c>
      <c r="E1054" t="inlineStr">
        <is>
          <t>UptimeAI</t>
        </is>
      </c>
      <c r="F1054" s="17" t="n">
        <v>45720</v>
      </c>
      <c r="G1054" t="inlineStr">
        <is>
          <t>no report states where the company is based</t>
        </is>
      </c>
    </row>
    <row r="1055">
      <c r="A1055" t="inlineStr">
        <is>
          <t>C07</t>
        </is>
      </c>
      <c r="B1055" t="inlineStr">
        <is>
          <t>City unknown</t>
        </is>
      </c>
      <c r="C1055" t="inlineStr">
        <is>
          <t>info</t>
        </is>
      </c>
      <c r="D1055" t="inlineStr">
        <is>
          <t>R250305-beacon</t>
        </is>
      </c>
      <c r="E1055" t="inlineStr">
        <is>
          <t>Beacon.li</t>
        </is>
      </c>
      <c r="F1055" s="17" t="n">
        <v>45721</v>
      </c>
      <c r="G1055" t="inlineStr">
        <is>
          <t>no report states where the company is based</t>
        </is>
      </c>
    </row>
    <row r="1056">
      <c r="A1056" t="inlineStr">
        <is>
          <t>C07</t>
        </is>
      </c>
      <c r="B1056" t="inlineStr">
        <is>
          <t>City unknown</t>
        </is>
      </c>
      <c r="C1056" t="inlineStr">
        <is>
          <t>info</t>
        </is>
      </c>
      <c r="D1056" t="inlineStr">
        <is>
          <t>R250305-leapfinance</t>
        </is>
      </c>
      <c r="E1056" t="inlineStr">
        <is>
          <t>Leap Finance</t>
        </is>
      </c>
      <c r="F1056" s="17" t="n">
        <v>45721</v>
      </c>
      <c r="G1056" t="inlineStr">
        <is>
          <t>no report states where the company is based</t>
        </is>
      </c>
    </row>
    <row r="1057">
      <c r="A1057" t="inlineStr">
        <is>
          <t>C07</t>
        </is>
      </c>
      <c r="B1057" t="inlineStr">
        <is>
          <t>City unknown</t>
        </is>
      </c>
      <c r="C1057" t="inlineStr">
        <is>
          <t>info</t>
        </is>
      </c>
      <c r="D1057" t="inlineStr">
        <is>
          <t>R250305-naarica</t>
        </is>
      </c>
      <c r="E1057" t="inlineStr">
        <is>
          <t>Naarica</t>
        </is>
      </c>
      <c r="F1057" s="17" t="n">
        <v>45721</v>
      </c>
      <c r="G1057" t="inlineStr">
        <is>
          <t>no report states where the company is based</t>
        </is>
      </c>
    </row>
    <row r="1058">
      <c r="A1058" t="inlineStr">
        <is>
          <t>C07</t>
        </is>
      </c>
      <c r="B1058" t="inlineStr">
        <is>
          <t>City unknown</t>
        </is>
      </c>
      <c r="C1058" t="inlineStr">
        <is>
          <t>info</t>
        </is>
      </c>
      <c r="D1058" t="inlineStr">
        <is>
          <t>R250306-gainhubai</t>
        </is>
      </c>
      <c r="E1058" t="inlineStr">
        <is>
          <t>Gainhub.Ai</t>
        </is>
      </c>
      <c r="F1058" s="17" t="n">
        <v>45722</v>
      </c>
      <c r="G1058" t="inlineStr">
        <is>
          <t>no report states where the company is based</t>
        </is>
      </c>
    </row>
    <row r="1059">
      <c r="A1059" t="inlineStr">
        <is>
          <t>C07</t>
        </is>
      </c>
      <c r="B1059" t="inlineStr">
        <is>
          <t>City unknown</t>
        </is>
      </c>
      <c r="C1059" t="inlineStr">
        <is>
          <t>info</t>
        </is>
      </c>
      <c r="D1059" t="inlineStr">
        <is>
          <t>R250306-innoviti</t>
        </is>
      </c>
      <c r="E1059" t="inlineStr">
        <is>
          <t>Innoviti</t>
        </is>
      </c>
      <c r="F1059" s="17" t="n">
        <v>45722</v>
      </c>
      <c r="G1059" t="inlineStr">
        <is>
          <t>no report states where the company is based</t>
        </is>
      </c>
    </row>
    <row r="1060">
      <c r="A1060" t="inlineStr">
        <is>
          <t>C07</t>
        </is>
      </c>
      <c r="B1060" t="inlineStr">
        <is>
          <t>City unknown</t>
        </is>
      </c>
      <c r="C1060" t="inlineStr">
        <is>
          <t>info</t>
        </is>
      </c>
      <c r="D1060" t="inlineStr">
        <is>
          <t>R250306-maxiq</t>
        </is>
      </c>
      <c r="E1060" t="inlineStr">
        <is>
          <t>MaxIQ</t>
        </is>
      </c>
      <c r="F1060" s="17" t="n">
        <v>45722</v>
      </c>
      <c r="G1060" t="inlineStr">
        <is>
          <t>no report states where the company is based</t>
        </is>
      </c>
    </row>
    <row r="1061">
      <c r="A1061" t="inlineStr">
        <is>
          <t>C07</t>
        </is>
      </c>
      <c r="B1061" t="inlineStr">
        <is>
          <t>City unknown</t>
        </is>
      </c>
      <c r="C1061" t="inlineStr">
        <is>
          <t>info</t>
        </is>
      </c>
      <c r="D1061" t="inlineStr">
        <is>
          <t>R250306-photai</t>
        </is>
      </c>
      <c r="E1061" t="inlineStr">
        <is>
          <t>Phot.AI</t>
        </is>
      </c>
      <c r="F1061" s="17" t="n">
        <v>45722</v>
      </c>
      <c r="G1061" t="inlineStr">
        <is>
          <t>no report states where the company is based</t>
        </is>
      </c>
    </row>
    <row r="1062">
      <c r="A1062" t="inlineStr">
        <is>
          <t>C07</t>
        </is>
      </c>
      <c r="B1062" t="inlineStr">
        <is>
          <t>City unknown</t>
        </is>
      </c>
      <c r="C1062" t="inlineStr">
        <is>
          <t>info</t>
        </is>
      </c>
      <c r="D1062" t="inlineStr">
        <is>
          <t>R250306-rajeevmisrason</t>
        </is>
      </c>
      <c r="E1062" t="inlineStr">
        <is>
          <t>Rajeev Misra's son</t>
        </is>
      </c>
      <c r="F1062" s="17" t="n">
        <v>45722</v>
      </c>
      <c r="G1062" t="inlineStr">
        <is>
          <t>no report states where the company is based</t>
        </is>
      </c>
    </row>
    <row r="1063">
      <c r="A1063" t="inlineStr">
        <is>
          <t>C07</t>
        </is>
      </c>
      <c r="B1063" t="inlineStr">
        <is>
          <t>City unknown</t>
        </is>
      </c>
      <c r="C1063" t="inlineStr">
        <is>
          <t>info</t>
        </is>
      </c>
      <c r="D1063" t="inlineStr">
        <is>
          <t>R250306-zuppaneonaviga</t>
        </is>
      </c>
      <c r="E1063" t="inlineStr">
        <is>
          <t>Zuppa Neo Navigation Technologies</t>
        </is>
      </c>
      <c r="F1063" s="17" t="n">
        <v>45722</v>
      </c>
      <c r="G1063" t="inlineStr">
        <is>
          <t>no report states where the company is based</t>
        </is>
      </c>
    </row>
    <row r="1064">
      <c r="A1064" t="inlineStr">
        <is>
          <t>C07</t>
        </is>
      </c>
      <c r="B1064" t="inlineStr">
        <is>
          <t>City unknown</t>
        </is>
      </c>
      <c r="C1064" t="inlineStr">
        <is>
          <t>info</t>
        </is>
      </c>
      <c r="D1064" t="inlineStr">
        <is>
          <t>R250307-baccabucci</t>
        </is>
      </c>
      <c r="E1064" t="inlineStr">
        <is>
          <t>Bacca Bucci</t>
        </is>
      </c>
      <c r="F1064" s="17" t="n">
        <v>45723</v>
      </c>
      <c r="G1064" t="inlineStr">
        <is>
          <t>no report states where the company is based</t>
        </is>
      </c>
    </row>
    <row r="1065">
      <c r="A1065" t="inlineStr">
        <is>
          <t>C07</t>
        </is>
      </c>
      <c r="B1065" t="inlineStr">
        <is>
          <t>City unknown</t>
        </is>
      </c>
      <c r="C1065" t="inlineStr">
        <is>
          <t>info</t>
        </is>
      </c>
      <c r="D1065" t="inlineStr">
        <is>
          <t>R250307-furlenco</t>
        </is>
      </c>
      <c r="E1065" t="inlineStr">
        <is>
          <t>Furlenco</t>
        </is>
      </c>
      <c r="F1065" s="17" t="n">
        <v>45723</v>
      </c>
      <c r="G1065" t="inlineStr">
        <is>
          <t>no report states where the company is based</t>
        </is>
      </c>
    </row>
    <row r="1066">
      <c r="A1066" t="inlineStr">
        <is>
          <t>C07</t>
        </is>
      </c>
      <c r="B1066" t="inlineStr">
        <is>
          <t>City unknown</t>
        </is>
      </c>
      <c r="C1066" t="inlineStr">
        <is>
          <t>info</t>
        </is>
      </c>
      <c r="D1066" t="inlineStr">
        <is>
          <t>R250307-vobble</t>
        </is>
      </c>
      <c r="E1066" t="inlineStr">
        <is>
          <t>Vobble</t>
        </is>
      </c>
      <c r="F1066" s="17" t="n">
        <v>45723</v>
      </c>
      <c r="G1066" t="inlineStr">
        <is>
          <t>no report states where the company is based</t>
        </is>
      </c>
    </row>
    <row r="1067">
      <c r="A1067" t="inlineStr">
        <is>
          <t>C07</t>
        </is>
      </c>
      <c r="B1067" t="inlineStr">
        <is>
          <t>City unknown</t>
        </is>
      </c>
      <c r="C1067" t="inlineStr">
        <is>
          <t>info</t>
        </is>
      </c>
      <c r="D1067" t="inlineStr">
        <is>
          <t>R250310-voltmoney</t>
        </is>
      </c>
      <c r="E1067" t="inlineStr">
        <is>
          <t>Volt Money</t>
        </is>
      </c>
      <c r="F1067" s="17" t="n">
        <v>45726</v>
      </c>
      <c r="G1067" t="inlineStr">
        <is>
          <t>no report states where the company is based</t>
        </is>
      </c>
    </row>
    <row r="1068">
      <c r="A1068" t="inlineStr">
        <is>
          <t>C07</t>
        </is>
      </c>
      <c r="B1068" t="inlineStr">
        <is>
          <t>City unknown</t>
        </is>
      </c>
      <c r="C1068" t="inlineStr">
        <is>
          <t>info</t>
        </is>
      </c>
      <c r="D1068" t="inlineStr">
        <is>
          <t>R250311-dreamtimelearn</t>
        </is>
      </c>
      <c r="E1068" t="inlineStr">
        <is>
          <t>Dreamtime Learning</t>
        </is>
      </c>
      <c r="F1068" s="17" t="n">
        <v>45727</v>
      </c>
      <c r="G1068" t="inlineStr">
        <is>
          <t>no report states where the company is based</t>
        </is>
      </c>
    </row>
    <row r="1069">
      <c r="A1069" t="inlineStr">
        <is>
          <t>C07</t>
        </is>
      </c>
      <c r="B1069" t="inlineStr">
        <is>
          <t>City unknown</t>
        </is>
      </c>
      <c r="C1069" t="inlineStr">
        <is>
          <t>info</t>
        </is>
      </c>
      <c r="D1069" t="inlineStr">
        <is>
          <t>R250311-zolve</t>
        </is>
      </c>
      <c r="E1069" t="inlineStr">
        <is>
          <t>Zolve</t>
        </is>
      </c>
      <c r="F1069" s="17" t="n">
        <v>45727</v>
      </c>
      <c r="G1069" t="inlineStr">
        <is>
          <t>no report states where the company is based</t>
        </is>
      </c>
    </row>
    <row r="1070">
      <c r="A1070" t="inlineStr">
        <is>
          <t>C07</t>
        </is>
      </c>
      <c r="B1070" t="inlineStr">
        <is>
          <t>City unknown</t>
        </is>
      </c>
      <c r="C1070" t="inlineStr">
        <is>
          <t>info</t>
        </is>
      </c>
      <c r="D1070" t="inlineStr">
        <is>
          <t>R250312-allohealth</t>
        </is>
      </c>
      <c r="E1070" t="inlineStr">
        <is>
          <t>Allo Health</t>
        </is>
      </c>
      <c r="F1070" s="17" t="n">
        <v>45728</v>
      </c>
      <c r="G1070" t="inlineStr">
        <is>
          <t>no report states where the company is based</t>
        </is>
      </c>
    </row>
    <row r="1071">
      <c r="A1071" t="inlineStr">
        <is>
          <t>C07</t>
        </is>
      </c>
      <c r="B1071" t="inlineStr">
        <is>
          <t>City unknown</t>
        </is>
      </c>
      <c r="C1071" t="inlineStr">
        <is>
          <t>info</t>
        </is>
      </c>
      <c r="D1071" t="inlineStr">
        <is>
          <t>R250312-weskill</t>
        </is>
      </c>
      <c r="E1071" t="inlineStr">
        <is>
          <t>Weskill</t>
        </is>
      </c>
      <c r="F1071" s="17" t="n">
        <v>45728</v>
      </c>
      <c r="G1071" t="inlineStr">
        <is>
          <t>no report states where the company is based</t>
        </is>
      </c>
    </row>
    <row r="1072">
      <c r="A1072" t="inlineStr">
        <is>
          <t>C07</t>
        </is>
      </c>
      <c r="B1072" t="inlineStr">
        <is>
          <t>City unknown</t>
        </is>
      </c>
      <c r="C1072" t="inlineStr">
        <is>
          <t>info</t>
        </is>
      </c>
      <c r="D1072" t="inlineStr">
        <is>
          <t>R250313-incredfinance</t>
        </is>
      </c>
      <c r="E1072" t="inlineStr">
        <is>
          <t>InCred Finance</t>
        </is>
      </c>
      <c r="F1072" s="17" t="n">
        <v>45729</v>
      </c>
      <c r="G1072" t="inlineStr">
        <is>
          <t>no report states where the company is based</t>
        </is>
      </c>
    </row>
    <row r="1073">
      <c r="A1073" t="inlineStr">
        <is>
          <t>C07</t>
        </is>
      </c>
      <c r="B1073" t="inlineStr">
        <is>
          <t>City unknown</t>
        </is>
      </c>
      <c r="C1073" t="inlineStr">
        <is>
          <t>info</t>
        </is>
      </c>
      <c r="D1073" t="inlineStr">
        <is>
          <t>R250313-neuraldefend</t>
        </is>
      </c>
      <c r="E1073" t="inlineStr">
        <is>
          <t>Neural Defend</t>
        </is>
      </c>
      <c r="F1073" s="17" t="n">
        <v>45729</v>
      </c>
      <c r="G1073" t="inlineStr">
        <is>
          <t>no report states where the company is based</t>
        </is>
      </c>
    </row>
    <row r="1074">
      <c r="A1074" t="inlineStr">
        <is>
          <t>C07</t>
        </is>
      </c>
      <c r="B1074" t="inlineStr">
        <is>
          <t>City unknown</t>
        </is>
      </c>
      <c r="C1074" t="inlineStr">
        <is>
          <t>info</t>
        </is>
      </c>
      <c r="D1074" t="inlineStr">
        <is>
          <t>R250313-purplestylelab</t>
        </is>
      </c>
      <c r="E1074" t="inlineStr">
        <is>
          <t>Purple Style Labs</t>
        </is>
      </c>
      <c r="F1074" s="17" t="n">
        <v>45729</v>
      </c>
      <c r="G1074" t="inlineStr">
        <is>
          <t>no report states where the company is based</t>
        </is>
      </c>
    </row>
    <row r="1075">
      <c r="A1075" t="inlineStr">
        <is>
          <t>C07</t>
        </is>
      </c>
      <c r="B1075" t="inlineStr">
        <is>
          <t>City unknown</t>
        </is>
      </c>
      <c r="C1075" t="inlineStr">
        <is>
          <t>info</t>
        </is>
      </c>
      <c r="D1075" t="inlineStr">
        <is>
          <t>R250317-nivarahomefina</t>
        </is>
      </c>
      <c r="E1075" t="inlineStr">
        <is>
          <t>Nivara Home Finance</t>
        </is>
      </c>
      <c r="F1075" s="17" t="n">
        <v>45733</v>
      </c>
      <c r="G1075" t="inlineStr">
        <is>
          <t>no report states where the company is based</t>
        </is>
      </c>
    </row>
    <row r="1076">
      <c r="A1076" t="inlineStr">
        <is>
          <t>C07</t>
        </is>
      </c>
      <c r="B1076" t="inlineStr">
        <is>
          <t>City unknown</t>
        </is>
      </c>
      <c r="C1076" t="inlineStr">
        <is>
          <t>info</t>
        </is>
      </c>
      <c r="D1076" t="inlineStr">
        <is>
          <t>R250317-otipy</t>
        </is>
      </c>
      <c r="E1076" t="inlineStr">
        <is>
          <t>Otipy</t>
        </is>
      </c>
      <c r="F1076" s="17" t="n">
        <v>45733</v>
      </c>
      <c r="G1076" t="inlineStr">
        <is>
          <t>no report states where the company is based</t>
        </is>
      </c>
    </row>
    <row r="1077">
      <c r="A1077" t="inlineStr">
        <is>
          <t>C07</t>
        </is>
      </c>
      <c r="B1077" t="inlineStr">
        <is>
          <t>City unknown</t>
        </is>
      </c>
      <c r="C1077" t="inlineStr">
        <is>
          <t>info</t>
        </is>
      </c>
      <c r="D1077" t="inlineStr">
        <is>
          <t>R250318-broadway</t>
        </is>
      </c>
      <c r="E1077" t="inlineStr">
        <is>
          <t>Broadway</t>
        </is>
      </c>
      <c r="F1077" s="17" t="n">
        <v>45734</v>
      </c>
      <c r="G1077" t="inlineStr">
        <is>
          <t>no report states where the company is based</t>
        </is>
      </c>
    </row>
    <row r="1078">
      <c r="A1078" t="inlineStr">
        <is>
          <t>C07</t>
        </is>
      </c>
      <c r="B1078" t="inlineStr">
        <is>
          <t>City unknown</t>
        </is>
      </c>
      <c r="C1078" t="inlineStr">
        <is>
          <t>info</t>
        </is>
      </c>
      <c r="D1078" t="inlineStr">
        <is>
          <t>R250318-gooat</t>
        </is>
      </c>
      <c r="E1078" t="inlineStr">
        <is>
          <t>GoOAT</t>
        </is>
      </c>
      <c r="F1078" s="17" t="n">
        <v>45734</v>
      </c>
      <c r="G1078" t="inlineStr">
        <is>
          <t>no report states where the company is based</t>
        </is>
      </c>
    </row>
    <row r="1079">
      <c r="A1079" t="inlineStr">
        <is>
          <t>C07</t>
        </is>
      </c>
      <c r="B1079" t="inlineStr">
        <is>
          <t>City unknown</t>
        </is>
      </c>
      <c r="C1079" t="inlineStr">
        <is>
          <t>info</t>
        </is>
      </c>
      <c r="D1079" t="inlineStr">
        <is>
          <t>R250318-gozero</t>
        </is>
      </c>
      <c r="E1079" t="inlineStr">
        <is>
          <t>Go Zero</t>
        </is>
      </c>
      <c r="F1079" s="17" t="n">
        <v>45734</v>
      </c>
      <c r="G1079" t="inlineStr">
        <is>
          <t>no report states where the company is based</t>
        </is>
      </c>
    </row>
    <row r="1080">
      <c r="A1080" t="inlineStr">
        <is>
          <t>C07</t>
        </is>
      </c>
      <c r="B1080" t="inlineStr">
        <is>
          <t>City unknown</t>
        </is>
      </c>
      <c r="C1080" t="inlineStr">
        <is>
          <t>info</t>
        </is>
      </c>
      <c r="D1080" t="inlineStr">
        <is>
          <t>R250318-ihubrobotics</t>
        </is>
      </c>
      <c r="E1080" t="inlineStr">
        <is>
          <t>iHub Robotics</t>
        </is>
      </c>
      <c r="F1080" s="17" t="n">
        <v>45734</v>
      </c>
      <c r="G1080" t="inlineStr">
        <is>
          <t>no report states where the company is based</t>
        </is>
      </c>
    </row>
    <row r="1081">
      <c r="A1081" t="inlineStr">
        <is>
          <t>C07</t>
        </is>
      </c>
      <c r="B1081" t="inlineStr">
        <is>
          <t>City unknown</t>
        </is>
      </c>
      <c r="C1081" t="inlineStr">
        <is>
          <t>info</t>
        </is>
      </c>
      <c r="D1081" t="inlineStr">
        <is>
          <t>R250318-protecttai</t>
        </is>
      </c>
      <c r="E1081" t="inlineStr">
        <is>
          <t>Protectt.ai</t>
        </is>
      </c>
      <c r="F1081" s="17" t="n">
        <v>45734</v>
      </c>
      <c r="G1081" t="inlineStr">
        <is>
          <t>no report states where the company is based</t>
        </is>
      </c>
    </row>
    <row r="1082">
      <c r="A1082" t="inlineStr">
        <is>
          <t>C07</t>
        </is>
      </c>
      <c r="B1082" t="inlineStr">
        <is>
          <t>City unknown</t>
        </is>
      </c>
      <c r="C1082" t="inlineStr">
        <is>
          <t>info</t>
        </is>
      </c>
      <c r="D1082" t="inlineStr">
        <is>
          <t>R250318-yummybee</t>
        </is>
      </c>
      <c r="E1082" t="inlineStr">
        <is>
          <t>Yummy Bee</t>
        </is>
      </c>
      <c r="F1082" s="17" t="n">
        <v>45734</v>
      </c>
      <c r="G1082" t="inlineStr">
        <is>
          <t>no report states where the company is based</t>
        </is>
      </c>
    </row>
    <row r="1083">
      <c r="A1083" t="inlineStr">
        <is>
          <t>C07</t>
        </is>
      </c>
      <c r="B1083" t="inlineStr">
        <is>
          <t>City unknown</t>
        </is>
      </c>
      <c r="C1083" t="inlineStr">
        <is>
          <t>info</t>
        </is>
      </c>
      <c r="D1083" t="inlineStr">
        <is>
          <t>R250319-navadhan</t>
        </is>
      </c>
      <c r="E1083" t="inlineStr">
        <is>
          <t>Navadhan</t>
        </is>
      </c>
      <c r="F1083" s="17" t="n">
        <v>45735</v>
      </c>
      <c r="G1083" t="inlineStr">
        <is>
          <t>no report states where the company is based</t>
        </is>
      </c>
    </row>
    <row r="1084">
      <c r="A1084" t="inlineStr">
        <is>
          <t>C07</t>
        </is>
      </c>
      <c r="B1084" t="inlineStr">
        <is>
          <t>City unknown</t>
        </is>
      </c>
      <c r="C1084" t="inlineStr">
        <is>
          <t>info</t>
        </is>
      </c>
      <c r="D1084" t="inlineStr">
        <is>
          <t>R250320-everhopeoncolo</t>
        </is>
      </c>
      <c r="E1084" t="inlineStr">
        <is>
          <t>Everhope Oncology</t>
        </is>
      </c>
      <c r="F1084" s="17" t="n">
        <v>45736</v>
      </c>
      <c r="G1084" t="inlineStr">
        <is>
          <t>no report states where the company is based</t>
        </is>
      </c>
    </row>
    <row r="1085">
      <c r="A1085" t="inlineStr">
        <is>
          <t>C07</t>
        </is>
      </c>
      <c r="B1085" t="inlineStr">
        <is>
          <t>City unknown</t>
        </is>
      </c>
      <c r="C1085" t="inlineStr">
        <is>
          <t>info</t>
        </is>
      </c>
      <c r="D1085" t="inlineStr">
        <is>
          <t>R250320-kraftshala</t>
        </is>
      </c>
      <c r="E1085" t="inlineStr">
        <is>
          <t>Kraftshala</t>
        </is>
      </c>
      <c r="F1085" s="17" t="n">
        <v>45736</v>
      </c>
      <c r="G1085" t="inlineStr">
        <is>
          <t>no report states where the company is based</t>
        </is>
      </c>
    </row>
    <row r="1086">
      <c r="A1086" t="inlineStr">
        <is>
          <t>C07</t>
        </is>
      </c>
      <c r="B1086" t="inlineStr">
        <is>
          <t>City unknown</t>
        </is>
      </c>
      <c r="C1086" t="inlineStr">
        <is>
          <t>info</t>
        </is>
      </c>
      <c r="D1086" t="inlineStr">
        <is>
          <t>R250320-lighthouseprop</t>
        </is>
      </c>
      <c r="E1086" t="inlineStr">
        <is>
          <t>Lighthouse PropTech</t>
        </is>
      </c>
      <c r="F1086" s="17" t="n">
        <v>45736</v>
      </c>
      <c r="G1086" t="inlineStr">
        <is>
          <t>no report states where the company is based</t>
        </is>
      </c>
    </row>
    <row r="1087">
      <c r="A1087" t="inlineStr">
        <is>
          <t>C07</t>
        </is>
      </c>
      <c r="B1087" t="inlineStr">
        <is>
          <t>City unknown</t>
        </is>
      </c>
      <c r="C1087" t="inlineStr">
        <is>
          <t>info</t>
        </is>
      </c>
      <c r="D1087" t="inlineStr">
        <is>
          <t>R250320-magentamobilit</t>
        </is>
      </c>
      <c r="E1087" t="inlineStr">
        <is>
          <t>Magenta Mobility</t>
        </is>
      </c>
      <c r="F1087" s="17" t="n">
        <v>45736</v>
      </c>
      <c r="G1087" t="inlineStr">
        <is>
          <t>no report states where the company is based</t>
        </is>
      </c>
    </row>
    <row r="1088">
      <c r="A1088" t="inlineStr">
        <is>
          <t>C07</t>
        </is>
      </c>
      <c r="B1088" t="inlineStr">
        <is>
          <t>City unknown</t>
        </is>
      </c>
      <c r="C1088" t="inlineStr">
        <is>
          <t>info</t>
        </is>
      </c>
      <c r="D1088" t="inlineStr">
        <is>
          <t>R250320-mypahadidukan</t>
        </is>
      </c>
      <c r="E1088" t="inlineStr">
        <is>
          <t>My Pahadi Dukan</t>
        </is>
      </c>
      <c r="F1088" s="17" t="n">
        <v>45736</v>
      </c>
      <c r="G1088" t="inlineStr">
        <is>
          <t>no report states where the company is based</t>
        </is>
      </c>
    </row>
    <row r="1089">
      <c r="A1089" t="inlineStr">
        <is>
          <t>C07</t>
        </is>
      </c>
      <c r="B1089" t="inlineStr">
        <is>
          <t>City unknown</t>
        </is>
      </c>
      <c r="C1089" t="inlineStr">
        <is>
          <t>info</t>
        </is>
      </c>
      <c r="D1089" t="inlineStr">
        <is>
          <t>R250320-qilagames</t>
        </is>
      </c>
      <c r="E1089" t="inlineStr">
        <is>
          <t>Qila Games</t>
        </is>
      </c>
      <c r="F1089" s="17" t="n">
        <v>45736</v>
      </c>
      <c r="G1089" t="inlineStr">
        <is>
          <t>no report states where the company is based</t>
        </is>
      </c>
    </row>
    <row r="1090">
      <c r="A1090" t="inlineStr">
        <is>
          <t>C07</t>
        </is>
      </c>
      <c r="B1090" t="inlineStr">
        <is>
          <t>City unknown</t>
        </is>
      </c>
      <c r="C1090" t="inlineStr">
        <is>
          <t>info</t>
        </is>
      </c>
      <c r="D1090" t="inlineStr">
        <is>
          <t>R250321-stage</t>
        </is>
      </c>
      <c r="E1090" t="inlineStr">
        <is>
          <t>STAGE</t>
        </is>
      </c>
      <c r="F1090" s="17" t="n">
        <v>45737</v>
      </c>
      <c r="G1090" t="inlineStr">
        <is>
          <t>no report states where the company is based</t>
        </is>
      </c>
    </row>
    <row r="1091">
      <c r="A1091" t="inlineStr">
        <is>
          <t>C07</t>
        </is>
      </c>
      <c r="B1091" t="inlineStr">
        <is>
          <t>City unknown</t>
        </is>
      </c>
      <c r="C1091" t="inlineStr">
        <is>
          <t>info</t>
        </is>
      </c>
      <c r="D1091" t="inlineStr">
        <is>
          <t>R250324-dcdckidneycare</t>
        </is>
      </c>
      <c r="E1091" t="inlineStr">
        <is>
          <t>DCDC Kidney Care</t>
        </is>
      </c>
      <c r="F1091" s="17" t="n">
        <v>45740</v>
      </c>
      <c r="G1091" t="inlineStr">
        <is>
          <t>no report states where the company is based</t>
        </is>
      </c>
    </row>
    <row r="1092">
      <c r="A1092" t="inlineStr">
        <is>
          <t>C07</t>
        </is>
      </c>
      <c r="B1092" t="inlineStr">
        <is>
          <t>City unknown</t>
        </is>
      </c>
      <c r="C1092" t="inlineStr">
        <is>
          <t>info</t>
        </is>
      </c>
      <c r="D1092" t="inlineStr">
        <is>
          <t>R250325-dozee</t>
        </is>
      </c>
      <c r="E1092" t="inlineStr">
        <is>
          <t>Dozee</t>
        </is>
      </c>
      <c r="F1092" s="17" t="n">
        <v>45741</v>
      </c>
      <c r="G1092" t="inlineStr">
        <is>
          <t>no report states where the company is based</t>
        </is>
      </c>
    </row>
    <row r="1093">
      <c r="A1093" t="inlineStr">
        <is>
          <t>C07</t>
        </is>
      </c>
      <c r="B1093" t="inlineStr">
        <is>
          <t>City unknown</t>
        </is>
      </c>
      <c r="C1093" t="inlineStr">
        <is>
          <t>info</t>
        </is>
      </c>
      <c r="D1093" t="inlineStr">
        <is>
          <t>R250325-fireflydiamond</t>
        </is>
      </c>
      <c r="E1093" t="inlineStr">
        <is>
          <t>Firefly Diamonds</t>
        </is>
      </c>
      <c r="F1093" s="17" t="n">
        <v>45741</v>
      </c>
      <c r="G1093" t="inlineStr">
        <is>
          <t>no report states where the company is based</t>
        </is>
      </c>
    </row>
    <row r="1094">
      <c r="A1094" t="inlineStr">
        <is>
          <t>C07</t>
        </is>
      </c>
      <c r="B1094" t="inlineStr">
        <is>
          <t>City unknown</t>
        </is>
      </c>
      <c r="C1094" t="inlineStr">
        <is>
          <t>info</t>
        </is>
      </c>
      <c r="D1094" t="inlineStr">
        <is>
          <t>R250325-growindigo</t>
        </is>
      </c>
      <c r="E1094" t="inlineStr">
        <is>
          <t>Grow Indigo</t>
        </is>
      </c>
      <c r="F1094" s="17" t="n">
        <v>45741</v>
      </c>
      <c r="G1094" t="inlineStr">
        <is>
          <t>no report states where the company is based</t>
        </is>
      </c>
    </row>
    <row r="1095">
      <c r="A1095" t="inlineStr">
        <is>
          <t>C07</t>
        </is>
      </c>
      <c r="B1095" t="inlineStr">
        <is>
          <t>City unknown</t>
        </is>
      </c>
      <c r="C1095" t="inlineStr">
        <is>
          <t>info</t>
        </is>
      </c>
      <c r="D1095" t="inlineStr">
        <is>
          <t>R250325-irameai</t>
        </is>
      </c>
      <c r="E1095" t="inlineStr">
        <is>
          <t>Irame.ai</t>
        </is>
      </c>
      <c r="F1095" s="17" t="n">
        <v>45741</v>
      </c>
      <c r="G1095" t="inlineStr">
        <is>
          <t>no report states where the company is based</t>
        </is>
      </c>
    </row>
    <row r="1096">
      <c r="A1096" t="inlineStr">
        <is>
          <t>C07</t>
        </is>
      </c>
      <c r="B1096" t="inlineStr">
        <is>
          <t>City unknown</t>
        </is>
      </c>
      <c r="C1096" t="inlineStr">
        <is>
          <t>info</t>
        </is>
      </c>
      <c r="D1096" t="inlineStr">
        <is>
          <t>R250325-pizzawings</t>
        </is>
      </c>
      <c r="E1096" t="inlineStr">
        <is>
          <t>Pizza Wings</t>
        </is>
      </c>
      <c r="F1096" s="17" t="n">
        <v>45741</v>
      </c>
      <c r="G1096" t="inlineStr">
        <is>
          <t>no report states where the company is based</t>
        </is>
      </c>
    </row>
    <row r="1097">
      <c r="A1097" t="inlineStr">
        <is>
          <t>C07</t>
        </is>
      </c>
      <c r="B1097" t="inlineStr">
        <is>
          <t>City unknown</t>
        </is>
      </c>
      <c r="C1097" t="inlineStr">
        <is>
          <t>info</t>
        </is>
      </c>
      <c r="D1097" t="inlineStr">
        <is>
          <t>R250326-antithesis</t>
        </is>
      </c>
      <c r="E1097" t="inlineStr">
        <is>
          <t>Antithesis</t>
        </is>
      </c>
      <c r="F1097" s="17" t="n">
        <v>45742</v>
      </c>
      <c r="G1097" t="inlineStr">
        <is>
          <t>no report states where the company is based</t>
        </is>
      </c>
    </row>
    <row r="1098">
      <c r="A1098" t="inlineStr">
        <is>
          <t>C07</t>
        </is>
      </c>
      <c r="B1098" t="inlineStr">
        <is>
          <t>City unknown</t>
        </is>
      </c>
      <c r="C1098" t="inlineStr">
        <is>
          <t>info</t>
        </is>
      </c>
      <c r="D1098" t="inlineStr">
        <is>
          <t>R250326-droom</t>
        </is>
      </c>
      <c r="E1098" t="inlineStr">
        <is>
          <t>Droom</t>
        </is>
      </c>
      <c r="F1098" s="17" t="n">
        <v>45742</v>
      </c>
      <c r="G1098" t="inlineStr">
        <is>
          <t>no report states where the company is based</t>
        </is>
      </c>
    </row>
    <row r="1099">
      <c r="A1099" t="inlineStr">
        <is>
          <t>C07</t>
        </is>
      </c>
      <c r="B1099" t="inlineStr">
        <is>
          <t>City unknown</t>
        </is>
      </c>
      <c r="C1099" t="inlineStr">
        <is>
          <t>info</t>
        </is>
      </c>
      <c r="D1099" t="inlineStr">
        <is>
          <t>R250326-milabeaute</t>
        </is>
      </c>
      <c r="E1099" t="inlineStr">
        <is>
          <t>Mila Beauté</t>
        </is>
      </c>
      <c r="F1099" s="17" t="n">
        <v>45742</v>
      </c>
      <c r="G1099" t="inlineStr">
        <is>
          <t>no report states where the company is based</t>
        </is>
      </c>
    </row>
    <row r="1100">
      <c r="A1100" t="inlineStr">
        <is>
          <t>C07</t>
        </is>
      </c>
      <c r="B1100" t="inlineStr">
        <is>
          <t>City unknown</t>
        </is>
      </c>
      <c r="C1100" t="inlineStr">
        <is>
          <t>info</t>
        </is>
      </c>
      <c r="D1100" t="inlineStr">
        <is>
          <t>R250326-vahdamindia</t>
        </is>
      </c>
      <c r="E1100" t="inlineStr">
        <is>
          <t>Vahdam</t>
        </is>
      </c>
      <c r="F1100" s="17" t="n">
        <v>45742</v>
      </c>
      <c r="G1100" t="inlineStr">
        <is>
          <t>no report states where the company is based</t>
        </is>
      </c>
    </row>
    <row r="1101">
      <c r="A1101" t="inlineStr">
        <is>
          <t>C07</t>
        </is>
      </c>
      <c r="B1101" t="inlineStr">
        <is>
          <t>City unknown</t>
        </is>
      </c>
      <c r="C1101" t="inlineStr">
        <is>
          <t>info</t>
        </is>
      </c>
      <c r="D1101" t="inlineStr">
        <is>
          <t>R250326-zealopiatechno</t>
        </is>
      </c>
      <c r="E1101" t="inlineStr">
        <is>
          <t>Zealopia Technologies</t>
        </is>
      </c>
      <c r="F1101" s="17" t="n">
        <v>45742</v>
      </c>
      <c r="G1101" t="inlineStr">
        <is>
          <t>no report states where the company is based</t>
        </is>
      </c>
    </row>
    <row r="1102">
      <c r="A1102" t="inlineStr">
        <is>
          <t>C07</t>
        </is>
      </c>
      <c r="B1102" t="inlineStr">
        <is>
          <t>City unknown</t>
        </is>
      </c>
      <c r="C1102" t="inlineStr">
        <is>
          <t>info</t>
        </is>
      </c>
      <c r="D1102" t="inlineStr">
        <is>
          <t>R250327-abound</t>
        </is>
      </c>
      <c r="E1102" t="inlineStr">
        <is>
          <t>Abound</t>
        </is>
      </c>
      <c r="F1102" s="17" t="n">
        <v>45743</v>
      </c>
      <c r="G1102" t="inlineStr">
        <is>
          <t>no report states where the company is based</t>
        </is>
      </c>
    </row>
    <row r="1103">
      <c r="A1103" t="inlineStr">
        <is>
          <t>C07</t>
        </is>
      </c>
      <c r="B1103" t="inlineStr">
        <is>
          <t>City unknown</t>
        </is>
      </c>
      <c r="C1103" t="inlineStr">
        <is>
          <t>info</t>
        </is>
      </c>
      <c r="D1103" t="inlineStr">
        <is>
          <t>R250327-konectu</t>
        </is>
      </c>
      <c r="E1103" t="inlineStr">
        <is>
          <t>Konect U</t>
        </is>
      </c>
      <c r="F1103" s="17" t="n">
        <v>45743</v>
      </c>
      <c r="G1103" t="inlineStr">
        <is>
          <t>no report states where the company is based</t>
        </is>
      </c>
    </row>
    <row r="1104">
      <c r="A1104" t="inlineStr">
        <is>
          <t>C07</t>
        </is>
      </c>
      <c r="B1104" t="inlineStr">
        <is>
          <t>City unknown</t>
        </is>
      </c>
      <c r="C1104" t="inlineStr">
        <is>
          <t>info</t>
        </is>
      </c>
      <c r="D1104" t="inlineStr">
        <is>
          <t>R250327-m1xchange</t>
        </is>
      </c>
      <c r="E1104" t="inlineStr">
        <is>
          <t>M1xchange</t>
        </is>
      </c>
      <c r="F1104" s="17" t="n">
        <v>45743</v>
      </c>
      <c r="G1104" t="inlineStr">
        <is>
          <t>no report states where the company is based</t>
        </is>
      </c>
    </row>
    <row r="1105">
      <c r="A1105" t="inlineStr">
        <is>
          <t>C07</t>
        </is>
      </c>
      <c r="B1105" t="inlineStr">
        <is>
          <t>City unknown</t>
        </is>
      </c>
      <c r="C1105" t="inlineStr">
        <is>
          <t>info</t>
        </is>
      </c>
      <c r="D1105" t="inlineStr">
        <is>
          <t>R250327-onestack</t>
        </is>
      </c>
      <c r="E1105" t="inlineStr">
        <is>
          <t>OneStack</t>
        </is>
      </c>
      <c r="F1105" s="17" t="n">
        <v>45743</v>
      </c>
      <c r="G1105" t="inlineStr">
        <is>
          <t>no report states where the company is based</t>
        </is>
      </c>
    </row>
    <row r="1106">
      <c r="A1106" t="inlineStr">
        <is>
          <t>C07</t>
        </is>
      </c>
      <c r="B1106" t="inlineStr">
        <is>
          <t>City unknown</t>
        </is>
      </c>
      <c r="C1106" t="inlineStr">
        <is>
          <t>info</t>
        </is>
      </c>
      <c r="D1106" t="inlineStr">
        <is>
          <t>R250327-osso</t>
        </is>
      </c>
      <c r="E1106" t="inlineStr">
        <is>
          <t>OSSO</t>
        </is>
      </c>
      <c r="F1106" s="17" t="n">
        <v>45743</v>
      </c>
      <c r="G1106" t="inlineStr">
        <is>
          <t>no report states where the company is based</t>
        </is>
      </c>
    </row>
    <row r="1107">
      <c r="A1107" t="inlineStr">
        <is>
          <t>C07</t>
        </is>
      </c>
      <c r="B1107" t="inlineStr">
        <is>
          <t>City unknown</t>
        </is>
      </c>
      <c r="C1107" t="inlineStr">
        <is>
          <t>info</t>
        </is>
      </c>
      <c r="D1107" t="inlineStr">
        <is>
          <t>R250327-outplay</t>
        </is>
      </c>
      <c r="E1107" t="inlineStr">
        <is>
          <t>Outplay</t>
        </is>
      </c>
      <c r="F1107" s="17" t="n">
        <v>45743</v>
      </c>
      <c r="G1107" t="inlineStr">
        <is>
          <t>no report states where the company is based</t>
        </is>
      </c>
    </row>
    <row r="1108">
      <c r="A1108" t="inlineStr">
        <is>
          <t>C07</t>
        </is>
      </c>
      <c r="B1108" t="inlineStr">
        <is>
          <t>City unknown</t>
        </is>
      </c>
      <c r="C1108" t="inlineStr">
        <is>
          <t>info</t>
        </is>
      </c>
      <c r="D1108" t="inlineStr">
        <is>
          <t>R250328-axitrustsurety</t>
        </is>
      </c>
      <c r="E1108" t="inlineStr">
        <is>
          <t>axiTrust Surety</t>
        </is>
      </c>
      <c r="F1108" s="17" t="n">
        <v>45744</v>
      </c>
      <c r="G1108" t="inlineStr">
        <is>
          <t>no report states where the company is based</t>
        </is>
      </c>
    </row>
    <row r="1109">
      <c r="A1109" t="inlineStr">
        <is>
          <t>C07</t>
        </is>
      </c>
      <c r="B1109" t="inlineStr">
        <is>
          <t>City unknown</t>
        </is>
      </c>
      <c r="C1109" t="inlineStr">
        <is>
          <t>info</t>
        </is>
      </c>
      <c r="D1109" t="inlineStr">
        <is>
          <t>R250328-lendingkart</t>
        </is>
      </c>
      <c r="E1109" t="inlineStr">
        <is>
          <t>Lendingkart</t>
        </is>
      </c>
      <c r="F1109" s="17" t="n">
        <v>45744</v>
      </c>
      <c r="G1109" t="inlineStr">
        <is>
          <t>no report states where the company is based</t>
        </is>
      </c>
    </row>
    <row r="1110">
      <c r="A1110" t="inlineStr">
        <is>
          <t>C07</t>
        </is>
      </c>
      <c r="B1110" t="inlineStr">
        <is>
          <t>City unknown</t>
        </is>
      </c>
      <c r="C1110" t="inlineStr">
        <is>
          <t>info</t>
        </is>
      </c>
      <c r="D1110" t="inlineStr">
        <is>
          <t>R250401-chefrobotics</t>
        </is>
      </c>
      <c r="E1110" t="inlineStr">
        <is>
          <t>Chef Robotics</t>
        </is>
      </c>
      <c r="F1110" s="17" t="n">
        <v>45748</v>
      </c>
      <c r="G1110" t="inlineStr">
        <is>
          <t>no report states where the company is based</t>
        </is>
      </c>
    </row>
    <row r="1111">
      <c r="A1111" t="inlineStr">
        <is>
          <t>C07</t>
        </is>
      </c>
      <c r="B1111" t="inlineStr">
        <is>
          <t>City unknown</t>
        </is>
      </c>
      <c r="C1111" t="inlineStr">
        <is>
          <t>info</t>
        </is>
      </c>
      <c r="D1111" t="inlineStr">
        <is>
          <t>R250401-collegedekho</t>
        </is>
      </c>
      <c r="E1111" t="inlineStr">
        <is>
          <t>CollegeDekho</t>
        </is>
      </c>
      <c r="F1111" s="17" t="n">
        <v>45748</v>
      </c>
      <c r="G1111" t="inlineStr">
        <is>
          <t>no report states where the company is based</t>
        </is>
      </c>
    </row>
    <row r="1112">
      <c r="A1112" t="inlineStr">
        <is>
          <t>C07</t>
        </is>
      </c>
      <c r="B1112" t="inlineStr">
        <is>
          <t>City unknown</t>
        </is>
      </c>
      <c r="C1112" t="inlineStr">
        <is>
          <t>info</t>
        </is>
      </c>
      <c r="D1112" t="inlineStr">
        <is>
          <t>R250401-decharge</t>
        </is>
      </c>
      <c r="E1112" t="inlineStr">
        <is>
          <t>DeCharge</t>
        </is>
      </c>
      <c r="F1112" s="17" t="n">
        <v>45748</v>
      </c>
      <c r="G1112" t="inlineStr">
        <is>
          <t>no report states where the company is based</t>
        </is>
      </c>
    </row>
    <row r="1113">
      <c r="A1113" t="inlineStr">
        <is>
          <t>C07</t>
        </is>
      </c>
      <c r="B1113" t="inlineStr">
        <is>
          <t>City unknown</t>
        </is>
      </c>
      <c r="C1113" t="inlineStr">
        <is>
          <t>info</t>
        </is>
      </c>
      <c r="D1113" t="inlineStr">
        <is>
          <t>R250401-entvinai</t>
        </is>
      </c>
      <c r="E1113" t="inlineStr">
        <is>
          <t>Entvin AI</t>
        </is>
      </c>
      <c r="F1113" s="17" t="n">
        <v>45748</v>
      </c>
      <c r="G1113" t="inlineStr">
        <is>
          <t>no report states where the company is based</t>
        </is>
      </c>
    </row>
    <row r="1114">
      <c r="A1114" t="inlineStr">
        <is>
          <t>C07</t>
        </is>
      </c>
      <c r="B1114" t="inlineStr">
        <is>
          <t>City unknown</t>
        </is>
      </c>
      <c r="C1114" t="inlineStr">
        <is>
          <t>info</t>
        </is>
      </c>
      <c r="D1114" t="inlineStr">
        <is>
          <t>R250401-ezstays</t>
        </is>
      </c>
      <c r="E1114" t="inlineStr">
        <is>
          <t>EZStays</t>
        </is>
      </c>
      <c r="F1114" s="17" t="n">
        <v>45748</v>
      </c>
      <c r="G1114" t="inlineStr">
        <is>
          <t>no report states where the company is based</t>
        </is>
      </c>
    </row>
    <row r="1115">
      <c r="A1115" t="inlineStr">
        <is>
          <t>C07</t>
        </is>
      </c>
      <c r="B1115" t="inlineStr">
        <is>
          <t>City unknown</t>
        </is>
      </c>
      <c r="C1115" t="inlineStr">
        <is>
          <t>info</t>
        </is>
      </c>
      <c r="D1115" t="inlineStr">
        <is>
          <t>R250401-lehlah</t>
        </is>
      </c>
      <c r="E1115" t="inlineStr">
        <is>
          <t>LehLah</t>
        </is>
      </c>
      <c r="F1115" s="17" t="n">
        <v>45748</v>
      </c>
      <c r="G1115" t="inlineStr">
        <is>
          <t>no report states where the company is based</t>
        </is>
      </c>
    </row>
    <row r="1116">
      <c r="A1116" t="inlineStr">
        <is>
          <t>C07</t>
        </is>
      </c>
      <c r="B1116" t="inlineStr">
        <is>
          <t>City unknown</t>
        </is>
      </c>
      <c r="C1116" t="inlineStr">
        <is>
          <t>info</t>
        </is>
      </c>
      <c r="D1116" t="inlineStr">
        <is>
          <t>R250401-tvastergenkalp</t>
        </is>
      </c>
      <c r="E1116" t="inlineStr">
        <is>
          <t>Tvaster Genkalp</t>
        </is>
      </c>
      <c r="F1116" s="17" t="n">
        <v>45748</v>
      </c>
      <c r="G1116" t="inlineStr">
        <is>
          <t>no report states where the company is based</t>
        </is>
      </c>
    </row>
    <row r="1117">
      <c r="A1117" t="inlineStr">
        <is>
          <t>C07</t>
        </is>
      </c>
      <c r="B1117" t="inlineStr">
        <is>
          <t>City unknown</t>
        </is>
      </c>
      <c r="C1117" t="inlineStr">
        <is>
          <t>info</t>
        </is>
      </c>
      <c r="D1117" t="inlineStr">
        <is>
          <t>R250401-wendor</t>
        </is>
      </c>
      <c r="E1117" t="inlineStr">
        <is>
          <t>Wendor</t>
        </is>
      </c>
      <c r="F1117" s="17" t="n">
        <v>45748</v>
      </c>
      <c r="G1117" t="inlineStr">
        <is>
          <t>no report states where the company is based</t>
        </is>
      </c>
    </row>
    <row r="1118">
      <c r="A1118" t="inlineStr">
        <is>
          <t>C07</t>
        </is>
      </c>
      <c r="B1118" t="inlineStr">
        <is>
          <t>City unknown</t>
        </is>
      </c>
      <c r="C1118" t="inlineStr">
        <is>
          <t>info</t>
        </is>
      </c>
      <c r="D1118" t="inlineStr">
        <is>
          <t>R250402-argoswatches</t>
        </is>
      </c>
      <c r="E1118" t="inlineStr">
        <is>
          <t>Argos Watches</t>
        </is>
      </c>
      <c r="F1118" s="17" t="n">
        <v>45749</v>
      </c>
      <c r="G1118" t="inlineStr">
        <is>
          <t>no report states where the company is based</t>
        </is>
      </c>
    </row>
    <row r="1119">
      <c r="A1119" t="inlineStr">
        <is>
          <t>C07</t>
        </is>
      </c>
      <c r="B1119" t="inlineStr">
        <is>
          <t>City unknown</t>
        </is>
      </c>
      <c r="C1119" t="inlineStr">
        <is>
          <t>info</t>
        </is>
      </c>
      <c r="D1119" t="inlineStr">
        <is>
          <t>R250402-furjaden</t>
        </is>
      </c>
      <c r="E1119" t="inlineStr">
        <is>
          <t>Fur Jaden</t>
        </is>
      </c>
      <c r="F1119" s="17" t="n">
        <v>45749</v>
      </c>
      <c r="G1119" t="inlineStr">
        <is>
          <t>no report states where the company is based</t>
        </is>
      </c>
    </row>
    <row r="1120">
      <c r="A1120" t="inlineStr">
        <is>
          <t>C07</t>
        </is>
      </c>
      <c r="B1120" t="inlineStr">
        <is>
          <t>City unknown</t>
        </is>
      </c>
      <c r="C1120" t="inlineStr">
        <is>
          <t>info</t>
        </is>
      </c>
      <c r="D1120" t="inlineStr">
        <is>
          <t>R250402-innergize</t>
        </is>
      </c>
      <c r="E1120" t="inlineStr">
        <is>
          <t>InnerGize</t>
        </is>
      </c>
      <c r="F1120" s="17" t="n">
        <v>45749</v>
      </c>
      <c r="G1120" t="inlineStr">
        <is>
          <t>no report states where the company is based</t>
        </is>
      </c>
    </row>
    <row r="1121">
      <c r="A1121" t="inlineStr">
        <is>
          <t>C07</t>
        </is>
      </c>
      <c r="B1121" t="inlineStr">
        <is>
          <t>City unknown</t>
        </is>
      </c>
      <c r="C1121" t="inlineStr">
        <is>
          <t>info</t>
        </is>
      </c>
      <c r="D1121" t="inlineStr">
        <is>
          <t>R250403-rapidclaims</t>
        </is>
      </c>
      <c r="E1121" t="inlineStr">
        <is>
          <t>RapidClaims</t>
        </is>
      </c>
      <c r="F1121" s="17" t="n">
        <v>45750</v>
      </c>
      <c r="G1121" t="inlineStr">
        <is>
          <t>no report states where the company is based</t>
        </is>
      </c>
    </row>
    <row r="1122">
      <c r="A1122" t="inlineStr">
        <is>
          <t>C07</t>
        </is>
      </c>
      <c r="B1122" t="inlineStr">
        <is>
          <t>City unknown</t>
        </is>
      </c>
      <c r="C1122" t="inlineStr">
        <is>
          <t>info</t>
        </is>
      </c>
      <c r="D1122" t="inlineStr">
        <is>
          <t>R250404-alienkind</t>
        </is>
      </c>
      <c r="E1122" t="inlineStr">
        <is>
          <t>Alienkind</t>
        </is>
      </c>
      <c r="F1122" s="17" t="n">
        <v>45751</v>
      </c>
      <c r="G1122" t="inlineStr">
        <is>
          <t>no report states where the company is based</t>
        </is>
      </c>
    </row>
    <row r="1123">
      <c r="A1123" t="inlineStr">
        <is>
          <t>C07</t>
        </is>
      </c>
      <c r="B1123" t="inlineStr">
        <is>
          <t>City unknown</t>
        </is>
      </c>
      <c r="C1123" t="inlineStr">
        <is>
          <t>info</t>
        </is>
      </c>
      <c r="D1123" t="inlineStr">
        <is>
          <t>R250404-jaikisan</t>
        </is>
      </c>
      <c r="E1123" t="inlineStr">
        <is>
          <t>Jai Kisan</t>
        </is>
      </c>
      <c r="F1123" s="17" t="n">
        <v>45751</v>
      </c>
      <c r="G1123" t="inlineStr">
        <is>
          <t>no report states where the company is based</t>
        </is>
      </c>
    </row>
    <row r="1124">
      <c r="A1124" t="inlineStr">
        <is>
          <t>C07</t>
        </is>
      </c>
      <c r="B1124" t="inlineStr">
        <is>
          <t>City unknown</t>
        </is>
      </c>
      <c r="C1124" t="inlineStr">
        <is>
          <t>info</t>
        </is>
      </c>
      <c r="D1124" t="inlineStr">
        <is>
          <t>R250407-sadbhavfuturet</t>
        </is>
      </c>
      <c r="E1124" t="inlineStr">
        <is>
          <t>Sadbhav Future Tech</t>
        </is>
      </c>
      <c r="F1124" s="17" t="n">
        <v>45754</v>
      </c>
      <c r="G1124" t="inlineStr">
        <is>
          <t>no report states where the company is based</t>
        </is>
      </c>
    </row>
    <row r="1125">
      <c r="A1125" t="inlineStr">
        <is>
          <t>C07</t>
        </is>
      </c>
      <c r="B1125" t="inlineStr">
        <is>
          <t>City unknown</t>
        </is>
      </c>
      <c r="C1125" t="inlineStr">
        <is>
          <t>info</t>
        </is>
      </c>
      <c r="D1125" t="inlineStr">
        <is>
          <t>R250407-startupsiglqai</t>
        </is>
      </c>
      <c r="E1125" t="inlineStr">
        <is>
          <t>Startup SiglQ.ai</t>
        </is>
      </c>
      <c r="F1125" s="17" t="n">
        <v>45754</v>
      </c>
      <c r="G1125" t="inlineStr">
        <is>
          <t>no report states where the company is based</t>
        </is>
      </c>
    </row>
    <row r="1126">
      <c r="A1126" t="inlineStr">
        <is>
          <t>C07</t>
        </is>
      </c>
      <c r="B1126" t="inlineStr">
        <is>
          <t>City unknown</t>
        </is>
      </c>
      <c r="C1126" t="inlineStr">
        <is>
          <t>info</t>
        </is>
      </c>
      <c r="D1126" t="inlineStr">
        <is>
          <t>R250409-amicco</t>
        </is>
      </c>
      <c r="E1126" t="inlineStr">
        <is>
          <t>Amicco</t>
        </is>
      </c>
      <c r="F1126" s="17" t="n">
        <v>45756</v>
      </c>
      <c r="G1126" t="inlineStr">
        <is>
          <t>no report states where the company is based</t>
        </is>
      </c>
    </row>
    <row r="1127">
      <c r="A1127" t="inlineStr">
        <is>
          <t>C07</t>
        </is>
      </c>
      <c r="B1127" t="inlineStr">
        <is>
          <t>City unknown</t>
        </is>
      </c>
      <c r="C1127" t="inlineStr">
        <is>
          <t>info</t>
        </is>
      </c>
      <c r="D1127" t="inlineStr">
        <is>
          <t>R250410-askmyguru</t>
        </is>
      </c>
      <c r="E1127" t="inlineStr">
        <is>
          <t>AskMyGuru</t>
        </is>
      </c>
      <c r="F1127" s="17" t="n">
        <v>45757</v>
      </c>
      <c r="G1127" t="inlineStr">
        <is>
          <t>no report states where the company is based</t>
        </is>
      </c>
    </row>
    <row r="1128">
      <c r="A1128" t="inlineStr">
        <is>
          <t>C07</t>
        </is>
      </c>
      <c r="B1128" t="inlineStr">
        <is>
          <t>City unknown</t>
        </is>
      </c>
      <c r="C1128" t="inlineStr">
        <is>
          <t>info</t>
        </is>
      </c>
      <c r="D1128" t="inlineStr">
        <is>
          <t>R250410-bower</t>
        </is>
      </c>
      <c r="E1128" t="inlineStr">
        <is>
          <t>Bower School of Entrepreneurship</t>
        </is>
      </c>
      <c r="F1128" s="17" t="n">
        <v>45757</v>
      </c>
      <c r="G1128" t="inlineStr">
        <is>
          <t>no report states where the company is based</t>
        </is>
      </c>
    </row>
    <row r="1129">
      <c r="A1129" t="inlineStr">
        <is>
          <t>C07</t>
        </is>
      </c>
      <c r="B1129" t="inlineStr">
        <is>
          <t>City unknown</t>
        </is>
      </c>
      <c r="C1129" t="inlineStr">
        <is>
          <t>info</t>
        </is>
      </c>
      <c r="D1129" t="inlineStr">
        <is>
          <t>R250410-drivefitt</t>
        </is>
      </c>
      <c r="E1129" t="inlineStr">
        <is>
          <t>DRIVE FITT</t>
        </is>
      </c>
      <c r="F1129" s="17" t="n">
        <v>45757</v>
      </c>
      <c r="G1129" t="inlineStr">
        <is>
          <t>no report states where the company is based</t>
        </is>
      </c>
    </row>
    <row r="1130">
      <c r="A1130" t="inlineStr">
        <is>
          <t>C07</t>
        </is>
      </c>
      <c r="B1130" t="inlineStr">
        <is>
          <t>City unknown</t>
        </is>
      </c>
      <c r="C1130" t="inlineStr">
        <is>
          <t>info</t>
        </is>
      </c>
      <c r="D1130" t="inlineStr">
        <is>
          <t>R250410-eloelo</t>
        </is>
      </c>
      <c r="E1130" t="inlineStr">
        <is>
          <t>EloElo</t>
        </is>
      </c>
      <c r="F1130" s="17" t="n">
        <v>45757</v>
      </c>
      <c r="G1130" t="inlineStr">
        <is>
          <t>no report states where the company is based</t>
        </is>
      </c>
    </row>
    <row r="1131">
      <c r="A1131" t="inlineStr">
        <is>
          <t>C07</t>
        </is>
      </c>
      <c r="B1131" t="inlineStr">
        <is>
          <t>City unknown</t>
        </is>
      </c>
      <c r="C1131" t="inlineStr">
        <is>
          <t>info</t>
        </is>
      </c>
      <c r="D1131" t="inlineStr">
        <is>
          <t>R250411-greenline</t>
        </is>
      </c>
      <c r="E1131" t="inlineStr">
        <is>
          <t>GreenLine</t>
        </is>
      </c>
      <c r="F1131" s="17" t="n">
        <v>45757</v>
      </c>
      <c r="G1131" t="inlineStr">
        <is>
          <t>no report states where the company is based</t>
        </is>
      </c>
    </row>
    <row r="1132">
      <c r="A1132" t="inlineStr">
        <is>
          <t>C07</t>
        </is>
      </c>
      <c r="B1132" t="inlineStr">
        <is>
          <t>City unknown</t>
        </is>
      </c>
      <c r="C1132" t="inlineStr">
        <is>
          <t>info</t>
        </is>
      </c>
      <c r="D1132" t="inlineStr">
        <is>
          <t>R250414-curacare</t>
        </is>
      </c>
      <c r="E1132" t="inlineStr">
        <is>
          <t>Cura Care</t>
        </is>
      </c>
      <c r="F1132" s="17" t="n">
        <v>45761</v>
      </c>
      <c r="G1132" t="inlineStr">
        <is>
          <t>no report states where the company is based</t>
        </is>
      </c>
    </row>
    <row r="1133">
      <c r="A1133" t="inlineStr">
        <is>
          <t>C07</t>
        </is>
      </c>
      <c r="B1133" t="inlineStr">
        <is>
          <t>City unknown</t>
        </is>
      </c>
      <c r="C1133" t="inlineStr">
        <is>
          <t>info</t>
        </is>
      </c>
      <c r="D1133" t="inlineStr">
        <is>
          <t>R250414-optimizedelect</t>
        </is>
      </c>
      <c r="E1133" t="inlineStr">
        <is>
          <t>Optimized Electrotech</t>
        </is>
      </c>
      <c r="F1133" s="17" t="n">
        <v>45761</v>
      </c>
      <c r="G1133" t="inlineStr">
        <is>
          <t>no report states where the company is based</t>
        </is>
      </c>
    </row>
    <row r="1134">
      <c r="A1134" t="inlineStr">
        <is>
          <t>C07</t>
        </is>
      </c>
      <c r="B1134" t="inlineStr">
        <is>
          <t>City unknown</t>
        </is>
      </c>
      <c r="C1134" t="inlineStr">
        <is>
          <t>info</t>
        </is>
      </c>
      <c r="D1134" t="inlineStr">
        <is>
          <t>R250414-pujashreeprodu</t>
        </is>
      </c>
      <c r="E1134" t="inlineStr">
        <is>
          <t>PujaShree Products Global</t>
        </is>
      </c>
      <c r="F1134" s="17" t="n">
        <v>45761</v>
      </c>
      <c r="G1134" t="inlineStr">
        <is>
          <t>no report states where the company is based</t>
        </is>
      </c>
    </row>
    <row r="1135">
      <c r="A1135" t="inlineStr">
        <is>
          <t>C07</t>
        </is>
      </c>
      <c r="B1135" t="inlineStr">
        <is>
          <t>City unknown</t>
        </is>
      </c>
      <c r="C1135" t="inlineStr">
        <is>
          <t>info</t>
        </is>
      </c>
      <c r="D1135" t="inlineStr">
        <is>
          <t>R250415-ochrespirits</t>
        </is>
      </c>
      <c r="E1135" t="inlineStr">
        <is>
          <t>Ochre Spirits</t>
        </is>
      </c>
      <c r="F1135" s="17" t="n">
        <v>45762</v>
      </c>
      <c r="G1135" t="inlineStr">
        <is>
          <t>no report states where the company is based</t>
        </is>
      </c>
    </row>
    <row r="1136">
      <c r="A1136" t="inlineStr">
        <is>
          <t>C07</t>
        </is>
      </c>
      <c r="B1136" t="inlineStr">
        <is>
          <t>City unknown</t>
        </is>
      </c>
      <c r="C1136" t="inlineStr">
        <is>
          <t>info</t>
        </is>
      </c>
      <c r="D1136" t="inlineStr">
        <is>
          <t>R250416-ofbusiness</t>
        </is>
      </c>
      <c r="E1136" t="inlineStr">
        <is>
          <t>OfBusiness</t>
        </is>
      </c>
      <c r="F1136" s="17" t="n">
        <v>45763</v>
      </c>
      <c r="G1136" t="inlineStr">
        <is>
          <t>no report states where the company is based</t>
        </is>
      </c>
    </row>
    <row r="1137">
      <c r="A1137" t="inlineStr">
        <is>
          <t>C07</t>
        </is>
      </c>
      <c r="B1137" t="inlineStr">
        <is>
          <t>City unknown</t>
        </is>
      </c>
      <c r="C1137" t="inlineStr">
        <is>
          <t>info</t>
        </is>
      </c>
      <c r="D1137" t="inlineStr">
        <is>
          <t>R250417-jetsynthesys</t>
        </is>
      </c>
      <c r="E1137" t="inlineStr">
        <is>
          <t>JetSynthesys</t>
        </is>
      </c>
      <c r="F1137" s="17" t="n">
        <v>45764</v>
      </c>
      <c r="G1137" t="inlineStr">
        <is>
          <t>no report states where the company is based</t>
        </is>
      </c>
    </row>
    <row r="1138">
      <c r="A1138" t="inlineStr">
        <is>
          <t>C07</t>
        </is>
      </c>
      <c r="B1138" t="inlineStr">
        <is>
          <t>City unknown</t>
        </is>
      </c>
      <c r="C1138" t="inlineStr">
        <is>
          <t>info</t>
        </is>
      </c>
      <c r="D1138" t="inlineStr">
        <is>
          <t>R250417-planck</t>
        </is>
      </c>
      <c r="E1138" t="inlineStr">
        <is>
          <t>Planck</t>
        </is>
      </c>
      <c r="F1138" s="17" t="n">
        <v>45764</v>
      </c>
      <c r="G1138" t="inlineStr">
        <is>
          <t>no report states where the company is based</t>
        </is>
      </c>
    </row>
    <row r="1139">
      <c r="A1139" t="inlineStr">
        <is>
          <t>C07</t>
        </is>
      </c>
      <c r="B1139" t="inlineStr">
        <is>
          <t>City unknown</t>
        </is>
      </c>
      <c r="C1139" t="inlineStr">
        <is>
          <t>info</t>
        </is>
      </c>
      <c r="D1139" t="inlineStr">
        <is>
          <t>R250417-thatsassything</t>
        </is>
      </c>
      <c r="E1139" t="inlineStr">
        <is>
          <t>That Sassy Thing</t>
        </is>
      </c>
      <c r="F1139" s="17" t="n">
        <v>45764</v>
      </c>
      <c r="G1139" t="inlineStr">
        <is>
          <t>no report states where the company is based</t>
        </is>
      </c>
    </row>
    <row r="1140">
      <c r="A1140" t="inlineStr">
        <is>
          <t>C07</t>
        </is>
      </c>
      <c r="B1140" t="inlineStr">
        <is>
          <t>City unknown</t>
        </is>
      </c>
      <c r="C1140" t="inlineStr">
        <is>
          <t>info</t>
        </is>
      </c>
      <c r="D1140" t="inlineStr">
        <is>
          <t>R250421-finodayacapita</t>
        </is>
      </c>
      <c r="E1140" t="inlineStr">
        <is>
          <t>Finodaya Capital</t>
        </is>
      </c>
      <c r="F1140" s="17" t="n">
        <v>45768</v>
      </c>
      <c r="G1140" t="inlineStr">
        <is>
          <t>no report states where the company is based</t>
        </is>
      </c>
    </row>
    <row r="1141">
      <c r="A1141" t="inlineStr">
        <is>
          <t>C07</t>
        </is>
      </c>
      <c r="B1141" t="inlineStr">
        <is>
          <t>City unknown</t>
        </is>
      </c>
      <c r="C1141" t="inlineStr">
        <is>
          <t>info</t>
        </is>
      </c>
      <c r="D1141" t="inlineStr">
        <is>
          <t>R250421-matbook</t>
        </is>
      </c>
      <c r="E1141" t="inlineStr">
        <is>
          <t>MatBook</t>
        </is>
      </c>
      <c r="F1141" s="17" t="n">
        <v>45768</v>
      </c>
      <c r="G1141" t="inlineStr">
        <is>
          <t>no report states where the company is based</t>
        </is>
      </c>
    </row>
    <row r="1142">
      <c r="A1142" t="inlineStr">
        <is>
          <t>C07</t>
        </is>
      </c>
      <c r="B1142" t="inlineStr">
        <is>
          <t>City unknown</t>
        </is>
      </c>
      <c r="C1142" t="inlineStr">
        <is>
          <t>info</t>
        </is>
      </c>
      <c r="D1142" t="inlineStr">
        <is>
          <t>R250422-catalogus</t>
        </is>
      </c>
      <c r="E1142" t="inlineStr">
        <is>
          <t>Catalogus</t>
        </is>
      </c>
      <c r="F1142" s="17" t="n">
        <v>45769</v>
      </c>
      <c r="G1142" t="inlineStr">
        <is>
          <t>no report states where the company is based</t>
        </is>
      </c>
    </row>
    <row r="1143">
      <c r="A1143" t="inlineStr">
        <is>
          <t>C07</t>
        </is>
      </c>
      <c r="B1143" t="inlineStr">
        <is>
          <t>City unknown</t>
        </is>
      </c>
      <c r="C1143" t="inlineStr">
        <is>
          <t>info</t>
        </is>
      </c>
      <c r="D1143" t="inlineStr">
        <is>
          <t>R250422-devassure</t>
        </is>
      </c>
      <c r="E1143" t="inlineStr">
        <is>
          <t>DevAssure</t>
        </is>
      </c>
      <c r="F1143" s="17" t="n">
        <v>45769</v>
      </c>
      <c r="G1143" t="inlineStr">
        <is>
          <t>no report states where the company is based</t>
        </is>
      </c>
    </row>
    <row r="1144">
      <c r="A1144" t="inlineStr">
        <is>
          <t>C07</t>
        </is>
      </c>
      <c r="B1144" t="inlineStr">
        <is>
          <t>City unknown</t>
        </is>
      </c>
      <c r="C1144" t="inlineStr">
        <is>
          <t>info</t>
        </is>
      </c>
      <c r="D1144" t="inlineStr">
        <is>
          <t>R250422-kiranapro</t>
        </is>
      </c>
      <c r="E1144" t="inlineStr">
        <is>
          <t>KiranaPro</t>
        </is>
      </c>
      <c r="F1144" s="17" t="n">
        <v>45769</v>
      </c>
      <c r="G1144" t="inlineStr">
        <is>
          <t>no report states where the company is based</t>
        </is>
      </c>
    </row>
    <row r="1145">
      <c r="A1145" t="inlineStr">
        <is>
          <t>C07</t>
        </is>
      </c>
      <c r="B1145" t="inlineStr">
        <is>
          <t>City unknown</t>
        </is>
      </c>
      <c r="C1145" t="inlineStr">
        <is>
          <t>info</t>
        </is>
      </c>
      <c r="D1145" t="inlineStr">
        <is>
          <t>R250422-poshsmetal</t>
        </is>
      </c>
      <c r="E1145" t="inlineStr">
        <is>
          <t>Poshs Metal</t>
        </is>
      </c>
      <c r="F1145" s="17" t="n">
        <v>45769</v>
      </c>
      <c r="G1145" t="inlineStr">
        <is>
          <t>no report states where the company is based</t>
        </is>
      </c>
    </row>
    <row r="1146">
      <c r="A1146" t="inlineStr">
        <is>
          <t>C07</t>
        </is>
      </c>
      <c r="B1146" t="inlineStr">
        <is>
          <t>City unknown</t>
        </is>
      </c>
      <c r="C1146" t="inlineStr">
        <is>
          <t>info</t>
        </is>
      </c>
      <c r="D1146" t="inlineStr">
        <is>
          <t>R250422-uniqusconsulte</t>
        </is>
      </c>
      <c r="E1146" t="inlineStr">
        <is>
          <t>Uniqus</t>
        </is>
      </c>
      <c r="F1146" s="17" t="n">
        <v>45769</v>
      </c>
      <c r="G1146" t="inlineStr">
        <is>
          <t>no report states where the company is based</t>
        </is>
      </c>
    </row>
    <row r="1147">
      <c r="A1147" t="inlineStr">
        <is>
          <t>C07</t>
        </is>
      </c>
      <c r="B1147" t="inlineStr">
        <is>
          <t>City unknown</t>
        </is>
      </c>
      <c r="C1147" t="inlineStr">
        <is>
          <t>info</t>
        </is>
      </c>
      <c r="D1147" t="inlineStr">
        <is>
          <t>R250422-vayudh</t>
        </is>
      </c>
      <c r="E1147" t="inlineStr">
        <is>
          <t>Vayudh</t>
        </is>
      </c>
      <c r="F1147" s="17" t="n">
        <v>45769</v>
      </c>
      <c r="G1147" t="inlineStr">
        <is>
          <t>no report states where the company is based</t>
        </is>
      </c>
    </row>
    <row r="1148">
      <c r="A1148" t="inlineStr">
        <is>
          <t>C07</t>
        </is>
      </c>
      <c r="B1148" t="inlineStr">
        <is>
          <t>City unknown</t>
        </is>
      </c>
      <c r="C1148" t="inlineStr">
        <is>
          <t>info</t>
        </is>
      </c>
      <c r="D1148" t="inlineStr">
        <is>
          <t>R250423-farmart</t>
        </is>
      </c>
      <c r="E1148" t="inlineStr">
        <is>
          <t>FarMart</t>
        </is>
      </c>
      <c r="F1148" s="17" t="n">
        <v>45770</v>
      </c>
      <c r="G1148" t="inlineStr">
        <is>
          <t>no report states where the company is based</t>
        </is>
      </c>
    </row>
    <row r="1149">
      <c r="A1149" t="inlineStr">
        <is>
          <t>C07</t>
        </is>
      </c>
      <c r="B1149" t="inlineStr">
        <is>
          <t>City unknown</t>
        </is>
      </c>
      <c r="C1149" t="inlineStr">
        <is>
          <t>info</t>
        </is>
      </c>
      <c r="D1149" t="inlineStr">
        <is>
          <t>R250424-bachatt</t>
        </is>
      </c>
      <c r="E1149" t="inlineStr">
        <is>
          <t>Bachatt</t>
        </is>
      </c>
      <c r="F1149" s="17" t="n">
        <v>45771</v>
      </c>
      <c r="G1149" t="inlineStr">
        <is>
          <t>no report states where the company is based</t>
        </is>
      </c>
    </row>
    <row r="1150">
      <c r="A1150" t="inlineStr">
        <is>
          <t>C07</t>
        </is>
      </c>
      <c r="B1150" t="inlineStr">
        <is>
          <t>City unknown</t>
        </is>
      </c>
      <c r="C1150" t="inlineStr">
        <is>
          <t>info</t>
        </is>
      </c>
      <c r="D1150" t="inlineStr">
        <is>
          <t>R250424-fabriciot</t>
        </is>
      </c>
      <c r="E1150" t="inlineStr">
        <is>
          <t>Fabric IoT</t>
        </is>
      </c>
      <c r="F1150" s="17" t="n">
        <v>45771</v>
      </c>
      <c r="G1150" t="inlineStr">
        <is>
          <t>no report states where the company is based</t>
        </is>
      </c>
    </row>
    <row r="1151">
      <c r="A1151" t="inlineStr">
        <is>
          <t>C07</t>
        </is>
      </c>
      <c r="B1151" t="inlineStr">
        <is>
          <t>City unknown</t>
        </is>
      </c>
      <c r="C1151" t="inlineStr">
        <is>
          <t>info</t>
        </is>
      </c>
      <c r="D1151" t="inlineStr">
        <is>
          <t>R250424-visa2fly</t>
        </is>
      </c>
      <c r="E1151" t="inlineStr">
        <is>
          <t>Visa2Fly</t>
        </is>
      </c>
      <c r="F1151" s="17" t="n">
        <v>45771</v>
      </c>
      <c r="G1151" t="inlineStr">
        <is>
          <t>no report states where the company is based</t>
        </is>
      </c>
    </row>
    <row r="1152">
      <c r="A1152" t="inlineStr">
        <is>
          <t>C07</t>
        </is>
      </c>
      <c r="B1152" t="inlineStr">
        <is>
          <t>City unknown</t>
        </is>
      </c>
      <c r="C1152" t="inlineStr">
        <is>
          <t>info</t>
        </is>
      </c>
      <c r="D1152" t="inlineStr">
        <is>
          <t>R250425-dehaat</t>
        </is>
      </c>
      <c r="E1152" t="inlineStr">
        <is>
          <t>DeHaat</t>
        </is>
      </c>
      <c r="F1152" s="17" t="n">
        <v>45772</v>
      </c>
      <c r="G1152" t="inlineStr">
        <is>
          <t>no report states where the company is based</t>
        </is>
      </c>
    </row>
    <row r="1153">
      <c r="A1153" t="inlineStr">
        <is>
          <t>C07</t>
        </is>
      </c>
      <c r="B1153" t="inlineStr">
        <is>
          <t>City unknown</t>
        </is>
      </c>
      <c r="C1153" t="inlineStr">
        <is>
          <t>info</t>
        </is>
      </c>
      <c r="D1153" t="inlineStr">
        <is>
          <t>R250428-malaki</t>
        </is>
      </c>
      <c r="E1153" t="inlineStr">
        <is>
          <t>Malaki</t>
        </is>
      </c>
      <c r="F1153" s="17" t="n">
        <v>45775</v>
      </c>
      <c r="G1153" t="inlineStr">
        <is>
          <t>no report states where the company is based</t>
        </is>
      </c>
    </row>
    <row r="1154">
      <c r="A1154" t="inlineStr">
        <is>
          <t>C07</t>
        </is>
      </c>
      <c r="B1154" t="inlineStr">
        <is>
          <t>City unknown</t>
        </is>
      </c>
      <c r="C1154" t="inlineStr">
        <is>
          <t>info</t>
        </is>
      </c>
      <c r="D1154" t="inlineStr">
        <is>
          <t>R250428-mugafi</t>
        </is>
      </c>
      <c r="E1154" t="inlineStr">
        <is>
          <t>Mugafi</t>
        </is>
      </c>
      <c r="F1154" s="17" t="n">
        <v>45775</v>
      </c>
      <c r="G1154" t="inlineStr">
        <is>
          <t>no report states where the company is based</t>
        </is>
      </c>
    </row>
    <row r="1155">
      <c r="A1155" t="inlineStr">
        <is>
          <t>C07</t>
        </is>
      </c>
      <c r="B1155" t="inlineStr">
        <is>
          <t>City unknown</t>
        </is>
      </c>
      <c r="C1155" t="inlineStr">
        <is>
          <t>info</t>
        </is>
      </c>
      <c r="D1155" t="inlineStr">
        <is>
          <t>R250429-beat22</t>
        </is>
      </c>
      <c r="E1155" t="inlineStr">
        <is>
          <t>Beat22</t>
        </is>
      </c>
      <c r="F1155" s="17" t="n">
        <v>45776</v>
      </c>
      <c r="G1155" t="inlineStr">
        <is>
          <t>no report states where the company is based</t>
        </is>
      </c>
    </row>
    <row r="1156">
      <c r="A1156" t="inlineStr">
        <is>
          <t>C07</t>
        </is>
      </c>
      <c r="B1156" t="inlineStr">
        <is>
          <t>City unknown</t>
        </is>
      </c>
      <c r="C1156" t="inlineStr">
        <is>
          <t>info</t>
        </is>
      </c>
      <c r="D1156" t="inlineStr">
        <is>
          <t>R250429-collegedekho</t>
        </is>
      </c>
      <c r="E1156" t="inlineStr">
        <is>
          <t>CollegeDekho</t>
        </is>
      </c>
      <c r="F1156" s="17" t="n">
        <v>45776</v>
      </c>
      <c r="G1156" t="inlineStr">
        <is>
          <t>no report states where the company is based</t>
        </is>
      </c>
    </row>
    <row r="1157">
      <c r="A1157" t="inlineStr">
        <is>
          <t>C07</t>
        </is>
      </c>
      <c r="B1157" t="inlineStr">
        <is>
          <t>City unknown</t>
        </is>
      </c>
      <c r="C1157" t="inlineStr">
        <is>
          <t>info</t>
        </is>
      </c>
      <c r="D1157" t="inlineStr">
        <is>
          <t>R250429-kult</t>
        </is>
      </c>
      <c r="E1157" t="inlineStr">
        <is>
          <t>Kult</t>
        </is>
      </c>
      <c r="F1157" s="17" t="n">
        <v>45776</v>
      </c>
      <c r="G1157" t="inlineStr">
        <is>
          <t>no report states where the company is based</t>
        </is>
      </c>
    </row>
    <row r="1158">
      <c r="A1158" t="inlineStr">
        <is>
          <t>C07</t>
        </is>
      </c>
      <c r="B1158" t="inlineStr">
        <is>
          <t>City unknown</t>
        </is>
      </c>
      <c r="C1158" t="inlineStr">
        <is>
          <t>info</t>
        </is>
      </c>
      <c r="D1158" t="inlineStr">
        <is>
          <t>R250429-metafin</t>
        </is>
      </c>
      <c r="E1158" t="inlineStr">
        <is>
          <t>Metafin</t>
        </is>
      </c>
      <c r="F1158" s="17" t="n">
        <v>45776</v>
      </c>
      <c r="G1158" t="inlineStr">
        <is>
          <t>no report states where the company is based</t>
        </is>
      </c>
    </row>
    <row r="1159">
      <c r="A1159" t="inlineStr">
        <is>
          <t>C07</t>
        </is>
      </c>
      <c r="B1159" t="inlineStr">
        <is>
          <t>City unknown</t>
        </is>
      </c>
      <c r="C1159" t="inlineStr">
        <is>
          <t>info</t>
        </is>
      </c>
      <c r="D1159" t="inlineStr">
        <is>
          <t>R250429-nbfcmetafin</t>
        </is>
      </c>
      <c r="E1159" t="inlineStr">
        <is>
          <t>NBFC Metafin</t>
        </is>
      </c>
      <c r="F1159" s="17" t="n">
        <v>45776</v>
      </c>
      <c r="G1159" t="inlineStr">
        <is>
          <t>no report states where the company is based</t>
        </is>
      </c>
    </row>
    <row r="1160">
      <c r="A1160" t="inlineStr">
        <is>
          <t>C07</t>
        </is>
      </c>
      <c r="B1160" t="inlineStr">
        <is>
          <t>City unknown</t>
        </is>
      </c>
      <c r="C1160" t="inlineStr">
        <is>
          <t>info</t>
        </is>
      </c>
      <c r="D1160" t="inlineStr">
        <is>
          <t>R250429-scandalousfood</t>
        </is>
      </c>
      <c r="E1160" t="inlineStr">
        <is>
          <t>Scandalous Foods</t>
        </is>
      </c>
      <c r="F1160" s="17" t="n">
        <v>45776</v>
      </c>
      <c r="G1160" t="inlineStr">
        <is>
          <t>no report states where the company is based</t>
        </is>
      </c>
    </row>
    <row r="1161">
      <c r="A1161" t="inlineStr">
        <is>
          <t>C07</t>
        </is>
      </c>
      <c r="B1161" t="inlineStr">
        <is>
          <t>City unknown</t>
        </is>
      </c>
      <c r="C1161" t="inlineStr">
        <is>
          <t>info</t>
        </is>
      </c>
      <c r="D1161" t="inlineStr">
        <is>
          <t>R250430-ivanajewels</t>
        </is>
      </c>
      <c r="E1161" t="inlineStr">
        <is>
          <t>IVANA Jewels</t>
        </is>
      </c>
      <c r="F1161" s="17" t="n">
        <v>45777</v>
      </c>
      <c r="G1161" t="inlineStr">
        <is>
          <t>no report states where the company is based</t>
        </is>
      </c>
    </row>
    <row r="1162">
      <c r="A1162" t="inlineStr">
        <is>
          <t>C07</t>
        </is>
      </c>
      <c r="B1162" t="inlineStr">
        <is>
          <t>City unknown</t>
        </is>
      </c>
      <c r="C1162" t="inlineStr">
        <is>
          <t>info</t>
        </is>
      </c>
      <c r="D1162" t="inlineStr">
        <is>
          <t>R250430-sadhavoffshore</t>
        </is>
      </c>
      <c r="E1162" t="inlineStr">
        <is>
          <t>Sadhav Offshore</t>
        </is>
      </c>
      <c r="F1162" s="17" t="n">
        <v>45777</v>
      </c>
      <c r="G1162" t="inlineStr">
        <is>
          <t>no report states where the company is based</t>
        </is>
      </c>
    </row>
    <row r="1163">
      <c r="A1163" t="inlineStr">
        <is>
          <t>C07</t>
        </is>
      </c>
      <c r="B1163" t="inlineStr">
        <is>
          <t>City unknown</t>
        </is>
      </c>
      <c r="C1163" t="inlineStr">
        <is>
          <t>info</t>
        </is>
      </c>
      <c r="D1163" t="inlineStr">
        <is>
          <t>R250501-fuze</t>
        </is>
      </c>
      <c r="E1163" t="inlineStr">
        <is>
          <t>Fuze</t>
        </is>
      </c>
      <c r="F1163" s="17" t="n">
        <v>45778</v>
      </c>
      <c r="G1163" t="inlineStr">
        <is>
          <t>no report states where the company is based</t>
        </is>
      </c>
    </row>
    <row r="1164">
      <c r="A1164" t="inlineStr">
        <is>
          <t>C07</t>
        </is>
      </c>
      <c r="B1164" t="inlineStr">
        <is>
          <t>City unknown</t>
        </is>
      </c>
      <c r="C1164" t="inlineStr">
        <is>
          <t>info</t>
        </is>
      </c>
      <c r="D1164" t="inlineStr">
        <is>
          <t>R250505-lifechartgutti</t>
        </is>
      </c>
      <c r="E1164" t="inlineStr">
        <is>
          <t>Lifechart</t>
        </is>
      </c>
      <c r="F1164" s="17" t="n">
        <v>45782</v>
      </c>
      <c r="G1164" t="inlineStr">
        <is>
          <t>no report states where the company is based</t>
        </is>
      </c>
    </row>
    <row r="1165">
      <c r="A1165" t="inlineStr">
        <is>
          <t>C07</t>
        </is>
      </c>
      <c r="B1165" t="inlineStr">
        <is>
          <t>City unknown</t>
        </is>
      </c>
      <c r="C1165" t="inlineStr">
        <is>
          <t>info</t>
        </is>
      </c>
      <c r="D1165" t="inlineStr">
        <is>
          <t>R250506-bharatpe</t>
        </is>
      </c>
      <c r="E1165" t="inlineStr">
        <is>
          <t>BharatPe</t>
        </is>
      </c>
      <c r="F1165" s="17" t="n">
        <v>45783</v>
      </c>
      <c r="G1165" t="inlineStr">
        <is>
          <t>no report states where the company is based</t>
        </is>
      </c>
    </row>
    <row r="1166">
      <c r="A1166" t="inlineStr">
        <is>
          <t>C07</t>
        </is>
      </c>
      <c r="B1166" t="inlineStr">
        <is>
          <t>City unknown</t>
        </is>
      </c>
      <c r="C1166" t="inlineStr">
        <is>
          <t>info</t>
        </is>
      </c>
      <c r="D1166" t="inlineStr">
        <is>
          <t>R250506-insurancesamad</t>
        </is>
      </c>
      <c r="E1166" t="inlineStr">
        <is>
          <t>Insurance Samadhan</t>
        </is>
      </c>
      <c r="F1166" s="17" t="n">
        <v>45783</v>
      </c>
      <c r="G1166" t="inlineStr">
        <is>
          <t>no report states where the company is based</t>
        </is>
      </c>
    </row>
    <row r="1167">
      <c r="A1167" t="inlineStr">
        <is>
          <t>C07</t>
        </is>
      </c>
      <c r="B1167" t="inlineStr">
        <is>
          <t>City unknown</t>
        </is>
      </c>
      <c r="C1167" t="inlineStr">
        <is>
          <t>info</t>
        </is>
      </c>
      <c r="D1167" t="inlineStr">
        <is>
          <t>R250506-saleassistai</t>
        </is>
      </c>
      <c r="E1167" t="inlineStr">
        <is>
          <t>SaleAssist.ai</t>
        </is>
      </c>
      <c r="F1167" s="17" t="n">
        <v>45783</v>
      </c>
      <c r="G1167" t="inlineStr">
        <is>
          <t>no report states where the company is based</t>
        </is>
      </c>
    </row>
    <row r="1168">
      <c r="A1168" t="inlineStr">
        <is>
          <t>C07</t>
        </is>
      </c>
      <c r="B1168" t="inlineStr">
        <is>
          <t>City unknown</t>
        </is>
      </c>
      <c r="C1168" t="inlineStr">
        <is>
          <t>info</t>
        </is>
      </c>
      <c r="D1168" t="inlineStr">
        <is>
          <t>R250507-codeantai</t>
        </is>
      </c>
      <c r="E1168" t="inlineStr">
        <is>
          <t>CodeAnt AI</t>
        </is>
      </c>
      <c r="F1168" s="17" t="n">
        <v>45784</v>
      </c>
      <c r="G1168" t="inlineStr">
        <is>
          <t>no report states where the company is based</t>
        </is>
      </c>
    </row>
    <row r="1169">
      <c r="A1169" t="inlineStr">
        <is>
          <t>C07</t>
        </is>
      </c>
      <c r="B1169" t="inlineStr">
        <is>
          <t>City unknown</t>
        </is>
      </c>
      <c r="C1169" t="inlineStr">
        <is>
          <t>info</t>
        </is>
      </c>
      <c r="D1169" t="inlineStr">
        <is>
          <t>R250507-routematic</t>
        </is>
      </c>
      <c r="E1169" t="inlineStr">
        <is>
          <t>Routematic</t>
        </is>
      </c>
      <c r="F1169" s="17" t="n">
        <v>45784</v>
      </c>
      <c r="G1169" t="inlineStr">
        <is>
          <t>no report states where the company is based</t>
        </is>
      </c>
    </row>
    <row r="1170">
      <c r="A1170" t="inlineStr">
        <is>
          <t>C07</t>
        </is>
      </c>
      <c r="B1170" t="inlineStr">
        <is>
          <t>City unknown</t>
        </is>
      </c>
      <c r="C1170" t="inlineStr">
        <is>
          <t>info</t>
        </is>
      </c>
      <c r="D1170" t="inlineStr">
        <is>
          <t>R250507-shiplog</t>
        </is>
      </c>
      <c r="E1170" t="inlineStr">
        <is>
          <t>Shiplog</t>
        </is>
      </c>
      <c r="F1170" s="17" t="n">
        <v>45784</v>
      </c>
      <c r="G1170" t="inlineStr">
        <is>
          <t>no report states where the company is based</t>
        </is>
      </c>
    </row>
    <row r="1171">
      <c r="A1171" t="inlineStr">
        <is>
          <t>C07</t>
        </is>
      </c>
      <c r="B1171" t="inlineStr">
        <is>
          <t>City unknown</t>
        </is>
      </c>
      <c r="C1171" t="inlineStr">
        <is>
          <t>info</t>
        </is>
      </c>
      <c r="D1171" t="inlineStr">
        <is>
          <t>R250508-felinespirits</t>
        </is>
      </c>
      <c r="E1171" t="inlineStr">
        <is>
          <t>Feline Spirits</t>
        </is>
      </c>
      <c r="F1171" s="17" t="n">
        <v>45785</v>
      </c>
      <c r="G1171" t="inlineStr">
        <is>
          <t>no report states where the company is based</t>
        </is>
      </c>
    </row>
    <row r="1172">
      <c r="A1172" t="inlineStr">
        <is>
          <t>C07</t>
        </is>
      </c>
      <c r="B1172" t="inlineStr">
        <is>
          <t>City unknown</t>
        </is>
      </c>
      <c r="C1172" t="inlineStr">
        <is>
          <t>info</t>
        </is>
      </c>
      <c r="D1172" t="inlineStr">
        <is>
          <t>R250508-pbhealthcare</t>
        </is>
      </c>
      <c r="E1172" t="inlineStr">
        <is>
          <t>PB Healthcare</t>
        </is>
      </c>
      <c r="F1172" s="17" t="n">
        <v>45785</v>
      </c>
      <c r="G1172" t="inlineStr">
        <is>
          <t>no report states where the company is based</t>
        </is>
      </c>
    </row>
    <row r="1173">
      <c r="A1173" t="inlineStr">
        <is>
          <t>C07</t>
        </is>
      </c>
      <c r="B1173" t="inlineStr">
        <is>
          <t>City unknown</t>
        </is>
      </c>
      <c r="C1173" t="inlineStr">
        <is>
          <t>info</t>
        </is>
      </c>
      <c r="D1173" t="inlineStr">
        <is>
          <t>R250512-avammunetherap</t>
        </is>
      </c>
      <c r="E1173" t="inlineStr">
        <is>
          <t>Avammune Therapeutics</t>
        </is>
      </c>
      <c r="F1173" s="17" t="n">
        <v>45789</v>
      </c>
      <c r="G1173" t="inlineStr">
        <is>
          <t>no report states where the company is based</t>
        </is>
      </c>
    </row>
    <row r="1174">
      <c r="A1174" t="inlineStr">
        <is>
          <t>C07</t>
        </is>
      </c>
      <c r="B1174" t="inlineStr">
        <is>
          <t>City unknown</t>
        </is>
      </c>
      <c r="C1174" t="inlineStr">
        <is>
          <t>info</t>
        </is>
      </c>
      <c r="D1174" t="inlineStr">
        <is>
          <t>R250512-celebal</t>
        </is>
      </c>
      <c r="E1174" t="inlineStr">
        <is>
          <t>Celebal</t>
        </is>
      </c>
      <c r="F1174" s="17" t="n">
        <v>45789</v>
      </c>
      <c r="G1174" t="inlineStr">
        <is>
          <t>no report states where the company is based</t>
        </is>
      </c>
    </row>
    <row r="1175">
      <c r="A1175" t="inlineStr">
        <is>
          <t>C07</t>
        </is>
      </c>
      <c r="B1175" t="inlineStr">
        <is>
          <t>City unknown</t>
        </is>
      </c>
      <c r="C1175" t="inlineStr">
        <is>
          <t>info</t>
        </is>
      </c>
      <c r="D1175" t="inlineStr">
        <is>
          <t>R250513-hyperbots</t>
        </is>
      </c>
      <c r="E1175" t="inlineStr">
        <is>
          <t>Hyperbots</t>
        </is>
      </c>
      <c r="F1175" s="17" t="n">
        <v>45790</v>
      </c>
      <c r="G1175" t="inlineStr">
        <is>
          <t>no report states where the company is based</t>
        </is>
      </c>
    </row>
    <row r="1176">
      <c r="A1176" t="inlineStr">
        <is>
          <t>C07</t>
        </is>
      </c>
      <c r="B1176" t="inlineStr">
        <is>
          <t>City unknown</t>
        </is>
      </c>
      <c r="C1176" t="inlineStr">
        <is>
          <t>info</t>
        </is>
      </c>
      <c r="D1176" t="inlineStr">
        <is>
          <t>R250513-luzo</t>
        </is>
      </c>
      <c r="E1176" t="inlineStr">
        <is>
          <t>LUZO</t>
        </is>
      </c>
      <c r="F1176" s="17" t="n">
        <v>45790</v>
      </c>
      <c r="G1176" t="inlineStr">
        <is>
          <t>no report states where the company is based</t>
        </is>
      </c>
    </row>
    <row r="1177">
      <c r="A1177" t="inlineStr">
        <is>
          <t>C07</t>
        </is>
      </c>
      <c r="B1177" t="inlineStr">
        <is>
          <t>City unknown</t>
        </is>
      </c>
      <c r="C1177" t="inlineStr">
        <is>
          <t>info</t>
        </is>
      </c>
      <c r="D1177" t="inlineStr">
        <is>
          <t>R250513-neurostellar</t>
        </is>
      </c>
      <c r="E1177" t="inlineStr">
        <is>
          <t>Neurostellar</t>
        </is>
      </c>
      <c r="F1177" s="17" t="n">
        <v>45790</v>
      </c>
      <c r="G1177" t="inlineStr">
        <is>
          <t>no report states where the company is based</t>
        </is>
      </c>
    </row>
    <row r="1178">
      <c r="A1178" t="inlineStr">
        <is>
          <t>C07</t>
        </is>
      </c>
      <c r="B1178" t="inlineStr">
        <is>
          <t>City unknown</t>
        </is>
      </c>
      <c r="C1178" t="inlineStr">
        <is>
          <t>info</t>
        </is>
      </c>
      <c r="D1178" t="inlineStr">
        <is>
          <t>R250513-stashfin</t>
        </is>
      </c>
      <c r="E1178" t="inlineStr">
        <is>
          <t>Stashfin</t>
        </is>
      </c>
      <c r="F1178" s="17" t="n">
        <v>45790</v>
      </c>
      <c r="G1178" t="inlineStr">
        <is>
          <t>no report states where the company is based</t>
        </is>
      </c>
    </row>
    <row r="1179">
      <c r="A1179" t="inlineStr">
        <is>
          <t>C07</t>
        </is>
      </c>
      <c r="B1179" t="inlineStr">
        <is>
          <t>City unknown</t>
        </is>
      </c>
      <c r="C1179" t="inlineStr">
        <is>
          <t>info</t>
        </is>
      </c>
      <c r="D1179" t="inlineStr">
        <is>
          <t>R250514-bluestone</t>
        </is>
      </c>
      <c r="E1179" t="inlineStr">
        <is>
          <t>BlueStone</t>
        </is>
      </c>
      <c r="F1179" s="17" t="n">
        <v>45791</v>
      </c>
      <c r="G1179" t="inlineStr">
        <is>
          <t>no report states where the company is based</t>
        </is>
      </c>
    </row>
    <row r="1180">
      <c r="A1180" t="inlineStr">
        <is>
          <t>C07</t>
        </is>
      </c>
      <c r="B1180" t="inlineStr">
        <is>
          <t>City unknown</t>
        </is>
      </c>
      <c r="C1180" t="inlineStr">
        <is>
          <t>info</t>
        </is>
      </c>
      <c r="D1180" t="inlineStr">
        <is>
          <t>R250514-karanbajaj</t>
        </is>
      </c>
      <c r="E1180" t="inlineStr">
        <is>
          <t>Karan Bajaj</t>
        </is>
      </c>
      <c r="F1180" s="17" t="n">
        <v>45791</v>
      </c>
      <c r="G1180" t="inlineStr">
        <is>
          <t>no report states where the company is based</t>
        </is>
      </c>
    </row>
    <row r="1181">
      <c r="A1181" t="inlineStr">
        <is>
          <t>C07</t>
        </is>
      </c>
      <c r="B1181" t="inlineStr">
        <is>
          <t>City unknown</t>
        </is>
      </c>
      <c r="C1181" t="inlineStr">
        <is>
          <t>info</t>
        </is>
      </c>
      <c r="D1181" t="inlineStr">
        <is>
          <t>R250514-medvital</t>
        </is>
      </c>
      <c r="E1181" t="inlineStr">
        <is>
          <t>MedVital</t>
        </is>
      </c>
      <c r="F1181" s="17" t="n">
        <v>45791</v>
      </c>
      <c r="G1181" t="inlineStr">
        <is>
          <t>no report states where the company is based</t>
        </is>
      </c>
    </row>
    <row r="1182">
      <c r="A1182" t="inlineStr">
        <is>
          <t>C07</t>
        </is>
      </c>
      <c r="B1182" t="inlineStr">
        <is>
          <t>City unknown</t>
        </is>
      </c>
      <c r="C1182" t="inlineStr">
        <is>
          <t>info</t>
        </is>
      </c>
      <c r="D1182" t="inlineStr">
        <is>
          <t>R250514-reelsaga</t>
        </is>
      </c>
      <c r="E1182" t="inlineStr">
        <is>
          <t>ReelSaga</t>
        </is>
      </c>
      <c r="F1182" s="17" t="n">
        <v>45791</v>
      </c>
      <c r="G1182" t="inlineStr">
        <is>
          <t>no report states where the company is based</t>
        </is>
      </c>
    </row>
    <row r="1183">
      <c r="A1183" t="inlineStr">
        <is>
          <t>C07</t>
        </is>
      </c>
      <c r="B1183" t="inlineStr">
        <is>
          <t>City unknown</t>
        </is>
      </c>
      <c r="C1183" t="inlineStr">
        <is>
          <t>info</t>
        </is>
      </c>
      <c r="D1183" t="inlineStr">
        <is>
          <t>R250514-thirdbracket</t>
        </is>
      </c>
      <c r="E1183" t="inlineStr">
        <is>
          <t>Third Bracket</t>
        </is>
      </c>
      <c r="F1183" s="17" t="n">
        <v>45791</v>
      </c>
      <c r="G1183" t="inlineStr">
        <is>
          <t>no report states where the company is based</t>
        </is>
      </c>
    </row>
    <row r="1184">
      <c r="A1184" t="inlineStr">
        <is>
          <t>C07</t>
        </is>
      </c>
      <c r="B1184" t="inlineStr">
        <is>
          <t>City unknown</t>
        </is>
      </c>
      <c r="C1184" t="inlineStr">
        <is>
          <t>info</t>
        </is>
      </c>
      <c r="D1184" t="inlineStr">
        <is>
          <t>R250514-vflowtech</t>
        </is>
      </c>
      <c r="E1184" t="inlineStr">
        <is>
          <t>VFlowTech</t>
        </is>
      </c>
      <c r="F1184" s="17" t="n">
        <v>45791</v>
      </c>
      <c r="G1184" t="inlineStr">
        <is>
          <t>no report states where the company is based</t>
        </is>
      </c>
    </row>
    <row r="1185">
      <c r="A1185" t="inlineStr">
        <is>
          <t>C07</t>
        </is>
      </c>
      <c r="B1185" t="inlineStr">
        <is>
          <t>City unknown</t>
        </is>
      </c>
      <c r="C1185" t="inlineStr">
        <is>
          <t>info</t>
        </is>
      </c>
      <c r="D1185" t="inlineStr">
        <is>
          <t>R250515-1indiafamilyma</t>
        </is>
      </c>
      <c r="E1185" t="inlineStr">
        <is>
          <t>1-India Family Mart</t>
        </is>
      </c>
      <c r="F1185" s="17" t="n">
        <v>45792</v>
      </c>
      <c r="G1185" t="inlineStr">
        <is>
          <t>no report states where the company is based</t>
        </is>
      </c>
    </row>
    <row r="1186">
      <c r="A1186" t="inlineStr">
        <is>
          <t>C07</t>
        </is>
      </c>
      <c r="B1186" t="inlineStr">
        <is>
          <t>City unknown</t>
        </is>
      </c>
      <c r="C1186" t="inlineStr">
        <is>
          <t>info</t>
        </is>
      </c>
      <c r="D1186" t="inlineStr">
        <is>
          <t>R250515-naptapgo</t>
        </is>
      </c>
      <c r="E1186" t="inlineStr">
        <is>
          <t>Naptapgo</t>
        </is>
      </c>
      <c r="F1186" s="17" t="n">
        <v>45792</v>
      </c>
      <c r="G1186" t="inlineStr">
        <is>
          <t>no report states where the company is based</t>
        </is>
      </c>
    </row>
    <row r="1187">
      <c r="A1187" t="inlineStr">
        <is>
          <t>C07</t>
        </is>
      </c>
      <c r="B1187" t="inlineStr">
        <is>
          <t>City unknown</t>
        </is>
      </c>
      <c r="C1187" t="inlineStr">
        <is>
          <t>info</t>
        </is>
      </c>
      <c r="D1187" t="inlineStr">
        <is>
          <t>R250515-rohaltechnolog</t>
        </is>
      </c>
      <c r="E1187" t="inlineStr">
        <is>
          <t>Rohal Technologies</t>
        </is>
      </c>
      <c r="F1187" s="17" t="n">
        <v>45792</v>
      </c>
      <c r="G1187" t="inlineStr">
        <is>
          <t>no report states where the company is based</t>
        </is>
      </c>
    </row>
    <row r="1188">
      <c r="A1188" t="inlineStr">
        <is>
          <t>C07</t>
        </is>
      </c>
      <c r="B1188" t="inlineStr">
        <is>
          <t>City unknown</t>
        </is>
      </c>
      <c r="C1188" t="inlineStr">
        <is>
          <t>info</t>
        </is>
      </c>
      <c r="D1188" t="inlineStr">
        <is>
          <t>R250516-airbotsaerospa</t>
        </is>
      </c>
      <c r="E1188" t="inlineStr">
        <is>
          <t>Airbots Aerospace</t>
        </is>
      </c>
      <c r="F1188" s="17" t="n">
        <v>45793</v>
      </c>
      <c r="G1188" t="inlineStr">
        <is>
          <t>no report states where the company is based</t>
        </is>
      </c>
    </row>
    <row r="1189">
      <c r="A1189" t="inlineStr">
        <is>
          <t>C07</t>
        </is>
      </c>
      <c r="B1189" t="inlineStr">
        <is>
          <t>City unknown</t>
        </is>
      </c>
      <c r="C1189" t="inlineStr">
        <is>
          <t>info</t>
        </is>
      </c>
      <c r="D1189" t="inlineStr">
        <is>
          <t>R250516-pronto</t>
        </is>
      </c>
      <c r="E1189" t="inlineStr">
        <is>
          <t>Pronto</t>
        </is>
      </c>
      <c r="F1189" s="17" t="n">
        <v>45793</v>
      </c>
      <c r="G1189" t="inlineStr">
        <is>
          <t>no report states where the company is based</t>
        </is>
      </c>
    </row>
    <row r="1190">
      <c r="A1190" t="inlineStr">
        <is>
          <t>C07</t>
        </is>
      </c>
      <c r="B1190" t="inlineStr">
        <is>
          <t>City unknown</t>
        </is>
      </c>
      <c r="C1190" t="inlineStr">
        <is>
          <t>info</t>
        </is>
      </c>
      <c r="D1190" t="inlineStr">
        <is>
          <t>R250519-vivritiassetma</t>
        </is>
      </c>
      <c r="E1190" t="inlineStr">
        <is>
          <t>Vivriti Asset Management</t>
        </is>
      </c>
      <c r="F1190" s="17" t="n">
        <v>45796</v>
      </c>
      <c r="G1190" t="inlineStr">
        <is>
          <t>no report states where the company is based</t>
        </is>
      </c>
    </row>
    <row r="1191">
      <c r="A1191" t="inlineStr">
        <is>
          <t>C07</t>
        </is>
      </c>
      <c r="B1191" t="inlineStr">
        <is>
          <t>City unknown</t>
        </is>
      </c>
      <c r="C1191" t="inlineStr">
        <is>
          <t>info</t>
        </is>
      </c>
      <c r="D1191" t="inlineStr">
        <is>
          <t>R250520-curebay</t>
        </is>
      </c>
      <c r="E1191" t="inlineStr">
        <is>
          <t>CureBay</t>
        </is>
      </c>
      <c r="F1191" s="17" t="n">
        <v>45797</v>
      </c>
      <c r="G1191" t="inlineStr">
        <is>
          <t>no report states where the company is based</t>
        </is>
      </c>
    </row>
    <row r="1192">
      <c r="A1192" t="inlineStr">
        <is>
          <t>C07</t>
        </is>
      </c>
      <c r="B1192" t="inlineStr">
        <is>
          <t>City unknown</t>
        </is>
      </c>
      <c r="C1192" t="inlineStr">
        <is>
          <t>info</t>
        </is>
      </c>
      <c r="D1192" t="inlineStr">
        <is>
          <t>R250520-paysprint</t>
        </is>
      </c>
      <c r="E1192" t="inlineStr">
        <is>
          <t>PaySprint</t>
        </is>
      </c>
      <c r="F1192" s="17" t="n">
        <v>45797</v>
      </c>
      <c r="G1192" t="inlineStr">
        <is>
          <t>no report states where the company is based</t>
        </is>
      </c>
    </row>
    <row r="1193">
      <c r="A1193" t="inlineStr">
        <is>
          <t>C07</t>
        </is>
      </c>
      <c r="B1193" t="inlineStr">
        <is>
          <t>City unknown</t>
        </is>
      </c>
      <c r="C1193" t="inlineStr">
        <is>
          <t>info</t>
        </is>
      </c>
      <c r="D1193" t="inlineStr">
        <is>
          <t>R250521-thesockstreet</t>
        </is>
      </c>
      <c r="E1193" t="inlineStr">
        <is>
          <t>The Sock Street</t>
        </is>
      </c>
      <c r="F1193" s="17" t="n">
        <v>45798</v>
      </c>
      <c r="G1193" t="inlineStr">
        <is>
          <t>no report states where the company is based</t>
        </is>
      </c>
    </row>
    <row r="1194">
      <c r="A1194" t="inlineStr">
        <is>
          <t>C07</t>
        </is>
      </c>
      <c r="B1194" t="inlineStr">
        <is>
          <t>City unknown</t>
        </is>
      </c>
      <c r="C1194" t="inlineStr">
        <is>
          <t>info</t>
        </is>
      </c>
      <c r="D1194" t="inlineStr">
        <is>
          <t>R250522-zoca</t>
        </is>
      </c>
      <c r="E1194" t="inlineStr">
        <is>
          <t>Zoca</t>
        </is>
      </c>
      <c r="F1194" s="17" t="n">
        <v>45798</v>
      </c>
      <c r="G1194" t="inlineStr">
        <is>
          <t>no report states where the company is based</t>
        </is>
      </c>
    </row>
    <row r="1195">
      <c r="A1195" t="inlineStr">
        <is>
          <t>C07</t>
        </is>
      </c>
      <c r="B1195" t="inlineStr">
        <is>
          <t>City unknown</t>
        </is>
      </c>
      <c r="C1195" t="inlineStr">
        <is>
          <t>info</t>
        </is>
      </c>
      <c r="D1195" t="inlineStr">
        <is>
          <t>R250522-blackcarrot</t>
        </is>
      </c>
      <c r="E1195" t="inlineStr">
        <is>
          <t>BlackCarrot</t>
        </is>
      </c>
      <c r="F1195" s="17" t="n">
        <v>45799</v>
      </c>
      <c r="G1195" t="inlineStr">
        <is>
          <t>no report states where the company is based</t>
        </is>
      </c>
    </row>
    <row r="1196">
      <c r="A1196" t="inlineStr">
        <is>
          <t>C07</t>
        </is>
      </c>
      <c r="B1196" t="inlineStr">
        <is>
          <t>City unknown</t>
        </is>
      </c>
      <c r="C1196" t="inlineStr">
        <is>
          <t>info</t>
        </is>
      </c>
      <c r="D1196" t="inlineStr">
        <is>
          <t>R250522-shuru</t>
        </is>
      </c>
      <c r="E1196" t="inlineStr">
        <is>
          <t>Shuru</t>
        </is>
      </c>
      <c r="F1196" s="17" t="n">
        <v>45799</v>
      </c>
      <c r="G1196" t="inlineStr">
        <is>
          <t>no report states where the company is based</t>
        </is>
      </c>
    </row>
    <row r="1197">
      <c r="A1197" t="inlineStr">
        <is>
          <t>C07</t>
        </is>
      </c>
      <c r="B1197" t="inlineStr">
        <is>
          <t>City unknown</t>
        </is>
      </c>
      <c r="C1197" t="inlineStr">
        <is>
          <t>info</t>
        </is>
      </c>
      <c r="D1197" t="inlineStr">
        <is>
          <t>R250523-borderless</t>
        </is>
      </c>
      <c r="E1197" t="inlineStr">
        <is>
          <t>Borderless</t>
        </is>
      </c>
      <c r="F1197" s="17" t="n">
        <v>45800</v>
      </c>
      <c r="G1197" t="inlineStr">
        <is>
          <t>no report states where the company is based</t>
        </is>
      </c>
    </row>
    <row r="1198">
      <c r="A1198" t="inlineStr">
        <is>
          <t>C07</t>
        </is>
      </c>
      <c r="B1198" t="inlineStr">
        <is>
          <t>City unknown</t>
        </is>
      </c>
      <c r="C1198" t="inlineStr">
        <is>
          <t>info</t>
        </is>
      </c>
      <c r="D1198" t="inlineStr">
        <is>
          <t>R250523-kskt</t>
        </is>
      </c>
      <c r="E1198" t="inlineStr">
        <is>
          <t>KSKT</t>
        </is>
      </c>
      <c r="F1198" s="17" t="n">
        <v>45800</v>
      </c>
      <c r="G1198" t="inlineStr">
        <is>
          <t>no report states where the company is based</t>
        </is>
      </c>
    </row>
    <row r="1199">
      <c r="A1199" t="inlineStr">
        <is>
          <t>C07</t>
        </is>
      </c>
      <c r="B1199" t="inlineStr">
        <is>
          <t>City unknown</t>
        </is>
      </c>
      <c r="C1199" t="inlineStr">
        <is>
          <t>info</t>
        </is>
      </c>
      <c r="D1199" t="inlineStr">
        <is>
          <t>R250527-frinksai</t>
        </is>
      </c>
      <c r="E1199" t="inlineStr">
        <is>
          <t>Frinks AI</t>
        </is>
      </c>
      <c r="F1199" s="17" t="n">
        <v>45804</v>
      </c>
      <c r="G1199" t="inlineStr">
        <is>
          <t>no report states where the company is based</t>
        </is>
      </c>
    </row>
    <row r="1200">
      <c r="A1200" t="inlineStr">
        <is>
          <t>C07</t>
        </is>
      </c>
      <c r="B1200" t="inlineStr">
        <is>
          <t>City unknown</t>
        </is>
      </c>
      <c r="C1200" t="inlineStr">
        <is>
          <t>info</t>
        </is>
      </c>
      <c r="D1200" t="inlineStr">
        <is>
          <t>R250527-tova</t>
        </is>
      </c>
      <c r="E1200" t="inlineStr">
        <is>
          <t>TOVA</t>
        </is>
      </c>
      <c r="F1200" s="17" t="n">
        <v>45804</v>
      </c>
      <c r="G1200" t="inlineStr">
        <is>
          <t>no report states where the company is based</t>
        </is>
      </c>
    </row>
    <row r="1201">
      <c r="A1201" t="inlineStr">
        <is>
          <t>C07</t>
        </is>
      </c>
      <c r="B1201" t="inlineStr">
        <is>
          <t>City unknown</t>
        </is>
      </c>
      <c r="C1201" t="inlineStr">
        <is>
          <t>info</t>
        </is>
      </c>
      <c r="D1201" t="inlineStr">
        <is>
          <t>R250528-ilios72alterna</t>
        </is>
      </c>
      <c r="E1201" t="inlineStr">
        <is>
          <t>ILIOS 72 Alternative Capital</t>
        </is>
      </c>
      <c r="F1201" s="17" t="n">
        <v>45805</v>
      </c>
      <c r="G1201" t="inlineStr">
        <is>
          <t>no report states where the company is based</t>
        </is>
      </c>
    </row>
    <row r="1202">
      <c r="A1202" t="inlineStr">
        <is>
          <t>C07</t>
        </is>
      </c>
      <c r="B1202" t="inlineStr">
        <is>
          <t>City unknown</t>
        </is>
      </c>
      <c r="C1202" t="inlineStr">
        <is>
          <t>info</t>
        </is>
      </c>
      <c r="D1202" t="inlineStr">
        <is>
          <t>R250528-saarathifinanc</t>
        </is>
      </c>
      <c r="E1202" t="inlineStr">
        <is>
          <t>Saarathi Finance</t>
        </is>
      </c>
      <c r="F1202" s="17" t="n">
        <v>45805</v>
      </c>
      <c r="G1202" t="inlineStr">
        <is>
          <t>no report states where the company is based</t>
        </is>
      </c>
    </row>
    <row r="1203">
      <c r="A1203" t="inlineStr">
        <is>
          <t>C07</t>
        </is>
      </c>
      <c r="B1203" t="inlineStr">
        <is>
          <t>City unknown</t>
        </is>
      </c>
      <c r="C1203" t="inlineStr">
        <is>
          <t>info</t>
        </is>
      </c>
      <c r="D1203" t="inlineStr">
        <is>
          <t>R250529-cleevo</t>
        </is>
      </c>
      <c r="E1203" t="inlineStr">
        <is>
          <t>Cleevo</t>
        </is>
      </c>
      <c r="F1203" s="17" t="n">
        <v>45806</v>
      </c>
      <c r="G1203" t="inlineStr">
        <is>
          <t>no report states where the company is based</t>
        </is>
      </c>
    </row>
    <row r="1204">
      <c r="A1204" t="inlineStr">
        <is>
          <t>C07</t>
        </is>
      </c>
      <c r="B1204" t="inlineStr">
        <is>
          <t>City unknown</t>
        </is>
      </c>
      <c r="C1204" t="inlineStr">
        <is>
          <t>info</t>
        </is>
      </c>
      <c r="D1204" t="inlineStr">
        <is>
          <t>R250529-gydexp</t>
        </is>
      </c>
      <c r="E1204" t="inlineStr">
        <is>
          <t>GydeXP</t>
        </is>
      </c>
      <c r="F1204" s="17" t="n">
        <v>45806</v>
      </c>
      <c r="G1204" t="inlineStr">
        <is>
          <t>no report states where the company is based</t>
        </is>
      </c>
    </row>
    <row r="1205">
      <c r="A1205" t="inlineStr">
        <is>
          <t>C07</t>
        </is>
      </c>
      <c r="B1205" t="inlineStr">
        <is>
          <t>City unknown</t>
        </is>
      </c>
      <c r="C1205" t="inlineStr">
        <is>
          <t>info</t>
        </is>
      </c>
      <c r="D1205" t="inlineStr">
        <is>
          <t>R250529-ziniosa</t>
        </is>
      </c>
      <c r="E1205" t="inlineStr">
        <is>
          <t>Ziniosa</t>
        </is>
      </c>
      <c r="F1205" s="17" t="n">
        <v>45806</v>
      </c>
      <c r="G1205" t="inlineStr">
        <is>
          <t>no report states where the company is based</t>
        </is>
      </c>
    </row>
    <row r="1206">
      <c r="A1206" t="inlineStr">
        <is>
          <t>C07</t>
        </is>
      </c>
      <c r="B1206" t="inlineStr">
        <is>
          <t>City unknown</t>
        </is>
      </c>
      <c r="C1206" t="inlineStr">
        <is>
          <t>info</t>
        </is>
      </c>
      <c r="D1206" t="inlineStr">
        <is>
          <t>R250530-chalo</t>
        </is>
      </c>
      <c r="E1206" t="inlineStr">
        <is>
          <t>Chalo</t>
        </is>
      </c>
      <c r="F1206" s="17" t="n">
        <v>45807</v>
      </c>
      <c r="G1206" t="inlineStr">
        <is>
          <t>no report states where the company is based</t>
        </is>
      </c>
    </row>
    <row r="1207">
      <c r="A1207" t="inlineStr">
        <is>
          <t>C07</t>
        </is>
      </c>
      <c r="B1207" t="inlineStr">
        <is>
          <t>City unknown</t>
        </is>
      </c>
      <c r="C1207" t="inlineStr">
        <is>
          <t>info</t>
        </is>
      </c>
      <c r="D1207" t="inlineStr">
        <is>
          <t>R250603-gullylabs</t>
        </is>
      </c>
      <c r="E1207" t="inlineStr">
        <is>
          <t>Gully Labs</t>
        </is>
      </c>
      <c r="F1207" s="17" t="n">
        <v>45811</v>
      </c>
      <c r="G1207" t="inlineStr">
        <is>
          <t>no report states where the company is based</t>
        </is>
      </c>
    </row>
    <row r="1208">
      <c r="A1208" t="inlineStr">
        <is>
          <t>C07</t>
        </is>
      </c>
      <c r="B1208" t="inlineStr">
        <is>
          <t>City unknown</t>
        </is>
      </c>
      <c r="C1208" t="inlineStr">
        <is>
          <t>info</t>
        </is>
      </c>
      <c r="D1208" t="inlineStr">
        <is>
          <t>R250603-serveclub</t>
        </is>
      </c>
      <c r="E1208" t="inlineStr">
        <is>
          <t>ServeClub</t>
        </is>
      </c>
      <c r="F1208" s="17" t="n">
        <v>45811</v>
      </c>
      <c r="G1208" t="inlineStr">
        <is>
          <t>no report states where the company is based</t>
        </is>
      </c>
    </row>
    <row r="1209">
      <c r="A1209" t="inlineStr">
        <is>
          <t>C07</t>
        </is>
      </c>
      <c r="B1209" t="inlineStr">
        <is>
          <t>City unknown</t>
        </is>
      </c>
      <c r="C1209" t="inlineStr">
        <is>
          <t>info</t>
        </is>
      </c>
      <c r="D1209" t="inlineStr">
        <is>
          <t>R250604-naagin</t>
        </is>
      </c>
      <c r="E1209" t="inlineStr">
        <is>
          <t>Naagin</t>
        </is>
      </c>
      <c r="F1209" s="17" t="n">
        <v>45812</v>
      </c>
      <c r="G1209" t="inlineStr">
        <is>
          <t>no report states where the company is based</t>
        </is>
      </c>
    </row>
    <row r="1210">
      <c r="A1210" t="inlineStr">
        <is>
          <t>C07</t>
        </is>
      </c>
      <c r="B1210" t="inlineStr">
        <is>
          <t>City unknown</t>
        </is>
      </c>
      <c r="C1210" t="inlineStr">
        <is>
          <t>info</t>
        </is>
      </c>
      <c r="D1210" t="inlineStr">
        <is>
          <t>R250605-biglilpeople</t>
        </is>
      </c>
      <c r="E1210" t="inlineStr">
        <is>
          <t>Biglilpeople</t>
        </is>
      </c>
      <c r="F1210" s="17" t="n">
        <v>45813</v>
      </c>
      <c r="G1210" t="inlineStr">
        <is>
          <t>no report states where the company is based</t>
        </is>
      </c>
    </row>
    <row r="1211">
      <c r="A1211" t="inlineStr">
        <is>
          <t>C07</t>
        </is>
      </c>
      <c r="B1211" t="inlineStr">
        <is>
          <t>City unknown</t>
        </is>
      </c>
      <c r="C1211" t="inlineStr">
        <is>
          <t>info</t>
        </is>
      </c>
      <c r="D1211" t="inlineStr">
        <is>
          <t>R250609-cred</t>
        </is>
      </c>
      <c r="E1211" t="inlineStr">
        <is>
          <t>CRED</t>
        </is>
      </c>
      <c r="F1211" s="17" t="n">
        <v>45817</v>
      </c>
      <c r="G1211" t="inlineStr">
        <is>
          <t>no report states where the company is based</t>
        </is>
      </c>
    </row>
    <row r="1212">
      <c r="A1212" t="inlineStr">
        <is>
          <t>C07</t>
        </is>
      </c>
      <c r="B1212" t="inlineStr">
        <is>
          <t>City unknown</t>
        </is>
      </c>
      <c r="C1212" t="inlineStr">
        <is>
          <t>info</t>
        </is>
      </c>
      <c r="D1212" t="inlineStr">
        <is>
          <t>R250609-roomstoryai</t>
        </is>
      </c>
      <c r="E1212" t="inlineStr">
        <is>
          <t>Roomstory.ai</t>
        </is>
      </c>
      <c r="F1212" s="17" t="n">
        <v>45817</v>
      </c>
      <c r="G1212" t="inlineStr">
        <is>
          <t>no report states where the company is based</t>
        </is>
      </c>
    </row>
    <row r="1213">
      <c r="A1213" t="inlineStr">
        <is>
          <t>C07</t>
        </is>
      </c>
      <c r="B1213" t="inlineStr">
        <is>
          <t>City unknown</t>
        </is>
      </c>
      <c r="C1213" t="inlineStr">
        <is>
          <t>info</t>
        </is>
      </c>
      <c r="D1213" t="inlineStr">
        <is>
          <t>R250609-sanlayan</t>
        </is>
      </c>
      <c r="E1213" t="inlineStr">
        <is>
          <t>Sanlayan</t>
        </is>
      </c>
      <c r="F1213" s="17" t="n">
        <v>45817</v>
      </c>
      <c r="G1213" t="inlineStr">
        <is>
          <t>no report states where the company is based</t>
        </is>
      </c>
    </row>
    <row r="1214">
      <c r="A1214" t="inlineStr">
        <is>
          <t>C07</t>
        </is>
      </c>
      <c r="B1214" t="inlineStr">
        <is>
          <t>City unknown</t>
        </is>
      </c>
      <c r="C1214" t="inlineStr">
        <is>
          <t>info</t>
        </is>
      </c>
      <c r="D1214" t="inlineStr">
        <is>
          <t>R250610-flexiloans</t>
        </is>
      </c>
      <c r="E1214" t="inlineStr">
        <is>
          <t>FlexiLoans</t>
        </is>
      </c>
      <c r="F1214" s="17" t="n">
        <v>45818</v>
      </c>
      <c r="G1214" t="inlineStr">
        <is>
          <t>no report states where the company is based</t>
        </is>
      </c>
    </row>
    <row r="1215">
      <c r="A1215" t="inlineStr">
        <is>
          <t>C07</t>
        </is>
      </c>
      <c r="B1215" t="inlineStr">
        <is>
          <t>City unknown</t>
        </is>
      </c>
      <c r="C1215" t="inlineStr">
        <is>
          <t>info</t>
        </is>
      </c>
      <c r="D1215" t="inlineStr">
        <is>
          <t>R250610-wowmomo</t>
        </is>
      </c>
      <c r="E1215" t="inlineStr">
        <is>
          <t>Wow! Momo</t>
        </is>
      </c>
      <c r="F1215" s="17" t="n">
        <v>45818</v>
      </c>
      <c r="G1215" t="inlineStr">
        <is>
          <t>no report states where the company is based</t>
        </is>
      </c>
    </row>
    <row r="1216">
      <c r="A1216" t="inlineStr">
        <is>
          <t>C07</t>
        </is>
      </c>
      <c r="B1216" t="inlineStr">
        <is>
          <t>City unknown</t>
        </is>
      </c>
      <c r="C1216" t="inlineStr">
        <is>
          <t>info</t>
        </is>
      </c>
      <c r="D1216" t="inlineStr">
        <is>
          <t>R250611-leumas</t>
        </is>
      </c>
      <c r="E1216" t="inlineStr">
        <is>
          <t>Leumas</t>
        </is>
      </c>
      <c r="F1216" s="17" t="n">
        <v>45819</v>
      </c>
      <c r="G1216" t="inlineStr">
        <is>
          <t>no report states where the company is based</t>
        </is>
      </c>
    </row>
    <row r="1217">
      <c r="A1217" t="inlineStr">
        <is>
          <t>C07</t>
        </is>
      </c>
      <c r="B1217" t="inlineStr">
        <is>
          <t>City unknown</t>
        </is>
      </c>
      <c r="C1217" t="inlineStr">
        <is>
          <t>info</t>
        </is>
      </c>
      <c r="D1217" t="inlineStr">
        <is>
          <t>R250611-piston</t>
        </is>
      </c>
      <c r="E1217" t="inlineStr">
        <is>
          <t>Piston</t>
        </is>
      </c>
      <c r="F1217" s="17" t="n">
        <v>45819</v>
      </c>
      <c r="G1217" t="inlineStr">
        <is>
          <t>no report states where the company is based</t>
        </is>
      </c>
    </row>
    <row r="1218">
      <c r="A1218" t="inlineStr">
        <is>
          <t>C07</t>
        </is>
      </c>
      <c r="B1218" t="inlineStr">
        <is>
          <t>City unknown</t>
        </is>
      </c>
      <c r="C1218" t="inlineStr">
        <is>
          <t>info</t>
        </is>
      </c>
      <c r="D1218" t="inlineStr">
        <is>
          <t>R250611-refyne</t>
        </is>
      </c>
      <c r="E1218" t="inlineStr">
        <is>
          <t>Refyne</t>
        </is>
      </c>
      <c r="F1218" s="17" t="n">
        <v>45819</v>
      </c>
      <c r="G1218" t="inlineStr">
        <is>
          <t>no report states where the company is based</t>
        </is>
      </c>
    </row>
    <row r="1219">
      <c r="A1219" t="inlineStr">
        <is>
          <t>C07</t>
        </is>
      </c>
      <c r="B1219" t="inlineStr">
        <is>
          <t>City unknown</t>
        </is>
      </c>
      <c r="C1219" t="inlineStr">
        <is>
          <t>info</t>
        </is>
      </c>
      <c r="D1219" t="inlineStr">
        <is>
          <t>R250611-zolo</t>
        </is>
      </c>
      <c r="E1219" t="inlineStr">
        <is>
          <t>Zolo</t>
        </is>
      </c>
      <c r="F1219" s="17" t="n">
        <v>45819</v>
      </c>
      <c r="G1219" t="inlineStr">
        <is>
          <t>no report states where the company is based</t>
        </is>
      </c>
    </row>
    <row r="1220">
      <c r="A1220" t="inlineStr">
        <is>
          <t>C07</t>
        </is>
      </c>
      <c r="B1220" t="inlineStr">
        <is>
          <t>City unknown</t>
        </is>
      </c>
      <c r="C1220" t="inlineStr">
        <is>
          <t>info</t>
        </is>
      </c>
      <c r="D1220" t="inlineStr">
        <is>
          <t>R250612-plutope</t>
        </is>
      </c>
      <c r="E1220" t="inlineStr">
        <is>
          <t>PlutoPe</t>
        </is>
      </c>
      <c r="F1220" s="17" t="n">
        <v>45820</v>
      </c>
      <c r="G1220" t="inlineStr">
        <is>
          <t>no report states where the company is based</t>
        </is>
      </c>
    </row>
    <row r="1221">
      <c r="A1221" t="inlineStr">
        <is>
          <t>C07</t>
        </is>
      </c>
      <c r="B1221" t="inlineStr">
        <is>
          <t>City unknown</t>
        </is>
      </c>
      <c r="C1221" t="inlineStr">
        <is>
          <t>info</t>
        </is>
      </c>
      <c r="D1221" t="inlineStr">
        <is>
          <t>R250612-repello</t>
        </is>
      </c>
      <c r="E1221" t="inlineStr">
        <is>
          <t>Repello AI</t>
        </is>
      </c>
      <c r="F1221" s="17" t="n">
        <v>45820</v>
      </c>
      <c r="G1221" t="inlineStr">
        <is>
          <t>no report states where the company is based</t>
        </is>
      </c>
    </row>
    <row r="1222">
      <c r="A1222" t="inlineStr">
        <is>
          <t>C07</t>
        </is>
      </c>
      <c r="B1222" t="inlineStr">
        <is>
          <t>City unknown</t>
        </is>
      </c>
      <c r="C1222" t="inlineStr">
        <is>
          <t>info</t>
        </is>
      </c>
      <c r="D1222" t="inlineStr">
        <is>
          <t>R250613-groww</t>
        </is>
      </c>
      <c r="E1222" t="inlineStr">
        <is>
          <t>Groww</t>
        </is>
      </c>
      <c r="F1222" s="17" t="n">
        <v>45821</v>
      </c>
      <c r="G1222" t="inlineStr">
        <is>
          <t>no report states where the company is based</t>
        </is>
      </c>
    </row>
    <row r="1223">
      <c r="A1223" t="inlineStr">
        <is>
          <t>C07</t>
        </is>
      </c>
      <c r="B1223" t="inlineStr">
        <is>
          <t>City unknown</t>
        </is>
      </c>
      <c r="C1223" t="inlineStr">
        <is>
          <t>info</t>
        </is>
      </c>
      <c r="D1223" t="inlineStr">
        <is>
          <t>R250616-fundbyatomicca</t>
        </is>
      </c>
      <c r="E1223" t="inlineStr">
        <is>
          <t>fund by Atomic Capital</t>
        </is>
      </c>
      <c r="F1223" s="17" t="n">
        <v>45824</v>
      </c>
      <c r="G1223" t="inlineStr">
        <is>
          <t>no report states where the company is based</t>
        </is>
      </c>
    </row>
    <row r="1224">
      <c r="A1224" t="inlineStr">
        <is>
          <t>C07</t>
        </is>
      </c>
      <c r="B1224" t="inlineStr">
        <is>
          <t>City unknown</t>
        </is>
      </c>
      <c r="C1224" t="inlineStr">
        <is>
          <t>info</t>
        </is>
      </c>
      <c r="D1224" t="inlineStr">
        <is>
          <t>R250617-darwixai</t>
        </is>
      </c>
      <c r="E1224" t="inlineStr">
        <is>
          <t>Darwix AI</t>
        </is>
      </c>
      <c r="F1224" s="17" t="n">
        <v>45825</v>
      </c>
      <c r="G1224" t="inlineStr">
        <is>
          <t>no report states where the company is based</t>
        </is>
      </c>
    </row>
    <row r="1225">
      <c r="A1225" t="inlineStr">
        <is>
          <t>C07</t>
        </is>
      </c>
      <c r="B1225" t="inlineStr">
        <is>
          <t>City unknown</t>
        </is>
      </c>
      <c r="C1225" t="inlineStr">
        <is>
          <t>info</t>
        </is>
      </c>
      <c r="D1225" t="inlineStr">
        <is>
          <t>R250617-nbfcdugarfinan</t>
        </is>
      </c>
      <c r="E1225" t="inlineStr">
        <is>
          <t>NBFC Dugar Finance</t>
        </is>
      </c>
      <c r="F1225" s="17" t="n">
        <v>45825</v>
      </c>
      <c r="G1225" t="inlineStr">
        <is>
          <t>no report states where the company is based</t>
        </is>
      </c>
    </row>
    <row r="1226">
      <c r="A1226" t="inlineStr">
        <is>
          <t>C07</t>
        </is>
      </c>
      <c r="B1226" t="inlineStr">
        <is>
          <t>City unknown</t>
        </is>
      </c>
      <c r="C1226" t="inlineStr">
        <is>
          <t>info</t>
        </is>
      </c>
      <c r="D1226" t="inlineStr">
        <is>
          <t>R250617-pop</t>
        </is>
      </c>
      <c r="E1226" t="inlineStr">
        <is>
          <t>POP</t>
        </is>
      </c>
      <c r="F1226" s="17" t="n">
        <v>45825</v>
      </c>
      <c r="G1226" t="inlineStr">
        <is>
          <t>no report states where the company is based</t>
        </is>
      </c>
    </row>
    <row r="1227">
      <c r="A1227" t="inlineStr">
        <is>
          <t>C07</t>
        </is>
      </c>
      <c r="B1227" t="inlineStr">
        <is>
          <t>City unknown</t>
        </is>
      </c>
      <c r="C1227" t="inlineStr">
        <is>
          <t>info</t>
        </is>
      </c>
      <c r="D1227" t="inlineStr">
        <is>
          <t>R250617-xportel</t>
        </is>
      </c>
      <c r="E1227" t="inlineStr">
        <is>
          <t>Xportel</t>
        </is>
      </c>
      <c r="F1227" s="17" t="n">
        <v>45825</v>
      </c>
      <c r="G1227" t="inlineStr">
        <is>
          <t>no report states where the company is based</t>
        </is>
      </c>
    </row>
    <row r="1228">
      <c r="A1228" t="inlineStr">
        <is>
          <t>C07</t>
        </is>
      </c>
      <c r="B1228" t="inlineStr">
        <is>
          <t>City unknown</t>
        </is>
      </c>
      <c r="C1228" t="inlineStr">
        <is>
          <t>info</t>
        </is>
      </c>
      <c r="D1228" t="inlineStr">
        <is>
          <t>R250618-7ring</t>
        </is>
      </c>
      <c r="E1228" t="inlineStr">
        <is>
          <t>7 Ring</t>
        </is>
      </c>
      <c r="F1228" s="17" t="n">
        <v>45826</v>
      </c>
      <c r="G1228" t="inlineStr">
        <is>
          <t>no report states where the company is based</t>
        </is>
      </c>
    </row>
    <row r="1229">
      <c r="A1229" t="inlineStr">
        <is>
          <t>C07</t>
        </is>
      </c>
      <c r="B1229" t="inlineStr">
        <is>
          <t>City unknown</t>
        </is>
      </c>
      <c r="C1229" t="inlineStr">
        <is>
          <t>info</t>
        </is>
      </c>
      <c r="D1229" t="inlineStr">
        <is>
          <t>R250618-clrfacilityser</t>
        </is>
      </c>
      <c r="E1229" t="inlineStr">
        <is>
          <t>CLR Facility Services</t>
        </is>
      </c>
      <c r="F1229" s="17" t="n">
        <v>45826</v>
      </c>
      <c r="G1229" t="inlineStr">
        <is>
          <t>no report states where the company is based</t>
        </is>
      </c>
    </row>
    <row r="1230">
      <c r="A1230" t="inlineStr">
        <is>
          <t>C07</t>
        </is>
      </c>
      <c r="B1230" t="inlineStr">
        <is>
          <t>City unknown</t>
        </is>
      </c>
      <c r="C1230" t="inlineStr">
        <is>
          <t>info</t>
        </is>
      </c>
      <c r="D1230" t="inlineStr">
        <is>
          <t>R250619-okinawa</t>
        </is>
      </c>
      <c r="E1230" t="inlineStr">
        <is>
          <t>Okinawa</t>
        </is>
      </c>
      <c r="F1230" s="17" t="n">
        <v>45827</v>
      </c>
      <c r="G1230" t="inlineStr">
        <is>
          <t>no report states where the company is based</t>
        </is>
      </c>
    </row>
    <row r="1231">
      <c r="A1231" t="inlineStr">
        <is>
          <t>C07</t>
        </is>
      </c>
      <c r="B1231" t="inlineStr">
        <is>
          <t>City unknown</t>
        </is>
      </c>
      <c r="C1231" t="inlineStr">
        <is>
          <t>info</t>
        </is>
      </c>
      <c r="D1231" t="inlineStr">
        <is>
          <t>R250619-onehandclapmed</t>
        </is>
      </c>
      <c r="E1231" t="inlineStr">
        <is>
          <t>One Hand Clap Media</t>
        </is>
      </c>
      <c r="F1231" s="17" t="n">
        <v>45827</v>
      </c>
      <c r="G1231" t="inlineStr">
        <is>
          <t>no report states where the company is based</t>
        </is>
      </c>
    </row>
    <row r="1232">
      <c r="A1232" t="inlineStr">
        <is>
          <t>C07</t>
        </is>
      </c>
      <c r="B1232" t="inlineStr">
        <is>
          <t>City unknown</t>
        </is>
      </c>
      <c r="C1232" t="inlineStr">
        <is>
          <t>info</t>
        </is>
      </c>
      <c r="D1232" t="inlineStr">
        <is>
          <t>R250623-ekamobility</t>
        </is>
      </c>
      <c r="E1232" t="inlineStr">
        <is>
          <t>EKA Mobility</t>
        </is>
      </c>
      <c r="F1232" s="17" t="n">
        <v>45831</v>
      </c>
      <c r="G1232" t="inlineStr">
        <is>
          <t>no report states where the company is based</t>
        </is>
      </c>
    </row>
    <row r="1233">
      <c r="A1233" t="inlineStr">
        <is>
          <t>C07</t>
        </is>
      </c>
      <c r="B1233" t="inlineStr">
        <is>
          <t>City unknown</t>
        </is>
      </c>
      <c r="C1233" t="inlineStr">
        <is>
          <t>info</t>
        </is>
      </c>
      <c r="D1233" t="inlineStr">
        <is>
          <t>R250623-incredholdings</t>
        </is>
      </c>
      <c r="E1233" t="inlineStr">
        <is>
          <t>InCred Holdings</t>
        </is>
      </c>
      <c r="F1233" s="17" t="n">
        <v>45831</v>
      </c>
      <c r="G1233" t="inlineStr">
        <is>
          <t>no report states where the company is based</t>
        </is>
      </c>
    </row>
    <row r="1234">
      <c r="A1234" t="inlineStr">
        <is>
          <t>C07</t>
        </is>
      </c>
      <c r="B1234" t="inlineStr">
        <is>
          <t>City unknown</t>
        </is>
      </c>
      <c r="C1234" t="inlineStr">
        <is>
          <t>info</t>
        </is>
      </c>
      <c r="D1234" t="inlineStr">
        <is>
          <t>R250623-rabitat</t>
        </is>
      </c>
      <c r="E1234" t="inlineStr">
        <is>
          <t>Rabitat</t>
        </is>
      </c>
      <c r="F1234" s="17" t="n">
        <v>45831</v>
      </c>
      <c r="G1234" t="inlineStr">
        <is>
          <t>no report states where the company is based</t>
        </is>
      </c>
    </row>
    <row r="1235">
      <c r="A1235" t="inlineStr">
        <is>
          <t>C07</t>
        </is>
      </c>
      <c r="B1235" t="inlineStr">
        <is>
          <t>City unknown</t>
        </is>
      </c>
      <c r="C1235" t="inlineStr">
        <is>
          <t>info</t>
        </is>
      </c>
      <c r="D1235" t="inlineStr">
        <is>
          <t>R250624-innovodigm</t>
        </is>
      </c>
      <c r="E1235" t="inlineStr">
        <is>
          <t>Innovodigm</t>
        </is>
      </c>
      <c r="F1235" s="17" t="n">
        <v>45832</v>
      </c>
      <c r="G1235" t="inlineStr">
        <is>
          <t>no report states where the company is based</t>
        </is>
      </c>
    </row>
    <row r="1236">
      <c r="A1236" t="inlineStr">
        <is>
          <t>C07</t>
        </is>
      </c>
      <c r="B1236" t="inlineStr">
        <is>
          <t>City unknown</t>
        </is>
      </c>
      <c r="C1236" t="inlineStr">
        <is>
          <t>info</t>
        </is>
      </c>
      <c r="D1236" t="inlineStr">
        <is>
          <t>R250625-armory</t>
        </is>
      </c>
      <c r="E1236" t="inlineStr">
        <is>
          <t>Armory</t>
        </is>
      </c>
      <c r="F1236" s="17" t="n">
        <v>45833</v>
      </c>
      <c r="G1236" t="inlineStr">
        <is>
          <t>no report states where the company is based</t>
        </is>
      </c>
    </row>
    <row r="1237">
      <c r="A1237" t="inlineStr">
        <is>
          <t>C07</t>
        </is>
      </c>
      <c r="B1237" t="inlineStr">
        <is>
          <t>City unknown</t>
        </is>
      </c>
      <c r="C1237" t="inlineStr">
        <is>
          <t>info</t>
        </is>
      </c>
      <c r="D1237" t="inlineStr">
        <is>
          <t>R250625-auraml</t>
        </is>
      </c>
      <c r="E1237" t="inlineStr">
        <is>
          <t>AuraML</t>
        </is>
      </c>
      <c r="F1237" s="17" t="n">
        <v>45833</v>
      </c>
      <c r="G1237" t="inlineStr">
        <is>
          <t>no report states where the company is based</t>
        </is>
      </c>
    </row>
    <row r="1238">
      <c r="A1238" t="inlineStr">
        <is>
          <t>C07</t>
        </is>
      </c>
      <c r="B1238" t="inlineStr">
        <is>
          <t>City unknown</t>
        </is>
      </c>
      <c r="C1238" t="inlineStr">
        <is>
          <t>info</t>
        </is>
      </c>
      <c r="D1238" t="inlineStr">
        <is>
          <t>R250626-jobizo</t>
        </is>
      </c>
      <c r="E1238" t="inlineStr">
        <is>
          <t>Jobizo</t>
        </is>
      </c>
      <c r="F1238" s="17" t="n">
        <v>45834</v>
      </c>
      <c r="G1238" t="inlineStr">
        <is>
          <t>no report states where the company is based</t>
        </is>
      </c>
    </row>
    <row r="1239">
      <c r="A1239" t="inlineStr">
        <is>
          <t>C07</t>
        </is>
      </c>
      <c r="B1239" t="inlineStr">
        <is>
          <t>City unknown</t>
        </is>
      </c>
      <c r="C1239" t="inlineStr">
        <is>
          <t>info</t>
        </is>
      </c>
      <c r="D1239" t="inlineStr">
        <is>
          <t>R250627-coratiatechnol</t>
        </is>
      </c>
      <c r="E1239" t="inlineStr">
        <is>
          <t>Coratia Technologies</t>
        </is>
      </c>
      <c r="F1239" s="17" t="n">
        <v>45835</v>
      </c>
      <c r="G1239" t="inlineStr">
        <is>
          <t>no report states where the company is based</t>
        </is>
      </c>
    </row>
    <row r="1240">
      <c r="A1240" t="inlineStr">
        <is>
          <t>C07</t>
        </is>
      </c>
      <c r="B1240" t="inlineStr">
        <is>
          <t>City unknown</t>
        </is>
      </c>
      <c r="C1240" t="inlineStr">
        <is>
          <t>info</t>
        </is>
      </c>
      <c r="D1240" t="inlineStr">
        <is>
          <t>R250701-fincfriends</t>
        </is>
      </c>
      <c r="E1240" t="inlineStr">
        <is>
          <t>FincFriends</t>
        </is>
      </c>
      <c r="F1240" s="17" t="n">
        <v>45839</v>
      </c>
      <c r="G1240" t="inlineStr">
        <is>
          <t>no report states where the company is based</t>
        </is>
      </c>
    </row>
    <row r="1241">
      <c r="A1241" t="inlineStr">
        <is>
          <t>C07</t>
        </is>
      </c>
      <c r="B1241" t="inlineStr">
        <is>
          <t>City unknown</t>
        </is>
      </c>
      <c r="C1241" t="inlineStr">
        <is>
          <t>info</t>
        </is>
      </c>
      <c r="D1241" t="inlineStr">
        <is>
          <t>R250701-zangoai</t>
        </is>
      </c>
      <c r="E1241" t="inlineStr">
        <is>
          <t>Zango AI</t>
        </is>
      </c>
      <c r="F1241" s="17" t="n">
        <v>45839</v>
      </c>
      <c r="G1241" t="inlineStr">
        <is>
          <t>no report states where the company is based</t>
        </is>
      </c>
    </row>
    <row r="1242">
      <c r="A1242" t="inlineStr">
        <is>
          <t>C07</t>
        </is>
      </c>
      <c r="B1242" t="inlineStr">
        <is>
          <t>City unknown</t>
        </is>
      </c>
      <c r="C1242" t="inlineStr">
        <is>
          <t>info</t>
        </is>
      </c>
      <c r="D1242" t="inlineStr">
        <is>
          <t>R250702-iora</t>
        </is>
      </c>
      <c r="E1242" t="inlineStr">
        <is>
          <t>IORA</t>
        </is>
      </c>
      <c r="F1242" s="17" t="n">
        <v>45840</v>
      </c>
      <c r="G1242" t="inlineStr">
        <is>
          <t>no report states where the company is based</t>
        </is>
      </c>
    </row>
    <row r="1243">
      <c r="A1243" t="inlineStr">
        <is>
          <t>C07</t>
        </is>
      </c>
      <c r="B1243" t="inlineStr">
        <is>
          <t>City unknown</t>
        </is>
      </c>
      <c r="C1243" t="inlineStr">
        <is>
          <t>info</t>
        </is>
      </c>
      <c r="D1243" t="inlineStr">
        <is>
          <t>R250703-incredfinance</t>
        </is>
      </c>
      <c r="E1243" t="inlineStr">
        <is>
          <t>InCred Finance</t>
        </is>
      </c>
      <c r="F1243" s="17" t="n">
        <v>45841</v>
      </c>
      <c r="G1243" t="inlineStr">
        <is>
          <t>no report states where the company is based</t>
        </is>
      </c>
    </row>
    <row r="1244">
      <c r="A1244" t="inlineStr">
        <is>
          <t>C07</t>
        </is>
      </c>
      <c r="B1244" t="inlineStr">
        <is>
          <t>City unknown</t>
        </is>
      </c>
      <c r="C1244" t="inlineStr">
        <is>
          <t>info</t>
        </is>
      </c>
      <c r="D1244" t="inlineStr">
        <is>
          <t>R250707-amama</t>
        </is>
      </c>
      <c r="E1244" t="inlineStr">
        <is>
          <t>AMAMA</t>
        </is>
      </c>
      <c r="F1244" s="17" t="n">
        <v>45845</v>
      </c>
      <c r="G1244" t="inlineStr">
        <is>
          <t>no report states where the company is based</t>
        </is>
      </c>
    </row>
    <row r="1245">
      <c r="A1245" t="inlineStr">
        <is>
          <t>C07</t>
        </is>
      </c>
      <c r="B1245" t="inlineStr">
        <is>
          <t>City unknown</t>
        </is>
      </c>
      <c r="C1245" t="inlineStr">
        <is>
          <t>info</t>
        </is>
      </c>
      <c r="D1245" t="inlineStr">
        <is>
          <t>R250707-divinehindu</t>
        </is>
      </c>
      <c r="E1245" t="inlineStr">
        <is>
          <t>Divine Hindu</t>
        </is>
      </c>
      <c r="F1245" s="17" t="n">
        <v>45845</v>
      </c>
      <c r="G1245" t="inlineStr">
        <is>
          <t>no report states where the company is based</t>
        </is>
      </c>
    </row>
    <row r="1246">
      <c r="A1246" t="inlineStr">
        <is>
          <t>C07</t>
        </is>
      </c>
      <c r="B1246" t="inlineStr">
        <is>
          <t>City unknown</t>
        </is>
      </c>
      <c r="C1246" t="inlineStr">
        <is>
          <t>info</t>
        </is>
      </c>
      <c r="D1246" t="inlineStr">
        <is>
          <t>R250707-wiselife</t>
        </is>
      </c>
      <c r="E1246" t="inlineStr">
        <is>
          <t>WiseLife</t>
        </is>
      </c>
      <c r="F1246" s="17" t="n">
        <v>45845</v>
      </c>
      <c r="G1246" t="inlineStr">
        <is>
          <t>no report states where the company is based</t>
        </is>
      </c>
    </row>
    <row r="1247">
      <c r="A1247" t="inlineStr">
        <is>
          <t>C07</t>
        </is>
      </c>
      <c r="B1247" t="inlineStr">
        <is>
          <t>City unknown</t>
        </is>
      </c>
      <c r="C1247" t="inlineStr">
        <is>
          <t>info</t>
        </is>
      </c>
      <c r="D1247" t="inlineStr">
        <is>
          <t>R250709-belong</t>
        </is>
      </c>
      <c r="E1247" t="inlineStr">
        <is>
          <t>Belong</t>
        </is>
      </c>
      <c r="F1247" s="17" t="n">
        <v>45847</v>
      </c>
      <c r="G1247" t="inlineStr">
        <is>
          <t>no report states where the company is based</t>
        </is>
      </c>
    </row>
    <row r="1248">
      <c r="A1248" t="inlineStr">
        <is>
          <t>C07</t>
        </is>
      </c>
      <c r="B1248" t="inlineStr">
        <is>
          <t>City unknown</t>
        </is>
      </c>
      <c r="C1248" t="inlineStr">
        <is>
          <t>info</t>
        </is>
      </c>
      <c r="D1248" t="inlineStr">
        <is>
          <t>R250709-enercomp</t>
        </is>
      </c>
      <c r="E1248" t="inlineStr">
        <is>
          <t>Enercomp</t>
        </is>
      </c>
      <c r="F1248" s="17" t="n">
        <v>45847</v>
      </c>
      <c r="G1248" t="inlineStr">
        <is>
          <t>no report states where the company is based</t>
        </is>
      </c>
    </row>
    <row r="1249">
      <c r="A1249" t="inlineStr">
        <is>
          <t>C07</t>
        </is>
      </c>
      <c r="B1249" t="inlineStr">
        <is>
          <t>City unknown</t>
        </is>
      </c>
      <c r="C1249" t="inlineStr">
        <is>
          <t>info</t>
        </is>
      </c>
      <c r="D1249" t="inlineStr">
        <is>
          <t>R250709-jehaerospace</t>
        </is>
      </c>
      <c r="E1249" t="inlineStr">
        <is>
          <t>Jeh Aerospace</t>
        </is>
      </c>
      <c r="F1249" s="17" t="n">
        <v>45847</v>
      </c>
      <c r="G1249" t="inlineStr">
        <is>
          <t>no report states where the company is based</t>
        </is>
      </c>
    </row>
    <row r="1250">
      <c r="A1250" t="inlineStr">
        <is>
          <t>C07</t>
        </is>
      </c>
      <c r="B1250" t="inlineStr">
        <is>
          <t>City unknown</t>
        </is>
      </c>
      <c r="C1250" t="inlineStr">
        <is>
          <t>info</t>
        </is>
      </c>
      <c r="D1250" t="inlineStr">
        <is>
          <t>R250709-ldotr</t>
        </is>
      </c>
      <c r="E1250" t="inlineStr">
        <is>
          <t>LdotR</t>
        </is>
      </c>
      <c r="F1250" s="17" t="n">
        <v>45847</v>
      </c>
      <c r="G1250" t="inlineStr">
        <is>
          <t>no report states where the company is based</t>
        </is>
      </c>
    </row>
    <row r="1251">
      <c r="A1251" t="inlineStr">
        <is>
          <t>C07</t>
        </is>
      </c>
      <c r="B1251" t="inlineStr">
        <is>
          <t>City unknown</t>
        </is>
      </c>
      <c r="C1251" t="inlineStr">
        <is>
          <t>info</t>
        </is>
      </c>
      <c r="D1251" t="inlineStr">
        <is>
          <t>R250710-arteriatechnol</t>
        </is>
      </c>
      <c r="E1251" t="inlineStr">
        <is>
          <t>Arteria Technologies</t>
        </is>
      </c>
      <c r="F1251" s="17" t="n">
        <v>45848</v>
      </c>
      <c r="G1251" t="inlineStr">
        <is>
          <t>no report states where the company is based</t>
        </is>
      </c>
    </row>
    <row r="1252">
      <c r="A1252" t="inlineStr">
        <is>
          <t>C07</t>
        </is>
      </c>
      <c r="B1252" t="inlineStr">
        <is>
          <t>City unknown</t>
        </is>
      </c>
      <c r="C1252" t="inlineStr">
        <is>
          <t>info</t>
        </is>
      </c>
      <c r="D1252" t="inlineStr">
        <is>
          <t>R250710-cleanfanatics</t>
        </is>
      </c>
      <c r="E1252" t="inlineStr">
        <is>
          <t>Clean Fanatics</t>
        </is>
      </c>
      <c r="F1252" s="17" t="n">
        <v>45848</v>
      </c>
      <c r="G1252" t="inlineStr">
        <is>
          <t>no report states where the company is based</t>
        </is>
      </c>
    </row>
    <row r="1253">
      <c r="A1253" t="inlineStr">
        <is>
          <t>C07</t>
        </is>
      </c>
      <c r="B1253" t="inlineStr">
        <is>
          <t>City unknown</t>
        </is>
      </c>
      <c r="C1253" t="inlineStr">
        <is>
          <t>info</t>
        </is>
      </c>
      <c r="D1253" t="inlineStr">
        <is>
          <t>R250711-gramik</t>
        </is>
      </c>
      <c r="E1253" t="inlineStr">
        <is>
          <t>Gramik</t>
        </is>
      </c>
      <c r="F1253" s="17" t="n">
        <v>45849</v>
      </c>
      <c r="G1253" t="inlineStr">
        <is>
          <t>no report states where the company is based</t>
        </is>
      </c>
    </row>
    <row r="1254">
      <c r="A1254" t="inlineStr">
        <is>
          <t>C07</t>
        </is>
      </c>
      <c r="B1254" t="inlineStr">
        <is>
          <t>City unknown</t>
        </is>
      </c>
      <c r="C1254" t="inlineStr">
        <is>
          <t>info</t>
        </is>
      </c>
      <c r="D1254" t="inlineStr">
        <is>
          <t>R250714-gibran</t>
        </is>
      </c>
      <c r="E1254" t="inlineStr">
        <is>
          <t>Gibran</t>
        </is>
      </c>
      <c r="F1254" s="17" t="n">
        <v>45852</v>
      </c>
      <c r="G1254" t="inlineStr">
        <is>
          <t>no report states where the company is based</t>
        </is>
      </c>
    </row>
    <row r="1255">
      <c r="A1255" t="inlineStr">
        <is>
          <t>C07</t>
        </is>
      </c>
      <c r="B1255" t="inlineStr">
        <is>
          <t>City unknown</t>
        </is>
      </c>
      <c r="C1255" t="inlineStr">
        <is>
          <t>info</t>
        </is>
      </c>
      <c r="D1255" t="inlineStr">
        <is>
          <t>R250714-unibose</t>
        </is>
      </c>
      <c r="E1255" t="inlineStr">
        <is>
          <t>Unibose</t>
        </is>
      </c>
      <c r="F1255" s="17" t="n">
        <v>45852</v>
      </c>
      <c r="G1255" t="inlineStr">
        <is>
          <t>no report states where the company is based</t>
        </is>
      </c>
    </row>
    <row r="1256">
      <c r="A1256" t="inlineStr">
        <is>
          <t>C07</t>
        </is>
      </c>
      <c r="B1256" t="inlineStr">
        <is>
          <t>City unknown</t>
        </is>
      </c>
      <c r="C1256" t="inlineStr">
        <is>
          <t>info</t>
        </is>
      </c>
      <c r="D1256" t="inlineStr">
        <is>
          <t>R250715-cosmoss</t>
        </is>
      </c>
      <c r="E1256" t="inlineStr">
        <is>
          <t>CosMoss</t>
        </is>
      </c>
      <c r="F1256" s="17" t="n">
        <v>45853</v>
      </c>
      <c r="G1256" t="inlineStr">
        <is>
          <t>no report states where the company is based</t>
        </is>
      </c>
    </row>
    <row r="1257">
      <c r="A1257" t="inlineStr">
        <is>
          <t>C07</t>
        </is>
      </c>
      <c r="B1257" t="inlineStr">
        <is>
          <t>City unknown</t>
        </is>
      </c>
      <c r="C1257" t="inlineStr">
        <is>
          <t>info</t>
        </is>
      </c>
      <c r="D1257" t="inlineStr">
        <is>
          <t>R250715-dial4242</t>
        </is>
      </c>
      <c r="E1257" t="inlineStr">
        <is>
          <t>Dial4242</t>
        </is>
      </c>
      <c r="F1257" s="17" t="n">
        <v>45853</v>
      </c>
      <c r="G1257" t="inlineStr">
        <is>
          <t>no report states where the company is based</t>
        </is>
      </c>
    </row>
    <row r="1258">
      <c r="A1258" t="inlineStr">
        <is>
          <t>C07</t>
        </is>
      </c>
      <c r="B1258" t="inlineStr">
        <is>
          <t>City unknown</t>
        </is>
      </c>
      <c r="C1258" t="inlineStr">
        <is>
          <t>info</t>
        </is>
      </c>
      <c r="D1258" t="inlineStr">
        <is>
          <t>R250715-fractal</t>
        </is>
      </c>
      <c r="E1258" t="inlineStr">
        <is>
          <t>Fractal</t>
        </is>
      </c>
      <c r="F1258" s="17" t="n">
        <v>45853</v>
      </c>
      <c r="G1258" t="inlineStr">
        <is>
          <t>no report states where the company is based</t>
        </is>
      </c>
    </row>
    <row r="1259">
      <c r="A1259" t="inlineStr">
        <is>
          <t>C07</t>
        </is>
      </c>
      <c r="B1259" t="inlineStr">
        <is>
          <t>City unknown</t>
        </is>
      </c>
      <c r="C1259" t="inlineStr">
        <is>
          <t>info</t>
        </is>
      </c>
      <c r="D1259" t="inlineStr">
        <is>
          <t>R250715-navanaai</t>
        </is>
      </c>
      <c r="E1259" t="inlineStr">
        <is>
          <t>Navana.ai</t>
        </is>
      </c>
      <c r="F1259" s="17" t="n">
        <v>45853</v>
      </c>
      <c r="G1259" t="inlineStr">
        <is>
          <t>no report states where the company is based</t>
        </is>
      </c>
    </row>
    <row r="1260">
      <c r="A1260" t="inlineStr">
        <is>
          <t>C07</t>
        </is>
      </c>
      <c r="B1260" t="inlineStr">
        <is>
          <t>City unknown</t>
        </is>
      </c>
      <c r="C1260" t="inlineStr">
        <is>
          <t>info</t>
        </is>
      </c>
      <c r="D1260" t="inlineStr">
        <is>
          <t>R250716-culturecircle</t>
        </is>
      </c>
      <c r="E1260" t="inlineStr">
        <is>
          <t>Culture Circle</t>
        </is>
      </c>
      <c r="F1260" s="17" t="n">
        <v>45854</v>
      </c>
      <c r="G1260" t="inlineStr">
        <is>
          <t>no report states where the company is based</t>
        </is>
      </c>
    </row>
    <row r="1261">
      <c r="A1261" t="inlineStr">
        <is>
          <t>C07</t>
        </is>
      </c>
      <c r="B1261" t="inlineStr">
        <is>
          <t>City unknown</t>
        </is>
      </c>
      <c r="C1261" t="inlineStr">
        <is>
          <t>info</t>
        </is>
      </c>
      <c r="D1261" t="inlineStr">
        <is>
          <t>R250716-zuluclub</t>
        </is>
      </c>
      <c r="E1261" t="inlineStr">
        <is>
          <t>Zulu Club</t>
        </is>
      </c>
      <c r="F1261" s="17" t="n">
        <v>45854</v>
      </c>
      <c r="G1261" t="inlineStr">
        <is>
          <t>no report states where the company is based</t>
        </is>
      </c>
    </row>
    <row r="1262">
      <c r="A1262" t="inlineStr">
        <is>
          <t>C07</t>
        </is>
      </c>
      <c r="B1262" t="inlineStr">
        <is>
          <t>City unknown</t>
        </is>
      </c>
      <c r="C1262" t="inlineStr">
        <is>
          <t>info</t>
        </is>
      </c>
      <c r="D1262" t="inlineStr">
        <is>
          <t>R250717-onetabai</t>
        </is>
      </c>
      <c r="E1262" t="inlineStr">
        <is>
          <t>Onetab.ai</t>
        </is>
      </c>
      <c r="F1262" s="17" t="n">
        <v>45855</v>
      </c>
      <c r="G1262" t="inlineStr">
        <is>
          <t>no report states where the company is based</t>
        </is>
      </c>
    </row>
    <row r="1263">
      <c r="A1263" t="inlineStr">
        <is>
          <t>C07</t>
        </is>
      </c>
      <c r="B1263" t="inlineStr">
        <is>
          <t>City unknown</t>
        </is>
      </c>
      <c r="C1263" t="inlineStr">
        <is>
          <t>info</t>
        </is>
      </c>
      <c r="D1263" t="inlineStr">
        <is>
          <t>R250717-parkobot</t>
        </is>
      </c>
      <c r="E1263" t="inlineStr">
        <is>
          <t>Parkobot</t>
        </is>
      </c>
      <c r="F1263" s="17" t="n">
        <v>45855</v>
      </c>
      <c r="G1263" t="inlineStr">
        <is>
          <t>no report states where the company is based</t>
        </is>
      </c>
    </row>
    <row r="1264">
      <c r="A1264" t="inlineStr">
        <is>
          <t>C07</t>
        </is>
      </c>
      <c r="B1264" t="inlineStr">
        <is>
          <t>City unknown</t>
        </is>
      </c>
      <c r="C1264" t="inlineStr">
        <is>
          <t>info</t>
        </is>
      </c>
      <c r="D1264" t="inlineStr">
        <is>
          <t>R250718-bqp</t>
        </is>
      </c>
      <c r="E1264" t="inlineStr">
        <is>
          <t>BQP</t>
        </is>
      </c>
      <c r="F1264" s="17" t="n">
        <v>45856</v>
      </c>
      <c r="G1264" t="inlineStr">
        <is>
          <t>no report states where the company is based</t>
        </is>
      </c>
    </row>
    <row r="1265">
      <c r="A1265" t="inlineStr">
        <is>
          <t>C07</t>
        </is>
      </c>
      <c r="B1265" t="inlineStr">
        <is>
          <t>City unknown</t>
        </is>
      </c>
      <c r="C1265" t="inlineStr">
        <is>
          <t>info</t>
        </is>
      </c>
      <c r="D1265" t="inlineStr">
        <is>
          <t>R250718-curefit</t>
        </is>
      </c>
      <c r="E1265" t="inlineStr">
        <is>
          <t>CureFit</t>
        </is>
      </c>
      <c r="F1265" s="17" t="n">
        <v>45856</v>
      </c>
      <c r="G1265" t="inlineStr">
        <is>
          <t>no report states where the company is based</t>
        </is>
      </c>
    </row>
    <row r="1266">
      <c r="A1266" t="inlineStr">
        <is>
          <t>C07</t>
        </is>
      </c>
      <c r="B1266" t="inlineStr">
        <is>
          <t>City unknown</t>
        </is>
      </c>
      <c r="C1266" t="inlineStr">
        <is>
          <t>info</t>
        </is>
      </c>
      <c r="D1266" t="inlineStr">
        <is>
          <t>R250721-anny</t>
        </is>
      </c>
      <c r="E1266" t="inlineStr">
        <is>
          <t>ANNY</t>
        </is>
      </c>
      <c r="F1266" s="17" t="n">
        <v>45859</v>
      </c>
      <c r="G1266" t="inlineStr">
        <is>
          <t>no report states where the company is based</t>
        </is>
      </c>
    </row>
    <row r="1267">
      <c r="A1267" t="inlineStr">
        <is>
          <t>C07</t>
        </is>
      </c>
      <c r="B1267" t="inlineStr">
        <is>
          <t>City unknown</t>
        </is>
      </c>
      <c r="C1267" t="inlineStr">
        <is>
          <t>info</t>
        </is>
      </c>
      <c r="D1267" t="inlineStr">
        <is>
          <t>R250721-edufund</t>
        </is>
      </c>
      <c r="E1267" t="inlineStr">
        <is>
          <t>EduFund</t>
        </is>
      </c>
      <c r="F1267" s="17" t="n">
        <v>45859</v>
      </c>
      <c r="G1267" t="inlineStr">
        <is>
          <t>no report states where the company is based</t>
        </is>
      </c>
    </row>
    <row r="1268">
      <c r="A1268" t="inlineStr">
        <is>
          <t>C07</t>
        </is>
      </c>
      <c r="B1268" t="inlineStr">
        <is>
          <t>City unknown</t>
        </is>
      </c>
      <c r="C1268" t="inlineStr">
        <is>
          <t>info</t>
        </is>
      </c>
      <c r="D1268" t="inlineStr">
        <is>
          <t>R250721-hudle</t>
        </is>
      </c>
      <c r="E1268" t="inlineStr">
        <is>
          <t>Hudle</t>
        </is>
      </c>
      <c r="F1268" s="17" t="n">
        <v>45859</v>
      </c>
      <c r="G1268" t="inlineStr">
        <is>
          <t>no report states where the company is based</t>
        </is>
      </c>
    </row>
    <row r="1269">
      <c r="A1269" t="inlineStr">
        <is>
          <t>C07</t>
        </is>
      </c>
      <c r="B1269" t="inlineStr">
        <is>
          <t>City unknown</t>
        </is>
      </c>
      <c r="C1269" t="inlineStr">
        <is>
          <t>info</t>
        </is>
      </c>
      <c r="D1269" t="inlineStr">
        <is>
          <t>R250721-plenometechnol</t>
        </is>
      </c>
      <c r="E1269" t="inlineStr">
        <is>
          <t>Plenome Technologies</t>
        </is>
      </c>
      <c r="F1269" s="17" t="n">
        <v>45859</v>
      </c>
      <c r="G1269" t="inlineStr">
        <is>
          <t>no report states where the company is based</t>
        </is>
      </c>
    </row>
    <row r="1270">
      <c r="A1270" t="inlineStr">
        <is>
          <t>C07</t>
        </is>
      </c>
      <c r="B1270" t="inlineStr">
        <is>
          <t>City unknown</t>
        </is>
      </c>
      <c r="C1270" t="inlineStr">
        <is>
          <t>info</t>
        </is>
      </c>
      <c r="D1270" t="inlineStr">
        <is>
          <t>R250722-composio</t>
        </is>
      </c>
      <c r="E1270" t="inlineStr">
        <is>
          <t>Composio</t>
        </is>
      </c>
      <c r="F1270" s="17" t="n">
        <v>45860</v>
      </c>
      <c r="G1270" t="inlineStr">
        <is>
          <t>no report states where the company is based</t>
        </is>
      </c>
    </row>
    <row r="1271">
      <c r="A1271" t="inlineStr">
        <is>
          <t>C07</t>
        </is>
      </c>
      <c r="B1271" t="inlineStr">
        <is>
          <t>City unknown</t>
        </is>
      </c>
      <c r="C1271" t="inlineStr">
        <is>
          <t>info</t>
        </is>
      </c>
      <c r="D1271" t="inlineStr">
        <is>
          <t>R250722-klugklug</t>
        </is>
      </c>
      <c r="E1271" t="inlineStr">
        <is>
          <t>KlugKlug</t>
        </is>
      </c>
      <c r="F1271" s="17" t="n">
        <v>45860</v>
      </c>
      <c r="G1271" t="inlineStr">
        <is>
          <t>no report states where the company is based</t>
        </is>
      </c>
    </row>
    <row r="1272">
      <c r="A1272" t="inlineStr">
        <is>
          <t>C07</t>
        </is>
      </c>
      <c r="B1272" t="inlineStr">
        <is>
          <t>City unknown</t>
        </is>
      </c>
      <c r="C1272" t="inlineStr">
        <is>
          <t>info</t>
        </is>
      </c>
      <c r="D1272" t="inlineStr">
        <is>
          <t>R250723-coluxe</t>
        </is>
      </c>
      <c r="E1272" t="inlineStr">
        <is>
          <t>Coluxe</t>
        </is>
      </c>
      <c r="F1272" s="17" t="n">
        <v>45861</v>
      </c>
      <c r="G1272" t="inlineStr">
        <is>
          <t>no report states where the company is based</t>
        </is>
      </c>
    </row>
    <row r="1273">
      <c r="A1273" t="inlineStr">
        <is>
          <t>C07</t>
        </is>
      </c>
      <c r="B1273" t="inlineStr">
        <is>
          <t>City unknown</t>
        </is>
      </c>
      <c r="C1273" t="inlineStr">
        <is>
          <t>info</t>
        </is>
      </c>
      <c r="D1273" t="inlineStr">
        <is>
          <t>R250723-inboundaerospa</t>
        </is>
      </c>
      <c r="E1273" t="inlineStr">
        <is>
          <t>Inbound Aerospace</t>
        </is>
      </c>
      <c r="F1273" s="17" t="n">
        <v>45861</v>
      </c>
      <c r="G1273" t="inlineStr">
        <is>
          <t>no report states where the company is based</t>
        </is>
      </c>
    </row>
    <row r="1274">
      <c r="A1274" t="inlineStr">
        <is>
          <t>C07</t>
        </is>
      </c>
      <c r="B1274" t="inlineStr">
        <is>
          <t>City unknown</t>
        </is>
      </c>
      <c r="C1274" t="inlineStr">
        <is>
          <t>info</t>
        </is>
      </c>
      <c r="D1274" t="inlineStr">
        <is>
          <t>R250723-ituring</t>
        </is>
      </c>
      <c r="E1274" t="inlineStr">
        <is>
          <t>iTuring.AI</t>
        </is>
      </c>
      <c r="F1274" s="17" t="n">
        <v>45861</v>
      </c>
      <c r="G1274" t="inlineStr">
        <is>
          <t>no report states where the company is based</t>
        </is>
      </c>
    </row>
    <row r="1275">
      <c r="A1275" t="inlineStr">
        <is>
          <t>C07</t>
        </is>
      </c>
      <c r="B1275" t="inlineStr">
        <is>
          <t>City unknown</t>
        </is>
      </c>
      <c r="C1275" t="inlineStr">
        <is>
          <t>info</t>
        </is>
      </c>
      <c r="D1275" t="inlineStr">
        <is>
          <t>R250723-kluiszai</t>
        </is>
      </c>
      <c r="E1275" t="inlineStr">
        <is>
          <t>Kluisz.ai</t>
        </is>
      </c>
      <c r="F1275" s="17" t="n">
        <v>45861</v>
      </c>
      <c r="G1275" t="inlineStr">
        <is>
          <t>no report states where the company is based</t>
        </is>
      </c>
    </row>
    <row r="1276">
      <c r="A1276" t="inlineStr">
        <is>
          <t>C07</t>
        </is>
      </c>
      <c r="B1276" t="inlineStr">
        <is>
          <t>City unknown</t>
        </is>
      </c>
      <c r="C1276" t="inlineStr">
        <is>
          <t>info</t>
        </is>
      </c>
      <c r="D1276" t="inlineStr">
        <is>
          <t>R250723-pristyncare</t>
        </is>
      </c>
      <c r="E1276" t="inlineStr">
        <is>
          <t>Pristyn Care</t>
        </is>
      </c>
      <c r="F1276" s="17" t="n">
        <v>45861</v>
      </c>
      <c r="G1276" t="inlineStr">
        <is>
          <t>no report states where the company is based</t>
        </is>
      </c>
    </row>
    <row r="1277">
      <c r="A1277" t="inlineStr">
        <is>
          <t>C07</t>
        </is>
      </c>
      <c r="B1277" t="inlineStr">
        <is>
          <t>City unknown</t>
        </is>
      </c>
      <c r="C1277" t="inlineStr">
        <is>
          <t>info</t>
        </is>
      </c>
      <c r="D1277" t="inlineStr">
        <is>
          <t>R250723-sugarcosmetics</t>
        </is>
      </c>
      <c r="E1277" t="inlineStr">
        <is>
          <t>Sugar Cosmetics</t>
        </is>
      </c>
      <c r="F1277" s="17" t="n">
        <v>45861</v>
      </c>
      <c r="G1277" t="inlineStr">
        <is>
          <t>no report states where the company is based</t>
        </is>
      </c>
    </row>
    <row r="1278">
      <c r="A1278" t="inlineStr">
        <is>
          <t>C07</t>
        </is>
      </c>
      <c r="B1278" t="inlineStr">
        <is>
          <t>City unknown</t>
        </is>
      </c>
      <c r="C1278" t="inlineStr">
        <is>
          <t>info</t>
        </is>
      </c>
      <c r="D1278" t="inlineStr">
        <is>
          <t>R250724-bharatsure</t>
        </is>
      </c>
      <c r="E1278" t="inlineStr">
        <is>
          <t>Bharatsure</t>
        </is>
      </c>
      <c r="F1278" s="17" t="n">
        <v>45862</v>
      </c>
      <c r="G1278" t="inlineStr">
        <is>
          <t>no report states where the company is based</t>
        </is>
      </c>
    </row>
    <row r="1279">
      <c r="A1279" t="inlineStr">
        <is>
          <t>C07</t>
        </is>
      </c>
      <c r="B1279" t="inlineStr">
        <is>
          <t>City unknown</t>
        </is>
      </c>
      <c r="C1279" t="inlineStr">
        <is>
          <t>info</t>
        </is>
      </c>
      <c r="D1279" t="inlineStr">
        <is>
          <t>R250724-netrasemi</t>
        </is>
      </c>
      <c r="E1279" t="inlineStr">
        <is>
          <t>Netrasemi</t>
        </is>
      </c>
      <c r="F1279" s="17" t="n">
        <v>45862</v>
      </c>
      <c r="G1279" t="inlineStr">
        <is>
          <t>no report states where the company is based</t>
        </is>
      </c>
    </row>
    <row r="1280">
      <c r="A1280" t="inlineStr">
        <is>
          <t>C07</t>
        </is>
      </c>
      <c r="B1280" t="inlineStr">
        <is>
          <t>City unknown</t>
        </is>
      </c>
      <c r="C1280" t="inlineStr">
        <is>
          <t>info</t>
        </is>
      </c>
      <c r="D1280" t="inlineStr">
        <is>
          <t>R250724-roastfoods</t>
        </is>
      </c>
      <c r="E1280" t="inlineStr">
        <is>
          <t>Roast Foods</t>
        </is>
      </c>
      <c r="F1280" s="17" t="n">
        <v>45862</v>
      </c>
      <c r="G1280" t="inlineStr">
        <is>
          <t>no report states where the company is based</t>
        </is>
      </c>
    </row>
    <row r="1281">
      <c r="A1281" t="inlineStr">
        <is>
          <t>C07</t>
        </is>
      </c>
      <c r="B1281" t="inlineStr">
        <is>
          <t>City unknown</t>
        </is>
      </c>
      <c r="C1281" t="inlineStr">
        <is>
          <t>info</t>
        </is>
      </c>
      <c r="D1281" t="inlineStr">
        <is>
          <t>R250729-passprttrips</t>
        </is>
      </c>
      <c r="E1281" t="inlineStr">
        <is>
          <t>Passprt Trips</t>
        </is>
      </c>
      <c r="F1281" s="17" t="n">
        <v>45867</v>
      </c>
      <c r="G1281" t="inlineStr">
        <is>
          <t>no report states where the company is based</t>
        </is>
      </c>
    </row>
    <row r="1282">
      <c r="A1282" t="inlineStr">
        <is>
          <t>C07</t>
        </is>
      </c>
      <c r="B1282" t="inlineStr">
        <is>
          <t>City unknown</t>
        </is>
      </c>
      <c r="C1282" t="inlineStr">
        <is>
          <t>info</t>
        </is>
      </c>
      <c r="D1282" t="inlineStr">
        <is>
          <t>R250729-sharpsellai</t>
        </is>
      </c>
      <c r="E1282" t="inlineStr">
        <is>
          <t>Sharpsell.ai</t>
        </is>
      </c>
      <c r="F1282" s="17" t="n">
        <v>45867</v>
      </c>
      <c r="G1282" t="inlineStr">
        <is>
          <t>no report states where the company is based</t>
        </is>
      </c>
    </row>
    <row r="1283">
      <c r="A1283" t="inlineStr">
        <is>
          <t>C07</t>
        </is>
      </c>
      <c r="B1283" t="inlineStr">
        <is>
          <t>City unknown</t>
        </is>
      </c>
      <c r="C1283" t="inlineStr">
        <is>
          <t>info</t>
        </is>
      </c>
      <c r="D1283" t="inlineStr">
        <is>
          <t>R250730-acko</t>
        </is>
      </c>
      <c r="E1283" t="inlineStr">
        <is>
          <t>Acko</t>
        </is>
      </c>
      <c r="F1283" s="17" t="n">
        <v>45868</v>
      </c>
      <c r="G1283" t="inlineStr">
        <is>
          <t>no report states where the company is based</t>
        </is>
      </c>
    </row>
    <row r="1284">
      <c r="A1284" t="inlineStr">
        <is>
          <t>C07</t>
        </is>
      </c>
      <c r="B1284" t="inlineStr">
        <is>
          <t>City unknown</t>
        </is>
      </c>
      <c r="C1284" t="inlineStr">
        <is>
          <t>info</t>
        </is>
      </c>
      <c r="D1284" t="inlineStr">
        <is>
          <t>R250730-flexprice</t>
        </is>
      </c>
      <c r="E1284" t="inlineStr">
        <is>
          <t>Flexprice</t>
        </is>
      </c>
      <c r="F1284" s="17" t="n">
        <v>45868</v>
      </c>
      <c r="G1284" t="inlineStr">
        <is>
          <t>no report states where the company is based</t>
        </is>
      </c>
    </row>
    <row r="1285">
      <c r="A1285" t="inlineStr">
        <is>
          <t>C07</t>
        </is>
      </c>
      <c r="B1285" t="inlineStr">
        <is>
          <t>City unknown</t>
        </is>
      </c>
      <c r="C1285" t="inlineStr">
        <is>
          <t>info</t>
        </is>
      </c>
      <c r="D1285" t="inlineStr">
        <is>
          <t>R250730-heizen</t>
        </is>
      </c>
      <c r="E1285" t="inlineStr">
        <is>
          <t>Heizen</t>
        </is>
      </c>
      <c r="F1285" s="17" t="n">
        <v>45868</v>
      </c>
      <c r="G1285" t="inlineStr">
        <is>
          <t>no report states where the company is based</t>
        </is>
      </c>
    </row>
    <row r="1286">
      <c r="A1286" t="inlineStr">
        <is>
          <t>C07</t>
        </is>
      </c>
      <c r="B1286" t="inlineStr">
        <is>
          <t>City unknown</t>
        </is>
      </c>
      <c r="C1286" t="inlineStr">
        <is>
          <t>info</t>
        </is>
      </c>
      <c r="D1286" t="inlineStr">
        <is>
          <t>R250730-vahanai</t>
        </is>
      </c>
      <c r="E1286" t="inlineStr">
        <is>
          <t>Vahan.ai</t>
        </is>
      </c>
      <c r="F1286" s="17" t="n">
        <v>45868</v>
      </c>
      <c r="G1286" t="inlineStr">
        <is>
          <t>no report states where the company is based</t>
        </is>
      </c>
    </row>
    <row r="1287">
      <c r="A1287" t="inlineStr">
        <is>
          <t>C07</t>
        </is>
      </c>
      <c r="B1287" t="inlineStr">
        <is>
          <t>City unknown</t>
        </is>
      </c>
      <c r="C1287" t="inlineStr">
        <is>
          <t>info</t>
        </is>
      </c>
      <c r="D1287" t="inlineStr">
        <is>
          <t>R250731-stan</t>
        </is>
      </c>
      <c r="E1287" t="inlineStr">
        <is>
          <t>STAN</t>
        </is>
      </c>
      <c r="F1287" s="17" t="n">
        <v>45869</v>
      </c>
      <c r="G1287" t="inlineStr">
        <is>
          <t>no report states where the company is based</t>
        </is>
      </c>
    </row>
    <row r="1288">
      <c r="A1288" t="inlineStr">
        <is>
          <t>C07</t>
        </is>
      </c>
      <c r="B1288" t="inlineStr">
        <is>
          <t>City unknown</t>
        </is>
      </c>
      <c r="C1288" t="inlineStr">
        <is>
          <t>info</t>
        </is>
      </c>
      <c r="D1288" t="inlineStr">
        <is>
          <t>R250801-bhindiio</t>
        </is>
      </c>
      <c r="E1288" t="inlineStr">
        <is>
          <t>Bhindi.io</t>
        </is>
      </c>
      <c r="F1288" s="17" t="n">
        <v>45870</v>
      </c>
      <c r="G1288" t="inlineStr">
        <is>
          <t>no report states where the company is based</t>
        </is>
      </c>
    </row>
    <row r="1289">
      <c r="A1289" t="inlineStr">
        <is>
          <t>C07</t>
        </is>
      </c>
      <c r="B1289" t="inlineStr">
        <is>
          <t>City unknown</t>
        </is>
      </c>
      <c r="C1289" t="inlineStr">
        <is>
          <t>info</t>
        </is>
      </c>
      <c r="D1289" t="inlineStr">
        <is>
          <t>R250805-fibelendingarm</t>
        </is>
      </c>
      <c r="E1289" t="inlineStr">
        <is>
          <t>Fibe</t>
        </is>
      </c>
      <c r="F1289" s="17" t="n">
        <v>45874</v>
      </c>
      <c r="G1289" t="inlineStr">
        <is>
          <t>no report states where the company is based</t>
        </is>
      </c>
    </row>
    <row r="1290">
      <c r="A1290" t="inlineStr">
        <is>
          <t>C07</t>
        </is>
      </c>
      <c r="B1290" t="inlineStr">
        <is>
          <t>City unknown</t>
        </is>
      </c>
      <c r="C1290" t="inlineStr">
        <is>
          <t>info</t>
        </is>
      </c>
      <c r="D1290" t="inlineStr">
        <is>
          <t>R250805-jehaerospace</t>
        </is>
      </c>
      <c r="E1290" t="inlineStr">
        <is>
          <t>Jeh Aerospace</t>
        </is>
      </c>
      <c r="F1290" s="17" t="n">
        <v>45874</v>
      </c>
      <c r="G1290" t="inlineStr">
        <is>
          <t>no report states where the company is based</t>
        </is>
      </c>
    </row>
    <row r="1291">
      <c r="A1291" t="inlineStr">
        <is>
          <t>C07</t>
        </is>
      </c>
      <c r="B1291" t="inlineStr">
        <is>
          <t>City unknown</t>
        </is>
      </c>
      <c r="C1291" t="inlineStr">
        <is>
          <t>info</t>
        </is>
      </c>
      <c r="D1291" t="inlineStr">
        <is>
          <t>R250805-politepowertec</t>
        </is>
      </c>
      <c r="E1291" t="inlineStr">
        <is>
          <t>Polite Powertech</t>
        </is>
      </c>
      <c r="F1291" s="17" t="n">
        <v>45874</v>
      </c>
      <c r="G1291" t="inlineStr">
        <is>
          <t>no report states where the company is based</t>
        </is>
      </c>
    </row>
    <row r="1292">
      <c r="A1292" t="inlineStr">
        <is>
          <t>C07</t>
        </is>
      </c>
      <c r="B1292" t="inlineStr">
        <is>
          <t>City unknown</t>
        </is>
      </c>
      <c r="C1292" t="inlineStr">
        <is>
          <t>info</t>
        </is>
      </c>
      <c r="D1292" t="inlineStr">
        <is>
          <t>R250805-prozo</t>
        </is>
      </c>
      <c r="E1292" t="inlineStr">
        <is>
          <t>Prozo</t>
        </is>
      </c>
      <c r="F1292" s="17" t="n">
        <v>45874</v>
      </c>
      <c r="G1292" t="inlineStr">
        <is>
          <t>no report states where the company is based</t>
        </is>
      </c>
    </row>
    <row r="1293">
      <c r="A1293" t="inlineStr">
        <is>
          <t>C07</t>
        </is>
      </c>
      <c r="B1293" t="inlineStr">
        <is>
          <t>City unknown</t>
        </is>
      </c>
      <c r="C1293" t="inlineStr">
        <is>
          <t>info</t>
        </is>
      </c>
      <c r="D1293" t="inlineStr">
        <is>
          <t>R250805-rifaai</t>
        </is>
      </c>
      <c r="E1293" t="inlineStr">
        <is>
          <t>Rifa AI</t>
        </is>
      </c>
      <c r="F1293" s="17" t="n">
        <v>45874</v>
      </c>
      <c r="G1293" t="inlineStr">
        <is>
          <t>no report states where the company is based</t>
        </is>
      </c>
    </row>
    <row r="1294">
      <c r="A1294" t="inlineStr">
        <is>
          <t>C07</t>
        </is>
      </c>
      <c r="B1294" t="inlineStr">
        <is>
          <t>City unknown</t>
        </is>
      </c>
      <c r="C1294" t="inlineStr">
        <is>
          <t>info</t>
        </is>
      </c>
      <c r="D1294" t="inlineStr">
        <is>
          <t>R250805-shortgun</t>
        </is>
      </c>
      <c r="E1294" t="inlineStr">
        <is>
          <t>Shortgun Games</t>
        </is>
      </c>
      <c r="F1294" s="17" t="n">
        <v>45874</v>
      </c>
      <c r="G1294" t="inlineStr">
        <is>
          <t>no report states where the company is based</t>
        </is>
      </c>
    </row>
    <row r="1295">
      <c r="A1295" t="inlineStr">
        <is>
          <t>C07</t>
        </is>
      </c>
      <c r="B1295" t="inlineStr">
        <is>
          <t>City unknown</t>
        </is>
      </c>
      <c r="C1295" t="inlineStr">
        <is>
          <t>info</t>
        </is>
      </c>
      <c r="D1295" t="inlineStr">
        <is>
          <t>R250805-tryo</t>
        </is>
      </c>
      <c r="E1295" t="inlineStr">
        <is>
          <t>Tryo</t>
        </is>
      </c>
      <c r="F1295" s="17" t="n">
        <v>45874</v>
      </c>
      <c r="G1295" t="inlineStr">
        <is>
          <t>no report states where the company is based</t>
        </is>
      </c>
    </row>
    <row r="1296">
      <c r="A1296" t="inlineStr">
        <is>
          <t>C07</t>
        </is>
      </c>
      <c r="B1296" t="inlineStr">
        <is>
          <t>City unknown</t>
        </is>
      </c>
      <c r="C1296" t="inlineStr">
        <is>
          <t>info</t>
        </is>
      </c>
      <c r="D1296" t="inlineStr">
        <is>
          <t>R250806-gladful</t>
        </is>
      </c>
      <c r="E1296" t="inlineStr">
        <is>
          <t>Gladful</t>
        </is>
      </c>
      <c r="F1296" s="17" t="n">
        <v>45875</v>
      </c>
      <c r="G1296" t="inlineStr">
        <is>
          <t>no report states where the company is based</t>
        </is>
      </c>
    </row>
    <row r="1297">
      <c r="A1297" t="inlineStr">
        <is>
          <t>C07</t>
        </is>
      </c>
      <c r="B1297" t="inlineStr">
        <is>
          <t>City unknown</t>
        </is>
      </c>
      <c r="C1297" t="inlineStr">
        <is>
          <t>info</t>
        </is>
      </c>
      <c r="D1297" t="inlineStr">
        <is>
          <t>R250806-hylenr</t>
        </is>
      </c>
      <c r="E1297" t="inlineStr">
        <is>
          <t>HYLENR</t>
        </is>
      </c>
      <c r="F1297" s="17" t="n">
        <v>45875</v>
      </c>
      <c r="G1297" t="inlineStr">
        <is>
          <t>no report states where the company is based</t>
        </is>
      </c>
    </row>
    <row r="1298">
      <c r="A1298" t="inlineStr">
        <is>
          <t>C07</t>
        </is>
      </c>
      <c r="B1298" t="inlineStr">
        <is>
          <t>City unknown</t>
        </is>
      </c>
      <c r="C1298" t="inlineStr">
        <is>
          <t>info</t>
        </is>
      </c>
      <c r="D1298" t="inlineStr">
        <is>
          <t>R250806-tplusaindia</t>
        </is>
      </c>
      <c r="E1298" t="inlineStr">
        <is>
          <t>TPlusA India</t>
        </is>
      </c>
      <c r="F1298" s="17" t="n">
        <v>45875</v>
      </c>
      <c r="G1298" t="inlineStr">
        <is>
          <t>no report states where the company is based</t>
        </is>
      </c>
    </row>
    <row r="1299">
      <c r="A1299" t="inlineStr">
        <is>
          <t>C07</t>
        </is>
      </c>
      <c r="B1299" t="inlineStr">
        <is>
          <t>City unknown</t>
        </is>
      </c>
      <c r="C1299" t="inlineStr">
        <is>
          <t>info</t>
        </is>
      </c>
      <c r="D1299" t="inlineStr">
        <is>
          <t>R250807-nuuk</t>
        </is>
      </c>
      <c r="E1299" t="inlineStr">
        <is>
          <t>Nuuk</t>
        </is>
      </c>
      <c r="F1299" s="17" t="n">
        <v>45876</v>
      </c>
      <c r="G1299" t="inlineStr">
        <is>
          <t>no report states where the company is based</t>
        </is>
      </c>
    </row>
    <row r="1300">
      <c r="A1300" t="inlineStr">
        <is>
          <t>C07</t>
        </is>
      </c>
      <c r="B1300" t="inlineStr">
        <is>
          <t>City unknown</t>
        </is>
      </c>
      <c r="C1300" t="inlineStr">
        <is>
          <t>info</t>
        </is>
      </c>
      <c r="D1300" t="inlineStr">
        <is>
          <t>R250807-reneecosmetics</t>
        </is>
      </c>
      <c r="E1300" t="inlineStr">
        <is>
          <t>RENEE Cosmetics</t>
        </is>
      </c>
      <c r="F1300" s="17" t="n">
        <v>45876</v>
      </c>
      <c r="G1300" t="inlineStr">
        <is>
          <t>no report states where the company is based</t>
        </is>
      </c>
    </row>
    <row r="1301">
      <c r="A1301" t="inlineStr">
        <is>
          <t>C07</t>
        </is>
      </c>
      <c r="B1301" t="inlineStr">
        <is>
          <t>City unknown</t>
        </is>
      </c>
      <c r="C1301" t="inlineStr">
        <is>
          <t>info</t>
        </is>
      </c>
      <c r="D1301" t="inlineStr">
        <is>
          <t>R250812-holidaytribe</t>
        </is>
      </c>
      <c r="E1301" t="inlineStr">
        <is>
          <t>Holiday Tribe</t>
        </is>
      </c>
      <c r="F1301" s="17" t="n">
        <v>45881</v>
      </c>
      <c r="G1301" t="inlineStr">
        <is>
          <t>no report states where the company is based</t>
        </is>
      </c>
    </row>
    <row r="1302">
      <c r="A1302" t="inlineStr">
        <is>
          <t>C07</t>
        </is>
      </c>
      <c r="B1302" t="inlineStr">
        <is>
          <t>City unknown</t>
        </is>
      </c>
      <c r="C1302" t="inlineStr">
        <is>
          <t>info</t>
        </is>
      </c>
      <c r="D1302" t="inlineStr">
        <is>
          <t>R250812-kimirica</t>
        </is>
      </c>
      <c r="E1302" t="inlineStr">
        <is>
          <t>Kimirica</t>
        </is>
      </c>
      <c r="F1302" s="17" t="n">
        <v>45881</v>
      </c>
      <c r="G1302" t="inlineStr">
        <is>
          <t>no report states where the company is based</t>
        </is>
      </c>
    </row>
    <row r="1303">
      <c r="A1303" t="inlineStr">
        <is>
          <t>C07</t>
        </is>
      </c>
      <c r="B1303" t="inlineStr">
        <is>
          <t>City unknown</t>
        </is>
      </c>
      <c r="C1303" t="inlineStr">
        <is>
          <t>info</t>
        </is>
      </c>
      <c r="D1303" t="inlineStr">
        <is>
          <t>R250812-pronto</t>
        </is>
      </c>
      <c r="E1303" t="inlineStr">
        <is>
          <t>Pronto</t>
        </is>
      </c>
      <c r="F1303" s="17" t="n">
        <v>45881</v>
      </c>
      <c r="G1303" t="inlineStr">
        <is>
          <t>no report states where the company is based</t>
        </is>
      </c>
    </row>
    <row r="1304">
      <c r="A1304" t="inlineStr">
        <is>
          <t>C07</t>
        </is>
      </c>
      <c r="B1304" t="inlineStr">
        <is>
          <t>City unknown</t>
        </is>
      </c>
      <c r="C1304" t="inlineStr">
        <is>
          <t>info</t>
        </is>
      </c>
      <c r="D1304" t="inlineStr">
        <is>
          <t>R250812-spikeai</t>
        </is>
      </c>
      <c r="E1304" t="inlineStr">
        <is>
          <t>Spike AI</t>
        </is>
      </c>
      <c r="F1304" s="17" t="n">
        <v>45881</v>
      </c>
      <c r="G1304" t="inlineStr">
        <is>
          <t>no report states where the company is based</t>
        </is>
      </c>
    </row>
    <row r="1305">
      <c r="A1305" t="inlineStr">
        <is>
          <t>C07</t>
        </is>
      </c>
      <c r="B1305" t="inlineStr">
        <is>
          <t>City unknown</t>
        </is>
      </c>
      <c r="C1305" t="inlineStr">
        <is>
          <t>info</t>
        </is>
      </c>
      <c r="D1305" t="inlineStr">
        <is>
          <t>R250813-refoldai</t>
        </is>
      </c>
      <c r="E1305" t="inlineStr">
        <is>
          <t>Refold AI</t>
        </is>
      </c>
      <c r="F1305" s="17" t="n">
        <v>45882</v>
      </c>
      <c r="G1305" t="inlineStr">
        <is>
          <t>no report states where the company is based</t>
        </is>
      </c>
    </row>
    <row r="1306">
      <c r="A1306" t="inlineStr">
        <is>
          <t>C07</t>
        </is>
      </c>
      <c r="B1306" t="inlineStr">
        <is>
          <t>City unknown</t>
        </is>
      </c>
      <c r="C1306" t="inlineStr">
        <is>
          <t>info</t>
        </is>
      </c>
      <c r="D1306" t="inlineStr">
        <is>
          <t>R250814-lifelongonline</t>
        </is>
      </c>
      <c r="E1306" t="inlineStr">
        <is>
          <t>Lifelong Online</t>
        </is>
      </c>
      <c r="F1306" s="17" t="n">
        <v>45883</v>
      </c>
      <c r="G1306" t="inlineStr">
        <is>
          <t>no report states where the company is based</t>
        </is>
      </c>
    </row>
    <row r="1307">
      <c r="A1307" t="inlineStr">
        <is>
          <t>C07</t>
        </is>
      </c>
      <c r="B1307" t="inlineStr">
        <is>
          <t>City unknown</t>
        </is>
      </c>
      <c r="C1307" t="inlineStr">
        <is>
          <t>info</t>
        </is>
      </c>
      <c r="D1307" t="inlineStr">
        <is>
          <t>R250814-shivaliksmallf</t>
        </is>
      </c>
      <c r="E1307" t="inlineStr">
        <is>
          <t>Shivalik Small Finance Bank</t>
        </is>
      </c>
      <c r="F1307" s="17" t="n">
        <v>45883</v>
      </c>
      <c r="G1307" t="inlineStr">
        <is>
          <t>no report states where the company is based</t>
        </is>
      </c>
    </row>
    <row r="1308">
      <c r="A1308" t="inlineStr">
        <is>
          <t>C07</t>
        </is>
      </c>
      <c r="B1308" t="inlineStr">
        <is>
          <t>City unknown</t>
        </is>
      </c>
      <c r="C1308" t="inlineStr">
        <is>
          <t>info</t>
        </is>
      </c>
      <c r="D1308" t="inlineStr">
        <is>
          <t>R250818-arthaselectfun</t>
        </is>
      </c>
      <c r="E1308" t="inlineStr">
        <is>
          <t>Artha Select Fund</t>
        </is>
      </c>
      <c r="F1308" s="17" t="n">
        <v>45887</v>
      </c>
      <c r="G1308" t="inlineStr">
        <is>
          <t>no report states where the company is based</t>
        </is>
      </c>
    </row>
    <row r="1309">
      <c r="A1309" t="inlineStr">
        <is>
          <t>C07</t>
        </is>
      </c>
      <c r="B1309" t="inlineStr">
        <is>
          <t>City unknown</t>
        </is>
      </c>
      <c r="C1309" t="inlineStr">
        <is>
          <t>info</t>
        </is>
      </c>
      <c r="D1309" t="inlineStr">
        <is>
          <t>R250818-dobra</t>
        </is>
      </c>
      <c r="E1309" t="inlineStr">
        <is>
          <t>DOBRA</t>
        </is>
      </c>
      <c r="F1309" s="17" t="n">
        <v>45887</v>
      </c>
      <c r="G1309" t="inlineStr">
        <is>
          <t>no report states where the company is based</t>
        </is>
      </c>
    </row>
    <row r="1310">
      <c r="A1310" t="inlineStr">
        <is>
          <t>C07</t>
        </is>
      </c>
      <c r="B1310" t="inlineStr">
        <is>
          <t>City unknown</t>
        </is>
      </c>
      <c r="C1310" t="inlineStr">
        <is>
          <t>info</t>
        </is>
      </c>
      <c r="D1310" t="inlineStr">
        <is>
          <t>R250819-hexafun</t>
        </is>
      </c>
      <c r="E1310" t="inlineStr">
        <is>
          <t>Hexafun</t>
        </is>
      </c>
      <c r="F1310" s="17" t="n">
        <v>45888</v>
      </c>
      <c r="G1310" t="inlineStr">
        <is>
          <t>no report states where the company is based</t>
        </is>
      </c>
    </row>
    <row r="1311">
      <c r="A1311" t="inlineStr">
        <is>
          <t>C07</t>
        </is>
      </c>
      <c r="B1311" t="inlineStr">
        <is>
          <t>City unknown</t>
        </is>
      </c>
      <c r="C1311" t="inlineStr">
        <is>
          <t>info</t>
        </is>
      </c>
      <c r="D1311" t="inlineStr">
        <is>
          <t>R250819-houseofbiryan</t>
        </is>
      </c>
      <c r="E1311" t="inlineStr">
        <is>
          <t>House Of Biryan</t>
        </is>
      </c>
      <c r="F1311" s="17" t="n">
        <v>45888</v>
      </c>
      <c r="G1311" t="inlineStr">
        <is>
          <t>no report states where the company is based</t>
        </is>
      </c>
    </row>
    <row r="1312">
      <c r="A1312" t="inlineStr">
        <is>
          <t>C07</t>
        </is>
      </c>
      <c r="B1312" t="inlineStr">
        <is>
          <t>City unknown</t>
        </is>
      </c>
      <c r="C1312" t="inlineStr">
        <is>
          <t>info</t>
        </is>
      </c>
      <c r="D1312" t="inlineStr">
        <is>
          <t>R250819-rforrabbit</t>
        </is>
      </c>
      <c r="E1312" t="inlineStr">
        <is>
          <t>R For Rabbit</t>
        </is>
      </c>
      <c r="F1312" s="17" t="n">
        <v>45888</v>
      </c>
      <c r="G1312" t="inlineStr">
        <is>
          <t>no report states where the company is based</t>
        </is>
      </c>
    </row>
    <row r="1313">
      <c r="A1313" t="inlineStr">
        <is>
          <t>C07</t>
        </is>
      </c>
      <c r="B1313" t="inlineStr">
        <is>
          <t>City unknown</t>
        </is>
      </c>
      <c r="C1313" t="inlineStr">
        <is>
          <t>info</t>
        </is>
      </c>
      <c r="D1313" t="inlineStr">
        <is>
          <t>R250819-zenzebra</t>
        </is>
      </c>
      <c r="E1313" t="inlineStr">
        <is>
          <t>ZenZebra</t>
        </is>
      </c>
      <c r="F1313" s="17" t="n">
        <v>45888</v>
      </c>
      <c r="G1313" t="inlineStr">
        <is>
          <t>no report states where the company is based</t>
        </is>
      </c>
    </row>
    <row r="1314">
      <c r="A1314" t="inlineStr">
        <is>
          <t>C07</t>
        </is>
      </c>
      <c r="B1314" t="inlineStr">
        <is>
          <t>City unknown</t>
        </is>
      </c>
      <c r="C1314" t="inlineStr">
        <is>
          <t>info</t>
        </is>
      </c>
      <c r="D1314" t="inlineStr">
        <is>
          <t>R250820-kiwi</t>
        </is>
      </c>
      <c r="E1314" t="inlineStr">
        <is>
          <t>Kiwi</t>
        </is>
      </c>
      <c r="F1314" s="17" t="n">
        <v>45889</v>
      </c>
      <c r="G1314" t="inlineStr">
        <is>
          <t>no report states where the company is based</t>
        </is>
      </c>
    </row>
    <row r="1315">
      <c r="A1315" t="inlineStr">
        <is>
          <t>C07</t>
        </is>
      </c>
      <c r="B1315" t="inlineStr">
        <is>
          <t>City unknown</t>
        </is>
      </c>
      <c r="C1315" t="inlineStr">
        <is>
          <t>info</t>
        </is>
      </c>
      <c r="D1315" t="inlineStr">
        <is>
          <t>R250820-mithilafoods</t>
        </is>
      </c>
      <c r="E1315" t="inlineStr">
        <is>
          <t>Mithila Foods</t>
        </is>
      </c>
      <c r="F1315" s="17" t="n">
        <v>45889</v>
      </c>
      <c r="G1315" t="inlineStr">
        <is>
          <t>no report states where the company is based</t>
        </is>
      </c>
    </row>
    <row r="1316">
      <c r="A1316" t="inlineStr">
        <is>
          <t>C07</t>
        </is>
      </c>
      <c r="B1316" t="inlineStr">
        <is>
          <t>City unknown</t>
        </is>
      </c>
      <c r="C1316" t="inlineStr">
        <is>
          <t>info</t>
        </is>
      </c>
      <c r="D1316" t="inlineStr">
        <is>
          <t>R250821-edgehax</t>
        </is>
      </c>
      <c r="E1316" t="inlineStr">
        <is>
          <t>Edgehax</t>
        </is>
      </c>
      <c r="F1316" s="17" t="n">
        <v>45890</v>
      </c>
      <c r="G1316" t="inlineStr">
        <is>
          <t>no report states where the company is based</t>
        </is>
      </c>
    </row>
    <row r="1317">
      <c r="A1317" t="inlineStr">
        <is>
          <t>C07</t>
        </is>
      </c>
      <c r="B1317" t="inlineStr">
        <is>
          <t>City unknown</t>
        </is>
      </c>
      <c r="C1317" t="inlineStr">
        <is>
          <t>info</t>
        </is>
      </c>
      <c r="D1317" t="inlineStr">
        <is>
          <t>R250825-harajukutokyoc</t>
        </is>
      </c>
      <c r="E1317" t="inlineStr">
        <is>
          <t>Harajuku Tokyo Cafe</t>
        </is>
      </c>
      <c r="F1317" s="17" t="n">
        <v>45894</v>
      </c>
      <c r="G1317" t="inlineStr">
        <is>
          <t>no report states where the company is based</t>
        </is>
      </c>
    </row>
    <row r="1318">
      <c r="A1318" t="inlineStr">
        <is>
          <t>C07</t>
        </is>
      </c>
      <c r="B1318" t="inlineStr">
        <is>
          <t>City unknown</t>
        </is>
      </c>
      <c r="C1318" t="inlineStr">
        <is>
          <t>info</t>
        </is>
      </c>
      <c r="D1318" t="inlineStr">
        <is>
          <t>R250825-nugen</t>
        </is>
      </c>
      <c r="E1318" t="inlineStr">
        <is>
          <t>Nugen</t>
        </is>
      </c>
      <c r="F1318" s="17" t="n">
        <v>45894</v>
      </c>
      <c r="G1318" t="inlineStr">
        <is>
          <t>no report states where the company is based</t>
        </is>
      </c>
    </row>
    <row r="1319">
      <c r="A1319" t="inlineStr">
        <is>
          <t>C07</t>
        </is>
      </c>
      <c r="B1319" t="inlineStr">
        <is>
          <t>City unknown</t>
        </is>
      </c>
      <c r="C1319" t="inlineStr">
        <is>
          <t>info</t>
        </is>
      </c>
      <c r="D1319" t="inlineStr">
        <is>
          <t>R250825-palmonas</t>
        </is>
      </c>
      <c r="E1319" t="inlineStr">
        <is>
          <t>Palmonas</t>
        </is>
      </c>
      <c r="F1319" s="17" t="n">
        <v>45894</v>
      </c>
      <c r="G1319" t="inlineStr">
        <is>
          <t>no report states where the company is based</t>
        </is>
      </c>
    </row>
    <row r="1320">
      <c r="A1320" t="inlineStr">
        <is>
          <t>C07</t>
        </is>
      </c>
      <c r="B1320" t="inlineStr">
        <is>
          <t>City unknown</t>
        </is>
      </c>
      <c r="C1320" t="inlineStr">
        <is>
          <t>info</t>
        </is>
      </c>
      <c r="D1320" t="inlineStr">
        <is>
          <t>R250827-nuyug</t>
        </is>
      </c>
      <c r="E1320" t="inlineStr">
        <is>
          <t>Nuyug</t>
        </is>
      </c>
      <c r="F1320" s="17" t="n">
        <v>45896</v>
      </c>
      <c r="G1320" t="inlineStr">
        <is>
          <t>no report states where the company is based</t>
        </is>
      </c>
    </row>
    <row r="1321">
      <c r="A1321" t="inlineStr">
        <is>
          <t>C07</t>
        </is>
      </c>
      <c r="B1321" t="inlineStr">
        <is>
          <t>City unknown</t>
        </is>
      </c>
      <c r="C1321" t="inlineStr">
        <is>
          <t>info</t>
        </is>
      </c>
      <c r="D1321" t="inlineStr">
        <is>
          <t>R250828-savemicrofinan</t>
        </is>
      </c>
      <c r="E1321" t="inlineStr">
        <is>
          <t>SAVE Microfinance</t>
        </is>
      </c>
      <c r="F1321" s="17" t="n">
        <v>45897</v>
      </c>
      <c r="G1321" t="inlineStr">
        <is>
          <t>no report states where the company is based</t>
        </is>
      </c>
    </row>
    <row r="1322">
      <c r="A1322" t="inlineStr">
        <is>
          <t>C07</t>
        </is>
      </c>
      <c r="B1322" t="inlineStr">
        <is>
          <t>City unknown</t>
        </is>
      </c>
      <c r="C1322" t="inlineStr">
        <is>
          <t>info</t>
        </is>
      </c>
      <c r="D1322" t="inlineStr">
        <is>
          <t>R250901-bluetokai</t>
        </is>
      </c>
      <c r="E1322" t="inlineStr">
        <is>
          <t>Blue Tokai Coffee Roasters</t>
        </is>
      </c>
      <c r="F1322" s="17" t="n">
        <v>45901</v>
      </c>
      <c r="G1322" t="inlineStr">
        <is>
          <t>no report states where the company is based</t>
        </is>
      </c>
    </row>
    <row r="1323">
      <c r="A1323" t="inlineStr">
        <is>
          <t>C07</t>
        </is>
      </c>
      <c r="B1323" t="inlineStr">
        <is>
          <t>City unknown</t>
        </is>
      </c>
      <c r="C1323" t="inlineStr">
        <is>
          <t>info</t>
        </is>
      </c>
      <c r="D1323" t="inlineStr">
        <is>
          <t>R250901-tessolve</t>
        </is>
      </c>
      <c r="E1323" t="inlineStr">
        <is>
          <t>Tessolve</t>
        </is>
      </c>
      <c r="F1323" s="17" t="n">
        <v>45901</v>
      </c>
      <c r="G1323" t="inlineStr">
        <is>
          <t>no report states where the company is based</t>
        </is>
      </c>
    </row>
    <row r="1324">
      <c r="A1324" t="inlineStr">
        <is>
          <t>C07</t>
        </is>
      </c>
      <c r="B1324" t="inlineStr">
        <is>
          <t>City unknown</t>
        </is>
      </c>
      <c r="C1324" t="inlineStr">
        <is>
          <t>info</t>
        </is>
      </c>
      <c r="D1324" t="inlineStr">
        <is>
          <t>R250903-pbhealthcare</t>
        </is>
      </c>
      <c r="E1324" t="inlineStr">
        <is>
          <t>PB Healthcare</t>
        </is>
      </c>
      <c r="F1324" s="17" t="n">
        <v>45903</v>
      </c>
      <c r="G1324" t="inlineStr">
        <is>
          <t>no report states where the company is based</t>
        </is>
      </c>
    </row>
    <row r="1325">
      <c r="A1325" t="inlineStr">
        <is>
          <t>C07</t>
        </is>
      </c>
      <c r="B1325" t="inlineStr">
        <is>
          <t>City unknown</t>
        </is>
      </c>
      <c r="C1325" t="inlineStr">
        <is>
          <t>info</t>
        </is>
      </c>
      <c r="D1325" t="inlineStr">
        <is>
          <t>R250903-seekho</t>
        </is>
      </c>
      <c r="E1325" t="inlineStr">
        <is>
          <t>Seekho</t>
        </is>
      </c>
      <c r="F1325" s="17" t="n">
        <v>45903</v>
      </c>
      <c r="G1325" t="inlineStr">
        <is>
          <t>no report states where the company is based</t>
        </is>
      </c>
    </row>
    <row r="1326">
      <c r="A1326" t="inlineStr">
        <is>
          <t>C07</t>
        </is>
      </c>
      <c r="B1326" t="inlineStr">
        <is>
          <t>City unknown</t>
        </is>
      </c>
      <c r="C1326" t="inlineStr">
        <is>
          <t>info</t>
        </is>
      </c>
      <c r="D1326" t="inlineStr">
        <is>
          <t>R250903-waterscience</t>
        </is>
      </c>
      <c r="E1326" t="inlineStr">
        <is>
          <t>Waterscience</t>
        </is>
      </c>
      <c r="F1326" s="17" t="n">
        <v>45903</v>
      </c>
      <c r="G1326" t="inlineStr">
        <is>
          <t>no report states where the company is based</t>
        </is>
      </c>
    </row>
    <row r="1327">
      <c r="A1327" t="inlineStr">
        <is>
          <t>C07</t>
        </is>
      </c>
      <c r="B1327" t="inlineStr">
        <is>
          <t>City unknown</t>
        </is>
      </c>
      <c r="C1327" t="inlineStr">
        <is>
          <t>info</t>
        </is>
      </c>
      <c r="D1327" t="inlineStr">
        <is>
          <t>R250904-autodukan</t>
        </is>
      </c>
      <c r="E1327" t="inlineStr">
        <is>
          <t>AutoDukan</t>
        </is>
      </c>
      <c r="F1327" s="17" t="n">
        <v>45904</v>
      </c>
      <c r="G1327" t="inlineStr">
        <is>
          <t>no report states where the company is based</t>
        </is>
      </c>
    </row>
    <row r="1328">
      <c r="A1328" t="inlineStr">
        <is>
          <t>C07</t>
        </is>
      </c>
      <c r="B1328" t="inlineStr">
        <is>
          <t>City unknown</t>
        </is>
      </c>
      <c r="C1328" t="inlineStr">
        <is>
          <t>info</t>
        </is>
      </c>
      <c r="D1328" t="inlineStr">
        <is>
          <t>R250904-colive</t>
        </is>
      </c>
      <c r="E1328" t="inlineStr">
        <is>
          <t>Colive</t>
        </is>
      </c>
      <c r="F1328" s="17" t="n">
        <v>45904</v>
      </c>
      <c r="G1328" t="inlineStr">
        <is>
          <t>no report states where the company is based</t>
        </is>
      </c>
    </row>
    <row r="1329">
      <c r="A1329" t="inlineStr">
        <is>
          <t>C07</t>
        </is>
      </c>
      <c r="B1329" t="inlineStr">
        <is>
          <t>City unknown</t>
        </is>
      </c>
      <c r="C1329" t="inlineStr">
        <is>
          <t>info</t>
        </is>
      </c>
      <c r="D1329" t="inlineStr">
        <is>
          <t>R250904-houseofzelena</t>
        </is>
      </c>
      <c r="E1329" t="inlineStr">
        <is>
          <t>House of Zelena</t>
        </is>
      </c>
      <c r="F1329" s="17" t="n">
        <v>45904</v>
      </c>
      <c r="G1329" t="inlineStr">
        <is>
          <t>no report states where the company is based</t>
        </is>
      </c>
    </row>
    <row r="1330">
      <c r="A1330" t="inlineStr">
        <is>
          <t>C07</t>
        </is>
      </c>
      <c r="B1330" t="inlineStr">
        <is>
          <t>City unknown</t>
        </is>
      </c>
      <c r="C1330" t="inlineStr">
        <is>
          <t>info</t>
        </is>
      </c>
      <c r="D1330" t="inlineStr">
        <is>
          <t>R250908-indrajaal</t>
        </is>
      </c>
      <c r="E1330" t="inlineStr">
        <is>
          <t>Indrajaal</t>
        </is>
      </c>
      <c r="F1330" s="17" t="n">
        <v>45908</v>
      </c>
      <c r="G1330" t="inlineStr">
        <is>
          <t>no report states where the company is based</t>
        </is>
      </c>
    </row>
    <row r="1331">
      <c r="A1331" t="inlineStr">
        <is>
          <t>C07</t>
        </is>
      </c>
      <c r="B1331" t="inlineStr">
        <is>
          <t>City unknown</t>
        </is>
      </c>
      <c r="C1331" t="inlineStr">
        <is>
          <t>info</t>
        </is>
      </c>
      <c r="D1331" t="inlineStr">
        <is>
          <t>R250908-trufrostandbut</t>
        </is>
      </c>
      <c r="E1331" t="inlineStr">
        <is>
          <t>Trufrost &amp; Butler</t>
        </is>
      </c>
      <c r="F1331" s="17" t="n">
        <v>45908</v>
      </c>
      <c r="G1331" t="inlineStr">
        <is>
          <t>no report states where the company is based</t>
        </is>
      </c>
    </row>
    <row r="1332">
      <c r="A1332" t="inlineStr">
        <is>
          <t>C07</t>
        </is>
      </c>
      <c r="B1332" t="inlineStr">
        <is>
          <t>City unknown</t>
        </is>
      </c>
      <c r="C1332" t="inlineStr">
        <is>
          <t>info</t>
        </is>
      </c>
      <c r="D1332" t="inlineStr">
        <is>
          <t>R250909-aurva</t>
        </is>
      </c>
      <c r="E1332" t="inlineStr">
        <is>
          <t>Aurva</t>
        </is>
      </c>
      <c r="F1332" s="17" t="n">
        <v>45909</v>
      </c>
      <c r="G1332" t="inlineStr">
        <is>
          <t>no report states where the company is based</t>
        </is>
      </c>
    </row>
    <row r="1333">
      <c r="A1333" t="inlineStr">
        <is>
          <t>C07</t>
        </is>
      </c>
      <c r="B1333" t="inlineStr">
        <is>
          <t>City unknown</t>
        </is>
      </c>
      <c r="C1333" t="inlineStr">
        <is>
          <t>info</t>
        </is>
      </c>
      <c r="D1333" t="inlineStr">
        <is>
          <t>R250909-traqcheck</t>
        </is>
      </c>
      <c r="E1333" t="inlineStr">
        <is>
          <t>TraqCheck</t>
        </is>
      </c>
      <c r="F1333" s="17" t="n">
        <v>45909</v>
      </c>
      <c r="G1333" t="inlineStr">
        <is>
          <t>no report states where the company is based</t>
        </is>
      </c>
    </row>
    <row r="1334">
      <c r="A1334" t="inlineStr">
        <is>
          <t>C07</t>
        </is>
      </c>
      <c r="B1334" t="inlineStr">
        <is>
          <t>City unknown</t>
        </is>
      </c>
      <c r="C1334" t="inlineStr">
        <is>
          <t>info</t>
        </is>
      </c>
      <c r="D1334" t="inlineStr">
        <is>
          <t>R250910-terngroup</t>
        </is>
      </c>
      <c r="E1334" t="inlineStr">
        <is>
          <t>TERN Group</t>
        </is>
      </c>
      <c r="F1334" s="17" t="n">
        <v>45910</v>
      </c>
      <c r="G1334" t="inlineStr">
        <is>
          <t>no report states where the company is based</t>
        </is>
      </c>
    </row>
    <row r="1335">
      <c r="A1335" t="inlineStr">
        <is>
          <t>C07</t>
        </is>
      </c>
      <c r="B1335" t="inlineStr">
        <is>
          <t>City unknown</t>
        </is>
      </c>
      <c r="C1335" t="inlineStr">
        <is>
          <t>info</t>
        </is>
      </c>
      <c r="D1335" t="inlineStr">
        <is>
          <t>R250911-ember</t>
        </is>
      </c>
      <c r="E1335" t="inlineStr">
        <is>
          <t>Ember</t>
        </is>
      </c>
      <c r="F1335" s="17" t="n">
        <v>45910</v>
      </c>
      <c r="G1335" t="inlineStr">
        <is>
          <t>no report states where the company is based</t>
        </is>
      </c>
    </row>
    <row r="1336">
      <c r="A1336" t="inlineStr">
        <is>
          <t>C07</t>
        </is>
      </c>
      <c r="B1336" t="inlineStr">
        <is>
          <t>City unknown</t>
        </is>
      </c>
      <c r="C1336" t="inlineStr">
        <is>
          <t>info</t>
        </is>
      </c>
      <c r="D1336" t="inlineStr">
        <is>
          <t>R250911-biokraft</t>
        </is>
      </c>
      <c r="E1336" t="inlineStr">
        <is>
          <t>Biokraft Foods</t>
        </is>
      </c>
      <c r="F1336" s="17" t="n">
        <v>45911</v>
      </c>
      <c r="G1336" t="inlineStr">
        <is>
          <t>no report states where the company is based</t>
        </is>
      </c>
    </row>
    <row r="1337">
      <c r="A1337" t="inlineStr">
        <is>
          <t>C07</t>
        </is>
      </c>
      <c r="B1337" t="inlineStr">
        <is>
          <t>City unknown</t>
        </is>
      </c>
      <c r="C1337" t="inlineStr">
        <is>
          <t>info</t>
        </is>
      </c>
      <c r="D1337" t="inlineStr">
        <is>
          <t>R250911-criontechnolog</t>
        </is>
      </c>
      <c r="E1337" t="inlineStr">
        <is>
          <t>Crion Technologies</t>
        </is>
      </c>
      <c r="F1337" s="17" t="n">
        <v>45911</v>
      </c>
      <c r="G1337" t="inlineStr">
        <is>
          <t>no report states where the company is based</t>
        </is>
      </c>
    </row>
    <row r="1338">
      <c r="A1338" t="inlineStr">
        <is>
          <t>C07</t>
        </is>
      </c>
      <c r="B1338" t="inlineStr">
        <is>
          <t>City unknown</t>
        </is>
      </c>
      <c r="C1338" t="inlineStr">
        <is>
          <t>info</t>
        </is>
      </c>
      <c r="D1338" t="inlineStr">
        <is>
          <t>R250911-eruditus</t>
        </is>
      </c>
      <c r="E1338" t="inlineStr">
        <is>
          <t>Eruditus</t>
        </is>
      </c>
      <c r="F1338" s="17" t="n">
        <v>45911</v>
      </c>
      <c r="G1338" t="inlineStr">
        <is>
          <t>no report states where the company is based</t>
        </is>
      </c>
    </row>
    <row r="1339">
      <c r="A1339" t="inlineStr">
        <is>
          <t>C07</t>
        </is>
      </c>
      <c r="B1339" t="inlineStr">
        <is>
          <t>City unknown</t>
        </is>
      </c>
      <c r="C1339" t="inlineStr">
        <is>
          <t>info</t>
        </is>
      </c>
      <c r="D1339" t="inlineStr">
        <is>
          <t>R250911-peakamp</t>
        </is>
      </c>
      <c r="E1339" t="inlineStr">
        <is>
          <t>PeakAmp</t>
        </is>
      </c>
      <c r="F1339" s="17" t="n">
        <v>45911</v>
      </c>
      <c r="G1339" t="inlineStr">
        <is>
          <t>no report states where the company is based</t>
        </is>
      </c>
    </row>
    <row r="1340">
      <c r="A1340" t="inlineStr">
        <is>
          <t>C07</t>
        </is>
      </c>
      <c r="B1340" t="inlineStr">
        <is>
          <t>City unknown</t>
        </is>
      </c>
      <c r="C1340" t="inlineStr">
        <is>
          <t>info</t>
        </is>
      </c>
      <c r="D1340" t="inlineStr">
        <is>
          <t>R250911-snapecabs</t>
        </is>
      </c>
      <c r="E1340" t="inlineStr">
        <is>
          <t>Snap-E-Cabs</t>
        </is>
      </c>
      <c r="F1340" s="17" t="n">
        <v>45911</v>
      </c>
      <c r="G1340" t="inlineStr">
        <is>
          <t>no report states where the company is based</t>
        </is>
      </c>
    </row>
    <row r="1341">
      <c r="A1341" t="inlineStr">
        <is>
          <t>C07</t>
        </is>
      </c>
      <c r="B1341" t="inlineStr">
        <is>
          <t>City unknown</t>
        </is>
      </c>
      <c r="C1341" t="inlineStr">
        <is>
          <t>info</t>
        </is>
      </c>
      <c r="D1341" t="inlineStr">
        <is>
          <t>R250911-ugxai</t>
        </is>
      </c>
      <c r="E1341" t="inlineStr">
        <is>
          <t>UGX.ai</t>
        </is>
      </c>
      <c r="F1341" s="17" t="n">
        <v>45911</v>
      </c>
      <c r="G1341" t="inlineStr">
        <is>
          <t>no report states where the company is based</t>
        </is>
      </c>
    </row>
    <row r="1342">
      <c r="A1342" t="inlineStr">
        <is>
          <t>C07</t>
        </is>
      </c>
      <c r="B1342" t="inlineStr">
        <is>
          <t>City unknown</t>
        </is>
      </c>
      <c r="C1342" t="inlineStr">
        <is>
          <t>info</t>
        </is>
      </c>
      <c r="D1342" t="inlineStr">
        <is>
          <t>R250912-farmdidi</t>
        </is>
      </c>
      <c r="E1342" t="inlineStr">
        <is>
          <t>FarmDidi</t>
        </is>
      </c>
      <c r="F1342" s="17" t="n">
        <v>45912</v>
      </c>
      <c r="G1342" t="inlineStr">
        <is>
          <t>no report states where the company is based</t>
        </is>
      </c>
    </row>
    <row r="1343">
      <c r="A1343" t="inlineStr">
        <is>
          <t>C07</t>
        </is>
      </c>
      <c r="B1343" t="inlineStr">
        <is>
          <t>City unknown</t>
        </is>
      </c>
      <c r="C1343" t="inlineStr">
        <is>
          <t>info</t>
        </is>
      </c>
      <c r="D1343" t="inlineStr">
        <is>
          <t>R250915-mynaksh</t>
        </is>
      </c>
      <c r="E1343" t="inlineStr">
        <is>
          <t>MyNaksh</t>
        </is>
      </c>
      <c r="F1343" s="17" t="n">
        <v>45915</v>
      </c>
      <c r="G1343" t="inlineStr">
        <is>
          <t>no report states where the company is based</t>
        </is>
      </c>
    </row>
    <row r="1344">
      <c r="A1344" t="inlineStr">
        <is>
          <t>C07</t>
        </is>
      </c>
      <c r="B1344" t="inlineStr">
        <is>
          <t>City unknown</t>
        </is>
      </c>
      <c r="C1344" t="inlineStr">
        <is>
          <t>info</t>
        </is>
      </c>
      <c r="D1344" t="inlineStr">
        <is>
          <t>R250915-pascalailabs</t>
        </is>
      </c>
      <c r="E1344" t="inlineStr">
        <is>
          <t>Pascal AI Labs</t>
        </is>
      </c>
      <c r="F1344" s="17" t="n">
        <v>45915</v>
      </c>
      <c r="G1344" t="inlineStr">
        <is>
          <t>no report states where the company is based</t>
        </is>
      </c>
    </row>
    <row r="1345">
      <c r="A1345" t="inlineStr">
        <is>
          <t>C07</t>
        </is>
      </c>
      <c r="B1345" t="inlineStr">
        <is>
          <t>City unknown</t>
        </is>
      </c>
      <c r="C1345" t="inlineStr">
        <is>
          <t>info</t>
        </is>
      </c>
      <c r="D1345" t="inlineStr">
        <is>
          <t>R250916-amaani</t>
        </is>
      </c>
      <c r="E1345" t="inlineStr">
        <is>
          <t>Amaani</t>
        </is>
      </c>
      <c r="F1345" s="17" t="n">
        <v>45916</v>
      </c>
      <c r="G1345" t="inlineStr">
        <is>
          <t>no report states where the company is based</t>
        </is>
      </c>
    </row>
    <row r="1346">
      <c r="A1346" t="inlineStr">
        <is>
          <t>C07</t>
        </is>
      </c>
      <c r="B1346" t="inlineStr">
        <is>
          <t>City unknown</t>
        </is>
      </c>
      <c r="C1346" t="inlineStr">
        <is>
          <t>info</t>
        </is>
      </c>
      <c r="D1346" t="inlineStr">
        <is>
          <t>R250916-beyondsquare</t>
        </is>
      </c>
      <c r="E1346" t="inlineStr">
        <is>
          <t>BeyondSquare</t>
        </is>
      </c>
      <c r="F1346" s="17" t="n">
        <v>45916</v>
      </c>
      <c r="G1346" t="inlineStr">
        <is>
          <t>no report states where the company is based</t>
        </is>
      </c>
    </row>
    <row r="1347">
      <c r="A1347" t="inlineStr">
        <is>
          <t>C07</t>
        </is>
      </c>
      <c r="B1347" t="inlineStr">
        <is>
          <t>City unknown</t>
        </is>
      </c>
      <c r="C1347" t="inlineStr">
        <is>
          <t>info</t>
        </is>
      </c>
      <c r="D1347" t="inlineStr">
        <is>
          <t>R250916-genovationsolu</t>
        </is>
      </c>
      <c r="E1347" t="inlineStr">
        <is>
          <t>Genovation Solutions</t>
        </is>
      </c>
      <c r="F1347" s="17" t="n">
        <v>45916</v>
      </c>
      <c r="G1347" t="inlineStr">
        <is>
          <t>no report states where the company is based</t>
        </is>
      </c>
    </row>
    <row r="1348">
      <c r="A1348" t="inlineStr">
        <is>
          <t>C07</t>
        </is>
      </c>
      <c r="B1348" t="inlineStr">
        <is>
          <t>City unknown</t>
        </is>
      </c>
      <c r="C1348" t="inlineStr">
        <is>
          <t>info</t>
        </is>
      </c>
      <c r="D1348" t="inlineStr">
        <is>
          <t>R250916-idodevices</t>
        </is>
      </c>
      <c r="E1348" t="inlineStr">
        <is>
          <t>iDO Devices</t>
        </is>
      </c>
      <c r="F1348" s="17" t="n">
        <v>45916</v>
      </c>
      <c r="G1348" t="inlineStr">
        <is>
          <t>no report states where the company is based</t>
        </is>
      </c>
    </row>
    <row r="1349">
      <c r="A1349" t="inlineStr">
        <is>
          <t>C07</t>
        </is>
      </c>
      <c r="B1349" t="inlineStr">
        <is>
          <t>City unknown</t>
        </is>
      </c>
      <c r="C1349" t="inlineStr">
        <is>
          <t>info</t>
        </is>
      </c>
      <c r="D1349" t="inlineStr">
        <is>
          <t>R250916-incredmoney</t>
        </is>
      </c>
      <c r="E1349" t="inlineStr">
        <is>
          <t>InCred Money</t>
        </is>
      </c>
      <c r="F1349" s="17" t="n">
        <v>45916</v>
      </c>
      <c r="G1349" t="inlineStr">
        <is>
          <t>no report states where the company is based</t>
        </is>
      </c>
    </row>
    <row r="1350">
      <c r="A1350" t="inlineStr">
        <is>
          <t>C07</t>
        </is>
      </c>
      <c r="B1350" t="inlineStr">
        <is>
          <t>City unknown</t>
        </is>
      </c>
      <c r="C1350" t="inlineStr">
        <is>
          <t>info</t>
        </is>
      </c>
      <c r="D1350" t="inlineStr">
        <is>
          <t>R250916-indkal</t>
        </is>
      </c>
      <c r="E1350" t="inlineStr">
        <is>
          <t>Indkal</t>
        </is>
      </c>
      <c r="F1350" s="17" t="n">
        <v>45916</v>
      </c>
      <c r="G1350" t="inlineStr">
        <is>
          <t>no report states where the company is based</t>
        </is>
      </c>
    </row>
    <row r="1351">
      <c r="A1351" t="inlineStr">
        <is>
          <t>C07</t>
        </is>
      </c>
      <c r="B1351" t="inlineStr">
        <is>
          <t>City unknown</t>
        </is>
      </c>
      <c r="C1351" t="inlineStr">
        <is>
          <t>info</t>
        </is>
      </c>
      <c r="D1351" t="inlineStr">
        <is>
          <t>R250916-playsuper</t>
        </is>
      </c>
      <c r="E1351" t="inlineStr">
        <is>
          <t>PlaySuper</t>
        </is>
      </c>
      <c r="F1351" s="17" t="n">
        <v>45916</v>
      </c>
      <c r="G1351" t="inlineStr">
        <is>
          <t>no report states where the company is based</t>
        </is>
      </c>
    </row>
    <row r="1352">
      <c r="A1352" t="inlineStr">
        <is>
          <t>C07</t>
        </is>
      </c>
      <c r="B1352" t="inlineStr">
        <is>
          <t>City unknown</t>
        </is>
      </c>
      <c r="C1352" t="inlineStr">
        <is>
          <t>info</t>
        </is>
      </c>
      <c r="D1352" t="inlineStr">
        <is>
          <t>R250916-scalekit</t>
        </is>
      </c>
      <c r="E1352" t="inlineStr">
        <is>
          <t>Scalekit</t>
        </is>
      </c>
      <c r="F1352" s="17" t="n">
        <v>45916</v>
      </c>
      <c r="G1352" t="inlineStr">
        <is>
          <t>no report states where the company is based</t>
        </is>
      </c>
    </row>
    <row r="1353">
      <c r="A1353" t="inlineStr">
        <is>
          <t>C07</t>
        </is>
      </c>
      <c r="B1353" t="inlineStr">
        <is>
          <t>City unknown</t>
        </is>
      </c>
      <c r="C1353" t="inlineStr">
        <is>
          <t>info</t>
        </is>
      </c>
      <c r="D1353" t="inlineStr">
        <is>
          <t>R250917-evoluteiq</t>
        </is>
      </c>
      <c r="E1353" t="inlineStr">
        <is>
          <t>EvoluteIQ</t>
        </is>
      </c>
      <c r="F1353" s="17" t="n">
        <v>45917</v>
      </c>
      <c r="G1353" t="inlineStr">
        <is>
          <t>no report states where the company is based</t>
        </is>
      </c>
    </row>
    <row r="1354">
      <c r="A1354" t="inlineStr">
        <is>
          <t>C07</t>
        </is>
      </c>
      <c r="B1354" t="inlineStr">
        <is>
          <t>City unknown</t>
        </is>
      </c>
      <c r="C1354" t="inlineStr">
        <is>
          <t>info</t>
        </is>
      </c>
      <c r="D1354" t="inlineStr">
        <is>
          <t>R250917-lucira</t>
        </is>
      </c>
      <c r="E1354" t="inlineStr">
        <is>
          <t>Lucira</t>
        </is>
      </c>
      <c r="F1354" s="17" t="n">
        <v>45917</v>
      </c>
      <c r="G1354" t="inlineStr">
        <is>
          <t>no report states where the company is based</t>
        </is>
      </c>
    </row>
    <row r="1355">
      <c r="A1355" t="inlineStr">
        <is>
          <t>C07</t>
        </is>
      </c>
      <c r="B1355" t="inlineStr">
        <is>
          <t>City unknown</t>
        </is>
      </c>
      <c r="C1355" t="inlineStr">
        <is>
          <t>info</t>
        </is>
      </c>
      <c r="D1355" t="inlineStr">
        <is>
          <t>R250917-supply6</t>
        </is>
      </c>
      <c r="E1355" t="inlineStr">
        <is>
          <t>Supply6</t>
        </is>
      </c>
      <c r="F1355" s="17" t="n">
        <v>45917</v>
      </c>
      <c r="G1355" t="inlineStr">
        <is>
          <t>no report states where the company is based</t>
        </is>
      </c>
    </row>
    <row r="1356">
      <c r="A1356" t="inlineStr">
        <is>
          <t>C07</t>
        </is>
      </c>
      <c r="B1356" t="inlineStr">
        <is>
          <t>City unknown</t>
        </is>
      </c>
      <c r="C1356" t="inlineStr">
        <is>
          <t>info</t>
        </is>
      </c>
      <c r="D1356" t="inlineStr">
        <is>
          <t>R250918-rapteehv</t>
        </is>
      </c>
      <c r="E1356" t="inlineStr">
        <is>
          <t>Raptee.HV</t>
        </is>
      </c>
      <c r="F1356" s="17" t="n">
        <v>45918</v>
      </c>
      <c r="G1356" t="inlineStr">
        <is>
          <t>no report states where the company is based</t>
        </is>
      </c>
    </row>
    <row r="1357">
      <c r="A1357" t="inlineStr">
        <is>
          <t>C07</t>
        </is>
      </c>
      <c r="B1357" t="inlineStr">
        <is>
          <t>City unknown</t>
        </is>
      </c>
      <c r="C1357" t="inlineStr">
        <is>
          <t>info</t>
        </is>
      </c>
      <c r="D1357" t="inlineStr">
        <is>
          <t>R250919-blinkitai</t>
        </is>
      </c>
      <c r="E1357" t="inlineStr">
        <is>
          <t>Blinkit-AI</t>
        </is>
      </c>
      <c r="F1357" s="17" t="n">
        <v>45919</v>
      </c>
      <c r="G1357" t="inlineStr">
        <is>
          <t>no report states where the company is based</t>
        </is>
      </c>
    </row>
    <row r="1358">
      <c r="A1358" t="inlineStr">
        <is>
          <t>C07</t>
        </is>
      </c>
      <c r="B1358" t="inlineStr">
        <is>
          <t>City unknown</t>
        </is>
      </c>
      <c r="C1358" t="inlineStr">
        <is>
          <t>info</t>
        </is>
      </c>
      <c r="D1358" t="inlineStr">
        <is>
          <t>R250919-blueenergymoto</t>
        </is>
      </c>
      <c r="E1358" t="inlineStr">
        <is>
          <t>Blue Energy Motors</t>
        </is>
      </c>
      <c r="F1358" s="17" t="n">
        <v>45919</v>
      </c>
      <c r="G1358" t="inlineStr">
        <is>
          <t>no report states where the company is based</t>
        </is>
      </c>
    </row>
    <row r="1359">
      <c r="A1359" t="inlineStr">
        <is>
          <t>C07</t>
        </is>
      </c>
      <c r="B1359" t="inlineStr">
        <is>
          <t>City unknown</t>
        </is>
      </c>
      <c r="C1359" t="inlineStr">
        <is>
          <t>info</t>
        </is>
      </c>
      <c r="D1359" t="inlineStr">
        <is>
          <t>R250919-equilibrium</t>
        </is>
      </c>
      <c r="E1359" t="inlineStr">
        <is>
          <t>Equilibrium</t>
        </is>
      </c>
      <c r="F1359" s="17" t="n">
        <v>45919</v>
      </c>
      <c r="G1359" t="inlineStr">
        <is>
          <t>no report states where the company is based</t>
        </is>
      </c>
    </row>
    <row r="1360">
      <c r="A1360" t="inlineStr">
        <is>
          <t>C07</t>
        </is>
      </c>
      <c r="B1360" t="inlineStr">
        <is>
          <t>City unknown</t>
        </is>
      </c>
      <c r="C1360" t="inlineStr">
        <is>
          <t>info</t>
        </is>
      </c>
      <c r="D1360" t="inlineStr">
        <is>
          <t>R250919-includ</t>
        </is>
      </c>
      <c r="E1360" t="inlineStr">
        <is>
          <t>INCLUD</t>
        </is>
      </c>
      <c r="F1360" s="17" t="n">
        <v>45919</v>
      </c>
      <c r="G1360" t="inlineStr">
        <is>
          <t>no report states where the company is based</t>
        </is>
      </c>
    </row>
    <row r="1361">
      <c r="A1361" t="inlineStr">
        <is>
          <t>C07</t>
        </is>
      </c>
      <c r="B1361" t="inlineStr">
        <is>
          <t>City unknown</t>
        </is>
      </c>
      <c r="C1361" t="inlineStr">
        <is>
          <t>info</t>
        </is>
      </c>
      <c r="D1361" t="inlineStr">
        <is>
          <t>R250919-wankelenergysy</t>
        </is>
      </c>
      <c r="E1361" t="inlineStr">
        <is>
          <t>Wankel Energy Systems</t>
        </is>
      </c>
      <c r="F1361" s="17" t="n">
        <v>45919</v>
      </c>
      <c r="G1361" t="inlineStr">
        <is>
          <t>no report states where the company is based</t>
        </is>
      </c>
    </row>
    <row r="1362">
      <c r="A1362" t="inlineStr">
        <is>
          <t>C07</t>
        </is>
      </c>
      <c r="B1362" t="inlineStr">
        <is>
          <t>City unknown</t>
        </is>
      </c>
      <c r="C1362" t="inlineStr">
        <is>
          <t>info</t>
        </is>
      </c>
      <c r="D1362" t="inlineStr">
        <is>
          <t>R250922-allthingspeopl</t>
        </is>
      </c>
      <c r="E1362" t="inlineStr">
        <is>
          <t>All Things People</t>
        </is>
      </c>
      <c r="F1362" s="17" t="n">
        <v>45922</v>
      </c>
      <c r="G1362" t="inlineStr">
        <is>
          <t>no report states where the company is based</t>
        </is>
      </c>
    </row>
    <row r="1363">
      <c r="A1363" t="inlineStr">
        <is>
          <t>C07</t>
        </is>
      </c>
      <c r="B1363" t="inlineStr">
        <is>
          <t>City unknown</t>
        </is>
      </c>
      <c r="C1363" t="inlineStr">
        <is>
          <t>info</t>
        </is>
      </c>
      <c r="D1363" t="inlineStr">
        <is>
          <t>R250922-carbonmasters</t>
        </is>
      </c>
      <c r="E1363" t="inlineStr">
        <is>
          <t>Carbon Masters</t>
        </is>
      </c>
      <c r="F1363" s="17" t="n">
        <v>45922</v>
      </c>
      <c r="G1363" t="inlineStr">
        <is>
          <t>no report states where the company is based</t>
        </is>
      </c>
    </row>
    <row r="1364">
      <c r="A1364" t="inlineStr">
        <is>
          <t>C07</t>
        </is>
      </c>
      <c r="B1364" t="inlineStr">
        <is>
          <t>City unknown</t>
        </is>
      </c>
      <c r="C1364" t="inlineStr">
        <is>
          <t>info</t>
        </is>
      </c>
      <c r="D1364" t="inlineStr">
        <is>
          <t>R250923-distil</t>
        </is>
      </c>
      <c r="E1364" t="inlineStr">
        <is>
          <t>Distil</t>
        </is>
      </c>
      <c r="F1364" s="17" t="n">
        <v>45923</v>
      </c>
      <c r="G1364" t="inlineStr">
        <is>
          <t>no report states where the company is based</t>
        </is>
      </c>
    </row>
    <row r="1365">
      <c r="A1365" t="inlineStr">
        <is>
          <t>C07</t>
        </is>
      </c>
      <c r="B1365" t="inlineStr">
        <is>
          <t>City unknown</t>
        </is>
      </c>
      <c r="C1365" t="inlineStr">
        <is>
          <t>info</t>
        </is>
      </c>
      <c r="D1365" t="inlineStr">
        <is>
          <t>R250923-gabit</t>
        </is>
      </c>
      <c r="E1365" t="inlineStr">
        <is>
          <t>Gabit</t>
        </is>
      </c>
      <c r="F1365" s="17" t="n">
        <v>45923</v>
      </c>
      <c r="G1365" t="inlineStr">
        <is>
          <t>no report states where the company is based</t>
        </is>
      </c>
    </row>
    <row r="1366">
      <c r="A1366" t="inlineStr">
        <is>
          <t>C07</t>
        </is>
      </c>
      <c r="B1366" t="inlineStr">
        <is>
          <t>City unknown</t>
        </is>
      </c>
      <c r="C1366" t="inlineStr">
        <is>
          <t>info</t>
        </is>
      </c>
      <c r="D1366" t="inlineStr">
        <is>
          <t>R250923-navo</t>
        </is>
      </c>
      <c r="E1366" t="inlineStr">
        <is>
          <t>Navo</t>
        </is>
      </c>
      <c r="F1366" s="17" t="n">
        <v>45923</v>
      </c>
      <c r="G1366" t="inlineStr">
        <is>
          <t>no report states where the company is based</t>
        </is>
      </c>
    </row>
    <row r="1367">
      <c r="A1367" t="inlineStr">
        <is>
          <t>C07</t>
        </is>
      </c>
      <c r="B1367" t="inlineStr">
        <is>
          <t>City unknown</t>
        </is>
      </c>
      <c r="C1367" t="inlineStr">
        <is>
          <t>info</t>
        </is>
      </c>
      <c r="D1367" t="inlineStr">
        <is>
          <t>R250923-paarautonomy</t>
        </is>
      </c>
      <c r="E1367" t="inlineStr">
        <is>
          <t>Paar Autonomy</t>
        </is>
      </c>
      <c r="F1367" s="17" t="n">
        <v>45923</v>
      </c>
      <c r="G1367" t="inlineStr">
        <is>
          <t>no report states where the company is based</t>
        </is>
      </c>
    </row>
    <row r="1368">
      <c r="A1368" t="inlineStr">
        <is>
          <t>C07</t>
        </is>
      </c>
      <c r="B1368" t="inlineStr">
        <is>
          <t>City unknown</t>
        </is>
      </c>
      <c r="C1368" t="inlineStr">
        <is>
          <t>info</t>
        </is>
      </c>
      <c r="D1368" t="inlineStr">
        <is>
          <t>R250923-prism</t>
        </is>
      </c>
      <c r="E1368" t="inlineStr">
        <is>
          <t>PRISM</t>
        </is>
      </c>
      <c r="F1368" s="17" t="n">
        <v>45923</v>
      </c>
      <c r="G1368" t="inlineStr">
        <is>
          <t>no report states where the company is based</t>
        </is>
      </c>
    </row>
    <row r="1369">
      <c r="A1369" t="inlineStr">
        <is>
          <t>C07</t>
        </is>
      </c>
      <c r="B1369" t="inlineStr">
        <is>
          <t>City unknown</t>
        </is>
      </c>
      <c r="C1369" t="inlineStr">
        <is>
          <t>info</t>
        </is>
      </c>
      <c r="D1369" t="inlineStr">
        <is>
          <t>R250923-rocket</t>
        </is>
      </c>
      <c r="E1369" t="inlineStr">
        <is>
          <t>Rocket</t>
        </is>
      </c>
      <c r="F1369" s="17" t="n">
        <v>45923</v>
      </c>
      <c r="G1369" t="inlineStr">
        <is>
          <t>no report states where the company is based</t>
        </is>
      </c>
    </row>
    <row r="1370">
      <c r="A1370" t="inlineStr">
        <is>
          <t>C07</t>
        </is>
      </c>
      <c r="B1370" t="inlineStr">
        <is>
          <t>City unknown</t>
        </is>
      </c>
      <c r="C1370" t="inlineStr">
        <is>
          <t>info</t>
        </is>
      </c>
      <c r="D1370" t="inlineStr">
        <is>
          <t>R250924-ptal</t>
        </is>
      </c>
      <c r="E1370" t="inlineStr">
        <is>
          <t>P-TAL</t>
        </is>
      </c>
      <c r="F1370" s="17" t="n">
        <v>45924</v>
      </c>
      <c r="G1370" t="inlineStr">
        <is>
          <t>no report states where the company is based</t>
        </is>
      </c>
    </row>
    <row r="1371">
      <c r="A1371" t="inlineStr">
        <is>
          <t>C07</t>
        </is>
      </c>
      <c r="B1371" t="inlineStr">
        <is>
          <t>City unknown</t>
        </is>
      </c>
      <c r="C1371" t="inlineStr">
        <is>
          <t>info</t>
        </is>
      </c>
      <c r="D1371" t="inlineStr">
        <is>
          <t>R250925-bharatintellig</t>
        </is>
      </c>
      <c r="E1371" t="inlineStr">
        <is>
          <t>Bharat Intelligence</t>
        </is>
      </c>
      <c r="F1371" s="17" t="n">
        <v>45925</v>
      </c>
      <c r="G1371" t="inlineStr">
        <is>
          <t>no report states where the company is based</t>
        </is>
      </c>
    </row>
    <row r="1372">
      <c r="A1372" t="inlineStr">
        <is>
          <t>C07</t>
        </is>
      </c>
      <c r="B1372" t="inlineStr">
        <is>
          <t>City unknown</t>
        </is>
      </c>
      <c r="C1372" t="inlineStr">
        <is>
          <t>info</t>
        </is>
      </c>
      <c r="D1372" t="inlineStr">
        <is>
          <t>R250925-handpickd</t>
        </is>
      </c>
      <c r="E1372" t="inlineStr">
        <is>
          <t>Handpickd</t>
        </is>
      </c>
      <c r="F1372" s="17" t="n">
        <v>45925</v>
      </c>
      <c r="G1372" t="inlineStr">
        <is>
          <t>no report states where the company is based</t>
        </is>
      </c>
    </row>
    <row r="1373">
      <c r="A1373" t="inlineStr">
        <is>
          <t>C07</t>
        </is>
      </c>
      <c r="B1373" t="inlineStr">
        <is>
          <t>City unknown</t>
        </is>
      </c>
      <c r="C1373" t="inlineStr">
        <is>
          <t>info</t>
        </is>
      </c>
      <c r="D1373" t="inlineStr">
        <is>
          <t>R250925-kisankonnect</t>
        </is>
      </c>
      <c r="E1373" t="inlineStr">
        <is>
          <t>KisanKonnect</t>
        </is>
      </c>
      <c r="F1373" s="17" t="n">
        <v>45925</v>
      </c>
      <c r="G1373" t="inlineStr">
        <is>
          <t>no report states where the company is based</t>
        </is>
      </c>
    </row>
    <row r="1374">
      <c r="A1374" t="inlineStr">
        <is>
          <t>C07</t>
        </is>
      </c>
      <c r="B1374" t="inlineStr">
        <is>
          <t>City unknown</t>
        </is>
      </c>
      <c r="C1374" t="inlineStr">
        <is>
          <t>info</t>
        </is>
      </c>
      <c r="D1374" t="inlineStr">
        <is>
          <t>R250926-gaadimech</t>
        </is>
      </c>
      <c r="E1374" t="inlineStr">
        <is>
          <t>Gaadimech</t>
        </is>
      </c>
      <c r="F1374" s="17" t="n">
        <v>45926</v>
      </c>
      <c r="G1374" t="inlineStr">
        <is>
          <t>no report states where the company is based</t>
        </is>
      </c>
    </row>
    <row r="1375">
      <c r="A1375" t="inlineStr">
        <is>
          <t>C07</t>
        </is>
      </c>
      <c r="B1375" t="inlineStr">
        <is>
          <t>City unknown</t>
        </is>
      </c>
      <c r="C1375" t="inlineStr">
        <is>
          <t>info</t>
        </is>
      </c>
      <c r="D1375" t="inlineStr">
        <is>
          <t>R250929-kapiva</t>
        </is>
      </c>
      <c r="E1375" t="inlineStr">
        <is>
          <t>Kapiva</t>
        </is>
      </c>
      <c r="F1375" s="17" t="n">
        <v>45929</v>
      </c>
      <c r="G1375" t="inlineStr">
        <is>
          <t>no report states where the company is based</t>
        </is>
      </c>
    </row>
    <row r="1376">
      <c r="A1376" t="inlineStr">
        <is>
          <t>C07</t>
        </is>
      </c>
      <c r="B1376" t="inlineStr">
        <is>
          <t>City unknown</t>
        </is>
      </c>
      <c r="C1376" t="inlineStr">
        <is>
          <t>info</t>
        </is>
      </c>
      <c r="D1376" t="inlineStr">
        <is>
          <t>R250929-rugrfintech</t>
        </is>
      </c>
      <c r="E1376" t="inlineStr">
        <is>
          <t>RUGR Fintech</t>
        </is>
      </c>
      <c r="F1376" s="17" t="n">
        <v>45929</v>
      </c>
      <c r="G1376" t="inlineStr">
        <is>
          <t>no report states where the company is based</t>
        </is>
      </c>
    </row>
    <row r="1377">
      <c r="A1377" t="inlineStr">
        <is>
          <t>C07</t>
        </is>
      </c>
      <c r="B1377" t="inlineStr">
        <is>
          <t>City unknown</t>
        </is>
      </c>
      <c r="C1377" t="inlineStr">
        <is>
          <t>info</t>
        </is>
      </c>
      <c r="D1377" t="inlineStr">
        <is>
          <t>R250929-vaaniairesearc</t>
        </is>
      </c>
      <c r="E1377" t="inlineStr">
        <is>
          <t>Vaani AI</t>
        </is>
      </c>
      <c r="F1377" s="17" t="n">
        <v>45929</v>
      </c>
      <c r="G1377" t="inlineStr">
        <is>
          <t>no report states where the company is based</t>
        </is>
      </c>
    </row>
    <row r="1378">
      <c r="A1378" t="inlineStr">
        <is>
          <t>C07</t>
        </is>
      </c>
      <c r="B1378" t="inlineStr">
        <is>
          <t>City unknown</t>
        </is>
      </c>
      <c r="C1378" t="inlineStr">
        <is>
          <t>info</t>
        </is>
      </c>
      <c r="D1378" t="inlineStr">
        <is>
          <t>R250930-assessli</t>
        </is>
      </c>
      <c r="E1378" t="inlineStr">
        <is>
          <t>Assessli</t>
        </is>
      </c>
      <c r="F1378" s="17" t="n">
        <v>45930</v>
      </c>
      <c r="G1378" t="inlineStr">
        <is>
          <t>no report states where the company is based</t>
        </is>
      </c>
    </row>
    <row r="1379">
      <c r="A1379" t="inlineStr">
        <is>
          <t>C07</t>
        </is>
      </c>
      <c r="B1379" t="inlineStr">
        <is>
          <t>City unknown</t>
        </is>
      </c>
      <c r="C1379" t="inlineStr">
        <is>
          <t>info</t>
        </is>
      </c>
      <c r="D1379" t="inlineStr">
        <is>
          <t>R250930-climatyai</t>
        </is>
      </c>
      <c r="E1379" t="inlineStr">
        <is>
          <t>Climaty AI</t>
        </is>
      </c>
      <c r="F1379" s="17" t="n">
        <v>45930</v>
      </c>
      <c r="G1379" t="inlineStr">
        <is>
          <t>no report states where the company is based</t>
        </is>
      </c>
    </row>
    <row r="1380">
      <c r="A1380" t="inlineStr">
        <is>
          <t>C07</t>
        </is>
      </c>
      <c r="B1380" t="inlineStr">
        <is>
          <t>City unknown</t>
        </is>
      </c>
      <c r="C1380" t="inlineStr">
        <is>
          <t>info</t>
        </is>
      </c>
      <c r="D1380" t="inlineStr">
        <is>
          <t>R250930-fyno</t>
        </is>
      </c>
      <c r="E1380" t="inlineStr">
        <is>
          <t>Fyno</t>
        </is>
      </c>
      <c r="F1380" s="17" t="n">
        <v>45930</v>
      </c>
      <c r="G1380" t="inlineStr">
        <is>
          <t>no report states where the company is based</t>
        </is>
      </c>
    </row>
    <row r="1381">
      <c r="A1381" t="inlineStr">
        <is>
          <t>C07</t>
        </is>
      </c>
      <c r="B1381" t="inlineStr">
        <is>
          <t>City unknown</t>
        </is>
      </c>
      <c r="C1381" t="inlineStr">
        <is>
          <t>info</t>
        </is>
      </c>
      <c r="D1381" t="inlineStr">
        <is>
          <t>R250930-superfam</t>
        </is>
      </c>
      <c r="E1381" t="inlineStr">
        <is>
          <t>SuperFam</t>
        </is>
      </c>
      <c r="F1381" s="17" t="n">
        <v>45930</v>
      </c>
      <c r="G1381" t="inlineStr">
        <is>
          <t>no report states where the company is based</t>
        </is>
      </c>
    </row>
    <row r="1382">
      <c r="A1382" t="inlineStr">
        <is>
          <t>C07</t>
        </is>
      </c>
      <c r="B1382" t="inlineStr">
        <is>
          <t>City unknown</t>
        </is>
      </c>
      <c r="C1382" t="inlineStr">
        <is>
          <t>info</t>
        </is>
      </c>
      <c r="D1382" t="inlineStr">
        <is>
          <t>R250930-vama</t>
        </is>
      </c>
      <c r="E1382" t="inlineStr">
        <is>
          <t>VAMA</t>
        </is>
      </c>
      <c r="F1382" s="17" t="n">
        <v>45930</v>
      </c>
      <c r="G1382" t="inlineStr">
        <is>
          <t>no report states where the company is based</t>
        </is>
      </c>
    </row>
    <row r="1383">
      <c r="A1383" t="inlineStr">
        <is>
          <t>C07</t>
        </is>
      </c>
      <c r="B1383" t="inlineStr">
        <is>
          <t>City unknown</t>
        </is>
      </c>
      <c r="C1383" t="inlineStr">
        <is>
          <t>info</t>
        </is>
      </c>
      <c r="D1383" t="inlineStr">
        <is>
          <t>R251001-growxcdfinance</t>
        </is>
      </c>
      <c r="E1383" t="inlineStr">
        <is>
          <t>GrowXCD Finance</t>
        </is>
      </c>
      <c r="F1383" s="17" t="n">
        <v>45931</v>
      </c>
      <c r="G1383" t="inlineStr">
        <is>
          <t>no report states where the company is based</t>
        </is>
      </c>
    </row>
    <row r="1384">
      <c r="A1384" t="inlineStr">
        <is>
          <t>C07</t>
        </is>
      </c>
      <c r="B1384" t="inlineStr">
        <is>
          <t>City unknown</t>
        </is>
      </c>
      <c r="C1384" t="inlineStr">
        <is>
          <t>info</t>
        </is>
      </c>
      <c r="D1384" t="inlineStr">
        <is>
          <t>R251001-mishmashnatura</t>
        </is>
      </c>
      <c r="E1384" t="inlineStr">
        <is>
          <t>Mishmash Naturals</t>
        </is>
      </c>
      <c r="F1384" s="17" t="n">
        <v>45931</v>
      </c>
      <c r="G1384" t="inlineStr">
        <is>
          <t>no report states where the company is based</t>
        </is>
      </c>
    </row>
    <row r="1385">
      <c r="A1385" t="inlineStr">
        <is>
          <t>C07</t>
        </is>
      </c>
      <c r="B1385" t="inlineStr">
        <is>
          <t>City unknown</t>
        </is>
      </c>
      <c r="C1385" t="inlineStr">
        <is>
          <t>info</t>
        </is>
      </c>
      <c r="D1385" t="inlineStr">
        <is>
          <t>R251007-kgen</t>
        </is>
      </c>
      <c r="E1385" t="inlineStr">
        <is>
          <t>KGen</t>
        </is>
      </c>
      <c r="F1385" s="17" t="n">
        <v>45933</v>
      </c>
      <c r="G1385" t="inlineStr">
        <is>
          <t>no report states where the company is based</t>
        </is>
      </c>
    </row>
    <row r="1386">
      <c r="A1386" t="inlineStr">
        <is>
          <t>C07</t>
        </is>
      </c>
      <c r="B1386" t="inlineStr">
        <is>
          <t>City unknown</t>
        </is>
      </c>
      <c r="C1386" t="inlineStr">
        <is>
          <t>info</t>
        </is>
      </c>
      <c r="D1386" t="inlineStr">
        <is>
          <t>R251006-affluenseai</t>
        </is>
      </c>
      <c r="E1386" t="inlineStr">
        <is>
          <t>Affluense AI</t>
        </is>
      </c>
      <c r="F1386" s="17" t="n">
        <v>45936</v>
      </c>
      <c r="G1386" t="inlineStr">
        <is>
          <t>no report states where the company is based</t>
        </is>
      </c>
    </row>
    <row r="1387">
      <c r="A1387" t="inlineStr">
        <is>
          <t>C07</t>
        </is>
      </c>
      <c r="B1387" t="inlineStr">
        <is>
          <t>City unknown</t>
        </is>
      </c>
      <c r="C1387" t="inlineStr">
        <is>
          <t>info</t>
        </is>
      </c>
      <c r="D1387" t="inlineStr">
        <is>
          <t>R251006-decortwist</t>
        </is>
      </c>
      <c r="E1387" t="inlineStr">
        <is>
          <t>DecorTwist</t>
        </is>
      </c>
      <c r="F1387" s="17" t="n">
        <v>45936</v>
      </c>
      <c r="G1387" t="inlineStr">
        <is>
          <t>no report states where the company is based</t>
        </is>
      </c>
    </row>
    <row r="1388">
      <c r="A1388" t="inlineStr">
        <is>
          <t>C07</t>
        </is>
      </c>
      <c r="B1388" t="inlineStr">
        <is>
          <t>City unknown</t>
        </is>
      </c>
      <c r="C1388" t="inlineStr">
        <is>
          <t>info</t>
        </is>
      </c>
      <c r="D1388" t="inlineStr">
        <is>
          <t>R251006-dhan</t>
        </is>
      </c>
      <c r="E1388" t="inlineStr">
        <is>
          <t>Dhan</t>
        </is>
      </c>
      <c r="F1388" s="17" t="n">
        <v>45936</v>
      </c>
      <c r="G1388" t="inlineStr">
        <is>
          <t>no report states where the company is based</t>
        </is>
      </c>
    </row>
    <row r="1389">
      <c r="A1389" t="inlineStr">
        <is>
          <t>C07</t>
        </is>
      </c>
      <c r="B1389" t="inlineStr">
        <is>
          <t>City unknown</t>
        </is>
      </c>
      <c r="C1389" t="inlineStr">
        <is>
          <t>info</t>
        </is>
      </c>
      <c r="D1389" t="inlineStr">
        <is>
          <t>R251006-ecoex</t>
        </is>
      </c>
      <c r="E1389" t="inlineStr">
        <is>
          <t>EcoEx</t>
        </is>
      </c>
      <c r="F1389" s="17" t="n">
        <v>45936</v>
      </c>
      <c r="G1389" t="inlineStr">
        <is>
          <t>no report states where the company is based</t>
        </is>
      </c>
    </row>
    <row r="1390">
      <c r="A1390" t="inlineStr">
        <is>
          <t>C07</t>
        </is>
      </c>
      <c r="B1390" t="inlineStr">
        <is>
          <t>City unknown</t>
        </is>
      </c>
      <c r="C1390" t="inlineStr">
        <is>
          <t>info</t>
        </is>
      </c>
      <c r="D1390" t="inlineStr">
        <is>
          <t>R251006-iifl</t>
        </is>
      </c>
      <c r="E1390" t="inlineStr">
        <is>
          <t>IIFL</t>
        </is>
      </c>
      <c r="F1390" s="17" t="n">
        <v>45936</v>
      </c>
      <c r="G1390" t="inlineStr">
        <is>
          <t>no report states where the company is based</t>
        </is>
      </c>
    </row>
    <row r="1391">
      <c r="A1391" t="inlineStr">
        <is>
          <t>C07</t>
        </is>
      </c>
      <c r="B1391" t="inlineStr">
        <is>
          <t>City unknown</t>
        </is>
      </c>
      <c r="C1391" t="inlineStr">
        <is>
          <t>info</t>
        </is>
      </c>
      <c r="D1391" t="inlineStr">
        <is>
          <t>R251006-jswoneplatform</t>
        </is>
      </c>
      <c r="E1391" t="inlineStr">
        <is>
          <t>JSW One Platforms</t>
        </is>
      </c>
      <c r="F1391" s="17" t="n">
        <v>45936</v>
      </c>
      <c r="G1391" t="inlineStr">
        <is>
          <t>no report states where the company is based</t>
        </is>
      </c>
    </row>
    <row r="1392">
      <c r="A1392" t="inlineStr">
        <is>
          <t>C07</t>
        </is>
      </c>
      <c r="B1392" t="inlineStr">
        <is>
          <t>City unknown</t>
        </is>
      </c>
      <c r="C1392" t="inlineStr">
        <is>
          <t>info</t>
        </is>
      </c>
      <c r="D1392" t="inlineStr">
        <is>
          <t>R251006-navatasupplych</t>
        </is>
      </c>
      <c r="E1392" t="inlineStr">
        <is>
          <t>Navata Supply Chain Solution</t>
        </is>
      </c>
      <c r="F1392" s="17" t="n">
        <v>45936</v>
      </c>
      <c r="G1392" t="inlineStr">
        <is>
          <t>no report states where the company is based</t>
        </is>
      </c>
    </row>
    <row r="1393">
      <c r="A1393" t="inlineStr">
        <is>
          <t>C07</t>
        </is>
      </c>
      <c r="B1393" t="inlineStr">
        <is>
          <t>City unknown</t>
        </is>
      </c>
      <c r="C1393" t="inlineStr">
        <is>
          <t>info</t>
        </is>
      </c>
      <c r="D1393" t="inlineStr">
        <is>
          <t>R251007-augustai</t>
        </is>
      </c>
      <c r="E1393" t="inlineStr">
        <is>
          <t>August AI</t>
        </is>
      </c>
      <c r="F1393" s="17" t="n">
        <v>45937</v>
      </c>
      <c r="G1393" t="inlineStr">
        <is>
          <t>no report states where the company is based</t>
        </is>
      </c>
    </row>
    <row r="1394">
      <c r="A1394" t="inlineStr">
        <is>
          <t>C07</t>
        </is>
      </c>
      <c r="B1394" t="inlineStr">
        <is>
          <t>City unknown</t>
        </is>
      </c>
      <c r="C1394" t="inlineStr">
        <is>
          <t>info</t>
        </is>
      </c>
      <c r="D1394" t="inlineStr">
        <is>
          <t>R251007-h2carbonzero</t>
        </is>
      </c>
      <c r="E1394" t="inlineStr">
        <is>
          <t>H2 Carbon Zero</t>
        </is>
      </c>
      <c r="F1394" s="17" t="n">
        <v>45937</v>
      </c>
      <c r="G1394" t="inlineStr">
        <is>
          <t>no report states where the company is based</t>
        </is>
      </c>
    </row>
    <row r="1395">
      <c r="A1395" t="inlineStr">
        <is>
          <t>C07</t>
        </is>
      </c>
      <c r="B1395" t="inlineStr">
        <is>
          <t>City unknown</t>
        </is>
      </c>
      <c r="C1395" t="inlineStr">
        <is>
          <t>info</t>
        </is>
      </c>
      <c r="D1395" t="inlineStr">
        <is>
          <t>R251007-intangles</t>
        </is>
      </c>
      <c r="E1395" t="inlineStr">
        <is>
          <t>Intangles</t>
        </is>
      </c>
      <c r="F1395" s="17" t="n">
        <v>45937</v>
      </c>
      <c r="G1395" t="inlineStr">
        <is>
          <t>no report states where the company is based</t>
        </is>
      </c>
    </row>
    <row r="1396">
      <c r="A1396" t="inlineStr">
        <is>
          <t>C07</t>
        </is>
      </c>
      <c r="B1396" t="inlineStr">
        <is>
          <t>City unknown</t>
        </is>
      </c>
      <c r="C1396" t="inlineStr">
        <is>
          <t>info</t>
        </is>
      </c>
      <c r="D1396" t="inlineStr">
        <is>
          <t>R251007-jaagrukbharat</t>
        </is>
      </c>
      <c r="E1396" t="inlineStr">
        <is>
          <t>Jaagruk Bharat</t>
        </is>
      </c>
      <c r="F1396" s="17" t="n">
        <v>45937</v>
      </c>
      <c r="G1396" t="inlineStr">
        <is>
          <t>no report states where the company is based</t>
        </is>
      </c>
    </row>
    <row r="1397">
      <c r="A1397" t="inlineStr">
        <is>
          <t>C07</t>
        </is>
      </c>
      <c r="B1397" t="inlineStr">
        <is>
          <t>City unknown</t>
        </is>
      </c>
      <c r="C1397" t="inlineStr">
        <is>
          <t>info</t>
        </is>
      </c>
      <c r="D1397" t="inlineStr">
        <is>
          <t>R251007-lucio</t>
        </is>
      </c>
      <c r="E1397" t="inlineStr">
        <is>
          <t>Lucio</t>
        </is>
      </c>
      <c r="F1397" s="17" t="n">
        <v>45937</v>
      </c>
      <c r="G1397" t="inlineStr">
        <is>
          <t>no report states where the company is based</t>
        </is>
      </c>
    </row>
    <row r="1398">
      <c r="A1398" t="inlineStr">
        <is>
          <t>C07</t>
        </is>
      </c>
      <c r="B1398" t="inlineStr">
        <is>
          <t>City unknown</t>
        </is>
      </c>
      <c r="C1398" t="inlineStr">
        <is>
          <t>info</t>
        </is>
      </c>
      <c r="D1398" t="inlineStr">
        <is>
          <t>R251007-themedicaltrav</t>
        </is>
      </c>
      <c r="E1398" t="inlineStr">
        <is>
          <t>The Medical Travel Company</t>
        </is>
      </c>
      <c r="F1398" s="17" t="n">
        <v>45937</v>
      </c>
      <c r="G1398" t="inlineStr">
        <is>
          <t>no report states where the company is based</t>
        </is>
      </c>
    </row>
    <row r="1399">
      <c r="A1399" t="inlineStr">
        <is>
          <t>C07</t>
        </is>
      </c>
      <c r="B1399" t="inlineStr">
        <is>
          <t>City unknown</t>
        </is>
      </c>
      <c r="C1399" t="inlineStr">
        <is>
          <t>info</t>
        </is>
      </c>
      <c r="D1399" t="inlineStr">
        <is>
          <t>R251009-askmyguru</t>
        </is>
      </c>
      <c r="E1399" t="inlineStr">
        <is>
          <t>Ask My Guru</t>
        </is>
      </c>
      <c r="F1399" s="17" t="n">
        <v>45939</v>
      </c>
      <c r="G1399" t="inlineStr">
        <is>
          <t>no report states where the company is based</t>
        </is>
      </c>
    </row>
    <row r="1400">
      <c r="A1400" t="inlineStr">
        <is>
          <t>C07</t>
        </is>
      </c>
      <c r="B1400" t="inlineStr">
        <is>
          <t>City unknown</t>
        </is>
      </c>
      <c r="C1400" t="inlineStr">
        <is>
          <t>info</t>
        </is>
      </c>
      <c r="D1400" t="inlineStr">
        <is>
          <t>R251009-reodev</t>
        </is>
      </c>
      <c r="E1400" t="inlineStr">
        <is>
          <t>Reo.Dev</t>
        </is>
      </c>
      <c r="F1400" s="17" t="n">
        <v>45939</v>
      </c>
      <c r="G1400" t="inlineStr">
        <is>
          <t>no report states where the company is based</t>
        </is>
      </c>
    </row>
    <row r="1401">
      <c r="A1401" t="inlineStr">
        <is>
          <t>C07</t>
        </is>
      </c>
      <c r="B1401" t="inlineStr">
        <is>
          <t>City unknown</t>
        </is>
      </c>
      <c r="C1401" t="inlineStr">
        <is>
          <t>info</t>
        </is>
      </c>
      <c r="D1401" t="inlineStr">
        <is>
          <t>R251010-hunger</t>
        </is>
      </c>
      <c r="E1401" t="inlineStr">
        <is>
          <t>Hunger Inc</t>
        </is>
      </c>
      <c r="F1401" s="17" t="n">
        <v>45940</v>
      </c>
      <c r="G1401" t="inlineStr">
        <is>
          <t>no report states where the company is based</t>
        </is>
      </c>
    </row>
    <row r="1402">
      <c r="A1402" t="inlineStr">
        <is>
          <t>C07</t>
        </is>
      </c>
      <c r="B1402" t="inlineStr">
        <is>
          <t>City unknown</t>
        </is>
      </c>
      <c r="C1402" t="inlineStr">
        <is>
          <t>info</t>
        </is>
      </c>
      <c r="D1402" t="inlineStr">
        <is>
          <t>R251013-aiensured</t>
        </is>
      </c>
      <c r="E1402" t="inlineStr">
        <is>
          <t>AIensured</t>
        </is>
      </c>
      <c r="F1402" s="17" t="n">
        <v>45943</v>
      </c>
      <c r="G1402" t="inlineStr">
        <is>
          <t>no report states where the company is based</t>
        </is>
      </c>
    </row>
    <row r="1403">
      <c r="A1403" t="inlineStr">
        <is>
          <t>C07</t>
        </is>
      </c>
      <c r="B1403" t="inlineStr">
        <is>
          <t>City unknown</t>
        </is>
      </c>
      <c r="C1403" t="inlineStr">
        <is>
          <t>info</t>
        </is>
      </c>
      <c r="D1403" t="inlineStr">
        <is>
          <t>R251013-reiadiamonds</t>
        </is>
      </c>
      <c r="E1403" t="inlineStr">
        <is>
          <t>Réia Diamonds</t>
        </is>
      </c>
      <c r="F1403" s="17" t="n">
        <v>45943</v>
      </c>
      <c r="G1403" t="inlineStr">
        <is>
          <t>no report states where the company is based</t>
        </is>
      </c>
    </row>
    <row r="1404">
      <c r="A1404" t="inlineStr">
        <is>
          <t>C07</t>
        </is>
      </c>
      <c r="B1404" t="inlineStr">
        <is>
          <t>City unknown</t>
        </is>
      </c>
      <c r="C1404" t="inlineStr">
        <is>
          <t>info</t>
        </is>
      </c>
      <c r="D1404" t="inlineStr">
        <is>
          <t>R251013-smallestai</t>
        </is>
      </c>
      <c r="E1404" t="inlineStr">
        <is>
          <t>smallest.ai</t>
        </is>
      </c>
      <c r="F1404" s="17" t="n">
        <v>45943</v>
      </c>
      <c r="G1404" t="inlineStr">
        <is>
          <t>no report states where the company is based</t>
        </is>
      </c>
    </row>
    <row r="1405">
      <c r="A1405" t="inlineStr">
        <is>
          <t>C07</t>
        </is>
      </c>
      <c r="B1405" t="inlineStr">
        <is>
          <t>City unknown</t>
        </is>
      </c>
      <c r="C1405" t="inlineStr">
        <is>
          <t>info</t>
        </is>
      </c>
      <c r="D1405" t="inlineStr">
        <is>
          <t>R251013-without</t>
        </is>
      </c>
      <c r="E1405" t="inlineStr">
        <is>
          <t>Without</t>
        </is>
      </c>
      <c r="F1405" s="17" t="n">
        <v>45943</v>
      </c>
      <c r="G1405" t="inlineStr">
        <is>
          <t>no report states where the company is based</t>
        </is>
      </c>
    </row>
    <row r="1406">
      <c r="A1406" t="inlineStr">
        <is>
          <t>C07</t>
        </is>
      </c>
      <c r="B1406" t="inlineStr">
        <is>
          <t>City unknown</t>
        </is>
      </c>
      <c r="C1406" t="inlineStr">
        <is>
          <t>info</t>
        </is>
      </c>
      <c r="D1406" t="inlineStr">
        <is>
          <t>R251014-airoclip</t>
        </is>
      </c>
      <c r="E1406" t="inlineStr">
        <is>
          <t>Airoclip</t>
        </is>
      </c>
      <c r="F1406" s="17" t="n">
        <v>45944</v>
      </c>
      <c r="G1406" t="inlineStr">
        <is>
          <t>no report states where the company is based</t>
        </is>
      </c>
    </row>
    <row r="1407">
      <c r="A1407" t="inlineStr">
        <is>
          <t>C07</t>
        </is>
      </c>
      <c r="B1407" t="inlineStr">
        <is>
          <t>City unknown</t>
        </is>
      </c>
      <c r="C1407" t="inlineStr">
        <is>
          <t>info</t>
        </is>
      </c>
      <c r="D1407" t="inlineStr">
        <is>
          <t>R251014-currently</t>
        </is>
      </c>
      <c r="E1407" t="inlineStr">
        <is>
          <t>Currently</t>
        </is>
      </c>
      <c r="F1407" s="17" t="n">
        <v>45944</v>
      </c>
      <c r="G1407" t="inlineStr">
        <is>
          <t>no report states where the company is based</t>
        </is>
      </c>
    </row>
    <row r="1408">
      <c r="A1408" t="inlineStr">
        <is>
          <t>C07</t>
        </is>
      </c>
      <c r="B1408" t="inlineStr">
        <is>
          <t>City unknown</t>
        </is>
      </c>
      <c r="C1408" t="inlineStr">
        <is>
          <t>info</t>
        </is>
      </c>
      <c r="D1408" t="inlineStr">
        <is>
          <t>R251014-feryrides</t>
        </is>
      </c>
      <c r="E1408" t="inlineStr">
        <is>
          <t>Fery Rides</t>
        </is>
      </c>
      <c r="F1408" s="17" t="n">
        <v>45944</v>
      </c>
      <c r="G1408" t="inlineStr">
        <is>
          <t>no report states where the company is based</t>
        </is>
      </c>
    </row>
    <row r="1409">
      <c r="A1409" t="inlineStr">
        <is>
          <t>C07</t>
        </is>
      </c>
      <c r="B1409" t="inlineStr">
        <is>
          <t>City unknown</t>
        </is>
      </c>
      <c r="C1409" t="inlineStr">
        <is>
          <t>info</t>
        </is>
      </c>
      <c r="D1409" t="inlineStr">
        <is>
          <t>R251014-houseeazy</t>
        </is>
      </c>
      <c r="E1409" t="inlineStr">
        <is>
          <t>HouseEazy</t>
        </is>
      </c>
      <c r="F1409" s="17" t="n">
        <v>45944</v>
      </c>
      <c r="G1409" t="inlineStr">
        <is>
          <t>no report states where the company is based</t>
        </is>
      </c>
    </row>
    <row r="1410">
      <c r="A1410" t="inlineStr">
        <is>
          <t>C07</t>
        </is>
      </c>
      <c r="B1410" t="inlineStr">
        <is>
          <t>City unknown</t>
        </is>
      </c>
      <c r="C1410" t="inlineStr">
        <is>
          <t>info</t>
        </is>
      </c>
      <c r="D1410" t="inlineStr">
        <is>
          <t>R251014-muttleycrew</t>
        </is>
      </c>
      <c r="E1410" t="inlineStr">
        <is>
          <t>Muttley Crew</t>
        </is>
      </c>
      <c r="F1410" s="17" t="n">
        <v>45944</v>
      </c>
      <c r="G1410" t="inlineStr">
        <is>
          <t>no report states where the company is based</t>
        </is>
      </c>
    </row>
    <row r="1411">
      <c r="A1411" t="inlineStr">
        <is>
          <t>C07</t>
        </is>
      </c>
      <c r="B1411" t="inlineStr">
        <is>
          <t>City unknown</t>
        </is>
      </c>
      <c r="C1411" t="inlineStr">
        <is>
          <t>info</t>
        </is>
      </c>
      <c r="D1411" t="inlineStr">
        <is>
          <t>R251014-orangesugar</t>
        </is>
      </c>
      <c r="E1411" t="inlineStr">
        <is>
          <t>Orange Sugar</t>
        </is>
      </c>
      <c r="F1411" s="17" t="n">
        <v>45944</v>
      </c>
      <c r="G1411" t="inlineStr">
        <is>
          <t>no report states where the company is based</t>
        </is>
      </c>
    </row>
    <row r="1412">
      <c r="A1412" t="inlineStr">
        <is>
          <t>C07</t>
        </is>
      </c>
      <c r="B1412" t="inlineStr">
        <is>
          <t>City unknown</t>
        </is>
      </c>
      <c r="C1412" t="inlineStr">
        <is>
          <t>info</t>
        </is>
      </c>
      <c r="D1412" t="inlineStr">
        <is>
          <t>R251015-coindcx</t>
        </is>
      </c>
      <c r="E1412" t="inlineStr">
        <is>
          <t>CoinDCX</t>
        </is>
      </c>
      <c r="F1412" s="17" t="n">
        <v>45945</v>
      </c>
      <c r="G1412" t="inlineStr">
        <is>
          <t>no report states where the company is based</t>
        </is>
      </c>
    </row>
    <row r="1413">
      <c r="A1413" t="inlineStr">
        <is>
          <t>C07</t>
        </is>
      </c>
      <c r="B1413" t="inlineStr">
        <is>
          <t>City unknown</t>
        </is>
      </c>
      <c r="C1413" t="inlineStr">
        <is>
          <t>info</t>
        </is>
      </c>
      <c r="D1413" t="inlineStr">
        <is>
          <t>R251015-everbrightheal</t>
        </is>
      </c>
      <c r="E1413" t="inlineStr">
        <is>
          <t>Everbright Health</t>
        </is>
      </c>
      <c r="F1413" s="17" t="n">
        <v>45945</v>
      </c>
      <c r="G1413" t="inlineStr">
        <is>
          <t>no report states where the company is based</t>
        </is>
      </c>
    </row>
    <row r="1414">
      <c r="A1414" t="inlineStr">
        <is>
          <t>C07</t>
        </is>
      </c>
      <c r="B1414" t="inlineStr">
        <is>
          <t>City unknown</t>
        </is>
      </c>
      <c r="C1414" t="inlineStr">
        <is>
          <t>info</t>
        </is>
      </c>
      <c r="D1414" t="inlineStr">
        <is>
          <t>R251015-rarabarefoot</t>
        </is>
      </c>
      <c r="E1414" t="inlineStr">
        <is>
          <t>RARA Barefoot</t>
        </is>
      </c>
      <c r="F1414" s="17" t="n">
        <v>45945</v>
      </c>
      <c r="G1414" t="inlineStr">
        <is>
          <t>no report states where the company is based</t>
        </is>
      </c>
    </row>
    <row r="1415">
      <c r="A1415" t="inlineStr">
        <is>
          <t>C07</t>
        </is>
      </c>
      <c r="B1415" t="inlineStr">
        <is>
          <t>City unknown</t>
        </is>
      </c>
      <c r="C1415" t="inlineStr">
        <is>
          <t>info</t>
        </is>
      </c>
      <c r="D1415" t="inlineStr">
        <is>
          <t>R251016-kukufm</t>
        </is>
      </c>
      <c r="E1415" t="inlineStr">
        <is>
          <t>Kuku FM</t>
        </is>
      </c>
      <c r="F1415" s="17" t="n">
        <v>45946</v>
      </c>
      <c r="G1415" t="inlineStr">
        <is>
          <t>no report states where the company is based</t>
        </is>
      </c>
    </row>
    <row r="1416">
      <c r="A1416" t="inlineStr">
        <is>
          <t>C07</t>
        </is>
      </c>
      <c r="B1416" t="inlineStr">
        <is>
          <t>City unknown</t>
        </is>
      </c>
      <c r="C1416" t="inlineStr">
        <is>
          <t>info</t>
        </is>
      </c>
      <c r="D1416" t="inlineStr">
        <is>
          <t>R251017-ekamobility</t>
        </is>
      </c>
      <c r="E1416" t="inlineStr">
        <is>
          <t>EKA Mobility</t>
        </is>
      </c>
      <c r="F1416" s="17" t="n">
        <v>45947</v>
      </c>
      <c r="G1416" t="inlineStr">
        <is>
          <t>no report states where the company is based</t>
        </is>
      </c>
    </row>
    <row r="1417">
      <c r="A1417" t="inlineStr">
        <is>
          <t>C07</t>
        </is>
      </c>
      <c r="B1417" t="inlineStr">
        <is>
          <t>City unknown</t>
        </is>
      </c>
      <c r="C1417" t="inlineStr">
        <is>
          <t>info</t>
        </is>
      </c>
      <c r="D1417" t="inlineStr">
        <is>
          <t>R251017-hooliv</t>
        </is>
      </c>
      <c r="E1417" t="inlineStr">
        <is>
          <t>HooLiv</t>
        </is>
      </c>
      <c r="F1417" s="17" t="n">
        <v>45947</v>
      </c>
      <c r="G1417" t="inlineStr">
        <is>
          <t>no report states where the company is based</t>
        </is>
      </c>
    </row>
    <row r="1418">
      <c r="A1418" t="inlineStr">
        <is>
          <t>C07</t>
        </is>
      </c>
      <c r="B1418" t="inlineStr">
        <is>
          <t>City unknown</t>
        </is>
      </c>
      <c r="C1418" t="inlineStr">
        <is>
          <t>info</t>
        </is>
      </c>
      <c r="D1418" t="inlineStr">
        <is>
          <t>R251018-fundamento</t>
        </is>
      </c>
      <c r="E1418" t="inlineStr">
        <is>
          <t>Fundamento</t>
        </is>
      </c>
      <c r="F1418" s="17" t="n">
        <v>45947</v>
      </c>
      <c r="G1418" t="inlineStr">
        <is>
          <t>no report states where the company is based</t>
        </is>
      </c>
    </row>
    <row r="1419">
      <c r="A1419" t="inlineStr">
        <is>
          <t>C07</t>
        </is>
      </c>
      <c r="B1419" t="inlineStr">
        <is>
          <t>City unknown</t>
        </is>
      </c>
      <c r="C1419" t="inlineStr">
        <is>
          <t>info</t>
        </is>
      </c>
      <c r="D1419" t="inlineStr">
        <is>
          <t>R251023-pavebank</t>
        </is>
      </c>
      <c r="E1419" t="inlineStr">
        <is>
          <t>Pave Bank</t>
        </is>
      </c>
      <c r="F1419" s="17" t="n">
        <v>45953</v>
      </c>
      <c r="G1419" t="inlineStr">
        <is>
          <t>no report states where the company is based</t>
        </is>
      </c>
    </row>
    <row r="1420">
      <c r="A1420" t="inlineStr">
        <is>
          <t>C07</t>
        </is>
      </c>
      <c r="B1420" t="inlineStr">
        <is>
          <t>City unknown</t>
        </is>
      </c>
      <c r="C1420" t="inlineStr">
        <is>
          <t>info</t>
        </is>
      </c>
      <c r="D1420" t="inlineStr">
        <is>
          <t>R251024-lenskart</t>
        </is>
      </c>
      <c r="E1420" t="inlineStr">
        <is>
          <t>Lenskart</t>
        </is>
      </c>
      <c r="F1420" s="17" t="n">
        <v>45954</v>
      </c>
      <c r="G1420" t="inlineStr">
        <is>
          <t>no report states where the company is based</t>
        </is>
      </c>
    </row>
    <row r="1421">
      <c r="A1421" t="inlineStr">
        <is>
          <t>C07</t>
        </is>
      </c>
      <c r="B1421" t="inlineStr">
        <is>
          <t>City unknown</t>
        </is>
      </c>
      <c r="C1421" t="inlineStr">
        <is>
          <t>info</t>
        </is>
      </c>
      <c r="D1421" t="inlineStr">
        <is>
          <t>R251025-relianceintell</t>
        </is>
      </c>
      <c r="E1421" t="inlineStr">
        <is>
          <t>Reliance Intelligence Limited (RIL)</t>
        </is>
      </c>
      <c r="F1421" s="17" t="n">
        <v>45955</v>
      </c>
      <c r="G1421" t="inlineStr">
        <is>
          <t>no report states where the company is based</t>
        </is>
      </c>
    </row>
    <row r="1422">
      <c r="A1422" t="inlineStr">
        <is>
          <t>C07</t>
        </is>
      </c>
      <c r="B1422" t="inlineStr">
        <is>
          <t>City unknown</t>
        </is>
      </c>
      <c r="C1422" t="inlineStr">
        <is>
          <t>info</t>
        </is>
      </c>
      <c r="D1422" t="inlineStr">
        <is>
          <t>R251027-finallayer</t>
        </is>
      </c>
      <c r="E1422" t="inlineStr">
        <is>
          <t>FinalLayer</t>
        </is>
      </c>
      <c r="F1422" s="17" t="n">
        <v>45957</v>
      </c>
      <c r="G1422" t="inlineStr">
        <is>
          <t>no report states where the company is based</t>
        </is>
      </c>
    </row>
    <row r="1423">
      <c r="A1423" t="inlineStr">
        <is>
          <t>C07</t>
        </is>
      </c>
      <c r="B1423" t="inlineStr">
        <is>
          <t>City unknown</t>
        </is>
      </c>
      <c r="C1423" t="inlineStr">
        <is>
          <t>info</t>
        </is>
      </c>
      <c r="D1423" t="inlineStr">
        <is>
          <t>R251028-cybrilla</t>
        </is>
      </c>
      <c r="E1423" t="inlineStr">
        <is>
          <t>Cybrilla</t>
        </is>
      </c>
      <c r="F1423" s="17" t="n">
        <v>45958</v>
      </c>
      <c r="G1423" t="inlineStr">
        <is>
          <t>no report states where the company is based</t>
        </is>
      </c>
    </row>
    <row r="1424">
      <c r="A1424" t="inlineStr">
        <is>
          <t>C07</t>
        </is>
      </c>
      <c r="B1424" t="inlineStr">
        <is>
          <t>City unknown</t>
        </is>
      </c>
      <c r="C1424" t="inlineStr">
        <is>
          <t>info</t>
        </is>
      </c>
      <c r="D1424" t="inlineStr">
        <is>
          <t>R251028-gubbachhi</t>
        </is>
      </c>
      <c r="E1424" t="inlineStr">
        <is>
          <t>Gubbachhi</t>
        </is>
      </c>
      <c r="F1424" s="17" t="n">
        <v>45958</v>
      </c>
      <c r="G1424" t="inlineStr">
        <is>
          <t>no report states where the company is based</t>
        </is>
      </c>
    </row>
    <row r="1425">
      <c r="A1425" t="inlineStr">
        <is>
          <t>C07</t>
        </is>
      </c>
      <c r="B1425" t="inlineStr">
        <is>
          <t>City unknown</t>
        </is>
      </c>
      <c r="C1425" t="inlineStr">
        <is>
          <t>info</t>
        </is>
      </c>
      <c r="D1425" t="inlineStr">
        <is>
          <t>R251028-ticket9</t>
        </is>
      </c>
      <c r="E1425" t="inlineStr">
        <is>
          <t>Ticket9</t>
        </is>
      </c>
      <c r="F1425" s="17" t="n">
        <v>45958</v>
      </c>
      <c r="G1425" t="inlineStr">
        <is>
          <t>no report states where the company is based</t>
        </is>
      </c>
    </row>
    <row r="1426">
      <c r="A1426" t="inlineStr">
        <is>
          <t>C07</t>
        </is>
      </c>
      <c r="B1426" t="inlineStr">
        <is>
          <t>City unknown</t>
        </is>
      </c>
      <c r="C1426" t="inlineStr">
        <is>
          <t>info</t>
        </is>
      </c>
      <c r="D1426" t="inlineStr">
        <is>
          <t>R251029-lyzr</t>
        </is>
      </c>
      <c r="E1426" t="inlineStr">
        <is>
          <t>Lyzr</t>
        </is>
      </c>
      <c r="F1426" s="17" t="n">
        <v>45959</v>
      </c>
      <c r="G1426" t="inlineStr">
        <is>
          <t>no report states where the company is based</t>
        </is>
      </c>
    </row>
    <row r="1427">
      <c r="A1427" t="inlineStr">
        <is>
          <t>C07</t>
        </is>
      </c>
      <c r="B1427" t="inlineStr">
        <is>
          <t>City unknown</t>
        </is>
      </c>
      <c r="C1427" t="inlineStr">
        <is>
          <t>info</t>
        </is>
      </c>
      <c r="D1427" t="inlineStr">
        <is>
          <t>R251029-novanova</t>
        </is>
      </c>
      <c r="E1427" t="inlineStr">
        <is>
          <t>Nova Nova</t>
        </is>
      </c>
      <c r="F1427" s="17" t="n">
        <v>45959</v>
      </c>
      <c r="G1427" t="inlineStr">
        <is>
          <t>no report states where the company is based</t>
        </is>
      </c>
    </row>
    <row r="1428">
      <c r="A1428" t="inlineStr">
        <is>
          <t>C07</t>
        </is>
      </c>
      <c r="B1428" t="inlineStr">
        <is>
          <t>City unknown</t>
        </is>
      </c>
      <c r="C1428" t="inlineStr">
        <is>
          <t>info</t>
        </is>
      </c>
      <c r="D1428" t="inlineStr">
        <is>
          <t>R251029-savesage</t>
        </is>
      </c>
      <c r="E1428" t="inlineStr">
        <is>
          <t>SaveSage</t>
        </is>
      </c>
      <c r="F1428" s="17" t="n">
        <v>45959</v>
      </c>
      <c r="G1428" t="inlineStr">
        <is>
          <t>no report states where the company is based</t>
        </is>
      </c>
    </row>
    <row r="1429">
      <c r="A1429" t="inlineStr">
        <is>
          <t>C07</t>
        </is>
      </c>
      <c r="B1429" t="inlineStr">
        <is>
          <t>City unknown</t>
        </is>
      </c>
      <c r="C1429" t="inlineStr">
        <is>
          <t>info</t>
        </is>
      </c>
      <c r="D1429" t="inlineStr">
        <is>
          <t>R251030-beyondrenewabl</t>
        </is>
      </c>
      <c r="E1429" t="inlineStr">
        <is>
          <t>Beyond Renewables &amp; Recycling</t>
        </is>
      </c>
      <c r="F1429" s="17" t="n">
        <v>45960</v>
      </c>
      <c r="G1429" t="inlineStr">
        <is>
          <t>no report states where the company is based</t>
        </is>
      </c>
    </row>
    <row r="1430">
      <c r="A1430" t="inlineStr">
        <is>
          <t>C07</t>
        </is>
      </c>
      <c r="B1430" t="inlineStr">
        <is>
          <t>City unknown</t>
        </is>
      </c>
      <c r="C1430" t="inlineStr">
        <is>
          <t>info</t>
        </is>
      </c>
      <c r="D1430" t="inlineStr">
        <is>
          <t>R251030-dripcapital</t>
        </is>
      </c>
      <c r="E1430" t="inlineStr">
        <is>
          <t>Drip Capital</t>
        </is>
      </c>
      <c r="F1430" s="17" t="n">
        <v>45960</v>
      </c>
      <c r="G1430" t="inlineStr">
        <is>
          <t>no report states where the company is based</t>
        </is>
      </c>
    </row>
    <row r="1431">
      <c r="A1431" t="inlineStr">
        <is>
          <t>C07</t>
        </is>
      </c>
      <c r="B1431" t="inlineStr">
        <is>
          <t>City unknown</t>
        </is>
      </c>
      <c r="C1431" t="inlineStr">
        <is>
          <t>info</t>
        </is>
      </c>
      <c r="D1431" t="inlineStr">
        <is>
          <t>R251030-exilesinteract</t>
        </is>
      </c>
      <c r="E1431" t="inlineStr">
        <is>
          <t>Exiles Interactives</t>
        </is>
      </c>
      <c r="F1431" s="17" t="n">
        <v>45960</v>
      </c>
      <c r="G1431" t="inlineStr">
        <is>
          <t>no report states where the company is based</t>
        </is>
      </c>
    </row>
    <row r="1432">
      <c r="A1432" t="inlineStr">
        <is>
          <t>C07</t>
        </is>
      </c>
      <c r="B1432" t="inlineStr">
        <is>
          <t>City unknown</t>
        </is>
      </c>
      <c r="C1432" t="inlineStr">
        <is>
          <t>info</t>
        </is>
      </c>
      <c r="D1432" t="inlineStr">
        <is>
          <t>R251030-openhouse</t>
        </is>
      </c>
      <c r="E1432" t="inlineStr">
        <is>
          <t>Openhouse</t>
        </is>
      </c>
      <c r="F1432" s="17" t="n">
        <v>45960</v>
      </c>
      <c r="G1432" t="inlineStr">
        <is>
          <t>no report states where the company is based</t>
        </is>
      </c>
    </row>
    <row r="1433">
      <c r="A1433" t="inlineStr">
        <is>
          <t>C07</t>
        </is>
      </c>
      <c r="B1433" t="inlineStr">
        <is>
          <t>City unknown</t>
        </is>
      </c>
      <c r="C1433" t="inlineStr">
        <is>
          <t>info</t>
        </is>
      </c>
      <c r="D1433" t="inlineStr">
        <is>
          <t>R251030-redacto</t>
        </is>
      </c>
      <c r="E1433" t="inlineStr">
        <is>
          <t>Redacto</t>
        </is>
      </c>
      <c r="F1433" s="17" t="n">
        <v>45960</v>
      </c>
      <c r="G1433" t="inlineStr">
        <is>
          <t>no report states where the company is based</t>
        </is>
      </c>
    </row>
    <row r="1434">
      <c r="A1434" t="inlineStr">
        <is>
          <t>C07</t>
        </is>
      </c>
      <c r="B1434" t="inlineStr">
        <is>
          <t>City unknown</t>
        </is>
      </c>
      <c r="C1434" t="inlineStr">
        <is>
          <t>info</t>
        </is>
      </c>
      <c r="D1434" t="inlineStr">
        <is>
          <t>R251030-vijyafintech</t>
        </is>
      </c>
      <c r="E1434" t="inlineStr">
        <is>
          <t>Vijya Fintech</t>
        </is>
      </c>
      <c r="F1434" s="17" t="n">
        <v>45960</v>
      </c>
      <c r="G1434" t="inlineStr">
        <is>
          <t>no report states where the company is based</t>
        </is>
      </c>
    </row>
    <row r="1435">
      <c r="A1435" t="inlineStr">
        <is>
          <t>C07</t>
        </is>
      </c>
      <c r="B1435" t="inlineStr">
        <is>
          <t>City unknown</t>
        </is>
      </c>
      <c r="C1435" t="inlineStr">
        <is>
          <t>info</t>
        </is>
      </c>
      <c r="D1435" t="inlineStr">
        <is>
          <t>R251031-madoverbuildin</t>
        </is>
      </c>
      <c r="E1435" t="inlineStr">
        <is>
          <t>Mad Over Buildings</t>
        </is>
      </c>
      <c r="F1435" s="17" t="n">
        <v>45961</v>
      </c>
      <c r="G1435" t="inlineStr">
        <is>
          <t>no report states where the company is based</t>
        </is>
      </c>
    </row>
    <row r="1436">
      <c r="A1436" t="inlineStr">
        <is>
          <t>C07</t>
        </is>
      </c>
      <c r="B1436" t="inlineStr">
        <is>
          <t>City unknown</t>
        </is>
      </c>
      <c r="C1436" t="inlineStr">
        <is>
          <t>info</t>
        </is>
      </c>
      <c r="D1436" t="inlineStr">
        <is>
          <t>R251031-plurofertility</t>
        </is>
      </c>
      <c r="E1436" t="inlineStr">
        <is>
          <t>Pluro Fertility</t>
        </is>
      </c>
      <c r="F1436" s="17" t="n">
        <v>45961</v>
      </c>
      <c r="G1436" t="inlineStr">
        <is>
          <t>no report states where the company is based</t>
        </is>
      </c>
    </row>
    <row r="1437">
      <c r="A1437" t="inlineStr">
        <is>
          <t>C07</t>
        </is>
      </c>
      <c r="B1437" t="inlineStr">
        <is>
          <t>City unknown</t>
        </is>
      </c>
      <c r="C1437" t="inlineStr">
        <is>
          <t>info</t>
        </is>
      </c>
      <c r="D1437" t="inlineStr">
        <is>
          <t>R251104-blyp</t>
        </is>
      </c>
      <c r="E1437" t="inlineStr">
        <is>
          <t>Blyp</t>
        </is>
      </c>
      <c r="F1437" s="17" t="n">
        <v>45965</v>
      </c>
      <c r="G1437" t="inlineStr">
        <is>
          <t>no report states where the company is based</t>
        </is>
      </c>
    </row>
    <row r="1438">
      <c r="A1438" t="inlineStr">
        <is>
          <t>C07</t>
        </is>
      </c>
      <c r="B1438" t="inlineStr">
        <is>
          <t>City unknown</t>
        </is>
      </c>
      <c r="C1438" t="inlineStr">
        <is>
          <t>info</t>
        </is>
      </c>
      <c r="D1438" t="inlineStr">
        <is>
          <t>R251104-protouch</t>
        </is>
      </c>
      <c r="E1438" t="inlineStr">
        <is>
          <t>Protouch</t>
        </is>
      </c>
      <c r="F1438" s="17" t="n">
        <v>45965</v>
      </c>
      <c r="G1438" t="inlineStr">
        <is>
          <t>no report states where the company is based</t>
        </is>
      </c>
    </row>
    <row r="1439">
      <c r="A1439" t="inlineStr">
        <is>
          <t>C07</t>
        </is>
      </c>
      <c r="B1439" t="inlineStr">
        <is>
          <t>City unknown</t>
        </is>
      </c>
      <c r="C1439" t="inlineStr">
        <is>
          <t>info</t>
        </is>
      </c>
      <c r="D1439" t="inlineStr">
        <is>
          <t>R251104-tabpsnacksandb</t>
        </is>
      </c>
      <c r="E1439" t="inlineStr">
        <is>
          <t>TABP Snacks and Beverages</t>
        </is>
      </c>
      <c r="F1439" s="17" t="n">
        <v>45965</v>
      </c>
      <c r="G1439" t="inlineStr">
        <is>
          <t>no report states where the company is based</t>
        </is>
      </c>
    </row>
    <row r="1440">
      <c r="A1440" t="inlineStr">
        <is>
          <t>C07</t>
        </is>
      </c>
      <c r="B1440" t="inlineStr">
        <is>
          <t>City unknown</t>
        </is>
      </c>
      <c r="C1440" t="inlineStr">
        <is>
          <t>info</t>
        </is>
      </c>
      <c r="D1440" t="inlineStr">
        <is>
          <t>R251104-tsallaaerospac</t>
        </is>
      </c>
      <c r="E1440" t="inlineStr">
        <is>
          <t>Tsalla Aerospace</t>
        </is>
      </c>
      <c r="F1440" s="17" t="n">
        <v>45965</v>
      </c>
      <c r="G1440" t="inlineStr">
        <is>
          <t>no report states where the company is based</t>
        </is>
      </c>
    </row>
    <row r="1441">
      <c r="A1441" t="inlineStr">
        <is>
          <t>C07</t>
        </is>
      </c>
      <c r="B1441" t="inlineStr">
        <is>
          <t>City unknown</t>
        </is>
      </c>
      <c r="C1441" t="inlineStr">
        <is>
          <t>info</t>
        </is>
      </c>
      <c r="D1441" t="inlineStr">
        <is>
          <t>R251105-babyorgano</t>
        </is>
      </c>
      <c r="E1441" t="inlineStr">
        <is>
          <t>BabyOrgano</t>
        </is>
      </c>
      <c r="F1441" s="17" t="n">
        <v>45966</v>
      </c>
      <c r="G1441" t="inlineStr">
        <is>
          <t>no report states where the company is based</t>
        </is>
      </c>
    </row>
    <row r="1442">
      <c r="A1442" t="inlineStr">
        <is>
          <t>C07</t>
        </is>
      </c>
      <c r="B1442" t="inlineStr">
        <is>
          <t>City unknown</t>
        </is>
      </c>
      <c r="C1442" t="inlineStr">
        <is>
          <t>info</t>
        </is>
      </c>
      <c r="D1442" t="inlineStr">
        <is>
          <t>R251105-krieya</t>
        </is>
      </c>
      <c r="E1442" t="inlineStr">
        <is>
          <t>Krieya Beauty &amp; Wellness</t>
        </is>
      </c>
      <c r="F1442" s="17" t="n">
        <v>45966</v>
      </c>
      <c r="G1442" t="inlineStr">
        <is>
          <t>no report states where the company is based</t>
        </is>
      </c>
    </row>
    <row r="1443">
      <c r="A1443" t="inlineStr">
        <is>
          <t>C07</t>
        </is>
      </c>
      <c r="B1443" t="inlineStr">
        <is>
          <t>City unknown</t>
        </is>
      </c>
      <c r="C1443" t="inlineStr">
        <is>
          <t>info</t>
        </is>
      </c>
      <c r="D1443" t="inlineStr">
        <is>
          <t>R251105-lighthousecant</t>
        </is>
      </c>
      <c r="E1443" t="inlineStr">
        <is>
          <t>Lighthouse Canton</t>
        </is>
      </c>
      <c r="F1443" s="17" t="n">
        <v>45966</v>
      </c>
      <c r="G1443" t="inlineStr">
        <is>
          <t>no report states where the company is based</t>
        </is>
      </c>
    </row>
    <row r="1444">
      <c r="A1444" t="inlineStr">
        <is>
          <t>C07</t>
        </is>
      </c>
      <c r="B1444" t="inlineStr">
        <is>
          <t>City unknown</t>
        </is>
      </c>
      <c r="C1444" t="inlineStr">
        <is>
          <t>info</t>
        </is>
      </c>
      <c r="D1444" t="inlineStr">
        <is>
          <t>R251105-medyseva</t>
        </is>
      </c>
      <c r="E1444" t="inlineStr">
        <is>
          <t>MedySeva</t>
        </is>
      </c>
      <c r="F1444" s="17" t="n">
        <v>45966</v>
      </c>
      <c r="G1444" t="inlineStr">
        <is>
          <t>no report states where the company is based</t>
        </is>
      </c>
    </row>
    <row r="1445">
      <c r="A1445" t="inlineStr">
        <is>
          <t>C07</t>
        </is>
      </c>
      <c r="B1445" t="inlineStr">
        <is>
          <t>City unknown</t>
        </is>
      </c>
      <c r="C1445" t="inlineStr">
        <is>
          <t>info</t>
        </is>
      </c>
      <c r="D1445" t="inlineStr">
        <is>
          <t>R251105-wyzardai</t>
        </is>
      </c>
      <c r="E1445" t="inlineStr">
        <is>
          <t>WYZARD.AI</t>
        </is>
      </c>
      <c r="F1445" s="17" t="n">
        <v>45966</v>
      </c>
      <c r="G1445" t="inlineStr">
        <is>
          <t>no report states where the company is based</t>
        </is>
      </c>
    </row>
    <row r="1446">
      <c r="A1446" t="inlineStr">
        <is>
          <t>C07</t>
        </is>
      </c>
      <c r="B1446" t="inlineStr">
        <is>
          <t>City unknown</t>
        </is>
      </c>
      <c r="C1446" t="inlineStr">
        <is>
          <t>info</t>
        </is>
      </c>
      <c r="D1446" t="inlineStr">
        <is>
          <t>R251106-giga</t>
        </is>
      </c>
      <c r="E1446" t="inlineStr">
        <is>
          <t>Giga</t>
        </is>
      </c>
      <c r="F1446" s="17" t="n">
        <v>45967</v>
      </c>
      <c r="G1446" t="inlineStr">
        <is>
          <t>no report states where the company is based</t>
        </is>
      </c>
    </row>
    <row r="1447">
      <c r="A1447" t="inlineStr">
        <is>
          <t>C07</t>
        </is>
      </c>
      <c r="B1447" t="inlineStr">
        <is>
          <t>City unknown</t>
        </is>
      </c>
      <c r="C1447" t="inlineStr">
        <is>
          <t>info</t>
        </is>
      </c>
      <c r="D1447" t="inlineStr">
        <is>
          <t>R251106-insightai</t>
        </is>
      </c>
      <c r="E1447" t="inlineStr">
        <is>
          <t>InsightAI</t>
        </is>
      </c>
      <c r="F1447" s="17" t="n">
        <v>45967</v>
      </c>
      <c r="G1447" t="inlineStr">
        <is>
          <t>no report states where the company is based</t>
        </is>
      </c>
    </row>
    <row r="1448">
      <c r="A1448" t="inlineStr">
        <is>
          <t>C07</t>
        </is>
      </c>
      <c r="B1448" t="inlineStr">
        <is>
          <t>City unknown</t>
        </is>
      </c>
      <c r="C1448" t="inlineStr">
        <is>
          <t>info</t>
        </is>
      </c>
      <c r="D1448" t="inlineStr">
        <is>
          <t>R251111-greenfi</t>
        </is>
      </c>
      <c r="E1448" t="inlineStr">
        <is>
          <t>GreenFi</t>
        </is>
      </c>
      <c r="F1448" s="17" t="n">
        <v>45972</v>
      </c>
      <c r="G1448" t="inlineStr">
        <is>
          <t>no report states where the company is based</t>
        </is>
      </c>
    </row>
    <row r="1449">
      <c r="A1449" t="inlineStr">
        <is>
          <t>C07</t>
        </is>
      </c>
      <c r="B1449" t="inlineStr">
        <is>
          <t>City unknown</t>
        </is>
      </c>
      <c r="C1449" t="inlineStr">
        <is>
          <t>info</t>
        </is>
      </c>
      <c r="D1449" t="inlineStr">
        <is>
          <t>R251111-mindtalk</t>
        </is>
      </c>
      <c r="E1449" t="inlineStr">
        <is>
          <t>MindTalk</t>
        </is>
      </c>
      <c r="F1449" s="17" t="n">
        <v>45972</v>
      </c>
      <c r="G1449" t="inlineStr">
        <is>
          <t>no report states where the company is based</t>
        </is>
      </c>
    </row>
    <row r="1450">
      <c r="A1450" t="inlineStr">
        <is>
          <t>C07</t>
        </is>
      </c>
      <c r="B1450" t="inlineStr">
        <is>
          <t>City unknown</t>
        </is>
      </c>
      <c r="C1450" t="inlineStr">
        <is>
          <t>info</t>
        </is>
      </c>
      <c r="D1450" t="inlineStr">
        <is>
          <t>R251111-shoppin</t>
        </is>
      </c>
      <c r="E1450" t="inlineStr">
        <is>
          <t>shoppin’</t>
        </is>
      </c>
      <c r="F1450" s="17" t="n">
        <v>45972</v>
      </c>
      <c r="G1450" t="inlineStr">
        <is>
          <t>no report states where the company is based</t>
        </is>
      </c>
    </row>
    <row r="1451">
      <c r="A1451" t="inlineStr">
        <is>
          <t>C07</t>
        </is>
      </c>
      <c r="B1451" t="inlineStr">
        <is>
          <t>City unknown</t>
        </is>
      </c>
      <c r="C1451" t="inlineStr">
        <is>
          <t>info</t>
        </is>
      </c>
      <c r="D1451" t="inlineStr">
        <is>
          <t>R251112-alive</t>
        </is>
      </c>
      <c r="E1451" t="inlineStr">
        <is>
          <t>Alive</t>
        </is>
      </c>
      <c r="F1451" s="17" t="n">
        <v>45973</v>
      </c>
      <c r="G1451" t="inlineStr">
        <is>
          <t>no report states where the company is based</t>
        </is>
      </c>
    </row>
    <row r="1452">
      <c r="A1452" t="inlineStr">
        <is>
          <t>C07</t>
        </is>
      </c>
      <c r="B1452" t="inlineStr">
        <is>
          <t>City unknown</t>
        </is>
      </c>
      <c r="C1452" t="inlineStr">
        <is>
          <t>info</t>
        </is>
      </c>
      <c r="D1452" t="inlineStr">
        <is>
          <t>R251112-coratiatechnol</t>
        </is>
      </c>
      <c r="E1452" t="inlineStr">
        <is>
          <t>Coratia Technologies</t>
        </is>
      </c>
      <c r="F1452" s="17" t="n">
        <v>45973</v>
      </c>
      <c r="G1452" t="inlineStr">
        <is>
          <t>no report states where the company is based</t>
        </is>
      </c>
    </row>
    <row r="1453">
      <c r="A1453" t="inlineStr">
        <is>
          <t>C07</t>
        </is>
      </c>
      <c r="B1453" t="inlineStr">
        <is>
          <t>City unknown</t>
        </is>
      </c>
      <c r="C1453" t="inlineStr">
        <is>
          <t>info</t>
        </is>
      </c>
      <c r="D1453" t="inlineStr">
        <is>
          <t>R251112-doco</t>
        </is>
      </c>
      <c r="E1453" t="inlineStr">
        <is>
          <t>DOCO</t>
        </is>
      </c>
      <c r="F1453" s="17" t="n">
        <v>45973</v>
      </c>
      <c r="G1453" t="inlineStr">
        <is>
          <t>no report states where the company is based</t>
        </is>
      </c>
    </row>
    <row r="1454">
      <c r="A1454" t="inlineStr">
        <is>
          <t>C07</t>
        </is>
      </c>
      <c r="B1454" t="inlineStr">
        <is>
          <t>City unknown</t>
        </is>
      </c>
      <c r="C1454" t="inlineStr">
        <is>
          <t>info</t>
        </is>
      </c>
      <c r="D1454" t="inlineStr">
        <is>
          <t>R251112-tetrcollege</t>
        </is>
      </c>
      <c r="E1454" t="inlineStr">
        <is>
          <t>Tetr College</t>
        </is>
      </c>
      <c r="F1454" s="17" t="n">
        <v>45973</v>
      </c>
      <c r="G1454" t="inlineStr">
        <is>
          <t>no report states where the company is based</t>
        </is>
      </c>
    </row>
    <row r="1455">
      <c r="A1455" t="inlineStr">
        <is>
          <t>C07</t>
        </is>
      </c>
      <c r="B1455" t="inlineStr">
        <is>
          <t>City unknown</t>
        </is>
      </c>
      <c r="C1455" t="inlineStr">
        <is>
          <t>info</t>
        </is>
      </c>
      <c r="D1455" t="inlineStr">
        <is>
          <t>R251113-acsenergy</t>
        </is>
      </c>
      <c r="E1455" t="inlineStr">
        <is>
          <t>ACS Energy</t>
        </is>
      </c>
      <c r="F1455" s="17" t="n">
        <v>45974</v>
      </c>
      <c r="G1455" t="inlineStr">
        <is>
          <t>no report states where the company is based</t>
        </is>
      </c>
    </row>
    <row r="1456">
      <c r="A1456" t="inlineStr">
        <is>
          <t>C07</t>
        </is>
      </c>
      <c r="B1456" t="inlineStr">
        <is>
          <t>City unknown</t>
        </is>
      </c>
      <c r="C1456" t="inlineStr">
        <is>
          <t>info</t>
        </is>
      </c>
      <c r="D1456" t="inlineStr">
        <is>
          <t>R251113-attentiveai</t>
        </is>
      </c>
      <c r="E1456" t="inlineStr">
        <is>
          <t>Attentive AI</t>
        </is>
      </c>
      <c r="F1456" s="17" t="n">
        <v>45974</v>
      </c>
      <c r="G1456" t="inlineStr">
        <is>
          <t>no report states where the company is based</t>
        </is>
      </c>
    </row>
    <row r="1457">
      <c r="A1457" t="inlineStr">
        <is>
          <t>C07</t>
        </is>
      </c>
      <c r="B1457" t="inlineStr">
        <is>
          <t>City unknown</t>
        </is>
      </c>
      <c r="C1457" t="inlineStr">
        <is>
          <t>info</t>
        </is>
      </c>
      <c r="D1457" t="inlineStr">
        <is>
          <t>R251113-eventplanettec</t>
        </is>
      </c>
      <c r="E1457" t="inlineStr">
        <is>
          <t>Event Planet Technologies</t>
        </is>
      </c>
      <c r="F1457" s="17" t="n">
        <v>45974</v>
      </c>
      <c r="G1457" t="inlineStr">
        <is>
          <t>no report states where the company is based</t>
        </is>
      </c>
    </row>
    <row r="1458">
      <c r="A1458" t="inlineStr">
        <is>
          <t>C07</t>
        </is>
      </c>
      <c r="B1458" t="inlineStr">
        <is>
          <t>City unknown</t>
        </is>
      </c>
      <c r="C1458" t="inlineStr">
        <is>
          <t>info</t>
        </is>
      </c>
      <c r="D1458" t="inlineStr">
        <is>
          <t>R251113-niaone</t>
        </is>
      </c>
      <c r="E1458" t="inlineStr">
        <is>
          <t>Nia.one</t>
        </is>
      </c>
      <c r="F1458" s="17" t="n">
        <v>45974</v>
      </c>
      <c r="G1458" t="inlineStr">
        <is>
          <t>no report states where the company is based</t>
        </is>
      </c>
    </row>
    <row r="1459">
      <c r="A1459" t="inlineStr">
        <is>
          <t>C07</t>
        </is>
      </c>
      <c r="B1459" t="inlineStr">
        <is>
          <t>City unknown</t>
        </is>
      </c>
      <c r="C1459" t="inlineStr">
        <is>
          <t>info</t>
        </is>
      </c>
      <c r="D1459" t="inlineStr">
        <is>
          <t>R251113-parallelwebsys</t>
        </is>
      </c>
      <c r="E1459" t="inlineStr">
        <is>
          <t>Parallel Web Systems</t>
        </is>
      </c>
      <c r="F1459" s="17" t="n">
        <v>45974</v>
      </c>
      <c r="G1459" t="inlineStr">
        <is>
          <t>no report states where the company is based</t>
        </is>
      </c>
    </row>
    <row r="1460">
      <c r="A1460" t="inlineStr">
        <is>
          <t>C07</t>
        </is>
      </c>
      <c r="B1460" t="inlineStr">
        <is>
          <t>City unknown</t>
        </is>
      </c>
      <c r="C1460" t="inlineStr">
        <is>
          <t>info</t>
        </is>
      </c>
      <c r="D1460" t="inlineStr">
        <is>
          <t>R251117-tribestays</t>
        </is>
      </c>
      <c r="E1460" t="inlineStr">
        <is>
          <t>Tribe Stays</t>
        </is>
      </c>
      <c r="F1460" s="17" t="n">
        <v>45978</v>
      </c>
      <c r="G1460" t="inlineStr">
        <is>
          <t>no report states where the company is based</t>
        </is>
      </c>
    </row>
    <row r="1461">
      <c r="A1461" t="inlineStr">
        <is>
          <t>C07</t>
        </is>
      </c>
      <c r="B1461" t="inlineStr">
        <is>
          <t>City unknown</t>
        </is>
      </c>
      <c r="C1461" t="inlineStr">
        <is>
          <t>info</t>
        </is>
      </c>
      <c r="D1461" t="inlineStr">
        <is>
          <t>R251117-unlimitr</t>
        </is>
      </c>
      <c r="E1461" t="inlineStr">
        <is>
          <t>Unlimitr</t>
        </is>
      </c>
      <c r="F1461" s="17" t="n">
        <v>45978</v>
      </c>
      <c r="G1461" t="inlineStr">
        <is>
          <t>no report states where the company is based</t>
        </is>
      </c>
    </row>
    <row r="1462">
      <c r="A1462" t="inlineStr">
        <is>
          <t>C07</t>
        </is>
      </c>
      <c r="B1462" t="inlineStr">
        <is>
          <t>City unknown</t>
        </is>
      </c>
      <c r="C1462" t="inlineStr">
        <is>
          <t>info</t>
        </is>
      </c>
      <c r="D1462" t="inlineStr">
        <is>
          <t>R251118-axiriumaerospa</t>
        </is>
      </c>
      <c r="E1462" t="inlineStr">
        <is>
          <t>Axirium Aerospace</t>
        </is>
      </c>
      <c r="F1462" s="17" t="n">
        <v>45979</v>
      </c>
      <c r="G1462" t="inlineStr">
        <is>
          <t>no report states where the company is based</t>
        </is>
      </c>
    </row>
    <row r="1463">
      <c r="A1463" t="inlineStr">
        <is>
          <t>C07</t>
        </is>
      </c>
      <c r="B1463" t="inlineStr">
        <is>
          <t>City unknown</t>
        </is>
      </c>
      <c r="C1463" t="inlineStr">
        <is>
          <t>info</t>
        </is>
      </c>
      <c r="D1463" t="inlineStr">
        <is>
          <t>R251119-stan</t>
        </is>
      </c>
      <c r="E1463" t="inlineStr">
        <is>
          <t>STAN</t>
        </is>
      </c>
      <c r="F1463" s="17" t="n">
        <v>45980</v>
      </c>
      <c r="G1463" t="inlineStr">
        <is>
          <t>no report states where the company is based</t>
        </is>
      </c>
    </row>
    <row r="1464">
      <c r="A1464" t="inlineStr">
        <is>
          <t>C07</t>
        </is>
      </c>
      <c r="B1464" t="inlineStr">
        <is>
          <t>City unknown</t>
        </is>
      </c>
      <c r="C1464" t="inlineStr">
        <is>
          <t>info</t>
        </is>
      </c>
      <c r="D1464" t="inlineStr">
        <is>
          <t>R251119-stylework</t>
        </is>
      </c>
      <c r="E1464" t="inlineStr">
        <is>
          <t>Stylework</t>
        </is>
      </c>
      <c r="F1464" s="17" t="n">
        <v>45980</v>
      </c>
      <c r="G1464" t="inlineStr">
        <is>
          <t>no report states where the company is based</t>
        </is>
      </c>
    </row>
    <row r="1465">
      <c r="A1465" t="inlineStr">
        <is>
          <t>C07</t>
        </is>
      </c>
      <c r="B1465" t="inlineStr">
        <is>
          <t>City unknown</t>
        </is>
      </c>
      <c r="C1465" t="inlineStr">
        <is>
          <t>info</t>
        </is>
      </c>
      <c r="D1465" t="inlineStr">
        <is>
          <t>R251119-synthiolabs</t>
        </is>
      </c>
      <c r="E1465" t="inlineStr">
        <is>
          <t>Synthio Labs</t>
        </is>
      </c>
      <c r="F1465" s="17" t="n">
        <v>45980</v>
      </c>
      <c r="G1465" t="inlineStr">
        <is>
          <t>no report states where the company is based</t>
        </is>
      </c>
    </row>
    <row r="1466">
      <c r="A1466" t="inlineStr">
        <is>
          <t>C07</t>
        </is>
      </c>
      <c r="B1466" t="inlineStr">
        <is>
          <t>City unknown</t>
        </is>
      </c>
      <c r="C1466" t="inlineStr">
        <is>
          <t>info</t>
        </is>
      </c>
      <c r="D1466" t="inlineStr">
        <is>
          <t>R251119-tractorjunctio</t>
        </is>
      </c>
      <c r="E1466" t="inlineStr">
        <is>
          <t>Tractor Junction</t>
        </is>
      </c>
      <c r="F1466" s="17" t="n">
        <v>45980</v>
      </c>
      <c r="G1466" t="inlineStr">
        <is>
          <t>no report states where the company is based</t>
        </is>
      </c>
    </row>
    <row r="1467">
      <c r="A1467" t="inlineStr">
        <is>
          <t>C07</t>
        </is>
      </c>
      <c r="B1467" t="inlineStr">
        <is>
          <t>City unknown</t>
        </is>
      </c>
      <c r="C1467" t="inlineStr">
        <is>
          <t>info</t>
        </is>
      </c>
      <c r="D1467" t="inlineStr">
        <is>
          <t>R251120-agraga</t>
        </is>
      </c>
      <c r="E1467" t="inlineStr">
        <is>
          <t>Agraga</t>
        </is>
      </c>
      <c r="F1467" s="17" t="n">
        <v>45981</v>
      </c>
      <c r="G1467" t="inlineStr">
        <is>
          <t>no report states where the company is based</t>
        </is>
      </c>
    </row>
    <row r="1468">
      <c r="A1468" t="inlineStr">
        <is>
          <t>C07</t>
        </is>
      </c>
      <c r="B1468" t="inlineStr">
        <is>
          <t>City unknown</t>
        </is>
      </c>
      <c r="C1468" t="inlineStr">
        <is>
          <t>info</t>
        </is>
      </c>
      <c r="D1468" t="inlineStr">
        <is>
          <t>R251120-bigbasket</t>
        </is>
      </c>
      <c r="E1468" t="inlineStr">
        <is>
          <t>BigBasket</t>
        </is>
      </c>
      <c r="F1468" s="17" t="n">
        <v>45981</v>
      </c>
      <c r="G1468" t="inlineStr">
        <is>
          <t>no report states where the company is based</t>
        </is>
      </c>
    </row>
    <row r="1469">
      <c r="A1469" t="inlineStr">
        <is>
          <t>C07</t>
        </is>
      </c>
      <c r="B1469" t="inlineStr">
        <is>
          <t>City unknown</t>
        </is>
      </c>
      <c r="C1469" t="inlineStr">
        <is>
          <t>info</t>
        </is>
      </c>
      <c r="D1469" t="inlineStr">
        <is>
          <t>R251120-ctrlb</t>
        </is>
      </c>
      <c r="E1469" t="inlineStr">
        <is>
          <t>CtrlB</t>
        </is>
      </c>
      <c r="F1469" s="17" t="n">
        <v>45981</v>
      </c>
      <c r="G1469" t="inlineStr">
        <is>
          <t>no report states where the company is based</t>
        </is>
      </c>
    </row>
    <row r="1470">
      <c r="A1470" t="inlineStr">
        <is>
          <t>C07</t>
        </is>
      </c>
      <c r="B1470" t="inlineStr">
        <is>
          <t>City unknown</t>
        </is>
      </c>
      <c r="C1470" t="inlineStr">
        <is>
          <t>info</t>
        </is>
      </c>
      <c r="D1470" t="inlineStr">
        <is>
          <t>R251120-kaaj</t>
        </is>
      </c>
      <c r="E1470" t="inlineStr">
        <is>
          <t>Kaaj</t>
        </is>
      </c>
      <c r="F1470" s="17" t="n">
        <v>45981</v>
      </c>
      <c r="G1470" t="inlineStr">
        <is>
          <t>no report states where the company is based</t>
        </is>
      </c>
    </row>
    <row r="1471">
      <c r="A1471" t="inlineStr">
        <is>
          <t>C07</t>
        </is>
      </c>
      <c r="B1471" t="inlineStr">
        <is>
          <t>City unknown</t>
        </is>
      </c>
      <c r="C1471" t="inlineStr">
        <is>
          <t>info</t>
        </is>
      </c>
      <c r="D1471" t="inlineStr">
        <is>
          <t>R251121-redrob</t>
        </is>
      </c>
      <c r="E1471" t="inlineStr">
        <is>
          <t>Redrob</t>
        </is>
      </c>
      <c r="F1471" s="17" t="n">
        <v>45982</v>
      </c>
      <c r="G1471" t="inlineStr">
        <is>
          <t>no report states where the company is based</t>
        </is>
      </c>
    </row>
    <row r="1472">
      <c r="A1472" t="inlineStr">
        <is>
          <t>C07</t>
        </is>
      </c>
      <c r="B1472" t="inlineStr">
        <is>
          <t>City unknown</t>
        </is>
      </c>
      <c r="C1472" t="inlineStr">
        <is>
          <t>info</t>
        </is>
      </c>
      <c r="D1472" t="inlineStr">
        <is>
          <t>R251124-dweepiandedgeh</t>
        </is>
      </c>
      <c r="E1472" t="inlineStr">
        <is>
          <t>Dweepi and Edgehax</t>
        </is>
      </c>
      <c r="F1472" s="17" t="n">
        <v>45985</v>
      </c>
      <c r="G1472" t="inlineStr">
        <is>
          <t>no report states where the company is based</t>
        </is>
      </c>
    </row>
    <row r="1473">
      <c r="A1473" t="inlineStr">
        <is>
          <t>C07</t>
        </is>
      </c>
      <c r="B1473" t="inlineStr">
        <is>
          <t>City unknown</t>
        </is>
      </c>
      <c r="C1473" t="inlineStr">
        <is>
          <t>info</t>
        </is>
      </c>
      <c r="D1473" t="inlineStr">
        <is>
          <t>R251124-faebeauty</t>
        </is>
      </c>
      <c r="E1473" t="inlineStr">
        <is>
          <t>FAE Beauty</t>
        </is>
      </c>
      <c r="F1473" s="17" t="n">
        <v>45985</v>
      </c>
      <c r="G1473" t="inlineStr">
        <is>
          <t>no report states where the company is based</t>
        </is>
      </c>
    </row>
    <row r="1474">
      <c r="A1474" t="inlineStr">
        <is>
          <t>C07</t>
        </is>
      </c>
      <c r="B1474" t="inlineStr">
        <is>
          <t>City unknown</t>
        </is>
      </c>
      <c r="C1474" t="inlineStr">
        <is>
          <t>info</t>
        </is>
      </c>
      <c r="D1474" t="inlineStr">
        <is>
          <t>R251124-finreach</t>
        </is>
      </c>
      <c r="E1474" t="inlineStr">
        <is>
          <t>FinReach</t>
        </is>
      </c>
      <c r="F1474" s="17" t="n">
        <v>45985</v>
      </c>
      <c r="G1474" t="inlineStr">
        <is>
          <t>no report states where the company is based</t>
        </is>
      </c>
    </row>
    <row r="1475">
      <c r="A1475" t="inlineStr">
        <is>
          <t>C07</t>
        </is>
      </c>
      <c r="B1475" t="inlineStr">
        <is>
          <t>City unknown</t>
        </is>
      </c>
      <c r="C1475" t="inlineStr">
        <is>
          <t>info</t>
        </is>
      </c>
      <c r="D1475" t="inlineStr">
        <is>
          <t>R251125-immunitoai</t>
        </is>
      </c>
      <c r="E1475" t="inlineStr">
        <is>
          <t>immunitoAI</t>
        </is>
      </c>
      <c r="F1475" s="17" t="n">
        <v>45986</v>
      </c>
      <c r="G1475" t="inlineStr">
        <is>
          <t>no report states where the company is based</t>
        </is>
      </c>
    </row>
    <row r="1476">
      <c r="A1476" t="inlineStr">
        <is>
          <t>C07</t>
        </is>
      </c>
      <c r="B1476" t="inlineStr">
        <is>
          <t>City unknown</t>
        </is>
      </c>
      <c r="C1476" t="inlineStr">
        <is>
          <t>info</t>
        </is>
      </c>
      <c r="D1476" t="inlineStr">
        <is>
          <t>R251125-morphlelabs</t>
        </is>
      </c>
      <c r="E1476" t="inlineStr">
        <is>
          <t>Morphle Labs</t>
        </is>
      </c>
      <c r="F1476" s="17" t="n">
        <v>45986</v>
      </c>
      <c r="G1476" t="inlineStr">
        <is>
          <t>no report states where the company is based</t>
        </is>
      </c>
    </row>
    <row r="1477">
      <c r="A1477" t="inlineStr">
        <is>
          <t>C07</t>
        </is>
      </c>
      <c r="B1477" t="inlineStr">
        <is>
          <t>City unknown</t>
        </is>
      </c>
      <c r="C1477" t="inlineStr">
        <is>
          <t>info</t>
        </is>
      </c>
      <c r="D1477" t="inlineStr">
        <is>
          <t>R251125-navanc</t>
        </is>
      </c>
      <c r="E1477" t="inlineStr">
        <is>
          <t>Navanc</t>
        </is>
      </c>
      <c r="F1477" s="17" t="n">
        <v>45986</v>
      </c>
      <c r="G1477" t="inlineStr">
        <is>
          <t>no report states where the company is based</t>
        </is>
      </c>
    </row>
    <row r="1478">
      <c r="A1478" t="inlineStr">
        <is>
          <t>C07</t>
        </is>
      </c>
      <c r="B1478" t="inlineStr">
        <is>
          <t>City unknown</t>
        </is>
      </c>
      <c r="C1478" t="inlineStr">
        <is>
          <t>info</t>
        </is>
      </c>
      <c r="D1478" t="inlineStr">
        <is>
          <t>R251125-zinit</t>
        </is>
      </c>
      <c r="E1478" t="inlineStr">
        <is>
          <t>Zinit</t>
        </is>
      </c>
      <c r="F1478" s="17" t="n">
        <v>45986</v>
      </c>
      <c r="G1478" t="inlineStr">
        <is>
          <t>no report states where the company is based</t>
        </is>
      </c>
    </row>
    <row r="1479">
      <c r="A1479" t="inlineStr">
        <is>
          <t>C07</t>
        </is>
      </c>
      <c r="B1479" t="inlineStr">
        <is>
          <t>City unknown</t>
        </is>
      </c>
      <c r="C1479" t="inlineStr">
        <is>
          <t>info</t>
        </is>
      </c>
      <c r="D1479" t="inlineStr">
        <is>
          <t>R251126-3ev</t>
        </is>
      </c>
      <c r="E1479" t="inlineStr">
        <is>
          <t>3ev</t>
        </is>
      </c>
      <c r="F1479" s="17" t="n">
        <v>45987</v>
      </c>
      <c r="G1479" t="inlineStr">
        <is>
          <t>no report states where the company is based</t>
        </is>
      </c>
    </row>
    <row r="1480">
      <c r="A1480" t="inlineStr">
        <is>
          <t>C07</t>
        </is>
      </c>
      <c r="B1480" t="inlineStr">
        <is>
          <t>City unknown</t>
        </is>
      </c>
      <c r="C1480" t="inlineStr">
        <is>
          <t>info</t>
        </is>
      </c>
      <c r="D1480" t="inlineStr">
        <is>
          <t>R251126-3evindustries</t>
        </is>
      </c>
      <c r="E1480" t="inlineStr">
        <is>
          <t>3ev Industries</t>
        </is>
      </c>
      <c r="F1480" s="17" t="n">
        <v>45987</v>
      </c>
      <c r="G1480" t="inlineStr">
        <is>
          <t>no report states where the company is based</t>
        </is>
      </c>
    </row>
    <row r="1481">
      <c r="A1481" t="inlineStr">
        <is>
          <t>C07</t>
        </is>
      </c>
      <c r="B1481" t="inlineStr">
        <is>
          <t>City unknown</t>
        </is>
      </c>
      <c r="C1481" t="inlineStr">
        <is>
          <t>info</t>
        </is>
      </c>
      <c r="D1481" t="inlineStr">
        <is>
          <t>R251126-enerzi</t>
        </is>
      </c>
      <c r="E1481" t="inlineStr">
        <is>
          <t>Enerzi</t>
        </is>
      </c>
      <c r="F1481" s="17" t="n">
        <v>45987</v>
      </c>
      <c r="G1481" t="inlineStr">
        <is>
          <t>no report states where the company is based</t>
        </is>
      </c>
    </row>
    <row r="1482">
      <c r="A1482" t="inlineStr">
        <is>
          <t>C07</t>
        </is>
      </c>
      <c r="B1482" t="inlineStr">
        <is>
          <t>City unknown</t>
        </is>
      </c>
      <c r="C1482" t="inlineStr">
        <is>
          <t>info</t>
        </is>
      </c>
      <c r="D1482" t="inlineStr">
        <is>
          <t>R251126-miranatoys</t>
        </is>
      </c>
      <c r="E1482" t="inlineStr">
        <is>
          <t>Mirana Toys</t>
        </is>
      </c>
      <c r="F1482" s="17" t="n">
        <v>45987</v>
      </c>
      <c r="G1482" t="inlineStr">
        <is>
          <t>no report states where the company is based</t>
        </is>
      </c>
    </row>
    <row r="1483">
      <c r="A1483" t="inlineStr">
        <is>
          <t>C07</t>
        </is>
      </c>
      <c r="B1483" t="inlineStr">
        <is>
          <t>City unknown</t>
        </is>
      </c>
      <c r="C1483" t="inlineStr">
        <is>
          <t>info</t>
        </is>
      </c>
      <c r="D1483" t="inlineStr">
        <is>
          <t>R251127-batterypool</t>
        </is>
      </c>
      <c r="E1483" t="inlineStr">
        <is>
          <t>BatteryPool</t>
        </is>
      </c>
      <c r="F1483" s="17" t="n">
        <v>45988</v>
      </c>
      <c r="G1483" t="inlineStr">
        <is>
          <t>no report states where the company is based</t>
        </is>
      </c>
    </row>
    <row r="1484">
      <c r="A1484" t="inlineStr">
        <is>
          <t>C07</t>
        </is>
      </c>
      <c r="B1484" t="inlineStr">
        <is>
          <t>City unknown</t>
        </is>
      </c>
      <c r="C1484" t="inlineStr">
        <is>
          <t>info</t>
        </is>
      </c>
      <c r="D1484" t="inlineStr">
        <is>
          <t>R251127-lemnisca</t>
        </is>
      </c>
      <c r="E1484" t="inlineStr">
        <is>
          <t>Lemnisca</t>
        </is>
      </c>
      <c r="F1484" s="17" t="n">
        <v>45988</v>
      </c>
      <c r="G1484" t="inlineStr">
        <is>
          <t>no report states where the company is based</t>
        </is>
      </c>
    </row>
    <row r="1485">
      <c r="A1485" t="inlineStr">
        <is>
          <t>C07</t>
        </is>
      </c>
      <c r="B1485" t="inlineStr">
        <is>
          <t>City unknown</t>
        </is>
      </c>
      <c r="C1485" t="inlineStr">
        <is>
          <t>info</t>
        </is>
      </c>
      <c r="D1485" t="inlineStr">
        <is>
          <t>R251127-sportsforlife</t>
        </is>
      </c>
      <c r="E1485" t="inlineStr">
        <is>
          <t>Sports For Life</t>
        </is>
      </c>
      <c r="F1485" s="17" t="n">
        <v>45988</v>
      </c>
      <c r="G1485" t="inlineStr">
        <is>
          <t>no report states where the company is based</t>
        </is>
      </c>
    </row>
    <row r="1486">
      <c r="A1486" t="inlineStr">
        <is>
          <t>C07</t>
        </is>
      </c>
      <c r="B1486" t="inlineStr">
        <is>
          <t>City unknown</t>
        </is>
      </c>
      <c r="C1486" t="inlineStr">
        <is>
          <t>info</t>
        </is>
      </c>
      <c r="D1486" t="inlineStr">
        <is>
          <t>R251128-candisolar</t>
        </is>
      </c>
      <c r="E1486" t="inlineStr">
        <is>
          <t>Candi Solar</t>
        </is>
      </c>
      <c r="F1486" s="17" t="n">
        <v>45989</v>
      </c>
      <c r="G1486" t="inlineStr">
        <is>
          <t>no report states where the company is based</t>
        </is>
      </c>
    </row>
    <row r="1487">
      <c r="A1487" t="inlineStr">
        <is>
          <t>C07</t>
        </is>
      </c>
      <c r="B1487" t="inlineStr">
        <is>
          <t>City unknown</t>
        </is>
      </c>
      <c r="C1487" t="inlineStr">
        <is>
          <t>info</t>
        </is>
      </c>
      <c r="D1487" t="inlineStr">
        <is>
          <t>R251128-ripplr</t>
        </is>
      </c>
      <c r="E1487" t="inlineStr">
        <is>
          <t>Ripplr</t>
        </is>
      </c>
      <c r="F1487" s="17" t="n">
        <v>45989</v>
      </c>
      <c r="G1487" t="inlineStr">
        <is>
          <t>no report states where the company is based</t>
        </is>
      </c>
    </row>
    <row r="1488">
      <c r="A1488" t="inlineStr">
        <is>
          <t>C07</t>
        </is>
      </c>
      <c r="B1488" t="inlineStr">
        <is>
          <t>City unknown</t>
        </is>
      </c>
      <c r="C1488" t="inlineStr">
        <is>
          <t>info</t>
        </is>
      </c>
      <c r="D1488" t="inlineStr">
        <is>
          <t>R251201-atomberg</t>
        </is>
      </c>
      <c r="E1488" t="inlineStr">
        <is>
          <t>Atomberg</t>
        </is>
      </c>
      <c r="F1488" s="17" t="n">
        <v>45992</v>
      </c>
      <c r="G1488" t="inlineStr">
        <is>
          <t>no report states where the company is based</t>
        </is>
      </c>
    </row>
    <row r="1489">
      <c r="A1489" t="inlineStr">
        <is>
          <t>C07</t>
        </is>
      </c>
      <c r="B1489" t="inlineStr">
        <is>
          <t>City unknown</t>
        </is>
      </c>
      <c r="C1489" t="inlineStr">
        <is>
          <t>info</t>
        </is>
      </c>
      <c r="D1489" t="inlineStr">
        <is>
          <t>R251202-getreplies</t>
        </is>
      </c>
      <c r="E1489" t="inlineStr">
        <is>
          <t>GetReplies</t>
        </is>
      </c>
      <c r="F1489" s="17" t="n">
        <v>45993</v>
      </c>
      <c r="G1489" t="inlineStr">
        <is>
          <t>no report states where the company is based</t>
        </is>
      </c>
    </row>
    <row r="1490">
      <c r="A1490" t="inlineStr">
        <is>
          <t>C07</t>
        </is>
      </c>
      <c r="B1490" t="inlineStr">
        <is>
          <t>City unknown</t>
        </is>
      </c>
      <c r="C1490" t="inlineStr">
        <is>
          <t>info</t>
        </is>
      </c>
      <c r="D1490" t="inlineStr">
        <is>
          <t>R251202-superhealth</t>
        </is>
      </c>
      <c r="E1490" t="inlineStr">
        <is>
          <t>Superhealth</t>
        </is>
      </c>
      <c r="F1490" s="17" t="n">
        <v>45993</v>
      </c>
      <c r="G1490" t="inlineStr">
        <is>
          <t>no report states where the company is based</t>
        </is>
      </c>
    </row>
    <row r="1491">
      <c r="A1491" t="inlineStr">
        <is>
          <t>C07</t>
        </is>
      </c>
      <c r="B1491" t="inlineStr">
        <is>
          <t>City unknown</t>
        </is>
      </c>
      <c r="C1491" t="inlineStr">
        <is>
          <t>info</t>
        </is>
      </c>
      <c r="D1491" t="inlineStr">
        <is>
          <t>R251203-yoodli</t>
        </is>
      </c>
      <c r="E1491" t="inlineStr">
        <is>
          <t>Yoodli</t>
        </is>
      </c>
      <c r="F1491" s="17" t="n">
        <v>45993</v>
      </c>
      <c r="G1491" t="inlineStr">
        <is>
          <t>no report states where the company is based</t>
        </is>
      </c>
    </row>
    <row r="1492">
      <c r="A1492" t="inlineStr">
        <is>
          <t>C07</t>
        </is>
      </c>
      <c r="B1492" t="inlineStr">
        <is>
          <t>City unknown</t>
        </is>
      </c>
      <c r="C1492" t="inlineStr">
        <is>
          <t>info</t>
        </is>
      </c>
      <c r="D1492" t="inlineStr">
        <is>
          <t>R251203-furlenco</t>
        </is>
      </c>
      <c r="E1492" t="inlineStr">
        <is>
          <t>Furlenco</t>
        </is>
      </c>
      <c r="F1492" s="17" t="n">
        <v>45994</v>
      </c>
      <c r="G1492" t="inlineStr">
        <is>
          <t>no report states where the company is based</t>
        </is>
      </c>
    </row>
    <row r="1493">
      <c r="A1493" t="inlineStr">
        <is>
          <t>C07</t>
        </is>
      </c>
      <c r="B1493" t="inlineStr">
        <is>
          <t>City unknown</t>
        </is>
      </c>
      <c r="C1493" t="inlineStr">
        <is>
          <t>info</t>
        </is>
      </c>
      <c r="D1493" t="inlineStr">
        <is>
          <t>R251203-mirrorsecurity</t>
        </is>
      </c>
      <c r="E1493" t="inlineStr">
        <is>
          <t>Mirror Security</t>
        </is>
      </c>
      <c r="F1493" s="17" t="n">
        <v>45994</v>
      </c>
      <c r="G1493" t="inlineStr">
        <is>
          <t>no report states where the company is based</t>
        </is>
      </c>
    </row>
    <row r="1494">
      <c r="A1494" t="inlineStr">
        <is>
          <t>C07</t>
        </is>
      </c>
      <c r="B1494" t="inlineStr">
        <is>
          <t>City unknown</t>
        </is>
      </c>
      <c r="C1494" t="inlineStr">
        <is>
          <t>info</t>
        </is>
      </c>
      <c r="D1494" t="inlineStr">
        <is>
          <t>R251204-ayekart</t>
        </is>
      </c>
      <c r="E1494" t="inlineStr">
        <is>
          <t>Ayekart</t>
        </is>
      </c>
      <c r="F1494" s="17" t="n">
        <v>45995</v>
      </c>
      <c r="G1494" t="inlineStr">
        <is>
          <t>no report states where the company is based</t>
        </is>
      </c>
    </row>
    <row r="1495">
      <c r="A1495" t="inlineStr">
        <is>
          <t>C07</t>
        </is>
      </c>
      <c r="B1495" t="inlineStr">
        <is>
          <t>City unknown</t>
        </is>
      </c>
      <c r="C1495" t="inlineStr">
        <is>
          <t>info</t>
        </is>
      </c>
      <c r="D1495" t="inlineStr">
        <is>
          <t>R251204-coreopsai</t>
        </is>
      </c>
      <c r="E1495" t="inlineStr">
        <is>
          <t>CoreOps.AI</t>
        </is>
      </c>
      <c r="F1495" s="17" t="n">
        <v>45995</v>
      </c>
      <c r="G1495" t="inlineStr">
        <is>
          <t>no report states where the company is based</t>
        </is>
      </c>
    </row>
    <row r="1496">
      <c r="A1496" t="inlineStr">
        <is>
          <t>C07</t>
        </is>
      </c>
      <c r="B1496" t="inlineStr">
        <is>
          <t>City unknown</t>
        </is>
      </c>
      <c r="C1496" t="inlineStr">
        <is>
          <t>info</t>
        </is>
      </c>
      <c r="D1496" t="inlineStr">
        <is>
          <t>R251204-inmobi</t>
        </is>
      </c>
      <c r="E1496" t="inlineStr">
        <is>
          <t>InMobi</t>
        </is>
      </c>
      <c r="F1496" s="17" t="n">
        <v>45995</v>
      </c>
      <c r="G1496" t="inlineStr">
        <is>
          <t>no report states where the company is based</t>
        </is>
      </c>
    </row>
    <row r="1497">
      <c r="A1497" t="inlineStr">
        <is>
          <t>C07</t>
        </is>
      </c>
      <c r="B1497" t="inlineStr">
        <is>
          <t>City unknown</t>
        </is>
      </c>
      <c r="C1497" t="inlineStr">
        <is>
          <t>info</t>
        </is>
      </c>
      <c r="D1497" t="inlineStr">
        <is>
          <t>R251204-planystechnolo</t>
        </is>
      </c>
      <c r="E1497" t="inlineStr">
        <is>
          <t>Planys Technologies</t>
        </is>
      </c>
      <c r="F1497" s="17" t="n">
        <v>45995</v>
      </c>
      <c r="G1497" t="inlineStr">
        <is>
          <t>no report states where the company is based</t>
        </is>
      </c>
    </row>
    <row r="1498">
      <c r="A1498" t="inlineStr">
        <is>
          <t>C07</t>
        </is>
      </c>
      <c r="B1498" t="inlineStr">
        <is>
          <t>City unknown</t>
        </is>
      </c>
      <c r="C1498" t="inlineStr">
        <is>
          <t>info</t>
        </is>
      </c>
      <c r="D1498" t="inlineStr">
        <is>
          <t>R251205-redapto</t>
        </is>
      </c>
      <c r="E1498" t="inlineStr">
        <is>
          <t>Redapto</t>
        </is>
      </c>
      <c r="F1498" s="17" t="n">
        <v>45996</v>
      </c>
      <c r="G1498" t="inlineStr">
        <is>
          <t>no report states where the company is based</t>
        </is>
      </c>
    </row>
    <row r="1499">
      <c r="A1499" t="inlineStr">
        <is>
          <t>C07</t>
        </is>
      </c>
      <c r="B1499" t="inlineStr">
        <is>
          <t>City unknown</t>
        </is>
      </c>
      <c r="C1499" t="inlineStr">
        <is>
          <t>info</t>
        </is>
      </c>
      <c r="D1499" t="inlineStr">
        <is>
          <t>R251208-agilitassports</t>
        </is>
      </c>
      <c r="E1499" t="inlineStr">
        <is>
          <t>Agilitas Sports</t>
        </is>
      </c>
      <c r="F1499" s="17" t="n">
        <v>45999</v>
      </c>
      <c r="G1499" t="inlineStr">
        <is>
          <t>no report states where the company is based</t>
        </is>
      </c>
    </row>
    <row r="1500">
      <c r="A1500" t="inlineStr">
        <is>
          <t>C07</t>
        </is>
      </c>
      <c r="B1500" t="inlineStr">
        <is>
          <t>City unknown</t>
        </is>
      </c>
      <c r="C1500" t="inlineStr">
        <is>
          <t>info</t>
        </is>
      </c>
      <c r="D1500" t="inlineStr">
        <is>
          <t>R251208-consciouschemi</t>
        </is>
      </c>
      <c r="E1500" t="inlineStr">
        <is>
          <t>Conscious Chemist</t>
        </is>
      </c>
      <c r="F1500" s="17" t="n">
        <v>45999</v>
      </c>
      <c r="G1500" t="inlineStr">
        <is>
          <t>no report states where the company is based</t>
        </is>
      </c>
    </row>
    <row r="1501">
      <c r="A1501" t="inlineStr">
        <is>
          <t>C07</t>
        </is>
      </c>
      <c r="B1501" t="inlineStr">
        <is>
          <t>City unknown</t>
        </is>
      </c>
      <c r="C1501" t="inlineStr">
        <is>
          <t>info</t>
        </is>
      </c>
      <c r="D1501" t="inlineStr">
        <is>
          <t>R251208-koriken</t>
        </is>
      </c>
      <c r="E1501" t="inlineStr">
        <is>
          <t>Koriken</t>
        </is>
      </c>
      <c r="F1501" s="17" t="n">
        <v>45999</v>
      </c>
      <c r="G1501" t="inlineStr">
        <is>
          <t>no report states where the company is based</t>
        </is>
      </c>
    </row>
    <row r="1502">
      <c r="A1502" t="inlineStr">
        <is>
          <t>C07</t>
        </is>
      </c>
      <c r="B1502" t="inlineStr">
        <is>
          <t>City unknown</t>
        </is>
      </c>
      <c r="C1502" t="inlineStr">
        <is>
          <t>info</t>
        </is>
      </c>
      <c r="D1502" t="inlineStr">
        <is>
          <t>R251209-clayworks</t>
        </is>
      </c>
      <c r="E1502" t="inlineStr">
        <is>
          <t>ClayWorks</t>
        </is>
      </c>
      <c r="F1502" s="17" t="n">
        <v>46000</v>
      </c>
      <c r="G1502" t="inlineStr">
        <is>
          <t>no report states where the company is based</t>
        </is>
      </c>
    </row>
    <row r="1503">
      <c r="A1503" t="inlineStr">
        <is>
          <t>C07</t>
        </is>
      </c>
      <c r="B1503" t="inlineStr">
        <is>
          <t>City unknown</t>
        </is>
      </c>
      <c r="C1503" t="inlineStr">
        <is>
          <t>info</t>
        </is>
      </c>
      <c r="D1503" t="inlineStr">
        <is>
          <t>R251209-fibe</t>
        </is>
      </c>
      <c r="E1503" t="inlineStr">
        <is>
          <t>Fibe</t>
        </is>
      </c>
      <c r="F1503" s="17" t="n">
        <v>46000</v>
      </c>
      <c r="G1503" t="inlineStr">
        <is>
          <t>no report states where the company is based</t>
        </is>
      </c>
    </row>
    <row r="1504">
      <c r="A1504" t="inlineStr">
        <is>
          <t>C07</t>
        </is>
      </c>
      <c r="B1504" t="inlineStr">
        <is>
          <t>City unknown</t>
        </is>
      </c>
      <c r="C1504" t="inlineStr">
        <is>
          <t>info</t>
        </is>
      </c>
      <c r="D1504" t="inlineStr">
        <is>
          <t>R251209-mukundjha</t>
        </is>
      </c>
      <c r="E1504" t="inlineStr">
        <is>
          <t>Mukund Jha</t>
        </is>
      </c>
      <c r="F1504" s="17" t="n">
        <v>46000</v>
      </c>
      <c r="G1504" t="inlineStr">
        <is>
          <t>no report states where the company is based</t>
        </is>
      </c>
    </row>
    <row r="1505">
      <c r="A1505" t="inlineStr">
        <is>
          <t>C07</t>
        </is>
      </c>
      <c r="B1505" t="inlineStr">
        <is>
          <t>City unknown</t>
        </is>
      </c>
      <c r="C1505" t="inlineStr">
        <is>
          <t>info</t>
        </is>
      </c>
      <c r="D1505" t="inlineStr">
        <is>
          <t>R251210-aiemailclientf</t>
        </is>
      </c>
      <c r="E1505" t="inlineStr">
        <is>
          <t>AI email client Faraday</t>
        </is>
      </c>
      <c r="F1505" s="17" t="n">
        <v>46001</v>
      </c>
      <c r="G1505" t="inlineStr">
        <is>
          <t>no report states where the company is based</t>
        </is>
      </c>
    </row>
    <row r="1506">
      <c r="A1506" t="inlineStr">
        <is>
          <t>C07</t>
        </is>
      </c>
      <c r="B1506" t="inlineStr">
        <is>
          <t>City unknown</t>
        </is>
      </c>
      <c r="C1506" t="inlineStr">
        <is>
          <t>info</t>
        </is>
      </c>
      <c r="D1506" t="inlineStr">
        <is>
          <t>R251210-faraday</t>
        </is>
      </c>
      <c r="E1506" t="inlineStr">
        <is>
          <t>Faraday</t>
        </is>
      </c>
      <c r="F1506" s="17" t="n">
        <v>46001</v>
      </c>
      <c r="G1506" t="inlineStr">
        <is>
          <t>no report states where the company is based</t>
        </is>
      </c>
    </row>
    <row r="1507">
      <c r="A1507" t="inlineStr">
        <is>
          <t>C07</t>
        </is>
      </c>
      <c r="B1507" t="inlineStr">
        <is>
          <t>City unknown</t>
        </is>
      </c>
      <c r="C1507" t="inlineStr">
        <is>
          <t>info</t>
        </is>
      </c>
      <c r="D1507" t="inlineStr">
        <is>
          <t>R251210-smartjoules</t>
        </is>
      </c>
      <c r="E1507" t="inlineStr">
        <is>
          <t>Smart Joules</t>
        </is>
      </c>
      <c r="F1507" s="17" t="n">
        <v>46001</v>
      </c>
      <c r="G1507" t="inlineStr">
        <is>
          <t>no report states where the company is based</t>
        </is>
      </c>
    </row>
    <row r="1508">
      <c r="A1508" t="inlineStr">
        <is>
          <t>C07</t>
        </is>
      </c>
      <c r="B1508" t="inlineStr">
        <is>
          <t>City unknown</t>
        </is>
      </c>
      <c r="C1508" t="inlineStr">
        <is>
          <t>info</t>
        </is>
      </c>
      <c r="D1508" t="inlineStr">
        <is>
          <t>R251211-inito</t>
        </is>
      </c>
      <c r="E1508" t="inlineStr">
        <is>
          <t>Inito</t>
        </is>
      </c>
      <c r="F1508" s="17" t="n">
        <v>46002</v>
      </c>
      <c r="G1508" t="inlineStr">
        <is>
          <t>no report states where the company is based</t>
        </is>
      </c>
    </row>
    <row r="1509">
      <c r="A1509" t="inlineStr">
        <is>
          <t>C07</t>
        </is>
      </c>
      <c r="B1509" t="inlineStr">
        <is>
          <t>City unknown</t>
        </is>
      </c>
      <c r="C1509" t="inlineStr">
        <is>
          <t>info</t>
        </is>
      </c>
      <c r="D1509" t="inlineStr">
        <is>
          <t>R251211-isprout</t>
        </is>
      </c>
      <c r="E1509" t="inlineStr">
        <is>
          <t>iSprout</t>
        </is>
      </c>
      <c r="F1509" s="17" t="n">
        <v>46002</v>
      </c>
      <c r="G1509" t="inlineStr">
        <is>
          <t>no report states where the company is based</t>
        </is>
      </c>
    </row>
    <row r="1510">
      <c r="A1510" t="inlineStr">
        <is>
          <t>C07</t>
        </is>
      </c>
      <c r="B1510" t="inlineStr">
        <is>
          <t>City unknown</t>
        </is>
      </c>
      <c r="C1510" t="inlineStr">
        <is>
          <t>info</t>
        </is>
      </c>
      <c r="D1510" t="inlineStr">
        <is>
          <t>R251211-toffeecoffeero</t>
        </is>
      </c>
      <c r="E1510" t="inlineStr">
        <is>
          <t>Toffee Coffee Roasters</t>
        </is>
      </c>
      <c r="F1510" s="17" t="n">
        <v>46002</v>
      </c>
      <c r="G1510" t="inlineStr">
        <is>
          <t>no report states where the company is based</t>
        </is>
      </c>
    </row>
    <row r="1511">
      <c r="A1511" t="inlineStr">
        <is>
          <t>C07</t>
        </is>
      </c>
      <c r="B1511" t="inlineStr">
        <is>
          <t>City unknown</t>
        </is>
      </c>
      <c r="C1511" t="inlineStr">
        <is>
          <t>info</t>
        </is>
      </c>
      <c r="D1511" t="inlineStr">
        <is>
          <t>R251211-whilterai</t>
        </is>
      </c>
      <c r="E1511" t="inlineStr">
        <is>
          <t>Whilter AI</t>
        </is>
      </c>
      <c r="F1511" s="17" t="n">
        <v>46002</v>
      </c>
      <c r="G1511" t="inlineStr">
        <is>
          <t>no report states where the company is based</t>
        </is>
      </c>
    </row>
    <row r="1512">
      <c r="A1512" t="inlineStr">
        <is>
          <t>C07</t>
        </is>
      </c>
      <c r="B1512" t="inlineStr">
        <is>
          <t>City unknown</t>
        </is>
      </c>
      <c r="C1512" t="inlineStr">
        <is>
          <t>info</t>
        </is>
      </c>
      <c r="D1512" t="inlineStr">
        <is>
          <t>R251215-atomberg</t>
        </is>
      </c>
      <c r="E1512" t="inlineStr">
        <is>
          <t>Atomberg</t>
        </is>
      </c>
      <c r="F1512" s="17" t="n">
        <v>46006</v>
      </c>
      <c r="G1512" t="inlineStr">
        <is>
          <t>no report states where the company is based</t>
        </is>
      </c>
    </row>
    <row r="1513">
      <c r="A1513" t="inlineStr">
        <is>
          <t>C07</t>
        </is>
      </c>
      <c r="B1513" t="inlineStr">
        <is>
          <t>City unknown</t>
        </is>
      </c>
      <c r="C1513" t="inlineStr">
        <is>
          <t>info</t>
        </is>
      </c>
      <c r="D1513" t="inlineStr">
        <is>
          <t>R251215-cuepilotai</t>
        </is>
      </c>
      <c r="E1513" t="inlineStr">
        <is>
          <t>CuePilot AI</t>
        </is>
      </c>
      <c r="F1513" s="17" t="n">
        <v>46006</v>
      </c>
      <c r="G1513" t="inlineStr">
        <is>
          <t>no report states where the company is based</t>
        </is>
      </c>
    </row>
    <row r="1514">
      <c r="A1514" t="inlineStr">
        <is>
          <t>C07</t>
        </is>
      </c>
      <c r="B1514" t="inlineStr">
        <is>
          <t>City unknown</t>
        </is>
      </c>
      <c r="C1514" t="inlineStr">
        <is>
          <t>info</t>
        </is>
      </c>
      <c r="D1514" t="inlineStr">
        <is>
          <t>R251215-rotoriswatches</t>
        </is>
      </c>
      <c r="E1514" t="inlineStr">
        <is>
          <t>Rotoris</t>
        </is>
      </c>
      <c r="F1514" s="17" t="n">
        <v>46006</v>
      </c>
      <c r="G1514" t="inlineStr">
        <is>
          <t>no report states where the company is based</t>
        </is>
      </c>
    </row>
    <row r="1515">
      <c r="A1515" t="inlineStr">
        <is>
          <t>C07</t>
        </is>
      </c>
      <c r="B1515" t="inlineStr">
        <is>
          <t>City unknown</t>
        </is>
      </c>
      <c r="C1515" t="inlineStr">
        <is>
          <t>info</t>
        </is>
      </c>
      <c r="D1515" t="inlineStr">
        <is>
          <t>R251215-sisirradar</t>
        </is>
      </c>
      <c r="E1515" t="inlineStr">
        <is>
          <t>Sisir Radar</t>
        </is>
      </c>
      <c r="F1515" s="17" t="n">
        <v>46006</v>
      </c>
      <c r="G1515" t="inlineStr">
        <is>
          <t>no report states where the company is based</t>
        </is>
      </c>
    </row>
    <row r="1516">
      <c r="A1516" t="inlineStr">
        <is>
          <t>C07</t>
        </is>
      </c>
      <c r="B1516" t="inlineStr">
        <is>
          <t>City unknown</t>
        </is>
      </c>
      <c r="C1516" t="inlineStr">
        <is>
          <t>info</t>
        </is>
      </c>
      <c r="D1516" t="inlineStr">
        <is>
          <t>R251216-aurassure</t>
        </is>
      </c>
      <c r="E1516" t="inlineStr">
        <is>
          <t>Aurassure</t>
        </is>
      </c>
      <c r="F1516" s="17" t="n">
        <v>46007</v>
      </c>
      <c r="G1516" t="inlineStr">
        <is>
          <t>no report states where the company is based</t>
        </is>
      </c>
    </row>
    <row r="1517">
      <c r="A1517" t="inlineStr">
        <is>
          <t>C07</t>
        </is>
      </c>
      <c r="B1517" t="inlineStr">
        <is>
          <t>City unknown</t>
        </is>
      </c>
      <c r="C1517" t="inlineStr">
        <is>
          <t>info</t>
        </is>
      </c>
      <c r="D1517" t="inlineStr">
        <is>
          <t>R251216-swizzle</t>
        </is>
      </c>
      <c r="E1517" t="inlineStr">
        <is>
          <t>Swizzle</t>
        </is>
      </c>
      <c r="F1517" s="17" t="n">
        <v>46007</v>
      </c>
      <c r="G1517" t="inlineStr">
        <is>
          <t>no report states where the company is based</t>
        </is>
      </c>
    </row>
    <row r="1518">
      <c r="A1518" t="inlineStr">
        <is>
          <t>C07</t>
        </is>
      </c>
      <c r="B1518" t="inlineStr">
        <is>
          <t>City unknown</t>
        </is>
      </c>
      <c r="C1518" t="inlineStr">
        <is>
          <t>info</t>
        </is>
      </c>
      <c r="D1518" t="inlineStr">
        <is>
          <t>R251217-cellarimlabs</t>
        </is>
      </c>
      <c r="E1518" t="inlineStr">
        <is>
          <t>Cellarim Labs</t>
        </is>
      </c>
      <c r="F1518" s="17" t="n">
        <v>46008</v>
      </c>
      <c r="G1518" t="inlineStr">
        <is>
          <t>no report states where the company is based</t>
        </is>
      </c>
    </row>
    <row r="1519">
      <c r="A1519" t="inlineStr">
        <is>
          <t>C07</t>
        </is>
      </c>
      <c r="B1519" t="inlineStr">
        <is>
          <t>City unknown</t>
        </is>
      </c>
      <c r="C1519" t="inlineStr">
        <is>
          <t>info</t>
        </is>
      </c>
      <c r="D1519" t="inlineStr">
        <is>
          <t>R251217-superyou</t>
        </is>
      </c>
      <c r="E1519" t="inlineStr">
        <is>
          <t>SuperYou</t>
        </is>
      </c>
      <c r="F1519" s="17" t="n">
        <v>46008</v>
      </c>
      <c r="G1519" t="inlineStr">
        <is>
          <t>no report states where the company is based</t>
        </is>
      </c>
    </row>
    <row r="1520">
      <c r="A1520" t="inlineStr">
        <is>
          <t>C07</t>
        </is>
      </c>
      <c r="B1520" t="inlineStr">
        <is>
          <t>City unknown</t>
        </is>
      </c>
      <c r="C1520" t="inlineStr">
        <is>
          <t>info</t>
        </is>
      </c>
      <c r="D1520" t="inlineStr">
        <is>
          <t>R251218-qucev</t>
        </is>
      </c>
      <c r="E1520" t="inlineStr">
        <is>
          <t>Qucev</t>
        </is>
      </c>
      <c r="F1520" s="17" t="n">
        <v>46009</v>
      </c>
      <c r="G1520" t="inlineStr">
        <is>
          <t>no report states where the company is based</t>
        </is>
      </c>
    </row>
    <row r="1521">
      <c r="A1521" t="inlineStr">
        <is>
          <t>C07</t>
        </is>
      </c>
      <c r="B1521" t="inlineStr">
        <is>
          <t>City unknown</t>
        </is>
      </c>
      <c r="C1521" t="inlineStr">
        <is>
          <t>info</t>
        </is>
      </c>
      <c r="D1521" t="inlineStr">
        <is>
          <t>R251218-workindia</t>
        </is>
      </c>
      <c r="E1521" t="inlineStr">
        <is>
          <t>WorkIndia</t>
        </is>
      </c>
      <c r="F1521" s="17" t="n">
        <v>46009</v>
      </c>
      <c r="G1521" t="inlineStr">
        <is>
          <t>no report states where the company is based</t>
        </is>
      </c>
    </row>
    <row r="1522">
      <c r="A1522" t="inlineStr">
        <is>
          <t>C07</t>
        </is>
      </c>
      <c r="B1522" t="inlineStr">
        <is>
          <t>City unknown</t>
        </is>
      </c>
      <c r="C1522" t="inlineStr">
        <is>
          <t>info</t>
        </is>
      </c>
      <c r="D1522" t="inlineStr">
        <is>
          <t>R251219-alimentoagrofo</t>
        </is>
      </c>
      <c r="E1522" t="inlineStr">
        <is>
          <t>Alimento Agro Foods</t>
        </is>
      </c>
      <c r="F1522" s="17" t="n">
        <v>46010</v>
      </c>
      <c r="G1522" t="inlineStr">
        <is>
          <t>no report states where the company is based</t>
        </is>
      </c>
    </row>
    <row r="1523">
      <c r="A1523" t="inlineStr">
        <is>
          <t>C07</t>
        </is>
      </c>
      <c r="B1523" t="inlineStr">
        <is>
          <t>City unknown</t>
        </is>
      </c>
      <c r="C1523" t="inlineStr">
        <is>
          <t>info</t>
        </is>
      </c>
      <c r="D1523" t="inlineStr">
        <is>
          <t>R251219-milkstation</t>
        </is>
      </c>
      <c r="E1523" t="inlineStr">
        <is>
          <t>Milk Station</t>
        </is>
      </c>
      <c r="F1523" s="17" t="n">
        <v>46010</v>
      </c>
      <c r="G1523" t="inlineStr">
        <is>
          <t>no report states where the company is based</t>
        </is>
      </c>
    </row>
    <row r="1524">
      <c r="A1524" t="inlineStr">
        <is>
          <t>C07</t>
        </is>
      </c>
      <c r="B1524" t="inlineStr">
        <is>
          <t>City unknown</t>
        </is>
      </c>
      <c r="C1524" t="inlineStr">
        <is>
          <t>info</t>
        </is>
      </c>
      <c r="D1524" t="inlineStr">
        <is>
          <t>R251219-virohan</t>
        </is>
      </c>
      <c r="E1524" t="inlineStr">
        <is>
          <t>Virohan</t>
        </is>
      </c>
      <c r="F1524" s="17" t="n">
        <v>46010</v>
      </c>
      <c r="G1524" t="inlineStr">
        <is>
          <t>no report states where the company is based</t>
        </is>
      </c>
    </row>
    <row r="1525">
      <c r="A1525" t="inlineStr">
        <is>
          <t>C07</t>
        </is>
      </c>
      <c r="B1525" t="inlineStr">
        <is>
          <t>City unknown</t>
        </is>
      </c>
      <c r="C1525" t="inlineStr">
        <is>
          <t>info</t>
        </is>
      </c>
      <c r="D1525" t="inlineStr">
        <is>
          <t>R251220-novytematerial</t>
        </is>
      </c>
      <c r="E1525" t="inlineStr">
        <is>
          <t>Novyte Materials</t>
        </is>
      </c>
      <c r="F1525" s="17" t="n">
        <v>46011</v>
      </c>
      <c r="G1525" t="inlineStr">
        <is>
          <t>no report states where the company is based</t>
        </is>
      </c>
    </row>
    <row r="1526">
      <c r="A1526" t="inlineStr">
        <is>
          <t>C07</t>
        </is>
      </c>
      <c r="B1526" t="inlineStr">
        <is>
          <t>City unknown</t>
        </is>
      </c>
      <c r="C1526" t="inlineStr">
        <is>
          <t>info</t>
        </is>
      </c>
      <c r="D1526" t="inlineStr">
        <is>
          <t>R251222-supply6</t>
        </is>
      </c>
      <c r="E1526" t="inlineStr">
        <is>
          <t>Supply6</t>
        </is>
      </c>
      <c r="F1526" s="17" t="n">
        <v>46013</v>
      </c>
      <c r="G1526" t="inlineStr">
        <is>
          <t>no report states where the company is based</t>
        </is>
      </c>
    </row>
    <row r="1527">
      <c r="A1527" t="inlineStr">
        <is>
          <t>C07</t>
        </is>
      </c>
      <c r="B1527" t="inlineStr">
        <is>
          <t>City unknown</t>
        </is>
      </c>
      <c r="C1527" t="inlineStr">
        <is>
          <t>info</t>
        </is>
      </c>
      <c r="D1527" t="inlineStr">
        <is>
          <t>R251223-naxatralabs</t>
        </is>
      </c>
      <c r="E1527" t="inlineStr">
        <is>
          <t>Naxatra Labs</t>
        </is>
      </c>
      <c r="F1527" s="17" t="n">
        <v>46014</v>
      </c>
      <c r="G1527" t="inlineStr">
        <is>
          <t>no report states where the company is based</t>
        </is>
      </c>
    </row>
    <row r="1528">
      <c r="A1528" t="inlineStr">
        <is>
          <t>C07</t>
        </is>
      </c>
      <c r="B1528" t="inlineStr">
        <is>
          <t>City unknown</t>
        </is>
      </c>
      <c r="C1528" t="inlineStr">
        <is>
          <t>info</t>
        </is>
      </c>
      <c r="D1528" t="inlineStr">
        <is>
          <t>R251224-magicdecor</t>
        </is>
      </c>
      <c r="E1528" t="inlineStr">
        <is>
          <t>MagicDecor</t>
        </is>
      </c>
      <c r="F1528" s="17" t="n">
        <v>46015</v>
      </c>
      <c r="G1528" t="inlineStr">
        <is>
          <t>no report states where the company is based</t>
        </is>
      </c>
    </row>
    <row r="1529">
      <c r="A1529" t="inlineStr">
        <is>
          <t>C07</t>
        </is>
      </c>
      <c r="B1529" t="inlineStr">
        <is>
          <t>City unknown</t>
        </is>
      </c>
      <c r="C1529" t="inlineStr">
        <is>
          <t>info</t>
        </is>
      </c>
      <c r="D1529" t="inlineStr">
        <is>
          <t>R251225-olaelectric</t>
        </is>
      </c>
      <c r="E1529" t="inlineStr">
        <is>
          <t>Ola Electric</t>
        </is>
      </c>
      <c r="F1529" s="17" t="n">
        <v>46016</v>
      </c>
      <c r="G1529" t="inlineStr">
        <is>
          <t>no report states where the company is based</t>
        </is>
      </c>
    </row>
    <row r="1530">
      <c r="A1530" t="inlineStr">
        <is>
          <t>C07</t>
        </is>
      </c>
      <c r="B1530" t="inlineStr">
        <is>
          <t>City unknown</t>
        </is>
      </c>
      <c r="C1530" t="inlineStr">
        <is>
          <t>info</t>
        </is>
      </c>
      <c r="D1530" t="inlineStr">
        <is>
          <t>R251225-oppam</t>
        </is>
      </c>
      <c r="E1530" t="inlineStr">
        <is>
          <t>Oppam</t>
        </is>
      </c>
      <c r="F1530" s="17" t="n">
        <v>46016</v>
      </c>
      <c r="G1530" t="inlineStr">
        <is>
          <t>no report states where the company is based</t>
        </is>
      </c>
    </row>
    <row r="1531">
      <c r="A1531" t="inlineStr">
        <is>
          <t>C07</t>
        </is>
      </c>
      <c r="B1531" t="inlineStr">
        <is>
          <t>City unknown</t>
        </is>
      </c>
      <c r="C1531" t="inlineStr">
        <is>
          <t>info</t>
        </is>
      </c>
      <c r="D1531" t="inlineStr">
        <is>
          <t>R251229-neeman</t>
        </is>
      </c>
      <c r="E1531" t="inlineStr">
        <is>
          <t>Neeman’s</t>
        </is>
      </c>
      <c r="F1531" s="17" t="n">
        <v>46020</v>
      </c>
      <c r="G1531" t="inlineStr">
        <is>
          <t>no report states where the company is based</t>
        </is>
      </c>
    </row>
    <row r="1532">
      <c r="A1532" t="inlineStr">
        <is>
          <t>C07</t>
        </is>
      </c>
      <c r="B1532" t="inlineStr">
        <is>
          <t>City unknown</t>
        </is>
      </c>
      <c r="C1532" t="inlineStr">
        <is>
          <t>info</t>
        </is>
      </c>
      <c r="D1532" t="inlineStr">
        <is>
          <t>R251231-speed</t>
        </is>
      </c>
      <c r="E1532" t="inlineStr">
        <is>
          <t>Speed</t>
        </is>
      </c>
      <c r="F1532" s="17" t="n">
        <v>46022</v>
      </c>
      <c r="G1532" t="inlineStr">
        <is>
          <t>no report states where the company is based</t>
        </is>
      </c>
    </row>
    <row r="1533">
      <c r="A1533" t="inlineStr">
        <is>
          <t>C07</t>
        </is>
      </c>
      <c r="B1533" t="inlineStr">
        <is>
          <t>City unknown</t>
        </is>
      </c>
      <c r="C1533" t="inlineStr">
        <is>
          <t>info</t>
        </is>
      </c>
      <c r="D1533" t="inlineStr">
        <is>
          <t>R260106-futurecureheal</t>
        </is>
      </c>
      <c r="E1533" t="inlineStr">
        <is>
          <t>FutureCure Health</t>
        </is>
      </c>
      <c r="F1533" s="17" t="n">
        <v>46028</v>
      </c>
      <c r="G1533" t="inlineStr">
        <is>
          <t>no report states where the company is based</t>
        </is>
      </c>
    </row>
    <row r="1534">
      <c r="A1534" t="inlineStr">
        <is>
          <t>C07</t>
        </is>
      </c>
      <c r="B1534" t="inlineStr">
        <is>
          <t>City unknown</t>
        </is>
      </c>
      <c r="C1534" t="inlineStr">
        <is>
          <t>info</t>
        </is>
      </c>
      <c r="D1534" t="inlineStr">
        <is>
          <t>R260106-lohiaaerospace</t>
        </is>
      </c>
      <c r="E1534" t="inlineStr">
        <is>
          <t>Lohia Aerospace Systems</t>
        </is>
      </c>
      <c r="F1534" s="17" t="n">
        <v>46028</v>
      </c>
      <c r="G1534" t="inlineStr">
        <is>
          <t>no report states where the company is based</t>
        </is>
      </c>
    </row>
    <row r="1535">
      <c r="A1535" t="inlineStr">
        <is>
          <t>C07</t>
        </is>
      </c>
      <c r="B1535" t="inlineStr">
        <is>
          <t>City unknown</t>
        </is>
      </c>
      <c r="C1535" t="inlineStr">
        <is>
          <t>info</t>
        </is>
      </c>
      <c r="D1535" t="inlineStr">
        <is>
          <t>R260106-osso</t>
        </is>
      </c>
      <c r="E1535" t="inlineStr">
        <is>
          <t>OSSO</t>
        </is>
      </c>
      <c r="F1535" s="17" t="n">
        <v>46028</v>
      </c>
      <c r="G1535" t="inlineStr">
        <is>
          <t>no report states where the company is based</t>
        </is>
      </c>
    </row>
    <row r="1536">
      <c r="A1536" t="inlineStr">
        <is>
          <t>C07</t>
        </is>
      </c>
      <c r="B1536" t="inlineStr">
        <is>
          <t>City unknown</t>
        </is>
      </c>
      <c r="C1536" t="inlineStr">
        <is>
          <t>info</t>
        </is>
      </c>
      <c r="D1536" t="inlineStr">
        <is>
          <t>R260107-antinorm</t>
        </is>
      </c>
      <c r="E1536" t="inlineStr">
        <is>
          <t>Antinorm</t>
        </is>
      </c>
      <c r="F1536" s="17" t="n">
        <v>46029</v>
      </c>
      <c r="G1536" t="inlineStr">
        <is>
          <t>no report states where the company is based</t>
        </is>
      </c>
    </row>
    <row r="1537">
      <c r="A1537" t="inlineStr">
        <is>
          <t>C07</t>
        </is>
      </c>
      <c r="B1537" t="inlineStr">
        <is>
          <t>City unknown</t>
        </is>
      </c>
      <c r="C1537" t="inlineStr">
        <is>
          <t>info</t>
        </is>
      </c>
      <c r="D1537" t="inlineStr">
        <is>
          <t>R260107-oppdoor</t>
        </is>
      </c>
      <c r="E1537" t="inlineStr">
        <is>
          <t>Oppdoor</t>
        </is>
      </c>
      <c r="F1537" s="17" t="n">
        <v>46029</v>
      </c>
      <c r="G1537" t="inlineStr">
        <is>
          <t>no report states where the company is based</t>
        </is>
      </c>
    </row>
    <row r="1538">
      <c r="A1538" t="inlineStr">
        <is>
          <t>C07</t>
        </is>
      </c>
      <c r="B1538" t="inlineStr">
        <is>
          <t>City unknown</t>
        </is>
      </c>
      <c r="C1538" t="inlineStr">
        <is>
          <t>info</t>
        </is>
      </c>
      <c r="D1538" t="inlineStr">
        <is>
          <t>R260107-roadgrid</t>
        </is>
      </c>
      <c r="E1538" t="inlineStr">
        <is>
          <t>RoadGrid</t>
        </is>
      </c>
      <c r="F1538" s="17" t="n">
        <v>46029</v>
      </c>
      <c r="G1538" t="inlineStr">
        <is>
          <t>no report states where the company is based</t>
        </is>
      </c>
    </row>
    <row r="1539">
      <c r="A1539" t="inlineStr">
        <is>
          <t>C07</t>
        </is>
      </c>
      <c r="B1539" t="inlineStr">
        <is>
          <t>City unknown</t>
        </is>
      </c>
      <c r="C1539" t="inlineStr">
        <is>
          <t>info</t>
        </is>
      </c>
      <c r="D1539" t="inlineStr">
        <is>
          <t>R260108-aivar</t>
        </is>
      </c>
      <c r="E1539" t="inlineStr">
        <is>
          <t>Aivar</t>
        </is>
      </c>
      <c r="F1539" s="17" t="n">
        <v>46030</v>
      </c>
      <c r="G1539" t="inlineStr">
        <is>
          <t>no report states where the company is based</t>
        </is>
      </c>
    </row>
    <row r="1540">
      <c r="A1540" t="inlineStr">
        <is>
          <t>C07</t>
        </is>
      </c>
      <c r="B1540" t="inlineStr">
        <is>
          <t>City unknown</t>
        </is>
      </c>
      <c r="C1540" t="inlineStr">
        <is>
          <t>info</t>
        </is>
      </c>
      <c r="D1540" t="inlineStr">
        <is>
          <t>R260108-multibaggai</t>
        </is>
      </c>
      <c r="E1540" t="inlineStr">
        <is>
          <t>Multibagg AI</t>
        </is>
      </c>
      <c r="F1540" s="17" t="n">
        <v>46030</v>
      </c>
      <c r="G1540" t="inlineStr">
        <is>
          <t>no report states where the company is based</t>
        </is>
      </c>
    </row>
    <row r="1541">
      <c r="A1541" t="inlineStr">
        <is>
          <t>C07</t>
        </is>
      </c>
      <c r="B1541" t="inlineStr">
        <is>
          <t>City unknown</t>
        </is>
      </c>
      <c r="C1541" t="inlineStr">
        <is>
          <t>info</t>
        </is>
      </c>
      <c r="D1541" t="inlineStr">
        <is>
          <t>R260108-projectstudioa</t>
        </is>
      </c>
      <c r="E1541" t="inlineStr">
        <is>
          <t>Project Studio AI</t>
        </is>
      </c>
      <c r="F1541" s="17" t="n">
        <v>46030</v>
      </c>
      <c r="G1541" t="inlineStr">
        <is>
          <t>no report states where the company is based</t>
        </is>
      </c>
    </row>
    <row r="1542">
      <c r="A1542" t="inlineStr">
        <is>
          <t>C07</t>
        </is>
      </c>
      <c r="B1542" t="inlineStr">
        <is>
          <t>City unknown</t>
        </is>
      </c>
      <c r="C1542" t="inlineStr">
        <is>
          <t>info</t>
        </is>
      </c>
      <c r="D1542" t="inlineStr">
        <is>
          <t>R260112-neeman</t>
        </is>
      </c>
      <c r="E1542" t="inlineStr">
        <is>
          <t>Neeman’s</t>
        </is>
      </c>
      <c r="F1542" s="17" t="n">
        <v>46034</v>
      </c>
      <c r="G1542" t="inlineStr">
        <is>
          <t>no report states where the company is based</t>
        </is>
      </c>
    </row>
    <row r="1543">
      <c r="A1543" t="inlineStr">
        <is>
          <t>C07</t>
        </is>
      </c>
      <c r="B1543" t="inlineStr">
        <is>
          <t>City unknown</t>
        </is>
      </c>
      <c r="C1543" t="inlineStr">
        <is>
          <t>info</t>
        </is>
      </c>
      <c r="D1543" t="inlineStr">
        <is>
          <t>R260113-billionemobili</t>
        </is>
      </c>
      <c r="E1543" t="inlineStr">
        <is>
          <t>BillionE Mobility</t>
        </is>
      </c>
      <c r="F1543" s="17" t="n">
        <v>46035</v>
      </c>
      <c r="G1543" t="inlineStr">
        <is>
          <t>no report states where the company is based</t>
        </is>
      </c>
    </row>
    <row r="1544">
      <c r="A1544" t="inlineStr">
        <is>
          <t>C07</t>
        </is>
      </c>
      <c r="B1544" t="inlineStr">
        <is>
          <t>City unknown</t>
        </is>
      </c>
      <c r="C1544" t="inlineStr">
        <is>
          <t>info</t>
        </is>
      </c>
      <c r="D1544" t="inlineStr">
        <is>
          <t>R260114-handypanda</t>
        </is>
      </c>
      <c r="E1544" t="inlineStr">
        <is>
          <t>HandyPanda</t>
        </is>
      </c>
      <c r="F1544" s="17" t="n">
        <v>46036</v>
      </c>
      <c r="G1544" t="inlineStr">
        <is>
          <t>no report states where the company is based</t>
        </is>
      </c>
    </row>
    <row r="1545">
      <c r="A1545" t="inlineStr">
        <is>
          <t>C07</t>
        </is>
      </c>
      <c r="B1545" t="inlineStr">
        <is>
          <t>City unknown</t>
        </is>
      </c>
      <c r="C1545" t="inlineStr">
        <is>
          <t>info</t>
        </is>
      </c>
      <c r="D1545" t="inlineStr">
        <is>
          <t>R260115-etherealx</t>
        </is>
      </c>
      <c r="E1545" t="inlineStr">
        <is>
          <t>EtherealX</t>
        </is>
      </c>
      <c r="F1545" s="17" t="n">
        <v>46037</v>
      </c>
      <c r="G1545" t="inlineStr">
        <is>
          <t>no report states where the company is based</t>
        </is>
      </c>
    </row>
    <row r="1546">
      <c r="A1546" t="inlineStr">
        <is>
          <t>C07</t>
        </is>
      </c>
      <c r="B1546" t="inlineStr">
        <is>
          <t>City unknown</t>
        </is>
      </c>
      <c r="C1546" t="inlineStr">
        <is>
          <t>info</t>
        </is>
      </c>
      <c r="D1546" t="inlineStr">
        <is>
          <t>R260115-growthpal</t>
        </is>
      </c>
      <c r="E1546" t="inlineStr">
        <is>
          <t>GrowthPal</t>
        </is>
      </c>
      <c r="F1546" s="17" t="n">
        <v>46037</v>
      </c>
      <c r="G1546" t="inlineStr">
        <is>
          <t>no report states where the company is based</t>
        </is>
      </c>
    </row>
    <row r="1547">
      <c r="A1547" t="inlineStr">
        <is>
          <t>C07</t>
        </is>
      </c>
      <c r="B1547" t="inlineStr">
        <is>
          <t>City unknown</t>
        </is>
      </c>
      <c r="C1547" t="inlineStr">
        <is>
          <t>info</t>
        </is>
      </c>
      <c r="D1547" t="inlineStr">
        <is>
          <t>R260116-gullylabs</t>
        </is>
      </c>
      <c r="E1547" t="inlineStr">
        <is>
          <t>Gully Labs</t>
        </is>
      </c>
      <c r="F1547" s="17" t="n">
        <v>46038</v>
      </c>
      <c r="G1547" t="inlineStr">
        <is>
          <t>no report states where the company is based</t>
        </is>
      </c>
    </row>
    <row r="1548">
      <c r="A1548" t="inlineStr">
        <is>
          <t>C07</t>
        </is>
      </c>
      <c r="B1548" t="inlineStr">
        <is>
          <t>City unknown</t>
        </is>
      </c>
      <c r="C1548" t="inlineStr">
        <is>
          <t>info</t>
        </is>
      </c>
      <c r="D1548" t="inlineStr">
        <is>
          <t>R260119-33andbrew</t>
        </is>
      </c>
      <c r="E1548" t="inlineStr">
        <is>
          <t>33&amp;Brew</t>
        </is>
      </c>
      <c r="F1548" s="17" t="n">
        <v>46041</v>
      </c>
      <c r="G1548" t="inlineStr">
        <is>
          <t>no report states where the company is based</t>
        </is>
      </c>
    </row>
    <row r="1549">
      <c r="A1549" t="inlineStr">
        <is>
          <t>C07</t>
        </is>
      </c>
      <c r="B1549" t="inlineStr">
        <is>
          <t>City unknown</t>
        </is>
      </c>
      <c r="C1549" t="inlineStr">
        <is>
          <t>info</t>
        </is>
      </c>
      <c r="D1549" t="inlineStr">
        <is>
          <t>R260119-salty</t>
        </is>
      </c>
      <c r="E1549" t="inlineStr">
        <is>
          <t>Salty</t>
        </is>
      </c>
      <c r="F1549" s="17" t="n">
        <v>46041</v>
      </c>
      <c r="G1549" t="inlineStr">
        <is>
          <t>no report states where the company is based</t>
        </is>
      </c>
    </row>
    <row r="1550">
      <c r="A1550" t="inlineStr">
        <is>
          <t>C07</t>
        </is>
      </c>
      <c r="B1550" t="inlineStr">
        <is>
          <t>City unknown</t>
        </is>
      </c>
      <c r="C1550" t="inlineStr">
        <is>
          <t>info</t>
        </is>
      </c>
      <c r="D1550" t="inlineStr">
        <is>
          <t>R260120-polycycl</t>
        </is>
      </c>
      <c r="E1550" t="inlineStr">
        <is>
          <t>PolyCycl</t>
        </is>
      </c>
      <c r="F1550" s="17" t="n">
        <v>46042</v>
      </c>
      <c r="G1550" t="inlineStr">
        <is>
          <t>no report states where the company is based</t>
        </is>
      </c>
    </row>
    <row r="1551">
      <c r="A1551" t="inlineStr">
        <is>
          <t>C07</t>
        </is>
      </c>
      <c r="B1551" t="inlineStr">
        <is>
          <t>City unknown</t>
        </is>
      </c>
      <c r="C1551" t="inlineStr">
        <is>
          <t>info</t>
        </is>
      </c>
      <c r="D1551" t="inlineStr">
        <is>
          <t>R260120-rspl</t>
        </is>
      </c>
      <c r="E1551" t="inlineStr">
        <is>
          <t>RSPL</t>
        </is>
      </c>
      <c r="F1551" s="17" t="n">
        <v>46042</v>
      </c>
      <c r="G1551" t="inlineStr">
        <is>
          <t>no report states where the company is based</t>
        </is>
      </c>
    </row>
    <row r="1552">
      <c r="A1552" t="inlineStr">
        <is>
          <t>C07</t>
        </is>
      </c>
      <c r="B1552" t="inlineStr">
        <is>
          <t>City unknown</t>
        </is>
      </c>
      <c r="C1552" t="inlineStr">
        <is>
          <t>info</t>
        </is>
      </c>
      <c r="D1552" t="inlineStr">
        <is>
          <t>R260121-caredale</t>
        </is>
      </c>
      <c r="E1552" t="inlineStr">
        <is>
          <t>Care Dale</t>
        </is>
      </c>
      <c r="F1552" s="17" t="n">
        <v>46043</v>
      </c>
      <c r="G1552" t="inlineStr">
        <is>
          <t>no report states where the company is based</t>
        </is>
      </c>
    </row>
    <row r="1553">
      <c r="A1553" t="inlineStr">
        <is>
          <t>C07</t>
        </is>
      </c>
      <c r="B1553" t="inlineStr">
        <is>
          <t>City unknown</t>
        </is>
      </c>
      <c r="C1553" t="inlineStr">
        <is>
          <t>info</t>
        </is>
      </c>
      <c r="D1553" t="inlineStr">
        <is>
          <t>R260121-xoxoday</t>
        </is>
      </c>
      <c r="E1553" t="inlineStr">
        <is>
          <t>Xoxoday</t>
        </is>
      </c>
      <c r="F1553" s="17" t="n">
        <v>46043</v>
      </c>
      <c r="G1553" t="inlineStr">
        <is>
          <t>no report states where the company is based</t>
        </is>
      </c>
    </row>
    <row r="1554">
      <c r="A1554" t="inlineStr">
        <is>
          <t>C07</t>
        </is>
      </c>
      <c r="B1554" t="inlineStr">
        <is>
          <t>City unknown</t>
        </is>
      </c>
      <c r="C1554" t="inlineStr">
        <is>
          <t>info</t>
        </is>
      </c>
      <c r="D1554" t="inlineStr">
        <is>
          <t>R260122-brisiltechnolo</t>
        </is>
      </c>
      <c r="E1554" t="inlineStr">
        <is>
          <t>Brisil Technologies</t>
        </is>
      </c>
      <c r="F1554" s="17" t="n">
        <v>46044</v>
      </c>
      <c r="G1554" t="inlineStr">
        <is>
          <t>no report states where the company is based</t>
        </is>
      </c>
    </row>
    <row r="1555">
      <c r="A1555" t="inlineStr">
        <is>
          <t>C07</t>
        </is>
      </c>
      <c r="B1555" t="inlineStr">
        <is>
          <t>City unknown</t>
        </is>
      </c>
      <c r="C1555" t="inlineStr">
        <is>
          <t>info</t>
        </is>
      </c>
      <c r="D1555" t="inlineStr">
        <is>
          <t>R260122-cosmoserve</t>
        </is>
      </c>
      <c r="E1555" t="inlineStr">
        <is>
          <t>Cosmoserve</t>
        </is>
      </c>
      <c r="F1555" s="17" t="n">
        <v>46044</v>
      </c>
      <c r="G1555" t="inlineStr">
        <is>
          <t>no report states where the company is based</t>
        </is>
      </c>
    </row>
    <row r="1556">
      <c r="A1556" t="inlineStr">
        <is>
          <t>C07</t>
        </is>
      </c>
      <c r="B1556" t="inlineStr">
        <is>
          <t>City unknown</t>
        </is>
      </c>
      <c r="C1556" t="inlineStr">
        <is>
          <t>info</t>
        </is>
      </c>
      <c r="D1556" t="inlineStr">
        <is>
          <t>R260122-lorazzo</t>
        </is>
      </c>
      <c r="E1556" t="inlineStr">
        <is>
          <t>Lorazzo</t>
        </is>
      </c>
      <c r="F1556" s="17" t="n">
        <v>46044</v>
      </c>
      <c r="G1556" t="inlineStr">
        <is>
          <t>no report states where the company is based</t>
        </is>
      </c>
    </row>
    <row r="1557">
      <c r="A1557" t="inlineStr">
        <is>
          <t>C07</t>
        </is>
      </c>
      <c r="B1557" t="inlineStr">
        <is>
          <t>City unknown</t>
        </is>
      </c>
      <c r="C1557" t="inlineStr">
        <is>
          <t>info</t>
        </is>
      </c>
      <c r="D1557" t="inlineStr">
        <is>
          <t>R260122-meineelectric</t>
        </is>
      </c>
      <c r="E1557" t="inlineStr">
        <is>
          <t>Meine Electric</t>
        </is>
      </c>
      <c r="F1557" s="17" t="n">
        <v>46044</v>
      </c>
      <c r="G1557" t="inlineStr">
        <is>
          <t>no report states where the company is based</t>
        </is>
      </c>
    </row>
    <row r="1558">
      <c r="A1558" t="inlineStr">
        <is>
          <t>C07</t>
        </is>
      </c>
      <c r="B1558" t="inlineStr">
        <is>
          <t>City unknown</t>
        </is>
      </c>
      <c r="C1558" t="inlineStr">
        <is>
          <t>info</t>
        </is>
      </c>
      <c r="D1558" t="inlineStr">
        <is>
          <t>R260122-propertypistol</t>
        </is>
      </c>
      <c r="E1558" t="inlineStr">
        <is>
          <t>PropertyPistol</t>
        </is>
      </c>
      <c r="F1558" s="17" t="n">
        <v>46044</v>
      </c>
      <c r="G1558" t="inlineStr">
        <is>
          <t>no report states where the company is based</t>
        </is>
      </c>
    </row>
    <row r="1559">
      <c r="A1559" t="inlineStr">
        <is>
          <t>C07</t>
        </is>
      </c>
      <c r="B1559" t="inlineStr">
        <is>
          <t>City unknown</t>
        </is>
      </c>
      <c r="C1559" t="inlineStr">
        <is>
          <t>info</t>
        </is>
      </c>
      <c r="D1559" t="inlineStr">
        <is>
          <t>R260122-raanasemicondu</t>
        </is>
      </c>
      <c r="E1559" t="inlineStr">
        <is>
          <t>Raana Semiconductor</t>
        </is>
      </c>
      <c r="F1559" s="17" t="n">
        <v>46044</v>
      </c>
      <c r="G1559" t="inlineStr">
        <is>
          <t>no report states where the company is based</t>
        </is>
      </c>
    </row>
    <row r="1560">
      <c r="A1560" t="inlineStr">
        <is>
          <t>C07</t>
        </is>
      </c>
      <c r="B1560" t="inlineStr">
        <is>
          <t>City unknown</t>
        </is>
      </c>
      <c r="C1560" t="inlineStr">
        <is>
          <t>info</t>
        </is>
      </c>
      <c r="D1560" t="inlineStr">
        <is>
          <t>R260128-dpropulse</t>
        </is>
      </c>
      <c r="E1560" t="inlineStr">
        <is>
          <t>D-Propulse</t>
        </is>
      </c>
      <c r="F1560" s="17" t="n">
        <v>46050</v>
      </c>
      <c r="G1560" t="inlineStr">
        <is>
          <t>no report states where the company is based</t>
        </is>
      </c>
    </row>
    <row r="1561">
      <c r="A1561" t="inlineStr">
        <is>
          <t>C07</t>
        </is>
      </c>
      <c r="B1561" t="inlineStr">
        <is>
          <t>City unknown</t>
        </is>
      </c>
      <c r="C1561" t="inlineStr">
        <is>
          <t>info</t>
        </is>
      </c>
      <c r="D1561" t="inlineStr">
        <is>
          <t>R260128-koreai</t>
        </is>
      </c>
      <c r="E1561" t="inlineStr">
        <is>
          <t>Kore.ai</t>
        </is>
      </c>
      <c r="F1561" s="17" t="n">
        <v>46050</v>
      </c>
      <c r="G1561" t="inlineStr">
        <is>
          <t>no report states where the company is based</t>
        </is>
      </c>
    </row>
    <row r="1562">
      <c r="A1562" t="inlineStr">
        <is>
          <t>C07</t>
        </is>
      </c>
      <c r="B1562" t="inlineStr">
        <is>
          <t>City unknown</t>
        </is>
      </c>
      <c r="C1562" t="inlineStr">
        <is>
          <t>info</t>
        </is>
      </c>
      <c r="D1562" t="inlineStr">
        <is>
          <t>R260128-taketwo</t>
        </is>
      </c>
      <c r="E1562" t="inlineStr">
        <is>
          <t>TakeTwo</t>
        </is>
      </c>
      <c r="F1562" s="17" t="n">
        <v>46050</v>
      </c>
      <c r="G1562" t="inlineStr">
        <is>
          <t>no report states where the company is based</t>
        </is>
      </c>
    </row>
    <row r="1563">
      <c r="A1563" t="inlineStr">
        <is>
          <t>C07</t>
        </is>
      </c>
      <c r="B1563" t="inlineStr">
        <is>
          <t>City unknown</t>
        </is>
      </c>
      <c r="C1563" t="inlineStr">
        <is>
          <t>info</t>
        </is>
      </c>
      <c r="D1563" t="inlineStr">
        <is>
          <t>R260128-thestack</t>
        </is>
      </c>
      <c r="E1563" t="inlineStr">
        <is>
          <t>The Stack</t>
        </is>
      </c>
      <c r="F1563" s="17" t="n">
        <v>46050</v>
      </c>
      <c r="G1563" t="inlineStr">
        <is>
          <t>no report states where the company is based</t>
        </is>
      </c>
    </row>
    <row r="1564">
      <c r="A1564" t="inlineStr">
        <is>
          <t>C07</t>
        </is>
      </c>
      <c r="B1564" t="inlineStr">
        <is>
          <t>City unknown</t>
        </is>
      </c>
      <c r="C1564" t="inlineStr">
        <is>
          <t>info</t>
        </is>
      </c>
      <c r="D1564" t="inlineStr">
        <is>
          <t>R260203-chinikum</t>
        </is>
      </c>
      <c r="E1564" t="inlineStr">
        <is>
          <t>CHINI KUM</t>
        </is>
      </c>
      <c r="F1564" s="17" t="n">
        <v>46056</v>
      </c>
      <c r="G1564" t="inlineStr">
        <is>
          <t>no report states where the company is based</t>
        </is>
      </c>
    </row>
    <row r="1565">
      <c r="A1565" t="inlineStr">
        <is>
          <t>C07</t>
        </is>
      </c>
      <c r="B1565" t="inlineStr">
        <is>
          <t>City unknown</t>
        </is>
      </c>
      <c r="C1565" t="inlineStr">
        <is>
          <t>info</t>
        </is>
      </c>
      <c r="D1565" t="inlineStr">
        <is>
          <t>R260203-digitalstriker</t>
        </is>
      </c>
      <c r="E1565" t="inlineStr">
        <is>
          <t>Digital Striker</t>
        </is>
      </c>
      <c r="F1565" s="17" t="n">
        <v>46056</v>
      </c>
      <c r="G1565" t="inlineStr">
        <is>
          <t>no report states where the company is based</t>
        </is>
      </c>
    </row>
    <row r="1566">
      <c r="A1566" t="inlineStr">
        <is>
          <t>C07</t>
        </is>
      </c>
      <c r="B1566" t="inlineStr">
        <is>
          <t>City unknown</t>
        </is>
      </c>
      <c r="C1566" t="inlineStr">
        <is>
          <t>info</t>
        </is>
      </c>
      <c r="D1566" t="inlineStr">
        <is>
          <t>R260203-loopai</t>
        </is>
      </c>
      <c r="E1566" t="inlineStr">
        <is>
          <t>Loop AI</t>
        </is>
      </c>
      <c r="F1566" s="17" t="n">
        <v>46056</v>
      </c>
      <c r="G1566" t="inlineStr">
        <is>
          <t>no report states where the company is based</t>
        </is>
      </c>
    </row>
    <row r="1567">
      <c r="A1567" t="inlineStr">
        <is>
          <t>C07</t>
        </is>
      </c>
      <c r="B1567" t="inlineStr">
        <is>
          <t>City unknown</t>
        </is>
      </c>
      <c r="C1567" t="inlineStr">
        <is>
          <t>info</t>
        </is>
      </c>
      <c r="D1567" t="inlineStr">
        <is>
          <t>R260203-sanyarkspace</t>
        </is>
      </c>
      <c r="E1567" t="inlineStr">
        <is>
          <t>Sanyark Space</t>
        </is>
      </c>
      <c r="F1567" s="17" t="n">
        <v>46056</v>
      </c>
      <c r="G1567" t="inlineStr">
        <is>
          <t>no report states where the company is based</t>
        </is>
      </c>
    </row>
    <row r="1568">
      <c r="A1568" t="inlineStr">
        <is>
          <t>C07</t>
        </is>
      </c>
      <c r="B1568" t="inlineStr">
        <is>
          <t>City unknown</t>
        </is>
      </c>
      <c r="C1568" t="inlineStr">
        <is>
          <t>info</t>
        </is>
      </c>
      <c r="D1568" t="inlineStr">
        <is>
          <t>R260204-15degree</t>
        </is>
      </c>
      <c r="E1568" t="inlineStr">
        <is>
          <t>1.5 Degree</t>
        </is>
      </c>
      <c r="F1568" s="17" t="n">
        <v>46057</v>
      </c>
      <c r="G1568" t="inlineStr">
        <is>
          <t>no report states where the company is based</t>
        </is>
      </c>
    </row>
    <row r="1569">
      <c r="A1569" t="inlineStr">
        <is>
          <t>C07</t>
        </is>
      </c>
      <c r="B1569" t="inlineStr">
        <is>
          <t>City unknown</t>
        </is>
      </c>
      <c r="C1569" t="inlineStr">
        <is>
          <t>info</t>
        </is>
      </c>
      <c r="D1569" t="inlineStr">
        <is>
          <t>R260204-fibrai</t>
        </is>
      </c>
      <c r="E1569" t="inlineStr">
        <is>
          <t>Fibr AI</t>
        </is>
      </c>
      <c r="F1569" s="17" t="n">
        <v>46057</v>
      </c>
      <c r="G1569" t="inlineStr">
        <is>
          <t>no report states where the company is based</t>
        </is>
      </c>
    </row>
    <row r="1570">
      <c r="A1570" t="inlineStr">
        <is>
          <t>C07</t>
        </is>
      </c>
      <c r="B1570" t="inlineStr">
        <is>
          <t>City unknown</t>
        </is>
      </c>
      <c r="C1570" t="inlineStr">
        <is>
          <t>info</t>
        </is>
      </c>
      <c r="D1570" t="inlineStr">
        <is>
          <t>R260205-drdoodley</t>
        </is>
      </c>
      <c r="E1570" t="inlineStr">
        <is>
          <t>Dr. Doodley</t>
        </is>
      </c>
      <c r="F1570" s="17" t="n">
        <v>46058</v>
      </c>
      <c r="G1570" t="inlineStr">
        <is>
          <t>no report states where the company is based</t>
        </is>
      </c>
    </row>
    <row r="1571">
      <c r="A1571" t="inlineStr">
        <is>
          <t>C07</t>
        </is>
      </c>
      <c r="B1571" t="inlineStr">
        <is>
          <t>City unknown</t>
        </is>
      </c>
      <c r="C1571" t="inlineStr">
        <is>
          <t>info</t>
        </is>
      </c>
      <c r="D1571" t="inlineStr">
        <is>
          <t>R260205-eyerov</t>
        </is>
      </c>
      <c r="E1571" t="inlineStr">
        <is>
          <t>EyeROV</t>
        </is>
      </c>
      <c r="F1571" s="17" t="n">
        <v>46058</v>
      </c>
      <c r="G1571" t="inlineStr">
        <is>
          <t>no report states where the company is based</t>
        </is>
      </c>
    </row>
    <row r="1572">
      <c r="A1572" t="inlineStr">
        <is>
          <t>C07</t>
        </is>
      </c>
      <c r="B1572" t="inlineStr">
        <is>
          <t>City unknown</t>
        </is>
      </c>
      <c r="C1572" t="inlineStr">
        <is>
          <t>info</t>
        </is>
      </c>
      <c r="D1572" t="inlineStr">
        <is>
          <t>R260205-octobotics</t>
        </is>
      </c>
      <c r="E1572" t="inlineStr">
        <is>
          <t>Octobotics</t>
        </is>
      </c>
      <c r="F1572" s="17" t="n">
        <v>46058</v>
      </c>
      <c r="G1572" t="inlineStr">
        <is>
          <t>no report states where the company is based</t>
        </is>
      </c>
    </row>
    <row r="1573">
      <c r="A1573" t="inlineStr">
        <is>
          <t>C07</t>
        </is>
      </c>
      <c r="B1573" t="inlineStr">
        <is>
          <t>City unknown</t>
        </is>
      </c>
      <c r="C1573" t="inlineStr">
        <is>
          <t>info</t>
        </is>
      </c>
      <c r="D1573" t="inlineStr">
        <is>
          <t>R260206-em5</t>
        </is>
      </c>
      <c r="E1573" t="inlineStr">
        <is>
          <t>EM5</t>
        </is>
      </c>
      <c r="F1573" s="17" t="n">
        <v>46059</v>
      </c>
      <c r="G1573" t="inlineStr">
        <is>
          <t>no report states where the company is based</t>
        </is>
      </c>
    </row>
    <row r="1574">
      <c r="A1574" t="inlineStr">
        <is>
          <t>C07</t>
        </is>
      </c>
      <c r="B1574" t="inlineStr">
        <is>
          <t>City unknown</t>
        </is>
      </c>
      <c r="C1574" t="inlineStr">
        <is>
          <t>info</t>
        </is>
      </c>
      <c r="D1574" t="inlineStr">
        <is>
          <t>R260206-invogue</t>
        </is>
      </c>
      <c r="E1574" t="inlineStr">
        <is>
          <t>Invogue</t>
        </is>
      </c>
      <c r="F1574" s="17" t="n">
        <v>46059</v>
      </c>
      <c r="G1574" t="inlineStr">
        <is>
          <t>no report states where the company is based</t>
        </is>
      </c>
    </row>
    <row r="1575">
      <c r="A1575" t="inlineStr">
        <is>
          <t>C07</t>
        </is>
      </c>
      <c r="B1575" t="inlineStr">
        <is>
          <t>City unknown</t>
        </is>
      </c>
      <c r="C1575" t="inlineStr">
        <is>
          <t>info</t>
        </is>
      </c>
      <c r="D1575" t="inlineStr">
        <is>
          <t>R260209-aramyaparent</t>
        </is>
      </c>
      <c r="E1575" t="inlineStr">
        <is>
          <t>Aramya parent</t>
        </is>
      </c>
      <c r="F1575" s="17" t="n">
        <v>46062</v>
      </c>
      <c r="G1575" t="inlineStr">
        <is>
          <t>no report states where the company is based</t>
        </is>
      </c>
    </row>
    <row r="1576">
      <c r="A1576" t="inlineStr">
        <is>
          <t>C07</t>
        </is>
      </c>
      <c r="B1576" t="inlineStr">
        <is>
          <t>City unknown</t>
        </is>
      </c>
      <c r="C1576" t="inlineStr">
        <is>
          <t>info</t>
        </is>
      </c>
      <c r="D1576" t="inlineStr">
        <is>
          <t>R260209-pandorumtechno</t>
        </is>
      </c>
      <c r="E1576" t="inlineStr">
        <is>
          <t>Pandorum Technologies</t>
        </is>
      </c>
      <c r="F1576" s="17" t="n">
        <v>46062</v>
      </c>
      <c r="G1576" t="inlineStr">
        <is>
          <t>no report states where the company is based</t>
        </is>
      </c>
    </row>
    <row r="1577">
      <c r="A1577" t="inlineStr">
        <is>
          <t>C07</t>
        </is>
      </c>
      <c r="B1577" t="inlineStr">
        <is>
          <t>City unknown</t>
        </is>
      </c>
      <c r="C1577" t="inlineStr">
        <is>
          <t>info</t>
        </is>
      </c>
      <c r="D1577" t="inlineStr">
        <is>
          <t>R260209-preventify</t>
        </is>
      </c>
      <c r="E1577" t="inlineStr">
        <is>
          <t>Preventify</t>
        </is>
      </c>
      <c r="F1577" s="17" t="n">
        <v>46062</v>
      </c>
      <c r="G1577" t="inlineStr">
        <is>
          <t>no report states where the company is based</t>
        </is>
      </c>
    </row>
    <row r="1578">
      <c r="A1578" t="inlineStr">
        <is>
          <t>C07</t>
        </is>
      </c>
      <c r="B1578" t="inlineStr">
        <is>
          <t>City unknown</t>
        </is>
      </c>
      <c r="C1578" t="inlineStr">
        <is>
          <t>info</t>
        </is>
      </c>
      <c r="D1578" t="inlineStr">
        <is>
          <t>R260210-bennybowl</t>
        </is>
      </c>
      <c r="E1578" t="inlineStr">
        <is>
          <t>Benny’s Bowl</t>
        </is>
      </c>
      <c r="F1578" s="17" t="n">
        <v>46063</v>
      </c>
      <c r="G1578" t="inlineStr">
        <is>
          <t>no report states where the company is based</t>
        </is>
      </c>
    </row>
    <row r="1579">
      <c r="A1579" t="inlineStr">
        <is>
          <t>C07</t>
        </is>
      </c>
      <c r="B1579" t="inlineStr">
        <is>
          <t>City unknown</t>
        </is>
      </c>
      <c r="C1579" t="inlineStr">
        <is>
          <t>info</t>
        </is>
      </c>
      <c r="D1579" t="inlineStr">
        <is>
          <t>R260210-curapod</t>
        </is>
      </c>
      <c r="E1579" t="inlineStr">
        <is>
          <t>CURAPOD</t>
        </is>
      </c>
      <c r="F1579" s="17" t="n">
        <v>46063</v>
      </c>
      <c r="G1579" t="inlineStr">
        <is>
          <t>no report states where the company is based</t>
        </is>
      </c>
    </row>
    <row r="1580">
      <c r="A1580" t="inlineStr">
        <is>
          <t>C07</t>
        </is>
      </c>
      <c r="B1580" t="inlineStr">
        <is>
          <t>City unknown</t>
        </is>
      </c>
      <c r="C1580" t="inlineStr">
        <is>
          <t>info</t>
        </is>
      </c>
      <c r="D1580" t="inlineStr">
        <is>
          <t>R260210-ethera</t>
        </is>
      </c>
      <c r="E1580" t="inlineStr">
        <is>
          <t>Ethera</t>
        </is>
      </c>
      <c r="F1580" s="17" t="n">
        <v>46063</v>
      </c>
      <c r="G1580" t="inlineStr">
        <is>
          <t>no report states where the company is based</t>
        </is>
      </c>
    </row>
    <row r="1581">
      <c r="A1581" t="inlineStr">
        <is>
          <t>C07</t>
        </is>
      </c>
      <c r="B1581" t="inlineStr">
        <is>
          <t>City unknown</t>
        </is>
      </c>
      <c r="C1581" t="inlineStr">
        <is>
          <t>info</t>
        </is>
      </c>
      <c r="D1581" t="inlineStr">
        <is>
          <t>R260210-pandabox</t>
        </is>
      </c>
      <c r="E1581" t="inlineStr">
        <is>
          <t>Panda’s Box</t>
        </is>
      </c>
      <c r="F1581" s="17" t="n">
        <v>46063</v>
      </c>
      <c r="G1581" t="inlineStr">
        <is>
          <t>no report states where the company is based</t>
        </is>
      </c>
    </row>
    <row r="1582">
      <c r="A1582" t="inlineStr">
        <is>
          <t>C07</t>
        </is>
      </c>
      <c r="B1582" t="inlineStr">
        <is>
          <t>City unknown</t>
        </is>
      </c>
      <c r="C1582" t="inlineStr">
        <is>
          <t>info</t>
        </is>
      </c>
      <c r="D1582" t="inlineStr">
        <is>
          <t>R260210-simpleai</t>
        </is>
      </c>
      <c r="E1582" t="inlineStr">
        <is>
          <t>SimpleAI</t>
        </is>
      </c>
      <c r="F1582" s="17" t="n">
        <v>46063</v>
      </c>
      <c r="G1582" t="inlineStr">
        <is>
          <t>no report states where the company is based</t>
        </is>
      </c>
    </row>
    <row r="1583">
      <c r="A1583" t="inlineStr">
        <is>
          <t>C07</t>
        </is>
      </c>
      <c r="B1583" t="inlineStr">
        <is>
          <t>City unknown</t>
        </is>
      </c>
      <c r="C1583" t="inlineStr">
        <is>
          <t>info</t>
        </is>
      </c>
      <c r="D1583" t="inlineStr">
        <is>
          <t>R260211-articulussurgi</t>
        </is>
      </c>
      <c r="E1583" t="inlineStr">
        <is>
          <t>Articulus Surgical</t>
        </is>
      </c>
      <c r="F1583" s="17" t="n">
        <v>46064</v>
      </c>
      <c r="G1583" t="inlineStr">
        <is>
          <t>no report states where the company is based</t>
        </is>
      </c>
    </row>
    <row r="1584">
      <c r="A1584" t="inlineStr">
        <is>
          <t>C07</t>
        </is>
      </c>
      <c r="B1584" t="inlineStr">
        <is>
          <t>City unknown</t>
        </is>
      </c>
      <c r="C1584" t="inlineStr">
        <is>
          <t>info</t>
        </is>
      </c>
      <c r="D1584" t="inlineStr">
        <is>
          <t>R260211-bighaat</t>
        </is>
      </c>
      <c r="E1584" t="inlineStr">
        <is>
          <t>BigHaat</t>
        </is>
      </c>
      <c r="F1584" s="17" t="n">
        <v>46064</v>
      </c>
      <c r="G1584" t="inlineStr">
        <is>
          <t>no report states where the company is based</t>
        </is>
      </c>
    </row>
    <row r="1585">
      <c r="A1585" t="inlineStr">
        <is>
          <t>C07</t>
        </is>
      </c>
      <c r="B1585" t="inlineStr">
        <is>
          <t>City unknown</t>
        </is>
      </c>
      <c r="C1585" t="inlineStr">
        <is>
          <t>info</t>
        </is>
      </c>
      <c r="D1585" t="inlineStr">
        <is>
          <t>R260211-godesi</t>
        </is>
      </c>
      <c r="E1585" t="inlineStr">
        <is>
          <t>Go Desi</t>
        </is>
      </c>
      <c r="F1585" s="17" t="n">
        <v>46064</v>
      </c>
      <c r="G1585" t="inlineStr">
        <is>
          <t>no report states where the company is based</t>
        </is>
      </c>
    </row>
    <row r="1586">
      <c r="A1586" t="inlineStr">
        <is>
          <t>C07</t>
        </is>
      </c>
      <c r="B1586" t="inlineStr">
        <is>
          <t>City unknown</t>
        </is>
      </c>
      <c r="C1586" t="inlineStr">
        <is>
          <t>info</t>
        </is>
      </c>
      <c r="D1586" t="inlineStr">
        <is>
          <t>R260211-showroomb2b</t>
        </is>
      </c>
      <c r="E1586" t="inlineStr">
        <is>
          <t>Showroom B2B</t>
        </is>
      </c>
      <c r="F1586" s="17" t="n">
        <v>46064</v>
      </c>
      <c r="G1586" t="inlineStr">
        <is>
          <t>no report states where the company is based</t>
        </is>
      </c>
    </row>
    <row r="1587">
      <c r="A1587" t="inlineStr">
        <is>
          <t>C07</t>
        </is>
      </c>
      <c r="B1587" t="inlineStr">
        <is>
          <t>City unknown</t>
        </is>
      </c>
      <c r="C1587" t="inlineStr">
        <is>
          <t>info</t>
        </is>
      </c>
      <c r="D1587" t="inlineStr">
        <is>
          <t>R260211-thirdai</t>
        </is>
      </c>
      <c r="E1587" t="inlineStr">
        <is>
          <t>ThirdAI</t>
        </is>
      </c>
      <c r="F1587" s="17" t="n">
        <v>46064</v>
      </c>
      <c r="G1587" t="inlineStr">
        <is>
          <t>no report states where the company is based</t>
        </is>
      </c>
    </row>
    <row r="1588">
      <c r="A1588" t="inlineStr">
        <is>
          <t>C07</t>
        </is>
      </c>
      <c r="B1588" t="inlineStr">
        <is>
          <t>City unknown</t>
        </is>
      </c>
      <c r="C1588" t="inlineStr">
        <is>
          <t>info</t>
        </is>
      </c>
      <c r="D1588" t="inlineStr">
        <is>
          <t>R260212-dusq</t>
        </is>
      </c>
      <c r="E1588" t="inlineStr">
        <is>
          <t>DUSQ</t>
        </is>
      </c>
      <c r="F1588" s="17" t="n">
        <v>46065</v>
      </c>
      <c r="G1588" t="inlineStr">
        <is>
          <t>no report states where the company is based</t>
        </is>
      </c>
    </row>
    <row r="1589">
      <c r="A1589" t="inlineStr">
        <is>
          <t>C07</t>
        </is>
      </c>
      <c r="B1589" t="inlineStr">
        <is>
          <t>City unknown</t>
        </is>
      </c>
      <c r="C1589" t="inlineStr">
        <is>
          <t>info</t>
        </is>
      </c>
      <c r="D1589" t="inlineStr">
        <is>
          <t>R260212-heliware</t>
        </is>
      </c>
      <c r="E1589" t="inlineStr">
        <is>
          <t>Heliware</t>
        </is>
      </c>
      <c r="F1589" s="17" t="n">
        <v>46065</v>
      </c>
      <c r="G1589" t="inlineStr">
        <is>
          <t>no report states where the company is based</t>
        </is>
      </c>
    </row>
    <row r="1590">
      <c r="A1590" t="inlineStr">
        <is>
          <t>C07</t>
        </is>
      </c>
      <c r="B1590" t="inlineStr">
        <is>
          <t>City unknown</t>
        </is>
      </c>
      <c r="C1590" t="inlineStr">
        <is>
          <t>info</t>
        </is>
      </c>
      <c r="D1590" t="inlineStr">
        <is>
          <t>R260212-indigridtechno</t>
        </is>
      </c>
      <c r="E1590" t="inlineStr">
        <is>
          <t>Indigrid</t>
        </is>
      </c>
      <c r="F1590" s="17" t="n">
        <v>46065</v>
      </c>
      <c r="G1590" t="inlineStr">
        <is>
          <t>no report states where the company is based</t>
        </is>
      </c>
    </row>
    <row r="1591">
      <c r="A1591" t="inlineStr">
        <is>
          <t>C07</t>
        </is>
      </c>
      <c r="B1591" t="inlineStr">
        <is>
          <t>City unknown</t>
        </is>
      </c>
      <c r="C1591" t="inlineStr">
        <is>
          <t>info</t>
        </is>
      </c>
      <c r="D1591" t="inlineStr">
        <is>
          <t>R260212-ukhi</t>
        </is>
      </c>
      <c r="E1591" t="inlineStr">
        <is>
          <t>UKHI</t>
        </is>
      </c>
      <c r="F1591" s="17" t="n">
        <v>46065</v>
      </c>
      <c r="G1591" t="inlineStr">
        <is>
          <t>no report states where the company is based</t>
        </is>
      </c>
    </row>
    <row r="1592">
      <c r="A1592" t="inlineStr">
        <is>
          <t>C07</t>
        </is>
      </c>
      <c r="B1592" t="inlineStr">
        <is>
          <t>City unknown</t>
        </is>
      </c>
      <c r="C1592" t="inlineStr">
        <is>
          <t>info</t>
        </is>
      </c>
      <c r="D1592" t="inlineStr">
        <is>
          <t>R260213-etrnlenergy</t>
        </is>
      </c>
      <c r="E1592" t="inlineStr">
        <is>
          <t>e-TRNL Energy</t>
        </is>
      </c>
      <c r="F1592" s="17" t="n">
        <v>46066</v>
      </c>
      <c r="G1592" t="inlineStr">
        <is>
          <t>no report states where the company is based</t>
        </is>
      </c>
    </row>
    <row r="1593">
      <c r="A1593" t="inlineStr">
        <is>
          <t>C07</t>
        </is>
      </c>
      <c r="B1593" t="inlineStr">
        <is>
          <t>City unknown</t>
        </is>
      </c>
      <c r="C1593" t="inlineStr">
        <is>
          <t>info</t>
        </is>
      </c>
      <c r="D1593" t="inlineStr">
        <is>
          <t>R260213-everbrands</t>
        </is>
      </c>
      <c r="E1593" t="inlineStr">
        <is>
          <t>EverBrands</t>
        </is>
      </c>
      <c r="F1593" s="17" t="n">
        <v>46066</v>
      </c>
      <c r="G1593" t="inlineStr">
        <is>
          <t>no report states where the company is based</t>
        </is>
      </c>
    </row>
    <row r="1594">
      <c r="A1594" t="inlineStr">
        <is>
          <t>C07</t>
        </is>
      </c>
      <c r="B1594" t="inlineStr">
        <is>
          <t>City unknown</t>
        </is>
      </c>
      <c r="C1594" t="inlineStr">
        <is>
          <t>info</t>
        </is>
      </c>
      <c r="D1594" t="inlineStr">
        <is>
          <t>R260213-sixsensemobili</t>
        </is>
      </c>
      <c r="E1594" t="inlineStr">
        <is>
          <t>Six Sense Mobility</t>
        </is>
      </c>
      <c r="F1594" s="17" t="n">
        <v>46066</v>
      </c>
      <c r="G1594" t="inlineStr">
        <is>
          <t>no report states where the company is based</t>
        </is>
      </c>
    </row>
    <row r="1595">
      <c r="A1595" t="inlineStr">
        <is>
          <t>C07</t>
        </is>
      </c>
      <c r="B1595" t="inlineStr">
        <is>
          <t>City unknown</t>
        </is>
      </c>
      <c r="C1595" t="inlineStr">
        <is>
          <t>info</t>
        </is>
      </c>
      <c r="D1595" t="inlineStr">
        <is>
          <t>R260216-localhost</t>
        </is>
      </c>
      <c r="E1595" t="inlineStr">
        <is>
          <t>LocalHost</t>
        </is>
      </c>
      <c r="F1595" s="17" t="n">
        <v>46069</v>
      </c>
      <c r="G1595" t="inlineStr">
        <is>
          <t>no report states where the company is based</t>
        </is>
      </c>
    </row>
    <row r="1596">
      <c r="A1596" t="inlineStr">
        <is>
          <t>C07</t>
        </is>
      </c>
      <c r="B1596" t="inlineStr">
        <is>
          <t>City unknown</t>
        </is>
      </c>
      <c r="C1596" t="inlineStr">
        <is>
          <t>info</t>
        </is>
      </c>
      <c r="D1596" t="inlineStr">
        <is>
          <t>R260216-ottomoney</t>
        </is>
      </c>
      <c r="E1596" t="inlineStr">
        <is>
          <t>Otto Money</t>
        </is>
      </c>
      <c r="F1596" s="17" t="n">
        <v>46069</v>
      </c>
      <c r="G1596" t="inlineStr">
        <is>
          <t>no report states where the company is based</t>
        </is>
      </c>
    </row>
    <row r="1597">
      <c r="A1597" t="inlineStr">
        <is>
          <t>C07</t>
        </is>
      </c>
      <c r="B1597" t="inlineStr">
        <is>
          <t>City unknown</t>
        </is>
      </c>
      <c r="C1597" t="inlineStr">
        <is>
          <t>info</t>
        </is>
      </c>
      <c r="D1597" t="inlineStr">
        <is>
          <t>R260217-intrinsicfound</t>
        </is>
      </c>
      <c r="E1597" t="inlineStr">
        <is>
          <t>Intrinsic Foundries</t>
        </is>
      </c>
      <c r="F1597" s="17" t="n">
        <v>46070</v>
      </c>
      <c r="G1597" t="inlineStr">
        <is>
          <t>no report states where the company is based</t>
        </is>
      </c>
    </row>
    <row r="1598">
      <c r="A1598" t="inlineStr">
        <is>
          <t>C07</t>
        </is>
      </c>
      <c r="B1598" t="inlineStr">
        <is>
          <t>City unknown</t>
        </is>
      </c>
      <c r="C1598" t="inlineStr">
        <is>
          <t>info</t>
        </is>
      </c>
      <c r="D1598" t="inlineStr">
        <is>
          <t>R260218-artociti</t>
        </is>
      </c>
      <c r="E1598" t="inlineStr">
        <is>
          <t>Artociti</t>
        </is>
      </c>
      <c r="F1598" s="17" t="n">
        <v>46071</v>
      </c>
      <c r="G1598" t="inlineStr">
        <is>
          <t>no report states where the company is based</t>
        </is>
      </c>
    </row>
    <row r="1599">
      <c r="A1599" t="inlineStr">
        <is>
          <t>C07</t>
        </is>
      </c>
      <c r="B1599" t="inlineStr">
        <is>
          <t>City unknown</t>
        </is>
      </c>
      <c r="C1599" t="inlineStr">
        <is>
          <t>info</t>
        </is>
      </c>
      <c r="D1599" t="inlineStr">
        <is>
          <t>R260218-statiq</t>
        </is>
      </c>
      <c r="E1599" t="inlineStr">
        <is>
          <t>Statiq</t>
        </is>
      </c>
      <c r="F1599" s="17" t="n">
        <v>46071</v>
      </c>
      <c r="G1599" t="inlineStr">
        <is>
          <t>no report states where the company is based</t>
        </is>
      </c>
    </row>
    <row r="1600">
      <c r="A1600" t="inlineStr">
        <is>
          <t>C07</t>
        </is>
      </c>
      <c r="B1600" t="inlineStr">
        <is>
          <t>City unknown</t>
        </is>
      </c>
      <c r="C1600" t="inlineStr">
        <is>
          <t>info</t>
        </is>
      </c>
      <c r="D1600" t="inlineStr">
        <is>
          <t>R260219-portkey</t>
        </is>
      </c>
      <c r="E1600" t="inlineStr">
        <is>
          <t>Portkey</t>
        </is>
      </c>
      <c r="F1600" s="17" t="n">
        <v>46072</v>
      </c>
      <c r="G1600" t="inlineStr">
        <is>
          <t>no report states where the company is based</t>
        </is>
      </c>
    </row>
    <row r="1601">
      <c r="A1601" t="inlineStr">
        <is>
          <t>C07</t>
        </is>
      </c>
      <c r="B1601" t="inlineStr">
        <is>
          <t>City unknown</t>
        </is>
      </c>
      <c r="C1601" t="inlineStr">
        <is>
          <t>info</t>
        </is>
      </c>
      <c r="D1601" t="inlineStr">
        <is>
          <t>R260220-coreshieldtech</t>
        </is>
      </c>
      <c r="E1601" t="inlineStr">
        <is>
          <t>CoreShield Technologies</t>
        </is>
      </c>
      <c r="F1601" s="17" t="n">
        <v>46073</v>
      </c>
      <c r="G1601" t="inlineStr">
        <is>
          <t>no report states where the company is based</t>
        </is>
      </c>
    </row>
    <row r="1602">
      <c r="A1602" t="inlineStr">
        <is>
          <t>C07</t>
        </is>
      </c>
      <c r="B1602" t="inlineStr">
        <is>
          <t>City unknown</t>
        </is>
      </c>
      <c r="C1602" t="inlineStr">
        <is>
          <t>info</t>
        </is>
      </c>
      <c r="D1602" t="inlineStr">
        <is>
          <t>R260220-myelinfoundry</t>
        </is>
      </c>
      <c r="E1602" t="inlineStr">
        <is>
          <t>Myelin Foundry</t>
        </is>
      </c>
      <c r="F1602" s="17" t="n">
        <v>46073</v>
      </c>
      <c r="G1602" t="inlineStr">
        <is>
          <t>no report states where the company is based</t>
        </is>
      </c>
    </row>
    <row r="1603">
      <c r="A1603" t="inlineStr">
        <is>
          <t>C07</t>
        </is>
      </c>
      <c r="B1603" t="inlineStr">
        <is>
          <t>City unknown</t>
        </is>
      </c>
      <c r="C1603" t="inlineStr">
        <is>
          <t>info</t>
        </is>
      </c>
      <c r="D1603" t="inlineStr">
        <is>
          <t>R260220-roopya</t>
        </is>
      </c>
      <c r="E1603" t="inlineStr">
        <is>
          <t>Roopya</t>
        </is>
      </c>
      <c r="F1603" s="17" t="n">
        <v>46073</v>
      </c>
      <c r="G1603" t="inlineStr">
        <is>
          <t>no report states where the company is based</t>
        </is>
      </c>
    </row>
    <row r="1604">
      <c r="A1604" t="inlineStr">
        <is>
          <t>C07</t>
        </is>
      </c>
      <c r="B1604" t="inlineStr">
        <is>
          <t>City unknown</t>
        </is>
      </c>
      <c r="C1604" t="inlineStr">
        <is>
          <t>info</t>
        </is>
      </c>
      <c r="D1604" t="inlineStr">
        <is>
          <t>R260223-datoms</t>
        </is>
      </c>
      <c r="E1604" t="inlineStr">
        <is>
          <t>DATOMS</t>
        </is>
      </c>
      <c r="F1604" s="17" t="n">
        <v>46076</v>
      </c>
      <c r="G1604" t="inlineStr">
        <is>
          <t>no report states where the company is based</t>
        </is>
      </c>
    </row>
    <row r="1605">
      <c r="A1605" t="inlineStr">
        <is>
          <t>C07</t>
        </is>
      </c>
      <c r="B1605" t="inlineStr">
        <is>
          <t>City unknown</t>
        </is>
      </c>
      <c r="C1605" t="inlineStr">
        <is>
          <t>info</t>
        </is>
      </c>
      <c r="D1605" t="inlineStr">
        <is>
          <t>R260223-mojro</t>
        </is>
      </c>
      <c r="E1605" t="inlineStr">
        <is>
          <t>Mojro</t>
        </is>
      </c>
      <c r="F1605" s="17" t="n">
        <v>46076</v>
      </c>
      <c r="G1605" t="inlineStr">
        <is>
          <t>no report states where the company is based</t>
        </is>
      </c>
    </row>
    <row r="1606">
      <c r="A1606" t="inlineStr">
        <is>
          <t>C07</t>
        </is>
      </c>
      <c r="B1606" t="inlineStr">
        <is>
          <t>City unknown</t>
        </is>
      </c>
      <c r="C1606" t="inlineStr">
        <is>
          <t>info</t>
        </is>
      </c>
      <c r="D1606" t="inlineStr">
        <is>
          <t>R260224-basil</t>
        </is>
      </c>
      <c r="E1606" t="inlineStr">
        <is>
          <t>Basil</t>
        </is>
      </c>
      <c r="F1606" s="17" t="n">
        <v>46077</v>
      </c>
      <c r="G1606" t="inlineStr">
        <is>
          <t>no report states where the company is based</t>
        </is>
      </c>
    </row>
    <row r="1607">
      <c r="A1607" t="inlineStr">
        <is>
          <t>C07</t>
        </is>
      </c>
      <c r="B1607" t="inlineStr">
        <is>
          <t>City unknown</t>
        </is>
      </c>
      <c r="C1607" t="inlineStr">
        <is>
          <t>info</t>
        </is>
      </c>
      <c r="D1607" t="inlineStr">
        <is>
          <t>R260224-optoml</t>
        </is>
      </c>
      <c r="E1607" t="inlineStr">
        <is>
          <t>optoML</t>
        </is>
      </c>
      <c r="F1607" s="17" t="n">
        <v>46077</v>
      </c>
      <c r="G1607" t="inlineStr">
        <is>
          <t>no report states where the company is based</t>
        </is>
      </c>
    </row>
    <row r="1608">
      <c r="A1608" t="inlineStr">
        <is>
          <t>C07</t>
        </is>
      </c>
      <c r="B1608" t="inlineStr">
        <is>
          <t>City unknown</t>
        </is>
      </c>
      <c r="C1608" t="inlineStr">
        <is>
          <t>info</t>
        </is>
      </c>
      <c r="D1608" t="inlineStr">
        <is>
          <t>R260224-zeromoblt</t>
        </is>
      </c>
      <c r="E1608" t="inlineStr">
        <is>
          <t>ZeroMoblt</t>
        </is>
      </c>
      <c r="F1608" s="17" t="n">
        <v>46077</v>
      </c>
      <c r="G1608" t="inlineStr">
        <is>
          <t>no report states where the company is based</t>
        </is>
      </c>
    </row>
    <row r="1609">
      <c r="A1609" t="inlineStr">
        <is>
          <t>C07</t>
        </is>
      </c>
      <c r="B1609" t="inlineStr">
        <is>
          <t>City unknown</t>
        </is>
      </c>
      <c r="C1609" t="inlineStr">
        <is>
          <t>info</t>
        </is>
      </c>
      <c r="D1609" t="inlineStr">
        <is>
          <t>R260225-gutclinic</t>
        </is>
      </c>
      <c r="E1609" t="inlineStr">
        <is>
          <t>Gut Clinic</t>
        </is>
      </c>
      <c r="F1609" s="17" t="n">
        <v>46078</v>
      </c>
      <c r="G1609" t="inlineStr">
        <is>
          <t>no report states where the company is based</t>
        </is>
      </c>
    </row>
    <row r="1610">
      <c r="A1610" t="inlineStr">
        <is>
          <t>C07</t>
        </is>
      </c>
      <c r="B1610" t="inlineStr">
        <is>
          <t>City unknown</t>
        </is>
      </c>
      <c r="C1610" t="inlineStr">
        <is>
          <t>info</t>
        </is>
      </c>
      <c r="D1610" t="inlineStr">
        <is>
          <t>R260225-s2dev</t>
        </is>
      </c>
      <c r="E1610" t="inlineStr">
        <is>
          <t>S2.dev</t>
        </is>
      </c>
      <c r="F1610" s="17" t="n">
        <v>46078</v>
      </c>
      <c r="G1610" t="inlineStr">
        <is>
          <t>no report states where the company is based</t>
        </is>
      </c>
    </row>
    <row r="1611">
      <c r="A1611" t="inlineStr">
        <is>
          <t>C07</t>
        </is>
      </c>
      <c r="B1611" t="inlineStr">
        <is>
          <t>City unknown</t>
        </is>
      </c>
      <c r="C1611" t="inlineStr">
        <is>
          <t>info</t>
        </is>
      </c>
      <c r="D1611" t="inlineStr">
        <is>
          <t>R260225-tattvamai</t>
        </is>
      </c>
      <c r="E1611" t="inlineStr">
        <is>
          <t>Tattvam AI</t>
        </is>
      </c>
      <c r="F1611" s="17" t="n">
        <v>46078</v>
      </c>
      <c r="G1611" t="inlineStr">
        <is>
          <t>no report states where the company is based</t>
        </is>
      </c>
    </row>
    <row r="1612">
      <c r="A1612" t="inlineStr">
        <is>
          <t>C07</t>
        </is>
      </c>
      <c r="B1612" t="inlineStr">
        <is>
          <t>City unknown</t>
        </is>
      </c>
      <c r="C1612" t="inlineStr">
        <is>
          <t>info</t>
        </is>
      </c>
      <c r="D1612" t="inlineStr">
        <is>
          <t>R260226-meltplan</t>
        </is>
      </c>
      <c r="E1612" t="inlineStr">
        <is>
          <t>MeltPlan</t>
        </is>
      </c>
      <c r="F1612" s="17" t="n">
        <v>46079</v>
      </c>
      <c r="G1612" t="inlineStr">
        <is>
          <t>no report states where the company is based</t>
        </is>
      </c>
    </row>
    <row r="1613">
      <c r="A1613" t="inlineStr">
        <is>
          <t>C07</t>
        </is>
      </c>
      <c r="B1613" t="inlineStr">
        <is>
          <t>City unknown</t>
        </is>
      </c>
      <c r="C1613" t="inlineStr">
        <is>
          <t>info</t>
        </is>
      </c>
      <c r="D1613" t="inlineStr">
        <is>
          <t>R260226-nailinit</t>
        </is>
      </c>
      <c r="E1613" t="inlineStr">
        <is>
          <t>Nailinit</t>
        </is>
      </c>
      <c r="F1613" s="17" t="n">
        <v>46079</v>
      </c>
      <c r="G1613" t="inlineStr">
        <is>
          <t>no report states where the company is based</t>
        </is>
      </c>
    </row>
    <row r="1614">
      <c r="A1614" t="inlineStr">
        <is>
          <t>C07</t>
        </is>
      </c>
      <c r="B1614" t="inlineStr">
        <is>
          <t>City unknown</t>
        </is>
      </c>
      <c r="C1614" t="inlineStr">
        <is>
          <t>info</t>
        </is>
      </c>
      <c r="D1614" t="inlineStr">
        <is>
          <t>R260226-prayaancapital</t>
        </is>
      </c>
      <c r="E1614" t="inlineStr">
        <is>
          <t>Prayaan Capital</t>
        </is>
      </c>
      <c r="F1614" s="17" t="n">
        <v>46079</v>
      </c>
      <c r="G1614" t="inlineStr">
        <is>
          <t>no report states where the company is based</t>
        </is>
      </c>
    </row>
    <row r="1615">
      <c r="A1615" t="inlineStr">
        <is>
          <t>C07</t>
        </is>
      </c>
      <c r="B1615" t="inlineStr">
        <is>
          <t>City unknown</t>
        </is>
      </c>
      <c r="C1615" t="inlineStr">
        <is>
          <t>info</t>
        </is>
      </c>
      <c r="D1615" t="inlineStr">
        <is>
          <t>R260227-origa</t>
        </is>
      </c>
      <c r="E1615" t="inlineStr">
        <is>
          <t>Origa</t>
        </is>
      </c>
      <c r="F1615" s="17" t="n">
        <v>46080</v>
      </c>
      <c r="G1615" t="inlineStr">
        <is>
          <t>no report states where the company is based</t>
        </is>
      </c>
    </row>
    <row r="1616">
      <c r="A1616" t="inlineStr">
        <is>
          <t>C07</t>
        </is>
      </c>
      <c r="B1616" t="inlineStr">
        <is>
          <t>City unknown</t>
        </is>
      </c>
      <c r="C1616" t="inlineStr">
        <is>
          <t>info</t>
        </is>
      </c>
      <c r="D1616" t="inlineStr">
        <is>
          <t>R260227-temple</t>
        </is>
      </c>
      <c r="E1616" t="inlineStr">
        <is>
          <t>Temple</t>
        </is>
      </c>
      <c r="F1616" s="17" t="n">
        <v>46080</v>
      </c>
      <c r="G1616" t="inlineStr">
        <is>
          <t>no report states where the company is based</t>
        </is>
      </c>
    </row>
    <row r="1617">
      <c r="A1617" t="inlineStr">
        <is>
          <t>C07</t>
        </is>
      </c>
      <c r="B1617" t="inlineStr">
        <is>
          <t>City unknown</t>
        </is>
      </c>
      <c r="C1617" t="inlineStr">
        <is>
          <t>info</t>
        </is>
      </c>
      <c r="D1617" t="inlineStr">
        <is>
          <t>R260228-innoviti</t>
        </is>
      </c>
      <c r="E1617" t="inlineStr">
        <is>
          <t>Innoviti</t>
        </is>
      </c>
      <c r="F1617" s="17" t="n">
        <v>46081</v>
      </c>
      <c r="G1617" t="inlineStr">
        <is>
          <t>no report states where the company is based</t>
        </is>
      </c>
    </row>
    <row r="1618">
      <c r="A1618" t="inlineStr">
        <is>
          <t>C07</t>
        </is>
      </c>
      <c r="B1618" t="inlineStr">
        <is>
          <t>City unknown</t>
        </is>
      </c>
      <c r="C1618" t="inlineStr">
        <is>
          <t>info</t>
        </is>
      </c>
      <c r="D1618" t="inlineStr">
        <is>
          <t>R260302-bounce</t>
        </is>
      </c>
      <c r="E1618" t="inlineStr">
        <is>
          <t>Bounce</t>
        </is>
      </c>
      <c r="F1618" s="17" t="n">
        <v>46083</v>
      </c>
      <c r="G1618" t="inlineStr">
        <is>
          <t>no report states where the company is based</t>
        </is>
      </c>
    </row>
    <row r="1619">
      <c r="A1619" t="inlineStr">
        <is>
          <t>C07</t>
        </is>
      </c>
      <c r="B1619" t="inlineStr">
        <is>
          <t>City unknown</t>
        </is>
      </c>
      <c r="C1619" t="inlineStr">
        <is>
          <t>info</t>
        </is>
      </c>
      <c r="D1619" t="inlineStr">
        <is>
          <t>R260302-turiyamai</t>
        </is>
      </c>
      <c r="E1619" t="inlineStr">
        <is>
          <t>Turiyam.ai</t>
        </is>
      </c>
      <c r="F1619" s="17" t="n">
        <v>46083</v>
      </c>
      <c r="G1619" t="inlineStr">
        <is>
          <t>no report states where the company is based</t>
        </is>
      </c>
    </row>
    <row r="1620">
      <c r="A1620" t="inlineStr">
        <is>
          <t>C07</t>
        </is>
      </c>
      <c r="B1620" t="inlineStr">
        <is>
          <t>City unknown</t>
        </is>
      </c>
      <c r="C1620" t="inlineStr">
        <is>
          <t>info</t>
        </is>
      </c>
      <c r="D1620" t="inlineStr">
        <is>
          <t>R260303-pronto</t>
        </is>
      </c>
      <c r="E1620" t="inlineStr">
        <is>
          <t>Pronto</t>
        </is>
      </c>
      <c r="F1620" s="17" t="n">
        <v>46084</v>
      </c>
      <c r="G1620" t="inlineStr">
        <is>
          <t>no report states where the company is based</t>
        </is>
      </c>
    </row>
    <row r="1621">
      <c r="A1621" t="inlineStr">
        <is>
          <t>C07</t>
        </is>
      </c>
      <c r="B1621" t="inlineStr">
        <is>
          <t>City unknown</t>
        </is>
      </c>
      <c r="C1621" t="inlineStr">
        <is>
          <t>info</t>
        </is>
      </c>
      <c r="D1621" t="inlineStr">
        <is>
          <t>R260304-moneyboxxfinan</t>
        </is>
      </c>
      <c r="E1621" t="inlineStr">
        <is>
          <t>Moneyboxx Finance</t>
        </is>
      </c>
      <c r="F1621" s="17" t="n">
        <v>46085</v>
      </c>
      <c r="G1621" t="inlineStr">
        <is>
          <t>no report states where the company is based</t>
        </is>
      </c>
    </row>
    <row r="1622">
      <c r="A1622" t="inlineStr">
        <is>
          <t>C07</t>
        </is>
      </c>
      <c r="B1622" t="inlineStr">
        <is>
          <t>City unknown</t>
        </is>
      </c>
      <c r="C1622" t="inlineStr">
        <is>
          <t>info</t>
        </is>
      </c>
      <c r="D1622" t="inlineStr">
        <is>
          <t>R260305-cheerioai</t>
        </is>
      </c>
      <c r="E1622" t="inlineStr">
        <is>
          <t>Cheerio</t>
        </is>
      </c>
      <c r="F1622" s="17" t="n">
        <v>46086</v>
      </c>
      <c r="G1622" t="inlineStr">
        <is>
          <t>no report states where the company is based</t>
        </is>
      </c>
    </row>
    <row r="1623">
      <c r="A1623" t="inlineStr">
        <is>
          <t>C07</t>
        </is>
      </c>
      <c r="B1623" t="inlineStr">
        <is>
          <t>City unknown</t>
        </is>
      </c>
      <c r="C1623" t="inlineStr">
        <is>
          <t>info</t>
        </is>
      </c>
      <c r="D1623" t="inlineStr">
        <is>
          <t>R260305-peping</t>
        </is>
      </c>
      <c r="E1623" t="inlineStr">
        <is>
          <t>Peping</t>
        </is>
      </c>
      <c r="F1623" s="17" t="n">
        <v>46086</v>
      </c>
      <c r="G1623" t="inlineStr">
        <is>
          <t>no report states where the company is based</t>
        </is>
      </c>
    </row>
    <row r="1624">
      <c r="A1624" t="inlineStr">
        <is>
          <t>C07</t>
        </is>
      </c>
      <c r="B1624" t="inlineStr">
        <is>
          <t>City unknown</t>
        </is>
      </c>
      <c r="C1624" t="inlineStr">
        <is>
          <t>info</t>
        </is>
      </c>
      <c r="D1624" t="inlineStr">
        <is>
          <t>R260305-trudoc</t>
        </is>
      </c>
      <c r="E1624" t="inlineStr">
        <is>
          <t>TruDoc</t>
        </is>
      </c>
      <c r="F1624" s="17" t="n">
        <v>46086</v>
      </c>
      <c r="G1624" t="inlineStr">
        <is>
          <t>no report states where the company is based</t>
        </is>
      </c>
    </row>
    <row r="1625">
      <c r="A1625" t="inlineStr">
        <is>
          <t>C07</t>
        </is>
      </c>
      <c r="B1625" t="inlineStr">
        <is>
          <t>City unknown</t>
        </is>
      </c>
      <c r="C1625" t="inlineStr">
        <is>
          <t>info</t>
        </is>
      </c>
      <c r="D1625" t="inlineStr">
        <is>
          <t>R260306-rozana</t>
        </is>
      </c>
      <c r="E1625" t="inlineStr">
        <is>
          <t>Rozana</t>
        </is>
      </c>
      <c r="F1625" s="17" t="n">
        <v>46087</v>
      </c>
      <c r="G1625" t="inlineStr">
        <is>
          <t>no report states where the company is based</t>
        </is>
      </c>
    </row>
    <row r="1626">
      <c r="A1626" t="inlineStr">
        <is>
          <t>C07</t>
        </is>
      </c>
      <c r="B1626" t="inlineStr">
        <is>
          <t>City unknown</t>
        </is>
      </c>
      <c r="C1626" t="inlineStr">
        <is>
          <t>info</t>
        </is>
      </c>
      <c r="D1626" t="inlineStr">
        <is>
          <t>R260309-latentai</t>
        </is>
      </c>
      <c r="E1626" t="inlineStr">
        <is>
          <t>Latent AI</t>
        </is>
      </c>
      <c r="F1626" s="17" t="n">
        <v>46090</v>
      </c>
      <c r="G1626" t="inlineStr">
        <is>
          <t>no report states where the company is based</t>
        </is>
      </c>
    </row>
    <row r="1627">
      <c r="A1627" t="inlineStr">
        <is>
          <t>C07</t>
        </is>
      </c>
      <c r="B1627" t="inlineStr">
        <is>
          <t>City unknown</t>
        </is>
      </c>
      <c r="C1627" t="inlineStr">
        <is>
          <t>info</t>
        </is>
      </c>
      <c r="D1627" t="inlineStr">
        <is>
          <t>R260309-strideone</t>
        </is>
      </c>
      <c r="E1627" t="inlineStr">
        <is>
          <t>StrideOne</t>
        </is>
      </c>
      <c r="F1627" s="17" t="n">
        <v>46090</v>
      </c>
      <c r="G1627" t="inlineStr">
        <is>
          <t>no report states where the company is based</t>
        </is>
      </c>
    </row>
    <row r="1628">
      <c r="A1628" t="inlineStr">
        <is>
          <t>C07</t>
        </is>
      </c>
      <c r="B1628" t="inlineStr">
        <is>
          <t>City unknown</t>
        </is>
      </c>
      <c r="C1628" t="inlineStr">
        <is>
          <t>info</t>
        </is>
      </c>
      <c r="D1628" t="inlineStr">
        <is>
          <t>R260310-zofffoods</t>
        </is>
      </c>
      <c r="E1628" t="inlineStr">
        <is>
          <t>Zoff Foods</t>
        </is>
      </c>
      <c r="F1628" s="17" t="n">
        <v>46090</v>
      </c>
      <c r="G1628" t="inlineStr">
        <is>
          <t>no report states where the company is based</t>
        </is>
      </c>
    </row>
    <row r="1629">
      <c r="A1629" t="inlineStr">
        <is>
          <t>C07</t>
        </is>
      </c>
      <c r="B1629" t="inlineStr">
        <is>
          <t>City unknown</t>
        </is>
      </c>
      <c r="C1629" t="inlineStr">
        <is>
          <t>info</t>
        </is>
      </c>
      <c r="D1629" t="inlineStr">
        <is>
          <t>R260310-aquaexchange</t>
        </is>
      </c>
      <c r="E1629" t="inlineStr">
        <is>
          <t>AquaExchange</t>
        </is>
      </c>
      <c r="F1629" s="17" t="n">
        <v>46091</v>
      </c>
      <c r="G1629" t="inlineStr">
        <is>
          <t>no report states where the company is based</t>
        </is>
      </c>
    </row>
    <row r="1630">
      <c r="A1630" t="inlineStr">
        <is>
          <t>C07</t>
        </is>
      </c>
      <c r="B1630" t="inlineStr">
        <is>
          <t>City unknown</t>
        </is>
      </c>
      <c r="C1630" t="inlineStr">
        <is>
          <t>info</t>
        </is>
      </c>
      <c r="D1630" t="inlineStr">
        <is>
          <t>R260310-coreworksai</t>
        </is>
      </c>
      <c r="E1630" t="inlineStr">
        <is>
          <t>Coreworks AI</t>
        </is>
      </c>
      <c r="F1630" s="17" t="n">
        <v>46091</v>
      </c>
      <c r="G1630" t="inlineStr">
        <is>
          <t>no report states where the company is based</t>
        </is>
      </c>
    </row>
    <row r="1631">
      <c r="A1631" t="inlineStr">
        <is>
          <t>C07</t>
        </is>
      </c>
      <c r="B1631" t="inlineStr">
        <is>
          <t>City unknown</t>
        </is>
      </c>
      <c r="C1631" t="inlineStr">
        <is>
          <t>info</t>
        </is>
      </c>
      <c r="D1631" t="inlineStr">
        <is>
          <t>R260310-mozark</t>
        </is>
      </c>
      <c r="E1631" t="inlineStr">
        <is>
          <t>Mozark</t>
        </is>
      </c>
      <c r="F1631" s="17" t="n">
        <v>46091</v>
      </c>
      <c r="G1631" t="inlineStr">
        <is>
          <t>no report states where the company is based</t>
        </is>
      </c>
    </row>
    <row r="1632">
      <c r="A1632" t="inlineStr">
        <is>
          <t>C07</t>
        </is>
      </c>
      <c r="B1632" t="inlineStr">
        <is>
          <t>City unknown</t>
        </is>
      </c>
      <c r="C1632" t="inlineStr">
        <is>
          <t>info</t>
        </is>
      </c>
      <c r="D1632" t="inlineStr">
        <is>
          <t>R260310-newtrace</t>
        </is>
      </c>
      <c r="E1632" t="inlineStr">
        <is>
          <t>Newtrace</t>
        </is>
      </c>
      <c r="F1632" s="17" t="n">
        <v>46091</v>
      </c>
      <c r="G1632" t="inlineStr">
        <is>
          <t>no report states where the company is based</t>
        </is>
      </c>
    </row>
    <row r="1633">
      <c r="A1633" t="inlineStr">
        <is>
          <t>C07</t>
        </is>
      </c>
      <c r="B1633" t="inlineStr">
        <is>
          <t>City unknown</t>
        </is>
      </c>
      <c r="C1633" t="inlineStr">
        <is>
          <t>info</t>
        </is>
      </c>
      <c r="D1633" t="inlineStr">
        <is>
          <t>R260310-skyeair</t>
        </is>
      </c>
      <c r="E1633" t="inlineStr">
        <is>
          <t>Skye Air</t>
        </is>
      </c>
      <c r="F1633" s="17" t="n">
        <v>46091</v>
      </c>
      <c r="G1633" t="inlineStr">
        <is>
          <t>no report states where the company is based</t>
        </is>
      </c>
    </row>
    <row r="1634">
      <c r="A1634" t="inlineStr">
        <is>
          <t>C07</t>
        </is>
      </c>
      <c r="B1634" t="inlineStr">
        <is>
          <t>City unknown</t>
        </is>
      </c>
      <c r="C1634" t="inlineStr">
        <is>
          <t>info</t>
        </is>
      </c>
      <c r="D1634" t="inlineStr">
        <is>
          <t>R260310-verdantimpact</t>
        </is>
      </c>
      <c r="E1634" t="inlineStr">
        <is>
          <t>Verdant Impact</t>
        </is>
      </c>
      <c r="F1634" s="17" t="n">
        <v>46091</v>
      </c>
      <c r="G1634" t="inlineStr">
        <is>
          <t>no report states where the company is based</t>
        </is>
      </c>
    </row>
    <row r="1635">
      <c r="A1635" t="inlineStr">
        <is>
          <t>C07</t>
        </is>
      </c>
      <c r="B1635" t="inlineStr">
        <is>
          <t>City unknown</t>
        </is>
      </c>
      <c r="C1635" t="inlineStr">
        <is>
          <t>info</t>
        </is>
      </c>
      <c r="D1635" t="inlineStr">
        <is>
          <t>R260312-mosaicwellness</t>
        </is>
      </c>
      <c r="E1635" t="inlineStr">
        <is>
          <t>Mosiac Wellness</t>
        </is>
      </c>
      <c r="F1635" s="17" t="n">
        <v>46091</v>
      </c>
      <c r="G1635" t="inlineStr">
        <is>
          <t>no report states where the company is based</t>
        </is>
      </c>
    </row>
    <row r="1636">
      <c r="A1636" t="inlineStr">
        <is>
          <t>C07</t>
        </is>
      </c>
      <c r="B1636" t="inlineStr">
        <is>
          <t>City unknown</t>
        </is>
      </c>
      <c r="C1636" t="inlineStr">
        <is>
          <t>info</t>
        </is>
      </c>
      <c r="D1636" t="inlineStr">
        <is>
          <t>R260311-adititoys</t>
        </is>
      </c>
      <c r="E1636" t="inlineStr">
        <is>
          <t>Aditi Toys</t>
        </is>
      </c>
      <c r="F1636" s="17" t="n">
        <v>46092</v>
      </c>
      <c r="G1636" t="inlineStr">
        <is>
          <t>no report states where the company is based</t>
        </is>
      </c>
    </row>
    <row r="1637">
      <c r="A1637" t="inlineStr">
        <is>
          <t>C07</t>
        </is>
      </c>
      <c r="B1637" t="inlineStr">
        <is>
          <t>City unknown</t>
        </is>
      </c>
      <c r="C1637" t="inlineStr">
        <is>
          <t>info</t>
        </is>
      </c>
      <c r="D1637" t="inlineStr">
        <is>
          <t>R260311-bonkerscorner</t>
        </is>
      </c>
      <c r="E1637" t="inlineStr">
        <is>
          <t>Bonkers Corner</t>
        </is>
      </c>
      <c r="F1637" s="17" t="n">
        <v>46092</v>
      </c>
      <c r="G1637" t="inlineStr">
        <is>
          <t>no report states where the company is based</t>
        </is>
      </c>
    </row>
    <row r="1638">
      <c r="A1638" t="inlineStr">
        <is>
          <t>C07</t>
        </is>
      </c>
      <c r="B1638" t="inlineStr">
        <is>
          <t>City unknown</t>
        </is>
      </c>
      <c r="C1638" t="inlineStr">
        <is>
          <t>info</t>
        </is>
      </c>
      <c r="D1638" t="inlineStr">
        <is>
          <t>R260311-opencfo</t>
        </is>
      </c>
      <c r="E1638" t="inlineStr">
        <is>
          <t>OpenCFO</t>
        </is>
      </c>
      <c r="F1638" s="17" t="n">
        <v>46092</v>
      </c>
      <c r="G1638" t="inlineStr">
        <is>
          <t>no report states where the company is based</t>
        </is>
      </c>
    </row>
    <row r="1639">
      <c r="A1639" t="inlineStr">
        <is>
          <t>C07</t>
        </is>
      </c>
      <c r="B1639" t="inlineStr">
        <is>
          <t>City unknown</t>
        </is>
      </c>
      <c r="C1639" t="inlineStr">
        <is>
          <t>info</t>
        </is>
      </c>
      <c r="D1639" t="inlineStr">
        <is>
          <t>R260311-upandrun</t>
        </is>
      </c>
      <c r="E1639" t="inlineStr">
        <is>
          <t>UP&amp;RUN</t>
        </is>
      </c>
      <c r="F1639" s="17" t="n">
        <v>46092</v>
      </c>
      <c r="G1639" t="inlineStr">
        <is>
          <t>no report states where the company is based</t>
        </is>
      </c>
    </row>
    <row r="1640">
      <c r="A1640" t="inlineStr">
        <is>
          <t>C07</t>
        </is>
      </c>
      <c r="B1640" t="inlineStr">
        <is>
          <t>City unknown</t>
        </is>
      </c>
      <c r="C1640" t="inlineStr">
        <is>
          <t>info</t>
        </is>
      </c>
      <c r="D1640" t="inlineStr">
        <is>
          <t>R260312-galaxeye</t>
        </is>
      </c>
      <c r="E1640" t="inlineStr">
        <is>
          <t>GalaxEye</t>
        </is>
      </c>
      <c r="F1640" s="17" t="n">
        <v>46093</v>
      </c>
      <c r="G1640" t="inlineStr">
        <is>
          <t>no report states where the company is based</t>
        </is>
      </c>
    </row>
    <row r="1641">
      <c r="A1641" t="inlineStr">
        <is>
          <t>C07</t>
        </is>
      </c>
      <c r="B1641" t="inlineStr">
        <is>
          <t>City unknown</t>
        </is>
      </c>
      <c r="C1641" t="inlineStr">
        <is>
          <t>info</t>
        </is>
      </c>
      <c r="D1641" t="inlineStr">
        <is>
          <t>R260316-atlys</t>
        </is>
      </c>
      <c r="E1641" t="inlineStr">
        <is>
          <t>Atlys</t>
        </is>
      </c>
      <c r="F1641" s="17" t="n">
        <v>46097</v>
      </c>
      <c r="G1641" t="inlineStr">
        <is>
          <t>no report states where the company is based</t>
        </is>
      </c>
    </row>
    <row r="1642">
      <c r="A1642" t="inlineStr">
        <is>
          <t>C07</t>
        </is>
      </c>
      <c r="B1642" t="inlineStr">
        <is>
          <t>City unknown</t>
        </is>
      </c>
      <c r="C1642" t="inlineStr">
        <is>
          <t>info</t>
        </is>
      </c>
      <c r="D1642" t="inlineStr">
        <is>
          <t>R260316-grapevine</t>
        </is>
      </c>
      <c r="E1642" t="inlineStr">
        <is>
          <t>Grapevine</t>
        </is>
      </c>
      <c r="F1642" s="17" t="n">
        <v>46097</v>
      </c>
      <c r="G1642" t="inlineStr">
        <is>
          <t>no report states where the company is based</t>
        </is>
      </c>
    </row>
    <row r="1643">
      <c r="A1643" t="inlineStr">
        <is>
          <t>C07</t>
        </is>
      </c>
      <c r="B1643" t="inlineStr">
        <is>
          <t>City unknown</t>
        </is>
      </c>
      <c r="C1643" t="inlineStr">
        <is>
          <t>info</t>
        </is>
      </c>
      <c r="D1643" t="inlineStr">
        <is>
          <t>R260317-bamboobox</t>
        </is>
      </c>
      <c r="E1643" t="inlineStr">
        <is>
          <t>BambooBox</t>
        </is>
      </c>
      <c r="F1643" s="17" t="n">
        <v>46098</v>
      </c>
      <c r="G1643" t="inlineStr">
        <is>
          <t>no report states where the company is based</t>
        </is>
      </c>
    </row>
    <row r="1644">
      <c r="A1644" t="inlineStr">
        <is>
          <t>C07</t>
        </is>
      </c>
      <c r="B1644" t="inlineStr">
        <is>
          <t>City unknown</t>
        </is>
      </c>
      <c r="C1644" t="inlineStr">
        <is>
          <t>info</t>
        </is>
      </c>
      <c r="D1644" t="inlineStr">
        <is>
          <t>R260317-igdefence</t>
        </is>
      </c>
      <c r="E1644" t="inlineStr">
        <is>
          <t>IG Defence</t>
        </is>
      </c>
      <c r="F1644" s="17" t="n">
        <v>46098</v>
      </c>
      <c r="G1644" t="inlineStr">
        <is>
          <t>no report states where the company is based</t>
        </is>
      </c>
    </row>
    <row r="1645">
      <c r="A1645" t="inlineStr">
        <is>
          <t>C07</t>
        </is>
      </c>
      <c r="B1645" t="inlineStr">
        <is>
          <t>City unknown</t>
        </is>
      </c>
      <c r="C1645" t="inlineStr">
        <is>
          <t>info</t>
        </is>
      </c>
      <c r="D1645" t="inlineStr">
        <is>
          <t>R260317-moepuppy</t>
        </is>
      </c>
      <c r="E1645" t="inlineStr">
        <is>
          <t>Moe Puppy</t>
        </is>
      </c>
      <c r="F1645" s="17" t="n">
        <v>46098</v>
      </c>
      <c r="G1645" t="inlineStr">
        <is>
          <t>no report states where the company is based</t>
        </is>
      </c>
    </row>
    <row r="1646">
      <c r="A1646" t="inlineStr">
        <is>
          <t>C07</t>
        </is>
      </c>
      <c r="B1646" t="inlineStr">
        <is>
          <t>City unknown</t>
        </is>
      </c>
      <c r="C1646" t="inlineStr">
        <is>
          <t>info</t>
        </is>
      </c>
      <c r="D1646" t="inlineStr">
        <is>
          <t>R260318-burgersingh</t>
        </is>
      </c>
      <c r="E1646" t="inlineStr">
        <is>
          <t>Burger Singh</t>
        </is>
      </c>
      <c r="F1646" s="17" t="n">
        <v>46099</v>
      </c>
      <c r="G1646" t="inlineStr">
        <is>
          <t>no report states where the company is based</t>
        </is>
      </c>
    </row>
    <row r="1647">
      <c r="A1647" t="inlineStr">
        <is>
          <t>C07</t>
        </is>
      </c>
      <c r="B1647" t="inlineStr">
        <is>
          <t>City unknown</t>
        </is>
      </c>
      <c r="C1647" t="inlineStr">
        <is>
          <t>info</t>
        </is>
      </c>
      <c r="D1647" t="inlineStr">
        <is>
          <t>R260318-cometchat</t>
        </is>
      </c>
      <c r="E1647" t="inlineStr">
        <is>
          <t>CometChat</t>
        </is>
      </c>
      <c r="F1647" s="17" t="n">
        <v>46099</v>
      </c>
      <c r="G1647" t="inlineStr">
        <is>
          <t>no report states where the company is based</t>
        </is>
      </c>
    </row>
    <row r="1648">
      <c r="A1648" t="inlineStr">
        <is>
          <t>C07</t>
        </is>
      </c>
      <c r="B1648" t="inlineStr">
        <is>
          <t>City unknown</t>
        </is>
      </c>
      <c r="C1648" t="inlineStr">
        <is>
          <t>info</t>
        </is>
      </c>
      <c r="D1648" t="inlineStr">
        <is>
          <t>R260318-laani</t>
        </is>
      </c>
      <c r="E1648" t="inlineStr">
        <is>
          <t>Laani</t>
        </is>
      </c>
      <c r="F1648" s="17" t="n">
        <v>46099</v>
      </c>
      <c r="G1648" t="inlineStr">
        <is>
          <t>no report states where the company is based</t>
        </is>
      </c>
    </row>
    <row r="1649">
      <c r="A1649" t="inlineStr">
        <is>
          <t>C07</t>
        </is>
      </c>
      <c r="B1649" t="inlineStr">
        <is>
          <t>City unknown</t>
        </is>
      </c>
      <c r="C1649" t="inlineStr">
        <is>
          <t>info</t>
        </is>
      </c>
      <c r="D1649" t="inlineStr">
        <is>
          <t>R260319-assiduus</t>
        </is>
      </c>
      <c r="E1649" t="inlineStr">
        <is>
          <t>Assiduus</t>
        </is>
      </c>
      <c r="F1649" s="17" t="n">
        <v>46100</v>
      </c>
      <c r="G1649" t="inlineStr">
        <is>
          <t>no report states where the company is based</t>
        </is>
      </c>
    </row>
    <row r="1650">
      <c r="A1650" t="inlineStr">
        <is>
          <t>C07</t>
        </is>
      </c>
      <c r="B1650" t="inlineStr">
        <is>
          <t>City unknown</t>
        </is>
      </c>
      <c r="C1650" t="inlineStr">
        <is>
          <t>info</t>
        </is>
      </c>
      <c r="D1650" t="inlineStr">
        <is>
          <t>R260319-mavehealth</t>
        </is>
      </c>
      <c r="E1650" t="inlineStr">
        <is>
          <t>Mave Health</t>
        </is>
      </c>
      <c r="F1650" s="17" t="n">
        <v>46100</v>
      </c>
      <c r="G1650" t="inlineStr">
        <is>
          <t>no report states where the company is based</t>
        </is>
      </c>
    </row>
    <row r="1651">
      <c r="A1651" t="inlineStr">
        <is>
          <t>C07</t>
        </is>
      </c>
      <c r="B1651" t="inlineStr">
        <is>
          <t>City unknown</t>
        </is>
      </c>
      <c r="C1651" t="inlineStr">
        <is>
          <t>info</t>
        </is>
      </c>
      <c r="D1651" t="inlineStr">
        <is>
          <t>R260323-raanro</t>
        </is>
      </c>
      <c r="E1651" t="inlineStr">
        <is>
          <t>Raanro Interior Technology</t>
        </is>
      </c>
      <c r="F1651" s="17" t="n">
        <v>46104</v>
      </c>
      <c r="G1651" t="inlineStr">
        <is>
          <t>no report states where the company is based</t>
        </is>
      </c>
    </row>
    <row r="1652">
      <c r="A1652" t="inlineStr">
        <is>
          <t>C07</t>
        </is>
      </c>
      <c r="B1652" t="inlineStr">
        <is>
          <t>City unknown</t>
        </is>
      </c>
      <c r="C1652" t="inlineStr">
        <is>
          <t>info</t>
        </is>
      </c>
      <c r="D1652" t="inlineStr">
        <is>
          <t>R260324-curefit</t>
        </is>
      </c>
      <c r="E1652" t="inlineStr">
        <is>
          <t>CureFit</t>
        </is>
      </c>
      <c r="F1652" s="17" t="n">
        <v>46105</v>
      </c>
      <c r="G1652" t="inlineStr">
        <is>
          <t>no report states where the company is based</t>
        </is>
      </c>
    </row>
    <row r="1653">
      <c r="A1653" t="inlineStr">
        <is>
          <t>C07</t>
        </is>
      </c>
      <c r="B1653" t="inlineStr">
        <is>
          <t>City unknown</t>
        </is>
      </c>
      <c r="C1653" t="inlineStr">
        <is>
          <t>info</t>
        </is>
      </c>
      <c r="D1653" t="inlineStr">
        <is>
          <t>R260324-curiouscatsai</t>
        </is>
      </c>
      <c r="E1653" t="inlineStr">
        <is>
          <t>CuriousCats.ai</t>
        </is>
      </c>
      <c r="F1653" s="17" t="n">
        <v>46105</v>
      </c>
      <c r="G1653" t="inlineStr">
        <is>
          <t>no report states where the company is based</t>
        </is>
      </c>
    </row>
    <row r="1654">
      <c r="A1654" t="inlineStr">
        <is>
          <t>C07</t>
        </is>
      </c>
      <c r="B1654" t="inlineStr">
        <is>
          <t>City unknown</t>
        </is>
      </c>
      <c r="C1654" t="inlineStr">
        <is>
          <t>info</t>
        </is>
      </c>
      <c r="D1654" t="inlineStr">
        <is>
          <t>R260324-metafin</t>
        </is>
      </c>
      <c r="E1654" t="inlineStr">
        <is>
          <t>Metafin</t>
        </is>
      </c>
      <c r="F1654" s="17" t="n">
        <v>46105</v>
      </c>
      <c r="G1654" t="inlineStr">
        <is>
          <t>no report states where the company is based</t>
        </is>
      </c>
    </row>
    <row r="1655">
      <c r="A1655" t="inlineStr">
        <is>
          <t>C07</t>
        </is>
      </c>
      <c r="B1655" t="inlineStr">
        <is>
          <t>City unknown</t>
        </is>
      </c>
      <c r="C1655" t="inlineStr">
        <is>
          <t>info</t>
        </is>
      </c>
      <c r="D1655" t="inlineStr">
        <is>
          <t>R260324-rnkids</t>
        </is>
      </c>
      <c r="E1655" t="inlineStr">
        <is>
          <t>RN Kids</t>
        </is>
      </c>
      <c r="F1655" s="17" t="n">
        <v>46105</v>
      </c>
      <c r="G1655" t="inlineStr">
        <is>
          <t>no report states where the company is based</t>
        </is>
      </c>
    </row>
    <row r="1656">
      <c r="A1656" t="inlineStr">
        <is>
          <t>C07</t>
        </is>
      </c>
      <c r="B1656" t="inlineStr">
        <is>
          <t>City unknown</t>
        </is>
      </c>
      <c r="C1656" t="inlineStr">
        <is>
          <t>info</t>
        </is>
      </c>
      <c r="D1656" t="inlineStr">
        <is>
          <t>R260325-burmaburma</t>
        </is>
      </c>
      <c r="E1656" t="inlineStr">
        <is>
          <t>Burma Burma</t>
        </is>
      </c>
      <c r="F1656" s="17" t="n">
        <v>46106</v>
      </c>
      <c r="G1656" t="inlineStr">
        <is>
          <t>no report states where the company is based</t>
        </is>
      </c>
    </row>
    <row r="1657">
      <c r="A1657" t="inlineStr">
        <is>
          <t>C07</t>
        </is>
      </c>
      <c r="B1657" t="inlineStr">
        <is>
          <t>City unknown</t>
        </is>
      </c>
      <c r="C1657" t="inlineStr">
        <is>
          <t>info</t>
        </is>
      </c>
      <c r="D1657" t="inlineStr">
        <is>
          <t>R260325-noveltywealth</t>
        </is>
      </c>
      <c r="E1657" t="inlineStr">
        <is>
          <t>Novelty Wealth</t>
        </is>
      </c>
      <c r="F1657" s="17" t="n">
        <v>46106</v>
      </c>
      <c r="G1657" t="inlineStr">
        <is>
          <t>no report states where the company is based</t>
        </is>
      </c>
    </row>
    <row r="1658">
      <c r="A1658" t="inlineStr">
        <is>
          <t>C07</t>
        </is>
      </c>
      <c r="B1658" t="inlineStr">
        <is>
          <t>City unknown</t>
        </is>
      </c>
      <c r="C1658" t="inlineStr">
        <is>
          <t>info</t>
        </is>
      </c>
      <c r="D1658" t="inlineStr">
        <is>
          <t>R260325-proxgy</t>
        </is>
      </c>
      <c r="E1658" t="inlineStr">
        <is>
          <t>Proxgy</t>
        </is>
      </c>
      <c r="F1658" s="17" t="n">
        <v>46106</v>
      </c>
      <c r="G1658" t="inlineStr">
        <is>
          <t>no report states where the company is based</t>
        </is>
      </c>
    </row>
    <row r="1659">
      <c r="A1659" t="inlineStr">
        <is>
          <t>C07</t>
        </is>
      </c>
      <c r="B1659" t="inlineStr">
        <is>
          <t>City unknown</t>
        </is>
      </c>
      <c r="C1659" t="inlineStr">
        <is>
          <t>info</t>
        </is>
      </c>
      <c r="D1659" t="inlineStr">
        <is>
          <t>R260325-threadfactory</t>
        </is>
      </c>
      <c r="E1659" t="inlineStr">
        <is>
          <t>Thread Factory</t>
        </is>
      </c>
      <c r="F1659" s="17" t="n">
        <v>46106</v>
      </c>
      <c r="G1659" t="inlineStr">
        <is>
          <t>no report states where the company is based</t>
        </is>
      </c>
    </row>
    <row r="1660">
      <c r="A1660" t="inlineStr">
        <is>
          <t>C07</t>
        </is>
      </c>
      <c r="B1660" t="inlineStr">
        <is>
          <t>City unknown</t>
        </is>
      </c>
      <c r="C1660" t="inlineStr">
        <is>
          <t>info</t>
        </is>
      </c>
      <c r="D1660" t="inlineStr">
        <is>
          <t>R260326-deccanai</t>
        </is>
      </c>
      <c r="E1660" t="inlineStr">
        <is>
          <t>Deccan AI</t>
        </is>
      </c>
      <c r="F1660" s="17" t="n">
        <v>46107</v>
      </c>
      <c r="G1660" t="inlineStr">
        <is>
          <t>no report states where the company is based</t>
        </is>
      </c>
    </row>
    <row r="1661">
      <c r="A1661" t="inlineStr">
        <is>
          <t>C07</t>
        </is>
      </c>
      <c r="B1661" t="inlineStr">
        <is>
          <t>City unknown</t>
        </is>
      </c>
      <c r="C1661" t="inlineStr">
        <is>
          <t>info</t>
        </is>
      </c>
      <c r="D1661" t="inlineStr">
        <is>
          <t>R260326-pluminsurance</t>
        </is>
      </c>
      <c r="E1661" t="inlineStr">
        <is>
          <t>Plum</t>
        </is>
      </c>
      <c r="F1661" s="17" t="n">
        <v>46107</v>
      </c>
      <c r="G1661" t="inlineStr">
        <is>
          <t>no report states where the company is based</t>
        </is>
      </c>
    </row>
    <row r="1662">
      <c r="A1662" t="inlineStr">
        <is>
          <t>C07</t>
        </is>
      </c>
      <c r="B1662" t="inlineStr">
        <is>
          <t>City unknown</t>
        </is>
      </c>
      <c r="C1662" t="inlineStr">
        <is>
          <t>info</t>
        </is>
      </c>
      <c r="D1662" t="inlineStr">
        <is>
          <t>R260326-qweebi</t>
        </is>
      </c>
      <c r="E1662" t="inlineStr">
        <is>
          <t>Qweebi</t>
        </is>
      </c>
      <c r="F1662" s="17" t="n">
        <v>46107</v>
      </c>
      <c r="G1662" t="inlineStr">
        <is>
          <t>no report states where the company is based</t>
        </is>
      </c>
    </row>
    <row r="1663">
      <c r="A1663" t="inlineStr">
        <is>
          <t>C07</t>
        </is>
      </c>
      <c r="B1663" t="inlineStr">
        <is>
          <t>City unknown</t>
        </is>
      </c>
      <c r="C1663" t="inlineStr">
        <is>
          <t>info</t>
        </is>
      </c>
      <c r="D1663" t="inlineStr">
        <is>
          <t>R260330-bacancysystems</t>
        </is>
      </c>
      <c r="E1663" t="inlineStr">
        <is>
          <t>Bacancy System</t>
        </is>
      </c>
      <c r="F1663" s="17" t="n">
        <v>46111</v>
      </c>
      <c r="G1663" t="inlineStr">
        <is>
          <t>no report states where the company is based</t>
        </is>
      </c>
    </row>
    <row r="1664">
      <c r="A1664" t="inlineStr">
        <is>
          <t>C07</t>
        </is>
      </c>
      <c r="B1664" t="inlineStr">
        <is>
          <t>City unknown</t>
        </is>
      </c>
      <c r="C1664" t="inlineStr">
        <is>
          <t>info</t>
        </is>
      </c>
      <c r="D1664" t="inlineStr">
        <is>
          <t>R260330-kuku</t>
        </is>
      </c>
      <c r="E1664" t="inlineStr">
        <is>
          <t>Kuku</t>
        </is>
      </c>
      <c r="F1664" s="17" t="n">
        <v>46111</v>
      </c>
      <c r="G1664" t="inlineStr">
        <is>
          <t>no report states where the company is based</t>
        </is>
      </c>
    </row>
    <row r="1665">
      <c r="A1665" t="inlineStr">
        <is>
          <t>C07</t>
        </is>
      </c>
      <c r="B1665" t="inlineStr">
        <is>
          <t>City unknown</t>
        </is>
      </c>
      <c r="C1665" t="inlineStr">
        <is>
          <t>info</t>
        </is>
      </c>
      <c r="D1665" t="inlineStr">
        <is>
          <t>R260330-sign3</t>
        </is>
      </c>
      <c r="E1665" t="inlineStr">
        <is>
          <t>Sign3</t>
        </is>
      </c>
      <c r="F1665" s="17" t="n">
        <v>46111</v>
      </c>
      <c r="G1665" t="inlineStr">
        <is>
          <t>no report states where the company is based</t>
        </is>
      </c>
    </row>
    <row r="1666">
      <c r="A1666" t="inlineStr">
        <is>
          <t>C07</t>
        </is>
      </c>
      <c r="B1666" t="inlineStr">
        <is>
          <t>City unknown</t>
        </is>
      </c>
      <c r="C1666" t="inlineStr">
        <is>
          <t>info</t>
        </is>
      </c>
      <c r="D1666" t="inlineStr">
        <is>
          <t>R260330-skillsvest</t>
        </is>
      </c>
      <c r="E1666" t="inlineStr">
        <is>
          <t>Skillsvest</t>
        </is>
      </c>
      <c r="F1666" s="17" t="n">
        <v>46111</v>
      </c>
      <c r="G1666" t="inlineStr">
        <is>
          <t>no report states where the company is based</t>
        </is>
      </c>
    </row>
    <row r="1667">
      <c r="A1667" t="inlineStr">
        <is>
          <t>C07</t>
        </is>
      </c>
      <c r="B1667" t="inlineStr">
        <is>
          <t>City unknown</t>
        </is>
      </c>
      <c r="C1667" t="inlineStr">
        <is>
          <t>info</t>
        </is>
      </c>
      <c r="D1667" t="inlineStr">
        <is>
          <t>R260331-bachatt</t>
        </is>
      </c>
      <c r="E1667" t="inlineStr">
        <is>
          <t>Bachatt</t>
        </is>
      </c>
      <c r="F1667" s="17" t="n">
        <v>46112</v>
      </c>
      <c r="G1667" t="inlineStr">
        <is>
          <t>no report states where the company is based</t>
        </is>
      </c>
    </row>
    <row r="1668">
      <c r="A1668" t="inlineStr">
        <is>
          <t>C07</t>
        </is>
      </c>
      <c r="B1668" t="inlineStr">
        <is>
          <t>City unknown</t>
        </is>
      </c>
      <c r="C1668" t="inlineStr">
        <is>
          <t>info</t>
        </is>
      </c>
      <c r="D1668" t="inlineStr">
        <is>
          <t>R260401-cygnienergy</t>
        </is>
      </c>
      <c r="E1668" t="inlineStr">
        <is>
          <t>Cygni Energy</t>
        </is>
      </c>
      <c r="F1668" s="17" t="n">
        <v>46113</v>
      </c>
      <c r="G1668" t="inlineStr">
        <is>
          <t>no report states where the company is based</t>
        </is>
      </c>
    </row>
    <row r="1669">
      <c r="A1669" t="inlineStr">
        <is>
          <t>C07</t>
        </is>
      </c>
      <c r="B1669" t="inlineStr">
        <is>
          <t>City unknown</t>
        </is>
      </c>
      <c r="C1669" t="inlineStr">
        <is>
          <t>info</t>
        </is>
      </c>
      <c r="D1669" t="inlineStr">
        <is>
          <t>R260401-intercosmos</t>
        </is>
      </c>
      <c r="E1669" t="inlineStr">
        <is>
          <t>InterCosmos</t>
        </is>
      </c>
      <c r="F1669" s="17" t="n">
        <v>46113</v>
      </c>
      <c r="G1669" t="inlineStr">
        <is>
          <t>no report states where the company is based</t>
        </is>
      </c>
    </row>
    <row r="1670">
      <c r="A1670" t="inlineStr">
        <is>
          <t>C07</t>
        </is>
      </c>
      <c r="B1670" t="inlineStr">
        <is>
          <t>City unknown</t>
        </is>
      </c>
      <c r="C1670" t="inlineStr">
        <is>
          <t>info</t>
        </is>
      </c>
      <c r="D1670" t="inlineStr">
        <is>
          <t>R260401-nowpurchase</t>
        </is>
      </c>
      <c r="E1670" t="inlineStr">
        <is>
          <t>NowPurchase</t>
        </is>
      </c>
      <c r="F1670" s="17" t="n">
        <v>46113</v>
      </c>
      <c r="G1670" t="inlineStr">
        <is>
          <t>no report states where the company is based</t>
        </is>
      </c>
    </row>
    <row r="1671">
      <c r="A1671" t="inlineStr">
        <is>
          <t>C07</t>
        </is>
      </c>
      <c r="B1671" t="inlineStr">
        <is>
          <t>City unknown</t>
        </is>
      </c>
      <c r="C1671" t="inlineStr">
        <is>
          <t>info</t>
        </is>
      </c>
      <c r="D1671" t="inlineStr">
        <is>
          <t>R260401-palmonas</t>
        </is>
      </c>
      <c r="E1671" t="inlineStr">
        <is>
          <t>Palmonas</t>
        </is>
      </c>
      <c r="F1671" s="17" t="n">
        <v>46113</v>
      </c>
      <c r="G1671" t="inlineStr">
        <is>
          <t>no report states where the company is based</t>
        </is>
      </c>
    </row>
    <row r="1672">
      <c r="A1672" t="inlineStr">
        <is>
          <t>C07</t>
        </is>
      </c>
      <c r="B1672" t="inlineStr">
        <is>
          <t>City unknown</t>
        </is>
      </c>
      <c r="C1672" t="inlineStr">
        <is>
          <t>info</t>
        </is>
      </c>
      <c r="D1672" t="inlineStr">
        <is>
          <t>R260401-tendercuts</t>
        </is>
      </c>
      <c r="E1672" t="inlineStr">
        <is>
          <t>TenderCuts</t>
        </is>
      </c>
      <c r="F1672" s="17" t="n">
        <v>46113</v>
      </c>
      <c r="G1672" t="inlineStr">
        <is>
          <t>no report states where the company is based</t>
        </is>
      </c>
    </row>
    <row r="1673">
      <c r="A1673" t="inlineStr">
        <is>
          <t>C07</t>
        </is>
      </c>
      <c r="B1673" t="inlineStr">
        <is>
          <t>City unknown</t>
        </is>
      </c>
      <c r="C1673" t="inlineStr">
        <is>
          <t>info</t>
        </is>
      </c>
      <c r="D1673" t="inlineStr">
        <is>
          <t>R260402-gabify</t>
        </is>
      </c>
      <c r="E1673" t="inlineStr">
        <is>
          <t>Gabify</t>
        </is>
      </c>
      <c r="F1673" s="17" t="n">
        <v>46114</v>
      </c>
      <c r="G1673" t="inlineStr">
        <is>
          <t>no report states where the company is based</t>
        </is>
      </c>
    </row>
    <row r="1674">
      <c r="A1674" t="inlineStr">
        <is>
          <t>C07</t>
        </is>
      </c>
      <c r="B1674" t="inlineStr">
        <is>
          <t>City unknown</t>
        </is>
      </c>
      <c r="C1674" t="inlineStr">
        <is>
          <t>info</t>
        </is>
      </c>
      <c r="D1674" t="inlineStr">
        <is>
          <t>R260402-navanc</t>
        </is>
      </c>
      <c r="E1674" t="inlineStr">
        <is>
          <t>Navanc</t>
        </is>
      </c>
      <c r="F1674" s="17" t="n">
        <v>46114</v>
      </c>
      <c r="G1674" t="inlineStr">
        <is>
          <t>no report states where the company is based</t>
        </is>
      </c>
    </row>
    <row r="1675">
      <c r="A1675" t="inlineStr">
        <is>
          <t>C07</t>
        </is>
      </c>
      <c r="B1675" t="inlineStr">
        <is>
          <t>City unknown</t>
        </is>
      </c>
      <c r="C1675" t="inlineStr">
        <is>
          <t>info</t>
        </is>
      </c>
      <c r="D1675" t="inlineStr">
        <is>
          <t>R260403-noon</t>
        </is>
      </c>
      <c r="E1675" t="inlineStr">
        <is>
          <t>Noon</t>
        </is>
      </c>
      <c r="F1675" s="17" t="n">
        <v>46115</v>
      </c>
      <c r="G1675" t="inlineStr">
        <is>
          <t>no report states where the company is based</t>
        </is>
      </c>
    </row>
    <row r="1676">
      <c r="A1676" t="inlineStr">
        <is>
          <t>C07</t>
        </is>
      </c>
      <c r="B1676" t="inlineStr">
        <is>
          <t>City unknown</t>
        </is>
      </c>
      <c r="C1676" t="inlineStr">
        <is>
          <t>info</t>
        </is>
      </c>
      <c r="D1676" t="inlineStr">
        <is>
          <t>R260407-cozyfarms</t>
        </is>
      </c>
      <c r="E1676" t="inlineStr">
        <is>
          <t>Cozy Farms</t>
        </is>
      </c>
      <c r="F1676" s="17" t="n">
        <v>46119</v>
      </c>
      <c r="G1676" t="inlineStr">
        <is>
          <t>no report states where the company is based</t>
        </is>
      </c>
    </row>
    <row r="1677">
      <c r="A1677" t="inlineStr">
        <is>
          <t>C07</t>
        </is>
      </c>
      <c r="B1677" t="inlineStr">
        <is>
          <t>City unknown</t>
        </is>
      </c>
      <c r="C1677" t="inlineStr">
        <is>
          <t>info</t>
        </is>
      </c>
      <c r="D1677" t="inlineStr">
        <is>
          <t>R260407-ecoil</t>
        </is>
      </c>
      <c r="E1677" t="inlineStr">
        <is>
          <t>Ecoil</t>
        </is>
      </c>
      <c r="F1677" s="17" t="n">
        <v>46119</v>
      </c>
      <c r="G1677" t="inlineStr">
        <is>
          <t>no report states where the company is based</t>
        </is>
      </c>
    </row>
    <row r="1678">
      <c r="A1678" t="inlineStr">
        <is>
          <t>C07</t>
        </is>
      </c>
      <c r="B1678" t="inlineStr">
        <is>
          <t>City unknown</t>
        </is>
      </c>
      <c r="C1678" t="inlineStr">
        <is>
          <t>info</t>
        </is>
      </c>
      <c r="D1678" t="inlineStr">
        <is>
          <t>R260407-filliandme</t>
        </is>
      </c>
      <c r="E1678" t="inlineStr">
        <is>
          <t>Filli &amp; Me</t>
        </is>
      </c>
      <c r="F1678" s="17" t="n">
        <v>46119</v>
      </c>
      <c r="G1678" t="inlineStr">
        <is>
          <t>no report states where the company is based</t>
        </is>
      </c>
    </row>
    <row r="1679">
      <c r="A1679" t="inlineStr">
        <is>
          <t>C07</t>
        </is>
      </c>
      <c r="B1679" t="inlineStr">
        <is>
          <t>City unknown</t>
        </is>
      </c>
      <c r="C1679" t="inlineStr">
        <is>
          <t>info</t>
        </is>
      </c>
      <c r="D1679" t="inlineStr">
        <is>
          <t>R260407-glaas</t>
        </is>
      </c>
      <c r="E1679" t="inlineStr">
        <is>
          <t>GLAAS</t>
        </is>
      </c>
      <c r="F1679" s="17" t="n">
        <v>46119</v>
      </c>
      <c r="G1679" t="inlineStr">
        <is>
          <t>no report states where the company is based</t>
        </is>
      </c>
    </row>
    <row r="1680">
      <c r="A1680" t="inlineStr">
        <is>
          <t>C07</t>
        </is>
      </c>
      <c r="B1680" t="inlineStr">
        <is>
          <t>City unknown</t>
        </is>
      </c>
      <c r="C1680" t="inlineStr">
        <is>
          <t>info</t>
        </is>
      </c>
      <c r="D1680" t="inlineStr">
        <is>
          <t>R260407-offbeat</t>
        </is>
      </c>
      <c r="E1680" t="inlineStr">
        <is>
          <t>OFF/BEAT</t>
        </is>
      </c>
      <c r="F1680" s="17" t="n">
        <v>46119</v>
      </c>
      <c r="G1680" t="inlineStr">
        <is>
          <t>no report states where the company is based</t>
        </is>
      </c>
    </row>
    <row r="1681">
      <c r="A1681" t="inlineStr">
        <is>
          <t>C07</t>
        </is>
      </c>
      <c r="B1681" t="inlineStr">
        <is>
          <t>City unknown</t>
        </is>
      </c>
      <c r="C1681" t="inlineStr">
        <is>
          <t>info</t>
        </is>
      </c>
      <c r="D1681" t="inlineStr">
        <is>
          <t>R260408-angoorai</t>
        </is>
      </c>
      <c r="E1681" t="inlineStr">
        <is>
          <t>Angoor AI</t>
        </is>
      </c>
      <c r="F1681" s="17" t="n">
        <v>46120</v>
      </c>
      <c r="G1681" t="inlineStr">
        <is>
          <t>no report states where the company is based</t>
        </is>
      </c>
    </row>
    <row r="1682">
      <c r="A1682" t="inlineStr">
        <is>
          <t>C07</t>
        </is>
      </c>
      <c r="B1682" t="inlineStr">
        <is>
          <t>City unknown</t>
        </is>
      </c>
      <c r="C1682" t="inlineStr">
        <is>
          <t>info</t>
        </is>
      </c>
      <c r="D1682" t="inlineStr">
        <is>
          <t>R260408-tsecondai</t>
        </is>
      </c>
      <c r="E1682" t="inlineStr">
        <is>
          <t>Tsecond.ai</t>
        </is>
      </c>
      <c r="F1682" s="17" t="n">
        <v>46120</v>
      </c>
      <c r="G1682" t="inlineStr">
        <is>
          <t>no report states where the company is based</t>
        </is>
      </c>
    </row>
    <row r="1683">
      <c r="A1683" t="inlineStr">
        <is>
          <t>C07</t>
        </is>
      </c>
      <c r="B1683" t="inlineStr">
        <is>
          <t>City unknown</t>
        </is>
      </c>
      <c r="C1683" t="inlineStr">
        <is>
          <t>info</t>
        </is>
      </c>
      <c r="D1683" t="inlineStr">
        <is>
          <t>R260409-daakit</t>
        </is>
      </c>
      <c r="E1683" t="inlineStr">
        <is>
          <t>DAAKit</t>
        </is>
      </c>
      <c r="F1683" s="17" t="n">
        <v>46121</v>
      </c>
      <c r="G1683" t="inlineStr">
        <is>
          <t>no report states where the company is based</t>
        </is>
      </c>
    </row>
    <row r="1684">
      <c r="A1684" t="inlineStr">
        <is>
          <t>C07</t>
        </is>
      </c>
      <c r="B1684" t="inlineStr">
        <is>
          <t>City unknown</t>
        </is>
      </c>
      <c r="C1684" t="inlineStr">
        <is>
          <t>info</t>
        </is>
      </c>
      <c r="D1684" t="inlineStr">
        <is>
          <t>R260409-nava</t>
        </is>
      </c>
      <c r="E1684" t="inlineStr">
        <is>
          <t>Nava</t>
        </is>
      </c>
      <c r="F1684" s="17" t="n">
        <v>46121</v>
      </c>
      <c r="G1684" t="inlineStr">
        <is>
          <t>no report states where the company is based</t>
        </is>
      </c>
    </row>
    <row r="1685">
      <c r="A1685" t="inlineStr">
        <is>
          <t>C07</t>
        </is>
      </c>
      <c r="B1685" t="inlineStr">
        <is>
          <t>City unknown</t>
        </is>
      </c>
      <c r="C1685" t="inlineStr">
        <is>
          <t>info</t>
        </is>
      </c>
      <c r="D1685" t="inlineStr">
        <is>
          <t>R260409-swageazy</t>
        </is>
      </c>
      <c r="E1685" t="inlineStr">
        <is>
          <t>Swageazy</t>
        </is>
      </c>
      <c r="F1685" s="17" t="n">
        <v>46121</v>
      </c>
      <c r="G1685" t="inlineStr">
        <is>
          <t>no report states where the company is based</t>
        </is>
      </c>
    </row>
    <row r="1686">
      <c r="A1686" t="inlineStr">
        <is>
          <t>C07</t>
        </is>
      </c>
      <c r="B1686" t="inlineStr">
        <is>
          <t>City unknown</t>
        </is>
      </c>
      <c r="C1686" t="inlineStr">
        <is>
          <t>info</t>
        </is>
      </c>
      <c r="D1686" t="inlineStr">
        <is>
          <t>R260413-devmilkfoods</t>
        </is>
      </c>
      <c r="E1686" t="inlineStr">
        <is>
          <t>Dev Milk Foods</t>
        </is>
      </c>
      <c r="F1686" s="17" t="n">
        <v>46125</v>
      </c>
      <c r="G1686" t="inlineStr">
        <is>
          <t>no report states where the company is based</t>
        </is>
      </c>
    </row>
    <row r="1687">
      <c r="A1687" t="inlineStr">
        <is>
          <t>C07</t>
        </is>
      </c>
      <c r="B1687" t="inlineStr">
        <is>
          <t>City unknown</t>
        </is>
      </c>
      <c r="C1687" t="inlineStr">
        <is>
          <t>info</t>
        </is>
      </c>
      <c r="D1687" t="inlineStr">
        <is>
          <t>R260413-smartgarage</t>
        </is>
      </c>
      <c r="E1687" t="inlineStr">
        <is>
          <t>Smart Garage</t>
        </is>
      </c>
      <c r="F1687" s="17" t="n">
        <v>46125</v>
      </c>
      <c r="G1687" t="inlineStr">
        <is>
          <t>no report states where the company is based</t>
        </is>
      </c>
    </row>
    <row r="1688">
      <c r="A1688" t="inlineStr">
        <is>
          <t>C07</t>
        </is>
      </c>
      <c r="B1688" t="inlineStr">
        <is>
          <t>City unknown</t>
        </is>
      </c>
      <c r="C1688" t="inlineStr">
        <is>
          <t>info</t>
        </is>
      </c>
      <c r="D1688" t="inlineStr">
        <is>
          <t>R260414-traqcheck</t>
        </is>
      </c>
      <c r="E1688" t="inlineStr">
        <is>
          <t>TraqCheck</t>
        </is>
      </c>
      <c r="F1688" s="17" t="n">
        <v>46126</v>
      </c>
      <c r="G1688" t="inlineStr">
        <is>
          <t>no report states where the company is based</t>
        </is>
      </c>
    </row>
    <row r="1689">
      <c r="A1689" t="inlineStr">
        <is>
          <t>C07</t>
        </is>
      </c>
      <c r="B1689" t="inlineStr">
        <is>
          <t>City unknown</t>
        </is>
      </c>
      <c r="C1689" t="inlineStr">
        <is>
          <t>info</t>
        </is>
      </c>
      <c r="D1689" t="inlineStr">
        <is>
          <t>R260416-alistetechnolo</t>
        </is>
      </c>
      <c r="E1689" t="inlineStr">
        <is>
          <t>Aliste Technologies</t>
        </is>
      </c>
      <c r="F1689" s="17" t="n">
        <v>46128</v>
      </c>
      <c r="G1689" t="inlineStr">
        <is>
          <t>no report states where the company is based</t>
        </is>
      </c>
    </row>
    <row r="1690">
      <c r="A1690" t="inlineStr">
        <is>
          <t>C07</t>
        </is>
      </c>
      <c r="B1690" t="inlineStr">
        <is>
          <t>City unknown</t>
        </is>
      </c>
      <c r="C1690" t="inlineStr">
        <is>
          <t>info</t>
        </is>
      </c>
      <c r="D1690" t="inlineStr">
        <is>
          <t>R260416-cohomacoffee</t>
        </is>
      </c>
      <c r="E1690" t="inlineStr">
        <is>
          <t>Cohoma Coffee</t>
        </is>
      </c>
      <c r="F1690" s="17" t="n">
        <v>46128</v>
      </c>
      <c r="G1690" t="inlineStr">
        <is>
          <t>no report states where the company is based</t>
        </is>
      </c>
    </row>
    <row r="1691">
      <c r="A1691" t="inlineStr">
        <is>
          <t>C07</t>
        </is>
      </c>
      <c r="B1691" t="inlineStr">
        <is>
          <t>City unknown</t>
        </is>
      </c>
      <c r="C1691" t="inlineStr">
        <is>
          <t>info</t>
        </is>
      </c>
      <c r="D1691" t="inlineStr">
        <is>
          <t>R260416-kingdomofchess</t>
        </is>
      </c>
      <c r="E1691" t="inlineStr">
        <is>
          <t>KingdomOfChess</t>
        </is>
      </c>
      <c r="F1691" s="17" t="n">
        <v>46128</v>
      </c>
      <c r="G1691" t="inlineStr">
        <is>
          <t>no report states where the company is based</t>
        </is>
      </c>
    </row>
    <row r="1692">
      <c r="A1692" t="inlineStr">
        <is>
          <t>C07</t>
        </is>
      </c>
      <c r="B1692" t="inlineStr">
        <is>
          <t>City unknown</t>
        </is>
      </c>
      <c r="C1692" t="inlineStr">
        <is>
          <t>info</t>
        </is>
      </c>
      <c r="D1692" t="inlineStr">
        <is>
          <t>R260416-polaris</t>
        </is>
      </c>
      <c r="E1692" t="inlineStr">
        <is>
          <t>Polaris</t>
        </is>
      </c>
      <c r="F1692" s="17" t="n">
        <v>46128</v>
      </c>
      <c r="G1692" t="inlineStr">
        <is>
          <t>no report states where the company is based</t>
        </is>
      </c>
    </row>
    <row r="1693">
      <c r="A1693" t="inlineStr">
        <is>
          <t>C07</t>
        </is>
      </c>
      <c r="B1693" t="inlineStr">
        <is>
          <t>City unknown</t>
        </is>
      </c>
      <c r="C1693" t="inlineStr">
        <is>
          <t>info</t>
        </is>
      </c>
      <c r="D1693" t="inlineStr">
        <is>
          <t>R260416-sarlaaviation</t>
        </is>
      </c>
      <c r="E1693" t="inlineStr">
        <is>
          <t>Sarla Aviation</t>
        </is>
      </c>
      <c r="F1693" s="17" t="n">
        <v>46128</v>
      </c>
      <c r="G1693" t="inlineStr">
        <is>
          <t>no report states where the company is based</t>
        </is>
      </c>
    </row>
    <row r="1694">
      <c r="A1694" t="inlineStr">
        <is>
          <t>C07</t>
        </is>
      </c>
      <c r="B1694" t="inlineStr">
        <is>
          <t>City unknown</t>
        </is>
      </c>
      <c r="C1694" t="inlineStr">
        <is>
          <t>info</t>
        </is>
      </c>
      <c r="D1694" t="inlineStr">
        <is>
          <t>R260420-axtenhospitals</t>
        </is>
      </c>
      <c r="E1694" t="inlineStr">
        <is>
          <t>Axten Hospitals</t>
        </is>
      </c>
      <c r="F1694" s="17" t="n">
        <v>46132</v>
      </c>
      <c r="G1694" t="inlineStr">
        <is>
          <t>no report states where the company is based</t>
        </is>
      </c>
    </row>
    <row r="1695">
      <c r="A1695" t="inlineStr">
        <is>
          <t>C07</t>
        </is>
      </c>
      <c r="B1695" t="inlineStr">
        <is>
          <t>City unknown</t>
        </is>
      </c>
      <c r="C1695" t="inlineStr">
        <is>
          <t>info</t>
        </is>
      </c>
      <c r="D1695" t="inlineStr">
        <is>
          <t>R260420-coral</t>
        </is>
      </c>
      <c r="E1695" t="inlineStr">
        <is>
          <t>Coral</t>
        </is>
      </c>
      <c r="F1695" s="17" t="n">
        <v>46132</v>
      </c>
      <c r="G1695" t="inlineStr">
        <is>
          <t>no report states where the company is based</t>
        </is>
      </c>
    </row>
    <row r="1696">
      <c r="A1696" t="inlineStr">
        <is>
          <t>C07</t>
        </is>
      </c>
      <c r="B1696" t="inlineStr">
        <is>
          <t>City unknown</t>
        </is>
      </c>
      <c r="C1696" t="inlineStr">
        <is>
          <t>info</t>
        </is>
      </c>
      <c r="D1696" t="inlineStr">
        <is>
          <t>R260420-panoculonlabs</t>
        </is>
      </c>
      <c r="E1696" t="inlineStr">
        <is>
          <t>Panoculon Labs</t>
        </is>
      </c>
      <c r="F1696" s="17" t="n">
        <v>46132</v>
      </c>
      <c r="G1696" t="inlineStr">
        <is>
          <t>no report states where the company is based</t>
        </is>
      </c>
    </row>
    <row r="1697">
      <c r="A1697" t="inlineStr">
        <is>
          <t>C07</t>
        </is>
      </c>
      <c r="B1697" t="inlineStr">
        <is>
          <t>City unknown</t>
        </is>
      </c>
      <c r="C1697" t="inlineStr">
        <is>
          <t>info</t>
        </is>
      </c>
      <c r="D1697" t="inlineStr">
        <is>
          <t>R260421-rainmatterinve</t>
        </is>
      </c>
      <c r="E1697" t="inlineStr">
        <is>
          <t>Rainmatter invests</t>
        </is>
      </c>
      <c r="F1697" s="17" t="n">
        <v>46133</v>
      </c>
      <c r="G1697" t="inlineStr">
        <is>
          <t>no report states where the company is based</t>
        </is>
      </c>
    </row>
    <row r="1698">
      <c r="A1698" t="inlineStr">
        <is>
          <t>C07</t>
        </is>
      </c>
      <c r="B1698" t="inlineStr">
        <is>
          <t>City unknown</t>
        </is>
      </c>
      <c r="C1698" t="inlineStr">
        <is>
          <t>info</t>
        </is>
      </c>
      <c r="D1698" t="inlineStr">
        <is>
          <t>R260422-aits</t>
        </is>
      </c>
      <c r="E1698" t="inlineStr">
        <is>
          <t>AITS</t>
        </is>
      </c>
      <c r="F1698" s="17" t="n">
        <v>46134</v>
      </c>
      <c r="G1698" t="inlineStr">
        <is>
          <t>no report states where the company is based</t>
        </is>
      </c>
    </row>
    <row r="1699">
      <c r="A1699" t="inlineStr">
        <is>
          <t>C07</t>
        </is>
      </c>
      <c r="B1699" t="inlineStr">
        <is>
          <t>City unknown</t>
        </is>
      </c>
      <c r="C1699" t="inlineStr">
        <is>
          <t>info</t>
        </is>
      </c>
      <c r="D1699" t="inlineStr">
        <is>
          <t>R260422-chupps</t>
        </is>
      </c>
      <c r="E1699" t="inlineStr">
        <is>
          <t>Chupps</t>
        </is>
      </c>
      <c r="F1699" s="17" t="n">
        <v>46134</v>
      </c>
      <c r="G1699" t="inlineStr">
        <is>
          <t>no report states where the company is based</t>
        </is>
      </c>
    </row>
    <row r="1700">
      <c r="A1700" t="inlineStr">
        <is>
          <t>C07</t>
        </is>
      </c>
      <c r="B1700" t="inlineStr">
        <is>
          <t>City unknown</t>
        </is>
      </c>
      <c r="C1700" t="inlineStr">
        <is>
          <t>info</t>
        </is>
      </c>
      <c r="D1700" t="inlineStr">
        <is>
          <t>R260422-m</t>
        </is>
      </c>
      <c r="E1700" t="inlineStr">
        <is>
          <t>M</t>
        </is>
      </c>
      <c r="F1700" s="17" t="n">
        <v>46134</v>
      </c>
      <c r="G1700" t="inlineStr">
        <is>
          <t>no report states where the company is based</t>
        </is>
      </c>
    </row>
    <row r="1701">
      <c r="A1701" t="inlineStr">
        <is>
          <t>C07</t>
        </is>
      </c>
      <c r="B1701" t="inlineStr">
        <is>
          <t>City unknown</t>
        </is>
      </c>
      <c r="C1701" t="inlineStr">
        <is>
          <t>info</t>
        </is>
      </c>
      <c r="D1701" t="inlineStr">
        <is>
          <t>R260423-stch</t>
        </is>
      </c>
      <c r="E1701" t="inlineStr">
        <is>
          <t>STCH</t>
        </is>
      </c>
      <c r="F1701" s="17" t="n">
        <v>46135</v>
      </c>
      <c r="G1701" t="inlineStr">
        <is>
          <t>no report states where the company is based</t>
        </is>
      </c>
    </row>
    <row r="1702">
      <c r="A1702" t="inlineStr">
        <is>
          <t>C07</t>
        </is>
      </c>
      <c r="B1702" t="inlineStr">
        <is>
          <t>City unknown</t>
        </is>
      </c>
      <c r="C1702" t="inlineStr">
        <is>
          <t>info</t>
        </is>
      </c>
      <c r="D1702" t="inlineStr">
        <is>
          <t>R260427-emomee</t>
        </is>
      </c>
      <c r="E1702" t="inlineStr">
        <is>
          <t>EMoMee</t>
        </is>
      </c>
      <c r="F1702" s="17" t="n">
        <v>46139</v>
      </c>
      <c r="G1702" t="inlineStr">
        <is>
          <t>no report states where the company is based</t>
        </is>
      </c>
    </row>
    <row r="1703">
      <c r="A1703" t="inlineStr">
        <is>
          <t>C07</t>
        </is>
      </c>
      <c r="B1703" t="inlineStr">
        <is>
          <t>City unknown</t>
        </is>
      </c>
      <c r="C1703" t="inlineStr">
        <is>
          <t>info</t>
        </is>
      </c>
      <c r="D1703" t="inlineStr">
        <is>
          <t>R260427-metasportsinte</t>
        </is>
      </c>
      <c r="E1703" t="inlineStr">
        <is>
          <t>Metasports Interactive</t>
        </is>
      </c>
      <c r="F1703" s="17" t="n">
        <v>46139</v>
      </c>
      <c r="G1703" t="inlineStr">
        <is>
          <t>no report states where the company is based</t>
        </is>
      </c>
    </row>
    <row r="1704">
      <c r="A1704" t="inlineStr">
        <is>
          <t>C07</t>
        </is>
      </c>
      <c r="B1704" t="inlineStr">
        <is>
          <t>City unknown</t>
        </is>
      </c>
      <c r="C1704" t="inlineStr">
        <is>
          <t>info</t>
        </is>
      </c>
      <c r="D1704" t="inlineStr">
        <is>
          <t>R260428-hyugalife</t>
        </is>
      </c>
      <c r="E1704" t="inlineStr">
        <is>
          <t>HyugaLife</t>
        </is>
      </c>
      <c r="F1704" s="17" t="n">
        <v>46140</v>
      </c>
      <c r="G1704" t="inlineStr">
        <is>
          <t>no report states where the company is based</t>
        </is>
      </c>
    </row>
    <row r="1705">
      <c r="A1705" t="inlineStr">
        <is>
          <t>C07</t>
        </is>
      </c>
      <c r="B1705" t="inlineStr">
        <is>
          <t>City unknown</t>
        </is>
      </c>
      <c r="C1705" t="inlineStr">
        <is>
          <t>info</t>
        </is>
      </c>
      <c r="D1705" t="inlineStr">
        <is>
          <t>R260428-kissht</t>
        </is>
      </c>
      <c r="E1705" t="inlineStr">
        <is>
          <t>Kissht</t>
        </is>
      </c>
      <c r="F1705" s="17" t="n">
        <v>46140</v>
      </c>
      <c r="G1705" t="inlineStr">
        <is>
          <t>no report states where the company is based</t>
        </is>
      </c>
    </row>
    <row r="1706">
      <c r="A1706" t="inlineStr">
        <is>
          <t>C07</t>
        </is>
      </c>
      <c r="B1706" t="inlineStr">
        <is>
          <t>City unknown</t>
        </is>
      </c>
      <c r="C1706" t="inlineStr">
        <is>
          <t>info</t>
        </is>
      </c>
      <c r="D1706" t="inlineStr">
        <is>
          <t>R260428-kovon</t>
        </is>
      </c>
      <c r="E1706" t="inlineStr">
        <is>
          <t>Kovon</t>
        </is>
      </c>
      <c r="F1706" s="17" t="n">
        <v>46140</v>
      </c>
      <c r="G1706" t="inlineStr">
        <is>
          <t>no report states where the company is based</t>
        </is>
      </c>
    </row>
    <row r="1707">
      <c r="A1707" t="inlineStr">
        <is>
          <t>C07</t>
        </is>
      </c>
      <c r="B1707" t="inlineStr">
        <is>
          <t>City unknown</t>
        </is>
      </c>
      <c r="C1707" t="inlineStr">
        <is>
          <t>info</t>
        </is>
      </c>
      <c r="D1707" t="inlineStr">
        <is>
          <t>R260428-mojrotechnolog</t>
        </is>
      </c>
      <c r="E1707" t="inlineStr">
        <is>
          <t>Mojro</t>
        </is>
      </c>
      <c r="F1707" s="17" t="n">
        <v>46140</v>
      </c>
      <c r="G1707" t="inlineStr">
        <is>
          <t>no report states where the company is based</t>
        </is>
      </c>
    </row>
    <row r="1708">
      <c r="A1708" t="inlineStr">
        <is>
          <t>C07</t>
        </is>
      </c>
      <c r="B1708" t="inlineStr">
        <is>
          <t>City unknown</t>
        </is>
      </c>
      <c r="C1708" t="inlineStr">
        <is>
          <t>info</t>
        </is>
      </c>
      <c r="D1708" t="inlineStr">
        <is>
          <t>R260428-novio</t>
        </is>
      </c>
      <c r="E1708" t="inlineStr">
        <is>
          <t>Novio</t>
        </is>
      </c>
      <c r="F1708" s="17" t="n">
        <v>46140</v>
      </c>
      <c r="G1708" t="inlineStr">
        <is>
          <t>no report states where the company is based</t>
        </is>
      </c>
    </row>
    <row r="1709">
      <c r="A1709" t="inlineStr">
        <is>
          <t>C07</t>
        </is>
      </c>
      <c r="B1709" t="inlineStr">
        <is>
          <t>City unknown</t>
        </is>
      </c>
      <c r="C1709" t="inlineStr">
        <is>
          <t>info</t>
        </is>
      </c>
      <c r="D1709" t="inlineStr">
        <is>
          <t>R260429-optimizedelect</t>
        </is>
      </c>
      <c r="E1709" t="inlineStr">
        <is>
          <t>Optimized Electrotech</t>
        </is>
      </c>
      <c r="F1709" s="17" t="n">
        <v>46141</v>
      </c>
      <c r="G1709" t="inlineStr">
        <is>
          <t>no report states where the company is based</t>
        </is>
      </c>
    </row>
    <row r="1710">
      <c r="A1710" t="inlineStr">
        <is>
          <t>C07</t>
        </is>
      </c>
      <c r="B1710" t="inlineStr">
        <is>
          <t>City unknown</t>
        </is>
      </c>
      <c r="C1710" t="inlineStr">
        <is>
          <t>info</t>
        </is>
      </c>
      <c r="D1710" t="inlineStr">
        <is>
          <t>R260430-kimbal</t>
        </is>
      </c>
      <c r="E1710" t="inlineStr">
        <is>
          <t>Kimbal</t>
        </is>
      </c>
      <c r="F1710" s="17" t="n">
        <v>46142</v>
      </c>
      <c r="G1710" t="inlineStr">
        <is>
          <t>no report states where the company is based</t>
        </is>
      </c>
    </row>
    <row r="1711">
      <c r="A1711" t="inlineStr">
        <is>
          <t>C07</t>
        </is>
      </c>
      <c r="B1711" t="inlineStr">
        <is>
          <t>City unknown</t>
        </is>
      </c>
      <c r="C1711" t="inlineStr">
        <is>
          <t>info</t>
        </is>
      </c>
      <c r="D1711" t="inlineStr">
        <is>
          <t>R260430-ubiqedge</t>
        </is>
      </c>
      <c r="E1711" t="inlineStr">
        <is>
          <t>Ubiqedge</t>
        </is>
      </c>
      <c r="F1711" s="17" t="n">
        <v>46142</v>
      </c>
      <c r="G1711" t="inlineStr">
        <is>
          <t>no report states where the company is based</t>
        </is>
      </c>
    </row>
    <row r="1712">
      <c r="A1712" t="inlineStr">
        <is>
          <t>C07</t>
        </is>
      </c>
      <c r="B1712" t="inlineStr">
        <is>
          <t>City unknown</t>
        </is>
      </c>
      <c r="C1712" t="inlineStr">
        <is>
          <t>info</t>
        </is>
      </c>
      <c r="D1712" t="inlineStr">
        <is>
          <t>R260504-aurm</t>
        </is>
      </c>
      <c r="E1712" t="inlineStr">
        <is>
          <t>Aurm</t>
        </is>
      </c>
      <c r="F1712" s="17" t="n">
        <v>46146</v>
      </c>
      <c r="G1712" t="inlineStr">
        <is>
          <t>no report states where the company is based</t>
        </is>
      </c>
    </row>
    <row r="1713">
      <c r="A1713" t="inlineStr">
        <is>
          <t>C07</t>
        </is>
      </c>
      <c r="B1713" t="inlineStr">
        <is>
          <t>City unknown</t>
        </is>
      </c>
      <c r="C1713" t="inlineStr">
        <is>
          <t>info</t>
        </is>
      </c>
      <c r="D1713" t="inlineStr">
        <is>
          <t>R260504-tsavorite</t>
        </is>
      </c>
      <c r="E1713" t="inlineStr">
        <is>
          <t>Tsavorite</t>
        </is>
      </c>
      <c r="F1713" s="17" t="n">
        <v>46146</v>
      </c>
      <c r="G1713" t="inlineStr">
        <is>
          <t>no report states where the company is based</t>
        </is>
      </c>
    </row>
    <row r="1714">
      <c r="A1714" t="inlineStr">
        <is>
          <t>C07</t>
        </is>
      </c>
      <c r="B1714" t="inlineStr">
        <is>
          <t>City unknown</t>
        </is>
      </c>
      <c r="C1714" t="inlineStr">
        <is>
          <t>info</t>
        </is>
      </c>
      <c r="D1714" t="inlineStr">
        <is>
          <t>R260505-jurisphere</t>
        </is>
      </c>
      <c r="E1714" t="inlineStr">
        <is>
          <t>Jurisphere</t>
        </is>
      </c>
      <c r="F1714" s="17" t="n">
        <v>46147</v>
      </c>
      <c r="G1714" t="inlineStr">
        <is>
          <t>no report states where the company is based</t>
        </is>
      </c>
    </row>
    <row r="1715">
      <c r="A1715" t="inlineStr">
        <is>
          <t>C07</t>
        </is>
      </c>
      <c r="B1715" t="inlineStr">
        <is>
          <t>City unknown</t>
        </is>
      </c>
      <c r="C1715" t="inlineStr">
        <is>
          <t>info</t>
        </is>
      </c>
      <c r="D1715" t="inlineStr">
        <is>
          <t>R260506-ailibrary</t>
        </is>
      </c>
      <c r="E1715" t="inlineStr">
        <is>
          <t>AI Library</t>
        </is>
      </c>
      <c r="F1715" s="17" t="n">
        <v>46148</v>
      </c>
      <c r="G1715" t="inlineStr">
        <is>
          <t>no report states where the company is based</t>
        </is>
      </c>
    </row>
    <row r="1716">
      <c r="A1716" t="inlineStr">
        <is>
          <t>C07</t>
        </is>
      </c>
      <c r="B1716" t="inlineStr">
        <is>
          <t>City unknown</t>
        </is>
      </c>
      <c r="C1716" t="inlineStr">
        <is>
          <t>info</t>
        </is>
      </c>
      <c r="D1716" t="inlineStr">
        <is>
          <t>R260506-generalautonom</t>
        </is>
      </c>
      <c r="E1716" t="inlineStr">
        <is>
          <t>General Autonomy</t>
        </is>
      </c>
      <c r="F1716" s="17" t="n">
        <v>46148</v>
      </c>
      <c r="G1716" t="inlineStr">
        <is>
          <t>no report states where the company is based</t>
        </is>
      </c>
    </row>
    <row r="1717">
      <c r="A1717" t="inlineStr">
        <is>
          <t>C07</t>
        </is>
      </c>
      <c r="B1717" t="inlineStr">
        <is>
          <t>City unknown</t>
        </is>
      </c>
      <c r="C1717" t="inlineStr">
        <is>
          <t>info</t>
        </is>
      </c>
      <c r="D1717" t="inlineStr">
        <is>
          <t>R260506-jobsupi</t>
        </is>
      </c>
      <c r="E1717" t="inlineStr">
        <is>
          <t>JobsUPI</t>
        </is>
      </c>
      <c r="F1717" s="17" t="n">
        <v>46148</v>
      </c>
      <c r="G1717" t="inlineStr">
        <is>
          <t>no report states where the company is based</t>
        </is>
      </c>
    </row>
    <row r="1718">
      <c r="A1718" t="inlineStr">
        <is>
          <t>C07</t>
        </is>
      </c>
      <c r="B1718" t="inlineStr">
        <is>
          <t>City unknown</t>
        </is>
      </c>
      <c r="C1718" t="inlineStr">
        <is>
          <t>info</t>
        </is>
      </c>
      <c r="D1718" t="inlineStr">
        <is>
          <t>R260506-medvital</t>
        </is>
      </c>
      <c r="E1718" t="inlineStr">
        <is>
          <t>MedVital</t>
        </is>
      </c>
      <c r="F1718" s="17" t="n">
        <v>46148</v>
      </c>
      <c r="G1718" t="inlineStr">
        <is>
          <t>no report states where the company is based</t>
        </is>
      </c>
    </row>
    <row r="1719">
      <c r="A1719" t="inlineStr">
        <is>
          <t>C07</t>
        </is>
      </c>
      <c r="B1719" t="inlineStr">
        <is>
          <t>City unknown</t>
        </is>
      </c>
      <c r="C1719" t="inlineStr">
        <is>
          <t>info</t>
        </is>
      </c>
      <c r="D1719" t="inlineStr">
        <is>
          <t>R260506-mochatrade</t>
        </is>
      </c>
      <c r="E1719" t="inlineStr">
        <is>
          <t>MochaTrade</t>
        </is>
      </c>
      <c r="F1719" s="17" t="n">
        <v>46148</v>
      </c>
      <c r="G1719" t="inlineStr">
        <is>
          <t>no report states where the company is based</t>
        </is>
      </c>
    </row>
    <row r="1720">
      <c r="A1720" t="inlineStr">
        <is>
          <t>C07</t>
        </is>
      </c>
      <c r="B1720" t="inlineStr">
        <is>
          <t>City unknown</t>
        </is>
      </c>
      <c r="C1720" t="inlineStr">
        <is>
          <t>info</t>
        </is>
      </c>
      <c r="D1720" t="inlineStr">
        <is>
          <t>R260507-alphadroid</t>
        </is>
      </c>
      <c r="E1720" t="inlineStr">
        <is>
          <t>Alphadroid</t>
        </is>
      </c>
      <c r="F1720" s="17" t="n">
        <v>46149</v>
      </c>
      <c r="G1720" t="inlineStr">
        <is>
          <t>no report states where the company is based</t>
        </is>
      </c>
    </row>
    <row r="1721">
      <c r="A1721" t="inlineStr">
        <is>
          <t>C07</t>
        </is>
      </c>
      <c r="B1721" t="inlineStr">
        <is>
          <t>City unknown</t>
        </is>
      </c>
      <c r="C1721" t="inlineStr">
        <is>
          <t>info</t>
        </is>
      </c>
      <c r="D1721" t="inlineStr">
        <is>
          <t>R260507-pronto</t>
        </is>
      </c>
      <c r="E1721" t="inlineStr">
        <is>
          <t>Pronto</t>
        </is>
      </c>
      <c r="F1721" s="17" t="n">
        <v>46149</v>
      </c>
      <c r="G1721" t="inlineStr">
        <is>
          <t>no report states where the company is based</t>
        </is>
      </c>
    </row>
    <row r="1722">
      <c r="A1722" t="inlineStr">
        <is>
          <t>C07</t>
        </is>
      </c>
      <c r="B1722" t="inlineStr">
        <is>
          <t>City unknown</t>
        </is>
      </c>
      <c r="C1722" t="inlineStr">
        <is>
          <t>info</t>
        </is>
      </c>
      <c r="D1722" t="inlineStr">
        <is>
          <t>R260511-bobakat</t>
        </is>
      </c>
      <c r="E1722" t="inlineStr">
        <is>
          <t>Bobakat</t>
        </is>
      </c>
      <c r="F1722" s="17" t="n">
        <v>46153</v>
      </c>
      <c r="G1722" t="inlineStr">
        <is>
          <t>no report states where the company is based</t>
        </is>
      </c>
    </row>
    <row r="1723">
      <c r="A1723" t="inlineStr">
        <is>
          <t>C07</t>
        </is>
      </c>
      <c r="B1723" t="inlineStr">
        <is>
          <t>City unknown</t>
        </is>
      </c>
      <c r="C1723" t="inlineStr">
        <is>
          <t>info</t>
        </is>
      </c>
      <c r="D1723" t="inlineStr">
        <is>
          <t>R260511-wingreensacqui</t>
        </is>
      </c>
      <c r="E1723" t="inlineStr">
        <is>
          <t>Wingreens acquires Safe Harvest;</t>
        </is>
      </c>
      <c r="F1723" s="17" t="n">
        <v>46153</v>
      </c>
      <c r="G1723" t="inlineStr">
        <is>
          <t>no report states where the company is based</t>
        </is>
      </c>
    </row>
    <row r="1724">
      <c r="A1724" t="inlineStr">
        <is>
          <t>C07</t>
        </is>
      </c>
      <c r="B1724" t="inlineStr">
        <is>
          <t>City unknown</t>
        </is>
      </c>
      <c r="C1724" t="inlineStr">
        <is>
          <t>info</t>
        </is>
      </c>
      <c r="D1724" t="inlineStr">
        <is>
          <t>R260511-wingreensfarms</t>
        </is>
      </c>
      <c r="E1724" t="inlineStr">
        <is>
          <t>Wingreens Farms</t>
        </is>
      </c>
      <c r="F1724" s="17" t="n">
        <v>46153</v>
      </c>
      <c r="G1724" t="inlineStr">
        <is>
          <t>no report states where the company is based</t>
        </is>
      </c>
    </row>
    <row r="1725">
      <c r="A1725" t="inlineStr">
        <is>
          <t>C07</t>
        </is>
      </c>
      <c r="B1725" t="inlineStr">
        <is>
          <t>City unknown</t>
        </is>
      </c>
      <c r="C1725" t="inlineStr">
        <is>
          <t>info</t>
        </is>
      </c>
      <c r="D1725" t="inlineStr">
        <is>
          <t>R260512-hrdwyr</t>
        </is>
      </c>
      <c r="E1725" t="inlineStr">
        <is>
          <t>HrdWyr</t>
        </is>
      </c>
      <c r="F1725" s="17" t="n">
        <v>46154</v>
      </c>
      <c r="G1725" t="inlineStr">
        <is>
          <t>no report states where the company is based</t>
        </is>
      </c>
    </row>
    <row r="1726">
      <c r="A1726" t="inlineStr">
        <is>
          <t>C07</t>
        </is>
      </c>
      <c r="B1726" t="inlineStr">
        <is>
          <t>City unknown</t>
        </is>
      </c>
      <c r="C1726" t="inlineStr">
        <is>
          <t>info</t>
        </is>
      </c>
      <c r="D1726" t="inlineStr">
        <is>
          <t>R260512-incredcapital</t>
        </is>
      </c>
      <c r="E1726" t="inlineStr">
        <is>
          <t>InCred Capital</t>
        </is>
      </c>
      <c r="F1726" s="17" t="n">
        <v>46154</v>
      </c>
      <c r="G1726" t="inlineStr">
        <is>
          <t>no report states where the company is based</t>
        </is>
      </c>
    </row>
    <row r="1727">
      <c r="A1727" t="inlineStr">
        <is>
          <t>C07</t>
        </is>
      </c>
      <c r="B1727" t="inlineStr">
        <is>
          <t>City unknown</t>
        </is>
      </c>
      <c r="C1727" t="inlineStr">
        <is>
          <t>info</t>
        </is>
      </c>
      <c r="D1727" t="inlineStr">
        <is>
          <t>R260513-nivasafinance</t>
        </is>
      </c>
      <c r="E1727" t="inlineStr">
        <is>
          <t>Nivasa Finance</t>
        </is>
      </c>
      <c r="F1727" s="17" t="n">
        <v>46155</v>
      </c>
      <c r="G1727" t="inlineStr">
        <is>
          <t>no report states where the company is based</t>
        </is>
      </c>
    </row>
    <row r="1728">
      <c r="A1728" t="inlineStr">
        <is>
          <t>C07</t>
        </is>
      </c>
      <c r="B1728" t="inlineStr">
        <is>
          <t>City unknown</t>
        </is>
      </c>
      <c r="C1728" t="inlineStr">
        <is>
          <t>info</t>
        </is>
      </c>
      <c r="D1728" t="inlineStr">
        <is>
          <t>R260513-theelefant</t>
        </is>
      </c>
      <c r="E1728" t="inlineStr">
        <is>
          <t>The EleFant</t>
        </is>
      </c>
      <c r="F1728" s="17" t="n">
        <v>46155</v>
      </c>
      <c r="G1728" t="inlineStr">
        <is>
          <t>no report states where the company is based</t>
        </is>
      </c>
    </row>
    <row r="1729">
      <c r="A1729" t="inlineStr">
        <is>
          <t>C07</t>
        </is>
      </c>
      <c r="B1729" t="inlineStr">
        <is>
          <t>City unknown</t>
        </is>
      </c>
      <c r="C1729" t="inlineStr">
        <is>
          <t>info</t>
        </is>
      </c>
      <c r="D1729" t="inlineStr">
        <is>
          <t>R260514-bombaybanta</t>
        </is>
      </c>
      <c r="E1729" t="inlineStr">
        <is>
          <t>Bombay Banta</t>
        </is>
      </c>
      <c r="F1729" s="17" t="n">
        <v>46156</v>
      </c>
      <c r="G1729" t="inlineStr">
        <is>
          <t>no report states where the company is based</t>
        </is>
      </c>
    </row>
    <row r="1730">
      <c r="A1730" t="inlineStr">
        <is>
          <t>C07</t>
        </is>
      </c>
      <c r="B1730" t="inlineStr">
        <is>
          <t>City unknown</t>
        </is>
      </c>
      <c r="C1730" t="inlineStr">
        <is>
          <t>info</t>
        </is>
      </c>
      <c r="D1730" t="inlineStr">
        <is>
          <t>R260514-thesweetchange</t>
        </is>
      </c>
      <c r="E1730" t="inlineStr">
        <is>
          <t>The Sweet Change</t>
        </is>
      </c>
      <c r="F1730" s="17" t="n">
        <v>46156</v>
      </c>
      <c r="G1730" t="inlineStr">
        <is>
          <t>no report states where the company is based</t>
        </is>
      </c>
    </row>
    <row r="1731">
      <c r="A1731" t="inlineStr">
        <is>
          <t>C07</t>
        </is>
      </c>
      <c r="B1731" t="inlineStr">
        <is>
          <t>City unknown</t>
        </is>
      </c>
      <c r="C1731" t="inlineStr">
        <is>
          <t>info</t>
        </is>
      </c>
      <c r="D1731" t="inlineStr">
        <is>
          <t>R260515-legendoftoys</t>
        </is>
      </c>
      <c r="E1731" t="inlineStr">
        <is>
          <t>Legend Of Toys</t>
        </is>
      </c>
      <c r="F1731" s="17" t="n">
        <v>46157</v>
      </c>
      <c r="G1731" t="inlineStr">
        <is>
          <t>no report states where the company is based</t>
        </is>
      </c>
    </row>
    <row r="1732">
      <c r="A1732" t="inlineStr">
        <is>
          <t>C07</t>
        </is>
      </c>
      <c r="B1732" t="inlineStr">
        <is>
          <t>City unknown</t>
        </is>
      </c>
      <c r="C1732" t="inlineStr">
        <is>
          <t>info</t>
        </is>
      </c>
      <c r="D1732" t="inlineStr">
        <is>
          <t>R260518-cellogentherap</t>
        </is>
      </c>
      <c r="E1732" t="inlineStr">
        <is>
          <t>Cellogen Therapeutics</t>
        </is>
      </c>
      <c r="F1732" s="17" t="n">
        <v>46160</v>
      </c>
      <c r="G1732" t="inlineStr">
        <is>
          <t>no report states where the company is based</t>
        </is>
      </c>
    </row>
    <row r="1733">
      <c r="A1733" t="inlineStr">
        <is>
          <t>C07</t>
        </is>
      </c>
      <c r="B1733" t="inlineStr">
        <is>
          <t>City unknown</t>
        </is>
      </c>
      <c r="C1733" t="inlineStr">
        <is>
          <t>info</t>
        </is>
      </c>
      <c r="D1733" t="inlineStr">
        <is>
          <t>R260518-nothingbut</t>
        </is>
      </c>
      <c r="E1733" t="inlineStr">
        <is>
          <t>Nothing But</t>
        </is>
      </c>
      <c r="F1733" s="17" t="n">
        <v>46160</v>
      </c>
      <c r="G1733" t="inlineStr">
        <is>
          <t>no report states where the company is based</t>
        </is>
      </c>
    </row>
    <row r="1734">
      <c r="A1734" t="inlineStr">
        <is>
          <t>C07</t>
        </is>
      </c>
      <c r="B1734" t="inlineStr">
        <is>
          <t>City unknown</t>
        </is>
      </c>
      <c r="C1734" t="inlineStr">
        <is>
          <t>info</t>
        </is>
      </c>
      <c r="D1734" t="inlineStr">
        <is>
          <t>R260519-ono</t>
        </is>
      </c>
      <c r="E1734" t="inlineStr">
        <is>
          <t>ONO</t>
        </is>
      </c>
      <c r="F1734" s="17" t="n">
        <v>46161</v>
      </c>
      <c r="G1734" t="inlineStr">
        <is>
          <t>no report states where the company is based</t>
        </is>
      </c>
    </row>
    <row r="1735">
      <c r="A1735" t="inlineStr">
        <is>
          <t>C07</t>
        </is>
      </c>
      <c r="B1735" t="inlineStr">
        <is>
          <t>City unknown</t>
        </is>
      </c>
      <c r="C1735" t="inlineStr">
        <is>
          <t>info</t>
        </is>
      </c>
      <c r="D1735" t="inlineStr">
        <is>
          <t>R260520-endureair</t>
        </is>
      </c>
      <c r="E1735" t="inlineStr">
        <is>
          <t>EndureAir</t>
        </is>
      </c>
      <c r="F1735" s="17" t="n">
        <v>46162</v>
      </c>
      <c r="G1735" t="inlineStr">
        <is>
          <t>no report states where the company is based</t>
        </is>
      </c>
    </row>
    <row r="1736">
      <c r="A1736" t="inlineStr">
        <is>
          <t>C07</t>
        </is>
      </c>
      <c r="B1736" t="inlineStr">
        <is>
          <t>City unknown</t>
        </is>
      </c>
      <c r="C1736" t="inlineStr">
        <is>
          <t>info</t>
        </is>
      </c>
      <c r="D1736" t="inlineStr">
        <is>
          <t>R260520-gamehok</t>
        </is>
      </c>
      <c r="E1736" t="inlineStr">
        <is>
          <t>Gamehok</t>
        </is>
      </c>
      <c r="F1736" s="17" t="n">
        <v>46162</v>
      </c>
      <c r="G1736" t="inlineStr">
        <is>
          <t>no report states where the company is based</t>
        </is>
      </c>
    </row>
    <row r="1737">
      <c r="A1737" t="inlineStr">
        <is>
          <t>C07</t>
        </is>
      </c>
      <c r="B1737" t="inlineStr">
        <is>
          <t>City unknown</t>
        </is>
      </c>
      <c r="C1737" t="inlineStr">
        <is>
          <t>info</t>
        </is>
      </c>
      <c r="D1737" t="inlineStr">
        <is>
          <t>R260521-metafashion</t>
        </is>
      </c>
      <c r="E1737" t="inlineStr">
        <is>
          <t>Meta Fashion</t>
        </is>
      </c>
      <c r="F1737" s="17" t="n">
        <v>46163</v>
      </c>
      <c r="G1737" t="inlineStr">
        <is>
          <t>no report states where the company is based</t>
        </is>
      </c>
    </row>
    <row r="1738">
      <c r="A1738" t="inlineStr">
        <is>
          <t>C07</t>
        </is>
      </c>
      <c r="B1738" t="inlineStr">
        <is>
          <t>City unknown</t>
        </is>
      </c>
      <c r="C1738" t="inlineStr">
        <is>
          <t>info</t>
        </is>
      </c>
      <c r="D1738" t="inlineStr">
        <is>
          <t>R260522-gabit</t>
        </is>
      </c>
      <c r="E1738" t="inlineStr">
        <is>
          <t>Gabit</t>
        </is>
      </c>
      <c r="F1738" s="17" t="n">
        <v>46164</v>
      </c>
      <c r="G1738" t="inlineStr">
        <is>
          <t>no report states where the company is based</t>
        </is>
      </c>
    </row>
    <row r="1739">
      <c r="A1739" t="inlineStr">
        <is>
          <t>C07</t>
        </is>
      </c>
      <c r="B1739" t="inlineStr">
        <is>
          <t>City unknown</t>
        </is>
      </c>
      <c r="C1739" t="inlineStr">
        <is>
          <t>info</t>
        </is>
      </c>
      <c r="D1739" t="inlineStr">
        <is>
          <t>R260525-abcoffee</t>
        </is>
      </c>
      <c r="E1739" t="inlineStr">
        <is>
          <t>abCoffee</t>
        </is>
      </c>
      <c r="F1739" s="17" t="n">
        <v>46167</v>
      </c>
      <c r="G1739" t="inlineStr">
        <is>
          <t>no report states where the company is based</t>
        </is>
      </c>
    </row>
    <row r="1740">
      <c r="A1740" t="inlineStr">
        <is>
          <t>C07</t>
        </is>
      </c>
      <c r="B1740" t="inlineStr">
        <is>
          <t>City unknown</t>
        </is>
      </c>
      <c r="C1740" t="inlineStr">
        <is>
          <t>info</t>
        </is>
      </c>
      <c r="D1740" t="inlineStr">
        <is>
          <t>R260525-pramatraspace</t>
        </is>
      </c>
      <c r="E1740" t="inlineStr">
        <is>
          <t>Pramatra Space</t>
        </is>
      </c>
      <c r="F1740" s="17" t="n">
        <v>46167</v>
      </c>
      <c r="G1740" t="inlineStr">
        <is>
          <t>no report states where the company is based</t>
        </is>
      </c>
    </row>
    <row r="1741">
      <c r="A1741" t="inlineStr">
        <is>
          <t>C07</t>
        </is>
      </c>
      <c r="B1741" t="inlineStr">
        <is>
          <t>City unknown</t>
        </is>
      </c>
      <c r="C1741" t="inlineStr">
        <is>
          <t>info</t>
        </is>
      </c>
      <c r="D1741" t="inlineStr">
        <is>
          <t>R260525-strainxbiowork</t>
        </is>
      </c>
      <c r="E1741" t="inlineStr">
        <is>
          <t>StrainX Bioworks</t>
        </is>
      </c>
      <c r="F1741" s="17" t="n">
        <v>46167</v>
      </c>
      <c r="G1741" t="inlineStr">
        <is>
          <t>no report states where the company is based</t>
        </is>
      </c>
    </row>
    <row r="1742">
      <c r="A1742" t="inlineStr">
        <is>
          <t>C07</t>
        </is>
      </c>
      <c r="B1742" t="inlineStr">
        <is>
          <t>City unknown</t>
        </is>
      </c>
      <c r="C1742" t="inlineStr">
        <is>
          <t>info</t>
        </is>
      </c>
      <c r="D1742" t="inlineStr">
        <is>
          <t>R260526-bucketlistt</t>
        </is>
      </c>
      <c r="E1742" t="inlineStr">
        <is>
          <t>Bucketlistt</t>
        </is>
      </c>
      <c r="F1742" s="17" t="n">
        <v>46168</v>
      </c>
      <c r="G1742" t="inlineStr">
        <is>
          <t>no report states where the company is based</t>
        </is>
      </c>
    </row>
    <row r="1743">
      <c r="A1743" t="inlineStr">
        <is>
          <t>C07</t>
        </is>
      </c>
      <c r="B1743" t="inlineStr">
        <is>
          <t>City unknown</t>
        </is>
      </c>
      <c r="C1743" t="inlineStr">
        <is>
          <t>info</t>
        </is>
      </c>
      <c r="D1743" t="inlineStr">
        <is>
          <t>R260526-flexprice</t>
        </is>
      </c>
      <c r="E1743" t="inlineStr">
        <is>
          <t>Flexprice</t>
        </is>
      </c>
      <c r="F1743" s="17" t="n">
        <v>46168</v>
      </c>
      <c r="G1743" t="inlineStr">
        <is>
          <t>no report states where the company is based</t>
        </is>
      </c>
    </row>
    <row r="1744">
      <c r="A1744" t="inlineStr">
        <is>
          <t>C07</t>
        </is>
      </c>
      <c r="B1744" t="inlineStr">
        <is>
          <t>City unknown</t>
        </is>
      </c>
      <c r="C1744" t="inlineStr">
        <is>
          <t>info</t>
        </is>
      </c>
      <c r="D1744" t="inlineStr">
        <is>
          <t>R260526-quantumtiger</t>
        </is>
      </c>
      <c r="E1744" t="inlineStr">
        <is>
          <t>Quantum Tiger</t>
        </is>
      </c>
      <c r="F1744" s="17" t="n">
        <v>46168</v>
      </c>
      <c r="G1744" t="inlineStr">
        <is>
          <t>no report states where the company is based</t>
        </is>
      </c>
    </row>
    <row r="1745">
      <c r="A1745" t="inlineStr">
        <is>
          <t>C07</t>
        </is>
      </c>
      <c r="B1745" t="inlineStr">
        <is>
          <t>City unknown</t>
        </is>
      </c>
      <c r="C1745" t="inlineStr">
        <is>
          <t>info</t>
        </is>
      </c>
      <c r="D1745" t="inlineStr">
        <is>
          <t>R260528-eazzy</t>
        </is>
      </c>
      <c r="E1745" t="inlineStr">
        <is>
          <t>Eazzy</t>
        </is>
      </c>
      <c r="F1745" s="17" t="n">
        <v>46170</v>
      </c>
      <c r="G1745" t="inlineStr">
        <is>
          <t>no report states where the company is based</t>
        </is>
      </c>
    </row>
    <row r="1746">
      <c r="A1746" t="inlineStr">
        <is>
          <t>C07</t>
        </is>
      </c>
      <c r="B1746" t="inlineStr">
        <is>
          <t>City unknown</t>
        </is>
      </c>
      <c r="C1746" t="inlineStr">
        <is>
          <t>info</t>
        </is>
      </c>
      <c r="D1746" t="inlineStr">
        <is>
          <t>R260601-intercosmos</t>
        </is>
      </c>
      <c r="E1746" t="inlineStr">
        <is>
          <t>InterCosmos</t>
        </is>
      </c>
      <c r="F1746" s="17" t="n">
        <v>46174</v>
      </c>
      <c r="G1746" t="inlineStr">
        <is>
          <t>no report states where the company is based</t>
        </is>
      </c>
    </row>
    <row r="1747">
      <c r="A1747" t="inlineStr">
        <is>
          <t>C07</t>
        </is>
      </c>
      <c r="B1747" t="inlineStr">
        <is>
          <t>City unknown</t>
        </is>
      </c>
      <c r="C1747" t="inlineStr">
        <is>
          <t>info</t>
        </is>
      </c>
      <c r="D1747" t="inlineStr">
        <is>
          <t>R260602-rosada</t>
        </is>
      </c>
      <c r="E1747" t="inlineStr">
        <is>
          <t>Rosada</t>
        </is>
      </c>
      <c r="F1747" s="17" t="n">
        <v>46175</v>
      </c>
      <c r="G1747" t="inlineStr">
        <is>
          <t>no report states where the company is based</t>
        </is>
      </c>
    </row>
    <row r="1748">
      <c r="A1748" t="inlineStr">
        <is>
          <t>C07</t>
        </is>
      </c>
      <c r="B1748" t="inlineStr">
        <is>
          <t>City unknown</t>
        </is>
      </c>
      <c r="C1748" t="inlineStr">
        <is>
          <t>info</t>
        </is>
      </c>
      <c r="D1748" t="inlineStr">
        <is>
          <t>R260603-agilitassports</t>
        </is>
      </c>
      <c r="E1748" t="inlineStr">
        <is>
          <t>Agilitas Sports</t>
        </is>
      </c>
      <c r="F1748" s="17" t="n">
        <v>46176</v>
      </c>
      <c r="G1748" t="inlineStr">
        <is>
          <t>no report states where the company is based</t>
        </is>
      </c>
    </row>
    <row r="1749">
      <c r="A1749" t="inlineStr">
        <is>
          <t>C07</t>
        </is>
      </c>
      <c r="B1749" t="inlineStr">
        <is>
          <t>City unknown</t>
        </is>
      </c>
      <c r="C1749" t="inlineStr">
        <is>
          <t>info</t>
        </is>
      </c>
      <c r="D1749" t="inlineStr">
        <is>
          <t>R260603-zuvees</t>
        </is>
      </c>
      <c r="E1749" t="inlineStr">
        <is>
          <t>Zuvees</t>
        </is>
      </c>
      <c r="F1749" s="17" t="n">
        <v>46176</v>
      </c>
      <c r="G1749" t="inlineStr">
        <is>
          <t>no report states where the company is based</t>
        </is>
      </c>
    </row>
    <row r="1750">
      <c r="A1750" t="inlineStr">
        <is>
          <t>C07</t>
        </is>
      </c>
      <c r="B1750" t="inlineStr">
        <is>
          <t>City unknown</t>
        </is>
      </c>
      <c r="C1750" t="inlineStr">
        <is>
          <t>info</t>
        </is>
      </c>
      <c r="D1750" t="inlineStr">
        <is>
          <t>R260604-thesweetchange</t>
        </is>
      </c>
      <c r="E1750" t="inlineStr">
        <is>
          <t>The Sweet Change</t>
        </is>
      </c>
      <c r="F1750" s="17" t="n">
        <v>46177</v>
      </c>
      <c r="G1750" t="inlineStr">
        <is>
          <t>no report states where the company is based</t>
        </is>
      </c>
    </row>
    <row r="1751">
      <c r="A1751" t="inlineStr">
        <is>
          <t>C07</t>
        </is>
      </c>
      <c r="B1751" t="inlineStr">
        <is>
          <t>City unknown</t>
        </is>
      </c>
      <c r="C1751" t="inlineStr">
        <is>
          <t>info</t>
        </is>
      </c>
      <c r="D1751" t="inlineStr">
        <is>
          <t>R260604-voltseal</t>
        </is>
      </c>
      <c r="E1751" t="inlineStr">
        <is>
          <t>VoltSeal</t>
        </is>
      </c>
      <c r="F1751" s="17" t="n">
        <v>46177</v>
      </c>
      <c r="G1751" t="inlineStr">
        <is>
          <t>no report states where the company is based</t>
        </is>
      </c>
    </row>
    <row r="1752">
      <c r="A1752" t="inlineStr">
        <is>
          <t>C07</t>
        </is>
      </c>
      <c r="B1752" t="inlineStr">
        <is>
          <t>City unknown</t>
        </is>
      </c>
      <c r="C1752" t="inlineStr">
        <is>
          <t>info</t>
        </is>
      </c>
      <c r="D1752" t="inlineStr">
        <is>
          <t>R260605-aadyahaerospac</t>
        </is>
      </c>
      <c r="E1752" t="inlineStr">
        <is>
          <t>Aadyah Aerospace</t>
        </is>
      </c>
      <c r="F1752" s="17" t="n">
        <v>46178</v>
      </c>
      <c r="G1752" t="inlineStr">
        <is>
          <t>no report states where the company is based</t>
        </is>
      </c>
    </row>
    <row r="1753">
      <c r="A1753" t="inlineStr">
        <is>
          <t>C07</t>
        </is>
      </c>
      <c r="B1753" t="inlineStr">
        <is>
          <t>City unknown</t>
        </is>
      </c>
      <c r="C1753" t="inlineStr">
        <is>
          <t>info</t>
        </is>
      </c>
      <c r="D1753" t="inlineStr">
        <is>
          <t>R260605-estrotechrobot</t>
        </is>
      </c>
      <c r="E1753" t="inlineStr">
        <is>
          <t>Estro Tech Robotics</t>
        </is>
      </c>
      <c r="F1753" s="17" t="n">
        <v>46178</v>
      </c>
      <c r="G1753" t="inlineStr">
        <is>
          <t>no report states where the company is based</t>
        </is>
      </c>
    </row>
    <row r="1754">
      <c r="A1754" t="inlineStr">
        <is>
          <t>C07</t>
        </is>
      </c>
      <c r="B1754" t="inlineStr">
        <is>
          <t>City unknown</t>
        </is>
      </c>
      <c r="C1754" t="inlineStr">
        <is>
          <t>info</t>
        </is>
      </c>
      <c r="D1754" t="inlineStr">
        <is>
          <t>R260608-clearrobotics</t>
        </is>
      </c>
      <c r="E1754" t="inlineStr">
        <is>
          <t>Clear Robotics</t>
        </is>
      </c>
      <c r="F1754" s="17" t="n">
        <v>46181</v>
      </c>
      <c r="G1754" t="inlineStr">
        <is>
          <t>no report states where the company is based</t>
        </is>
      </c>
    </row>
    <row r="1755">
      <c r="A1755" t="inlineStr">
        <is>
          <t>C07</t>
        </is>
      </c>
      <c r="B1755" t="inlineStr">
        <is>
          <t>City unknown</t>
        </is>
      </c>
      <c r="C1755" t="inlineStr">
        <is>
          <t>info</t>
        </is>
      </c>
      <c r="D1755" t="inlineStr">
        <is>
          <t>R260609-integrarobotic</t>
        </is>
      </c>
      <c r="E1755" t="inlineStr">
        <is>
          <t>Integra Robotics</t>
        </is>
      </c>
      <c r="F1755" s="17" t="n">
        <v>46182</v>
      </c>
      <c r="G1755" t="inlineStr">
        <is>
          <t>no report states where the company is based</t>
        </is>
      </c>
    </row>
    <row r="1756">
      <c r="A1756" t="inlineStr">
        <is>
          <t>C07</t>
        </is>
      </c>
      <c r="B1756" t="inlineStr">
        <is>
          <t>City unknown</t>
        </is>
      </c>
      <c r="C1756" t="inlineStr">
        <is>
          <t>info</t>
        </is>
      </c>
      <c r="D1756" t="inlineStr">
        <is>
          <t>R260610-fold</t>
        </is>
      </c>
      <c r="E1756" t="inlineStr">
        <is>
          <t>Fold</t>
        </is>
      </c>
      <c r="F1756" s="17" t="n">
        <v>46183</v>
      </c>
      <c r="G1756" t="inlineStr">
        <is>
          <t>no report states where the company is based</t>
        </is>
      </c>
    </row>
    <row r="1757">
      <c r="A1757" t="inlineStr">
        <is>
          <t>C07</t>
        </is>
      </c>
      <c r="B1757" t="inlineStr">
        <is>
          <t>City unknown</t>
        </is>
      </c>
      <c r="C1757" t="inlineStr">
        <is>
          <t>info</t>
        </is>
      </c>
      <c r="D1757" t="inlineStr">
        <is>
          <t>R260610-hypernormai</t>
        </is>
      </c>
      <c r="E1757" t="inlineStr">
        <is>
          <t>HyperNorm AI</t>
        </is>
      </c>
      <c r="F1757" s="17" t="n">
        <v>46183</v>
      </c>
      <c r="G1757" t="inlineStr">
        <is>
          <t>no report states where the company is based</t>
        </is>
      </c>
    </row>
    <row r="1758">
      <c r="A1758" t="inlineStr">
        <is>
          <t>C07</t>
        </is>
      </c>
      <c r="B1758" t="inlineStr">
        <is>
          <t>City unknown</t>
        </is>
      </c>
      <c r="C1758" t="inlineStr">
        <is>
          <t>info</t>
        </is>
      </c>
      <c r="D1758" t="inlineStr">
        <is>
          <t>R260610-mygate</t>
        </is>
      </c>
      <c r="E1758" t="inlineStr">
        <is>
          <t>MyGate</t>
        </is>
      </c>
      <c r="F1758" s="17" t="n">
        <v>46183</v>
      </c>
      <c r="G1758" t="inlineStr">
        <is>
          <t>no report states where the company is based</t>
        </is>
      </c>
    </row>
    <row r="1759">
      <c r="A1759" t="inlineStr">
        <is>
          <t>C07</t>
        </is>
      </c>
      <c r="B1759" t="inlineStr">
        <is>
          <t>City unknown</t>
        </is>
      </c>
      <c r="C1759" t="inlineStr">
        <is>
          <t>info</t>
        </is>
      </c>
      <c r="D1759" t="inlineStr">
        <is>
          <t>R260611-dartle</t>
        </is>
      </c>
      <c r="E1759" t="inlineStr">
        <is>
          <t>Dartle</t>
        </is>
      </c>
      <c r="F1759" s="17" t="n">
        <v>46184</v>
      </c>
      <c r="G1759" t="inlineStr">
        <is>
          <t>no report states where the company is based</t>
        </is>
      </c>
    </row>
    <row r="1760">
      <c r="A1760" t="inlineStr">
        <is>
          <t>C07</t>
        </is>
      </c>
      <c r="B1760" t="inlineStr">
        <is>
          <t>City unknown</t>
        </is>
      </c>
      <c r="C1760" t="inlineStr">
        <is>
          <t>info</t>
        </is>
      </c>
      <c r="D1760" t="inlineStr">
        <is>
          <t>R260612-fittr</t>
        </is>
      </c>
      <c r="E1760" t="inlineStr">
        <is>
          <t>Fittr</t>
        </is>
      </c>
      <c r="F1760" s="17" t="n">
        <v>46185</v>
      </c>
      <c r="G1760" t="inlineStr">
        <is>
          <t>no report states where the company is based</t>
        </is>
      </c>
    </row>
    <row r="1761">
      <c r="A1761" t="inlineStr">
        <is>
          <t>C07</t>
        </is>
      </c>
      <c r="B1761" t="inlineStr">
        <is>
          <t>City unknown</t>
        </is>
      </c>
      <c r="C1761" t="inlineStr">
        <is>
          <t>info</t>
        </is>
      </c>
      <c r="D1761" t="inlineStr">
        <is>
          <t>R260616-crest</t>
        </is>
      </c>
      <c r="E1761" t="inlineStr">
        <is>
          <t>CREST</t>
        </is>
      </c>
      <c r="F1761" s="17" t="n">
        <v>46189</v>
      </c>
      <c r="G1761" t="inlineStr">
        <is>
          <t>no report states where the company is based</t>
        </is>
      </c>
    </row>
    <row r="1762">
      <c r="A1762" t="inlineStr">
        <is>
          <t>C07</t>
        </is>
      </c>
      <c r="B1762" t="inlineStr">
        <is>
          <t>City unknown</t>
        </is>
      </c>
      <c r="C1762" t="inlineStr">
        <is>
          <t>info</t>
        </is>
      </c>
      <c r="D1762" t="inlineStr">
        <is>
          <t>R260616-omlikids</t>
        </is>
      </c>
      <c r="E1762" t="inlineStr">
        <is>
          <t>Omli Kids</t>
        </is>
      </c>
      <c r="F1762" s="17" t="n">
        <v>46189</v>
      </c>
      <c r="G1762" t="inlineStr">
        <is>
          <t>no report states where the company is based</t>
        </is>
      </c>
    </row>
    <row r="1763">
      <c r="A1763" t="inlineStr">
        <is>
          <t>C07</t>
        </is>
      </c>
      <c r="B1763" t="inlineStr">
        <is>
          <t>City unknown</t>
        </is>
      </c>
      <c r="C1763" t="inlineStr">
        <is>
          <t>info</t>
        </is>
      </c>
      <c r="D1763" t="inlineStr">
        <is>
          <t>R260616-trackersuiteai</t>
        </is>
      </c>
      <c r="E1763" t="inlineStr">
        <is>
          <t>TrackerSuite</t>
        </is>
      </c>
      <c r="F1763" s="17" t="n">
        <v>46189</v>
      </c>
      <c r="G1763" t="inlineStr">
        <is>
          <t>no report states where the company is based</t>
        </is>
      </c>
    </row>
    <row r="1764">
      <c r="A1764" t="inlineStr">
        <is>
          <t>C07</t>
        </is>
      </c>
      <c r="B1764" t="inlineStr">
        <is>
          <t>City unknown</t>
        </is>
      </c>
      <c r="C1764" t="inlineStr">
        <is>
          <t>info</t>
        </is>
      </c>
      <c r="D1764" t="inlineStr">
        <is>
          <t>R260617-influish</t>
        </is>
      </c>
      <c r="E1764" t="inlineStr">
        <is>
          <t>INFLUISH</t>
        </is>
      </c>
      <c r="F1764" s="17" t="n">
        <v>46190</v>
      </c>
      <c r="G1764" t="inlineStr">
        <is>
          <t>no report states where the company is based</t>
        </is>
      </c>
    </row>
    <row r="1765">
      <c r="A1765" t="inlineStr">
        <is>
          <t>C07</t>
        </is>
      </c>
      <c r="B1765" t="inlineStr">
        <is>
          <t>City unknown</t>
        </is>
      </c>
      <c r="C1765" t="inlineStr">
        <is>
          <t>info</t>
        </is>
      </c>
      <c r="D1765" t="inlineStr">
        <is>
          <t>R260617-pramaanalabs</t>
        </is>
      </c>
      <c r="E1765" t="inlineStr">
        <is>
          <t>Pramaana Labs</t>
        </is>
      </c>
      <c r="F1765" s="17" t="n">
        <v>46190</v>
      </c>
      <c r="G1765" t="inlineStr">
        <is>
          <t>no report states where the company is based</t>
        </is>
      </c>
    </row>
    <row r="1766">
      <c r="A1766" t="inlineStr">
        <is>
          <t>C07</t>
        </is>
      </c>
      <c r="B1766" t="inlineStr">
        <is>
          <t>City unknown</t>
        </is>
      </c>
      <c r="C1766" t="inlineStr">
        <is>
          <t>info</t>
        </is>
      </c>
      <c r="D1766" t="inlineStr">
        <is>
          <t>R260617-xtovia</t>
        </is>
      </c>
      <c r="E1766" t="inlineStr">
        <is>
          <t>Xtovia</t>
        </is>
      </c>
      <c r="F1766" s="17" t="n">
        <v>46190</v>
      </c>
      <c r="G1766" t="inlineStr">
        <is>
          <t>no report states where the company is based</t>
        </is>
      </c>
    </row>
    <row r="1767">
      <c r="A1767" t="inlineStr">
        <is>
          <t>C07</t>
        </is>
      </c>
      <c r="B1767" t="inlineStr">
        <is>
          <t>City unknown</t>
        </is>
      </c>
      <c r="C1767" t="inlineStr">
        <is>
          <t>info</t>
        </is>
      </c>
      <c r="D1767" t="inlineStr">
        <is>
          <t>R260622-cred</t>
        </is>
      </c>
      <c r="E1767" t="inlineStr">
        <is>
          <t>CRED</t>
        </is>
      </c>
      <c r="F1767" s="17" t="n">
        <v>46195</v>
      </c>
      <c r="G1767" t="inlineStr">
        <is>
          <t>no report states where the company is based</t>
        </is>
      </c>
    </row>
    <row r="1768">
      <c r="A1768" t="inlineStr">
        <is>
          <t>C07</t>
        </is>
      </c>
      <c r="B1768" t="inlineStr">
        <is>
          <t>City unknown</t>
        </is>
      </c>
      <c r="C1768" t="inlineStr">
        <is>
          <t>info</t>
        </is>
      </c>
      <c r="D1768" t="inlineStr">
        <is>
          <t>R260623-bharattender</t>
        </is>
      </c>
      <c r="E1768" t="inlineStr">
        <is>
          <t>BharatTender</t>
        </is>
      </c>
      <c r="F1768" s="17" t="n">
        <v>46196</v>
      </c>
      <c r="G1768" t="inlineStr">
        <is>
          <t>no report states where the company is based</t>
        </is>
      </c>
    </row>
    <row r="1769">
      <c r="A1769" t="inlineStr">
        <is>
          <t>C07</t>
        </is>
      </c>
      <c r="B1769" t="inlineStr">
        <is>
          <t>City unknown</t>
        </is>
      </c>
      <c r="C1769" t="inlineStr">
        <is>
          <t>info</t>
        </is>
      </c>
      <c r="D1769" t="inlineStr">
        <is>
          <t>R260623-sherlocksai</t>
        </is>
      </c>
      <c r="E1769" t="inlineStr">
        <is>
          <t>Sherlocks AI</t>
        </is>
      </c>
      <c r="F1769" s="17" t="n">
        <v>46196</v>
      </c>
      <c r="G1769" t="inlineStr">
        <is>
          <t>no report states where the company is based</t>
        </is>
      </c>
    </row>
    <row r="1770">
      <c r="A1770" t="inlineStr">
        <is>
          <t>C07</t>
        </is>
      </c>
      <c r="B1770" t="inlineStr">
        <is>
          <t>City unknown</t>
        </is>
      </c>
      <c r="C1770" t="inlineStr">
        <is>
          <t>info</t>
        </is>
      </c>
      <c r="D1770" t="inlineStr">
        <is>
          <t>R260624-bodycraft</t>
        </is>
      </c>
      <c r="E1770" t="inlineStr">
        <is>
          <t>Bodycraft</t>
        </is>
      </c>
      <c r="F1770" s="17" t="n">
        <v>46197</v>
      </c>
      <c r="G1770" t="inlineStr">
        <is>
          <t>no report states where the company is based</t>
        </is>
      </c>
    </row>
    <row r="1771">
      <c r="A1771" t="inlineStr">
        <is>
          <t>C07</t>
        </is>
      </c>
      <c r="B1771" t="inlineStr">
        <is>
          <t>City unknown</t>
        </is>
      </c>
      <c r="C1771" t="inlineStr">
        <is>
          <t>info</t>
        </is>
      </c>
      <c r="D1771" t="inlineStr">
        <is>
          <t>R260625-hangtensystems</t>
        </is>
      </c>
      <c r="E1771" t="inlineStr">
        <is>
          <t>Hang Ten Systems</t>
        </is>
      </c>
      <c r="F1771" s="17" t="n">
        <v>46197</v>
      </c>
      <c r="G1771" t="inlineStr">
        <is>
          <t>no report states where the company is based</t>
        </is>
      </c>
    </row>
    <row r="1772">
      <c r="A1772" t="inlineStr">
        <is>
          <t>C07</t>
        </is>
      </c>
      <c r="B1772" t="inlineStr">
        <is>
          <t>City unknown</t>
        </is>
      </c>
      <c r="C1772" t="inlineStr">
        <is>
          <t>info</t>
        </is>
      </c>
      <c r="D1772" t="inlineStr">
        <is>
          <t>R260625-zave</t>
        </is>
      </c>
      <c r="E1772" t="inlineStr">
        <is>
          <t>Zave</t>
        </is>
      </c>
      <c r="F1772" s="17" t="n">
        <v>46198</v>
      </c>
      <c r="G1772" t="inlineStr">
        <is>
          <t>no report states where the company is based</t>
        </is>
      </c>
    </row>
    <row r="1773">
      <c r="A1773" t="inlineStr">
        <is>
          <t>C07</t>
        </is>
      </c>
      <c r="B1773" t="inlineStr">
        <is>
          <t>City unknown</t>
        </is>
      </c>
      <c r="C1773" t="inlineStr">
        <is>
          <t>info</t>
        </is>
      </c>
      <c r="D1773" t="inlineStr">
        <is>
          <t>R260626-alienkind</t>
        </is>
      </c>
      <c r="E1773" t="inlineStr">
        <is>
          <t>Alienkind</t>
        </is>
      </c>
      <c r="F1773" s="17" t="n">
        <v>46199</v>
      </c>
      <c r="G1773" t="inlineStr">
        <is>
          <t>no report states where the company is based</t>
        </is>
      </c>
    </row>
    <row r="1774">
      <c r="A1774" t="inlineStr">
        <is>
          <t>C07</t>
        </is>
      </c>
      <c r="B1774" t="inlineStr">
        <is>
          <t>City unknown</t>
        </is>
      </c>
      <c r="C1774" t="inlineStr">
        <is>
          <t>info</t>
        </is>
      </c>
      <c r="D1774" t="inlineStr">
        <is>
          <t>R260626-allhome</t>
        </is>
      </c>
      <c r="E1774" t="inlineStr">
        <is>
          <t>AllHome</t>
        </is>
      </c>
      <c r="F1774" s="17" t="n">
        <v>46199</v>
      </c>
      <c r="G1774" t="inlineStr">
        <is>
          <t>no report states where the company is based</t>
        </is>
      </c>
    </row>
    <row r="1775">
      <c r="A1775" t="inlineStr">
        <is>
          <t>C07</t>
        </is>
      </c>
      <c r="B1775" t="inlineStr">
        <is>
          <t>City unknown</t>
        </is>
      </c>
      <c r="C1775" t="inlineStr">
        <is>
          <t>info</t>
        </is>
      </c>
      <c r="D1775" t="inlineStr">
        <is>
          <t>R260626-finnovatefinan</t>
        </is>
      </c>
      <c r="E1775" t="inlineStr">
        <is>
          <t>Finnovate Financial Services</t>
        </is>
      </c>
      <c r="F1775" s="17" t="n">
        <v>46199</v>
      </c>
      <c r="G1775" t="inlineStr">
        <is>
          <t>no report states where the company is based</t>
        </is>
      </c>
    </row>
    <row r="1776">
      <c r="A1776" t="inlineStr">
        <is>
          <t>C07</t>
        </is>
      </c>
      <c r="B1776" t="inlineStr">
        <is>
          <t>City unknown</t>
        </is>
      </c>
      <c r="C1776" t="inlineStr">
        <is>
          <t>info</t>
        </is>
      </c>
      <c r="D1776" t="inlineStr">
        <is>
          <t>R260629-clairva</t>
        </is>
      </c>
      <c r="E1776" t="inlineStr">
        <is>
          <t>Clairva</t>
        </is>
      </c>
      <c r="F1776" s="17" t="n">
        <v>46202</v>
      </c>
      <c r="G1776" t="inlineStr">
        <is>
          <t>no report states where the company is based</t>
        </is>
      </c>
    </row>
    <row r="1777">
      <c r="A1777" t="inlineStr">
        <is>
          <t>C07</t>
        </is>
      </c>
      <c r="B1777" t="inlineStr">
        <is>
          <t>City unknown</t>
        </is>
      </c>
      <c r="C1777" t="inlineStr">
        <is>
          <t>info</t>
        </is>
      </c>
      <c r="D1777" t="inlineStr">
        <is>
          <t>R260629-incuspaze</t>
        </is>
      </c>
      <c r="E1777" t="inlineStr">
        <is>
          <t>Incuspaze</t>
        </is>
      </c>
      <c r="F1777" s="17" t="n">
        <v>46202</v>
      </c>
      <c r="G1777" t="inlineStr">
        <is>
          <t>no report states where the company is based</t>
        </is>
      </c>
    </row>
    <row r="1778">
      <c r="A1778" t="inlineStr">
        <is>
          <t>C07</t>
        </is>
      </c>
      <c r="B1778" t="inlineStr">
        <is>
          <t>City unknown</t>
        </is>
      </c>
      <c r="C1778" t="inlineStr">
        <is>
          <t>info</t>
        </is>
      </c>
      <c r="D1778" t="inlineStr">
        <is>
          <t>R260629-monkci</t>
        </is>
      </c>
      <c r="E1778" t="inlineStr">
        <is>
          <t>Monk CI</t>
        </is>
      </c>
      <c r="F1778" s="17" t="n">
        <v>46202</v>
      </c>
      <c r="G1778" t="inlineStr">
        <is>
          <t>no report states where the company is based</t>
        </is>
      </c>
    </row>
    <row r="1779">
      <c r="A1779" t="inlineStr">
        <is>
          <t>C07</t>
        </is>
      </c>
      <c r="B1779" t="inlineStr">
        <is>
          <t>City unknown</t>
        </is>
      </c>
      <c r="C1779" t="inlineStr">
        <is>
          <t>info</t>
        </is>
      </c>
      <c r="D1779" t="inlineStr">
        <is>
          <t>R260629-mykareai</t>
        </is>
      </c>
      <c r="E1779" t="inlineStr">
        <is>
          <t>Mykare</t>
        </is>
      </c>
      <c r="F1779" s="17" t="n">
        <v>46202</v>
      </c>
      <c r="G1779" t="inlineStr">
        <is>
          <t>no report states where the company is based</t>
        </is>
      </c>
    </row>
    <row r="1780">
      <c r="A1780" t="inlineStr">
        <is>
          <t>C07</t>
        </is>
      </c>
      <c r="B1780" t="inlineStr">
        <is>
          <t>City unknown</t>
        </is>
      </c>
      <c r="C1780" t="inlineStr">
        <is>
          <t>info</t>
        </is>
      </c>
      <c r="D1780" t="inlineStr">
        <is>
          <t>R260629-thefunclab</t>
        </is>
      </c>
      <c r="E1780" t="inlineStr">
        <is>
          <t>The Func Labs</t>
        </is>
      </c>
      <c r="F1780" s="17" t="n">
        <v>46202</v>
      </c>
      <c r="G1780" t="inlineStr">
        <is>
          <t>no report states where the company is based</t>
        </is>
      </c>
    </row>
    <row r="1781">
      <c r="A1781" t="inlineStr">
        <is>
          <t>C07</t>
        </is>
      </c>
      <c r="B1781" t="inlineStr">
        <is>
          <t>City unknown</t>
        </is>
      </c>
      <c r="C1781" t="inlineStr">
        <is>
          <t>info</t>
        </is>
      </c>
      <c r="D1781" t="inlineStr">
        <is>
          <t>R260701-cunin</t>
        </is>
      </c>
      <c r="E1781" t="inlineStr">
        <is>
          <t>CUNIN</t>
        </is>
      </c>
      <c r="F1781" s="17" t="n">
        <v>46204</v>
      </c>
      <c r="G1781" t="inlineStr">
        <is>
          <t>no report states where the company is based</t>
        </is>
      </c>
    </row>
    <row r="1782">
      <c r="A1782" t="inlineStr">
        <is>
          <t>C07</t>
        </is>
      </c>
      <c r="B1782" t="inlineStr">
        <is>
          <t>City unknown</t>
        </is>
      </c>
      <c r="C1782" t="inlineStr">
        <is>
          <t>info</t>
        </is>
      </c>
      <c r="D1782" t="inlineStr">
        <is>
          <t>R260701-limelightdiamo</t>
        </is>
      </c>
      <c r="E1782" t="inlineStr">
        <is>
          <t>Limelight Diamonds</t>
        </is>
      </c>
      <c r="F1782" s="17" t="n">
        <v>46204</v>
      </c>
      <c r="G1782" t="inlineStr">
        <is>
          <t>no report states where the company is based</t>
        </is>
      </c>
    </row>
    <row r="1783">
      <c r="A1783" t="inlineStr">
        <is>
          <t>C07</t>
        </is>
      </c>
      <c r="B1783" t="inlineStr">
        <is>
          <t>City unknown</t>
        </is>
      </c>
      <c r="C1783" t="inlineStr">
        <is>
          <t>info</t>
        </is>
      </c>
      <c r="D1783" t="inlineStr">
        <is>
          <t>R260701-supply6</t>
        </is>
      </c>
      <c r="E1783" t="inlineStr">
        <is>
          <t>Supply6</t>
        </is>
      </c>
      <c r="F1783" s="17" t="n">
        <v>46204</v>
      </c>
      <c r="G1783" t="inlineStr">
        <is>
          <t>no report states where the company is based</t>
        </is>
      </c>
    </row>
    <row r="1784">
      <c r="A1784" t="inlineStr">
        <is>
          <t>C07</t>
        </is>
      </c>
      <c r="B1784" t="inlineStr">
        <is>
          <t>City unknown</t>
        </is>
      </c>
      <c r="C1784" t="inlineStr">
        <is>
          <t>info</t>
        </is>
      </c>
      <c r="D1784" t="inlineStr">
        <is>
          <t>R260702-bctventures</t>
        </is>
      </c>
      <c r="E1784" t="inlineStr">
        <is>
          <t>BCT Ventures</t>
        </is>
      </c>
      <c r="F1784" s="17" t="n">
        <v>46205</v>
      </c>
      <c r="G1784" t="inlineStr">
        <is>
          <t>no report states where the company is based</t>
        </is>
      </c>
    </row>
    <row r="1785">
      <c r="A1785" t="inlineStr">
        <is>
          <t>C07</t>
        </is>
      </c>
      <c r="B1785" t="inlineStr">
        <is>
          <t>City unknown</t>
        </is>
      </c>
      <c r="C1785" t="inlineStr">
        <is>
          <t>info</t>
        </is>
      </c>
      <c r="D1785" t="inlineStr">
        <is>
          <t>R260702-playblue</t>
        </is>
      </c>
      <c r="E1785" t="inlineStr">
        <is>
          <t>PlayBlue</t>
        </is>
      </c>
      <c r="F1785" s="17" t="n">
        <v>46205</v>
      </c>
      <c r="G1785" t="inlineStr">
        <is>
          <t>no report states where the company is based</t>
        </is>
      </c>
    </row>
    <row r="1786">
      <c r="A1786" t="inlineStr">
        <is>
          <t>C07</t>
        </is>
      </c>
      <c r="B1786" t="inlineStr">
        <is>
          <t>City unknown</t>
        </is>
      </c>
      <c r="C1786" t="inlineStr">
        <is>
          <t>info</t>
        </is>
      </c>
      <c r="D1786" t="inlineStr">
        <is>
          <t>R260707-fizzygoblet</t>
        </is>
      </c>
      <c r="E1786" t="inlineStr">
        <is>
          <t>Fizzy Goblet</t>
        </is>
      </c>
      <c r="F1786" s="17" t="n">
        <v>46210</v>
      </c>
      <c r="G1786" t="inlineStr">
        <is>
          <t>no report states where the company is based</t>
        </is>
      </c>
    </row>
    <row r="1787">
      <c r="A1787" t="inlineStr">
        <is>
          <t>C07</t>
        </is>
      </c>
      <c r="B1787" t="inlineStr">
        <is>
          <t>City unknown</t>
        </is>
      </c>
      <c r="C1787" t="inlineStr">
        <is>
          <t>info</t>
        </is>
      </c>
      <c r="D1787" t="inlineStr">
        <is>
          <t>R260707-onpoint</t>
        </is>
      </c>
      <c r="E1787" t="inlineStr">
        <is>
          <t>Onpoint</t>
        </is>
      </c>
      <c r="F1787" s="17" t="n">
        <v>46210</v>
      </c>
      <c r="G1787" t="inlineStr">
        <is>
          <t>no report states where the company is based</t>
        </is>
      </c>
    </row>
    <row r="1788">
      <c r="A1788" t="inlineStr">
        <is>
          <t>C07</t>
        </is>
      </c>
      <c r="B1788" t="inlineStr">
        <is>
          <t>City unknown</t>
        </is>
      </c>
      <c r="C1788" t="inlineStr">
        <is>
          <t>info</t>
        </is>
      </c>
      <c r="D1788" t="inlineStr">
        <is>
          <t>R260707-stylework</t>
        </is>
      </c>
      <c r="E1788" t="inlineStr">
        <is>
          <t>Stylework</t>
        </is>
      </c>
      <c r="F1788" s="17" t="n">
        <v>46210</v>
      </c>
      <c r="G1788" t="inlineStr">
        <is>
          <t>no report states where the company is based</t>
        </is>
      </c>
    </row>
    <row r="1789">
      <c r="A1789" t="inlineStr">
        <is>
          <t>C07</t>
        </is>
      </c>
      <c r="B1789" t="inlineStr">
        <is>
          <t>City unknown</t>
        </is>
      </c>
      <c r="C1789" t="inlineStr">
        <is>
          <t>info</t>
        </is>
      </c>
      <c r="D1789" t="inlineStr">
        <is>
          <t>R260707-thumpn</t>
        </is>
      </c>
      <c r="E1789" t="inlineStr">
        <is>
          <t>thumpN</t>
        </is>
      </c>
      <c r="F1789" s="17" t="n">
        <v>46210</v>
      </c>
      <c r="G1789" t="inlineStr">
        <is>
          <t>no report states where the company is based</t>
        </is>
      </c>
    </row>
    <row r="1790">
      <c r="A1790" t="inlineStr">
        <is>
          <t>C07</t>
        </is>
      </c>
      <c r="B1790" t="inlineStr">
        <is>
          <t>City unknown</t>
        </is>
      </c>
      <c r="C1790" t="inlineStr">
        <is>
          <t>info</t>
        </is>
      </c>
      <c r="D1790" t="inlineStr">
        <is>
          <t>R260708-adageautomatio</t>
        </is>
      </c>
      <c r="E1790" t="inlineStr">
        <is>
          <t>Adage Automation</t>
        </is>
      </c>
      <c r="F1790" s="17" t="n">
        <v>46211</v>
      </c>
      <c r="G1790" t="inlineStr">
        <is>
          <t>no report states where the company is based</t>
        </is>
      </c>
    </row>
    <row r="1791">
      <c r="A1791" t="inlineStr">
        <is>
          <t>C07</t>
        </is>
      </c>
      <c r="B1791" t="inlineStr">
        <is>
          <t>City unknown</t>
        </is>
      </c>
      <c r="C1791" t="inlineStr">
        <is>
          <t>info</t>
        </is>
      </c>
      <c r="D1791" t="inlineStr">
        <is>
          <t>R260708-doodhvalefarms</t>
        </is>
      </c>
      <c r="E1791" t="inlineStr">
        <is>
          <t>Doodhvale Farms</t>
        </is>
      </c>
      <c r="F1791" s="17" t="n">
        <v>46211</v>
      </c>
      <c r="G1791" t="inlineStr">
        <is>
          <t>no report states where the company is based</t>
        </is>
      </c>
    </row>
    <row r="1792">
      <c r="A1792" t="inlineStr">
        <is>
          <t>C07</t>
        </is>
      </c>
      <c r="B1792" t="inlineStr">
        <is>
          <t>City unknown</t>
        </is>
      </c>
      <c r="C1792" t="inlineStr">
        <is>
          <t>info</t>
        </is>
      </c>
      <c r="D1792" t="inlineStr">
        <is>
          <t>R260708-rawbare</t>
        </is>
      </c>
      <c r="E1792" t="inlineStr">
        <is>
          <t>Rawbare</t>
        </is>
      </c>
      <c r="F1792" s="17" t="n">
        <v>46211</v>
      </c>
      <c r="G1792" t="inlineStr">
        <is>
          <t>no report states where the company is based</t>
        </is>
      </c>
    </row>
    <row r="1793">
      <c r="A1793" t="inlineStr">
        <is>
          <t>C07</t>
        </is>
      </c>
      <c r="B1793" t="inlineStr">
        <is>
          <t>City unknown</t>
        </is>
      </c>
      <c r="C1793" t="inlineStr">
        <is>
          <t>info</t>
        </is>
      </c>
      <c r="D1793" t="inlineStr">
        <is>
          <t>R260709-hakimo</t>
        </is>
      </c>
      <c r="E1793" t="inlineStr">
        <is>
          <t>Hakimo</t>
        </is>
      </c>
      <c r="F1793" s="17" t="n">
        <v>46212</v>
      </c>
      <c r="G1793" t="inlineStr">
        <is>
          <t>no report states where the company is based</t>
        </is>
      </c>
    </row>
    <row r="1794">
      <c r="A1794" t="inlineStr">
        <is>
          <t>C07</t>
        </is>
      </c>
      <c r="B1794" t="inlineStr">
        <is>
          <t>City unknown</t>
        </is>
      </c>
      <c r="C1794" t="inlineStr">
        <is>
          <t>info</t>
        </is>
      </c>
      <c r="D1794" t="inlineStr">
        <is>
          <t>R260709-neothera</t>
        </is>
      </c>
      <c r="E1794" t="inlineStr">
        <is>
          <t>Neothera</t>
        </is>
      </c>
      <c r="F1794" s="17" t="n">
        <v>46212</v>
      </c>
      <c r="G1794" t="inlineStr">
        <is>
          <t>no report states where the company is based</t>
        </is>
      </c>
    </row>
    <row r="1795">
      <c r="A1795" t="inlineStr">
        <is>
          <t>C07</t>
        </is>
      </c>
      <c r="B1795" t="inlineStr">
        <is>
          <t>City unknown</t>
        </is>
      </c>
      <c r="C1795" t="inlineStr">
        <is>
          <t>info</t>
        </is>
      </c>
      <c r="D1795" t="inlineStr">
        <is>
          <t>R260709-wheelocity</t>
        </is>
      </c>
      <c r="E1795" t="inlineStr">
        <is>
          <t>Wheelocity</t>
        </is>
      </c>
      <c r="F1795" s="17" t="n">
        <v>46212</v>
      </c>
      <c r="G1795" t="inlineStr">
        <is>
          <t>no report states where the company is based</t>
        </is>
      </c>
    </row>
    <row r="1796">
      <c r="A1796" t="inlineStr">
        <is>
          <t>C07</t>
        </is>
      </c>
      <c r="B1796" t="inlineStr">
        <is>
          <t>City unknown</t>
        </is>
      </c>
      <c r="C1796" t="inlineStr">
        <is>
          <t>info</t>
        </is>
      </c>
      <c r="D1796" t="inlineStr">
        <is>
          <t>R260710-purplestylelab</t>
        </is>
      </c>
      <c r="E1796" t="inlineStr">
        <is>
          <t>Purple Style Labs</t>
        </is>
      </c>
      <c r="F1796" s="17" t="n">
        <v>46213</v>
      </c>
      <c r="G1796" t="inlineStr">
        <is>
          <t>no report states where the company is based</t>
        </is>
      </c>
    </row>
    <row r="1797">
      <c r="A1797" t="inlineStr">
        <is>
          <t>C07</t>
        </is>
      </c>
      <c r="B1797" t="inlineStr">
        <is>
          <t>City unknown</t>
        </is>
      </c>
      <c r="C1797" t="inlineStr">
        <is>
          <t>info</t>
        </is>
      </c>
      <c r="D1797" t="inlineStr">
        <is>
          <t>R260710-sumosaveretail</t>
        </is>
      </c>
      <c r="E1797" t="inlineStr">
        <is>
          <t>Sumosave Retail</t>
        </is>
      </c>
      <c r="F1797" s="17" t="n">
        <v>46213</v>
      </c>
      <c r="G1797" t="inlineStr">
        <is>
          <t>no report states where the company is based</t>
        </is>
      </c>
    </row>
    <row r="1798">
      <c r="A1798" t="inlineStr">
        <is>
          <t>C07</t>
        </is>
      </c>
      <c r="B1798" t="inlineStr">
        <is>
          <t>City unknown</t>
        </is>
      </c>
      <c r="C1798" t="inlineStr">
        <is>
          <t>info</t>
        </is>
      </c>
      <c r="D1798" t="inlineStr">
        <is>
          <t>R260713-sortmyprep</t>
        </is>
      </c>
      <c r="E1798" t="inlineStr">
        <is>
          <t>Sortmyprep</t>
        </is>
      </c>
      <c r="F1798" s="17" t="n">
        <v>46216</v>
      </c>
      <c r="G1798" t="inlineStr">
        <is>
          <t>no report states where the company is based</t>
        </is>
      </c>
    </row>
    <row r="1799">
      <c r="A1799" t="inlineStr">
        <is>
          <t>C07</t>
        </is>
      </c>
      <c r="B1799" t="inlineStr">
        <is>
          <t>City unknown</t>
        </is>
      </c>
      <c r="C1799" t="inlineStr">
        <is>
          <t>info</t>
        </is>
      </c>
      <c r="D1799" t="inlineStr">
        <is>
          <t>R260715-ather</t>
        </is>
      </c>
      <c r="E1799" t="inlineStr">
        <is>
          <t>Ather</t>
        </is>
      </c>
      <c r="F1799" s="17" t="n">
        <v>46218</v>
      </c>
      <c r="G1799" t="inlineStr">
        <is>
          <t>no report states where the company is based</t>
        </is>
      </c>
    </row>
    <row r="1800">
      <c r="A1800" t="inlineStr">
        <is>
          <t>C07</t>
        </is>
      </c>
      <c r="B1800" t="inlineStr">
        <is>
          <t>City unknown</t>
        </is>
      </c>
      <c r="C1800" t="inlineStr">
        <is>
          <t>info</t>
        </is>
      </c>
      <c r="D1800" t="inlineStr">
        <is>
          <t>R260715-vorflux</t>
        </is>
      </c>
      <c r="E1800" t="inlineStr">
        <is>
          <t>Vorflux</t>
        </is>
      </c>
      <c r="F1800" s="17" t="n">
        <v>46218</v>
      </c>
      <c r="G1800" t="inlineStr">
        <is>
          <t>no report states where the company is based</t>
        </is>
      </c>
    </row>
    <row r="1801">
      <c r="A1801" t="inlineStr">
        <is>
          <t>C07</t>
        </is>
      </c>
      <c r="B1801" t="inlineStr">
        <is>
          <t>City unknown</t>
        </is>
      </c>
      <c r="C1801" t="inlineStr">
        <is>
          <t>info</t>
        </is>
      </c>
      <c r="D1801" t="inlineStr">
        <is>
          <t>R260716-aina</t>
        </is>
      </c>
      <c r="E1801" t="inlineStr">
        <is>
          <t>Aina</t>
        </is>
      </c>
      <c r="F1801" s="17" t="n">
        <v>46219</v>
      </c>
      <c r="G1801" t="inlineStr">
        <is>
          <t>no report states where the company is based</t>
        </is>
      </c>
    </row>
    <row r="1802">
      <c r="A1802" t="inlineStr">
        <is>
          <t>C07</t>
        </is>
      </c>
      <c r="B1802" t="inlineStr">
        <is>
          <t>City unknown</t>
        </is>
      </c>
      <c r="C1802" t="inlineStr">
        <is>
          <t>info</t>
        </is>
      </c>
      <c r="D1802" t="inlineStr">
        <is>
          <t>R260716-logcatai</t>
        </is>
      </c>
      <c r="E1802" t="inlineStr">
        <is>
          <t>logcat.ai</t>
        </is>
      </c>
      <c r="F1802" s="17" t="n">
        <v>46219</v>
      </c>
      <c r="G1802" t="inlineStr">
        <is>
          <t>no report states where the company is based</t>
        </is>
      </c>
    </row>
    <row r="1803">
      <c r="A1803" t="inlineStr">
        <is>
          <t>C07</t>
        </is>
      </c>
      <c r="B1803" t="inlineStr">
        <is>
          <t>City unknown</t>
        </is>
      </c>
      <c r="C1803" t="inlineStr">
        <is>
          <t>info</t>
        </is>
      </c>
      <c r="D1803" t="inlineStr">
        <is>
          <t>R260716-mandrakebio</t>
        </is>
      </c>
      <c r="E1803" t="inlineStr">
        <is>
          <t>Mandrake Bio</t>
        </is>
      </c>
      <c r="F1803" s="17" t="n">
        <v>46219</v>
      </c>
      <c r="G1803" t="inlineStr">
        <is>
          <t>no report states where the company is based</t>
        </is>
      </c>
    </row>
    <row r="1804">
      <c r="A1804" t="inlineStr">
        <is>
          <t>C07</t>
        </is>
      </c>
      <c r="B1804" t="inlineStr">
        <is>
          <t>City unknown</t>
        </is>
      </c>
      <c r="C1804" t="inlineStr">
        <is>
          <t>info</t>
        </is>
      </c>
      <c r="D1804" t="inlineStr">
        <is>
          <t>R260716-naptapgo</t>
        </is>
      </c>
      <c r="E1804" t="inlineStr">
        <is>
          <t>NapTapGo</t>
        </is>
      </c>
      <c r="F1804" s="17" t="n">
        <v>46219</v>
      </c>
      <c r="G1804" t="inlineStr">
        <is>
          <t>no report states where the company is based</t>
        </is>
      </c>
    </row>
    <row r="1805">
      <c r="A1805" t="inlineStr">
        <is>
          <t>C07</t>
        </is>
      </c>
      <c r="B1805" t="inlineStr">
        <is>
          <t>City unknown</t>
        </is>
      </c>
      <c r="C1805" t="inlineStr">
        <is>
          <t>info</t>
        </is>
      </c>
      <c r="D1805" t="inlineStr">
        <is>
          <t>R260716-othorai</t>
        </is>
      </c>
      <c r="E1805" t="inlineStr">
        <is>
          <t>Othor AI</t>
        </is>
      </c>
      <c r="F1805" s="17" t="n">
        <v>46219</v>
      </c>
      <c r="G1805" t="inlineStr">
        <is>
          <t>no report states where the company is based</t>
        </is>
      </c>
    </row>
    <row r="1806">
      <c r="A1806" t="inlineStr">
        <is>
          <t>C07</t>
        </is>
      </c>
      <c r="B1806" t="inlineStr">
        <is>
          <t>City unknown</t>
        </is>
      </c>
      <c r="C1806" t="inlineStr">
        <is>
          <t>info</t>
        </is>
      </c>
      <c r="D1806" t="inlineStr">
        <is>
          <t>R260716-reodev</t>
        </is>
      </c>
      <c r="E1806" t="inlineStr">
        <is>
          <t>Reo.Dev</t>
        </is>
      </c>
      <c r="F1806" s="17" t="n">
        <v>46219</v>
      </c>
      <c r="G1806" t="inlineStr">
        <is>
          <t>no report states where the company is based</t>
        </is>
      </c>
    </row>
    <row r="1807">
      <c r="A1807" t="inlineStr">
        <is>
          <t>C07</t>
        </is>
      </c>
      <c r="B1807" t="inlineStr">
        <is>
          <t>City unknown</t>
        </is>
      </c>
      <c r="C1807" t="inlineStr">
        <is>
          <t>info</t>
        </is>
      </c>
      <c r="D1807" t="inlineStr">
        <is>
          <t>R260716-smytten</t>
        </is>
      </c>
      <c r="E1807" t="inlineStr">
        <is>
          <t>Smytten</t>
        </is>
      </c>
      <c r="F1807" s="17" t="n">
        <v>46219</v>
      </c>
      <c r="G1807" t="inlineStr">
        <is>
          <t>no report states where the company is based</t>
        </is>
      </c>
    </row>
    <row r="1808">
      <c r="A1808" t="inlineStr">
        <is>
          <t>C07</t>
        </is>
      </c>
      <c r="B1808" t="inlineStr">
        <is>
          <t>City unknown</t>
        </is>
      </c>
      <c r="C1808" t="inlineStr">
        <is>
          <t>info</t>
        </is>
      </c>
      <c r="D1808" t="inlineStr">
        <is>
          <t>R260720-raghuvamsiaero</t>
        </is>
      </c>
      <c r="E1808" t="inlineStr">
        <is>
          <t>Raghu Vamsi Aerospace</t>
        </is>
      </c>
      <c r="F1808" s="17" t="n">
        <v>46223</v>
      </c>
      <c r="G1808" t="inlineStr">
        <is>
          <t>no report states where the company is based</t>
        </is>
      </c>
    </row>
    <row r="1809">
      <c r="A1809" t="inlineStr">
        <is>
          <t>C07</t>
        </is>
      </c>
      <c r="B1809" t="inlineStr">
        <is>
          <t>City unknown</t>
        </is>
      </c>
      <c r="C1809" t="inlineStr">
        <is>
          <t>info</t>
        </is>
      </c>
      <c r="D1809" t="inlineStr">
        <is>
          <t>R260721-khageshvaraavi</t>
        </is>
      </c>
      <c r="E1809" t="inlineStr">
        <is>
          <t>Khageshvara Aviation Technology</t>
        </is>
      </c>
      <c r="F1809" s="17" t="n">
        <v>46224</v>
      </c>
      <c r="G1809" t="inlineStr">
        <is>
          <t>no report states where the company is based</t>
        </is>
      </c>
    </row>
    <row r="1810">
      <c r="A1810" t="inlineStr">
        <is>
          <t>C07</t>
        </is>
      </c>
      <c r="B1810" t="inlineStr">
        <is>
          <t>City unknown</t>
        </is>
      </c>
      <c r="C1810" t="inlineStr">
        <is>
          <t>info</t>
        </is>
      </c>
      <c r="D1810" t="inlineStr">
        <is>
          <t>R260721-suminterindiao</t>
        </is>
      </c>
      <c r="E1810" t="inlineStr">
        <is>
          <t>Suminter India Organics</t>
        </is>
      </c>
      <c r="F1810" s="17" t="n">
        <v>46224</v>
      </c>
      <c r="G1810" t="inlineStr">
        <is>
          <t>no report states where the company is based</t>
        </is>
      </c>
    </row>
    <row r="1811">
      <c r="A1811" t="inlineStr">
        <is>
          <t>C07</t>
        </is>
      </c>
      <c r="B1811" t="inlineStr">
        <is>
          <t>City unknown</t>
        </is>
      </c>
      <c r="C1811" t="inlineStr">
        <is>
          <t>info</t>
        </is>
      </c>
      <c r="D1811" t="inlineStr">
        <is>
          <t>R260723-carplai</t>
        </is>
      </c>
      <c r="E1811" t="inlineStr">
        <is>
          <t>CARPL.ai</t>
        </is>
      </c>
      <c r="F1811" s="17" t="n">
        <v>46226</v>
      </c>
      <c r="G1811" t="inlineStr">
        <is>
          <t>no report states where the company is based</t>
        </is>
      </c>
    </row>
    <row r="1812">
      <c r="A1812" t="inlineStr">
        <is>
          <t>C07</t>
        </is>
      </c>
      <c r="B1812" t="inlineStr">
        <is>
          <t>City unknown</t>
        </is>
      </c>
      <c r="C1812" t="inlineStr">
        <is>
          <t>info</t>
        </is>
      </c>
      <c r="D1812" t="inlineStr">
        <is>
          <t>R260723-farmwattinnova</t>
        </is>
      </c>
      <c r="E1812" t="inlineStr">
        <is>
          <t>Farm Watt</t>
        </is>
      </c>
      <c r="F1812" s="17" t="n">
        <v>46226</v>
      </c>
      <c r="G1812" t="inlineStr">
        <is>
          <t>no report states where the company is based</t>
        </is>
      </c>
    </row>
    <row r="1813">
      <c r="A1813" t="inlineStr">
        <is>
          <t>C07</t>
        </is>
      </c>
      <c r="B1813" t="inlineStr">
        <is>
          <t>City unknown</t>
        </is>
      </c>
      <c r="C1813" t="inlineStr">
        <is>
          <t>info</t>
        </is>
      </c>
      <c r="D1813" t="inlineStr">
        <is>
          <t>R260728-houseofstudent</t>
        </is>
      </c>
      <c r="E1813" t="inlineStr">
        <is>
          <t>House of Student</t>
        </is>
      </c>
      <c r="F1813" s="17" t="n">
        <v>46231</v>
      </c>
      <c r="G1813" t="inlineStr">
        <is>
          <t>no report states where the company is based</t>
        </is>
      </c>
    </row>
    <row r="1814">
      <c r="A1814" t="inlineStr">
        <is>
          <t>C07</t>
        </is>
      </c>
      <c r="B1814" t="inlineStr">
        <is>
          <t>City unknown</t>
        </is>
      </c>
      <c r="C1814" t="inlineStr">
        <is>
          <t>info</t>
        </is>
      </c>
      <c r="D1814" t="inlineStr">
        <is>
          <t>R260728-walbhaindustri</t>
        </is>
      </c>
      <c r="E1814" t="inlineStr">
        <is>
          <t>Walbha Industries</t>
        </is>
      </c>
      <c r="F1814" s="17" t="n">
        <v>46231</v>
      </c>
      <c r="G1814" t="inlineStr">
        <is>
          <t>no report states where the company is based</t>
        </is>
      </c>
    </row>
    <row r="1815">
      <c r="A1815" t="inlineStr">
        <is>
          <t>C07</t>
        </is>
      </c>
      <c r="B1815" t="inlineStr">
        <is>
          <t>City unknown</t>
        </is>
      </c>
      <c r="C1815" t="inlineStr">
        <is>
          <t>info</t>
        </is>
      </c>
      <c r="D1815" t="inlineStr">
        <is>
          <t>R260729-freehand</t>
        </is>
      </c>
      <c r="E1815" t="inlineStr">
        <is>
          <t>Freehand</t>
        </is>
      </c>
      <c r="F1815" s="17" t="n">
        <v>46232</v>
      </c>
      <c r="G1815" t="inlineStr">
        <is>
          <t>no report states where the company is based</t>
        </is>
      </c>
    </row>
    <row r="1816">
      <c r="A1816" t="inlineStr">
        <is>
          <t>C07</t>
        </is>
      </c>
      <c r="B1816" t="inlineStr">
        <is>
          <t>City unknown</t>
        </is>
      </c>
      <c r="C1816" t="inlineStr">
        <is>
          <t>info</t>
        </is>
      </c>
      <c r="D1816" t="inlineStr">
        <is>
          <t>R260730-ahamhousingfin</t>
        </is>
      </c>
      <c r="E1816" t="inlineStr">
        <is>
          <t>Aham Housing Finance</t>
        </is>
      </c>
      <c r="F1816" s="17" t="n">
        <v>46233</v>
      </c>
      <c r="G1816" t="inlineStr">
        <is>
          <t>no report states where the company is based</t>
        </is>
      </c>
    </row>
    <row r="1817">
      <c r="A1817" t="inlineStr">
        <is>
          <t>C07</t>
        </is>
      </c>
      <c r="B1817" t="inlineStr">
        <is>
          <t>City unknown</t>
        </is>
      </c>
      <c r="C1817" t="inlineStr">
        <is>
          <t>info</t>
        </is>
      </c>
      <c r="D1817" t="inlineStr">
        <is>
          <t>R260731-smallestai</t>
        </is>
      </c>
      <c r="E1817" t="inlineStr">
        <is>
          <t>Smallest.ai</t>
        </is>
      </c>
      <c r="F1817" s="17" t="n">
        <v>46234</v>
      </c>
      <c r="G1817" t="inlineStr">
        <is>
          <t>no report states where the company is based</t>
        </is>
      </c>
    </row>
    <row r="1818">
      <c r="A1818" t="inlineStr">
        <is>
          <t>C07</t>
        </is>
      </c>
      <c r="B1818" t="inlineStr">
        <is>
          <t>City unknown</t>
        </is>
      </c>
      <c r="C1818" t="inlineStr">
        <is>
          <t>info</t>
        </is>
      </c>
      <c r="D1818" t="inlineStr">
        <is>
          <t>R260803-kaapimachines</t>
        </is>
      </c>
      <c r="E1818" t="inlineStr">
        <is>
          <t>Kaapi Machines</t>
        </is>
      </c>
      <c r="F1818" s="17" t="n">
        <v>46237</v>
      </c>
      <c r="G1818" t="inlineStr">
        <is>
          <t>no report states where the company is based</t>
        </is>
      </c>
    </row>
    <row r="1819">
      <c r="A1819" t="inlineStr">
        <is>
          <t>C07</t>
        </is>
      </c>
      <c r="B1819" t="inlineStr">
        <is>
          <t>City unknown</t>
        </is>
      </c>
      <c r="C1819" t="inlineStr">
        <is>
          <t>info</t>
        </is>
      </c>
      <c r="D1819" t="inlineStr">
        <is>
          <t>R260803-roadgrid</t>
        </is>
      </c>
      <c r="E1819" t="inlineStr">
        <is>
          <t>RoadGrid</t>
        </is>
      </c>
      <c r="F1819" s="17" t="n">
        <v>46237</v>
      </c>
      <c r="G1819" t="inlineStr">
        <is>
          <t>no report states where the company is based</t>
        </is>
      </c>
    </row>
    <row r="1820">
      <c r="A1820" t="inlineStr">
        <is>
          <t>C07</t>
        </is>
      </c>
      <c r="B1820" t="inlineStr">
        <is>
          <t>City unknown</t>
        </is>
      </c>
      <c r="C1820" t="inlineStr">
        <is>
          <t>info</t>
        </is>
      </c>
      <c r="D1820" t="inlineStr">
        <is>
          <t>R260803-unbloc</t>
        </is>
      </c>
      <c r="E1820" t="inlineStr">
        <is>
          <t>UN:BLOC</t>
        </is>
      </c>
      <c r="F1820" s="17" t="n">
        <v>46237</v>
      </c>
      <c r="G1820" t="inlineStr">
        <is>
          <t>no report states where the company is based</t>
        </is>
      </c>
    </row>
    <row r="1821">
      <c r="A1821" t="inlineStr">
        <is>
          <t>C07</t>
        </is>
      </c>
      <c r="B1821" t="inlineStr">
        <is>
          <t>City unknown</t>
        </is>
      </c>
      <c r="C1821" t="inlineStr">
        <is>
          <t>info</t>
        </is>
      </c>
      <c r="D1821" t="inlineStr">
        <is>
          <t>R260804-kily</t>
        </is>
      </c>
      <c r="E1821" t="inlineStr">
        <is>
          <t>Kily</t>
        </is>
      </c>
      <c r="F1821" s="17" t="n">
        <v>46238</v>
      </c>
      <c r="G1821" t="inlineStr">
        <is>
          <t>no report states where the company is based</t>
        </is>
      </c>
    </row>
    <row r="1822">
      <c r="A1822" t="inlineStr">
        <is>
          <t>C07</t>
        </is>
      </c>
      <c r="B1822" t="inlineStr">
        <is>
          <t>City unknown</t>
        </is>
      </c>
      <c r="C1822" t="inlineStr">
        <is>
          <t>info</t>
        </is>
      </c>
      <c r="D1822" t="inlineStr">
        <is>
          <t>R260805-inrisklabs</t>
        </is>
      </c>
      <c r="E1822" t="inlineStr">
        <is>
          <t>InRisk Labs</t>
        </is>
      </c>
      <c r="F1822" s="17" t="n">
        <v>46239</v>
      </c>
      <c r="G1822" t="inlineStr">
        <is>
          <t>no report states where the company is based</t>
        </is>
      </c>
    </row>
    <row r="1823">
      <c r="A1823" t="inlineStr">
        <is>
          <t>C07</t>
        </is>
      </c>
      <c r="B1823" t="inlineStr">
        <is>
          <t>City unknown</t>
        </is>
      </c>
      <c r="C1823" t="inlineStr">
        <is>
          <t>info</t>
        </is>
      </c>
      <c r="D1823" t="inlineStr">
        <is>
          <t>R260805-lighthousecant</t>
        </is>
      </c>
      <c r="E1823" t="inlineStr">
        <is>
          <t>Lighthouse Canton</t>
        </is>
      </c>
      <c r="F1823" s="17" t="n">
        <v>46239</v>
      </c>
      <c r="G1823" t="inlineStr">
        <is>
          <t>no report states where the company is based</t>
        </is>
      </c>
    </row>
    <row r="1824">
      <c r="A1824" t="inlineStr">
        <is>
          <t>C07</t>
        </is>
      </c>
      <c r="B1824" t="inlineStr">
        <is>
          <t>City unknown</t>
        </is>
      </c>
      <c r="C1824" t="inlineStr">
        <is>
          <t>info</t>
        </is>
      </c>
      <c r="D1824" t="inlineStr">
        <is>
          <t>R260805-mittilabs</t>
        </is>
      </c>
      <c r="E1824" t="inlineStr">
        <is>
          <t>Mitti Labs</t>
        </is>
      </c>
      <c r="F1824" s="17" t="n">
        <v>46239</v>
      </c>
      <c r="G1824" t="inlineStr">
        <is>
          <t>no report states where the company is based</t>
        </is>
      </c>
    </row>
    <row r="1825">
      <c r="A1825" t="inlineStr">
        <is>
          <t>C07</t>
        </is>
      </c>
      <c r="B1825" t="inlineStr">
        <is>
          <t>City unknown</t>
        </is>
      </c>
      <c r="C1825" t="inlineStr">
        <is>
          <t>info</t>
        </is>
      </c>
      <c r="D1825" t="inlineStr">
        <is>
          <t>R260805-pinegap</t>
        </is>
      </c>
      <c r="E1825" t="inlineStr">
        <is>
          <t>Pinegap</t>
        </is>
      </c>
      <c r="F1825" s="17" t="n">
        <v>46239</v>
      </c>
      <c r="G1825" t="inlineStr">
        <is>
          <t>no report states where the company is based</t>
        </is>
      </c>
    </row>
    <row r="1826">
      <c r="A1826" t="inlineStr">
        <is>
          <t>C07</t>
        </is>
      </c>
      <c r="B1826" t="inlineStr">
        <is>
          <t>City unknown</t>
        </is>
      </c>
      <c r="C1826" t="inlineStr">
        <is>
          <t>info</t>
        </is>
      </c>
      <c r="D1826" t="inlineStr">
        <is>
          <t>R260805-rivermobility</t>
        </is>
      </c>
      <c r="E1826" t="inlineStr">
        <is>
          <t>River Mobility</t>
        </is>
      </c>
      <c r="F1826" s="17" t="n">
        <v>46239</v>
      </c>
      <c r="G1826" t="inlineStr">
        <is>
          <t>no report states where the company is based</t>
        </is>
      </c>
    </row>
    <row r="1827">
      <c r="A1827" t="inlineStr">
        <is>
          <t>C07</t>
        </is>
      </c>
      <c r="B1827" t="inlineStr">
        <is>
          <t>City unknown</t>
        </is>
      </c>
      <c r="C1827" t="inlineStr">
        <is>
          <t>info</t>
        </is>
      </c>
      <c r="D1827" t="inlineStr">
        <is>
          <t>R260805-typsybeauty</t>
        </is>
      </c>
      <c r="E1827" t="inlineStr">
        <is>
          <t>Typsy Beauty</t>
        </is>
      </c>
      <c r="F1827" s="17" t="n">
        <v>46239</v>
      </c>
      <c r="G1827" t="inlineStr">
        <is>
          <t>no report states where the company is based</t>
        </is>
      </c>
    </row>
    <row r="1828">
      <c r="A1828" t="inlineStr">
        <is>
          <t>C07</t>
        </is>
      </c>
      <c r="B1828" t="inlineStr">
        <is>
          <t>City unknown</t>
        </is>
      </c>
      <c r="C1828" t="inlineStr">
        <is>
          <t>info</t>
        </is>
      </c>
      <c r="D1828" t="inlineStr">
        <is>
          <t>R260805-vingo</t>
        </is>
      </c>
      <c r="E1828" t="inlineStr">
        <is>
          <t>Vingo</t>
        </is>
      </c>
      <c r="F1828" s="17" t="n">
        <v>46239</v>
      </c>
      <c r="G1828" t="inlineStr">
        <is>
          <t>no report states where the company is based</t>
        </is>
      </c>
    </row>
    <row r="1829">
      <c r="A1829" t="inlineStr">
        <is>
          <t>C07</t>
        </is>
      </c>
      <c r="B1829" t="inlineStr">
        <is>
          <t>City unknown</t>
        </is>
      </c>
      <c r="C1829" t="inlineStr">
        <is>
          <t>info</t>
        </is>
      </c>
      <c r="D1829" t="inlineStr">
        <is>
          <t>R260806-leapindia</t>
        </is>
      </c>
      <c r="E1829" t="inlineStr">
        <is>
          <t>Leap India</t>
        </is>
      </c>
      <c r="F1829" s="17" t="n">
        <v>46240</v>
      </c>
      <c r="G1829" t="inlineStr">
        <is>
          <t>no report states where the company is based</t>
        </is>
      </c>
    </row>
    <row r="1830">
      <c r="A1830" t="inlineStr">
        <is>
          <t>C07</t>
        </is>
      </c>
      <c r="B1830" t="inlineStr">
        <is>
          <t>City unknown</t>
        </is>
      </c>
      <c r="C1830" t="inlineStr">
        <is>
          <t>info</t>
        </is>
      </c>
      <c r="D1830" t="inlineStr">
        <is>
          <t>R260807-m2p</t>
        </is>
      </c>
      <c r="E1830" t="inlineStr">
        <is>
          <t>M2P</t>
        </is>
      </c>
      <c r="F1830" s="17" t="n">
        <v>46241</v>
      </c>
      <c r="G1830" t="inlineStr">
        <is>
          <t>no report states where the company is based</t>
        </is>
      </c>
    </row>
    <row r="1831">
      <c r="A1831" t="inlineStr">
        <is>
          <t>C07</t>
        </is>
      </c>
      <c r="B1831" t="inlineStr">
        <is>
          <t>City unknown</t>
        </is>
      </c>
      <c r="C1831" t="inlineStr">
        <is>
          <t>info</t>
        </is>
      </c>
      <c r="D1831" t="inlineStr">
        <is>
          <t>R260810-discoveredmate</t>
        </is>
      </c>
      <c r="E1831" t="inlineStr">
        <is>
          <t>Discovered Materials</t>
        </is>
      </c>
      <c r="F1831" s="17" t="n">
        <v>46244</v>
      </c>
      <c r="G1831" t="inlineStr">
        <is>
          <t>no report states where the company is based</t>
        </is>
      </c>
    </row>
    <row r="1832">
      <c r="A1832" t="inlineStr">
        <is>
          <t>C07</t>
        </is>
      </c>
      <c r="B1832" t="inlineStr">
        <is>
          <t>City unknown</t>
        </is>
      </c>
      <c r="C1832" t="inlineStr">
        <is>
          <t>info</t>
        </is>
      </c>
      <c r="D1832" t="inlineStr">
        <is>
          <t>R260811-freightfox</t>
        </is>
      </c>
      <c r="E1832" t="inlineStr">
        <is>
          <t>FreightFox</t>
        </is>
      </c>
      <c r="F1832" s="17" t="n">
        <v>46245</v>
      </c>
      <c r="G1832" t="inlineStr">
        <is>
          <t>no report states where the company is based</t>
        </is>
      </c>
    </row>
    <row r="1833">
      <c r="A1833" t="inlineStr">
        <is>
          <t>C07</t>
        </is>
      </c>
      <c r="B1833" t="inlineStr">
        <is>
          <t>City unknown</t>
        </is>
      </c>
      <c r="C1833" t="inlineStr">
        <is>
          <t>info</t>
        </is>
      </c>
      <c r="D1833" t="inlineStr">
        <is>
          <t>R260813-blacksmith</t>
        </is>
      </c>
      <c r="E1833" t="inlineStr">
        <is>
          <t>Blacksmith</t>
        </is>
      </c>
      <c r="F1833" s="17" t="n">
        <v>46246</v>
      </c>
      <c r="G1833" t="inlineStr">
        <is>
          <t>no report states where the company is based</t>
        </is>
      </c>
    </row>
    <row r="1834">
      <c r="A1834" t="inlineStr">
        <is>
          <t>C07</t>
        </is>
      </c>
      <c r="B1834" t="inlineStr">
        <is>
          <t>City unknown</t>
        </is>
      </c>
      <c r="C1834" t="inlineStr">
        <is>
          <t>info</t>
        </is>
      </c>
      <c r="D1834" t="inlineStr">
        <is>
          <t>R260813-invisel</t>
        </is>
      </c>
      <c r="E1834" t="inlineStr">
        <is>
          <t>Invisel</t>
        </is>
      </c>
      <c r="F1834" s="17" t="n">
        <v>46247</v>
      </c>
      <c r="G1834" t="inlineStr">
        <is>
          <t>no report states where the company is based</t>
        </is>
      </c>
    </row>
    <row r="1835">
      <c r="A1835" t="inlineStr">
        <is>
          <t>C07</t>
        </is>
      </c>
      <c r="B1835" t="inlineStr">
        <is>
          <t>City unknown</t>
        </is>
      </c>
      <c r="C1835" t="inlineStr">
        <is>
          <t>info</t>
        </is>
      </c>
      <c r="D1835" t="inlineStr">
        <is>
          <t>R260813-kshatralabs</t>
        </is>
      </c>
      <c r="E1835" t="inlineStr">
        <is>
          <t>KshatraLabs</t>
        </is>
      </c>
      <c r="F1835" s="17" t="n">
        <v>46247</v>
      </c>
      <c r="G1835" t="inlineStr">
        <is>
          <t>no report states where the company is based</t>
        </is>
      </c>
    </row>
    <row r="1836">
      <c r="A1836" t="inlineStr">
        <is>
          <t>C07</t>
        </is>
      </c>
      <c r="B1836" t="inlineStr">
        <is>
          <t>City unknown</t>
        </is>
      </c>
      <c r="C1836" t="inlineStr">
        <is>
          <t>info</t>
        </is>
      </c>
      <c r="D1836" t="inlineStr">
        <is>
          <t>R260817-dehaathonestfa</t>
        </is>
      </c>
      <c r="E1836" t="inlineStr">
        <is>
          <t>DeHaat Honest Farms</t>
        </is>
      </c>
      <c r="F1836" s="17" t="n">
        <v>46251</v>
      </c>
      <c r="G1836" t="inlineStr">
        <is>
          <t>no report states where the company is based</t>
        </is>
      </c>
    </row>
    <row r="1837">
      <c r="A1837" t="inlineStr">
        <is>
          <t>C07</t>
        </is>
      </c>
      <c r="B1837" t="inlineStr">
        <is>
          <t>City unknown</t>
        </is>
      </c>
      <c r="C1837" t="inlineStr">
        <is>
          <t>info</t>
        </is>
      </c>
      <c r="D1837" t="inlineStr">
        <is>
          <t>R260818-neogeo</t>
        </is>
      </c>
      <c r="E1837" t="inlineStr">
        <is>
          <t>NeoGeo</t>
        </is>
      </c>
      <c r="F1837" s="17" t="n">
        <v>46252</v>
      </c>
      <c r="G1837" t="inlineStr">
        <is>
          <t>no report states where the company is based</t>
        </is>
      </c>
    </row>
    <row r="1838">
      <c r="A1838" t="inlineStr">
        <is>
          <t>C07</t>
        </is>
      </c>
      <c r="B1838" t="inlineStr">
        <is>
          <t>City unknown</t>
        </is>
      </c>
      <c r="C1838" t="inlineStr">
        <is>
          <t>info</t>
        </is>
      </c>
      <c r="D1838" t="inlineStr">
        <is>
          <t>R260819-bookmyshow</t>
        </is>
      </c>
      <c r="E1838" t="inlineStr">
        <is>
          <t>BookMyShow</t>
        </is>
      </c>
      <c r="F1838" s="17" t="n">
        <v>46253</v>
      </c>
      <c r="G1838" t="inlineStr">
        <is>
          <t>no report states where the company is based</t>
        </is>
      </c>
    </row>
    <row r="1839">
      <c r="A1839" t="inlineStr">
        <is>
          <t>C07</t>
        </is>
      </c>
      <c r="B1839" t="inlineStr">
        <is>
          <t>City unknown</t>
        </is>
      </c>
      <c r="C1839" t="inlineStr">
        <is>
          <t>info</t>
        </is>
      </c>
      <c r="D1839" t="inlineStr">
        <is>
          <t>R260819-ctrls</t>
        </is>
      </c>
      <c r="E1839" t="inlineStr">
        <is>
          <t>CtrlS DataCenters</t>
        </is>
      </c>
      <c r="F1839" s="17" t="n">
        <v>46253</v>
      </c>
      <c r="G1839" t="inlineStr">
        <is>
          <t>no report states where the company is based</t>
        </is>
      </c>
    </row>
    <row r="1840">
      <c r="A1840" t="inlineStr">
        <is>
          <t>C07</t>
        </is>
      </c>
      <c r="B1840" t="inlineStr">
        <is>
          <t>City unknown</t>
        </is>
      </c>
      <c r="C1840" t="inlineStr">
        <is>
          <t>info</t>
        </is>
      </c>
      <c r="D1840" t="inlineStr">
        <is>
          <t>R260819-firstcoffee</t>
        </is>
      </c>
      <c r="E1840" t="inlineStr">
        <is>
          <t>First Coffee</t>
        </is>
      </c>
      <c r="F1840" s="17" t="n">
        <v>46253</v>
      </c>
      <c r="G1840" t="inlineStr">
        <is>
          <t>no report states where the company is based</t>
        </is>
      </c>
    </row>
    <row r="1841">
      <c r="A1841" t="inlineStr">
        <is>
          <t>C07</t>
        </is>
      </c>
      <c r="B1841" t="inlineStr">
        <is>
          <t>City unknown</t>
        </is>
      </c>
      <c r="C1841" t="inlineStr">
        <is>
          <t>info</t>
        </is>
      </c>
      <c r="D1841" t="inlineStr">
        <is>
          <t>R260821-greenjoules</t>
        </is>
      </c>
      <c r="E1841" t="inlineStr">
        <is>
          <t>Greenjoules</t>
        </is>
      </c>
      <c r="F1841" s="17" t="n">
        <v>46255</v>
      </c>
      <c r="G1841" t="inlineStr">
        <is>
          <t>no report states where the company is based</t>
        </is>
      </c>
    </row>
    <row r="1842">
      <c r="A1842" t="inlineStr">
        <is>
          <t>C07</t>
        </is>
      </c>
      <c r="B1842" t="inlineStr">
        <is>
          <t>City unknown</t>
        </is>
      </c>
      <c r="C1842" t="inlineStr">
        <is>
          <t>info</t>
        </is>
      </c>
      <c r="D1842" t="inlineStr">
        <is>
          <t>R260822-atomberg</t>
        </is>
      </c>
      <c r="E1842" t="inlineStr">
        <is>
          <t>Atomberg</t>
        </is>
      </c>
      <c r="F1842" s="17" t="n">
        <v>46256</v>
      </c>
      <c r="G1842" t="inlineStr">
        <is>
          <t>no report states where the company is based</t>
        </is>
      </c>
    </row>
    <row r="1843">
      <c r="A1843" t="inlineStr">
        <is>
          <t>C07</t>
        </is>
      </c>
      <c r="B1843" t="inlineStr">
        <is>
          <t>City unknown</t>
        </is>
      </c>
      <c r="C1843" t="inlineStr">
        <is>
          <t>info</t>
        </is>
      </c>
      <c r="D1843" t="inlineStr">
        <is>
          <t>R260825-echovane</t>
        </is>
      </c>
      <c r="E1843" t="inlineStr">
        <is>
          <t>Echovane</t>
        </is>
      </c>
      <c r="F1843" s="17" t="n">
        <v>46259</v>
      </c>
      <c r="G1843" t="inlineStr">
        <is>
          <t>no report states where the company is based</t>
        </is>
      </c>
    </row>
    <row r="1844">
      <c r="A1844" t="inlineStr">
        <is>
          <t>C07</t>
        </is>
      </c>
      <c r="B1844" t="inlineStr">
        <is>
          <t>City unknown</t>
        </is>
      </c>
      <c r="C1844" t="inlineStr">
        <is>
          <t>info</t>
        </is>
      </c>
      <c r="D1844" t="inlineStr">
        <is>
          <t>R260825-nexedgecapital</t>
        </is>
      </c>
      <c r="E1844" t="inlineStr">
        <is>
          <t>Nexedge Capital</t>
        </is>
      </c>
      <c r="F1844" s="17" t="n">
        <v>46259</v>
      </c>
      <c r="G1844" t="inlineStr">
        <is>
          <t>no report states where the company is based</t>
        </is>
      </c>
    </row>
    <row r="1845">
      <c r="A1845" t="inlineStr">
        <is>
          <t>C07</t>
        </is>
      </c>
      <c r="B1845" t="inlineStr">
        <is>
          <t>City unknown</t>
        </is>
      </c>
      <c r="C1845" t="inlineStr">
        <is>
          <t>info</t>
        </is>
      </c>
      <c r="D1845" t="inlineStr">
        <is>
          <t>R260825-staywellhealth</t>
        </is>
      </c>
      <c r="E1845" t="inlineStr">
        <is>
          <t>Staywell.Health</t>
        </is>
      </c>
      <c r="F1845" s="17" t="n">
        <v>46259</v>
      </c>
      <c r="G1845" t="inlineStr">
        <is>
          <t>no report states where the company is based</t>
        </is>
      </c>
    </row>
    <row r="1846">
      <c r="A1846" t="inlineStr">
        <is>
          <t>C07</t>
        </is>
      </c>
      <c r="B1846" t="inlineStr">
        <is>
          <t>City unknown</t>
        </is>
      </c>
      <c r="C1846" t="inlineStr">
        <is>
          <t>info</t>
        </is>
      </c>
      <c r="D1846" t="inlineStr">
        <is>
          <t>R260826-brisiltechnolo</t>
        </is>
      </c>
      <c r="E1846" t="inlineStr">
        <is>
          <t>Brisil Technologies</t>
        </is>
      </c>
      <c r="F1846" s="17" t="n">
        <v>46260</v>
      </c>
      <c r="G1846" t="inlineStr">
        <is>
          <t>no report states where the company is based</t>
        </is>
      </c>
    </row>
    <row r="1847">
      <c r="A1847" t="inlineStr">
        <is>
          <t>C07</t>
        </is>
      </c>
      <c r="B1847" t="inlineStr">
        <is>
          <t>City unknown</t>
        </is>
      </c>
      <c r="C1847" t="inlineStr">
        <is>
          <t>info</t>
        </is>
      </c>
      <c r="D1847" t="inlineStr">
        <is>
          <t>R260827-biryanibees</t>
        </is>
      </c>
      <c r="E1847" t="inlineStr">
        <is>
          <t>Biryani Bees</t>
        </is>
      </c>
      <c r="F1847" s="17" t="n">
        <v>46261</v>
      </c>
      <c r="G1847" t="inlineStr">
        <is>
          <t>no report states where the company is based</t>
        </is>
      </c>
    </row>
    <row r="1848">
      <c r="A1848" t="inlineStr">
        <is>
          <t>C07</t>
        </is>
      </c>
      <c r="B1848" t="inlineStr">
        <is>
          <t>City unknown</t>
        </is>
      </c>
      <c r="C1848" t="inlineStr">
        <is>
          <t>info</t>
        </is>
      </c>
      <c r="D1848" t="inlineStr">
        <is>
          <t>R260827-edgeverse</t>
        </is>
      </c>
      <c r="E1848" t="inlineStr">
        <is>
          <t>Edgeverse</t>
        </is>
      </c>
      <c r="F1848" s="17" t="n">
        <v>46261</v>
      </c>
      <c r="G1848" t="inlineStr">
        <is>
          <t>no report states where the company is based</t>
        </is>
      </c>
    </row>
    <row r="1849">
      <c r="A1849" t="inlineStr">
        <is>
          <t>C07</t>
        </is>
      </c>
      <c r="B1849" t="inlineStr">
        <is>
          <t>City unknown</t>
        </is>
      </c>
      <c r="C1849" t="inlineStr">
        <is>
          <t>info</t>
        </is>
      </c>
      <c r="D1849" t="inlineStr">
        <is>
          <t>R260831-chinikum</t>
        </is>
      </c>
      <c r="E1849" t="inlineStr">
        <is>
          <t>CHINI KUM</t>
        </is>
      </c>
      <c r="F1849" s="17" t="n">
        <v>46265</v>
      </c>
      <c r="G1849" t="inlineStr">
        <is>
          <t>no report states where the company is based</t>
        </is>
      </c>
    </row>
    <row r="1850">
      <c r="A1850" t="inlineStr">
        <is>
          <t>C07</t>
        </is>
      </c>
      <c r="B1850" t="inlineStr">
        <is>
          <t>City unknown</t>
        </is>
      </c>
      <c r="C1850" t="inlineStr">
        <is>
          <t>info</t>
        </is>
      </c>
      <c r="D1850" t="inlineStr">
        <is>
          <t>R260831-growwamc</t>
        </is>
      </c>
      <c r="E1850" t="inlineStr">
        <is>
          <t>Groww AMC</t>
        </is>
      </c>
      <c r="F1850" s="17" t="n">
        <v>46265</v>
      </c>
      <c r="G1850" t="inlineStr">
        <is>
          <t>no report states where the company is based</t>
        </is>
      </c>
    </row>
    <row r="1851">
      <c r="A1851" t="inlineStr">
        <is>
          <t>C07</t>
        </is>
      </c>
      <c r="B1851" t="inlineStr">
        <is>
          <t>City unknown</t>
        </is>
      </c>
      <c r="C1851" t="inlineStr">
        <is>
          <t>info</t>
        </is>
      </c>
      <c r="D1851" t="inlineStr">
        <is>
          <t>R260901-72street</t>
        </is>
      </c>
      <c r="E1851" t="inlineStr">
        <is>
          <t>72 Street</t>
        </is>
      </c>
      <c r="F1851" s="17" t="n">
        <v>46266</v>
      </c>
      <c r="G1851" t="inlineStr">
        <is>
          <t>no report states where the company is based</t>
        </is>
      </c>
    </row>
    <row r="1852">
      <c r="A1852" t="inlineStr">
        <is>
          <t>C07</t>
        </is>
      </c>
      <c r="B1852" t="inlineStr">
        <is>
          <t>City unknown</t>
        </is>
      </c>
      <c r="C1852" t="inlineStr">
        <is>
          <t>info</t>
        </is>
      </c>
      <c r="D1852" t="inlineStr">
        <is>
          <t>R260901-wldd</t>
        </is>
      </c>
      <c r="E1852" t="inlineStr">
        <is>
          <t>WLDD</t>
        </is>
      </c>
      <c r="F1852" s="17" t="n">
        <v>46266</v>
      </c>
      <c r="G1852" t="inlineStr">
        <is>
          <t>no report states where the company is based</t>
        </is>
      </c>
    </row>
    <row r="1853">
      <c r="A1853" t="inlineStr">
        <is>
          <t>C07</t>
        </is>
      </c>
      <c r="B1853" t="inlineStr">
        <is>
          <t>City unknown</t>
        </is>
      </c>
      <c r="C1853" t="inlineStr">
        <is>
          <t>info</t>
        </is>
      </c>
      <c r="D1853" t="inlineStr">
        <is>
          <t>R260901-xstep</t>
        </is>
      </c>
      <c r="E1853" t="inlineStr">
        <is>
          <t>xStep</t>
        </is>
      </c>
      <c r="F1853" s="17" t="n">
        <v>46266</v>
      </c>
      <c r="G1853" t="inlineStr">
        <is>
          <t>no report states where the company is based</t>
        </is>
      </c>
    </row>
    <row r="1854">
      <c r="A1854" t="inlineStr">
        <is>
          <t>C07</t>
        </is>
      </c>
      <c r="B1854" t="inlineStr">
        <is>
          <t>City unknown</t>
        </is>
      </c>
      <c r="C1854" t="inlineStr">
        <is>
          <t>info</t>
        </is>
      </c>
      <c r="D1854" t="inlineStr">
        <is>
          <t>R260902-creedom</t>
        </is>
      </c>
      <c r="E1854" t="inlineStr">
        <is>
          <t>Creedom</t>
        </is>
      </c>
      <c r="F1854" s="17" t="n">
        <v>46267</v>
      </c>
      <c r="G1854" t="inlineStr">
        <is>
          <t>no report states where the company is based</t>
        </is>
      </c>
    </row>
    <row r="1855">
      <c r="A1855" t="inlineStr">
        <is>
          <t>C07</t>
        </is>
      </c>
      <c r="B1855" t="inlineStr">
        <is>
          <t>City unknown</t>
        </is>
      </c>
      <c r="C1855" t="inlineStr">
        <is>
          <t>info</t>
        </is>
      </c>
      <c r="D1855" t="inlineStr">
        <is>
          <t>R260904-medulance</t>
        </is>
      </c>
      <c r="E1855" t="inlineStr">
        <is>
          <t>Medulance</t>
        </is>
      </c>
      <c r="F1855" s="17" t="n">
        <v>46269</v>
      </c>
      <c r="G1855" t="inlineStr">
        <is>
          <t>no report states where the company is based</t>
        </is>
      </c>
    </row>
    <row r="1856">
      <c r="A1856" t="inlineStr">
        <is>
          <t>C07</t>
        </is>
      </c>
      <c r="B1856" t="inlineStr">
        <is>
          <t>City unknown</t>
        </is>
      </c>
      <c r="C1856" t="inlineStr">
        <is>
          <t>info</t>
        </is>
      </c>
      <c r="D1856" t="inlineStr">
        <is>
          <t>R260904-sugarcosmetics</t>
        </is>
      </c>
      <c r="E1856" t="inlineStr">
        <is>
          <t>SUGAR Cosmetics</t>
        </is>
      </c>
      <c r="F1856" s="17" t="n">
        <v>46269</v>
      </c>
      <c r="G1856" t="inlineStr">
        <is>
          <t>no report states where the company is based</t>
        </is>
      </c>
    </row>
    <row r="1857">
      <c r="A1857" t="inlineStr">
        <is>
          <t>C07</t>
        </is>
      </c>
      <c r="B1857" t="inlineStr">
        <is>
          <t>City unknown</t>
        </is>
      </c>
      <c r="C1857" t="inlineStr">
        <is>
          <t>info</t>
        </is>
      </c>
      <c r="D1857" t="inlineStr">
        <is>
          <t>R260907-damensch</t>
        </is>
      </c>
      <c r="E1857" t="inlineStr">
        <is>
          <t>DaMENSCH</t>
        </is>
      </c>
      <c r="F1857" s="17" t="n">
        <v>46272</v>
      </c>
      <c r="G1857" t="inlineStr">
        <is>
          <t>no report states where the company is based</t>
        </is>
      </c>
    </row>
    <row r="1858">
      <c r="A1858" t="inlineStr">
        <is>
          <t>C07</t>
        </is>
      </c>
      <c r="B1858" t="inlineStr">
        <is>
          <t>City unknown</t>
        </is>
      </c>
      <c r="C1858" t="inlineStr">
        <is>
          <t>info</t>
        </is>
      </c>
      <c r="D1858" t="inlineStr">
        <is>
          <t>R260907-lickicious</t>
        </is>
      </c>
      <c r="E1858" t="inlineStr">
        <is>
          <t>Lickicious</t>
        </is>
      </c>
      <c r="F1858" s="17" t="n">
        <v>46272</v>
      </c>
      <c r="G1858" t="inlineStr">
        <is>
          <t>no report states where the company is based</t>
        </is>
      </c>
    </row>
    <row r="1859">
      <c r="A1859" t="inlineStr">
        <is>
          <t>C07</t>
        </is>
      </c>
      <c r="B1859" t="inlineStr">
        <is>
          <t>City unknown</t>
        </is>
      </c>
      <c r="C1859" t="inlineStr">
        <is>
          <t>info</t>
        </is>
      </c>
      <c r="D1859" t="inlineStr">
        <is>
          <t>R260907-navanaai</t>
        </is>
      </c>
      <c r="E1859" t="inlineStr">
        <is>
          <t>Navana.ai</t>
        </is>
      </c>
      <c r="F1859" s="17" t="n">
        <v>46272</v>
      </c>
      <c r="G1859" t="inlineStr">
        <is>
          <t>no report states where the company is based</t>
        </is>
      </c>
    </row>
    <row r="1860">
      <c r="A1860" t="inlineStr">
        <is>
          <t>C07</t>
        </is>
      </c>
      <c r="B1860" t="inlineStr">
        <is>
          <t>City unknown</t>
        </is>
      </c>
      <c r="C1860" t="inlineStr">
        <is>
          <t>info</t>
        </is>
      </c>
      <c r="D1860" t="inlineStr">
        <is>
          <t>R260908-arc</t>
        </is>
      </c>
      <c r="E1860" t="inlineStr">
        <is>
          <t>ARC</t>
        </is>
      </c>
      <c r="F1860" s="17" t="n">
        <v>46273</v>
      </c>
      <c r="G1860" t="inlineStr">
        <is>
          <t>no report states where the company is based</t>
        </is>
      </c>
    </row>
    <row r="1861">
      <c r="A1861" t="inlineStr">
        <is>
          <t>C07</t>
        </is>
      </c>
      <c r="B1861" t="inlineStr">
        <is>
          <t>City unknown</t>
        </is>
      </c>
      <c r="C1861" t="inlineStr">
        <is>
          <t>info</t>
        </is>
      </c>
      <c r="D1861" t="inlineStr">
        <is>
          <t>R260909-carrummobility</t>
        </is>
      </c>
      <c r="E1861" t="inlineStr">
        <is>
          <t>Carrum Mobility</t>
        </is>
      </c>
      <c r="F1861" s="17" t="n">
        <v>46274</v>
      </c>
      <c r="G1861" t="inlineStr">
        <is>
          <t>no report states where the company is based</t>
        </is>
      </c>
    </row>
    <row r="1862">
      <c r="A1862" t="inlineStr">
        <is>
          <t>C07</t>
        </is>
      </c>
      <c r="B1862" t="inlineStr">
        <is>
          <t>City unknown</t>
        </is>
      </c>
      <c r="C1862" t="inlineStr">
        <is>
          <t>info</t>
        </is>
      </c>
      <c r="D1862" t="inlineStr">
        <is>
          <t>R260910-dialflo</t>
        </is>
      </c>
      <c r="E1862" t="inlineStr">
        <is>
          <t>Dialflo</t>
        </is>
      </c>
      <c r="F1862" s="17" t="n">
        <v>46275</v>
      </c>
      <c r="G1862" t="inlineStr">
        <is>
          <t>no report states where the company is based</t>
        </is>
      </c>
    </row>
    <row r="1863">
      <c r="A1863" t="inlineStr">
        <is>
          <t>C07</t>
        </is>
      </c>
      <c r="B1863" t="inlineStr">
        <is>
          <t>City unknown</t>
        </is>
      </c>
      <c r="C1863" t="inlineStr">
        <is>
          <t>info</t>
        </is>
      </c>
      <c r="D1863" t="inlineStr">
        <is>
          <t>R260910-piston</t>
        </is>
      </c>
      <c r="E1863" t="inlineStr">
        <is>
          <t>Piston</t>
        </is>
      </c>
      <c r="F1863" s="17" t="n">
        <v>46275</v>
      </c>
      <c r="G1863" t="inlineStr">
        <is>
          <t>no report states where the company is based</t>
        </is>
      </c>
    </row>
    <row r="1864">
      <c r="A1864" t="inlineStr">
        <is>
          <t>C07</t>
        </is>
      </c>
      <c r="B1864" t="inlineStr">
        <is>
          <t>City unknown</t>
        </is>
      </c>
      <c r="C1864" t="inlineStr">
        <is>
          <t>info</t>
        </is>
      </c>
      <c r="D1864" t="inlineStr">
        <is>
          <t>R260911-peepbeauty</t>
        </is>
      </c>
      <c r="E1864" t="inlineStr">
        <is>
          <t>Peep Beauty</t>
        </is>
      </c>
      <c r="F1864" s="17" t="n">
        <v>46276</v>
      </c>
      <c r="G1864" t="inlineStr">
        <is>
          <t>no report states where the company is based</t>
        </is>
      </c>
    </row>
    <row r="1865">
      <c r="A1865" t="inlineStr">
        <is>
          <t>C07</t>
        </is>
      </c>
      <c r="B1865" t="inlineStr">
        <is>
          <t>City unknown</t>
        </is>
      </c>
      <c r="C1865" t="inlineStr">
        <is>
          <t>info</t>
        </is>
      </c>
      <c r="D1865" t="inlineStr">
        <is>
          <t>R260912-mokobara</t>
        </is>
      </c>
      <c r="E1865" t="inlineStr">
        <is>
          <t>Mokobara</t>
        </is>
      </c>
      <c r="F1865" s="17" t="n">
        <v>46277</v>
      </c>
      <c r="G1865" t="inlineStr">
        <is>
          <t>no report states where the company is based</t>
        </is>
      </c>
    </row>
    <row r="1866">
      <c r="A1866" t="inlineStr">
        <is>
          <t>C07</t>
        </is>
      </c>
      <c r="B1866" t="inlineStr">
        <is>
          <t>City unknown</t>
        </is>
      </c>
      <c r="C1866" t="inlineStr">
        <is>
          <t>info</t>
        </is>
      </c>
      <c r="D1866" t="inlineStr">
        <is>
          <t>R260914-uniqyou</t>
        </is>
      </c>
      <c r="E1866" t="inlineStr">
        <is>
          <t>UniqYou</t>
        </is>
      </c>
      <c r="F1866" s="17" t="n">
        <v>46279</v>
      </c>
      <c r="G1866" t="inlineStr">
        <is>
          <t>no report states where the company is based</t>
        </is>
      </c>
    </row>
    <row r="1867">
      <c r="A1867" t="inlineStr">
        <is>
          <t>C07</t>
        </is>
      </c>
      <c r="B1867" t="inlineStr">
        <is>
          <t>City unknown</t>
        </is>
      </c>
      <c r="C1867" t="inlineStr">
        <is>
          <t>info</t>
        </is>
      </c>
      <c r="D1867" t="inlineStr">
        <is>
          <t>R260916-trueartis</t>
        </is>
      </c>
      <c r="E1867" t="inlineStr">
        <is>
          <t>TRUE ARTIS</t>
        </is>
      </c>
      <c r="F1867" s="17" t="n">
        <v>46281</v>
      </c>
      <c r="G1867" t="inlineStr">
        <is>
          <t>no report states where the company is based</t>
        </is>
      </c>
    </row>
    <row r="1868">
      <c r="A1868" t="inlineStr">
        <is>
          <t>C07</t>
        </is>
      </c>
      <c r="B1868" t="inlineStr">
        <is>
          <t>City unknown</t>
        </is>
      </c>
      <c r="C1868" t="inlineStr">
        <is>
          <t>info</t>
        </is>
      </c>
      <c r="D1868" t="inlineStr">
        <is>
          <t>R260916-verifaix</t>
        </is>
      </c>
      <c r="E1868" t="inlineStr">
        <is>
          <t>VerifAIX</t>
        </is>
      </c>
      <c r="F1868" s="17" t="n">
        <v>46281</v>
      </c>
      <c r="G1868" t="inlineStr">
        <is>
          <t>no report states where the company is based</t>
        </is>
      </c>
    </row>
    <row r="1869">
      <c r="A1869" t="inlineStr">
        <is>
          <t>C07</t>
        </is>
      </c>
      <c r="B1869" t="inlineStr">
        <is>
          <t>City unknown</t>
        </is>
      </c>
      <c r="C1869" t="inlineStr">
        <is>
          <t>info</t>
        </is>
      </c>
      <c r="D1869" t="inlineStr">
        <is>
          <t>R260917-kiddo</t>
        </is>
      </c>
      <c r="E1869" t="inlineStr">
        <is>
          <t>Kiddo</t>
        </is>
      </c>
      <c r="F1869" s="17" t="n">
        <v>46282</v>
      </c>
      <c r="G1869" t="inlineStr">
        <is>
          <t>no report states where the company is based</t>
        </is>
      </c>
    </row>
    <row r="1870">
      <c r="A1870" t="inlineStr">
        <is>
          <t>C07</t>
        </is>
      </c>
      <c r="B1870" t="inlineStr">
        <is>
          <t>City unknown</t>
        </is>
      </c>
      <c r="C1870" t="inlineStr">
        <is>
          <t>info</t>
        </is>
      </c>
      <c r="D1870" t="inlineStr">
        <is>
          <t>R260918-beijan</t>
        </is>
      </c>
      <c r="E1870" t="inlineStr">
        <is>
          <t>Beijan</t>
        </is>
      </c>
      <c r="F1870" s="17" t="n">
        <v>46283</v>
      </c>
      <c r="G1870" t="inlineStr">
        <is>
          <t>no report states where the company is based</t>
        </is>
      </c>
    </row>
    <row r="1871">
      <c r="A1871" t="inlineStr">
        <is>
          <t>C07</t>
        </is>
      </c>
      <c r="B1871" t="inlineStr">
        <is>
          <t>City unknown</t>
        </is>
      </c>
      <c r="C1871" t="inlineStr">
        <is>
          <t>info</t>
        </is>
      </c>
      <c r="D1871" t="inlineStr">
        <is>
          <t>R260918-jar</t>
        </is>
      </c>
      <c r="E1871" t="inlineStr">
        <is>
          <t>Jar</t>
        </is>
      </c>
      <c r="F1871" s="17" t="n">
        <v>46283</v>
      </c>
      <c r="G1871" t="inlineStr">
        <is>
          <t>no report states where the company is based</t>
        </is>
      </c>
    </row>
    <row r="1872">
      <c r="A1872" t="inlineStr">
        <is>
          <t>C07</t>
        </is>
      </c>
      <c r="B1872" t="inlineStr">
        <is>
          <t>City unknown</t>
        </is>
      </c>
      <c r="C1872" t="inlineStr">
        <is>
          <t>info</t>
        </is>
      </c>
      <c r="D1872" t="inlineStr">
        <is>
          <t>R260919-dishaformerlyc</t>
        </is>
      </c>
      <c r="E1872" t="inlineStr">
        <is>
          <t>Disha (formerly Curelink)</t>
        </is>
      </c>
      <c r="F1872" s="17" t="n">
        <v>46284</v>
      </c>
      <c r="G1872" t="inlineStr">
        <is>
          <t>no report states where the company is based</t>
        </is>
      </c>
    </row>
    <row r="1873">
      <c r="A1873" t="inlineStr">
        <is>
          <t>C07</t>
        </is>
      </c>
      <c r="B1873" t="inlineStr">
        <is>
          <t>City unknown</t>
        </is>
      </c>
      <c r="C1873" t="inlineStr">
        <is>
          <t>info</t>
        </is>
      </c>
      <c r="D1873" t="inlineStr">
        <is>
          <t>R260921-drivnindianent</t>
        </is>
      </c>
      <c r="E1873" t="inlineStr">
        <is>
          <t>Drivn’s Indian entity</t>
        </is>
      </c>
      <c r="F1873" s="17" t="n">
        <v>46286</v>
      </c>
      <c r="G1873" t="inlineStr">
        <is>
          <t>no report states where the company is based</t>
        </is>
      </c>
    </row>
    <row r="1874">
      <c r="A1874" t="inlineStr">
        <is>
          <t>C07</t>
        </is>
      </c>
      <c r="B1874" t="inlineStr">
        <is>
          <t>City unknown</t>
        </is>
      </c>
      <c r="C1874" t="inlineStr">
        <is>
          <t>info</t>
        </is>
      </c>
      <c r="D1874" t="inlineStr">
        <is>
          <t>R260922-sol</t>
        </is>
      </c>
      <c r="E1874" t="inlineStr">
        <is>
          <t>Sol</t>
        </is>
      </c>
      <c r="F1874" s="17" t="n">
        <v>46287</v>
      </c>
      <c r="G1874" t="inlineStr">
        <is>
          <t>no report states where the company is based</t>
        </is>
      </c>
    </row>
    <row r="1875">
      <c r="A1875" t="inlineStr">
        <is>
          <t>C07</t>
        </is>
      </c>
      <c r="B1875" t="inlineStr">
        <is>
          <t>City unknown</t>
        </is>
      </c>
      <c r="C1875" t="inlineStr">
        <is>
          <t>info</t>
        </is>
      </c>
      <c r="D1875" t="inlineStr">
        <is>
          <t>R260922-solfoundry</t>
        </is>
      </c>
      <c r="E1875" t="inlineStr">
        <is>
          <t>Sol Foundry</t>
        </is>
      </c>
      <c r="F1875" s="17" t="n">
        <v>46287</v>
      </c>
      <c r="G1875" t="inlineStr">
        <is>
          <t>no report states where the company is based</t>
        </is>
      </c>
    </row>
    <row r="1876">
      <c r="A1876" t="inlineStr">
        <is>
          <t>C07</t>
        </is>
      </c>
      <c r="B1876" t="inlineStr">
        <is>
          <t>City unknown</t>
        </is>
      </c>
      <c r="C1876" t="inlineStr">
        <is>
          <t>info</t>
        </is>
      </c>
      <c r="D1876" t="inlineStr">
        <is>
          <t>R260923-riohealth</t>
        </is>
      </c>
      <c r="E1876" t="inlineStr">
        <is>
          <t>Rio Health</t>
        </is>
      </c>
      <c r="F1876" s="17" t="n">
        <v>46288</v>
      </c>
      <c r="G1876" t="inlineStr">
        <is>
          <t>no report states where the company is based</t>
        </is>
      </c>
    </row>
    <row r="1877">
      <c r="A1877" t="inlineStr">
        <is>
          <t>C07</t>
        </is>
      </c>
      <c r="B1877" t="inlineStr">
        <is>
          <t>City unknown</t>
        </is>
      </c>
      <c r="C1877" t="inlineStr">
        <is>
          <t>info</t>
        </is>
      </c>
      <c r="D1877" t="inlineStr">
        <is>
          <t>R260923-spacephilic</t>
        </is>
      </c>
      <c r="E1877" t="inlineStr">
        <is>
          <t>Space Philic</t>
        </is>
      </c>
      <c r="F1877" s="17" t="n">
        <v>46288</v>
      </c>
      <c r="G1877" t="inlineStr">
        <is>
          <t>no report states where the company is based</t>
        </is>
      </c>
    </row>
    <row r="1878">
      <c r="A1878" t="inlineStr">
        <is>
          <t>C07</t>
        </is>
      </c>
      <c r="B1878" t="inlineStr">
        <is>
          <t>City unknown</t>
        </is>
      </c>
      <c r="C1878" t="inlineStr">
        <is>
          <t>info</t>
        </is>
      </c>
      <c r="D1878" t="inlineStr">
        <is>
          <t>R260924-ema</t>
        </is>
      </c>
      <c r="E1878" t="inlineStr">
        <is>
          <t>Ema</t>
        </is>
      </c>
      <c r="F1878" s="17" t="n">
        <v>46288</v>
      </c>
      <c r="G1878" t="inlineStr">
        <is>
          <t>no report states where the company is based</t>
        </is>
      </c>
    </row>
    <row r="1879">
      <c r="A1879" t="inlineStr">
        <is>
          <t>C07</t>
        </is>
      </c>
      <c r="B1879" t="inlineStr">
        <is>
          <t>City unknown</t>
        </is>
      </c>
      <c r="C1879" t="inlineStr">
        <is>
          <t>info</t>
        </is>
      </c>
      <c r="D1879" t="inlineStr">
        <is>
          <t>R260924-dextrai</t>
        </is>
      </c>
      <c r="E1879" t="inlineStr">
        <is>
          <t>Dextr AI</t>
        </is>
      </c>
      <c r="F1879" s="17" t="n">
        <v>46289</v>
      </c>
      <c r="G1879" t="inlineStr">
        <is>
          <t>no report states where the company is based</t>
        </is>
      </c>
    </row>
    <row r="1880">
      <c r="A1880" t="inlineStr">
        <is>
          <t>C07</t>
        </is>
      </c>
      <c r="B1880" t="inlineStr">
        <is>
          <t>City unknown</t>
        </is>
      </c>
      <c r="C1880" t="inlineStr">
        <is>
          <t>info</t>
        </is>
      </c>
      <c r="D1880" t="inlineStr">
        <is>
          <t>R260924-myrx</t>
        </is>
      </c>
      <c r="E1880" t="inlineStr">
        <is>
          <t>MyRx</t>
        </is>
      </c>
      <c r="F1880" s="17" t="n">
        <v>46289</v>
      </c>
      <c r="G1880" t="inlineStr">
        <is>
          <t>no report states where the company is based</t>
        </is>
      </c>
    </row>
    <row r="1881">
      <c r="A1881" t="inlineStr">
        <is>
          <t>C07</t>
        </is>
      </c>
      <c r="B1881" t="inlineStr">
        <is>
          <t>City unknown</t>
        </is>
      </c>
      <c r="C1881" t="inlineStr">
        <is>
          <t>info</t>
        </is>
      </c>
      <c r="D1881" t="inlineStr">
        <is>
          <t>R260924-nuvah</t>
        </is>
      </c>
      <c r="E1881" t="inlineStr">
        <is>
          <t>Nuvah</t>
        </is>
      </c>
      <c r="F1881" s="17" t="n">
        <v>46289</v>
      </c>
      <c r="G1881" t="inlineStr">
        <is>
          <t>no report states where the company is based</t>
        </is>
      </c>
    </row>
    <row r="1882">
      <c r="A1882" t="inlineStr">
        <is>
          <t>C07</t>
        </is>
      </c>
      <c r="B1882" t="inlineStr">
        <is>
          <t>City unknown</t>
        </is>
      </c>
      <c r="C1882" t="inlineStr">
        <is>
          <t>info</t>
        </is>
      </c>
      <c r="D1882" t="inlineStr">
        <is>
          <t>R260924-ynos</t>
        </is>
      </c>
      <c r="E1882" t="inlineStr">
        <is>
          <t>YNOS</t>
        </is>
      </c>
      <c r="F1882" s="17" t="n">
        <v>46289</v>
      </c>
      <c r="G1882" t="inlineStr">
        <is>
          <t>no report states where the company is based</t>
        </is>
      </c>
    </row>
    <row r="1883">
      <c r="A1883" t="inlineStr">
        <is>
          <t>C07</t>
        </is>
      </c>
      <c r="B1883" t="inlineStr">
        <is>
          <t>City unknown</t>
        </is>
      </c>
      <c r="C1883" t="inlineStr">
        <is>
          <t>info</t>
        </is>
      </c>
      <c r="D1883" t="inlineStr">
        <is>
          <t>R260925-1312interactiv</t>
        </is>
      </c>
      <c r="E1883" t="inlineStr">
        <is>
          <t>1312 Interactive</t>
        </is>
      </c>
      <c r="F1883" s="17" t="n">
        <v>46290</v>
      </c>
      <c r="G1883" t="inlineStr">
        <is>
          <t>no report states where the company is based</t>
        </is>
      </c>
    </row>
    <row r="1884">
      <c r="A1884" t="inlineStr">
        <is>
          <t>C07</t>
        </is>
      </c>
      <c r="B1884" t="inlineStr">
        <is>
          <t>City unknown</t>
        </is>
      </c>
      <c r="C1884" t="inlineStr">
        <is>
          <t>info</t>
        </is>
      </c>
      <c r="D1884" t="inlineStr">
        <is>
          <t>R260925-galaxeye</t>
        </is>
      </c>
      <c r="E1884" t="inlineStr">
        <is>
          <t>GalaxEye</t>
        </is>
      </c>
      <c r="F1884" s="17" t="n">
        <v>46290</v>
      </c>
      <c r="G1884" t="inlineStr">
        <is>
          <t>no report states where the company is based</t>
        </is>
      </c>
    </row>
    <row r="1885">
      <c r="A1885" t="inlineStr">
        <is>
          <t>C07</t>
        </is>
      </c>
      <c r="B1885" t="inlineStr">
        <is>
          <t>City unknown</t>
        </is>
      </c>
      <c r="C1885" t="inlineStr">
        <is>
          <t>info</t>
        </is>
      </c>
      <c r="D1885" t="inlineStr">
        <is>
          <t>R260925-rivet</t>
        </is>
      </c>
      <c r="E1885" t="inlineStr">
        <is>
          <t>Rivet</t>
        </is>
      </c>
      <c r="F1885" s="17" t="n">
        <v>46290</v>
      </c>
      <c r="G1885" t="inlineStr">
        <is>
          <t>no report states where the company is based</t>
        </is>
      </c>
    </row>
    <row r="1886">
      <c r="A1886" t="inlineStr">
        <is>
          <t>C07</t>
        </is>
      </c>
      <c r="B1886" t="inlineStr">
        <is>
          <t>City unknown</t>
        </is>
      </c>
      <c r="C1886" t="inlineStr">
        <is>
          <t>info</t>
        </is>
      </c>
      <c r="D1886" t="inlineStr">
        <is>
          <t>R260928-amaani</t>
        </is>
      </c>
      <c r="E1886" t="inlineStr">
        <is>
          <t>Amaani</t>
        </is>
      </c>
      <c r="F1886" s="17" t="n">
        <v>46293</v>
      </c>
      <c r="G1886" t="inlineStr">
        <is>
          <t>no report states where the company is based</t>
        </is>
      </c>
    </row>
    <row r="1887">
      <c r="A1887" t="inlineStr">
        <is>
          <t>C07</t>
        </is>
      </c>
      <c r="B1887" t="inlineStr">
        <is>
          <t>City unknown</t>
        </is>
      </c>
      <c r="C1887" t="inlineStr">
        <is>
          <t>info</t>
        </is>
      </c>
      <c r="D1887" t="inlineStr">
        <is>
          <t>R260928-aroviaconsumer</t>
        </is>
      </c>
      <c r="E1887" t="inlineStr">
        <is>
          <t>Arovia Consumer</t>
        </is>
      </c>
      <c r="F1887" s="17" t="n">
        <v>46293</v>
      </c>
      <c r="G1887" t="inlineStr">
        <is>
          <t>no report states where the company is based</t>
        </is>
      </c>
    </row>
    <row r="1888">
      <c r="A1888" t="inlineStr">
        <is>
          <t>C07</t>
        </is>
      </c>
      <c r="B1888" t="inlineStr">
        <is>
          <t>City unknown</t>
        </is>
      </c>
      <c r="C1888" t="inlineStr">
        <is>
          <t>info</t>
        </is>
      </c>
      <c r="D1888" t="inlineStr">
        <is>
          <t>R260928-keploy</t>
        </is>
      </c>
      <c r="E1888" t="inlineStr">
        <is>
          <t>Keploy</t>
        </is>
      </c>
      <c r="F1888" s="17" t="n">
        <v>46293</v>
      </c>
      <c r="G1888" t="inlineStr">
        <is>
          <t>no report states where the company is based</t>
        </is>
      </c>
    </row>
    <row r="1889">
      <c r="A1889" t="inlineStr">
        <is>
          <t>C07</t>
        </is>
      </c>
      <c r="B1889" t="inlineStr">
        <is>
          <t>City unknown</t>
        </is>
      </c>
      <c r="C1889" t="inlineStr">
        <is>
          <t>info</t>
        </is>
      </c>
      <c r="D1889" t="inlineStr">
        <is>
          <t>R260928-primerry</t>
        </is>
      </c>
      <c r="E1889" t="inlineStr">
        <is>
          <t>Primerry</t>
        </is>
      </c>
      <c r="F1889" s="17" t="n">
        <v>46293</v>
      </c>
      <c r="G1889" t="inlineStr">
        <is>
          <t>no report states where the company is based</t>
        </is>
      </c>
    </row>
    <row r="1890">
      <c r="A1890" t="inlineStr">
        <is>
          <t>C07</t>
        </is>
      </c>
      <c r="B1890" t="inlineStr">
        <is>
          <t>City unknown</t>
        </is>
      </c>
      <c r="C1890" t="inlineStr">
        <is>
          <t>info</t>
        </is>
      </c>
      <c r="D1890" t="inlineStr">
        <is>
          <t>R260928-simaai</t>
        </is>
      </c>
      <c r="E1890" t="inlineStr">
        <is>
          <t>SiMa.ai</t>
        </is>
      </c>
      <c r="F1890" s="17" t="n">
        <v>46293</v>
      </c>
      <c r="G1890" t="inlineStr">
        <is>
          <t>no report states where the company is based</t>
        </is>
      </c>
    </row>
    <row r="1891">
      <c r="A1891" t="inlineStr">
        <is>
          <t>C07</t>
        </is>
      </c>
      <c r="B1891" t="inlineStr">
        <is>
          <t>City unknown</t>
        </is>
      </c>
      <c r="C1891" t="inlineStr">
        <is>
          <t>info</t>
        </is>
      </c>
      <c r="D1891" t="inlineStr">
        <is>
          <t>R260929-bharathousingn</t>
        </is>
      </c>
      <c r="E1891" t="inlineStr">
        <is>
          <t>Bharat Housing Network</t>
        </is>
      </c>
      <c r="F1891" s="17" t="n">
        <v>46294</v>
      </c>
      <c r="G1891" t="inlineStr">
        <is>
          <t>no report states where the company is based</t>
        </is>
      </c>
    </row>
    <row r="1892">
      <c r="A1892" t="inlineStr">
        <is>
          <t>C07</t>
        </is>
      </c>
      <c r="B1892" t="inlineStr">
        <is>
          <t>City unknown</t>
        </is>
      </c>
      <c r="C1892" t="inlineStr">
        <is>
          <t>info</t>
        </is>
      </c>
      <c r="D1892" t="inlineStr">
        <is>
          <t>R260929-figliving</t>
        </is>
      </c>
      <c r="E1892" t="inlineStr">
        <is>
          <t>FIG Living</t>
        </is>
      </c>
      <c r="F1892" s="17" t="n">
        <v>46294</v>
      </c>
      <c r="G1892" t="inlineStr">
        <is>
          <t>no report states where the company is based</t>
        </is>
      </c>
    </row>
    <row r="1893">
      <c r="A1893" t="inlineStr">
        <is>
          <t>C07</t>
        </is>
      </c>
      <c r="B1893" t="inlineStr">
        <is>
          <t>City unknown</t>
        </is>
      </c>
      <c r="C1893" t="inlineStr">
        <is>
          <t>info</t>
        </is>
      </c>
      <c r="D1893" t="inlineStr">
        <is>
          <t>R260929-formerboatexec</t>
        </is>
      </c>
      <c r="E1893" t="inlineStr">
        <is>
          <t>former boAt executive</t>
        </is>
      </c>
      <c r="F1893" s="17" t="n">
        <v>46294</v>
      </c>
      <c r="G1893" t="inlineStr">
        <is>
          <t>no report states where the company is based</t>
        </is>
      </c>
    </row>
    <row r="1894">
      <c r="A1894" t="inlineStr">
        <is>
          <t>C07</t>
        </is>
      </c>
      <c r="B1894" t="inlineStr">
        <is>
          <t>City unknown</t>
        </is>
      </c>
      <c r="C1894" t="inlineStr">
        <is>
          <t>info</t>
        </is>
      </c>
      <c r="D1894" t="inlineStr">
        <is>
          <t>R260930-blitz</t>
        </is>
      </c>
      <c r="E1894" t="inlineStr">
        <is>
          <t>Blitz</t>
        </is>
      </c>
      <c r="F1894" s="17" t="n">
        <v>46295</v>
      </c>
      <c r="G1894" t="inlineStr">
        <is>
          <t>no report states where the company is based</t>
        </is>
      </c>
    </row>
    <row r="1895">
      <c r="A1895" t="inlineStr">
        <is>
          <t>C07</t>
        </is>
      </c>
      <c r="B1895" t="inlineStr">
        <is>
          <t>City unknown</t>
        </is>
      </c>
      <c r="C1895" t="inlineStr">
        <is>
          <t>info</t>
        </is>
      </c>
      <c r="D1895" t="inlineStr">
        <is>
          <t>R260930-nknmedia</t>
        </is>
      </c>
      <c r="E1895" t="inlineStr">
        <is>
          <t>NKN Media</t>
        </is>
      </c>
      <c r="F1895" s="17" t="n">
        <v>46295</v>
      </c>
      <c r="G1895" t="inlineStr">
        <is>
          <t>no report states where the company is based</t>
        </is>
      </c>
    </row>
    <row r="1896">
      <c r="A1896" t="inlineStr">
        <is>
          <t>C07</t>
        </is>
      </c>
      <c r="B1896" t="inlineStr">
        <is>
          <t>City unknown</t>
        </is>
      </c>
      <c r="C1896" t="inlineStr">
        <is>
          <t>info</t>
        </is>
      </c>
      <c r="D1896" t="inlineStr">
        <is>
          <t>R261001-bangalorewatch</t>
        </is>
      </c>
      <c r="E1896" t="inlineStr">
        <is>
          <t>Banglore Watch Company</t>
        </is>
      </c>
      <c r="F1896" s="17" t="n">
        <v>46296</v>
      </c>
      <c r="G1896" t="inlineStr">
        <is>
          <t>no report states where the company is based</t>
        </is>
      </c>
    </row>
    <row r="1897">
      <c r="A1897" t="inlineStr">
        <is>
          <t>C07</t>
        </is>
      </c>
      <c r="B1897" t="inlineStr">
        <is>
          <t>City unknown</t>
        </is>
      </c>
      <c r="C1897" t="inlineStr">
        <is>
          <t>info</t>
        </is>
      </c>
      <c r="D1897" t="inlineStr">
        <is>
          <t>R261006-indigotex</t>
        </is>
      </c>
      <c r="E1897" t="inlineStr">
        <is>
          <t>IndigoTex</t>
        </is>
      </c>
      <c r="F1897" s="17" t="n">
        <v>46301</v>
      </c>
      <c r="G1897" t="inlineStr">
        <is>
          <t>no report states where the company is based</t>
        </is>
      </c>
    </row>
    <row r="1898">
      <c r="A1898" t="inlineStr">
        <is>
          <t>C07</t>
        </is>
      </c>
      <c r="B1898" t="inlineStr">
        <is>
          <t>City unknown</t>
        </is>
      </c>
      <c r="C1898" t="inlineStr">
        <is>
          <t>info</t>
        </is>
      </c>
      <c r="D1898" t="inlineStr">
        <is>
          <t>R261006-lorazzo</t>
        </is>
      </c>
      <c r="E1898" t="inlineStr">
        <is>
          <t>Lorazzo</t>
        </is>
      </c>
      <c r="F1898" s="17" t="n">
        <v>46301</v>
      </c>
      <c r="G1898" t="inlineStr">
        <is>
          <t>no report states where the company is based</t>
        </is>
      </c>
    </row>
    <row r="1899">
      <c r="A1899" t="inlineStr">
        <is>
          <t>C07</t>
        </is>
      </c>
      <c r="B1899" t="inlineStr">
        <is>
          <t>City unknown</t>
        </is>
      </c>
      <c r="C1899" t="inlineStr">
        <is>
          <t>info</t>
        </is>
      </c>
      <c r="D1899" t="inlineStr">
        <is>
          <t>R261006-soberandco</t>
        </is>
      </c>
      <c r="E1899" t="inlineStr">
        <is>
          <t>Sober &amp; Co</t>
        </is>
      </c>
      <c r="F1899" s="17" t="n">
        <v>46301</v>
      </c>
      <c r="G1899" t="inlineStr">
        <is>
          <t>no report states where the company is based</t>
        </is>
      </c>
    </row>
    <row r="1900">
      <c r="A1900" t="inlineStr">
        <is>
          <t>C07</t>
        </is>
      </c>
      <c r="B1900" t="inlineStr">
        <is>
          <t>City unknown</t>
        </is>
      </c>
      <c r="C1900" t="inlineStr">
        <is>
          <t>info</t>
        </is>
      </c>
      <c r="D1900" t="inlineStr">
        <is>
          <t>R261007-credfix</t>
        </is>
      </c>
      <c r="E1900" t="inlineStr">
        <is>
          <t>Credfix</t>
        </is>
      </c>
      <c r="F1900" s="17" t="n">
        <v>46302</v>
      </c>
      <c r="G1900" t="inlineStr">
        <is>
          <t>no report states where the company is based</t>
        </is>
      </c>
    </row>
    <row r="1901">
      <c r="A1901" t="inlineStr">
        <is>
          <t>C07</t>
        </is>
      </c>
      <c r="B1901" t="inlineStr">
        <is>
          <t>City unknown</t>
        </is>
      </c>
      <c r="C1901" t="inlineStr">
        <is>
          <t>info</t>
        </is>
      </c>
      <c r="D1901" t="inlineStr">
        <is>
          <t>R261007-lumio</t>
        </is>
      </c>
      <c r="E1901" t="inlineStr">
        <is>
          <t>Lumio</t>
        </is>
      </c>
      <c r="F1901" s="17" t="n">
        <v>46302</v>
      </c>
      <c r="G1901" t="inlineStr">
        <is>
          <t>no report states where the company is based</t>
        </is>
      </c>
    </row>
    <row r="1902">
      <c r="A1902" t="inlineStr">
        <is>
          <t>C07</t>
        </is>
      </c>
      <c r="B1902" t="inlineStr">
        <is>
          <t>City unknown</t>
        </is>
      </c>
      <c r="C1902" t="inlineStr">
        <is>
          <t>info</t>
        </is>
      </c>
      <c r="D1902" t="inlineStr">
        <is>
          <t>R261007-thedoughtherap</t>
        </is>
      </c>
      <c r="E1902" t="inlineStr">
        <is>
          <t>The Dough Therapy</t>
        </is>
      </c>
      <c r="F1902" s="17" t="n">
        <v>46302</v>
      </c>
      <c r="G1902" t="inlineStr">
        <is>
          <t>no report states where the company is based</t>
        </is>
      </c>
    </row>
    <row r="1903">
      <c r="A1903" t="inlineStr">
        <is>
          <t>C07</t>
        </is>
      </c>
      <c r="B1903" t="inlineStr">
        <is>
          <t>City unknown</t>
        </is>
      </c>
      <c r="C1903" t="inlineStr">
        <is>
          <t>info</t>
        </is>
      </c>
      <c r="D1903" t="inlineStr">
        <is>
          <t>R261007-zomint</t>
        </is>
      </c>
      <c r="E1903" t="inlineStr">
        <is>
          <t>Zomint</t>
        </is>
      </c>
      <c r="F1903" s="17" t="n">
        <v>46302</v>
      </c>
      <c r="G1903" t="inlineStr">
        <is>
          <t>no report states where the company is based</t>
        </is>
      </c>
    </row>
    <row r="1904">
      <c r="A1904" t="inlineStr">
        <is>
          <t>C07</t>
        </is>
      </c>
      <c r="B1904" t="inlineStr">
        <is>
          <t>City unknown</t>
        </is>
      </c>
      <c r="C1904" t="inlineStr">
        <is>
          <t>info</t>
        </is>
      </c>
      <c r="D1904" t="inlineStr">
        <is>
          <t>R261008-dailyobjects</t>
        </is>
      </c>
      <c r="E1904" t="inlineStr">
        <is>
          <t>DailyObjects</t>
        </is>
      </c>
      <c r="F1904" s="17" t="n">
        <v>46303</v>
      </c>
      <c r="G1904" t="inlineStr">
        <is>
          <t>no report states where the company is based</t>
        </is>
      </c>
    </row>
    <row r="1905">
      <c r="A1905" t="inlineStr">
        <is>
          <t>C07</t>
        </is>
      </c>
      <c r="B1905" t="inlineStr">
        <is>
          <t>City unknown</t>
        </is>
      </c>
      <c r="C1905" t="inlineStr">
        <is>
          <t>info</t>
        </is>
      </c>
      <c r="D1905" t="inlineStr">
        <is>
          <t>R261009-moneytruva</t>
        </is>
      </c>
      <c r="E1905" t="inlineStr">
        <is>
          <t>MoneyTruVa</t>
        </is>
      </c>
      <c r="F1905" s="17" t="n">
        <v>46304</v>
      </c>
      <c r="G1905" t="inlineStr">
        <is>
          <t>no report states where the company is based</t>
        </is>
      </c>
    </row>
    <row r="1906">
      <c r="A1906" t="inlineStr">
        <is>
          <t>C07</t>
        </is>
      </c>
      <c r="B1906" t="inlineStr">
        <is>
          <t>City unknown</t>
        </is>
      </c>
      <c r="C1906" t="inlineStr">
        <is>
          <t>info</t>
        </is>
      </c>
      <c r="D1906" t="inlineStr">
        <is>
          <t>R261010-nathabit</t>
        </is>
      </c>
      <c r="E1906" t="inlineStr">
        <is>
          <t>Nat Habit</t>
        </is>
      </c>
      <c r="F1906" s="17" t="n">
        <v>46305</v>
      </c>
      <c r="G1906" t="inlineStr">
        <is>
          <t>no report states where the company is based</t>
        </is>
      </c>
    </row>
    <row r="1907">
      <c r="A1907" t="inlineStr">
        <is>
          <t>C09</t>
        </is>
      </c>
      <c r="B1907" t="inlineStr">
        <is>
          <t>Possible duplicate round</t>
        </is>
      </c>
      <c r="C1907" t="inlineStr">
        <is>
          <t>warning</t>
        </is>
      </c>
      <c r="D1907" t="inlineStr">
        <is>
          <t>R250127-emiza</t>
        </is>
      </c>
      <c r="E1907" t="inlineStr">
        <is>
          <t>Emiza</t>
        </is>
      </c>
      <c r="F1907" s="17" t="n">
        <v>45684</v>
      </c>
      <c r="G1907" t="inlineStr">
        <is>
          <t>11 days after R250116-emiza ($5.775 Mn then, $11.586 Mn now)</t>
        </is>
      </c>
    </row>
    <row r="1908">
      <c r="A1908" t="inlineStr">
        <is>
          <t>C09</t>
        </is>
      </c>
      <c r="B1908" t="inlineStr">
        <is>
          <t>Possible duplicate round</t>
        </is>
      </c>
      <c r="C1908" t="inlineStr">
        <is>
          <t>warning</t>
        </is>
      </c>
      <c r="D1908" t="inlineStr">
        <is>
          <t>R250131-captainfresh</t>
        </is>
      </c>
      <c r="E1908" t="inlineStr">
        <is>
          <t>Captain Fresh</t>
        </is>
      </c>
      <c r="F1908" s="17" t="n">
        <v>45688</v>
      </c>
      <c r="G1908" t="inlineStr">
        <is>
          <t>14 days after R250117-captainfresh ($2.3 Mn then, $28.872 Mn now)</t>
        </is>
      </c>
    </row>
    <row r="1909">
      <c r="A1909" t="inlineStr">
        <is>
          <t>C09</t>
        </is>
      </c>
      <c r="B1909" t="inlineStr">
        <is>
          <t>Possible duplicate round</t>
        </is>
      </c>
      <c r="C1909" t="inlineStr">
        <is>
          <t>warning</t>
        </is>
      </c>
      <c r="D1909" t="inlineStr">
        <is>
          <t>R250207-bobabhai</t>
        </is>
      </c>
      <c r="E1909" t="inlineStr">
        <is>
          <t>Boba Bhai</t>
        </is>
      </c>
      <c r="F1909" s="17" t="n">
        <v>45695</v>
      </c>
      <c r="G1909" t="inlineStr">
        <is>
          <t>25 days after R250113-bobabhai ($3.46 Mn then, $0.103 Mn now)</t>
        </is>
      </c>
    </row>
    <row r="1910">
      <c r="A1910" t="inlineStr">
        <is>
          <t>C09</t>
        </is>
      </c>
      <c r="B1910" t="inlineStr">
        <is>
          <t>Possible duplicate round</t>
        </is>
      </c>
      <c r="C1910" t="inlineStr">
        <is>
          <t>warning</t>
        </is>
      </c>
      <c r="D1910" t="inlineStr">
        <is>
          <t>R250212-capgridsolutio</t>
        </is>
      </c>
      <c r="E1910" t="inlineStr">
        <is>
          <t>CapGrid Solutions</t>
        </is>
      </c>
      <c r="F1910" s="17" t="n">
        <v>45700</v>
      </c>
      <c r="G1910" t="inlineStr">
        <is>
          <t>19 days after R250124-capgrid ($3.3 Mn then, $5 Mn now)</t>
        </is>
      </c>
    </row>
    <row r="1911">
      <c r="A1911" t="inlineStr">
        <is>
          <t>C09</t>
        </is>
      </c>
      <c r="B1911" t="inlineStr">
        <is>
          <t>Possible duplicate round</t>
        </is>
      </c>
      <c r="C1911" t="inlineStr">
        <is>
          <t>warning</t>
        </is>
      </c>
      <c r="D1911" t="inlineStr">
        <is>
          <t>R250305-leapfinance</t>
        </is>
      </c>
      <c r="E1911" t="inlineStr">
        <is>
          <t>Leap Finance</t>
        </is>
      </c>
      <c r="F1911" s="17" t="n">
        <v>45721</v>
      </c>
      <c r="G1911" t="inlineStr">
        <is>
          <t>35 days after R250129-leap ($65 Mn then, $100 Mn now)</t>
        </is>
      </c>
    </row>
    <row r="1912">
      <c r="A1912" t="inlineStr">
        <is>
          <t>C09</t>
        </is>
      </c>
      <c r="B1912" t="inlineStr">
        <is>
          <t>Possible duplicate round</t>
        </is>
      </c>
      <c r="C1912" t="inlineStr">
        <is>
          <t>warning</t>
        </is>
      </c>
      <c r="D1912" t="inlineStr">
        <is>
          <t>R250401-thebearhouse</t>
        </is>
      </c>
      <c r="E1912" t="inlineStr">
        <is>
          <t>The Bear House</t>
        </is>
      </c>
      <c r="F1912" s="17" t="n">
        <v>45748</v>
      </c>
      <c r="G1912" t="inlineStr">
        <is>
          <t>15 days after R250317-thebearhouse ($0.349 Mn then, $5.839 Mn now)</t>
        </is>
      </c>
    </row>
    <row r="1913">
      <c r="A1913" t="inlineStr">
        <is>
          <t>C09</t>
        </is>
      </c>
      <c r="B1913" t="inlineStr">
        <is>
          <t>Possible duplicate round</t>
        </is>
      </c>
      <c r="C1913" t="inlineStr">
        <is>
          <t>warning</t>
        </is>
      </c>
      <c r="D1913" t="inlineStr">
        <is>
          <t>R250428-carefi</t>
        </is>
      </c>
      <c r="E1913" t="inlineStr">
        <is>
          <t>Care.fi</t>
        </is>
      </c>
      <c r="F1913" s="17" t="n">
        <v>45775</v>
      </c>
      <c r="G1913" t="inlineStr">
        <is>
          <t>34 days after R250325-carefi ($0.875 Mn then, $0.706 Mn now)</t>
        </is>
      </c>
    </row>
    <row r="1914">
      <c r="A1914" t="inlineStr">
        <is>
          <t>C09</t>
        </is>
      </c>
      <c r="B1914" t="inlineStr">
        <is>
          <t>Possible duplicate round</t>
        </is>
      </c>
      <c r="C1914" t="inlineStr">
        <is>
          <t>warning</t>
        </is>
      </c>
      <c r="D1914" t="inlineStr">
        <is>
          <t>R250429-collegedekho</t>
        </is>
      </c>
      <c r="E1914" t="inlineStr">
        <is>
          <t>CollegeDekho</t>
        </is>
      </c>
      <c r="F1914" s="17" t="n">
        <v>45776</v>
      </c>
      <c r="G1914" t="inlineStr">
        <is>
          <t>28 days after R250401-collegedekho ($3.503 Mn then, $4.699 Mn now)</t>
        </is>
      </c>
    </row>
    <row r="1915">
      <c r="A1915" t="inlineStr">
        <is>
          <t>C09</t>
        </is>
      </c>
      <c r="B1915" t="inlineStr">
        <is>
          <t>Possible duplicate round</t>
        </is>
      </c>
      <c r="C1915" t="inlineStr">
        <is>
          <t>warning</t>
        </is>
      </c>
      <c r="D1915" t="inlineStr">
        <is>
          <t>R250703-incredfinance</t>
        </is>
      </c>
      <c r="E1915" t="inlineStr">
        <is>
          <t>InCred Finance</t>
        </is>
      </c>
      <c r="F1915" s="17" t="n">
        <v>45841</v>
      </c>
      <c r="G1915" t="inlineStr">
        <is>
          <t>10 days after R250623-incredholdings ($28.812 Mn then, $46.8 Mn now)</t>
        </is>
      </c>
    </row>
    <row r="1916">
      <c r="A1916" t="inlineStr">
        <is>
          <t>C09</t>
        </is>
      </c>
      <c r="B1916" t="inlineStr">
        <is>
          <t>Possible duplicate round</t>
        </is>
      </c>
      <c r="C1916" t="inlineStr">
        <is>
          <t>warning</t>
        </is>
      </c>
      <c r="D1916" t="inlineStr">
        <is>
          <t>R250805-jehaerospace</t>
        </is>
      </c>
      <c r="E1916" t="inlineStr">
        <is>
          <t>Jeh Aerospace</t>
        </is>
      </c>
      <c r="F1916" s="17" t="n">
        <v>45874</v>
      </c>
      <c r="G1916" t="inlineStr">
        <is>
          <t>27 days after R250709-jehaerospace ($nan Mn then, $11 Mn now)</t>
        </is>
      </c>
    </row>
    <row r="1917">
      <c r="A1917" t="inlineStr">
        <is>
          <t>C09</t>
        </is>
      </c>
      <c r="B1917" t="inlineStr">
        <is>
          <t>Possible duplicate round</t>
        </is>
      </c>
      <c r="C1917" t="inlineStr">
        <is>
          <t>warning</t>
        </is>
      </c>
      <c r="D1917" t="inlineStr">
        <is>
          <t>R250807-aukera</t>
        </is>
      </c>
      <c r="E1917" t="inlineStr">
        <is>
          <t>Aukera</t>
        </is>
      </c>
      <c r="F1917" s="17" t="n">
        <v>45876</v>
      </c>
      <c r="G1917" t="inlineStr">
        <is>
          <t>38 days after R250630-aukera ($15 Mn then, $15 Mn now)</t>
        </is>
      </c>
    </row>
    <row r="1918">
      <c r="A1918" t="inlineStr">
        <is>
          <t>C09</t>
        </is>
      </c>
      <c r="B1918" t="inlineStr">
        <is>
          <t>Possible duplicate round</t>
        </is>
      </c>
      <c r="C1918" t="inlineStr">
        <is>
          <t>warning</t>
        </is>
      </c>
      <c r="D1918" t="inlineStr">
        <is>
          <t>R250917-ecosoulhome</t>
        </is>
      </c>
      <c r="E1918" t="inlineStr">
        <is>
          <t>EcoSoul</t>
        </is>
      </c>
      <c r="F1918" s="17" t="n">
        <v>45916</v>
      </c>
      <c r="G1918" t="inlineStr">
        <is>
          <t>11 days after R250905-ecosoul ($5.1 Mn then, $20 Mn now)</t>
        </is>
      </c>
    </row>
    <row r="1919">
      <c r="A1919" t="inlineStr">
        <is>
          <t>C09</t>
        </is>
      </c>
      <c r="B1919" t="inlineStr">
        <is>
          <t>Possible duplicate round</t>
        </is>
      </c>
      <c r="C1919" t="inlineStr">
        <is>
          <t>warning</t>
        </is>
      </c>
      <c r="D1919" t="inlineStr">
        <is>
          <t>R251126-3evindustries</t>
        </is>
      </c>
      <c r="E1919" t="inlineStr">
        <is>
          <t>3ev Industries</t>
        </is>
      </c>
      <c r="F1919" s="17" t="n">
        <v>45987</v>
      </c>
      <c r="G1919" t="inlineStr">
        <is>
          <t>0 days after R251126-3ev ($14.4 Mn then, $13.453 Mn now)</t>
        </is>
      </c>
    </row>
    <row r="1920">
      <c r="A1920" t="inlineStr">
        <is>
          <t>C09</t>
        </is>
      </c>
      <c r="B1920" t="inlineStr">
        <is>
          <t>Possible duplicate round</t>
        </is>
      </c>
      <c r="C1920" t="inlineStr">
        <is>
          <t>warning</t>
        </is>
      </c>
      <c r="D1920" t="inlineStr">
        <is>
          <t>R251215-atomberg</t>
        </is>
      </c>
      <c r="E1920" t="inlineStr">
        <is>
          <t>Atomberg</t>
        </is>
      </c>
      <c r="F1920" s="17" t="n">
        <v>46006</v>
      </c>
      <c r="G1920" t="inlineStr">
        <is>
          <t>14 days after R251201-atomberg ($23.677 Mn then, $4.8 Mn now)</t>
        </is>
      </c>
    </row>
    <row r="1921">
      <c r="A1921" t="inlineStr">
        <is>
          <t>C09</t>
        </is>
      </c>
      <c r="B1921" t="inlineStr">
        <is>
          <t>Possible duplicate round</t>
        </is>
      </c>
      <c r="C1921" t="inlineStr">
        <is>
          <t>warning</t>
        </is>
      </c>
      <c r="D1921" t="inlineStr">
        <is>
          <t>R251217-moengage</t>
        </is>
      </c>
      <c r="E1921" t="inlineStr">
        <is>
          <t>MoEngage</t>
        </is>
      </c>
      <c r="F1921" s="17" t="n">
        <v>46008</v>
      </c>
      <c r="G1921" t="inlineStr">
        <is>
          <t>42 days after R251105-moengage ($100 Mn then, $180 Mn now)</t>
        </is>
      </c>
    </row>
    <row r="1922">
      <c r="A1922" t="inlineStr">
        <is>
          <t>C09</t>
        </is>
      </c>
      <c r="B1922" t="inlineStr">
        <is>
          <t>Possible duplicate round</t>
        </is>
      </c>
      <c r="C1922" t="inlineStr">
        <is>
          <t>warning</t>
        </is>
      </c>
      <c r="D1922" t="inlineStr">
        <is>
          <t>R251219-stockgro</t>
        </is>
      </c>
      <c r="E1922" t="inlineStr">
        <is>
          <t>StockGro</t>
        </is>
      </c>
      <c r="F1922" s="17" t="n">
        <v>46010</v>
      </c>
      <c r="G1922" t="inlineStr">
        <is>
          <t>17 days after R251202-stockgro ($16.7 Mn then, $13 Mn now)</t>
        </is>
      </c>
    </row>
    <row r="1923">
      <c r="A1923" t="inlineStr">
        <is>
          <t>C09</t>
        </is>
      </c>
      <c r="B1923" t="inlineStr">
        <is>
          <t>Possible duplicate round</t>
        </is>
      </c>
      <c r="C1923" t="inlineStr">
        <is>
          <t>warning</t>
        </is>
      </c>
      <c r="D1923" t="inlineStr">
        <is>
          <t>R260112-neeman</t>
        </is>
      </c>
      <c r="E1923" t="inlineStr">
        <is>
          <t>Neeman’s</t>
        </is>
      </c>
      <c r="F1923" s="17" t="n">
        <v>46034</v>
      </c>
      <c r="G1923" t="inlineStr">
        <is>
          <t>14 days after R251229-neeman ($nan Mn then, $4 Mn now)</t>
        </is>
      </c>
    </row>
    <row r="1924">
      <c r="A1924" t="inlineStr">
        <is>
          <t>C09</t>
        </is>
      </c>
      <c r="B1924" t="inlineStr">
        <is>
          <t>Possible duplicate round</t>
        </is>
      </c>
      <c r="C1924" t="inlineStr">
        <is>
          <t>warning</t>
        </is>
      </c>
      <c r="D1924" t="inlineStr">
        <is>
          <t>R260115-truva</t>
        </is>
      </c>
      <c r="E1924" t="inlineStr">
        <is>
          <t>Truva</t>
        </is>
      </c>
      <c r="F1924" s="17" t="n">
        <v>46037</v>
      </c>
      <c r="G1924" t="inlineStr">
        <is>
          <t>15 days after R251231-truva ($6.32 Mn then, $9 Mn now)</t>
        </is>
      </c>
    </row>
    <row r="1925">
      <c r="A1925" t="inlineStr">
        <is>
          <t>C09</t>
        </is>
      </c>
      <c r="B1925" t="inlineStr">
        <is>
          <t>Possible duplicate round</t>
        </is>
      </c>
      <c r="C1925" t="inlineStr">
        <is>
          <t>warning</t>
        </is>
      </c>
      <c r="D1925" t="inlineStr">
        <is>
          <t>R260120-emergent</t>
        </is>
      </c>
      <c r="E1925" t="inlineStr">
        <is>
          <t>Emergent</t>
        </is>
      </c>
      <c r="F1925" s="17" t="n">
        <v>46042</v>
      </c>
      <c r="G1925" t="inlineStr">
        <is>
          <t>42 days after R251209-emergent ($nan Mn then, $70 Mn now)</t>
        </is>
      </c>
    </row>
    <row r="1926">
      <c r="A1926" t="inlineStr">
        <is>
          <t>C09</t>
        </is>
      </c>
      <c r="B1926" t="inlineStr">
        <is>
          <t>Possible duplicate round</t>
        </is>
      </c>
      <c r="C1926" t="inlineStr">
        <is>
          <t>warning</t>
        </is>
      </c>
      <c r="D1926" t="inlineStr">
        <is>
          <t>R260310-basilhealth</t>
        </is>
      </c>
      <c r="E1926" t="inlineStr">
        <is>
          <t>Basil Health</t>
        </is>
      </c>
      <c r="F1926" s="17" t="n">
        <v>46091</v>
      </c>
      <c r="G1926" t="inlineStr">
        <is>
          <t>14 days after R260224-basil ($2 Mn then, $1.5 Mn now)</t>
        </is>
      </c>
    </row>
    <row r="1927">
      <c r="A1927" t="inlineStr">
        <is>
          <t>C09</t>
        </is>
      </c>
      <c r="B1927" t="inlineStr">
        <is>
          <t>Possible duplicate round</t>
        </is>
      </c>
      <c r="C1927" t="inlineStr">
        <is>
          <t>warning</t>
        </is>
      </c>
      <c r="D1927" t="inlineStr">
        <is>
          <t>R260507-skyrootaerospa</t>
        </is>
      </c>
      <c r="E1927" t="inlineStr">
        <is>
          <t>Skyroot</t>
        </is>
      </c>
      <c r="F1927" s="17" t="n">
        <v>46149</v>
      </c>
      <c r="G1927" t="inlineStr">
        <is>
          <t>43 days after R260325-skyrootaerospa ($10.645 Mn then, $60 Mn now)</t>
        </is>
      </c>
    </row>
    <row r="1928">
      <c r="A1928" t="inlineStr">
        <is>
          <t>C09</t>
        </is>
      </c>
      <c r="B1928" t="inlineStr">
        <is>
          <t>Possible duplicate round</t>
        </is>
      </c>
      <c r="C1928" t="inlineStr">
        <is>
          <t>warning</t>
        </is>
      </c>
      <c r="D1928" t="inlineStr">
        <is>
          <t>R260602-ondc</t>
        </is>
      </c>
      <c r="E1928" t="inlineStr">
        <is>
          <t>ONDC</t>
        </is>
      </c>
      <c r="F1928" s="17" t="n">
        <v>46175</v>
      </c>
      <c r="G1928" t="inlineStr">
        <is>
          <t>20 days after R260513-ondc ($7.317 Mn then, $23.092 Mn now)</t>
        </is>
      </c>
    </row>
    <row r="1929">
      <c r="A1929" t="inlineStr">
        <is>
          <t>C09</t>
        </is>
      </c>
      <c r="B1929" t="inlineStr">
        <is>
          <t>Possible duplicate round</t>
        </is>
      </c>
      <c r="C1929" t="inlineStr">
        <is>
          <t>warning</t>
        </is>
      </c>
      <c r="D1929" t="inlineStr">
        <is>
          <t>R260604-thesweetchange</t>
        </is>
      </c>
      <c r="E1929" t="inlineStr">
        <is>
          <t>The Sweet Change</t>
        </is>
      </c>
      <c r="F1929" s="17" t="n">
        <v>46177</v>
      </c>
      <c r="G1929" t="inlineStr">
        <is>
          <t>21 days after R260514-thesweetchange ($0.073 Mn then, $0.177 Mn now)</t>
        </is>
      </c>
    </row>
    <row r="1930">
      <c r="A1930" t="inlineStr">
        <is>
          <t>C09</t>
        </is>
      </c>
      <c r="B1930" t="inlineStr">
        <is>
          <t>Possible duplicate round</t>
        </is>
      </c>
      <c r="C1930" t="inlineStr">
        <is>
          <t>warning</t>
        </is>
      </c>
      <c r="D1930" t="inlineStr">
        <is>
          <t>R260629-ruskmedia</t>
        </is>
      </c>
      <c r="E1930" t="inlineStr">
        <is>
          <t>Rusk Media</t>
        </is>
      </c>
      <c r="F1930" s="17" t="n">
        <v>46202</v>
      </c>
      <c r="G1930" t="inlineStr">
        <is>
          <t>11 days after R260618-ruskmedia ($10.6 Mn then, $nan Mn now)</t>
        </is>
      </c>
    </row>
    <row r="1931">
      <c r="A1931" t="inlineStr">
        <is>
          <t>C09</t>
        </is>
      </c>
      <c r="B1931" t="inlineStr">
        <is>
          <t>Possible duplicate round</t>
        </is>
      </c>
      <c r="C1931" t="inlineStr">
        <is>
          <t>warning</t>
        </is>
      </c>
      <c r="D1931" t="inlineStr">
        <is>
          <t>R260721-solarsquare</t>
        </is>
      </c>
      <c r="E1931" t="inlineStr">
        <is>
          <t>SolarSquare</t>
        </is>
      </c>
      <c r="F1931" s="17" t="n">
        <v>46224</v>
      </c>
      <c r="G1931" t="inlineStr">
        <is>
          <t>35 days after R260616-solarsquare ($53 Mn then, $53 Mn now)</t>
        </is>
      </c>
    </row>
    <row r="1932">
      <c r="A1932" t="inlineStr">
        <is>
          <t>C09</t>
        </is>
      </c>
      <c r="B1932" t="inlineStr">
        <is>
          <t>Possible duplicate round</t>
        </is>
      </c>
      <c r="C1932" t="inlineStr">
        <is>
          <t>warning</t>
        </is>
      </c>
      <c r="D1932" t="inlineStr">
        <is>
          <t>R260829-omegaseikimobi</t>
        </is>
      </c>
      <c r="E1932" t="inlineStr">
        <is>
          <t>Omega Seiki Mobility</t>
        </is>
      </c>
      <c r="F1932" s="17" t="n">
        <v>46263</v>
      </c>
      <c r="G1932" t="inlineStr">
        <is>
          <t>33 days after R260727-omegaseikimobi ($5.213 Mn then, $5.2 Mn now)</t>
        </is>
      </c>
    </row>
    <row r="1933">
      <c r="A1933" t="inlineStr">
        <is>
          <t>C09</t>
        </is>
      </c>
      <c r="B1933" t="inlineStr">
        <is>
          <t>Possible duplicate round</t>
        </is>
      </c>
      <c r="C1933" t="inlineStr">
        <is>
          <t>warning</t>
        </is>
      </c>
      <c r="D1933" t="inlineStr">
        <is>
          <t>R260901-kepleraerospac</t>
        </is>
      </c>
      <c r="E1933" t="inlineStr">
        <is>
          <t>Kepler Aerospace</t>
        </is>
      </c>
      <c r="F1933" s="17" t="n">
        <v>46266</v>
      </c>
      <c r="G1933" t="inlineStr">
        <is>
          <t>31 days after R260801-kepleraerospac ($8 Mn then, $8 Mn now)</t>
        </is>
      </c>
    </row>
    <row r="1934">
      <c r="A1934" t="inlineStr">
        <is>
          <t>C09</t>
        </is>
      </c>
      <c r="B1934" t="inlineStr">
        <is>
          <t>Possible duplicate round</t>
        </is>
      </c>
      <c r="C1934" t="inlineStr">
        <is>
          <t>warning</t>
        </is>
      </c>
      <c r="D1934" t="inlineStr">
        <is>
          <t>R260917-yulu</t>
        </is>
      </c>
      <c r="E1934" t="inlineStr">
        <is>
          <t>Yulu</t>
        </is>
      </c>
      <c r="F1934" s="17" t="n">
        <v>46282</v>
      </c>
      <c r="G1934" t="inlineStr">
        <is>
          <t>36 days after R260812-yulu ($93 Mn then, $93 Mn now)</t>
        </is>
      </c>
    </row>
    <row r="1935">
      <c r="A1935" t="inlineStr">
        <is>
          <t>C09</t>
        </is>
      </c>
      <c r="B1935" t="inlineStr">
        <is>
          <t>Possible duplicate round</t>
        </is>
      </c>
      <c r="C1935" t="inlineStr">
        <is>
          <t>warning</t>
        </is>
      </c>
      <c r="D1935" t="inlineStr">
        <is>
          <t>R261008-zinara</t>
        </is>
      </c>
      <c r="E1935" t="inlineStr">
        <is>
          <t>Zinara</t>
        </is>
      </c>
      <c r="F1935" s="17" t="n">
        <v>46303</v>
      </c>
      <c r="G1935" t="inlineStr">
        <is>
          <t>20 days after R260918-zinara ($nan Mn then, $0.373 Mn now)</t>
        </is>
      </c>
    </row>
    <row r="1936">
      <c r="A1936" t="inlineStr">
        <is>
          <t>C11</t>
        </is>
      </c>
      <c r="B1936" t="inlineStr">
        <is>
          <t>Amount outlier for its stage</t>
        </is>
      </c>
      <c r="C1936" t="inlineStr">
        <is>
          <t>warning</t>
        </is>
      </c>
      <c r="D1936" t="inlineStr">
        <is>
          <t>R250121-joyspoon</t>
        </is>
      </c>
      <c r="E1936" t="inlineStr">
        <is>
          <t>JoySpoon</t>
        </is>
      </c>
      <c r="F1936" s="17" t="n">
        <v>45678</v>
      </c>
      <c r="G1936" t="inlineStr">
        <is>
          <t>$0.065 Mn is outside the usual Seed range ($0.10-24.0 Mn)</t>
        </is>
      </c>
    </row>
    <row r="1937">
      <c r="A1937" t="inlineStr">
        <is>
          <t>C11</t>
        </is>
      </c>
      <c r="B1937" t="inlineStr">
        <is>
          <t>Amount outlier for its stage</t>
        </is>
      </c>
      <c r="C1937" t="inlineStr">
        <is>
          <t>warning</t>
        </is>
      </c>
      <c r="D1937" t="inlineStr">
        <is>
          <t>R250205-fitspire</t>
        </is>
      </c>
      <c r="E1937" t="inlineStr">
        <is>
          <t>Fitspire</t>
        </is>
      </c>
      <c r="F1937" s="17" t="n">
        <v>45693</v>
      </c>
      <c r="G1937" t="inlineStr">
        <is>
          <t>$1 Mn is outside the usual Series A range ($1.11-51.7 Mn)</t>
        </is>
      </c>
    </row>
    <row r="1938">
      <c r="A1938" t="inlineStr">
        <is>
          <t>C11</t>
        </is>
      </c>
      <c r="B1938" t="inlineStr">
        <is>
          <t>Amount outlier for its stage</t>
        </is>
      </c>
      <c r="C1938" t="inlineStr">
        <is>
          <t>warning</t>
        </is>
      </c>
      <c r="D1938" t="inlineStr">
        <is>
          <t>R250219-agrilectric</t>
        </is>
      </c>
      <c r="E1938" t="inlineStr">
        <is>
          <t>Agrilectric</t>
        </is>
      </c>
      <c r="F1938" s="17" t="n">
        <v>45707</v>
      </c>
      <c r="G1938" t="inlineStr">
        <is>
          <t>$0.1 Mn is outside the usual Seed range ($0.10-24.0 Mn)</t>
        </is>
      </c>
    </row>
    <row r="1939">
      <c r="A1939" t="inlineStr">
        <is>
          <t>C11</t>
        </is>
      </c>
      <c r="B1939" t="inlineStr">
        <is>
          <t>Amount outlier for its stage</t>
        </is>
      </c>
      <c r="C1939" t="inlineStr">
        <is>
          <t>warning</t>
        </is>
      </c>
      <c r="D1939" t="inlineStr">
        <is>
          <t>R250311-zolve</t>
        </is>
      </c>
      <c r="E1939" t="inlineStr">
        <is>
          <t>Zolve</t>
        </is>
      </c>
      <c r="F1939" s="17" t="n">
        <v>45727</v>
      </c>
      <c r="G1939" t="inlineStr">
        <is>
          <t>$251 Mn is outside the usual Series B range ($1.92-155.9 Mn)</t>
        </is>
      </c>
    </row>
    <row r="1940">
      <c r="A1940" t="inlineStr">
        <is>
          <t>C11</t>
        </is>
      </c>
      <c r="B1940" t="inlineStr">
        <is>
          <t>Amount outlier for its stage</t>
        </is>
      </c>
      <c r="C1940" t="inlineStr">
        <is>
          <t>warning</t>
        </is>
      </c>
      <c r="D1940" t="inlineStr">
        <is>
          <t>R250508-pbhealthcare</t>
        </is>
      </c>
      <c r="E1940" t="inlineStr">
        <is>
          <t>PB Healthcare</t>
        </is>
      </c>
      <c r="F1940" s="17" t="n">
        <v>45785</v>
      </c>
      <c r="G1940" t="inlineStr">
        <is>
          <t>$218 Mn is outside the usual Seed range ($0.10-24.0 Mn)</t>
        </is>
      </c>
    </row>
    <row r="1941">
      <c r="A1941" t="inlineStr">
        <is>
          <t>C11</t>
        </is>
      </c>
      <c r="B1941" t="inlineStr">
        <is>
          <t>Amount outlier for its stage</t>
        </is>
      </c>
      <c r="C1941" t="inlineStr">
        <is>
          <t>warning</t>
        </is>
      </c>
      <c r="D1941" t="inlineStr">
        <is>
          <t>R250528-saarathifinanc</t>
        </is>
      </c>
      <c r="E1941" t="inlineStr">
        <is>
          <t>Saarathi Finance</t>
        </is>
      </c>
      <c r="F1941" s="17" t="n">
        <v>45805</v>
      </c>
      <c r="G1941" t="inlineStr">
        <is>
          <t>$55.627 Mn is outside the usual Series A range ($1.11-51.7 Mn)</t>
        </is>
      </c>
    </row>
    <row r="1942">
      <c r="A1942" t="inlineStr">
        <is>
          <t>C11</t>
        </is>
      </c>
      <c r="B1942" t="inlineStr">
        <is>
          <t>Amount outlier for its stage</t>
        </is>
      </c>
      <c r="C1942" t="inlineStr">
        <is>
          <t>warning</t>
        </is>
      </c>
      <c r="D1942" t="inlineStr">
        <is>
          <t>R250611-piston</t>
        </is>
      </c>
      <c r="E1942" t="inlineStr">
        <is>
          <t>Piston</t>
        </is>
      </c>
      <c r="F1942" s="17" t="n">
        <v>45819</v>
      </c>
      <c r="G1942" t="inlineStr">
        <is>
          <t>$7.5 Mn is outside the usual Pre-Seed range ($0.04-7.2 Mn)</t>
        </is>
      </c>
    </row>
    <row r="1943">
      <c r="A1943" t="inlineStr">
        <is>
          <t>C11</t>
        </is>
      </c>
      <c r="B1943" t="inlineStr">
        <is>
          <t>Amount outlier for its stage</t>
        </is>
      </c>
      <c r="C1943" t="inlineStr">
        <is>
          <t>warning</t>
        </is>
      </c>
      <c r="D1943" t="inlineStr">
        <is>
          <t>R250903-pbhealthcare</t>
        </is>
      </c>
      <c r="E1943" t="inlineStr">
        <is>
          <t>PB Healthcare</t>
        </is>
      </c>
      <c r="F1943" s="17" t="n">
        <v>45903</v>
      </c>
      <c r="G1943" t="inlineStr">
        <is>
          <t>$218 Mn is outside the usual Seed range ($0.10-24.0 Mn)</t>
        </is>
      </c>
    </row>
    <row r="1944">
      <c r="A1944" t="inlineStr">
        <is>
          <t>C11</t>
        </is>
      </c>
      <c r="B1944" t="inlineStr">
        <is>
          <t>Amount outlier for its stage</t>
        </is>
      </c>
      <c r="C1944" t="inlineStr">
        <is>
          <t>warning</t>
        </is>
      </c>
      <c r="D1944" t="inlineStr">
        <is>
          <t>R250916-pharmeasy</t>
        </is>
      </c>
      <c r="E1944" t="inlineStr">
        <is>
          <t>PharmEasy</t>
        </is>
      </c>
      <c r="F1944" s="17" t="n">
        <v>45916</v>
      </c>
      <c r="G1944" t="inlineStr">
        <is>
          <t>$193.072 Mn is outside the usual Debt range ($0.59-190.3 Mn)</t>
        </is>
      </c>
    </row>
    <row r="1945">
      <c r="A1945" t="inlineStr">
        <is>
          <t>C11</t>
        </is>
      </c>
      <c r="B1945" t="inlineStr">
        <is>
          <t>Amount outlier for its stage</t>
        </is>
      </c>
      <c r="C1945" t="inlineStr">
        <is>
          <t>warning</t>
        </is>
      </c>
      <c r="D1945" t="inlineStr">
        <is>
          <t>R251006-decortwist</t>
        </is>
      </c>
      <c r="E1945" t="inlineStr">
        <is>
          <t>DecorTwist</t>
        </is>
      </c>
      <c r="F1945" s="17" t="n">
        <v>45936</v>
      </c>
      <c r="G1945" t="inlineStr">
        <is>
          <t>$0.2 Mn is outside the usual Pre-Series A range ($0.21-18.3 Mn)</t>
        </is>
      </c>
    </row>
    <row r="1946">
      <c r="A1946" t="inlineStr">
        <is>
          <t>C11</t>
        </is>
      </c>
      <c r="B1946" t="inlineStr">
        <is>
          <t>Amount outlier for its stage</t>
        </is>
      </c>
      <c r="C1946" t="inlineStr">
        <is>
          <t>warning</t>
        </is>
      </c>
      <c r="D1946" t="inlineStr">
        <is>
          <t>R251104-blyp</t>
        </is>
      </c>
      <c r="E1946" t="inlineStr">
        <is>
          <t>Blyp</t>
        </is>
      </c>
      <c r="F1946" s="17" t="n">
        <v>45965</v>
      </c>
      <c r="G1946" t="inlineStr">
        <is>
          <t>$0.056 Mn is outside the usual Pre-Series A range ($0.21-18.3 Mn)</t>
        </is>
      </c>
    </row>
    <row r="1947">
      <c r="A1947" t="inlineStr">
        <is>
          <t>C11</t>
        </is>
      </c>
      <c r="B1947" t="inlineStr">
        <is>
          <t>Amount outlier for its stage</t>
        </is>
      </c>
      <c r="C1947" t="inlineStr">
        <is>
          <t>warning</t>
        </is>
      </c>
      <c r="D1947" t="inlineStr">
        <is>
          <t>R251106-giga</t>
        </is>
      </c>
      <c r="E1947" t="inlineStr">
        <is>
          <t>Giga</t>
        </is>
      </c>
      <c r="F1947" s="17" t="n">
        <v>45967</v>
      </c>
      <c r="G1947" t="inlineStr">
        <is>
          <t>$61 Mn is outside the usual Series A range ($1.11-51.7 Mn)</t>
        </is>
      </c>
    </row>
    <row r="1948">
      <c r="A1948" t="inlineStr">
        <is>
          <t>C11</t>
        </is>
      </c>
      <c r="B1948" t="inlineStr">
        <is>
          <t>Amount outlier for its stage</t>
        </is>
      </c>
      <c r="C1948" t="inlineStr">
        <is>
          <t>warning</t>
        </is>
      </c>
      <c r="D1948" t="inlineStr">
        <is>
          <t>R251113-parallelwebsys</t>
        </is>
      </c>
      <c r="E1948" t="inlineStr">
        <is>
          <t>Parallel Web Systems</t>
        </is>
      </c>
      <c r="F1948" s="17" t="n">
        <v>45974</v>
      </c>
      <c r="G1948" t="inlineStr">
        <is>
          <t>$100 Mn is outside the usual Series A range ($1.11-51.7 Mn)</t>
        </is>
      </c>
    </row>
    <row r="1949">
      <c r="A1949" t="inlineStr">
        <is>
          <t>C11</t>
        </is>
      </c>
      <c r="B1949" t="inlineStr">
        <is>
          <t>Amount outlier for its stage</t>
        </is>
      </c>
      <c r="C1949" t="inlineStr">
        <is>
          <t>warning</t>
        </is>
      </c>
      <c r="D1949" t="inlineStr">
        <is>
          <t>R260105-mylapay</t>
        </is>
      </c>
      <c r="E1949" t="inlineStr">
        <is>
          <t>Mylapay</t>
        </is>
      </c>
      <c r="F1949" s="17" t="n">
        <v>46027</v>
      </c>
      <c r="G1949" t="inlineStr">
        <is>
          <t>$1 Mn is outside the usual Series A range ($1.11-51.7 Mn)</t>
        </is>
      </c>
    </row>
    <row r="1950">
      <c r="A1950" t="inlineStr">
        <is>
          <t>C11</t>
        </is>
      </c>
      <c r="B1950" t="inlineStr">
        <is>
          <t>Amount outlier for its stage</t>
        </is>
      </c>
      <c r="C1950" t="inlineStr">
        <is>
          <t>warning</t>
        </is>
      </c>
      <c r="D1950" t="inlineStr">
        <is>
          <t>R260202-dreamflyinnova</t>
        </is>
      </c>
      <c r="E1950" t="inlineStr">
        <is>
          <t>Dreamfly Innovations</t>
        </is>
      </c>
      <c r="F1950" s="17" t="n">
        <v>46055</v>
      </c>
      <c r="G1950" t="inlineStr">
        <is>
          <t>$0.328 Mn is outside the usual Debt range ($0.59-190.3 Mn)</t>
        </is>
      </c>
    </row>
    <row r="1951">
      <c r="A1951" t="inlineStr">
        <is>
          <t>C11</t>
        </is>
      </c>
      <c r="B1951" t="inlineStr">
        <is>
          <t>Amount outlier for its stage</t>
        </is>
      </c>
      <c r="C1951" t="inlineStr">
        <is>
          <t>warning</t>
        </is>
      </c>
      <c r="D1951" t="inlineStr">
        <is>
          <t>R260210-slurrpfarm</t>
        </is>
      </c>
      <c r="E1951" t="inlineStr">
        <is>
          <t>Slurrp Farm</t>
        </is>
      </c>
      <c r="F1951" s="17" t="n">
        <v>46063</v>
      </c>
      <c r="G1951" t="inlineStr">
        <is>
          <t>$3.313 Mn is outside the usual Series C range ($6.36-219.5 Mn)</t>
        </is>
      </c>
    </row>
    <row r="1952">
      <c r="A1952" t="inlineStr">
        <is>
          <t>C11</t>
        </is>
      </c>
      <c r="B1952" t="inlineStr">
        <is>
          <t>Amount outlier for its stage</t>
        </is>
      </c>
      <c r="C1952" t="inlineStr">
        <is>
          <t>warning</t>
        </is>
      </c>
      <c r="D1952" t="inlineStr">
        <is>
          <t>R260227-temple</t>
        </is>
      </c>
      <c r="E1952" t="inlineStr">
        <is>
          <t>Temple</t>
        </is>
      </c>
      <c r="F1952" s="17" t="n">
        <v>46080</v>
      </c>
      <c r="G1952" t="inlineStr">
        <is>
          <t>$54 Mn is outside the usual Seed range ($0.10-24.0 Mn)</t>
        </is>
      </c>
    </row>
    <row r="1953">
      <c r="A1953" t="inlineStr">
        <is>
          <t>C11</t>
        </is>
      </c>
      <c r="B1953" t="inlineStr">
        <is>
          <t>Amount outlier for its stage</t>
        </is>
      </c>
      <c r="C1953" t="inlineStr">
        <is>
          <t>warning</t>
        </is>
      </c>
      <c r="D1953" t="inlineStr">
        <is>
          <t>R260609-bazaarnow</t>
        </is>
      </c>
      <c r="E1953" t="inlineStr">
        <is>
          <t>BazaarNow</t>
        </is>
      </c>
      <c r="F1953" s="17" t="n">
        <v>46182</v>
      </c>
      <c r="G1953" t="inlineStr">
        <is>
          <t>$7.551 Mn is outside the usual Pre-Seed range ($0.04-7.2 Mn)</t>
        </is>
      </c>
    </row>
    <row r="1954">
      <c r="A1954" t="inlineStr">
        <is>
          <t>C11</t>
        </is>
      </c>
      <c r="B1954" t="inlineStr">
        <is>
          <t>Amount outlier for its stage</t>
        </is>
      </c>
      <c r="C1954" t="inlineStr">
        <is>
          <t>warning</t>
        </is>
      </c>
      <c r="D1954" t="inlineStr">
        <is>
          <t>R260611-dartle</t>
        </is>
      </c>
      <c r="E1954" t="inlineStr">
        <is>
          <t>Dartle</t>
        </is>
      </c>
      <c r="F1954" s="17" t="n">
        <v>46184</v>
      </c>
      <c r="G1954" t="inlineStr">
        <is>
          <t>$0.1 Mn is outside the usual Seed range ($0.10-24.0 Mn)</t>
        </is>
      </c>
    </row>
    <row r="1955">
      <c r="A1955" t="inlineStr">
        <is>
          <t>C11</t>
        </is>
      </c>
      <c r="B1955" t="inlineStr">
        <is>
          <t>Amount outlier for its stage</t>
        </is>
      </c>
      <c r="C1955" t="inlineStr">
        <is>
          <t>warning</t>
        </is>
      </c>
      <c r="D1955" t="inlineStr">
        <is>
          <t>R260615-sarvam</t>
        </is>
      </c>
      <c r="E1955" t="inlineStr">
        <is>
          <t>Sarvam</t>
        </is>
      </c>
      <c r="F1955" s="17" t="n">
        <v>46188</v>
      </c>
      <c r="G1955" t="inlineStr">
        <is>
          <t>$234 Mn is outside the usual Series B range ($1.92-155.9 Mn)</t>
        </is>
      </c>
    </row>
    <row r="1956">
      <c r="A1956" t="inlineStr">
        <is>
          <t>C11</t>
        </is>
      </c>
      <c r="B1956" t="inlineStr">
        <is>
          <t>Amount outlier for its stage</t>
        </is>
      </c>
      <c r="C1956" t="inlineStr">
        <is>
          <t>warning</t>
        </is>
      </c>
      <c r="D1956" t="inlineStr">
        <is>
          <t>R260617-pramaanalabs</t>
        </is>
      </c>
      <c r="E1956" t="inlineStr">
        <is>
          <t>Pramaana Labs</t>
        </is>
      </c>
      <c r="F1956" s="17" t="n">
        <v>46190</v>
      </c>
      <c r="G1956" t="inlineStr">
        <is>
          <t>$27 Mn is outside the usual Seed range ($0.10-24.0 Mn)</t>
        </is>
      </c>
    </row>
    <row r="1957">
      <c r="A1957" t="inlineStr">
        <is>
          <t>C11</t>
        </is>
      </c>
      <c r="B1957" t="inlineStr">
        <is>
          <t>Amount outlier for its stage</t>
        </is>
      </c>
      <c r="C1957" t="inlineStr">
        <is>
          <t>warning</t>
        </is>
      </c>
      <c r="D1957" t="inlineStr">
        <is>
          <t>R260624-vishalsikka</t>
        </is>
      </c>
      <c r="E1957" t="inlineStr">
        <is>
          <t>Vishal Sikka</t>
        </is>
      </c>
      <c r="F1957" s="17" t="n">
        <v>46197</v>
      </c>
      <c r="G1957" t="inlineStr">
        <is>
          <t>$32 Mn is outside the usual Seed range ($0.10-24.0 Mn)</t>
        </is>
      </c>
    </row>
    <row r="1958">
      <c r="A1958" t="inlineStr">
        <is>
          <t>C11</t>
        </is>
      </c>
      <c r="B1958" t="inlineStr">
        <is>
          <t>Amount outlier for its stage</t>
        </is>
      </c>
      <c r="C1958" t="inlineStr">
        <is>
          <t>warning</t>
        </is>
      </c>
      <c r="D1958" t="inlineStr">
        <is>
          <t>R260625-hangtensystems</t>
        </is>
      </c>
      <c r="E1958" t="inlineStr">
        <is>
          <t>Hang Ten Systems</t>
        </is>
      </c>
      <c r="F1958" s="17" t="n">
        <v>46197</v>
      </c>
      <c r="G1958" t="inlineStr">
        <is>
          <t>$32 Mn is outside the usual Seed range ($0.10-24.0 Mn)</t>
        </is>
      </c>
    </row>
    <row r="1959">
      <c r="A1959" t="inlineStr">
        <is>
          <t>C11</t>
        </is>
      </c>
      <c r="B1959" t="inlineStr">
        <is>
          <t>Amount outlier for its stage</t>
        </is>
      </c>
      <c r="C1959" t="inlineStr">
        <is>
          <t>warning</t>
        </is>
      </c>
      <c r="D1959" t="inlineStr">
        <is>
          <t>R260707-stylework</t>
        </is>
      </c>
      <c r="E1959" t="inlineStr">
        <is>
          <t>Stylework</t>
        </is>
      </c>
      <c r="F1959" s="17" t="n">
        <v>46210</v>
      </c>
      <c r="G1959" t="inlineStr">
        <is>
          <t>$1 Mn is outside the usual Pre-Series B range ($1.05-47.1 Mn)</t>
        </is>
      </c>
    </row>
    <row r="1960">
      <c r="A1960" t="inlineStr">
        <is>
          <t>C11</t>
        </is>
      </c>
      <c r="B1960" t="inlineStr">
        <is>
          <t>Amount outlier for its stage</t>
        </is>
      </c>
      <c r="C1960" t="inlineStr">
        <is>
          <t>warning</t>
        </is>
      </c>
      <c r="D1960" t="inlineStr">
        <is>
          <t>R260818-wisprflow</t>
        </is>
      </c>
      <c r="E1960" t="inlineStr">
        <is>
          <t>Wispr Flow</t>
        </is>
      </c>
      <c r="F1960" s="17" t="n">
        <v>46251</v>
      </c>
      <c r="G1960" t="inlineStr">
        <is>
          <t>$280 Mn is outside the usual Series B range ($1.92-155.9 Mn)</t>
        </is>
      </c>
    </row>
    <row r="1961">
      <c r="A1961" t="inlineStr">
        <is>
          <t>C11</t>
        </is>
      </c>
      <c r="B1961" t="inlineStr">
        <is>
          <t>Amount outlier for its stage</t>
        </is>
      </c>
      <c r="C1961" t="inlineStr">
        <is>
          <t>warning</t>
        </is>
      </c>
      <c r="D1961" t="inlineStr">
        <is>
          <t>R260827-oorjaa</t>
        </is>
      </c>
      <c r="E1961" t="inlineStr">
        <is>
          <t>OORJAA</t>
        </is>
      </c>
      <c r="F1961" s="17" t="n">
        <v>46261</v>
      </c>
      <c r="G1961" t="inlineStr">
        <is>
          <t>$1.015 Mn is outside the usual Series A range ($1.11-51.7 Mn)</t>
        </is>
      </c>
    </row>
    <row r="1962">
      <c r="A1962" t="inlineStr">
        <is>
          <t>C13</t>
        </is>
      </c>
      <c r="B1962" t="inlineStr">
        <is>
          <t>INR/USD mismatch</t>
        </is>
      </c>
      <c r="C1962" t="inlineStr">
        <is>
          <t>warning</t>
        </is>
      </c>
      <c r="D1962" t="inlineStr">
        <is>
          <t>R251029-jupiter</t>
        </is>
      </c>
      <c r="E1962" t="inlineStr">
        <is>
          <t>Jupiter</t>
        </is>
      </c>
      <c r="F1962" s="17" t="n">
        <v>45959</v>
      </c>
      <c r="G1962" t="inlineStr">
        <is>
          <t>ET-124908900: Rs 115 Cr and $15 Mn imply 76.7 INR/USD, reference rate was 88.2</t>
        </is>
      </c>
    </row>
    <row r="1963">
      <c r="A1963" t="inlineStr">
        <is>
          <t>C13</t>
        </is>
      </c>
      <c r="B1963" t="inlineStr">
        <is>
          <t>INR/USD mismatch</t>
        </is>
      </c>
      <c r="C1963" t="inlineStr">
        <is>
          <t>warning</t>
        </is>
      </c>
      <c r="D1963" t="inlineStr">
        <is>
          <t>R251029-jupiter</t>
        </is>
      </c>
      <c r="E1963" t="inlineStr">
        <is>
          <t>Jupiter</t>
        </is>
      </c>
      <c r="F1963" s="17" t="n">
        <v>45959</v>
      </c>
      <c r="G1963" t="inlineStr">
        <is>
          <t>ENT-10606028: Rs 115 Cr and $15 Mn imply 76.7 INR/USD, reference rate was 88.7</t>
        </is>
      </c>
    </row>
    <row r="1964">
      <c r="A1964" t="inlineStr">
        <is>
          <t>C13</t>
        </is>
      </c>
      <c r="B1964" t="inlineStr">
        <is>
          <t>INR/USD mismatch</t>
        </is>
      </c>
      <c r="C1964" t="inlineStr">
        <is>
          <t>warning</t>
        </is>
      </c>
      <c r="D1964" t="inlineStr">
        <is>
          <t>R260121-cuminco</t>
        </is>
      </c>
      <c r="E1964" t="inlineStr">
        <is>
          <t>Cumin Co.</t>
        </is>
      </c>
      <c r="F1964" s="17" t="n">
        <v>46043</v>
      </c>
      <c r="G1964" t="inlineStr">
        <is>
          <t>ENT-11017896: Rs 41 Cr and $5 Mn imply 82.0 INR/USD, reference rate was 91.6</t>
        </is>
      </c>
    </row>
    <row r="1965">
      <c r="A1965" t="inlineStr">
        <is>
          <t>C13</t>
        </is>
      </c>
      <c r="B1965" t="inlineStr">
        <is>
          <t>INR/USD mismatch</t>
        </is>
      </c>
      <c r="C1965" t="inlineStr">
        <is>
          <t>warning</t>
        </is>
      </c>
      <c r="D1965" t="inlineStr">
        <is>
          <t>R260224-oncare</t>
        </is>
      </c>
      <c r="E1965" t="inlineStr">
        <is>
          <t>Oncare</t>
        </is>
      </c>
      <c r="F1965" s="17" t="n">
        <v>46077</v>
      </c>
      <c r="G1965" t="inlineStr">
        <is>
          <t>ENT-11149575: Rs 27 Cr and $4 Mn imply 67.5 INR/USD, reference rate was 90.9</t>
        </is>
      </c>
    </row>
    <row r="1966">
      <c r="A1966" t="inlineStr">
        <is>
          <t>C13</t>
        </is>
      </c>
      <c r="B1966" t="inlineStr">
        <is>
          <t>INR/USD mismatch</t>
        </is>
      </c>
      <c r="C1966" t="inlineStr">
        <is>
          <t>warning</t>
        </is>
      </c>
      <c r="D1966" t="inlineStr">
        <is>
          <t>R260327-uncia</t>
        </is>
      </c>
      <c r="E1966" t="inlineStr">
        <is>
          <t>Uncia</t>
        </is>
      </c>
      <c r="F1966" s="17" t="n">
        <v>46108</v>
      </c>
      <c r="G1966" t="inlineStr">
        <is>
          <t>ENT-11364581: Rs 25 Cr and $3 Mn imply 83.3 INR/USD, reference rate was 94.8</t>
        </is>
      </c>
    </row>
    <row r="1967">
      <c r="A1967" t="inlineStr">
        <is>
          <t>C13</t>
        </is>
      </c>
      <c r="B1967" t="inlineStr">
        <is>
          <t>INR/USD mismatch</t>
        </is>
      </c>
      <c r="C1967" t="inlineStr">
        <is>
          <t>warning</t>
        </is>
      </c>
      <c r="D1967" t="inlineStr">
        <is>
          <t>R260327-uncia</t>
        </is>
      </c>
      <c r="E1967" t="inlineStr">
        <is>
          <t>Uncia</t>
        </is>
      </c>
      <c r="F1967" s="17" t="n">
        <v>46108</v>
      </c>
      <c r="G1967" t="inlineStr">
        <is>
          <t>ET-129842279: Rs 25 Cr and $3 Mn imply 83.3 INR/USD, reference rate was 94.8</t>
        </is>
      </c>
    </row>
    <row r="1968">
      <c r="A1968" t="inlineStr">
        <is>
          <t>C13</t>
        </is>
      </c>
      <c r="B1968" t="inlineStr">
        <is>
          <t>INR/USD mismatch</t>
        </is>
      </c>
      <c r="C1968" t="inlineStr">
        <is>
          <t>warning</t>
        </is>
      </c>
      <c r="D1968" t="inlineStr">
        <is>
          <t>R260331-openfx</t>
        </is>
      </c>
      <c r="E1968" t="inlineStr">
        <is>
          <t>OpenFX</t>
        </is>
      </c>
      <c r="F1968" s="17" t="n">
        <v>46112</v>
      </c>
      <c r="G1968" t="inlineStr">
        <is>
          <t>ET-129922393: Rs 780 Cr and $94 Mn imply 83.0 INR/USD, reference rate was 93.8</t>
        </is>
      </c>
    </row>
    <row r="1969">
      <c r="A1969" t="inlineStr">
        <is>
          <t>C13</t>
        </is>
      </c>
      <c r="B1969" t="inlineStr">
        <is>
          <t>INR/USD mismatch</t>
        </is>
      </c>
      <c r="C1969" t="inlineStr">
        <is>
          <t>warning</t>
        </is>
      </c>
      <c r="D1969" t="inlineStr">
        <is>
          <t>R260406-damgoodfish</t>
        </is>
      </c>
      <c r="E1969" t="inlineStr">
        <is>
          <t>Dam Good Fish</t>
        </is>
      </c>
      <c r="F1969" s="17" t="n">
        <v>46118</v>
      </c>
      <c r="G1969" t="inlineStr">
        <is>
          <t>ENT-11457953: Rs 30 Cr and $3.6 Mn imply 83.3 INR/USD, reference rate was 93.1</t>
        </is>
      </c>
    </row>
    <row r="1970">
      <c r="A1970" t="inlineStr">
        <is>
          <t>C13</t>
        </is>
      </c>
      <c r="B1970" t="inlineStr">
        <is>
          <t>INR/USD mismatch</t>
        </is>
      </c>
      <c r="C1970" t="inlineStr">
        <is>
          <t>warning</t>
        </is>
      </c>
      <c r="D1970" t="inlineStr">
        <is>
          <t>R260406-satleolabs</t>
        </is>
      </c>
      <c r="E1970" t="inlineStr">
        <is>
          <t>SatLeo Labs</t>
        </is>
      </c>
      <c r="F1970" s="17" t="n">
        <v>46118</v>
      </c>
      <c r="G1970" t="inlineStr">
        <is>
          <t>ET-130060486: Rs 18 Cr and $2.2 Mn imply 81.8 INR/USD, reference rate was 93.1</t>
        </is>
      </c>
    </row>
    <row r="1971">
      <c r="A1971" t="inlineStr">
        <is>
          <t>C13</t>
        </is>
      </c>
      <c r="B1971" t="inlineStr">
        <is>
          <t>INR/USD mismatch</t>
        </is>
      </c>
      <c r="C1971" t="inlineStr">
        <is>
          <t>warning</t>
        </is>
      </c>
      <c r="D1971" t="inlineStr">
        <is>
          <t>R260520-anscerrobotics</t>
        </is>
      </c>
      <c r="E1971" t="inlineStr">
        <is>
          <t>Anscer Robotics</t>
        </is>
      </c>
      <c r="F1971" s="17" t="n">
        <v>46162</v>
      </c>
      <c r="G1971" t="inlineStr">
        <is>
          <t>ENT-11856156: Rs 45 Cr and $5.4 Mn imply 83.3 INR/USD, reference rate was 96.8</t>
        </is>
      </c>
    </row>
    <row r="1972">
      <c r="A1972" t="inlineStr">
        <is>
          <t>C14</t>
        </is>
      </c>
      <c r="B1972" t="inlineStr">
        <is>
          <t>Lakh/crore or million/billion mismatch</t>
        </is>
      </c>
      <c r="C1972" t="inlineStr">
        <is>
          <t>error</t>
        </is>
      </c>
      <c r="D1972" t="inlineStr">
        <is>
          <t>R260408-clayco</t>
        </is>
      </c>
      <c r="E1972" t="inlineStr">
        <is>
          <t>ClayCo</t>
        </is>
      </c>
      <c r="F1972" s="17" t="n">
        <v>46120</v>
      </c>
      <c r="G1972" t="inlineStr">
        <is>
          <t>reports range from $0.4 Mn to $3.75081 Mn (a factor of about 9)</t>
        </is>
      </c>
    </row>
    <row r="1973">
      <c r="A1973" t="inlineStr">
        <is>
          <t>C15</t>
        </is>
      </c>
      <c r="B1973" t="inlineStr">
        <is>
          <t>Amount disagreement</t>
        </is>
      </c>
      <c r="C1973" t="inlineStr">
        <is>
          <t>warning</t>
        </is>
      </c>
      <c r="D1973" t="inlineStr">
        <is>
          <t>R250109-infinityfincor</t>
        </is>
      </c>
      <c r="E1973" t="inlineStr">
        <is>
          <t>Infinity Fincorp</t>
        </is>
      </c>
      <c r="F1973" s="17" t="n">
        <v>45666</v>
      </c>
      <c r="G1973" t="inlineStr">
        <is>
          <t>spread 133.3%: entrackr $35 Mn; et $15 Mn; inc42 $35 Mn</t>
        </is>
      </c>
    </row>
    <row r="1974">
      <c r="A1974" t="inlineStr">
        <is>
          <t>C15</t>
        </is>
      </c>
      <c r="B1974" t="inlineStr">
        <is>
          <t>Amount disagreement</t>
        </is>
      </c>
      <c r="C1974" t="inlineStr">
        <is>
          <t>warning</t>
        </is>
      </c>
      <c r="D1974" t="inlineStr">
        <is>
          <t>R250116-fambo</t>
        </is>
      </c>
      <c r="E1974" t="inlineStr">
        <is>
          <t>Fambo</t>
        </is>
      </c>
      <c r="F1974" s="17" t="n">
        <v>45673</v>
      </c>
      <c r="G1974" t="inlineStr">
        <is>
          <t>spread 15.5%: entrackr $2.43 Mn; inc42 $2.1 Mn</t>
        </is>
      </c>
    </row>
    <row r="1975">
      <c r="A1975" t="inlineStr">
        <is>
          <t>C15</t>
        </is>
      </c>
      <c r="B1975" t="inlineStr">
        <is>
          <t>Amount disagreement</t>
        </is>
      </c>
      <c r="C1975" t="inlineStr">
        <is>
          <t>warning</t>
        </is>
      </c>
      <c r="D1975" t="inlineStr">
        <is>
          <t>R250121-joyspoon</t>
        </is>
      </c>
      <c r="E1975" t="inlineStr">
        <is>
          <t>JoySpoon</t>
        </is>
      </c>
      <c r="F1975" s="17" t="n">
        <v>45678</v>
      </c>
      <c r="G1975" t="inlineStr">
        <is>
          <t>spread 224.7%: entrackr $0.06 Mn; inc42 $0.21 Mn</t>
        </is>
      </c>
    </row>
    <row r="1976">
      <c r="A1976" t="inlineStr">
        <is>
          <t>C15</t>
        </is>
      </c>
      <c r="B1976" t="inlineStr">
        <is>
          <t>Amount disagreement</t>
        </is>
      </c>
      <c r="C1976" t="inlineStr">
        <is>
          <t>warning</t>
        </is>
      </c>
      <c r="D1976" t="inlineStr">
        <is>
          <t>R250320-lighthouseprop</t>
        </is>
      </c>
      <c r="E1976" t="inlineStr">
        <is>
          <t>Lighthouse PropTech</t>
        </is>
      </c>
      <c r="F1976" s="17" t="n">
        <v>45736</v>
      </c>
      <c r="G1976" t="inlineStr">
        <is>
          <t>spread 150%: entrackr $2.5 Mn; inc42 $1 Mn</t>
        </is>
      </c>
    </row>
    <row r="1977">
      <c r="A1977" t="inlineStr">
        <is>
          <t>C15</t>
        </is>
      </c>
      <c r="B1977" t="inlineStr">
        <is>
          <t>Amount disagreement</t>
        </is>
      </c>
      <c r="C1977" t="inlineStr">
        <is>
          <t>warning</t>
        </is>
      </c>
      <c r="D1977" t="inlineStr">
        <is>
          <t>R250401-entvinai</t>
        </is>
      </c>
      <c r="E1977" t="inlineStr">
        <is>
          <t>Entvin AI</t>
        </is>
      </c>
      <c r="F1977" s="17" t="n">
        <v>45748</v>
      </c>
      <c r="G1977" t="inlineStr">
        <is>
          <t>spread 17%: entrackr $0.5 Mn; inc42 $0.58 Mn</t>
        </is>
      </c>
    </row>
    <row r="1978">
      <c r="A1978" t="inlineStr">
        <is>
          <t>C15</t>
        </is>
      </c>
      <c r="B1978" t="inlineStr">
        <is>
          <t>Amount disagreement</t>
        </is>
      </c>
      <c r="C1978" t="inlineStr">
        <is>
          <t>warning</t>
        </is>
      </c>
      <c r="D1978" t="inlineStr">
        <is>
          <t>R250403-rapidclaims</t>
        </is>
      </c>
      <c r="E1978" t="inlineStr">
        <is>
          <t>RapidClaims</t>
        </is>
      </c>
      <c r="F1978" s="17" t="n">
        <v>45750</v>
      </c>
      <c r="G1978" t="inlineStr">
        <is>
          <t>spread 37.5%: entrackr $11 Mn; inc42 $8 Mn</t>
        </is>
      </c>
    </row>
    <row r="1979">
      <c r="A1979" t="inlineStr">
        <is>
          <t>C15</t>
        </is>
      </c>
      <c r="B1979" t="inlineStr">
        <is>
          <t>Amount disagreement</t>
        </is>
      </c>
      <c r="C1979" t="inlineStr">
        <is>
          <t>warning</t>
        </is>
      </c>
      <c r="D1979" t="inlineStr">
        <is>
          <t>R250414-noto</t>
        </is>
      </c>
      <c r="E1979" t="inlineStr">
        <is>
          <t>NOTO</t>
        </is>
      </c>
      <c r="F1979" s="17" t="n">
        <v>45761</v>
      </c>
      <c r="G1979" t="inlineStr">
        <is>
          <t>spread 248.9%: et $2.44 Mn; inc42 $0.7 Mn</t>
        </is>
      </c>
    </row>
    <row r="1980">
      <c r="A1980" t="inlineStr">
        <is>
          <t>C15</t>
        </is>
      </c>
      <c r="B1980" t="inlineStr">
        <is>
          <t>Amount disagreement</t>
        </is>
      </c>
      <c r="C1980" t="inlineStr">
        <is>
          <t>warning</t>
        </is>
      </c>
      <c r="D1980" t="inlineStr">
        <is>
          <t>R250506-blissclub</t>
        </is>
      </c>
      <c r="E1980" t="inlineStr">
        <is>
          <t>Blissclub</t>
        </is>
      </c>
      <c r="F1980" s="17" t="n">
        <v>45783</v>
      </c>
      <c r="G1980" t="inlineStr">
        <is>
          <t>spread 36.7%: entrackr $5.33 Mn; et $3.91 Mn; inc42 $3.9 Mn</t>
        </is>
      </c>
    </row>
    <row r="1981">
      <c r="A1981" t="inlineStr">
        <is>
          <t>C15</t>
        </is>
      </c>
      <c r="B1981" t="inlineStr">
        <is>
          <t>Amount disagreement</t>
        </is>
      </c>
      <c r="C1981" t="inlineStr">
        <is>
          <t>warning</t>
        </is>
      </c>
      <c r="D1981" t="inlineStr">
        <is>
          <t>R250529-snitch</t>
        </is>
      </c>
      <c r="E1981" t="inlineStr">
        <is>
          <t>Snitch</t>
        </is>
      </c>
      <c r="F1981" s="17" t="n">
        <v>45806</v>
      </c>
      <c r="G1981" t="inlineStr">
        <is>
          <t>spread 23%: et $32.53 Mn; entrackr $40 Mn; et $40 Mn; inc42 $40 Mn; vccircle $40 Mn</t>
        </is>
      </c>
    </row>
    <row r="1982">
      <c r="A1982" t="inlineStr">
        <is>
          <t>C15</t>
        </is>
      </c>
      <c r="B1982" t="inlineStr">
        <is>
          <t>Amount disagreement</t>
        </is>
      </c>
      <c r="C1982" t="inlineStr">
        <is>
          <t>warning</t>
        </is>
      </c>
      <c r="D1982" t="inlineStr">
        <is>
          <t>R250530-batterysmart</t>
        </is>
      </c>
      <c r="E1982" t="inlineStr">
        <is>
          <t>Battery Smart</t>
        </is>
      </c>
      <c r="F1982" s="17" t="n">
        <v>45807</v>
      </c>
      <c r="G1982" t="inlineStr">
        <is>
          <t>spread 38.1%: inc42 $29 Mn; entrackr $21 Mn</t>
        </is>
      </c>
    </row>
    <row r="1983">
      <c r="A1983" t="inlineStr">
        <is>
          <t>C15</t>
        </is>
      </c>
      <c r="B1983" t="inlineStr">
        <is>
          <t>Amount disagreement</t>
        </is>
      </c>
      <c r="C1983" t="inlineStr">
        <is>
          <t>warning</t>
        </is>
      </c>
      <c r="D1983" t="inlineStr">
        <is>
          <t>R250602-udaan</t>
        </is>
      </c>
      <c r="E1983" t="inlineStr">
        <is>
          <t>Udaan</t>
        </is>
      </c>
      <c r="F1983" s="17" t="n">
        <v>45810</v>
      </c>
      <c r="G1983" t="inlineStr">
        <is>
          <t>spread 192.3%: entrackr $114 Mn; et $114 Mn; inc42 $39 Mn</t>
        </is>
      </c>
    </row>
    <row r="1984">
      <c r="A1984" t="inlineStr">
        <is>
          <t>C15</t>
        </is>
      </c>
      <c r="B1984" t="inlineStr">
        <is>
          <t>Amount disagreement</t>
        </is>
      </c>
      <c r="C1984" t="inlineStr">
        <is>
          <t>warning</t>
        </is>
      </c>
      <c r="D1984" t="inlineStr">
        <is>
          <t>R250605-loantap</t>
        </is>
      </c>
      <c r="E1984" t="inlineStr">
        <is>
          <t>LoanTap</t>
        </is>
      </c>
      <c r="F1984" s="17" t="n">
        <v>45813</v>
      </c>
      <c r="G1984" t="inlineStr">
        <is>
          <t>spread 38.7%: entrackr $6.2 Mn; et $6.2 Mn; inc42 $8.6 Mn</t>
        </is>
      </c>
    </row>
    <row r="1985">
      <c r="A1985" t="inlineStr">
        <is>
          <t>C15</t>
        </is>
      </c>
      <c r="B1985" t="inlineStr">
        <is>
          <t>Amount disagreement</t>
        </is>
      </c>
      <c r="C1985" t="inlineStr">
        <is>
          <t>warning</t>
        </is>
      </c>
      <c r="D1985" t="inlineStr">
        <is>
          <t>R250605-syfe</t>
        </is>
      </c>
      <c r="E1985" t="inlineStr">
        <is>
          <t>Syfe</t>
        </is>
      </c>
      <c r="F1985" s="17" t="n">
        <v>45813</v>
      </c>
      <c r="G1985" t="inlineStr">
        <is>
          <t>spread 50.9%: entrackr $80 Mn; et $53 Mn; vccircle $80 Mn</t>
        </is>
      </c>
    </row>
    <row r="1986">
      <c r="A1986" t="inlineStr">
        <is>
          <t>C15</t>
        </is>
      </c>
      <c r="B1986" t="inlineStr">
        <is>
          <t>Amount disagreement</t>
        </is>
      </c>
      <c r="C1986" t="inlineStr">
        <is>
          <t>warning</t>
        </is>
      </c>
      <c r="D1986" t="inlineStr">
        <is>
          <t>R250606-biopeak</t>
        </is>
      </c>
      <c r="E1986" t="inlineStr">
        <is>
          <t>Biopeak</t>
        </is>
      </c>
      <c r="F1986" s="17" t="n">
        <v>45814</v>
      </c>
      <c r="G1986" t="inlineStr">
        <is>
          <t>spread 16.7%: et $3 Mn; inc42 $3.5 Mn</t>
        </is>
      </c>
    </row>
    <row r="1987">
      <c r="A1987" t="inlineStr">
        <is>
          <t>C15</t>
        </is>
      </c>
      <c r="B1987" t="inlineStr">
        <is>
          <t>Amount disagreement</t>
        </is>
      </c>
      <c r="C1987" t="inlineStr">
        <is>
          <t>warning</t>
        </is>
      </c>
      <c r="D1987" t="inlineStr">
        <is>
          <t>R250612-spinny</t>
        </is>
      </c>
      <c r="E1987" t="inlineStr">
        <is>
          <t>Spinny</t>
        </is>
      </c>
      <c r="F1987" s="17" t="n">
        <v>45820</v>
      </c>
      <c r="G1987" t="inlineStr">
        <is>
          <t>spread 457.7%: inc42 $170 Mn; entrackr $30.48 Mn</t>
        </is>
      </c>
    </row>
    <row r="1988">
      <c r="A1988" t="inlineStr">
        <is>
          <t>C15</t>
        </is>
      </c>
      <c r="B1988" t="inlineStr">
        <is>
          <t>Amount disagreement</t>
        </is>
      </c>
      <c r="C1988" t="inlineStr">
        <is>
          <t>warning</t>
        </is>
      </c>
      <c r="D1988" t="inlineStr">
        <is>
          <t>R250616-aspora</t>
        </is>
      </c>
      <c r="E1988" t="inlineStr">
        <is>
          <t>Aspora</t>
        </is>
      </c>
      <c r="F1988" s="17" t="n">
        <v>45824</v>
      </c>
      <c r="G1988" t="inlineStr">
        <is>
          <t>spread 75.5%: entrackr $53 Mn; et $93 Mn</t>
        </is>
      </c>
    </row>
    <row r="1989">
      <c r="A1989" t="inlineStr">
        <is>
          <t>C15</t>
        </is>
      </c>
      <c r="B1989" t="inlineStr">
        <is>
          <t>Amount disagreement</t>
        </is>
      </c>
      <c r="C1989" t="inlineStr">
        <is>
          <t>warning</t>
        </is>
      </c>
      <c r="D1989" t="inlineStr">
        <is>
          <t>R250618-obenelectric</t>
        </is>
      </c>
      <c r="E1989" t="inlineStr">
        <is>
          <t>Oben Electric</t>
        </is>
      </c>
      <c r="F1989" s="17" t="n">
        <v>45826</v>
      </c>
      <c r="G1989" t="inlineStr">
        <is>
          <t>spread 98.8%: entrackr $5.79 Mn; et $5.79 Mn; inc42 $11.5 Mn</t>
        </is>
      </c>
    </row>
    <row r="1990">
      <c r="A1990" t="inlineStr">
        <is>
          <t>C15</t>
        </is>
      </c>
      <c r="B1990" t="inlineStr">
        <is>
          <t>Amount disagreement</t>
        </is>
      </c>
      <c r="C1990" t="inlineStr">
        <is>
          <t>warning</t>
        </is>
      </c>
      <c r="D1990" t="inlineStr">
        <is>
          <t>R250618-wiom</t>
        </is>
      </c>
      <c r="E1990" t="inlineStr">
        <is>
          <t>WIOM</t>
        </is>
      </c>
      <c r="F1990" s="17" t="n">
        <v>45826</v>
      </c>
      <c r="G1990" t="inlineStr">
        <is>
          <t>spread 14.3%: inc42 $35 Mn; entrackr $40 Mn</t>
        </is>
      </c>
    </row>
    <row r="1991">
      <c r="A1991" t="inlineStr">
        <is>
          <t>C15</t>
        </is>
      </c>
      <c r="B1991" t="inlineStr">
        <is>
          <t>Amount disagreement</t>
        </is>
      </c>
      <c r="C1991" t="inlineStr">
        <is>
          <t>warning</t>
        </is>
      </c>
      <c r="D1991" t="inlineStr">
        <is>
          <t>R250630-inframarket</t>
        </is>
      </c>
      <c r="E1991" t="inlineStr">
        <is>
          <t>Infra.Market</t>
        </is>
      </c>
      <c r="F1991" s="17" t="n">
        <v>45838</v>
      </c>
      <c r="G1991" t="inlineStr">
        <is>
          <t>spread 200%: entrackr $150 Mn; et $50 Mn; inc42 $50 Mn; vccircle $50 Mn</t>
        </is>
      </c>
    </row>
    <row r="1992">
      <c r="A1992" t="inlineStr">
        <is>
          <t>C15</t>
        </is>
      </c>
      <c r="B1992" t="inlineStr">
        <is>
          <t>Amount disagreement</t>
        </is>
      </c>
      <c r="C1992" t="inlineStr">
        <is>
          <t>warning</t>
        </is>
      </c>
      <c r="D1992" t="inlineStr">
        <is>
          <t>R250712-vaaree</t>
        </is>
      </c>
      <c r="E1992" t="inlineStr">
        <is>
          <t>Vaaree</t>
        </is>
      </c>
      <c r="F1992" s="17" t="n">
        <v>45850</v>
      </c>
      <c r="G1992" t="inlineStr">
        <is>
          <t>spread 119%: inc42 $2.1 Mn; et $4.6 Mn</t>
        </is>
      </c>
    </row>
    <row r="1993">
      <c r="A1993" t="inlineStr">
        <is>
          <t>C15</t>
        </is>
      </c>
      <c r="B1993" t="inlineStr">
        <is>
          <t>Amount disagreement</t>
        </is>
      </c>
      <c r="C1993" t="inlineStr">
        <is>
          <t>warning</t>
        </is>
      </c>
      <c r="D1993" t="inlineStr">
        <is>
          <t>R250716-truemeds</t>
        </is>
      </c>
      <c r="E1993" t="inlineStr">
        <is>
          <t>Truemeds</t>
        </is>
      </c>
      <c r="F1993" s="17" t="n">
        <v>45854</v>
      </c>
      <c r="G1993" t="inlineStr">
        <is>
          <t>spread 325%: entrackr $20 Mn; inc42 $20 Mn; entrackr $85 Mn; et $85 Mn; inc42 $65 Mn</t>
        </is>
      </c>
    </row>
    <row r="1994">
      <c r="A1994" t="inlineStr">
        <is>
          <t>C15</t>
        </is>
      </c>
      <c r="B1994" t="inlineStr">
        <is>
          <t>Amount disagreement</t>
        </is>
      </c>
      <c r="C1994" t="inlineStr">
        <is>
          <t>warning</t>
        </is>
      </c>
      <c r="D1994" t="inlineStr">
        <is>
          <t>R250729-zepto</t>
        </is>
      </c>
      <c r="E1994" t="inlineStr">
        <is>
          <t>Zepto</t>
        </is>
      </c>
      <c r="F1994" s="17" t="n">
        <v>45867</v>
      </c>
      <c r="G1994" t="inlineStr">
        <is>
          <t>spread 5274.1%: entrackr $0.86 Mn; inc42 $0.86 Mn; inc42 $2.9 Mn; entrackr $46.06 Mn; et $46.06 Mn; inc42 $45.7 Mn</t>
        </is>
      </c>
    </row>
    <row r="1995">
      <c r="A1995" t="inlineStr">
        <is>
          <t>C15</t>
        </is>
      </c>
      <c r="B1995" t="inlineStr">
        <is>
          <t>Amount disagreement</t>
        </is>
      </c>
      <c r="C1995" t="inlineStr">
        <is>
          <t>warning</t>
        </is>
      </c>
      <c r="D1995" t="inlineStr">
        <is>
          <t>R250805-fibelendingarm</t>
        </is>
      </c>
      <c r="E1995" t="inlineStr">
        <is>
          <t>Fibe</t>
        </is>
      </c>
      <c r="F1995" s="17" t="n">
        <v>45874</v>
      </c>
      <c r="G1995" t="inlineStr">
        <is>
          <t>spread 13.9%: entrackr $28.48 Mn; inc42 $25 Mn</t>
        </is>
      </c>
    </row>
    <row r="1996">
      <c r="A1996" t="inlineStr">
        <is>
          <t>C15</t>
        </is>
      </c>
      <c r="B1996" t="inlineStr">
        <is>
          <t>Amount disagreement</t>
        </is>
      </c>
      <c r="C1996" t="inlineStr">
        <is>
          <t>warning</t>
        </is>
      </c>
      <c r="D1996" t="inlineStr">
        <is>
          <t>R250806-cautio</t>
        </is>
      </c>
      <c r="E1996" t="inlineStr">
        <is>
          <t>Cautio</t>
        </is>
      </c>
      <c r="F1996" s="17" t="n">
        <v>45875</v>
      </c>
      <c r="G1996" t="inlineStr">
        <is>
          <t>spread 66.7%: entrackr $1.8 Mn; et $1.8 Mn; inc42 $3 Mn</t>
        </is>
      </c>
    </row>
    <row r="1997">
      <c r="A1997" t="inlineStr">
        <is>
          <t>C15</t>
        </is>
      </c>
      <c r="B1997" t="inlineStr">
        <is>
          <t>Amount disagreement</t>
        </is>
      </c>
      <c r="C1997" t="inlineStr">
        <is>
          <t>warning</t>
        </is>
      </c>
      <c r="D1997" t="inlineStr">
        <is>
          <t>R250908-flipspaces</t>
        </is>
      </c>
      <c r="E1997" t="inlineStr">
        <is>
          <t>Flipspaces</t>
        </is>
      </c>
      <c r="F1997" s="17" t="n">
        <v>45908</v>
      </c>
      <c r="G1997" t="inlineStr">
        <is>
          <t>spread 455.6%: entrackr $50 Mn; inc42 $9 Mn</t>
        </is>
      </c>
    </row>
    <row r="1998">
      <c r="A1998" t="inlineStr">
        <is>
          <t>C15</t>
        </is>
      </c>
      <c r="B1998" t="inlineStr">
        <is>
          <t>Amount disagreement</t>
        </is>
      </c>
      <c r="C1998" t="inlineStr">
        <is>
          <t>warning</t>
        </is>
      </c>
      <c r="D1998" t="inlineStr">
        <is>
          <t>R250923-paarautonomy</t>
        </is>
      </c>
      <c r="E1998" t="inlineStr">
        <is>
          <t>Paar Autonomy</t>
        </is>
      </c>
      <c r="F1998" s="17" t="n">
        <v>45923</v>
      </c>
      <c r="G1998" t="inlineStr">
        <is>
          <t>spread 26.8%: entrackr $0.39 Mn; inc42 $0.5 Mn</t>
        </is>
      </c>
    </row>
    <row r="1999">
      <c r="A1999" t="inlineStr">
        <is>
          <t>C15</t>
        </is>
      </c>
      <c r="B1999" t="inlineStr">
        <is>
          <t>Amount disagreement</t>
        </is>
      </c>
      <c r="C1999" t="inlineStr">
        <is>
          <t>warning</t>
        </is>
      </c>
      <c r="D1999" t="inlineStr">
        <is>
          <t>R250926-curefoods</t>
        </is>
      </c>
      <c r="E1999" t="inlineStr">
        <is>
          <t>Curefoods</t>
        </is>
      </c>
      <c r="F1999" s="17" t="n">
        <v>45926</v>
      </c>
      <c r="G1999" t="inlineStr">
        <is>
          <t>spread 2400%: entrackr $18.03 Mn; et $18.03 Mn; inc42 $18 Mn; vccircle $450 Mn</t>
        </is>
      </c>
    </row>
    <row r="2000">
      <c r="A2000" t="inlineStr">
        <is>
          <t>C15</t>
        </is>
      </c>
      <c r="B2000" t="inlineStr">
        <is>
          <t>Amount disagreement</t>
        </is>
      </c>
      <c r="C2000" t="inlineStr">
        <is>
          <t>warning</t>
        </is>
      </c>
      <c r="D2000" t="inlineStr">
        <is>
          <t>R251015-mattersai</t>
        </is>
      </c>
      <c r="E2000" t="inlineStr">
        <is>
          <t>Matters.AI</t>
        </is>
      </c>
      <c r="F2000" s="17" t="n">
        <v>45945</v>
      </c>
      <c r="G2000" t="inlineStr">
        <is>
          <t>spread 32.9%: entrackr $6.25 Mn; et $6.25 Mn; inc42 $4.7 Mn</t>
        </is>
      </c>
    </row>
    <row r="2001">
      <c r="A2001" t="inlineStr">
        <is>
          <t>C15</t>
        </is>
      </c>
      <c r="B2001" t="inlineStr">
        <is>
          <t>Amount disagreement</t>
        </is>
      </c>
      <c r="C2001" t="inlineStr">
        <is>
          <t>warning</t>
        </is>
      </c>
      <c r="D2001" t="inlineStr">
        <is>
          <t>R251029-jupiter</t>
        </is>
      </c>
      <c r="E2001" t="inlineStr">
        <is>
          <t>Jupiter</t>
        </is>
      </c>
      <c r="F2001" s="17" t="n">
        <v>45959</v>
      </c>
      <c r="G2001" t="inlineStr">
        <is>
          <t>spread 15.4%: et $15 Mn; entrackr $15 Mn; inc42 $15 Mn; vccircle $13 Mn</t>
        </is>
      </c>
    </row>
    <row r="2002">
      <c r="A2002" t="inlineStr">
        <is>
          <t>C15</t>
        </is>
      </c>
      <c r="B2002" t="inlineStr">
        <is>
          <t>Amount disagreement</t>
        </is>
      </c>
      <c r="C2002" t="inlineStr">
        <is>
          <t>warning</t>
        </is>
      </c>
      <c r="D2002" t="inlineStr">
        <is>
          <t>R251107-agnikul</t>
        </is>
      </c>
      <c r="E2002" t="inlineStr">
        <is>
          <t>Agnikul Cosmos</t>
        </is>
      </c>
      <c r="F2002" s="17" t="n">
        <v>45968</v>
      </c>
      <c r="G2002" t="inlineStr">
        <is>
          <t>spread 12.3%: entrackr $6.77 Mn; inc42 $7.6 Mn</t>
        </is>
      </c>
    </row>
    <row r="2003">
      <c r="A2003" t="inlineStr">
        <is>
          <t>C15</t>
        </is>
      </c>
      <c r="B2003" t="inlineStr">
        <is>
          <t>Amount disagreement</t>
        </is>
      </c>
      <c r="C2003" t="inlineStr">
        <is>
          <t>warning</t>
        </is>
      </c>
      <c r="D2003" t="inlineStr">
        <is>
          <t>R251111-finnable</t>
        </is>
      </c>
      <c r="E2003" t="inlineStr">
        <is>
          <t>Finnable</t>
        </is>
      </c>
      <c r="F2003" s="17" t="n">
        <v>45972</v>
      </c>
      <c r="G2003" t="inlineStr">
        <is>
          <t>spread 100%: entrackr $56.5 Mn; et $28.25 Mn; inc42 $56.5 Mn</t>
        </is>
      </c>
    </row>
    <row r="2004">
      <c r="A2004" t="inlineStr">
        <is>
          <t>C15</t>
        </is>
      </c>
      <c r="B2004" t="inlineStr">
        <is>
          <t>Amount disagreement</t>
        </is>
      </c>
      <c r="C2004" t="inlineStr">
        <is>
          <t>warning</t>
        </is>
      </c>
      <c r="D2004" t="inlineStr">
        <is>
          <t>R251113-brandworkstech</t>
        </is>
      </c>
      <c r="E2004" t="inlineStr">
        <is>
          <t>Brandworks Technologies</t>
        </is>
      </c>
      <c r="F2004" s="17" t="n">
        <v>45974</v>
      </c>
      <c r="G2004" t="inlineStr">
        <is>
          <t>spread 175%: entrackr $11 Mn; et $4 Mn; inc42 $11 Mn; vccircle $11 Mn</t>
        </is>
      </c>
    </row>
    <row r="2005">
      <c r="A2005" t="inlineStr">
        <is>
          <t>C15</t>
        </is>
      </c>
      <c r="B2005" t="inlineStr">
        <is>
          <t>Amount disagreement</t>
        </is>
      </c>
      <c r="C2005" t="inlineStr">
        <is>
          <t>warning</t>
        </is>
      </c>
      <c r="D2005" t="inlineStr">
        <is>
          <t>R251118-yubigroup</t>
        </is>
      </c>
      <c r="E2005" t="inlineStr">
        <is>
          <t>Yubi</t>
        </is>
      </c>
      <c r="F2005" s="17" t="n">
        <v>45979</v>
      </c>
      <c r="G2005" t="inlineStr">
        <is>
          <t>spread 448%: entrackr $46.41 Mn; et $8.47 Mn; inc42 $46.4 Mn</t>
        </is>
      </c>
    </row>
    <row r="2006">
      <c r="A2006" t="inlineStr">
        <is>
          <t>C15</t>
        </is>
      </c>
      <c r="B2006" t="inlineStr">
        <is>
          <t>Amount disagreement</t>
        </is>
      </c>
      <c r="C2006" t="inlineStr">
        <is>
          <t>warning</t>
        </is>
      </c>
      <c r="D2006" t="inlineStr">
        <is>
          <t>R251127-squareyards</t>
        </is>
      </c>
      <c r="E2006" t="inlineStr">
        <is>
          <t>Square Yards</t>
        </is>
      </c>
      <c r="F2006" s="17" t="n">
        <v>45987</v>
      </c>
      <c r="G2006" t="inlineStr">
        <is>
          <t>spread 2471.4%: vccircle $900 Mn; entrackr $35 Mn; inc42 $35 Mn</t>
        </is>
      </c>
    </row>
    <row r="2007">
      <c r="A2007" t="inlineStr">
        <is>
          <t>C15</t>
        </is>
      </c>
      <c r="B2007" t="inlineStr">
        <is>
          <t>Amount disagreement</t>
        </is>
      </c>
      <c r="C2007" t="inlineStr">
        <is>
          <t>warning</t>
        </is>
      </c>
      <c r="D2007" t="inlineStr">
        <is>
          <t>R251127-sportsforlife</t>
        </is>
      </c>
      <c r="E2007" t="inlineStr">
        <is>
          <t>Sports For Life</t>
        </is>
      </c>
      <c r="F2007" s="17" t="n">
        <v>45988</v>
      </c>
      <c r="G2007" t="inlineStr">
        <is>
          <t>spread 11.9%: entrackr $2.41 Mn; inc42 $2.7 Mn</t>
        </is>
      </c>
    </row>
    <row r="2008">
      <c r="A2008" t="inlineStr">
        <is>
          <t>C15</t>
        </is>
      </c>
      <c r="B2008" t="inlineStr">
        <is>
          <t>Amount disagreement</t>
        </is>
      </c>
      <c r="C2008" t="inlineStr">
        <is>
          <t>warning</t>
        </is>
      </c>
      <c r="D2008" t="inlineStr">
        <is>
          <t>R251218-magma</t>
        </is>
      </c>
      <c r="E2008" t="inlineStr">
        <is>
          <t>Magma</t>
        </is>
      </c>
      <c r="F2008" s="17" t="n">
        <v>46009</v>
      </c>
      <c r="G2008" t="inlineStr">
        <is>
          <t>spread 166.7%: entrackr $8 Mn; et $3 Mn; inc42 $3 Mn</t>
        </is>
      </c>
    </row>
    <row r="2009">
      <c r="A2009" t="inlineStr">
        <is>
          <t>C15</t>
        </is>
      </c>
      <c r="B2009" t="inlineStr">
        <is>
          <t>Amount disagreement</t>
        </is>
      </c>
      <c r="C2009" t="inlineStr">
        <is>
          <t>warning</t>
        </is>
      </c>
      <c r="D2009" t="inlineStr">
        <is>
          <t>R260105-goatlife</t>
        </is>
      </c>
      <c r="E2009" t="inlineStr">
        <is>
          <t>GOAT LIFE</t>
        </is>
      </c>
      <c r="F2009" s="17" t="n">
        <v>46027</v>
      </c>
      <c r="G2009" t="inlineStr">
        <is>
          <t>spread 12.9%: inc42 $0.2 Mn; entrackr $0.18 Mn</t>
        </is>
      </c>
    </row>
    <row r="2010">
      <c r="A2010" t="inlineStr">
        <is>
          <t>C15</t>
        </is>
      </c>
      <c r="B2010" t="inlineStr">
        <is>
          <t>Amount disagreement</t>
        </is>
      </c>
      <c r="C2010" t="inlineStr">
        <is>
          <t>warning</t>
        </is>
      </c>
      <c r="D2010" t="inlineStr">
        <is>
          <t>R260107-roadgrid</t>
        </is>
      </c>
      <c r="E2010" t="inlineStr">
        <is>
          <t>RoadGrid</t>
        </is>
      </c>
      <c r="F2010" s="17" t="n">
        <v>46029</v>
      </c>
      <c r="G2010" t="inlineStr">
        <is>
          <t>spread 15.4%: entrackr $1.34 Mn; inc42 $1.5 Mn; inc42 $1.3 Mn</t>
        </is>
      </c>
    </row>
    <row r="2011">
      <c r="A2011" t="inlineStr">
        <is>
          <t>C15</t>
        </is>
      </c>
      <c r="B2011" t="inlineStr">
        <is>
          <t>Amount disagreement</t>
        </is>
      </c>
      <c r="C2011" t="inlineStr">
        <is>
          <t>warning</t>
        </is>
      </c>
      <c r="D2011" t="inlineStr">
        <is>
          <t>R260116-gullylabs</t>
        </is>
      </c>
      <c r="E2011" t="inlineStr">
        <is>
          <t>Gully Labs</t>
        </is>
      </c>
      <c r="F2011" s="17" t="n">
        <v>46038</v>
      </c>
      <c r="G2011" t="inlineStr">
        <is>
          <t>spread 13%: entrackr $2.92 Mn; inc42 $3.3 Mn</t>
        </is>
      </c>
    </row>
    <row r="2012">
      <c r="A2012" t="inlineStr">
        <is>
          <t>C15</t>
        </is>
      </c>
      <c r="B2012" t="inlineStr">
        <is>
          <t>Amount disagreement</t>
        </is>
      </c>
      <c r="C2012" t="inlineStr">
        <is>
          <t>warning</t>
        </is>
      </c>
      <c r="D2012" t="inlineStr">
        <is>
          <t>R260119-assetplus</t>
        </is>
      </c>
      <c r="E2012" t="inlineStr">
        <is>
          <t>AssetPlus</t>
        </is>
      </c>
      <c r="F2012" s="17" t="n">
        <v>46041</v>
      </c>
      <c r="G2012" t="inlineStr">
        <is>
          <t>spread 10.5%: entrackr $19.26 Mn; et $19.26 Mn; inc42 $21 Mn; vccircle $19 Mn</t>
        </is>
      </c>
    </row>
    <row r="2013">
      <c r="A2013" t="inlineStr">
        <is>
          <t>C15</t>
        </is>
      </c>
      <c r="B2013" t="inlineStr">
        <is>
          <t>Amount disagreement</t>
        </is>
      </c>
      <c r="C2013" t="inlineStr">
        <is>
          <t>warning</t>
        </is>
      </c>
      <c r="D2013" t="inlineStr">
        <is>
          <t>R260128-thestack</t>
        </is>
      </c>
      <c r="E2013" t="inlineStr">
        <is>
          <t>The Stack</t>
        </is>
      </c>
      <c r="F2013" s="17" t="n">
        <v>46050</v>
      </c>
      <c r="G2013" t="inlineStr">
        <is>
          <t>spread 10.3%: entrackr $0.6 Mn; inc42 $0.66 Mn</t>
        </is>
      </c>
    </row>
    <row r="2014">
      <c r="A2014" t="inlineStr">
        <is>
          <t>C15</t>
        </is>
      </c>
      <c r="B2014" t="inlineStr">
        <is>
          <t>Amount disagreement</t>
        </is>
      </c>
      <c r="C2014" t="inlineStr">
        <is>
          <t>warning</t>
        </is>
      </c>
      <c r="D2014" t="inlineStr">
        <is>
          <t>R260204-varaha</t>
        </is>
      </c>
      <c r="E2014" t="inlineStr">
        <is>
          <t>Varaha</t>
        </is>
      </c>
      <c r="F2014" s="17" t="n">
        <v>46057</v>
      </c>
      <c r="G2014" t="inlineStr">
        <is>
          <t>spread 125%: entrackr $20 Mn; et $45 Mn; inc42 $20 Mn</t>
        </is>
      </c>
    </row>
    <row r="2015">
      <c r="A2015" t="inlineStr">
        <is>
          <t>C15</t>
        </is>
      </c>
      <c r="B2015" t="inlineStr">
        <is>
          <t>Amount disagreement</t>
        </is>
      </c>
      <c r="C2015" t="inlineStr">
        <is>
          <t>warning</t>
        </is>
      </c>
      <c r="D2015" t="inlineStr">
        <is>
          <t>R260209-preventify</t>
        </is>
      </c>
      <c r="E2015" t="inlineStr">
        <is>
          <t>Preventify</t>
        </is>
      </c>
      <c r="F2015" s="17" t="n">
        <v>46062</v>
      </c>
      <c r="G2015" t="inlineStr">
        <is>
          <t>spread 10.2%: entrackr $0.22 Mn; et $0.22 Mn; inc42 $0.2 Mn</t>
        </is>
      </c>
    </row>
    <row r="2016">
      <c r="A2016" t="inlineStr">
        <is>
          <t>C15</t>
        </is>
      </c>
      <c r="B2016" t="inlineStr">
        <is>
          <t>Amount disagreement</t>
        </is>
      </c>
      <c r="C2016" t="inlineStr">
        <is>
          <t>warning</t>
        </is>
      </c>
      <c r="D2016" t="inlineStr">
        <is>
          <t>R260302-bounce</t>
        </is>
      </c>
      <c r="E2016" t="inlineStr">
        <is>
          <t>Bounce</t>
        </is>
      </c>
      <c r="F2016" s="17" t="n">
        <v>46083</v>
      </c>
      <c r="G2016" t="inlineStr">
        <is>
          <t>spread 28.2%: et $5 Mn; inc42 $3.9 Mn</t>
        </is>
      </c>
    </row>
    <row r="2017">
      <c r="A2017" t="inlineStr">
        <is>
          <t>C15</t>
        </is>
      </c>
      <c r="B2017" t="inlineStr">
        <is>
          <t>Amount disagreement</t>
        </is>
      </c>
      <c r="C2017" t="inlineStr">
        <is>
          <t>warning</t>
        </is>
      </c>
      <c r="D2017" t="inlineStr">
        <is>
          <t>R260315-officebanao</t>
        </is>
      </c>
      <c r="E2017" t="inlineStr">
        <is>
          <t>OfficeBanao</t>
        </is>
      </c>
      <c r="F2017" s="17" t="n">
        <v>46096</v>
      </c>
      <c r="G2017" t="inlineStr">
        <is>
          <t>spread 92.5%: et $7.7 Mn; entrackr $4 Mn; inc42 $7.7 Mn</t>
        </is>
      </c>
    </row>
    <row r="2018">
      <c r="A2018" t="inlineStr">
        <is>
          <t>C15</t>
        </is>
      </c>
      <c r="B2018" t="inlineStr">
        <is>
          <t>Amount disagreement</t>
        </is>
      </c>
      <c r="C2018" t="inlineStr">
        <is>
          <t>warning</t>
        </is>
      </c>
      <c r="D2018" t="inlineStr">
        <is>
          <t>R260319-pinqpolka</t>
        </is>
      </c>
      <c r="E2018" t="inlineStr">
        <is>
          <t>Pinq Polka</t>
        </is>
      </c>
      <c r="F2018" s="17" t="n">
        <v>46100</v>
      </c>
      <c r="G2018" t="inlineStr">
        <is>
          <t>spread 11.7%: entrackr $0.43 Mn; inc42 $0.48 Mn</t>
        </is>
      </c>
    </row>
    <row r="2019">
      <c r="A2019" t="inlineStr">
        <is>
          <t>C15</t>
        </is>
      </c>
      <c r="B2019" t="inlineStr">
        <is>
          <t>Amount disagreement</t>
        </is>
      </c>
      <c r="C2019" t="inlineStr">
        <is>
          <t>warning</t>
        </is>
      </c>
      <c r="D2019" t="inlineStr">
        <is>
          <t>R260319-rymotechnologi</t>
        </is>
      </c>
      <c r="E2019" t="inlineStr">
        <is>
          <t>Rymo Technologies</t>
        </is>
      </c>
      <c r="F2019" s="17" t="n">
        <v>46100</v>
      </c>
      <c r="G2019" t="inlineStr">
        <is>
          <t>spread 11.9%: entrackr $1.07 Mn; inc42 $1.2 Mn</t>
        </is>
      </c>
    </row>
    <row r="2020">
      <c r="A2020" t="inlineStr">
        <is>
          <t>C15</t>
        </is>
      </c>
      <c r="B2020" t="inlineStr">
        <is>
          <t>Amount disagreement</t>
        </is>
      </c>
      <c r="C2020" t="inlineStr">
        <is>
          <t>warning</t>
        </is>
      </c>
      <c r="D2020" t="inlineStr">
        <is>
          <t>R260324-eulermotors</t>
        </is>
      </c>
      <c r="E2020" t="inlineStr">
        <is>
          <t>Euler Motors</t>
        </is>
      </c>
      <c r="F2020" s="17" t="n">
        <v>46105</v>
      </c>
      <c r="G2020" t="inlineStr">
        <is>
          <t>spread 57.9%: entrackr $46.62 Mn; et $46.62 Mn; inc42 $73.6 Mn</t>
        </is>
      </c>
    </row>
    <row r="2021">
      <c r="A2021" t="inlineStr">
        <is>
          <t>C15</t>
        </is>
      </c>
      <c r="B2021" t="inlineStr">
        <is>
          <t>Amount disagreement</t>
        </is>
      </c>
      <c r="C2021" t="inlineStr">
        <is>
          <t>warning</t>
        </is>
      </c>
      <c r="D2021" t="inlineStr">
        <is>
          <t>R260407-helium</t>
        </is>
      </c>
      <c r="E2021" t="inlineStr">
        <is>
          <t>Helium</t>
        </is>
      </c>
      <c r="F2021" s="17" t="n">
        <v>46119</v>
      </c>
      <c r="G2021" t="inlineStr">
        <is>
          <t>spread 272%: et $2 Mn; inc42 $2 Mn; entrackr $0.54 Mn; inc42 $0.54 Mn</t>
        </is>
      </c>
    </row>
    <row r="2022">
      <c r="A2022" t="inlineStr">
        <is>
          <t>C15</t>
        </is>
      </c>
      <c r="B2022" t="inlineStr">
        <is>
          <t>Amount disagreement</t>
        </is>
      </c>
      <c r="C2022" t="inlineStr">
        <is>
          <t>warning</t>
        </is>
      </c>
      <c r="D2022" t="inlineStr">
        <is>
          <t>R260408-clayco</t>
        </is>
      </c>
      <c r="E2022" t="inlineStr">
        <is>
          <t>ClayCo</t>
        </is>
      </c>
      <c r="F2022" s="17" t="n">
        <v>46120</v>
      </c>
      <c r="G2022" t="inlineStr">
        <is>
          <t>spread 837.7%: entrackr $3.75 Mn; et $3.75 Mn; inc42 $0.4 Mn</t>
        </is>
      </c>
    </row>
    <row r="2023">
      <c r="A2023" t="inlineStr">
        <is>
          <t>C15</t>
        </is>
      </c>
      <c r="B2023" t="inlineStr">
        <is>
          <t>Amount disagreement</t>
        </is>
      </c>
      <c r="C2023" t="inlineStr">
        <is>
          <t>warning</t>
        </is>
      </c>
      <c r="D2023" t="inlineStr">
        <is>
          <t>R260422-m</t>
        </is>
      </c>
      <c r="E2023" t="inlineStr">
        <is>
          <t>M</t>
        </is>
      </c>
      <c r="F2023" s="17" t="n">
        <v>46134</v>
      </c>
      <c r="G2023" t="inlineStr">
        <is>
          <t>spread 23.6%: et $10.87 Mn; inc42 $8.8 Mn</t>
        </is>
      </c>
    </row>
    <row r="2024">
      <c r="A2024" t="inlineStr">
        <is>
          <t>C15</t>
        </is>
      </c>
      <c r="B2024" t="inlineStr">
        <is>
          <t>Amount disagreement</t>
        </is>
      </c>
      <c r="C2024" t="inlineStr">
        <is>
          <t>warning</t>
        </is>
      </c>
      <c r="D2024" t="inlineStr">
        <is>
          <t>R260428-credilio</t>
        </is>
      </c>
      <c r="E2024" t="inlineStr">
        <is>
          <t>Credilio</t>
        </is>
      </c>
      <c r="F2024" s="17" t="n">
        <v>46140</v>
      </c>
      <c r="G2024" t="inlineStr">
        <is>
          <t>spread 27.3%: et $8.25 Mn; inc42 $10.5 Mn</t>
        </is>
      </c>
    </row>
    <row r="2025">
      <c r="A2025" t="inlineStr">
        <is>
          <t>C15</t>
        </is>
      </c>
      <c r="B2025" t="inlineStr">
        <is>
          <t>Amount disagreement</t>
        </is>
      </c>
      <c r="C2025" t="inlineStr">
        <is>
          <t>warning</t>
        </is>
      </c>
      <c r="D2025" t="inlineStr">
        <is>
          <t>R260428-mojrotechnolog</t>
        </is>
      </c>
      <c r="E2025" t="inlineStr">
        <is>
          <t>Mojro</t>
        </is>
      </c>
      <c r="F2025" s="17" t="n">
        <v>46140</v>
      </c>
      <c r="G2025" t="inlineStr">
        <is>
          <t>spread 120%: entrackr $5.5 Mn; inc42 $2.5 Mn</t>
        </is>
      </c>
    </row>
    <row r="2026">
      <c r="A2026" t="inlineStr">
        <is>
          <t>C15</t>
        </is>
      </c>
      <c r="B2026" t="inlineStr">
        <is>
          <t>Amount disagreement</t>
        </is>
      </c>
      <c r="C2026" t="inlineStr">
        <is>
          <t>warning</t>
        </is>
      </c>
      <c r="D2026" t="inlineStr">
        <is>
          <t>R260429-sportvot</t>
        </is>
      </c>
      <c r="E2026" t="inlineStr">
        <is>
          <t>SportVot</t>
        </is>
      </c>
      <c r="F2026" s="17" t="n">
        <v>46141</v>
      </c>
      <c r="G2026" t="inlineStr">
        <is>
          <t>spread 10.2%: entrackr $3.45 Mn; et $3.45 Mn; inc42 $3.8 Mn</t>
        </is>
      </c>
    </row>
    <row r="2027">
      <c r="A2027" t="inlineStr">
        <is>
          <t>C15</t>
        </is>
      </c>
      <c r="B2027" t="inlineStr">
        <is>
          <t>Amount disagreement</t>
        </is>
      </c>
      <c r="C2027" t="inlineStr">
        <is>
          <t>warning</t>
        </is>
      </c>
      <c r="D2027" t="inlineStr">
        <is>
          <t>R260507-pronto</t>
        </is>
      </c>
      <c r="E2027" t="inlineStr">
        <is>
          <t>Pronto</t>
        </is>
      </c>
      <c r="F2027" s="17" t="n">
        <v>46149</v>
      </c>
      <c r="G2027" t="inlineStr">
        <is>
          <t>spread 125%: entrackr $45 Mn; et $20 Mn; inc42 $20 Mn</t>
        </is>
      </c>
    </row>
    <row r="2028">
      <c r="A2028" t="inlineStr">
        <is>
          <t>C15</t>
        </is>
      </c>
      <c r="B2028" t="inlineStr">
        <is>
          <t>Amount disagreement</t>
        </is>
      </c>
      <c r="C2028" t="inlineStr">
        <is>
          <t>warning</t>
        </is>
      </c>
      <c r="D2028" t="inlineStr">
        <is>
          <t>R260520-anscerrobotics</t>
        </is>
      </c>
      <c r="E2028" t="inlineStr">
        <is>
          <t>Anscer Robotics</t>
        </is>
      </c>
      <c r="F2028" s="17" t="n">
        <v>46162</v>
      </c>
      <c r="G2028" t="inlineStr">
        <is>
          <t>spread 17.4%: entrackr $5.4 Mn; inc42 $4.6 Mn</t>
        </is>
      </c>
    </row>
    <row r="2029">
      <c r="A2029" t="inlineStr">
        <is>
          <t>C15</t>
        </is>
      </c>
      <c r="B2029" t="inlineStr">
        <is>
          <t>Amount disagreement</t>
        </is>
      </c>
      <c r="C2029" t="inlineStr">
        <is>
          <t>warning</t>
        </is>
      </c>
      <c r="D2029" t="inlineStr">
        <is>
          <t>R260528-anveshan</t>
        </is>
      </c>
      <c r="E2029" t="inlineStr">
        <is>
          <t>Anveshan</t>
        </is>
      </c>
      <c r="F2029" s="17" t="n">
        <v>46170</v>
      </c>
      <c r="G2029" t="inlineStr">
        <is>
          <t>spread 25%: entrackr $12.64 Mn; entrackr $15.67 Mn; et $15.67 Mn; inc42 $15.8 Mn</t>
        </is>
      </c>
    </row>
    <row r="2030">
      <c r="A2030" t="inlineStr">
        <is>
          <t>C15</t>
        </is>
      </c>
      <c r="B2030" t="inlineStr">
        <is>
          <t>Amount disagreement</t>
        </is>
      </c>
      <c r="C2030" t="inlineStr">
        <is>
          <t>warning</t>
        </is>
      </c>
      <c r="D2030" t="inlineStr">
        <is>
          <t>R260602-aquapulse</t>
        </is>
      </c>
      <c r="E2030" t="inlineStr">
        <is>
          <t>Aquapulse</t>
        </is>
      </c>
      <c r="F2030" s="17" t="n">
        <v>46175</v>
      </c>
      <c r="G2030" t="inlineStr">
        <is>
          <t>spread 124.9%: entrackr $4.72 Mn; inc42 $2.1 Mn</t>
        </is>
      </c>
    </row>
    <row r="2031">
      <c r="A2031" t="inlineStr">
        <is>
          <t>C15</t>
        </is>
      </c>
      <c r="B2031" t="inlineStr">
        <is>
          <t>Amount disagreement</t>
        </is>
      </c>
      <c r="C2031" t="inlineStr">
        <is>
          <t>warning</t>
        </is>
      </c>
      <c r="D2031" t="inlineStr">
        <is>
          <t>R260611-4basecare</t>
        </is>
      </c>
      <c r="E2031" t="inlineStr">
        <is>
          <t>4baseCare</t>
        </is>
      </c>
      <c r="F2031" s="17" t="n">
        <v>46184</v>
      </c>
      <c r="G2031" t="inlineStr">
        <is>
          <t>spread 234.2%: entrackr $13.37 Mn; et $13.37 Mn; inc42 $4 Mn</t>
        </is>
      </c>
    </row>
    <row r="2032">
      <c r="A2032" t="inlineStr">
        <is>
          <t>C15</t>
        </is>
      </c>
      <c r="B2032" t="inlineStr">
        <is>
          <t>Amount disagreement</t>
        </is>
      </c>
      <c r="C2032" t="inlineStr">
        <is>
          <t>warning</t>
        </is>
      </c>
      <c r="D2032" t="inlineStr">
        <is>
          <t>R260611-dreamaerospace</t>
        </is>
      </c>
      <c r="E2032" t="inlineStr">
        <is>
          <t>Dream Aerospace</t>
        </is>
      </c>
      <c r="F2032" s="17" t="n">
        <v>46184</v>
      </c>
      <c r="G2032" t="inlineStr">
        <is>
          <t>spread 14.9%: inc42 $1.2 Mn; entrackr $1.04 Mn</t>
        </is>
      </c>
    </row>
    <row r="2033">
      <c r="A2033" t="inlineStr">
        <is>
          <t>C15</t>
        </is>
      </c>
      <c r="B2033" t="inlineStr">
        <is>
          <t>Amount disagreement</t>
        </is>
      </c>
      <c r="C2033" t="inlineStr">
        <is>
          <t>warning</t>
        </is>
      </c>
      <c r="D2033" t="inlineStr">
        <is>
          <t>R260629-mykareai</t>
        </is>
      </c>
      <c r="E2033" t="inlineStr">
        <is>
          <t>Mykare</t>
        </is>
      </c>
      <c r="F2033" s="17" t="n">
        <v>46202</v>
      </c>
      <c r="G2033" t="inlineStr">
        <is>
          <t>spread 220%: entrackr $3.2 Mn; inc42 $1 Mn</t>
        </is>
      </c>
    </row>
    <row r="2034">
      <c r="A2034" t="inlineStr">
        <is>
          <t>C15</t>
        </is>
      </c>
      <c r="B2034" t="inlineStr">
        <is>
          <t>Amount disagreement</t>
        </is>
      </c>
      <c r="C2034" t="inlineStr">
        <is>
          <t>warning</t>
        </is>
      </c>
      <c r="D2034" t="inlineStr">
        <is>
          <t>R260716-naturiscosmeti</t>
        </is>
      </c>
      <c r="E2034" t="inlineStr">
        <is>
          <t>Naturis Cosmetics</t>
        </is>
      </c>
      <c r="F2034" s="17" t="n">
        <v>46219</v>
      </c>
      <c r="G2034" t="inlineStr">
        <is>
          <t>spread 13.7%: entrackr $10.38 Mn; et $10.38 Mn; inc42 $11.8 Mn</t>
        </is>
      </c>
    </row>
    <row r="2035">
      <c r="A2035" t="inlineStr">
        <is>
          <t>C15</t>
        </is>
      </c>
      <c r="B2035" t="inlineStr">
        <is>
          <t>Amount disagreement</t>
        </is>
      </c>
      <c r="C2035" t="inlineStr">
        <is>
          <t>warning</t>
        </is>
      </c>
      <c r="D2035" t="inlineStr">
        <is>
          <t>R260804-superleap</t>
        </is>
      </c>
      <c r="E2035" t="inlineStr">
        <is>
          <t>Superleap</t>
        </is>
      </c>
      <c r="F2035" s="17" t="n">
        <v>46238</v>
      </c>
      <c r="G2035" t="inlineStr">
        <is>
          <t>spread 11.3%: entrackr $3.77 Mn; et $3.77 Mn; inc42 $4.2 Mn</t>
        </is>
      </c>
    </row>
    <row r="2036">
      <c r="A2036" t="inlineStr">
        <is>
          <t>C15</t>
        </is>
      </c>
      <c r="B2036" t="inlineStr">
        <is>
          <t>Amount disagreement</t>
        </is>
      </c>
      <c r="C2036" t="inlineStr">
        <is>
          <t>warning</t>
        </is>
      </c>
      <c r="D2036" t="inlineStr">
        <is>
          <t>R260805-vingo</t>
        </is>
      </c>
      <c r="E2036" t="inlineStr">
        <is>
          <t>Vingo</t>
        </is>
      </c>
      <c r="F2036" s="17" t="n">
        <v>46239</v>
      </c>
      <c r="G2036" t="inlineStr">
        <is>
          <t>spread 14.1%: entrackr $1.05 Mn; inc42 $1.2 Mn</t>
        </is>
      </c>
    </row>
    <row r="2037">
      <c r="A2037" t="inlineStr">
        <is>
          <t>C15</t>
        </is>
      </c>
      <c r="B2037" t="inlineStr">
        <is>
          <t>Amount disagreement</t>
        </is>
      </c>
      <c r="C2037" t="inlineStr">
        <is>
          <t>warning</t>
        </is>
      </c>
      <c r="D2037" t="inlineStr">
        <is>
          <t>R260901-ultrahuman</t>
        </is>
      </c>
      <c r="E2037" t="inlineStr">
        <is>
          <t>Ultrahuman</t>
        </is>
      </c>
      <c r="F2037" s="17" t="n">
        <v>46266</v>
      </c>
      <c r="G2037" t="inlineStr">
        <is>
          <t>spread 16.7%: et $60 Mn; entrackr $70 Mn; inc42 $70 Mn; et $70 Mn</t>
        </is>
      </c>
    </row>
    <row r="2038">
      <c r="A2038" t="inlineStr">
        <is>
          <t>C15</t>
        </is>
      </c>
      <c r="B2038" t="inlineStr">
        <is>
          <t>Amount disagreement</t>
        </is>
      </c>
      <c r="C2038" t="inlineStr">
        <is>
          <t>warning</t>
        </is>
      </c>
      <c r="D2038" t="inlineStr">
        <is>
          <t>R260908-iztri</t>
        </is>
      </c>
      <c r="E2038" t="inlineStr">
        <is>
          <t>Iztri</t>
        </is>
      </c>
      <c r="F2038" s="17" t="n">
        <v>46273</v>
      </c>
      <c r="G2038" t="inlineStr">
        <is>
          <t>spread 13.8%: et $1.05 Mn; inc42 $1.2 Mn</t>
        </is>
      </c>
    </row>
    <row r="2039">
      <c r="A2039" t="inlineStr">
        <is>
          <t>C15</t>
        </is>
      </c>
      <c r="B2039" t="inlineStr">
        <is>
          <t>Amount disagreement</t>
        </is>
      </c>
      <c r="C2039" t="inlineStr">
        <is>
          <t>warning</t>
        </is>
      </c>
      <c r="D2039" t="inlineStr">
        <is>
          <t>R260909-theater</t>
        </is>
      </c>
      <c r="E2039" t="inlineStr">
        <is>
          <t>Theater</t>
        </is>
      </c>
      <c r="F2039" s="17" t="n">
        <v>46274</v>
      </c>
      <c r="G2039" t="inlineStr">
        <is>
          <t>spread 33.3%: entrackr $5.91 Mn; entrackr $7.89 Mn; et $7.89 Mn; inc42 $7.8 Mn</t>
        </is>
      </c>
    </row>
    <row r="2040">
      <c r="A2040" t="inlineStr">
        <is>
          <t>C15</t>
        </is>
      </c>
      <c r="B2040" t="inlineStr">
        <is>
          <t>Amount disagreement</t>
        </is>
      </c>
      <c r="C2040" t="inlineStr">
        <is>
          <t>warning</t>
        </is>
      </c>
      <c r="D2040" t="inlineStr">
        <is>
          <t>R260917-dheyatech</t>
        </is>
      </c>
      <c r="E2040" t="inlineStr">
        <is>
          <t>DheyaTech</t>
        </is>
      </c>
      <c r="F2040" s="17" t="n">
        <v>46282</v>
      </c>
      <c r="G2040" t="inlineStr">
        <is>
          <t>spread 13.8%: entrackr $4.48 Mn; et $4.48 Mn; inc42 $5.1 Mn</t>
        </is>
      </c>
    </row>
    <row r="2041">
      <c r="A2041" t="inlineStr">
        <is>
          <t>C16</t>
        </is>
      </c>
      <c r="B2041" t="inlineStr">
        <is>
          <t>Date disagreement</t>
        </is>
      </c>
      <c r="C2041" t="inlineStr">
        <is>
          <t>info</t>
        </is>
      </c>
      <c r="D2041" t="inlineStr">
        <is>
          <t>R250320-iyaso</t>
        </is>
      </c>
      <c r="E2041" t="inlineStr">
        <is>
          <t>Iyaso</t>
        </is>
      </c>
      <c r="F2041" s="17" t="n">
        <v>45736</v>
      </c>
      <c r="G2041" t="inlineStr">
        <is>
          <t>reports are 27 days apart</t>
        </is>
      </c>
    </row>
    <row r="2042">
      <c r="A2042" t="inlineStr">
        <is>
          <t>C16</t>
        </is>
      </c>
      <c r="B2042" t="inlineStr">
        <is>
          <t>Date disagreement</t>
        </is>
      </c>
      <c r="C2042" t="inlineStr">
        <is>
          <t>info</t>
        </is>
      </c>
      <c r="D2042" t="inlineStr">
        <is>
          <t>R250407-easebuzz</t>
        </is>
      </c>
      <c r="E2042" t="inlineStr">
        <is>
          <t>Easebuzz</t>
        </is>
      </c>
      <c r="F2042" s="17" t="n">
        <v>45754</v>
      </c>
      <c r="G2042" t="inlineStr">
        <is>
          <t>reports are 17 days apart</t>
        </is>
      </c>
    </row>
    <row r="2043">
      <c r="A2043" t="inlineStr">
        <is>
          <t>C16</t>
        </is>
      </c>
      <c r="B2043" t="inlineStr">
        <is>
          <t>Date disagreement</t>
        </is>
      </c>
      <c r="C2043" t="inlineStr">
        <is>
          <t>info</t>
        </is>
      </c>
      <c r="D2043" t="inlineStr">
        <is>
          <t>R250417-uniseoul</t>
        </is>
      </c>
      <c r="E2043" t="inlineStr">
        <is>
          <t>Uni Seoul</t>
        </is>
      </c>
      <c r="F2043" s="17" t="n">
        <v>45764</v>
      </c>
      <c r="G2043" t="inlineStr">
        <is>
          <t>reports are 11 days apart</t>
        </is>
      </c>
    </row>
    <row r="2044">
      <c r="A2044" t="inlineStr">
        <is>
          <t>C16</t>
        </is>
      </c>
      <c r="B2044" t="inlineStr">
        <is>
          <t>Date disagreement</t>
        </is>
      </c>
      <c r="C2044" t="inlineStr">
        <is>
          <t>info</t>
        </is>
      </c>
      <c r="D2044" t="inlineStr">
        <is>
          <t>R250522-oxyzo</t>
        </is>
      </c>
      <c r="E2044" t="inlineStr">
        <is>
          <t>Oxyzo</t>
        </is>
      </c>
      <c r="F2044" s="17" t="n">
        <v>45799</v>
      </c>
      <c r="G2044" t="inlineStr">
        <is>
          <t>reports are 8 days apart</t>
        </is>
      </c>
    </row>
    <row r="2045">
      <c r="A2045" t="inlineStr">
        <is>
          <t>C16</t>
        </is>
      </c>
      <c r="B2045" t="inlineStr">
        <is>
          <t>Date disagreement</t>
        </is>
      </c>
      <c r="C2045" t="inlineStr">
        <is>
          <t>info</t>
        </is>
      </c>
      <c r="D2045" t="inlineStr">
        <is>
          <t>R250530-batterysmart</t>
        </is>
      </c>
      <c r="E2045" t="inlineStr">
        <is>
          <t>Battery Smart</t>
        </is>
      </c>
      <c r="F2045" s="17" t="n">
        <v>45807</v>
      </c>
      <c r="G2045" t="inlineStr">
        <is>
          <t>reports are 26 days apart</t>
        </is>
      </c>
    </row>
    <row r="2046">
      <c r="A2046" t="inlineStr">
        <is>
          <t>C16</t>
        </is>
      </c>
      <c r="B2046" t="inlineStr">
        <is>
          <t>Date disagreement</t>
        </is>
      </c>
      <c r="C2046" t="inlineStr">
        <is>
          <t>info</t>
        </is>
      </c>
      <c r="D2046" t="inlineStr">
        <is>
          <t>R250618-wiom</t>
        </is>
      </c>
      <c r="E2046" t="inlineStr">
        <is>
          <t>WIOM</t>
        </is>
      </c>
      <c r="F2046" s="17" t="n">
        <v>45826</v>
      </c>
      <c r="G2046" t="inlineStr">
        <is>
          <t>reports are 8 days apart</t>
        </is>
      </c>
    </row>
    <row r="2047">
      <c r="A2047" t="inlineStr">
        <is>
          <t>C16</t>
        </is>
      </c>
      <c r="B2047" t="inlineStr">
        <is>
          <t>Date disagreement</t>
        </is>
      </c>
      <c r="C2047" t="inlineStr">
        <is>
          <t>info</t>
        </is>
      </c>
      <c r="D2047" t="inlineStr">
        <is>
          <t>R250716-truemeds</t>
        </is>
      </c>
      <c r="E2047" t="inlineStr">
        <is>
          <t>Truemeds</t>
        </is>
      </c>
      <c r="F2047" s="17" t="n">
        <v>45854</v>
      </c>
      <c r="G2047" t="inlineStr">
        <is>
          <t>reports are 26 days apart</t>
        </is>
      </c>
    </row>
    <row r="2048">
      <c r="A2048" t="inlineStr">
        <is>
          <t>C16</t>
        </is>
      </c>
      <c r="B2048" t="inlineStr">
        <is>
          <t>Date disagreement</t>
        </is>
      </c>
      <c r="C2048" t="inlineStr">
        <is>
          <t>info</t>
        </is>
      </c>
      <c r="D2048" t="inlineStr">
        <is>
          <t>R250724-superk</t>
        </is>
      </c>
      <c r="E2048" t="inlineStr">
        <is>
          <t>SuperK</t>
        </is>
      </c>
      <c r="F2048" s="17" t="n">
        <v>45862</v>
      </c>
      <c r="G2048" t="inlineStr">
        <is>
          <t>reports are 26 days apart</t>
        </is>
      </c>
    </row>
    <row r="2049">
      <c r="A2049" t="inlineStr">
        <is>
          <t>C16</t>
        </is>
      </c>
      <c r="B2049" t="inlineStr">
        <is>
          <t>Date disagreement</t>
        </is>
      </c>
      <c r="C2049" t="inlineStr">
        <is>
          <t>info</t>
        </is>
      </c>
      <c r="D2049" t="inlineStr">
        <is>
          <t>R250729-zepto</t>
        </is>
      </c>
      <c r="E2049" t="inlineStr">
        <is>
          <t>Zepto</t>
        </is>
      </c>
      <c r="F2049" s="17" t="n">
        <v>45867</v>
      </c>
      <c r="G2049" t="inlineStr">
        <is>
          <t>reports are 14 days apart</t>
        </is>
      </c>
    </row>
    <row r="2050">
      <c r="A2050" t="inlineStr">
        <is>
          <t>C16</t>
        </is>
      </c>
      <c r="B2050" t="inlineStr">
        <is>
          <t>Date disagreement</t>
        </is>
      </c>
      <c r="C2050" t="inlineStr">
        <is>
          <t>info</t>
        </is>
      </c>
      <c r="D2050" t="inlineStr">
        <is>
          <t>R250806-dpdzero</t>
        </is>
      </c>
      <c r="E2050" t="inlineStr">
        <is>
          <t>DPDzero</t>
        </is>
      </c>
      <c r="F2050" s="17" t="n">
        <v>45875</v>
      </c>
      <c r="G2050" t="inlineStr">
        <is>
          <t>reports are 20 days apart</t>
        </is>
      </c>
    </row>
    <row r="2051">
      <c r="A2051" t="inlineStr">
        <is>
          <t>C16</t>
        </is>
      </c>
      <c r="B2051" t="inlineStr">
        <is>
          <t>Date disagreement</t>
        </is>
      </c>
      <c r="C2051" t="inlineStr">
        <is>
          <t>info</t>
        </is>
      </c>
      <c r="D2051" t="inlineStr">
        <is>
          <t>R250821-edgehax</t>
        </is>
      </c>
      <c r="E2051" t="inlineStr">
        <is>
          <t>Edgehax</t>
        </is>
      </c>
      <c r="F2051" s="17" t="n">
        <v>45890</v>
      </c>
      <c r="G2051" t="inlineStr">
        <is>
          <t>reports are 13 days apart</t>
        </is>
      </c>
    </row>
    <row r="2052">
      <c r="A2052" t="inlineStr">
        <is>
          <t>C16</t>
        </is>
      </c>
      <c r="B2052" t="inlineStr">
        <is>
          <t>Date disagreement</t>
        </is>
      </c>
      <c r="C2052" t="inlineStr">
        <is>
          <t>info</t>
        </is>
      </c>
      <c r="D2052" t="inlineStr">
        <is>
          <t>R250916-pharmeasy</t>
        </is>
      </c>
      <c r="E2052" t="inlineStr">
        <is>
          <t>PharmEasy</t>
        </is>
      </c>
      <c r="F2052" s="17" t="n">
        <v>45916</v>
      </c>
      <c r="G2052" t="inlineStr">
        <is>
          <t>reports are 8 days apart</t>
        </is>
      </c>
    </row>
    <row r="2053">
      <c r="A2053" t="inlineStr">
        <is>
          <t>C16</t>
        </is>
      </c>
      <c r="B2053" t="inlineStr">
        <is>
          <t>Date disagreement</t>
        </is>
      </c>
      <c r="C2053" t="inlineStr">
        <is>
          <t>info</t>
        </is>
      </c>
      <c r="D2053" t="inlineStr">
        <is>
          <t>R250919-blinkitai</t>
        </is>
      </c>
      <c r="E2053" t="inlineStr">
        <is>
          <t>Blinkit-AI</t>
        </is>
      </c>
      <c r="F2053" s="17" t="n">
        <v>45919</v>
      </c>
      <c r="G2053" t="inlineStr">
        <is>
          <t>reports are 10 days apart</t>
        </is>
      </c>
    </row>
    <row r="2054">
      <c r="A2054" t="inlineStr">
        <is>
          <t>C16</t>
        </is>
      </c>
      <c r="B2054" t="inlineStr">
        <is>
          <t>Date disagreement</t>
        </is>
      </c>
      <c r="C2054" t="inlineStr">
        <is>
          <t>info</t>
        </is>
      </c>
      <c r="D2054" t="inlineStr">
        <is>
          <t>R251013-smallestai</t>
        </is>
      </c>
      <c r="E2054" t="inlineStr">
        <is>
          <t>smallest.ai</t>
        </is>
      </c>
      <c r="F2054" s="17" t="n">
        <v>45943</v>
      </c>
      <c r="G2054" t="inlineStr">
        <is>
          <t>reports are 15 days apart</t>
        </is>
      </c>
    </row>
    <row r="2055">
      <c r="A2055" t="inlineStr">
        <is>
          <t>C16</t>
        </is>
      </c>
      <c r="B2055" t="inlineStr">
        <is>
          <t>Date disagreement</t>
        </is>
      </c>
      <c r="C2055" t="inlineStr">
        <is>
          <t>info</t>
        </is>
      </c>
      <c r="D2055" t="inlineStr">
        <is>
          <t>R260107-roadgrid</t>
        </is>
      </c>
      <c r="E2055" t="inlineStr">
        <is>
          <t>RoadGrid</t>
        </is>
      </c>
      <c r="F2055" s="17" t="n">
        <v>46029</v>
      </c>
      <c r="G2055" t="inlineStr">
        <is>
          <t>reports are 8 days apart</t>
        </is>
      </c>
    </row>
    <row r="2056">
      <c r="A2056" t="inlineStr">
        <is>
          <t>C16</t>
        </is>
      </c>
      <c r="B2056" t="inlineStr">
        <is>
          <t>Date disagreement</t>
        </is>
      </c>
      <c r="C2056" t="inlineStr">
        <is>
          <t>info</t>
        </is>
      </c>
      <c r="D2056" t="inlineStr">
        <is>
          <t>R260218-stablemoney</t>
        </is>
      </c>
      <c r="E2056" t="inlineStr">
        <is>
          <t>Stable Money</t>
        </is>
      </c>
      <c r="F2056" s="17" t="n">
        <v>46071</v>
      </c>
      <c r="G2056" t="inlineStr">
        <is>
          <t>reports are 27 days apart</t>
        </is>
      </c>
    </row>
    <row r="2057">
      <c r="A2057" t="inlineStr">
        <is>
          <t>C16</t>
        </is>
      </c>
      <c r="B2057" t="inlineStr">
        <is>
          <t>Date disagreement</t>
        </is>
      </c>
      <c r="C2057" t="inlineStr">
        <is>
          <t>info</t>
        </is>
      </c>
      <c r="D2057" t="inlineStr">
        <is>
          <t>R260317-canvaloop</t>
        </is>
      </c>
      <c r="E2057" t="inlineStr">
        <is>
          <t>Canvaloop</t>
        </is>
      </c>
      <c r="F2057" s="17" t="n">
        <v>46098</v>
      </c>
      <c r="G2057" t="inlineStr">
        <is>
          <t>reports are 8 days apart</t>
        </is>
      </c>
    </row>
    <row r="2058">
      <c r="A2058" t="inlineStr">
        <is>
          <t>C16</t>
        </is>
      </c>
      <c r="B2058" t="inlineStr">
        <is>
          <t>Date disagreement</t>
        </is>
      </c>
      <c r="C2058" t="inlineStr">
        <is>
          <t>info</t>
        </is>
      </c>
      <c r="D2058" t="inlineStr">
        <is>
          <t>R260326-elmedlifescien</t>
        </is>
      </c>
      <c r="E2058" t="inlineStr">
        <is>
          <t>ELMED Life Sciences</t>
        </is>
      </c>
      <c r="F2058" s="17" t="n">
        <v>46098</v>
      </c>
      <c r="G2058" t="inlineStr">
        <is>
          <t>reports are 9 days apart</t>
        </is>
      </c>
    </row>
    <row r="2059">
      <c r="A2059" t="inlineStr">
        <is>
          <t>C16</t>
        </is>
      </c>
      <c r="B2059" t="inlineStr">
        <is>
          <t>Date disagreement</t>
        </is>
      </c>
      <c r="C2059" t="inlineStr">
        <is>
          <t>info</t>
        </is>
      </c>
      <c r="D2059" t="inlineStr">
        <is>
          <t>R260323-bidso</t>
        </is>
      </c>
      <c r="E2059" t="inlineStr">
        <is>
          <t>Bidso</t>
        </is>
      </c>
      <c r="F2059" s="17" t="n">
        <v>46104</v>
      </c>
      <c r="G2059" t="inlineStr">
        <is>
          <t>reports are 18 days apart</t>
        </is>
      </c>
    </row>
    <row r="2060">
      <c r="A2060" t="inlineStr">
        <is>
          <t>C16</t>
        </is>
      </c>
      <c r="B2060" t="inlineStr">
        <is>
          <t>Date disagreement</t>
        </is>
      </c>
      <c r="C2060" t="inlineStr">
        <is>
          <t>info</t>
        </is>
      </c>
      <c r="D2060" t="inlineStr">
        <is>
          <t>R260407-helium</t>
        </is>
      </c>
      <c r="E2060" t="inlineStr">
        <is>
          <t>Helium</t>
        </is>
      </c>
      <c r="F2060" s="17" t="n">
        <v>46119</v>
      </c>
      <c r="G2060" t="inlineStr">
        <is>
          <t>reports are 8 days apart</t>
        </is>
      </c>
    </row>
    <row r="2061">
      <c r="A2061" t="inlineStr">
        <is>
          <t>C16</t>
        </is>
      </c>
      <c r="B2061" t="inlineStr">
        <is>
          <t>Date disagreement</t>
        </is>
      </c>
      <c r="C2061" t="inlineStr">
        <is>
          <t>info</t>
        </is>
      </c>
      <c r="D2061" t="inlineStr">
        <is>
          <t>R260526-bucketlistt</t>
        </is>
      </c>
      <c r="E2061" t="inlineStr">
        <is>
          <t>Bucketlistt</t>
        </is>
      </c>
      <c r="F2061" s="17" t="n">
        <v>46168</v>
      </c>
      <c r="G2061" t="inlineStr">
        <is>
          <t>reports are 15 days apart</t>
        </is>
      </c>
    </row>
    <row r="2062">
      <c r="A2062" t="inlineStr">
        <is>
          <t>C16</t>
        </is>
      </c>
      <c r="B2062" t="inlineStr">
        <is>
          <t>Date disagreement</t>
        </is>
      </c>
      <c r="C2062" t="inlineStr">
        <is>
          <t>info</t>
        </is>
      </c>
      <c r="D2062" t="inlineStr">
        <is>
          <t>R260604-firstclub</t>
        </is>
      </c>
      <c r="E2062" t="inlineStr">
        <is>
          <t>FirstClub</t>
        </is>
      </c>
      <c r="F2062" s="17" t="n">
        <v>46177</v>
      </c>
      <c r="G2062" t="inlineStr">
        <is>
          <t>reports are 11 days apart</t>
        </is>
      </c>
    </row>
    <row r="2063">
      <c r="A2063" t="inlineStr">
        <is>
          <t>C16</t>
        </is>
      </c>
      <c r="B2063" t="inlineStr">
        <is>
          <t>Date disagreement</t>
        </is>
      </c>
      <c r="C2063" t="inlineStr">
        <is>
          <t>info</t>
        </is>
      </c>
      <c r="D2063" t="inlineStr">
        <is>
          <t>R260923-ultraviolette</t>
        </is>
      </c>
      <c r="E2063" t="inlineStr">
        <is>
          <t>Ultraviolette</t>
        </is>
      </c>
      <c r="F2063" s="17" t="n">
        <v>46279</v>
      </c>
      <c r="G2063" t="inlineStr">
        <is>
          <t>reports are 9 days apart</t>
        </is>
      </c>
    </row>
    <row r="2064">
      <c r="A2064" t="inlineStr">
        <is>
          <t>C17</t>
        </is>
      </c>
      <c r="B2064" t="inlineStr">
        <is>
          <t>Lead investor disagreement</t>
        </is>
      </c>
      <c r="C2064" t="inlineStr">
        <is>
          <t>warning</t>
        </is>
      </c>
      <c r="D2064" t="inlineStr">
        <is>
          <t>R250120-nazara</t>
        </is>
      </c>
      <c r="E2064" t="inlineStr">
        <is>
          <t>Nazara</t>
        </is>
      </c>
      <c r="F2064" s="17" t="n">
        <v>45677</v>
      </c>
      <c r="G2064" t="inlineStr">
        <is>
          <t>entrackr: Axana Estates LLP | et: Arpit Khandelwal, Mithun Sacheti</t>
        </is>
      </c>
    </row>
    <row r="2065">
      <c r="A2065" t="inlineStr">
        <is>
          <t>C17</t>
        </is>
      </c>
      <c r="B2065" t="inlineStr">
        <is>
          <t>Lead investor disagreement</t>
        </is>
      </c>
      <c r="C2065" t="inlineStr">
        <is>
          <t>warning</t>
        </is>
      </c>
      <c r="D2065" t="inlineStr">
        <is>
          <t>R250128-ambak</t>
        </is>
      </c>
      <c r="E2065" t="inlineStr">
        <is>
          <t>Ambak</t>
        </is>
      </c>
      <c r="F2065" s="17" t="n">
        <v>45685</v>
      </c>
      <c r="G2065" t="inlineStr">
        <is>
          <t>et: Surge | inc42: Peak XV</t>
        </is>
      </c>
    </row>
    <row r="2066">
      <c r="A2066" t="inlineStr">
        <is>
          <t>C17</t>
        </is>
      </c>
      <c r="B2066" t="inlineStr">
        <is>
          <t>Lead investor disagreement</t>
        </is>
      </c>
      <c r="C2066" t="inlineStr">
        <is>
          <t>warning</t>
        </is>
      </c>
      <c r="D2066" t="inlineStr">
        <is>
          <t>R250128-thinkmetal</t>
        </is>
      </c>
      <c r="E2066" t="inlineStr">
        <is>
          <t>ThinkMetal</t>
        </is>
      </c>
      <c r="F2066" s="17" t="n">
        <v>45685</v>
      </c>
      <c r="G2066" t="inlineStr">
        <is>
          <t>entrackr: Sanchi Connect | inc42: YourNest Venture Capital</t>
        </is>
      </c>
    </row>
    <row r="2067">
      <c r="A2067" t="inlineStr">
        <is>
          <t>C17</t>
        </is>
      </c>
      <c r="B2067" t="inlineStr">
        <is>
          <t>Lead investor disagreement</t>
        </is>
      </c>
      <c r="C2067" t="inlineStr">
        <is>
          <t>warning</t>
        </is>
      </c>
      <c r="D2067" t="inlineStr">
        <is>
          <t>R250205-astrasecurity</t>
        </is>
      </c>
      <c r="E2067" t="inlineStr">
        <is>
          <t>Astra Security</t>
        </is>
      </c>
      <c r="F2067" s="17" t="n">
        <v>45693</v>
      </c>
      <c r="G2067" t="inlineStr">
        <is>
          <t>entrackr: Emergent Ventures, Better Capital, Blume Ventures, PointOne Capital | et: Better Capital, Blume Ventures, PointOne Capital | inc42: Emergent Ventures</t>
        </is>
      </c>
    </row>
    <row r="2068">
      <c r="A2068" t="inlineStr">
        <is>
          <t>C17</t>
        </is>
      </c>
      <c r="B2068" t="inlineStr">
        <is>
          <t>Lead investor disagreement</t>
        </is>
      </c>
      <c r="C2068" t="inlineStr">
        <is>
          <t>warning</t>
        </is>
      </c>
      <c r="D2068" t="inlineStr">
        <is>
          <t>R250205-fitspire</t>
        </is>
      </c>
      <c r="E2068" t="inlineStr">
        <is>
          <t>Fitspire</t>
        </is>
      </c>
      <c r="F2068" s="17" t="n">
        <v>45693</v>
      </c>
      <c r="G2068" t="inlineStr">
        <is>
          <t>entrackr: India | et: Anant Agarwal, MMG Group</t>
        </is>
      </c>
    </row>
    <row r="2069">
      <c r="A2069" t="inlineStr">
        <is>
          <t>C17</t>
        </is>
      </c>
      <c r="B2069" t="inlineStr">
        <is>
          <t>Lead investor disagreement</t>
        </is>
      </c>
      <c r="C2069" t="inlineStr">
        <is>
          <t>warning</t>
        </is>
      </c>
      <c r="D2069" t="inlineStr">
        <is>
          <t>R250214-almondsai</t>
        </is>
      </c>
      <c r="E2069" t="inlineStr">
        <is>
          <t>Almond.ai</t>
        </is>
      </c>
      <c r="F2069" s="17" t="n">
        <v>45702</v>
      </c>
      <c r="G2069" t="inlineStr">
        <is>
          <t>entrackr: JITO Incubation, Innovation Foundation | inc42: JIIF</t>
        </is>
      </c>
    </row>
    <row r="2070">
      <c r="A2070" t="inlineStr">
        <is>
          <t>C17</t>
        </is>
      </c>
      <c r="B2070" t="inlineStr">
        <is>
          <t>Lead investor disagreement</t>
        </is>
      </c>
      <c r="C2070" t="inlineStr">
        <is>
          <t>warning</t>
        </is>
      </c>
      <c r="D2070" t="inlineStr">
        <is>
          <t>R250218-dynolttechnolo</t>
        </is>
      </c>
      <c r="E2070" t="inlineStr">
        <is>
          <t>Dynolt Technologies</t>
        </is>
      </c>
      <c r="F2070" s="17" t="n">
        <v>45706</v>
      </c>
      <c r="G2070" t="inlineStr">
        <is>
          <t>entrackr: Transition VC | et: Yashowardhan Shah | inc42: Transition VC</t>
        </is>
      </c>
    </row>
    <row r="2071">
      <c r="A2071" t="inlineStr">
        <is>
          <t>C17</t>
        </is>
      </c>
      <c r="B2071" t="inlineStr">
        <is>
          <t>Lead investor disagreement</t>
        </is>
      </c>
      <c r="C2071" t="inlineStr">
        <is>
          <t>warning</t>
        </is>
      </c>
      <c r="D2071" t="inlineStr">
        <is>
          <t>R250401-thebearhouse</t>
        </is>
      </c>
      <c r="E2071" t="inlineStr">
        <is>
          <t>The Bear House</t>
        </is>
      </c>
      <c r="F2071" s="17" t="n">
        <v>45748</v>
      </c>
      <c r="G2071" t="inlineStr">
        <is>
          <t>entrackr: JM Financial India Growth Fund III | inc42: JM Financial Private Equity</t>
        </is>
      </c>
    </row>
    <row r="2072">
      <c r="A2072" t="inlineStr">
        <is>
          <t>C17</t>
        </is>
      </c>
      <c r="B2072" t="inlineStr">
        <is>
          <t>Lead investor disagreement</t>
        </is>
      </c>
      <c r="C2072" t="inlineStr">
        <is>
          <t>warning</t>
        </is>
      </c>
      <c r="D2072" t="inlineStr">
        <is>
          <t>R250404-aerem</t>
        </is>
      </c>
      <c r="E2072" t="inlineStr">
        <is>
          <t>Aerem</t>
        </is>
      </c>
      <c r="F2072" s="17" t="n">
        <v>45751</v>
      </c>
      <c r="G2072" t="inlineStr">
        <is>
          <t>entrackr: UTEC | et: UTEC | inc42: Tokyo Edge Capital Partners</t>
        </is>
      </c>
    </row>
    <row r="2073">
      <c r="A2073" t="inlineStr">
        <is>
          <t>C17</t>
        </is>
      </c>
      <c r="B2073" t="inlineStr">
        <is>
          <t>Lead investor disagreement</t>
        </is>
      </c>
      <c r="C2073" t="inlineStr">
        <is>
          <t>warning</t>
        </is>
      </c>
      <c r="D2073" t="inlineStr">
        <is>
          <t>R250404-alienkind</t>
        </is>
      </c>
      <c r="E2073" t="inlineStr">
        <is>
          <t>Alienkind</t>
        </is>
      </c>
      <c r="F2073" s="17" t="n">
        <v>45751</v>
      </c>
      <c r="G2073" t="inlineStr">
        <is>
          <t>entrackr: Super | inc42: Prakash Sikaria, Ravi Iyer, Arpan Sheth</t>
        </is>
      </c>
    </row>
    <row r="2074">
      <c r="A2074" t="inlineStr">
        <is>
          <t>C17</t>
        </is>
      </c>
      <c r="B2074" t="inlineStr">
        <is>
          <t>Lead investor disagreement</t>
        </is>
      </c>
      <c r="C2074" t="inlineStr">
        <is>
          <t>warning</t>
        </is>
      </c>
      <c r="D2074" t="inlineStr">
        <is>
          <t>R250505-storemygoods</t>
        </is>
      </c>
      <c r="E2074" t="inlineStr">
        <is>
          <t>Store My Goods</t>
        </is>
      </c>
      <c r="F2074" s="17" t="n">
        <v>45782</v>
      </c>
      <c r="G2074" t="inlineStr">
        <is>
          <t>entrackr: JITO Incubation, Innovation Foundation | inc42: JIIF</t>
        </is>
      </c>
    </row>
    <row r="2075">
      <c r="A2075" t="inlineStr">
        <is>
          <t>C17</t>
        </is>
      </c>
      <c r="B2075" t="inlineStr">
        <is>
          <t>Lead investor disagreement</t>
        </is>
      </c>
      <c r="C2075" t="inlineStr">
        <is>
          <t>warning</t>
        </is>
      </c>
      <c r="D2075" t="inlineStr">
        <is>
          <t>R250507-inspecity</t>
        </is>
      </c>
      <c r="E2075" t="inlineStr">
        <is>
          <t>InspeCity</t>
        </is>
      </c>
      <c r="F2075" s="17" t="n">
        <v>45784</v>
      </c>
      <c r="G2075" t="inlineStr">
        <is>
          <t>entrackr: Ashish Kacholia | et: Ashish Kacholia, Shastra VC, Antler India, DeVC, MGF-Kavachh, Anicut Capital | inc42: Lucky Investment Managers</t>
        </is>
      </c>
    </row>
    <row r="2076">
      <c r="A2076" t="inlineStr">
        <is>
          <t>C17</t>
        </is>
      </c>
      <c r="B2076" t="inlineStr">
        <is>
          <t>Lead investor disagreement</t>
        </is>
      </c>
      <c r="C2076" t="inlineStr">
        <is>
          <t>warning</t>
        </is>
      </c>
      <c r="D2076" t="inlineStr">
        <is>
          <t>R250515-hocco</t>
        </is>
      </c>
      <c r="E2076" t="inlineStr">
        <is>
          <t>Hocco</t>
        </is>
      </c>
      <c r="F2076" s="17" t="n">
        <v>45792</v>
      </c>
      <c r="G2076" t="inlineStr">
        <is>
          <t>entrackr: Chona Family Office, Sauce VC | et: Chona Family Office | inc42: Sauce.vc</t>
        </is>
      </c>
    </row>
    <row r="2077">
      <c r="A2077" t="inlineStr">
        <is>
          <t>C17</t>
        </is>
      </c>
      <c r="B2077" t="inlineStr">
        <is>
          <t>Lead investor disagreement</t>
        </is>
      </c>
      <c r="C2077" t="inlineStr">
        <is>
          <t>warning</t>
        </is>
      </c>
      <c r="D2077" t="inlineStr">
        <is>
          <t>R250529-khiladipro</t>
        </is>
      </c>
      <c r="E2077" t="inlineStr">
        <is>
          <t>KhiladiPro</t>
        </is>
      </c>
      <c r="F2077" s="17" t="n">
        <v>45806</v>
      </c>
      <c r="G2077" t="inlineStr">
        <is>
          <t>entrackr: Shastra VC, MGA Ventures | et: MGA Ventures | inc42: Shastra VC</t>
        </is>
      </c>
    </row>
    <row r="2078">
      <c r="A2078" t="inlineStr">
        <is>
          <t>C17</t>
        </is>
      </c>
      <c r="B2078" t="inlineStr">
        <is>
          <t>Lead investor disagreement</t>
        </is>
      </c>
      <c r="C2078" t="inlineStr">
        <is>
          <t>warning</t>
        </is>
      </c>
      <c r="D2078" t="inlineStr">
        <is>
          <t>R250602-udaan</t>
        </is>
      </c>
      <c r="E2078" t="inlineStr">
        <is>
          <t>Udaan</t>
        </is>
      </c>
      <c r="F2078" s="17" t="n">
        <v>45810</v>
      </c>
      <c r="G2078" t="inlineStr">
        <is>
          <t>entrackr: M&amp;G Investments, Lightspeed | et: M&amp;amp</t>
        </is>
      </c>
    </row>
    <row r="2079">
      <c r="A2079" t="inlineStr">
        <is>
          <t>C17</t>
        </is>
      </c>
      <c r="B2079" t="inlineStr">
        <is>
          <t>Lead investor disagreement</t>
        </is>
      </c>
      <c r="C2079" t="inlineStr">
        <is>
          <t>warning</t>
        </is>
      </c>
      <c r="D2079" t="inlineStr">
        <is>
          <t>R250703-fescafe</t>
        </is>
      </c>
      <c r="E2079" t="inlineStr">
        <is>
          <t>FES Cafe</t>
        </is>
      </c>
      <c r="F2079" s="17" t="n">
        <v>45841</v>
      </c>
      <c r="G2079" t="inlineStr">
        <is>
          <t>entrackr: Aakash Anand | inc42: Wolfpack Labs</t>
        </is>
      </c>
    </row>
    <row r="2080">
      <c r="A2080" t="inlineStr">
        <is>
          <t>C17</t>
        </is>
      </c>
      <c r="B2080" t="inlineStr">
        <is>
          <t>Lead investor disagreement</t>
        </is>
      </c>
      <c r="C2080" t="inlineStr">
        <is>
          <t>warning</t>
        </is>
      </c>
      <c r="D2080" t="inlineStr">
        <is>
          <t>R250703-lumafertility</t>
        </is>
      </c>
      <c r="E2080" t="inlineStr">
        <is>
          <t>Luma Fertility</t>
        </is>
      </c>
      <c r="F2080" s="17" t="n">
        <v>45841</v>
      </c>
      <c r="G2080" t="inlineStr">
        <is>
          <t>entrackr: Surge | inc42: Peak XV</t>
        </is>
      </c>
    </row>
    <row r="2081">
      <c r="A2081" t="inlineStr">
        <is>
          <t>C17</t>
        </is>
      </c>
      <c r="B2081" t="inlineStr">
        <is>
          <t>Lead investor disagreement</t>
        </is>
      </c>
      <c r="C2081" t="inlineStr">
        <is>
          <t>warning</t>
        </is>
      </c>
      <c r="D2081" t="inlineStr">
        <is>
          <t>R250712-vaaree</t>
        </is>
      </c>
      <c r="E2081" t="inlineStr">
        <is>
          <t>Vaaree</t>
        </is>
      </c>
      <c r="F2081" s="17" t="n">
        <v>45850</v>
      </c>
      <c r="G2081" t="inlineStr">
        <is>
          <t>et: Peer Capital | inc42: PeerCapital, Peak XV Surge</t>
        </is>
      </c>
    </row>
    <row r="2082">
      <c r="A2082" t="inlineStr">
        <is>
          <t>C17</t>
        </is>
      </c>
      <c r="B2082" t="inlineStr">
        <is>
          <t>Lead investor disagreement</t>
        </is>
      </c>
      <c r="C2082" t="inlineStr">
        <is>
          <t>warning</t>
        </is>
      </c>
      <c r="D2082" t="inlineStr">
        <is>
          <t>R250717-dcgtech</t>
        </is>
      </c>
      <c r="E2082" t="inlineStr">
        <is>
          <t>DCG Tech</t>
        </is>
      </c>
      <c r="F2082" s="17" t="n">
        <v>45855</v>
      </c>
      <c r="G2082" t="inlineStr">
        <is>
          <t>entrackr: GVF | inc42: GVFL</t>
        </is>
      </c>
    </row>
    <row r="2083">
      <c r="A2083" t="inlineStr">
        <is>
          <t>C17</t>
        </is>
      </c>
      <c r="B2083" t="inlineStr">
        <is>
          <t>Lead investor disagreement</t>
        </is>
      </c>
      <c r="C2083" t="inlineStr">
        <is>
          <t>warning</t>
        </is>
      </c>
      <c r="D2083" t="inlineStr">
        <is>
          <t>R250812-kimirica</t>
        </is>
      </c>
      <c r="E2083" t="inlineStr">
        <is>
          <t>Kimirica</t>
        </is>
      </c>
      <c r="F2083" s="17" t="n">
        <v>45881</v>
      </c>
      <c r="G2083" t="inlineStr">
        <is>
          <t>entrackr: Vikas Khemani | et: Carnelian Asset Management</t>
        </is>
      </c>
    </row>
    <row r="2084">
      <c r="A2084" t="inlineStr">
        <is>
          <t>C17</t>
        </is>
      </c>
      <c r="B2084" t="inlineStr">
        <is>
          <t>Lead investor disagreement</t>
        </is>
      </c>
      <c r="C2084" t="inlineStr">
        <is>
          <t>warning</t>
        </is>
      </c>
      <c r="D2084" t="inlineStr">
        <is>
          <t>R250812-manastuspace</t>
        </is>
      </c>
      <c r="E2084" t="inlineStr">
        <is>
          <t>Manastu Space</t>
        </is>
      </c>
      <c r="F2084" s="17" t="n">
        <v>45881</v>
      </c>
      <c r="G2084" t="inlineStr">
        <is>
          <t>entrackr: Capital 2B, Indian Angel Network | inc42: Capital-A</t>
        </is>
      </c>
    </row>
    <row r="2085">
      <c r="A2085" t="inlineStr">
        <is>
          <t>C17</t>
        </is>
      </c>
      <c r="B2085" t="inlineStr">
        <is>
          <t>Lead investor disagreement</t>
        </is>
      </c>
      <c r="C2085" t="inlineStr">
        <is>
          <t>warning</t>
        </is>
      </c>
      <c r="D2085" t="inlineStr">
        <is>
          <t>R250820-peelon</t>
        </is>
      </c>
      <c r="E2085" t="inlineStr">
        <is>
          <t>PeelON</t>
        </is>
      </c>
      <c r="F2085" s="17" t="n">
        <v>45889</v>
      </c>
      <c r="G2085" t="inlineStr">
        <is>
          <t>entrackr: Clean Energy Venture Group | et: GrowX Ventures</t>
        </is>
      </c>
    </row>
    <row r="2086">
      <c r="A2086" t="inlineStr">
        <is>
          <t>C17</t>
        </is>
      </c>
      <c r="B2086" t="inlineStr">
        <is>
          <t>Lead investor disagreement</t>
        </is>
      </c>
      <c r="C2086" t="inlineStr">
        <is>
          <t>warning</t>
        </is>
      </c>
      <c r="D2086" t="inlineStr">
        <is>
          <t>R250825-vaave</t>
        </is>
      </c>
      <c r="E2086" t="inlineStr">
        <is>
          <t>Vaave</t>
        </is>
      </c>
      <c r="F2086" s="17" t="n">
        <v>45894</v>
      </c>
      <c r="G2086" t="inlineStr">
        <is>
          <t>entrackr: Aditya Vuchi | inc42: VCMint</t>
        </is>
      </c>
    </row>
    <row r="2087">
      <c r="A2087" t="inlineStr">
        <is>
          <t>C17</t>
        </is>
      </c>
      <c r="B2087" t="inlineStr">
        <is>
          <t>Lead investor disagreement</t>
        </is>
      </c>
      <c r="C2087" t="inlineStr">
        <is>
          <t>warning</t>
        </is>
      </c>
      <c r="D2087" t="inlineStr">
        <is>
          <t>R250910-endureair</t>
        </is>
      </c>
      <c r="E2087" t="inlineStr">
        <is>
          <t>EndureAir Systems</t>
        </is>
      </c>
      <c r="F2087" s="17" t="n">
        <v>45910</v>
      </c>
      <c r="G2087" t="inlineStr">
        <is>
          <t>entrackr: IAN Alpha Fund | inc42: Indian Angel Network</t>
        </is>
      </c>
    </row>
    <row r="2088">
      <c r="A2088" t="inlineStr">
        <is>
          <t>C17</t>
        </is>
      </c>
      <c r="B2088" t="inlineStr">
        <is>
          <t>Lead investor disagreement</t>
        </is>
      </c>
      <c r="C2088" t="inlineStr">
        <is>
          <t>warning</t>
        </is>
      </c>
      <c r="D2088" t="inlineStr">
        <is>
          <t>R250922-onfinanceai</t>
        </is>
      </c>
      <c r="E2088" t="inlineStr">
        <is>
          <t>OnFinance AI</t>
        </is>
      </c>
      <c r="F2088" s="17" t="n">
        <v>45922</v>
      </c>
      <c r="G2088" t="inlineStr">
        <is>
          <t>entrackr: Surge | et: Surge | inc42: Peak XV</t>
        </is>
      </c>
    </row>
    <row r="2089">
      <c r="A2089" t="inlineStr">
        <is>
          <t>C17</t>
        </is>
      </c>
      <c r="B2089" t="inlineStr">
        <is>
          <t>Lead investor disagreement</t>
        </is>
      </c>
      <c r="C2089" t="inlineStr">
        <is>
          <t>warning</t>
        </is>
      </c>
      <c r="D2089" t="inlineStr">
        <is>
          <t>R250925-cosmoservespac</t>
        </is>
      </c>
      <c r="E2089" t="inlineStr">
        <is>
          <t>Cosmoserve Space</t>
        </is>
      </c>
      <c r="F2089" s="17" t="n">
        <v>45925</v>
      </c>
      <c r="G2089" t="inlineStr">
        <is>
          <t>entrackr: Alan Rutledge | inc42: AVCF</t>
        </is>
      </c>
    </row>
    <row r="2090">
      <c r="A2090" t="inlineStr">
        <is>
          <t>C17</t>
        </is>
      </c>
      <c r="B2090" t="inlineStr">
        <is>
          <t>Lead investor disagreement</t>
        </is>
      </c>
      <c r="C2090" t="inlineStr">
        <is>
          <t>warning</t>
        </is>
      </c>
      <c r="D2090" t="inlineStr">
        <is>
          <t>R250925-simpleenergy</t>
        </is>
      </c>
      <c r="E2090" t="inlineStr">
        <is>
          <t>Simple Energy</t>
        </is>
      </c>
      <c r="F2090" s="17" t="n">
        <v>45925</v>
      </c>
      <c r="G2090" t="inlineStr">
        <is>
          <t>entrackr: Dr | inc42: Dr Arokiaswamy Velumani (founder, Thyrocare)</t>
        </is>
      </c>
    </row>
    <row r="2091">
      <c r="A2091" t="inlineStr">
        <is>
          <t>C17</t>
        </is>
      </c>
      <c r="B2091" t="inlineStr">
        <is>
          <t>Lead investor disagreement</t>
        </is>
      </c>
      <c r="C2091" t="inlineStr">
        <is>
          <t>warning</t>
        </is>
      </c>
      <c r="D2091" t="inlineStr">
        <is>
          <t>R250930-ignosis</t>
        </is>
      </c>
      <c r="E2091" t="inlineStr">
        <is>
          <t>Ignosis</t>
        </is>
      </c>
      <c r="F2091" s="17" t="n">
        <v>45930</v>
      </c>
      <c r="G2091" t="inlineStr">
        <is>
          <t>entrackr: Surge, Razorpay Ventures, Kunal Shah of Cred | et: Peak XV Partners’ Surge programme | inc42: Peak XV Partners ]</t>
        </is>
      </c>
    </row>
    <row r="2092">
      <c r="A2092" t="inlineStr">
        <is>
          <t>C17</t>
        </is>
      </c>
      <c r="B2092" t="inlineStr">
        <is>
          <t>Lead investor disagreement</t>
        </is>
      </c>
      <c r="C2092" t="inlineStr">
        <is>
          <t>warning</t>
        </is>
      </c>
      <c r="D2092" t="inlineStr">
        <is>
          <t>R251030-openhouse</t>
        </is>
      </c>
      <c r="E2092" t="inlineStr">
        <is>
          <t>Openhouse</t>
        </is>
      </c>
      <c r="F2092" s="17" t="n">
        <v>45960</v>
      </c>
      <c r="G2092" t="inlineStr">
        <is>
          <t>entrackr: India Quotient Ventures | inc42: IndiaQuotient</t>
        </is>
      </c>
    </row>
    <row r="2093">
      <c r="A2093" t="inlineStr">
        <is>
          <t>C17</t>
        </is>
      </c>
      <c r="B2093" t="inlineStr">
        <is>
          <t>Lead investor disagreement</t>
        </is>
      </c>
      <c r="C2093" t="inlineStr">
        <is>
          <t>warning</t>
        </is>
      </c>
      <c r="D2093" t="inlineStr">
        <is>
          <t>R251127-squareyards</t>
        </is>
      </c>
      <c r="E2093" t="inlineStr">
        <is>
          <t>Square Yards</t>
        </is>
      </c>
      <c r="F2093" s="17" t="n">
        <v>45987</v>
      </c>
      <c r="G2093" t="inlineStr">
        <is>
          <t>entrackr: South Korea–based Smile Gate Group | inc42: Smilegate VC</t>
        </is>
      </c>
    </row>
    <row r="2094">
      <c r="A2094" t="inlineStr">
        <is>
          <t>C17</t>
        </is>
      </c>
      <c r="B2094" t="inlineStr">
        <is>
          <t>Lead investor disagreement</t>
        </is>
      </c>
      <c r="C2094" t="inlineStr">
        <is>
          <t>warning</t>
        </is>
      </c>
      <c r="D2094" t="inlineStr">
        <is>
          <t>R251210-smartjoules</t>
        </is>
      </c>
      <c r="E2094" t="inlineStr">
        <is>
          <t>Smart Joules</t>
        </is>
      </c>
      <c r="F2094" s="17" t="n">
        <v>46001</v>
      </c>
      <c r="G2094" t="inlineStr">
        <is>
          <t>entrackr: Neev II Fund | inc42: SBI Ventures</t>
        </is>
      </c>
    </row>
    <row r="2095">
      <c r="A2095" t="inlineStr">
        <is>
          <t>C17</t>
        </is>
      </c>
      <c r="B2095" t="inlineStr">
        <is>
          <t>Lead investor disagreement</t>
        </is>
      </c>
      <c r="C2095" t="inlineStr">
        <is>
          <t>warning</t>
        </is>
      </c>
      <c r="D2095" t="inlineStr">
        <is>
          <t>R251210-superbryn</t>
        </is>
      </c>
      <c r="E2095" t="inlineStr">
        <is>
          <t>SuperBryn</t>
        </is>
      </c>
      <c r="F2095" s="17" t="n">
        <v>46001</v>
      </c>
      <c r="G2095" t="inlineStr">
        <is>
          <t>entrackr: CXXO initiative | et: CXXO initiative | inc42: Kalaari Capital</t>
        </is>
      </c>
    </row>
    <row r="2096">
      <c r="A2096" t="inlineStr">
        <is>
          <t>C17</t>
        </is>
      </c>
      <c r="B2096" t="inlineStr">
        <is>
          <t>Lead investor disagreement</t>
        </is>
      </c>
      <c r="C2096" t="inlineStr">
        <is>
          <t>warning</t>
        </is>
      </c>
      <c r="D2096" t="inlineStr">
        <is>
          <t>R251211-toffeecoffeero</t>
        </is>
      </c>
      <c r="E2096" t="inlineStr">
        <is>
          <t>Toffee Coffee Roasters</t>
        </is>
      </c>
      <c r="F2096" s="17" t="n">
        <v>46002</v>
      </c>
      <c r="G2096" t="inlineStr">
        <is>
          <t>entrackr: IPV, Abhijit Vemuganti, Invesst | inc42: Inflection Point Ventures</t>
        </is>
      </c>
    </row>
    <row r="2097">
      <c r="A2097" t="inlineStr">
        <is>
          <t>C17</t>
        </is>
      </c>
      <c r="B2097" t="inlineStr">
        <is>
          <t>Lead investor disagreement</t>
        </is>
      </c>
      <c r="C2097" t="inlineStr">
        <is>
          <t>warning</t>
        </is>
      </c>
      <c r="D2097" t="inlineStr">
        <is>
          <t>R251218-magma</t>
        </is>
      </c>
      <c r="E2097" t="inlineStr">
        <is>
          <t>Magma</t>
        </is>
      </c>
      <c r="F2097" s="17" t="n">
        <v>46009</v>
      </c>
      <c r="G2097" t="inlineStr">
        <is>
          <t>et: GVFL | inc42: Rainmatter</t>
        </is>
      </c>
    </row>
    <row r="2098">
      <c r="A2098" t="inlineStr">
        <is>
          <t>C17</t>
        </is>
      </c>
      <c r="B2098" t="inlineStr">
        <is>
          <t>Lead investor disagreement</t>
        </is>
      </c>
      <c r="C2098" t="inlineStr">
        <is>
          <t>warning</t>
        </is>
      </c>
      <c r="D2098" t="inlineStr">
        <is>
          <t>R260114-wintwealth</t>
        </is>
      </c>
      <c r="E2098" t="inlineStr">
        <is>
          <t>Wint Wealth</t>
        </is>
      </c>
      <c r="F2098" s="17" t="n">
        <v>46036</v>
      </c>
      <c r="G2098" t="inlineStr">
        <is>
          <t>entrackr: Vertex Ventures Southeast Asia &amp; India | et: Vertex Ventures SEA &amp;amp | inc42: Vertex Ventures SEA &amp; India</t>
        </is>
      </c>
    </row>
    <row r="2099">
      <c r="A2099" t="inlineStr">
        <is>
          <t>C17</t>
        </is>
      </c>
      <c r="B2099" t="inlineStr">
        <is>
          <t>Lead investor disagreement</t>
        </is>
      </c>
      <c r="C2099" t="inlineStr">
        <is>
          <t>warning</t>
        </is>
      </c>
      <c r="D2099" t="inlineStr">
        <is>
          <t>R260212-indigridtechno</t>
        </is>
      </c>
      <c r="E2099" t="inlineStr">
        <is>
          <t>Indigrid</t>
        </is>
      </c>
      <c r="F2099" s="17" t="n">
        <v>46065</v>
      </c>
      <c r="G2099" t="inlineStr">
        <is>
          <t>entrackr: Cactus Partners | inc42: Valour Capital</t>
        </is>
      </c>
    </row>
    <row r="2100">
      <c r="A2100" t="inlineStr">
        <is>
          <t>C17</t>
        </is>
      </c>
      <c r="B2100" t="inlineStr">
        <is>
          <t>Lead investor disagreement</t>
        </is>
      </c>
      <c r="C2100" t="inlineStr">
        <is>
          <t>warning</t>
        </is>
      </c>
      <c r="D2100" t="inlineStr">
        <is>
          <t>R260317-velmenni</t>
        </is>
      </c>
      <c r="E2100" t="inlineStr">
        <is>
          <t>Velmenni</t>
        </is>
      </c>
      <c r="F2100" s="17" t="n">
        <v>46098</v>
      </c>
      <c r="G2100" t="inlineStr">
        <is>
          <t>entrackr: MountTech Growth Fund-Kavachh, Apekso | et: Pi ventures</t>
        </is>
      </c>
    </row>
    <row r="2101">
      <c r="A2101" t="inlineStr">
        <is>
          <t>C17</t>
        </is>
      </c>
      <c r="B2101" t="inlineStr">
        <is>
          <t>Lead investor disagreement</t>
        </is>
      </c>
      <c r="C2101" t="inlineStr">
        <is>
          <t>warning</t>
        </is>
      </c>
      <c r="D2101" t="inlineStr">
        <is>
          <t>R260428-mojrotechnolog</t>
        </is>
      </c>
      <c r="E2101" t="inlineStr">
        <is>
          <t>Mojro</t>
        </is>
      </c>
      <c r="F2101" s="17" t="n">
        <v>46140</v>
      </c>
      <c r="G2101" t="inlineStr">
        <is>
          <t>entrackr: IAN Alpha Fund | inc42: Dallas Venture Capital</t>
        </is>
      </c>
    </row>
    <row r="2102">
      <c r="A2102" t="inlineStr">
        <is>
          <t>C17</t>
        </is>
      </c>
      <c r="B2102" t="inlineStr">
        <is>
          <t>Lead investor disagreement</t>
        </is>
      </c>
      <c r="C2102" t="inlineStr">
        <is>
          <t>warning</t>
        </is>
      </c>
      <c r="D2102" t="inlineStr">
        <is>
          <t>R260429-sportvot</t>
        </is>
      </c>
      <c r="E2102" t="inlineStr">
        <is>
          <t>SportVot</t>
        </is>
      </c>
      <c r="F2102" s="17" t="n">
        <v>46141</v>
      </c>
      <c r="G2102" t="inlineStr">
        <is>
          <t>entrackr: IAN Alpha Fund, Venture, Capital A, Succeed Innovation, Garima Vohra, Gaurav Chanana | et: IAN Alpha Fund | inc42: Indian Angel Network</t>
        </is>
      </c>
    </row>
    <row r="2103">
      <c r="A2103" t="inlineStr">
        <is>
          <t>C17</t>
        </is>
      </c>
      <c r="B2103" t="inlineStr">
        <is>
          <t>Lead investor disagreement</t>
        </is>
      </c>
      <c r="C2103" t="inlineStr">
        <is>
          <t>warning</t>
        </is>
      </c>
      <c r="D2103" t="inlineStr">
        <is>
          <t>R260520-anscerrobotics</t>
        </is>
      </c>
      <c r="E2103" t="inlineStr">
        <is>
          <t>Anscer Robotics</t>
        </is>
      </c>
      <c r="F2103" s="17" t="n">
        <v>46162</v>
      </c>
      <c r="G2103" t="inlineStr">
        <is>
          <t>entrackr: IAN Alpha Fund | inc42: India Angel Network</t>
        </is>
      </c>
    </row>
    <row r="2104">
      <c r="A2104" t="inlineStr">
        <is>
          <t>C17</t>
        </is>
      </c>
      <c r="B2104" t="inlineStr">
        <is>
          <t>Lead investor disagreement</t>
        </is>
      </c>
      <c r="C2104" t="inlineStr">
        <is>
          <t>warning</t>
        </is>
      </c>
      <c r="D2104" t="inlineStr">
        <is>
          <t>R260611-biodimension</t>
        </is>
      </c>
      <c r="E2104" t="inlineStr">
        <is>
          <t>Biodimension</t>
        </is>
      </c>
      <c r="F2104" s="17" t="n">
        <v>46184</v>
      </c>
      <c r="G2104" t="inlineStr">
        <is>
          <t>entrackr: IAN Angel Fund | inc42: Indian Angel Network</t>
        </is>
      </c>
    </row>
    <row r="2105">
      <c r="A2105" t="inlineStr">
        <is>
          <t>C17</t>
        </is>
      </c>
      <c r="B2105" t="inlineStr">
        <is>
          <t>Lead investor disagreement</t>
        </is>
      </c>
      <c r="C2105" t="inlineStr">
        <is>
          <t>warning</t>
        </is>
      </c>
      <c r="D2105" t="inlineStr">
        <is>
          <t>R260616-solarsquare</t>
        </is>
      </c>
      <c r="E2105" t="inlineStr">
        <is>
          <t>SolarSquare</t>
        </is>
      </c>
      <c r="F2105" s="17" t="n">
        <v>46189</v>
      </c>
      <c r="G2105" t="inlineStr">
        <is>
          <t>entrackr: B Capital | et: B Capital | inc42: Lightspeed</t>
        </is>
      </c>
    </row>
    <row r="2106">
      <c r="A2106" t="inlineStr">
        <is>
          <t>C17</t>
        </is>
      </c>
      <c r="B2106" t="inlineStr">
        <is>
          <t>Lead investor disagreement</t>
        </is>
      </c>
      <c r="C2106" t="inlineStr">
        <is>
          <t>warning</t>
        </is>
      </c>
      <c r="D2106" t="inlineStr">
        <is>
          <t>R260710-biofuelcircle</t>
        </is>
      </c>
      <c r="E2106" t="inlineStr">
        <is>
          <t>BiofuelCircle</t>
        </is>
      </c>
      <c r="F2106" s="17" t="n">
        <v>46213</v>
      </c>
      <c r="G2106" t="inlineStr">
        <is>
          <t>entrackr: Pooja Unichem LLP | inc42: Spectrum Impact</t>
        </is>
      </c>
    </row>
    <row r="2107">
      <c r="A2107" t="inlineStr">
        <is>
          <t>C18</t>
        </is>
      </c>
      <c r="B2107" t="inlineStr">
        <is>
          <t>Stage disagreement</t>
        </is>
      </c>
      <c r="C2107" t="inlineStr">
        <is>
          <t>warning</t>
        </is>
      </c>
      <c r="D2107" t="inlineStr">
        <is>
          <t>R250116-fambo</t>
        </is>
      </c>
      <c r="E2107" t="inlineStr">
        <is>
          <t>Fambo</t>
        </is>
      </c>
      <c r="F2107" s="17" t="n">
        <v>45673</v>
      </c>
      <c r="G2107" t="inlineStr">
        <is>
          <t>entrackr: Pre-Series A; inc42: Seed</t>
        </is>
      </c>
    </row>
    <row r="2108">
      <c r="A2108" t="inlineStr">
        <is>
          <t>C18</t>
        </is>
      </c>
      <c r="B2108" t="inlineStr">
        <is>
          <t>Stage disagreement</t>
        </is>
      </c>
      <c r="C2108" t="inlineStr">
        <is>
          <t>warning</t>
        </is>
      </c>
      <c r="D2108" t="inlineStr">
        <is>
          <t>R250123-inframarket</t>
        </is>
      </c>
      <c r="E2108" t="inlineStr">
        <is>
          <t>Infra.Market</t>
        </is>
      </c>
      <c r="F2108" s="17" t="n">
        <v>45680</v>
      </c>
      <c r="G2108" t="inlineStr">
        <is>
          <t>et: Pre-IPO; inc42: Series F</t>
        </is>
      </c>
    </row>
    <row r="2109">
      <c r="A2109" t="inlineStr">
        <is>
          <t>C18</t>
        </is>
      </c>
      <c r="B2109" t="inlineStr">
        <is>
          <t>Stage disagreement</t>
        </is>
      </c>
      <c r="C2109" t="inlineStr">
        <is>
          <t>warning</t>
        </is>
      </c>
      <c r="D2109" t="inlineStr">
        <is>
          <t>R250123-svastek</t>
        </is>
      </c>
      <c r="E2109" t="inlineStr">
        <is>
          <t>SVASTEK</t>
        </is>
      </c>
      <c r="F2109" s="17" t="n">
        <v>45680</v>
      </c>
      <c r="G2109" t="inlineStr">
        <is>
          <t>entrackr: Seed; inc42: Pre-Seed</t>
        </is>
      </c>
    </row>
    <row r="2110">
      <c r="A2110" t="inlineStr">
        <is>
          <t>C18</t>
        </is>
      </c>
      <c r="B2110" t="inlineStr">
        <is>
          <t>Stage disagreement</t>
        </is>
      </c>
      <c r="C2110" t="inlineStr">
        <is>
          <t>warning</t>
        </is>
      </c>
      <c r="D2110" t="inlineStr">
        <is>
          <t>R250226-tripletapgames</t>
        </is>
      </c>
      <c r="E2110" t="inlineStr">
        <is>
          <t>Triple Tap Games</t>
        </is>
      </c>
      <c r="F2110" s="17" t="n">
        <v>45714</v>
      </c>
      <c r="G2110" t="inlineStr">
        <is>
          <t>entrackr: Pre-Seed; inc42: Seed</t>
        </is>
      </c>
    </row>
    <row r="2111">
      <c r="A2111" t="inlineStr">
        <is>
          <t>C18</t>
        </is>
      </c>
      <c r="B2111" t="inlineStr">
        <is>
          <t>Stage disagreement</t>
        </is>
      </c>
      <c r="C2111" t="inlineStr">
        <is>
          <t>warning</t>
        </is>
      </c>
      <c r="D2111" t="inlineStr">
        <is>
          <t>R250319-harvestedrobot</t>
        </is>
      </c>
      <c r="E2111" t="inlineStr">
        <is>
          <t>Harvested Robotics</t>
        </is>
      </c>
      <c r="F2111" s="17" t="n">
        <v>45735</v>
      </c>
      <c r="G2111" t="inlineStr">
        <is>
          <t>entrackr: Seed; inc42: Pre-Seed</t>
        </is>
      </c>
    </row>
    <row r="2112">
      <c r="A2112" t="inlineStr">
        <is>
          <t>C18</t>
        </is>
      </c>
      <c r="B2112" t="inlineStr">
        <is>
          <t>Stage disagreement</t>
        </is>
      </c>
      <c r="C2112" t="inlineStr">
        <is>
          <t>warning</t>
        </is>
      </c>
      <c r="D2112" t="inlineStr">
        <is>
          <t>R250326-antithesis</t>
        </is>
      </c>
      <c r="E2112" t="inlineStr">
        <is>
          <t>Antithesis</t>
        </is>
      </c>
      <c r="F2112" s="17" t="n">
        <v>45742</v>
      </c>
      <c r="G2112" t="inlineStr">
        <is>
          <t>entrackr: Pre-Seed; inc42: Seed</t>
        </is>
      </c>
    </row>
    <row r="2113">
      <c r="A2113" t="inlineStr">
        <is>
          <t>C18</t>
        </is>
      </c>
      <c r="B2113" t="inlineStr">
        <is>
          <t>Stage disagreement</t>
        </is>
      </c>
      <c r="C2113" t="inlineStr">
        <is>
          <t>warning</t>
        </is>
      </c>
      <c r="D2113" t="inlineStr">
        <is>
          <t>R250403-tonboimaging</t>
        </is>
      </c>
      <c r="E2113" t="inlineStr">
        <is>
          <t>Tonbo Imaging</t>
        </is>
      </c>
      <c r="F2113" s="17" t="n">
        <v>45750</v>
      </c>
      <c r="G2113" t="inlineStr">
        <is>
          <t>entrackr: Pre-IPO; inc42: Series D</t>
        </is>
      </c>
    </row>
    <row r="2114">
      <c r="A2114" t="inlineStr">
        <is>
          <t>C18</t>
        </is>
      </c>
      <c r="B2114" t="inlineStr">
        <is>
          <t>Stage disagreement</t>
        </is>
      </c>
      <c r="C2114" t="inlineStr">
        <is>
          <t>warning</t>
        </is>
      </c>
      <c r="D2114" t="inlineStr">
        <is>
          <t>R250422-devassure</t>
        </is>
      </c>
      <c r="E2114" t="inlineStr">
        <is>
          <t>DevAssure</t>
        </is>
      </c>
      <c r="F2114" s="17" t="n">
        <v>45769</v>
      </c>
      <c r="G2114" t="inlineStr">
        <is>
          <t>entrackr: Seed; inc42: Pre-Seed</t>
        </is>
      </c>
    </row>
    <row r="2115">
      <c r="A2115" t="inlineStr">
        <is>
          <t>C18</t>
        </is>
      </c>
      <c r="B2115" t="inlineStr">
        <is>
          <t>Stage disagreement</t>
        </is>
      </c>
      <c r="C2115" t="inlineStr">
        <is>
          <t>warning</t>
        </is>
      </c>
      <c r="D2115" t="inlineStr">
        <is>
          <t>R250430-satleolabs</t>
        </is>
      </c>
      <c r="E2115" t="inlineStr">
        <is>
          <t>SatLeo Labs</t>
        </is>
      </c>
      <c r="F2115" s="17" t="n">
        <v>45777</v>
      </c>
      <c r="G2115" t="inlineStr">
        <is>
          <t>entrackr: Pre-Seed; inc42: Pre-Series A</t>
        </is>
      </c>
    </row>
    <row r="2116">
      <c r="A2116" t="inlineStr">
        <is>
          <t>C18</t>
        </is>
      </c>
      <c r="B2116" t="inlineStr">
        <is>
          <t>Stage disagreement</t>
        </is>
      </c>
      <c r="C2116" t="inlineStr">
        <is>
          <t>warning</t>
        </is>
      </c>
      <c r="D2116" t="inlineStr">
        <is>
          <t>R250707-wiselife</t>
        </is>
      </c>
      <c r="E2116" t="inlineStr">
        <is>
          <t>WiseLife</t>
        </is>
      </c>
      <c r="F2116" s="17" t="n">
        <v>45845</v>
      </c>
      <c r="G2116" t="inlineStr">
        <is>
          <t>entrackr: Pre-Series A; inc42: Seed</t>
        </is>
      </c>
    </row>
    <row r="2117">
      <c r="A2117" t="inlineStr">
        <is>
          <t>C18</t>
        </is>
      </c>
      <c r="B2117" t="inlineStr">
        <is>
          <t>Stage disagreement</t>
        </is>
      </c>
      <c r="C2117" t="inlineStr">
        <is>
          <t>warning</t>
        </is>
      </c>
      <c r="D2117" t="inlineStr">
        <is>
          <t>R250806-supergaming</t>
        </is>
      </c>
      <c r="E2117" t="inlineStr">
        <is>
          <t>SuperGaming</t>
        </is>
      </c>
      <c r="F2117" s="17" t="n">
        <v>45875</v>
      </c>
      <c r="G2117" t="inlineStr">
        <is>
          <t>entrackr: Series B; inc42: Series A</t>
        </is>
      </c>
    </row>
    <row r="2118">
      <c r="A2118" t="inlineStr">
        <is>
          <t>C18</t>
        </is>
      </c>
      <c r="B2118" t="inlineStr">
        <is>
          <t>Stage disagreement</t>
        </is>
      </c>
      <c r="C2118" t="inlineStr">
        <is>
          <t>warning</t>
        </is>
      </c>
      <c r="D2118" t="inlineStr">
        <is>
          <t>R250909-prowrrap</t>
        </is>
      </c>
      <c r="E2118" t="inlineStr">
        <is>
          <t>Prowrrap</t>
        </is>
      </c>
      <c r="F2118" s="17" t="n">
        <v>45909</v>
      </c>
      <c r="G2118" t="inlineStr">
        <is>
          <t>entrackr: Seed; inc42: Pre-Series A</t>
        </is>
      </c>
    </row>
    <row r="2119">
      <c r="A2119" t="inlineStr">
        <is>
          <t>C18</t>
        </is>
      </c>
      <c r="B2119" t="inlineStr">
        <is>
          <t>Stage disagreement</t>
        </is>
      </c>
      <c r="C2119" t="inlineStr">
        <is>
          <t>warning</t>
        </is>
      </c>
      <c r="D2119" t="inlineStr">
        <is>
          <t>R250911-biokraft</t>
        </is>
      </c>
      <c r="E2119" t="inlineStr">
        <is>
          <t>Biokraft Foods</t>
        </is>
      </c>
      <c r="F2119" s="17" t="n">
        <v>45911</v>
      </c>
      <c r="G2119" t="inlineStr">
        <is>
          <t>entrackr: Pre-Seed; inc42: Seed</t>
        </is>
      </c>
    </row>
    <row r="2120">
      <c r="A2120" t="inlineStr">
        <is>
          <t>C18</t>
        </is>
      </c>
      <c r="B2120" t="inlineStr">
        <is>
          <t>Stage disagreement</t>
        </is>
      </c>
      <c r="C2120" t="inlineStr">
        <is>
          <t>warning</t>
        </is>
      </c>
      <c r="D2120" t="inlineStr">
        <is>
          <t>R250923-paarautonomy</t>
        </is>
      </c>
      <c r="E2120" t="inlineStr">
        <is>
          <t>Paar Autonomy</t>
        </is>
      </c>
      <c r="F2120" s="17" t="n">
        <v>45923</v>
      </c>
      <c r="G2120" t="inlineStr">
        <is>
          <t>entrackr: Pre-Seed; inc42: Seed</t>
        </is>
      </c>
    </row>
    <row r="2121">
      <c r="A2121" t="inlineStr">
        <is>
          <t>C18</t>
        </is>
      </c>
      <c r="B2121" t="inlineStr">
        <is>
          <t>Stage disagreement</t>
        </is>
      </c>
      <c r="C2121" t="inlineStr">
        <is>
          <t>warning</t>
        </is>
      </c>
      <c r="D2121" t="inlineStr">
        <is>
          <t>R250925-kisankonnect</t>
        </is>
      </c>
      <c r="E2121" t="inlineStr">
        <is>
          <t>KisanKonnect</t>
        </is>
      </c>
      <c r="F2121" s="17" t="n">
        <v>45925</v>
      </c>
      <c r="G2121" t="inlineStr">
        <is>
          <t>entrackr: Pre-Series B; inc42: Pre-Series A</t>
        </is>
      </c>
    </row>
    <row r="2122">
      <c r="A2122" t="inlineStr">
        <is>
          <t>C18</t>
        </is>
      </c>
      <c r="B2122" t="inlineStr">
        <is>
          <t>Stage disagreement</t>
        </is>
      </c>
      <c r="C2122" t="inlineStr">
        <is>
          <t>warning</t>
        </is>
      </c>
      <c r="D2122" t="inlineStr">
        <is>
          <t>R251014-houseeazy</t>
        </is>
      </c>
      <c r="E2122" t="inlineStr">
        <is>
          <t>HouseEazy</t>
        </is>
      </c>
      <c r="F2122" s="17" t="n">
        <v>45944</v>
      </c>
      <c r="G2122" t="inlineStr">
        <is>
          <t>entrackr: Series B; et: Debt; inc42: Series B</t>
        </is>
      </c>
    </row>
    <row r="2123">
      <c r="A2123" t="inlineStr">
        <is>
          <t>C18</t>
        </is>
      </c>
      <c r="B2123" t="inlineStr">
        <is>
          <t>Stage disagreement</t>
        </is>
      </c>
      <c r="C2123" t="inlineStr">
        <is>
          <t>warning</t>
        </is>
      </c>
      <c r="D2123" t="inlineStr">
        <is>
          <t>R251016-kukufm</t>
        </is>
      </c>
      <c r="E2123" t="inlineStr">
        <is>
          <t>Kuku FM</t>
        </is>
      </c>
      <c r="F2123" s="17" t="n">
        <v>45946</v>
      </c>
      <c r="G2123" t="inlineStr">
        <is>
          <t>entrackr: Series D; inc42: Series C</t>
        </is>
      </c>
    </row>
    <row r="2124">
      <c r="A2124" t="inlineStr">
        <is>
          <t>C18</t>
        </is>
      </c>
      <c r="B2124" t="inlineStr">
        <is>
          <t>Stage disagreement</t>
        </is>
      </c>
      <c r="C2124" t="inlineStr">
        <is>
          <t>warning</t>
        </is>
      </c>
      <c r="D2124" t="inlineStr">
        <is>
          <t>R251129-iztri</t>
        </is>
      </c>
      <c r="E2124" t="inlineStr">
        <is>
          <t>Iztri</t>
        </is>
      </c>
      <c r="F2124" s="17" t="n">
        <v>45990</v>
      </c>
      <c r="G2124" t="inlineStr">
        <is>
          <t>entrackr: Pre-Seed; inc42: Seed</t>
        </is>
      </c>
    </row>
    <row r="2125">
      <c r="A2125" t="inlineStr">
        <is>
          <t>C18</t>
        </is>
      </c>
      <c r="B2125" t="inlineStr">
        <is>
          <t>Stage disagreement</t>
        </is>
      </c>
      <c r="C2125" t="inlineStr">
        <is>
          <t>warning</t>
        </is>
      </c>
      <c r="D2125" t="inlineStr">
        <is>
          <t>R251202-modulushousing</t>
        </is>
      </c>
      <c r="E2125" t="inlineStr">
        <is>
          <t>Modulus Housing</t>
        </is>
      </c>
      <c r="F2125" s="17" t="n">
        <v>45993</v>
      </c>
      <c r="G2125" t="inlineStr">
        <is>
          <t>entrackr: Series A; inc42: Seed</t>
        </is>
      </c>
    </row>
    <row r="2126">
      <c r="A2126" t="inlineStr">
        <is>
          <t>C18</t>
        </is>
      </c>
      <c r="B2126" t="inlineStr">
        <is>
          <t>Stage disagreement</t>
        </is>
      </c>
      <c r="C2126" t="inlineStr">
        <is>
          <t>warning</t>
        </is>
      </c>
      <c r="D2126" t="inlineStr">
        <is>
          <t>R260114-handypanda</t>
        </is>
      </c>
      <c r="E2126" t="inlineStr">
        <is>
          <t>HandyPanda</t>
        </is>
      </c>
      <c r="F2126" s="17" t="n">
        <v>46036</v>
      </c>
      <c r="G2126" t="inlineStr">
        <is>
          <t>entrackr: Pre-Seed; inc42: Seed</t>
        </is>
      </c>
    </row>
    <row r="2127">
      <c r="A2127" t="inlineStr">
        <is>
          <t>C18</t>
        </is>
      </c>
      <c r="B2127" t="inlineStr">
        <is>
          <t>Stage disagreement</t>
        </is>
      </c>
      <c r="C2127" t="inlineStr">
        <is>
          <t>warning</t>
        </is>
      </c>
      <c r="D2127" t="inlineStr">
        <is>
          <t>R260120-fireai</t>
        </is>
      </c>
      <c r="E2127" t="inlineStr">
        <is>
          <t>FireAI</t>
        </is>
      </c>
      <c r="F2127" s="17" t="n">
        <v>46042</v>
      </c>
      <c r="G2127" t="inlineStr">
        <is>
          <t>entrackr: Pre-Seed; inc42: Seed</t>
        </is>
      </c>
    </row>
    <row r="2128">
      <c r="A2128" t="inlineStr">
        <is>
          <t>C18</t>
        </is>
      </c>
      <c r="B2128" t="inlineStr">
        <is>
          <t>Stage disagreement</t>
        </is>
      </c>
      <c r="C2128" t="inlineStr">
        <is>
          <t>warning</t>
        </is>
      </c>
      <c r="D2128" t="inlineStr">
        <is>
          <t>R260209-olyv</t>
        </is>
      </c>
      <c r="E2128" t="inlineStr">
        <is>
          <t>Olyv</t>
        </is>
      </c>
      <c r="F2128" s="17" t="n">
        <v>46062</v>
      </c>
      <c r="G2128" t="inlineStr">
        <is>
          <t>entrackr: Series C; inc42: Series B</t>
        </is>
      </c>
    </row>
    <row r="2129">
      <c r="A2129" t="inlineStr">
        <is>
          <t>C18</t>
        </is>
      </c>
      <c r="B2129" t="inlineStr">
        <is>
          <t>Stage disagreement</t>
        </is>
      </c>
      <c r="C2129" t="inlineStr">
        <is>
          <t>warning</t>
        </is>
      </c>
      <c r="D2129" t="inlineStr">
        <is>
          <t>R260324-swish</t>
        </is>
      </c>
      <c r="E2129" t="inlineStr">
        <is>
          <t>Swish</t>
        </is>
      </c>
      <c r="F2129" s="17" t="n">
        <v>46105</v>
      </c>
      <c r="G2129" t="inlineStr">
        <is>
          <t>entrackr: Debt; inc42: Series B</t>
        </is>
      </c>
    </row>
    <row r="2130">
      <c r="A2130" t="inlineStr">
        <is>
          <t>C18</t>
        </is>
      </c>
      <c r="B2130" t="inlineStr">
        <is>
          <t>Stage disagreement</t>
        </is>
      </c>
      <c r="C2130" t="inlineStr">
        <is>
          <t>warning</t>
        </is>
      </c>
      <c r="D2130" t="inlineStr">
        <is>
          <t>R260407-helium</t>
        </is>
      </c>
      <c r="E2130" t="inlineStr">
        <is>
          <t>Helium</t>
        </is>
      </c>
      <c r="F2130" s="17" t="n">
        <v>46119</v>
      </c>
      <c r="G2130" t="inlineStr">
        <is>
          <t>inc42: Seed; entrackr: Angel</t>
        </is>
      </c>
    </row>
    <row r="2131">
      <c r="A2131" t="inlineStr">
        <is>
          <t>C18</t>
        </is>
      </c>
      <c r="B2131" t="inlineStr">
        <is>
          <t>Stage disagreement</t>
        </is>
      </c>
      <c r="C2131" t="inlineStr">
        <is>
          <t>warning</t>
        </is>
      </c>
      <c r="D2131" t="inlineStr">
        <is>
          <t>R260421-acaitheory</t>
        </is>
      </c>
      <c r="E2131" t="inlineStr">
        <is>
          <t>Açaí Theory</t>
        </is>
      </c>
      <c r="F2131" s="17" t="n">
        <v>46133</v>
      </c>
      <c r="G2131" t="inlineStr">
        <is>
          <t>entrackr: Pre-Seed; inc42: Seed</t>
        </is>
      </c>
    </row>
    <row r="2132">
      <c r="A2132" t="inlineStr">
        <is>
          <t>C18</t>
        </is>
      </c>
      <c r="B2132" t="inlineStr">
        <is>
          <t>Stage disagreement</t>
        </is>
      </c>
      <c r="C2132" t="inlineStr">
        <is>
          <t>warning</t>
        </is>
      </c>
      <c r="D2132" t="inlineStr">
        <is>
          <t>R260504-aurm</t>
        </is>
      </c>
      <c r="E2132" t="inlineStr">
        <is>
          <t>Aurm</t>
        </is>
      </c>
      <c r="F2132" s="17" t="n">
        <v>46146</v>
      </c>
      <c r="G2132" t="inlineStr">
        <is>
          <t>entrackr: Seed; inc42: Series A</t>
        </is>
      </c>
    </row>
    <row r="2133">
      <c r="A2133" t="inlineStr">
        <is>
          <t>C18</t>
        </is>
      </c>
      <c r="B2133" t="inlineStr">
        <is>
          <t>Stage disagreement</t>
        </is>
      </c>
      <c r="C2133" t="inlineStr">
        <is>
          <t>warning</t>
        </is>
      </c>
      <c r="D2133" t="inlineStr">
        <is>
          <t>R260603-fraganote</t>
        </is>
      </c>
      <c r="E2133" t="inlineStr">
        <is>
          <t>Fraganote</t>
        </is>
      </c>
      <c r="F2133" s="17" t="n">
        <v>46176</v>
      </c>
      <c r="G2133" t="inlineStr">
        <is>
          <t>entrackr: Pre-Series A; inc42: Series A</t>
        </is>
      </c>
    </row>
    <row r="2134">
      <c r="A2134" t="inlineStr">
        <is>
          <t>C18</t>
        </is>
      </c>
      <c r="B2134" t="inlineStr">
        <is>
          <t>Stage disagreement</t>
        </is>
      </c>
      <c r="C2134" t="inlineStr">
        <is>
          <t>warning</t>
        </is>
      </c>
      <c r="D2134" t="inlineStr">
        <is>
          <t>R260613-zumutorbiologi</t>
        </is>
      </c>
      <c r="E2134" t="inlineStr">
        <is>
          <t>Zumutor Biologics</t>
        </is>
      </c>
      <c r="F2134" s="17" t="n">
        <v>46186</v>
      </c>
      <c r="G2134" t="inlineStr">
        <is>
          <t>inc42: Series B; entrackr: Pre-Series B</t>
        </is>
      </c>
    </row>
    <row r="2135">
      <c r="A2135" t="inlineStr">
        <is>
          <t>C18</t>
        </is>
      </c>
      <c r="B2135" t="inlineStr">
        <is>
          <t>Stage disagreement</t>
        </is>
      </c>
      <c r="C2135" t="inlineStr">
        <is>
          <t>warning</t>
        </is>
      </c>
      <c r="D2135" t="inlineStr">
        <is>
          <t>R260630-kapturecx</t>
        </is>
      </c>
      <c r="E2135" t="inlineStr">
        <is>
          <t>Kapture CX</t>
        </is>
      </c>
      <c r="F2135" s="17" t="n">
        <v>46203</v>
      </c>
      <c r="G2135" t="inlineStr">
        <is>
          <t>entrackr: Pre-Series B; inc42: Series B</t>
        </is>
      </c>
    </row>
    <row r="2136">
      <c r="A2136" t="inlineStr">
        <is>
          <t>C18</t>
        </is>
      </c>
      <c r="B2136" t="inlineStr">
        <is>
          <t>Stage disagreement</t>
        </is>
      </c>
      <c r="C2136" t="inlineStr">
        <is>
          <t>warning</t>
        </is>
      </c>
      <c r="D2136" t="inlineStr">
        <is>
          <t>R260723-businessnext</t>
        </is>
      </c>
      <c r="E2136" t="inlineStr">
        <is>
          <t>BUSINESSNEXT</t>
        </is>
      </c>
      <c r="F2136" s="17" t="n">
        <v>46226</v>
      </c>
      <c r="G2136" t="inlineStr">
        <is>
          <t>entrackr: Series B; inc42: Series C</t>
        </is>
      </c>
    </row>
    <row r="2137">
      <c r="A2137" t="inlineStr">
        <is>
          <t>C18</t>
        </is>
      </c>
      <c r="B2137" t="inlineStr">
        <is>
          <t>Stage disagreement</t>
        </is>
      </c>
      <c r="C2137" t="inlineStr">
        <is>
          <t>warning</t>
        </is>
      </c>
      <c r="D2137" t="inlineStr">
        <is>
          <t>R260818-rezolv</t>
        </is>
      </c>
      <c r="E2137" t="inlineStr">
        <is>
          <t>Rezolv</t>
        </is>
      </c>
      <c r="F2137" s="17" t="n">
        <v>46252</v>
      </c>
      <c r="G2137" t="inlineStr">
        <is>
          <t>entrackr: Series A; et: Debt; inc42: Series A</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26" customWidth="1" min="1" max="1"/>
    <col width="90" customWidth="1" min="2" max="2"/>
    <col width="80" customWidth="1" min="3" max="3"/>
  </cols>
  <sheetData>
    <row r="1">
      <c r="A1" s="23" t="inlineStr">
        <is>
          <t>Source of truth, field by field</t>
        </is>
      </c>
    </row>
    <row r="2">
      <c r="A2" s="2" t="inlineStr">
        <is>
          <t>When sources disagree, these rules decide what goes on the Rounds sheet. The disagreement is still flagged.</t>
        </is>
      </c>
    </row>
    <row r="4">
      <c r="A4" t="inlineStr">
        <is>
          <t>Field</t>
        </is>
      </c>
      <c r="B4" t="inlineStr">
        <is>
          <t>Source-of-truth rule</t>
        </is>
      </c>
      <c r="C4" t="inlineStr">
        <is>
          <t>Why</t>
        </is>
      </c>
    </row>
    <row r="5">
      <c r="A5" s="32" t="inlineStr">
        <is>
          <t>Company</t>
        </is>
      </c>
      <c r="B5" s="32" t="inlineStr">
        <is>
          <t>The spelling most reports agree on, compared without case or punctuation. Ties go to the Inc42 deal table, then Entrackr, then ET.</t>
        </is>
      </c>
      <c r="C5" s="32" t="inlineStr">
        <is>
          <t>Typos differ by source; the spelling several sources share is the safest.</t>
        </is>
      </c>
    </row>
    <row r="6">
      <c r="A6" s="32" t="inlineStr">
        <is>
          <t>Announced</t>
        </is>
      </c>
      <c r="B6" s="32" t="inlineStr">
        <is>
          <t>The earliest publication date among the reports of the round.</t>
        </is>
      </c>
      <c r="C6" s="32" t="inlineStr">
        <is>
          <t>Later reports are follow-ups. The first report is closest to the announcement.</t>
        </is>
      </c>
    </row>
    <row r="7">
      <c r="A7" s="32" t="inlineStr">
        <is>
          <t>Amount (as reported)</t>
        </is>
      </c>
      <c r="B7" s="32" t="inlineStr">
        <is>
          <t>The first source that states an amount, in this order: Entrackr, Inc42, ET, VCCircle. Every other figure is kept and compared, never averaged.</t>
        </is>
      </c>
      <c r="C7" s="32" t="inlineStr">
        <is>
          <t>Entrackr quotes the announcement currency and usually the dollar equivalent beside it. Inc42 converts everything to dollars. ET often reports a round before its final size is known. VCCircle is a headline only.</t>
        </is>
      </c>
    </row>
    <row r="8">
      <c r="A8" s="32" t="inlineStr">
        <is>
          <t>Amount (USD mn)</t>
        </is>
      </c>
      <c r="B8" s="32" t="inlineStr">
        <is>
          <t>Dollars as stated when the chosen source reports in dollars. Rupee figures are converted at the ECB reference rate for the announcement date.</t>
        </is>
      </c>
      <c r="C8" s="32" t="inlineStr">
        <is>
          <t>One published rate per day makes every conversion reproducible.</t>
        </is>
      </c>
    </row>
    <row r="9">
      <c r="A9" s="32" t="inlineStr">
        <is>
          <t>Amount (INR cr)</t>
        </is>
      </c>
      <c r="B9" s="32" t="inlineStr">
        <is>
          <t>Rupees as stated when the chosen source reports in rupees, otherwise converted at the same rate.</t>
        </is>
      </c>
      <c r="C9" s="32" t="inlineStr">
        <is>
          <t>Kept beside the dollar figure so either can be checked against the source.</t>
        </is>
      </c>
    </row>
    <row r="10">
      <c r="A10" s="32" t="inlineStr">
        <is>
          <t>Stage</t>
        </is>
      </c>
      <c r="B10" s="32" t="inlineStr">
        <is>
          <t>The first source that names a stage: Inc42 table, Entrackr, ET, VCCircle.</t>
        </is>
      </c>
      <c r="C10" s="32" t="inlineStr">
        <is>
          <t>The Inc42 table has a dedicated round-type column. The others are read from prose.</t>
        </is>
      </c>
    </row>
    <row r="11">
      <c r="A11" s="32" t="inlineStr">
        <is>
          <t>Lead investors / Investors</t>
        </is>
      </c>
      <c r="B11" s="32" t="inlineStr">
        <is>
          <t>Every investor named by Inc42, Entrackr or ET, each listed once.</t>
        </is>
      </c>
      <c r="C11" s="32" t="inlineStr">
        <is>
          <t>Sources name different subsets of a syndicate, so the union is the fullest list.</t>
        </is>
      </c>
    </row>
    <row r="12">
      <c r="A12" s="32" t="inlineStr">
        <is>
          <t>Sector</t>
        </is>
      </c>
      <c r="B12" s="32" t="inlineStr">
        <is>
          <t>The Inc42 table's sector, with spelling variants merged. If Inc42 did not list the round: the sector Inc42 gave the same company in another round, else a keyword rule on the article's description of the company. Otherwise Unclassified.</t>
        </is>
      </c>
      <c r="C12" s="32" t="inlineStr">
        <is>
          <t>One taxonomy for all rounds. The basis is recorded per round in rounds.csv.</t>
        </is>
      </c>
    </row>
    <row r="13">
      <c r="A13" s="32" t="inlineStr">
        <is>
          <t>City</t>
        </is>
      </c>
      <c r="B13" s="32" t="inlineStr">
        <is>
          <t>The city an Entrackr or ET article says the company is based in. If no report of this round says so, the city from another round of the same company. Otherwise Unknown.</t>
        </is>
      </c>
      <c r="C13" s="32" t="inlineStr">
        <is>
          <t>Only stated locations are used. Nothing is filled in from memory.</t>
        </is>
      </c>
    </row>
    <row r="14">
      <c r="A14" s="32" t="inlineStr">
        <is>
          <t>Sources</t>
        </is>
      </c>
      <c r="B14" s="32" t="inlineStr">
        <is>
          <t>Every source with a matched report. A VCCircle headline can confirm a round but never creates one.</t>
        </is>
      </c>
      <c r="C14" s="32" t="inlineStr">
        <is>
          <t>A company name read from a URL is too rough to establish a round on its own.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4463"/>
  <sheetViews>
    <sheetView workbookViewId="0">
      <pane ySplit="4" topLeftCell="A5" activePane="bottomLeft" state="frozen"/>
      <selection pane="bottomLeft" activeCell="A1" sqref="A1"/>
    </sheetView>
  </sheetViews>
  <sheetFormatPr baseColWidth="8" defaultRowHeight="15"/>
  <cols>
    <col width="17" customWidth="1" min="1" max="1"/>
    <col width="24" customWidth="1" min="2" max="2"/>
    <col width="20" customWidth="1" min="3" max="3"/>
    <col width="13" customWidth="1" min="4" max="4"/>
    <col width="30" customWidth="1" min="5" max="5"/>
    <col width="18" customWidth="1" min="6" max="6"/>
    <col width="11" customWidth="1" min="7" max="7"/>
    <col width="11" customWidth="1" min="8" max="8"/>
    <col width="14" customWidth="1" min="9" max="9"/>
    <col width="36" customWidth="1" min="10" max="10"/>
    <col width="60" customWidth="1" min="11" max="11"/>
  </cols>
  <sheetData>
    <row r="1">
      <c r="A1" s="23" t="inlineStr">
        <is>
          <t>Source reports matched to a round</t>
        </is>
      </c>
    </row>
    <row r="2">
      <c r="A2" s="2" t="inlineStr">
        <is>
          <t>One row per article, table row or headline. Amounts are exactly as each source gave them.</t>
        </is>
      </c>
    </row>
    <row r="4">
      <c r="A4" t="inlineStr">
        <is>
          <t>Record ID</t>
        </is>
      </c>
      <c r="B4" t="inlineStr">
        <is>
          <t>Round ID</t>
        </is>
      </c>
      <c r="C4" t="inlineStr">
        <is>
          <t>Source</t>
        </is>
      </c>
      <c r="D4" t="inlineStr">
        <is>
          <t>Published</t>
        </is>
      </c>
      <c r="E4" t="inlineStr">
        <is>
          <t>Company in report</t>
        </is>
      </c>
      <c r="F4" t="inlineStr">
        <is>
          <t>Amount as reported</t>
        </is>
      </c>
      <c r="G4" t="inlineStr">
        <is>
          <t>INR cr</t>
        </is>
      </c>
      <c r="H4" t="inlineStr">
        <is>
          <t>USD mn</t>
        </is>
      </c>
      <c r="I4" t="inlineStr">
        <is>
          <t>Stage</t>
        </is>
      </c>
      <c r="J4" t="inlineStr">
        <is>
          <t>Lead investors</t>
        </is>
      </c>
      <c r="K4" t="inlineStr">
        <is>
          <t>Link</t>
        </is>
      </c>
    </row>
    <row r="5">
      <c r="A5" t="inlineStr">
        <is>
          <t>INC-20250104-01</t>
        </is>
      </c>
      <c r="B5" t="inlineStr">
        <is>
          <t>R250102-ayefinance</t>
        </is>
      </c>
      <c r="C5" t="inlineStr">
        <is>
          <t>Inc42</t>
        </is>
      </c>
      <c r="D5" s="17" t="n">
        <v>45659</v>
      </c>
      <c r="E5" t="inlineStr">
        <is>
          <t>Aye Finance</t>
        </is>
      </c>
      <c r="F5" t="inlineStr">
        <is>
          <t>$12.8 Mn</t>
        </is>
      </c>
      <c r="G5" s="19" t="n"/>
      <c r="H5" s="19" t="n">
        <v>12.8</v>
      </c>
      <c r="I5" t="inlineStr">
        <is>
          <t>Debt</t>
        </is>
      </c>
      <c r="J5" t="inlineStr"/>
      <c r="K5" t="inlineStr">
        <is>
          <t>https://inc42.com/buzz/from-aye-finance-to-klassroom-indian-startups-raised-14-mn-this-week/</t>
        </is>
      </c>
    </row>
    <row r="6">
      <c r="A6" t="inlineStr">
        <is>
          <t>ENT-8584928</t>
        </is>
      </c>
      <c r="B6" t="inlineStr">
        <is>
          <t>R250102-cargofl</t>
        </is>
      </c>
      <c r="C6" t="inlineStr">
        <is>
          <t>Entrackr</t>
        </is>
      </c>
      <c r="D6" s="17" t="n">
        <v>45659</v>
      </c>
      <c r="E6" t="inlineStr">
        <is>
          <t>CargoFL</t>
        </is>
      </c>
      <c r="F6" t="inlineStr">
        <is>
          <t>Rs 6.75 crore</t>
        </is>
      </c>
      <c r="G6" s="19" t="n">
        <v>6.75</v>
      </c>
      <c r="H6" s="19" t="n"/>
      <c r="I6" t="inlineStr">
        <is>
          <t>Seed</t>
        </is>
      </c>
      <c r="J6" t="inlineStr">
        <is>
          <t>YourNest Venture Capital</t>
        </is>
      </c>
      <c r="K6" t="inlineStr">
        <is>
          <t>https://entrackr.com/snippets/cargofl-raises-seed-funding-round-8584928</t>
        </is>
      </c>
    </row>
    <row r="7">
      <c r="A7" t="inlineStr">
        <is>
          <t>INC-20250104-02</t>
        </is>
      </c>
      <c r="B7" t="inlineStr">
        <is>
          <t>R250102-cargofl</t>
        </is>
      </c>
      <c r="C7" t="inlineStr">
        <is>
          <t>Inc42</t>
        </is>
      </c>
      <c r="D7" s="17" t="n">
        <v>45659</v>
      </c>
      <c r="E7" t="inlineStr">
        <is>
          <t>CargoFL</t>
        </is>
      </c>
      <c r="F7" t="inlineStr">
        <is>
          <t>$787K</t>
        </is>
      </c>
      <c r="G7" s="19" t="n"/>
      <c r="H7" s="19" t="n">
        <v>0.787</v>
      </c>
      <c r="I7" t="inlineStr">
        <is>
          <t>Seed</t>
        </is>
      </c>
      <c r="J7" t="inlineStr">
        <is>
          <t>YourNest Venture Capital</t>
        </is>
      </c>
      <c r="K7" t="inlineStr">
        <is>
          <t>https://inc42.com/buzz/from-aye-finance-to-klassroom-indian-startups-raised-14-mn-this-week/</t>
        </is>
      </c>
    </row>
    <row r="8">
      <c r="A8" t="inlineStr">
        <is>
          <t>INC-20250104-04</t>
        </is>
      </c>
      <c r="B8" t="inlineStr">
        <is>
          <t>R250102-klassroom</t>
        </is>
      </c>
      <c r="C8" t="inlineStr">
        <is>
          <t>Inc42</t>
        </is>
      </c>
      <c r="D8" s="17" t="n">
        <v>45659</v>
      </c>
      <c r="E8" t="inlineStr">
        <is>
          <t>Klassroom</t>
        </is>
      </c>
      <c r="F8" t="inlineStr"/>
      <c r="G8" s="19" t="n"/>
      <c r="H8" s="19" t="n"/>
      <c r="I8" t="inlineStr">
        <is>
          <t>Pre-Series A</t>
        </is>
      </c>
      <c r="J8" t="inlineStr"/>
      <c r="K8" t="inlineStr">
        <is>
          <t>https://inc42.com/buzz/from-aye-finance-to-klassroom-indian-startups-raised-14-mn-this-week/</t>
        </is>
      </c>
    </row>
    <row r="9">
      <c r="A9" t="inlineStr">
        <is>
          <t>ENT-8591029</t>
        </is>
      </c>
      <c r="B9" t="inlineStr">
        <is>
          <t>R250104-oyo</t>
        </is>
      </c>
      <c r="C9" t="inlineStr">
        <is>
          <t>Entrackr</t>
        </is>
      </c>
      <c r="D9" s="17" t="n">
        <v>45661</v>
      </c>
      <c r="E9" t="inlineStr">
        <is>
          <t>Oyo</t>
        </is>
      </c>
      <c r="F9" t="inlineStr">
        <is>
          <t>Rs 550 crore</t>
        </is>
      </c>
      <c r="G9" s="19" t="n">
        <v>550</v>
      </c>
      <c r="H9" s="19" t="n">
        <v>65</v>
      </c>
      <c r="I9" t="inlineStr">
        <is>
          <t>Undisclosed</t>
        </is>
      </c>
      <c r="J9" t="inlineStr"/>
      <c r="K9" t="inlineStr">
        <is>
          <t>https://entrackr.com/news/oyo-raises-65-mn-from-ritesh-agarwals-redsprig-innovation-8591029</t>
        </is>
      </c>
    </row>
    <row r="10">
      <c r="A10" t="inlineStr">
        <is>
          <t>INC-20250111-02</t>
        </is>
      </c>
      <c r="B10" t="inlineStr">
        <is>
          <t>R250104-oyo</t>
        </is>
      </c>
      <c r="C10" t="inlineStr">
        <is>
          <t>Inc42</t>
        </is>
      </c>
      <c r="D10" s="17" t="n">
        <v>45662</v>
      </c>
      <c r="E10" t="inlineStr">
        <is>
          <t>OYO</t>
        </is>
      </c>
      <c r="F10" t="inlineStr">
        <is>
          <t>$65 Mn</t>
        </is>
      </c>
      <c r="G10" s="19" t="n"/>
      <c r="H10" s="19" t="n">
        <v>65</v>
      </c>
      <c r="I10" t="inlineStr">
        <is>
          <t>Undisclosed</t>
        </is>
      </c>
      <c r="J10" t="inlineStr">
        <is>
          <t>Redsprig Innovation Partners</t>
        </is>
      </c>
      <c r="K10" t="inlineStr">
        <is>
          <t>https://inc42.com/buzz/from-innovaccer-to-beyond-snack-indian-startups-raised-432-mn-this-week/</t>
        </is>
      </c>
    </row>
    <row r="11">
      <c r="A11" t="inlineStr">
        <is>
          <t>INC-20250111-18</t>
        </is>
      </c>
      <c r="B11" t="inlineStr">
        <is>
          <t>R250106-blackcarrot</t>
        </is>
      </c>
      <c r="C11" t="inlineStr">
        <is>
          <t>Inc42</t>
        </is>
      </c>
      <c r="D11" s="17" t="n">
        <v>45663</v>
      </c>
      <c r="E11" t="inlineStr">
        <is>
          <t>BlackCarrot</t>
        </is>
      </c>
      <c r="F11" t="inlineStr"/>
      <c r="G11" s="19" t="n"/>
      <c r="H11" s="19" t="n"/>
      <c r="I11" t="inlineStr">
        <is>
          <t>Seed</t>
        </is>
      </c>
      <c r="J11" t="inlineStr">
        <is>
          <t>Circle</t>
        </is>
      </c>
      <c r="K11" t="inlineStr">
        <is>
          <t>https://inc42.com/buzz/from-innovaccer-to-beyond-snack-indian-startups-raised-432-mn-this-week/</t>
        </is>
      </c>
    </row>
    <row r="12">
      <c r="A12" t="inlineStr">
        <is>
          <t>ENT-8594981</t>
        </is>
      </c>
      <c r="B12" t="inlineStr">
        <is>
          <t>R250106-consintai</t>
        </is>
      </c>
      <c r="C12" t="inlineStr">
        <is>
          <t>Entrackr</t>
        </is>
      </c>
      <c r="D12" s="17" t="n">
        <v>45663</v>
      </c>
      <c r="E12" t="inlineStr">
        <is>
          <t>Consint.AI</t>
        </is>
      </c>
      <c r="F12" t="inlineStr">
        <is>
          <t>Rs 5 crore</t>
        </is>
      </c>
      <c r="G12" s="19" t="n">
        <v>5</v>
      </c>
      <c r="H12" s="19" t="n"/>
      <c r="I12" t="inlineStr">
        <is>
          <t>Seed</t>
        </is>
      </c>
      <c r="J12" t="inlineStr">
        <is>
          <t>Equanimity Ventures; Seafund</t>
        </is>
      </c>
      <c r="K12" t="inlineStr">
        <is>
          <t>https://entrackr.com/snippets/genai-startup-consintai-raises-rs-5-cr-in-seed-round-8594981</t>
        </is>
      </c>
    </row>
    <row r="13">
      <c r="A13" t="inlineStr">
        <is>
          <t>ET-117009532</t>
        </is>
      </c>
      <c r="B13" t="inlineStr">
        <is>
          <t>R250106-consintai</t>
        </is>
      </c>
      <c r="C13" t="inlineStr">
        <is>
          <t>The Economic Times</t>
        </is>
      </c>
      <c r="D13" s="17" t="n">
        <v>45664</v>
      </c>
      <c r="E13" t="inlineStr">
        <is>
          <t>Consint AI</t>
        </is>
      </c>
      <c r="F13" t="inlineStr">
        <is>
          <t>Rs 5 crore</t>
        </is>
      </c>
      <c r="G13" s="19" t="n">
        <v>5</v>
      </c>
      <c r="H13" s="19" t="n"/>
      <c r="I13" t="inlineStr">
        <is>
          <t>Undisclosed</t>
        </is>
      </c>
      <c r="J13" t="inlineStr"/>
      <c r="K13" t="inlineStr">
        <is>
          <t>https://economictimes.indiatimes.com/tech/funding/healthtech-startup-consint-ai-raises-rs-5-crore/articleshow/117009532.cms</t>
        </is>
      </c>
    </row>
    <row r="14">
      <c r="A14" t="inlineStr">
        <is>
          <t>ENT-8594970</t>
        </is>
      </c>
      <c r="B14" t="inlineStr">
        <is>
          <t>R250106-spintly</t>
        </is>
      </c>
      <c r="C14" t="inlineStr">
        <is>
          <t>Entrackr</t>
        </is>
      </c>
      <c r="D14" s="17" t="n">
        <v>45663</v>
      </c>
      <c r="E14" t="inlineStr">
        <is>
          <t>Spintly</t>
        </is>
      </c>
      <c r="F14" t="inlineStr">
        <is>
          <t>Rs 3.5 crore</t>
        </is>
      </c>
      <c r="G14" s="19" t="n">
        <v>3.5</v>
      </c>
      <c r="H14" s="19" t="n"/>
      <c r="I14" t="inlineStr">
        <is>
          <t>Seed</t>
        </is>
      </c>
      <c r="J14" t="inlineStr">
        <is>
          <t>Spyre VC; Chakra Growth Fund; Alumni Ventures; Doctor Technology</t>
        </is>
      </c>
      <c r="K14" t="inlineStr">
        <is>
          <t>https://entrackr.com/snippets/proptech-startup-spintly-raises-rs-35-cr-in-extended-seed-round-8594970</t>
        </is>
      </c>
    </row>
    <row r="15">
      <c r="A15" t="inlineStr">
        <is>
          <t>INC-20250111-17</t>
        </is>
      </c>
      <c r="B15" t="inlineStr">
        <is>
          <t>R250106-spintly</t>
        </is>
      </c>
      <c r="C15" t="inlineStr">
        <is>
          <t>Inc42</t>
        </is>
      </c>
      <c r="D15" s="17" t="n">
        <v>45663</v>
      </c>
      <c r="E15" t="inlineStr">
        <is>
          <t>Spintly</t>
        </is>
      </c>
      <c r="F15" t="inlineStr">
        <is>
          <t>$407K</t>
        </is>
      </c>
      <c r="G15" s="19" t="n"/>
      <c r="H15" s="19" t="n">
        <v>0.407</v>
      </c>
      <c r="I15" t="inlineStr">
        <is>
          <t>Seed</t>
        </is>
      </c>
      <c r="J15" t="inlineStr"/>
      <c r="K15" t="inlineStr">
        <is>
          <t>https://inc42.com/buzz/from-innovaccer-to-beyond-snack-indian-startups-raised-432-mn-this-week/</t>
        </is>
      </c>
    </row>
    <row r="16">
      <c r="A16" t="inlineStr">
        <is>
          <t>INC-20250111-19</t>
        </is>
      </c>
      <c r="B16" t="inlineStr">
        <is>
          <t>R250107-bodmastechnolo</t>
        </is>
      </c>
      <c r="C16" t="inlineStr">
        <is>
          <t>Inc42</t>
        </is>
      </c>
      <c r="D16" s="17" t="n">
        <v>45664</v>
      </c>
      <c r="E16" t="inlineStr">
        <is>
          <t>Bodmas Technologies</t>
        </is>
      </c>
      <c r="F16" t="inlineStr"/>
      <c r="G16" s="19" t="n"/>
      <c r="H16" s="19" t="n"/>
      <c r="I16" t="inlineStr">
        <is>
          <t>Undisclosed</t>
        </is>
      </c>
      <c r="J16" t="inlineStr"/>
      <c r="K16" t="inlineStr">
        <is>
          <t>https://inc42.com/buzz/from-innovaccer-to-beyond-snack-indian-startups-raised-432-mn-this-week/</t>
        </is>
      </c>
    </row>
    <row r="17">
      <c r="A17" t="inlineStr">
        <is>
          <t>ENT-8598190</t>
        </is>
      </c>
      <c r="B17" t="inlineStr">
        <is>
          <t>R250107-emoenergy</t>
        </is>
      </c>
      <c r="C17" t="inlineStr">
        <is>
          <t>Entrackr</t>
        </is>
      </c>
      <c r="D17" s="17" t="n">
        <v>45664</v>
      </c>
      <c r="E17" t="inlineStr">
        <is>
          <t>EMO Energy</t>
        </is>
      </c>
      <c r="F17" t="inlineStr">
        <is>
          <t>$6.2 million</t>
        </is>
      </c>
      <c r="G17" s="19" t="n"/>
      <c r="H17" s="19" t="n">
        <v>6.2</v>
      </c>
      <c r="I17" t="inlineStr">
        <is>
          <t>Series A</t>
        </is>
      </c>
      <c r="J17" t="inlineStr">
        <is>
          <t>Subhkam Ventures; Transition VC</t>
        </is>
      </c>
      <c r="K17" t="inlineStr">
        <is>
          <t>https://entrackr.com/snippets/emo-energy-raises-62-mn-in-series-a-round-8598190</t>
        </is>
      </c>
    </row>
    <row r="18">
      <c r="A18" t="inlineStr">
        <is>
          <t>ET-117002145</t>
        </is>
      </c>
      <c r="B18" t="inlineStr">
        <is>
          <t>R250107-emoenergy</t>
        </is>
      </c>
      <c r="C18" t="inlineStr">
        <is>
          <t>The Economic Times</t>
        </is>
      </c>
      <c r="D18" s="17" t="n">
        <v>45664</v>
      </c>
      <c r="E18" t="inlineStr">
        <is>
          <t>Emo Energy</t>
        </is>
      </c>
      <c r="F18" t="inlineStr">
        <is>
          <t>$6.2 million</t>
        </is>
      </c>
      <c r="G18" s="19" t="n"/>
      <c r="H18" s="19" t="n">
        <v>6.2</v>
      </c>
      <c r="I18" t="inlineStr">
        <is>
          <t>Undisclosed</t>
        </is>
      </c>
      <c r="J18" t="inlineStr">
        <is>
          <t>Subhkam Ventures</t>
        </is>
      </c>
      <c r="K18" t="inlineStr">
        <is>
          <t>https://economictimes.indiatimes.com/tech/funding/subhkam-ventures-leads-6-2-million-round-in-emo-energy/articleshow/117002145.cms</t>
        </is>
      </c>
    </row>
    <row r="19">
      <c r="A19" t="inlineStr">
        <is>
          <t>INC-20250111-06</t>
        </is>
      </c>
      <c r="B19" t="inlineStr">
        <is>
          <t>R250107-emoenergy</t>
        </is>
      </c>
      <c r="C19" t="inlineStr">
        <is>
          <t>Inc42</t>
        </is>
      </c>
      <c r="D19" s="17" t="n">
        <v>45664</v>
      </c>
      <c r="E19" t="inlineStr">
        <is>
          <t>EMO Energy</t>
        </is>
      </c>
      <c r="F19" t="inlineStr">
        <is>
          <t>$6.2 Mn</t>
        </is>
      </c>
      <c r="G19" s="19" t="n"/>
      <c r="H19" s="19" t="n">
        <v>6.2</v>
      </c>
      <c r="I19" t="inlineStr">
        <is>
          <t>Series A</t>
        </is>
      </c>
      <c r="J19" t="inlineStr">
        <is>
          <t>Subhkam Ventures</t>
        </is>
      </c>
      <c r="K19" t="inlineStr">
        <is>
          <t>https://inc42.com/buzz/from-innovaccer-to-beyond-snack-indian-startups-raised-432-mn-this-week/</t>
        </is>
      </c>
    </row>
    <row r="20">
      <c r="A20" t="inlineStr">
        <is>
          <t>ENT-8598246</t>
        </is>
      </c>
      <c r="B20" t="inlineStr">
        <is>
          <t>R250107-kibisports</t>
        </is>
      </c>
      <c r="C20" t="inlineStr">
        <is>
          <t>Entrackr</t>
        </is>
      </c>
      <c r="D20" s="17" t="n">
        <v>45664</v>
      </c>
      <c r="E20" t="inlineStr">
        <is>
          <t>KIBI Sports</t>
        </is>
      </c>
      <c r="F20" t="inlineStr">
        <is>
          <t>$100,000</t>
        </is>
      </c>
      <c r="G20" s="19" t="n"/>
      <c r="H20" s="19" t="n">
        <v>0.1</v>
      </c>
      <c r="I20" t="inlineStr">
        <is>
          <t>Pre-Seed</t>
        </is>
      </c>
      <c r="J20" t="inlineStr"/>
      <c r="K20" t="inlineStr">
        <is>
          <t>https://entrackr.com/snippets/kibi-sports-raises-100k-in-pre-seed-funding-8598246</t>
        </is>
      </c>
    </row>
    <row r="21">
      <c r="A21" t="inlineStr">
        <is>
          <t>ENT-8597800</t>
        </is>
      </c>
      <c r="B21" t="inlineStr">
        <is>
          <t>R250107-moonrider</t>
        </is>
      </c>
      <c r="C21" t="inlineStr">
        <is>
          <t>Entrackr</t>
        </is>
      </c>
      <c r="D21" s="17" t="n">
        <v>45664</v>
      </c>
      <c r="E21" t="inlineStr">
        <is>
          <t>Moonrider</t>
        </is>
      </c>
      <c r="F21" t="inlineStr">
        <is>
          <t>$2.2 million</t>
        </is>
      </c>
      <c r="G21" s="19" t="n">
        <v>19</v>
      </c>
      <c r="H21" s="19" t="n">
        <v>2.2</v>
      </c>
      <c r="I21" t="inlineStr">
        <is>
          <t>Seed</t>
        </is>
      </c>
      <c r="J21" t="inlineStr">
        <is>
          <t>Micelio Technology Fund</t>
        </is>
      </c>
      <c r="K21" t="inlineStr">
        <is>
          <t>https://entrackr.com/snippets/electric-tractor-startup-moonrider-raises-22-mn-in-seed-round-8597800</t>
        </is>
      </c>
    </row>
    <row r="22">
      <c r="A22" t="inlineStr">
        <is>
          <t>ET-117028244</t>
        </is>
      </c>
      <c r="B22" t="inlineStr">
        <is>
          <t>R250107-moonrider</t>
        </is>
      </c>
      <c r="C22" t="inlineStr">
        <is>
          <t>The Economic Times</t>
        </is>
      </c>
      <c r="D22" s="17" t="n">
        <v>45664</v>
      </c>
      <c r="E22" t="inlineStr">
        <is>
          <t>Moonrider</t>
        </is>
      </c>
      <c r="F22" t="inlineStr">
        <is>
          <t>$2.2 million</t>
        </is>
      </c>
      <c r="G22" s="19" t="n">
        <v>19</v>
      </c>
      <c r="H22" s="19" t="n">
        <v>2.2</v>
      </c>
      <c r="I22" t="inlineStr">
        <is>
          <t>Undisclosed</t>
        </is>
      </c>
      <c r="J22" t="inlineStr">
        <is>
          <t>Micelio Technology Fund</t>
        </is>
      </c>
      <c r="K22" t="inlineStr">
        <is>
          <t>https://economictimes.indiatimes.com/tech/funding/electric-tractor-technology-startup-moonrider-raises-2-2-million/articleshow/117028244.cms</t>
        </is>
      </c>
    </row>
    <row r="23">
      <c r="A23" t="inlineStr">
        <is>
          <t>INC-20250111-13</t>
        </is>
      </c>
      <c r="B23" t="inlineStr">
        <is>
          <t>R250107-moonrider</t>
        </is>
      </c>
      <c r="C23" t="inlineStr">
        <is>
          <t>Inc42</t>
        </is>
      </c>
      <c r="D23" s="17" t="n">
        <v>45665</v>
      </c>
      <c r="E23" t="inlineStr">
        <is>
          <t>Moonrider</t>
        </is>
      </c>
      <c r="F23" t="inlineStr">
        <is>
          <t>$2.2 Mn</t>
        </is>
      </c>
      <c r="G23" s="19" t="n"/>
      <c r="H23" s="19" t="n">
        <v>2.2</v>
      </c>
      <c r="I23" t="inlineStr">
        <is>
          <t>Seed</t>
        </is>
      </c>
      <c r="J23" t="inlineStr">
        <is>
          <t>Micelio Fund</t>
        </is>
      </c>
      <c r="K23" t="inlineStr">
        <is>
          <t>https://inc42.com/buzz/from-innovaccer-to-beyond-snack-indian-startups-raised-432-mn-this-week/</t>
        </is>
      </c>
    </row>
    <row r="24">
      <c r="A24" t="inlineStr">
        <is>
          <t>ENT-8598547</t>
        </is>
      </c>
      <c r="B24" t="inlineStr">
        <is>
          <t>R250107-obenelectric</t>
        </is>
      </c>
      <c r="C24" t="inlineStr">
        <is>
          <t>Entrackr</t>
        </is>
      </c>
      <c r="D24" s="17" t="n">
        <v>45664</v>
      </c>
      <c r="E24" t="inlineStr">
        <is>
          <t>Oben Electric</t>
        </is>
      </c>
      <c r="F24" t="inlineStr">
        <is>
          <t>Rs 50 crore</t>
        </is>
      </c>
      <c r="G24" s="19" t="n">
        <v>50</v>
      </c>
      <c r="H24" s="19" t="n">
        <v>6</v>
      </c>
      <c r="I24" t="inlineStr">
        <is>
          <t>Series A</t>
        </is>
      </c>
      <c r="J24" t="inlineStr"/>
      <c r="K24" t="inlineStr">
        <is>
          <t>https://entrackr.com/snippets/oben-electric-raises-6-mn-in-series-a-8598547</t>
        </is>
      </c>
    </row>
    <row r="25">
      <c r="A25" t="inlineStr">
        <is>
          <t>INC-20250111-07</t>
        </is>
      </c>
      <c r="B25" t="inlineStr">
        <is>
          <t>R250107-obenelectric</t>
        </is>
      </c>
      <c r="C25" t="inlineStr">
        <is>
          <t>Inc42</t>
        </is>
      </c>
      <c r="D25" s="17" t="n">
        <v>45664</v>
      </c>
      <c r="E25" t="inlineStr">
        <is>
          <t>Oben Electric</t>
        </is>
      </c>
      <c r="F25" t="inlineStr">
        <is>
          <t>$5.8 Mn</t>
        </is>
      </c>
      <c r="G25" s="19" t="n"/>
      <c r="H25" s="19" t="n">
        <v>5.8</v>
      </c>
      <c r="I25" t="inlineStr">
        <is>
          <t>Series A</t>
        </is>
      </c>
      <c r="J25" t="inlineStr"/>
      <c r="K25" t="inlineStr">
        <is>
          <t>https://inc42.com/buzz/from-innovaccer-to-beyond-snack-indian-startups-raised-432-mn-this-week/</t>
        </is>
      </c>
    </row>
    <row r="26">
      <c r="A26" t="inlineStr">
        <is>
          <t>INC-20250111-14</t>
        </is>
      </c>
      <c r="B26" t="inlineStr">
        <is>
          <t>R250107-pratilipi</t>
        </is>
      </c>
      <c r="C26" t="inlineStr">
        <is>
          <t>Inc42</t>
        </is>
      </c>
      <c r="D26" s="17" t="n">
        <v>45664</v>
      </c>
      <c r="E26" t="inlineStr">
        <is>
          <t>Pratilipi</t>
        </is>
      </c>
      <c r="F26" t="inlineStr">
        <is>
          <t>$1.2 Mn</t>
        </is>
      </c>
      <c r="G26" s="19" t="n"/>
      <c r="H26" s="19" t="n">
        <v>1.2</v>
      </c>
      <c r="I26" t="inlineStr">
        <is>
          <t>Undisclosed</t>
        </is>
      </c>
      <c r="J26" t="inlineStr">
        <is>
          <t>Alteria Capital</t>
        </is>
      </c>
      <c r="K26" t="inlineStr">
        <is>
          <t>https://inc42.com/buzz/from-innovaccer-to-beyond-snack-indian-startups-raised-432-mn-this-week/</t>
        </is>
      </c>
    </row>
    <row r="27">
      <c r="A27" t="inlineStr">
        <is>
          <t>ET-117013023</t>
        </is>
      </c>
      <c r="B27" t="inlineStr">
        <is>
          <t>R250107-vehanttechnolo</t>
        </is>
      </c>
      <c r="C27" t="inlineStr">
        <is>
          <t>The Economic Times</t>
        </is>
      </c>
      <c r="D27" s="17" t="n">
        <v>45664</v>
      </c>
      <c r="E27" t="inlineStr">
        <is>
          <t>Vehant Technologies</t>
        </is>
      </c>
      <c r="F27" t="inlineStr">
        <is>
          <t>$9 million</t>
        </is>
      </c>
      <c r="G27" s="19" t="n">
        <v>77</v>
      </c>
      <c r="H27" s="19" t="n">
        <v>9</v>
      </c>
      <c r="I27" t="inlineStr">
        <is>
          <t>Debt</t>
        </is>
      </c>
      <c r="J27" t="inlineStr"/>
      <c r="K27" t="inlineStr">
        <is>
          <t>https://economictimes.indiatimes.com/tech/funding/vehant-technologies-raises-9-million-from-true-north-through-ncds-plans-ipo-by-2026/articleshow/117013023.cms</t>
        </is>
      </c>
    </row>
    <row r="28">
      <c r="A28" t="inlineStr">
        <is>
          <t>ENT-8601401</t>
        </is>
      </c>
      <c r="B28" t="inlineStr">
        <is>
          <t>R250107-vehanttechnolo</t>
        </is>
      </c>
      <c r="C28" t="inlineStr">
        <is>
          <t>Entrackr</t>
        </is>
      </c>
      <c r="D28" s="17" t="n">
        <v>45665</v>
      </c>
      <c r="E28" t="inlineStr">
        <is>
          <t>Vehant Technologies</t>
        </is>
      </c>
      <c r="F28" t="inlineStr">
        <is>
          <t>$9 million</t>
        </is>
      </c>
      <c r="G28" s="19" t="n">
        <v>75</v>
      </c>
      <c r="H28" s="19" t="n">
        <v>9</v>
      </c>
      <c r="I28" t="inlineStr">
        <is>
          <t>Undisclosed</t>
        </is>
      </c>
      <c r="J28" t="inlineStr"/>
      <c r="K28" t="inlineStr">
        <is>
          <t>https://entrackr.com/snippets/vehant-technologies-raises-9-mn-from-true-north-8601401</t>
        </is>
      </c>
    </row>
    <row r="29">
      <c r="A29" t="inlineStr">
        <is>
          <t>ENT-8598758</t>
        </is>
      </c>
      <c r="B29" t="inlineStr">
        <is>
          <t>R250107-zoplar</t>
        </is>
      </c>
      <c r="C29" t="inlineStr">
        <is>
          <t>Entrackr</t>
        </is>
      </c>
      <c r="D29" s="17" t="n">
        <v>45664</v>
      </c>
      <c r="E29" t="inlineStr">
        <is>
          <t>Zoplar</t>
        </is>
      </c>
      <c r="F29" t="inlineStr">
        <is>
          <t>$3.4 million</t>
        </is>
      </c>
      <c r="G29" s="19" t="n"/>
      <c r="H29" s="19" t="n">
        <v>3.4</v>
      </c>
      <c r="I29" t="inlineStr">
        <is>
          <t>Series A</t>
        </is>
      </c>
      <c r="J29" t="inlineStr">
        <is>
          <t>Blume Ventures</t>
        </is>
      </c>
      <c r="K29" t="inlineStr">
        <is>
          <t>https://entrackr.com/snippets/blume-ventures-leads-34-mn-round-in-zoplar-8598758</t>
        </is>
      </c>
    </row>
    <row r="30">
      <c r="A30" t="inlineStr">
        <is>
          <t>INC-20250111-12</t>
        </is>
      </c>
      <c r="B30" t="inlineStr">
        <is>
          <t>R250107-zoplar</t>
        </is>
      </c>
      <c r="C30" t="inlineStr">
        <is>
          <t>Inc42</t>
        </is>
      </c>
      <c r="D30" s="17" t="n">
        <v>45664</v>
      </c>
      <c r="E30" t="inlineStr">
        <is>
          <t>Zoplar</t>
        </is>
      </c>
      <c r="F30" t="inlineStr">
        <is>
          <t>$3.4 Mn</t>
        </is>
      </c>
      <c r="G30" s="19" t="n"/>
      <c r="H30" s="19" t="n">
        <v>3.4</v>
      </c>
      <c r="I30" t="inlineStr">
        <is>
          <t>Series A</t>
        </is>
      </c>
      <c r="J30" t="inlineStr">
        <is>
          <t>Blume Ventures</t>
        </is>
      </c>
      <c r="K30" t="inlineStr">
        <is>
          <t>https://inc42.com/buzz/from-innovaccer-to-beyond-snack-indian-startups-raised-432-mn-this-week/</t>
        </is>
      </c>
    </row>
    <row r="31">
      <c r="A31" t="inlineStr">
        <is>
          <t>ENT-8602138</t>
        </is>
      </c>
      <c r="B31" t="inlineStr">
        <is>
          <t>R250108-brainsightai</t>
        </is>
      </c>
      <c r="C31" t="inlineStr">
        <is>
          <t>Entrackr</t>
        </is>
      </c>
      <c r="D31" s="17" t="n">
        <v>45665</v>
      </c>
      <c r="E31" t="inlineStr">
        <is>
          <t>BrainSight AI</t>
        </is>
      </c>
      <c r="F31" t="inlineStr">
        <is>
          <t>$5 million</t>
        </is>
      </c>
      <c r="G31" s="19" t="n"/>
      <c r="H31" s="19" t="n">
        <v>5</v>
      </c>
      <c r="I31" t="inlineStr">
        <is>
          <t>Pre-Series A</t>
        </is>
      </c>
      <c r="J31" t="inlineStr">
        <is>
          <t>IAN Alpha Fund; Silver Needle</t>
        </is>
      </c>
      <c r="K31" t="inlineStr">
        <is>
          <t>https://entrackr.com/snippets/neuroscience-startup-brainsight-ai-raises-5-mn-8602138</t>
        </is>
      </c>
    </row>
    <row r="32">
      <c r="A32" t="inlineStr">
        <is>
          <t>ET-117059845</t>
        </is>
      </c>
      <c r="B32" t="inlineStr">
        <is>
          <t>R250108-brainsightai</t>
        </is>
      </c>
      <c r="C32" t="inlineStr">
        <is>
          <t>The Economic Times</t>
        </is>
      </c>
      <c r="D32" s="17" t="n">
        <v>45665</v>
      </c>
      <c r="E32" t="inlineStr">
        <is>
          <t>BrainSightAI</t>
        </is>
      </c>
      <c r="F32" t="inlineStr">
        <is>
          <t>$5 million</t>
        </is>
      </c>
      <c r="G32" s="19" t="n"/>
      <c r="H32" s="19" t="n">
        <v>5</v>
      </c>
      <c r="I32" t="inlineStr">
        <is>
          <t>Pre-Series A</t>
        </is>
      </c>
      <c r="J32" t="inlineStr">
        <is>
          <t>IAN Alpha Fund</t>
        </is>
      </c>
      <c r="K32" t="inlineStr">
        <is>
          <t>https://economictimes.indiatimes.com/tech/funding/neuroscience-startup-brainsightai-raises-5-million-from-ian-alpha-fund-others/articleshow/117059845.cms</t>
        </is>
      </c>
    </row>
    <row r="33">
      <c r="A33" t="inlineStr">
        <is>
          <t>INC-20250111-09</t>
        </is>
      </c>
      <c r="B33" t="inlineStr">
        <is>
          <t>R250108-brainsightai</t>
        </is>
      </c>
      <c r="C33" t="inlineStr">
        <is>
          <t>Inc42</t>
        </is>
      </c>
      <c r="D33" s="17" t="n">
        <v>45665</v>
      </c>
      <c r="E33" t="inlineStr">
        <is>
          <t>BrainSinghtAI</t>
        </is>
      </c>
      <c r="F33" t="inlineStr">
        <is>
          <t>$5 Mn</t>
        </is>
      </c>
      <c r="G33" s="19" t="n"/>
      <c r="H33" s="19" t="n">
        <v>5</v>
      </c>
      <c r="I33" t="inlineStr">
        <is>
          <t>Pre-Series A</t>
        </is>
      </c>
      <c r="J33" t="inlineStr">
        <is>
          <t>IAN Alpha Fund</t>
        </is>
      </c>
      <c r="K33" t="inlineStr">
        <is>
          <t>https://inc42.com/buzz/from-innovaccer-to-beyond-snack-indian-startups-raised-432-mn-this-week/</t>
        </is>
      </c>
    </row>
    <row r="34">
      <c r="A34" t="inlineStr">
        <is>
          <t>ENT-8601862</t>
        </is>
      </c>
      <c r="B34" t="inlineStr">
        <is>
          <t>R250108-hbits</t>
        </is>
      </c>
      <c r="C34" t="inlineStr">
        <is>
          <t>Entrackr</t>
        </is>
      </c>
      <c r="D34" s="17" t="n">
        <v>45665</v>
      </c>
      <c r="E34" t="inlineStr">
        <is>
          <t>hBits</t>
        </is>
      </c>
      <c r="F34" t="inlineStr">
        <is>
          <t>Rs 40 crore</t>
        </is>
      </c>
      <c r="G34" s="19" t="n">
        <v>40</v>
      </c>
      <c r="H34" s="19" t="n"/>
      <c r="I34" t="inlineStr">
        <is>
          <t>Series A</t>
        </is>
      </c>
      <c r="J34" t="inlineStr"/>
      <c r="K34" t="inlineStr">
        <is>
          <t>https://entrackr.com/snippets/proptech-startup-hbits-raises-rs-40-cr-in-series-a-8601862</t>
        </is>
      </c>
    </row>
    <row r="35">
      <c r="A35" t="inlineStr">
        <is>
          <t>INC-20250111-10</t>
        </is>
      </c>
      <c r="B35" t="inlineStr">
        <is>
          <t>R250108-hbits</t>
        </is>
      </c>
      <c r="C35" t="inlineStr">
        <is>
          <t>Inc42</t>
        </is>
      </c>
      <c r="D35" s="17" t="n">
        <v>45665</v>
      </c>
      <c r="E35" t="inlineStr">
        <is>
          <t>hBits</t>
        </is>
      </c>
      <c r="F35" t="inlineStr">
        <is>
          <t>$4.6 Mn</t>
        </is>
      </c>
      <c r="G35" s="19" t="n"/>
      <c r="H35" s="19" t="n">
        <v>4.6</v>
      </c>
      <c r="I35" t="inlineStr">
        <is>
          <t>Series A</t>
        </is>
      </c>
      <c r="J35" t="inlineStr">
        <is>
          <t>Capricon Realty</t>
        </is>
      </c>
      <c r="K35" t="inlineStr">
        <is>
          <t>https://inc42.com/buzz/from-innovaccer-to-beyond-snack-indian-startups-raised-432-mn-this-week/</t>
        </is>
      </c>
    </row>
    <row r="36">
      <c r="A36" t="inlineStr">
        <is>
          <t>ENT-8600516</t>
        </is>
      </c>
      <c r="B36" t="inlineStr">
        <is>
          <t>R250108-rasluxuryskinc</t>
        </is>
      </c>
      <c r="C36" t="inlineStr">
        <is>
          <t>Entrackr</t>
        </is>
      </c>
      <c r="D36" s="17" t="n">
        <v>45665</v>
      </c>
      <c r="E36" t="inlineStr">
        <is>
          <t>RAS Luxury Skincare</t>
        </is>
      </c>
      <c r="F36" t="inlineStr">
        <is>
          <t>$5 million</t>
        </is>
      </c>
      <c r="G36" s="19" t="n"/>
      <c r="H36" s="19" t="n">
        <v>5</v>
      </c>
      <c r="I36" t="inlineStr">
        <is>
          <t>Series A</t>
        </is>
      </c>
      <c r="J36" t="inlineStr">
        <is>
          <t>Unilever Ventures</t>
        </is>
      </c>
      <c r="K36" t="inlineStr">
        <is>
          <t>https://entrackr.com/snippets/ras-luxury-skincare-raises-5-mn-led-by-unilever-ventures-8600516</t>
        </is>
      </c>
    </row>
    <row r="37">
      <c r="A37" t="inlineStr">
        <is>
          <t>ET-117033168</t>
        </is>
      </c>
      <c r="B37" t="inlineStr">
        <is>
          <t>R250108-rasluxuryskinc</t>
        </is>
      </c>
      <c r="C37" t="inlineStr">
        <is>
          <t>The Economic Times</t>
        </is>
      </c>
      <c r="D37" s="17" t="n">
        <v>45665</v>
      </c>
      <c r="E37" t="inlineStr">
        <is>
          <t>RAS Luxury Skincare</t>
        </is>
      </c>
      <c r="F37" t="inlineStr">
        <is>
          <t>$5 million</t>
        </is>
      </c>
      <c r="G37" s="19" t="n"/>
      <c r="H37" s="19" t="n">
        <v>5</v>
      </c>
      <c r="I37" t="inlineStr">
        <is>
          <t>Undisclosed</t>
        </is>
      </c>
      <c r="J37" t="inlineStr">
        <is>
          <t>Unilever Ventures; Unilever</t>
        </is>
      </c>
      <c r="K37" t="inlineStr">
        <is>
          <t>https://economictimes.indiatimes.com/tech/funding/beauty-brand-ras-luxury-skincare-raises-5-million-from-unilever-ventures-others/articleshow/117033168.cms</t>
        </is>
      </c>
    </row>
    <row r="38">
      <c r="A38" t="inlineStr">
        <is>
          <t>INC-20250111-08</t>
        </is>
      </c>
      <c r="B38" t="inlineStr">
        <is>
          <t>R250108-rasluxuryskinc</t>
        </is>
      </c>
      <c r="C38" t="inlineStr">
        <is>
          <t>Inc42</t>
        </is>
      </c>
      <c r="D38" s="17" t="n">
        <v>45665</v>
      </c>
      <c r="E38" t="inlineStr">
        <is>
          <t>RAS Luxury</t>
        </is>
      </c>
      <c r="F38" t="inlineStr">
        <is>
          <t>$5 Mn</t>
        </is>
      </c>
      <c r="G38" s="19" t="n"/>
      <c r="H38" s="19" t="n">
        <v>5</v>
      </c>
      <c r="I38" t="inlineStr">
        <is>
          <t>Series A</t>
        </is>
      </c>
      <c r="J38" t="inlineStr">
        <is>
          <t>Unilever Ventures</t>
        </is>
      </c>
      <c r="K38" t="inlineStr">
        <is>
          <t>https://inc42.com/buzz/from-innovaccer-to-beyond-snack-indian-startups-raised-432-mn-this-week/</t>
        </is>
      </c>
    </row>
    <row r="39">
      <c r="A39" t="inlineStr">
        <is>
          <t>ENT-8604226</t>
        </is>
      </c>
      <c r="B39" t="inlineStr">
        <is>
          <t>R250109-beyondsnack</t>
        </is>
      </c>
      <c r="C39" t="inlineStr">
        <is>
          <t>Entrackr</t>
        </is>
      </c>
      <c r="D39" s="17" t="n">
        <v>45666</v>
      </c>
      <c r="E39" t="inlineStr">
        <is>
          <t>Beyond Snack</t>
        </is>
      </c>
      <c r="F39" t="inlineStr">
        <is>
          <t>$8.3 million</t>
        </is>
      </c>
      <c r="G39" s="19" t="n"/>
      <c r="H39" s="19" t="n">
        <v>8.300000000000001</v>
      </c>
      <c r="I39" t="inlineStr">
        <is>
          <t>Series A</t>
        </is>
      </c>
      <c r="J39" t="inlineStr">
        <is>
          <t>12 Flags Group</t>
        </is>
      </c>
      <c r="K39" t="inlineStr">
        <is>
          <t>https://entrackr.com/snippets/beyond-snack-raises-83-mn-in-series-a-round-8604226</t>
        </is>
      </c>
    </row>
    <row r="40">
      <c r="A40" t="inlineStr">
        <is>
          <t>ET-117059037</t>
        </is>
      </c>
      <c r="B40" t="inlineStr">
        <is>
          <t>R250109-beyondsnack</t>
        </is>
      </c>
      <c r="C40" t="inlineStr">
        <is>
          <t>The Economic Times</t>
        </is>
      </c>
      <c r="D40" s="17" t="n">
        <v>45666</v>
      </c>
      <c r="E40" t="inlineStr">
        <is>
          <t>Beyond Snack</t>
        </is>
      </c>
      <c r="F40" t="inlineStr">
        <is>
          <t>$8.3 million</t>
        </is>
      </c>
      <c r="G40" s="19" t="n"/>
      <c r="H40" s="19" t="n">
        <v>8.300000000000001</v>
      </c>
      <c r="I40" t="inlineStr">
        <is>
          <t>Undisclosed</t>
        </is>
      </c>
      <c r="J40" t="inlineStr">
        <is>
          <t>12 Flags Group</t>
        </is>
      </c>
      <c r="K40" t="inlineStr">
        <is>
          <t>https://economictimes.indiatimes.com/tech/funding/banana-chips-brand-beyond-snack-bags-8-3-million-in-round-led-by-12-flags-group/articleshow/117059037.cms</t>
        </is>
      </c>
    </row>
    <row r="41">
      <c r="A41" t="inlineStr">
        <is>
          <t>INC-20250111-05</t>
        </is>
      </c>
      <c r="B41" t="inlineStr">
        <is>
          <t>R250109-beyondsnack</t>
        </is>
      </c>
      <c r="C41" t="inlineStr">
        <is>
          <t>Inc42</t>
        </is>
      </c>
      <c r="D41" s="17" t="n">
        <v>45666</v>
      </c>
      <c r="E41" t="inlineStr">
        <is>
          <t>Beyond Snack</t>
        </is>
      </c>
      <c r="F41" t="inlineStr">
        <is>
          <t>$8.3 Mn</t>
        </is>
      </c>
      <c r="G41" s="19" t="n"/>
      <c r="H41" s="19" t="n">
        <v>8.300000000000001</v>
      </c>
      <c r="I41" t="inlineStr">
        <is>
          <t>Series A</t>
        </is>
      </c>
      <c r="J41" t="inlineStr">
        <is>
          <t>12 Flags Group</t>
        </is>
      </c>
      <c r="K41" t="inlineStr">
        <is>
          <t>https://inc42.com/buzz/from-innovaccer-to-beyond-snack-indian-startups-raised-432-mn-this-week/</t>
        </is>
      </c>
    </row>
    <row r="42">
      <c r="A42" t="inlineStr">
        <is>
          <t>VCC-535f3dc4e0</t>
        </is>
      </c>
      <c r="B42" t="inlineStr">
        <is>
          <t>R250109-beyondsnack</t>
        </is>
      </c>
      <c r="C42" t="inlineStr">
        <is>
          <t>VCCircle</t>
        </is>
      </c>
      <c r="D42" s="17" t="n">
        <v>45666</v>
      </c>
      <c r="E42" t="inlineStr">
        <is>
          <t>beyondsnack</t>
        </is>
      </c>
      <c r="F42" t="inlineStr">
        <is>
          <t>$ 8.3 million</t>
        </is>
      </c>
      <c r="G42" s="19" t="n"/>
      <c r="H42" s="19" t="n">
        <v>8.300000000000001</v>
      </c>
      <c r="I42" t="inlineStr">
        <is>
          <t>Pre-Seed</t>
        </is>
      </c>
      <c r="J42" t="inlineStr"/>
      <c r="K42" t="inlineStr">
        <is>
          <t>https://www.vccircle.com/beyondsnack-bags-8-3-mn-dr-doodley-revivo-get-pre-seed-cheques</t>
        </is>
      </c>
    </row>
    <row r="43">
      <c r="A43" t="inlineStr">
        <is>
          <t>ENT-8605812</t>
        </is>
      </c>
      <c r="B43" t="inlineStr">
        <is>
          <t>R250109-grayquest</t>
        </is>
      </c>
      <c r="C43" t="inlineStr">
        <is>
          <t>Entrackr</t>
        </is>
      </c>
      <c r="D43" s="17" t="n">
        <v>45666</v>
      </c>
      <c r="E43" t="inlineStr">
        <is>
          <t>GrayQuest</t>
        </is>
      </c>
      <c r="F43" t="inlineStr">
        <is>
          <t>Rs 80 crore</t>
        </is>
      </c>
      <c r="G43" s="19" t="n">
        <v>80</v>
      </c>
      <c r="H43" s="19" t="n">
        <v>9.300000000000001</v>
      </c>
      <c r="I43" t="inlineStr">
        <is>
          <t>Series B</t>
        </is>
      </c>
      <c r="J43" t="inlineStr"/>
      <c r="K43" t="inlineStr">
        <is>
          <t>https://entrackr.com/news/grayquest-raises-93-mn-from-iifl-fintech-fund-claypond-and-pravega-8605812</t>
        </is>
      </c>
    </row>
    <row r="44">
      <c r="A44" t="inlineStr">
        <is>
          <t>ET-117088951</t>
        </is>
      </c>
      <c r="B44" t="inlineStr">
        <is>
          <t>R250109-grayquest</t>
        </is>
      </c>
      <c r="C44" t="inlineStr">
        <is>
          <t>The Economic Times</t>
        </is>
      </c>
      <c r="D44" s="17" t="n">
        <v>45666</v>
      </c>
      <c r="E44" t="inlineStr">
        <is>
          <t>GrayQuest</t>
        </is>
      </c>
      <c r="F44" t="inlineStr">
        <is>
          <t>Rs 80 crore</t>
        </is>
      </c>
      <c r="G44" s="19" t="n">
        <v>80</v>
      </c>
      <c r="H44" s="19" t="n">
        <v>9.300000000000001</v>
      </c>
      <c r="I44" t="inlineStr">
        <is>
          <t>Series B</t>
        </is>
      </c>
      <c r="J44" t="inlineStr">
        <is>
          <t>IIFL Fintech Fund; Claypond Capital</t>
        </is>
      </c>
      <c r="K44" t="inlineStr">
        <is>
          <t>https://economictimes.indiatimes.com/tech/funding/fintech-startup-grayquest-raises-rs-80-crore-from-iifl-fintech-fund-ranjan-pais-claypond-capital/articleshow/117088951.cms</t>
        </is>
      </c>
    </row>
    <row r="45">
      <c r="A45" t="inlineStr">
        <is>
          <t>INC-20250111-04</t>
        </is>
      </c>
      <c r="B45" t="inlineStr">
        <is>
          <t>R250109-grayquest</t>
        </is>
      </c>
      <c r="C45" t="inlineStr">
        <is>
          <t>Inc42</t>
        </is>
      </c>
      <c r="D45" s="17" t="n">
        <v>45666</v>
      </c>
      <c r="E45" t="inlineStr">
        <is>
          <t>GrayQuest</t>
        </is>
      </c>
      <c r="F45" t="inlineStr">
        <is>
          <t>$9.3 Mn</t>
        </is>
      </c>
      <c r="G45" s="19" t="n"/>
      <c r="H45" s="19" t="n">
        <v>9.300000000000001</v>
      </c>
      <c r="I45" t="inlineStr">
        <is>
          <t>Series B</t>
        </is>
      </c>
      <c r="J45" t="inlineStr"/>
      <c r="K45" t="inlineStr">
        <is>
          <t>https://inc42.com/buzz/from-innovaccer-to-beyond-snack-indian-startups-raised-432-mn-this-week/</t>
        </is>
      </c>
    </row>
    <row r="46">
      <c r="A46" t="inlineStr">
        <is>
          <t>VCC-121e17de38</t>
        </is>
      </c>
      <c r="B46" t="inlineStr">
        <is>
          <t>R250109-grayquest</t>
        </is>
      </c>
      <c r="C46" t="inlineStr">
        <is>
          <t>VCCircle</t>
        </is>
      </c>
      <c r="D46" s="17" t="n">
        <v>45666</v>
      </c>
      <c r="E46" t="inlineStr">
        <is>
          <t>howfamilyoffice backers of grayquest are sitting on an upside as it</t>
        </is>
      </c>
      <c r="F46" t="inlineStr"/>
      <c r="G46" s="19" t="n"/>
      <c r="H46" s="19" t="n"/>
      <c r="I46" t="inlineStr">
        <is>
          <t>Series B</t>
        </is>
      </c>
      <c r="J46" t="inlineStr"/>
      <c r="K46" t="inlineStr">
        <is>
          <t>https://www.vccircle.com/howfamilyoffice-backers-of-grayquest-are-sitting-on-an-upside-as-it-closes-its-series-b-round</t>
        </is>
      </c>
    </row>
    <row r="47">
      <c r="A47" t="inlineStr">
        <is>
          <t>ENT-8603735</t>
        </is>
      </c>
      <c r="B47" t="inlineStr">
        <is>
          <t>R250109-infinityfincor</t>
        </is>
      </c>
      <c r="C47" t="inlineStr">
        <is>
          <t>Entrackr</t>
        </is>
      </c>
      <c r="D47" s="17" t="n">
        <v>45666</v>
      </c>
      <c r="E47" t="inlineStr">
        <is>
          <t>Infinity Fincorp Solutions</t>
        </is>
      </c>
      <c r="F47" t="inlineStr">
        <is>
          <t>$35 million</t>
        </is>
      </c>
      <c r="G47" s="19" t="n"/>
      <c r="H47" s="19" t="n">
        <v>35</v>
      </c>
      <c r="I47" t="inlineStr">
        <is>
          <t>Undisclosed</t>
        </is>
      </c>
      <c r="J47" t="inlineStr"/>
      <c r="K47" t="inlineStr">
        <is>
          <t>https://entrackr.com/snippets/infinity-fincorp-solutions-closes-35-mn-round-8603735</t>
        </is>
      </c>
    </row>
    <row r="48">
      <c r="A48" t="inlineStr">
        <is>
          <t>ET-117063789</t>
        </is>
      </c>
      <c r="B48" t="inlineStr">
        <is>
          <t>R250109-infinityfincor</t>
        </is>
      </c>
      <c r="C48" t="inlineStr">
        <is>
          <t>The Economic Times</t>
        </is>
      </c>
      <c r="D48" s="17" t="n">
        <v>45666</v>
      </c>
      <c r="E48" t="inlineStr">
        <is>
          <t>Infinity Fincorp</t>
        </is>
      </c>
      <c r="F48" t="inlineStr">
        <is>
          <t>$15 million</t>
        </is>
      </c>
      <c r="G48" s="19" t="n">
        <v>130</v>
      </c>
      <c r="H48" s="19" t="n">
        <v>15</v>
      </c>
      <c r="I48" t="inlineStr">
        <is>
          <t>Undisclosed</t>
        </is>
      </c>
      <c r="J48" t="inlineStr"/>
      <c r="K48" t="inlineStr">
        <is>
          <t>https://economictimes.indiatimes.com/tech/funding/infinity-fincorp-closes-35-million-round-with-15-million-from-jungle-archerman/articleshow/117063789.cms</t>
        </is>
      </c>
    </row>
    <row r="49">
      <c r="A49" t="inlineStr">
        <is>
          <t>INC-20250111-03</t>
        </is>
      </c>
      <c r="B49" t="inlineStr">
        <is>
          <t>R250109-infinityfincor</t>
        </is>
      </c>
      <c r="C49" t="inlineStr">
        <is>
          <t>Inc42</t>
        </is>
      </c>
      <c r="D49" s="17" t="n">
        <v>45666</v>
      </c>
      <c r="E49" t="inlineStr">
        <is>
          <t>Infinity Fincorp</t>
        </is>
      </c>
      <c r="F49" t="inlineStr">
        <is>
          <t>$35 Mn</t>
        </is>
      </c>
      <c r="G49" s="19" t="n"/>
      <c r="H49" s="19" t="n">
        <v>35</v>
      </c>
      <c r="I49" t="inlineStr">
        <is>
          <t>Undisclosed</t>
        </is>
      </c>
      <c r="J49" t="inlineStr">
        <is>
          <t>Jungle Ventures</t>
        </is>
      </c>
      <c r="K49" t="inlineStr">
        <is>
          <t>https://inc42.com/buzz/from-innovaccer-to-beyond-snack-indian-startups-raised-432-mn-this-week/</t>
        </is>
      </c>
    </row>
    <row r="50">
      <c r="A50" t="inlineStr">
        <is>
          <t>ET-117092526</t>
        </is>
      </c>
      <c r="B50" t="inlineStr">
        <is>
          <t>R250109-innovaccer</t>
        </is>
      </c>
      <c r="C50" t="inlineStr">
        <is>
          <t>The Economic Times</t>
        </is>
      </c>
      <c r="D50" s="17" t="n">
        <v>45666</v>
      </c>
      <c r="E50" t="inlineStr">
        <is>
          <t>Innovaccer</t>
        </is>
      </c>
      <c r="F50" t="inlineStr">
        <is>
          <t>$275 million</t>
        </is>
      </c>
      <c r="G50" s="19" t="n"/>
      <c r="H50" s="19" t="n">
        <v>275</v>
      </c>
      <c r="I50" t="inlineStr">
        <is>
          <t>Undisclosed</t>
        </is>
      </c>
      <c r="J50" t="inlineStr"/>
      <c r="K50" t="inlineStr">
        <is>
          <t>https://economictimes.indiatimes.com/tech/funding/saas-firm-innovaccer-closes-275-million-funding-to-build-more-on-ai-cloud/articleshow/117092526.cms</t>
        </is>
      </c>
    </row>
    <row r="51">
      <c r="A51" t="inlineStr">
        <is>
          <t>INC-20250111-01</t>
        </is>
      </c>
      <c r="B51" t="inlineStr">
        <is>
          <t>R250109-innovaccer</t>
        </is>
      </c>
      <c r="C51" t="inlineStr">
        <is>
          <t>Inc42</t>
        </is>
      </c>
      <c r="D51" s="17" t="n">
        <v>45666</v>
      </c>
      <c r="E51" t="inlineStr">
        <is>
          <t>Innovaccer</t>
        </is>
      </c>
      <c r="F51" t="inlineStr">
        <is>
          <t>$275 Mn</t>
        </is>
      </c>
      <c r="G51" s="19" t="n"/>
      <c r="H51" s="19" t="n">
        <v>275</v>
      </c>
      <c r="I51" t="inlineStr">
        <is>
          <t>Series F</t>
        </is>
      </c>
      <c r="J51" t="inlineStr"/>
      <c r="K51" t="inlineStr">
        <is>
          <t>https://inc42.com/buzz/from-innovaccer-to-beyond-snack-indian-startups-raised-432-mn-this-week/</t>
        </is>
      </c>
    </row>
    <row r="52">
      <c r="A52" t="inlineStr">
        <is>
          <t>ENT-8606711</t>
        </is>
      </c>
      <c r="B52" t="inlineStr">
        <is>
          <t>R250109-innovaccer</t>
        </is>
      </c>
      <c r="C52" t="inlineStr">
        <is>
          <t>Entrackr</t>
        </is>
      </c>
      <c r="D52" s="17" t="n">
        <v>45667</v>
      </c>
      <c r="E52" t="inlineStr">
        <is>
          <t>Innovaccer</t>
        </is>
      </c>
      <c r="F52" t="inlineStr">
        <is>
          <t>$275 million</t>
        </is>
      </c>
      <c r="G52" s="19" t="n"/>
      <c r="H52" s="19" t="n">
        <v>275</v>
      </c>
      <c r="I52" t="inlineStr">
        <is>
          <t>Series F</t>
        </is>
      </c>
      <c r="J52" t="inlineStr"/>
      <c r="K52" t="inlineStr">
        <is>
          <t>https://entrackr.com/news/saas-unicorn-innovaccer-raises-275-mn-in-series-f-round-8606711</t>
        </is>
      </c>
    </row>
    <row r="53">
      <c r="A53" t="inlineStr">
        <is>
          <t>VCC-540eb98a2d</t>
        </is>
      </c>
      <c r="B53" t="inlineStr">
        <is>
          <t>R250109-innovaccer</t>
        </is>
      </c>
      <c r="C53" t="inlineStr">
        <is>
          <t>VCCircle</t>
        </is>
      </c>
      <c r="D53" s="17" t="n">
        <v>45667</v>
      </c>
      <c r="E53" t="inlineStr">
        <is>
          <t>innovacer</t>
        </is>
      </c>
      <c r="F53" t="inlineStr">
        <is>
          <t>$ 275 million</t>
        </is>
      </c>
      <c r="G53" s="19" t="n"/>
      <c r="H53" s="19" t="n">
        <v>275</v>
      </c>
      <c r="I53" t="inlineStr">
        <is>
          <t>Series F</t>
        </is>
      </c>
      <c r="J53" t="inlineStr"/>
      <c r="K53" t="inlineStr">
        <is>
          <t>https://www.vccircle.com/healthcarefocused-saas-unicorn-innovacer-raises-275-mn-in-series-f</t>
        </is>
      </c>
    </row>
    <row r="54">
      <c r="A54" t="inlineStr">
        <is>
          <t>ENT-8604374</t>
        </is>
      </c>
      <c r="B54" t="inlineStr">
        <is>
          <t>R250109-integrishealth</t>
        </is>
      </c>
      <c r="C54" t="inlineStr">
        <is>
          <t>Entrackr</t>
        </is>
      </c>
      <c r="D54" s="17" t="n">
        <v>45666</v>
      </c>
      <c r="E54" t="inlineStr">
        <is>
          <t>Integris Health</t>
        </is>
      </c>
      <c r="F54" t="inlineStr"/>
      <c r="G54" s="19" t="n"/>
      <c r="H54" s="19" t="n"/>
      <c r="I54" t="inlineStr">
        <is>
          <t>Undisclosed</t>
        </is>
      </c>
      <c r="J54" t="inlineStr"/>
      <c r="K54" t="inlineStr">
        <is>
          <t>https://entrackr.com/snippets/integris-health-raises-primary-capital-ahead-of-planned-ipo-8604374</t>
        </is>
      </c>
    </row>
    <row r="55">
      <c r="A55" t="inlineStr">
        <is>
          <t>INC-20250111-20</t>
        </is>
      </c>
      <c r="B55" t="inlineStr">
        <is>
          <t>R250109-revivo</t>
        </is>
      </c>
      <c r="C55" t="inlineStr">
        <is>
          <t>Inc42</t>
        </is>
      </c>
      <c r="D55" s="17" t="n">
        <v>45666</v>
      </c>
      <c r="E55" t="inlineStr">
        <is>
          <t>Revivo</t>
        </is>
      </c>
      <c r="F55" t="inlineStr"/>
      <c r="G55" s="19" t="n"/>
      <c r="H55" s="19" t="n"/>
      <c r="I55" t="inlineStr">
        <is>
          <t>Pre-Series A</t>
        </is>
      </c>
      <c r="J55" t="inlineStr">
        <is>
          <t>Inflection Point Ventures</t>
        </is>
      </c>
      <c r="K55" t="inlineStr">
        <is>
          <t>https://inc42.com/buzz/from-innovaccer-to-beyond-snack-indian-startups-raised-432-mn-this-week/</t>
        </is>
      </c>
    </row>
    <row r="56">
      <c r="A56" t="inlineStr">
        <is>
          <t>INC-20250111-11</t>
        </is>
      </c>
      <c r="B56" t="inlineStr">
        <is>
          <t>R250109-waycool</t>
        </is>
      </c>
      <c r="C56" t="inlineStr">
        <is>
          <t>Inc42</t>
        </is>
      </c>
      <c r="D56" s="17" t="n">
        <v>45666</v>
      </c>
      <c r="E56" t="inlineStr">
        <is>
          <t>WayCool</t>
        </is>
      </c>
      <c r="F56" t="inlineStr">
        <is>
          <t>$4.4 Mn</t>
        </is>
      </c>
      <c r="G56" s="19" t="n"/>
      <c r="H56" s="19" t="n">
        <v>4.4</v>
      </c>
      <c r="I56" t="inlineStr">
        <is>
          <t>Undisclosed</t>
        </is>
      </c>
      <c r="J56" t="inlineStr">
        <is>
          <t>Trifecta Capital</t>
        </is>
      </c>
      <c r="K56" t="inlineStr">
        <is>
          <t>https://inc42.com/buzz/from-innovaccer-to-beyond-snack-indian-startups-raised-432-mn-this-week/</t>
        </is>
      </c>
    </row>
    <row r="57">
      <c r="A57" t="inlineStr">
        <is>
          <t>ENT-8608038</t>
        </is>
      </c>
      <c r="B57" t="inlineStr">
        <is>
          <t>R250110-quash</t>
        </is>
      </c>
      <c r="C57" t="inlineStr">
        <is>
          <t>Entrackr</t>
        </is>
      </c>
      <c r="D57" s="17" t="n">
        <v>45667</v>
      </c>
      <c r="E57" t="inlineStr">
        <is>
          <t>Quash</t>
        </is>
      </c>
      <c r="F57" t="inlineStr">
        <is>
          <t>$635,000</t>
        </is>
      </c>
      <c r="G57" s="19" t="n"/>
      <c r="H57" s="19" t="n">
        <v>0.635</v>
      </c>
      <c r="I57" t="inlineStr">
        <is>
          <t>Pre-Seed</t>
        </is>
      </c>
      <c r="J57" t="inlineStr">
        <is>
          <t>Arali Ventures</t>
        </is>
      </c>
      <c r="K57" t="inlineStr">
        <is>
          <t>https://entrackr.com/snippets/agentic-ai-startup-quash-raises-pre-seed-round-led-by-arali-ventures-8608038</t>
        </is>
      </c>
    </row>
    <row r="58">
      <c r="A58" t="inlineStr">
        <is>
          <t>INC-20250111-16</t>
        </is>
      </c>
      <c r="B58" t="inlineStr">
        <is>
          <t>R250110-quash</t>
        </is>
      </c>
      <c r="C58" t="inlineStr">
        <is>
          <t>Inc42</t>
        </is>
      </c>
      <c r="D58" s="17" t="n">
        <v>45667</v>
      </c>
      <c r="E58" t="inlineStr">
        <is>
          <t>Quash</t>
        </is>
      </c>
      <c r="F58" t="inlineStr">
        <is>
          <t>$635K</t>
        </is>
      </c>
      <c r="G58" s="19" t="n"/>
      <c r="H58" s="19" t="n">
        <v>0.635</v>
      </c>
      <c r="I58" t="inlineStr">
        <is>
          <t>Pre-Seed</t>
        </is>
      </c>
      <c r="J58" t="inlineStr">
        <is>
          <t>Arali Ventures</t>
        </is>
      </c>
      <c r="K58" t="inlineStr">
        <is>
          <t>https://inc42.com/buzz/from-innovaccer-to-beyond-snack-indian-startups-raised-432-mn-this-week/</t>
        </is>
      </c>
    </row>
    <row r="59">
      <c r="A59" t="inlineStr">
        <is>
          <t>INC-20250111-15</t>
        </is>
      </c>
      <c r="B59" t="inlineStr">
        <is>
          <t>R250110-reputai</t>
        </is>
      </c>
      <c r="C59" t="inlineStr">
        <is>
          <t>Inc42</t>
        </is>
      </c>
      <c r="D59" s="17" t="n">
        <v>45667</v>
      </c>
      <c r="E59" t="inlineStr">
        <is>
          <t>RePut.ai</t>
        </is>
      </c>
      <c r="F59" t="inlineStr">
        <is>
          <t>$1 Mn</t>
        </is>
      </c>
      <c r="G59" s="19" t="n"/>
      <c r="H59" s="19" t="n">
        <v>1</v>
      </c>
      <c r="I59" t="inlineStr">
        <is>
          <t>Pre-Seed</t>
        </is>
      </c>
      <c r="J59" t="inlineStr">
        <is>
          <t>GrowthCap Venture</t>
        </is>
      </c>
      <c r="K59" t="inlineStr">
        <is>
          <t>https://inc42.com/buzz/from-innovaccer-to-beyond-snack-indian-startups-raised-432-mn-this-week/</t>
        </is>
      </c>
    </row>
    <row r="60">
      <c r="A60" t="inlineStr">
        <is>
          <t>ENT-8619352</t>
        </is>
      </c>
      <c r="B60" t="inlineStr">
        <is>
          <t>R250110-reputai</t>
        </is>
      </c>
      <c r="C60" t="inlineStr">
        <is>
          <t>Entrackr</t>
        </is>
      </c>
      <c r="D60" s="17" t="n">
        <v>45670</v>
      </c>
      <c r="E60" t="inlineStr">
        <is>
          <t>RePut.ai</t>
        </is>
      </c>
      <c r="F60" t="inlineStr">
        <is>
          <t>$1 million</t>
        </is>
      </c>
      <c r="G60" s="19" t="n"/>
      <c r="H60" s="19" t="n">
        <v>1</v>
      </c>
      <c r="I60" t="inlineStr">
        <is>
          <t>Pre-Seed</t>
        </is>
      </c>
      <c r="J60" t="inlineStr">
        <is>
          <t>GrowthCap Ventures</t>
        </is>
      </c>
      <c r="K60" t="inlineStr">
        <is>
          <t>https://entrackr.com/snippets/reputai-closes-1-mn-in-pre-seed-round-led-by-growthcap-ventures-8619352</t>
        </is>
      </c>
    </row>
    <row r="61">
      <c r="A61" t="inlineStr">
        <is>
          <t>ENT-8614194</t>
        </is>
      </c>
      <c r="B61" t="inlineStr">
        <is>
          <t>R250113-bobabhai</t>
        </is>
      </c>
      <c r="C61" t="inlineStr">
        <is>
          <t>Entrackr</t>
        </is>
      </c>
      <c r="D61" s="17" t="n">
        <v>45670</v>
      </c>
      <c r="E61" t="inlineStr">
        <is>
          <t>Boba Bhai</t>
        </is>
      </c>
      <c r="F61" t="inlineStr">
        <is>
          <t>Rs 30 crore</t>
        </is>
      </c>
      <c r="G61" s="19" t="n">
        <v>30</v>
      </c>
      <c r="H61" s="19" t="n">
        <v>3.4</v>
      </c>
      <c r="I61" t="inlineStr">
        <is>
          <t>Series A</t>
        </is>
      </c>
      <c r="J61" t="inlineStr">
        <is>
          <t>8i Ventures</t>
        </is>
      </c>
      <c r="K61" t="inlineStr">
        <is>
          <t>https://entrackr.com/snippets/bubble-tea-brand-boba-bhai-raises-rs-30-cr-in-series-a-round-8614194</t>
        </is>
      </c>
    </row>
    <row r="62">
      <c r="A62" t="inlineStr">
        <is>
          <t>ET-117178912</t>
        </is>
      </c>
      <c r="B62" t="inlineStr">
        <is>
          <t>R250113-bobabhai</t>
        </is>
      </c>
      <c r="C62" t="inlineStr">
        <is>
          <t>The Economic Times</t>
        </is>
      </c>
      <c r="D62" s="17" t="n">
        <v>45670</v>
      </c>
      <c r="E62" t="inlineStr">
        <is>
          <t>Boba Bhai</t>
        </is>
      </c>
      <c r="F62" t="inlineStr">
        <is>
          <t>Rs 30 crore</t>
        </is>
      </c>
      <c r="G62" s="19" t="n">
        <v>30</v>
      </c>
      <c r="H62" s="19" t="n"/>
      <c r="I62" t="inlineStr">
        <is>
          <t>Undisclosed</t>
        </is>
      </c>
      <c r="J62" t="inlineStr">
        <is>
          <t>8i Ventures</t>
        </is>
      </c>
      <c r="K62" t="inlineStr">
        <is>
          <t>https://economictimes.indiatimes.com/tech/funding/quick-service-restaurant-boba-bhai-raises-rs-30-crore-in-round-led-by-8i-ventures/articleshow/117178912.cms</t>
        </is>
      </c>
    </row>
    <row r="63">
      <c r="A63" t="inlineStr">
        <is>
          <t>INC-20250118-13</t>
        </is>
      </c>
      <c r="B63" t="inlineStr">
        <is>
          <t>R250113-bobabhai</t>
        </is>
      </c>
      <c r="C63" t="inlineStr">
        <is>
          <t>Inc42</t>
        </is>
      </c>
      <c r="D63" s="17" t="n">
        <v>45670</v>
      </c>
      <c r="E63" t="inlineStr">
        <is>
          <t>Boba Bhai</t>
        </is>
      </c>
      <c r="F63" t="inlineStr">
        <is>
          <t>$3.4 Mn</t>
        </is>
      </c>
      <c r="G63" s="19" t="n"/>
      <c r="H63" s="19" t="n">
        <v>3.4</v>
      </c>
      <c r="I63" t="inlineStr">
        <is>
          <t>Series A</t>
        </is>
      </c>
      <c r="J63" t="inlineStr">
        <is>
          <t>8i Ventures</t>
        </is>
      </c>
      <c r="K63" t="inlineStr">
        <is>
          <t>https://inc42.com/buzz/from-netradyne-to-foxtale-indian-startups-raised-308-mn-this-week/</t>
        </is>
      </c>
    </row>
    <row r="64">
      <c r="A64" t="inlineStr">
        <is>
          <t>INC-20250118-02</t>
        </is>
      </c>
      <c r="B64" t="inlineStr">
        <is>
          <t>R250113-weworkindia</t>
        </is>
      </c>
      <c r="C64" t="inlineStr">
        <is>
          <t>Inc42</t>
        </is>
      </c>
      <c r="D64" s="17" t="n">
        <v>45670</v>
      </c>
      <c r="E64" t="inlineStr">
        <is>
          <t>WeWork India</t>
        </is>
      </c>
      <c r="F64" t="inlineStr">
        <is>
          <t>$57.7 Mn</t>
        </is>
      </c>
      <c r="G64" s="19" t="n"/>
      <c r="H64" s="19" t="n">
        <v>57.7</v>
      </c>
      <c r="I64" t="inlineStr">
        <is>
          <t>Undisclosed</t>
        </is>
      </c>
      <c r="J64" t="inlineStr"/>
      <c r="K64" t="inlineStr">
        <is>
          <t>https://inc42.com/buzz/from-netradyne-to-foxtale-indian-startups-raised-308-mn-this-week/</t>
        </is>
      </c>
    </row>
    <row r="65">
      <c r="A65" t="inlineStr">
        <is>
          <t>ENT-8620040</t>
        </is>
      </c>
      <c r="B65" t="inlineStr">
        <is>
          <t>R250114-bgauss</t>
        </is>
      </c>
      <c r="C65" t="inlineStr">
        <is>
          <t>Entrackr</t>
        </is>
      </c>
      <c r="D65" s="17" t="n">
        <v>45671</v>
      </c>
      <c r="E65" t="inlineStr">
        <is>
          <t>BGauss</t>
        </is>
      </c>
      <c r="F65" t="inlineStr">
        <is>
          <t>Rs 161 crore</t>
        </is>
      </c>
      <c r="G65" s="19" t="n">
        <v>161</v>
      </c>
      <c r="H65" s="19" t="n">
        <v>18.6</v>
      </c>
      <c r="I65" t="inlineStr">
        <is>
          <t>Undisclosed</t>
        </is>
      </c>
      <c r="J65" t="inlineStr"/>
      <c r="K65" t="inlineStr">
        <is>
          <t>https://entrackr.com/news/ev-two-wheeler-manufacturer-bgauss-raises-rs-161-cr-8620040</t>
        </is>
      </c>
    </row>
    <row r="66">
      <c r="A66" t="inlineStr">
        <is>
          <t>ET-117211441</t>
        </is>
      </c>
      <c r="B66" t="inlineStr">
        <is>
          <t>R250114-bgauss</t>
        </is>
      </c>
      <c r="C66" t="inlineStr">
        <is>
          <t>The Economic Times</t>
        </is>
      </c>
      <c r="D66" s="17" t="n">
        <v>45671</v>
      </c>
      <c r="E66" t="inlineStr">
        <is>
          <t>BGauss</t>
        </is>
      </c>
      <c r="F66" t="inlineStr">
        <is>
          <t>Rs 161 crore</t>
        </is>
      </c>
      <c r="G66" s="19" t="n">
        <v>161</v>
      </c>
      <c r="H66" s="19" t="n"/>
      <c r="I66" t="inlineStr">
        <is>
          <t>Undisclosed</t>
        </is>
      </c>
      <c r="J66" t="inlineStr"/>
      <c r="K66" t="inlineStr">
        <is>
          <t>https://economictimes.indiatimes.com/tech/funding/electric-two-wheeler-startup-bgauss-raises-rs-161-crore-from-bharat-value-fund/articleshow/117211441.cms</t>
        </is>
      </c>
    </row>
    <row r="67">
      <c r="A67" t="inlineStr">
        <is>
          <t>INC-20250118-06</t>
        </is>
      </c>
      <c r="B67" t="inlineStr">
        <is>
          <t>R250114-bgauss</t>
        </is>
      </c>
      <c r="C67" t="inlineStr">
        <is>
          <t>Inc42</t>
        </is>
      </c>
      <c r="D67" s="17" t="n">
        <v>45671</v>
      </c>
      <c r="E67" t="inlineStr">
        <is>
          <t>BGauss</t>
        </is>
      </c>
      <c r="F67" t="inlineStr">
        <is>
          <t>$18.6 Mn</t>
        </is>
      </c>
      <c r="G67" s="19" t="n"/>
      <c r="H67" s="19" t="n">
        <v>18.6</v>
      </c>
      <c r="I67" t="inlineStr">
        <is>
          <t>Undisclosed</t>
        </is>
      </c>
      <c r="J67" t="inlineStr">
        <is>
          <t>Bharat Value Fund</t>
        </is>
      </c>
      <c r="K67" t="inlineStr">
        <is>
          <t>https://inc42.com/buzz/from-netradyne-to-foxtale-indian-startups-raised-308-mn-this-week/</t>
        </is>
      </c>
    </row>
    <row r="68">
      <c r="A68" t="inlineStr">
        <is>
          <t>INC-20250118-07</t>
        </is>
      </c>
      <c r="B68" t="inlineStr">
        <is>
          <t>R250114-bharatpe</t>
        </is>
      </c>
      <c r="C68" t="inlineStr">
        <is>
          <t>Inc42</t>
        </is>
      </c>
      <c r="D68" s="17" t="n">
        <v>45671</v>
      </c>
      <c r="E68" t="inlineStr">
        <is>
          <t>BharatPe</t>
        </is>
      </c>
      <c r="F68" t="inlineStr">
        <is>
          <t>$17.3 Mn</t>
        </is>
      </c>
      <c r="G68" s="19" t="n"/>
      <c r="H68" s="19" t="n">
        <v>17.3</v>
      </c>
      <c r="I68" t="inlineStr">
        <is>
          <t>Debt</t>
        </is>
      </c>
      <c r="J68" t="inlineStr"/>
      <c r="K68" t="inlineStr">
        <is>
          <t>https://inc42.com/buzz/from-netradyne-to-foxtale-indian-startups-raised-308-mn-this-week/</t>
        </is>
      </c>
    </row>
    <row r="69">
      <c r="A69" t="inlineStr">
        <is>
          <t>ET-117237257</t>
        </is>
      </c>
      <c r="B69" t="inlineStr">
        <is>
          <t>R250114-greenstitch</t>
        </is>
      </c>
      <c r="C69" t="inlineStr">
        <is>
          <t>The Economic Times</t>
        </is>
      </c>
      <c r="D69" s="17" t="n">
        <v>45671</v>
      </c>
      <c r="E69" t="inlineStr">
        <is>
          <t>GreenStitch</t>
        </is>
      </c>
      <c r="F69" t="inlineStr">
        <is>
          <t>$1.2 million</t>
        </is>
      </c>
      <c r="G69" s="19" t="n"/>
      <c r="H69" s="19" t="n">
        <v>1.2</v>
      </c>
      <c r="I69" t="inlineStr">
        <is>
          <t>Seed</t>
        </is>
      </c>
      <c r="J69" t="inlineStr">
        <is>
          <t>Equirus InnovateX Fund</t>
        </is>
      </c>
      <c r="K69" t="inlineStr">
        <is>
          <t>https://economictimes.indiatimes.com/tech/funding/climate-tech-startup-greenstitch-raises-1-2-million-from-equirus-innovatex-fund-others/articleshow/117237257.cms</t>
        </is>
      </c>
    </row>
    <row r="70">
      <c r="A70" t="inlineStr">
        <is>
          <t>ENT-8623238</t>
        </is>
      </c>
      <c r="B70" t="inlineStr">
        <is>
          <t>R250114-greenstitch</t>
        </is>
      </c>
      <c r="C70" t="inlineStr">
        <is>
          <t>Entrackr</t>
        </is>
      </c>
      <c r="D70" s="17" t="n">
        <v>45672</v>
      </c>
      <c r="E70" t="inlineStr">
        <is>
          <t>GreenStitch</t>
        </is>
      </c>
      <c r="F70" t="inlineStr">
        <is>
          <t>$1.2 million</t>
        </is>
      </c>
      <c r="G70" s="19" t="n"/>
      <c r="H70" s="19" t="n">
        <v>1.2</v>
      </c>
      <c r="I70" t="inlineStr">
        <is>
          <t>Seed</t>
        </is>
      </c>
      <c r="J70" t="inlineStr">
        <is>
          <t>Equirus InnovateX Fund</t>
        </is>
      </c>
      <c r="K70" t="inlineStr">
        <is>
          <t>https://entrackr.com/snippets/greenstitch-bags-12-mn-in-seed-round-8623238</t>
        </is>
      </c>
    </row>
    <row r="71">
      <c r="A71" t="inlineStr">
        <is>
          <t>ENT-8619966</t>
        </is>
      </c>
      <c r="B71" t="inlineStr">
        <is>
          <t>R250114-tractorfactory</t>
        </is>
      </c>
      <c r="C71" t="inlineStr">
        <is>
          <t>Entrackr</t>
        </is>
      </c>
      <c r="D71" s="17" t="n">
        <v>45671</v>
      </c>
      <c r="E71" t="inlineStr">
        <is>
          <t>Tractor Factory</t>
        </is>
      </c>
      <c r="F71" t="inlineStr">
        <is>
          <t>Rs 4 crore</t>
        </is>
      </c>
      <c r="G71" s="19" t="n">
        <v>4</v>
      </c>
      <c r="H71" s="19" t="n">
        <v>0.5</v>
      </c>
      <c r="I71" t="inlineStr">
        <is>
          <t>Pre-Seed</t>
        </is>
      </c>
      <c r="J71" t="inlineStr">
        <is>
          <t>All In Capital</t>
        </is>
      </c>
      <c r="K71" t="inlineStr">
        <is>
          <t>https://entrackr.com/snippets/tractor-factory-raises-500k-in-pre-seed-round-led-by-all-in-capital-8619966</t>
        </is>
      </c>
    </row>
    <row r="72">
      <c r="A72" t="inlineStr">
        <is>
          <t>INC-20250118-23</t>
        </is>
      </c>
      <c r="B72" t="inlineStr">
        <is>
          <t>R250114-tractorfactory</t>
        </is>
      </c>
      <c r="C72" t="inlineStr">
        <is>
          <t>Inc42</t>
        </is>
      </c>
      <c r="D72" s="17" t="n">
        <v>45671</v>
      </c>
      <c r="E72" t="inlineStr">
        <is>
          <t>Tractor Factory</t>
        </is>
      </c>
      <c r="F72" t="inlineStr">
        <is>
          <t>$500K</t>
        </is>
      </c>
      <c r="G72" s="19" t="n"/>
      <c r="H72" s="19" t="n">
        <v>0.5</v>
      </c>
      <c r="I72" t="inlineStr">
        <is>
          <t>Pre-Seed</t>
        </is>
      </c>
      <c r="J72" t="inlineStr">
        <is>
          <t>All In Capital</t>
        </is>
      </c>
      <c r="K72" t="inlineStr">
        <is>
          <t>https://inc42.com/buzz/from-netradyne-to-foxtale-indian-startups-raised-308-mn-this-week/</t>
        </is>
      </c>
    </row>
    <row r="73">
      <c r="A73" t="inlineStr">
        <is>
          <t>ET-117257400</t>
        </is>
      </c>
      <c r="B73" t="inlineStr">
        <is>
          <t>R250114-tractorfactory</t>
        </is>
      </c>
      <c r="C73" t="inlineStr">
        <is>
          <t>The Economic Times</t>
        </is>
      </c>
      <c r="D73" s="17" t="n">
        <v>45672</v>
      </c>
      <c r="E73" t="inlineStr">
        <is>
          <t>Tractor Factory</t>
        </is>
      </c>
      <c r="F73" t="inlineStr"/>
      <c r="G73" s="19" t="n"/>
      <c r="H73" s="19" t="n"/>
      <c r="I73" t="inlineStr">
        <is>
          <t>Pre-Seed</t>
        </is>
      </c>
      <c r="J73" t="inlineStr">
        <is>
          <t>All In Capital</t>
        </is>
      </c>
      <c r="K73" t="inlineStr">
        <is>
          <t>https://economictimes.indiatimes.com/tech/funding/pre-owned-tractors-and-farm-equipment-platform-tractor-factory-raises-funding-led-by-all-in-capital/articleshow/117257400.cms</t>
        </is>
      </c>
    </row>
    <row r="74">
      <c r="A74" t="inlineStr">
        <is>
          <t>ENT-8622777</t>
        </is>
      </c>
      <c r="B74" t="inlineStr">
        <is>
          <t>R250115-eccentricengin</t>
        </is>
      </c>
      <c r="C74" t="inlineStr">
        <is>
          <t>Entrackr</t>
        </is>
      </c>
      <c r="D74" s="17" t="n">
        <v>45672</v>
      </c>
      <c r="E74" t="inlineStr">
        <is>
          <t>Eccentric Engine</t>
        </is>
      </c>
      <c r="F74" t="inlineStr">
        <is>
          <t>$5 million</t>
        </is>
      </c>
      <c r="G74" s="19" t="n"/>
      <c r="H74" s="19" t="n">
        <v>5</v>
      </c>
      <c r="I74" t="inlineStr">
        <is>
          <t>Pre-Series A</t>
        </is>
      </c>
      <c r="J74" t="inlineStr">
        <is>
          <t>Exfinity Venture Partners; Arkam Ventures</t>
        </is>
      </c>
      <c r="K74" t="inlineStr">
        <is>
          <t>https://entrackr.com/snippets/eccentric-engine-raises-5-mn-in-pre-series-a-round-8622777</t>
        </is>
      </c>
    </row>
    <row r="75">
      <c r="A75" t="inlineStr">
        <is>
          <t>ET-117242387</t>
        </is>
      </c>
      <c r="B75" t="inlineStr">
        <is>
          <t>R250115-eccentricengin</t>
        </is>
      </c>
      <c r="C75" t="inlineStr">
        <is>
          <t>The Economic Times</t>
        </is>
      </c>
      <c r="D75" s="17" t="n">
        <v>45672</v>
      </c>
      <c r="E75" t="inlineStr">
        <is>
          <t>Eccentric</t>
        </is>
      </c>
      <c r="F75" t="inlineStr">
        <is>
          <t>$5 million</t>
        </is>
      </c>
      <c r="G75" s="19" t="n"/>
      <c r="H75" s="19" t="n">
        <v>5</v>
      </c>
      <c r="I75" t="inlineStr">
        <is>
          <t>Pre-Series A</t>
        </is>
      </c>
      <c r="J75" t="inlineStr">
        <is>
          <t>Exfinity Venture Partners; Arkam Ventures</t>
        </is>
      </c>
      <c r="K75" t="inlineStr">
        <is>
          <t>https://economictimes.indiatimes.com/tech/funding/automotive-3d-visualisation-startup-eccentric-raises-5-million-in-pre-series-a-funding/articleshow/117242387.cms</t>
        </is>
      </c>
    </row>
    <row r="76">
      <c r="A76" t="inlineStr">
        <is>
          <t>INC-20250118-10</t>
        </is>
      </c>
      <c r="B76" t="inlineStr">
        <is>
          <t>R250115-eccentricengin</t>
        </is>
      </c>
      <c r="C76" t="inlineStr">
        <is>
          <t>Inc42</t>
        </is>
      </c>
      <c r="D76" s="17" t="n">
        <v>45672</v>
      </c>
      <c r="E76" t="inlineStr">
        <is>
          <t>Eccentric</t>
        </is>
      </c>
      <c r="F76" t="inlineStr">
        <is>
          <t>$5 Mn</t>
        </is>
      </c>
      <c r="G76" s="19" t="n"/>
      <c r="H76" s="19" t="n">
        <v>5</v>
      </c>
      <c r="I76" t="inlineStr">
        <is>
          <t>Pre-Series A</t>
        </is>
      </c>
      <c r="J76" t="inlineStr">
        <is>
          <t>Exfinity Venture Partners; Arkam Ventures</t>
        </is>
      </c>
      <c r="K76" t="inlineStr">
        <is>
          <t>https://inc42.com/buzz/from-netradyne-to-foxtale-indian-startups-raised-308-mn-this-week/</t>
        </is>
      </c>
    </row>
    <row r="77">
      <c r="A77" t="inlineStr">
        <is>
          <t>ENT-8623678</t>
        </is>
      </c>
      <c r="B77" t="inlineStr">
        <is>
          <t>R250115-ecozen</t>
        </is>
      </c>
      <c r="C77" t="inlineStr">
        <is>
          <t>Entrackr</t>
        </is>
      </c>
      <c r="D77" s="17" t="n">
        <v>45672</v>
      </c>
      <c r="E77" t="inlineStr">
        <is>
          <t>Ecozen</t>
        </is>
      </c>
      <c r="F77" t="inlineStr">
        <is>
          <t>$23 million</t>
        </is>
      </c>
      <c r="G77" s="19" t="n"/>
      <c r="H77" s="19" t="n">
        <v>23</v>
      </c>
      <c r="I77" t="inlineStr">
        <is>
          <t>Debt</t>
        </is>
      </c>
      <c r="J77" t="inlineStr"/>
      <c r="K77" t="inlineStr">
        <is>
          <t>https://entrackr.com/news/climate-tech-startup-ecozen-raises-23-mn-in-debt-8623678</t>
        </is>
      </c>
    </row>
    <row r="78">
      <c r="A78" t="inlineStr">
        <is>
          <t>INC-20250118-04</t>
        </is>
      </c>
      <c r="B78" t="inlineStr">
        <is>
          <t>R250115-ecozen</t>
        </is>
      </c>
      <c r="C78" t="inlineStr">
        <is>
          <t>Inc42</t>
        </is>
      </c>
      <c r="D78" s="17" t="n">
        <v>45672</v>
      </c>
      <c r="E78" t="inlineStr">
        <is>
          <t>Ecozen</t>
        </is>
      </c>
      <c r="F78" t="inlineStr">
        <is>
          <t>$23 Mn</t>
        </is>
      </c>
      <c r="G78" s="19" t="n"/>
      <c r="H78" s="19" t="n">
        <v>23</v>
      </c>
      <c r="I78" t="inlineStr">
        <is>
          <t>Debt</t>
        </is>
      </c>
      <c r="J78" t="inlineStr"/>
      <c r="K78" t="inlineStr">
        <is>
          <t>https://inc42.com/buzz/from-netradyne-to-foxtale-indian-startups-raised-308-mn-this-week/</t>
        </is>
      </c>
    </row>
    <row r="79">
      <c r="A79" t="inlineStr">
        <is>
          <t>INC-20250118-19</t>
        </is>
      </c>
      <c r="B79" t="inlineStr">
        <is>
          <t>R250115-erlysign</t>
        </is>
      </c>
      <c r="C79" t="inlineStr">
        <is>
          <t>Inc42</t>
        </is>
      </c>
      <c r="D79" s="17" t="n">
        <v>45672</v>
      </c>
      <c r="E79" t="inlineStr">
        <is>
          <t>ErlySign</t>
        </is>
      </c>
      <c r="F79" t="inlineStr">
        <is>
          <t>$1.8 Mn</t>
        </is>
      </c>
      <c r="G79" s="19" t="n"/>
      <c r="H79" s="19" t="n">
        <v>1.8</v>
      </c>
      <c r="I79" t="inlineStr">
        <is>
          <t>Pre-Series A</t>
        </is>
      </c>
      <c r="J79" t="inlineStr">
        <is>
          <t>Ashish Kacholia</t>
        </is>
      </c>
      <c r="K79" t="inlineStr">
        <is>
          <t>https://inc42.com/buzz/from-netradyne-to-foxtale-indian-startups-raised-308-mn-this-week/</t>
        </is>
      </c>
    </row>
    <row r="80">
      <c r="A80" t="inlineStr">
        <is>
          <t>ENT-8625920</t>
        </is>
      </c>
      <c r="B80" t="inlineStr">
        <is>
          <t>R250115-erlysign</t>
        </is>
      </c>
      <c r="C80" t="inlineStr">
        <is>
          <t>Entrackr</t>
        </is>
      </c>
      <c r="D80" s="17" t="n">
        <v>45673</v>
      </c>
      <c r="E80" t="inlineStr">
        <is>
          <t>ErlySign</t>
        </is>
      </c>
      <c r="F80" t="inlineStr">
        <is>
          <t>Rs 16 crore</t>
        </is>
      </c>
      <c r="G80" s="19" t="n">
        <v>16</v>
      </c>
      <c r="H80" s="19" t="n">
        <v>1.8</v>
      </c>
      <c r="I80" t="inlineStr">
        <is>
          <t>Pre-Series A</t>
        </is>
      </c>
      <c r="J80" t="inlineStr"/>
      <c r="K80" t="inlineStr">
        <is>
          <t>https://entrackr.com/snippets/erlysign-raises-18-mn-in-pre-series-a-round-from-ashish-kacholia-8625920</t>
        </is>
      </c>
    </row>
    <row r="81">
      <c r="A81" t="inlineStr">
        <is>
          <t>INC-20250118-05</t>
        </is>
      </c>
      <c r="B81" t="inlineStr">
        <is>
          <t>R250115-eulermotors</t>
        </is>
      </c>
      <c r="C81" t="inlineStr">
        <is>
          <t>Inc42</t>
        </is>
      </c>
      <c r="D81" s="17" t="n">
        <v>45672</v>
      </c>
      <c r="E81" t="inlineStr">
        <is>
          <t>Euler Motors</t>
        </is>
      </c>
      <c r="F81" t="inlineStr">
        <is>
          <t>$20 Mn</t>
        </is>
      </c>
      <c r="G81" s="19" t="n"/>
      <c r="H81" s="19" t="n">
        <v>20</v>
      </c>
      <c r="I81" t="inlineStr">
        <is>
          <t>Debt</t>
        </is>
      </c>
      <c r="J81" t="inlineStr"/>
      <c r="K81" t="inlineStr">
        <is>
          <t>https://inc42.com/buzz/from-netradyne-to-foxtale-indian-startups-raised-308-mn-this-week/</t>
        </is>
      </c>
    </row>
    <row r="82">
      <c r="A82" t="inlineStr">
        <is>
          <t>ENT-8623443</t>
        </is>
      </c>
      <c r="B82" t="inlineStr">
        <is>
          <t>R250115-foxtale</t>
        </is>
      </c>
      <c r="C82" t="inlineStr">
        <is>
          <t>Entrackr</t>
        </is>
      </c>
      <c r="D82" s="17" t="n">
        <v>45672</v>
      </c>
      <c r="E82" t="inlineStr">
        <is>
          <t>Foxtale</t>
        </is>
      </c>
      <c r="F82" t="inlineStr">
        <is>
          <t>$30 million</t>
        </is>
      </c>
      <c r="G82" s="19" t="n">
        <v>250</v>
      </c>
      <c r="H82" s="19" t="n">
        <v>30</v>
      </c>
      <c r="I82" t="inlineStr">
        <is>
          <t>Undisclosed</t>
        </is>
      </c>
      <c r="J82" t="inlineStr">
        <is>
          <t>Kose Corporation</t>
        </is>
      </c>
      <c r="K82" t="inlineStr">
        <is>
          <t>https://entrackr.com/news/d2c-skincare-brand-foxtale-raises-30-mn-8623443</t>
        </is>
      </c>
    </row>
    <row r="83">
      <c r="A83" t="inlineStr">
        <is>
          <t>ET-117259339</t>
        </is>
      </c>
      <c r="B83" t="inlineStr">
        <is>
          <t>R250115-foxtale</t>
        </is>
      </c>
      <c r="C83" t="inlineStr">
        <is>
          <t>The Economic Times</t>
        </is>
      </c>
      <c r="D83" s="17" t="n">
        <v>45672</v>
      </c>
      <c r="E83" t="inlineStr">
        <is>
          <t>Foxtale</t>
        </is>
      </c>
      <c r="F83" t="inlineStr">
        <is>
          <t>$30 million</t>
        </is>
      </c>
      <c r="G83" s="19" t="n">
        <v>250</v>
      </c>
      <c r="H83" s="19" t="n">
        <v>30</v>
      </c>
      <c r="I83" t="inlineStr">
        <is>
          <t>Undisclosed</t>
        </is>
      </c>
      <c r="J83" t="inlineStr">
        <is>
          <t>Kose Corporation</t>
        </is>
      </c>
      <c r="K83" t="inlineStr">
        <is>
          <t>https://economictimes.indiatimes.com/tech/funding/skincare-brand-foxtale-raises-30-million-led-by-japanese-beauty-firm-kose-corporation/articleshow/117259339.cms</t>
        </is>
      </c>
    </row>
    <row r="84">
      <c r="A84" t="inlineStr">
        <is>
          <t>INC-20250118-03</t>
        </is>
      </c>
      <c r="B84" t="inlineStr">
        <is>
          <t>R250115-foxtale</t>
        </is>
      </c>
      <c r="C84" t="inlineStr">
        <is>
          <t>Inc42</t>
        </is>
      </c>
      <c r="D84" s="17" t="n">
        <v>45672</v>
      </c>
      <c r="E84" t="inlineStr">
        <is>
          <t>Foxtale</t>
        </is>
      </c>
      <c r="F84" t="inlineStr">
        <is>
          <t>$30 Mn</t>
        </is>
      </c>
      <c r="G84" s="19" t="n"/>
      <c r="H84" s="19" t="n">
        <v>30</v>
      </c>
      <c r="I84" t="inlineStr">
        <is>
          <t>Series C</t>
        </is>
      </c>
      <c r="J84" t="inlineStr">
        <is>
          <t>KOSÉ Corporation</t>
        </is>
      </c>
      <c r="K84" t="inlineStr">
        <is>
          <t>https://inc42.com/buzz/from-netradyne-to-foxtale-indian-startups-raised-308-mn-this-week/</t>
        </is>
      </c>
    </row>
    <row r="85">
      <c r="A85" t="inlineStr">
        <is>
          <t>ENT-8622828</t>
        </is>
      </c>
      <c r="B85" t="inlineStr">
        <is>
          <t>R250115-orbitaid</t>
        </is>
      </c>
      <c r="C85" t="inlineStr">
        <is>
          <t>Entrackr</t>
        </is>
      </c>
      <c r="D85" s="17" t="n">
        <v>45672</v>
      </c>
      <c r="E85" t="inlineStr">
        <is>
          <t>OrbitAID</t>
        </is>
      </c>
      <c r="F85" t="inlineStr">
        <is>
          <t>$1.5 million</t>
        </is>
      </c>
      <c r="G85" s="19" t="n"/>
      <c r="H85" s="19" t="n">
        <v>1.5</v>
      </c>
      <c r="I85" t="inlineStr">
        <is>
          <t>Pre-Seed</t>
        </is>
      </c>
      <c r="J85" t="inlineStr">
        <is>
          <t>Unicorn India Ventures</t>
        </is>
      </c>
      <c r="K85" t="inlineStr">
        <is>
          <t>https://entrackr.com/snippets/spacetech-startup-orbitaid-raises-15-mn-led-by-unicorn-india-ventures-8622828</t>
        </is>
      </c>
    </row>
    <row r="86">
      <c r="A86" t="inlineStr">
        <is>
          <t>ET-117264412</t>
        </is>
      </c>
      <c r="B86" t="inlineStr">
        <is>
          <t>R250115-orbitaid</t>
        </is>
      </c>
      <c r="C86" t="inlineStr">
        <is>
          <t>The Economic Times</t>
        </is>
      </c>
      <c r="D86" s="17" t="n">
        <v>45672</v>
      </c>
      <c r="E86" t="inlineStr">
        <is>
          <t>OrbitAID</t>
        </is>
      </c>
      <c r="F86" t="inlineStr">
        <is>
          <t>$1.5 million</t>
        </is>
      </c>
      <c r="G86" s="19" t="n"/>
      <c r="H86" s="19" t="n">
        <v>1.5</v>
      </c>
      <c r="I86" t="inlineStr">
        <is>
          <t>Pre-Seed</t>
        </is>
      </c>
      <c r="J86" t="inlineStr">
        <is>
          <t>Unicorn India Ventures</t>
        </is>
      </c>
      <c r="K86" t="inlineStr">
        <is>
          <t>https://economictimes.indiatimes.com/tech/funding/spacetech-startup-orbitaid-raises-1-5-million-led-by-unicorn-india-ventures/articleshow/117264412.cms</t>
        </is>
      </c>
    </row>
    <row r="87">
      <c r="A87" t="inlineStr">
        <is>
          <t>INC-20250118-21</t>
        </is>
      </c>
      <c r="B87" t="inlineStr">
        <is>
          <t>R250115-orbitaid</t>
        </is>
      </c>
      <c r="C87" t="inlineStr">
        <is>
          <t>Inc42</t>
        </is>
      </c>
      <c r="D87" s="17" t="n">
        <v>45672</v>
      </c>
      <c r="E87" t="inlineStr">
        <is>
          <t>OrbitAID</t>
        </is>
      </c>
      <c r="F87" t="inlineStr">
        <is>
          <t>$1.5 Mn</t>
        </is>
      </c>
      <c r="G87" s="19" t="n"/>
      <c r="H87" s="19" t="n">
        <v>1.5</v>
      </c>
      <c r="I87" t="inlineStr">
        <is>
          <t>Pre-Seed</t>
        </is>
      </c>
      <c r="J87" t="inlineStr">
        <is>
          <t>Unicorn India Ventures</t>
        </is>
      </c>
      <c r="K87" t="inlineStr">
        <is>
          <t>https://inc42.com/buzz/from-netradyne-to-foxtale-indian-startups-raised-308-mn-this-week/</t>
        </is>
      </c>
    </row>
    <row r="88">
      <c r="A88" t="inlineStr">
        <is>
          <t>ENT-8623699</t>
        </is>
      </c>
      <c r="B88" t="inlineStr">
        <is>
          <t>R250115-parkmate</t>
        </is>
      </c>
      <c r="C88" t="inlineStr">
        <is>
          <t>Entrackr</t>
        </is>
      </c>
      <c r="D88" s="17" t="n">
        <v>45672</v>
      </c>
      <c r="E88" t="inlineStr">
        <is>
          <t>ParkMate</t>
        </is>
      </c>
      <c r="F88" t="inlineStr">
        <is>
          <t>$1.2 million</t>
        </is>
      </c>
      <c r="G88" s="19" t="n"/>
      <c r="H88" s="19" t="n">
        <v>1.2</v>
      </c>
      <c r="I88" t="inlineStr">
        <is>
          <t>Undisclosed</t>
        </is>
      </c>
      <c r="J88" t="inlineStr">
        <is>
          <t>Cactus Partners; Marwah Group Family Office</t>
        </is>
      </c>
      <c r="K88" t="inlineStr">
        <is>
          <t>https://entrackr.com/snippets/cactus-partners-leads-12-mn-round-in-parkmate-8623699</t>
        </is>
      </c>
    </row>
    <row r="89">
      <c r="A89" t="inlineStr">
        <is>
          <t>INC-20250118-22</t>
        </is>
      </c>
      <c r="B89" t="inlineStr">
        <is>
          <t>R250115-parkmate</t>
        </is>
      </c>
      <c r="C89" t="inlineStr">
        <is>
          <t>Inc42</t>
        </is>
      </c>
      <c r="D89" s="17" t="n">
        <v>45673</v>
      </c>
      <c r="E89" t="inlineStr">
        <is>
          <t>ParkMate</t>
        </is>
      </c>
      <c r="F89" t="inlineStr">
        <is>
          <t>$1.2 Mn</t>
        </is>
      </c>
      <c r="G89" s="19" t="n"/>
      <c r="H89" s="19" t="n">
        <v>1.2</v>
      </c>
      <c r="I89" t="inlineStr">
        <is>
          <t>Undisclosed</t>
        </is>
      </c>
      <c r="J89" t="inlineStr">
        <is>
          <t>Cactus Partners</t>
        </is>
      </c>
      <c r="K89" t="inlineStr">
        <is>
          <t>https://inc42.com/buzz/from-netradyne-to-foxtale-indian-startups-raised-308-mn-this-week/</t>
        </is>
      </c>
    </row>
    <row r="90">
      <c r="A90" t="inlineStr">
        <is>
          <t>ENT-8622762</t>
        </is>
      </c>
      <c r="B90" t="inlineStr">
        <is>
          <t>R250115-sarlaaviation</t>
        </is>
      </c>
      <c r="C90" t="inlineStr">
        <is>
          <t>Entrackr</t>
        </is>
      </c>
      <c r="D90" s="17" t="n">
        <v>45672</v>
      </c>
      <c r="E90" t="inlineStr">
        <is>
          <t>Sarla Aviation</t>
        </is>
      </c>
      <c r="F90" t="inlineStr">
        <is>
          <t>$10 million</t>
        </is>
      </c>
      <c r="G90" s="19" t="n"/>
      <c r="H90" s="19" t="n">
        <v>10</v>
      </c>
      <c r="I90" t="inlineStr">
        <is>
          <t>Undisclosed</t>
        </is>
      </c>
      <c r="J90" t="inlineStr">
        <is>
          <t>Accel</t>
        </is>
      </c>
      <c r="K90" t="inlineStr">
        <is>
          <t>https://entrackr.com/snippets/aerospace-startup-sarla-aviation-raises-10-mn-led-by-accel-8622762</t>
        </is>
      </c>
    </row>
    <row r="91">
      <c r="A91" t="inlineStr">
        <is>
          <t>ET-117244903</t>
        </is>
      </c>
      <c r="B91" t="inlineStr">
        <is>
          <t>R250115-sarlaaviation</t>
        </is>
      </c>
      <c r="C91" t="inlineStr">
        <is>
          <t>The Economic Times</t>
        </is>
      </c>
      <c r="D91" s="17" t="n">
        <v>45672</v>
      </c>
      <c r="E91" t="inlineStr">
        <is>
          <t>Sarla Aviation</t>
        </is>
      </c>
      <c r="F91" t="inlineStr">
        <is>
          <t>$10 million</t>
        </is>
      </c>
      <c r="G91" s="19" t="n"/>
      <c r="H91" s="19" t="n">
        <v>10</v>
      </c>
      <c r="I91" t="inlineStr">
        <is>
          <t>Undisclosed</t>
        </is>
      </c>
      <c r="J91" t="inlineStr">
        <is>
          <t>Accel</t>
        </is>
      </c>
      <c r="K91" t="inlineStr">
        <is>
          <t>https://economictimes.indiatimes.com/tech/funding/aerospace-startup-sarla-aviation-raises-10-million-to-build-electric-flying-taxis/articleshow/117244903.cms</t>
        </is>
      </c>
    </row>
    <row r="92">
      <c r="A92" t="inlineStr">
        <is>
          <t>INC-20250118-08</t>
        </is>
      </c>
      <c r="B92" t="inlineStr">
        <is>
          <t>R250115-sarlaaviation</t>
        </is>
      </c>
      <c r="C92" t="inlineStr">
        <is>
          <t>Inc42</t>
        </is>
      </c>
      <c r="D92" s="17" t="n">
        <v>45672</v>
      </c>
      <c r="E92" t="inlineStr">
        <is>
          <t>Sarla Aviation</t>
        </is>
      </c>
      <c r="F92" t="inlineStr">
        <is>
          <t>$10 Mn</t>
        </is>
      </c>
      <c r="G92" s="19" t="n"/>
      <c r="H92" s="19" t="n">
        <v>10</v>
      </c>
      <c r="I92" t="inlineStr">
        <is>
          <t>Series A</t>
        </is>
      </c>
      <c r="J92" t="inlineStr">
        <is>
          <t>Accel</t>
        </is>
      </c>
      <c r="K92" t="inlineStr">
        <is>
          <t>https://inc42.com/buzz/from-netradyne-to-foxtale-indian-startups-raised-308-mn-this-week/</t>
        </is>
      </c>
    </row>
    <row r="93">
      <c r="A93" t="inlineStr">
        <is>
          <t>ENT-8622991</t>
        </is>
      </c>
      <c r="B93" t="inlineStr">
        <is>
          <t>R250115-sukoonunlimite</t>
        </is>
      </c>
      <c r="C93" t="inlineStr">
        <is>
          <t>Entrackr</t>
        </is>
      </c>
      <c r="D93" s="17" t="n">
        <v>45672</v>
      </c>
      <c r="E93" t="inlineStr">
        <is>
          <t>Sukoon Unlimited</t>
        </is>
      </c>
      <c r="F93" t="inlineStr">
        <is>
          <t>$430K</t>
        </is>
      </c>
      <c r="G93" s="19" t="n"/>
      <c r="H93" s="19" t="n">
        <v>0.43</v>
      </c>
      <c r="I93" t="inlineStr">
        <is>
          <t>Pre-Seed</t>
        </is>
      </c>
      <c r="J93" t="inlineStr"/>
      <c r="K93" t="inlineStr">
        <is>
          <t>https://entrackr.com/snippets/agetech-startup-sukoon-unlimited-raises-pre-seed-round-8622991</t>
        </is>
      </c>
    </row>
    <row r="94">
      <c r="A94" t="inlineStr">
        <is>
          <t>INC-20250118-24</t>
        </is>
      </c>
      <c r="B94" t="inlineStr">
        <is>
          <t>R250115-sukoonunlimite</t>
        </is>
      </c>
      <c r="C94" t="inlineStr">
        <is>
          <t>Inc42</t>
        </is>
      </c>
      <c r="D94" s="17" t="n">
        <v>45672</v>
      </c>
      <c r="E94" t="inlineStr">
        <is>
          <t>Sukoon Unlimited</t>
        </is>
      </c>
      <c r="F94" t="inlineStr">
        <is>
          <t>$430K</t>
        </is>
      </c>
      <c r="G94" s="19" t="n"/>
      <c r="H94" s="19" t="n">
        <v>0.43</v>
      </c>
      <c r="I94" t="inlineStr">
        <is>
          <t>Pre-Seed</t>
        </is>
      </c>
      <c r="J94" t="inlineStr"/>
      <c r="K94" t="inlineStr">
        <is>
          <t>https://inc42.com/buzz/from-netradyne-to-foxtale-indian-startups-raised-308-mn-this-week/</t>
        </is>
      </c>
    </row>
    <row r="95">
      <c r="A95" t="inlineStr">
        <is>
          <t>ENT-8623233</t>
        </is>
      </c>
      <c r="B95" t="inlineStr">
        <is>
          <t>R250115-tyreplex</t>
        </is>
      </c>
      <c r="C95" t="inlineStr">
        <is>
          <t>Entrackr</t>
        </is>
      </c>
      <c r="D95" s="17" t="n">
        <v>45672</v>
      </c>
      <c r="E95" t="inlineStr">
        <is>
          <t>TyrePlex</t>
        </is>
      </c>
      <c r="F95" t="inlineStr">
        <is>
          <t>Rs 20 crore</t>
        </is>
      </c>
      <c r="G95" s="19" t="n">
        <v>20</v>
      </c>
      <c r="H95" s="19" t="n">
        <v>2.4</v>
      </c>
      <c r="I95" t="inlineStr">
        <is>
          <t>Undisclosed</t>
        </is>
      </c>
      <c r="J95" t="inlineStr">
        <is>
          <t>PeerCapital</t>
        </is>
      </c>
      <c r="K95" t="inlineStr">
        <is>
          <t>https://entrackr.com/snippets/tyreplex-raises-rs-20-cr-from-peercapital-titan-capital-winners-fund-others-8623233</t>
        </is>
      </c>
    </row>
    <row r="96">
      <c r="A96" t="inlineStr">
        <is>
          <t>INC-20250118-15</t>
        </is>
      </c>
      <c r="B96" t="inlineStr">
        <is>
          <t>R250115-tyreplex</t>
        </is>
      </c>
      <c r="C96" t="inlineStr">
        <is>
          <t>Inc42</t>
        </is>
      </c>
      <c r="D96" s="17" t="n">
        <v>45672</v>
      </c>
      <c r="E96" t="inlineStr">
        <is>
          <t>TyrePlex</t>
        </is>
      </c>
      <c r="F96" t="inlineStr">
        <is>
          <t>$2.4 Mn</t>
        </is>
      </c>
      <c r="G96" s="19" t="n"/>
      <c r="H96" s="19" t="n">
        <v>2.4</v>
      </c>
      <c r="I96" t="inlineStr">
        <is>
          <t>Undisclosed</t>
        </is>
      </c>
      <c r="J96" t="inlineStr">
        <is>
          <t>PeerCapital</t>
        </is>
      </c>
      <c r="K96" t="inlineStr">
        <is>
          <t>https://inc42.com/buzz/from-netradyne-to-foxtale-indian-startups-raised-308-mn-this-week/</t>
        </is>
      </c>
    </row>
    <row r="97">
      <c r="A97" t="inlineStr">
        <is>
          <t>ENT-8626771</t>
        </is>
      </c>
      <c r="B97" t="inlineStr">
        <is>
          <t>R250116-astrosureai</t>
        </is>
      </c>
      <c r="C97" t="inlineStr">
        <is>
          <t>Entrackr</t>
        </is>
      </c>
      <c r="D97" s="17" t="n">
        <v>45673</v>
      </c>
      <c r="E97" t="inlineStr">
        <is>
          <t>AstroSure.ai</t>
        </is>
      </c>
      <c r="F97" t="inlineStr">
        <is>
          <t>$6 million</t>
        </is>
      </c>
      <c r="G97" s="19" t="n"/>
      <c r="H97" s="19" t="n">
        <v>6</v>
      </c>
      <c r="I97" t="inlineStr">
        <is>
          <t>Seed</t>
        </is>
      </c>
      <c r="J97" t="inlineStr">
        <is>
          <t>Pradeep Dadha</t>
        </is>
      </c>
      <c r="K97" t="inlineStr">
        <is>
          <t>https://entrackr.com/snippets/astrosureai-raises-6-mn-in-seed-round-8626771</t>
        </is>
      </c>
    </row>
    <row r="98">
      <c r="A98" t="inlineStr">
        <is>
          <t>INC-20250118-09</t>
        </is>
      </c>
      <c r="B98" t="inlineStr">
        <is>
          <t>R250116-astrosureai</t>
        </is>
      </c>
      <c r="C98" t="inlineStr">
        <is>
          <t>Inc42</t>
        </is>
      </c>
      <c r="D98" s="17" t="n">
        <v>45673</v>
      </c>
      <c r="E98" t="inlineStr">
        <is>
          <t>AstroSure</t>
        </is>
      </c>
      <c r="F98" t="inlineStr">
        <is>
          <t>$6 Mn</t>
        </is>
      </c>
      <c r="G98" s="19" t="n"/>
      <c r="H98" s="19" t="n">
        <v>6</v>
      </c>
      <c r="I98" t="inlineStr">
        <is>
          <t>Seed</t>
        </is>
      </c>
      <c r="J98" t="inlineStr">
        <is>
          <t>Pradeep Dadha</t>
        </is>
      </c>
      <c r="K98" t="inlineStr">
        <is>
          <t>https://inc42.com/buzz/from-netradyne-to-foxtale-indian-startups-raised-308-mn-this-week/</t>
        </is>
      </c>
    </row>
    <row r="99">
      <c r="A99" t="inlineStr">
        <is>
          <t>ET-117304142</t>
        </is>
      </c>
      <c r="B99" t="inlineStr">
        <is>
          <t>R250116-constelli</t>
        </is>
      </c>
      <c r="C99" t="inlineStr">
        <is>
          <t>The Economic Times</t>
        </is>
      </c>
      <c r="D99" s="17" t="n">
        <v>45673</v>
      </c>
      <c r="E99" t="inlineStr">
        <is>
          <t>Constelli</t>
        </is>
      </c>
      <c r="F99" t="inlineStr">
        <is>
          <t>$3 million</t>
        </is>
      </c>
      <c r="G99" s="19" t="n"/>
      <c r="H99" s="19" t="n">
        <v>3</v>
      </c>
      <c r="I99" t="inlineStr">
        <is>
          <t>Pre-Series A</t>
        </is>
      </c>
      <c r="J99" t="inlineStr">
        <is>
          <t>Pravega Ventures</t>
        </is>
      </c>
      <c r="K99" t="inlineStr">
        <is>
          <t>https://economictimes.indiatimes.com/tech/funding/defence-tech-startup-constelli-raises-3-million-in-pre-series-a-round-led-by-pravega-ventures/articleshow/117304142.cms</t>
        </is>
      </c>
    </row>
    <row r="100">
      <c r="A100" t="inlineStr">
        <is>
          <t>INC-20250118-14</t>
        </is>
      </c>
      <c r="B100" t="inlineStr">
        <is>
          <t>R250116-constelli</t>
        </is>
      </c>
      <c r="C100" t="inlineStr">
        <is>
          <t>Inc42</t>
        </is>
      </c>
      <c r="D100" s="17" t="n">
        <v>45673</v>
      </c>
      <c r="E100" t="inlineStr">
        <is>
          <t>Constelli</t>
        </is>
      </c>
      <c r="F100" t="inlineStr">
        <is>
          <t>$3 Mn</t>
        </is>
      </c>
      <c r="G100" s="19" t="n"/>
      <c r="H100" s="19" t="n">
        <v>3</v>
      </c>
      <c r="I100" t="inlineStr">
        <is>
          <t>Pre-Series A</t>
        </is>
      </c>
      <c r="J100" t="inlineStr">
        <is>
          <t>Pravega Ventures</t>
        </is>
      </c>
      <c r="K100" t="inlineStr">
        <is>
          <t>https://inc42.com/buzz/from-netradyne-to-foxtale-indian-startups-raised-308-mn-this-week/</t>
        </is>
      </c>
    </row>
    <row r="101">
      <c r="A101" t="inlineStr">
        <is>
          <t>ENT-8629310</t>
        </is>
      </c>
      <c r="B101" t="inlineStr">
        <is>
          <t>R250116-constelli</t>
        </is>
      </c>
      <c r="C101" t="inlineStr">
        <is>
          <t>Entrackr</t>
        </is>
      </c>
      <c r="D101" s="17" t="n">
        <v>45674</v>
      </c>
      <c r="E101" t="inlineStr">
        <is>
          <t>Constelli</t>
        </is>
      </c>
      <c r="F101" t="inlineStr">
        <is>
          <t>$3 million</t>
        </is>
      </c>
      <c r="G101" s="19" t="n"/>
      <c r="H101" s="19" t="n">
        <v>3</v>
      </c>
      <c r="I101" t="inlineStr">
        <is>
          <t>Pre-Series A</t>
        </is>
      </c>
      <c r="J101" t="inlineStr">
        <is>
          <t>Pravega Ventures</t>
        </is>
      </c>
      <c r="K101" t="inlineStr">
        <is>
          <t>https://entrackr.com/snippets/pravega-ventures-leads-3-mn-pre-series-a-round-in-constelli-8629310</t>
        </is>
      </c>
    </row>
    <row r="102">
      <c r="A102" t="inlineStr">
        <is>
          <t>ENT-8625857</t>
        </is>
      </c>
      <c r="B102" t="inlineStr">
        <is>
          <t>R250116-emiza</t>
        </is>
      </c>
      <c r="C102" t="inlineStr">
        <is>
          <t>Entrackr</t>
        </is>
      </c>
      <c r="D102" s="17" t="n">
        <v>45673</v>
      </c>
      <c r="E102" t="inlineStr">
        <is>
          <t>Emiza</t>
        </is>
      </c>
      <c r="F102" t="inlineStr">
        <is>
          <t>Rs 50 crore</t>
        </is>
      </c>
      <c r="G102" s="19" t="n">
        <v>50</v>
      </c>
      <c r="H102" s="19" t="n">
        <v>6</v>
      </c>
      <c r="I102" t="inlineStr">
        <is>
          <t>Undisclosed</t>
        </is>
      </c>
      <c r="J102" t="inlineStr">
        <is>
          <t>Evolvence India</t>
        </is>
      </c>
      <c r="K102" t="inlineStr">
        <is>
          <t>https://entrackr.com/exclusive/exclusive-emiza-supply-chain-kicks-off-new-funding-round-8625857</t>
        </is>
      </c>
    </row>
    <row r="103">
      <c r="A103" t="inlineStr">
        <is>
          <t>ENT-8626412</t>
        </is>
      </c>
      <c r="B103" t="inlineStr">
        <is>
          <t>R250116-fambo</t>
        </is>
      </c>
      <c r="C103" t="inlineStr">
        <is>
          <t>Entrackr</t>
        </is>
      </c>
      <c r="D103" s="17" t="n">
        <v>45673</v>
      </c>
      <c r="E103" t="inlineStr">
        <is>
          <t>Fambo</t>
        </is>
      </c>
      <c r="F103" t="inlineStr">
        <is>
          <t>Rs 21 crore</t>
        </is>
      </c>
      <c r="G103" s="19" t="n">
        <v>21</v>
      </c>
      <c r="H103" s="19" t="n">
        <v>2.5</v>
      </c>
      <c r="I103" t="inlineStr">
        <is>
          <t>Pre-Series A</t>
        </is>
      </c>
      <c r="J103" t="inlineStr">
        <is>
          <t>EV2 Ventures</t>
        </is>
      </c>
      <c r="K103" t="inlineStr">
        <is>
          <t>https://entrackr.com/snippets/foodtech-startup-fambo-raises-rs-21-cr-in-pre-series-a-funding-8626412</t>
        </is>
      </c>
    </row>
    <row r="104">
      <c r="A104" t="inlineStr">
        <is>
          <t>INC-20250118-17</t>
        </is>
      </c>
      <c r="B104" t="inlineStr">
        <is>
          <t>R250116-fambo</t>
        </is>
      </c>
      <c r="C104" t="inlineStr">
        <is>
          <t>Inc42</t>
        </is>
      </c>
      <c r="D104" s="17" t="n">
        <v>45673</v>
      </c>
      <c r="E104" t="inlineStr">
        <is>
          <t>Fambo</t>
        </is>
      </c>
      <c r="F104" t="inlineStr">
        <is>
          <t>$2.1 Mn</t>
        </is>
      </c>
      <c r="G104" s="19" t="n"/>
      <c r="H104" s="19" t="n">
        <v>2.1</v>
      </c>
      <c r="I104" t="inlineStr">
        <is>
          <t>Seed</t>
        </is>
      </c>
      <c r="J104" t="inlineStr">
        <is>
          <t>EV2 Ventures</t>
        </is>
      </c>
      <c r="K104" t="inlineStr">
        <is>
          <t>https://inc42.com/buzz/from-netradyne-to-foxtale-indian-startups-raised-308-mn-this-week/</t>
        </is>
      </c>
    </row>
    <row r="105">
      <c r="A105" t="inlineStr">
        <is>
          <t>ENT-8625846</t>
        </is>
      </c>
      <c r="B105" t="inlineStr">
        <is>
          <t>R250116-houseofchikank</t>
        </is>
      </c>
      <c r="C105" t="inlineStr">
        <is>
          <t>Entrackr</t>
        </is>
      </c>
      <c r="D105" s="17" t="n">
        <v>45673</v>
      </c>
      <c r="E105" t="inlineStr">
        <is>
          <t>House of Chikankari</t>
        </is>
      </c>
      <c r="F105" t="inlineStr">
        <is>
          <t>Rs 4 crore</t>
        </is>
      </c>
      <c r="G105" s="19" t="n">
        <v>4</v>
      </c>
      <c r="H105" s="19" t="n"/>
      <c r="I105" t="inlineStr">
        <is>
          <t>Seed</t>
        </is>
      </c>
      <c r="J105" t="inlineStr"/>
      <c r="K105" t="inlineStr">
        <is>
          <t>https://entrackr.com/snippets/house-of-chikankari-bags-rs-4-cr-in-seed-round-8625846</t>
        </is>
      </c>
    </row>
    <row r="106">
      <c r="A106" t="inlineStr">
        <is>
          <t>ENT-8625838</t>
        </is>
      </c>
      <c r="B106" t="inlineStr">
        <is>
          <t>R250116-kisaansay</t>
        </is>
      </c>
      <c r="C106" t="inlineStr">
        <is>
          <t>Entrackr</t>
        </is>
      </c>
      <c r="D106" s="17" t="n">
        <v>45673</v>
      </c>
      <c r="E106" t="inlineStr">
        <is>
          <t>KisaanSay</t>
        </is>
      </c>
      <c r="F106" t="inlineStr">
        <is>
          <t>$2 million</t>
        </is>
      </c>
      <c r="G106" s="19" t="n"/>
      <c r="H106" s="19" t="n">
        <v>2</v>
      </c>
      <c r="I106" t="inlineStr">
        <is>
          <t>Pre-Seed</t>
        </is>
      </c>
      <c r="J106" t="inlineStr">
        <is>
          <t>Jungle Ventures through First Cheque@Jungle</t>
        </is>
      </c>
      <c r="K106" t="inlineStr">
        <is>
          <t>https://entrackr.com/snippets/kisaansay-raises-2-mn-in-pre-seed-round-led-by-jungle-ventures-8625838</t>
        </is>
      </c>
    </row>
    <row r="107">
      <c r="A107" t="inlineStr">
        <is>
          <t>ENT-8626200</t>
        </is>
      </c>
      <c r="B107" t="inlineStr">
        <is>
          <t>R250116-motorfloor</t>
        </is>
      </c>
      <c r="C107" t="inlineStr">
        <is>
          <t>Entrackr</t>
        </is>
      </c>
      <c r="D107" s="17" t="n">
        <v>45673</v>
      </c>
      <c r="E107" t="inlineStr">
        <is>
          <t>Motorfloor</t>
        </is>
      </c>
      <c r="F107" t="inlineStr"/>
      <c r="G107" s="19" t="n"/>
      <c r="H107" s="19" t="n"/>
      <c r="I107" t="inlineStr">
        <is>
          <t>Pre-Seed</t>
        </is>
      </c>
      <c r="J107" t="inlineStr"/>
      <c r="K107" t="inlineStr">
        <is>
          <t>https://entrackr.com/snippets/autotech-startup-motorfloor-raises-pre-seed-round-8626200</t>
        </is>
      </c>
    </row>
    <row r="108">
      <c r="A108" t="inlineStr">
        <is>
          <t>ENT-8626156</t>
        </is>
      </c>
      <c r="B108" t="inlineStr">
        <is>
          <t>R250116-wevois</t>
        </is>
      </c>
      <c r="C108" t="inlineStr">
        <is>
          <t>Entrackr</t>
        </is>
      </c>
      <c r="D108" s="17" t="n">
        <v>45673</v>
      </c>
      <c r="E108" t="inlineStr">
        <is>
          <t>WeVOIS</t>
        </is>
      </c>
      <c r="F108" t="inlineStr">
        <is>
          <t>Rs 36 crore</t>
        </is>
      </c>
      <c r="G108" s="19" t="n">
        <v>36</v>
      </c>
      <c r="H108" s="19" t="n">
        <v>4.2</v>
      </c>
      <c r="I108" t="inlineStr">
        <is>
          <t>Series A</t>
        </is>
      </c>
      <c r="J108" t="inlineStr">
        <is>
          <t>Negen Capital; Vyom Wealth</t>
        </is>
      </c>
      <c r="K108" t="inlineStr">
        <is>
          <t>https://entrackr.com/snippets/wevois-raises-rs-36-cr-in-series-a-round-from-negen-capital-8626156</t>
        </is>
      </c>
    </row>
    <row r="109">
      <c r="A109" t="inlineStr">
        <is>
          <t>INC-20250118-12</t>
        </is>
      </c>
      <c r="B109" t="inlineStr">
        <is>
          <t>R250116-wevois</t>
        </is>
      </c>
      <c r="C109" t="inlineStr">
        <is>
          <t>Inc42</t>
        </is>
      </c>
      <c r="D109" s="17" t="n">
        <v>45674</v>
      </c>
      <c r="E109" t="inlineStr">
        <is>
          <t>WeVOIS</t>
        </is>
      </c>
      <c r="F109" t="inlineStr">
        <is>
          <t>$4.2 Mn</t>
        </is>
      </c>
      <c r="G109" s="19" t="n"/>
      <c r="H109" s="19" t="n">
        <v>4.2</v>
      </c>
      <c r="I109" t="inlineStr">
        <is>
          <t>Series A</t>
        </is>
      </c>
      <c r="J109" t="inlineStr">
        <is>
          <t>Negen Capital; Vyom Wealth</t>
        </is>
      </c>
      <c r="K109" t="inlineStr">
        <is>
          <t>https://inc42.com/buzz/from-netradyne-to-foxtale-indian-startups-raised-308-mn-this-week/</t>
        </is>
      </c>
    </row>
    <row r="110">
      <c r="A110" t="inlineStr">
        <is>
          <t>ENT-8626169</t>
        </is>
      </c>
      <c r="B110" t="inlineStr">
        <is>
          <t>R250116-zerocircle</t>
        </is>
      </c>
      <c r="C110" t="inlineStr">
        <is>
          <t>Entrackr</t>
        </is>
      </c>
      <c r="D110" s="17" t="n">
        <v>45673</v>
      </c>
      <c r="E110" t="inlineStr">
        <is>
          <t>Zerocircle</t>
        </is>
      </c>
      <c r="F110" t="inlineStr">
        <is>
          <t>Rs 20 crore</t>
        </is>
      </c>
      <c r="G110" s="19" t="n">
        <v>20</v>
      </c>
      <c r="H110" s="19" t="n">
        <v>2.3</v>
      </c>
      <c r="I110" t="inlineStr">
        <is>
          <t>Undisclosed</t>
        </is>
      </c>
      <c r="J110" t="inlineStr">
        <is>
          <t>Rainmatter</t>
        </is>
      </c>
      <c r="K110" t="inlineStr">
        <is>
          <t>https://entrackr.com/snippets/biotech-startup-zerocircle-raises-rs-20-cr-led-by-rainmatter-8626169</t>
        </is>
      </c>
    </row>
    <row r="111">
      <c r="A111" t="inlineStr">
        <is>
          <t>ET-117275981</t>
        </is>
      </c>
      <c r="B111" t="inlineStr">
        <is>
          <t>R250116-zerocircle</t>
        </is>
      </c>
      <c r="C111" t="inlineStr">
        <is>
          <t>The Economic Times</t>
        </is>
      </c>
      <c r="D111" s="17" t="n">
        <v>45673</v>
      </c>
      <c r="E111" t="inlineStr">
        <is>
          <t>Zerocircle</t>
        </is>
      </c>
      <c r="F111" t="inlineStr">
        <is>
          <t>Rs 20 crore</t>
        </is>
      </c>
      <c r="G111" s="19" t="n">
        <v>20</v>
      </c>
      <c r="H111" s="19" t="n"/>
      <c r="I111" t="inlineStr">
        <is>
          <t>Undisclosed</t>
        </is>
      </c>
      <c r="J111" t="inlineStr">
        <is>
          <t>Rainmatter</t>
        </is>
      </c>
      <c r="K111" t="inlineStr">
        <is>
          <t>https://economictimes.indiatimes.com/tech/funding/biotech-startup-zerocircle-raises-rs-20-crore-in-round-led-by-nithin-kamaths-rainmatter/articleshow/117275981.cms</t>
        </is>
      </c>
    </row>
    <row r="112">
      <c r="A112" t="inlineStr">
        <is>
          <t>INC-20250118-11</t>
        </is>
      </c>
      <c r="B112" t="inlineStr">
        <is>
          <t>R250117-boltearth</t>
        </is>
      </c>
      <c r="C112" t="inlineStr">
        <is>
          <t>Inc42</t>
        </is>
      </c>
      <c r="D112" s="17" t="n">
        <v>45674</v>
      </c>
      <c r="E112" t="inlineStr">
        <is>
          <t>Bolt.Earth</t>
        </is>
      </c>
      <c r="F112" t="inlineStr">
        <is>
          <t>$5 Mn</t>
        </is>
      </c>
      <c r="G112" s="19" t="n"/>
      <c r="H112" s="19" t="n">
        <v>5</v>
      </c>
      <c r="I112" t="inlineStr">
        <is>
          <t>Series A</t>
        </is>
      </c>
      <c r="J112" t="inlineStr">
        <is>
          <t>Version One Ventures</t>
        </is>
      </c>
      <c r="K112" t="inlineStr">
        <is>
          <t>https://inc42.com/buzz/from-netradyne-to-foxtale-indian-startups-raised-308-mn-this-week/</t>
        </is>
      </c>
    </row>
    <row r="113">
      <c r="A113" t="inlineStr">
        <is>
          <t>INC-20250118-16</t>
        </is>
      </c>
      <c r="B113" t="inlineStr">
        <is>
          <t>R250117-captainfresh</t>
        </is>
      </c>
      <c r="C113" t="inlineStr">
        <is>
          <t>Inc42</t>
        </is>
      </c>
      <c r="D113" s="17" t="n">
        <v>45674</v>
      </c>
      <c r="E113" t="inlineStr">
        <is>
          <t>Captain Fresh</t>
        </is>
      </c>
      <c r="F113" t="inlineStr">
        <is>
          <t>$2.3 Mn</t>
        </is>
      </c>
      <c r="G113" s="19" t="n"/>
      <c r="H113" s="19" t="n">
        <v>2.3</v>
      </c>
      <c r="I113" t="inlineStr">
        <is>
          <t>Debt</t>
        </is>
      </c>
      <c r="J113" t="inlineStr">
        <is>
          <t>VentureSoul Partners</t>
        </is>
      </c>
      <c r="K113" t="inlineStr">
        <is>
          <t>https://inc42.com/buzz/from-netradyne-to-foxtale-indian-startups-raised-308-mn-this-week/</t>
        </is>
      </c>
    </row>
    <row r="114">
      <c r="A114" t="inlineStr">
        <is>
          <t>INC-20250118-20</t>
        </is>
      </c>
      <c r="B114" t="inlineStr">
        <is>
          <t>R250117-catalyxspace</t>
        </is>
      </c>
      <c r="C114" t="inlineStr">
        <is>
          <t>Inc42</t>
        </is>
      </c>
      <c r="D114" s="17" t="n">
        <v>45674</v>
      </c>
      <c r="E114" t="inlineStr">
        <is>
          <t>Catalyx Space</t>
        </is>
      </c>
      <c r="F114" t="inlineStr">
        <is>
          <t>$1.7 Mn</t>
        </is>
      </c>
      <c r="G114" s="19" t="n"/>
      <c r="H114" s="19" t="n">
        <v>1.7</v>
      </c>
      <c r="I114" t="inlineStr">
        <is>
          <t>Pre-Seed</t>
        </is>
      </c>
      <c r="J114" t="inlineStr">
        <is>
          <t>HF0 Residency</t>
        </is>
      </c>
      <c r="K114" t="inlineStr">
        <is>
          <t>https://inc42.com/buzz/from-netradyne-to-foxtale-indian-startups-raised-308-mn-this-week/</t>
        </is>
      </c>
    </row>
    <row r="115">
      <c r="A115" t="inlineStr">
        <is>
          <t>INC-20250125-17</t>
        </is>
      </c>
      <c r="B115" t="inlineStr">
        <is>
          <t>R250117-catalyxspace</t>
        </is>
      </c>
      <c r="C115" t="inlineStr">
        <is>
          <t>Inc42</t>
        </is>
      </c>
      <c r="D115" s="17" t="n">
        <v>45677</v>
      </c>
      <c r="E115" t="inlineStr">
        <is>
          <t>Catalyx Space</t>
        </is>
      </c>
      <c r="F115" t="inlineStr">
        <is>
          <t>$1.7 Mn</t>
        </is>
      </c>
      <c r="G115" s="19" t="n"/>
      <c r="H115" s="19" t="n">
        <v>1.7</v>
      </c>
      <c r="I115" t="inlineStr">
        <is>
          <t>Pre-Seed</t>
        </is>
      </c>
      <c r="J115" t="inlineStr"/>
      <c r="K115" t="inlineStr">
        <is>
          <t>https://inc42.com/buzz/from-infra-market-to-arisinfra-indian-startups-raised-275-mn-this-week/</t>
        </is>
      </c>
    </row>
    <row r="116">
      <c r="A116" t="inlineStr">
        <is>
          <t>ENT-8629017</t>
        </is>
      </c>
      <c r="B116" t="inlineStr">
        <is>
          <t>R250117-netradyne</t>
        </is>
      </c>
      <c r="C116" t="inlineStr">
        <is>
          <t>Entrackr</t>
        </is>
      </c>
      <c r="D116" s="17" t="n">
        <v>45674</v>
      </c>
      <c r="E116" t="inlineStr">
        <is>
          <t>Netradyne</t>
        </is>
      </c>
      <c r="F116" t="inlineStr">
        <is>
          <t>$90 million</t>
        </is>
      </c>
      <c r="G116" s="19" t="n"/>
      <c r="H116" s="19" t="n">
        <v>90</v>
      </c>
      <c r="I116" t="inlineStr">
        <is>
          <t>Series D</t>
        </is>
      </c>
      <c r="J116" t="inlineStr">
        <is>
          <t>Point72 Private Investments</t>
        </is>
      </c>
      <c r="K116" t="inlineStr">
        <is>
          <t>https://entrackr.com/news/reliance-and-softbank-backed-netradyne-raises-90-mn-in-series-d-8629017</t>
        </is>
      </c>
    </row>
    <row r="117">
      <c r="A117" t="inlineStr">
        <is>
          <t>ET-117325369</t>
        </is>
      </c>
      <c r="B117" t="inlineStr">
        <is>
          <t>R250117-netradyne</t>
        </is>
      </c>
      <c r="C117" t="inlineStr">
        <is>
          <t>The Economic Times</t>
        </is>
      </c>
      <c r="D117" s="17" t="n">
        <v>45674</v>
      </c>
      <c r="E117" t="inlineStr">
        <is>
          <t>Netradyne</t>
        </is>
      </c>
      <c r="F117" t="inlineStr">
        <is>
          <t>$90 million</t>
        </is>
      </c>
      <c r="G117" s="19" t="n"/>
      <c r="H117" s="19" t="n">
        <v>90</v>
      </c>
      <c r="I117" t="inlineStr">
        <is>
          <t>Undisclosed</t>
        </is>
      </c>
      <c r="J117" t="inlineStr">
        <is>
          <t>Point72 Private Investments</t>
        </is>
      </c>
      <c r="K117" t="inlineStr">
        <is>
          <t>https://economictimes.indiatimes.com/tech/funding/netradyne-secures-90-million-from-point72-qualcomm-ventures-pavilion-capital/articleshow/117325369.cms</t>
        </is>
      </c>
    </row>
    <row r="118">
      <c r="A118" t="inlineStr">
        <is>
          <t>INC-20250118-01</t>
        </is>
      </c>
      <c r="B118" t="inlineStr">
        <is>
          <t>R250117-netradyne</t>
        </is>
      </c>
      <c r="C118" t="inlineStr">
        <is>
          <t>Inc42</t>
        </is>
      </c>
      <c r="D118" s="17" t="n">
        <v>45674</v>
      </c>
      <c r="E118" t="inlineStr">
        <is>
          <t>Netradyne</t>
        </is>
      </c>
      <c r="F118" t="inlineStr">
        <is>
          <t>$90 Mn</t>
        </is>
      </c>
      <c r="G118" s="19" t="n"/>
      <c r="H118" s="19" t="n">
        <v>90</v>
      </c>
      <c r="I118" t="inlineStr">
        <is>
          <t>Series D</t>
        </is>
      </c>
      <c r="J118" t="inlineStr">
        <is>
          <t>Point72 Private Investments</t>
        </is>
      </c>
      <c r="K118" t="inlineStr">
        <is>
          <t>https://inc42.com/buzz/from-netradyne-to-foxtale-indian-startups-raised-308-mn-this-week/</t>
        </is>
      </c>
    </row>
    <row r="119">
      <c r="A119" t="inlineStr">
        <is>
          <t>INC-20250118-18</t>
        </is>
      </c>
      <c r="B119" t="inlineStr">
        <is>
          <t>R250117-trezix</t>
        </is>
      </c>
      <c r="C119" t="inlineStr">
        <is>
          <t>Inc42</t>
        </is>
      </c>
      <c r="D119" s="17" t="n">
        <v>45674</v>
      </c>
      <c r="E119" t="inlineStr">
        <is>
          <t>TreZix</t>
        </is>
      </c>
      <c r="F119" t="inlineStr">
        <is>
          <t>$2 Mn</t>
        </is>
      </c>
      <c r="G119" s="19" t="n"/>
      <c r="H119" s="19" t="n">
        <v>2</v>
      </c>
      <c r="I119" t="inlineStr">
        <is>
          <t>Seed</t>
        </is>
      </c>
      <c r="J119" t="inlineStr">
        <is>
          <t>Morphosis Venture Capital; Pentathlon Ventures</t>
        </is>
      </c>
      <c r="K119" t="inlineStr">
        <is>
          <t>https://inc42.com/buzz/from-netradyne-to-foxtale-indian-startups-raised-308-mn-this-week/</t>
        </is>
      </c>
    </row>
    <row r="120">
      <c r="A120" t="inlineStr">
        <is>
          <t>ET-117352343</t>
        </is>
      </c>
      <c r="B120" t="inlineStr">
        <is>
          <t>R250118-gridos</t>
        </is>
      </c>
      <c r="C120" t="inlineStr">
        <is>
          <t>The Economic Times</t>
        </is>
      </c>
      <c r="D120" s="17" t="n">
        <v>45675</v>
      </c>
      <c r="E120" t="inlineStr">
        <is>
          <t>Grid OS</t>
        </is>
      </c>
      <c r="F120" t="inlineStr">
        <is>
          <t>$500,000</t>
        </is>
      </c>
      <c r="G120" s="19" t="n"/>
      <c r="H120" s="19" t="n">
        <v>0.5</v>
      </c>
      <c r="I120" t="inlineStr">
        <is>
          <t>Undisclosed</t>
        </is>
      </c>
      <c r="J120" t="inlineStr">
        <is>
          <t>Anupam Mittal; All In Capital</t>
        </is>
      </c>
      <c r="K120" t="inlineStr">
        <is>
          <t>https://economictimes.indiatimes.com/tech/funding/electronics-manufacturing-startup-grid-os-raises-500000-in-round-led-by-anupam-mittal-all-in-capital/articleshow/117352343.cms</t>
        </is>
      </c>
    </row>
    <row r="121">
      <c r="A121" t="inlineStr">
        <is>
          <t>ENT-8638299</t>
        </is>
      </c>
      <c r="B121" t="inlineStr">
        <is>
          <t>R250120-bprhub</t>
        </is>
      </c>
      <c r="C121" t="inlineStr">
        <is>
          <t>Entrackr</t>
        </is>
      </c>
      <c r="D121" s="17" t="n">
        <v>45677</v>
      </c>
      <c r="E121" t="inlineStr">
        <is>
          <t>BPR Hub</t>
        </is>
      </c>
      <c r="F121" t="inlineStr">
        <is>
          <t>$2.6 million</t>
        </is>
      </c>
      <c r="G121" s="19" t="n"/>
      <c r="H121" s="19" t="n">
        <v>2.6</v>
      </c>
      <c r="I121" t="inlineStr">
        <is>
          <t>Seed</t>
        </is>
      </c>
      <c r="J121" t="inlineStr">
        <is>
          <t>Accel; Kae Capital</t>
        </is>
      </c>
      <c r="K121" t="inlineStr">
        <is>
          <t>https://entrackr.com/snippets/bpr-hub-raises-26-mn-led-by-accel-and-kae-capital-8638299</t>
        </is>
      </c>
    </row>
    <row r="122">
      <c r="A122" t="inlineStr">
        <is>
          <t>ET-117416268</t>
        </is>
      </c>
      <c r="B122" t="inlineStr">
        <is>
          <t>R250120-bprhub</t>
        </is>
      </c>
      <c r="C122" t="inlineStr">
        <is>
          <t>The Economic Times</t>
        </is>
      </c>
      <c r="D122" s="17" t="n">
        <v>45678</v>
      </c>
      <c r="E122" t="inlineStr">
        <is>
          <t>BPR Hub</t>
        </is>
      </c>
      <c r="F122" t="inlineStr">
        <is>
          <t>$2.6 million</t>
        </is>
      </c>
      <c r="G122" s="19" t="n">
        <v>22.5</v>
      </c>
      <c r="H122" s="19" t="n">
        <v>2.6</v>
      </c>
      <c r="I122" t="inlineStr">
        <is>
          <t>Seed</t>
        </is>
      </c>
      <c r="J122" t="inlineStr">
        <is>
          <t>Accel; Kae Capital</t>
        </is>
      </c>
      <c r="K122" t="inlineStr">
        <is>
          <t>https://economictimes.indiatimes.com/tech/funding/accel-kae-capital-lead-2-6-million-funding-in-compliance-management-startup-bpr-hub/articleshow/117416268.cms</t>
        </is>
      </c>
    </row>
    <row r="123">
      <c r="A123" t="inlineStr">
        <is>
          <t>INC-20250125-13</t>
        </is>
      </c>
      <c r="B123" t="inlineStr">
        <is>
          <t>R250120-burmaburma</t>
        </is>
      </c>
      <c r="C123" t="inlineStr">
        <is>
          <t>Inc42</t>
        </is>
      </c>
      <c r="D123" s="17" t="n">
        <v>45677</v>
      </c>
      <c r="E123" t="inlineStr">
        <is>
          <t>Burma Burma</t>
        </is>
      </c>
      <c r="F123" t="inlineStr">
        <is>
          <t>$3 Mn</t>
        </is>
      </c>
      <c r="G123" s="19" t="n"/>
      <c r="H123" s="19" t="n">
        <v>3</v>
      </c>
      <c r="I123" t="inlineStr">
        <is>
          <t>Undisclosed</t>
        </is>
      </c>
      <c r="J123" t="inlineStr"/>
      <c r="K123" t="inlineStr">
        <is>
          <t>https://inc42.com/buzz/from-infra-market-to-arisinfra-indian-startups-raised-275-mn-this-week/</t>
        </is>
      </c>
    </row>
    <row r="124">
      <c r="A124" t="inlineStr">
        <is>
          <t>ENT-8637095</t>
        </is>
      </c>
      <c r="B124" t="inlineStr">
        <is>
          <t>R250120-kisankonnect</t>
        </is>
      </c>
      <c r="C124" t="inlineStr">
        <is>
          <t>Entrackr</t>
        </is>
      </c>
      <c r="D124" s="17" t="n">
        <v>45677</v>
      </c>
      <c r="E124" t="inlineStr">
        <is>
          <t>KisanKonnect</t>
        </is>
      </c>
      <c r="F124" t="inlineStr">
        <is>
          <t>$4.5 million</t>
        </is>
      </c>
      <c r="G124" s="19" t="n"/>
      <c r="H124" s="19" t="n">
        <v>4.5</v>
      </c>
      <c r="I124" t="inlineStr">
        <is>
          <t>Series A</t>
        </is>
      </c>
      <c r="J124" t="inlineStr">
        <is>
          <t>Mistry Ventures</t>
        </is>
      </c>
      <c r="K124" t="inlineStr">
        <is>
          <t>https://entrackr.com/snippets/mistry-ventures-leads-45-mn-round-in-kisankonnect-8637095</t>
        </is>
      </c>
    </row>
    <row r="125">
      <c r="A125" t="inlineStr">
        <is>
          <t>INC-20250125-11</t>
        </is>
      </c>
      <c r="B125" t="inlineStr">
        <is>
          <t>R250120-kisankonnect</t>
        </is>
      </c>
      <c r="C125" t="inlineStr">
        <is>
          <t>Inc42</t>
        </is>
      </c>
      <c r="D125" s="17" t="n">
        <v>45677</v>
      </c>
      <c r="E125" t="inlineStr">
        <is>
          <t>KisanKonnect</t>
        </is>
      </c>
      <c r="F125" t="inlineStr">
        <is>
          <t>$4.5 Mn</t>
        </is>
      </c>
      <c r="G125" s="19" t="n"/>
      <c r="H125" s="19" t="n">
        <v>4.5</v>
      </c>
      <c r="I125" t="inlineStr">
        <is>
          <t>Series A</t>
        </is>
      </c>
      <c r="J125" t="inlineStr"/>
      <c r="K125" t="inlineStr">
        <is>
          <t>https://inc42.com/buzz/from-infra-market-to-arisinfra-indian-startups-raised-275-mn-this-week/</t>
        </is>
      </c>
    </row>
    <row r="126">
      <c r="A126" t="inlineStr">
        <is>
          <t>ENT-8636581</t>
        </is>
      </c>
      <c r="B126" t="inlineStr">
        <is>
          <t>R250120-krvvy</t>
        </is>
      </c>
      <c r="C126" t="inlineStr">
        <is>
          <t>Entrackr</t>
        </is>
      </c>
      <c r="D126" s="17" t="n">
        <v>45677</v>
      </c>
      <c r="E126" t="inlineStr">
        <is>
          <t>Krvvy</t>
        </is>
      </c>
      <c r="F126" t="inlineStr">
        <is>
          <t>Rs 6.1 crore</t>
        </is>
      </c>
      <c r="G126" s="19" t="n">
        <v>6.1</v>
      </c>
      <c r="H126" s="19" t="n">
        <v>0.705</v>
      </c>
      <c r="I126" t="inlineStr">
        <is>
          <t>Pre-Seed</t>
        </is>
      </c>
      <c r="J126" t="inlineStr">
        <is>
          <t>Titan Capital; All In Capital</t>
        </is>
      </c>
      <c r="K126" t="inlineStr">
        <is>
          <t>https://entrackr.com/snippets/krvvy-raises-rs-61-cr-from-titan-capital-and-all-in-capital-8636581</t>
        </is>
      </c>
    </row>
    <row r="127">
      <c r="A127" t="inlineStr">
        <is>
          <t>ET-117389610</t>
        </is>
      </c>
      <c r="B127" t="inlineStr">
        <is>
          <t>R250120-krvvy</t>
        </is>
      </c>
      <c r="C127" t="inlineStr">
        <is>
          <t>The Economic Times</t>
        </is>
      </c>
      <c r="D127" s="17" t="n">
        <v>45677</v>
      </c>
      <c r="E127" t="inlineStr">
        <is>
          <t>Krvvy</t>
        </is>
      </c>
      <c r="F127" t="inlineStr">
        <is>
          <t>Rs 6.1 crore</t>
        </is>
      </c>
      <c r="G127" s="19" t="n">
        <v>6.1</v>
      </c>
      <c r="H127" s="19" t="n"/>
      <c r="I127" t="inlineStr">
        <is>
          <t>Pre-Seed</t>
        </is>
      </c>
      <c r="J127" t="inlineStr">
        <is>
          <t>Titan Capital; All In Capital</t>
        </is>
      </c>
      <c r="K127" t="inlineStr">
        <is>
          <t>https://economictimes.indiatimes.com/tech/funding/d2c-lingerie-brand-krvvy-raises-pre-seed-from-titan-capital-and-all-in-capital/articleshow/117389610.cms</t>
        </is>
      </c>
    </row>
    <row r="128">
      <c r="A128" t="inlineStr">
        <is>
          <t>ENT-8637532</t>
        </is>
      </c>
      <c r="B128" t="inlineStr">
        <is>
          <t>R250120-nazara</t>
        </is>
      </c>
      <c r="C128" t="inlineStr">
        <is>
          <t>Entrackr</t>
        </is>
      </c>
      <c r="D128" s="17" t="n">
        <v>45677</v>
      </c>
      <c r="E128" t="inlineStr">
        <is>
          <t>Nazara</t>
        </is>
      </c>
      <c r="F128" t="inlineStr">
        <is>
          <t>Rs 495 crore</t>
        </is>
      </c>
      <c r="G128" s="19" t="n">
        <v>495</v>
      </c>
      <c r="H128" s="19" t="n">
        <v>60</v>
      </c>
      <c r="I128" t="inlineStr">
        <is>
          <t>Undisclosed</t>
        </is>
      </c>
      <c r="J128" t="inlineStr">
        <is>
          <t>Axana Estates LLP</t>
        </is>
      </c>
      <c r="K128" t="inlineStr">
        <is>
          <t>https://entrackr.com/news/nazara-raises-rs-495-cr-from-arpit-khandelwal-and-mithun-sacheti-led-axana-estates-8637532</t>
        </is>
      </c>
    </row>
    <row r="129">
      <c r="A129" t="inlineStr">
        <is>
          <t>ET-117394327</t>
        </is>
      </c>
      <c r="B129" t="inlineStr">
        <is>
          <t>R250120-nazara</t>
        </is>
      </c>
      <c r="C129" t="inlineStr">
        <is>
          <t>The Economic Times</t>
        </is>
      </c>
      <c r="D129" s="17" t="n">
        <v>45677</v>
      </c>
      <c r="E129" t="inlineStr">
        <is>
          <t>Nazara</t>
        </is>
      </c>
      <c r="F129" t="inlineStr">
        <is>
          <t>Rs 495 crore</t>
        </is>
      </c>
      <c r="G129" s="19" t="n">
        <v>495</v>
      </c>
      <c r="H129" s="19" t="n"/>
      <c r="I129" t="inlineStr">
        <is>
          <t>Undisclosed</t>
        </is>
      </c>
      <c r="J129" t="inlineStr">
        <is>
          <t>Arpit Khandelwal; Mithun Sacheti</t>
        </is>
      </c>
      <c r="K129" t="inlineStr">
        <is>
          <t>https://economictimes.indiatimes.com/tech/funding/nazara-raises-rs-495-crore-from-existing-investors-caratlane-founder-mithun-sacheti-led-entity-stake-increase-to-trigger-open-offer/articleshow/117394327.cms</t>
        </is>
      </c>
    </row>
    <row r="130">
      <c r="A130" t="inlineStr">
        <is>
          <t>ENT-8637291</t>
        </is>
      </c>
      <c r="B130" t="inlineStr">
        <is>
          <t>R250120-prantaesolutio</t>
        </is>
      </c>
      <c r="C130" t="inlineStr">
        <is>
          <t>Entrackr</t>
        </is>
      </c>
      <c r="D130" s="17" t="n">
        <v>45677</v>
      </c>
      <c r="E130" t="inlineStr">
        <is>
          <t>Prantae Solutions</t>
        </is>
      </c>
      <c r="F130" t="inlineStr">
        <is>
          <t>Rs 5 crore</t>
        </is>
      </c>
      <c r="G130" s="19" t="n">
        <v>5</v>
      </c>
      <c r="H130" s="19" t="n"/>
      <c r="I130" t="inlineStr">
        <is>
          <t>Seed</t>
        </is>
      </c>
      <c r="J130" t="inlineStr">
        <is>
          <t>IAN Group</t>
        </is>
      </c>
      <c r="K130" t="inlineStr">
        <is>
          <t>https://entrackr.com/snippets/prantae-solutions-saises-seed-round-from-ian-group-8637291</t>
        </is>
      </c>
    </row>
    <row r="131">
      <c r="A131" t="inlineStr">
        <is>
          <t>INC-20250125-22</t>
        </is>
      </c>
      <c r="B131" t="inlineStr">
        <is>
          <t>R250120-prantaesolutio</t>
        </is>
      </c>
      <c r="C131" t="inlineStr">
        <is>
          <t>Inc42</t>
        </is>
      </c>
      <c r="D131" s="17" t="n">
        <v>45677</v>
      </c>
      <c r="E131" t="inlineStr">
        <is>
          <t>Prantae Solutions</t>
        </is>
      </c>
      <c r="F131" t="inlineStr">
        <is>
          <t>$580K</t>
        </is>
      </c>
      <c r="G131" s="19" t="n"/>
      <c r="H131" s="19" t="n">
        <v>0.58</v>
      </c>
      <c r="I131" t="inlineStr">
        <is>
          <t>Seed</t>
        </is>
      </c>
      <c r="J131" t="inlineStr"/>
      <c r="K131" t="inlineStr">
        <is>
          <t>https://inc42.com/buzz/from-infra-market-to-arisinfra-indian-startups-raised-275-mn-this-week/</t>
        </is>
      </c>
    </row>
    <row r="132">
      <c r="A132" t="inlineStr">
        <is>
          <t>ENT-8636600</t>
        </is>
      </c>
      <c r="B132" t="inlineStr">
        <is>
          <t>R250120-procureyard</t>
        </is>
      </c>
      <c r="C132" t="inlineStr">
        <is>
          <t>Entrackr</t>
        </is>
      </c>
      <c r="D132" s="17" t="n">
        <v>45677</v>
      </c>
      <c r="E132" t="inlineStr">
        <is>
          <t>ProcureYard</t>
        </is>
      </c>
      <c r="F132" t="inlineStr">
        <is>
          <t>$1.72 million</t>
        </is>
      </c>
      <c r="G132" s="19" t="n"/>
      <c r="H132" s="19" t="n">
        <v>1.72</v>
      </c>
      <c r="I132" t="inlineStr">
        <is>
          <t>Seed</t>
        </is>
      </c>
      <c r="J132" t="inlineStr">
        <is>
          <t>Powerhouse Ventures</t>
        </is>
      </c>
      <c r="K132" t="inlineStr">
        <is>
          <t>https://entrackr.com/snippets/procureyard-raises-172-mn-in-seed-round-8636600</t>
        </is>
      </c>
    </row>
    <row r="133">
      <c r="A133" t="inlineStr">
        <is>
          <t>INC-20250125-16</t>
        </is>
      </c>
      <c r="B133" t="inlineStr">
        <is>
          <t>R250120-procureyard</t>
        </is>
      </c>
      <c r="C133" t="inlineStr">
        <is>
          <t>Inc42</t>
        </is>
      </c>
      <c r="D133" s="17" t="n">
        <v>45677</v>
      </c>
      <c r="E133" t="inlineStr">
        <is>
          <t>ProcureYard</t>
        </is>
      </c>
      <c r="F133" t="inlineStr">
        <is>
          <t>$1.7 Mn</t>
        </is>
      </c>
      <c r="G133" s="19" t="n"/>
      <c r="H133" s="19" t="n">
        <v>1.7</v>
      </c>
      <c r="I133" t="inlineStr">
        <is>
          <t>Seed</t>
        </is>
      </c>
      <c r="J133" t="inlineStr"/>
      <c r="K133" t="inlineStr">
        <is>
          <t>https://inc42.com/buzz/from-infra-market-to-arisinfra-indian-startups-raised-275-mn-this-week/</t>
        </is>
      </c>
    </row>
    <row r="134">
      <c r="A134" t="inlineStr">
        <is>
          <t>ENT-8640133</t>
        </is>
      </c>
      <c r="B134" t="inlineStr">
        <is>
          <t>R250121-chelviescoffee</t>
        </is>
      </c>
      <c r="C134" t="inlineStr">
        <is>
          <t>Entrackr</t>
        </is>
      </c>
      <c r="D134" s="17" t="n">
        <v>45678</v>
      </c>
      <c r="E134" t="inlineStr">
        <is>
          <t>Chelvies Coffee</t>
        </is>
      </c>
      <c r="F134" t="inlineStr">
        <is>
          <t>$1 million</t>
        </is>
      </c>
      <c r="G134" s="19" t="n"/>
      <c r="H134" s="19" t="n">
        <v>1</v>
      </c>
      <c r="I134" t="inlineStr">
        <is>
          <t>Pre-Series A</t>
        </is>
      </c>
      <c r="J134" t="inlineStr">
        <is>
          <t>Endurance Capital</t>
        </is>
      </c>
      <c r="K134" t="inlineStr">
        <is>
          <t>https://entrackr.com/snippets/chelvies-coffee-raises-1-mn-in-pre-series-a-round-8640133</t>
        </is>
      </c>
    </row>
    <row r="135">
      <c r="A135" t="inlineStr">
        <is>
          <t>INC-20250125-21</t>
        </is>
      </c>
      <c r="B135" t="inlineStr">
        <is>
          <t>R250121-chelviescoffee</t>
        </is>
      </c>
      <c r="C135" t="inlineStr">
        <is>
          <t>Inc42</t>
        </is>
      </c>
      <c r="D135" s="17" t="n">
        <v>45678</v>
      </c>
      <c r="E135" t="inlineStr">
        <is>
          <t>Chelvies Coffee</t>
        </is>
      </c>
      <c r="F135" t="inlineStr">
        <is>
          <t>$1 Mn</t>
        </is>
      </c>
      <c r="G135" s="19" t="n"/>
      <c r="H135" s="19" t="n">
        <v>1</v>
      </c>
      <c r="I135" t="inlineStr">
        <is>
          <t>Undisclosed</t>
        </is>
      </c>
      <c r="J135" t="inlineStr"/>
      <c r="K135" t="inlineStr">
        <is>
          <t>https://inc42.com/buzz/from-infra-market-to-arisinfra-indian-startups-raised-275-mn-this-week/</t>
        </is>
      </c>
    </row>
    <row r="136">
      <c r="A136" t="inlineStr">
        <is>
          <t>ENT-8639852</t>
        </is>
      </c>
      <c r="B136" t="inlineStr">
        <is>
          <t>R250121-joyspoon</t>
        </is>
      </c>
      <c r="C136" t="inlineStr">
        <is>
          <t>Entrackr</t>
        </is>
      </c>
      <c r="D136" s="17" t="n">
        <v>45678</v>
      </c>
      <c r="E136" t="inlineStr">
        <is>
          <t>JoySpoon</t>
        </is>
      </c>
      <c r="F136" t="inlineStr">
        <is>
          <t>Rs 56 lakhs</t>
        </is>
      </c>
      <c r="G136" s="19" t="n">
        <v>0.5600000000000001</v>
      </c>
      <c r="H136" s="19" t="n"/>
      <c r="I136" t="inlineStr">
        <is>
          <t>Seed</t>
        </is>
      </c>
      <c r="J136" t="inlineStr">
        <is>
          <t>Dishit Nathwani</t>
        </is>
      </c>
      <c r="K136" t="inlineStr">
        <is>
          <t>https://entrackr.com/snippets/joyspoon-raises-more-money-in-seed-round-8639852</t>
        </is>
      </c>
    </row>
    <row r="137">
      <c r="A137" t="inlineStr">
        <is>
          <t>INC-20250125-26</t>
        </is>
      </c>
      <c r="B137" t="inlineStr">
        <is>
          <t>R250121-joyspoon</t>
        </is>
      </c>
      <c r="C137" t="inlineStr">
        <is>
          <t>Inc42</t>
        </is>
      </c>
      <c r="D137" s="17" t="n">
        <v>45678</v>
      </c>
      <c r="E137" t="inlineStr">
        <is>
          <t>JoySpoon</t>
        </is>
      </c>
      <c r="F137" t="inlineStr">
        <is>
          <t>$210K</t>
        </is>
      </c>
      <c r="G137" s="19" t="n"/>
      <c r="H137" s="19" t="n">
        <v>0.21</v>
      </c>
      <c r="I137" t="inlineStr">
        <is>
          <t>Seed</t>
        </is>
      </c>
      <c r="J137" t="inlineStr"/>
      <c r="K137" t="inlineStr">
        <is>
          <t>https://inc42.com/buzz/from-infra-market-to-arisinfra-indian-startups-raised-275-mn-this-week/</t>
        </is>
      </c>
    </row>
    <row r="138">
      <c r="A138" t="inlineStr">
        <is>
          <t>ENT-8639868</t>
        </is>
      </c>
      <c r="B138" t="inlineStr">
        <is>
          <t>R250121-postudio</t>
        </is>
      </c>
      <c r="C138" t="inlineStr">
        <is>
          <t>Entrackr</t>
        </is>
      </c>
      <c r="D138" s="17" t="n">
        <v>45678</v>
      </c>
      <c r="E138" t="inlineStr">
        <is>
          <t>Postudio</t>
        </is>
      </c>
      <c r="F138" t="inlineStr">
        <is>
          <t>$1 million</t>
        </is>
      </c>
      <c r="G138" s="19" t="n"/>
      <c r="H138" s="19" t="n">
        <v>1</v>
      </c>
      <c r="I138" t="inlineStr">
        <is>
          <t>Pre-Seed</t>
        </is>
      </c>
      <c r="J138" t="inlineStr">
        <is>
          <t>Audacity Venture Capital</t>
        </is>
      </c>
      <c r="K138" t="inlineStr">
        <is>
          <t>https://entrackr.com/snippets/postudio-raises-1-mn-in-pre-seed-funding-8639868</t>
        </is>
      </c>
    </row>
    <row r="139">
      <c r="A139" t="inlineStr">
        <is>
          <t>ET-117421235</t>
        </is>
      </c>
      <c r="B139" t="inlineStr">
        <is>
          <t>R250121-postudio</t>
        </is>
      </c>
      <c r="C139" t="inlineStr">
        <is>
          <t>The Economic Times</t>
        </is>
      </c>
      <c r="D139" s="17" t="n">
        <v>45678</v>
      </c>
      <c r="E139" t="inlineStr">
        <is>
          <t>Postudio</t>
        </is>
      </c>
      <c r="F139" t="inlineStr">
        <is>
          <t>$1 million</t>
        </is>
      </c>
      <c r="G139" s="19" t="n"/>
      <c r="H139" s="19" t="n">
        <v>1</v>
      </c>
      <c r="I139" t="inlineStr">
        <is>
          <t>Pre-Seed</t>
        </is>
      </c>
      <c r="J139" t="inlineStr">
        <is>
          <t>Audacity Venture Capital</t>
        </is>
      </c>
      <c r="K139" t="inlineStr">
        <is>
          <t>https://economictimes.indiatimes.com/tech/funding/postudio-secures-pre-seed-funding-led-by-audacity-vc/articleshow/117421235.cms</t>
        </is>
      </c>
    </row>
    <row r="140">
      <c r="A140" t="inlineStr">
        <is>
          <t>ENT-8639619</t>
        </is>
      </c>
      <c r="B140" t="inlineStr">
        <is>
          <t>R250121-snabbit</t>
        </is>
      </c>
      <c r="C140" t="inlineStr">
        <is>
          <t>Entrackr</t>
        </is>
      </c>
      <c r="D140" s="17" t="n">
        <v>45678</v>
      </c>
      <c r="E140" t="inlineStr">
        <is>
          <t>Snabbit</t>
        </is>
      </c>
      <c r="F140" t="inlineStr">
        <is>
          <t>$5.5 million</t>
        </is>
      </c>
      <c r="G140" s="19" t="n"/>
      <c r="H140" s="19" t="n">
        <v>5.5</v>
      </c>
      <c r="I140" t="inlineStr">
        <is>
          <t>Series A</t>
        </is>
      </c>
      <c r="J140" t="inlineStr">
        <is>
          <t>Elevation Capital</t>
        </is>
      </c>
      <c r="K140" t="inlineStr">
        <is>
          <t>https://entrackr.com/snippets/quick-service-app-snabbit-raises-55-mn-led-by-elevation-and-nexus-8639619</t>
        </is>
      </c>
    </row>
    <row r="141">
      <c r="A141" t="inlineStr">
        <is>
          <t>ET-117405624</t>
        </is>
      </c>
      <c r="B141" t="inlineStr">
        <is>
          <t>R250121-snabbit</t>
        </is>
      </c>
      <c r="C141" t="inlineStr">
        <is>
          <t>The Economic Times</t>
        </is>
      </c>
      <c r="D141" s="17" t="n">
        <v>45678</v>
      </c>
      <c r="E141" t="inlineStr">
        <is>
          <t>Snabbit</t>
        </is>
      </c>
      <c r="F141" t="inlineStr">
        <is>
          <t>$5.5 million</t>
        </is>
      </c>
      <c r="G141" s="19" t="n"/>
      <c r="H141" s="19" t="n">
        <v>5.5</v>
      </c>
      <c r="I141" t="inlineStr">
        <is>
          <t>Series A</t>
        </is>
      </c>
      <c r="J141" t="inlineStr"/>
      <c r="K141" t="inlineStr">
        <is>
          <t>https://economictimes.indiatimes.com/tech/funding/quick-service-app-snabbit-raises-5-5-million-from-elevation-capital-nexus-venture-partners/articleshow/117405624.cms</t>
        </is>
      </c>
    </row>
    <row r="142">
      <c r="A142" t="inlineStr">
        <is>
          <t>INC-20250125-09</t>
        </is>
      </c>
      <c r="B142" t="inlineStr">
        <is>
          <t>R250121-snabbit</t>
        </is>
      </c>
      <c r="C142" t="inlineStr">
        <is>
          <t>Inc42</t>
        </is>
      </c>
      <c r="D142" s="17" t="n">
        <v>45678</v>
      </c>
      <c r="E142" t="inlineStr">
        <is>
          <t>Snabbit</t>
        </is>
      </c>
      <c r="F142" t="inlineStr">
        <is>
          <t>$5.5 Mn</t>
        </is>
      </c>
      <c r="G142" s="19" t="n"/>
      <c r="H142" s="19" t="n">
        <v>5.5</v>
      </c>
      <c r="I142" t="inlineStr">
        <is>
          <t>Series A</t>
        </is>
      </c>
      <c r="J142" t="inlineStr"/>
      <c r="K142" t="inlineStr">
        <is>
          <t>https://inc42.com/buzz/from-infra-market-to-arisinfra-indian-startups-raised-275-mn-this-week/</t>
        </is>
      </c>
    </row>
    <row r="143">
      <c r="A143" t="inlineStr">
        <is>
          <t>INC-20250125-18</t>
        </is>
      </c>
      <c r="B143" t="inlineStr">
        <is>
          <t>R250121-workie</t>
        </is>
      </c>
      <c r="C143" t="inlineStr">
        <is>
          <t>Inc42</t>
        </is>
      </c>
      <c r="D143" s="17" t="n">
        <v>45678</v>
      </c>
      <c r="E143" t="inlineStr">
        <is>
          <t>Workie</t>
        </is>
      </c>
      <c r="F143" t="inlineStr">
        <is>
          <t>$1.5 Mn</t>
        </is>
      </c>
      <c r="G143" s="19" t="n"/>
      <c r="H143" s="19" t="n">
        <v>1.5</v>
      </c>
      <c r="I143" t="inlineStr">
        <is>
          <t>Undisclosed</t>
        </is>
      </c>
      <c r="J143" t="inlineStr"/>
      <c r="K143" t="inlineStr">
        <is>
          <t>https://inc42.com/buzz/from-infra-market-to-arisinfra-indian-startups-raised-275-mn-this-week/</t>
        </is>
      </c>
    </row>
    <row r="144">
      <c r="A144" t="inlineStr">
        <is>
          <t>ENT-8644098</t>
        </is>
      </c>
      <c r="B144" t="inlineStr">
        <is>
          <t>R250121-workie</t>
        </is>
      </c>
      <c r="C144" t="inlineStr">
        <is>
          <t>Entrackr</t>
        </is>
      </c>
      <c r="D144" s="17" t="n">
        <v>45679</v>
      </c>
      <c r="E144" t="inlineStr">
        <is>
          <t>Workie</t>
        </is>
      </c>
      <c r="F144" t="inlineStr">
        <is>
          <t>Rs 13 crore</t>
        </is>
      </c>
      <c r="G144" s="19" t="n">
        <v>13</v>
      </c>
      <c r="H144" s="19" t="n"/>
      <c r="I144" t="inlineStr">
        <is>
          <t>Undisclosed</t>
        </is>
      </c>
      <c r="J144" t="inlineStr">
        <is>
          <t>Sunil Singhania Family Office; NAV Capital; Raman Roy; Dharmendra Jain; Gaurav Singhvi; Sunil Singhvi</t>
        </is>
      </c>
      <c r="K144" t="inlineStr">
        <is>
          <t>https://entrackr.com/snippets/office-space-management-company-workie-raises-13-cr-8644098</t>
        </is>
      </c>
    </row>
    <row r="145">
      <c r="A145" t="inlineStr">
        <is>
          <t>ENT-8644225</t>
        </is>
      </c>
      <c r="B145" t="inlineStr">
        <is>
          <t>R250122-cancrie</t>
        </is>
      </c>
      <c r="C145" t="inlineStr">
        <is>
          <t>Entrackr</t>
        </is>
      </c>
      <c r="D145" s="17" t="n">
        <v>45679</v>
      </c>
      <c r="E145" t="inlineStr">
        <is>
          <t>Cancrie</t>
        </is>
      </c>
      <c r="F145" t="inlineStr">
        <is>
          <t>$1.2 million</t>
        </is>
      </c>
      <c r="G145" s="19" t="n"/>
      <c r="H145" s="19" t="n">
        <v>1.2</v>
      </c>
      <c r="I145" t="inlineStr">
        <is>
          <t>Seed</t>
        </is>
      </c>
      <c r="J145" t="inlineStr">
        <is>
          <t>Roots Ventures; Foundation Botnar; Sagana</t>
        </is>
      </c>
      <c r="K145" t="inlineStr">
        <is>
          <t>https://entrackr.com/snippets/cancrie-raises-12-mn-in-seed-funding-round-8644225</t>
        </is>
      </c>
    </row>
    <row r="146">
      <c r="A146" t="inlineStr">
        <is>
          <t>INC-20250125-19</t>
        </is>
      </c>
      <c r="B146" t="inlineStr">
        <is>
          <t>R250122-cancrie</t>
        </is>
      </c>
      <c r="C146" t="inlineStr">
        <is>
          <t>Inc42</t>
        </is>
      </c>
      <c r="D146" s="17" t="n">
        <v>45679</v>
      </c>
      <c r="E146" t="inlineStr">
        <is>
          <t>Cancrie</t>
        </is>
      </c>
      <c r="F146" t="inlineStr">
        <is>
          <t>$1.2 Mn</t>
        </is>
      </c>
      <c r="G146" s="19" t="n"/>
      <c r="H146" s="19" t="n">
        <v>1.2</v>
      </c>
      <c r="I146" t="inlineStr">
        <is>
          <t>Seed</t>
        </is>
      </c>
      <c r="J146" t="inlineStr"/>
      <c r="K146" t="inlineStr">
        <is>
          <t>https://inc42.com/buzz/from-infra-market-to-arisinfra-indian-startups-raised-275-mn-this-week/</t>
        </is>
      </c>
    </row>
    <row r="147">
      <c r="A147" t="inlineStr">
        <is>
          <t>ENT-8643091</t>
        </is>
      </c>
      <c r="B147" t="inlineStr">
        <is>
          <t>R250122-deconstruct</t>
        </is>
      </c>
      <c r="C147" t="inlineStr">
        <is>
          <t>Entrackr</t>
        </is>
      </c>
      <c r="D147" s="17" t="n">
        <v>45679</v>
      </c>
      <c r="E147" t="inlineStr">
        <is>
          <t>Deconstruct</t>
        </is>
      </c>
      <c r="F147" t="inlineStr">
        <is>
          <t>Rs 65 crore</t>
        </is>
      </c>
      <c r="G147" s="19" t="n">
        <v>65</v>
      </c>
      <c r="H147" s="19" t="n">
        <v>7.7</v>
      </c>
      <c r="I147" t="inlineStr">
        <is>
          <t>Undisclosed</t>
        </is>
      </c>
      <c r="J147" t="inlineStr"/>
      <c r="K147" t="inlineStr">
        <is>
          <t>https://entrackr.com/news/deconstruct-raises-rs-65-cr-from-loréals-vc-fund-bold-and-others-8643091</t>
        </is>
      </c>
    </row>
    <row r="148">
      <c r="A148" t="inlineStr">
        <is>
          <t>INC-20250125-06</t>
        </is>
      </c>
      <c r="B148" t="inlineStr">
        <is>
          <t>R250122-deconstruct</t>
        </is>
      </c>
      <c r="C148" t="inlineStr">
        <is>
          <t>Inc42</t>
        </is>
      </c>
      <c r="D148" s="17" t="n">
        <v>45679</v>
      </c>
      <c r="E148" t="inlineStr">
        <is>
          <t>DeConstruct</t>
        </is>
      </c>
      <c r="F148" t="inlineStr">
        <is>
          <t>$7.5 Mn</t>
        </is>
      </c>
      <c r="G148" s="19" t="n"/>
      <c r="H148" s="19" t="n">
        <v>7.5</v>
      </c>
      <c r="I148" t="inlineStr">
        <is>
          <t>Undisclosed</t>
        </is>
      </c>
      <c r="J148" t="inlineStr"/>
      <c r="K148" t="inlineStr">
        <is>
          <t>https://inc42.com/buzz/from-infra-market-to-arisinfra-indian-startups-raised-275-mn-this-week/</t>
        </is>
      </c>
    </row>
    <row r="149">
      <c r="A149" t="inlineStr">
        <is>
          <t>ENT-8643695</t>
        </is>
      </c>
      <c r="B149" t="inlineStr">
        <is>
          <t>R250122-exsure</t>
        </is>
      </c>
      <c r="C149" t="inlineStr">
        <is>
          <t>Entrackr</t>
        </is>
      </c>
      <c r="D149" s="17" t="n">
        <v>45679</v>
      </c>
      <c r="E149" t="inlineStr">
        <is>
          <t>Exsure</t>
        </is>
      </c>
      <c r="F149" t="inlineStr">
        <is>
          <t>Rs 3 crore</t>
        </is>
      </c>
      <c r="G149" s="19" t="n">
        <v>3</v>
      </c>
      <c r="H149" s="19" t="n"/>
      <c r="I149" t="inlineStr">
        <is>
          <t>Seed</t>
        </is>
      </c>
      <c r="J149" t="inlineStr">
        <is>
          <t>Unicorn India Ventures</t>
        </is>
      </c>
      <c r="K149" t="inlineStr">
        <is>
          <t>https://entrackr.com/snippets/biotech-startup-exsure-raises-seed-round-led-by-unicorn-india-ventures-8643695</t>
        </is>
      </c>
    </row>
    <row r="150">
      <c r="A150" t="inlineStr">
        <is>
          <t>INC-20250125-23</t>
        </is>
      </c>
      <c r="B150" t="inlineStr">
        <is>
          <t>R250122-exsure</t>
        </is>
      </c>
      <c r="C150" t="inlineStr">
        <is>
          <t>Inc42</t>
        </is>
      </c>
      <c r="D150" s="17" t="n">
        <v>45679</v>
      </c>
      <c r="E150" t="inlineStr">
        <is>
          <t>Exsure</t>
        </is>
      </c>
      <c r="F150" t="inlineStr">
        <is>
          <t>$348K</t>
        </is>
      </c>
      <c r="G150" s="19" t="n"/>
      <c r="H150" s="19" t="n">
        <v>0.348</v>
      </c>
      <c r="I150" t="inlineStr">
        <is>
          <t>Seed</t>
        </is>
      </c>
      <c r="J150" t="inlineStr"/>
      <c r="K150" t="inlineStr">
        <is>
          <t>https://inc42.com/buzz/from-infra-market-to-arisinfra-indian-startups-raised-275-mn-this-week/</t>
        </is>
      </c>
    </row>
    <row r="151">
      <c r="A151" t="inlineStr">
        <is>
          <t>VCC-aef36851fe</t>
        </is>
      </c>
      <c r="B151" t="inlineStr">
        <is>
          <t>R250122-namdevfinvest</t>
        </is>
      </c>
      <c r="C151" t="inlineStr">
        <is>
          <t>VCCircle</t>
        </is>
      </c>
      <c r="D151" s="17" t="n">
        <v>45673</v>
      </c>
      <c r="E151" t="inlineStr">
        <is>
          <t>namdev finvest pushes back fundraising plan</t>
        </is>
      </c>
      <c r="F151" t="inlineStr"/>
      <c r="G151" s="19" t="n"/>
      <c r="H151" s="19" t="n"/>
      <c r="I151" t="inlineStr">
        <is>
          <t>Undisclosed</t>
        </is>
      </c>
      <c r="J151" t="inlineStr"/>
      <c r="K151" t="inlineStr">
        <is>
          <t>https://www.vccircle.com/majinvest-bii-backed-namdev-finvest-pushes-back-fundraising-plan</t>
        </is>
      </c>
    </row>
    <row r="152">
      <c r="A152" t="inlineStr">
        <is>
          <t>INC-20250125-02</t>
        </is>
      </c>
      <c r="B152" t="inlineStr">
        <is>
          <t>R250122-namdevfinvest</t>
        </is>
      </c>
      <c r="C152" t="inlineStr">
        <is>
          <t>Inc42</t>
        </is>
      </c>
      <c r="D152" s="17" t="n">
        <v>45679</v>
      </c>
      <c r="E152" t="inlineStr">
        <is>
          <t>Namdev Finvest</t>
        </is>
      </c>
      <c r="F152" t="inlineStr">
        <is>
          <t>$38 Mn</t>
        </is>
      </c>
      <c r="G152" s="19" t="n"/>
      <c r="H152" s="19" t="n">
        <v>38</v>
      </c>
      <c r="I152" t="inlineStr">
        <is>
          <t>Debt</t>
        </is>
      </c>
      <c r="J152" t="inlineStr"/>
      <c r="K152" t="inlineStr">
        <is>
          <t>https://inc42.com/buzz/from-infra-market-to-arisinfra-indian-startups-raised-275-mn-this-week/</t>
        </is>
      </c>
    </row>
    <row r="153">
      <c r="A153" t="inlineStr">
        <is>
          <t>VCC-c7efd73842</t>
        </is>
      </c>
      <c r="B153" t="inlineStr">
        <is>
          <t>R250122-namdevfinvest</t>
        </is>
      </c>
      <c r="C153" t="inlineStr">
        <is>
          <t>VCCircle</t>
        </is>
      </c>
      <c r="D153" s="17" t="n">
        <v>45679</v>
      </c>
      <c r="E153" t="inlineStr">
        <is>
          <t>namdevfinvest</t>
        </is>
      </c>
      <c r="F153" t="inlineStr">
        <is>
          <t>$ 38 million</t>
        </is>
      </c>
      <c r="G153" s="19" t="n"/>
      <c r="H153" s="19" t="n">
        <v>38</v>
      </c>
      <c r="I153" t="inlineStr">
        <is>
          <t>Undisclosed</t>
        </is>
      </c>
      <c r="J153" t="inlineStr"/>
      <c r="K153" t="inlineStr">
        <is>
          <t>https://www.vccircle.com/namdevfinvest-raises-38-mn-in-fresh-capital-from-dfis</t>
        </is>
      </c>
    </row>
    <row r="154">
      <c r="A154" t="inlineStr">
        <is>
          <t>ENT-8643414</t>
        </is>
      </c>
      <c r="B154" t="inlineStr">
        <is>
          <t>R250122-raazapp</t>
        </is>
      </c>
      <c r="C154" t="inlineStr">
        <is>
          <t>Entrackr</t>
        </is>
      </c>
      <c r="D154" s="17" t="n">
        <v>45679</v>
      </c>
      <c r="E154" t="inlineStr">
        <is>
          <t>Raaz App</t>
        </is>
      </c>
      <c r="F154" t="inlineStr">
        <is>
          <t>$1 million</t>
        </is>
      </c>
      <c r="G154" s="19" t="n"/>
      <c r="H154" s="19" t="n">
        <v>1</v>
      </c>
      <c r="I154" t="inlineStr">
        <is>
          <t>Undisclosed</t>
        </is>
      </c>
      <c r="J154" t="inlineStr">
        <is>
          <t>Fireside Ventures</t>
        </is>
      </c>
      <c r="K154" t="inlineStr">
        <is>
          <t>https://entrackr.com/snippets/healthcare-platform-raaz-app-raises-1-mn-led-by-fireside-ventures-8643414</t>
        </is>
      </c>
    </row>
    <row r="155">
      <c r="A155" t="inlineStr">
        <is>
          <t>ET-117442496</t>
        </is>
      </c>
      <c r="B155" t="inlineStr">
        <is>
          <t>R250122-raazapp</t>
        </is>
      </c>
      <c r="C155" t="inlineStr">
        <is>
          <t>The Economic Times</t>
        </is>
      </c>
      <c r="D155" s="17" t="n">
        <v>45679</v>
      </c>
      <c r="E155" t="inlineStr">
        <is>
          <t>Raaz App</t>
        </is>
      </c>
      <c r="F155" t="inlineStr">
        <is>
          <t>$1 million</t>
        </is>
      </c>
      <c r="G155" s="19" t="n"/>
      <c r="H155" s="19" t="n">
        <v>1</v>
      </c>
      <c r="I155" t="inlineStr">
        <is>
          <t>Undisclosed</t>
        </is>
      </c>
      <c r="J155" t="inlineStr">
        <is>
          <t>Fireside Ventures</t>
        </is>
      </c>
      <c r="K155" t="inlineStr">
        <is>
          <t>https://economictimes.indiatimes.com/tech/funding/healthcare-platform-raaz-app-raises-1-million-in-round-led-by-fireside-ventures/articleshow/117442496.cms</t>
        </is>
      </c>
    </row>
    <row r="156">
      <c r="A156" t="inlineStr">
        <is>
          <t>INC-20250125-20</t>
        </is>
      </c>
      <c r="B156" t="inlineStr">
        <is>
          <t>R250122-raazapp</t>
        </is>
      </c>
      <c r="C156" t="inlineStr">
        <is>
          <t>Inc42</t>
        </is>
      </c>
      <c r="D156" s="17" t="n">
        <v>45679</v>
      </c>
      <c r="E156" t="inlineStr">
        <is>
          <t>Raaz</t>
        </is>
      </c>
      <c r="F156" t="inlineStr">
        <is>
          <t>$1 Mn</t>
        </is>
      </c>
      <c r="G156" s="19" t="n"/>
      <c r="H156" s="19" t="n">
        <v>1</v>
      </c>
      <c r="I156" t="inlineStr">
        <is>
          <t>Pre-Seed</t>
        </is>
      </c>
      <c r="J156" t="inlineStr"/>
      <c r="K156" t="inlineStr">
        <is>
          <t>https://inc42.com/buzz/from-infra-market-to-arisinfra-indian-startups-raised-275-mn-this-week/</t>
        </is>
      </c>
    </row>
    <row r="157">
      <c r="A157" t="inlineStr">
        <is>
          <t>INC-20250125-27</t>
        </is>
      </c>
      <c r="B157" t="inlineStr">
        <is>
          <t>R250122-spare8</t>
        </is>
      </c>
      <c r="C157" t="inlineStr">
        <is>
          <t>Inc42</t>
        </is>
      </c>
      <c r="D157" s="17" t="n">
        <v>45679</v>
      </c>
      <c r="E157" t="inlineStr">
        <is>
          <t>Spare8</t>
        </is>
      </c>
      <c r="F157" t="inlineStr"/>
      <c r="G157" s="19" t="n"/>
      <c r="H157" s="19" t="n"/>
      <c r="I157" t="inlineStr">
        <is>
          <t>Undisclosed</t>
        </is>
      </c>
      <c r="J157" t="inlineStr"/>
      <c r="K157" t="inlineStr">
        <is>
          <t>https://inc42.com/buzz/from-infra-market-to-arisinfra-indian-startups-raised-275-mn-this-week/</t>
        </is>
      </c>
    </row>
    <row r="158">
      <c r="A158" t="inlineStr">
        <is>
          <t>ENT-8643423</t>
        </is>
      </c>
      <c r="B158" t="inlineStr">
        <is>
          <t>R250122-zeelabpharmacy</t>
        </is>
      </c>
      <c r="C158" t="inlineStr">
        <is>
          <t>Entrackr</t>
        </is>
      </c>
      <c r="D158" s="17" t="n">
        <v>45679</v>
      </c>
      <c r="E158" t="inlineStr">
        <is>
          <t>Zeelab Pharmacy</t>
        </is>
      </c>
      <c r="F158" t="inlineStr">
        <is>
          <t>$2.4 million</t>
        </is>
      </c>
      <c r="G158" s="19" t="n"/>
      <c r="H158" s="19" t="n">
        <v>2.4</v>
      </c>
      <c r="I158" t="inlineStr">
        <is>
          <t>Undisclosed</t>
        </is>
      </c>
      <c r="J158" t="inlineStr">
        <is>
          <t>OTP Ventures</t>
        </is>
      </c>
      <c r="K158" t="inlineStr">
        <is>
          <t>https://entrackr.com/snippets/otp-ventures-leads-24-mn-round-in-zeelab-pharmacy-8643423</t>
        </is>
      </c>
    </row>
    <row r="159">
      <c r="A159" t="inlineStr">
        <is>
          <t>ET-117455009</t>
        </is>
      </c>
      <c r="B159" t="inlineStr">
        <is>
          <t>R250122-zeelabpharmacy</t>
        </is>
      </c>
      <c r="C159" t="inlineStr">
        <is>
          <t>The Economic Times</t>
        </is>
      </c>
      <c r="D159" s="17" t="n">
        <v>45679</v>
      </c>
      <c r="E159" t="inlineStr">
        <is>
          <t>Zeelab Pharmacy</t>
        </is>
      </c>
      <c r="F159" t="inlineStr">
        <is>
          <t>$2.4 million</t>
        </is>
      </c>
      <c r="G159" s="19" t="n"/>
      <c r="H159" s="19" t="n">
        <v>2.4</v>
      </c>
      <c r="I159" t="inlineStr">
        <is>
          <t>Undisclosed</t>
        </is>
      </c>
      <c r="J159" t="inlineStr">
        <is>
          <t>OTP Ventures</t>
        </is>
      </c>
      <c r="K159" t="inlineStr">
        <is>
          <t>https://economictimes.indiatimes.com/tech/funding/zeelab-pharmacy-raises-2-4-million-from-otp-ventures/articleshow/117455009.cms</t>
        </is>
      </c>
    </row>
    <row r="160">
      <c r="A160" t="inlineStr">
        <is>
          <t>INC-20250125-15</t>
        </is>
      </c>
      <c r="B160" t="inlineStr">
        <is>
          <t>R250122-zeelabpharmacy</t>
        </is>
      </c>
      <c r="C160" t="inlineStr">
        <is>
          <t>Inc42</t>
        </is>
      </c>
      <c r="D160" s="17" t="n">
        <v>45679</v>
      </c>
      <c r="E160" t="inlineStr">
        <is>
          <t>Zeelab Pharmacy</t>
        </is>
      </c>
      <c r="F160" t="inlineStr">
        <is>
          <t>$2.4 Mn</t>
        </is>
      </c>
      <c r="G160" s="19" t="n"/>
      <c r="H160" s="19" t="n">
        <v>2.4</v>
      </c>
      <c r="I160" t="inlineStr">
        <is>
          <t>Undisclosed</t>
        </is>
      </c>
      <c r="J160" t="inlineStr"/>
      <c r="K160" t="inlineStr">
        <is>
          <t>https://inc42.com/buzz/from-infra-market-to-arisinfra-indian-startups-raised-275-mn-this-week/</t>
        </is>
      </c>
    </row>
    <row r="161">
      <c r="A161" t="inlineStr">
        <is>
          <t>INC-20250125-05</t>
        </is>
      </c>
      <c r="B161" t="inlineStr">
        <is>
          <t>R250123-arisinfra</t>
        </is>
      </c>
      <c r="C161" t="inlineStr">
        <is>
          <t>Inc42</t>
        </is>
      </c>
      <c r="D161" s="17" t="n">
        <v>45680</v>
      </c>
      <c r="E161" t="inlineStr">
        <is>
          <t>ArisInfra</t>
        </is>
      </c>
      <c r="F161" t="inlineStr">
        <is>
          <t>$9.3 Mn</t>
        </is>
      </c>
      <c r="G161" s="19" t="n"/>
      <c r="H161" s="19" t="n">
        <v>9.300000000000001</v>
      </c>
      <c r="I161" t="inlineStr">
        <is>
          <t>Undisclosed</t>
        </is>
      </c>
      <c r="J161" t="inlineStr"/>
      <c r="K161" t="inlineStr">
        <is>
          <t>https://inc42.com/buzz/from-infra-market-to-arisinfra-indian-startups-raised-275-mn-this-week/</t>
        </is>
      </c>
    </row>
    <row r="162">
      <c r="A162" t="inlineStr">
        <is>
          <t>ET-117490646</t>
        </is>
      </c>
      <c r="B162" t="inlineStr">
        <is>
          <t>R250123-arya</t>
        </is>
      </c>
      <c r="C162" t="inlineStr">
        <is>
          <t>The Economic Times</t>
        </is>
      </c>
      <c r="D162" s="17" t="n">
        <v>45680</v>
      </c>
      <c r="E162" t="inlineStr">
        <is>
          <t>Arya</t>
        </is>
      </c>
      <c r="F162" t="inlineStr">
        <is>
          <t>$30 million</t>
        </is>
      </c>
      <c r="G162" s="19" t="n">
        <v>259</v>
      </c>
      <c r="H162" s="19" t="n">
        <v>30</v>
      </c>
      <c r="I162" t="inlineStr">
        <is>
          <t>Debt</t>
        </is>
      </c>
      <c r="J162" t="inlineStr"/>
      <c r="K162" t="inlineStr">
        <is>
          <t>https://economictimes.indiatimes.com/tech/funding/agritech-startup-arya-secures-30-million-in-debt-financing/articleshow/117490646.cms</t>
        </is>
      </c>
    </row>
    <row r="163">
      <c r="A163" t="inlineStr">
        <is>
          <t>INC-20250125-03</t>
        </is>
      </c>
      <c r="B163" t="inlineStr">
        <is>
          <t>R250123-arya</t>
        </is>
      </c>
      <c r="C163" t="inlineStr">
        <is>
          <t>Inc42</t>
        </is>
      </c>
      <c r="D163" s="17" t="n">
        <v>45680</v>
      </c>
      <c r="E163" t="inlineStr">
        <is>
          <t>Arya.ag</t>
        </is>
      </c>
      <c r="F163" t="inlineStr">
        <is>
          <t>$30 Mn</t>
        </is>
      </c>
      <c r="G163" s="19" t="n"/>
      <c r="H163" s="19" t="n">
        <v>30</v>
      </c>
      <c r="I163" t="inlineStr">
        <is>
          <t>Debt</t>
        </is>
      </c>
      <c r="J163" t="inlineStr"/>
      <c r="K163" t="inlineStr">
        <is>
          <t>https://inc42.com/buzz/from-infra-market-to-arisinfra-indian-startups-raised-275-mn-this-week/</t>
        </is>
      </c>
    </row>
    <row r="164">
      <c r="A164" t="inlineStr">
        <is>
          <t>ENT-8646163</t>
        </is>
      </c>
      <c r="B164" t="inlineStr">
        <is>
          <t>R250123-atimotors</t>
        </is>
      </c>
      <c r="C164" t="inlineStr">
        <is>
          <t>Entrackr</t>
        </is>
      </c>
      <c r="D164" s="17" t="n">
        <v>45680</v>
      </c>
      <c r="E164" t="inlineStr">
        <is>
          <t>Ati Motors</t>
        </is>
      </c>
      <c r="F164" t="inlineStr">
        <is>
          <t>$20 million</t>
        </is>
      </c>
      <c r="G164" s="19" t="n"/>
      <c r="H164" s="19" t="n">
        <v>20</v>
      </c>
      <c r="I164" t="inlineStr">
        <is>
          <t>Series B</t>
        </is>
      </c>
      <c r="J164" t="inlineStr">
        <is>
          <t>Walden Catalyst Ventures</t>
        </is>
      </c>
      <c r="K164" t="inlineStr">
        <is>
          <t>https://entrackr.com/news/industrial-robotics-startup-ati-motors-raises-20-mn-in-series-b-round-8646163</t>
        </is>
      </c>
    </row>
    <row r="165">
      <c r="A165" t="inlineStr">
        <is>
          <t>ET-117464373</t>
        </is>
      </c>
      <c r="B165" t="inlineStr">
        <is>
          <t>R250123-atimotors</t>
        </is>
      </c>
      <c r="C165" t="inlineStr">
        <is>
          <t>The Economic Times</t>
        </is>
      </c>
      <c r="D165" s="17" t="n">
        <v>45680</v>
      </c>
      <c r="E165" t="inlineStr">
        <is>
          <t>Ati Motors</t>
        </is>
      </c>
      <c r="F165" t="inlineStr">
        <is>
          <t>$20 million</t>
        </is>
      </c>
      <c r="G165" s="19" t="n"/>
      <c r="H165" s="19" t="n">
        <v>20</v>
      </c>
      <c r="I165" t="inlineStr">
        <is>
          <t>Series B</t>
        </is>
      </c>
      <c r="J165" t="inlineStr">
        <is>
          <t>Walden Catalyst Ventures; NGP Capital</t>
        </is>
      </c>
      <c r="K165" t="inlineStr">
        <is>
          <t>https://economictimes.indiatimes.com/tech/funding/industrial-robotics-startup-ati-motors-raises-20-million-in-series-b-funding/articleshow/117464373.cms</t>
        </is>
      </c>
    </row>
    <row r="166">
      <c r="A166" t="inlineStr">
        <is>
          <t>INC-20250125-04</t>
        </is>
      </c>
      <c r="B166" t="inlineStr">
        <is>
          <t>R250123-atimotors</t>
        </is>
      </c>
      <c r="C166" t="inlineStr">
        <is>
          <t>Inc42</t>
        </is>
      </c>
      <c r="D166" s="17" t="n">
        <v>45680</v>
      </c>
      <c r="E166" t="inlineStr">
        <is>
          <t>Ati Motors</t>
        </is>
      </c>
      <c r="F166" t="inlineStr">
        <is>
          <t>$20 Mn</t>
        </is>
      </c>
      <c r="G166" s="19" t="n"/>
      <c r="H166" s="19" t="n">
        <v>20</v>
      </c>
      <c r="I166" t="inlineStr">
        <is>
          <t>Series B</t>
        </is>
      </c>
      <c r="J166" t="inlineStr"/>
      <c r="K166" t="inlineStr">
        <is>
          <t>https://inc42.com/buzz/from-infra-market-to-arisinfra-indian-startups-raised-275-mn-this-week/</t>
        </is>
      </c>
    </row>
    <row r="167">
      <c r="A167" t="inlineStr">
        <is>
          <t>ENT-8646648</t>
        </is>
      </c>
      <c r="B167" t="inlineStr">
        <is>
          <t>R250123-dreamaerospace</t>
        </is>
      </c>
      <c r="C167" t="inlineStr">
        <is>
          <t>Entrackr</t>
        </is>
      </c>
      <c r="D167" s="17" t="n">
        <v>45680</v>
      </c>
      <c r="E167" t="inlineStr">
        <is>
          <t>Dream Aerospace</t>
        </is>
      </c>
      <c r="F167" t="inlineStr">
        <is>
          <t>Rs 3 crore</t>
        </is>
      </c>
      <c r="G167" s="19" t="n">
        <v>3</v>
      </c>
      <c r="H167" s="19" t="n"/>
      <c r="I167" t="inlineStr">
        <is>
          <t>Pre-Seed</t>
        </is>
      </c>
      <c r="J167" t="inlineStr">
        <is>
          <t>Inflection Point Ventures</t>
        </is>
      </c>
      <c r="K167" t="inlineStr">
        <is>
          <t>https://entrackr.com/snippets/dream-aerospace-raises-rs-3-cr-in-pre-seed-round-8646648</t>
        </is>
      </c>
    </row>
    <row r="168">
      <c r="A168" t="inlineStr">
        <is>
          <t>INC-20250125-24</t>
        </is>
      </c>
      <c r="B168" t="inlineStr">
        <is>
          <t>R250123-dreamaerospace</t>
        </is>
      </c>
      <c r="C168" t="inlineStr">
        <is>
          <t>Inc42</t>
        </is>
      </c>
      <c r="D168" s="17" t="n">
        <v>45680</v>
      </c>
      <c r="E168" t="inlineStr">
        <is>
          <t>Dream Aerospace</t>
        </is>
      </c>
      <c r="F168" t="inlineStr">
        <is>
          <t>$348K</t>
        </is>
      </c>
      <c r="G168" s="19" t="n"/>
      <c r="H168" s="19" t="n">
        <v>0.348</v>
      </c>
      <c r="I168" t="inlineStr">
        <is>
          <t>Pre-Seed</t>
        </is>
      </c>
      <c r="J168" t="inlineStr"/>
      <c r="K168" t="inlineStr">
        <is>
          <t>https://inc42.com/buzz/from-infra-market-to-arisinfra-indian-startups-raised-275-mn-this-week/</t>
        </is>
      </c>
    </row>
    <row r="169">
      <c r="A169" t="inlineStr">
        <is>
          <t>ET-117486734</t>
        </is>
      </c>
      <c r="B169" t="inlineStr">
        <is>
          <t>R250123-inframarket</t>
        </is>
      </c>
      <c r="C169" t="inlineStr">
        <is>
          <t>The Economic Times</t>
        </is>
      </c>
      <c r="D169" s="17" t="n">
        <v>45680</v>
      </c>
      <c r="E169" t="inlineStr">
        <is>
          <t>Infra.Market</t>
        </is>
      </c>
      <c r="F169" t="inlineStr">
        <is>
          <t>$121 million</t>
        </is>
      </c>
      <c r="G169" s="19" t="n"/>
      <c r="H169" s="19" t="n">
        <v>121</v>
      </c>
      <c r="I169" t="inlineStr">
        <is>
          <t>Pre-IPO</t>
        </is>
      </c>
      <c r="J169" t="inlineStr"/>
      <c r="K169" t="inlineStr">
        <is>
          <t>https://economictimes.indiatimes.com/tech/funding/infra-market-secures-rs-1050-crore-in-pre-ipo-funding/articleshow/117486734.cms</t>
        </is>
      </c>
    </row>
    <row r="170">
      <c r="A170" t="inlineStr">
        <is>
          <t>INC-20250125-01</t>
        </is>
      </c>
      <c r="B170" t="inlineStr">
        <is>
          <t>R250123-inframarket</t>
        </is>
      </c>
      <c r="C170" t="inlineStr">
        <is>
          <t>Inc42</t>
        </is>
      </c>
      <c r="D170" s="17" t="n">
        <v>45680</v>
      </c>
      <c r="E170" t="inlineStr">
        <is>
          <t>Infra.Market</t>
        </is>
      </c>
      <c r="F170" t="inlineStr">
        <is>
          <t>$121 Mn</t>
        </is>
      </c>
      <c r="G170" s="19" t="n"/>
      <c r="H170" s="19" t="n">
        <v>121</v>
      </c>
      <c r="I170" t="inlineStr">
        <is>
          <t>Series F</t>
        </is>
      </c>
      <c r="J170" t="inlineStr"/>
      <c r="K170" t="inlineStr">
        <is>
          <t>https://inc42.com/buzz/from-infra-market-to-arisinfra-indian-startups-raised-275-mn-this-week/</t>
        </is>
      </c>
    </row>
    <row r="171">
      <c r="A171" t="inlineStr">
        <is>
          <t>ENT-8645853</t>
        </is>
      </c>
      <c r="B171" t="inlineStr">
        <is>
          <t>R250123-landeed</t>
        </is>
      </c>
      <c r="C171" t="inlineStr">
        <is>
          <t>Entrackr</t>
        </is>
      </c>
      <c r="D171" s="17" t="n">
        <v>45680</v>
      </c>
      <c r="E171" t="inlineStr">
        <is>
          <t>Landeed</t>
        </is>
      </c>
      <c r="F171" t="inlineStr">
        <is>
          <t>$5 million</t>
        </is>
      </c>
      <c r="G171" s="19" t="n"/>
      <c r="H171" s="19" t="n">
        <v>5</v>
      </c>
      <c r="I171" t="inlineStr">
        <is>
          <t>Undisclosed</t>
        </is>
      </c>
      <c r="J171" t="inlineStr">
        <is>
          <t>10x Founders Fund</t>
        </is>
      </c>
      <c r="K171" t="inlineStr">
        <is>
          <t>https://entrackr.com/snippets/y-combinator-backed-landeed-raises-5-mn-8645853</t>
        </is>
      </c>
    </row>
    <row r="172">
      <c r="A172" t="inlineStr">
        <is>
          <t>INC-20250125-10</t>
        </is>
      </c>
      <c r="B172" t="inlineStr">
        <is>
          <t>R250123-landeed</t>
        </is>
      </c>
      <c r="C172" t="inlineStr">
        <is>
          <t>Inc42</t>
        </is>
      </c>
      <c r="D172" s="17" t="n">
        <v>45680</v>
      </c>
      <c r="E172" t="inlineStr">
        <is>
          <t>Landeed</t>
        </is>
      </c>
      <c r="F172" t="inlineStr">
        <is>
          <t>$5 Mn</t>
        </is>
      </c>
      <c r="G172" s="19" t="n"/>
      <c r="H172" s="19" t="n">
        <v>5</v>
      </c>
      <c r="I172" t="inlineStr">
        <is>
          <t>Undisclosed</t>
        </is>
      </c>
      <c r="J172" t="inlineStr"/>
      <c r="K172" t="inlineStr">
        <is>
          <t>https://inc42.com/buzz/from-infra-market-to-arisinfra-indian-startups-raised-275-mn-this-week/</t>
        </is>
      </c>
    </row>
    <row r="173">
      <c r="A173" t="inlineStr">
        <is>
          <t>ENT-8647043</t>
        </is>
      </c>
      <c r="B173" t="inlineStr">
        <is>
          <t>R250123-svastek</t>
        </is>
      </c>
      <c r="C173" t="inlineStr">
        <is>
          <t>Entrackr</t>
        </is>
      </c>
      <c r="D173" s="17" t="n">
        <v>45680</v>
      </c>
      <c r="E173" t="inlineStr">
        <is>
          <t>SVASTEK</t>
        </is>
      </c>
      <c r="F173" t="inlineStr">
        <is>
          <t>Rs 2 crore</t>
        </is>
      </c>
      <c r="G173" s="19" t="n">
        <v>2</v>
      </c>
      <c r="H173" s="19" t="n"/>
      <c r="I173" t="inlineStr">
        <is>
          <t>Seed</t>
        </is>
      </c>
      <c r="J173" t="inlineStr">
        <is>
          <t>IAN Angel Fund</t>
        </is>
      </c>
      <c r="K173" t="inlineStr">
        <is>
          <t>https://entrackr.com/snippets/ian-group-leads-seed-round-in-medtech-startup-svastek-8647043</t>
        </is>
      </c>
    </row>
    <row r="174">
      <c r="A174" t="inlineStr">
        <is>
          <t>INC-20250125-25</t>
        </is>
      </c>
      <c r="B174" t="inlineStr">
        <is>
          <t>R250123-svastek</t>
        </is>
      </c>
      <c r="C174" t="inlineStr">
        <is>
          <t>Inc42</t>
        </is>
      </c>
      <c r="D174" s="17" t="n">
        <v>45680</v>
      </c>
      <c r="E174" t="inlineStr">
        <is>
          <t>SVASTEK</t>
        </is>
      </c>
      <c r="F174" t="inlineStr">
        <is>
          <t>$232K</t>
        </is>
      </c>
      <c r="G174" s="19" t="n"/>
      <c r="H174" s="19" t="n">
        <v>0.232</v>
      </c>
      <c r="I174" t="inlineStr">
        <is>
          <t>Pre-Seed</t>
        </is>
      </c>
      <c r="J174" t="inlineStr"/>
      <c r="K174" t="inlineStr">
        <is>
          <t>https://inc42.com/buzz/from-infra-market-to-arisinfra-indian-startups-raised-275-mn-this-week/</t>
        </is>
      </c>
    </row>
    <row r="175">
      <c r="A175" t="inlineStr">
        <is>
          <t>ENT-8646289</t>
        </is>
      </c>
      <c r="B175" t="inlineStr">
        <is>
          <t>R250123-vunetsystems</t>
        </is>
      </c>
      <c r="C175" t="inlineStr">
        <is>
          <t>Entrackr</t>
        </is>
      </c>
      <c r="D175" s="17" t="n">
        <v>45680</v>
      </c>
      <c r="E175" t="inlineStr">
        <is>
          <t>VuNet Systems</t>
        </is>
      </c>
      <c r="F175" t="inlineStr">
        <is>
          <t>Rs 60 crore</t>
        </is>
      </c>
      <c r="G175" s="19" t="n">
        <v>60</v>
      </c>
      <c r="H175" s="19" t="n">
        <v>6.94</v>
      </c>
      <c r="I175" t="inlineStr">
        <is>
          <t>Series B</t>
        </is>
      </c>
      <c r="J175" t="inlineStr">
        <is>
          <t>Pravega Ventures</t>
        </is>
      </c>
      <c r="K175" t="inlineStr">
        <is>
          <t>https://entrackr.com/snippets/vunet-systems-raises-rs-60-cr-in-series-b-round-8646289</t>
        </is>
      </c>
    </row>
    <row r="176">
      <c r="A176" t="inlineStr">
        <is>
          <t>ET-117464267</t>
        </is>
      </c>
      <c r="B176" t="inlineStr">
        <is>
          <t>R250123-vunetsystems</t>
        </is>
      </c>
      <c r="C176" t="inlineStr">
        <is>
          <t>The Economic Times</t>
        </is>
      </c>
      <c r="D176" s="17" t="n">
        <v>45680</v>
      </c>
      <c r="E176" t="inlineStr">
        <is>
          <t>VuNet Systems</t>
        </is>
      </c>
      <c r="F176" t="inlineStr">
        <is>
          <t>Rs 60 crore</t>
        </is>
      </c>
      <c r="G176" s="19" t="n">
        <v>60</v>
      </c>
      <c r="H176" s="19" t="n"/>
      <c r="I176" t="inlineStr">
        <is>
          <t>Series B</t>
        </is>
      </c>
      <c r="J176" t="inlineStr">
        <is>
          <t>Pravega Ventures</t>
        </is>
      </c>
      <c r="K176" t="inlineStr">
        <is>
          <t>https://economictimes.indiatimes.com/tech/funding/digital-transaction-monitoring-startup-vunet-systems-raises-rs-60-crore-in-series-b-funding/articleshow/117464267.cms</t>
        </is>
      </c>
    </row>
    <row r="177">
      <c r="A177" t="inlineStr">
        <is>
          <t>INC-20250125-07</t>
        </is>
      </c>
      <c r="B177" t="inlineStr">
        <is>
          <t>R250123-vunetsystems</t>
        </is>
      </c>
      <c r="C177" t="inlineStr">
        <is>
          <t>Inc42</t>
        </is>
      </c>
      <c r="D177" s="17" t="n">
        <v>45680</v>
      </c>
      <c r="E177" t="inlineStr">
        <is>
          <t>VuNet</t>
        </is>
      </c>
      <c r="F177" t="inlineStr">
        <is>
          <t>$6.9 Mn</t>
        </is>
      </c>
      <c r="G177" s="19" t="n"/>
      <c r="H177" s="19" t="n">
        <v>6.9</v>
      </c>
      <c r="I177" t="inlineStr">
        <is>
          <t>Series B</t>
        </is>
      </c>
      <c r="J177" t="inlineStr"/>
      <c r="K177" t="inlineStr">
        <is>
          <t>https://inc42.com/buzz/from-infra-market-to-arisinfra-indian-startups-raised-275-mn-this-week/</t>
        </is>
      </c>
    </row>
    <row r="178">
      <c r="A178" t="inlineStr">
        <is>
          <t>VCC-0683d1d4e0</t>
        </is>
      </c>
      <c r="B178" t="inlineStr">
        <is>
          <t>R250123-vunetsystems</t>
        </is>
      </c>
      <c r="C178" t="inlineStr">
        <is>
          <t>VCCircle</t>
        </is>
      </c>
      <c r="D178" s="17" t="n">
        <v>45680</v>
      </c>
      <c r="E178" t="inlineStr">
        <is>
          <t>vunetsystems</t>
        </is>
      </c>
      <c r="F178" t="inlineStr"/>
      <c r="G178" s="19" t="n"/>
      <c r="H178" s="19" t="n"/>
      <c r="I178" t="inlineStr">
        <is>
          <t>Series B</t>
        </is>
      </c>
      <c r="J178" t="inlineStr"/>
      <c r="K178" t="inlineStr">
        <is>
          <t>https://www.vccircle.com/vunetsystems-bags-series-b-funding-from-pravega-ventures-others</t>
        </is>
      </c>
    </row>
    <row r="179">
      <c r="A179" t="inlineStr">
        <is>
          <t>INC-20250125-12</t>
        </is>
      </c>
      <c r="B179" t="inlineStr">
        <is>
          <t>R250124-capgrid</t>
        </is>
      </c>
      <c r="C179" t="inlineStr">
        <is>
          <t>Inc42</t>
        </is>
      </c>
      <c r="D179" s="17" t="n">
        <v>45681</v>
      </c>
      <c r="E179" t="inlineStr">
        <is>
          <t>CapGrid</t>
        </is>
      </c>
      <c r="F179" t="inlineStr">
        <is>
          <t>$3.3 Mn</t>
        </is>
      </c>
      <c r="G179" s="19" t="n"/>
      <c r="H179" s="19" t="n">
        <v>3.3</v>
      </c>
      <c r="I179" t="inlineStr">
        <is>
          <t>Series A</t>
        </is>
      </c>
      <c r="J179" t="inlineStr"/>
      <c r="K179" t="inlineStr">
        <is>
          <t>https://inc42.com/buzz/from-infra-market-to-arisinfra-indian-startups-raised-275-mn-this-week/</t>
        </is>
      </c>
    </row>
    <row r="180">
      <c r="A180" t="inlineStr">
        <is>
          <t>ENT-8649454</t>
        </is>
      </c>
      <c r="B180" t="inlineStr">
        <is>
          <t>R250124-medusabeverage</t>
        </is>
      </c>
      <c r="C180" t="inlineStr">
        <is>
          <t>Entrackr</t>
        </is>
      </c>
      <c r="D180" s="17" t="n">
        <v>45681</v>
      </c>
      <c r="E180" t="inlineStr">
        <is>
          <t>Medusa Beverages</t>
        </is>
      </c>
      <c r="F180" t="inlineStr">
        <is>
          <t>Rs 56 crore</t>
        </is>
      </c>
      <c r="G180" s="19" t="n">
        <v>56</v>
      </c>
      <c r="H180" s="19" t="n">
        <v>6.6</v>
      </c>
      <c r="I180" t="inlineStr">
        <is>
          <t>Series A</t>
        </is>
      </c>
      <c r="J180" t="inlineStr">
        <is>
          <t>Amal N. Parikh; Ashwin Kedia</t>
        </is>
      </c>
      <c r="K180" t="inlineStr">
        <is>
          <t>https://entrackr.com/snippets/medusa-beverages-raises-rs-56-cr-in-series-a-funding-8649454</t>
        </is>
      </c>
    </row>
    <row r="181">
      <c r="A181" t="inlineStr">
        <is>
          <t>INC-20250125-08</t>
        </is>
      </c>
      <c r="B181" t="inlineStr">
        <is>
          <t>R250124-medusabeverage</t>
        </is>
      </c>
      <c r="C181" t="inlineStr">
        <is>
          <t>Inc42</t>
        </is>
      </c>
      <c r="D181" s="17" t="n">
        <v>45681</v>
      </c>
      <c r="E181" t="inlineStr">
        <is>
          <t>Medusa</t>
        </is>
      </c>
      <c r="F181" t="inlineStr">
        <is>
          <t>$6.5 Mn</t>
        </is>
      </c>
      <c r="G181" s="19" t="n"/>
      <c r="H181" s="19" t="n">
        <v>6.5</v>
      </c>
      <c r="I181" t="inlineStr">
        <is>
          <t>Series A</t>
        </is>
      </c>
      <c r="J181" t="inlineStr"/>
      <c r="K181" t="inlineStr">
        <is>
          <t>https://inc42.com/buzz/from-infra-market-to-arisinfra-indian-startups-raised-275-mn-this-week/</t>
        </is>
      </c>
    </row>
    <row r="182">
      <c r="A182" t="inlineStr">
        <is>
          <t>ET-117493444</t>
        </is>
      </c>
      <c r="B182" t="inlineStr">
        <is>
          <t>R250124-pipeshift</t>
        </is>
      </c>
      <c r="C182" t="inlineStr">
        <is>
          <t>The Economic Times</t>
        </is>
      </c>
      <c r="D182" s="17" t="n">
        <v>45680</v>
      </c>
      <c r="E182" t="inlineStr">
        <is>
          <t>Pipeshift</t>
        </is>
      </c>
      <c r="F182" t="inlineStr">
        <is>
          <t>$2.5 million</t>
        </is>
      </c>
      <c r="G182" s="19" t="n"/>
      <c r="H182" s="19" t="n">
        <v>2.5</v>
      </c>
      <c r="I182" t="inlineStr">
        <is>
          <t>Seed</t>
        </is>
      </c>
      <c r="J182" t="inlineStr">
        <is>
          <t>Y Combinator; SenseAI Ventures</t>
        </is>
      </c>
      <c r="K182" t="inlineStr">
        <is>
          <t>https://economictimes.indiatimes.com/tech/funding/ai-infrastructure-startup-pipeshift-raises-2-5-million-from-y-combinator-others/articleshow/117493444.cms</t>
        </is>
      </c>
    </row>
    <row r="183">
      <c r="A183" t="inlineStr">
        <is>
          <t>ENT-8649036</t>
        </is>
      </c>
      <c r="B183" t="inlineStr">
        <is>
          <t>R250124-pipeshift</t>
        </is>
      </c>
      <c r="C183" t="inlineStr">
        <is>
          <t>Entrackr</t>
        </is>
      </c>
      <c r="D183" s="17" t="n">
        <v>45681</v>
      </c>
      <c r="E183" t="inlineStr">
        <is>
          <t>Pipeshift</t>
        </is>
      </c>
      <c r="F183" t="inlineStr">
        <is>
          <t>$2.5 million</t>
        </is>
      </c>
      <c r="G183" s="19" t="n"/>
      <c r="H183" s="19" t="n">
        <v>2.5</v>
      </c>
      <c r="I183" t="inlineStr">
        <is>
          <t>Seed</t>
        </is>
      </c>
      <c r="J183" t="inlineStr">
        <is>
          <t>Y Combinator; SenseAI Ventures</t>
        </is>
      </c>
      <c r="K183" t="inlineStr">
        <is>
          <t>https://entrackr.com/snippets/pipeshift-raises-25-mn-led-by-y-combinator-and-senseai-ventures-8649036</t>
        </is>
      </c>
    </row>
    <row r="184">
      <c r="A184" t="inlineStr">
        <is>
          <t>INC-20250125-14</t>
        </is>
      </c>
      <c r="B184" t="inlineStr">
        <is>
          <t>R250124-pipeshift</t>
        </is>
      </c>
      <c r="C184" t="inlineStr">
        <is>
          <t>Inc42</t>
        </is>
      </c>
      <c r="D184" s="17" t="n">
        <v>45681</v>
      </c>
      <c r="E184" t="inlineStr">
        <is>
          <t>Pipeshift</t>
        </is>
      </c>
      <c r="F184" t="inlineStr">
        <is>
          <t>$2.5 Mn</t>
        </is>
      </c>
      <c r="G184" s="19" t="n"/>
      <c r="H184" s="19" t="n">
        <v>2.5</v>
      </c>
      <c r="I184" t="inlineStr">
        <is>
          <t>Seed</t>
        </is>
      </c>
      <c r="J184" t="inlineStr"/>
      <c r="K184" t="inlineStr">
        <is>
          <t>https://inc42.com/buzz/from-infra-market-to-arisinfra-indian-startups-raised-275-mn-this-week/</t>
        </is>
      </c>
    </row>
    <row r="185">
      <c r="A185" t="inlineStr">
        <is>
          <t>ENT-8658316</t>
        </is>
      </c>
      <c r="B185" t="inlineStr">
        <is>
          <t>R250127-astrometechnol</t>
        </is>
      </c>
      <c r="C185" t="inlineStr">
        <is>
          <t>Entrackr</t>
        </is>
      </c>
      <c r="D185" s="17" t="n">
        <v>45684</v>
      </c>
      <c r="E185" t="inlineStr">
        <is>
          <t>Astrome Technologies</t>
        </is>
      </c>
      <c r="F185" t="inlineStr">
        <is>
          <t>$10 million</t>
        </is>
      </c>
      <c r="G185" s="19" t="n"/>
      <c r="H185" s="19" t="n">
        <v>10</v>
      </c>
      <c r="I185" t="inlineStr">
        <is>
          <t>Undisclosed</t>
        </is>
      </c>
      <c r="J185" t="inlineStr">
        <is>
          <t>Appollo Fund</t>
        </is>
      </c>
      <c r="K185" t="inlineStr">
        <is>
          <t>https://entrackr.com/news/astrome-technologies-raises-10-mn-led-by-appollo-fund-8658316</t>
        </is>
      </c>
    </row>
    <row r="186">
      <c r="A186" t="inlineStr">
        <is>
          <t>INC-20250201-06</t>
        </is>
      </c>
      <c r="B186" t="inlineStr">
        <is>
          <t>R250127-astrometechnol</t>
        </is>
      </c>
      <c r="C186" t="inlineStr">
        <is>
          <t>Inc42</t>
        </is>
      </c>
      <c r="D186" s="17" t="n">
        <v>45684</v>
      </c>
      <c r="E186" t="inlineStr">
        <is>
          <t>Astrome</t>
        </is>
      </c>
      <c r="F186" t="inlineStr">
        <is>
          <t>$10 Mn</t>
        </is>
      </c>
      <c r="G186" s="19" t="n"/>
      <c r="H186" s="19" t="n">
        <v>10</v>
      </c>
      <c r="I186" t="inlineStr">
        <is>
          <t>Undisclosed</t>
        </is>
      </c>
      <c r="J186" t="inlineStr">
        <is>
          <t>Apollo Global Management</t>
        </is>
      </c>
      <c r="K186" t="inlineStr">
        <is>
          <t>https://inc42.com/buzz/from-leap-to-innov8-indian-startups-raised-196-mn-this-week/</t>
        </is>
      </c>
    </row>
    <row r="187">
      <c r="A187" t="inlineStr">
        <is>
          <t>ENT-8657375</t>
        </is>
      </c>
      <c r="B187" t="inlineStr">
        <is>
          <t>R250127-emiza</t>
        </is>
      </c>
      <c r="C187" t="inlineStr">
        <is>
          <t>Entrackr</t>
        </is>
      </c>
      <c r="D187" s="17" t="n">
        <v>45684</v>
      </c>
      <c r="E187" t="inlineStr">
        <is>
          <t>Emiza</t>
        </is>
      </c>
      <c r="F187" t="inlineStr">
        <is>
          <t>Rs 100 crore</t>
        </is>
      </c>
      <c r="G187" s="19" t="n">
        <v>100</v>
      </c>
      <c r="H187" s="19" t="n">
        <v>12</v>
      </c>
      <c r="I187" t="inlineStr">
        <is>
          <t>Series C</t>
        </is>
      </c>
      <c r="J187" t="inlineStr">
        <is>
          <t>Evolvence India; Mirabilis Investment Trust</t>
        </is>
      </c>
      <c r="K187" t="inlineStr">
        <is>
          <t>https://entrackr.com/snippets/emiza-raises-rs-100-cr-in-series-c-round-8657375</t>
        </is>
      </c>
    </row>
    <row r="188">
      <c r="A188" t="inlineStr">
        <is>
          <t>INC-20250201-05</t>
        </is>
      </c>
      <c r="B188" t="inlineStr">
        <is>
          <t>R250127-emiza</t>
        </is>
      </c>
      <c r="C188" t="inlineStr">
        <is>
          <t>Inc42</t>
        </is>
      </c>
      <c r="D188" s="17" t="n">
        <v>45684</v>
      </c>
      <c r="E188" t="inlineStr">
        <is>
          <t>Emiza</t>
        </is>
      </c>
      <c r="F188" t="inlineStr">
        <is>
          <t>$12 Mn</t>
        </is>
      </c>
      <c r="G188" s="19" t="n"/>
      <c r="H188" s="19" t="n">
        <v>12</v>
      </c>
      <c r="I188" t="inlineStr">
        <is>
          <t>Series C</t>
        </is>
      </c>
      <c r="J188" t="inlineStr">
        <is>
          <t>Evolvence India; Mirabilis Investment Trust</t>
        </is>
      </c>
      <c r="K188" t="inlineStr">
        <is>
          <t>https://inc42.com/buzz/from-leap-to-innov8-indian-startups-raised-196-mn-this-week/</t>
        </is>
      </c>
    </row>
    <row r="189">
      <c r="A189" t="inlineStr">
        <is>
          <t>ENT-8658435</t>
        </is>
      </c>
      <c r="B189" t="inlineStr">
        <is>
          <t>R250127-gericarehealth</t>
        </is>
      </c>
      <c r="C189" t="inlineStr">
        <is>
          <t>Entrackr</t>
        </is>
      </c>
      <c r="D189" s="17" t="n">
        <v>45684</v>
      </c>
      <c r="E189" t="inlineStr">
        <is>
          <t>Geri Care Health Services</t>
        </is>
      </c>
      <c r="F189" t="inlineStr">
        <is>
          <t>Rs 110 crore</t>
        </is>
      </c>
      <c r="G189" s="19" t="n">
        <v>110</v>
      </c>
      <c r="H189" s="19" t="n">
        <v>13</v>
      </c>
      <c r="I189" t="inlineStr">
        <is>
          <t>Undisclosed</t>
        </is>
      </c>
      <c r="J189" t="inlineStr">
        <is>
          <t>InvAscent</t>
        </is>
      </c>
      <c r="K189" t="inlineStr">
        <is>
          <t>https://entrackr.com/snippets/invascent-leads-13-mn-round-in-geri-care-health-services-8658435</t>
        </is>
      </c>
    </row>
    <row r="190">
      <c r="A190" t="inlineStr">
        <is>
          <t>INC-20250201-18</t>
        </is>
      </c>
      <c r="B190" t="inlineStr">
        <is>
          <t>R250127-indulgeglobal</t>
        </is>
      </c>
      <c r="C190" t="inlineStr">
        <is>
          <t>Inc42</t>
        </is>
      </c>
      <c r="D190" s="17" t="n">
        <v>45684</v>
      </c>
      <c r="E190" t="inlineStr">
        <is>
          <t>Indulge Global</t>
        </is>
      </c>
      <c r="F190" t="inlineStr">
        <is>
          <t>$1 Mn</t>
        </is>
      </c>
      <c r="G190" s="19" t="n"/>
      <c r="H190" s="19" t="n">
        <v>1</v>
      </c>
      <c r="I190" t="inlineStr">
        <is>
          <t>Undisclosed</t>
        </is>
      </c>
      <c r="J190" t="inlineStr"/>
      <c r="K190" t="inlineStr">
        <is>
          <t>https://inc42.com/buzz/from-leap-to-innov8-indian-startups-raised-196-mn-this-week/</t>
        </is>
      </c>
    </row>
    <row r="191">
      <c r="A191" t="inlineStr">
        <is>
          <t>ET-117583844</t>
        </is>
      </c>
      <c r="B191" t="inlineStr">
        <is>
          <t>R250127-meesho</t>
        </is>
      </c>
      <c r="C191" t="inlineStr">
        <is>
          <t>The Economic Times</t>
        </is>
      </c>
      <c r="D191" s="17" t="n">
        <v>45684</v>
      </c>
      <c r="E191" t="inlineStr">
        <is>
          <t>Meesho</t>
        </is>
      </c>
      <c r="F191" t="inlineStr">
        <is>
          <t>$550 million</t>
        </is>
      </c>
      <c r="G191" s="19" t="n"/>
      <c r="H191" s="19" t="n">
        <v>550</v>
      </c>
      <c r="I191" t="inlineStr">
        <is>
          <t>Undisclosed</t>
        </is>
      </c>
      <c r="J191" t="inlineStr"/>
      <c r="K191" t="inlineStr">
        <is>
          <t>https://economictimes.indiatimes.com/tech/startups/meesho-closes-550-million-round-moves-nclt-to-shift-domicile/articleshow/117583844.cms</t>
        </is>
      </c>
    </row>
    <row r="192">
      <c r="A192" t="inlineStr">
        <is>
          <t>INC-20250201-23</t>
        </is>
      </c>
      <c r="B192" t="inlineStr">
        <is>
          <t>R250127-tracknow</t>
        </is>
      </c>
      <c r="C192" t="inlineStr">
        <is>
          <t>Inc42</t>
        </is>
      </c>
      <c r="D192" s="17" t="n">
        <v>45684</v>
      </c>
      <c r="E192" t="inlineStr">
        <is>
          <t>trackNOW</t>
        </is>
      </c>
      <c r="F192" t="inlineStr"/>
      <c r="G192" s="19" t="n"/>
      <c r="H192" s="19" t="n"/>
      <c r="I192" t="inlineStr">
        <is>
          <t>Undisclosed</t>
        </is>
      </c>
      <c r="J192" t="inlineStr">
        <is>
          <t>Poonawalla Group</t>
        </is>
      </c>
      <c r="K192" t="inlineStr">
        <is>
          <t>https://inc42.com/buzz/from-leap-to-innov8-indian-startups-raised-196-mn-this-week/</t>
        </is>
      </c>
    </row>
    <row r="193">
      <c r="A193" t="inlineStr">
        <is>
          <t>ENT-8657725</t>
        </is>
      </c>
      <c r="B193" t="inlineStr">
        <is>
          <t>R250127-voltup</t>
        </is>
      </c>
      <c r="C193" t="inlineStr">
        <is>
          <t>Entrackr</t>
        </is>
      </c>
      <c r="D193" s="17" t="n">
        <v>45684</v>
      </c>
      <c r="E193" t="inlineStr">
        <is>
          <t>VoltUp</t>
        </is>
      </c>
      <c r="F193" t="inlineStr">
        <is>
          <t>$8 million</t>
        </is>
      </c>
      <c r="G193" s="19" t="n">
        <v>67</v>
      </c>
      <c r="H193" s="19" t="n">
        <v>8</v>
      </c>
      <c r="I193" t="inlineStr">
        <is>
          <t>Seed</t>
        </is>
      </c>
      <c r="J193" t="inlineStr">
        <is>
          <t>EM Impact Capital</t>
        </is>
      </c>
      <c r="K193" t="inlineStr">
        <is>
          <t>https://entrackr.com/snippets/voltup-raises-8-mn-in-seed-funding-round-8657725</t>
        </is>
      </c>
    </row>
    <row r="194">
      <c r="A194" t="inlineStr">
        <is>
          <t>INC-20250201-07</t>
        </is>
      </c>
      <c r="B194" t="inlineStr">
        <is>
          <t>R250127-voltup</t>
        </is>
      </c>
      <c r="C194" t="inlineStr">
        <is>
          <t>Inc42</t>
        </is>
      </c>
      <c r="D194" s="17" t="n">
        <v>45684</v>
      </c>
      <c r="E194" t="inlineStr">
        <is>
          <t>VoltUp</t>
        </is>
      </c>
      <c r="F194" t="inlineStr">
        <is>
          <t>$8 Mn</t>
        </is>
      </c>
      <c r="G194" s="19" t="n"/>
      <c r="H194" s="19" t="n">
        <v>8</v>
      </c>
      <c r="I194" t="inlineStr">
        <is>
          <t>Seed</t>
        </is>
      </c>
      <c r="J194" t="inlineStr">
        <is>
          <t>EM Impact Capital</t>
        </is>
      </c>
      <c r="K194" t="inlineStr">
        <is>
          <t>https://inc42.com/buzz/from-leap-to-innov8-indian-startups-raised-196-mn-this-week/</t>
        </is>
      </c>
    </row>
    <row r="195">
      <c r="A195" t="inlineStr">
        <is>
          <t>ENT-8661535</t>
        </is>
      </c>
      <c r="B195" t="inlineStr">
        <is>
          <t>R250128-ambak</t>
        </is>
      </c>
      <c r="C195" t="inlineStr">
        <is>
          <t>Entrackr</t>
        </is>
      </c>
      <c r="D195" s="17" t="n">
        <v>45685</v>
      </c>
      <c r="E195" t="inlineStr">
        <is>
          <t>Ambak</t>
        </is>
      </c>
      <c r="F195" t="inlineStr">
        <is>
          <t>$7 million</t>
        </is>
      </c>
      <c r="G195" s="19" t="n"/>
      <c r="H195" s="19" t="n">
        <v>7</v>
      </c>
      <c r="I195" t="inlineStr">
        <is>
          <t>Pre-Series A</t>
        </is>
      </c>
      <c r="J195" t="inlineStr"/>
      <c r="K195" t="inlineStr">
        <is>
          <t>https://entrackr.com/snippets/home-loan-startup-ambak-raises-7-mn-led-by-peak-xv-8661535</t>
        </is>
      </c>
    </row>
    <row r="196">
      <c r="A196" t="inlineStr">
        <is>
          <t>ET-117610893</t>
        </is>
      </c>
      <c r="B196" t="inlineStr">
        <is>
          <t>R250128-ambak</t>
        </is>
      </c>
      <c r="C196" t="inlineStr">
        <is>
          <t>The Economic Times</t>
        </is>
      </c>
      <c r="D196" s="17" t="n">
        <v>45685</v>
      </c>
      <c r="E196" t="inlineStr">
        <is>
          <t>Ambak</t>
        </is>
      </c>
      <c r="F196" t="inlineStr">
        <is>
          <t>$7 million</t>
        </is>
      </c>
      <c r="G196" s="19" t="n"/>
      <c r="H196" s="19" t="n">
        <v>7</v>
      </c>
      <c r="I196" t="inlineStr">
        <is>
          <t>Pre-Series A</t>
        </is>
      </c>
      <c r="J196" t="inlineStr">
        <is>
          <t>Surge</t>
        </is>
      </c>
      <c r="K196" t="inlineStr">
        <is>
          <t>https://economictimes.indiatimes.com/tech/funding/fintech-startup-ambak-raises-7-million-in-round-led-by-peak-xvs-surge/articleshow/117610893.cms</t>
        </is>
      </c>
    </row>
    <row r="197">
      <c r="A197" t="inlineStr">
        <is>
          <t>INC-20250201-08</t>
        </is>
      </c>
      <c r="B197" t="inlineStr">
        <is>
          <t>R250128-ambak</t>
        </is>
      </c>
      <c r="C197" t="inlineStr">
        <is>
          <t>Inc42</t>
        </is>
      </c>
      <c r="D197" s="17" t="n">
        <v>45685</v>
      </c>
      <c r="E197" t="inlineStr">
        <is>
          <t>Ambak</t>
        </is>
      </c>
      <c r="F197" t="inlineStr">
        <is>
          <t>$7 Mn</t>
        </is>
      </c>
      <c r="G197" s="19" t="n"/>
      <c r="H197" s="19" t="n">
        <v>7</v>
      </c>
      <c r="I197" t="inlineStr">
        <is>
          <t>Pre-Series A</t>
        </is>
      </c>
      <c r="J197" t="inlineStr">
        <is>
          <t>Peak XV</t>
        </is>
      </c>
      <c r="K197" t="inlineStr">
        <is>
          <t>https://inc42.com/buzz/from-leap-to-innov8-indian-startups-raised-196-mn-this-week/</t>
        </is>
      </c>
    </row>
    <row r="198">
      <c r="A198" t="inlineStr">
        <is>
          <t>ET-117642788</t>
        </is>
      </c>
      <c r="B198" t="inlineStr">
        <is>
          <t>R250128-atomicwork</t>
        </is>
      </c>
      <c r="C198" t="inlineStr">
        <is>
          <t>The Economic Times</t>
        </is>
      </c>
      <c r="D198" s="17" t="n">
        <v>45685</v>
      </c>
      <c r="E198" t="inlineStr">
        <is>
          <t>Atomicwork</t>
        </is>
      </c>
      <c r="F198" t="inlineStr">
        <is>
          <t>$25 million</t>
        </is>
      </c>
      <c r="G198" s="19" t="n"/>
      <c r="H198" s="19" t="n">
        <v>25</v>
      </c>
      <c r="I198" t="inlineStr">
        <is>
          <t>Undisclosed</t>
        </is>
      </c>
      <c r="J198" t="inlineStr">
        <is>
          <t>Khosla Ventures; Z47</t>
        </is>
      </c>
      <c r="K198" t="inlineStr">
        <is>
          <t>https://economictimes.indiatimes.com/tech/funding/saas-startup-atomicwork-raises-25-million-in-round-led-by-khosla-ventures-z47/articleshow/117642788.cms</t>
        </is>
      </c>
    </row>
    <row r="199">
      <c r="A199" t="inlineStr">
        <is>
          <t>INC-20250201-02</t>
        </is>
      </c>
      <c r="B199" t="inlineStr">
        <is>
          <t>R250128-atomicwork</t>
        </is>
      </c>
      <c r="C199" t="inlineStr">
        <is>
          <t>Inc42</t>
        </is>
      </c>
      <c r="D199" s="17" t="n">
        <v>45685</v>
      </c>
      <c r="E199" t="inlineStr">
        <is>
          <t>Atomicwork</t>
        </is>
      </c>
      <c r="F199" t="inlineStr">
        <is>
          <t>$25 Mn</t>
        </is>
      </c>
      <c r="G199" s="19" t="n"/>
      <c r="H199" s="19" t="n">
        <v>25</v>
      </c>
      <c r="I199" t="inlineStr">
        <is>
          <t>Series A</t>
        </is>
      </c>
      <c r="J199" t="inlineStr">
        <is>
          <t>Khosla Ventures; Z47 Partners</t>
        </is>
      </c>
      <c r="K199" t="inlineStr">
        <is>
          <t>https://inc42.com/buzz/from-leap-to-innov8-indian-startups-raised-196-mn-this-week/</t>
        </is>
      </c>
    </row>
    <row r="200">
      <c r="A200" t="inlineStr">
        <is>
          <t>VCC-128b4e8bb5</t>
        </is>
      </c>
      <c r="B200" t="inlineStr">
        <is>
          <t>R250128-atomicwork</t>
        </is>
      </c>
      <c r="C200" t="inlineStr">
        <is>
          <t>VCCircle</t>
        </is>
      </c>
      <c r="D200" s="17" t="n">
        <v>45685</v>
      </c>
      <c r="E200" t="inlineStr">
        <is>
          <t>atomicwork</t>
        </is>
      </c>
      <c r="F200" t="inlineStr">
        <is>
          <t>$ 25 million</t>
        </is>
      </c>
      <c r="G200" s="19" t="n"/>
      <c r="H200" s="19" t="n">
        <v>25</v>
      </c>
      <c r="I200" t="inlineStr">
        <is>
          <t>Undisclosed</t>
        </is>
      </c>
      <c r="J200" t="inlineStr"/>
      <c r="K200" t="inlineStr">
        <is>
          <t>https://www.vccircle.com/khoslaventures-z47-lead-25-mn-funding-round-in-atomicwork</t>
        </is>
      </c>
    </row>
    <row r="201">
      <c r="A201" t="inlineStr">
        <is>
          <t>ENT-8662955</t>
        </is>
      </c>
      <c r="B201" t="inlineStr">
        <is>
          <t>R250128-atomicwork</t>
        </is>
      </c>
      <c r="C201" t="inlineStr">
        <is>
          <t>Entrackr</t>
        </is>
      </c>
      <c r="D201" s="17" t="n">
        <v>45686</v>
      </c>
      <c r="E201" t="inlineStr">
        <is>
          <t>Atomicwork</t>
        </is>
      </c>
      <c r="F201" t="inlineStr">
        <is>
          <t>$25 million</t>
        </is>
      </c>
      <c r="G201" s="19" t="n"/>
      <c r="H201" s="19" t="n">
        <v>25</v>
      </c>
      <c r="I201" t="inlineStr">
        <is>
          <t>Series A</t>
        </is>
      </c>
      <c r="J201" t="inlineStr">
        <is>
          <t>Khosla Ventures; Z47</t>
        </is>
      </c>
      <c r="K201" t="inlineStr">
        <is>
          <t>https://entrackr.com/news/atomicwork-raises-25-mn-in-series-a-led-by-khosla-ventures-8662955</t>
        </is>
      </c>
    </row>
    <row r="202">
      <c r="A202" t="inlineStr">
        <is>
          <t>ENT-8660744</t>
        </is>
      </c>
      <c r="B202" t="inlineStr">
        <is>
          <t>R250128-bizloan</t>
        </is>
      </c>
      <c r="C202" t="inlineStr">
        <is>
          <t>Entrackr</t>
        </is>
      </c>
      <c r="D202" s="17" t="n">
        <v>45685</v>
      </c>
      <c r="E202" t="inlineStr">
        <is>
          <t>Bizloan</t>
        </is>
      </c>
      <c r="F202" t="inlineStr">
        <is>
          <t>Rs 35 crore</t>
        </is>
      </c>
      <c r="G202" s="19" t="n">
        <v>35</v>
      </c>
      <c r="H202" s="19" t="n">
        <v>4.16</v>
      </c>
      <c r="I202" t="inlineStr">
        <is>
          <t>Series A</t>
        </is>
      </c>
      <c r="J202" t="inlineStr">
        <is>
          <t>Michael &amp; Susan Dell Foundation; BLinC Invest</t>
        </is>
      </c>
      <c r="K202" t="inlineStr">
        <is>
          <t>https://entrackr.com/snippets/nbfc-bizloan-raises-rs-35-cr-in-series-a-funding-8660744</t>
        </is>
      </c>
    </row>
    <row r="203">
      <c r="A203" t="inlineStr">
        <is>
          <t>INC-20250201-10</t>
        </is>
      </c>
      <c r="B203" t="inlineStr">
        <is>
          <t>R250128-bizloan</t>
        </is>
      </c>
      <c r="C203" t="inlineStr">
        <is>
          <t>Inc42</t>
        </is>
      </c>
      <c r="D203" s="17" t="n">
        <v>45685</v>
      </c>
      <c r="E203" t="inlineStr">
        <is>
          <t>Bizloan</t>
        </is>
      </c>
      <c r="F203" t="inlineStr">
        <is>
          <t>$4.2 Mn</t>
        </is>
      </c>
      <c r="G203" s="19" t="n"/>
      <c r="H203" s="19" t="n">
        <v>4.2</v>
      </c>
      <c r="I203" t="inlineStr">
        <is>
          <t>Series A</t>
        </is>
      </c>
      <c r="J203" t="inlineStr">
        <is>
          <t>Michael &amp; Susan Dell Foundation; BLinC Invest</t>
        </is>
      </c>
      <c r="K203" t="inlineStr">
        <is>
          <t>https://inc42.com/buzz/from-leap-to-innov8-indian-startups-raised-196-mn-this-week/</t>
        </is>
      </c>
    </row>
    <row r="204">
      <c r="A204" t="inlineStr">
        <is>
          <t>ENT-8660332</t>
        </is>
      </c>
      <c r="B204" t="inlineStr">
        <is>
          <t>R250128-innov8</t>
        </is>
      </c>
      <c r="C204" t="inlineStr">
        <is>
          <t>Entrackr</t>
        </is>
      </c>
      <c r="D204" s="17" t="n">
        <v>45685</v>
      </c>
      <c r="E204" t="inlineStr">
        <is>
          <t>Innov8</t>
        </is>
      </c>
      <c r="F204" t="inlineStr">
        <is>
          <t>$13 million</t>
        </is>
      </c>
      <c r="G204" s="19" t="n"/>
      <c r="H204" s="19" t="n">
        <v>13</v>
      </c>
      <c r="I204" t="inlineStr">
        <is>
          <t>Undisclosed</t>
        </is>
      </c>
      <c r="J204" t="inlineStr">
        <is>
          <t>Mankind Pharma; Gauri Khan; Rupa Group; Jagruti Dalmia</t>
        </is>
      </c>
      <c r="K204" t="inlineStr">
        <is>
          <t>https://entrackr.com/news/oyo-owned-innov8-raises-rs-110-cr-at-rs-1000-cr-valuation-8660332</t>
        </is>
      </c>
    </row>
    <row r="205">
      <c r="A205" t="inlineStr">
        <is>
          <t>ET-117621931</t>
        </is>
      </c>
      <c r="B205" t="inlineStr">
        <is>
          <t>R250128-innov8</t>
        </is>
      </c>
      <c r="C205" t="inlineStr">
        <is>
          <t>The Economic Times</t>
        </is>
      </c>
      <c r="D205" s="17" t="n">
        <v>45685</v>
      </c>
      <c r="E205" t="inlineStr">
        <is>
          <t>Innov8</t>
        </is>
      </c>
      <c r="F205" t="inlineStr">
        <is>
          <t>Rs 110 crore</t>
        </is>
      </c>
      <c r="G205" s="19" t="n">
        <v>110</v>
      </c>
      <c r="H205" s="19" t="n"/>
      <c r="I205" t="inlineStr">
        <is>
          <t>Undisclosed</t>
        </is>
      </c>
      <c r="J205" t="inlineStr"/>
      <c r="K205" t="inlineStr">
        <is>
          <t>https://economictimes.indiatimes.com/tech/startups/flex-space-startup-innov8-raises-rs-110-crore/articleshow/117621931.cms</t>
        </is>
      </c>
    </row>
    <row r="206">
      <c r="A206" t="inlineStr">
        <is>
          <t>INC-20250201-04</t>
        </is>
      </c>
      <c r="B206" t="inlineStr">
        <is>
          <t>R250128-innov8</t>
        </is>
      </c>
      <c r="C206" t="inlineStr">
        <is>
          <t>Inc42</t>
        </is>
      </c>
      <c r="D206" s="17" t="n">
        <v>45685</v>
      </c>
      <c r="E206" t="inlineStr">
        <is>
          <t>Innov8</t>
        </is>
      </c>
      <c r="F206" t="inlineStr">
        <is>
          <t>$12.7 Mn</t>
        </is>
      </c>
      <c r="G206" s="19" t="n"/>
      <c r="H206" s="19" t="n">
        <v>12.7</v>
      </c>
      <c r="I206" t="inlineStr">
        <is>
          <t>Undisclosed</t>
        </is>
      </c>
      <c r="J206" t="inlineStr"/>
      <c r="K206" t="inlineStr">
        <is>
          <t>https://inc42.com/buzz/from-leap-to-innov8-indian-startups-raised-196-mn-this-week/</t>
        </is>
      </c>
    </row>
    <row r="207">
      <c r="A207" t="inlineStr">
        <is>
          <t>ET-117626643</t>
        </is>
      </c>
      <c r="B207" t="inlineStr">
        <is>
          <t>R250128-medmitraai</t>
        </is>
      </c>
      <c r="C207" t="inlineStr">
        <is>
          <t>The Economic Times</t>
        </is>
      </c>
      <c r="D207" s="17" t="n">
        <v>45685</v>
      </c>
      <c r="E207" t="inlineStr">
        <is>
          <t>MedMitra AI</t>
        </is>
      </c>
      <c r="F207" t="inlineStr">
        <is>
          <t>Rs 3 crore</t>
        </is>
      </c>
      <c r="G207" s="19" t="n">
        <v>3</v>
      </c>
      <c r="H207" s="19" t="n"/>
      <c r="I207" t="inlineStr">
        <is>
          <t>Undisclosed</t>
        </is>
      </c>
      <c r="J207" t="inlineStr">
        <is>
          <t>WEH Ventures</t>
        </is>
      </c>
      <c r="K207" t="inlineStr">
        <is>
          <t>https://economictimes.indiatimes.com/tech/funding/medmitra-ai-raises-rs-3-crore-led-by-all-in-capital-weh-ventures/articleshow/117626643.cms</t>
        </is>
      </c>
    </row>
    <row r="208">
      <c r="A208" t="inlineStr">
        <is>
          <t>INC-20250201-22</t>
        </is>
      </c>
      <c r="B208" t="inlineStr">
        <is>
          <t>R250128-medmitraai</t>
        </is>
      </c>
      <c r="C208" t="inlineStr">
        <is>
          <t>Inc42</t>
        </is>
      </c>
      <c r="D208" s="17" t="n">
        <v>45685</v>
      </c>
      <c r="E208" t="inlineStr">
        <is>
          <t>MedMitra AI</t>
        </is>
      </c>
      <c r="F208" t="inlineStr">
        <is>
          <t>$346K</t>
        </is>
      </c>
      <c r="G208" s="19" t="n"/>
      <c r="H208" s="19" t="n">
        <v>0.346</v>
      </c>
      <c r="I208" t="inlineStr">
        <is>
          <t>Pre-Seed</t>
        </is>
      </c>
      <c r="J208" t="inlineStr">
        <is>
          <t>All In Capital; WEH Ventures</t>
        </is>
      </c>
      <c r="K208" t="inlineStr">
        <is>
          <t>https://inc42.com/buzz/from-leap-to-innov8-indian-startups-raised-196-mn-this-week/</t>
        </is>
      </c>
    </row>
    <row r="209">
      <c r="A209" t="inlineStr">
        <is>
          <t>ENT-8660717</t>
        </is>
      </c>
      <c r="B209" t="inlineStr">
        <is>
          <t>R250128-metashot</t>
        </is>
      </c>
      <c r="C209" t="inlineStr">
        <is>
          <t>Entrackr</t>
        </is>
      </c>
      <c r="D209" s="17" t="n">
        <v>45685</v>
      </c>
      <c r="E209" t="inlineStr">
        <is>
          <t>MetaShot</t>
        </is>
      </c>
      <c r="F209" t="inlineStr">
        <is>
          <t>Rs 11 crore</t>
        </is>
      </c>
      <c r="G209" s="19" t="n">
        <v>11</v>
      </c>
      <c r="H209" s="19" t="n"/>
      <c r="I209" t="inlineStr">
        <is>
          <t>Undisclosed</t>
        </is>
      </c>
      <c r="J209" t="inlineStr">
        <is>
          <t>Sauce.vc; Sharrp Ventures; Panthera Peak Capital</t>
        </is>
      </c>
      <c r="K209" t="inlineStr">
        <is>
          <t>https://entrackr.com/snippets/saucevc-leads-11-cr-round-in-gaming-startup-metashot-8660717</t>
        </is>
      </c>
    </row>
    <row r="210">
      <c r="A210" t="inlineStr">
        <is>
          <t>ET-117624912</t>
        </is>
      </c>
      <c r="B210" t="inlineStr">
        <is>
          <t>R250128-metashot</t>
        </is>
      </c>
      <c r="C210" t="inlineStr">
        <is>
          <t>The Economic Times</t>
        </is>
      </c>
      <c r="D210" s="17" t="n">
        <v>45685</v>
      </c>
      <c r="E210" t="inlineStr">
        <is>
          <t>MetaShot</t>
        </is>
      </c>
      <c r="F210" t="inlineStr">
        <is>
          <t>Rs 11 crore</t>
        </is>
      </c>
      <c r="G210" s="19" t="n">
        <v>11</v>
      </c>
      <c r="H210" s="19" t="n"/>
      <c r="I210" t="inlineStr">
        <is>
          <t>Undisclosed</t>
        </is>
      </c>
      <c r="J210" t="inlineStr">
        <is>
          <t>Sauce VC</t>
        </is>
      </c>
      <c r="K210" t="inlineStr">
        <is>
          <t>https://economictimes.indiatimes.com/tech/funding/gaming-startup-metashot-raises-rs-11-crore-from-sauce-vc-others/articleshow/117624912.cms</t>
        </is>
      </c>
    </row>
    <row r="211">
      <c r="A211" t="inlineStr">
        <is>
          <t>INC-20250201-15</t>
        </is>
      </c>
      <c r="B211" t="inlineStr">
        <is>
          <t>R250128-metashot</t>
        </is>
      </c>
      <c r="C211" t="inlineStr">
        <is>
          <t>Inc42</t>
        </is>
      </c>
      <c r="D211" s="17" t="n">
        <v>45685</v>
      </c>
      <c r="E211" t="inlineStr">
        <is>
          <t>Metashot</t>
        </is>
      </c>
      <c r="F211" t="inlineStr">
        <is>
          <t>$1.2 Mn</t>
        </is>
      </c>
      <c r="G211" s="19" t="n"/>
      <c r="H211" s="19" t="n">
        <v>1.2</v>
      </c>
      <c r="I211" t="inlineStr">
        <is>
          <t>Seed</t>
        </is>
      </c>
      <c r="J211" t="inlineStr">
        <is>
          <t>Sauce.vc</t>
        </is>
      </c>
      <c r="K211" t="inlineStr">
        <is>
          <t>https://inc42.com/buzz/from-leap-to-innov8-indian-startups-raised-196-mn-this-week/</t>
        </is>
      </c>
    </row>
    <row r="212">
      <c r="A212" t="inlineStr">
        <is>
          <t>ENT-8661367</t>
        </is>
      </c>
      <c r="B212" t="inlineStr">
        <is>
          <t>R250128-origin</t>
        </is>
      </c>
      <c r="C212" t="inlineStr">
        <is>
          <t>Entrackr</t>
        </is>
      </c>
      <c r="D212" s="17" t="n">
        <v>45685</v>
      </c>
      <c r="E212" t="inlineStr">
        <is>
          <t>Origin</t>
        </is>
      </c>
      <c r="F212" t="inlineStr">
        <is>
          <t>$1 million</t>
        </is>
      </c>
      <c r="G212" s="19" t="n"/>
      <c r="H212" s="19" t="n">
        <v>1</v>
      </c>
      <c r="I212" t="inlineStr">
        <is>
          <t>Pre-Seed</t>
        </is>
      </c>
      <c r="J212" t="inlineStr">
        <is>
          <t>Aeravti Ventures</t>
        </is>
      </c>
      <c r="K212" t="inlineStr">
        <is>
          <t>https://entrackr.com/snippets/aeravti-ventures-leads-1-mn-round-in-origin-fresh-8661367</t>
        </is>
      </c>
    </row>
    <row r="213">
      <c r="A213" t="inlineStr">
        <is>
          <t>INC-20250201-17</t>
        </is>
      </c>
      <c r="B213" t="inlineStr">
        <is>
          <t>R250128-origin</t>
        </is>
      </c>
      <c r="C213" t="inlineStr">
        <is>
          <t>Inc42</t>
        </is>
      </c>
      <c r="D213" s="17" t="n">
        <v>45685</v>
      </c>
      <c r="E213" t="inlineStr">
        <is>
          <t>Origin Fresh</t>
        </is>
      </c>
      <c r="F213" t="inlineStr">
        <is>
          <t>$1 Mn</t>
        </is>
      </c>
      <c r="G213" s="19" t="n"/>
      <c r="H213" s="19" t="n">
        <v>1</v>
      </c>
      <c r="I213" t="inlineStr">
        <is>
          <t>Pre-Seed</t>
        </is>
      </c>
      <c r="J213" t="inlineStr">
        <is>
          <t>Aeravti Ventures</t>
        </is>
      </c>
      <c r="K213" t="inlineStr">
        <is>
          <t>https://inc42.com/buzz/from-leap-to-innov8-indian-startups-raised-196-mn-this-week/</t>
        </is>
      </c>
    </row>
    <row r="214">
      <c r="A214" t="inlineStr">
        <is>
          <t>ENT-8661333</t>
        </is>
      </c>
      <c r="B214" t="inlineStr">
        <is>
          <t>R250128-thinkmetal</t>
        </is>
      </c>
      <c r="C214" t="inlineStr">
        <is>
          <t>Entrackr</t>
        </is>
      </c>
      <c r="D214" s="17" t="n">
        <v>45685</v>
      </c>
      <c r="E214" t="inlineStr">
        <is>
          <t>ThinkMetal</t>
        </is>
      </c>
      <c r="F214" t="inlineStr">
        <is>
          <t>$800,000</t>
        </is>
      </c>
      <c r="G214" s="19" t="n">
        <v>6.7</v>
      </c>
      <c r="H214" s="19" t="n">
        <v>0.8</v>
      </c>
      <c r="I214" t="inlineStr">
        <is>
          <t>Pre-Series A</t>
        </is>
      </c>
      <c r="J214" t="inlineStr">
        <is>
          <t>Sanchi Connect</t>
        </is>
      </c>
      <c r="K214" t="inlineStr">
        <is>
          <t>https://entrackr.com/snippets/thinkmetal-raises-800k-in-pre-series-a-round-8661333</t>
        </is>
      </c>
    </row>
    <row r="215">
      <c r="A215" t="inlineStr">
        <is>
          <t>INC-20250201-20</t>
        </is>
      </c>
      <c r="B215" t="inlineStr">
        <is>
          <t>R250128-thinkmetal</t>
        </is>
      </c>
      <c r="C215" t="inlineStr">
        <is>
          <t>Inc42</t>
        </is>
      </c>
      <c r="D215" s="17" t="n">
        <v>45685</v>
      </c>
      <c r="E215" t="inlineStr">
        <is>
          <t>ThinkMetal</t>
        </is>
      </c>
      <c r="F215" t="inlineStr">
        <is>
          <t>$800K</t>
        </is>
      </c>
      <c r="G215" s="19" t="n"/>
      <c r="H215" s="19" t="n">
        <v>0.8</v>
      </c>
      <c r="I215" t="inlineStr">
        <is>
          <t>Pre-Series A</t>
        </is>
      </c>
      <c r="J215" t="inlineStr">
        <is>
          <t>YourNest Venture Capital</t>
        </is>
      </c>
      <c r="K215" t="inlineStr">
        <is>
          <t>https://inc42.com/buzz/from-leap-to-innov8-indian-startups-raised-196-mn-this-week/</t>
        </is>
      </c>
    </row>
    <row r="216">
      <c r="A216" t="inlineStr">
        <is>
          <t>ENT-8659906</t>
        </is>
      </c>
      <c r="B216" t="inlineStr">
        <is>
          <t>R250128-whizzo</t>
        </is>
      </c>
      <c r="C216" t="inlineStr">
        <is>
          <t>Entrackr</t>
        </is>
      </c>
      <c r="D216" s="17" t="n">
        <v>45685</v>
      </c>
      <c r="E216" t="inlineStr">
        <is>
          <t>Whizzo</t>
        </is>
      </c>
      <c r="F216" t="inlineStr">
        <is>
          <t>$4.2 million</t>
        </is>
      </c>
      <c r="G216" s="19" t="n"/>
      <c r="H216" s="19" t="n">
        <v>4.2</v>
      </c>
      <c r="I216" t="inlineStr">
        <is>
          <t>Seed</t>
        </is>
      </c>
      <c r="J216" t="inlineStr">
        <is>
          <t>Lightspeed</t>
        </is>
      </c>
      <c r="K216" t="inlineStr">
        <is>
          <t>https://entrackr.com/snippets/whizzo-raises-42-mn-in-seed-round-led-by-lightspeed-8659906</t>
        </is>
      </c>
    </row>
    <row r="217">
      <c r="A217" t="inlineStr">
        <is>
          <t>INC-20250201-11</t>
        </is>
      </c>
      <c r="B217" t="inlineStr">
        <is>
          <t>R250128-whizzo</t>
        </is>
      </c>
      <c r="C217" t="inlineStr">
        <is>
          <t>Inc42</t>
        </is>
      </c>
      <c r="D217" s="17" t="n">
        <v>45685</v>
      </c>
      <c r="E217" t="inlineStr">
        <is>
          <t>Whizzo</t>
        </is>
      </c>
      <c r="F217" t="inlineStr">
        <is>
          <t>$4.2 Mn</t>
        </is>
      </c>
      <c r="G217" s="19" t="n"/>
      <c r="H217" s="19" t="n">
        <v>4.2</v>
      </c>
      <c r="I217" t="inlineStr">
        <is>
          <t>Seed</t>
        </is>
      </c>
      <c r="J217" t="inlineStr">
        <is>
          <t>Lightspeed</t>
        </is>
      </c>
      <c r="K217" t="inlineStr">
        <is>
          <t>https://inc42.com/buzz/from-leap-to-innov8-indian-startups-raised-196-mn-this-week/</t>
        </is>
      </c>
    </row>
    <row r="218">
      <c r="A218" t="inlineStr">
        <is>
          <t>INC-20250201-12</t>
        </is>
      </c>
      <c r="B218" t="inlineStr">
        <is>
          <t>R250129-gallabox</t>
        </is>
      </c>
      <c r="C218" t="inlineStr">
        <is>
          <t>Inc42</t>
        </is>
      </c>
      <c r="D218" s="17" t="n">
        <v>45686</v>
      </c>
      <c r="E218" t="inlineStr">
        <is>
          <t>Gallabox</t>
        </is>
      </c>
      <c r="F218" t="inlineStr">
        <is>
          <t>$3.5 Mn</t>
        </is>
      </c>
      <c r="G218" s="19" t="n"/>
      <c r="H218" s="19" t="n">
        <v>3.5</v>
      </c>
      <c r="I218" t="inlineStr">
        <is>
          <t>Seed</t>
        </is>
      </c>
      <c r="J218" t="inlineStr">
        <is>
          <t>FUSE</t>
        </is>
      </c>
      <c r="K218" t="inlineStr">
        <is>
          <t>https://inc42.com/buzz/from-leap-to-innov8-indian-startups-raised-196-mn-this-week/</t>
        </is>
      </c>
    </row>
    <row r="219">
      <c r="A219" t="inlineStr">
        <is>
          <t>ET-117686694</t>
        </is>
      </c>
      <c r="B219" t="inlineStr">
        <is>
          <t>R250129-growxcdfinance</t>
        </is>
      </c>
      <c r="C219" t="inlineStr">
        <is>
          <t>The Economic Times</t>
        </is>
      </c>
      <c r="D219" s="17" t="n">
        <v>45686</v>
      </c>
      <c r="E219" t="inlineStr">
        <is>
          <t>GrowXCD Finance</t>
        </is>
      </c>
      <c r="F219" t="inlineStr">
        <is>
          <t>Rs 50 crore</t>
        </is>
      </c>
      <c r="G219" s="19" t="n">
        <v>50</v>
      </c>
      <c r="H219" s="19" t="n"/>
      <c r="I219" t="inlineStr">
        <is>
          <t>Undisclosed</t>
        </is>
      </c>
      <c r="J219" t="inlineStr"/>
      <c r="K219" t="inlineStr">
        <is>
          <t>https://economictimes.indiatimes.com/tech/funding/lok-capital-and-uc-impower-invest-rs-50-crore-in-growxcd-finance/articleshow/117686694.cms</t>
        </is>
      </c>
    </row>
    <row r="220">
      <c r="A220" t="inlineStr">
        <is>
          <t>INC-20250201-09</t>
        </is>
      </c>
      <c r="B220" t="inlineStr">
        <is>
          <t>R250129-growxcdfinance</t>
        </is>
      </c>
      <c r="C220" t="inlineStr">
        <is>
          <t>Inc42</t>
        </is>
      </c>
      <c r="D220" s="17" t="n">
        <v>45687</v>
      </c>
      <c r="E220" t="inlineStr">
        <is>
          <t>GrowXCD Finance</t>
        </is>
      </c>
      <c r="F220" t="inlineStr">
        <is>
          <t>$5.7 Mn</t>
        </is>
      </c>
      <c r="G220" s="19" t="n"/>
      <c r="H220" s="19" t="n">
        <v>5.7</v>
      </c>
      <c r="I220" t="inlineStr">
        <is>
          <t>Undisclosed</t>
        </is>
      </c>
      <c r="J220" t="inlineStr"/>
      <c r="K220" t="inlineStr">
        <is>
          <t>https://inc42.com/buzz/from-leap-to-innov8-indian-startups-raised-196-mn-this-week/</t>
        </is>
      </c>
    </row>
    <row r="221">
      <c r="A221" t="inlineStr">
        <is>
          <t>ENT-8663858</t>
        </is>
      </c>
      <c r="B221" t="inlineStr">
        <is>
          <t>R250129-leap</t>
        </is>
      </c>
      <c r="C221" t="inlineStr">
        <is>
          <t>Entrackr</t>
        </is>
      </c>
      <c r="D221" s="17" t="n">
        <v>45686</v>
      </c>
      <c r="E221" t="inlineStr">
        <is>
          <t>Leap</t>
        </is>
      </c>
      <c r="F221" t="inlineStr">
        <is>
          <t>$65 million</t>
        </is>
      </c>
      <c r="G221" s="19" t="n"/>
      <c r="H221" s="19" t="n">
        <v>65</v>
      </c>
      <c r="I221" t="inlineStr">
        <is>
          <t>Undisclosed</t>
        </is>
      </c>
      <c r="J221" t="inlineStr">
        <is>
          <t>Apis Growth Markets Fund III; Apis Global Growth Fund III</t>
        </is>
      </c>
      <c r="K221" t="inlineStr">
        <is>
          <t>https://entrackr.com/news/edtech-company-leap-raises-65-mn-led-by-apis-partners-8663858</t>
        </is>
      </c>
    </row>
    <row r="222">
      <c r="A222" t="inlineStr">
        <is>
          <t>ET-117675174</t>
        </is>
      </c>
      <c r="B222" t="inlineStr">
        <is>
          <t>R250129-leap</t>
        </is>
      </c>
      <c r="C222" t="inlineStr">
        <is>
          <t>The Economic Times</t>
        </is>
      </c>
      <c r="D222" s="17" t="n">
        <v>45686</v>
      </c>
      <c r="E222" t="inlineStr">
        <is>
          <t>Leap</t>
        </is>
      </c>
      <c r="F222" t="inlineStr">
        <is>
          <t>$65 million</t>
        </is>
      </c>
      <c r="G222" s="19" t="n"/>
      <c r="H222" s="19" t="n">
        <v>65</v>
      </c>
      <c r="I222" t="inlineStr">
        <is>
          <t>Undisclosed</t>
        </is>
      </c>
      <c r="J222" t="inlineStr">
        <is>
          <t>Apis Partners</t>
        </is>
      </c>
      <c r="K222" t="inlineStr">
        <is>
          <t>https://economictimes.indiatimes.com/tech/funding/leap-raises-65-million-in-funding-round-led-by-apis-partners/articleshow/117675174.cms</t>
        </is>
      </c>
    </row>
    <row r="223">
      <c r="A223" t="inlineStr">
        <is>
          <t>INC-20250201-01</t>
        </is>
      </c>
      <c r="B223" t="inlineStr">
        <is>
          <t>R250129-leap</t>
        </is>
      </c>
      <c r="C223" t="inlineStr">
        <is>
          <t>Inc42</t>
        </is>
      </c>
      <c r="D223" s="17" t="n">
        <v>45686</v>
      </c>
      <c r="E223" t="inlineStr">
        <is>
          <t>Leap</t>
        </is>
      </c>
      <c r="F223" t="inlineStr">
        <is>
          <t>$65 Mn</t>
        </is>
      </c>
      <c r="G223" s="19" t="n"/>
      <c r="H223" s="19" t="n">
        <v>65</v>
      </c>
      <c r="I223" t="inlineStr">
        <is>
          <t>Series E</t>
        </is>
      </c>
      <c r="J223" t="inlineStr">
        <is>
          <t>Apis Partners</t>
        </is>
      </c>
      <c r="K223" t="inlineStr">
        <is>
          <t>https://inc42.com/buzz/from-leap-to-innov8-indian-startups-raised-196-mn-this-week/</t>
        </is>
      </c>
    </row>
    <row r="224">
      <c r="A224" t="inlineStr">
        <is>
          <t>INC-20250201-24</t>
        </is>
      </c>
      <c r="B224" t="inlineStr">
        <is>
          <t>R250129-manastuspace</t>
        </is>
      </c>
      <c r="C224" t="inlineStr">
        <is>
          <t>Inc42</t>
        </is>
      </c>
      <c r="D224" s="17" t="n">
        <v>45686</v>
      </c>
      <c r="E224" t="inlineStr">
        <is>
          <t>Manastu Space</t>
        </is>
      </c>
      <c r="F224" t="inlineStr"/>
      <c r="G224" s="19" t="n"/>
      <c r="H224" s="19" t="n"/>
      <c r="I224" t="inlineStr">
        <is>
          <t>Undisclosed</t>
        </is>
      </c>
      <c r="J224" t="inlineStr"/>
      <c r="K224" t="inlineStr">
        <is>
          <t>https://inc42.com/buzz/from-leap-to-innov8-indian-startups-raised-196-mn-this-week/</t>
        </is>
      </c>
    </row>
    <row r="225">
      <c r="A225" t="inlineStr">
        <is>
          <t>ENT-8669237</t>
        </is>
      </c>
      <c r="B225" t="inlineStr">
        <is>
          <t>R250129-shoppin</t>
        </is>
      </c>
      <c r="C225" t="inlineStr">
        <is>
          <t>Entrackr</t>
        </is>
      </c>
      <c r="D225" s="17" t="n">
        <v>45686</v>
      </c>
      <c r="E225" t="inlineStr">
        <is>
          <t>Shoppin</t>
        </is>
      </c>
      <c r="F225" t="inlineStr">
        <is>
          <t>$1 million</t>
        </is>
      </c>
      <c r="G225" s="19" t="n"/>
      <c r="H225" s="19" t="n">
        <v>1</v>
      </c>
      <c r="I225" t="inlineStr">
        <is>
          <t>Undisclosed</t>
        </is>
      </c>
      <c r="J225" t="inlineStr">
        <is>
          <t>InfoEdge Ventures</t>
        </is>
      </c>
      <c r="K225" t="inlineStr">
        <is>
          <t>https://entrackr.com/snippets/infoedge-ventures-leads-1-mn-round-in-shoppin-8669237</t>
        </is>
      </c>
    </row>
    <row r="226">
      <c r="A226" t="inlineStr">
        <is>
          <t>ET-117689805</t>
        </is>
      </c>
      <c r="B226" t="inlineStr">
        <is>
          <t>R250129-shoppin</t>
        </is>
      </c>
      <c r="C226" t="inlineStr">
        <is>
          <t>The Economic Times</t>
        </is>
      </c>
      <c r="D226" s="17" t="n">
        <v>45686</v>
      </c>
      <c r="E226" t="inlineStr">
        <is>
          <t>Shoppin</t>
        </is>
      </c>
      <c r="F226" t="inlineStr">
        <is>
          <t>$1 million</t>
        </is>
      </c>
      <c r="G226" s="19" t="n"/>
      <c r="H226" s="19" t="n">
        <v>1</v>
      </c>
      <c r="I226" t="inlineStr">
        <is>
          <t>Undisclosed</t>
        </is>
      </c>
      <c r="J226" t="inlineStr"/>
      <c r="K226" t="inlineStr">
        <is>
          <t>https://economictimes.indiatimes.com/tech/funding/fashion-search-engine-shoppin-raises-1-million-from-infoedge-ventures/articleshow/117689805.cms</t>
        </is>
      </c>
    </row>
    <row r="227">
      <c r="A227" t="inlineStr">
        <is>
          <t>INC-20250201-19</t>
        </is>
      </c>
      <c r="B227" t="inlineStr">
        <is>
          <t>R250129-shoppin</t>
        </is>
      </c>
      <c r="C227" t="inlineStr">
        <is>
          <t>Inc42</t>
        </is>
      </c>
      <c r="D227" s="17" t="n">
        <v>45686</v>
      </c>
      <c r="E227" t="inlineStr">
        <is>
          <t>shoppin’</t>
        </is>
      </c>
      <c r="F227" t="inlineStr">
        <is>
          <t>$1 Mn</t>
        </is>
      </c>
      <c r="G227" s="19" t="n"/>
      <c r="H227" s="19" t="n">
        <v>1</v>
      </c>
      <c r="I227" t="inlineStr">
        <is>
          <t>Pre-Seed</t>
        </is>
      </c>
      <c r="J227" t="inlineStr">
        <is>
          <t>Info Edge Ventures</t>
        </is>
      </c>
      <c r="K227" t="inlineStr">
        <is>
          <t>https://inc42.com/buzz/from-leap-to-innov8-indian-startups-raised-196-mn-this-week/</t>
        </is>
      </c>
    </row>
    <row r="228">
      <c r="A228" t="inlineStr">
        <is>
          <t>ET-117740144</t>
        </is>
      </c>
      <c r="B228" t="inlineStr">
        <is>
          <t>R250130-bonvaero</t>
        </is>
      </c>
      <c r="C228" t="inlineStr">
        <is>
          <t>The Economic Times</t>
        </is>
      </c>
      <c r="D228" s="17" t="n">
        <v>45687</v>
      </c>
      <c r="E228" t="inlineStr">
        <is>
          <t>BonV Aero</t>
        </is>
      </c>
      <c r="F228" t="inlineStr"/>
      <c r="G228" s="19" t="n"/>
      <c r="H228" s="19" t="n"/>
      <c r="I228" t="inlineStr">
        <is>
          <t>Undisclosed</t>
        </is>
      </c>
      <c r="J228" t="inlineStr"/>
      <c r="K228" t="inlineStr">
        <is>
          <t>https://economictimes.indiatimes.com/tech/funding/drone-startup-bonv-aero-secures-funding-from-unicorn-india-ventures/articleshow/117740144.cms</t>
        </is>
      </c>
    </row>
    <row r="229">
      <c r="A229" t="inlineStr">
        <is>
          <t>INC-20250201-16</t>
        </is>
      </c>
      <c r="B229" t="inlineStr">
        <is>
          <t>R250130-bonvaero</t>
        </is>
      </c>
      <c r="C229" t="inlineStr">
        <is>
          <t>Inc42</t>
        </is>
      </c>
      <c r="D229" s="17" t="n">
        <v>45687</v>
      </c>
      <c r="E229" t="inlineStr">
        <is>
          <t>BonV</t>
        </is>
      </c>
      <c r="F229" t="inlineStr">
        <is>
          <t>$1.2 Mn</t>
        </is>
      </c>
      <c r="G229" s="19" t="n"/>
      <c r="H229" s="19" t="n">
        <v>1.2</v>
      </c>
      <c r="I229" t="inlineStr">
        <is>
          <t>Pre-Series A</t>
        </is>
      </c>
      <c r="J229" t="inlineStr">
        <is>
          <t>Unicorn Indian Ventures</t>
        </is>
      </c>
      <c r="K229" t="inlineStr">
        <is>
          <t>https://inc42.com/buzz/from-leap-to-innov8-indian-startups-raised-196-mn-this-week/</t>
        </is>
      </c>
    </row>
    <row r="230">
      <c r="A230" t="inlineStr">
        <is>
          <t>ENT-8674117</t>
        </is>
      </c>
      <c r="B230" t="inlineStr">
        <is>
          <t>R250130-chk</t>
        </is>
      </c>
      <c r="C230" t="inlineStr">
        <is>
          <t>Entrackr</t>
        </is>
      </c>
      <c r="D230" s="17" t="n">
        <v>45687</v>
      </c>
      <c r="E230" t="inlineStr">
        <is>
          <t>CHK</t>
        </is>
      </c>
      <c r="F230" t="inlineStr">
        <is>
          <t>$2.5 Mn</t>
        </is>
      </c>
      <c r="G230" s="19" t="n"/>
      <c r="H230" s="19" t="n">
        <v>2.5</v>
      </c>
      <c r="I230" t="inlineStr">
        <is>
          <t>Undisclosed</t>
        </is>
      </c>
      <c r="J230" t="inlineStr"/>
      <c r="K230" t="inlineStr">
        <is>
          <t>https://entrackr.com/snippets/d2c-footwear-brand-chk-secures-25-mn-8674117</t>
        </is>
      </c>
    </row>
    <row r="231">
      <c r="A231" t="inlineStr">
        <is>
          <t>ET-117696832</t>
        </is>
      </c>
      <c r="B231" t="inlineStr">
        <is>
          <t>R250130-chk</t>
        </is>
      </c>
      <c r="C231" t="inlineStr">
        <is>
          <t>The Economic Times</t>
        </is>
      </c>
      <c r="D231" s="17" t="n">
        <v>45687</v>
      </c>
      <c r="E231" t="inlineStr">
        <is>
          <t>CHK</t>
        </is>
      </c>
      <c r="F231" t="inlineStr">
        <is>
          <t>$2.5 million</t>
        </is>
      </c>
      <c r="G231" s="19" t="n"/>
      <c r="H231" s="19" t="n">
        <v>2.5</v>
      </c>
      <c r="I231" t="inlineStr">
        <is>
          <t>Undisclosed</t>
        </is>
      </c>
      <c r="J231" t="inlineStr"/>
      <c r="K231" t="inlineStr">
        <is>
          <t>https://economictimes.indiatimes.com/tech/funding/footwear-startup-chk-raises-2-5-million-from-accel-bluestone-others/articleshow/117696832.cms</t>
        </is>
      </c>
    </row>
    <row r="232">
      <c r="A232" t="inlineStr">
        <is>
          <t>INC-20250201-14</t>
        </is>
      </c>
      <c r="B232" t="inlineStr">
        <is>
          <t>R250130-chk</t>
        </is>
      </c>
      <c r="C232" t="inlineStr">
        <is>
          <t>Inc42</t>
        </is>
      </c>
      <c r="D232" s="17" t="n">
        <v>45687</v>
      </c>
      <c r="E232" t="inlineStr">
        <is>
          <t>CHK</t>
        </is>
      </c>
      <c r="F232" t="inlineStr">
        <is>
          <t>$2.5 Mn</t>
        </is>
      </c>
      <c r="G232" s="19" t="n"/>
      <c r="H232" s="19" t="n">
        <v>2.5</v>
      </c>
      <c r="I232" t="inlineStr">
        <is>
          <t>Seed</t>
        </is>
      </c>
      <c r="J232" t="inlineStr">
        <is>
          <t>Accel</t>
        </is>
      </c>
      <c r="K232" t="inlineStr">
        <is>
          <t>https://inc42.com/buzz/from-leap-to-innov8-indian-startups-raised-196-mn-this-week/</t>
        </is>
      </c>
    </row>
    <row r="233">
      <c r="A233" t="inlineStr">
        <is>
          <t>ENT-8669851</t>
        </is>
      </c>
      <c r="B233" t="inlineStr">
        <is>
          <t>R250130-saladdays</t>
        </is>
      </c>
      <c r="C233" t="inlineStr">
        <is>
          <t>Entrackr</t>
        </is>
      </c>
      <c r="D233" s="17" t="n">
        <v>45687</v>
      </c>
      <c r="E233" t="inlineStr">
        <is>
          <t>Salad Days</t>
        </is>
      </c>
      <c r="F233" t="inlineStr">
        <is>
          <t>Rs 30 crore</t>
        </is>
      </c>
      <c r="G233" s="19" t="n">
        <v>30</v>
      </c>
      <c r="H233" s="19" t="n">
        <v>3.6</v>
      </c>
      <c r="I233" t="inlineStr">
        <is>
          <t>Series A</t>
        </is>
      </c>
      <c r="J233" t="inlineStr">
        <is>
          <t>V3 Ventures; Client Associates Alternate Fund</t>
        </is>
      </c>
      <c r="K233" t="inlineStr">
        <is>
          <t>https://entrackr.com/snippets/salad-days-raises-rs-30-cr-in-series-a-round-8669851</t>
        </is>
      </c>
    </row>
    <row r="234">
      <c r="A234" t="inlineStr">
        <is>
          <t>ET-117697394</t>
        </is>
      </c>
      <c r="B234" t="inlineStr">
        <is>
          <t>R250130-saladdays</t>
        </is>
      </c>
      <c r="C234" t="inlineStr">
        <is>
          <t>The Economic Times</t>
        </is>
      </c>
      <c r="D234" s="17" t="n">
        <v>45687</v>
      </c>
      <c r="E234" t="inlineStr">
        <is>
          <t>Salad Days</t>
        </is>
      </c>
      <c r="F234" t="inlineStr">
        <is>
          <t>Rs 30 crore</t>
        </is>
      </c>
      <c r="G234" s="19" t="n">
        <v>30</v>
      </c>
      <c r="H234" s="19" t="n"/>
      <c r="I234" t="inlineStr">
        <is>
          <t>Undisclosed</t>
        </is>
      </c>
      <c r="J234" t="inlineStr">
        <is>
          <t>V3 Ventures; Client Associates Alternate Fund</t>
        </is>
      </c>
      <c r="K234" t="inlineStr">
        <is>
          <t>https://economictimes.indiatimes.com/tech/funding/salad-days-raises-rs-30-crore-in-round-led-by-v3-ventures-caaf/articleshow/117697394.cms</t>
        </is>
      </c>
    </row>
    <row r="235">
      <c r="A235" t="inlineStr">
        <is>
          <t>INC-20250201-13</t>
        </is>
      </c>
      <c r="B235" t="inlineStr">
        <is>
          <t>R250130-saladdays</t>
        </is>
      </c>
      <c r="C235" t="inlineStr">
        <is>
          <t>Inc42</t>
        </is>
      </c>
      <c r="D235" s="17" t="n">
        <v>45687</v>
      </c>
      <c r="E235" t="inlineStr">
        <is>
          <t>Salad Days</t>
        </is>
      </c>
      <c r="F235" t="inlineStr">
        <is>
          <t>$3.4 Mn</t>
        </is>
      </c>
      <c r="G235" s="19" t="n"/>
      <c r="H235" s="19" t="n">
        <v>3.4</v>
      </c>
      <c r="I235" t="inlineStr">
        <is>
          <t>Series A</t>
        </is>
      </c>
      <c r="J235" t="inlineStr">
        <is>
          <t>V3 Ventures; Client Associates Alternate Fund</t>
        </is>
      </c>
      <c r="K235" t="inlineStr">
        <is>
          <t>https://inc42.com/buzz/from-leap-to-innov8-indian-startups-raised-196-mn-this-week/</t>
        </is>
      </c>
    </row>
    <row r="236">
      <c r="A236" t="inlineStr">
        <is>
          <t>ENT-8674589</t>
        </is>
      </c>
      <c r="B236" t="inlineStr">
        <is>
          <t>R250130-sammmm</t>
        </is>
      </c>
      <c r="C236" t="inlineStr">
        <is>
          <t>Entrackr</t>
        </is>
      </c>
      <c r="D236" s="17" t="n">
        <v>45687</v>
      </c>
      <c r="E236" t="inlineStr">
        <is>
          <t>Sammmm</t>
        </is>
      </c>
      <c r="F236" t="inlineStr">
        <is>
          <t>Rs 10 crore</t>
        </is>
      </c>
      <c r="G236" s="19" t="n">
        <v>10</v>
      </c>
      <c r="H236" s="19" t="n">
        <v>1.2</v>
      </c>
      <c r="I236" t="inlineStr">
        <is>
          <t>Seed</t>
        </is>
      </c>
      <c r="J236" t="inlineStr">
        <is>
          <t>Fireside Ventures</t>
        </is>
      </c>
      <c r="K236" t="inlineStr">
        <is>
          <t>https://entrackr.com/snippets/teen-self-care-brand-sammmm-raises-rs-10-cr-in-seed-funding-8674589</t>
        </is>
      </c>
    </row>
    <row r="237">
      <c r="A237" t="inlineStr">
        <is>
          <t>ET-117741246</t>
        </is>
      </c>
      <c r="B237" t="inlineStr">
        <is>
          <t>R250130-superops</t>
        </is>
      </c>
      <c r="C237" t="inlineStr">
        <is>
          <t>The Economic Times</t>
        </is>
      </c>
      <c r="D237" s="17" t="n">
        <v>45687</v>
      </c>
      <c r="E237" t="inlineStr">
        <is>
          <t>SuperOps</t>
        </is>
      </c>
      <c r="F237" t="inlineStr">
        <is>
          <t>$25 million</t>
        </is>
      </c>
      <c r="G237" s="19" t="n"/>
      <c r="H237" s="19" t="n">
        <v>25</v>
      </c>
      <c r="I237" t="inlineStr">
        <is>
          <t>Series C</t>
        </is>
      </c>
      <c r="J237" t="inlineStr">
        <is>
          <t>March Capital</t>
        </is>
      </c>
      <c r="K237" t="inlineStr">
        <is>
          <t>https://economictimes.indiatimes.com/tech/funding/saas-firm-superops-raises-25-million-from-march-capital-addition-z47/articleshow/117741246.cms</t>
        </is>
      </c>
    </row>
    <row r="238">
      <c r="A238" t="inlineStr">
        <is>
          <t>INC-20250201-03</t>
        </is>
      </c>
      <c r="B238" t="inlineStr">
        <is>
          <t>R250130-superops</t>
        </is>
      </c>
      <c r="C238" t="inlineStr">
        <is>
          <t>Inc42</t>
        </is>
      </c>
      <c r="D238" s="17" t="n">
        <v>45687</v>
      </c>
      <c r="E238" t="inlineStr">
        <is>
          <t>SuperOps</t>
        </is>
      </c>
      <c r="F238" t="inlineStr">
        <is>
          <t>$25 Mn</t>
        </is>
      </c>
      <c r="G238" s="19" t="n"/>
      <c r="H238" s="19" t="n">
        <v>25</v>
      </c>
      <c r="I238" t="inlineStr">
        <is>
          <t>Series C</t>
        </is>
      </c>
      <c r="J238" t="inlineStr">
        <is>
          <t>March Capital</t>
        </is>
      </c>
      <c r="K238" t="inlineStr">
        <is>
          <t>https://inc42.com/buzz/from-leap-to-innov8-indian-startups-raised-196-mn-this-week/</t>
        </is>
      </c>
    </row>
    <row r="239">
      <c r="A239" t="inlineStr">
        <is>
          <t>ET-117741315</t>
        </is>
      </c>
      <c r="B239" t="inlineStr">
        <is>
          <t>R250130-utsav</t>
        </is>
      </c>
      <c r="C239" t="inlineStr">
        <is>
          <t>The Economic Times</t>
        </is>
      </c>
      <c r="D239" s="17" t="n">
        <v>45687</v>
      </c>
      <c r="E239" t="inlineStr">
        <is>
          <t>Utsav</t>
        </is>
      </c>
      <c r="F239" t="inlineStr">
        <is>
          <t>Rs 6.35 crore</t>
        </is>
      </c>
      <c r="G239" s="19" t="n">
        <v>6.35</v>
      </c>
      <c r="H239" s="19" t="n"/>
      <c r="I239" t="inlineStr">
        <is>
          <t>Undisclosed</t>
        </is>
      </c>
      <c r="J239" t="inlineStr">
        <is>
          <t>Equanimity Investments</t>
        </is>
      </c>
      <c r="K239" t="inlineStr">
        <is>
          <t>https://economictimes.indiatimes.com/tech/funding/spiritual-and-devotion-platform-utsav-raises-rs-6-35-crore-in-round-led-by-equanimity-investments/articleshow/117741315.cms</t>
        </is>
      </c>
    </row>
    <row r="240">
      <c r="A240" t="inlineStr">
        <is>
          <t>INC-20250201-21</t>
        </is>
      </c>
      <c r="B240" t="inlineStr">
        <is>
          <t>R250130-utsav</t>
        </is>
      </c>
      <c r="C240" t="inlineStr">
        <is>
          <t>Inc42</t>
        </is>
      </c>
      <c r="D240" s="17" t="n">
        <v>45687</v>
      </c>
      <c r="E240" t="inlineStr">
        <is>
          <t>Utsav App</t>
        </is>
      </c>
      <c r="F240" t="inlineStr">
        <is>
          <t>$733K</t>
        </is>
      </c>
      <c r="G240" s="19" t="n"/>
      <c r="H240" s="19" t="n">
        <v>0.733</v>
      </c>
      <c r="I240" t="inlineStr">
        <is>
          <t>Pre-Series A</t>
        </is>
      </c>
      <c r="J240" t="inlineStr">
        <is>
          <t>Equanimity Investments</t>
        </is>
      </c>
      <c r="K240" t="inlineStr">
        <is>
          <t>https://inc42.com/buzz/from-leap-to-innov8-indian-startups-raised-196-mn-this-week/</t>
        </is>
      </c>
    </row>
    <row r="241">
      <c r="A241" t="inlineStr">
        <is>
          <t>ENT-8677250</t>
        </is>
      </c>
      <c r="B241" t="inlineStr">
        <is>
          <t>R250130-utsav</t>
        </is>
      </c>
      <c r="C241" t="inlineStr">
        <is>
          <t>Entrackr</t>
        </is>
      </c>
      <c r="D241" s="17" t="n">
        <v>45688</v>
      </c>
      <c r="E241" t="inlineStr">
        <is>
          <t>Utsav</t>
        </is>
      </c>
      <c r="F241" t="inlineStr">
        <is>
          <t>Rs 6.35 crore</t>
        </is>
      </c>
      <c r="G241" s="19" t="n">
        <v>6.35</v>
      </c>
      <c r="H241" s="19" t="n"/>
      <c r="I241" t="inlineStr">
        <is>
          <t>Undisclosed</t>
        </is>
      </c>
      <c r="J241" t="inlineStr">
        <is>
          <t>Equanimity Investments</t>
        </is>
      </c>
      <c r="K241" t="inlineStr">
        <is>
          <t>https://entrackr.com/snippets/spiritual-tech-startup-utsav-raises-rs-635-cr-8677250</t>
        </is>
      </c>
    </row>
    <row r="242">
      <c r="A242" t="inlineStr">
        <is>
          <t>ENT-8678115</t>
        </is>
      </c>
      <c r="B242" t="inlineStr">
        <is>
          <t>R250131-captainfresh</t>
        </is>
      </c>
      <c r="C242" t="inlineStr">
        <is>
          <t>Entrackr</t>
        </is>
      </c>
      <c r="D242" s="17" t="n">
        <v>45688</v>
      </c>
      <c r="E242" t="inlineStr">
        <is>
          <t>Captain Fresh</t>
        </is>
      </c>
      <c r="F242" t="inlineStr">
        <is>
          <t>Rs 250 crore</t>
        </is>
      </c>
      <c r="G242" s="19" t="n">
        <v>250</v>
      </c>
      <c r="H242" s="19" t="n">
        <v>30</v>
      </c>
      <c r="I242" t="inlineStr">
        <is>
          <t>Pre-IPO</t>
        </is>
      </c>
      <c r="J242" t="inlineStr"/>
      <c r="K242" t="inlineStr">
        <is>
          <t>https://entrackr.com/news/captain-fresh-raises-rs-250-cr-in-ongoing-pre-ipo-round-8678115</t>
        </is>
      </c>
    </row>
    <row r="243">
      <c r="A243" t="inlineStr">
        <is>
          <t>ET-117788965</t>
        </is>
      </c>
      <c r="B243" t="inlineStr">
        <is>
          <t>R250131-captainfresh</t>
        </is>
      </c>
      <c r="C243" t="inlineStr">
        <is>
          <t>The Economic Times</t>
        </is>
      </c>
      <c r="D243" s="17" t="n">
        <v>45688</v>
      </c>
      <c r="E243" t="inlineStr">
        <is>
          <t>Captain Fresh</t>
        </is>
      </c>
      <c r="F243" t="inlineStr">
        <is>
          <t>Rs 250 crore</t>
        </is>
      </c>
      <c r="G243" s="19" t="n">
        <v>250</v>
      </c>
      <c r="H243" s="19" t="n"/>
      <c r="I243" t="inlineStr">
        <is>
          <t>Pre-IPO</t>
        </is>
      </c>
      <c r="J243" t="inlineStr"/>
      <c r="K243" t="inlineStr">
        <is>
          <t>https://economictimes.indiatimes.com/tech/funding/captain-fresh-raises-rs-250-crore-in-a-pre-ipo-funding-round/articleshow/117788965.cms</t>
        </is>
      </c>
    </row>
    <row r="244">
      <c r="A244" t="inlineStr">
        <is>
          <t>INC-20250208-02</t>
        </is>
      </c>
      <c r="B244" t="inlineStr">
        <is>
          <t>R250131-captainfresh</t>
        </is>
      </c>
      <c r="C244" t="inlineStr">
        <is>
          <t>Inc42</t>
        </is>
      </c>
      <c r="D244" s="17" t="n">
        <v>45689</v>
      </c>
      <c r="E244" t="inlineStr">
        <is>
          <t>Captain Fresh</t>
        </is>
      </c>
      <c r="F244" t="inlineStr">
        <is>
          <t>$28.8 Mn</t>
        </is>
      </c>
      <c r="G244" s="19" t="n"/>
      <c r="H244" s="19" t="n">
        <v>28.8</v>
      </c>
      <c r="I244" t="inlineStr">
        <is>
          <t>Undisclosed</t>
        </is>
      </c>
      <c r="J244" t="inlineStr">
        <is>
          <t>Prosus Ventures; Accel; Tiger Global</t>
        </is>
      </c>
      <c r="K244" t="inlineStr">
        <is>
          <t>https://inc42.com/buzz/from-cashfree-payments-to-shadowfax-indian-startups-raised-125-mn-this-week/</t>
        </is>
      </c>
    </row>
    <row r="245">
      <c r="A245" t="inlineStr">
        <is>
          <t>INC-20250208-18</t>
        </is>
      </c>
      <c r="B245" t="inlineStr">
        <is>
          <t>R250203-builditindia</t>
        </is>
      </c>
      <c r="C245" t="inlineStr">
        <is>
          <t>Inc42</t>
        </is>
      </c>
      <c r="D245" s="17" t="n">
        <v>45691</v>
      </c>
      <c r="E245" t="inlineStr">
        <is>
          <t>BuilditIndia</t>
        </is>
      </c>
      <c r="F245" t="inlineStr"/>
      <c r="G245" s="19" t="n"/>
      <c r="H245" s="19" t="n"/>
      <c r="I245" t="inlineStr">
        <is>
          <t>Undisclosed</t>
        </is>
      </c>
      <c r="J245" t="inlineStr">
        <is>
          <t>Parthiv Patel</t>
        </is>
      </c>
      <c r="K245" t="inlineStr">
        <is>
          <t>https://inc42.com/buzz/from-cashfree-payments-to-shadowfax-indian-startups-raised-125-mn-this-week/</t>
        </is>
      </c>
    </row>
    <row r="246">
      <c r="A246" t="inlineStr">
        <is>
          <t>INC-20250208-19</t>
        </is>
      </c>
      <c r="B246" t="inlineStr">
        <is>
          <t>R250203-curefoods</t>
        </is>
      </c>
      <c r="C246" t="inlineStr">
        <is>
          <t>Inc42</t>
        </is>
      </c>
      <c r="D246" s="17" t="n">
        <v>45691</v>
      </c>
      <c r="E246" t="inlineStr">
        <is>
          <t>Curefoods</t>
        </is>
      </c>
      <c r="F246" t="inlineStr"/>
      <c r="G246" s="19" t="n"/>
      <c r="H246" s="19" t="n"/>
      <c r="I246" t="inlineStr">
        <is>
          <t>Undisclosed</t>
        </is>
      </c>
      <c r="J246" t="inlineStr">
        <is>
          <t>Hrithik Roshan</t>
        </is>
      </c>
      <c r="K246" t="inlineStr">
        <is>
          <t>https://inc42.com/buzz/from-cashfree-payments-to-shadowfax-indian-startups-raised-125-mn-this-week/</t>
        </is>
      </c>
    </row>
    <row r="247">
      <c r="A247" t="inlineStr">
        <is>
          <t>INC-20250208-05</t>
        </is>
      </c>
      <c r="B247" t="inlineStr">
        <is>
          <t>R250203-shadowfax</t>
        </is>
      </c>
      <c r="C247" t="inlineStr">
        <is>
          <t>Inc42</t>
        </is>
      </c>
      <c r="D247" s="17" t="n">
        <v>45691</v>
      </c>
      <c r="E247" t="inlineStr">
        <is>
          <t>Shadowfax</t>
        </is>
      </c>
      <c r="F247" t="inlineStr">
        <is>
          <t>$4 Mn</t>
        </is>
      </c>
      <c r="G247" s="19" t="n"/>
      <c r="H247" s="19" t="n">
        <v>4</v>
      </c>
      <c r="I247" t="inlineStr">
        <is>
          <t>Series F</t>
        </is>
      </c>
      <c r="J247" t="inlineStr"/>
      <c r="K247" t="inlineStr">
        <is>
          <t>https://inc42.com/buzz/from-cashfree-payments-to-shadowfax-indian-startups-raised-125-mn-this-week/</t>
        </is>
      </c>
    </row>
    <row r="248">
      <c r="A248" t="inlineStr">
        <is>
          <t>ENT-8688430</t>
        </is>
      </c>
      <c r="B248" t="inlineStr">
        <is>
          <t>R250204-coluxe</t>
        </is>
      </c>
      <c r="C248" t="inlineStr">
        <is>
          <t>Entrackr</t>
        </is>
      </c>
      <c r="D248" s="17" t="n">
        <v>45692</v>
      </c>
      <c r="E248" t="inlineStr">
        <is>
          <t>COLUXE</t>
        </is>
      </c>
      <c r="F248" t="inlineStr"/>
      <c r="G248" s="19" t="n"/>
      <c r="H248" s="19" t="n"/>
      <c r="I248" t="inlineStr">
        <is>
          <t>Angel</t>
        </is>
      </c>
      <c r="J248" t="inlineStr"/>
      <c r="K248" t="inlineStr">
        <is>
          <t>https://entrackr.com/snippets/priyanka-gills-lab-grown-diamond-brand-coluxe-raises-angel-funding-8688430</t>
        </is>
      </c>
    </row>
    <row r="249">
      <c r="A249" t="inlineStr">
        <is>
          <t>ET-117921270</t>
        </is>
      </c>
      <c r="B249" t="inlineStr">
        <is>
          <t>R250204-hairoriginals</t>
        </is>
      </c>
      <c r="C249" t="inlineStr">
        <is>
          <t>The Economic Times</t>
        </is>
      </c>
      <c r="D249" s="17" t="n">
        <v>45692</v>
      </c>
      <c r="E249" t="inlineStr">
        <is>
          <t>Hair Originals</t>
        </is>
      </c>
      <c r="F249" t="inlineStr">
        <is>
          <t>$5 million</t>
        </is>
      </c>
      <c r="G249" s="19" t="n"/>
      <c r="H249" s="19" t="n">
        <v>5</v>
      </c>
      <c r="I249" t="inlineStr">
        <is>
          <t>Series A</t>
        </is>
      </c>
      <c r="J249" t="inlineStr">
        <is>
          <t>Anicut Growth Fund; 12 Flags Consumer Holdings</t>
        </is>
      </c>
      <c r="K249" t="inlineStr">
        <is>
          <t>https://economictimes.indiatimes.com/tech/funding/hair-originals-raises-5-million-in-series-a-funding/articleshow/117921270.cms</t>
        </is>
      </c>
    </row>
    <row r="250">
      <c r="A250" t="inlineStr">
        <is>
          <t>INC-20250208-04</t>
        </is>
      </c>
      <c r="B250" t="inlineStr">
        <is>
          <t>R250204-hairoriginals</t>
        </is>
      </c>
      <c r="C250" t="inlineStr">
        <is>
          <t>Inc42</t>
        </is>
      </c>
      <c r="D250" s="17" t="n">
        <v>45692</v>
      </c>
      <c r="E250" t="inlineStr">
        <is>
          <t>HairOriginals</t>
        </is>
      </c>
      <c r="F250" t="inlineStr">
        <is>
          <t>$5 Mn</t>
        </is>
      </c>
      <c r="G250" s="19" t="n"/>
      <c r="H250" s="19" t="n">
        <v>5</v>
      </c>
      <c r="I250" t="inlineStr">
        <is>
          <t>Series A</t>
        </is>
      </c>
      <c r="J250" t="inlineStr">
        <is>
          <t>Anicut Growth Fund; 12 Flags Consumer Holdings</t>
        </is>
      </c>
      <c r="K250" t="inlineStr">
        <is>
          <t>https://inc42.com/buzz/from-cashfree-payments-to-shadowfax-indian-startups-raised-125-mn-this-week/</t>
        </is>
      </c>
    </row>
    <row r="251">
      <c r="A251" t="inlineStr">
        <is>
          <t>ENT-8691637</t>
        </is>
      </c>
      <c r="B251" t="inlineStr">
        <is>
          <t>R250204-hairoriginals</t>
        </is>
      </c>
      <c r="C251" t="inlineStr">
        <is>
          <t>Entrackr</t>
        </is>
      </c>
      <c r="D251" s="17" t="n">
        <v>45693</v>
      </c>
      <c r="E251" t="inlineStr">
        <is>
          <t>HairOriginals</t>
        </is>
      </c>
      <c r="F251" t="inlineStr">
        <is>
          <t>$5 million</t>
        </is>
      </c>
      <c r="G251" s="19" t="n">
        <v>43.5</v>
      </c>
      <c r="H251" s="19" t="n">
        <v>5</v>
      </c>
      <c r="I251" t="inlineStr">
        <is>
          <t>Series A</t>
        </is>
      </c>
      <c r="J251" t="inlineStr">
        <is>
          <t>Anicut Growth Fund; 12 Flags Consumer Holdings</t>
        </is>
      </c>
      <c r="K251" t="inlineStr">
        <is>
          <t>https://entrackr.com/snippets/hairoriginals-raises-5-mn-in-series-a-round-led-by-anicut-and-12-flags-8691637</t>
        </is>
      </c>
    </row>
    <row r="252">
      <c r="A252" t="inlineStr">
        <is>
          <t>INC-20250208-07</t>
        </is>
      </c>
      <c r="B252" t="inlineStr">
        <is>
          <t>R250204-presentationsa</t>
        </is>
      </c>
      <c r="C252" t="inlineStr">
        <is>
          <t>Inc42</t>
        </is>
      </c>
      <c r="D252" s="17" t="n">
        <v>45692</v>
      </c>
      <c r="E252" t="inlineStr">
        <is>
          <t>Presentations.AI</t>
        </is>
      </c>
      <c r="F252" t="inlineStr">
        <is>
          <t>$3 Mn</t>
        </is>
      </c>
      <c r="G252" s="19" t="n"/>
      <c r="H252" s="19" t="n">
        <v>3</v>
      </c>
      <c r="I252" t="inlineStr">
        <is>
          <t>Seed</t>
        </is>
      </c>
      <c r="J252" t="inlineStr">
        <is>
          <t>Accel Partners</t>
        </is>
      </c>
      <c r="K252" t="inlineStr">
        <is>
          <t>https://inc42.com/buzz/from-cashfree-payments-to-shadowfax-indian-startups-raised-125-mn-this-week/</t>
        </is>
      </c>
    </row>
    <row r="253">
      <c r="A253" t="inlineStr">
        <is>
          <t>INC-20250208-17</t>
        </is>
      </c>
      <c r="B253" t="inlineStr">
        <is>
          <t>R250204-supergaming</t>
        </is>
      </c>
      <c r="C253" t="inlineStr">
        <is>
          <t>Inc42</t>
        </is>
      </c>
      <c r="D253" s="17" t="n">
        <v>45692</v>
      </c>
      <c r="E253" t="inlineStr">
        <is>
          <t>Super Gaming</t>
        </is>
      </c>
      <c r="F253" t="inlineStr"/>
      <c r="G253" s="19" t="n"/>
      <c r="H253" s="19" t="n"/>
      <c r="I253" t="inlineStr">
        <is>
          <t>Undisclosed</t>
        </is>
      </c>
      <c r="J253" t="inlineStr">
        <is>
          <t>Bandai Namco</t>
        </is>
      </c>
      <c r="K253" t="inlineStr">
        <is>
          <t>https://inc42.com/buzz/from-cashfree-payments-to-shadowfax-indian-startups-raised-125-mn-this-week/</t>
        </is>
      </c>
    </row>
    <row r="254">
      <c r="A254" t="inlineStr">
        <is>
          <t>INC-20250208-08</t>
        </is>
      </c>
      <c r="B254" t="inlineStr">
        <is>
          <t>R250205-astrasecurity</t>
        </is>
      </c>
      <c r="C254" t="inlineStr">
        <is>
          <t>Inc42</t>
        </is>
      </c>
      <c r="D254" s="17" t="n">
        <v>45693</v>
      </c>
      <c r="E254" t="inlineStr">
        <is>
          <t>Astra Security</t>
        </is>
      </c>
      <c r="F254" t="inlineStr">
        <is>
          <t>$2.7 Mn</t>
        </is>
      </c>
      <c r="G254" s="19" t="n"/>
      <c r="H254" s="19" t="n">
        <v>2.7</v>
      </c>
      <c r="I254" t="inlineStr">
        <is>
          <t>Undisclosed</t>
        </is>
      </c>
      <c r="J254" t="inlineStr">
        <is>
          <t>Emergent Ventures</t>
        </is>
      </c>
      <c r="K254" t="inlineStr">
        <is>
          <t>https://inc42.com/buzz/from-cashfree-payments-to-shadowfax-indian-startups-raised-125-mn-this-week/</t>
        </is>
      </c>
    </row>
    <row r="255">
      <c r="A255" t="inlineStr">
        <is>
          <t>ENT-8695652</t>
        </is>
      </c>
      <c r="B255" t="inlineStr">
        <is>
          <t>R250205-astrasecurity</t>
        </is>
      </c>
      <c r="C255" t="inlineStr">
        <is>
          <t>Entrackr</t>
        </is>
      </c>
      <c r="D255" s="17" t="n">
        <v>45694</v>
      </c>
      <c r="E255" t="inlineStr">
        <is>
          <t>Astra Security</t>
        </is>
      </c>
      <c r="F255" t="inlineStr">
        <is>
          <t>$2.7 million</t>
        </is>
      </c>
      <c r="G255" s="19" t="n"/>
      <c r="H255" s="19" t="n">
        <v>2.7</v>
      </c>
      <c r="I255" t="inlineStr">
        <is>
          <t>Undisclosed</t>
        </is>
      </c>
      <c r="J255" t="inlineStr">
        <is>
          <t>Emergent Ventures; Better Capital; Blume Ventures; PointOne Capital</t>
        </is>
      </c>
      <c r="K255" t="inlineStr">
        <is>
          <t>https://entrackr.com/snippets/emergent-ventures-leads-27-mn-round-in-astra-security-8695652</t>
        </is>
      </c>
    </row>
    <row r="256">
      <c r="A256" t="inlineStr">
        <is>
          <t>ET-117980607</t>
        </is>
      </c>
      <c r="B256" t="inlineStr">
        <is>
          <t>R250205-astrasecurity</t>
        </is>
      </c>
      <c r="C256" t="inlineStr">
        <is>
          <t>The Economic Times</t>
        </is>
      </c>
      <c r="D256" s="17" t="n">
        <v>45694</v>
      </c>
      <c r="E256" t="inlineStr">
        <is>
          <t>Astra Security</t>
        </is>
      </c>
      <c r="F256" t="inlineStr">
        <is>
          <t>$2.7 million</t>
        </is>
      </c>
      <c r="G256" s="19" t="n"/>
      <c r="H256" s="19" t="n">
        <v>2.7</v>
      </c>
      <c r="I256" t="inlineStr">
        <is>
          <t>Undisclosed</t>
        </is>
      </c>
      <c r="J256" t="inlineStr">
        <is>
          <t>Better Capital; Blume Ventures; PointOne Capital</t>
        </is>
      </c>
      <c r="K256" t="inlineStr">
        <is>
          <t>https://economictimes.indiatimes.com/tech/funding/astra-security-raises-2-7-million-from-emergent-ventures-others/articleshow/117980607.cms</t>
        </is>
      </c>
    </row>
    <row r="257">
      <c r="A257" t="inlineStr">
        <is>
          <t>ENT-8690967</t>
        </is>
      </c>
      <c r="B257" t="inlineStr">
        <is>
          <t>R250205-cashfreepaymen</t>
        </is>
      </c>
      <c r="C257" t="inlineStr">
        <is>
          <t>Entrackr</t>
        </is>
      </c>
      <c r="D257" s="17" t="n">
        <v>45693</v>
      </c>
      <c r="E257" t="inlineStr">
        <is>
          <t>Cashfree Payments</t>
        </is>
      </c>
      <c r="F257" t="inlineStr">
        <is>
          <t>$53 million</t>
        </is>
      </c>
      <c r="G257" s="19" t="n">
        <v>450</v>
      </c>
      <c r="H257" s="19" t="n">
        <v>53</v>
      </c>
      <c r="I257" t="inlineStr">
        <is>
          <t>Undisclosed</t>
        </is>
      </c>
      <c r="J257" t="inlineStr">
        <is>
          <t>KRAFTON; Apis Growth Fund II</t>
        </is>
      </c>
      <c r="K257" t="inlineStr">
        <is>
          <t>https://entrackr.com/news/cashfree-payments-raises-53-mn-led-by-krafton-8690967</t>
        </is>
      </c>
    </row>
    <row r="258">
      <c r="A258" t="inlineStr">
        <is>
          <t>ET-117923690</t>
        </is>
      </c>
      <c r="B258" t="inlineStr">
        <is>
          <t>R250205-cashfreepaymen</t>
        </is>
      </c>
      <c r="C258" t="inlineStr">
        <is>
          <t>The Economic Times</t>
        </is>
      </c>
      <c r="D258" s="17" t="n">
        <v>45693</v>
      </c>
      <c r="E258" t="inlineStr">
        <is>
          <t>Cashfree</t>
        </is>
      </c>
      <c r="F258" t="inlineStr">
        <is>
          <t>$53 million</t>
        </is>
      </c>
      <c r="G258" s="19" t="n"/>
      <c r="H258" s="19" t="n">
        <v>53</v>
      </c>
      <c r="I258" t="inlineStr">
        <is>
          <t>Undisclosed</t>
        </is>
      </c>
      <c r="J258" t="inlineStr">
        <is>
          <t>Krafton; Apis Partners</t>
        </is>
      </c>
      <c r="K258" t="inlineStr">
        <is>
          <t>https://economictimes.indiatimes.com/tech/funding/cashfree-secures-53-million-from-krafton-apis-partners/articleshow/117923690.cms</t>
        </is>
      </c>
    </row>
    <row r="259">
      <c r="A259" t="inlineStr">
        <is>
          <t>INC-20250208-01</t>
        </is>
      </c>
      <c r="B259" t="inlineStr">
        <is>
          <t>R250205-cashfreepaymen</t>
        </is>
      </c>
      <c r="C259" t="inlineStr">
        <is>
          <t>Inc42</t>
        </is>
      </c>
      <c r="D259" s="17" t="n">
        <v>45693</v>
      </c>
      <c r="E259" t="inlineStr">
        <is>
          <t>Cashfree Payments</t>
        </is>
      </c>
      <c r="F259" t="inlineStr">
        <is>
          <t>$53 Mn</t>
        </is>
      </c>
      <c r="G259" s="19" t="n"/>
      <c r="H259" s="19" t="n">
        <v>53</v>
      </c>
      <c r="I259" t="inlineStr">
        <is>
          <t>Series C</t>
        </is>
      </c>
      <c r="J259" t="inlineStr">
        <is>
          <t>KRAFTON</t>
        </is>
      </c>
      <c r="K259" t="inlineStr">
        <is>
          <t>https://inc42.com/buzz/from-cashfree-payments-to-shadowfax-indian-startups-raised-125-mn-this-week/</t>
        </is>
      </c>
    </row>
    <row r="260">
      <c r="A260" t="inlineStr">
        <is>
          <t>VCC-0dbe3bb8d4</t>
        </is>
      </c>
      <c r="B260" t="inlineStr">
        <is>
          <t>R250205-cashfreepaymen</t>
        </is>
      </c>
      <c r="C260" t="inlineStr">
        <is>
          <t>VCCircle</t>
        </is>
      </c>
      <c r="D260" s="17" t="n">
        <v>45693</v>
      </c>
      <c r="E260" t="inlineStr">
        <is>
          <t>cashfree payments</t>
        </is>
      </c>
      <c r="F260" t="inlineStr">
        <is>
          <t>$ 53 million</t>
        </is>
      </c>
      <c r="G260" s="19" t="n"/>
      <c r="H260" s="19" t="n">
        <v>53</v>
      </c>
      <c r="I260" t="inlineStr">
        <is>
          <t>Undisclosed</t>
        </is>
      </c>
      <c r="J260" t="inlineStr"/>
      <c r="K260" t="inlineStr">
        <is>
          <t>https://www.vccircle.com/southkorea-s-krafton-leads-53-mn-funding-in-cashfree-payments</t>
        </is>
      </c>
    </row>
    <row r="261">
      <c r="A261" t="inlineStr">
        <is>
          <t>ENT-8694299</t>
        </is>
      </c>
      <c r="B261" t="inlineStr">
        <is>
          <t>R250205-dreamflyinnova</t>
        </is>
      </c>
      <c r="C261" t="inlineStr">
        <is>
          <t>Entrackr</t>
        </is>
      </c>
      <c r="D261" s="17" t="n">
        <v>45693</v>
      </c>
      <c r="E261" t="inlineStr">
        <is>
          <t>Dreamfly Innovations</t>
        </is>
      </c>
      <c r="F261" t="inlineStr">
        <is>
          <t>Rs 12 crore</t>
        </is>
      </c>
      <c r="G261" s="19" t="n">
        <v>12</v>
      </c>
      <c r="H261" s="19" t="n"/>
      <c r="I261" t="inlineStr">
        <is>
          <t>Seed</t>
        </is>
      </c>
      <c r="J261" t="inlineStr">
        <is>
          <t>Avaana Capital</t>
        </is>
      </c>
      <c r="K261" t="inlineStr">
        <is>
          <t>https://entrackr.com/snippets/dreamfly-innovations-raises-rs-12-cr-in-seed-round-8694299</t>
        </is>
      </c>
    </row>
    <row r="262">
      <c r="A262" t="inlineStr">
        <is>
          <t>ET-117938546</t>
        </is>
      </c>
      <c r="B262" t="inlineStr">
        <is>
          <t>R250205-dreamflyinnova</t>
        </is>
      </c>
      <c r="C262" t="inlineStr">
        <is>
          <t>The Economic Times</t>
        </is>
      </c>
      <c r="D262" s="17" t="n">
        <v>45693</v>
      </c>
      <c r="E262" t="inlineStr">
        <is>
          <t>Dreamfly Innovations</t>
        </is>
      </c>
      <c r="F262" t="inlineStr">
        <is>
          <t>Rs 12 crore</t>
        </is>
      </c>
      <c r="G262" s="19" t="n">
        <v>12</v>
      </c>
      <c r="H262" s="19" t="n"/>
      <c r="I262" t="inlineStr">
        <is>
          <t>Seed</t>
        </is>
      </c>
      <c r="J262" t="inlineStr">
        <is>
          <t>Avaana Capital</t>
        </is>
      </c>
      <c r="K262" t="inlineStr">
        <is>
          <t>https://economictimes.indiatimes.com/tech/funding/battery-tech-startup-dreamfly-innovations-raises-rs-12-crore-from-avaana-capital-others/articleshow/117938546.cms</t>
        </is>
      </c>
    </row>
    <row r="263">
      <c r="A263" t="inlineStr">
        <is>
          <t>INC-20250208-09</t>
        </is>
      </c>
      <c r="B263" t="inlineStr">
        <is>
          <t>R250205-dreamflyinnova</t>
        </is>
      </c>
      <c r="C263" t="inlineStr">
        <is>
          <t>Inc42</t>
        </is>
      </c>
      <c r="D263" s="17" t="n">
        <v>45693</v>
      </c>
      <c r="E263" t="inlineStr">
        <is>
          <t>Dreamfly Innovations</t>
        </is>
      </c>
      <c r="F263" t="inlineStr">
        <is>
          <t>$1.4 Mn</t>
        </is>
      </c>
      <c r="G263" s="19" t="n"/>
      <c r="H263" s="19" t="n">
        <v>1.4</v>
      </c>
      <c r="I263" t="inlineStr">
        <is>
          <t>Seed</t>
        </is>
      </c>
      <c r="J263" t="inlineStr">
        <is>
          <t>Avaana Capital</t>
        </is>
      </c>
      <c r="K263" t="inlineStr">
        <is>
          <t>https://inc42.com/buzz/from-cashfree-payments-to-shadowfax-indian-startups-raised-125-mn-this-week/</t>
        </is>
      </c>
    </row>
    <row r="264">
      <c r="A264" t="inlineStr">
        <is>
          <t>ENT-8692614</t>
        </is>
      </c>
      <c r="B264" t="inlineStr">
        <is>
          <t>R250205-fitspire</t>
        </is>
      </c>
      <c r="C264" t="inlineStr">
        <is>
          <t>Entrackr</t>
        </is>
      </c>
      <c r="D264" s="17" t="n">
        <v>45693</v>
      </c>
      <c r="E264" t="inlineStr">
        <is>
          <t>Fitspire</t>
        </is>
      </c>
      <c r="F264" t="inlineStr">
        <is>
          <t>$1 million</t>
        </is>
      </c>
      <c r="G264" s="19" t="n"/>
      <c r="H264" s="19" t="n">
        <v>1</v>
      </c>
      <c r="I264" t="inlineStr">
        <is>
          <t>Series A</t>
        </is>
      </c>
      <c r="J264" t="inlineStr">
        <is>
          <t>India</t>
        </is>
      </c>
      <c r="K264" t="inlineStr">
        <is>
          <t>https://entrackr.com/snippets/nutrition-brand-fitspire-raises-1-mn-in-pre-series-a-round-8692614</t>
        </is>
      </c>
    </row>
    <row r="265">
      <c r="A265" t="inlineStr">
        <is>
          <t>ET-117949738</t>
        </is>
      </c>
      <c r="B265" t="inlineStr">
        <is>
          <t>R250205-fitspire</t>
        </is>
      </c>
      <c r="C265" t="inlineStr">
        <is>
          <t>The Economic Times</t>
        </is>
      </c>
      <c r="D265" s="17" t="n">
        <v>45693</v>
      </c>
      <c r="E265" t="inlineStr">
        <is>
          <t>Fitspire</t>
        </is>
      </c>
      <c r="F265" t="inlineStr">
        <is>
          <t>$1million</t>
        </is>
      </c>
      <c r="G265" s="19" t="n"/>
      <c r="H265" s="19" t="n">
        <v>1</v>
      </c>
      <c r="I265" t="inlineStr">
        <is>
          <t>Series A</t>
        </is>
      </c>
      <c r="J265" t="inlineStr">
        <is>
          <t>Anant Agarwal; MMG Group</t>
        </is>
      </c>
      <c r="K265" t="inlineStr">
        <is>
          <t>https://economictimes.indiatimes.com/tech/funding/fitspire-secures-1-million-in-bridge-round-led-by-mcdonalds-india-promoter-anant-agarwal-and-mmg-group/articleshow/117949738.cms</t>
        </is>
      </c>
    </row>
    <row r="266">
      <c r="A266" t="inlineStr">
        <is>
          <t>ENT-8692490</t>
        </is>
      </c>
      <c r="B266" t="inlineStr">
        <is>
          <t>R250205-mealawe</t>
        </is>
      </c>
      <c r="C266" t="inlineStr">
        <is>
          <t>Entrackr</t>
        </is>
      </c>
      <c r="D266" s="17" t="n">
        <v>45693</v>
      </c>
      <c r="E266" t="inlineStr">
        <is>
          <t>Mealawe</t>
        </is>
      </c>
      <c r="F266" t="inlineStr">
        <is>
          <t>$1 million</t>
        </is>
      </c>
      <c r="G266" s="19" t="n"/>
      <c r="H266" s="19" t="n">
        <v>1</v>
      </c>
      <c r="I266" t="inlineStr">
        <is>
          <t>Undisclosed</t>
        </is>
      </c>
      <c r="J266" t="inlineStr"/>
      <c r="K266" t="inlineStr">
        <is>
          <t>https://entrackr.com/snippets/foodtech-startup-mealawe-raises-1-mn-in-new-round-8692490</t>
        </is>
      </c>
    </row>
    <row r="267">
      <c r="A267" t="inlineStr">
        <is>
          <t>INC-20250208-10</t>
        </is>
      </c>
      <c r="B267" t="inlineStr">
        <is>
          <t>R250205-mealawe</t>
        </is>
      </c>
      <c r="C267" t="inlineStr">
        <is>
          <t>Inc42</t>
        </is>
      </c>
      <c r="D267" s="17" t="n">
        <v>45693</v>
      </c>
      <c r="E267" t="inlineStr">
        <is>
          <t>Mealawe</t>
        </is>
      </c>
      <c r="F267" t="inlineStr">
        <is>
          <t>$1 Mn</t>
        </is>
      </c>
      <c r="G267" s="19" t="n"/>
      <c r="H267" s="19" t="n">
        <v>1</v>
      </c>
      <c r="I267" t="inlineStr">
        <is>
          <t>Undisclosed</t>
        </is>
      </c>
      <c r="J267" t="inlineStr"/>
      <c r="K267" t="inlineStr">
        <is>
          <t>https://inc42.com/buzz/from-cashfree-payments-to-shadowfax-indian-startups-raised-125-mn-this-week/</t>
        </is>
      </c>
    </row>
    <row r="268">
      <c r="A268" t="inlineStr">
        <is>
          <t>ENT-8692523</t>
        </is>
      </c>
      <c r="B268" t="inlineStr">
        <is>
          <t>R250205-origamisai</t>
        </is>
      </c>
      <c r="C268" t="inlineStr">
        <is>
          <t>Entrackr</t>
        </is>
      </c>
      <c r="D268" s="17" t="n">
        <v>45693</v>
      </c>
      <c r="E268" t="inlineStr">
        <is>
          <t>Origamis AI</t>
        </is>
      </c>
      <c r="F268" t="inlineStr">
        <is>
          <t>$500K</t>
        </is>
      </c>
      <c r="G268" s="19" t="n"/>
      <c r="H268" s="19" t="n">
        <v>0.5</v>
      </c>
      <c r="I268" t="inlineStr">
        <is>
          <t>Seed</t>
        </is>
      </c>
      <c r="J268" t="inlineStr">
        <is>
          <t>Vikas Gautam; Naveen Agarwal</t>
        </is>
      </c>
      <c r="K268" t="inlineStr">
        <is>
          <t>https://entrackr.com/snippets/genai-startup-origamis-ai-raises-500k-in-seed-round-8692523</t>
        </is>
      </c>
    </row>
    <row r="269">
      <c r="A269" t="inlineStr">
        <is>
          <t>INC-20250208-14</t>
        </is>
      </c>
      <c r="B269" t="inlineStr">
        <is>
          <t>R250205-origamisai</t>
        </is>
      </c>
      <c r="C269" t="inlineStr">
        <is>
          <t>Inc42</t>
        </is>
      </c>
      <c r="D269" s="17" t="n">
        <v>45694</v>
      </c>
      <c r="E269" t="inlineStr">
        <is>
          <t>Origamis AI</t>
        </is>
      </c>
      <c r="F269" t="inlineStr">
        <is>
          <t>$500K</t>
        </is>
      </c>
      <c r="G269" s="19" t="n"/>
      <c r="H269" s="19" t="n">
        <v>0.5</v>
      </c>
      <c r="I269" t="inlineStr">
        <is>
          <t>Seed</t>
        </is>
      </c>
      <c r="J269" t="inlineStr">
        <is>
          <t>Vikas Gautam; Naveen Agarwal</t>
        </is>
      </c>
      <c r="K269" t="inlineStr">
        <is>
          <t>https://inc42.com/buzz/from-cashfree-payments-to-shadowfax-indian-startups-raised-125-mn-this-week/</t>
        </is>
      </c>
    </row>
    <row r="270">
      <c r="A270" t="inlineStr">
        <is>
          <t>ENT-8692558</t>
        </is>
      </c>
      <c r="B270" t="inlineStr">
        <is>
          <t>R250205-presageinsight</t>
        </is>
      </c>
      <c r="C270" t="inlineStr">
        <is>
          <t>Entrackr</t>
        </is>
      </c>
      <c r="D270" s="17" t="n">
        <v>45693</v>
      </c>
      <c r="E270" t="inlineStr">
        <is>
          <t>Presage Insights</t>
        </is>
      </c>
      <c r="F270" t="inlineStr">
        <is>
          <t>Rs 5.6 crore</t>
        </is>
      </c>
      <c r="G270" s="19" t="n">
        <v>5.6</v>
      </c>
      <c r="H270" s="19" t="n"/>
      <c r="I270" t="inlineStr">
        <is>
          <t>Seed</t>
        </is>
      </c>
      <c r="J270" t="inlineStr">
        <is>
          <t>YourNest Venture Capital</t>
        </is>
      </c>
      <c r="K270" t="inlineStr">
        <is>
          <t>https://entrackr.com/snippets/presage-insights-raises-seed-funding-round-8692558</t>
        </is>
      </c>
    </row>
    <row r="271">
      <c r="A271" t="inlineStr">
        <is>
          <t>ENT-8691890</t>
        </is>
      </c>
      <c r="B271" t="inlineStr">
        <is>
          <t>R250205-quicklend</t>
        </is>
      </c>
      <c r="C271" t="inlineStr">
        <is>
          <t>Entrackr</t>
        </is>
      </c>
      <c r="D271" s="17" t="n">
        <v>45693</v>
      </c>
      <c r="E271" t="inlineStr">
        <is>
          <t>Quicklend</t>
        </is>
      </c>
      <c r="F271" t="inlineStr">
        <is>
          <t>Rs 6.75 crore</t>
        </is>
      </c>
      <c r="G271" s="19" t="n">
        <v>6.75</v>
      </c>
      <c r="H271" s="19" t="n">
        <v>0.774</v>
      </c>
      <c r="I271" t="inlineStr">
        <is>
          <t>Pre-Seed</t>
        </is>
      </c>
      <c r="J271" t="inlineStr">
        <is>
          <t>Inuka Capital; Eximius Ventures; Upsparks Capital; GrowX</t>
        </is>
      </c>
      <c r="K271" t="inlineStr">
        <is>
          <t>https://entrackr.com/snippets/quicklend-raises-rs-675-cr-in-pre-seed-round-8691890</t>
        </is>
      </c>
    </row>
    <row r="272">
      <c r="A272" t="inlineStr">
        <is>
          <t>INC-20250208-11</t>
        </is>
      </c>
      <c r="B272" t="inlineStr">
        <is>
          <t>R250205-quicklend</t>
        </is>
      </c>
      <c r="C272" t="inlineStr">
        <is>
          <t>Inc42</t>
        </is>
      </c>
      <c r="D272" s="17" t="n">
        <v>45693</v>
      </c>
      <c r="E272" t="inlineStr">
        <is>
          <t>Quicklend</t>
        </is>
      </c>
      <c r="F272" t="inlineStr">
        <is>
          <t>$772K</t>
        </is>
      </c>
      <c r="G272" s="19" t="n"/>
      <c r="H272" s="19" t="n">
        <v>0.772</v>
      </c>
      <c r="I272" t="inlineStr">
        <is>
          <t>Pre-Seed</t>
        </is>
      </c>
      <c r="J272" t="inlineStr">
        <is>
          <t>Inuka Capital; Eximius Ventures; Upsparks Capital; GrowX</t>
        </is>
      </c>
      <c r="K272" t="inlineStr">
        <is>
          <t>https://inc42.com/buzz/from-cashfree-payments-to-shadowfax-indian-startups-raised-125-mn-this-week/</t>
        </is>
      </c>
    </row>
    <row r="273">
      <c r="A273" t="inlineStr">
        <is>
          <t>ENT-8694916</t>
        </is>
      </c>
      <c r="B273" t="inlineStr">
        <is>
          <t>R250206-babynama</t>
        </is>
      </c>
      <c r="C273" t="inlineStr">
        <is>
          <t>Entrackr</t>
        </is>
      </c>
      <c r="D273" s="17" t="n">
        <v>45694</v>
      </c>
      <c r="E273" t="inlineStr">
        <is>
          <t>Babynama</t>
        </is>
      </c>
      <c r="F273" t="inlineStr">
        <is>
          <t>$700,000</t>
        </is>
      </c>
      <c r="G273" s="19" t="n"/>
      <c r="H273" s="19" t="n">
        <v>0.7</v>
      </c>
      <c r="I273" t="inlineStr">
        <is>
          <t>Seed</t>
        </is>
      </c>
      <c r="J273" t="inlineStr">
        <is>
          <t>Good Capital</t>
        </is>
      </c>
      <c r="K273" t="inlineStr">
        <is>
          <t>https://entrackr.com/snippets/healthtech-startup-babynama-raises-700k-led-by-good-capital-8694916</t>
        </is>
      </c>
    </row>
    <row r="274">
      <c r="A274" t="inlineStr">
        <is>
          <t>INC-20250208-12</t>
        </is>
      </c>
      <c r="B274" t="inlineStr">
        <is>
          <t>R250206-babynama</t>
        </is>
      </c>
      <c r="C274" t="inlineStr">
        <is>
          <t>Inc42</t>
        </is>
      </c>
      <c r="D274" s="17" t="n">
        <v>45695</v>
      </c>
      <c r="E274" t="inlineStr">
        <is>
          <t>Babynama</t>
        </is>
      </c>
      <c r="F274" t="inlineStr">
        <is>
          <t>$700K</t>
        </is>
      </c>
      <c r="G274" s="19" t="n"/>
      <c r="H274" s="19" t="n">
        <v>0.7</v>
      </c>
      <c r="I274" t="inlineStr">
        <is>
          <t>Seed</t>
        </is>
      </c>
      <c r="J274" t="inlineStr">
        <is>
          <t>Good Capital</t>
        </is>
      </c>
      <c r="K274" t="inlineStr">
        <is>
          <t>https://inc42.com/buzz/from-cashfree-payments-to-shadowfax-indian-startups-raised-125-mn-this-week/</t>
        </is>
      </c>
    </row>
    <row r="275">
      <c r="A275" t="inlineStr">
        <is>
          <t>INC-20250208-21</t>
        </is>
      </c>
      <c r="B275" t="inlineStr">
        <is>
          <t>R250206-basilalliance</t>
        </is>
      </c>
      <c r="C275" t="inlineStr">
        <is>
          <t>Inc42</t>
        </is>
      </c>
      <c r="D275" s="17" t="n">
        <v>45694</v>
      </c>
      <c r="E275" t="inlineStr">
        <is>
          <t>Basil Alliance</t>
        </is>
      </c>
      <c r="F275" t="inlineStr"/>
      <c r="G275" s="19" t="n"/>
      <c r="H275" s="19" t="n"/>
      <c r="I275" t="inlineStr">
        <is>
          <t>Undisclosed</t>
        </is>
      </c>
      <c r="J275" t="inlineStr">
        <is>
          <t>Inflection Point Ventures</t>
        </is>
      </c>
      <c r="K275" t="inlineStr">
        <is>
          <t>https://inc42.com/buzz/from-cashfree-payments-to-shadowfax-indian-startups-raised-125-mn-this-week/</t>
        </is>
      </c>
    </row>
    <row r="276">
      <c r="A276" t="inlineStr">
        <is>
          <t>ENT-8695456</t>
        </is>
      </c>
      <c r="B276" t="inlineStr">
        <is>
          <t>R250206-nua</t>
        </is>
      </c>
      <c r="C276" t="inlineStr">
        <is>
          <t>Entrackr</t>
        </is>
      </c>
      <c r="D276" s="17" t="n">
        <v>45694</v>
      </c>
      <c r="E276" t="inlineStr">
        <is>
          <t>Nua</t>
        </is>
      </c>
      <c r="F276" t="inlineStr">
        <is>
          <t>Rs 35 crore</t>
        </is>
      </c>
      <c r="G276" s="19" t="n">
        <v>35</v>
      </c>
      <c r="H276" s="19" t="n"/>
      <c r="I276" t="inlineStr">
        <is>
          <t>Pre-Series C</t>
        </is>
      </c>
      <c r="J276" t="inlineStr">
        <is>
          <t>Mirabilis Investment Trust</t>
        </is>
      </c>
      <c r="K276" t="inlineStr">
        <is>
          <t>https://entrackr.com/snippets/deepika-padukone-backed-wellness-brand-nua-raises-rs-35-cr-8695456</t>
        </is>
      </c>
    </row>
    <row r="277">
      <c r="A277" t="inlineStr">
        <is>
          <t>ET-117969699</t>
        </is>
      </c>
      <c r="B277" t="inlineStr">
        <is>
          <t>R250206-nua</t>
        </is>
      </c>
      <c r="C277" t="inlineStr">
        <is>
          <t>The Economic Times</t>
        </is>
      </c>
      <c r="D277" s="17" t="n">
        <v>45694</v>
      </c>
      <c r="E277" t="inlineStr">
        <is>
          <t>Nua</t>
        </is>
      </c>
      <c r="F277" t="inlineStr">
        <is>
          <t>Rs 35 crore</t>
        </is>
      </c>
      <c r="G277" s="19" t="n">
        <v>35</v>
      </c>
      <c r="H277" s="19" t="n"/>
      <c r="I277" t="inlineStr">
        <is>
          <t>Undisclosed</t>
        </is>
      </c>
      <c r="J277" t="inlineStr">
        <is>
          <t>Mirabilis Investment Trust</t>
        </is>
      </c>
      <c r="K277" t="inlineStr">
        <is>
          <t>https://economictimes.indiatimes.com/tech/funding/deepika-padukone-backed-wellness-brand-nua-raises-rs-150-crore/articleshow/117969699.cms</t>
        </is>
      </c>
    </row>
    <row r="278">
      <c r="A278" t="inlineStr">
        <is>
          <t>INC-20250208-06</t>
        </is>
      </c>
      <c r="B278" t="inlineStr">
        <is>
          <t>R250206-nua</t>
        </is>
      </c>
      <c r="C278" t="inlineStr">
        <is>
          <t>Inc42</t>
        </is>
      </c>
      <c r="D278" s="17" t="n">
        <v>45694</v>
      </c>
      <c r="E278" t="inlineStr">
        <is>
          <t>Nua</t>
        </is>
      </c>
      <c r="F278" t="inlineStr">
        <is>
          <t>$3.9 Mn</t>
        </is>
      </c>
      <c r="G278" s="19" t="n"/>
      <c r="H278" s="19" t="n">
        <v>3.9</v>
      </c>
      <c r="I278" t="inlineStr">
        <is>
          <t>Pre-Series C</t>
        </is>
      </c>
      <c r="J278" t="inlineStr">
        <is>
          <t>Mirabilis Investment Trust</t>
        </is>
      </c>
      <c r="K278" t="inlineStr">
        <is>
          <t>https://inc42.com/buzz/from-cashfree-payments-to-shadowfax-indian-startups-raised-125-mn-this-week/</t>
        </is>
      </c>
    </row>
    <row r="279">
      <c r="A279" t="inlineStr">
        <is>
          <t>ENT-8695102</t>
        </is>
      </c>
      <c r="B279" t="inlineStr">
        <is>
          <t>R250206-playsuper</t>
        </is>
      </c>
      <c r="C279" t="inlineStr">
        <is>
          <t>Entrackr</t>
        </is>
      </c>
      <c r="D279" s="17" t="n">
        <v>45694</v>
      </c>
      <c r="E279" t="inlineStr">
        <is>
          <t>PlaySuper</t>
        </is>
      </c>
      <c r="F279" t="inlineStr">
        <is>
          <t>$500K</t>
        </is>
      </c>
      <c r="G279" s="19" t="n"/>
      <c r="H279" s="19" t="n">
        <v>0.5</v>
      </c>
      <c r="I279" t="inlineStr">
        <is>
          <t>Seed</t>
        </is>
      </c>
      <c r="J279" t="inlineStr">
        <is>
          <t>IAN Angel Fund; 100X.VC</t>
        </is>
      </c>
      <c r="K279" t="inlineStr">
        <is>
          <t>https://entrackr.com/snippets/playsuper-raises-500k-in-seed-round-led-by-ian-group-and-100xvc-8695102</t>
        </is>
      </c>
    </row>
    <row r="280">
      <c r="A280" t="inlineStr">
        <is>
          <t>INC-20250208-13</t>
        </is>
      </c>
      <c r="B280" t="inlineStr">
        <is>
          <t>R250206-playsuper</t>
        </is>
      </c>
      <c r="C280" t="inlineStr">
        <is>
          <t>Inc42</t>
        </is>
      </c>
      <c r="D280" s="17" t="n">
        <v>45694</v>
      </c>
      <c r="E280" t="inlineStr">
        <is>
          <t>PlaySuper</t>
        </is>
      </c>
      <c r="F280" t="inlineStr">
        <is>
          <t>$500K</t>
        </is>
      </c>
      <c r="G280" s="19" t="n"/>
      <c r="H280" s="19" t="n">
        <v>0.5</v>
      </c>
      <c r="I280" t="inlineStr">
        <is>
          <t>Seed</t>
        </is>
      </c>
      <c r="J280" t="inlineStr">
        <is>
          <t>IAN Group; 100X.VC</t>
        </is>
      </c>
      <c r="K280" t="inlineStr">
        <is>
          <t>https://inc42.com/buzz/from-cashfree-payments-to-shadowfax-indian-startups-raised-125-mn-this-week/</t>
        </is>
      </c>
    </row>
    <row r="281">
      <c r="A281" t="inlineStr">
        <is>
          <t>ENT-8697254</t>
        </is>
      </c>
      <c r="B281" t="inlineStr">
        <is>
          <t>R250206-truefoundry</t>
        </is>
      </c>
      <c r="C281" t="inlineStr">
        <is>
          <t>Entrackr</t>
        </is>
      </c>
      <c r="D281" s="17" t="n">
        <v>45694</v>
      </c>
      <c r="E281" t="inlineStr">
        <is>
          <t>TrueFoundry</t>
        </is>
      </c>
      <c r="F281" t="inlineStr">
        <is>
          <t>$19 million</t>
        </is>
      </c>
      <c r="G281" s="19" t="n"/>
      <c r="H281" s="19" t="n">
        <v>19</v>
      </c>
      <c r="I281" t="inlineStr">
        <is>
          <t>Series A</t>
        </is>
      </c>
      <c r="J281" t="inlineStr">
        <is>
          <t>Intel Capital</t>
        </is>
      </c>
      <c r="K281" t="inlineStr">
        <is>
          <t>https://entrackr.com/news/peak-xv-backed-truefoundry-secures-19-mn-in-series-a-funding-8697254</t>
        </is>
      </c>
    </row>
    <row r="282">
      <c r="A282" t="inlineStr">
        <is>
          <t>INC-20250208-03</t>
        </is>
      </c>
      <c r="B282" t="inlineStr">
        <is>
          <t>R250206-truefoundry</t>
        </is>
      </c>
      <c r="C282" t="inlineStr">
        <is>
          <t>Inc42</t>
        </is>
      </c>
      <c r="D282" s="17" t="n">
        <v>45694</v>
      </c>
      <c r="E282" t="inlineStr">
        <is>
          <t>TrueFondry</t>
        </is>
      </c>
      <c r="F282" t="inlineStr">
        <is>
          <t>$19 Mn</t>
        </is>
      </c>
      <c r="G282" s="19" t="n"/>
      <c r="H282" s="19" t="n">
        <v>19</v>
      </c>
      <c r="I282" t="inlineStr">
        <is>
          <t>Series A</t>
        </is>
      </c>
      <c r="J282" t="inlineStr">
        <is>
          <t>Intel Capital</t>
        </is>
      </c>
      <c r="K282" t="inlineStr">
        <is>
          <t>https://inc42.com/buzz/from-cashfree-payments-to-shadowfax-indian-startups-raised-125-mn-this-week/</t>
        </is>
      </c>
    </row>
    <row r="283">
      <c r="A283" t="inlineStr">
        <is>
          <t>INC-20250208-16</t>
        </is>
      </c>
      <c r="B283" t="inlineStr">
        <is>
          <t>R250207-bobabhai</t>
        </is>
      </c>
      <c r="C283" t="inlineStr">
        <is>
          <t>Inc42</t>
        </is>
      </c>
      <c r="D283" s="17" t="n">
        <v>45695</v>
      </c>
      <c r="E283" t="inlineStr">
        <is>
          <t>Boba Bhai</t>
        </is>
      </c>
      <c r="F283" t="inlineStr">
        <is>
          <t>$103K</t>
        </is>
      </c>
      <c r="G283" s="19" t="n"/>
      <c r="H283" s="19" t="n">
        <v>0.103</v>
      </c>
      <c r="I283" t="inlineStr">
        <is>
          <t>Undisclosed</t>
        </is>
      </c>
      <c r="J283" t="inlineStr"/>
      <c r="K283" t="inlineStr">
        <is>
          <t>https://inc42.com/buzz/from-cashfree-payments-to-shadowfax-indian-startups-raised-125-mn-this-week/</t>
        </is>
      </c>
    </row>
    <row r="284">
      <c r="A284" t="inlineStr">
        <is>
          <t>ENT-8698887</t>
        </is>
      </c>
      <c r="B284" t="inlineStr">
        <is>
          <t>R250207-legup</t>
        </is>
      </c>
      <c r="C284" t="inlineStr">
        <is>
          <t>Entrackr</t>
        </is>
      </c>
      <c r="D284" s="17" t="n">
        <v>45695</v>
      </c>
      <c r="E284" t="inlineStr">
        <is>
          <t>LegUp</t>
        </is>
      </c>
      <c r="F284" t="inlineStr">
        <is>
          <t>Rs 2 crore</t>
        </is>
      </c>
      <c r="G284" s="19" t="n">
        <v>2</v>
      </c>
      <c r="H284" s="19" t="n">
        <v>0.25</v>
      </c>
      <c r="I284" t="inlineStr">
        <is>
          <t>Pre-Seed</t>
        </is>
      </c>
      <c r="J284" t="inlineStr"/>
      <c r="K284" t="inlineStr">
        <is>
          <t>https://entrackr.com/snippets/caregiving-tech-startup-legup-raises-rs-2-cr-pre-seed-funding-8698887</t>
        </is>
      </c>
    </row>
    <row r="285">
      <c r="A285" t="inlineStr">
        <is>
          <t>INC-20250208-15</t>
        </is>
      </c>
      <c r="B285" t="inlineStr">
        <is>
          <t>R250207-legup</t>
        </is>
      </c>
      <c r="C285" t="inlineStr">
        <is>
          <t>Inc42</t>
        </is>
      </c>
      <c r="D285" s="17" t="n">
        <v>45695</v>
      </c>
      <c r="E285" t="inlineStr">
        <is>
          <t>LegUp</t>
        </is>
      </c>
      <c r="F285" t="inlineStr">
        <is>
          <t>$229K</t>
        </is>
      </c>
      <c r="G285" s="19" t="n"/>
      <c r="H285" s="19" t="n">
        <v>0.229</v>
      </c>
      <c r="I285" t="inlineStr">
        <is>
          <t>Pre-Seed</t>
        </is>
      </c>
      <c r="J285" t="inlineStr">
        <is>
          <t>Bluebridge Capital</t>
        </is>
      </c>
      <c r="K285" t="inlineStr">
        <is>
          <t>https://inc42.com/buzz/from-cashfree-payments-to-shadowfax-indian-startups-raised-125-mn-this-week/</t>
        </is>
      </c>
    </row>
    <row r="286">
      <c r="A286" t="inlineStr">
        <is>
          <t>ENT-8698681</t>
        </is>
      </c>
      <c r="B286" t="inlineStr">
        <is>
          <t>R250207-nbfcauxilo</t>
        </is>
      </c>
      <c r="C286" t="inlineStr">
        <is>
          <t>Entrackr</t>
        </is>
      </c>
      <c r="D286" s="17" t="n">
        <v>45695</v>
      </c>
      <c r="E286" t="inlineStr">
        <is>
          <t>NBFC Auxilo</t>
        </is>
      </c>
      <c r="F286" t="inlineStr">
        <is>
          <t>Rs 50 crore</t>
        </is>
      </c>
      <c r="G286" s="19" t="n">
        <v>50</v>
      </c>
      <c r="H286" s="19" t="n"/>
      <c r="I286" t="inlineStr">
        <is>
          <t>Debt</t>
        </is>
      </c>
      <c r="J286" t="inlineStr"/>
      <c r="K286" t="inlineStr">
        <is>
          <t>https://entrackr.com/exclusive/exclusive-motilal-oswal-invests-in-edtech-focused-nbfc-auxilo-8698681</t>
        </is>
      </c>
    </row>
    <row r="287">
      <c r="A287" t="inlineStr">
        <is>
          <t>INC-20250208-20</t>
        </is>
      </c>
      <c r="B287" t="inlineStr">
        <is>
          <t>R250207-vahanai</t>
        </is>
      </c>
      <c r="C287" t="inlineStr">
        <is>
          <t>Inc42</t>
        </is>
      </c>
      <c r="D287" s="17" t="n">
        <v>45695</v>
      </c>
      <c r="E287" t="inlineStr">
        <is>
          <t>Vahan.ai</t>
        </is>
      </c>
      <c r="F287" t="inlineStr"/>
      <c r="G287" s="19" t="n"/>
      <c r="H287" s="19" t="n"/>
      <c r="I287" t="inlineStr">
        <is>
          <t>Undisclosed</t>
        </is>
      </c>
      <c r="J287" t="inlineStr">
        <is>
          <t>PERSOL Group</t>
        </is>
      </c>
      <c r="K287" t="inlineStr">
        <is>
          <t>https://inc42.com/buzz/from-cashfree-payments-to-shadowfax-indian-startups-raised-125-mn-this-week/</t>
        </is>
      </c>
    </row>
    <row r="288">
      <c r="A288" t="inlineStr">
        <is>
          <t>INC-20250215-12</t>
        </is>
      </c>
      <c r="B288" t="inlineStr">
        <is>
          <t>R250208-cremeitalia</t>
        </is>
      </c>
      <c r="C288" t="inlineStr">
        <is>
          <t>Inc42</t>
        </is>
      </c>
      <c r="D288" s="17" t="n">
        <v>45696</v>
      </c>
      <c r="E288" t="inlineStr">
        <is>
          <t>Cremeitalia</t>
        </is>
      </c>
      <c r="F288" t="inlineStr">
        <is>
          <t>$2.1 Mn</t>
        </is>
      </c>
      <c r="G288" s="19" t="n"/>
      <c r="H288" s="19" t="n">
        <v>2.1</v>
      </c>
      <c r="I288" t="inlineStr">
        <is>
          <t>Series A</t>
        </is>
      </c>
      <c r="J288" t="inlineStr">
        <is>
          <t>Amit Jatia Family Office</t>
        </is>
      </c>
      <c r="K288" t="inlineStr">
        <is>
          <t>https://inc42.com/buzz/from-tonetag-to-borderplus-indian-startups-raised-270-mn-this-week/</t>
        </is>
      </c>
    </row>
    <row r="289">
      <c r="A289" t="inlineStr">
        <is>
          <t>ENT-8702252</t>
        </is>
      </c>
      <c r="B289" t="inlineStr">
        <is>
          <t>R250208-eduvanz</t>
        </is>
      </c>
      <c r="C289" t="inlineStr">
        <is>
          <t>Entrackr</t>
        </is>
      </c>
      <c r="D289" s="17" t="n">
        <v>45696</v>
      </c>
      <c r="E289" t="inlineStr">
        <is>
          <t>Eduvanz</t>
        </is>
      </c>
      <c r="F289" t="inlineStr">
        <is>
          <t>Rs 25.52 crore</t>
        </is>
      </c>
      <c r="G289" s="19" t="n">
        <v>25.52</v>
      </c>
      <c r="H289" s="19" t="n"/>
      <c r="I289" t="inlineStr">
        <is>
          <t>Bridge</t>
        </is>
      </c>
      <c r="J289" t="inlineStr">
        <is>
          <t>Juvo Ventures; Capria Fund</t>
        </is>
      </c>
      <c r="K289" t="inlineStr">
        <is>
          <t>https://entrackr.com/exclusive/exclusive-eduvanz-secures-bridge-round-at-35-lower-valuation-8702252</t>
        </is>
      </c>
    </row>
    <row r="290">
      <c r="A290" t="inlineStr">
        <is>
          <t>INC-20250215-10</t>
        </is>
      </c>
      <c r="B290" t="inlineStr">
        <is>
          <t>R250208-eduvanz</t>
        </is>
      </c>
      <c r="C290" t="inlineStr">
        <is>
          <t>Inc42</t>
        </is>
      </c>
      <c r="D290" s="17" t="n">
        <v>45696</v>
      </c>
      <c r="E290" t="inlineStr">
        <is>
          <t>Eduvanz</t>
        </is>
      </c>
      <c r="F290" t="inlineStr">
        <is>
          <t>$2.9 Mn</t>
        </is>
      </c>
      <c r="G290" s="19" t="n"/>
      <c r="H290" s="19" t="n">
        <v>2.9</v>
      </c>
      <c r="I290" t="inlineStr">
        <is>
          <t>Undisclosed</t>
        </is>
      </c>
      <c r="J290" t="inlineStr">
        <is>
          <t>Juvo Ventures; Capria Fund</t>
        </is>
      </c>
      <c r="K290" t="inlineStr">
        <is>
          <t>https://inc42.com/buzz/from-tonetag-to-borderplus-indian-startups-raised-270-mn-this-week/</t>
        </is>
      </c>
    </row>
    <row r="291">
      <c r="A291" t="inlineStr">
        <is>
          <t>VCC-c001dc2783</t>
        </is>
      </c>
      <c r="B291" t="inlineStr">
        <is>
          <t>R250208-eduvanz</t>
        </is>
      </c>
      <c r="C291" t="inlineStr">
        <is>
          <t>VCCircle</t>
        </is>
      </c>
      <c r="D291" s="17" t="n">
        <v>45698</v>
      </c>
      <c r="E291" t="inlineStr">
        <is>
          <t>eduvanz</t>
        </is>
      </c>
      <c r="F291" t="inlineStr"/>
      <c r="G291" s="19" t="n"/>
      <c r="H291" s="19" t="n"/>
      <c r="I291" t="inlineStr">
        <is>
          <t>Bridge</t>
        </is>
      </c>
      <c r="J291" t="inlineStr"/>
      <c r="K291" t="inlineStr">
        <is>
          <t>https://www.vccircle.com/peakxv-backed-eduvanz-raises-bridge-funding-round</t>
        </is>
      </c>
    </row>
    <row r="292">
      <c r="A292" t="inlineStr">
        <is>
          <t>ENT-8706328</t>
        </is>
      </c>
      <c r="B292" t="inlineStr">
        <is>
          <t>R250210-borderplus</t>
        </is>
      </c>
      <c r="C292" t="inlineStr">
        <is>
          <t>Entrackr</t>
        </is>
      </c>
      <c r="D292" s="17" t="n">
        <v>45698</v>
      </c>
      <c r="E292" t="inlineStr">
        <is>
          <t>BorderPlus</t>
        </is>
      </c>
      <c r="F292" t="inlineStr">
        <is>
          <t>Rs 60 crore</t>
        </is>
      </c>
      <c r="G292" s="19" t="n">
        <v>60</v>
      </c>
      <c r="H292" s="19" t="n">
        <v>7</v>
      </c>
      <c r="I292" t="inlineStr">
        <is>
          <t>Undisclosed</t>
        </is>
      </c>
      <c r="J292" t="inlineStr">
        <is>
          <t>Owl Ventures; Binny Bansal; Mithun Sacheti; Ritesh Agarwal; Aakash Chaudhary; Apoorva Patni</t>
        </is>
      </c>
      <c r="K292" t="inlineStr">
        <is>
          <t>https://entrackr.com/snippets/borderplus-raises-7-mn-led-by-owl-ventures-8706328</t>
        </is>
      </c>
    </row>
    <row r="293">
      <c r="A293" t="inlineStr">
        <is>
          <t>ET-118095545</t>
        </is>
      </c>
      <c r="B293" t="inlineStr">
        <is>
          <t>R250210-borderplus</t>
        </is>
      </c>
      <c r="C293" t="inlineStr">
        <is>
          <t>The Economic Times</t>
        </is>
      </c>
      <c r="D293" s="17" t="n">
        <v>45698</v>
      </c>
      <c r="E293" t="inlineStr">
        <is>
          <t>BorderPlus</t>
        </is>
      </c>
      <c r="F293" t="inlineStr">
        <is>
          <t>$7 million</t>
        </is>
      </c>
      <c r="G293" s="19" t="n"/>
      <c r="H293" s="19" t="n">
        <v>7</v>
      </c>
      <c r="I293" t="inlineStr">
        <is>
          <t>Undisclosed</t>
        </is>
      </c>
      <c r="J293" t="inlineStr">
        <is>
          <t>Owl Ventures</t>
        </is>
      </c>
      <c r="K293" t="inlineStr">
        <is>
          <t>https://economictimes.indiatimes.com/tech/funding/talent-mobility-company-borderplus-raises-7-million-from-owl-others/articleshow/118095545.cms</t>
        </is>
      </c>
    </row>
    <row r="294">
      <c r="A294" t="inlineStr">
        <is>
          <t>INC-20250215-06</t>
        </is>
      </c>
      <c r="B294" t="inlineStr">
        <is>
          <t>R250210-borderplus</t>
        </is>
      </c>
      <c r="C294" t="inlineStr">
        <is>
          <t>Inc42</t>
        </is>
      </c>
      <c r="D294" s="17" t="n">
        <v>45698</v>
      </c>
      <c r="E294" t="inlineStr">
        <is>
          <t>BorderPlus</t>
        </is>
      </c>
      <c r="F294" t="inlineStr">
        <is>
          <t>$7 Mn</t>
        </is>
      </c>
      <c r="G294" s="19" t="n"/>
      <c r="H294" s="19" t="n">
        <v>7</v>
      </c>
      <c r="I294" t="inlineStr">
        <is>
          <t>Undisclosed</t>
        </is>
      </c>
      <c r="J294" t="inlineStr">
        <is>
          <t>Owl Ventures</t>
        </is>
      </c>
      <c r="K294" t="inlineStr">
        <is>
          <t>https://inc42.com/buzz/from-tonetag-to-borderplus-indian-startups-raised-270-mn-this-week/</t>
        </is>
      </c>
    </row>
    <row r="295">
      <c r="A295" t="inlineStr">
        <is>
          <t>INC-20250215-22</t>
        </is>
      </c>
      <c r="B295" t="inlineStr">
        <is>
          <t>R250210-rubyworks</t>
        </is>
      </c>
      <c r="C295" t="inlineStr">
        <is>
          <t>Inc42</t>
        </is>
      </c>
      <c r="D295" s="17" t="n">
        <v>45698</v>
      </c>
      <c r="E295" t="inlineStr">
        <is>
          <t>Rubyworks</t>
        </is>
      </c>
      <c r="F295" t="inlineStr"/>
      <c r="G295" s="19" t="n"/>
      <c r="H295" s="19" t="n"/>
      <c r="I295" t="inlineStr">
        <is>
          <t>Pre-Series A</t>
        </is>
      </c>
      <c r="J295" t="inlineStr"/>
      <c r="K295" t="inlineStr">
        <is>
          <t>https://inc42.com/buzz/from-tonetag-to-borderplus-indian-startups-raised-270-mn-this-week/</t>
        </is>
      </c>
    </row>
    <row r="296">
      <c r="A296" t="inlineStr">
        <is>
          <t>ENT-8706125</t>
        </is>
      </c>
      <c r="B296" t="inlineStr">
        <is>
          <t>R250210-rupeeflo</t>
        </is>
      </c>
      <c r="C296" t="inlineStr">
        <is>
          <t>Entrackr</t>
        </is>
      </c>
      <c r="D296" s="17" t="n">
        <v>45698</v>
      </c>
      <c r="E296" t="inlineStr">
        <is>
          <t>Rupeeflo</t>
        </is>
      </c>
      <c r="F296" t="inlineStr">
        <is>
          <t>$1 million</t>
        </is>
      </c>
      <c r="G296" s="19" t="n"/>
      <c r="H296" s="19" t="n">
        <v>1</v>
      </c>
      <c r="I296" t="inlineStr">
        <is>
          <t>Pre-Seed</t>
        </is>
      </c>
      <c r="J296" t="inlineStr">
        <is>
          <t>Piper Serica Angel Fund</t>
        </is>
      </c>
      <c r="K296" t="inlineStr">
        <is>
          <t>https://entrackr.com/snippets/rupeeflo-raises-1-mn-from-piper-serica-8706125</t>
        </is>
      </c>
    </row>
    <row r="297">
      <c r="A297" t="inlineStr">
        <is>
          <t>ET-118119714</t>
        </is>
      </c>
      <c r="B297" t="inlineStr">
        <is>
          <t>R250210-rupeeflo</t>
        </is>
      </c>
      <c r="C297" t="inlineStr">
        <is>
          <t>The Economic Times</t>
        </is>
      </c>
      <c r="D297" s="17" t="n">
        <v>45698</v>
      </c>
      <c r="E297" t="inlineStr">
        <is>
          <t>Rupeeflo</t>
        </is>
      </c>
      <c r="F297" t="inlineStr">
        <is>
          <t>$1 million</t>
        </is>
      </c>
      <c r="G297" s="19" t="n"/>
      <c r="H297" s="19" t="n">
        <v>1</v>
      </c>
      <c r="I297" t="inlineStr">
        <is>
          <t>Pre-Seed</t>
        </is>
      </c>
      <c r="J297" t="inlineStr">
        <is>
          <t>Piper Serica Angel Fund</t>
        </is>
      </c>
      <c r="K297" t="inlineStr">
        <is>
          <t>https://economictimes.indiatimes.com/tech/funding/rupeeflo-raised-1-million-in-pre-seed-round-led-by-piper-serica-angel-fund/articleshow/118119714.cms</t>
        </is>
      </c>
    </row>
    <row r="298">
      <c r="A298" t="inlineStr">
        <is>
          <t>INC-20250215-18</t>
        </is>
      </c>
      <c r="B298" t="inlineStr">
        <is>
          <t>R250210-rupeeflo</t>
        </is>
      </c>
      <c r="C298" t="inlineStr">
        <is>
          <t>Inc42</t>
        </is>
      </c>
      <c r="D298" s="17" t="n">
        <v>45698</v>
      </c>
      <c r="E298" t="inlineStr">
        <is>
          <t>Rupeeflo</t>
        </is>
      </c>
      <c r="F298" t="inlineStr">
        <is>
          <t>$1 Mn</t>
        </is>
      </c>
      <c r="G298" s="19" t="n"/>
      <c r="H298" s="19" t="n">
        <v>1</v>
      </c>
      <c r="I298" t="inlineStr">
        <is>
          <t>Pre-Seed</t>
        </is>
      </c>
      <c r="J298" t="inlineStr">
        <is>
          <t>Piper Serica Angel Fund</t>
        </is>
      </c>
      <c r="K298" t="inlineStr">
        <is>
          <t>https://inc42.com/buzz/from-tonetag-to-borderplus-indian-startups-raised-270-mn-this-week/</t>
        </is>
      </c>
    </row>
    <row r="299">
      <c r="A299" t="inlineStr">
        <is>
          <t>ENT-8709845</t>
        </is>
      </c>
      <c r="B299" t="inlineStr">
        <is>
          <t>R250211-boldcare</t>
        </is>
      </c>
      <c r="C299" t="inlineStr">
        <is>
          <t>Entrackr</t>
        </is>
      </c>
      <c r="D299" s="17" t="n">
        <v>45699</v>
      </c>
      <c r="E299" t="inlineStr">
        <is>
          <t>Bold Care</t>
        </is>
      </c>
      <c r="F299" t="inlineStr">
        <is>
          <t>$5 million</t>
        </is>
      </c>
      <c r="G299" s="19" t="n"/>
      <c r="H299" s="19" t="n">
        <v>5</v>
      </c>
      <c r="I299" t="inlineStr">
        <is>
          <t>Undisclosed</t>
        </is>
      </c>
      <c r="J299" t="inlineStr">
        <is>
          <t>Rainmatter; Mithun; Siddhartha Sacheti; Dhanani family; AVT Group; NB Ventures</t>
        </is>
      </c>
      <c r="K299" t="inlineStr">
        <is>
          <t>https://entrackr.com/snippets/mens-sexual-health-brand-bold-care-raises-5-mn-8709845</t>
        </is>
      </c>
    </row>
    <row r="300">
      <c r="A300" t="inlineStr">
        <is>
          <t>ET-118125302</t>
        </is>
      </c>
      <c r="B300" t="inlineStr">
        <is>
          <t>R250211-boldcare</t>
        </is>
      </c>
      <c r="C300" t="inlineStr">
        <is>
          <t>The Economic Times</t>
        </is>
      </c>
      <c r="D300" s="17" t="n">
        <v>45699</v>
      </c>
      <c r="E300" t="inlineStr">
        <is>
          <t>Bold Care</t>
        </is>
      </c>
      <c r="F300" t="inlineStr">
        <is>
          <t>$5 million</t>
        </is>
      </c>
      <c r="G300" s="19" t="n"/>
      <c r="H300" s="19" t="n">
        <v>5</v>
      </c>
      <c r="I300" t="inlineStr">
        <is>
          <t>Undisclosed</t>
        </is>
      </c>
      <c r="J300" t="inlineStr"/>
      <c r="K300" t="inlineStr">
        <is>
          <t>https://economictimes.indiatimes.com/tech/funding/wellness-co-bold-care-raises-5-million/articleshow/118125302.cms</t>
        </is>
      </c>
    </row>
    <row r="301">
      <c r="A301" t="inlineStr">
        <is>
          <t>INC-20250215-08</t>
        </is>
      </c>
      <c r="B301" t="inlineStr">
        <is>
          <t>R250211-boldcare</t>
        </is>
      </c>
      <c r="C301" t="inlineStr">
        <is>
          <t>Inc42</t>
        </is>
      </c>
      <c r="D301" s="17" t="n">
        <v>45699</v>
      </c>
      <c r="E301" t="inlineStr">
        <is>
          <t>Bold Care</t>
        </is>
      </c>
      <c r="F301" t="inlineStr">
        <is>
          <t>$5 Mn</t>
        </is>
      </c>
      <c r="G301" s="19" t="n"/>
      <c r="H301" s="19" t="n">
        <v>5</v>
      </c>
      <c r="I301" t="inlineStr">
        <is>
          <t>Series A</t>
        </is>
      </c>
      <c r="J301" t="inlineStr">
        <is>
          <t>Rainmatter</t>
        </is>
      </c>
      <c r="K301" t="inlineStr">
        <is>
          <t>https://inc42.com/buzz/from-tonetag-to-borderplus-indian-startups-raised-270-mn-this-week/</t>
        </is>
      </c>
    </row>
    <row r="302">
      <c r="A302" t="inlineStr">
        <is>
          <t>ENT-8710613</t>
        </is>
      </c>
      <c r="B302" t="inlineStr">
        <is>
          <t>R250211-croftbeverages</t>
        </is>
      </c>
      <c r="C302" t="inlineStr">
        <is>
          <t>Entrackr</t>
        </is>
      </c>
      <c r="D302" s="17" t="n">
        <v>45699</v>
      </c>
      <c r="E302" t="inlineStr">
        <is>
          <t>Croft Beverages</t>
        </is>
      </c>
      <c r="F302" t="inlineStr">
        <is>
          <t>$125K</t>
        </is>
      </c>
      <c r="G302" s="19" t="n"/>
      <c r="H302" s="19" t="n">
        <v>0.125</v>
      </c>
      <c r="I302" t="inlineStr">
        <is>
          <t>Pre-Seed</t>
        </is>
      </c>
      <c r="J302" t="inlineStr">
        <is>
          <t>IT</t>
        </is>
      </c>
      <c r="K302" t="inlineStr">
        <is>
          <t>https://entrackr.com/snippets/croft-beverages-raises-pre-seed-funding-round-8710613</t>
        </is>
      </c>
    </row>
    <row r="303">
      <c r="A303" t="inlineStr">
        <is>
          <t>INC-20250215-19</t>
        </is>
      </c>
      <c r="B303" t="inlineStr">
        <is>
          <t>R250211-thehonesthomec</t>
        </is>
      </c>
      <c r="C303" t="inlineStr">
        <is>
          <t>Inc42</t>
        </is>
      </c>
      <c r="D303" s="17" t="n">
        <v>45699</v>
      </c>
      <c r="E303" t="inlineStr">
        <is>
          <t>The Honest Home Company</t>
        </is>
      </c>
      <c r="F303" t="inlineStr">
        <is>
          <t>$800K</t>
        </is>
      </c>
      <c r="G303" s="19" t="n"/>
      <c r="H303" s="19" t="n">
        <v>0.8</v>
      </c>
      <c r="I303" t="inlineStr">
        <is>
          <t>Pre-Series A</t>
        </is>
      </c>
      <c r="J303" t="inlineStr">
        <is>
          <t>OG Capital; Gaurav Verma</t>
        </is>
      </c>
      <c r="K303" t="inlineStr">
        <is>
          <t>https://inc42.com/buzz/from-tonetag-to-borderplus-indian-startups-raised-270-mn-this-week/</t>
        </is>
      </c>
    </row>
    <row r="304">
      <c r="A304" t="inlineStr">
        <is>
          <t>ENT-8709604</t>
        </is>
      </c>
      <c r="B304" t="inlineStr">
        <is>
          <t>R250211-tonetag</t>
        </is>
      </c>
      <c r="C304" t="inlineStr">
        <is>
          <t>Entrackr</t>
        </is>
      </c>
      <c r="D304" s="17" t="n">
        <v>45699</v>
      </c>
      <c r="E304" t="inlineStr">
        <is>
          <t>ToneTag</t>
        </is>
      </c>
      <c r="F304" t="inlineStr">
        <is>
          <t>$78 million</t>
        </is>
      </c>
      <c r="G304" s="19" t="n"/>
      <c r="H304" s="19" t="n">
        <v>78</v>
      </c>
      <c r="I304" t="inlineStr">
        <is>
          <t>Series B</t>
        </is>
      </c>
      <c r="J304" t="inlineStr">
        <is>
          <t>ValueQuest S.C.A.L.E. Fund</t>
        </is>
      </c>
      <c r="K304" t="inlineStr">
        <is>
          <t>https://entrackr.com/news/amazon-backed-tonetag-secures-78-mn-after-7-year-hiatus-8709604</t>
        </is>
      </c>
    </row>
    <row r="305">
      <c r="A305" t="inlineStr">
        <is>
          <t>ET-118121993</t>
        </is>
      </c>
      <c r="B305" t="inlineStr">
        <is>
          <t>R250211-tonetag</t>
        </is>
      </c>
      <c r="C305" t="inlineStr">
        <is>
          <t>The Economic Times</t>
        </is>
      </c>
      <c r="D305" s="17" t="n">
        <v>45699</v>
      </c>
      <c r="E305" t="inlineStr">
        <is>
          <t>ToneTag</t>
        </is>
      </c>
      <c r="F305" t="inlineStr">
        <is>
          <t>$78 million</t>
        </is>
      </c>
      <c r="G305" s="19" t="n"/>
      <c r="H305" s="19" t="n">
        <v>78</v>
      </c>
      <c r="I305" t="inlineStr">
        <is>
          <t>Undisclosed</t>
        </is>
      </c>
      <c r="J305" t="inlineStr"/>
      <c r="K305" t="inlineStr">
        <is>
          <t>https://economictimes.indiatimes.com/tech/funding/tonetag-secures-78-million-in-mix-of-primary-secondary-capital/articleshow/118121993.cms</t>
        </is>
      </c>
    </row>
    <row r="306">
      <c r="A306" t="inlineStr">
        <is>
          <t>INC-20250215-01</t>
        </is>
      </c>
      <c r="B306" t="inlineStr">
        <is>
          <t>R250211-tonetag</t>
        </is>
      </c>
      <c r="C306" t="inlineStr">
        <is>
          <t>Inc42</t>
        </is>
      </c>
      <c r="D306" s="17" t="n">
        <v>45699</v>
      </c>
      <c r="E306" t="inlineStr">
        <is>
          <t>ToneTag</t>
        </is>
      </c>
      <c r="F306" t="inlineStr">
        <is>
          <t>$77.5 Mn</t>
        </is>
      </c>
      <c r="G306" s="19" t="n"/>
      <c r="H306" s="19" t="n">
        <v>77.5</v>
      </c>
      <c r="I306" t="inlineStr">
        <is>
          <t>Series B</t>
        </is>
      </c>
      <c r="J306" t="inlineStr">
        <is>
          <t>ValueQuest Scale Fund; Iron Pillar</t>
        </is>
      </c>
      <c r="K306" t="inlineStr">
        <is>
          <t>https://inc42.com/buzz/from-tonetag-to-borderplus-indian-startups-raised-270-mn-this-week/</t>
        </is>
      </c>
    </row>
    <row r="307">
      <c r="A307" t="inlineStr">
        <is>
          <t>ENT-8709303</t>
        </is>
      </c>
      <c r="B307" t="inlineStr">
        <is>
          <t>R250211-zeta</t>
        </is>
      </c>
      <c r="C307" t="inlineStr">
        <is>
          <t>Entrackr</t>
        </is>
      </c>
      <c r="D307" s="17" t="n">
        <v>45699</v>
      </c>
      <c r="E307" t="inlineStr">
        <is>
          <t>Zeta</t>
        </is>
      </c>
      <c r="F307" t="inlineStr">
        <is>
          <t>$50 million</t>
        </is>
      </c>
      <c r="G307" s="19" t="n"/>
      <c r="H307" s="19" t="n">
        <v>50</v>
      </c>
      <c r="I307" t="inlineStr">
        <is>
          <t>Undisclosed</t>
        </is>
      </c>
      <c r="J307" t="inlineStr"/>
      <c r="K307" t="inlineStr">
        <is>
          <t>https://entrackr.com/news/zeta-raises-50-mn-at-2-bn-valuation-8709303</t>
        </is>
      </c>
    </row>
    <row r="308">
      <c r="A308" t="inlineStr">
        <is>
          <t>ET-118125444</t>
        </is>
      </c>
      <c r="B308" t="inlineStr">
        <is>
          <t>R250211-zeta</t>
        </is>
      </c>
      <c r="C308" t="inlineStr">
        <is>
          <t>The Economic Times</t>
        </is>
      </c>
      <c r="D308" s="17" t="n">
        <v>45699</v>
      </c>
      <c r="E308" t="inlineStr">
        <is>
          <t>Zeta</t>
        </is>
      </c>
      <c r="F308" t="inlineStr">
        <is>
          <t>$50 million</t>
        </is>
      </c>
      <c r="G308" s="19" t="n"/>
      <c r="H308" s="19" t="n">
        <v>50</v>
      </c>
      <c r="I308" t="inlineStr">
        <is>
          <t>Undisclosed</t>
        </is>
      </c>
      <c r="J308" t="inlineStr"/>
      <c r="K308" t="inlineStr">
        <is>
          <t>https://economictimes.indiatimes.com/tech/funding/zeta-secures-50-million-in-fresh-funding-from-us-based-optum/articleshow/118125444.cms</t>
        </is>
      </c>
    </row>
    <row r="309">
      <c r="A309" t="inlineStr">
        <is>
          <t>INC-20250215-03</t>
        </is>
      </c>
      <c r="B309" t="inlineStr">
        <is>
          <t>R250211-zeta</t>
        </is>
      </c>
      <c r="C309" t="inlineStr">
        <is>
          <t>Inc42</t>
        </is>
      </c>
      <c r="D309" s="17" t="n">
        <v>45699</v>
      </c>
      <c r="E309" t="inlineStr">
        <is>
          <t>Zeta</t>
        </is>
      </c>
      <c r="F309" t="inlineStr">
        <is>
          <t>$50 Mn</t>
        </is>
      </c>
      <c r="G309" s="19" t="n"/>
      <c r="H309" s="19" t="n">
        <v>50</v>
      </c>
      <c r="I309" t="inlineStr">
        <is>
          <t>Undisclosed</t>
        </is>
      </c>
      <c r="J309" t="inlineStr">
        <is>
          <t>Optum</t>
        </is>
      </c>
      <c r="K309" t="inlineStr">
        <is>
          <t>https://inc42.com/buzz/from-tonetag-to-borderplus-indian-startups-raised-270-mn-this-week/</t>
        </is>
      </c>
    </row>
    <row r="310">
      <c r="A310" t="inlineStr">
        <is>
          <t>ENT-8713124</t>
        </is>
      </c>
      <c r="B310" t="inlineStr">
        <is>
          <t>R250212-arthalpha</t>
        </is>
      </c>
      <c r="C310" t="inlineStr">
        <is>
          <t>Entrackr</t>
        </is>
      </c>
      <c r="D310" s="17" t="n">
        <v>45700</v>
      </c>
      <c r="E310" t="inlineStr">
        <is>
          <t>ArthAlpha</t>
        </is>
      </c>
      <c r="F310" t="inlineStr">
        <is>
          <t>$2 million</t>
        </is>
      </c>
      <c r="G310" s="19" t="n"/>
      <c r="H310" s="19" t="n">
        <v>2</v>
      </c>
      <c r="I310" t="inlineStr">
        <is>
          <t>Seed</t>
        </is>
      </c>
      <c r="J310" t="inlineStr">
        <is>
          <t>DSP</t>
        </is>
      </c>
      <c r="K310" t="inlineStr">
        <is>
          <t>https://entrackr.com/snippets/dsp-leads-2-mn-seed-round-in-arthalpha-8713124</t>
        </is>
      </c>
    </row>
    <row r="311">
      <c r="A311" t="inlineStr">
        <is>
          <t>INC-20250215-14</t>
        </is>
      </c>
      <c r="B311" t="inlineStr">
        <is>
          <t>R250212-arthalpha</t>
        </is>
      </c>
      <c r="C311" t="inlineStr">
        <is>
          <t>Inc42</t>
        </is>
      </c>
      <c r="D311" s="17" t="n">
        <v>45700</v>
      </c>
      <c r="E311" t="inlineStr">
        <is>
          <t>ArthAlpha</t>
        </is>
      </c>
      <c r="F311" t="inlineStr">
        <is>
          <t>$2 Mn</t>
        </is>
      </c>
      <c r="G311" s="19" t="n"/>
      <c r="H311" s="19" t="n">
        <v>2</v>
      </c>
      <c r="I311" t="inlineStr">
        <is>
          <t>Undisclosed</t>
        </is>
      </c>
      <c r="J311" t="inlineStr">
        <is>
          <t>DSP</t>
        </is>
      </c>
      <c r="K311" t="inlineStr">
        <is>
          <t>https://inc42.com/buzz/from-tonetag-to-borderplus-indian-startups-raised-270-mn-this-week/</t>
        </is>
      </c>
    </row>
    <row r="312">
      <c r="A312" t="inlineStr">
        <is>
          <t>ENT-8712841</t>
        </is>
      </c>
      <c r="B312" t="inlineStr">
        <is>
          <t>R250212-capgridsolutio</t>
        </is>
      </c>
      <c r="C312" t="inlineStr">
        <is>
          <t>Entrackr</t>
        </is>
      </c>
      <c r="D312" s="17" t="n">
        <v>45700</v>
      </c>
      <c r="E312" t="inlineStr">
        <is>
          <t>CapGrid Solutions</t>
        </is>
      </c>
      <c r="F312" t="inlineStr">
        <is>
          <t>$5 million</t>
        </is>
      </c>
      <c r="G312" s="19" t="n">
        <v>45</v>
      </c>
      <c r="H312" s="19" t="n">
        <v>5</v>
      </c>
      <c r="I312" t="inlineStr">
        <is>
          <t>Undisclosed</t>
        </is>
      </c>
      <c r="J312" t="inlineStr">
        <is>
          <t>Anicut Growth Fund</t>
        </is>
      </c>
      <c r="K312" t="inlineStr">
        <is>
          <t>https://entrackr.com/snippets/capgrid-solutions-raises-5-mn-led-by-anicut-capital-8712841</t>
        </is>
      </c>
    </row>
    <row r="313">
      <c r="A313" t="inlineStr">
        <is>
          <t>ET-118154163</t>
        </is>
      </c>
      <c r="B313" t="inlineStr">
        <is>
          <t>R250212-capgridsolutio</t>
        </is>
      </c>
      <c r="C313" t="inlineStr">
        <is>
          <t>The Economic Times</t>
        </is>
      </c>
      <c r="D313" s="17" t="n">
        <v>45700</v>
      </c>
      <c r="E313" t="inlineStr">
        <is>
          <t>CapGrid Solutions</t>
        </is>
      </c>
      <c r="F313" t="inlineStr">
        <is>
          <t>$5 million</t>
        </is>
      </c>
      <c r="G313" s="19" t="n">
        <v>45</v>
      </c>
      <c r="H313" s="19" t="n">
        <v>5</v>
      </c>
      <c r="I313" t="inlineStr">
        <is>
          <t>Undisclosed</t>
        </is>
      </c>
      <c r="J313" t="inlineStr">
        <is>
          <t>Anicut Growth Fund; Dheeraj Tiwari told ET.The round</t>
        </is>
      </c>
      <c r="K313" t="inlineStr">
        <is>
          <t>https://economictimes.indiatimes.com/tech/funding/b2b-manufacturing-startup-capgrid-solutions-bags-5-million-in-new-round/articleshow/118154163.cms</t>
        </is>
      </c>
    </row>
    <row r="314">
      <c r="A314" t="inlineStr">
        <is>
          <t>INC-20250215-07</t>
        </is>
      </c>
      <c r="B314" t="inlineStr">
        <is>
          <t>R250212-capgridsolutio</t>
        </is>
      </c>
      <c r="C314" t="inlineStr">
        <is>
          <t>Inc42</t>
        </is>
      </c>
      <c r="D314" s="17" t="n">
        <v>45700</v>
      </c>
      <c r="E314" t="inlineStr">
        <is>
          <t>CapGrid Solutions</t>
        </is>
      </c>
      <c r="F314" t="inlineStr">
        <is>
          <t>$5 Mn</t>
        </is>
      </c>
      <c r="G314" s="19" t="n"/>
      <c r="H314" s="19" t="n">
        <v>5</v>
      </c>
      <c r="I314" t="inlineStr">
        <is>
          <t>Series A</t>
        </is>
      </c>
      <c r="J314" t="inlineStr">
        <is>
          <t>Anicut Growth Fund</t>
        </is>
      </c>
      <c r="K314" t="inlineStr">
        <is>
          <t>https://inc42.com/buzz/from-tonetag-to-borderplus-indian-startups-raised-270-mn-this-week/</t>
        </is>
      </c>
    </row>
    <row r="315">
      <c r="A315" t="inlineStr">
        <is>
          <t>ENT-8713152</t>
        </is>
      </c>
      <c r="B315" t="inlineStr">
        <is>
          <t>R250212-gorally</t>
        </is>
      </c>
      <c r="C315" t="inlineStr">
        <is>
          <t>Entrackr</t>
        </is>
      </c>
      <c r="D315" s="17" t="n">
        <v>45700</v>
      </c>
      <c r="E315" t="inlineStr">
        <is>
          <t>GoRally</t>
        </is>
      </c>
      <c r="F315" t="inlineStr">
        <is>
          <t>Rs 6.6 crore</t>
        </is>
      </c>
      <c r="G315" s="19" t="n">
        <v>6.6</v>
      </c>
      <c r="H315" s="19" t="n">
        <v>0.75</v>
      </c>
      <c r="I315" t="inlineStr">
        <is>
          <t>Pre-Seed</t>
        </is>
      </c>
      <c r="J315" t="inlineStr">
        <is>
          <t>Sujeet Kumar</t>
        </is>
      </c>
      <c r="K315" t="inlineStr">
        <is>
          <t>https://entrackr.com/snippets/pickleball-chain-gorally-raises-750k-in-pre-seed-funding-8713152</t>
        </is>
      </c>
    </row>
    <row r="316">
      <c r="A316" t="inlineStr">
        <is>
          <t>INC-20250215-20</t>
        </is>
      </c>
      <c r="B316" t="inlineStr">
        <is>
          <t>R250212-gorally</t>
        </is>
      </c>
      <c r="C316" t="inlineStr">
        <is>
          <t>Inc42</t>
        </is>
      </c>
      <c r="D316" s="17" t="n">
        <v>45700</v>
      </c>
      <c r="E316" t="inlineStr">
        <is>
          <t>GoRally</t>
        </is>
      </c>
      <c r="F316" t="inlineStr">
        <is>
          <t>$750K</t>
        </is>
      </c>
      <c r="G316" s="19" t="n"/>
      <c r="H316" s="19" t="n">
        <v>0.75</v>
      </c>
      <c r="I316" t="inlineStr">
        <is>
          <t>Pre-Seed</t>
        </is>
      </c>
      <c r="J316" t="inlineStr">
        <is>
          <t>Sujeet Kumar</t>
        </is>
      </c>
      <c r="K316" t="inlineStr">
        <is>
          <t>https://inc42.com/buzz/from-tonetag-to-borderplus-indian-startups-raised-270-mn-this-week/</t>
        </is>
      </c>
    </row>
    <row r="317">
      <c r="A317" t="inlineStr">
        <is>
          <t>ENT-8714913</t>
        </is>
      </c>
      <c r="B317" t="inlineStr">
        <is>
          <t>R250212-lucidity</t>
        </is>
      </c>
      <c r="C317" t="inlineStr">
        <is>
          <t>Entrackr</t>
        </is>
      </c>
      <c r="D317" s="17" t="n">
        <v>45700</v>
      </c>
      <c r="E317" t="inlineStr">
        <is>
          <t>Lucidity</t>
        </is>
      </c>
      <c r="F317" t="inlineStr">
        <is>
          <t>$21 million</t>
        </is>
      </c>
      <c r="G317" s="19" t="n"/>
      <c r="H317" s="19" t="n">
        <v>21</v>
      </c>
      <c r="I317" t="inlineStr">
        <is>
          <t>Series A</t>
        </is>
      </c>
      <c r="J317" t="inlineStr">
        <is>
          <t>WestBridge Capital</t>
        </is>
      </c>
      <c r="K317" t="inlineStr">
        <is>
          <t>https://entrackr.com/news/lucidity-raises-21-mn-in-series-a-led-by-westbridge-8714913</t>
        </is>
      </c>
    </row>
    <row r="318">
      <c r="A318" t="inlineStr">
        <is>
          <t>ET-118184131</t>
        </is>
      </c>
      <c r="B318" t="inlineStr">
        <is>
          <t>R250212-lucidity</t>
        </is>
      </c>
      <c r="C318" t="inlineStr">
        <is>
          <t>The Economic Times</t>
        </is>
      </c>
      <c r="D318" s="17" t="n">
        <v>45700</v>
      </c>
      <c r="E318" t="inlineStr">
        <is>
          <t>Lucidity</t>
        </is>
      </c>
      <c r="F318" t="inlineStr">
        <is>
          <t>$21 million</t>
        </is>
      </c>
      <c r="G318" s="19" t="n"/>
      <c r="H318" s="19" t="n">
        <v>21</v>
      </c>
      <c r="I318" t="inlineStr">
        <is>
          <t>Series A</t>
        </is>
      </c>
      <c r="J318" t="inlineStr">
        <is>
          <t>WestBridge Capital</t>
        </is>
      </c>
      <c r="K318" t="inlineStr">
        <is>
          <t>https://economictimes.indiatimes.com/tech/funding/cloud-storage-solutions-startup-lucidity-raises-21-million-from-westbridge-capital-others/articleshow/118184131.cms</t>
        </is>
      </c>
    </row>
    <row r="319">
      <c r="A319" t="inlineStr">
        <is>
          <t>INC-20250215-05</t>
        </is>
      </c>
      <c r="B319" t="inlineStr">
        <is>
          <t>R250212-lucidity</t>
        </is>
      </c>
      <c r="C319" t="inlineStr">
        <is>
          <t>Inc42</t>
        </is>
      </c>
      <c r="D319" s="17" t="n">
        <v>45700</v>
      </c>
      <c r="E319" t="inlineStr">
        <is>
          <t>Lucidity</t>
        </is>
      </c>
      <c r="F319" t="inlineStr">
        <is>
          <t>$21 Mn</t>
        </is>
      </c>
      <c r="G319" s="19" t="n"/>
      <c r="H319" s="19" t="n">
        <v>21</v>
      </c>
      <c r="I319" t="inlineStr">
        <is>
          <t>Series A</t>
        </is>
      </c>
      <c r="J319" t="inlineStr">
        <is>
          <t>WestBridge Capital</t>
        </is>
      </c>
      <c r="K319" t="inlineStr">
        <is>
          <t>https://inc42.com/buzz/from-tonetag-to-borderplus-indian-startups-raised-270-mn-this-week/</t>
        </is>
      </c>
    </row>
    <row r="320">
      <c r="A320" t="inlineStr">
        <is>
          <t>ENT-8712976</t>
        </is>
      </c>
      <c r="B320" t="inlineStr">
        <is>
          <t>R250212-mysa</t>
        </is>
      </c>
      <c r="C320" t="inlineStr">
        <is>
          <t>Entrackr</t>
        </is>
      </c>
      <c r="D320" s="17" t="n">
        <v>45700</v>
      </c>
      <c r="E320" t="inlineStr">
        <is>
          <t>Mysa</t>
        </is>
      </c>
      <c r="F320" t="inlineStr">
        <is>
          <t>$2.8 million</t>
        </is>
      </c>
      <c r="G320" s="19" t="n"/>
      <c r="H320" s="19" t="n">
        <v>2.8</v>
      </c>
      <c r="I320" t="inlineStr">
        <is>
          <t>Seed</t>
        </is>
      </c>
      <c r="J320" t="inlineStr">
        <is>
          <t>Blume Ventures</t>
        </is>
      </c>
      <c r="K320" t="inlineStr">
        <is>
          <t>https://entrackr.com/snippets/fintech-startup-mysa-28-mn-led-by-blume-ventures-8712976</t>
        </is>
      </c>
    </row>
    <row r="321">
      <c r="A321" t="inlineStr">
        <is>
          <t>ET-118168869</t>
        </is>
      </c>
      <c r="B321" t="inlineStr">
        <is>
          <t>R250212-mysa</t>
        </is>
      </c>
      <c r="C321" t="inlineStr">
        <is>
          <t>The Economic Times</t>
        </is>
      </c>
      <c r="D321" s="17" t="n">
        <v>45700</v>
      </c>
      <c r="E321" t="inlineStr">
        <is>
          <t>Mysa</t>
        </is>
      </c>
      <c r="F321" t="inlineStr">
        <is>
          <t>$2.8 million</t>
        </is>
      </c>
      <c r="G321" s="19" t="n"/>
      <c r="H321" s="19" t="n">
        <v>2.8</v>
      </c>
      <c r="I321" t="inlineStr">
        <is>
          <t>Seed</t>
        </is>
      </c>
      <c r="J321" t="inlineStr">
        <is>
          <t>Blume Ventures</t>
        </is>
      </c>
      <c r="K321" t="inlineStr">
        <is>
          <t>https://economictimes.indiatimes.com/tech/funding/fintech-startup-mysa-raises-2-8-million-for-expansion-plan/articleshow/118168869.cms</t>
        </is>
      </c>
    </row>
    <row r="322">
      <c r="A322" t="inlineStr">
        <is>
          <t>INC-20250215-11</t>
        </is>
      </c>
      <c r="B322" t="inlineStr">
        <is>
          <t>R250212-mysa</t>
        </is>
      </c>
      <c r="C322" t="inlineStr">
        <is>
          <t>Inc42</t>
        </is>
      </c>
      <c r="D322" s="17" t="n">
        <v>45700</v>
      </c>
      <c r="E322" t="inlineStr">
        <is>
          <t>Mysa</t>
        </is>
      </c>
      <c r="F322" t="inlineStr">
        <is>
          <t>$2.8 Mn</t>
        </is>
      </c>
      <c r="G322" s="19" t="n"/>
      <c r="H322" s="19" t="n">
        <v>2.8</v>
      </c>
      <c r="I322" t="inlineStr">
        <is>
          <t>Seed</t>
        </is>
      </c>
      <c r="J322" t="inlineStr">
        <is>
          <t>Blume Ventures</t>
        </is>
      </c>
      <c r="K322" t="inlineStr">
        <is>
          <t>https://inc42.com/buzz/from-tonetag-to-borderplus-indian-startups-raised-270-mn-this-week/</t>
        </is>
      </c>
    </row>
    <row r="323">
      <c r="A323" t="inlineStr">
        <is>
          <t>ENT-8713038</t>
        </is>
      </c>
      <c r="B323" t="inlineStr">
        <is>
          <t>R250212-nivaancare</t>
        </is>
      </c>
      <c r="C323" t="inlineStr">
        <is>
          <t>Entrackr</t>
        </is>
      </c>
      <c r="D323" s="17" t="n">
        <v>45700</v>
      </c>
      <c r="E323" t="inlineStr">
        <is>
          <t>Nivaan Care</t>
        </is>
      </c>
      <c r="F323" t="inlineStr">
        <is>
          <t>$4.25 million</t>
        </is>
      </c>
      <c r="G323" s="19" t="n"/>
      <c r="H323" s="19" t="n">
        <v>4.25</v>
      </c>
      <c r="I323" t="inlineStr">
        <is>
          <t>Seed</t>
        </is>
      </c>
      <c r="J323" t="inlineStr">
        <is>
          <t>Endiya Partners</t>
        </is>
      </c>
      <c r="K323" t="inlineStr">
        <is>
          <t>https://entrackr.com/snippets/nivaan-care-raises-425-mn-led-by-endiya-partners-8713038</t>
        </is>
      </c>
    </row>
    <row r="324">
      <c r="A324" t="inlineStr">
        <is>
          <t>ET-118171634</t>
        </is>
      </c>
      <c r="B324" t="inlineStr">
        <is>
          <t>R250212-rapido</t>
        </is>
      </c>
      <c r="C324" t="inlineStr">
        <is>
          <t>The Economic Times</t>
        </is>
      </c>
      <c r="D324" s="17" t="n">
        <v>45700</v>
      </c>
      <c r="E324" t="inlineStr">
        <is>
          <t>Rapido</t>
        </is>
      </c>
      <c r="F324" t="inlineStr">
        <is>
          <t>Rs 250 crore</t>
        </is>
      </c>
      <c r="G324" s="19" t="n">
        <v>250</v>
      </c>
      <c r="H324" s="19" t="n">
        <v>30</v>
      </c>
      <c r="I324" t="inlineStr">
        <is>
          <t>Series E</t>
        </is>
      </c>
      <c r="J324" t="inlineStr">
        <is>
          <t>WestBridge Capital</t>
        </is>
      </c>
      <c r="K324" t="inlineStr">
        <is>
          <t>https://economictimes.indiatimes.com/tech/funding/bike-taxi-startup-rapido-raises-rs-250-crore-from-prosus/articleshow/118171634.cms</t>
        </is>
      </c>
    </row>
    <row r="325">
      <c r="A325" t="inlineStr">
        <is>
          <t>INC-20250215-21</t>
        </is>
      </c>
      <c r="B325" t="inlineStr">
        <is>
          <t>R250212-raptureinnovat</t>
        </is>
      </c>
      <c r="C325" t="inlineStr">
        <is>
          <t>Inc42</t>
        </is>
      </c>
      <c r="D325" s="17" t="n">
        <v>45700</v>
      </c>
      <c r="E325" t="inlineStr">
        <is>
          <t>Rapture Innovation Labs</t>
        </is>
      </c>
      <c r="F325" t="inlineStr">
        <is>
          <t>$58K</t>
        </is>
      </c>
      <c r="G325" s="19" t="n"/>
      <c r="H325" s="19" t="n">
        <v>0.058</v>
      </c>
      <c r="I325" t="inlineStr">
        <is>
          <t>Undisclosed</t>
        </is>
      </c>
      <c r="J325" t="inlineStr">
        <is>
          <t>Peyush Bansal</t>
        </is>
      </c>
      <c r="K325" t="inlineStr">
        <is>
          <t>https://inc42.com/buzz/from-tonetag-to-borderplus-indian-startups-raised-270-mn-this-week/</t>
        </is>
      </c>
    </row>
    <row r="326">
      <c r="A326" t="inlineStr">
        <is>
          <t>ENT-8712862</t>
        </is>
      </c>
      <c r="B326" t="inlineStr">
        <is>
          <t>R250212-stepout</t>
        </is>
      </c>
      <c r="C326" t="inlineStr">
        <is>
          <t>Entrackr</t>
        </is>
      </c>
      <c r="D326" s="17" t="n">
        <v>45700</v>
      </c>
      <c r="E326" t="inlineStr">
        <is>
          <t>StepOut</t>
        </is>
      </c>
      <c r="F326" t="inlineStr">
        <is>
          <t>$500,000</t>
        </is>
      </c>
      <c r="G326" s="19" t="n"/>
      <c r="H326" s="19" t="n">
        <v>0.5</v>
      </c>
      <c r="I326" t="inlineStr">
        <is>
          <t>Seed</t>
        </is>
      </c>
      <c r="J326" t="inlineStr">
        <is>
          <t>Rainmatter</t>
        </is>
      </c>
      <c r="K326" t="inlineStr">
        <is>
          <t>https://entrackr.com/snippets/sportstech-startup-stepout-raises-500k-in-seed-round-8712862</t>
        </is>
      </c>
    </row>
    <row r="327">
      <c r="A327" t="inlineStr">
        <is>
          <t>INC-20250215-09</t>
        </is>
      </c>
      <c r="B327" t="inlineStr">
        <is>
          <t>R250212-toonsutra</t>
        </is>
      </c>
      <c r="C327" t="inlineStr">
        <is>
          <t>Inc42</t>
        </is>
      </c>
      <c r="D327" s="17" t="n">
        <v>45700</v>
      </c>
      <c r="E327" t="inlineStr">
        <is>
          <t>Toonsutra</t>
        </is>
      </c>
      <c r="F327" t="inlineStr">
        <is>
          <t>$3.2 Mn</t>
        </is>
      </c>
      <c r="G327" s="19" t="n"/>
      <c r="H327" s="19" t="n">
        <v>3.2</v>
      </c>
      <c r="I327" t="inlineStr">
        <is>
          <t>Seed</t>
        </is>
      </c>
      <c r="J327" t="inlineStr">
        <is>
          <t>Holtzbrinck Publishing Group</t>
        </is>
      </c>
      <c r="K327" t="inlineStr">
        <is>
          <t>https://inc42.com/buzz/from-tonetag-to-borderplus-indian-startups-raised-270-mn-this-week/</t>
        </is>
      </c>
    </row>
    <row r="328">
      <c r="A328" t="inlineStr">
        <is>
          <t>ENT-8713649</t>
        </is>
      </c>
      <c r="B328" t="inlineStr">
        <is>
          <t>R250212-vidysea</t>
        </is>
      </c>
      <c r="C328" t="inlineStr">
        <is>
          <t>Entrackr</t>
        </is>
      </c>
      <c r="D328" s="17" t="n">
        <v>45700</v>
      </c>
      <c r="E328" t="inlineStr">
        <is>
          <t>Vidysea</t>
        </is>
      </c>
      <c r="F328" t="inlineStr">
        <is>
          <t>$1 million</t>
        </is>
      </c>
      <c r="G328" s="19" t="n"/>
      <c r="H328" s="19" t="n">
        <v>1</v>
      </c>
      <c r="I328" t="inlineStr">
        <is>
          <t>Seed</t>
        </is>
      </c>
      <c r="J328" t="inlineStr">
        <is>
          <t>Zee Learn Limited</t>
        </is>
      </c>
      <c r="K328" t="inlineStr">
        <is>
          <t>https://entrackr.com/snippets/edtech-startup-vidysea-bags-1-mn-in-seed-round-8713649</t>
        </is>
      </c>
    </row>
    <row r="329">
      <c r="A329" t="inlineStr">
        <is>
          <t>INC-20250215-17</t>
        </is>
      </c>
      <c r="B329" t="inlineStr">
        <is>
          <t>R250212-vidysea</t>
        </is>
      </c>
      <c r="C329" t="inlineStr">
        <is>
          <t>Inc42</t>
        </is>
      </c>
      <c r="D329" s="17" t="n">
        <v>45700</v>
      </c>
      <c r="E329" t="inlineStr">
        <is>
          <t>Vidysea</t>
        </is>
      </c>
      <c r="F329" t="inlineStr">
        <is>
          <t>$1 Mn</t>
        </is>
      </c>
      <c r="G329" s="19" t="n"/>
      <c r="H329" s="19" t="n">
        <v>1</v>
      </c>
      <c r="I329" t="inlineStr">
        <is>
          <t>Seed</t>
        </is>
      </c>
      <c r="J329" t="inlineStr">
        <is>
          <t>Zee Learn Limited; Aarvi Family LLP</t>
        </is>
      </c>
      <c r="K329" t="inlineStr">
        <is>
          <t>https://inc42.com/buzz/from-tonetag-to-borderplus-indian-startups-raised-270-mn-this-week/</t>
        </is>
      </c>
    </row>
    <row r="330">
      <c r="A330" t="inlineStr">
        <is>
          <t>ENT-8716245</t>
        </is>
      </c>
      <c r="B330" t="inlineStr">
        <is>
          <t>R250213-anscerrobotics</t>
        </is>
      </c>
      <c r="C330" t="inlineStr">
        <is>
          <t>Entrackr</t>
        </is>
      </c>
      <c r="D330" s="17" t="n">
        <v>45701</v>
      </c>
      <c r="E330" t="inlineStr">
        <is>
          <t>Anscer Robotics</t>
        </is>
      </c>
      <c r="F330" t="inlineStr">
        <is>
          <t>$2 million</t>
        </is>
      </c>
      <c r="G330" s="19" t="n"/>
      <c r="H330" s="19" t="n">
        <v>2</v>
      </c>
      <c r="I330" t="inlineStr">
        <is>
          <t>Seed</t>
        </is>
      </c>
      <c r="J330" t="inlineStr">
        <is>
          <t>Info Edge Ventures</t>
        </is>
      </c>
      <c r="K330" t="inlineStr">
        <is>
          <t>https://entrackr.com/snippets/anscer-robotics-raises-2-mn-in-seed-round-8716245</t>
        </is>
      </c>
    </row>
    <row r="331">
      <c r="A331" t="inlineStr">
        <is>
          <t>INC-20250215-13</t>
        </is>
      </c>
      <c r="B331" t="inlineStr">
        <is>
          <t>R250213-anscerrobotics</t>
        </is>
      </c>
      <c r="C331" t="inlineStr">
        <is>
          <t>Inc42</t>
        </is>
      </c>
      <c r="D331" s="17" t="n">
        <v>45701</v>
      </c>
      <c r="E331" t="inlineStr">
        <is>
          <t>Anscer Robotics</t>
        </is>
      </c>
      <c r="F331" t="inlineStr">
        <is>
          <t>$2 Mn</t>
        </is>
      </c>
      <c r="G331" s="19" t="n"/>
      <c r="H331" s="19" t="n">
        <v>2</v>
      </c>
      <c r="I331" t="inlineStr">
        <is>
          <t>Seed</t>
        </is>
      </c>
      <c r="J331" t="inlineStr">
        <is>
          <t>Info Edge Ventures</t>
        </is>
      </c>
      <c r="K331" t="inlineStr">
        <is>
          <t>https://inc42.com/buzz/from-tonetag-to-borderplus-indian-startups-raised-270-mn-this-week/</t>
        </is>
      </c>
    </row>
    <row r="332">
      <c r="A332" t="inlineStr">
        <is>
          <t>ENT-8715669</t>
        </is>
      </c>
      <c r="B332" t="inlineStr">
        <is>
          <t>R250213-spotdraft</t>
        </is>
      </c>
      <c r="C332" t="inlineStr">
        <is>
          <t>Entrackr</t>
        </is>
      </c>
      <c r="D332" s="17" t="n">
        <v>45701</v>
      </c>
      <c r="E332" t="inlineStr">
        <is>
          <t>SpotDraft</t>
        </is>
      </c>
      <c r="F332" t="inlineStr">
        <is>
          <t>$54 million</t>
        </is>
      </c>
      <c r="G332" s="19" t="n"/>
      <c r="H332" s="19" t="n">
        <v>54</v>
      </c>
      <c r="I332" t="inlineStr">
        <is>
          <t>Series B</t>
        </is>
      </c>
      <c r="J332" t="inlineStr">
        <is>
          <t>Vertex Growth Singapore; Trident Partners</t>
        </is>
      </c>
      <c r="K332" t="inlineStr">
        <is>
          <t>https://entrackr.com/news/spotdraft-raises-54-mn-in-series-b-round-8715669</t>
        </is>
      </c>
    </row>
    <row r="333">
      <c r="A333" t="inlineStr">
        <is>
          <t>ET-118202628</t>
        </is>
      </c>
      <c r="B333" t="inlineStr">
        <is>
          <t>R250213-spotdraft</t>
        </is>
      </c>
      <c r="C333" t="inlineStr">
        <is>
          <t>The Economic Times</t>
        </is>
      </c>
      <c r="D333" s="17" t="n">
        <v>45701</v>
      </c>
      <c r="E333" t="inlineStr">
        <is>
          <t>SpotDraft</t>
        </is>
      </c>
      <c r="F333" t="inlineStr">
        <is>
          <t>$54 million</t>
        </is>
      </c>
      <c r="G333" s="19" t="n"/>
      <c r="H333" s="19" t="n">
        <v>54</v>
      </c>
      <c r="I333" t="inlineStr">
        <is>
          <t>Series B</t>
        </is>
      </c>
      <c r="J333" t="inlineStr">
        <is>
          <t>Vertex Growth; Trident Partners</t>
        </is>
      </c>
      <c r="K333" t="inlineStr">
        <is>
          <t>https://economictimes.indiatimes.com/tech/funding/spotdraft-raises-54-million-from-vertex-growth-trident-partners-others/articleshow/118202628.cms</t>
        </is>
      </c>
    </row>
    <row r="334">
      <c r="A334" t="inlineStr">
        <is>
          <t>INC-20250215-02</t>
        </is>
      </c>
      <c r="B334" t="inlineStr">
        <is>
          <t>R250213-spotdraft</t>
        </is>
      </c>
      <c r="C334" t="inlineStr">
        <is>
          <t>Inc42</t>
        </is>
      </c>
      <c r="D334" s="17" t="n">
        <v>45701</v>
      </c>
      <c r="E334" t="inlineStr">
        <is>
          <t>SpotDraft</t>
        </is>
      </c>
      <c r="F334" t="inlineStr">
        <is>
          <t>$54 Mn</t>
        </is>
      </c>
      <c r="G334" s="19" t="n"/>
      <c r="H334" s="19" t="n">
        <v>54</v>
      </c>
      <c r="I334" t="inlineStr">
        <is>
          <t>Series B</t>
        </is>
      </c>
      <c r="J334" t="inlineStr">
        <is>
          <t>Vertex Growth; Trident Partners</t>
        </is>
      </c>
      <c r="K334" t="inlineStr">
        <is>
          <t>https://inc42.com/buzz/from-tonetag-to-borderplus-indian-startups-raised-270-mn-this-week/</t>
        </is>
      </c>
    </row>
    <row r="335">
      <c r="A335" t="inlineStr">
        <is>
          <t>ENT-8720730</t>
        </is>
      </c>
      <c r="B335" t="inlineStr">
        <is>
          <t>R250214-almondsai</t>
        </is>
      </c>
      <c r="C335" t="inlineStr">
        <is>
          <t>Entrackr</t>
        </is>
      </c>
      <c r="D335" s="17" t="n">
        <v>45702</v>
      </c>
      <c r="E335" t="inlineStr">
        <is>
          <t>Almonds Ai</t>
        </is>
      </c>
      <c r="F335" t="inlineStr">
        <is>
          <t>Rs 16 crore</t>
        </is>
      </c>
      <c r="G335" s="19" t="n">
        <v>16</v>
      </c>
      <c r="H335" s="19" t="n">
        <v>1.9</v>
      </c>
      <c r="I335" t="inlineStr">
        <is>
          <t>Seed</t>
        </is>
      </c>
      <c r="J335" t="inlineStr">
        <is>
          <t>JITO Incubation; Innovation Foundation</t>
        </is>
      </c>
      <c r="K335" t="inlineStr">
        <is>
          <t>https://entrackr.com/snippets/almonds-ai-raises-rs-16-cr-in-seed-funding-round-8720730</t>
        </is>
      </c>
    </row>
    <row r="336">
      <c r="A336" t="inlineStr">
        <is>
          <t>INC-20250215-15</t>
        </is>
      </c>
      <c r="B336" t="inlineStr">
        <is>
          <t>R250214-almondsai</t>
        </is>
      </c>
      <c r="C336" t="inlineStr">
        <is>
          <t>Inc42</t>
        </is>
      </c>
      <c r="D336" s="17" t="n">
        <v>45702</v>
      </c>
      <c r="E336" t="inlineStr">
        <is>
          <t>Almond.ai</t>
        </is>
      </c>
      <c r="F336" t="inlineStr">
        <is>
          <t>$1.9 Mn</t>
        </is>
      </c>
      <c r="G336" s="19" t="n"/>
      <c r="H336" s="19" t="n">
        <v>1.9</v>
      </c>
      <c r="I336" t="inlineStr">
        <is>
          <t>Seed</t>
        </is>
      </c>
      <c r="J336" t="inlineStr">
        <is>
          <t>JIIF</t>
        </is>
      </c>
      <c r="K336" t="inlineStr">
        <is>
          <t>https://inc42.com/buzz/from-tonetag-to-borderplus-indian-startups-raised-270-mn-this-week/</t>
        </is>
      </c>
    </row>
    <row r="337">
      <c r="A337" t="inlineStr">
        <is>
          <t>ENT-8719814</t>
        </is>
      </c>
      <c r="B337" t="inlineStr">
        <is>
          <t>R250214-cherrapunjicra</t>
        </is>
      </c>
      <c r="C337" t="inlineStr">
        <is>
          <t>Entrackr</t>
        </is>
      </c>
      <c r="D337" s="17" t="n">
        <v>45702</v>
      </c>
      <c r="E337" t="inlineStr">
        <is>
          <t>Cherrapunji Craft Gin</t>
        </is>
      </c>
      <c r="F337" t="inlineStr">
        <is>
          <t>$1.2 Mn</t>
        </is>
      </c>
      <c r="G337" s="19" t="n"/>
      <c r="H337" s="19" t="n">
        <v>1.2</v>
      </c>
      <c r="I337" t="inlineStr">
        <is>
          <t>Pre-Series A</t>
        </is>
      </c>
      <c r="J337" t="inlineStr"/>
      <c r="K337" t="inlineStr">
        <is>
          <t>https://entrackr.com/snippets/cherrapunji-craft-gin-raises-12-mn-in-pre-series-a-round-8719814</t>
        </is>
      </c>
    </row>
    <row r="338">
      <c r="A338" t="inlineStr">
        <is>
          <t>INC-20250215-04</t>
        </is>
      </c>
      <c r="B338" t="inlineStr">
        <is>
          <t>R250214-pmielectromobi</t>
        </is>
      </c>
      <c r="C338" t="inlineStr">
        <is>
          <t>Inc42</t>
        </is>
      </c>
      <c r="D338" s="17" t="n">
        <v>45702</v>
      </c>
      <c r="E338" t="inlineStr">
        <is>
          <t>PMI Electro Mobility</t>
        </is>
      </c>
      <c r="F338" t="inlineStr">
        <is>
          <t>$29 Mn</t>
        </is>
      </c>
      <c r="G338" s="19" t="n"/>
      <c r="H338" s="19" t="n">
        <v>29</v>
      </c>
      <c r="I338" t="inlineStr">
        <is>
          <t>Undisclosed</t>
        </is>
      </c>
      <c r="J338" t="inlineStr"/>
      <c r="K338" t="inlineStr">
        <is>
          <t>https://inc42.com/buzz/from-tonetag-to-borderplus-indian-startups-raised-270-mn-this-week/</t>
        </is>
      </c>
    </row>
    <row r="339">
      <c r="A339" t="inlineStr">
        <is>
          <t>INC-20250215-16</t>
        </is>
      </c>
      <c r="B339" t="inlineStr">
        <is>
          <t>R250214-raincheckearth</t>
        </is>
      </c>
      <c r="C339" t="inlineStr">
        <is>
          <t>Inc42</t>
        </is>
      </c>
      <c r="D339" s="17" t="n">
        <v>45702</v>
      </c>
      <c r="E339" t="inlineStr">
        <is>
          <t>Raincheck Earth Co.</t>
        </is>
      </c>
      <c r="F339" t="inlineStr">
        <is>
          <t>$1.2 Mn</t>
        </is>
      </c>
      <c r="G339" s="19" t="n"/>
      <c r="H339" s="19" t="n">
        <v>1.2</v>
      </c>
      <c r="I339" t="inlineStr">
        <is>
          <t>Pre-Series A</t>
        </is>
      </c>
      <c r="J339" t="inlineStr"/>
      <c r="K339" t="inlineStr">
        <is>
          <t>https://inc42.com/buzz/from-tonetag-to-borderplus-indian-startups-raised-270-mn-this-week/</t>
        </is>
      </c>
    </row>
    <row r="340">
      <c r="A340" t="inlineStr">
        <is>
          <t>INC-20250222-15</t>
        </is>
      </c>
      <c r="B340" t="inlineStr">
        <is>
          <t>R250215-ikonz</t>
        </is>
      </c>
      <c r="C340" t="inlineStr">
        <is>
          <t>Inc42</t>
        </is>
      </c>
      <c r="D340" s="17" t="n">
        <v>45703</v>
      </c>
      <c r="E340" t="inlineStr">
        <is>
          <t>Ikonz</t>
        </is>
      </c>
      <c r="F340" t="inlineStr"/>
      <c r="G340" s="19" t="n"/>
      <c r="H340" s="19" t="n"/>
      <c r="I340" t="inlineStr">
        <is>
          <t>Pre-Series A</t>
        </is>
      </c>
      <c r="J340" t="inlineStr"/>
      <c r="K340" t="inlineStr">
        <is>
          <t>https://inc42.com/buzz/from-udaan-to-the-whole-truth-indian-startups-raised-153-mn-this-week/</t>
        </is>
      </c>
    </row>
    <row r="341">
      <c r="A341" t="inlineStr">
        <is>
          <t>ET-118306918</t>
        </is>
      </c>
      <c r="B341" t="inlineStr">
        <is>
          <t>R250215-ikonz</t>
        </is>
      </c>
      <c r="C341" t="inlineStr">
        <is>
          <t>The Economic Times</t>
        </is>
      </c>
      <c r="D341" s="17" t="n">
        <v>45704</v>
      </c>
      <c r="E341" t="inlineStr">
        <is>
          <t>Ikonz Studios</t>
        </is>
      </c>
      <c r="F341" t="inlineStr"/>
      <c r="G341" s="19" t="n"/>
      <c r="H341" s="19" t="n"/>
      <c r="I341" t="inlineStr">
        <is>
          <t>Pre-Series A</t>
        </is>
      </c>
      <c r="J341" t="inlineStr"/>
      <c r="K341" t="inlineStr">
        <is>
          <t>https://economictimes.indiatimes.com/tech/funding/ai-startup-ikonz-studios-secures-funding-led-by-industry-veteran-marc-jordan/articleshow/118306918.cms</t>
        </is>
      </c>
    </row>
    <row r="342">
      <c r="A342" t="inlineStr">
        <is>
          <t>ENT-8729618</t>
        </is>
      </c>
      <c r="B342" t="inlineStr">
        <is>
          <t>R250215-ikonz</t>
        </is>
      </c>
      <c r="C342" t="inlineStr">
        <is>
          <t>Entrackr</t>
        </is>
      </c>
      <c r="D342" s="17" t="n">
        <v>45705</v>
      </c>
      <c r="E342" t="inlineStr">
        <is>
          <t>Ikonz Studios</t>
        </is>
      </c>
      <c r="F342" t="inlineStr">
        <is>
          <t>$5 million</t>
        </is>
      </c>
      <c r="G342" s="19" t="n"/>
      <c r="H342" s="19" t="n">
        <v>5</v>
      </c>
      <c r="I342" t="inlineStr">
        <is>
          <t>Pre-Series A</t>
        </is>
      </c>
      <c r="J342" t="inlineStr"/>
      <c r="K342" t="inlineStr">
        <is>
          <t>https://entrackr.com/snippets/ikonz-studios-raises-5-mn-in-pre-series-a-round-8729618</t>
        </is>
      </c>
    </row>
    <row r="343">
      <c r="A343" t="inlineStr">
        <is>
          <t>INC-20250222-16</t>
        </is>
      </c>
      <c r="B343" t="inlineStr">
        <is>
          <t>R250215-ridev</t>
        </is>
      </c>
      <c r="C343" t="inlineStr">
        <is>
          <t>Inc42</t>
        </is>
      </c>
      <c r="D343" s="17" t="n">
        <v>45703</v>
      </c>
      <c r="E343" t="inlineStr">
        <is>
          <t>RIDEV</t>
        </is>
      </c>
      <c r="F343" t="inlineStr"/>
      <c r="G343" s="19" t="n"/>
      <c r="H343" s="19" t="n"/>
      <c r="I343" t="inlineStr">
        <is>
          <t>Undisclosed</t>
        </is>
      </c>
      <c r="J343" t="inlineStr"/>
      <c r="K343" t="inlineStr">
        <is>
          <t>https://inc42.com/buzz/from-udaan-to-the-whole-truth-indian-startups-raised-153-mn-this-week/</t>
        </is>
      </c>
    </row>
    <row r="344">
      <c r="A344" t="inlineStr">
        <is>
          <t>INC-20250222-17</t>
        </is>
      </c>
      <c r="B344" t="inlineStr">
        <is>
          <t>R250217-lurny</t>
        </is>
      </c>
      <c r="C344" t="inlineStr">
        <is>
          <t>Inc42</t>
        </is>
      </c>
      <c r="D344" s="17" t="n">
        <v>45705</v>
      </c>
      <c r="E344" t="inlineStr">
        <is>
          <t>Lurny</t>
        </is>
      </c>
      <c r="F344" t="inlineStr"/>
      <c r="G344" s="19" t="n"/>
      <c r="H344" s="19" t="n"/>
      <c r="I344" t="inlineStr">
        <is>
          <t>Undisclosed</t>
        </is>
      </c>
      <c r="J344" t="inlineStr">
        <is>
          <t>John Varghese; Mathew Tharakan; Manoj Kumar</t>
        </is>
      </c>
      <c r="K344" t="inlineStr">
        <is>
          <t>https://inc42.com/buzz/from-udaan-to-the-whole-truth-indian-startups-raised-153-mn-this-week/</t>
        </is>
      </c>
    </row>
    <row r="345">
      <c r="A345" t="inlineStr">
        <is>
          <t>ENT-8728019</t>
        </is>
      </c>
      <c r="B345" t="inlineStr">
        <is>
          <t>R250217-rarerabbit</t>
        </is>
      </c>
      <c r="C345" t="inlineStr">
        <is>
          <t>Entrackr</t>
        </is>
      </c>
      <c r="D345" s="17" t="n">
        <v>45705</v>
      </c>
      <c r="E345" t="inlineStr">
        <is>
          <t>Rare Rabbit</t>
        </is>
      </c>
      <c r="F345" t="inlineStr">
        <is>
          <t>Rs 50 crore</t>
        </is>
      </c>
      <c r="G345" s="19" t="n">
        <v>50</v>
      </c>
      <c r="H345" s="19" t="n">
        <v>6</v>
      </c>
      <c r="I345" t="inlineStr">
        <is>
          <t>Undisclosed</t>
        </is>
      </c>
      <c r="J345" t="inlineStr"/>
      <c r="K345" t="inlineStr">
        <is>
          <t>https://entrackr.com/exclusive/exclusive-a91-partners-backs-rare-rabbit-in-new-round-8728019</t>
        </is>
      </c>
    </row>
    <row r="346">
      <c r="A346" t="inlineStr">
        <is>
          <t>INC-20250222-06</t>
        </is>
      </c>
      <c r="B346" t="inlineStr">
        <is>
          <t>R250217-rarerabbit</t>
        </is>
      </c>
      <c r="C346" t="inlineStr">
        <is>
          <t>Inc42</t>
        </is>
      </c>
      <c r="D346" s="17" t="n">
        <v>45705</v>
      </c>
      <c r="E346" t="inlineStr">
        <is>
          <t>Rare Rabbit</t>
        </is>
      </c>
      <c r="F346" t="inlineStr">
        <is>
          <t>$5.7 Mn</t>
        </is>
      </c>
      <c r="G346" s="19" t="n"/>
      <c r="H346" s="19" t="n">
        <v>5.7</v>
      </c>
      <c r="I346" t="inlineStr">
        <is>
          <t>Undisclosed</t>
        </is>
      </c>
      <c r="J346" t="inlineStr">
        <is>
          <t>A91 Partners</t>
        </is>
      </c>
      <c r="K346" t="inlineStr">
        <is>
          <t>https://inc42.com/buzz/from-udaan-to-the-whole-truth-indian-startups-raised-153-mn-this-week/</t>
        </is>
      </c>
    </row>
    <row r="347">
      <c r="A347" t="inlineStr">
        <is>
          <t>ENT-8728540</t>
        </is>
      </c>
      <c r="B347" t="inlineStr">
        <is>
          <t>R250217-udaan</t>
        </is>
      </c>
      <c r="C347" t="inlineStr">
        <is>
          <t>Entrackr</t>
        </is>
      </c>
      <c r="D347" s="17" t="n">
        <v>45705</v>
      </c>
      <c r="E347" t="inlineStr">
        <is>
          <t>Udaan</t>
        </is>
      </c>
      <c r="F347" t="inlineStr">
        <is>
          <t>$75 million</t>
        </is>
      </c>
      <c r="G347" s="19" t="n"/>
      <c r="H347" s="19" t="n">
        <v>75</v>
      </c>
      <c r="I347" t="inlineStr">
        <is>
          <t>Series G</t>
        </is>
      </c>
      <c r="J347" t="inlineStr"/>
      <c r="K347" t="inlineStr">
        <is>
          <t>https://entrackr.com/news/udaan-raises-75-mn-at-flat-valuation-8728540</t>
        </is>
      </c>
    </row>
    <row r="348">
      <c r="A348" t="inlineStr">
        <is>
          <t>ET-118324559</t>
        </is>
      </c>
      <c r="B348" t="inlineStr">
        <is>
          <t>R250217-udaan</t>
        </is>
      </c>
      <c r="C348" t="inlineStr">
        <is>
          <t>The Economic Times</t>
        </is>
      </c>
      <c r="D348" s="17" t="n">
        <v>45705</v>
      </c>
      <c r="E348" t="inlineStr">
        <is>
          <t>Udaan</t>
        </is>
      </c>
      <c r="F348" t="inlineStr">
        <is>
          <t>$75 million</t>
        </is>
      </c>
      <c r="G348" s="19" t="n"/>
      <c r="H348" s="19" t="n">
        <v>75</v>
      </c>
      <c r="I348" t="inlineStr">
        <is>
          <t>Undisclosed</t>
        </is>
      </c>
      <c r="J348" t="inlineStr"/>
      <c r="K348" t="inlineStr">
        <is>
          <t>https://economictimes.indiatimes.com/tech/funding/udaan-raises-75-million-from-uks-mg-lightspeed-at-flat-valuation/articleshow/118324559.cms</t>
        </is>
      </c>
    </row>
    <row r="349">
      <c r="A349" t="inlineStr">
        <is>
          <t>INC-20250222-01</t>
        </is>
      </c>
      <c r="B349" t="inlineStr">
        <is>
          <t>R250217-udaan</t>
        </is>
      </c>
      <c r="C349" t="inlineStr">
        <is>
          <t>Inc42</t>
        </is>
      </c>
      <c r="D349" s="17" t="n">
        <v>45705</v>
      </c>
      <c r="E349" t="inlineStr">
        <is>
          <t>Udaan</t>
        </is>
      </c>
      <c r="F349" t="inlineStr">
        <is>
          <t>$75 Mn</t>
        </is>
      </c>
      <c r="G349" s="19" t="n"/>
      <c r="H349" s="19" t="n">
        <v>75</v>
      </c>
      <c r="I349" t="inlineStr">
        <is>
          <t>Undisclosed</t>
        </is>
      </c>
      <c r="J349" t="inlineStr"/>
      <c r="K349" t="inlineStr">
        <is>
          <t>https://inc42.com/buzz/from-udaan-to-the-whole-truth-indian-startups-raised-153-mn-this-week/</t>
        </is>
      </c>
    </row>
    <row r="350">
      <c r="A350" t="inlineStr">
        <is>
          <t>VCC-9ea9ca8403</t>
        </is>
      </c>
      <c r="B350" t="inlineStr">
        <is>
          <t>R250217-udaan</t>
        </is>
      </c>
      <c r="C350" t="inlineStr">
        <is>
          <t>VCCircle</t>
        </is>
      </c>
      <c r="D350" s="17" t="n">
        <v>45705</v>
      </c>
      <c r="E350" t="inlineStr">
        <is>
          <t>lightspeedbacked udaan</t>
        </is>
      </c>
      <c r="F350" t="inlineStr">
        <is>
          <t>$ 75 million</t>
        </is>
      </c>
      <c r="G350" s="19" t="n"/>
      <c r="H350" s="19" t="n">
        <v>75</v>
      </c>
      <c r="I350" t="inlineStr">
        <is>
          <t>Undisclosed</t>
        </is>
      </c>
      <c r="J350" t="inlineStr"/>
      <c r="K350" t="inlineStr">
        <is>
          <t>https://www.vccircle.com/lightspeedbacked-udaan-raises-75-mn-in-internal-round</t>
        </is>
      </c>
    </row>
    <row r="351">
      <c r="A351" t="inlineStr">
        <is>
          <t>ENT-8728380</t>
        </is>
      </c>
      <c r="B351" t="inlineStr">
        <is>
          <t>R250217-youcarelifesty</t>
        </is>
      </c>
      <c r="C351" t="inlineStr">
        <is>
          <t>Entrackr</t>
        </is>
      </c>
      <c r="D351" s="17" t="n">
        <v>45705</v>
      </c>
      <c r="E351" t="inlineStr">
        <is>
          <t>You Care Lifestyle</t>
        </is>
      </c>
      <c r="F351" t="inlineStr">
        <is>
          <t>$1 million</t>
        </is>
      </c>
      <c r="G351" s="19" t="n"/>
      <c r="H351" s="19" t="n">
        <v>1</v>
      </c>
      <c r="I351" t="inlineStr">
        <is>
          <t>Undisclosed</t>
        </is>
      </c>
      <c r="J351" t="inlineStr">
        <is>
          <t>Luke Coutinho; Narendra Firodia</t>
        </is>
      </c>
      <c r="K351" t="inlineStr">
        <is>
          <t>https://entrackr.com/snippets/you-care-lifestyle-raises-1-mn-in-pre-seed-round-8728380</t>
        </is>
      </c>
    </row>
    <row r="352">
      <c r="A352" t="inlineStr">
        <is>
          <t>ENT-8730916</t>
        </is>
      </c>
      <c r="B352" t="inlineStr">
        <is>
          <t>R250218-dynolttechnolo</t>
        </is>
      </c>
      <c r="C352" t="inlineStr">
        <is>
          <t>Entrackr</t>
        </is>
      </c>
      <c r="D352" s="17" t="n">
        <v>45706</v>
      </c>
      <c r="E352" t="inlineStr">
        <is>
          <t>Dynolt Technologies</t>
        </is>
      </c>
      <c r="F352" t="inlineStr">
        <is>
          <t>$1.7 million</t>
        </is>
      </c>
      <c r="G352" s="19" t="n"/>
      <c r="H352" s="19" t="n">
        <v>1.7</v>
      </c>
      <c r="I352" t="inlineStr">
        <is>
          <t>Seed</t>
        </is>
      </c>
      <c r="J352" t="inlineStr">
        <is>
          <t>Transition VC</t>
        </is>
      </c>
      <c r="K352" t="inlineStr">
        <is>
          <t>https://entrackr.com/snippets/transition-vc-leads-17-mn-round-in-dynolt-technologies-8730916</t>
        </is>
      </c>
    </row>
    <row r="353">
      <c r="A353" t="inlineStr">
        <is>
          <t>ET-118348003</t>
        </is>
      </c>
      <c r="B353" t="inlineStr">
        <is>
          <t>R250218-dynolttechnolo</t>
        </is>
      </c>
      <c r="C353" t="inlineStr">
        <is>
          <t>The Economic Times</t>
        </is>
      </c>
      <c r="D353" s="17" t="n">
        <v>45706</v>
      </c>
      <c r="E353" t="inlineStr">
        <is>
          <t>Dynolt Technologies</t>
        </is>
      </c>
      <c r="F353" t="inlineStr">
        <is>
          <t>$1.7 million</t>
        </is>
      </c>
      <c r="G353" s="19" t="n">
        <v>14.7</v>
      </c>
      <c r="H353" s="19" t="n">
        <v>1.7</v>
      </c>
      <c r="I353" t="inlineStr">
        <is>
          <t>Seed</t>
        </is>
      </c>
      <c r="J353" t="inlineStr">
        <is>
          <t>Yashowardhan Shah</t>
        </is>
      </c>
      <c r="K353" t="inlineStr">
        <is>
          <t>https://economictimes.indiatimes.com/tech/funding/power-electronics-startup-dynolt-technologies-raises-rs-14-7-crore-from-transition-vc/articleshow/118348003.cms</t>
        </is>
      </c>
    </row>
    <row r="354">
      <c r="A354" t="inlineStr">
        <is>
          <t>INC-20250222-12</t>
        </is>
      </c>
      <c r="B354" t="inlineStr">
        <is>
          <t>R250218-dynolttechnolo</t>
        </is>
      </c>
      <c r="C354" t="inlineStr">
        <is>
          <t>Inc42</t>
        </is>
      </c>
      <c r="D354" s="17" t="n">
        <v>45706</v>
      </c>
      <c r="E354" t="inlineStr">
        <is>
          <t>Dynolt Technologies</t>
        </is>
      </c>
      <c r="F354" t="inlineStr">
        <is>
          <t>$1.7 Mn</t>
        </is>
      </c>
      <c r="G354" s="19" t="n"/>
      <c r="H354" s="19" t="n">
        <v>1.7</v>
      </c>
      <c r="I354" t="inlineStr">
        <is>
          <t>Seed</t>
        </is>
      </c>
      <c r="J354" t="inlineStr">
        <is>
          <t>Transition VC</t>
        </is>
      </c>
      <c r="K354" t="inlineStr">
        <is>
          <t>https://inc42.com/buzz/from-udaan-to-the-whole-truth-indian-startups-raised-153-mn-this-week/</t>
        </is>
      </c>
    </row>
    <row r="355">
      <c r="A355" t="inlineStr">
        <is>
          <t>ENT-8732695</t>
        </is>
      </c>
      <c r="B355" t="inlineStr">
        <is>
          <t>R250218-lightstrom</t>
        </is>
      </c>
      <c r="C355" t="inlineStr">
        <is>
          <t>Entrackr</t>
        </is>
      </c>
      <c r="D355" s="17" t="n">
        <v>45706</v>
      </c>
      <c r="E355" t="inlineStr">
        <is>
          <t>Lightstrom</t>
        </is>
      </c>
      <c r="F355" t="inlineStr">
        <is>
          <t>Rs 700 crore</t>
        </is>
      </c>
      <c r="G355" s="19" t="n">
        <v>700</v>
      </c>
      <c r="H355" s="19" t="n">
        <v>80.5</v>
      </c>
      <c r="I355" t="inlineStr">
        <is>
          <t>Undisclosed</t>
        </is>
      </c>
      <c r="J355" t="inlineStr">
        <is>
          <t>NIIF Infrastructure Finance Limited</t>
        </is>
      </c>
      <c r="K355" t="inlineStr">
        <is>
          <t>https://entrackr.com/snippets/lightstrom-raises-over-80-mn-led-by-niif-ifl-8732695</t>
        </is>
      </c>
    </row>
    <row r="356">
      <c r="A356" t="inlineStr">
        <is>
          <t>ENT-8733584</t>
        </is>
      </c>
      <c r="B356" t="inlineStr">
        <is>
          <t>R250218-singulrai</t>
        </is>
      </c>
      <c r="C356" t="inlineStr">
        <is>
          <t>Entrackr</t>
        </is>
      </c>
      <c r="D356" s="17" t="n">
        <v>45706</v>
      </c>
      <c r="E356" t="inlineStr">
        <is>
          <t>Singulr AI</t>
        </is>
      </c>
      <c r="F356" t="inlineStr">
        <is>
          <t>$10 million</t>
        </is>
      </c>
      <c r="G356" s="19" t="n"/>
      <c r="H356" s="19" t="n">
        <v>10</v>
      </c>
      <c r="I356" t="inlineStr">
        <is>
          <t>Seed</t>
        </is>
      </c>
      <c r="J356" t="inlineStr">
        <is>
          <t>Nexus Venture Partners; Dell Technologies Capital</t>
        </is>
      </c>
      <c r="K356" t="inlineStr">
        <is>
          <t>https://entrackr.com/snippets/singulr-ai-raises-10-mn-led-by-nexus-and-dell-technologies-capital-8733584</t>
        </is>
      </c>
    </row>
    <row r="357">
      <c r="A357" t="inlineStr">
        <is>
          <t>ET-118360448</t>
        </is>
      </c>
      <c r="B357" t="inlineStr">
        <is>
          <t>R250218-singulrai</t>
        </is>
      </c>
      <c r="C357" t="inlineStr">
        <is>
          <t>The Economic Times</t>
        </is>
      </c>
      <c r="D357" s="17" t="n">
        <v>45706</v>
      </c>
      <c r="E357" t="inlineStr">
        <is>
          <t>Singulr AI</t>
        </is>
      </c>
      <c r="F357" t="inlineStr">
        <is>
          <t>$10 million</t>
        </is>
      </c>
      <c r="G357" s="19" t="n"/>
      <c r="H357" s="19" t="n">
        <v>10</v>
      </c>
      <c r="I357" t="inlineStr">
        <is>
          <t>Seed</t>
        </is>
      </c>
      <c r="J357" t="inlineStr">
        <is>
          <t>Nexus Venture Partners; Dell Technologies Capital</t>
        </is>
      </c>
      <c r="K357" t="inlineStr">
        <is>
          <t>https://economictimes.indiatimes.com/tech/funding/ai-governance-startup-singulr-ai-raises-10-million-from-nexus-dell-technologies/articleshow/118360448.cms</t>
        </is>
      </c>
    </row>
    <row r="358">
      <c r="A358" t="inlineStr">
        <is>
          <t>INC-20250222-04</t>
        </is>
      </c>
      <c r="B358" t="inlineStr">
        <is>
          <t>R250218-singulrai</t>
        </is>
      </c>
      <c r="C358" t="inlineStr">
        <is>
          <t>Inc42</t>
        </is>
      </c>
      <c r="D358" s="17" t="n">
        <v>45706</v>
      </c>
      <c r="E358" t="inlineStr">
        <is>
          <t>Singulr</t>
        </is>
      </c>
      <c r="F358" t="inlineStr">
        <is>
          <t>$10 Mn</t>
        </is>
      </c>
      <c r="G358" s="19" t="n"/>
      <c r="H358" s="19" t="n">
        <v>10</v>
      </c>
      <c r="I358" t="inlineStr">
        <is>
          <t>Seed</t>
        </is>
      </c>
      <c r="J358" t="inlineStr">
        <is>
          <t>Nexus Venture Partners; Dell Technologies Capital</t>
        </is>
      </c>
      <c r="K358" t="inlineStr">
        <is>
          <t>https://inc42.com/buzz/from-udaan-to-the-whole-truth-indian-startups-raised-153-mn-this-week/</t>
        </is>
      </c>
    </row>
    <row r="359">
      <c r="A359" t="inlineStr">
        <is>
          <t>ENT-8731156</t>
        </is>
      </c>
      <c r="B359" t="inlineStr">
        <is>
          <t>R250218-spyne</t>
        </is>
      </c>
      <c r="C359" t="inlineStr">
        <is>
          <t>Entrackr</t>
        </is>
      </c>
      <c r="D359" s="17" t="n">
        <v>45706</v>
      </c>
      <c r="E359" t="inlineStr">
        <is>
          <t>Spyne</t>
        </is>
      </c>
      <c r="F359" t="inlineStr">
        <is>
          <t>$16 million</t>
        </is>
      </c>
      <c r="G359" s="19" t="n"/>
      <c r="H359" s="19" t="n">
        <v>16</v>
      </c>
      <c r="I359" t="inlineStr">
        <is>
          <t>Series A</t>
        </is>
      </c>
      <c r="J359" t="inlineStr">
        <is>
          <t>Vertex Ventures</t>
        </is>
      </c>
      <c r="K359" t="inlineStr">
        <is>
          <t>https://entrackr.com/news/spyne-raises-16-mn-in-series-a-round-led-by-vertex-ventures-8731156</t>
        </is>
      </c>
    </row>
    <row r="360">
      <c r="A360" t="inlineStr">
        <is>
          <t>ET-118333424</t>
        </is>
      </c>
      <c r="B360" t="inlineStr">
        <is>
          <t>R250218-spyne</t>
        </is>
      </c>
      <c r="C360" t="inlineStr">
        <is>
          <t>The Economic Times</t>
        </is>
      </c>
      <c r="D360" s="17" t="n">
        <v>45706</v>
      </c>
      <c r="E360" t="inlineStr">
        <is>
          <t>Spyne</t>
        </is>
      </c>
      <c r="F360" t="inlineStr">
        <is>
          <t>$16 million</t>
        </is>
      </c>
      <c r="G360" s="19" t="n"/>
      <c r="H360" s="19" t="n">
        <v>16</v>
      </c>
      <c r="I360" t="inlineStr">
        <is>
          <t>Series A</t>
        </is>
      </c>
      <c r="J360" t="inlineStr">
        <is>
          <t>Vertex Ventures</t>
        </is>
      </c>
      <c r="K360" t="inlineStr">
        <is>
          <t>https://economictimes.indiatimes.com/tech/funding/spyne-raises-16-million-in-round-led-by-vertex-ventures/articleshow/118333424.cms</t>
        </is>
      </c>
    </row>
    <row r="361">
      <c r="A361" t="inlineStr">
        <is>
          <t>INC-20250222-02</t>
        </is>
      </c>
      <c r="B361" t="inlineStr">
        <is>
          <t>R250218-spyne</t>
        </is>
      </c>
      <c r="C361" t="inlineStr">
        <is>
          <t>Inc42</t>
        </is>
      </c>
      <c r="D361" s="17" t="n">
        <v>45706</v>
      </c>
      <c r="E361" t="inlineStr">
        <is>
          <t>Spyne</t>
        </is>
      </c>
      <c r="F361" t="inlineStr">
        <is>
          <t>$16 Mn</t>
        </is>
      </c>
      <c r="G361" s="19" t="n"/>
      <c r="H361" s="19" t="n">
        <v>16</v>
      </c>
      <c r="I361" t="inlineStr">
        <is>
          <t>Series A</t>
        </is>
      </c>
      <c r="J361" t="inlineStr">
        <is>
          <t>Vertex Ventures</t>
        </is>
      </c>
      <c r="K361" t="inlineStr">
        <is>
          <t>https://inc42.com/buzz/from-udaan-to-the-whole-truth-indian-startups-raised-153-mn-this-week/</t>
        </is>
      </c>
    </row>
    <row r="362">
      <c r="A362" t="inlineStr">
        <is>
          <t>ENT-8730922</t>
        </is>
      </c>
      <c r="B362" t="inlineStr">
        <is>
          <t>R250218-swishclub</t>
        </is>
      </c>
      <c r="C362" t="inlineStr">
        <is>
          <t>Entrackr</t>
        </is>
      </c>
      <c r="D362" s="17" t="n">
        <v>45706</v>
      </c>
      <c r="E362" t="inlineStr">
        <is>
          <t>Swish Club</t>
        </is>
      </c>
      <c r="F362" t="inlineStr">
        <is>
          <t>$4.5 million</t>
        </is>
      </c>
      <c r="G362" s="19" t="n"/>
      <c r="H362" s="19" t="n">
        <v>4.5</v>
      </c>
      <c r="I362" t="inlineStr">
        <is>
          <t>Pre-Series A</t>
        </is>
      </c>
      <c r="J362" t="inlineStr">
        <is>
          <t>Powerhouse Ventures; Founders Fund; Touchstone Ventures; Eternal Capital; Atrium Ventures</t>
        </is>
      </c>
      <c r="K362" t="inlineStr">
        <is>
          <t>https://entrackr.com/snippets/daas-platform-swish-club-raises-45-mn-in-pre-series-a-8730922</t>
        </is>
      </c>
    </row>
    <row r="363">
      <c r="A363" t="inlineStr">
        <is>
          <t>ET-118358274</t>
        </is>
      </c>
      <c r="B363" t="inlineStr">
        <is>
          <t>R250218-swishclub</t>
        </is>
      </c>
      <c r="C363" t="inlineStr">
        <is>
          <t>The Economic Times</t>
        </is>
      </c>
      <c r="D363" s="17" t="n">
        <v>45706</v>
      </c>
      <c r="E363" t="inlineStr">
        <is>
          <t>Swish Club</t>
        </is>
      </c>
      <c r="F363" t="inlineStr">
        <is>
          <t>$4.5 million</t>
        </is>
      </c>
      <c r="G363" s="19" t="n"/>
      <c r="H363" s="19" t="n">
        <v>4.5</v>
      </c>
      <c r="I363" t="inlineStr">
        <is>
          <t>Pre-Series A</t>
        </is>
      </c>
      <c r="J363" t="inlineStr"/>
      <c r="K363" t="inlineStr">
        <is>
          <t>https://economictimes.indiatimes.com/tech/funding/daas-platform-swish-club-raises-4-5-million-in-pre-series-a-round/articleshow/118358274.cms</t>
        </is>
      </c>
    </row>
    <row r="364">
      <c r="A364" t="inlineStr">
        <is>
          <t>INC-20250222-09</t>
        </is>
      </c>
      <c r="B364" t="inlineStr">
        <is>
          <t>R250218-swishclub</t>
        </is>
      </c>
      <c r="C364" t="inlineStr">
        <is>
          <t>Inc42</t>
        </is>
      </c>
      <c r="D364" s="17" t="n">
        <v>45706</v>
      </c>
      <c r="E364" t="inlineStr">
        <is>
          <t>Swish Club</t>
        </is>
      </c>
      <c r="F364" t="inlineStr">
        <is>
          <t>$4.5 Mn</t>
        </is>
      </c>
      <c r="G364" s="19" t="n"/>
      <c r="H364" s="19" t="n">
        <v>4.5</v>
      </c>
      <c r="I364" t="inlineStr">
        <is>
          <t>Pre-Series A</t>
        </is>
      </c>
      <c r="J364" t="inlineStr">
        <is>
          <t>Powerhouse Ventures</t>
        </is>
      </c>
      <c r="K364" t="inlineStr">
        <is>
          <t>https://inc42.com/buzz/from-udaan-to-the-whole-truth-indian-startups-raised-153-mn-this-week/</t>
        </is>
      </c>
    </row>
    <row r="365">
      <c r="A365" t="inlineStr">
        <is>
          <t>INC-20250222-11</t>
        </is>
      </c>
      <c r="B365" t="inlineStr">
        <is>
          <t>R250218-theenergycompa</t>
        </is>
      </c>
      <c r="C365" t="inlineStr">
        <is>
          <t>Inc42</t>
        </is>
      </c>
      <c r="D365" s="17" t="n">
        <v>45706</v>
      </c>
      <c r="E365" t="inlineStr">
        <is>
          <t>The Energy Company</t>
        </is>
      </c>
      <c r="F365" t="inlineStr">
        <is>
          <t>$2 Mn</t>
        </is>
      </c>
      <c r="G365" s="19" t="n"/>
      <c r="H365" s="19" t="n">
        <v>2</v>
      </c>
      <c r="I365" t="inlineStr">
        <is>
          <t>Pre-Series A</t>
        </is>
      </c>
      <c r="J365" t="inlineStr">
        <is>
          <t>Siana Capital; Callapina Capital; Z21 Ventures; 1Crowd; LetsVenture</t>
        </is>
      </c>
      <c r="K365" t="inlineStr">
        <is>
          <t>https://inc42.com/buzz/from-udaan-to-the-whole-truth-indian-startups-raised-153-mn-this-week/</t>
        </is>
      </c>
    </row>
    <row r="366">
      <c r="A366" t="inlineStr">
        <is>
          <t>INC-20250222-14</t>
        </is>
      </c>
      <c r="B366" t="inlineStr">
        <is>
          <t>R250219-agrilectric</t>
        </is>
      </c>
      <c r="C366" t="inlineStr">
        <is>
          <t>Inc42</t>
        </is>
      </c>
      <c r="D366" s="17" t="n">
        <v>45707</v>
      </c>
      <c r="E366" t="inlineStr">
        <is>
          <t>Agrilectric</t>
        </is>
      </c>
      <c r="F366" t="inlineStr">
        <is>
          <t>$100K</t>
        </is>
      </c>
      <c r="G366" s="19" t="n"/>
      <c r="H366" s="19" t="n">
        <v>0.1</v>
      </c>
      <c r="I366" t="inlineStr">
        <is>
          <t>Seed</t>
        </is>
      </c>
      <c r="J366" t="inlineStr"/>
      <c r="K366" t="inlineStr">
        <is>
          <t>https://inc42.com/buzz/from-udaan-to-the-whole-truth-indian-startups-raised-153-mn-this-week/</t>
        </is>
      </c>
    </row>
    <row r="367">
      <c r="A367" t="inlineStr">
        <is>
          <t>INC-20250222-07</t>
        </is>
      </c>
      <c r="B367" t="inlineStr">
        <is>
          <t>R250219-creditfair</t>
        </is>
      </c>
      <c r="C367" t="inlineStr">
        <is>
          <t>Inc42</t>
        </is>
      </c>
      <c r="D367" s="17" t="n">
        <v>45707</v>
      </c>
      <c r="E367" t="inlineStr">
        <is>
          <t>Credit Fair</t>
        </is>
      </c>
      <c r="F367" t="inlineStr">
        <is>
          <t>$5 Mn</t>
        </is>
      </c>
      <c r="G367" s="19" t="n"/>
      <c r="H367" s="19" t="n">
        <v>5</v>
      </c>
      <c r="I367" t="inlineStr">
        <is>
          <t>Debt</t>
        </is>
      </c>
      <c r="J367" t="inlineStr">
        <is>
          <t>Symbiotics Investments</t>
        </is>
      </c>
      <c r="K367" t="inlineStr">
        <is>
          <t>https://inc42.com/buzz/from-udaan-to-the-whole-truth-indian-startups-raised-153-mn-this-week/</t>
        </is>
      </c>
    </row>
    <row r="368">
      <c r="A368" t="inlineStr">
        <is>
          <t>VCC-ddc2a15948</t>
        </is>
      </c>
      <c r="B368" t="inlineStr">
        <is>
          <t>R250219-creditfair</t>
        </is>
      </c>
      <c r="C368" t="inlineStr">
        <is>
          <t>VCCircle</t>
        </is>
      </c>
      <c r="D368" s="17" t="n">
        <v>45707</v>
      </c>
      <c r="E368" t="inlineStr">
        <is>
          <t>vcbacked credit fair</t>
        </is>
      </c>
      <c r="F368" t="inlineStr"/>
      <c r="G368" s="19" t="n"/>
      <c r="H368" s="19" t="n"/>
      <c r="I368" t="inlineStr">
        <is>
          <t>Undisclosed</t>
        </is>
      </c>
      <c r="J368" t="inlineStr"/>
      <c r="K368" t="inlineStr">
        <is>
          <t>https://www.vccircle.com/vcbacked-credit-fair-gets-fresh-capital-from-impact-investor</t>
        </is>
      </c>
    </row>
    <row r="369">
      <c r="A369" t="inlineStr">
        <is>
          <t>ENT-8735177</t>
        </is>
      </c>
      <c r="B369" t="inlineStr">
        <is>
          <t>R250219-healthfab</t>
        </is>
      </c>
      <c r="C369" t="inlineStr">
        <is>
          <t>Entrackr</t>
        </is>
      </c>
      <c r="D369" s="17" t="n">
        <v>45707</v>
      </c>
      <c r="E369" t="inlineStr">
        <is>
          <t>Healthfab</t>
        </is>
      </c>
      <c r="F369" t="inlineStr">
        <is>
          <t>$1 million</t>
        </is>
      </c>
      <c r="G369" s="19" t="n"/>
      <c r="H369" s="19" t="n">
        <v>1</v>
      </c>
      <c r="I369" t="inlineStr">
        <is>
          <t>Pre-Series A</t>
        </is>
      </c>
      <c r="J369" t="inlineStr">
        <is>
          <t>Mistry Ventures; Thrive Ventures; Anupam Mittal; Aman Gupta; Vineeta Singh; Peyush Bansal</t>
        </is>
      </c>
      <c r="K369" t="inlineStr">
        <is>
          <t>https://entrackr.com/snippets/healthfab-raises-1-mn-in-pre-series-a-round-8735177</t>
        </is>
      </c>
    </row>
    <row r="370">
      <c r="A370" t="inlineStr">
        <is>
          <t>ENT-8734834</t>
        </is>
      </c>
      <c r="B370" t="inlineStr">
        <is>
          <t>R250219-probus</t>
        </is>
      </c>
      <c r="C370" t="inlineStr">
        <is>
          <t>Entrackr</t>
        </is>
      </c>
      <c r="D370" s="17" t="n">
        <v>45707</v>
      </c>
      <c r="E370" t="inlineStr">
        <is>
          <t>Probus</t>
        </is>
      </c>
      <c r="F370" t="inlineStr">
        <is>
          <t>$5 million</t>
        </is>
      </c>
      <c r="G370" s="19" t="n"/>
      <c r="H370" s="19" t="n">
        <v>5</v>
      </c>
      <c r="I370" t="inlineStr">
        <is>
          <t>Series A</t>
        </is>
      </c>
      <c r="J370" t="inlineStr">
        <is>
          <t>Unicorn India Ventures</t>
        </is>
      </c>
      <c r="K370" t="inlineStr">
        <is>
          <t>https://entrackr.com/snippets/probus-raises-5-mn-led-by-unicorn-india-ventures-8734834</t>
        </is>
      </c>
    </row>
    <row r="371">
      <c r="A371" t="inlineStr">
        <is>
          <t>INC-20250222-08</t>
        </is>
      </c>
      <c r="B371" t="inlineStr">
        <is>
          <t>R250219-probus</t>
        </is>
      </c>
      <c r="C371" t="inlineStr">
        <is>
          <t>Inc42</t>
        </is>
      </c>
      <c r="D371" s="17" t="n">
        <v>45707</v>
      </c>
      <c r="E371" t="inlineStr">
        <is>
          <t>Probus</t>
        </is>
      </c>
      <c r="F371" t="inlineStr">
        <is>
          <t>$5 Mn</t>
        </is>
      </c>
      <c r="G371" s="19" t="n"/>
      <c r="H371" s="19" t="n">
        <v>5</v>
      </c>
      <c r="I371" t="inlineStr">
        <is>
          <t>Series A</t>
        </is>
      </c>
      <c r="J371" t="inlineStr">
        <is>
          <t>Unicorn India Ventures</t>
        </is>
      </c>
      <c r="K371" t="inlineStr">
        <is>
          <t>https://inc42.com/buzz/from-udaan-to-the-whole-truth-indian-startups-raised-153-mn-this-week/</t>
        </is>
      </c>
    </row>
    <row r="372">
      <c r="A372" t="inlineStr">
        <is>
          <t>ENT-8739447</t>
        </is>
      </c>
      <c r="B372" t="inlineStr">
        <is>
          <t>R250220-dogseechew</t>
        </is>
      </c>
      <c r="C372" t="inlineStr">
        <is>
          <t>Entrackr</t>
        </is>
      </c>
      <c r="D372" s="17" t="n">
        <v>45708</v>
      </c>
      <c r="E372" t="inlineStr">
        <is>
          <t>Dogsee Chew</t>
        </is>
      </c>
      <c r="F372" t="inlineStr">
        <is>
          <t>$8 million</t>
        </is>
      </c>
      <c r="G372" s="19" t="n"/>
      <c r="H372" s="19" t="n">
        <v>8</v>
      </c>
      <c r="I372" t="inlineStr">
        <is>
          <t>Series B</t>
        </is>
      </c>
      <c r="J372" t="inlineStr">
        <is>
          <t>Ektha.com</t>
        </is>
      </c>
      <c r="K372" t="inlineStr">
        <is>
          <t>https://entrackr.com/news/dogsee-chew-raises-8-mn-in-series-b-round-8739447</t>
        </is>
      </c>
    </row>
    <row r="373">
      <c r="A373" t="inlineStr">
        <is>
          <t>INC-20250222-05</t>
        </is>
      </c>
      <c r="B373" t="inlineStr">
        <is>
          <t>R250220-dogseechew</t>
        </is>
      </c>
      <c r="C373" t="inlineStr">
        <is>
          <t>Inc42</t>
        </is>
      </c>
      <c r="D373" s="17" t="n">
        <v>45708</v>
      </c>
      <c r="E373" t="inlineStr">
        <is>
          <t>Dogsee Chew</t>
        </is>
      </c>
      <c r="F373" t="inlineStr">
        <is>
          <t>$8 Mn</t>
        </is>
      </c>
      <c r="G373" s="19" t="n"/>
      <c r="H373" s="19" t="n">
        <v>8</v>
      </c>
      <c r="I373" t="inlineStr">
        <is>
          <t>Series B</t>
        </is>
      </c>
      <c r="J373" t="inlineStr">
        <is>
          <t>Ektha.com</t>
        </is>
      </c>
      <c r="K373" t="inlineStr">
        <is>
          <t>https://inc42.com/buzz/from-udaan-to-the-whole-truth-indian-startups-raised-153-mn-this-week/</t>
        </is>
      </c>
    </row>
    <row r="374">
      <c r="A374" t="inlineStr">
        <is>
          <t>VCC-e5fae7e5b8</t>
        </is>
      </c>
      <c r="B374" t="inlineStr">
        <is>
          <t>R250220-dogseechew</t>
        </is>
      </c>
      <c r="C374" t="inlineStr">
        <is>
          <t>VCCircle</t>
        </is>
      </c>
      <c r="D374" s="17" t="n">
        <v>45708</v>
      </c>
      <c r="E374" t="inlineStr">
        <is>
          <t>dogsee chews</t>
        </is>
      </c>
      <c r="F374" t="inlineStr"/>
      <c r="G374" s="19" t="n"/>
      <c r="H374" s="19" t="n"/>
      <c r="I374" t="inlineStr">
        <is>
          <t>Series B</t>
        </is>
      </c>
      <c r="J374" t="inlineStr"/>
      <c r="K374" t="inlineStr">
        <is>
          <t>https://www.vccircle.com/vcbacked-pet-treat-brand-dogsee-chews-bags-series-b-funding</t>
        </is>
      </c>
    </row>
    <row r="375">
      <c r="A375" t="inlineStr">
        <is>
          <t>ENT-8739208</t>
        </is>
      </c>
      <c r="B375" t="inlineStr">
        <is>
          <t>R250220-notoicecream</t>
        </is>
      </c>
      <c r="C375" t="inlineStr">
        <is>
          <t>Entrackr</t>
        </is>
      </c>
      <c r="D375" s="17" t="n">
        <v>45708</v>
      </c>
      <c r="E375" t="inlineStr">
        <is>
          <t>NOTO Ice Cream</t>
        </is>
      </c>
      <c r="F375" t="inlineStr">
        <is>
          <t>Rs 15 crore</t>
        </is>
      </c>
      <c r="G375" s="19" t="n">
        <v>15</v>
      </c>
      <c r="H375" s="19" t="n">
        <v>1.75</v>
      </c>
      <c r="I375" t="inlineStr">
        <is>
          <t>Undisclosed</t>
        </is>
      </c>
      <c r="J375" t="inlineStr">
        <is>
          <t>Inflection Point Ventures</t>
        </is>
      </c>
      <c r="K375" t="inlineStr">
        <is>
          <t>https://entrackr.com/snippets/john-abraham-backed-noto-ice-cream-raises-rs-15-cr-8739208</t>
        </is>
      </c>
    </row>
    <row r="376">
      <c r="A376" t="inlineStr">
        <is>
          <t>INC-20250222-13</t>
        </is>
      </c>
      <c r="B376" t="inlineStr">
        <is>
          <t>R250220-notoicecream</t>
        </is>
      </c>
      <c r="C376" t="inlineStr">
        <is>
          <t>Inc42</t>
        </is>
      </c>
      <c r="D376" s="17" t="n">
        <v>45708</v>
      </c>
      <c r="E376" t="inlineStr">
        <is>
          <t>NOTO</t>
        </is>
      </c>
      <c r="F376" t="inlineStr">
        <is>
          <t>$1.7 Mn</t>
        </is>
      </c>
      <c r="G376" s="19" t="n"/>
      <c r="H376" s="19" t="n">
        <v>1.7</v>
      </c>
      <c r="I376" t="inlineStr">
        <is>
          <t>Undisclosed</t>
        </is>
      </c>
      <c r="J376" t="inlineStr">
        <is>
          <t>Inflection Point Ventures</t>
        </is>
      </c>
      <c r="K376" t="inlineStr">
        <is>
          <t>https://inc42.com/buzz/from-udaan-to-the-whole-truth-indian-startups-raised-153-mn-this-week/</t>
        </is>
      </c>
    </row>
    <row r="377">
      <c r="A377" t="inlineStr">
        <is>
          <t>ENT-8738860</t>
        </is>
      </c>
      <c r="B377" t="inlineStr">
        <is>
          <t>R250220-onetabai</t>
        </is>
      </c>
      <c r="C377" t="inlineStr">
        <is>
          <t>Entrackr</t>
        </is>
      </c>
      <c r="D377" s="17" t="n">
        <v>45708</v>
      </c>
      <c r="E377" t="inlineStr">
        <is>
          <t>OneTab AI</t>
        </is>
      </c>
      <c r="F377" t="inlineStr">
        <is>
          <t>$3.3 million</t>
        </is>
      </c>
      <c r="G377" s="19" t="n">
        <v>28.6</v>
      </c>
      <c r="H377" s="19" t="n">
        <v>3.3</v>
      </c>
      <c r="I377" t="inlineStr">
        <is>
          <t>Seed</t>
        </is>
      </c>
      <c r="J377" t="inlineStr">
        <is>
          <t>LIT Fund; Orbit</t>
        </is>
      </c>
      <c r="K377" t="inlineStr">
        <is>
          <t>https://entrackr.com/snippets/onetab-ai-raises-33-mn-in-seed-round-8738860</t>
        </is>
      </c>
    </row>
    <row r="378">
      <c r="A378" t="inlineStr">
        <is>
          <t>INC-20250222-10</t>
        </is>
      </c>
      <c r="B378" t="inlineStr">
        <is>
          <t>R250220-onetabai</t>
        </is>
      </c>
      <c r="C378" t="inlineStr">
        <is>
          <t>Inc42</t>
        </is>
      </c>
      <c r="D378" s="17" t="n">
        <v>45708</v>
      </c>
      <c r="E378" t="inlineStr">
        <is>
          <t>OneTab</t>
        </is>
      </c>
      <c r="F378" t="inlineStr">
        <is>
          <t>$3.3 Mn</t>
        </is>
      </c>
      <c r="G378" s="19" t="n"/>
      <c r="H378" s="19" t="n">
        <v>3.3</v>
      </c>
      <c r="I378" t="inlineStr">
        <is>
          <t>Seed</t>
        </is>
      </c>
      <c r="J378" t="inlineStr">
        <is>
          <t>LIT Fund; Orbit</t>
        </is>
      </c>
      <c r="K378" t="inlineStr">
        <is>
          <t>https://inc42.com/buzz/from-udaan-to-the-whole-truth-indian-startups-raised-153-mn-this-week/</t>
        </is>
      </c>
    </row>
    <row r="379">
      <c r="A379" t="inlineStr">
        <is>
          <t>ET-118420110</t>
        </is>
      </c>
      <c r="B379" t="inlineStr">
        <is>
          <t>R250220-thewholetruth</t>
        </is>
      </c>
      <c r="C379" t="inlineStr">
        <is>
          <t>The Economic Times</t>
        </is>
      </c>
      <c r="D379" s="17" t="n">
        <v>45708</v>
      </c>
      <c r="E379" t="inlineStr">
        <is>
          <t>The Whole Truth</t>
        </is>
      </c>
      <c r="F379" t="inlineStr">
        <is>
          <t>$15 million</t>
        </is>
      </c>
      <c r="G379" s="19" t="n"/>
      <c r="H379" s="19" t="n">
        <v>15</v>
      </c>
      <c r="I379" t="inlineStr">
        <is>
          <t>Undisclosed</t>
        </is>
      </c>
      <c r="J379" t="inlineStr">
        <is>
          <t>Sofina</t>
        </is>
      </c>
      <c r="K379" t="inlineStr">
        <is>
          <t>https://economictimes.indiatimes.com/tech/funding/health-food-brand-the-whole-truth-raises-15-million/articleshow/118420110.cms</t>
        </is>
      </c>
    </row>
    <row r="380">
      <c r="A380" t="inlineStr">
        <is>
          <t>INC-20250222-03</t>
        </is>
      </c>
      <c r="B380" t="inlineStr">
        <is>
          <t>R250220-thewholetruth</t>
        </is>
      </c>
      <c r="C380" t="inlineStr">
        <is>
          <t>Inc42</t>
        </is>
      </c>
      <c r="D380" s="17" t="n">
        <v>45708</v>
      </c>
      <c r="E380" t="inlineStr">
        <is>
          <t>The Whole Truth</t>
        </is>
      </c>
      <c r="F380" t="inlineStr">
        <is>
          <t>$15 Mn</t>
        </is>
      </c>
      <c r="G380" s="19" t="n"/>
      <c r="H380" s="19" t="n">
        <v>15</v>
      </c>
      <c r="I380" t="inlineStr">
        <is>
          <t>Series C</t>
        </is>
      </c>
      <c r="J380" t="inlineStr">
        <is>
          <t>Sofina</t>
        </is>
      </c>
      <c r="K380" t="inlineStr">
        <is>
          <t>https://inc42.com/buzz/from-udaan-to-the-whole-truth-indian-startups-raised-153-mn-this-week/</t>
        </is>
      </c>
    </row>
    <row r="381">
      <c r="A381" t="inlineStr">
        <is>
          <t>ENT-8742363</t>
        </is>
      </c>
      <c r="B381" t="inlineStr">
        <is>
          <t>R250220-thewholetruth</t>
        </is>
      </c>
      <c r="C381" t="inlineStr">
        <is>
          <t>Entrackr</t>
        </is>
      </c>
      <c r="D381" s="17" t="n">
        <v>45709</v>
      </c>
      <c r="E381" t="inlineStr">
        <is>
          <t>The Whole Truth</t>
        </is>
      </c>
      <c r="F381" t="inlineStr">
        <is>
          <t>$15 million</t>
        </is>
      </c>
      <c r="G381" s="19" t="n"/>
      <c r="H381" s="19" t="n">
        <v>15</v>
      </c>
      <c r="I381" t="inlineStr">
        <is>
          <t>Series C</t>
        </is>
      </c>
      <c r="J381" t="inlineStr">
        <is>
          <t>Sofina</t>
        </is>
      </c>
      <c r="K381" t="inlineStr">
        <is>
          <t>https://entrackr.com/news/the-whole-truth-raises-15-mn-in-series-c-round-led-by-sofina-8742363</t>
        </is>
      </c>
    </row>
    <row r="382">
      <c r="A382" t="inlineStr">
        <is>
          <t>INC-20250301-03</t>
        </is>
      </c>
      <c r="B382" t="inlineStr">
        <is>
          <t>R250222-niyogin</t>
        </is>
      </c>
      <c r="C382" t="inlineStr">
        <is>
          <t>Inc42</t>
        </is>
      </c>
      <c r="D382" s="17" t="n">
        <v>45710</v>
      </c>
      <c r="E382" t="inlineStr">
        <is>
          <t>Niyogin</t>
        </is>
      </c>
      <c r="F382" t="inlineStr">
        <is>
          <t>$6.4 Mn</t>
        </is>
      </c>
      <c r="G382" s="19" t="n"/>
      <c r="H382" s="19" t="n">
        <v>6.4</v>
      </c>
      <c r="I382" t="inlineStr">
        <is>
          <t>Undisclosed</t>
        </is>
      </c>
      <c r="J382" t="inlineStr"/>
      <c r="K382" t="inlineStr">
        <is>
          <t>https://inc42.com/buzz/from-geniemode-to-quick-clean-indian-startups-raised-88-mn-this-week/</t>
        </is>
      </c>
    </row>
    <row r="383">
      <c r="A383" t="inlineStr">
        <is>
          <t>ENT-8751618</t>
        </is>
      </c>
      <c r="B383" t="inlineStr">
        <is>
          <t>R250224-geniemode</t>
        </is>
      </c>
      <c r="C383" t="inlineStr">
        <is>
          <t>Entrackr</t>
        </is>
      </c>
      <c r="D383" s="17" t="n">
        <v>45712</v>
      </c>
      <c r="E383" t="inlineStr">
        <is>
          <t>Geniemode</t>
        </is>
      </c>
      <c r="F383" t="inlineStr">
        <is>
          <t>$50 million</t>
        </is>
      </c>
      <c r="G383" s="19" t="n"/>
      <c r="H383" s="19" t="n">
        <v>50</v>
      </c>
      <c r="I383" t="inlineStr">
        <is>
          <t>Series C</t>
        </is>
      </c>
      <c r="J383" t="inlineStr">
        <is>
          <t>Multiples Alternate Asset Management</t>
        </is>
      </c>
      <c r="K383" t="inlineStr">
        <is>
          <t>https://entrackr.com/news/geniemode-raises-50-mn-in-series-c-round-led-by-multiples-and-fundamentum-8751618</t>
        </is>
      </c>
    </row>
    <row r="384">
      <c r="A384" t="inlineStr">
        <is>
          <t>ET-118536086</t>
        </is>
      </c>
      <c r="B384" t="inlineStr">
        <is>
          <t>R250224-geniemode</t>
        </is>
      </c>
      <c r="C384" t="inlineStr">
        <is>
          <t>The Economic Times</t>
        </is>
      </c>
      <c r="D384" s="17" t="n">
        <v>45712</v>
      </c>
      <c r="E384" t="inlineStr">
        <is>
          <t>Geniemode</t>
        </is>
      </c>
      <c r="F384" t="inlineStr">
        <is>
          <t>$50 million</t>
        </is>
      </c>
      <c r="G384" s="19" t="n"/>
      <c r="H384" s="19" t="n">
        <v>50</v>
      </c>
      <c r="I384" t="inlineStr">
        <is>
          <t>Series C</t>
        </is>
      </c>
      <c r="J384" t="inlineStr">
        <is>
          <t>Multiples Alternate Asset Management</t>
        </is>
      </c>
      <c r="K384" t="inlineStr">
        <is>
          <t>https://economictimes.indiatimes.com/tech/funding/b2b-sourcing-startup-geniemode-raises-50-million-in-round-led-by-multiples/articleshow/118536086.cms</t>
        </is>
      </c>
    </row>
    <row r="385">
      <c r="A385" t="inlineStr">
        <is>
          <t>INC-20250301-01</t>
        </is>
      </c>
      <c r="B385" t="inlineStr">
        <is>
          <t>R250224-geniemode</t>
        </is>
      </c>
      <c r="C385" t="inlineStr">
        <is>
          <t>Inc42</t>
        </is>
      </c>
      <c r="D385" s="17" t="n">
        <v>45712</v>
      </c>
      <c r="E385" t="inlineStr">
        <is>
          <t>Geniemode</t>
        </is>
      </c>
      <c r="F385" t="inlineStr">
        <is>
          <t>$50 Mn</t>
        </is>
      </c>
      <c r="G385" s="19" t="n"/>
      <c r="H385" s="19" t="n">
        <v>50</v>
      </c>
      <c r="I385" t="inlineStr">
        <is>
          <t>Series C</t>
        </is>
      </c>
      <c r="J385" t="inlineStr">
        <is>
          <t>Multiples Alternate Asset Management</t>
        </is>
      </c>
      <c r="K385" t="inlineStr">
        <is>
          <t>https://inc42.com/buzz/from-geniemode-to-quick-clean-indian-startups-raised-88-mn-this-week/</t>
        </is>
      </c>
    </row>
    <row r="386">
      <c r="A386" t="inlineStr">
        <is>
          <t>VCC-4f9a5bf5cb</t>
        </is>
      </c>
      <c r="B386" t="inlineStr">
        <is>
          <t>R250224-geniemode</t>
        </is>
      </c>
      <c r="C386" t="inlineStr">
        <is>
          <t>VCCircle</t>
        </is>
      </c>
      <c r="D386" s="17" t="n">
        <v>45712</v>
      </c>
      <c r="E386" t="inlineStr">
        <is>
          <t>sourcingplatform geniemode</t>
        </is>
      </c>
      <c r="F386" t="inlineStr">
        <is>
          <t>$ 50 million</t>
        </is>
      </c>
      <c r="G386" s="19" t="n"/>
      <c r="H386" s="19" t="n">
        <v>50</v>
      </c>
      <c r="I386" t="inlineStr">
        <is>
          <t>Undisclosed</t>
        </is>
      </c>
      <c r="J386" t="inlineStr">
        <is>
          <t>multiples pe</t>
        </is>
      </c>
      <c r="K386" t="inlineStr">
        <is>
          <t>https://www.vccircle.com/sourcingplatform-geniemode-raises-50-mn-led-by-multiples-pe-others</t>
        </is>
      </c>
    </row>
    <row r="387">
      <c r="A387" t="inlineStr">
        <is>
          <t>INC-20250301-16</t>
        </is>
      </c>
      <c r="B387" t="inlineStr">
        <is>
          <t>R250224-kiranapro</t>
        </is>
      </c>
      <c r="C387" t="inlineStr">
        <is>
          <t>Inc42</t>
        </is>
      </c>
      <c r="D387" s="17" t="n">
        <v>45712</v>
      </c>
      <c r="E387" t="inlineStr">
        <is>
          <t>KiranaPro</t>
        </is>
      </c>
      <c r="F387" t="inlineStr"/>
      <c r="G387" s="19" t="n"/>
      <c r="H387" s="19" t="n"/>
      <c r="I387" t="inlineStr">
        <is>
          <t>Undisclosed</t>
        </is>
      </c>
      <c r="J387" t="inlineStr">
        <is>
          <t>PV Sindhu</t>
        </is>
      </c>
      <c r="K387" t="inlineStr">
        <is>
          <t>https://inc42.com/buzz/from-geniemode-to-quick-clean-indian-startups-raised-88-mn-this-week/</t>
        </is>
      </c>
    </row>
    <row r="388">
      <c r="A388" t="inlineStr">
        <is>
          <t>INC-20250301-15</t>
        </is>
      </c>
      <c r="B388" t="inlineStr">
        <is>
          <t>R250224-makeinbox</t>
        </is>
      </c>
      <c r="C388" t="inlineStr">
        <is>
          <t>Inc42</t>
        </is>
      </c>
      <c r="D388" s="17" t="n">
        <v>45712</v>
      </c>
      <c r="E388" t="inlineStr">
        <is>
          <t>Make in Box</t>
        </is>
      </c>
      <c r="F388" t="inlineStr">
        <is>
          <t>$260K</t>
        </is>
      </c>
      <c r="G388" s="19" t="n"/>
      <c r="H388" s="19" t="n">
        <v>0.26</v>
      </c>
      <c r="I388" t="inlineStr">
        <is>
          <t>Pre-Seed</t>
        </is>
      </c>
      <c r="J388" t="inlineStr">
        <is>
          <t>Mile Deep Works</t>
        </is>
      </c>
      <c r="K388" t="inlineStr">
        <is>
          <t>https://inc42.com/buzz/from-geniemode-to-quick-clean-indian-startups-raised-88-mn-this-week/</t>
        </is>
      </c>
    </row>
    <row r="389">
      <c r="A389" t="inlineStr">
        <is>
          <t>ENT-8755436</t>
        </is>
      </c>
      <c r="B389" t="inlineStr">
        <is>
          <t>R250224-makeinbox</t>
        </is>
      </c>
      <c r="C389" t="inlineStr">
        <is>
          <t>Entrackr</t>
        </is>
      </c>
      <c r="D389" s="17" t="n">
        <v>45713</v>
      </c>
      <c r="E389" t="inlineStr">
        <is>
          <t>Make in Box</t>
        </is>
      </c>
      <c r="F389" t="inlineStr">
        <is>
          <t>$260,000</t>
        </is>
      </c>
      <c r="G389" s="19" t="n"/>
      <c r="H389" s="19" t="n">
        <v>0.26</v>
      </c>
      <c r="I389" t="inlineStr">
        <is>
          <t>Undisclosed</t>
        </is>
      </c>
      <c r="J389" t="inlineStr">
        <is>
          <t>Mile Deep Works; Mile Deep Capital</t>
        </is>
      </c>
      <c r="K389" t="inlineStr">
        <is>
          <t>https://entrackr.com/snippets/make-in-box-secures-260k-in-pre-series-funding-round-8755436</t>
        </is>
      </c>
    </row>
    <row r="390">
      <c r="A390" t="inlineStr">
        <is>
          <t>ENT-8751441</t>
        </is>
      </c>
      <c r="B390" t="inlineStr">
        <is>
          <t>R250224-oxyzo</t>
        </is>
      </c>
      <c r="C390" t="inlineStr">
        <is>
          <t>Entrackr</t>
        </is>
      </c>
      <c r="D390" s="17" t="n">
        <v>45712</v>
      </c>
      <c r="E390" t="inlineStr">
        <is>
          <t>Oxyzo</t>
        </is>
      </c>
      <c r="F390" t="inlineStr">
        <is>
          <t>Rs 100 crore</t>
        </is>
      </c>
      <c r="G390" s="19" t="n">
        <v>100</v>
      </c>
      <c r="H390" s="19" t="n">
        <v>12</v>
      </c>
      <c r="I390" t="inlineStr">
        <is>
          <t>Debt</t>
        </is>
      </c>
      <c r="J390" t="inlineStr"/>
      <c r="K390" t="inlineStr">
        <is>
          <t>https://entrackr.com/exclusive/exclusive-oxyzo-secures-rs-100-cr-debt-8751441</t>
        </is>
      </c>
    </row>
    <row r="391">
      <c r="A391" t="inlineStr">
        <is>
          <t>INC-20250301-02</t>
        </is>
      </c>
      <c r="B391" t="inlineStr">
        <is>
          <t>R250224-oxyzo</t>
        </is>
      </c>
      <c r="C391" t="inlineStr">
        <is>
          <t>Inc42</t>
        </is>
      </c>
      <c r="D391" s="17" t="n">
        <v>45712</v>
      </c>
      <c r="E391" t="inlineStr">
        <is>
          <t>Oxyzo</t>
        </is>
      </c>
      <c r="F391" t="inlineStr">
        <is>
          <t>$11.5 Mn</t>
        </is>
      </c>
      <c r="G391" s="19" t="n"/>
      <c r="H391" s="19" t="n">
        <v>11.5</v>
      </c>
      <c r="I391" t="inlineStr">
        <is>
          <t>Debt</t>
        </is>
      </c>
      <c r="J391" t="inlineStr">
        <is>
          <t>AK Capital</t>
        </is>
      </c>
      <c r="K391" t="inlineStr">
        <is>
          <t>https://inc42.com/buzz/from-geniemode-to-quick-clean-indian-startups-raised-88-mn-this-week/</t>
        </is>
      </c>
    </row>
    <row r="392">
      <c r="A392" t="inlineStr">
        <is>
          <t>ENT-8754518</t>
        </is>
      </c>
      <c r="B392" t="inlineStr">
        <is>
          <t>R250225-dodopayments</t>
        </is>
      </c>
      <c r="C392" t="inlineStr">
        <is>
          <t>Entrackr</t>
        </is>
      </c>
      <c r="D392" s="17" t="n">
        <v>45713</v>
      </c>
      <c r="E392" t="inlineStr">
        <is>
          <t>Dodo Payments</t>
        </is>
      </c>
      <c r="F392" t="inlineStr">
        <is>
          <t>$1.1 million</t>
        </is>
      </c>
      <c r="G392" s="19" t="n"/>
      <c r="H392" s="19" t="n">
        <v>1.1</v>
      </c>
      <c r="I392" t="inlineStr">
        <is>
          <t>Pre-Seed</t>
        </is>
      </c>
      <c r="J392" t="inlineStr">
        <is>
          <t>Antler; 9Unicorns; Venture Catalysts</t>
        </is>
      </c>
      <c r="K392" t="inlineStr">
        <is>
          <t>https://entrackr.com/snippets/dodo-payments-raises-11-mn-in-pre-seed-round-8754518</t>
        </is>
      </c>
    </row>
    <row r="393">
      <c r="A393" t="inlineStr">
        <is>
          <t>ET-118551842</t>
        </is>
      </c>
      <c r="B393" t="inlineStr">
        <is>
          <t>R250225-dodopayments</t>
        </is>
      </c>
      <c r="C393" t="inlineStr">
        <is>
          <t>The Economic Times</t>
        </is>
      </c>
      <c r="D393" s="17" t="n">
        <v>45713</v>
      </c>
      <c r="E393" t="inlineStr">
        <is>
          <t>Dodo Payments</t>
        </is>
      </c>
      <c r="F393" t="inlineStr">
        <is>
          <t>$1.1 million</t>
        </is>
      </c>
      <c r="G393" s="19" t="n"/>
      <c r="H393" s="19" t="n">
        <v>1.1</v>
      </c>
      <c r="I393" t="inlineStr">
        <is>
          <t>Pre-Seed</t>
        </is>
      </c>
      <c r="J393" t="inlineStr">
        <is>
          <t>Antler; 9Unicorns; Venture Catalysts</t>
        </is>
      </c>
      <c r="K393" t="inlineStr">
        <is>
          <t>https://economictimes.indiatimes.com/tech/funding/cross-border-payments-startup-dodo-payments-raises-1-1-million-pre-seed-funding/articleshow/118551842.cms</t>
        </is>
      </c>
    </row>
    <row r="394">
      <c r="A394" t="inlineStr">
        <is>
          <t>INC-20250301-11</t>
        </is>
      </c>
      <c r="B394" t="inlineStr">
        <is>
          <t>R250225-dodopayments</t>
        </is>
      </c>
      <c r="C394" t="inlineStr">
        <is>
          <t>Inc42</t>
        </is>
      </c>
      <c r="D394" s="17" t="n">
        <v>45713</v>
      </c>
      <c r="E394" t="inlineStr">
        <is>
          <t>Dodo Payments</t>
        </is>
      </c>
      <c r="F394" t="inlineStr">
        <is>
          <t>$1.1 Mn</t>
        </is>
      </c>
      <c r="G394" s="19" t="n"/>
      <c r="H394" s="19" t="n">
        <v>1.1</v>
      </c>
      <c r="I394" t="inlineStr">
        <is>
          <t>Pre-Seed</t>
        </is>
      </c>
      <c r="J394" t="inlineStr">
        <is>
          <t>Antler; 9Unicorns; Venture Catalysts</t>
        </is>
      </c>
      <c r="K394" t="inlineStr">
        <is>
          <t>https://inc42.com/buzz/from-geniemode-to-quick-clean-indian-startups-raised-88-mn-this-week/</t>
        </is>
      </c>
    </row>
    <row r="395">
      <c r="A395" t="inlineStr">
        <is>
          <t>ENT-8756369</t>
        </is>
      </c>
      <c r="B395" t="inlineStr">
        <is>
          <t>R250225-jobizo</t>
        </is>
      </c>
      <c r="C395" t="inlineStr">
        <is>
          <t>Entrackr</t>
        </is>
      </c>
      <c r="D395" s="17" t="n">
        <v>45713</v>
      </c>
      <c r="E395" t="inlineStr">
        <is>
          <t>Jobizo</t>
        </is>
      </c>
      <c r="F395" t="inlineStr">
        <is>
          <t>$1.4 million</t>
        </is>
      </c>
      <c r="G395" s="19" t="n"/>
      <c r="H395" s="19" t="n">
        <v>1.4</v>
      </c>
      <c r="I395" t="inlineStr">
        <is>
          <t>Undisclosed</t>
        </is>
      </c>
      <c r="J395" t="inlineStr">
        <is>
          <t>Alkemi Growth Capital</t>
        </is>
      </c>
      <c r="K395" t="inlineStr">
        <is>
          <t>https://entrackr.com/snippets/jobizo-raises-14-mn-led-by-alkemi-growth-capital-8756369</t>
        </is>
      </c>
    </row>
    <row r="396">
      <c r="A396" t="inlineStr">
        <is>
          <t>ENT-8754530</t>
        </is>
      </c>
      <c r="B396" t="inlineStr">
        <is>
          <t>R250225-technodysis</t>
        </is>
      </c>
      <c r="C396" t="inlineStr">
        <is>
          <t>Entrackr</t>
        </is>
      </c>
      <c r="D396" s="17" t="n">
        <v>45713</v>
      </c>
      <c r="E396" t="inlineStr">
        <is>
          <t>Technodysis</t>
        </is>
      </c>
      <c r="F396" t="inlineStr">
        <is>
          <t>Rs 10 crore</t>
        </is>
      </c>
      <c r="G396" s="19" t="n">
        <v>10</v>
      </c>
      <c r="H396" s="19" t="n"/>
      <c r="I396" t="inlineStr">
        <is>
          <t>Debt</t>
        </is>
      </c>
      <c r="J396" t="inlineStr"/>
      <c r="K396" t="inlineStr">
        <is>
          <t>https://entrackr.com/snippets/technodysis-secures-rs-10-cr-in-debt-from-recur-club-8754530</t>
        </is>
      </c>
    </row>
    <row r="397">
      <c r="A397" t="inlineStr">
        <is>
          <t>ENT-8758171</t>
        </is>
      </c>
      <c r="B397" t="inlineStr">
        <is>
          <t>R250226-drreddy</t>
        </is>
      </c>
      <c r="C397" t="inlineStr">
        <is>
          <t>Entrackr</t>
        </is>
      </c>
      <c r="D397" s="17" t="n">
        <v>45714</v>
      </c>
      <c r="E397" t="inlineStr">
        <is>
          <t>Dr. Reddy</t>
        </is>
      </c>
      <c r="F397" t="inlineStr">
        <is>
          <t>Rs 30 crore</t>
        </is>
      </c>
      <c r="G397" s="19" t="n">
        <v>30</v>
      </c>
      <c r="H397" s="19" t="n"/>
      <c r="I397" t="inlineStr">
        <is>
          <t>Undisclosed</t>
        </is>
      </c>
      <c r="J397" t="inlineStr"/>
      <c r="K397" t="inlineStr">
        <is>
          <t>https://entrackr.com/snippets/go-digit-invests-rs-30-cr-in-dr-reddys-lab-8758171</t>
        </is>
      </c>
    </row>
    <row r="398">
      <c r="A398" t="inlineStr">
        <is>
          <t>ET-118578517</t>
        </is>
      </c>
      <c r="B398" t="inlineStr">
        <is>
          <t>R250226-drreddy</t>
        </is>
      </c>
      <c r="C398" t="inlineStr">
        <is>
          <t>The Economic Times</t>
        </is>
      </c>
      <c r="D398" s="17" t="n">
        <v>45714</v>
      </c>
      <c r="E398" t="inlineStr">
        <is>
          <t>Dr Reddy</t>
        </is>
      </c>
      <c r="F398" t="inlineStr">
        <is>
          <t>Rs 30.06 crore</t>
        </is>
      </c>
      <c r="G398" s="19" t="n">
        <v>30.06</v>
      </c>
      <c r="H398" s="19" t="n"/>
      <c r="I398" t="inlineStr">
        <is>
          <t>Undisclosed</t>
        </is>
      </c>
      <c r="J398" t="inlineStr"/>
      <c r="K398" t="inlineStr">
        <is>
          <t>https://economictimes.indiatimes.com/tech/funding/go-digit-general-insurance-invests-rs-30-crore-in-dr-reddys-laboratories/articleshow/118578517.cms</t>
        </is>
      </c>
    </row>
    <row r="399">
      <c r="A399" t="inlineStr">
        <is>
          <t>ENT-8757888</t>
        </is>
      </c>
      <c r="B399" t="inlineStr">
        <is>
          <t>R250226-hiwipay</t>
        </is>
      </c>
      <c r="C399" t="inlineStr">
        <is>
          <t>Entrackr</t>
        </is>
      </c>
      <c r="D399" s="17" t="n">
        <v>45714</v>
      </c>
      <c r="E399" t="inlineStr">
        <is>
          <t>HiWiPay</t>
        </is>
      </c>
      <c r="F399" t="inlineStr">
        <is>
          <t>$2 million</t>
        </is>
      </c>
      <c r="G399" s="19" t="n"/>
      <c r="H399" s="19" t="n">
        <v>2</v>
      </c>
      <c r="I399" t="inlineStr">
        <is>
          <t>Seed</t>
        </is>
      </c>
      <c r="J399" t="inlineStr">
        <is>
          <t>Unicorn India Ventures</t>
        </is>
      </c>
      <c r="K399" t="inlineStr">
        <is>
          <t>https://entrackr.com/snippets/hiwipay-raises-2-mn-in-seed-funding-led-by-unicorn-india-ventures-8757888</t>
        </is>
      </c>
    </row>
    <row r="400">
      <c r="A400" t="inlineStr">
        <is>
          <t>ET-118582133</t>
        </is>
      </c>
      <c r="B400" t="inlineStr">
        <is>
          <t>R250226-hiwipay</t>
        </is>
      </c>
      <c r="C400" t="inlineStr">
        <is>
          <t>The Economic Times</t>
        </is>
      </c>
      <c r="D400" s="17" t="n">
        <v>45714</v>
      </c>
      <c r="E400" t="inlineStr">
        <is>
          <t>HiwiPay</t>
        </is>
      </c>
      <c r="F400" t="inlineStr">
        <is>
          <t>$2 million</t>
        </is>
      </c>
      <c r="G400" s="19" t="n"/>
      <c r="H400" s="19" t="n">
        <v>2</v>
      </c>
      <c r="I400" t="inlineStr">
        <is>
          <t>Undisclosed</t>
        </is>
      </c>
      <c r="J400" t="inlineStr">
        <is>
          <t>Unicorn India Ventures</t>
        </is>
      </c>
      <c r="K400" t="inlineStr">
        <is>
          <t>https://economictimes.indiatimes.com/tech/funding/cross-border-payments-startup-hiwipay-raises-2-million-from-unicorn-india-ventures-others/articleshow/118582133.cms</t>
        </is>
      </c>
    </row>
    <row r="401">
      <c r="A401" t="inlineStr">
        <is>
          <t>INC-20250301-07</t>
        </is>
      </c>
      <c r="B401" t="inlineStr">
        <is>
          <t>R250226-hiwipay</t>
        </is>
      </c>
      <c r="C401" t="inlineStr">
        <is>
          <t>Inc42</t>
        </is>
      </c>
      <c r="D401" s="17" t="n">
        <v>45714</v>
      </c>
      <c r="E401" t="inlineStr">
        <is>
          <t>HiWiPay</t>
        </is>
      </c>
      <c r="F401" t="inlineStr">
        <is>
          <t>$2 Mn</t>
        </is>
      </c>
      <c r="G401" s="19" t="n"/>
      <c r="H401" s="19" t="n">
        <v>2</v>
      </c>
      <c r="I401" t="inlineStr">
        <is>
          <t>Seed</t>
        </is>
      </c>
      <c r="J401" t="inlineStr">
        <is>
          <t>Unicorn India Ventures</t>
        </is>
      </c>
      <c r="K401" t="inlineStr">
        <is>
          <t>https://inc42.com/buzz/from-geniemode-to-quick-clean-indian-startups-raised-88-mn-this-week/</t>
        </is>
      </c>
    </row>
    <row r="402">
      <c r="A402" t="inlineStr">
        <is>
          <t>INC-20250301-14</t>
        </is>
      </c>
      <c r="B402" t="inlineStr">
        <is>
          <t>R250226-hornet</t>
        </is>
      </c>
      <c r="C402" t="inlineStr">
        <is>
          <t>Inc42</t>
        </is>
      </c>
      <c r="D402" s="17" t="n">
        <v>45714</v>
      </c>
      <c r="E402" t="inlineStr">
        <is>
          <t>Hornet</t>
        </is>
      </c>
      <c r="F402" t="inlineStr">
        <is>
          <t>$458K</t>
        </is>
      </c>
      <c r="G402" s="19" t="n"/>
      <c r="H402" s="19" t="n">
        <v>0.458</v>
      </c>
      <c r="I402" t="inlineStr">
        <is>
          <t>Seed</t>
        </is>
      </c>
      <c r="J402" t="inlineStr">
        <is>
          <t>Artha Venture Fund</t>
        </is>
      </c>
      <c r="K402" t="inlineStr">
        <is>
          <t>https://inc42.com/buzz/from-geniemode-to-quick-clean-indian-startups-raised-88-mn-this-week/</t>
        </is>
      </c>
    </row>
    <row r="403">
      <c r="A403" t="inlineStr">
        <is>
          <t>ENT-8757518</t>
        </is>
      </c>
      <c r="B403" t="inlineStr">
        <is>
          <t>R250226-moccancercare</t>
        </is>
      </c>
      <c r="C403" t="inlineStr">
        <is>
          <t>Entrackr</t>
        </is>
      </c>
      <c r="D403" s="17" t="n">
        <v>45714</v>
      </c>
      <c r="E403" t="inlineStr">
        <is>
          <t>MOC Cancer Care</t>
        </is>
      </c>
      <c r="F403" t="inlineStr">
        <is>
          <t>$18 million</t>
        </is>
      </c>
      <c r="G403" s="19" t="n"/>
      <c r="H403" s="19" t="n">
        <v>18</v>
      </c>
      <c r="I403" t="inlineStr">
        <is>
          <t>Undisclosed</t>
        </is>
      </c>
      <c r="J403" t="inlineStr">
        <is>
          <t>Elevation Capital</t>
        </is>
      </c>
      <c r="K403" t="inlineStr">
        <is>
          <t>https://entrackr.com/news/moc-cancer-care-raises-18-mn-led-by-elevation-capital-8757518</t>
        </is>
      </c>
    </row>
    <row r="404">
      <c r="A404" t="inlineStr">
        <is>
          <t>ET-118563528</t>
        </is>
      </c>
      <c r="B404" t="inlineStr">
        <is>
          <t>R250226-moccancercare</t>
        </is>
      </c>
      <c r="C404" t="inlineStr">
        <is>
          <t>The Economic Times</t>
        </is>
      </c>
      <c r="D404" s="17" t="n">
        <v>45714</v>
      </c>
      <c r="E404" t="inlineStr">
        <is>
          <t>MOC Cancer Care</t>
        </is>
      </c>
      <c r="F404" t="inlineStr">
        <is>
          <t>$18 million</t>
        </is>
      </c>
      <c r="G404" s="19" t="n"/>
      <c r="H404" s="19" t="n">
        <v>18</v>
      </c>
      <c r="I404" t="inlineStr">
        <is>
          <t>Undisclosed</t>
        </is>
      </c>
      <c r="J404" t="inlineStr"/>
      <c r="K404" t="inlineStr">
        <is>
          <t>https://economictimes.indiatimes.com/tech/funding/moc-cancer-care-raises-18-million-from-elevation-capital/articleshow/118563528.cms</t>
        </is>
      </c>
    </row>
    <row r="405">
      <c r="A405" t="inlineStr">
        <is>
          <t>VCC-e30d105f5a</t>
        </is>
      </c>
      <c r="B405" t="inlineStr">
        <is>
          <t>R250226-moccancercare</t>
        </is>
      </c>
      <c r="C405" t="inlineStr">
        <is>
          <t>VCCircle</t>
        </is>
      </c>
      <c r="D405" s="17" t="n">
        <v>45715</v>
      </c>
      <c r="E405" t="inlineStr">
        <is>
          <t>moc cancer care</t>
        </is>
      </c>
      <c r="F405" t="inlineStr"/>
      <c r="G405" s="19" t="n"/>
      <c r="H405" s="19" t="n"/>
      <c r="I405" t="inlineStr">
        <is>
          <t>Series B</t>
        </is>
      </c>
      <c r="J405" t="inlineStr"/>
      <c r="K405" t="inlineStr">
        <is>
          <t>https://www.vccircle.com/elevationcapital-leads-series-b-funding-in-moc-cancer-care</t>
        </is>
      </c>
    </row>
    <row r="406">
      <c r="A406" t="inlineStr">
        <is>
          <t>ENT-8758289</t>
        </is>
      </c>
      <c r="B406" t="inlineStr">
        <is>
          <t>R250226-quickclean</t>
        </is>
      </c>
      <c r="C406" t="inlineStr">
        <is>
          <t>Entrackr</t>
        </is>
      </c>
      <c r="D406" s="17" t="n">
        <v>45714</v>
      </c>
      <c r="E406" t="inlineStr">
        <is>
          <t>Quick Clean</t>
        </is>
      </c>
      <c r="F406" t="inlineStr">
        <is>
          <t>Rs 50 crore</t>
        </is>
      </c>
      <c r="G406" s="19" t="n">
        <v>50</v>
      </c>
      <c r="H406" s="19" t="n">
        <v>5.7</v>
      </c>
      <c r="I406" t="inlineStr">
        <is>
          <t>Series A</t>
        </is>
      </c>
      <c r="J406" t="inlineStr">
        <is>
          <t>Alkemi Growth Capital; Blue Ashva Capital</t>
        </is>
      </c>
      <c r="K406" t="inlineStr">
        <is>
          <t>https://entrackr.com/snippets/quick-clean-raises-rs-50-cr-in-series-a-round-8758289</t>
        </is>
      </c>
    </row>
    <row r="407">
      <c r="A407" t="inlineStr">
        <is>
          <t>INC-20250301-04</t>
        </is>
      </c>
      <c r="B407" t="inlineStr">
        <is>
          <t>R250226-quickclean</t>
        </is>
      </c>
      <c r="C407" t="inlineStr">
        <is>
          <t>Inc42</t>
        </is>
      </c>
      <c r="D407" s="17" t="n">
        <v>45714</v>
      </c>
      <c r="E407" t="inlineStr">
        <is>
          <t>Quick Clean</t>
        </is>
      </c>
      <c r="F407" t="inlineStr">
        <is>
          <t>$6 Mn</t>
        </is>
      </c>
      <c r="G407" s="19" t="n"/>
      <c r="H407" s="19" t="n">
        <v>6</v>
      </c>
      <c r="I407" t="inlineStr">
        <is>
          <t>Undisclosed</t>
        </is>
      </c>
      <c r="J407" t="inlineStr">
        <is>
          <t>Alkemi Growth Capital; Blue Ashva Capital</t>
        </is>
      </c>
      <c r="K407" t="inlineStr">
        <is>
          <t>https://inc42.com/buzz/from-geniemode-to-quick-clean-indian-startups-raised-88-mn-this-week/</t>
        </is>
      </c>
    </row>
    <row r="408">
      <c r="A408" t="inlineStr">
        <is>
          <t>ENT-8757670</t>
        </is>
      </c>
      <c r="B408" t="inlineStr">
        <is>
          <t>R250226-tripletapgames</t>
        </is>
      </c>
      <c r="C408" t="inlineStr">
        <is>
          <t>Entrackr</t>
        </is>
      </c>
      <c r="D408" s="17" t="n">
        <v>45714</v>
      </c>
      <c r="E408" t="inlineStr">
        <is>
          <t>Triple Tap Games</t>
        </is>
      </c>
      <c r="F408" t="inlineStr">
        <is>
          <t>$1.2 million</t>
        </is>
      </c>
      <c r="G408" s="19" t="n"/>
      <c r="H408" s="19" t="n">
        <v>1.2</v>
      </c>
      <c r="I408" t="inlineStr">
        <is>
          <t>Pre-Seed</t>
        </is>
      </c>
      <c r="J408" t="inlineStr">
        <is>
          <t>Eximius Ventures; Kalaari Capital</t>
        </is>
      </c>
      <c r="K408" t="inlineStr">
        <is>
          <t>https://entrackr.com/snippets/triple-tap-games-raises-12-mn-in-pre-seed-round-led-by-eximius-and-kalaari-8757670</t>
        </is>
      </c>
    </row>
    <row r="409">
      <c r="A409" t="inlineStr">
        <is>
          <t>INC-20250301-10</t>
        </is>
      </c>
      <c r="B409" t="inlineStr">
        <is>
          <t>R250226-tripletapgames</t>
        </is>
      </c>
      <c r="C409" t="inlineStr">
        <is>
          <t>Inc42</t>
        </is>
      </c>
      <c r="D409" s="17" t="n">
        <v>45714</v>
      </c>
      <c r="E409" t="inlineStr">
        <is>
          <t>Triple Tap Games</t>
        </is>
      </c>
      <c r="F409" t="inlineStr">
        <is>
          <t>$1.2 Mn</t>
        </is>
      </c>
      <c r="G409" s="19" t="n"/>
      <c r="H409" s="19" t="n">
        <v>1.2</v>
      </c>
      <c r="I409" t="inlineStr">
        <is>
          <t>Seed</t>
        </is>
      </c>
      <c r="J409" t="inlineStr">
        <is>
          <t>Eximius Ventures; Kalaari Capital</t>
        </is>
      </c>
      <c r="K409" t="inlineStr">
        <is>
          <t>https://inc42.com/buzz/from-geniemode-to-quick-clean-indian-startups-raised-88-mn-this-week/</t>
        </is>
      </c>
    </row>
    <row r="410">
      <c r="A410" t="inlineStr">
        <is>
          <t>ENT-8757423</t>
        </is>
      </c>
      <c r="B410" t="inlineStr">
        <is>
          <t>R250226-vidyut</t>
        </is>
      </c>
      <c r="C410" t="inlineStr">
        <is>
          <t>Entrackr</t>
        </is>
      </c>
      <c r="D410" s="17" t="n">
        <v>45714</v>
      </c>
      <c r="E410" t="inlineStr">
        <is>
          <t>Vidyut</t>
        </is>
      </c>
      <c r="F410" t="inlineStr">
        <is>
          <t>$2.5 million</t>
        </is>
      </c>
      <c r="G410" s="19" t="n"/>
      <c r="H410" s="19" t="n">
        <v>2.5</v>
      </c>
      <c r="I410" t="inlineStr">
        <is>
          <t>Undisclosed</t>
        </is>
      </c>
      <c r="J410" t="inlineStr"/>
      <c r="K410" t="inlineStr">
        <is>
          <t>https://entrackr.com/snippets/vidyut-raises-25-mn-to-expand-battery-as-a-service-financing-biz-8757423</t>
        </is>
      </c>
    </row>
    <row r="411">
      <c r="A411" t="inlineStr">
        <is>
          <t>ET-118573544</t>
        </is>
      </c>
      <c r="B411" t="inlineStr">
        <is>
          <t>R250226-vidyut</t>
        </is>
      </c>
      <c r="C411" t="inlineStr">
        <is>
          <t>The Economic Times</t>
        </is>
      </c>
      <c r="D411" s="17" t="n">
        <v>45714</v>
      </c>
      <c r="E411" t="inlineStr">
        <is>
          <t>Vidyut</t>
        </is>
      </c>
      <c r="F411" t="inlineStr">
        <is>
          <t>$2.5 million</t>
        </is>
      </c>
      <c r="G411" s="19" t="n"/>
      <c r="H411" s="19" t="n">
        <v>2.5</v>
      </c>
      <c r="I411" t="inlineStr">
        <is>
          <t>Undisclosed</t>
        </is>
      </c>
      <c r="J411" t="inlineStr"/>
      <c r="K411" t="inlineStr">
        <is>
          <t>https://economictimes.indiatimes.com/tech/funding/ev-financing-startup-vidyut-raises-2-5-million-from-flourish-ventures/articleshow/118573544.cms</t>
        </is>
      </c>
    </row>
    <row r="412">
      <c r="A412" t="inlineStr">
        <is>
          <t>INC-20250301-06</t>
        </is>
      </c>
      <c r="B412" t="inlineStr">
        <is>
          <t>R250226-vidyut</t>
        </is>
      </c>
      <c r="C412" t="inlineStr">
        <is>
          <t>Inc42</t>
        </is>
      </c>
      <c r="D412" s="17" t="n">
        <v>45714</v>
      </c>
      <c r="E412" t="inlineStr">
        <is>
          <t>Vidyut</t>
        </is>
      </c>
      <c r="F412" t="inlineStr">
        <is>
          <t>$2.5 Mn</t>
        </is>
      </c>
      <c r="G412" s="19" t="n"/>
      <c r="H412" s="19" t="n">
        <v>2.5</v>
      </c>
      <c r="I412" t="inlineStr">
        <is>
          <t>Undisclosed</t>
        </is>
      </c>
      <c r="J412" t="inlineStr">
        <is>
          <t>Flourish Ventures</t>
        </is>
      </c>
      <c r="K412" t="inlineStr">
        <is>
          <t>https://inc42.com/buzz/from-geniemode-to-quick-clean-indian-startups-raised-88-mn-this-week/</t>
        </is>
      </c>
    </row>
    <row r="413">
      <c r="A413" t="inlineStr">
        <is>
          <t>ENT-8760743</t>
        </is>
      </c>
      <c r="B413" t="inlineStr">
        <is>
          <t>R250227-astrogatelabs</t>
        </is>
      </c>
      <c r="C413" t="inlineStr">
        <is>
          <t>Entrackr</t>
        </is>
      </c>
      <c r="D413" s="17" t="n">
        <v>45715</v>
      </c>
      <c r="E413" t="inlineStr">
        <is>
          <t>Astrogate Labs</t>
        </is>
      </c>
      <c r="F413" t="inlineStr">
        <is>
          <t>$1.3 million</t>
        </is>
      </c>
      <c r="G413" s="19" t="n"/>
      <c r="H413" s="19" t="n">
        <v>1.3</v>
      </c>
      <c r="I413" t="inlineStr">
        <is>
          <t>Undisclosed</t>
        </is>
      </c>
      <c r="J413" t="inlineStr">
        <is>
          <t>Piper Serica Angel Fund</t>
        </is>
      </c>
      <c r="K413" t="inlineStr">
        <is>
          <t>https://entrackr.com/snippets/astrogate-labs-raises-13-mn-led-by-piper-serica-8760743</t>
        </is>
      </c>
    </row>
    <row r="414">
      <c r="A414" t="inlineStr">
        <is>
          <t>ET-118601900</t>
        </is>
      </c>
      <c r="B414" t="inlineStr">
        <is>
          <t>R250227-astrogatelabs</t>
        </is>
      </c>
      <c r="C414" t="inlineStr">
        <is>
          <t>The Economic Times</t>
        </is>
      </c>
      <c r="D414" s="17" t="n">
        <v>45715</v>
      </c>
      <c r="E414" t="inlineStr">
        <is>
          <t>Astrogate Labs</t>
        </is>
      </c>
      <c r="F414" t="inlineStr">
        <is>
          <t>$1.3 million</t>
        </is>
      </c>
      <c r="G414" s="19" t="n"/>
      <c r="H414" s="19" t="n">
        <v>1.3</v>
      </c>
      <c r="I414" t="inlineStr">
        <is>
          <t>Undisclosed</t>
        </is>
      </c>
      <c r="J414" t="inlineStr">
        <is>
          <t>Piper Serica Angel Fund</t>
        </is>
      </c>
      <c r="K414" t="inlineStr">
        <is>
          <t>https://economictimes.indiatimes.com/tech/funding/space-tech-firm-astrogate-labs-raises-1-3-million-in-pre-series-round-led-by-piper-serica/articleshow/118601900.cms</t>
        </is>
      </c>
    </row>
    <row r="415">
      <c r="A415" t="inlineStr">
        <is>
          <t>INC-20250301-09</t>
        </is>
      </c>
      <c r="B415" t="inlineStr">
        <is>
          <t>R250227-astrogatelabs</t>
        </is>
      </c>
      <c r="C415" t="inlineStr">
        <is>
          <t>Inc42</t>
        </is>
      </c>
      <c r="D415" s="17" t="n">
        <v>45715</v>
      </c>
      <c r="E415" t="inlineStr">
        <is>
          <t>Astrogate Labs</t>
        </is>
      </c>
      <c r="F415" t="inlineStr">
        <is>
          <t>$1.3 Mn</t>
        </is>
      </c>
      <c r="G415" s="19" t="n"/>
      <c r="H415" s="19" t="n">
        <v>1.3</v>
      </c>
      <c r="I415" t="inlineStr">
        <is>
          <t>Undisclosed</t>
        </is>
      </c>
      <c r="J415" t="inlineStr">
        <is>
          <t>Piper Serica Angel Fund</t>
        </is>
      </c>
      <c r="K415" t="inlineStr">
        <is>
          <t>https://inc42.com/buzz/from-geniemode-to-quick-clean-indian-startups-raised-88-mn-this-week/</t>
        </is>
      </c>
    </row>
    <row r="416">
      <c r="A416" t="inlineStr">
        <is>
          <t>ENT-8761096</t>
        </is>
      </c>
      <c r="B416" t="inlineStr">
        <is>
          <t>R250227-earthful</t>
        </is>
      </c>
      <c r="C416" t="inlineStr">
        <is>
          <t>Entrackr</t>
        </is>
      </c>
      <c r="D416" s="17" t="n">
        <v>45715</v>
      </c>
      <c r="E416" t="inlineStr">
        <is>
          <t>Earthful</t>
        </is>
      </c>
      <c r="F416" t="inlineStr">
        <is>
          <t>Rs 5 crore</t>
        </is>
      </c>
      <c r="G416" s="19" t="n">
        <v>5</v>
      </c>
      <c r="H416" s="19" t="n"/>
      <c r="I416" t="inlineStr">
        <is>
          <t>Seed</t>
        </is>
      </c>
      <c r="J416" t="inlineStr">
        <is>
          <t>Srinivasan Namala</t>
        </is>
      </c>
      <c r="K416" t="inlineStr">
        <is>
          <t>https://entrackr.com/snippets/nutrition-brand-earthful-raises-seed-round-8761096</t>
        </is>
      </c>
    </row>
    <row r="417">
      <c r="A417" t="inlineStr">
        <is>
          <t>INC-20250301-12</t>
        </is>
      </c>
      <c r="B417" t="inlineStr">
        <is>
          <t>R250227-earthful</t>
        </is>
      </c>
      <c r="C417" t="inlineStr">
        <is>
          <t>Inc42</t>
        </is>
      </c>
      <c r="D417" s="17" t="n">
        <v>45715</v>
      </c>
      <c r="E417" t="inlineStr">
        <is>
          <t>Earthful</t>
        </is>
      </c>
      <c r="F417" t="inlineStr">
        <is>
          <t>$572K</t>
        </is>
      </c>
      <c r="G417" s="19" t="n"/>
      <c r="H417" s="19" t="n">
        <v>0.572</v>
      </c>
      <c r="I417" t="inlineStr">
        <is>
          <t>Undisclosed</t>
        </is>
      </c>
      <c r="J417" t="inlineStr">
        <is>
          <t>Srinivasan Namala</t>
        </is>
      </c>
      <c r="K417" t="inlineStr">
        <is>
          <t>https://inc42.com/buzz/from-geniemode-to-quick-clean-indian-startups-raised-88-mn-this-week/</t>
        </is>
      </c>
    </row>
    <row r="418">
      <c r="A418" t="inlineStr">
        <is>
          <t>ENT-8761698</t>
        </is>
      </c>
      <c r="B418" t="inlineStr">
        <is>
          <t>R250227-fantv</t>
        </is>
      </c>
      <c r="C418" t="inlineStr">
        <is>
          <t>Entrackr</t>
        </is>
      </c>
      <c r="D418" s="17" t="n">
        <v>45715</v>
      </c>
      <c r="E418" t="inlineStr">
        <is>
          <t>FanTV</t>
        </is>
      </c>
      <c r="F418" t="inlineStr">
        <is>
          <t>$3 million</t>
        </is>
      </c>
      <c r="G418" s="19" t="n"/>
      <c r="H418" s="19" t="n">
        <v>3</v>
      </c>
      <c r="I418" t="inlineStr">
        <is>
          <t>Undisclosed</t>
        </is>
      </c>
      <c r="J418" t="inlineStr"/>
      <c r="K418" t="inlineStr">
        <is>
          <t>https://entrackr.com/snippets/fantv-raises-3-mn-to-transform-ai-powered-content-creation-8761698</t>
        </is>
      </c>
    </row>
    <row r="419">
      <c r="A419" t="inlineStr">
        <is>
          <t>INC-20250301-05</t>
        </is>
      </c>
      <c r="B419" t="inlineStr">
        <is>
          <t>R250227-fantv</t>
        </is>
      </c>
      <c r="C419" t="inlineStr">
        <is>
          <t>Inc42</t>
        </is>
      </c>
      <c r="D419" s="17" t="n">
        <v>45715</v>
      </c>
      <c r="E419" t="inlineStr">
        <is>
          <t>FanTV</t>
        </is>
      </c>
      <c r="F419" t="inlineStr">
        <is>
          <t>$3 Mn</t>
        </is>
      </c>
      <c r="G419" s="19" t="n"/>
      <c r="H419" s="19" t="n">
        <v>3</v>
      </c>
      <c r="I419" t="inlineStr">
        <is>
          <t>Undisclosed</t>
        </is>
      </c>
      <c r="J419" t="inlineStr">
        <is>
          <t>Mysten Labs</t>
        </is>
      </c>
      <c r="K419" t="inlineStr">
        <is>
          <t>https://inc42.com/buzz/from-geniemode-to-quick-clean-indian-startups-raised-88-mn-this-week/</t>
        </is>
      </c>
    </row>
    <row r="420">
      <c r="A420" t="inlineStr">
        <is>
          <t>ENT-8761206</t>
        </is>
      </c>
      <c r="B420" t="inlineStr">
        <is>
          <t>R250227-pickkup</t>
        </is>
      </c>
      <c r="C420" t="inlineStr">
        <is>
          <t>Entrackr</t>
        </is>
      </c>
      <c r="D420" s="17" t="n">
        <v>45715</v>
      </c>
      <c r="E420" t="inlineStr">
        <is>
          <t>Pickkup</t>
        </is>
      </c>
      <c r="F420" t="inlineStr">
        <is>
          <t>$500K</t>
        </is>
      </c>
      <c r="G420" s="19" t="n"/>
      <c r="H420" s="19" t="n">
        <v>0.5</v>
      </c>
      <c r="I420" t="inlineStr">
        <is>
          <t>Seed</t>
        </is>
      </c>
      <c r="J420" t="inlineStr">
        <is>
          <t>Circle</t>
        </is>
      </c>
      <c r="K420" t="inlineStr">
        <is>
          <t>https://entrackr.com/snippets/logistics-startup-pickkup-raises-500k-in-seed-round-led-by-we-founder-circle-8761206</t>
        </is>
      </c>
    </row>
    <row r="421">
      <c r="A421" t="inlineStr">
        <is>
          <t>INC-20250301-13</t>
        </is>
      </c>
      <c r="B421" t="inlineStr">
        <is>
          <t>R250227-pickkup</t>
        </is>
      </c>
      <c r="C421" t="inlineStr">
        <is>
          <t>Inc42</t>
        </is>
      </c>
      <c r="D421" s="17" t="n">
        <v>45715</v>
      </c>
      <c r="E421" t="inlineStr">
        <is>
          <t>Pickkup</t>
        </is>
      </c>
      <c r="F421" t="inlineStr">
        <is>
          <t>$500K</t>
        </is>
      </c>
      <c r="G421" s="19" t="n"/>
      <c r="H421" s="19" t="n">
        <v>0.5</v>
      </c>
      <c r="I421" t="inlineStr">
        <is>
          <t>Seed</t>
        </is>
      </c>
      <c r="J421" t="inlineStr">
        <is>
          <t>Circle</t>
        </is>
      </c>
      <c r="K421" t="inlineStr">
        <is>
          <t>https://inc42.com/buzz/from-geniemode-to-quick-clean-indian-startups-raised-88-mn-this-week/</t>
        </is>
      </c>
    </row>
    <row r="422">
      <c r="A422" t="inlineStr">
        <is>
          <t>ENT-8761454</t>
        </is>
      </c>
      <c r="B422" t="inlineStr">
        <is>
          <t>R250227-ritualistic</t>
        </is>
      </c>
      <c r="C422" t="inlineStr">
        <is>
          <t>Entrackr</t>
        </is>
      </c>
      <c r="D422" s="17" t="n">
        <v>45715</v>
      </c>
      <c r="E422" t="inlineStr">
        <is>
          <t>Ritualistic</t>
        </is>
      </c>
      <c r="F422" t="inlineStr">
        <is>
          <t>$1 million</t>
        </is>
      </c>
      <c r="G422" s="19" t="n"/>
      <c r="H422" s="19" t="n">
        <v>1</v>
      </c>
      <c r="I422" t="inlineStr">
        <is>
          <t>Undisclosed</t>
        </is>
      </c>
      <c r="J422" t="inlineStr"/>
      <c r="K422" t="inlineStr">
        <is>
          <t>https://entrackr.com/snippets/home-decor-brand-ritualistic-raises-1-mn-8761454</t>
        </is>
      </c>
    </row>
    <row r="423">
      <c r="A423" t="inlineStr">
        <is>
          <t>ENT-8765287</t>
        </is>
      </c>
      <c r="B423" t="inlineStr">
        <is>
          <t>R250228-leadinvest</t>
        </is>
      </c>
      <c r="C423" t="inlineStr">
        <is>
          <t>Entrackr</t>
        </is>
      </c>
      <c r="D423" s="17" t="n">
        <v>45716</v>
      </c>
      <c r="E423" t="inlineStr">
        <is>
          <t>Lead Invest</t>
        </is>
      </c>
      <c r="F423" t="inlineStr"/>
      <c r="G423" s="19" t="n"/>
      <c r="H423" s="19" t="n"/>
      <c r="I423" t="inlineStr">
        <is>
          <t>Angel</t>
        </is>
      </c>
      <c r="J423" t="inlineStr"/>
      <c r="K423" t="inlineStr">
        <is>
          <t>https://entrackr.com/snippets/lead-angels-rebrands-as-lead-invest-to-expand-beyond-angel-investing-8765287</t>
        </is>
      </c>
    </row>
    <row r="424">
      <c r="A424" t="inlineStr">
        <is>
          <t>ENT-8764118</t>
        </is>
      </c>
      <c r="B424" t="inlineStr">
        <is>
          <t>R250228-sisirradar</t>
        </is>
      </c>
      <c r="C424" t="inlineStr">
        <is>
          <t>Entrackr</t>
        </is>
      </c>
      <c r="D424" s="17" t="n">
        <v>45716</v>
      </c>
      <c r="E424" t="inlineStr">
        <is>
          <t>Sisir Radar</t>
        </is>
      </c>
      <c r="F424" t="inlineStr">
        <is>
          <t>$1.5 million</t>
        </is>
      </c>
      <c r="G424" s="19" t="n"/>
      <c r="H424" s="19" t="n">
        <v>1.5</v>
      </c>
      <c r="I424" t="inlineStr">
        <is>
          <t>Seed</t>
        </is>
      </c>
      <c r="J424" t="inlineStr">
        <is>
          <t>Shastra VC</t>
        </is>
      </c>
      <c r="K424" t="inlineStr">
        <is>
          <t>https://entrackr.com/snippets/spacetech-startup-sisir-radar-raises-15-mn-in-seed-round-8764118</t>
        </is>
      </c>
    </row>
    <row r="425">
      <c r="A425" t="inlineStr">
        <is>
          <t>INC-20250301-08</t>
        </is>
      </c>
      <c r="B425" t="inlineStr">
        <is>
          <t>R250228-sisirradar</t>
        </is>
      </c>
      <c r="C425" t="inlineStr">
        <is>
          <t>Inc42</t>
        </is>
      </c>
      <c r="D425" s="17" t="n">
        <v>45716</v>
      </c>
      <c r="E425" t="inlineStr">
        <is>
          <t>Sisir Radar</t>
        </is>
      </c>
      <c r="F425" t="inlineStr">
        <is>
          <t>$1.5 Mn</t>
        </is>
      </c>
      <c r="G425" s="19" t="n"/>
      <c r="H425" s="19" t="n">
        <v>1.5</v>
      </c>
      <c r="I425" t="inlineStr">
        <is>
          <t>Seed</t>
        </is>
      </c>
      <c r="J425" t="inlineStr">
        <is>
          <t>Shastra VC</t>
        </is>
      </c>
      <c r="K425" t="inlineStr">
        <is>
          <t>https://inc42.com/buzz/from-geniemode-to-quick-clean-indian-startups-raised-88-mn-this-week/</t>
        </is>
      </c>
    </row>
    <row r="426">
      <c r="A426" t="inlineStr">
        <is>
          <t>ENT-8773513</t>
        </is>
      </c>
      <c r="B426" t="inlineStr">
        <is>
          <t>R250303-arvahealth</t>
        </is>
      </c>
      <c r="C426" t="inlineStr">
        <is>
          <t>Entrackr</t>
        </is>
      </c>
      <c r="D426" s="17" t="n">
        <v>45719</v>
      </c>
      <c r="E426" t="inlineStr">
        <is>
          <t>Arva Health</t>
        </is>
      </c>
      <c r="F426" t="inlineStr">
        <is>
          <t>$1 million</t>
        </is>
      </c>
      <c r="G426" s="19" t="n"/>
      <c r="H426" s="19" t="n">
        <v>1</v>
      </c>
      <c r="I426" t="inlineStr">
        <is>
          <t>Pre-Seed</t>
        </is>
      </c>
      <c r="J426" t="inlineStr">
        <is>
          <t>All In Capital</t>
        </is>
      </c>
      <c r="K426" t="inlineStr">
        <is>
          <t>https://entrackr.com/snippets/arva-health-raises-1-mn-in-pre-seed-led-by-all-in-capital-8773513</t>
        </is>
      </c>
    </row>
    <row r="427">
      <c r="A427" t="inlineStr">
        <is>
          <t>ET-118685314</t>
        </is>
      </c>
      <c r="B427" t="inlineStr">
        <is>
          <t>R250303-arvahealth</t>
        </is>
      </c>
      <c r="C427" t="inlineStr">
        <is>
          <t>The Economic Times</t>
        </is>
      </c>
      <c r="D427" s="17" t="n">
        <v>45719</v>
      </c>
      <c r="E427" t="inlineStr">
        <is>
          <t>Arva Health</t>
        </is>
      </c>
      <c r="F427" t="inlineStr">
        <is>
          <t>$1 million</t>
        </is>
      </c>
      <c r="G427" s="19" t="n"/>
      <c r="H427" s="19" t="n">
        <v>1</v>
      </c>
      <c r="I427" t="inlineStr">
        <is>
          <t>Pre-Seed</t>
        </is>
      </c>
      <c r="J427" t="inlineStr">
        <is>
          <t>All In Capital</t>
        </is>
      </c>
      <c r="K427" t="inlineStr">
        <is>
          <t>https://economictimes.indiatimes.com/tech/funding/arva-health-raises-funds-from-investors-led-by-all-in-capital/articleshow/118685314.cms</t>
        </is>
      </c>
    </row>
    <row r="428">
      <c r="A428" t="inlineStr">
        <is>
          <t>INC-20250308-19</t>
        </is>
      </c>
      <c r="B428" t="inlineStr">
        <is>
          <t>R250303-arvahealth</t>
        </is>
      </c>
      <c r="C428" t="inlineStr">
        <is>
          <t>Inc42</t>
        </is>
      </c>
      <c r="D428" s="17" t="n">
        <v>45719</v>
      </c>
      <c r="E428" t="inlineStr">
        <is>
          <t>Arva Health</t>
        </is>
      </c>
      <c r="F428" t="inlineStr">
        <is>
          <t>$1 Mn</t>
        </is>
      </c>
      <c r="G428" s="19" t="n"/>
      <c r="H428" s="19" t="n">
        <v>1</v>
      </c>
      <c r="I428" t="inlineStr">
        <is>
          <t>Pre-Seed</t>
        </is>
      </c>
      <c r="J428" t="inlineStr"/>
      <c r="K428" t="inlineStr">
        <is>
          <t>https://inc42.com/buzz/from-darwinbox-to-insurancedekho-indian-startups-raised-386-mn-this-week/</t>
        </is>
      </c>
    </row>
    <row r="429">
      <c r="A429" t="inlineStr">
        <is>
          <t>ENT-8773410</t>
        </is>
      </c>
      <c r="B429" t="inlineStr">
        <is>
          <t>R250303-credresolve</t>
        </is>
      </c>
      <c r="C429" t="inlineStr">
        <is>
          <t>Entrackr</t>
        </is>
      </c>
      <c r="D429" s="17" t="n">
        <v>45719</v>
      </c>
      <c r="E429" t="inlineStr">
        <is>
          <t>CredResolve</t>
        </is>
      </c>
      <c r="F429" t="inlineStr">
        <is>
          <t>$1.1 million</t>
        </is>
      </c>
      <c r="G429" s="19" t="n"/>
      <c r="H429" s="19" t="n">
        <v>1.1</v>
      </c>
      <c r="I429" t="inlineStr">
        <is>
          <t>Seed</t>
        </is>
      </c>
      <c r="J429" t="inlineStr">
        <is>
          <t>UNLEASH Capital Partners</t>
        </is>
      </c>
      <c r="K429" t="inlineStr">
        <is>
          <t>https://entrackr.com/snippets/credresolve-raises-11-mn-in-seed-round-8773410</t>
        </is>
      </c>
    </row>
    <row r="430">
      <c r="A430" t="inlineStr">
        <is>
          <t>INC-20250308-17</t>
        </is>
      </c>
      <c r="B430" t="inlineStr">
        <is>
          <t>R250303-credresolve</t>
        </is>
      </c>
      <c r="C430" t="inlineStr">
        <is>
          <t>Inc42</t>
        </is>
      </c>
      <c r="D430" s="17" t="n">
        <v>45719</v>
      </c>
      <c r="E430" t="inlineStr">
        <is>
          <t>CredResolve</t>
        </is>
      </c>
      <c r="F430" t="inlineStr">
        <is>
          <t>$1.1 Mn</t>
        </is>
      </c>
      <c r="G430" s="19" t="n"/>
      <c r="H430" s="19" t="n">
        <v>1.1</v>
      </c>
      <c r="I430" t="inlineStr">
        <is>
          <t>Seed</t>
        </is>
      </c>
      <c r="J430" t="inlineStr">
        <is>
          <t>UNLEASH Capital Partners</t>
        </is>
      </c>
      <c r="K430" t="inlineStr">
        <is>
          <t>https://inc42.com/buzz/from-darwinbox-to-insurancedekho-indian-startups-raised-386-mn-this-week/</t>
        </is>
      </c>
    </row>
    <row r="431">
      <c r="A431" t="inlineStr">
        <is>
          <t>ET-118710096</t>
        </is>
      </c>
      <c r="B431" t="inlineStr">
        <is>
          <t>R250304-beautywise</t>
        </is>
      </c>
      <c r="C431" t="inlineStr">
        <is>
          <t>The Economic Times</t>
        </is>
      </c>
      <c r="D431" s="17" t="n">
        <v>45720</v>
      </c>
      <c r="E431" t="inlineStr">
        <is>
          <t>Beautywise</t>
        </is>
      </c>
      <c r="F431" t="inlineStr">
        <is>
          <t>Rs 3 crore</t>
        </is>
      </c>
      <c r="G431" s="19" t="n">
        <v>3</v>
      </c>
      <c r="H431" s="19" t="n"/>
      <c r="I431" t="inlineStr">
        <is>
          <t>Undisclosed</t>
        </is>
      </c>
      <c r="J431" t="inlineStr"/>
      <c r="K431" t="inlineStr">
        <is>
          <t>https://economictimes.indiatimes.com/tech/funding/beautywise-raises-rs-3-crore-from-boats-cofounder/articleshow/118710096.cms</t>
        </is>
      </c>
    </row>
    <row r="432">
      <c r="A432" t="inlineStr">
        <is>
          <t>INC-20250308-23</t>
        </is>
      </c>
      <c r="B432" t="inlineStr">
        <is>
          <t>R250304-beautywise</t>
        </is>
      </c>
      <c r="C432" t="inlineStr">
        <is>
          <t>Inc42</t>
        </is>
      </c>
      <c r="D432" s="17" t="n">
        <v>45720</v>
      </c>
      <c r="E432" t="inlineStr">
        <is>
          <t>Beautywise</t>
        </is>
      </c>
      <c r="F432" t="inlineStr">
        <is>
          <t>$345K</t>
        </is>
      </c>
      <c r="G432" s="19" t="n"/>
      <c r="H432" s="19" t="n">
        <v>0.345</v>
      </c>
      <c r="I432" t="inlineStr">
        <is>
          <t>Undisclosed</t>
        </is>
      </c>
      <c r="J432" t="inlineStr"/>
      <c r="K432" t="inlineStr">
        <is>
          <t>https://inc42.com/buzz/from-darwinbox-to-insurancedekho-indian-startups-raised-386-mn-this-week/</t>
        </is>
      </c>
    </row>
    <row r="433">
      <c r="A433" t="inlineStr">
        <is>
          <t>INC-20250308-29</t>
        </is>
      </c>
      <c r="B433" t="inlineStr">
        <is>
          <t>R250304-bullagritech</t>
        </is>
      </c>
      <c r="C433" t="inlineStr">
        <is>
          <t>Inc42</t>
        </is>
      </c>
      <c r="D433" s="17" t="n">
        <v>45720</v>
      </c>
      <c r="E433" t="inlineStr">
        <is>
          <t>Bull Agritech</t>
        </is>
      </c>
      <c r="F433" t="inlineStr"/>
      <c r="G433" s="19" t="n"/>
      <c r="H433" s="19" t="n"/>
      <c r="I433" t="inlineStr">
        <is>
          <t>Undisclosed</t>
        </is>
      </c>
      <c r="J433" t="inlineStr">
        <is>
          <t>iCreate</t>
        </is>
      </c>
      <c r="K433" t="inlineStr">
        <is>
          <t>https://inc42.com/buzz/from-darwinbox-to-insurancedekho-indian-startups-raised-386-mn-this-week/</t>
        </is>
      </c>
    </row>
    <row r="434">
      <c r="A434" t="inlineStr">
        <is>
          <t>INC-20250308-14</t>
        </is>
      </c>
      <c r="B434" t="inlineStr">
        <is>
          <t>R250304-deciml</t>
        </is>
      </c>
      <c r="C434" t="inlineStr">
        <is>
          <t>Inc42</t>
        </is>
      </c>
      <c r="D434" s="17" t="n">
        <v>45720</v>
      </c>
      <c r="E434" t="inlineStr">
        <is>
          <t>Deciml</t>
        </is>
      </c>
      <c r="F434" t="inlineStr">
        <is>
          <t>$3 Mn</t>
        </is>
      </c>
      <c r="G434" s="19" t="n"/>
      <c r="H434" s="19" t="n">
        <v>3</v>
      </c>
      <c r="I434" t="inlineStr">
        <is>
          <t>Seed</t>
        </is>
      </c>
      <c r="J434" t="inlineStr">
        <is>
          <t>Jainam Broking Limited</t>
        </is>
      </c>
      <c r="K434" t="inlineStr">
        <is>
          <t>https://inc42.com/buzz/from-darwinbox-to-insurancedekho-indian-startups-raised-386-mn-this-week/</t>
        </is>
      </c>
    </row>
    <row r="435">
      <c r="A435" t="inlineStr">
        <is>
          <t>ENT-8776269</t>
        </is>
      </c>
      <c r="B435" t="inlineStr">
        <is>
          <t>R250304-dotme</t>
        </is>
      </c>
      <c r="C435" t="inlineStr">
        <is>
          <t>Entrackr</t>
        </is>
      </c>
      <c r="D435" s="17" t="n">
        <v>45720</v>
      </c>
      <c r="E435" t="inlineStr">
        <is>
          <t>DotMe</t>
        </is>
      </c>
      <c r="F435" t="inlineStr">
        <is>
          <t>$150,000</t>
        </is>
      </c>
      <c r="G435" s="19" t="n"/>
      <c r="H435" s="19" t="n">
        <v>0.15</v>
      </c>
      <c r="I435" t="inlineStr">
        <is>
          <t>Undisclosed</t>
        </is>
      </c>
      <c r="J435" t="inlineStr">
        <is>
          <t>Cocktails; Mirza L. Baig</t>
        </is>
      </c>
      <c r="K435" t="inlineStr">
        <is>
          <t>https://entrackr.com/snippets/dotme-bags-150k-from-jimmys-cocktails-mirza-l-baig-8776269</t>
        </is>
      </c>
    </row>
    <row r="436">
      <c r="A436" t="inlineStr">
        <is>
          <t>INC-20250308-24</t>
        </is>
      </c>
      <c r="B436" t="inlineStr">
        <is>
          <t>R250304-dotme</t>
        </is>
      </c>
      <c r="C436" t="inlineStr">
        <is>
          <t>Inc42</t>
        </is>
      </c>
      <c r="D436" s="17" t="n">
        <v>45721</v>
      </c>
      <c r="E436" t="inlineStr">
        <is>
          <t>DotMe</t>
        </is>
      </c>
      <c r="F436" t="inlineStr">
        <is>
          <t>$150K</t>
        </is>
      </c>
      <c r="G436" s="19" t="n"/>
      <c r="H436" s="19" t="n">
        <v>0.15</v>
      </c>
      <c r="I436" t="inlineStr">
        <is>
          <t>Undisclosed</t>
        </is>
      </c>
      <c r="J436" t="inlineStr">
        <is>
          <t>Mirza L. Baig</t>
        </is>
      </c>
      <c r="K436" t="inlineStr">
        <is>
          <t>https://inc42.com/buzz/from-darwinbox-to-insurancedekho-indian-startups-raised-386-mn-this-week/</t>
        </is>
      </c>
    </row>
    <row r="437">
      <c r="A437" t="inlineStr">
        <is>
          <t>ENT-8777160</t>
        </is>
      </c>
      <c r="B437" t="inlineStr">
        <is>
          <t>R250304-fluxgen</t>
        </is>
      </c>
      <c r="C437" t="inlineStr">
        <is>
          <t>Entrackr</t>
        </is>
      </c>
      <c r="D437" s="17" t="n">
        <v>45720</v>
      </c>
      <c r="E437" t="inlineStr">
        <is>
          <t>FluxGen</t>
        </is>
      </c>
      <c r="F437" t="inlineStr">
        <is>
          <t>Rs 28 crore</t>
        </is>
      </c>
      <c r="G437" s="19" t="n">
        <v>28</v>
      </c>
      <c r="H437" s="19" t="n"/>
      <c r="I437" t="inlineStr">
        <is>
          <t>Pre-Series A</t>
        </is>
      </c>
      <c r="J437" t="inlineStr">
        <is>
          <t>IAN Alpha Fund</t>
        </is>
      </c>
      <c r="K437" t="inlineStr">
        <is>
          <t>https://entrackr.com/snippets/climate-tech-startup-fluxgen-raises-rs-28-cr-in-pre-series-a-8777160</t>
        </is>
      </c>
    </row>
    <row r="438">
      <c r="A438" t="inlineStr">
        <is>
          <t>INC-20250308-13</t>
        </is>
      </c>
      <c r="B438" t="inlineStr">
        <is>
          <t>R250304-fluxgen</t>
        </is>
      </c>
      <c r="C438" t="inlineStr">
        <is>
          <t>Inc42</t>
        </is>
      </c>
      <c r="D438" s="17" t="n">
        <v>45720</v>
      </c>
      <c r="E438" t="inlineStr">
        <is>
          <t>FluxGen</t>
        </is>
      </c>
      <c r="F438" t="inlineStr">
        <is>
          <t>$3.4 Mn</t>
        </is>
      </c>
      <c r="G438" s="19" t="n"/>
      <c r="H438" s="19" t="n">
        <v>3.4</v>
      </c>
      <c r="I438" t="inlineStr">
        <is>
          <t>Pre-Series A</t>
        </is>
      </c>
      <c r="J438" t="inlineStr">
        <is>
          <t>IAN Alpha Fund</t>
        </is>
      </c>
      <c r="K438" t="inlineStr">
        <is>
          <t>https://inc42.com/buzz/from-darwinbox-to-insurancedekho-indian-startups-raised-386-mn-this-week/</t>
        </is>
      </c>
    </row>
    <row r="439">
      <c r="A439" t="inlineStr">
        <is>
          <t>INC-20250308-26</t>
        </is>
      </c>
      <c r="B439" t="inlineStr">
        <is>
          <t>R250304-fuzenio</t>
        </is>
      </c>
      <c r="C439" t="inlineStr">
        <is>
          <t>Inc42</t>
        </is>
      </c>
      <c r="D439" s="17" t="n">
        <v>45720</v>
      </c>
      <c r="E439" t="inlineStr">
        <is>
          <t>Fuzen.io</t>
        </is>
      </c>
      <c r="F439" t="inlineStr">
        <is>
          <t>$100K</t>
        </is>
      </c>
      <c r="G439" s="19" t="n"/>
      <c r="H439" s="19" t="n">
        <v>0.1</v>
      </c>
      <c r="I439" t="inlineStr">
        <is>
          <t>Pre-Seed</t>
        </is>
      </c>
      <c r="J439" t="inlineStr"/>
      <c r="K439" t="inlineStr">
        <is>
          <t>https://inc42.com/buzz/from-darwinbox-to-insurancedekho-indian-startups-raised-386-mn-this-week/</t>
        </is>
      </c>
    </row>
    <row r="440">
      <c r="A440" t="inlineStr">
        <is>
          <t>ENT-8776738</t>
        </is>
      </c>
      <c r="B440" t="inlineStr">
        <is>
          <t>R250304-insurancedekho</t>
        </is>
      </c>
      <c r="C440" t="inlineStr">
        <is>
          <t>Entrackr</t>
        </is>
      </c>
      <c r="D440" s="17" t="n">
        <v>45720</v>
      </c>
      <c r="E440" t="inlineStr">
        <is>
          <t>InsuranceDekho</t>
        </is>
      </c>
      <c r="F440" t="inlineStr">
        <is>
          <t>$70 million</t>
        </is>
      </c>
      <c r="G440" s="19" t="n"/>
      <c r="H440" s="19" t="n">
        <v>70</v>
      </c>
      <c r="I440" t="inlineStr">
        <is>
          <t>Undisclosed</t>
        </is>
      </c>
      <c r="J440" t="inlineStr">
        <is>
          <t>Beams Fintech Fund; Mitsubishi UFJ Financial Group</t>
        </is>
      </c>
      <c r="K440" t="inlineStr">
        <is>
          <t>https://entrackr.com/news/beams-fintech-fund-leads-70-mn-round-in-insurancedekho-8776738</t>
        </is>
      </c>
    </row>
    <row r="441">
      <c r="A441" t="inlineStr">
        <is>
          <t>ET-118702886</t>
        </is>
      </c>
      <c r="B441" t="inlineStr">
        <is>
          <t>R250304-insurancedekho</t>
        </is>
      </c>
      <c r="C441" t="inlineStr">
        <is>
          <t>The Economic Times</t>
        </is>
      </c>
      <c r="D441" s="17" t="n">
        <v>45720</v>
      </c>
      <c r="E441" t="inlineStr">
        <is>
          <t>InsuranceDekho</t>
        </is>
      </c>
      <c r="F441" t="inlineStr">
        <is>
          <t>$70 million</t>
        </is>
      </c>
      <c r="G441" s="19" t="n"/>
      <c r="H441" s="19" t="n">
        <v>70</v>
      </c>
      <c r="I441" t="inlineStr">
        <is>
          <t>Undisclosed</t>
        </is>
      </c>
      <c r="J441" t="inlineStr">
        <is>
          <t>Mitsubishi UFJ Financial Group</t>
        </is>
      </c>
      <c r="K441" t="inlineStr">
        <is>
          <t>https://economictimes.indiatimes.com/tech/startups/insurancedekho-raises-70-million-in-round-led-by-mitsubishi-ufj-bnp-paribas-cardifs-insurtech-fund-and-beams-fintech/articleshow/118702886.cms</t>
        </is>
      </c>
    </row>
    <row r="442">
      <c r="A442" t="inlineStr">
        <is>
          <t>INC-20250308-03</t>
        </is>
      </c>
      <c r="B442" t="inlineStr">
        <is>
          <t>R250304-insurancedekho</t>
        </is>
      </c>
      <c r="C442" t="inlineStr">
        <is>
          <t>Inc42</t>
        </is>
      </c>
      <c r="D442" s="17" t="n">
        <v>45720</v>
      </c>
      <c r="E442" t="inlineStr">
        <is>
          <t>InsuranceDekho</t>
        </is>
      </c>
      <c r="F442" t="inlineStr">
        <is>
          <t>$70 Mn</t>
        </is>
      </c>
      <c r="G442" s="19" t="n"/>
      <c r="H442" s="19" t="n">
        <v>70</v>
      </c>
      <c r="I442" t="inlineStr">
        <is>
          <t>Undisclosed</t>
        </is>
      </c>
      <c r="J442" t="inlineStr">
        <is>
          <t>Beams Fintech Fund; Mitsubishi UFJ Financial Group; BNP Paribas Cardif</t>
        </is>
      </c>
      <c r="K442" t="inlineStr">
        <is>
          <t>https://inc42.com/buzz/from-darwinbox-to-insurancedekho-indian-startups-raised-386-mn-this-week/</t>
        </is>
      </c>
    </row>
    <row r="443">
      <c r="A443" t="inlineStr">
        <is>
          <t>VCC-efe26cac26</t>
        </is>
      </c>
      <c r="B443" t="inlineStr">
        <is>
          <t>R250304-insurancedekho</t>
        </is>
      </c>
      <c r="C443" t="inlineStr">
        <is>
          <t>VCCircle</t>
        </is>
      </c>
      <c r="D443" s="17" t="n">
        <v>45720</v>
      </c>
      <c r="E443" t="inlineStr">
        <is>
          <t>insurancedekho</t>
        </is>
      </c>
      <c r="F443" t="inlineStr">
        <is>
          <t>$ 70 million</t>
        </is>
      </c>
      <c r="G443" s="19" t="n"/>
      <c r="H443" s="19" t="n">
        <v>70</v>
      </c>
      <c r="I443" t="inlineStr">
        <is>
          <t>Undisclosed</t>
        </is>
      </c>
      <c r="J443" t="inlineStr"/>
      <c r="K443" t="inlineStr">
        <is>
          <t>https://www.vccircle.com/beamsfintech-fund-leads-70-mn-round-in-insurancedekho</t>
        </is>
      </c>
    </row>
    <row r="444">
      <c r="A444" t="inlineStr">
        <is>
          <t>INC-20250308-22</t>
        </is>
      </c>
      <c r="B444" t="inlineStr">
        <is>
          <t>R250304-naptapgo</t>
        </is>
      </c>
      <c r="C444" t="inlineStr">
        <is>
          <t>Inc42</t>
        </is>
      </c>
      <c r="D444" s="17" t="n">
        <v>45720</v>
      </c>
      <c r="E444" t="inlineStr">
        <is>
          <t>NapTapGo</t>
        </is>
      </c>
      <c r="F444" t="inlineStr">
        <is>
          <t>$500K</t>
        </is>
      </c>
      <c r="G444" s="19" t="n"/>
      <c r="H444" s="19" t="n">
        <v>0.5</v>
      </c>
      <c r="I444" t="inlineStr">
        <is>
          <t>Pre-Seed</t>
        </is>
      </c>
      <c r="J444" t="inlineStr"/>
      <c r="K444" t="inlineStr">
        <is>
          <t>https://inc42.com/buzz/from-darwinbox-to-insurancedekho-indian-startups-raised-386-mn-this-week/</t>
        </is>
      </c>
    </row>
    <row r="445">
      <c r="A445" t="inlineStr">
        <is>
          <t>INC-20250308-10</t>
        </is>
      </c>
      <c r="B445" t="inlineStr">
        <is>
          <t>R250304-nuuk</t>
        </is>
      </c>
      <c r="C445" t="inlineStr">
        <is>
          <t>Inc42</t>
        </is>
      </c>
      <c r="D445" s="17" t="n">
        <v>45720</v>
      </c>
      <c r="E445" t="inlineStr">
        <is>
          <t>Nuuk</t>
        </is>
      </c>
      <c r="F445" t="inlineStr">
        <is>
          <t>$4.6 Mn</t>
        </is>
      </c>
      <c r="G445" s="19" t="n"/>
      <c r="H445" s="19" t="n">
        <v>4.6</v>
      </c>
      <c r="I445" t="inlineStr">
        <is>
          <t>Series A</t>
        </is>
      </c>
      <c r="J445" t="inlineStr">
        <is>
          <t>Vertex Ventures</t>
        </is>
      </c>
      <c r="K445" t="inlineStr">
        <is>
          <t>https://inc42.com/buzz/from-darwinbox-to-insurancedekho-indian-startups-raised-386-mn-this-week/</t>
        </is>
      </c>
    </row>
    <row r="446">
      <c r="A446" t="inlineStr">
        <is>
          <t>ENT-8795487</t>
        </is>
      </c>
      <c r="B446" t="inlineStr">
        <is>
          <t>R250304-nuuk</t>
        </is>
      </c>
      <c r="C446" t="inlineStr">
        <is>
          <t>Entrackr</t>
        </is>
      </c>
      <c r="D446" s="17" t="n">
        <v>45721</v>
      </c>
      <c r="E446" t="inlineStr">
        <is>
          <t>Nuuk</t>
        </is>
      </c>
      <c r="F446" t="inlineStr">
        <is>
          <t>$5 million</t>
        </is>
      </c>
      <c r="G446" s="19" t="n">
        <v>40</v>
      </c>
      <c r="H446" s="19" t="n">
        <v>5</v>
      </c>
      <c r="I446" t="inlineStr">
        <is>
          <t>Series A</t>
        </is>
      </c>
      <c r="J446" t="inlineStr">
        <is>
          <t>Vertex Ventures SEAI</t>
        </is>
      </c>
      <c r="K446" t="inlineStr">
        <is>
          <t>https://entrackr.com/snippets/nuuk-raises-5-mn-in-series-a-round-led-by-vertex-ventures-8795487</t>
        </is>
      </c>
    </row>
    <row r="447">
      <c r="A447" t="inlineStr">
        <is>
          <t>ENT-8777381</t>
        </is>
      </c>
      <c r="B447" t="inlineStr">
        <is>
          <t>R250304-rezolv</t>
        </is>
      </c>
      <c r="C447" t="inlineStr">
        <is>
          <t>Entrackr</t>
        </is>
      </c>
      <c r="D447" s="17" t="n">
        <v>45720</v>
      </c>
      <c r="E447" t="inlineStr">
        <is>
          <t>Rezolv</t>
        </is>
      </c>
      <c r="F447" t="inlineStr">
        <is>
          <t>$3.5 million</t>
        </is>
      </c>
      <c r="G447" s="19" t="n"/>
      <c r="H447" s="19" t="n">
        <v>3.5</v>
      </c>
      <c r="I447" t="inlineStr">
        <is>
          <t>Seed</t>
        </is>
      </c>
      <c r="J447" t="inlineStr">
        <is>
          <t>3one4 Capital</t>
        </is>
      </c>
      <c r="K447" t="inlineStr">
        <is>
          <t>https://entrackr.com/snippets/kissht-co-founders-startup-rezolv-raises-35-mn-in-seed-round-8777381</t>
        </is>
      </c>
    </row>
    <row r="448">
      <c r="A448" t="inlineStr">
        <is>
          <t>INC-20250308-12</t>
        </is>
      </c>
      <c r="B448" t="inlineStr">
        <is>
          <t>R250304-rezolv</t>
        </is>
      </c>
      <c r="C448" t="inlineStr">
        <is>
          <t>Inc42</t>
        </is>
      </c>
      <c r="D448" s="17" t="n">
        <v>45720</v>
      </c>
      <c r="E448" t="inlineStr">
        <is>
          <t>Rezolv</t>
        </is>
      </c>
      <c r="F448" t="inlineStr">
        <is>
          <t>$3.5 Mn</t>
        </is>
      </c>
      <c r="G448" s="19" t="n"/>
      <c r="H448" s="19" t="n">
        <v>3.5</v>
      </c>
      <c r="I448" t="inlineStr">
        <is>
          <t>Seed</t>
        </is>
      </c>
      <c r="J448" t="inlineStr">
        <is>
          <t>3one4 Capital</t>
        </is>
      </c>
      <c r="K448" t="inlineStr">
        <is>
          <t>https://inc42.com/buzz/from-darwinbox-to-insurancedekho-indian-startups-raised-386-mn-this-week/</t>
        </is>
      </c>
    </row>
    <row r="449">
      <c r="A449" t="inlineStr">
        <is>
          <t>ENT-8777883</t>
        </is>
      </c>
      <c r="B449" t="inlineStr">
        <is>
          <t>R250304-sila</t>
        </is>
      </c>
      <c r="C449" t="inlineStr">
        <is>
          <t>Entrackr</t>
        </is>
      </c>
      <c r="D449" s="17" t="n">
        <v>45720</v>
      </c>
      <c r="E449" t="inlineStr">
        <is>
          <t>SILA</t>
        </is>
      </c>
      <c r="F449" t="inlineStr"/>
      <c r="G449" s="19" t="n"/>
      <c r="H449" s="19" t="n"/>
      <c r="I449" t="inlineStr">
        <is>
          <t>Undisclosed</t>
        </is>
      </c>
      <c r="J449" t="inlineStr"/>
      <c r="K449" t="inlineStr">
        <is>
          <t>https://entrackr.com/snippets/ms-dhoni-family-office-invests-in-real-estate-platform-sila-8777883</t>
        </is>
      </c>
    </row>
    <row r="450">
      <c r="A450" t="inlineStr">
        <is>
          <t>ET-118710967</t>
        </is>
      </c>
      <c r="B450" t="inlineStr">
        <is>
          <t>R250304-takeme2space</t>
        </is>
      </c>
      <c r="C450" t="inlineStr">
        <is>
          <t>The Economic Times</t>
        </is>
      </c>
      <c r="D450" s="17" t="n">
        <v>45720</v>
      </c>
      <c r="E450" t="inlineStr">
        <is>
          <t>TakeMe2Space</t>
        </is>
      </c>
      <c r="F450" t="inlineStr">
        <is>
          <t>Rs 5.5 crore</t>
        </is>
      </c>
      <c r="G450" s="19" t="n">
        <v>5.5</v>
      </c>
      <c r="H450" s="19" t="n"/>
      <c r="I450" t="inlineStr">
        <is>
          <t>Pre-Seed</t>
        </is>
      </c>
      <c r="J450" t="inlineStr">
        <is>
          <t>Seafund</t>
        </is>
      </c>
      <c r="K450" t="inlineStr">
        <is>
          <t>https://economictimes.indiatimes.com/tech/funding/takeme2space-raises-rs-5-5-crore/articleshow/118710967.cms</t>
        </is>
      </c>
    </row>
    <row r="451">
      <c r="A451" t="inlineStr">
        <is>
          <t>INC-20250308-21</t>
        </is>
      </c>
      <c r="B451" t="inlineStr">
        <is>
          <t>R250304-takeme2space</t>
        </is>
      </c>
      <c r="C451" t="inlineStr">
        <is>
          <t>Inc42</t>
        </is>
      </c>
      <c r="D451" s="17" t="n">
        <v>45720</v>
      </c>
      <c r="E451" t="inlineStr">
        <is>
          <t>TakeMe2Space</t>
        </is>
      </c>
      <c r="F451" t="inlineStr">
        <is>
          <t>$633K</t>
        </is>
      </c>
      <c r="G451" s="19" t="n"/>
      <c r="H451" s="19" t="n">
        <v>0.633</v>
      </c>
      <c r="I451" t="inlineStr">
        <is>
          <t>Pre-Seed</t>
        </is>
      </c>
      <c r="J451" t="inlineStr">
        <is>
          <t>Seafund; Ventures</t>
        </is>
      </c>
      <c r="K451" t="inlineStr">
        <is>
          <t>https://inc42.com/buzz/from-darwinbox-to-insurancedekho-indian-startups-raised-386-mn-this-week/</t>
        </is>
      </c>
    </row>
    <row r="452">
      <c r="A452" t="inlineStr">
        <is>
          <t>INC-20250308-28</t>
        </is>
      </c>
      <c r="B452" t="inlineStr">
        <is>
          <t>R250304-uptimeai</t>
        </is>
      </c>
      <c r="C452" t="inlineStr">
        <is>
          <t>Inc42</t>
        </is>
      </c>
      <c r="D452" s="17" t="n">
        <v>45720</v>
      </c>
      <c r="E452" t="inlineStr">
        <is>
          <t>UptimeAI</t>
        </is>
      </c>
      <c r="F452" t="inlineStr"/>
      <c r="G452" s="19" t="n"/>
      <c r="H452" s="19" t="n"/>
      <c r="I452" t="inlineStr">
        <is>
          <t>Undisclosed</t>
        </is>
      </c>
      <c r="J452" t="inlineStr">
        <is>
          <t>ABB Motion</t>
        </is>
      </c>
      <c r="K452" t="inlineStr">
        <is>
          <t>https://inc42.com/buzz/from-darwinbox-to-insurancedekho-indian-startups-raised-386-mn-this-week/</t>
        </is>
      </c>
    </row>
    <row r="453">
      <c r="A453" t="inlineStr">
        <is>
          <t>ET-118736889</t>
        </is>
      </c>
      <c r="B453" t="inlineStr">
        <is>
          <t>R250305-beacon</t>
        </is>
      </c>
      <c r="C453" t="inlineStr">
        <is>
          <t>The Economic Times</t>
        </is>
      </c>
      <c r="D453" s="17" t="n">
        <v>45721</v>
      </c>
      <c r="E453" t="inlineStr">
        <is>
          <t>Beacon</t>
        </is>
      </c>
      <c r="F453" t="inlineStr">
        <is>
          <t>$7 million</t>
        </is>
      </c>
      <c r="G453" s="19" t="n"/>
      <c r="H453" s="19" t="n">
        <v>7</v>
      </c>
      <c r="I453" t="inlineStr">
        <is>
          <t>Series A</t>
        </is>
      </c>
      <c r="J453" t="inlineStr">
        <is>
          <t>Sorin Investments</t>
        </is>
      </c>
      <c r="K453" t="inlineStr">
        <is>
          <t>https://economictimes.indiatimes.com/tech/funding/enterprise-solutions-startup-beacon-raises-7-million-in-round-led-by-sorin-investments/articleshow/118736889.cms</t>
        </is>
      </c>
    </row>
    <row r="454">
      <c r="A454" t="inlineStr">
        <is>
          <t>INC-20250308-06</t>
        </is>
      </c>
      <c r="B454" t="inlineStr">
        <is>
          <t>R250305-beacon</t>
        </is>
      </c>
      <c r="C454" t="inlineStr">
        <is>
          <t>Inc42</t>
        </is>
      </c>
      <c r="D454" s="17" t="n">
        <v>45721</v>
      </c>
      <c r="E454" t="inlineStr">
        <is>
          <t>Beacon.li</t>
        </is>
      </c>
      <c r="F454" t="inlineStr">
        <is>
          <t>$7 Mn</t>
        </is>
      </c>
      <c r="G454" s="19" t="n"/>
      <c r="H454" s="19" t="n">
        <v>7</v>
      </c>
      <c r="I454" t="inlineStr">
        <is>
          <t>Series A</t>
        </is>
      </c>
      <c r="J454" t="inlineStr">
        <is>
          <t>Sorin Investments</t>
        </is>
      </c>
      <c r="K454" t="inlineStr">
        <is>
          <t>https://inc42.com/buzz/from-darwinbox-to-insurancedekho-indian-startups-raised-386-mn-this-week/</t>
        </is>
      </c>
    </row>
    <row r="455">
      <c r="A455" t="inlineStr">
        <is>
          <t>ENT-8821670</t>
        </is>
      </c>
      <c r="B455" t="inlineStr">
        <is>
          <t>R250305-beacon</t>
        </is>
      </c>
      <c r="C455" t="inlineStr">
        <is>
          <t>Entrackr</t>
        </is>
      </c>
      <c r="D455" s="17" t="n">
        <v>45722</v>
      </c>
      <c r="E455" t="inlineStr">
        <is>
          <t>Beacon.li</t>
        </is>
      </c>
      <c r="F455" t="inlineStr">
        <is>
          <t>$7 million</t>
        </is>
      </c>
      <c r="G455" s="19" t="n">
        <v>60.9</v>
      </c>
      <c r="H455" s="19" t="n">
        <v>7</v>
      </c>
      <c r="I455" t="inlineStr">
        <is>
          <t>Series A</t>
        </is>
      </c>
      <c r="J455" t="inlineStr">
        <is>
          <t>Sorin Investments</t>
        </is>
      </c>
      <c r="K455" t="inlineStr">
        <is>
          <t>https://entrackr.com/snippets/beaconli-raises-7-mn-in-series-a-round-8821670</t>
        </is>
      </c>
    </row>
    <row r="456">
      <c r="A456" t="inlineStr">
        <is>
          <t>ENT-8795904</t>
        </is>
      </c>
      <c r="B456" t="inlineStr">
        <is>
          <t>R250305-darwinbox</t>
        </is>
      </c>
      <c r="C456" t="inlineStr">
        <is>
          <t>Entrackr</t>
        </is>
      </c>
      <c r="D456" s="17" t="n">
        <v>45721</v>
      </c>
      <c r="E456" t="inlineStr">
        <is>
          <t>Darwinbox</t>
        </is>
      </c>
      <c r="F456" t="inlineStr">
        <is>
          <t>$140 million</t>
        </is>
      </c>
      <c r="G456" s="19" t="n"/>
      <c r="H456" s="19" t="n">
        <v>140</v>
      </c>
      <c r="I456" t="inlineStr">
        <is>
          <t>Undisclosed</t>
        </is>
      </c>
      <c r="J456" t="inlineStr">
        <is>
          <t>Partners Group; KKR</t>
        </is>
      </c>
      <c r="K456" t="inlineStr">
        <is>
          <t>https://entrackr.com/news/darwinbox-raises-140-mn-co-led-by-partners-group-and-kkr-8795904</t>
        </is>
      </c>
    </row>
    <row r="457">
      <c r="A457" t="inlineStr">
        <is>
          <t>ET-118731119</t>
        </is>
      </c>
      <c r="B457" t="inlineStr">
        <is>
          <t>R250305-darwinbox</t>
        </is>
      </c>
      <c r="C457" t="inlineStr">
        <is>
          <t>The Economic Times</t>
        </is>
      </c>
      <c r="D457" s="17" t="n">
        <v>45721</v>
      </c>
      <c r="E457" t="inlineStr">
        <is>
          <t>Darwinbox</t>
        </is>
      </c>
      <c r="F457" t="inlineStr">
        <is>
          <t>$140 million</t>
        </is>
      </c>
      <c r="G457" s="19" t="n"/>
      <c r="H457" s="19" t="n">
        <v>140</v>
      </c>
      <c r="I457" t="inlineStr">
        <is>
          <t>Undisclosed</t>
        </is>
      </c>
      <c r="J457" t="inlineStr">
        <is>
          <t>KKR</t>
        </is>
      </c>
      <c r="K457" t="inlineStr">
        <is>
          <t>https://economictimes.indiatimes.com/tech/funding/hr-services-saas-company-darwinbox-raises-140-million-from-partners-group-kkr-others/articleshow/118731119.cms</t>
        </is>
      </c>
    </row>
    <row r="458">
      <c r="A458" t="inlineStr">
        <is>
          <t>INC-20250308-01</t>
        </is>
      </c>
      <c r="B458" t="inlineStr">
        <is>
          <t>R250305-darwinbox</t>
        </is>
      </c>
      <c r="C458" t="inlineStr">
        <is>
          <t>Inc42</t>
        </is>
      </c>
      <c r="D458" s="17" t="n">
        <v>45721</v>
      </c>
      <c r="E458" t="inlineStr">
        <is>
          <t>Darwinbox</t>
        </is>
      </c>
      <c r="F458" t="inlineStr">
        <is>
          <t>$140 Mn</t>
        </is>
      </c>
      <c r="G458" s="19" t="n"/>
      <c r="H458" s="19" t="n">
        <v>140</v>
      </c>
      <c r="I458" t="inlineStr">
        <is>
          <t>Undisclosed</t>
        </is>
      </c>
      <c r="J458" t="inlineStr">
        <is>
          <t>Partners Group; KKR</t>
        </is>
      </c>
      <c r="K458" t="inlineStr">
        <is>
          <t>https://inc42.com/buzz/from-darwinbox-to-insurancedekho-indian-startups-raised-386-mn-this-week/</t>
        </is>
      </c>
    </row>
    <row r="459">
      <c r="A459" t="inlineStr">
        <is>
          <t>ENT-8796378</t>
        </is>
      </c>
      <c r="B459" t="inlineStr">
        <is>
          <t>R250305-leapfinance</t>
        </is>
      </c>
      <c r="C459" t="inlineStr">
        <is>
          <t>Entrackr</t>
        </is>
      </c>
      <c r="D459" s="17" t="n">
        <v>45721</v>
      </c>
      <c r="E459" t="inlineStr">
        <is>
          <t>Leap Finance</t>
        </is>
      </c>
      <c r="F459" t="inlineStr">
        <is>
          <t>$100 million</t>
        </is>
      </c>
      <c r="G459" s="19" t="n"/>
      <c r="H459" s="19" t="n">
        <v>100</v>
      </c>
      <c r="I459" t="inlineStr">
        <is>
          <t>Debt</t>
        </is>
      </c>
      <c r="J459" t="inlineStr"/>
      <c r="K459" t="inlineStr">
        <is>
          <t>https://entrackr.com/news/leap-finance-raises-100-mn-debt-from-hsbc-8796378</t>
        </is>
      </c>
    </row>
    <row r="460">
      <c r="A460" t="inlineStr">
        <is>
          <t>ET-118728465</t>
        </is>
      </c>
      <c r="B460" t="inlineStr">
        <is>
          <t>R250305-leapfinance</t>
        </is>
      </c>
      <c r="C460" t="inlineStr">
        <is>
          <t>The Economic Times</t>
        </is>
      </c>
      <c r="D460" s="17" t="n">
        <v>45721</v>
      </c>
      <c r="E460" t="inlineStr">
        <is>
          <t>Leap Finance</t>
        </is>
      </c>
      <c r="F460" t="inlineStr">
        <is>
          <t>$100 million</t>
        </is>
      </c>
      <c r="G460" s="19" t="n"/>
      <c r="H460" s="19" t="n">
        <v>100</v>
      </c>
      <c r="I460" t="inlineStr">
        <is>
          <t>Debt</t>
        </is>
      </c>
      <c r="J460" t="inlineStr"/>
      <c r="K460" t="inlineStr">
        <is>
          <t>https://economictimes.indiatimes.com/tech/funding/leap-finance-raises-100-million-in-debt-funding-from-hsbc/articleshow/118728465.cms</t>
        </is>
      </c>
    </row>
    <row r="461">
      <c r="A461" t="inlineStr">
        <is>
          <t>INC-20250308-02</t>
        </is>
      </c>
      <c r="B461" t="inlineStr">
        <is>
          <t>R250305-leapfinance</t>
        </is>
      </c>
      <c r="C461" t="inlineStr">
        <is>
          <t>Inc42</t>
        </is>
      </c>
      <c r="D461" s="17" t="n">
        <v>45721</v>
      </c>
      <c r="E461" t="inlineStr">
        <is>
          <t>Leap Finance</t>
        </is>
      </c>
      <c r="F461" t="inlineStr">
        <is>
          <t>$100 Mn</t>
        </is>
      </c>
      <c r="G461" s="19" t="n"/>
      <c r="H461" s="19" t="n">
        <v>100</v>
      </c>
      <c r="I461" t="inlineStr">
        <is>
          <t>Debt</t>
        </is>
      </c>
      <c r="J461" t="inlineStr">
        <is>
          <t>HSBC</t>
        </is>
      </c>
      <c r="K461" t="inlineStr">
        <is>
          <t>https://inc42.com/buzz/from-darwinbox-to-insurancedekho-indian-startups-raised-386-mn-this-week/</t>
        </is>
      </c>
    </row>
    <row r="462">
      <c r="A462" t="inlineStr">
        <is>
          <t>INC-20250308-27</t>
        </is>
      </c>
      <c r="B462" t="inlineStr">
        <is>
          <t>R250305-naarica</t>
        </is>
      </c>
      <c r="C462" t="inlineStr">
        <is>
          <t>Inc42</t>
        </is>
      </c>
      <c r="D462" s="17" t="n">
        <v>45721</v>
      </c>
      <c r="E462" t="inlineStr">
        <is>
          <t>Naarica</t>
        </is>
      </c>
      <c r="F462" t="inlineStr"/>
      <c r="G462" s="19" t="n"/>
      <c r="H462" s="19" t="n"/>
      <c r="I462" t="inlineStr">
        <is>
          <t>Undisclosed</t>
        </is>
      </c>
      <c r="J462" t="inlineStr">
        <is>
          <t>Saina Nehwal</t>
        </is>
      </c>
      <c r="K462" t="inlineStr">
        <is>
          <t>https://inc42.com/buzz/from-darwinbox-to-insurancedekho-indian-startups-raised-386-mn-this-week/</t>
        </is>
      </c>
    </row>
    <row r="463">
      <c r="A463" t="inlineStr">
        <is>
          <t>INC-20250308-08</t>
        </is>
      </c>
      <c r="B463" t="inlineStr">
        <is>
          <t>R250305-zetwerk</t>
        </is>
      </c>
      <c r="C463" t="inlineStr">
        <is>
          <t>Inc42</t>
        </is>
      </c>
      <c r="D463" s="17" t="n">
        <v>45721</v>
      </c>
      <c r="E463" t="inlineStr">
        <is>
          <t>Zetwerk</t>
        </is>
      </c>
      <c r="F463" t="inlineStr">
        <is>
          <t>$5 Mn</t>
        </is>
      </c>
      <c r="G463" s="19" t="n"/>
      <c r="H463" s="19" t="n">
        <v>5</v>
      </c>
      <c r="I463" t="inlineStr">
        <is>
          <t>Undisclosed</t>
        </is>
      </c>
      <c r="J463" t="inlineStr">
        <is>
          <t>Arc Investments; Oriental Biotech Limited</t>
        </is>
      </c>
      <c r="K463" t="inlineStr">
        <is>
          <t>https://inc42.com/buzz/from-darwinbox-to-insurancedekho-indian-startups-raised-386-mn-this-week/</t>
        </is>
      </c>
    </row>
    <row r="464">
      <c r="A464" t="inlineStr">
        <is>
          <t>ENT-8827135</t>
        </is>
      </c>
      <c r="B464" t="inlineStr">
        <is>
          <t>R250306-gainhubai</t>
        </is>
      </c>
      <c r="C464" t="inlineStr">
        <is>
          <t>Entrackr</t>
        </is>
      </c>
      <c r="D464" s="17" t="n">
        <v>45722</v>
      </c>
      <c r="E464" t="inlineStr">
        <is>
          <t>Gainhub.Ai</t>
        </is>
      </c>
      <c r="F464" t="inlineStr">
        <is>
          <t>$100K</t>
        </is>
      </c>
      <c r="G464" s="19" t="n"/>
      <c r="H464" s="19" t="n">
        <v>0.1</v>
      </c>
      <c r="I464" t="inlineStr">
        <is>
          <t>Bridge</t>
        </is>
      </c>
      <c r="J464" t="inlineStr">
        <is>
          <t>Growth Strategy Ventures</t>
        </is>
      </c>
      <c r="K464" t="inlineStr">
        <is>
          <t>https://entrackr.com/snippets/gainhubai-bags-100k-in-pre-series-bridge-round-8827135</t>
        </is>
      </c>
    </row>
    <row r="465">
      <c r="A465" t="inlineStr">
        <is>
          <t>INC-20250308-11</t>
        </is>
      </c>
      <c r="B465" t="inlineStr">
        <is>
          <t>R250306-innoviti</t>
        </is>
      </c>
      <c r="C465" t="inlineStr">
        <is>
          <t>Inc42</t>
        </is>
      </c>
      <c r="D465" s="17" t="n">
        <v>45722</v>
      </c>
      <c r="E465" t="inlineStr">
        <is>
          <t>Innoviti</t>
        </is>
      </c>
      <c r="F465" t="inlineStr">
        <is>
          <t>$4 Mn</t>
        </is>
      </c>
      <c r="G465" s="19" t="n"/>
      <c r="H465" s="19" t="n">
        <v>4</v>
      </c>
      <c r="I465" t="inlineStr">
        <is>
          <t>Undisclosed</t>
        </is>
      </c>
      <c r="J465" t="inlineStr"/>
      <c r="K465" t="inlineStr">
        <is>
          <t>https://inc42.com/buzz/from-darwinbox-to-insurancedekho-indian-startups-raised-386-mn-this-week/</t>
        </is>
      </c>
    </row>
    <row r="466">
      <c r="A466" t="inlineStr">
        <is>
          <t>ENT-8827439</t>
        </is>
      </c>
      <c r="B466" t="inlineStr">
        <is>
          <t>R250306-mapmycrop</t>
        </is>
      </c>
      <c r="C466" t="inlineStr">
        <is>
          <t>Entrackr</t>
        </is>
      </c>
      <c r="D466" s="17" t="n">
        <v>45722</v>
      </c>
      <c r="E466" t="inlineStr">
        <is>
          <t>MapMyCrop</t>
        </is>
      </c>
      <c r="F466" t="inlineStr">
        <is>
          <t>$1.8 million</t>
        </is>
      </c>
      <c r="G466" s="19" t="n"/>
      <c r="H466" s="19" t="n">
        <v>1.8</v>
      </c>
      <c r="I466" t="inlineStr">
        <is>
          <t>Seed</t>
        </is>
      </c>
      <c r="J466" t="inlineStr">
        <is>
          <t>YourNest Venture Capital; Eaglewings Ventures</t>
        </is>
      </c>
      <c r="K466" t="inlineStr">
        <is>
          <t>https://entrackr.com/snippets/mapmycrop-bags-18-mn-in-seed-round-8827439</t>
        </is>
      </c>
    </row>
    <row r="467">
      <c r="A467" t="inlineStr">
        <is>
          <t>ET-118757001</t>
        </is>
      </c>
      <c r="B467" t="inlineStr">
        <is>
          <t>R250306-mapmycrop</t>
        </is>
      </c>
      <c r="C467" t="inlineStr">
        <is>
          <t>The Economic Times</t>
        </is>
      </c>
      <c r="D467" s="17" t="n">
        <v>45722</v>
      </c>
      <c r="E467" t="inlineStr">
        <is>
          <t>MapMycrop</t>
        </is>
      </c>
      <c r="F467" t="inlineStr">
        <is>
          <t>Rs 15.7 crore</t>
        </is>
      </c>
      <c r="G467" s="19" t="n">
        <v>15.7</v>
      </c>
      <c r="H467" s="19" t="n">
        <v>1.8</v>
      </c>
      <c r="I467" t="inlineStr">
        <is>
          <t>Seed</t>
        </is>
      </c>
      <c r="J467" t="inlineStr">
        <is>
          <t>YourNest Venture Capital</t>
        </is>
      </c>
      <c r="K467" t="inlineStr">
        <is>
          <t>https://economictimes.indiatimes.com/tech/funding/mapmycrop-raises-rs-15-7-crore-in-seed-funding-for-agritech-expansion/articleshow/118757001.cms</t>
        </is>
      </c>
    </row>
    <row r="468">
      <c r="A468" t="inlineStr">
        <is>
          <t>ENT-8825802</t>
        </is>
      </c>
      <c r="B468" t="inlineStr">
        <is>
          <t>R250306-maxiq</t>
        </is>
      </c>
      <c r="C468" t="inlineStr">
        <is>
          <t>Entrackr</t>
        </is>
      </c>
      <c r="D468" s="17" t="n">
        <v>45722</v>
      </c>
      <c r="E468" t="inlineStr">
        <is>
          <t>MaxIQ</t>
        </is>
      </c>
      <c r="F468" t="inlineStr">
        <is>
          <t>$7.8 million</t>
        </is>
      </c>
      <c r="G468" s="19" t="n"/>
      <c r="H468" s="19" t="n">
        <v>7.8</v>
      </c>
      <c r="I468" t="inlineStr">
        <is>
          <t>Seed</t>
        </is>
      </c>
      <c r="J468" t="inlineStr">
        <is>
          <t>Dell Technologies Capital</t>
        </is>
      </c>
      <c r="K468" t="inlineStr">
        <is>
          <t>https://entrackr.com/snippets/maxiq-raises-78-mn-led-by-dell-technologies-8825802</t>
        </is>
      </c>
    </row>
    <row r="469">
      <c r="A469" t="inlineStr">
        <is>
          <t>INC-20250308-05</t>
        </is>
      </c>
      <c r="B469" t="inlineStr">
        <is>
          <t>R250306-maxiq</t>
        </is>
      </c>
      <c r="C469" t="inlineStr">
        <is>
          <t>Inc42</t>
        </is>
      </c>
      <c r="D469" s="17" t="n">
        <v>45722</v>
      </c>
      <c r="E469" t="inlineStr">
        <is>
          <t>MaxIQ</t>
        </is>
      </c>
      <c r="F469" t="inlineStr">
        <is>
          <t>$7.8 Mn</t>
        </is>
      </c>
      <c r="G469" s="19" t="n"/>
      <c r="H469" s="19" t="n">
        <v>7.8</v>
      </c>
      <c r="I469" t="inlineStr">
        <is>
          <t>Seed</t>
        </is>
      </c>
      <c r="J469" t="inlineStr">
        <is>
          <t>Dell Technologies Capital</t>
        </is>
      </c>
      <c r="K469" t="inlineStr">
        <is>
          <t>https://inc42.com/buzz/from-darwinbox-to-insurancedekho-indian-startups-raised-386-mn-this-week/</t>
        </is>
      </c>
    </row>
    <row r="470">
      <c r="A470" t="inlineStr">
        <is>
          <t>ENT-8817121</t>
        </is>
      </c>
      <c r="B470" t="inlineStr">
        <is>
          <t>R250306-photai</t>
        </is>
      </c>
      <c r="C470" t="inlineStr">
        <is>
          <t>Entrackr</t>
        </is>
      </c>
      <c r="D470" s="17" t="n">
        <v>45722</v>
      </c>
      <c r="E470" t="inlineStr">
        <is>
          <t>Phot.AI</t>
        </is>
      </c>
      <c r="F470" t="inlineStr">
        <is>
          <t>$2.7 million</t>
        </is>
      </c>
      <c r="G470" s="19" t="n"/>
      <c r="H470" s="19" t="n">
        <v>2.7</v>
      </c>
      <c r="I470" t="inlineStr">
        <is>
          <t>Seed</t>
        </is>
      </c>
      <c r="J470" t="inlineStr">
        <is>
          <t>Info Edge Ventures</t>
        </is>
      </c>
      <c r="K470" t="inlineStr">
        <is>
          <t>https://entrackr.com/snippets/photai-raises-27-mn-to-automate-e-commerce-creative-design-8817121</t>
        </is>
      </c>
    </row>
    <row r="471">
      <c r="A471" t="inlineStr">
        <is>
          <t>INC-20250308-15</t>
        </is>
      </c>
      <c r="B471" t="inlineStr">
        <is>
          <t>R250306-photai</t>
        </is>
      </c>
      <c r="C471" t="inlineStr">
        <is>
          <t>Inc42</t>
        </is>
      </c>
      <c r="D471" s="17" t="n">
        <v>45722</v>
      </c>
      <c r="E471" t="inlineStr">
        <is>
          <t>Phot.AI</t>
        </is>
      </c>
      <c r="F471" t="inlineStr">
        <is>
          <t>$2.7 Mn</t>
        </is>
      </c>
      <c r="G471" s="19" t="n"/>
      <c r="H471" s="19" t="n">
        <v>2.7</v>
      </c>
      <c r="I471" t="inlineStr">
        <is>
          <t>Seed</t>
        </is>
      </c>
      <c r="J471" t="inlineStr">
        <is>
          <t>Info Edge Ventures</t>
        </is>
      </c>
      <c r="K471" t="inlineStr">
        <is>
          <t>https://inc42.com/buzz/from-darwinbox-to-insurancedekho-indian-startups-raised-386-mn-this-week/</t>
        </is>
      </c>
    </row>
    <row r="472">
      <c r="A472" t="inlineStr">
        <is>
          <t>ENT-8821610</t>
        </is>
      </c>
      <c r="B472" t="inlineStr">
        <is>
          <t>R250306-rajeevmisrason</t>
        </is>
      </c>
      <c r="C472" t="inlineStr">
        <is>
          <t>Entrackr</t>
        </is>
      </c>
      <c r="D472" s="17" t="n">
        <v>45722</v>
      </c>
      <c r="E472" t="inlineStr">
        <is>
          <t>Rajeev Misra's son</t>
        </is>
      </c>
      <c r="F472" t="inlineStr"/>
      <c r="G472" s="19" t="n"/>
      <c r="H472" s="19" t="n"/>
      <c r="I472" t="inlineStr">
        <is>
          <t>Undisclosed</t>
        </is>
      </c>
      <c r="J472" t="inlineStr"/>
      <c r="K472" t="inlineStr">
        <is>
          <t>https://entrackr.com/snippets/rajeev-misras-son-raises-150-mn-fund-to-back-indian-startups-8821610</t>
        </is>
      </c>
    </row>
    <row r="473">
      <c r="A473" t="inlineStr">
        <is>
          <t>ENT-8827719</t>
        </is>
      </c>
      <c r="B473" t="inlineStr">
        <is>
          <t>R250306-swish</t>
        </is>
      </c>
      <c r="C473" t="inlineStr">
        <is>
          <t>Entrackr</t>
        </is>
      </c>
      <c r="D473" s="17" t="n">
        <v>45722</v>
      </c>
      <c r="E473" t="inlineStr">
        <is>
          <t>Swish</t>
        </is>
      </c>
      <c r="F473" t="inlineStr">
        <is>
          <t>Rs 122.32 crore</t>
        </is>
      </c>
      <c r="G473" s="19" t="n">
        <v>122.32</v>
      </c>
      <c r="H473" s="19" t="n">
        <v>14</v>
      </c>
      <c r="I473" t="inlineStr">
        <is>
          <t>Series A</t>
        </is>
      </c>
      <c r="J473" t="inlineStr">
        <is>
          <t>Hara Global Capital; Accel India</t>
        </is>
      </c>
      <c r="K473" t="inlineStr">
        <is>
          <t>https://entrackr.com/exclusive/exclusive-10-min-food-delivery-startup-swish-raises-14-mn-8827719</t>
        </is>
      </c>
    </row>
    <row r="474">
      <c r="A474" t="inlineStr">
        <is>
          <t>INC-20250308-04</t>
        </is>
      </c>
      <c r="B474" t="inlineStr">
        <is>
          <t>R250306-swish</t>
        </is>
      </c>
      <c r="C474" t="inlineStr">
        <is>
          <t>Inc42</t>
        </is>
      </c>
      <c r="D474" s="17" t="n">
        <v>45722</v>
      </c>
      <c r="E474" t="inlineStr">
        <is>
          <t>Swish</t>
        </is>
      </c>
      <c r="F474" t="inlineStr">
        <is>
          <t>$14 Mn</t>
        </is>
      </c>
      <c r="G474" s="19" t="n"/>
      <c r="H474" s="19" t="n">
        <v>14</v>
      </c>
      <c r="I474" t="inlineStr">
        <is>
          <t>Series A</t>
        </is>
      </c>
      <c r="J474" t="inlineStr"/>
      <c r="K474" t="inlineStr">
        <is>
          <t>https://inc42.com/buzz/from-darwinbox-to-insurancedekho-indian-startups-raised-386-mn-this-week/</t>
        </is>
      </c>
    </row>
    <row r="475">
      <c r="A475" t="inlineStr">
        <is>
          <t>ET-118801615</t>
        </is>
      </c>
      <c r="B475" t="inlineStr">
        <is>
          <t>R250306-swish</t>
        </is>
      </c>
      <c r="C475" t="inlineStr">
        <is>
          <t>The Economic Times</t>
        </is>
      </c>
      <c r="D475" s="17" t="n">
        <v>45724</v>
      </c>
      <c r="E475" t="inlineStr">
        <is>
          <t>Swish</t>
        </is>
      </c>
      <c r="F475" t="inlineStr">
        <is>
          <t>$14 million</t>
        </is>
      </c>
      <c r="G475" s="19" t="n">
        <v>122</v>
      </c>
      <c r="H475" s="19" t="n">
        <v>14</v>
      </c>
      <c r="I475" t="inlineStr">
        <is>
          <t>Undisclosed</t>
        </is>
      </c>
      <c r="J475" t="inlineStr">
        <is>
          <t>Hara Global; Accel</t>
        </is>
      </c>
      <c r="K475" t="inlineStr">
        <is>
          <t>https://economictimes.indiatimes.com/tech/funding/food-delivery-startup-swish-raises-rs-122-crore-from-investors-led-by-hara-global-and-accel/articleshow/118801615.cms</t>
        </is>
      </c>
    </row>
    <row r="476">
      <c r="A476" t="inlineStr">
        <is>
          <t>INC-20250308-18</t>
        </is>
      </c>
      <c r="B476" t="inlineStr">
        <is>
          <t>R250306-yenmo</t>
        </is>
      </c>
      <c r="C476" t="inlineStr">
        <is>
          <t>Inc42</t>
        </is>
      </c>
      <c r="D476" s="17" t="n">
        <v>45722</v>
      </c>
      <c r="E476" t="inlineStr">
        <is>
          <t>Yenmo</t>
        </is>
      </c>
      <c r="F476" t="inlineStr">
        <is>
          <t>$1.1 Mn</t>
        </is>
      </c>
      <c r="G476" s="19" t="n"/>
      <c r="H476" s="19" t="n">
        <v>1.1</v>
      </c>
      <c r="I476" t="inlineStr">
        <is>
          <t>Undisclosed</t>
        </is>
      </c>
      <c r="J476" t="inlineStr">
        <is>
          <t>Y Combinator</t>
        </is>
      </c>
      <c r="K476" t="inlineStr">
        <is>
          <t>https://inc42.com/buzz/from-darwinbox-to-insurancedekho-indian-startups-raised-386-mn-this-week/</t>
        </is>
      </c>
    </row>
    <row r="477">
      <c r="A477" t="inlineStr">
        <is>
          <t>VCC-afb7422ecf</t>
        </is>
      </c>
      <c r="B477" t="inlineStr">
        <is>
          <t>R250306-yenmo</t>
        </is>
      </c>
      <c r="C477" t="inlineStr">
        <is>
          <t>VCCircle</t>
        </is>
      </c>
      <c r="D477" s="17" t="n">
        <v>45723</v>
      </c>
      <c r="E477" t="inlineStr">
        <is>
          <t>yenmo</t>
        </is>
      </c>
      <c r="F477" t="inlineStr"/>
      <c r="G477" s="19" t="n"/>
      <c r="H477" s="19" t="n"/>
      <c r="I477" t="inlineStr">
        <is>
          <t>Undisclosed</t>
        </is>
      </c>
      <c r="J477" t="inlineStr"/>
      <c r="K477" t="inlineStr">
        <is>
          <t>https://www.vccircle.com/instantloan-provider-yenmo-secures-fresh-funding-from-y-combinator-other-investors</t>
        </is>
      </c>
    </row>
    <row r="478">
      <c r="A478" t="inlineStr">
        <is>
          <t>ENT-8839320</t>
        </is>
      </c>
      <c r="B478" t="inlineStr">
        <is>
          <t>R250306-yenmo</t>
        </is>
      </c>
      <c r="C478" t="inlineStr">
        <is>
          <t>Entrackr</t>
        </is>
      </c>
      <c r="D478" s="17" t="n">
        <v>45726</v>
      </c>
      <c r="E478" t="inlineStr">
        <is>
          <t>Yenmo</t>
        </is>
      </c>
      <c r="F478" t="inlineStr">
        <is>
          <t>Rs 9.2 crore</t>
        </is>
      </c>
      <c r="G478" s="19" t="n">
        <v>9.199999999999999</v>
      </c>
      <c r="H478" s="19" t="n"/>
      <c r="I478" t="inlineStr">
        <is>
          <t>Undisclosed</t>
        </is>
      </c>
      <c r="J478" t="inlineStr">
        <is>
          <t>Y Combinator</t>
        </is>
      </c>
      <c r="K478" t="inlineStr">
        <is>
          <t>https://entrackr.com/snippets/yenmo-raises-rs-92-cr-led-by-y-combinator-8839320</t>
        </is>
      </c>
    </row>
    <row r="479">
      <c r="A479" t="inlineStr">
        <is>
          <t>INC-20250308-25</t>
        </is>
      </c>
      <c r="B479" t="inlineStr">
        <is>
          <t>R250306-zuppaneonaviga</t>
        </is>
      </c>
      <c r="C479" t="inlineStr">
        <is>
          <t>Inc42</t>
        </is>
      </c>
      <c r="D479" s="17" t="n">
        <v>45722</v>
      </c>
      <c r="E479" t="inlineStr">
        <is>
          <t>Zuppa Neo Navigation Technologies</t>
        </is>
      </c>
      <c r="F479" t="inlineStr">
        <is>
          <t>$115K</t>
        </is>
      </c>
      <c r="G479" s="19" t="n"/>
      <c r="H479" s="19" t="n">
        <v>0.115</v>
      </c>
      <c r="I479" t="inlineStr">
        <is>
          <t>Undisclosed</t>
        </is>
      </c>
      <c r="J479" t="inlineStr">
        <is>
          <t>Garuda Aerospace</t>
        </is>
      </c>
      <c r="K479" t="inlineStr">
        <is>
          <t>https://inc42.com/buzz/from-darwinbox-to-insurancedekho-indian-startups-raised-386-mn-this-week/</t>
        </is>
      </c>
    </row>
    <row r="480">
      <c r="A480" t="inlineStr">
        <is>
          <t>INC-20250308-16</t>
        </is>
      </c>
      <c r="B480" t="inlineStr">
        <is>
          <t>R250307-baccabucci</t>
        </is>
      </c>
      <c r="C480" t="inlineStr">
        <is>
          <t>Inc42</t>
        </is>
      </c>
      <c r="D480" s="17" t="n">
        <v>45723</v>
      </c>
      <c r="E480" t="inlineStr">
        <is>
          <t>Bacca Bucci</t>
        </is>
      </c>
      <c r="F480" t="inlineStr">
        <is>
          <t>$2.5 Mn</t>
        </is>
      </c>
      <c r="G480" s="19" t="n"/>
      <c r="H480" s="19" t="n">
        <v>2.5</v>
      </c>
      <c r="I480" t="inlineStr">
        <is>
          <t>Undisclosed</t>
        </is>
      </c>
      <c r="J480" t="inlineStr">
        <is>
          <t>JP Taparia</t>
        </is>
      </c>
      <c r="K480" t="inlineStr">
        <is>
          <t>https://inc42.com/buzz/from-darwinbox-to-insurancedekho-indian-startups-raised-386-mn-this-week/</t>
        </is>
      </c>
    </row>
    <row r="481">
      <c r="A481" t="inlineStr">
        <is>
          <t>INC-20250308-07</t>
        </is>
      </c>
      <c r="B481" t="inlineStr">
        <is>
          <t>R250307-furlenco</t>
        </is>
      </c>
      <c r="C481" t="inlineStr">
        <is>
          <t>Inc42</t>
        </is>
      </c>
      <c r="D481" s="17" t="n">
        <v>45723</v>
      </c>
      <c r="E481" t="inlineStr">
        <is>
          <t>Furlenco</t>
        </is>
      </c>
      <c r="F481" t="inlineStr">
        <is>
          <t>$7 Mn</t>
        </is>
      </c>
      <c r="G481" s="19" t="n"/>
      <c r="H481" s="19" t="n">
        <v>7</v>
      </c>
      <c r="I481" t="inlineStr">
        <is>
          <t>Debt</t>
        </is>
      </c>
      <c r="J481" t="inlineStr"/>
      <c r="K481" t="inlineStr">
        <is>
          <t>https://inc42.com/buzz/from-darwinbox-to-insurancedekho-indian-startups-raised-386-mn-this-week/</t>
        </is>
      </c>
    </row>
    <row r="482">
      <c r="A482" t="inlineStr">
        <is>
          <t>ET-118784370</t>
        </is>
      </c>
      <c r="B482" t="inlineStr">
        <is>
          <t>R250307-indewild</t>
        </is>
      </c>
      <c r="C482" t="inlineStr">
        <is>
          <t>The Economic Times</t>
        </is>
      </c>
      <c r="D482" s="17" t="n">
        <v>45723</v>
      </c>
      <c r="E482" t="inlineStr">
        <is>
          <t>Inde Wild</t>
        </is>
      </c>
      <c r="F482" t="inlineStr">
        <is>
          <t>$5 million</t>
        </is>
      </c>
      <c r="G482" s="19" t="n"/>
      <c r="H482" s="19" t="n">
        <v>5</v>
      </c>
      <c r="I482" t="inlineStr">
        <is>
          <t>Undisclosed</t>
        </is>
      </c>
      <c r="J482" t="inlineStr">
        <is>
          <t>Unilever Ventures</t>
        </is>
      </c>
      <c r="K482" t="inlineStr">
        <is>
          <t>https://economictimes.indiatimes.com/tech/funding/beauty-brand-inde-wild-raises-5-million-from-unilever-ventures-others/articleshow/118784370.cms</t>
        </is>
      </c>
    </row>
    <row r="483">
      <c r="A483" t="inlineStr">
        <is>
          <t>INC-20250308-09</t>
        </is>
      </c>
      <c r="B483" t="inlineStr">
        <is>
          <t>R250307-indewild</t>
        </is>
      </c>
      <c r="C483" t="inlineStr">
        <is>
          <t>Inc42</t>
        </is>
      </c>
      <c r="D483" s="17" t="n">
        <v>45723</v>
      </c>
      <c r="E483" t="inlineStr">
        <is>
          <t>indē wild</t>
        </is>
      </c>
      <c r="F483" t="inlineStr">
        <is>
          <t>$5 Mn</t>
        </is>
      </c>
      <c r="G483" s="19" t="n"/>
      <c r="H483" s="19" t="n">
        <v>5</v>
      </c>
      <c r="I483" t="inlineStr">
        <is>
          <t>Undisclosed</t>
        </is>
      </c>
      <c r="J483" t="inlineStr">
        <is>
          <t>Unilever Ventures</t>
        </is>
      </c>
      <c r="K483" t="inlineStr">
        <is>
          <t>https://inc42.com/buzz/from-darwinbox-to-insurancedekho-indian-startups-raised-386-mn-this-week/</t>
        </is>
      </c>
    </row>
    <row r="484">
      <c r="A484" t="inlineStr">
        <is>
          <t>INC-20250308-20</t>
        </is>
      </c>
      <c r="B484" t="inlineStr">
        <is>
          <t>R250307-vobble</t>
        </is>
      </c>
      <c r="C484" t="inlineStr">
        <is>
          <t>Inc42</t>
        </is>
      </c>
      <c r="D484" s="17" t="n">
        <v>45723</v>
      </c>
      <c r="E484" t="inlineStr">
        <is>
          <t>Vobble</t>
        </is>
      </c>
      <c r="F484" t="inlineStr">
        <is>
          <t>$1 Mn</t>
        </is>
      </c>
      <c r="G484" s="19" t="n"/>
      <c r="H484" s="19" t="n">
        <v>1</v>
      </c>
      <c r="I484" t="inlineStr">
        <is>
          <t>Seed</t>
        </is>
      </c>
      <c r="J484" t="inlineStr">
        <is>
          <t>MIXI Investments</t>
        </is>
      </c>
      <c r="K484" t="inlineStr">
        <is>
          <t>https://inc42.com/buzz/from-darwinbox-to-insurancedekho-indian-startups-raised-386-mn-this-week/</t>
        </is>
      </c>
    </row>
    <row r="485">
      <c r="A485" t="inlineStr">
        <is>
          <t>INC-20250315-06</t>
        </is>
      </c>
      <c r="B485" t="inlineStr">
        <is>
          <t>R250310-giva</t>
        </is>
      </c>
      <c r="C485" t="inlineStr">
        <is>
          <t>Inc42</t>
        </is>
      </c>
      <c r="D485" s="17" t="n">
        <v>45726</v>
      </c>
      <c r="E485" t="inlineStr">
        <is>
          <t>GIVA</t>
        </is>
      </c>
      <c r="F485" t="inlineStr">
        <is>
          <t>$11.7 Mn</t>
        </is>
      </c>
      <c r="G485" s="19" t="n"/>
      <c r="H485" s="19" t="n">
        <v>11.7</v>
      </c>
      <c r="I485" t="inlineStr">
        <is>
          <t>Undisclosed</t>
        </is>
      </c>
      <c r="J485" t="inlineStr"/>
      <c r="K485" t="inlineStr">
        <is>
          <t>https://inc42.com/buzz/from-zolve-to-scimplify-indian-startups-raised-429-mn-this-week/</t>
        </is>
      </c>
    </row>
    <row r="486">
      <c r="A486" t="inlineStr">
        <is>
          <t>ENT-8839027</t>
        </is>
      </c>
      <c r="B486" t="inlineStr">
        <is>
          <t>R250310-voltmoney</t>
        </is>
      </c>
      <c r="C486" t="inlineStr">
        <is>
          <t>Entrackr</t>
        </is>
      </c>
      <c r="D486" s="17" t="n">
        <v>45726</v>
      </c>
      <c r="E486" t="inlineStr">
        <is>
          <t>Volt Money</t>
        </is>
      </c>
      <c r="F486" t="inlineStr"/>
      <c r="G486" s="19" t="n"/>
      <c r="H486" s="19" t="n"/>
      <c r="I486" t="inlineStr">
        <is>
          <t>Undisclosed</t>
        </is>
      </c>
      <c r="J486" t="inlineStr"/>
      <c r="K486" t="inlineStr">
        <is>
          <t>https://entrackr.com/exclusive/exclusive-dsp-mutual-fund-acquires-volt-money-8839027</t>
        </is>
      </c>
    </row>
    <row r="487">
      <c r="A487" t="inlineStr">
        <is>
          <t>ENT-8842295</t>
        </is>
      </c>
      <c r="B487" t="inlineStr">
        <is>
          <t>R250311-ambitio</t>
        </is>
      </c>
      <c r="C487" t="inlineStr">
        <is>
          <t>Entrackr</t>
        </is>
      </c>
      <c r="D487" s="17" t="n">
        <v>45727</v>
      </c>
      <c r="E487" t="inlineStr">
        <is>
          <t>Ambitio</t>
        </is>
      </c>
      <c r="F487" t="inlineStr">
        <is>
          <t>$2 million</t>
        </is>
      </c>
      <c r="G487" s="19" t="n"/>
      <c r="H487" s="19" t="n">
        <v>2</v>
      </c>
      <c r="I487" t="inlineStr">
        <is>
          <t>Seed</t>
        </is>
      </c>
      <c r="J487" t="inlineStr">
        <is>
          <t>BLinC Invest</t>
        </is>
      </c>
      <c r="K487" t="inlineStr">
        <is>
          <t>https://entrackr.com/snippets/admission-startup-ambitio-raises-2-mn-in-seed-round-8842295</t>
        </is>
      </c>
    </row>
    <row r="488">
      <c r="A488" t="inlineStr">
        <is>
          <t>INC-20250315-11</t>
        </is>
      </c>
      <c r="B488" t="inlineStr">
        <is>
          <t>R250311-ambitio</t>
        </is>
      </c>
      <c r="C488" t="inlineStr">
        <is>
          <t>Inc42</t>
        </is>
      </c>
      <c r="D488" s="17" t="n">
        <v>45727</v>
      </c>
      <c r="E488" t="inlineStr">
        <is>
          <t>Ambitio</t>
        </is>
      </c>
      <c r="F488" t="inlineStr">
        <is>
          <t>$2 Mn</t>
        </is>
      </c>
      <c r="G488" s="19" t="n"/>
      <c r="H488" s="19" t="n">
        <v>2</v>
      </c>
      <c r="I488" t="inlineStr">
        <is>
          <t>Seed</t>
        </is>
      </c>
      <c r="J488" t="inlineStr">
        <is>
          <t>BLinC Invest</t>
        </is>
      </c>
      <c r="K488" t="inlineStr">
        <is>
          <t>https://inc42.com/buzz/from-zolve-to-scimplify-indian-startups-raised-429-mn-this-week/</t>
        </is>
      </c>
    </row>
    <row r="489">
      <c r="A489" t="inlineStr">
        <is>
          <t>INC-20250315-14</t>
        </is>
      </c>
      <c r="B489" t="inlineStr">
        <is>
          <t>R250311-dreamtimelearn</t>
        </is>
      </c>
      <c r="C489" t="inlineStr">
        <is>
          <t>Inc42</t>
        </is>
      </c>
      <c r="D489" s="17" t="n">
        <v>45727</v>
      </c>
      <c r="E489" t="inlineStr">
        <is>
          <t>Dreamtime Learning</t>
        </is>
      </c>
      <c r="F489" t="inlineStr"/>
      <c r="G489" s="19" t="n"/>
      <c r="H489" s="19" t="n"/>
      <c r="I489" t="inlineStr">
        <is>
          <t>Pre-Series A</t>
        </is>
      </c>
      <c r="J489" t="inlineStr">
        <is>
          <t>Nikhil Kamath; Abhijeet Pai</t>
        </is>
      </c>
      <c r="K489" t="inlineStr">
        <is>
          <t>https://inc42.com/buzz/from-zolve-to-scimplify-indian-startups-raised-429-mn-this-week/</t>
        </is>
      </c>
    </row>
    <row r="490">
      <c r="A490" t="inlineStr">
        <is>
          <t>ENT-8842082</t>
        </is>
      </c>
      <c r="B490" t="inlineStr">
        <is>
          <t>R250311-felicitygames</t>
        </is>
      </c>
      <c r="C490" t="inlineStr">
        <is>
          <t>Entrackr</t>
        </is>
      </c>
      <c r="D490" s="17" t="n">
        <v>45727</v>
      </c>
      <c r="E490" t="inlineStr">
        <is>
          <t>Felicity Games</t>
        </is>
      </c>
      <c r="F490" t="inlineStr">
        <is>
          <t>$3 million</t>
        </is>
      </c>
      <c r="G490" s="19" t="n">
        <v>25.8</v>
      </c>
      <c r="H490" s="19" t="n">
        <v>3</v>
      </c>
      <c r="I490" t="inlineStr">
        <is>
          <t>Seed</t>
        </is>
      </c>
      <c r="J490" t="inlineStr">
        <is>
          <t>3one4 Capital; T-Accelerate Capital; MIXI Global Investments; Visceral Capital</t>
        </is>
      </c>
      <c r="K490" t="inlineStr">
        <is>
          <t>https://entrackr.com/snippets/3one4-capital-leads-3-mn-round-in-felicity-games-8842082</t>
        </is>
      </c>
    </row>
    <row r="491">
      <c r="A491" t="inlineStr">
        <is>
          <t>INC-20250315-10</t>
        </is>
      </c>
      <c r="B491" t="inlineStr">
        <is>
          <t>R250311-felicitygames</t>
        </is>
      </c>
      <c r="C491" t="inlineStr">
        <is>
          <t>Inc42</t>
        </is>
      </c>
      <c r="D491" s="17" t="n">
        <v>45727</v>
      </c>
      <c r="E491" t="inlineStr">
        <is>
          <t>Felicity Games</t>
        </is>
      </c>
      <c r="F491" t="inlineStr">
        <is>
          <t>$3 Mn</t>
        </is>
      </c>
      <c r="G491" s="19" t="n"/>
      <c r="H491" s="19" t="n">
        <v>3</v>
      </c>
      <c r="I491" t="inlineStr">
        <is>
          <t>Seed</t>
        </is>
      </c>
      <c r="J491" t="inlineStr">
        <is>
          <t>3one4 Capital</t>
        </is>
      </c>
      <c r="K491" t="inlineStr">
        <is>
          <t>https://inc42.com/buzz/from-zolve-to-scimplify-indian-startups-raised-429-mn-this-week/</t>
        </is>
      </c>
    </row>
    <row r="492">
      <c r="A492" t="inlineStr">
        <is>
          <t>ENT-8841407</t>
        </is>
      </c>
      <c r="B492" t="inlineStr">
        <is>
          <t>R250311-gostops</t>
        </is>
      </c>
      <c r="C492" t="inlineStr">
        <is>
          <t>Entrackr</t>
        </is>
      </c>
      <c r="D492" s="17" t="n">
        <v>45727</v>
      </c>
      <c r="E492" t="inlineStr">
        <is>
          <t>goSTOPS</t>
        </is>
      </c>
      <c r="F492" t="inlineStr">
        <is>
          <t>Rs 35 crore</t>
        </is>
      </c>
      <c r="G492" s="19" t="n">
        <v>35</v>
      </c>
      <c r="H492" s="19" t="n">
        <v>4.2</v>
      </c>
      <c r="I492" t="inlineStr">
        <is>
          <t>Series A</t>
        </is>
      </c>
      <c r="J492" t="inlineStr">
        <is>
          <t>Blume Ventures; 1Crowd</t>
        </is>
      </c>
      <c r="K492" t="inlineStr">
        <is>
          <t>https://entrackr.com/snippets/gostops-bags-rs-35-cr-in-series-a-round-led-by-blume-ventures-8841407</t>
        </is>
      </c>
    </row>
    <row r="493">
      <c r="A493" t="inlineStr">
        <is>
          <t>ET-118853207</t>
        </is>
      </c>
      <c r="B493" t="inlineStr">
        <is>
          <t>R250311-gostops</t>
        </is>
      </c>
      <c r="C493" t="inlineStr">
        <is>
          <t>The Economic Times</t>
        </is>
      </c>
      <c r="D493" s="17" t="n">
        <v>45727</v>
      </c>
      <c r="E493" t="inlineStr">
        <is>
          <t>GoStops</t>
        </is>
      </c>
      <c r="F493" t="inlineStr">
        <is>
          <t>Rs 35 crore</t>
        </is>
      </c>
      <c r="G493" s="19" t="n">
        <v>35</v>
      </c>
      <c r="H493" s="19" t="n">
        <v>4.2</v>
      </c>
      <c r="I493" t="inlineStr">
        <is>
          <t>Undisclosed</t>
        </is>
      </c>
      <c r="J493" t="inlineStr">
        <is>
          <t>Blume Ventures</t>
        </is>
      </c>
      <c r="K493" t="inlineStr">
        <is>
          <t>https://economictimes.indiatimes.com/tech/funding/hostel-startup-gostops-raises-rs-35-crore-from-blume-ventures-others/articleshow/118853207.cms</t>
        </is>
      </c>
    </row>
    <row r="494">
      <c r="A494" t="inlineStr">
        <is>
          <t>INC-20250315-09</t>
        </is>
      </c>
      <c r="B494" t="inlineStr">
        <is>
          <t>R250311-gostops</t>
        </is>
      </c>
      <c r="C494" t="inlineStr">
        <is>
          <t>Inc42</t>
        </is>
      </c>
      <c r="D494" s="17" t="n">
        <v>45727</v>
      </c>
      <c r="E494" t="inlineStr">
        <is>
          <t>goSTOPS</t>
        </is>
      </c>
      <c r="F494" t="inlineStr">
        <is>
          <t>$4.2 Mn</t>
        </is>
      </c>
      <c r="G494" s="19" t="n"/>
      <c r="H494" s="19" t="n">
        <v>4.2</v>
      </c>
      <c r="I494" t="inlineStr">
        <is>
          <t>Series A</t>
        </is>
      </c>
      <c r="J494" t="inlineStr">
        <is>
          <t>Blume Ventures</t>
        </is>
      </c>
      <c r="K494" t="inlineStr">
        <is>
          <t>https://inc42.com/buzz/from-zolve-to-scimplify-indian-startups-raised-429-mn-this-week/</t>
        </is>
      </c>
    </row>
    <row r="495">
      <c r="A495" t="inlineStr">
        <is>
          <t>ENT-8841757</t>
        </is>
      </c>
      <c r="B495" t="inlineStr">
        <is>
          <t>R250311-infiniteuptime</t>
        </is>
      </c>
      <c r="C495" t="inlineStr">
        <is>
          <t>Entrackr</t>
        </is>
      </c>
      <c r="D495" s="17" t="n">
        <v>45727</v>
      </c>
      <c r="E495" t="inlineStr">
        <is>
          <t>Infinite Uptime</t>
        </is>
      </c>
      <c r="F495" t="inlineStr">
        <is>
          <t>$35 million</t>
        </is>
      </c>
      <c r="G495" s="19" t="n"/>
      <c r="H495" s="19" t="n">
        <v>35</v>
      </c>
      <c r="I495" t="inlineStr">
        <is>
          <t>Series C</t>
        </is>
      </c>
      <c r="J495" t="inlineStr">
        <is>
          <t>Avataar Ventures</t>
        </is>
      </c>
      <c r="K495" t="inlineStr">
        <is>
          <t>https://entrackr.com/news/infinite-uptime-raises-35-mn-in-series-c-round-8841757</t>
        </is>
      </c>
    </row>
    <row r="496">
      <c r="A496" t="inlineStr">
        <is>
          <t>ET-118872964</t>
        </is>
      </c>
      <c r="B496" t="inlineStr">
        <is>
          <t>R250311-infiniteuptime</t>
        </is>
      </c>
      <c r="C496" t="inlineStr">
        <is>
          <t>The Economic Times</t>
        </is>
      </c>
      <c r="D496" s="17" t="n">
        <v>45727</v>
      </c>
      <c r="E496" t="inlineStr">
        <is>
          <t>Infinite Uptime</t>
        </is>
      </c>
      <c r="F496" t="inlineStr">
        <is>
          <t>$35 million</t>
        </is>
      </c>
      <c r="G496" s="19" t="n"/>
      <c r="H496" s="19" t="n">
        <v>35</v>
      </c>
      <c r="I496" t="inlineStr">
        <is>
          <t>Undisclosed</t>
        </is>
      </c>
      <c r="J496" t="inlineStr">
        <is>
          <t>Avataar Ventures</t>
        </is>
      </c>
      <c r="K496" t="inlineStr">
        <is>
          <t>https://economictimes.indiatimes.com/tech/funding/industrial-analytics-startup-infinite-uptime-raises-35-million-from-avataar-ventures-others/articleshow/118872964.cms</t>
        </is>
      </c>
    </row>
    <row r="497">
      <c r="A497" t="inlineStr">
        <is>
          <t>INC-20250315-04</t>
        </is>
      </c>
      <c r="B497" t="inlineStr">
        <is>
          <t>R250311-infiniteuptime</t>
        </is>
      </c>
      <c r="C497" t="inlineStr">
        <is>
          <t>Inc42</t>
        </is>
      </c>
      <c r="D497" s="17" t="n">
        <v>45727</v>
      </c>
      <c r="E497" t="inlineStr">
        <is>
          <t>Infinite Uptime</t>
        </is>
      </c>
      <c r="F497" t="inlineStr">
        <is>
          <t>$35 Mn</t>
        </is>
      </c>
      <c r="G497" s="19" t="n"/>
      <c r="H497" s="19" t="n">
        <v>35</v>
      </c>
      <c r="I497" t="inlineStr">
        <is>
          <t>Series C</t>
        </is>
      </c>
      <c r="J497" t="inlineStr">
        <is>
          <t>Avataar Ventures</t>
        </is>
      </c>
      <c r="K497" t="inlineStr">
        <is>
          <t>https://inc42.com/buzz/from-zolve-to-scimplify-indian-startups-raised-429-mn-this-week/</t>
        </is>
      </c>
    </row>
    <row r="498">
      <c r="A498" t="inlineStr">
        <is>
          <t>ENT-8843977</t>
        </is>
      </c>
      <c r="B498" t="inlineStr">
        <is>
          <t>R250311-zolve</t>
        </is>
      </c>
      <c r="C498" t="inlineStr">
        <is>
          <t>Entrackr</t>
        </is>
      </c>
      <c r="D498" s="17" t="n">
        <v>45727</v>
      </c>
      <c r="E498" t="inlineStr">
        <is>
          <t>Zolve</t>
        </is>
      </c>
      <c r="F498" t="inlineStr">
        <is>
          <t>$251 million</t>
        </is>
      </c>
      <c r="G498" s="19" t="n"/>
      <c r="H498" s="19" t="n">
        <v>251</v>
      </c>
      <c r="I498" t="inlineStr">
        <is>
          <t>Series B</t>
        </is>
      </c>
      <c r="J498" t="inlineStr">
        <is>
          <t>Creaegis</t>
        </is>
      </c>
      <c r="K498" t="inlineStr">
        <is>
          <t>https://entrackr.com/news/neobanking-startup-zolve-raises-251-mn-in-series-b-round-8843977</t>
        </is>
      </c>
    </row>
    <row r="499">
      <c r="A499" t="inlineStr">
        <is>
          <t>INC-20250315-01</t>
        </is>
      </c>
      <c r="B499" t="inlineStr">
        <is>
          <t>R250311-zolve</t>
        </is>
      </c>
      <c r="C499" t="inlineStr">
        <is>
          <t>Inc42</t>
        </is>
      </c>
      <c r="D499" s="17" t="n">
        <v>45727</v>
      </c>
      <c r="E499" t="inlineStr">
        <is>
          <t>Zolve</t>
        </is>
      </c>
      <c r="F499" t="inlineStr">
        <is>
          <t>$251 Mn</t>
        </is>
      </c>
      <c r="G499" s="19" t="n"/>
      <c r="H499" s="19" t="n">
        <v>251</v>
      </c>
      <c r="I499" t="inlineStr">
        <is>
          <t>Series B</t>
        </is>
      </c>
      <c r="J499" t="inlineStr">
        <is>
          <t>Creaegis</t>
        </is>
      </c>
      <c r="K499" t="inlineStr">
        <is>
          <t>https://inc42.com/buzz/from-zolve-to-scimplify-indian-startups-raised-429-mn-this-week/</t>
        </is>
      </c>
    </row>
    <row r="500">
      <c r="A500" t="inlineStr">
        <is>
          <t>ET-118972086</t>
        </is>
      </c>
      <c r="B500" t="inlineStr">
        <is>
          <t>R250311-zolve</t>
        </is>
      </c>
      <c r="C500" t="inlineStr">
        <is>
          <t>The Economic Times</t>
        </is>
      </c>
      <c r="D500" s="17" t="n">
        <v>45729</v>
      </c>
      <c r="E500" t="inlineStr">
        <is>
          <t>Zolve</t>
        </is>
      </c>
      <c r="F500" t="inlineStr">
        <is>
          <t>$251 million</t>
        </is>
      </c>
      <c r="G500" s="19" t="n"/>
      <c r="H500" s="19" t="n">
        <v>251</v>
      </c>
      <c r="I500" t="inlineStr">
        <is>
          <t>Undisclosed</t>
        </is>
      </c>
      <c r="J500" t="inlineStr">
        <is>
          <t>Creaegis</t>
        </is>
      </c>
      <c r="K500" t="inlineStr">
        <is>
          <t>https://economictimes.indiatimes.com/tech/funding/cross-border-fintech-zolve-raises-251-million-in-equity-debt-mix-from-creaegis-others/articleshow/118972086.cms</t>
        </is>
      </c>
    </row>
    <row r="501">
      <c r="A501" t="inlineStr">
        <is>
          <t>ENT-8846048</t>
        </is>
      </c>
      <c r="B501" t="inlineStr">
        <is>
          <t>R250312-allohealth</t>
        </is>
      </c>
      <c r="C501" t="inlineStr">
        <is>
          <t>Entrackr</t>
        </is>
      </c>
      <c r="D501" s="17" t="n">
        <v>45728</v>
      </c>
      <c r="E501" t="inlineStr">
        <is>
          <t>Allo Health</t>
        </is>
      </c>
      <c r="F501" t="inlineStr">
        <is>
          <t>Rs 16 crore</t>
        </is>
      </c>
      <c r="G501" s="19" t="n">
        <v>16</v>
      </c>
      <c r="H501" s="19" t="n">
        <v>1.83</v>
      </c>
      <c r="I501" t="inlineStr">
        <is>
          <t>Pre-Series A</t>
        </is>
      </c>
      <c r="J501" t="inlineStr">
        <is>
          <t>Rainmatter</t>
        </is>
      </c>
      <c r="K501" t="inlineStr">
        <is>
          <t>https://entrackr.com/snippets/allo-health-raises-rs-16-cr-in-pre-series-a-round-8846048</t>
        </is>
      </c>
    </row>
    <row r="502">
      <c r="A502" t="inlineStr">
        <is>
          <t>ET-118926358</t>
        </is>
      </c>
      <c r="B502" t="inlineStr">
        <is>
          <t>R250312-allohealth</t>
        </is>
      </c>
      <c r="C502" t="inlineStr">
        <is>
          <t>The Economic Times</t>
        </is>
      </c>
      <c r="D502" s="17" t="n">
        <v>45728</v>
      </c>
      <c r="E502" t="inlineStr">
        <is>
          <t>Allo</t>
        </is>
      </c>
      <c r="F502" t="inlineStr">
        <is>
          <t>Rs 16 crore</t>
        </is>
      </c>
      <c r="G502" s="19" t="n">
        <v>16</v>
      </c>
      <c r="H502" s="19" t="n"/>
      <c r="I502" t="inlineStr">
        <is>
          <t>Undisclosed</t>
        </is>
      </c>
      <c r="J502" t="inlineStr">
        <is>
          <t>Rainmatter</t>
        </is>
      </c>
      <c r="K502" t="inlineStr">
        <is>
          <t>https://economictimes.indiatimes.com/tech/funding/former-ola-exec-pranay-jivrajkas-sexual-wellness-startup-allo-raises-rs-16-crore-from-zerodhas-rainmatter-others/articleshow/118926358.cms</t>
        </is>
      </c>
    </row>
    <row r="503">
      <c r="A503" t="inlineStr">
        <is>
          <t>INC-20250315-12</t>
        </is>
      </c>
      <c r="B503" t="inlineStr">
        <is>
          <t>R250312-allohealth</t>
        </is>
      </c>
      <c r="C503" t="inlineStr">
        <is>
          <t>Inc42</t>
        </is>
      </c>
      <c r="D503" s="17" t="n">
        <v>45728</v>
      </c>
      <c r="E503" t="inlineStr">
        <is>
          <t>Allo Health</t>
        </is>
      </c>
      <c r="F503" t="inlineStr">
        <is>
          <t>$1.8 Mn</t>
        </is>
      </c>
      <c r="G503" s="19" t="n"/>
      <c r="H503" s="19" t="n">
        <v>1.8</v>
      </c>
      <c r="I503" t="inlineStr">
        <is>
          <t>Pre-Series A</t>
        </is>
      </c>
      <c r="J503" t="inlineStr">
        <is>
          <t>Rainmatter</t>
        </is>
      </c>
      <c r="K503" t="inlineStr">
        <is>
          <t>https://inc42.com/buzz/from-zolve-to-scimplify-indian-startups-raised-429-mn-this-week/</t>
        </is>
      </c>
    </row>
    <row r="504">
      <c r="A504" t="inlineStr">
        <is>
          <t>ENT-8845730</t>
        </is>
      </c>
      <c r="B504" t="inlineStr">
        <is>
          <t>R250312-amperehour</t>
        </is>
      </c>
      <c r="C504" t="inlineStr">
        <is>
          <t>Entrackr</t>
        </is>
      </c>
      <c r="D504" s="17" t="n">
        <v>45728</v>
      </c>
      <c r="E504" t="inlineStr">
        <is>
          <t>AmpereHour</t>
        </is>
      </c>
      <c r="F504" t="inlineStr">
        <is>
          <t>$5 million</t>
        </is>
      </c>
      <c r="G504" s="19" t="n"/>
      <c r="H504" s="19" t="n">
        <v>5</v>
      </c>
      <c r="I504" t="inlineStr">
        <is>
          <t>Undisclosed</t>
        </is>
      </c>
      <c r="J504" t="inlineStr">
        <is>
          <t>Avaana Capital</t>
        </is>
      </c>
      <c r="K504" t="inlineStr">
        <is>
          <t>https://entrackr.com/snippets/energy-storage-startup-amperehour-raises-5-mn-8845730</t>
        </is>
      </c>
    </row>
    <row r="505">
      <c r="A505" t="inlineStr">
        <is>
          <t>ET-118898974</t>
        </is>
      </c>
      <c r="B505" t="inlineStr">
        <is>
          <t>R250312-amperehour</t>
        </is>
      </c>
      <c r="C505" t="inlineStr">
        <is>
          <t>The Economic Times</t>
        </is>
      </c>
      <c r="D505" s="17" t="n">
        <v>45728</v>
      </c>
      <c r="E505" t="inlineStr">
        <is>
          <t>AmpereHour Energy</t>
        </is>
      </c>
      <c r="F505" t="inlineStr">
        <is>
          <t>$5 million</t>
        </is>
      </c>
      <c r="G505" s="19" t="n">
        <v>43.6</v>
      </c>
      <c r="H505" s="19" t="n">
        <v>5</v>
      </c>
      <c r="I505" t="inlineStr">
        <is>
          <t>Undisclosed</t>
        </is>
      </c>
      <c r="J505" t="inlineStr"/>
      <c r="K505" t="inlineStr">
        <is>
          <t>https://economictimes.indiatimes.com/tech/funding/energy-storage-startup-amperehour-energy-raises-5-million-from-avaana-capital/articleshow/118898974.cms</t>
        </is>
      </c>
    </row>
    <row r="506">
      <c r="A506" t="inlineStr">
        <is>
          <t>INC-20250315-07</t>
        </is>
      </c>
      <c r="B506" t="inlineStr">
        <is>
          <t>R250312-amperehour</t>
        </is>
      </c>
      <c r="C506" t="inlineStr">
        <is>
          <t>Inc42</t>
        </is>
      </c>
      <c r="D506" s="17" t="n">
        <v>45728</v>
      </c>
      <c r="E506" t="inlineStr">
        <is>
          <t>AmpereHour Energy</t>
        </is>
      </c>
      <c r="F506" t="inlineStr">
        <is>
          <t>$5 Mn</t>
        </is>
      </c>
      <c r="G506" s="19" t="n"/>
      <c r="H506" s="19" t="n">
        <v>5</v>
      </c>
      <c r="I506" t="inlineStr">
        <is>
          <t>Series A</t>
        </is>
      </c>
      <c r="J506" t="inlineStr">
        <is>
          <t>Avaana Capital</t>
        </is>
      </c>
      <c r="K506" t="inlineStr">
        <is>
          <t>https://inc42.com/buzz/from-zolve-to-scimplify-indian-startups-raised-429-mn-this-week/</t>
        </is>
      </c>
    </row>
    <row r="507">
      <c r="A507" t="inlineStr">
        <is>
          <t>ENT-8847517</t>
        </is>
      </c>
      <c r="B507" t="inlineStr">
        <is>
          <t>R250312-scimplify</t>
        </is>
      </c>
      <c r="C507" t="inlineStr">
        <is>
          <t>Entrackr</t>
        </is>
      </c>
      <c r="D507" s="17" t="n">
        <v>45728</v>
      </c>
      <c r="E507" t="inlineStr">
        <is>
          <t>Scimplify</t>
        </is>
      </c>
      <c r="F507" t="inlineStr">
        <is>
          <t>$40 million</t>
        </is>
      </c>
      <c r="G507" s="19" t="n"/>
      <c r="H507" s="19" t="n">
        <v>40</v>
      </c>
      <c r="I507" t="inlineStr">
        <is>
          <t>Series B</t>
        </is>
      </c>
      <c r="J507" t="inlineStr">
        <is>
          <t>Accel; Bertelsmann India Investments</t>
        </is>
      </c>
      <c r="K507" t="inlineStr">
        <is>
          <t>https://entrackr.com/news/specialty-chemicals-startup-scimplify-raises-40-mn-in-series-b-round-8847517</t>
        </is>
      </c>
    </row>
    <row r="508">
      <c r="A508" t="inlineStr">
        <is>
          <t>ET-118937128</t>
        </is>
      </c>
      <c r="B508" t="inlineStr">
        <is>
          <t>R250312-scimplify</t>
        </is>
      </c>
      <c r="C508" t="inlineStr">
        <is>
          <t>The Economic Times</t>
        </is>
      </c>
      <c r="D508" s="17" t="n">
        <v>45728</v>
      </c>
      <c r="E508" t="inlineStr">
        <is>
          <t>Scimplify</t>
        </is>
      </c>
      <c r="F508" t="inlineStr">
        <is>
          <t>$40 million</t>
        </is>
      </c>
      <c r="G508" s="19" t="n"/>
      <c r="H508" s="19" t="n">
        <v>40</v>
      </c>
      <c r="I508" t="inlineStr">
        <is>
          <t>Series B</t>
        </is>
      </c>
      <c r="J508" t="inlineStr">
        <is>
          <t>Accel; Bertelsmann India Investments</t>
        </is>
      </c>
      <c r="K508" t="inlineStr">
        <is>
          <t>https://economictimes.indiatimes.com/tech/funding/specialty-chemical-startup-scimplify-raises-40-million-from-accel-others/articleshow/118937128.cms</t>
        </is>
      </c>
    </row>
    <row r="509">
      <c r="A509" t="inlineStr">
        <is>
          <t>INC-20250315-03</t>
        </is>
      </c>
      <c r="B509" t="inlineStr">
        <is>
          <t>R250312-scimplify</t>
        </is>
      </c>
      <c r="C509" t="inlineStr">
        <is>
          <t>Inc42</t>
        </is>
      </c>
      <c r="D509" s="17" t="n">
        <v>45728</v>
      </c>
      <c r="E509" t="inlineStr">
        <is>
          <t>Scimplify</t>
        </is>
      </c>
      <c r="F509" t="inlineStr">
        <is>
          <t>$40 Mn</t>
        </is>
      </c>
      <c r="G509" s="19" t="n"/>
      <c r="H509" s="19" t="n">
        <v>40</v>
      </c>
      <c r="I509" t="inlineStr">
        <is>
          <t>Series B</t>
        </is>
      </c>
      <c r="J509" t="inlineStr">
        <is>
          <t>Accel; Bertelsmann Investments</t>
        </is>
      </c>
      <c r="K509" t="inlineStr">
        <is>
          <t>https://inc42.com/buzz/from-zolve-to-scimplify-indian-startups-raised-429-mn-this-week/</t>
        </is>
      </c>
    </row>
    <row r="510">
      <c r="A510" t="inlineStr">
        <is>
          <t>VCC-2330dcd72c</t>
        </is>
      </c>
      <c r="B510" t="inlineStr">
        <is>
          <t>R250312-scimplify</t>
        </is>
      </c>
      <c r="C510" t="inlineStr">
        <is>
          <t>VCCircle</t>
        </is>
      </c>
      <c r="D510" s="17" t="n">
        <v>45728</v>
      </c>
      <c r="E510" t="inlineStr">
        <is>
          <t>scimplify</t>
        </is>
      </c>
      <c r="F510" t="inlineStr"/>
      <c r="G510" s="19" t="n"/>
      <c r="H510" s="19" t="n"/>
      <c r="I510" t="inlineStr">
        <is>
          <t>Series B</t>
        </is>
      </c>
      <c r="J510" t="inlineStr"/>
      <c r="K510" t="inlineStr">
        <is>
          <t>https://www.vccircle.com/accelbertelsmann-india-co-lead-scimplify-s-series-b-round</t>
        </is>
      </c>
    </row>
    <row r="511">
      <c r="A511" t="inlineStr">
        <is>
          <t>ENT-8845993</t>
        </is>
      </c>
      <c r="B511" t="inlineStr">
        <is>
          <t>R250312-weskill</t>
        </is>
      </c>
      <c r="C511" t="inlineStr">
        <is>
          <t>Entrackr</t>
        </is>
      </c>
      <c r="D511" s="17" t="n">
        <v>45728</v>
      </c>
      <c r="E511" t="inlineStr">
        <is>
          <t>Weskill</t>
        </is>
      </c>
      <c r="F511" t="inlineStr"/>
      <c r="G511" s="19" t="n"/>
      <c r="H511" s="19" t="n"/>
      <c r="I511" t="inlineStr">
        <is>
          <t>Pre-Seed</t>
        </is>
      </c>
      <c r="J511" t="inlineStr"/>
      <c r="K511" t="inlineStr">
        <is>
          <t>https://entrackr.com/snippets/upskilling-platform-weskill-raises-pre-seed-round-8845993</t>
        </is>
      </c>
    </row>
    <row r="512">
      <c r="A512" t="inlineStr">
        <is>
          <t>INC-20250315-08</t>
        </is>
      </c>
      <c r="B512" t="inlineStr">
        <is>
          <t>R250312-weskill</t>
        </is>
      </c>
      <c r="C512" t="inlineStr">
        <is>
          <t>Inc42</t>
        </is>
      </c>
      <c r="D512" s="17" t="n">
        <v>45728</v>
      </c>
      <c r="E512" t="inlineStr">
        <is>
          <t>Weskill</t>
        </is>
      </c>
      <c r="F512" t="inlineStr">
        <is>
          <t>$4.5 Mn</t>
        </is>
      </c>
      <c r="G512" s="19" t="n"/>
      <c r="H512" s="19" t="n">
        <v>4.5</v>
      </c>
      <c r="I512" t="inlineStr">
        <is>
          <t>Pre-Seed</t>
        </is>
      </c>
      <c r="J512" t="inlineStr"/>
      <c r="K512" t="inlineStr">
        <is>
          <t>https://inc42.com/buzz/from-zolve-to-scimplify-indian-startups-raised-429-mn-this-week/</t>
        </is>
      </c>
    </row>
    <row r="513">
      <c r="A513" t="inlineStr">
        <is>
          <t>INC-20250315-05</t>
        </is>
      </c>
      <c r="B513" t="inlineStr">
        <is>
          <t>R250313-incredfinance</t>
        </is>
      </c>
      <c r="C513" t="inlineStr">
        <is>
          <t>Inc42</t>
        </is>
      </c>
      <c r="D513" s="17" t="n">
        <v>45729</v>
      </c>
      <c r="E513" t="inlineStr">
        <is>
          <t>InCred Finance</t>
        </is>
      </c>
      <c r="F513" t="inlineStr">
        <is>
          <t>$30 Mn</t>
        </is>
      </c>
      <c r="G513" s="19" t="n"/>
      <c r="H513" s="19" t="n">
        <v>30</v>
      </c>
      <c r="I513" t="inlineStr">
        <is>
          <t>Debt</t>
        </is>
      </c>
      <c r="J513" t="inlineStr">
        <is>
          <t>Neo Group</t>
        </is>
      </c>
      <c r="K513" t="inlineStr">
        <is>
          <t>https://inc42.com/buzz/from-zolve-to-scimplify-indian-startups-raised-429-mn-this-week/</t>
        </is>
      </c>
    </row>
    <row r="514">
      <c r="A514" t="inlineStr">
        <is>
          <t>ENT-8849571</t>
        </is>
      </c>
      <c r="B514" t="inlineStr">
        <is>
          <t>R250313-neuraldefend</t>
        </is>
      </c>
      <c r="C514" t="inlineStr">
        <is>
          <t>Entrackr</t>
        </is>
      </c>
      <c r="D514" s="17" t="n">
        <v>45729</v>
      </c>
      <c r="E514" t="inlineStr">
        <is>
          <t>Neural Defend</t>
        </is>
      </c>
      <c r="F514" t="inlineStr">
        <is>
          <t>$600K</t>
        </is>
      </c>
      <c r="G514" s="19" t="n"/>
      <c r="H514" s="19" t="n">
        <v>0.6</v>
      </c>
      <c r="I514" t="inlineStr">
        <is>
          <t>Pre-Seed</t>
        </is>
      </c>
      <c r="J514" t="inlineStr">
        <is>
          <t>Inflection Point Ventures</t>
        </is>
      </c>
      <c r="K514" t="inlineStr">
        <is>
          <t>https://entrackr.com/snippets/deepfake-detection-startup-neural-defend-secures-pre-seed-funding-8849571</t>
        </is>
      </c>
    </row>
    <row r="515">
      <c r="A515" t="inlineStr">
        <is>
          <t>INC-20250315-13</t>
        </is>
      </c>
      <c r="B515" t="inlineStr">
        <is>
          <t>R250313-neuraldefend</t>
        </is>
      </c>
      <c r="C515" t="inlineStr">
        <is>
          <t>Inc42</t>
        </is>
      </c>
      <c r="D515" s="17" t="n">
        <v>45729</v>
      </c>
      <c r="E515" t="inlineStr">
        <is>
          <t>Neural Defend</t>
        </is>
      </c>
      <c r="F515" t="inlineStr">
        <is>
          <t>$600K</t>
        </is>
      </c>
      <c r="G515" s="19" t="n"/>
      <c r="H515" s="19" t="n">
        <v>0.6</v>
      </c>
      <c r="I515" t="inlineStr">
        <is>
          <t>Pre-Seed</t>
        </is>
      </c>
      <c r="J515" t="inlineStr">
        <is>
          <t>Inflection Point Ventures</t>
        </is>
      </c>
      <c r="K515" t="inlineStr">
        <is>
          <t>https://inc42.com/buzz/from-zolve-to-scimplify-indian-startups-raised-429-mn-this-week/</t>
        </is>
      </c>
    </row>
    <row r="516">
      <c r="A516" t="inlineStr">
        <is>
          <t>ENT-8849479</t>
        </is>
      </c>
      <c r="B516" t="inlineStr">
        <is>
          <t>R250313-purplestylelab</t>
        </is>
      </c>
      <c r="C516" t="inlineStr">
        <is>
          <t>Entrackr</t>
        </is>
      </c>
      <c r="D516" s="17" t="n">
        <v>45729</v>
      </c>
      <c r="E516" t="inlineStr">
        <is>
          <t>Purple Style Labs</t>
        </is>
      </c>
      <c r="F516" t="inlineStr">
        <is>
          <t>$40 million</t>
        </is>
      </c>
      <c r="G516" s="19" t="n"/>
      <c r="H516" s="19" t="n">
        <v>40</v>
      </c>
      <c r="I516" t="inlineStr">
        <is>
          <t>Series E</t>
        </is>
      </c>
      <c r="J516" t="inlineStr">
        <is>
          <t>SageOne Flagship Growth OE Fund; Alchemy Long Term Ventures Fund; Bajaj Holdings &amp; Investment; Minerva Ventures Fund</t>
        </is>
      </c>
      <c r="K516" t="inlineStr">
        <is>
          <t>https://entrackr.com/news/purple-style-labs-raises-40-mn-in-series-e-funding-8849479</t>
        </is>
      </c>
    </row>
    <row r="517">
      <c r="A517" t="inlineStr">
        <is>
          <t>INC-20250315-02</t>
        </is>
      </c>
      <c r="B517" t="inlineStr">
        <is>
          <t>R250313-purplestylelab</t>
        </is>
      </c>
      <c r="C517" t="inlineStr">
        <is>
          <t>Inc42</t>
        </is>
      </c>
      <c r="D517" s="17" t="n">
        <v>45729</v>
      </c>
      <c r="E517" t="inlineStr">
        <is>
          <t>Purple Style Labs</t>
        </is>
      </c>
      <c r="F517" t="inlineStr">
        <is>
          <t>$40 Mn</t>
        </is>
      </c>
      <c r="G517" s="19" t="n"/>
      <c r="H517" s="19" t="n">
        <v>40</v>
      </c>
      <c r="I517" t="inlineStr">
        <is>
          <t>Series E</t>
        </is>
      </c>
      <c r="J517" t="inlineStr">
        <is>
          <t>SageOne Flagship Growth OE Fund; Alchemy Long Term Ventures Fund; Minerva Ventures Fund; Bajaj Holdings</t>
        </is>
      </c>
      <c r="K517" t="inlineStr">
        <is>
          <t>https://inc42.com/buzz/from-zolve-to-scimplify-indian-startups-raised-429-mn-this-week/</t>
        </is>
      </c>
    </row>
    <row r="518">
      <c r="A518" t="inlineStr">
        <is>
          <t>VCC-fd737a114f</t>
        </is>
      </c>
      <c r="B518" t="inlineStr">
        <is>
          <t>R250313-purplestylelab</t>
        </is>
      </c>
      <c r="C518" t="inlineStr">
        <is>
          <t>VCCircle</t>
        </is>
      </c>
      <c r="D518" s="17" t="n">
        <v>45729</v>
      </c>
      <c r="E518" t="inlineStr">
        <is>
          <t>purple style labs</t>
        </is>
      </c>
      <c r="F518" t="inlineStr">
        <is>
          <t>$ 40 million</t>
        </is>
      </c>
      <c r="G518" s="19" t="n"/>
      <c r="H518" s="19" t="n">
        <v>40</v>
      </c>
      <c r="I518" t="inlineStr">
        <is>
          <t>Series E</t>
        </is>
      </c>
      <c r="J518" t="inlineStr"/>
      <c r="K518" t="inlineStr">
        <is>
          <t>https://www.vccircle.com/binnybansal-backed-purple-style-labs-raises-40-mn-in-series-e-funding</t>
        </is>
      </c>
    </row>
    <row r="519">
      <c r="A519" t="inlineStr">
        <is>
          <t>ENT-8849243</t>
        </is>
      </c>
      <c r="B519" t="inlineStr">
        <is>
          <t>R250313-rangsonsaerosp</t>
        </is>
      </c>
      <c r="C519" t="inlineStr">
        <is>
          <t>Entrackr</t>
        </is>
      </c>
      <c r="D519" s="17" t="n">
        <v>45729</v>
      </c>
      <c r="E519" t="inlineStr">
        <is>
          <t>Rangsons Aerospace</t>
        </is>
      </c>
      <c r="F519" t="inlineStr">
        <is>
          <t>Rs 300 crore</t>
        </is>
      </c>
      <c r="G519" s="19" t="n">
        <v>300</v>
      </c>
      <c r="H519" s="19" t="n">
        <v>36.5</v>
      </c>
      <c r="I519" t="inlineStr">
        <is>
          <t>Undisclosed</t>
        </is>
      </c>
      <c r="J519" t="inlineStr">
        <is>
          <t>ValueQuest Investment Advisors</t>
        </is>
      </c>
      <c r="K519" t="inlineStr">
        <is>
          <t>https://entrackr.com/snippets/rangsons-aerospace-raises-rs-300-cr-led-by-valuequest-8849243</t>
        </is>
      </c>
    </row>
    <row r="520">
      <c r="A520" t="inlineStr">
        <is>
          <t>ET-118976295</t>
        </is>
      </c>
      <c r="B520" t="inlineStr">
        <is>
          <t>R250313-rangsonsaerosp</t>
        </is>
      </c>
      <c r="C520" t="inlineStr">
        <is>
          <t>The Economic Times</t>
        </is>
      </c>
      <c r="D520" s="17" t="n">
        <v>45729</v>
      </c>
      <c r="E520" t="inlineStr">
        <is>
          <t>Rangsons Aerospace</t>
        </is>
      </c>
      <c r="F520" t="inlineStr">
        <is>
          <t>Rs 300 crore</t>
        </is>
      </c>
      <c r="G520" s="19" t="n">
        <v>300</v>
      </c>
      <c r="H520" s="19" t="n"/>
      <c r="I520" t="inlineStr">
        <is>
          <t>Undisclosed</t>
        </is>
      </c>
      <c r="J520" t="inlineStr"/>
      <c r="K520" t="inlineStr">
        <is>
          <t>https://economictimes.indiatimes.com/tech/funding/rangsons-aerospace-raises-rs-300-crore-from-valuequest-investment-advisors/articleshow/118976295.cms</t>
        </is>
      </c>
    </row>
    <row r="521">
      <c r="A521" t="inlineStr">
        <is>
          <t>VCC-7873dd1763</t>
        </is>
      </c>
      <c r="B521" t="inlineStr">
        <is>
          <t>R250313-rangsonsaerosp</t>
        </is>
      </c>
      <c r="C521" t="inlineStr">
        <is>
          <t>VCCircle</t>
        </is>
      </c>
      <c r="D521" s="17" t="n">
        <v>45729</v>
      </c>
      <c r="E521" t="inlineStr">
        <is>
          <t>rangsonsaerospace</t>
        </is>
      </c>
      <c r="F521" t="inlineStr"/>
      <c r="G521" s="19" t="n"/>
      <c r="H521" s="19" t="n"/>
      <c r="I521" t="inlineStr">
        <is>
          <t>Undisclosed</t>
        </is>
      </c>
      <c r="J521" t="inlineStr"/>
      <c r="K521" t="inlineStr">
        <is>
          <t>https://www.vccircle.com/rangsonsaerospace-bags-funding-from-pe-investor-for-organic-inorganic-growth</t>
        </is>
      </c>
    </row>
    <row r="522">
      <c r="A522" t="inlineStr">
        <is>
          <t>ENT-8861051</t>
        </is>
      </c>
      <c r="B522" t="inlineStr">
        <is>
          <t>R250317-chaikings</t>
        </is>
      </c>
      <c r="C522" t="inlineStr">
        <is>
          <t>Entrackr</t>
        </is>
      </c>
      <c r="D522" s="17" t="n">
        <v>45733</v>
      </c>
      <c r="E522" t="inlineStr">
        <is>
          <t>Chai Kings</t>
        </is>
      </c>
      <c r="F522" t="inlineStr">
        <is>
          <t>$3 million</t>
        </is>
      </c>
      <c r="G522" s="19" t="n">
        <v>24</v>
      </c>
      <c r="H522" s="19" t="n">
        <v>3</v>
      </c>
      <c r="I522" t="inlineStr">
        <is>
          <t>Series A</t>
        </is>
      </c>
      <c r="J522" t="inlineStr"/>
      <c r="K522" t="inlineStr">
        <is>
          <t>https://entrackr.com/snippets/chai-kings-bags-3-mn-in-series-a-round-8861051</t>
        </is>
      </c>
    </row>
    <row r="523">
      <c r="A523" t="inlineStr">
        <is>
          <t>INC-20250322-01</t>
        </is>
      </c>
      <c r="B523" t="inlineStr">
        <is>
          <t>R250317-nivarahomefina</t>
        </is>
      </c>
      <c r="C523" t="inlineStr">
        <is>
          <t>Inc42</t>
        </is>
      </c>
      <c r="D523" s="17" t="n">
        <v>45733</v>
      </c>
      <c r="E523" t="inlineStr">
        <is>
          <t>Nivara Home Finance</t>
        </is>
      </c>
      <c r="F523" t="inlineStr">
        <is>
          <t>$28 Mn</t>
        </is>
      </c>
      <c r="G523" s="19" t="n"/>
      <c r="H523" s="19" t="n">
        <v>28</v>
      </c>
      <c r="I523" t="inlineStr">
        <is>
          <t>Series B</t>
        </is>
      </c>
      <c r="J523" t="inlineStr">
        <is>
          <t>True North</t>
        </is>
      </c>
      <c r="K523" t="inlineStr">
        <is>
          <t>https://inc42.com/buzz/from-nivara-home-finance-to-pilgrim-indian-startups-raised-109-mn-this-week/</t>
        </is>
      </c>
    </row>
    <row r="524">
      <c r="A524" t="inlineStr">
        <is>
          <t>VCC-5fb6d41055</t>
        </is>
      </c>
      <c r="B524" t="inlineStr">
        <is>
          <t>R250317-nivarahomefina</t>
        </is>
      </c>
      <c r="C524" t="inlineStr">
        <is>
          <t>VCCircle</t>
        </is>
      </c>
      <c r="D524" s="17" t="n">
        <v>45733</v>
      </c>
      <c r="E524" t="inlineStr">
        <is>
          <t>nivara home finance</t>
        </is>
      </c>
      <c r="F524" t="inlineStr"/>
      <c r="G524" s="19" t="n"/>
      <c r="H524" s="19" t="n"/>
      <c r="I524" t="inlineStr">
        <is>
          <t>Series B</t>
        </is>
      </c>
      <c r="J524" t="inlineStr"/>
      <c r="K524" t="inlineStr">
        <is>
          <t>https://www.vccircle.com/truenorth-leads-series-b-funding-in-nivara-home-finance</t>
        </is>
      </c>
    </row>
    <row r="525">
      <c r="A525" t="inlineStr">
        <is>
          <t>ENT-8861630</t>
        </is>
      </c>
      <c r="B525" t="inlineStr">
        <is>
          <t>R250317-otipy</t>
        </is>
      </c>
      <c r="C525" t="inlineStr">
        <is>
          <t>Entrackr</t>
        </is>
      </c>
      <c r="D525" s="17" t="n">
        <v>45733</v>
      </c>
      <c r="E525" t="inlineStr">
        <is>
          <t>Otipy</t>
        </is>
      </c>
      <c r="F525" t="inlineStr">
        <is>
          <t>$2 million</t>
        </is>
      </c>
      <c r="G525" s="19" t="n"/>
      <c r="H525" s="19" t="n">
        <v>2</v>
      </c>
      <c r="I525" t="inlineStr">
        <is>
          <t>Debt</t>
        </is>
      </c>
      <c r="J525" t="inlineStr"/>
      <c r="K525" t="inlineStr">
        <is>
          <t>https://entrackr.com/snippets/otipy-raises-2-mn-in-venture-debt-from-nuvama-8861630</t>
        </is>
      </c>
    </row>
    <row r="526">
      <c r="A526" t="inlineStr">
        <is>
          <t>ENT-8861039</t>
        </is>
      </c>
      <c r="B526" t="inlineStr">
        <is>
          <t>R250317-shoegr</t>
        </is>
      </c>
      <c r="C526" t="inlineStr">
        <is>
          <t>Entrackr</t>
        </is>
      </c>
      <c r="D526" s="17" t="n">
        <v>45733</v>
      </c>
      <c r="E526" t="inlineStr">
        <is>
          <t>SHOEGR</t>
        </is>
      </c>
      <c r="F526" t="inlineStr">
        <is>
          <t>$100K</t>
        </is>
      </c>
      <c r="G526" s="19" t="n"/>
      <c r="H526" s="19" t="n">
        <v>0.1</v>
      </c>
      <c r="I526" t="inlineStr">
        <is>
          <t>Pre-Seed</t>
        </is>
      </c>
      <c r="J526" t="inlineStr"/>
      <c r="K526" t="inlineStr">
        <is>
          <t>https://entrackr.com/snippets/shoe-care-brand-shoegr-raises-100k-from-pedalstart-8861039</t>
        </is>
      </c>
    </row>
    <row r="527">
      <c r="A527" t="inlineStr">
        <is>
          <t>INC-20250322-15</t>
        </is>
      </c>
      <c r="B527" t="inlineStr">
        <is>
          <t>R250317-thebearhouse</t>
        </is>
      </c>
      <c r="C527" t="inlineStr">
        <is>
          <t>Inc42</t>
        </is>
      </c>
      <c r="D527" s="17" t="n">
        <v>45733</v>
      </c>
      <c r="E527" t="inlineStr">
        <is>
          <t>The Bear House</t>
        </is>
      </c>
      <c r="F527" t="inlineStr">
        <is>
          <t>$349K</t>
        </is>
      </c>
      <c r="G527" s="19" t="n"/>
      <c r="H527" s="19" t="n">
        <v>0.349</v>
      </c>
      <c r="I527" t="inlineStr">
        <is>
          <t>Undisclosed</t>
        </is>
      </c>
      <c r="J527" t="inlineStr">
        <is>
          <t>Namita Thapar</t>
        </is>
      </c>
      <c r="K527" t="inlineStr">
        <is>
          <t>https://inc42.com/buzz/from-nivara-home-finance-to-pilgrim-indian-startups-raised-109-mn-this-week/</t>
        </is>
      </c>
    </row>
    <row r="528">
      <c r="A528" t="inlineStr">
        <is>
          <t>INC-20250322-16</t>
        </is>
      </c>
      <c r="B528" t="inlineStr">
        <is>
          <t>R250318-broadway</t>
        </is>
      </c>
      <c r="C528" t="inlineStr">
        <is>
          <t>Inc42</t>
        </is>
      </c>
      <c r="D528" s="17" t="n">
        <v>45734</v>
      </c>
      <c r="E528" t="inlineStr">
        <is>
          <t>Broadway</t>
        </is>
      </c>
      <c r="F528" t="inlineStr"/>
      <c r="G528" s="19" t="n"/>
      <c r="H528" s="19" t="n"/>
      <c r="I528" t="inlineStr">
        <is>
          <t>Undisclosed</t>
        </is>
      </c>
      <c r="J528" t="inlineStr">
        <is>
          <t>Gruhas</t>
        </is>
      </c>
      <c r="K528" t="inlineStr">
        <is>
          <t>https://inc42.com/buzz/from-nivara-home-finance-to-pilgrim-indian-startups-raised-109-mn-this-week/</t>
        </is>
      </c>
    </row>
    <row r="529">
      <c r="A529" t="inlineStr">
        <is>
          <t>ENT-8864524</t>
        </is>
      </c>
      <c r="B529" t="inlineStr">
        <is>
          <t>R250318-gooat</t>
        </is>
      </c>
      <c r="C529" t="inlineStr">
        <is>
          <t>Entrackr</t>
        </is>
      </c>
      <c r="D529" s="17" t="n">
        <v>45734</v>
      </c>
      <c r="E529" t="inlineStr">
        <is>
          <t>GoOAT</t>
        </is>
      </c>
      <c r="F529" t="inlineStr"/>
      <c r="G529" s="19" t="n"/>
      <c r="H529" s="19" t="n"/>
      <c r="I529" t="inlineStr">
        <is>
          <t>Pre-Seed</t>
        </is>
      </c>
      <c r="J529" t="inlineStr"/>
      <c r="K529" t="inlineStr">
        <is>
          <t>https://entrackr.com/snippets/gooat-raises-pre-seed-round-led-by-d2c-insider-super-angels-8864524</t>
        </is>
      </c>
    </row>
    <row r="530">
      <c r="A530" t="inlineStr">
        <is>
          <t>ENT-8864759</t>
        </is>
      </c>
      <c r="B530" t="inlineStr">
        <is>
          <t>R250318-gozero</t>
        </is>
      </c>
      <c r="C530" t="inlineStr">
        <is>
          <t>Entrackr</t>
        </is>
      </c>
      <c r="D530" s="17" t="n">
        <v>45734</v>
      </c>
      <c r="E530" t="inlineStr">
        <is>
          <t>Go Zero</t>
        </is>
      </c>
      <c r="F530" t="inlineStr">
        <is>
          <t>Rs 30 crore</t>
        </is>
      </c>
      <c r="G530" s="19" t="n">
        <v>30</v>
      </c>
      <c r="H530" s="19" t="n">
        <v>3.4</v>
      </c>
      <c r="I530" t="inlineStr">
        <is>
          <t>Series A</t>
        </is>
      </c>
      <c r="J530" t="inlineStr"/>
      <c r="K530" t="inlineStr">
        <is>
          <t>https://entrackr.com/snippets/go-zero-secures-rs-30-cr-in-series-a-round-8864759</t>
        </is>
      </c>
    </row>
    <row r="531">
      <c r="A531" t="inlineStr">
        <is>
          <t>ET-119157061</t>
        </is>
      </c>
      <c r="B531" t="inlineStr">
        <is>
          <t>R250318-gozero</t>
        </is>
      </c>
      <c r="C531" t="inlineStr">
        <is>
          <t>The Economic Times</t>
        </is>
      </c>
      <c r="D531" s="17" t="n">
        <v>45734</v>
      </c>
      <c r="E531" t="inlineStr">
        <is>
          <t>GoZero</t>
        </is>
      </c>
      <c r="F531" t="inlineStr">
        <is>
          <t>Rs 30 crore</t>
        </is>
      </c>
      <c r="G531" s="19" t="n">
        <v>30</v>
      </c>
      <c r="H531" s="19" t="n"/>
      <c r="I531" t="inlineStr">
        <is>
          <t>Undisclosed</t>
        </is>
      </c>
      <c r="J531" t="inlineStr"/>
      <c r="K531" t="inlineStr">
        <is>
          <t>https://economictimes.indiatimes.com/tech/funding/ice-cream-maker-gozero-raises-rs-30-crore-from-dsg-consumer-partners-others/articleshow/119157061.cms</t>
        </is>
      </c>
    </row>
    <row r="532">
      <c r="A532" t="inlineStr">
        <is>
          <t>INC-20250322-07</t>
        </is>
      </c>
      <c r="B532" t="inlineStr">
        <is>
          <t>R250318-gozero</t>
        </is>
      </c>
      <c r="C532" t="inlineStr">
        <is>
          <t>Inc42</t>
        </is>
      </c>
      <c r="D532" s="17" t="n">
        <v>45734</v>
      </c>
      <c r="E532" t="inlineStr">
        <is>
          <t>Go Zero</t>
        </is>
      </c>
      <c r="F532" t="inlineStr">
        <is>
          <t>$3.5 Mn</t>
        </is>
      </c>
      <c r="G532" s="19" t="n"/>
      <c r="H532" s="19" t="n">
        <v>3.5</v>
      </c>
      <c r="I532" t="inlineStr">
        <is>
          <t>Series A</t>
        </is>
      </c>
      <c r="J532" t="inlineStr"/>
      <c r="K532" t="inlineStr">
        <is>
          <t>https://inc42.com/buzz/from-nivara-home-finance-to-pilgrim-indian-startups-raised-109-mn-this-week/</t>
        </is>
      </c>
    </row>
    <row r="533">
      <c r="A533" t="inlineStr">
        <is>
          <t>ENT-8864637</t>
        </is>
      </c>
      <c r="B533" t="inlineStr">
        <is>
          <t>R250318-hypergroai</t>
        </is>
      </c>
      <c r="C533" t="inlineStr">
        <is>
          <t>Entrackr</t>
        </is>
      </c>
      <c r="D533" s="17" t="n">
        <v>45734</v>
      </c>
      <c r="E533" t="inlineStr">
        <is>
          <t>Hypergro.ai</t>
        </is>
      </c>
      <c r="F533" t="inlineStr">
        <is>
          <t>Rs 7 crore</t>
        </is>
      </c>
      <c r="G533" s="19" t="n">
        <v>7</v>
      </c>
      <c r="H533" s="19" t="n">
        <v>0.8</v>
      </c>
      <c r="I533" t="inlineStr">
        <is>
          <t>Pre-Series A</t>
        </is>
      </c>
      <c r="J533" t="inlineStr">
        <is>
          <t>Eternal Capital; VCats; Astir Ventures</t>
        </is>
      </c>
      <c r="K533" t="inlineStr">
        <is>
          <t>https://entrackr.com/snippets/hypergroai-raises-rs-7-cr-in-pre-series-a-round-8864637</t>
        </is>
      </c>
    </row>
    <row r="534">
      <c r="A534" t="inlineStr">
        <is>
          <t>INC-20250322-12</t>
        </is>
      </c>
      <c r="B534" t="inlineStr">
        <is>
          <t>R250318-hypergroai</t>
        </is>
      </c>
      <c r="C534" t="inlineStr">
        <is>
          <t>Inc42</t>
        </is>
      </c>
      <c r="D534" s="17" t="n">
        <v>45734</v>
      </c>
      <c r="E534" t="inlineStr">
        <is>
          <t>Hypergro.ai</t>
        </is>
      </c>
      <c r="F534" t="inlineStr">
        <is>
          <t>$814K</t>
        </is>
      </c>
      <c r="G534" s="19" t="n"/>
      <c r="H534" s="19" t="n">
        <v>0.8139999999999999</v>
      </c>
      <c r="I534" t="inlineStr">
        <is>
          <t>Pre-Series A</t>
        </is>
      </c>
      <c r="J534" t="inlineStr">
        <is>
          <t>Eternal Capital</t>
        </is>
      </c>
      <c r="K534" t="inlineStr">
        <is>
          <t>https://inc42.com/buzz/from-nivara-home-finance-to-pilgrim-indian-startups-raised-109-mn-this-week/</t>
        </is>
      </c>
    </row>
    <row r="535">
      <c r="A535" t="inlineStr">
        <is>
          <t>ENT-8865541</t>
        </is>
      </c>
      <c r="B535" t="inlineStr">
        <is>
          <t>R250318-ihubrobotics</t>
        </is>
      </c>
      <c r="C535" t="inlineStr">
        <is>
          <t>Entrackr</t>
        </is>
      </c>
      <c r="D535" s="17" t="n">
        <v>45734</v>
      </c>
      <c r="E535" t="inlineStr">
        <is>
          <t>iHub Robotics</t>
        </is>
      </c>
      <c r="F535" t="inlineStr">
        <is>
          <t>Rs 4.3 crore</t>
        </is>
      </c>
      <c r="G535" s="19" t="n">
        <v>4.3</v>
      </c>
      <c r="H535" s="19" t="n">
        <v>0.52</v>
      </c>
      <c r="I535" t="inlineStr">
        <is>
          <t>Pre-Seed</t>
        </is>
      </c>
      <c r="J535" t="inlineStr"/>
      <c r="K535" t="inlineStr">
        <is>
          <t>https://entrackr.com/snippets/ihub-robotics-raises-rs-43-cr-in-pre-seed-round-8865541</t>
        </is>
      </c>
    </row>
    <row r="536">
      <c r="A536" t="inlineStr">
        <is>
          <t>INC-20250322-14</t>
        </is>
      </c>
      <c r="B536" t="inlineStr">
        <is>
          <t>R250318-ihubrobotics</t>
        </is>
      </c>
      <c r="C536" t="inlineStr">
        <is>
          <t>Inc42</t>
        </is>
      </c>
      <c r="D536" s="17" t="n">
        <v>45734</v>
      </c>
      <c r="E536" t="inlineStr">
        <is>
          <t>iHub Robotics</t>
        </is>
      </c>
      <c r="F536" t="inlineStr">
        <is>
          <t>$520K</t>
        </is>
      </c>
      <c r="G536" s="19" t="n"/>
      <c r="H536" s="19" t="n">
        <v>0.52</v>
      </c>
      <c r="I536" t="inlineStr">
        <is>
          <t>Pre-Seed</t>
        </is>
      </c>
      <c r="J536" t="inlineStr"/>
      <c r="K536" t="inlineStr">
        <is>
          <t>https://inc42.com/buzz/from-nivara-home-finance-to-pilgrim-indian-startups-raised-109-mn-this-week/</t>
        </is>
      </c>
    </row>
    <row r="537">
      <c r="A537" t="inlineStr">
        <is>
          <t>ENT-8864052</t>
        </is>
      </c>
      <c r="B537" t="inlineStr">
        <is>
          <t>R250318-pilgrim</t>
        </is>
      </c>
      <c r="C537" t="inlineStr">
        <is>
          <t>Entrackr</t>
        </is>
      </c>
      <c r="D537" s="17" t="n">
        <v>45734</v>
      </c>
      <c r="E537" t="inlineStr">
        <is>
          <t>Pilgrim</t>
        </is>
      </c>
      <c r="F537" t="inlineStr">
        <is>
          <t>Rs 200 crore</t>
        </is>
      </c>
      <c r="G537" s="19" t="n">
        <v>200</v>
      </c>
      <c r="H537" s="19" t="n">
        <v>23</v>
      </c>
      <c r="I537" t="inlineStr">
        <is>
          <t>Undisclosed</t>
        </is>
      </c>
      <c r="J537" t="inlineStr"/>
      <c r="K537" t="inlineStr">
        <is>
          <t>https://entrackr.com/news/d2c-brand-pilgrim-raises-rs-200-cr-in-primary-and-secondary-funding-8864052</t>
        </is>
      </c>
    </row>
    <row r="538">
      <c r="A538" t="inlineStr">
        <is>
          <t>ET-119129630</t>
        </is>
      </c>
      <c r="B538" t="inlineStr">
        <is>
          <t>R250318-pilgrim</t>
        </is>
      </c>
      <c r="C538" t="inlineStr">
        <is>
          <t>The Economic Times</t>
        </is>
      </c>
      <c r="D538" s="17" t="n">
        <v>45734</v>
      </c>
      <c r="E538" t="inlineStr">
        <is>
          <t>Pilgrim</t>
        </is>
      </c>
      <c r="F538" t="inlineStr">
        <is>
          <t>Rs 200 crore</t>
        </is>
      </c>
      <c r="G538" s="19" t="n">
        <v>200</v>
      </c>
      <c r="H538" s="19" t="n"/>
      <c r="I538" t="inlineStr">
        <is>
          <t>Undisclosed</t>
        </is>
      </c>
      <c r="J538" t="inlineStr"/>
      <c r="K538" t="inlineStr">
        <is>
          <t>https://economictimes.indiatimes.com/tech/funding/beauty-and-personal-care-brand-pilgrim-raises-rs-200-crore-in-round-led-by-narotam-sekhsaria-family-office/articleshow/119129630.cms</t>
        </is>
      </c>
    </row>
    <row r="539">
      <c r="A539" t="inlineStr">
        <is>
          <t>INC-20250322-02</t>
        </is>
      </c>
      <c r="B539" t="inlineStr">
        <is>
          <t>R250318-pilgrim</t>
        </is>
      </c>
      <c r="C539" t="inlineStr">
        <is>
          <t>Inc42</t>
        </is>
      </c>
      <c r="D539" s="17" t="n">
        <v>45734</v>
      </c>
      <c r="E539" t="inlineStr">
        <is>
          <t>Pilgrim</t>
        </is>
      </c>
      <c r="F539" t="inlineStr">
        <is>
          <t>$23 Mn</t>
        </is>
      </c>
      <c r="G539" s="19" t="n"/>
      <c r="H539" s="19" t="n">
        <v>23</v>
      </c>
      <c r="I539" t="inlineStr">
        <is>
          <t>Undisclosed</t>
        </is>
      </c>
      <c r="J539" t="inlineStr"/>
      <c r="K539" t="inlineStr">
        <is>
          <t>https://inc42.com/buzz/from-nivara-home-finance-to-pilgrim-indian-startups-raised-109-mn-this-week/</t>
        </is>
      </c>
    </row>
    <row r="540">
      <c r="A540" t="inlineStr">
        <is>
          <t>ENT-8864142</t>
        </is>
      </c>
      <c r="B540" t="inlineStr">
        <is>
          <t>R250318-protecttai</t>
        </is>
      </c>
      <c r="C540" t="inlineStr">
        <is>
          <t>Entrackr</t>
        </is>
      </c>
      <c r="D540" s="17" t="n">
        <v>45734</v>
      </c>
      <c r="E540" t="inlineStr">
        <is>
          <t>Protectt.ai</t>
        </is>
      </c>
      <c r="F540" t="inlineStr">
        <is>
          <t>Rs 76 crore</t>
        </is>
      </c>
      <c r="G540" s="19" t="n">
        <v>76</v>
      </c>
      <c r="H540" s="19" t="n">
        <v>8.699999999999999</v>
      </c>
      <c r="I540" t="inlineStr">
        <is>
          <t>Series A</t>
        </is>
      </c>
      <c r="J540" t="inlineStr">
        <is>
          <t>Bessemer Venture Partners</t>
        </is>
      </c>
      <c r="K540" t="inlineStr">
        <is>
          <t>https://entrackr.com/snippets/protecttai-raises-rs-76-cr-in-series-a-round-led-by-bessemer-8864142</t>
        </is>
      </c>
    </row>
    <row r="541">
      <c r="A541" t="inlineStr">
        <is>
          <t>INC-20250322-06</t>
        </is>
      </c>
      <c r="B541" t="inlineStr">
        <is>
          <t>R250318-protecttai</t>
        </is>
      </c>
      <c r="C541" t="inlineStr">
        <is>
          <t>Inc42</t>
        </is>
      </c>
      <c r="D541" s="17" t="n">
        <v>45734</v>
      </c>
      <c r="E541" t="inlineStr">
        <is>
          <t>Protectt.ai</t>
        </is>
      </c>
      <c r="F541" t="inlineStr">
        <is>
          <t>$8.7 Mn</t>
        </is>
      </c>
      <c r="G541" s="19" t="n"/>
      <c r="H541" s="19" t="n">
        <v>8.699999999999999</v>
      </c>
      <c r="I541" t="inlineStr">
        <is>
          <t>Series A</t>
        </is>
      </c>
      <c r="J541" t="inlineStr">
        <is>
          <t>Bessemer Venture Partners</t>
        </is>
      </c>
      <c r="K541" t="inlineStr">
        <is>
          <t>https://inc42.com/buzz/from-nivara-home-finance-to-pilgrim-indian-startups-raised-109-mn-this-week/</t>
        </is>
      </c>
    </row>
    <row r="542">
      <c r="A542" t="inlineStr">
        <is>
          <t>ENT-8863595</t>
        </is>
      </c>
      <c r="B542" t="inlineStr">
        <is>
          <t>R250318-slikkclub</t>
        </is>
      </c>
      <c r="C542" t="inlineStr">
        <is>
          <t>Entrackr</t>
        </is>
      </c>
      <c r="D542" s="17" t="n">
        <v>45734</v>
      </c>
      <c r="E542" t="inlineStr">
        <is>
          <t>Slikk Club</t>
        </is>
      </c>
      <c r="F542" t="inlineStr">
        <is>
          <t>$3.2 million</t>
        </is>
      </c>
      <c r="G542" s="19" t="n"/>
      <c r="H542" s="19" t="n">
        <v>3.2</v>
      </c>
      <c r="I542" t="inlineStr">
        <is>
          <t>Seed</t>
        </is>
      </c>
      <c r="J542" t="inlineStr">
        <is>
          <t>Lightspeed</t>
        </is>
      </c>
      <c r="K542" t="inlineStr">
        <is>
          <t>https://entrackr.com/snippets/fashion-delivery-platform-slikk-club-raises-32-mn-in-seed-round-8863595</t>
        </is>
      </c>
    </row>
    <row r="543">
      <c r="A543" t="inlineStr">
        <is>
          <t>ET-119129923</t>
        </is>
      </c>
      <c r="B543" t="inlineStr">
        <is>
          <t>R250318-slikkclub</t>
        </is>
      </c>
      <c r="C543" t="inlineStr">
        <is>
          <t>The Economic Times</t>
        </is>
      </c>
      <c r="D543" s="17" t="n">
        <v>45734</v>
      </c>
      <c r="E543" t="inlineStr">
        <is>
          <t>Slikk Club</t>
        </is>
      </c>
      <c r="F543" t="inlineStr">
        <is>
          <t>$3.2 million</t>
        </is>
      </c>
      <c r="G543" s="19" t="n">
        <v>27.7</v>
      </c>
      <c r="H543" s="19" t="n">
        <v>3.2</v>
      </c>
      <c r="I543" t="inlineStr">
        <is>
          <t>Undisclosed</t>
        </is>
      </c>
      <c r="J543" t="inlineStr">
        <is>
          <t>Lightspeed</t>
        </is>
      </c>
      <c r="K543" t="inlineStr">
        <is>
          <t>https://economictimes.indiatimes.com/tech/funding/fashion-delivery-startup-slikk-club-raises-3-2-million/articleshow/119129923.cms</t>
        </is>
      </c>
    </row>
    <row r="544">
      <c r="A544" t="inlineStr">
        <is>
          <t>INC-20250322-08</t>
        </is>
      </c>
      <c r="B544" t="inlineStr">
        <is>
          <t>R250318-slikkclub</t>
        </is>
      </c>
      <c r="C544" t="inlineStr">
        <is>
          <t>Inc42</t>
        </is>
      </c>
      <c r="D544" s="17" t="n">
        <v>45734</v>
      </c>
      <c r="E544" t="inlineStr">
        <is>
          <t>Slikk Club</t>
        </is>
      </c>
      <c r="F544" t="inlineStr">
        <is>
          <t>$3.2 Mn</t>
        </is>
      </c>
      <c r="G544" s="19" t="n"/>
      <c r="H544" s="19" t="n">
        <v>3.2</v>
      </c>
      <c r="I544" t="inlineStr">
        <is>
          <t>Seed</t>
        </is>
      </c>
      <c r="J544" t="inlineStr">
        <is>
          <t>Lightspeed</t>
        </is>
      </c>
      <c r="K544" t="inlineStr">
        <is>
          <t>https://inc42.com/buzz/from-nivara-home-finance-to-pilgrim-indian-startups-raised-109-mn-this-week/</t>
        </is>
      </c>
    </row>
    <row r="545">
      <c r="A545" t="inlineStr">
        <is>
          <t>ENT-8864866</t>
        </is>
      </c>
      <c r="B545" t="inlineStr">
        <is>
          <t>R250318-yourspace</t>
        </is>
      </c>
      <c r="C545" t="inlineStr">
        <is>
          <t>Entrackr</t>
        </is>
      </c>
      <c r="D545" s="17" t="n">
        <v>45734</v>
      </c>
      <c r="E545" t="inlineStr">
        <is>
          <t>Your-Space</t>
        </is>
      </c>
      <c r="F545" t="inlineStr">
        <is>
          <t>Rs 70 crore</t>
        </is>
      </c>
      <c r="G545" s="19" t="n">
        <v>70</v>
      </c>
      <c r="H545" s="19" t="n">
        <v>8.199999999999999</v>
      </c>
      <c r="I545" t="inlineStr">
        <is>
          <t>Debt</t>
        </is>
      </c>
      <c r="J545" t="inlineStr">
        <is>
          <t>Shantanu Rastogi; Managing Director of General Atlantic</t>
        </is>
      </c>
      <c r="K545" t="inlineStr">
        <is>
          <t>https://entrackr.com/exclusive/exclusive-student-housing-startup-your-space-raises-82-mn-debt-8864866</t>
        </is>
      </c>
    </row>
    <row r="546">
      <c r="A546" t="inlineStr">
        <is>
          <t>ENT-8865002</t>
        </is>
      </c>
      <c r="B546" t="inlineStr">
        <is>
          <t>R250318-yummybee</t>
        </is>
      </c>
      <c r="C546" t="inlineStr">
        <is>
          <t>Entrackr</t>
        </is>
      </c>
      <c r="D546" s="17" t="n">
        <v>45734</v>
      </c>
      <c r="E546" t="inlineStr">
        <is>
          <t>Yummy Bee</t>
        </is>
      </c>
      <c r="F546" t="inlineStr">
        <is>
          <t>Rs 18 crore</t>
        </is>
      </c>
      <c r="G546" s="19" t="n">
        <v>18</v>
      </c>
      <c r="H546" s="19" t="n">
        <v>2</v>
      </c>
      <c r="I546" t="inlineStr">
        <is>
          <t>Undisclosed</t>
        </is>
      </c>
      <c r="J546" t="inlineStr">
        <is>
          <t>Mile Deep Capital; Mohan Krishna; Ajitha Challa; Praveen Jaipuriar</t>
        </is>
      </c>
      <c r="K546" t="inlineStr">
        <is>
          <t>https://entrackr.com/snippets/yummy-bee-secures-rs-18-cr-to-fuel-expansion-into-mumbai-and-bengaluru-8865002</t>
        </is>
      </c>
    </row>
    <row r="547">
      <c r="A547" t="inlineStr">
        <is>
          <t>ENT-8868398</t>
        </is>
      </c>
      <c r="B547" t="inlineStr">
        <is>
          <t>R250319-harvestedrobot</t>
        </is>
      </c>
      <c r="C547" t="inlineStr">
        <is>
          <t>Entrackr</t>
        </is>
      </c>
      <c r="D547" s="17" t="n">
        <v>45735</v>
      </c>
      <c r="E547" t="inlineStr">
        <is>
          <t>Harvested Robotics</t>
        </is>
      </c>
      <c r="F547" t="inlineStr">
        <is>
          <t>Rs 5 crore</t>
        </is>
      </c>
      <c r="G547" s="19" t="n">
        <v>5</v>
      </c>
      <c r="H547" s="19" t="n"/>
      <c r="I547" t="inlineStr">
        <is>
          <t>Seed</t>
        </is>
      </c>
      <c r="J547" t="inlineStr">
        <is>
          <t>Arali Ventures</t>
        </is>
      </c>
      <c r="K547" t="inlineStr">
        <is>
          <t>https://entrackr.com/snippets/harvested-robotics-raises-seed-round-from-arali-ventures-anand-mahindra-others-8868398</t>
        </is>
      </c>
    </row>
    <row r="548">
      <c r="A548" t="inlineStr">
        <is>
          <t>INC-20250322-13</t>
        </is>
      </c>
      <c r="B548" t="inlineStr">
        <is>
          <t>R250319-harvestedrobot</t>
        </is>
      </c>
      <c r="C548" t="inlineStr">
        <is>
          <t>Inc42</t>
        </is>
      </c>
      <c r="D548" s="17" t="n">
        <v>45735</v>
      </c>
      <c r="E548" t="inlineStr">
        <is>
          <t>Harvested Robotics</t>
        </is>
      </c>
      <c r="F548" t="inlineStr">
        <is>
          <t>$582K</t>
        </is>
      </c>
      <c r="G548" s="19" t="n"/>
      <c r="H548" s="19" t="n">
        <v>0.582</v>
      </c>
      <c r="I548" t="inlineStr">
        <is>
          <t>Pre-Seed</t>
        </is>
      </c>
      <c r="J548" t="inlineStr">
        <is>
          <t>Arali Ventures</t>
        </is>
      </c>
      <c r="K548" t="inlineStr">
        <is>
          <t>https://inc42.com/buzz/from-nivara-home-finance-to-pilgrim-indian-startups-raised-109-mn-this-week/</t>
        </is>
      </c>
    </row>
    <row r="549">
      <c r="A549" t="inlineStr">
        <is>
          <t>INC-20250322-03</t>
        </is>
      </c>
      <c r="B549" t="inlineStr">
        <is>
          <t>R250319-navadhan</t>
        </is>
      </c>
      <c r="C549" t="inlineStr">
        <is>
          <t>Inc42</t>
        </is>
      </c>
      <c r="D549" s="17" t="n">
        <v>45735</v>
      </c>
      <c r="E549" t="inlineStr">
        <is>
          <t>Navadhan</t>
        </is>
      </c>
      <c r="F549" t="inlineStr">
        <is>
          <t>$12.8 Mn</t>
        </is>
      </c>
      <c r="G549" s="19" t="n"/>
      <c r="H549" s="19" t="n">
        <v>12.8</v>
      </c>
      <c r="I549" t="inlineStr">
        <is>
          <t>Series A</t>
        </is>
      </c>
      <c r="J549" t="inlineStr">
        <is>
          <t>NabVentures; Prime Ventures</t>
        </is>
      </c>
      <c r="K549" t="inlineStr">
        <is>
          <t>https://inc42.com/buzz/from-nivara-home-finance-to-pilgrim-indian-startups-raised-109-mn-this-week/</t>
        </is>
      </c>
    </row>
    <row r="550">
      <c r="A550" t="inlineStr">
        <is>
          <t>ENT-8868097</t>
        </is>
      </c>
      <c r="B550" t="inlineStr">
        <is>
          <t>R250319-nourishyou</t>
        </is>
      </c>
      <c r="C550" t="inlineStr">
        <is>
          <t>Entrackr</t>
        </is>
      </c>
      <c r="D550" s="17" t="n">
        <v>45735</v>
      </c>
      <c r="E550" t="inlineStr">
        <is>
          <t>Nourish You</t>
        </is>
      </c>
      <c r="F550" t="inlineStr">
        <is>
          <t>Rs 16 crore</t>
        </is>
      </c>
      <c r="G550" s="19" t="n">
        <v>16</v>
      </c>
      <c r="H550" s="19" t="n">
        <v>1.84</v>
      </c>
      <c r="I550" t="inlineStr">
        <is>
          <t>Series A</t>
        </is>
      </c>
      <c r="J550" t="inlineStr">
        <is>
          <t>SIDBI Venture Capital</t>
        </is>
      </c>
      <c r="K550" t="inlineStr">
        <is>
          <t>https://entrackr.com/snippets/nourish-you-raises-rs-16-cr-led-by-sidbi-venture-8868097</t>
        </is>
      </c>
    </row>
    <row r="551">
      <c r="A551" t="inlineStr">
        <is>
          <t>ET-119172317</t>
        </is>
      </c>
      <c r="B551" t="inlineStr">
        <is>
          <t>R250319-nourishyou</t>
        </is>
      </c>
      <c r="C551" t="inlineStr">
        <is>
          <t>The Economic Times</t>
        </is>
      </c>
      <c r="D551" s="17" t="n">
        <v>45735</v>
      </c>
      <c r="E551" t="inlineStr">
        <is>
          <t>Nourish You</t>
        </is>
      </c>
      <c r="F551" t="inlineStr">
        <is>
          <t>Rs 16 crore</t>
        </is>
      </c>
      <c r="G551" s="19" t="n">
        <v>16</v>
      </c>
      <c r="H551" s="19" t="n"/>
      <c r="I551" t="inlineStr">
        <is>
          <t>Series A</t>
        </is>
      </c>
      <c r="J551" t="inlineStr"/>
      <c r="K551" t="inlineStr">
        <is>
          <t>https://economictimes.indiatimes.com/tech/funding/plant-based-nutrition-startup-nourish-you-raises-rs-16-crore-from-sidbi-venture-capital/articleshow/119172317.cms</t>
        </is>
      </c>
    </row>
    <row r="552">
      <c r="A552" t="inlineStr">
        <is>
          <t>INC-20250322-09</t>
        </is>
      </c>
      <c r="B552" t="inlineStr">
        <is>
          <t>R250319-nourishyou</t>
        </is>
      </c>
      <c r="C552" t="inlineStr">
        <is>
          <t>Inc42</t>
        </is>
      </c>
      <c r="D552" s="17" t="n">
        <v>45735</v>
      </c>
      <c r="E552" t="inlineStr">
        <is>
          <t>Nourish You</t>
        </is>
      </c>
      <c r="F552" t="inlineStr">
        <is>
          <t>$1.8 Mn</t>
        </is>
      </c>
      <c r="G552" s="19" t="n"/>
      <c r="H552" s="19" t="n">
        <v>1.8</v>
      </c>
      <c r="I552" t="inlineStr">
        <is>
          <t>Series A</t>
        </is>
      </c>
      <c r="J552" t="inlineStr">
        <is>
          <t>SIDBI Venture Capital</t>
        </is>
      </c>
      <c r="K552" t="inlineStr">
        <is>
          <t>https://inc42.com/buzz/from-nivara-home-finance-to-pilgrim-indian-startups-raised-109-mn-this-week/</t>
        </is>
      </c>
    </row>
    <row r="553">
      <c r="A553" t="inlineStr">
        <is>
          <t>ENT-8874305</t>
        </is>
      </c>
      <c r="B553" t="inlineStr">
        <is>
          <t>R250320-eulermotors</t>
        </is>
      </c>
      <c r="C553" t="inlineStr">
        <is>
          <t>Entrackr</t>
        </is>
      </c>
      <c r="D553" s="17" t="n">
        <v>45736</v>
      </c>
      <c r="E553" t="inlineStr">
        <is>
          <t>Euler Motors</t>
        </is>
      </c>
      <c r="F553" t="inlineStr">
        <is>
          <t>Rs 525 crore</t>
        </is>
      </c>
      <c r="G553" s="19" t="n">
        <v>525</v>
      </c>
      <c r="H553" s="19" t="n">
        <v>60</v>
      </c>
      <c r="I553" t="inlineStr">
        <is>
          <t>Undisclosed</t>
        </is>
      </c>
      <c r="J553" t="inlineStr"/>
      <c r="K553" t="inlineStr">
        <is>
          <t>https://entrackr.com/news/hero-motocorp-invests-over-60-mn-in-ev-startup-euler-motors-8874305</t>
        </is>
      </c>
    </row>
    <row r="554">
      <c r="A554" t="inlineStr">
        <is>
          <t>ENT-8871749</t>
        </is>
      </c>
      <c r="B554" t="inlineStr">
        <is>
          <t>R250320-everhopeoncolo</t>
        </is>
      </c>
      <c r="C554" t="inlineStr">
        <is>
          <t>Entrackr</t>
        </is>
      </c>
      <c r="D554" s="17" t="n">
        <v>45736</v>
      </c>
      <c r="E554" t="inlineStr">
        <is>
          <t>Everhope Oncology</t>
        </is>
      </c>
      <c r="F554" t="inlineStr">
        <is>
          <t>$10 million</t>
        </is>
      </c>
      <c r="G554" s="19" t="n"/>
      <c r="H554" s="19" t="n">
        <v>10</v>
      </c>
      <c r="I554" t="inlineStr">
        <is>
          <t>Seed</t>
        </is>
      </c>
      <c r="J554" t="inlineStr"/>
      <c r="K554" t="inlineStr">
        <is>
          <t>https://entrackr.com/snippets/everhope-oncology-raises-10-mn-in-seed-round-8871749</t>
        </is>
      </c>
    </row>
    <row r="555">
      <c r="A555" t="inlineStr">
        <is>
          <t>ET-119223817</t>
        </is>
      </c>
      <c r="B555" t="inlineStr">
        <is>
          <t>R250320-everhopeoncolo</t>
        </is>
      </c>
      <c r="C555" t="inlineStr">
        <is>
          <t>The Economic Times</t>
        </is>
      </c>
      <c r="D555" s="17" t="n">
        <v>45736</v>
      </c>
      <c r="E555" t="inlineStr">
        <is>
          <t>Everhope Oncology</t>
        </is>
      </c>
      <c r="F555" t="inlineStr">
        <is>
          <t>$10 million</t>
        </is>
      </c>
      <c r="G555" s="19" t="n"/>
      <c r="H555" s="19" t="n">
        <v>10</v>
      </c>
      <c r="I555" t="inlineStr">
        <is>
          <t>Undisclosed</t>
        </is>
      </c>
      <c r="J555" t="inlineStr"/>
      <c r="K555" t="inlineStr">
        <is>
          <t>https://economictimes.indiatimes.com/tech/funding/everhope-oncology-raises-10-million-to-bring-retail-model-for-cancer-care-in-india/articleshow/119223817.cms</t>
        </is>
      </c>
    </row>
    <row r="556">
      <c r="A556" t="inlineStr">
        <is>
          <t>ENT-8872792</t>
        </is>
      </c>
      <c r="B556" t="inlineStr">
        <is>
          <t>R250320-iyaso</t>
        </is>
      </c>
      <c r="C556" t="inlineStr">
        <is>
          <t>Entrackr</t>
        </is>
      </c>
      <c r="D556" s="17" t="n">
        <v>45736</v>
      </c>
      <c r="E556" t="inlineStr">
        <is>
          <t>Iyaso</t>
        </is>
      </c>
      <c r="F556" t="inlineStr">
        <is>
          <t>$500K</t>
        </is>
      </c>
      <c r="G556" s="19" t="n"/>
      <c r="H556" s="19" t="n">
        <v>0.5</v>
      </c>
      <c r="I556" t="inlineStr">
        <is>
          <t>Pre-Seed</t>
        </is>
      </c>
      <c r="J556" t="inlineStr">
        <is>
          <t>Malpani Ventures</t>
        </is>
      </c>
      <c r="K556" t="inlineStr">
        <is>
          <t>https://entrackr.com/snippets/speech-therapy-startup-iyaso-secures-pre-seed-funding-8872792</t>
        </is>
      </c>
    </row>
    <row r="557">
      <c r="A557" t="inlineStr">
        <is>
          <t>INC-20250419-17</t>
        </is>
      </c>
      <c r="B557" t="inlineStr">
        <is>
          <t>R250320-iyaso</t>
        </is>
      </c>
      <c r="C557" t="inlineStr">
        <is>
          <t>Inc42</t>
        </is>
      </c>
      <c r="D557" s="17" t="n">
        <v>45763</v>
      </c>
      <c r="E557" t="inlineStr">
        <is>
          <t>Iyaso</t>
        </is>
      </c>
      <c r="F557" t="inlineStr">
        <is>
          <t>$500K</t>
        </is>
      </c>
      <c r="G557" s="19" t="n"/>
      <c r="H557" s="19" t="n">
        <v>0.5</v>
      </c>
      <c r="I557" t="inlineStr">
        <is>
          <t>Pre-Seed</t>
        </is>
      </c>
      <c r="J557" t="inlineStr">
        <is>
          <t>Malpani Ventures</t>
        </is>
      </c>
      <c r="K557" t="inlineStr">
        <is>
          <t>https://inc42.com/buzz/from-garuda-aerospace-to-jewelbox-indian-startups-raised-65-mn-this-week/</t>
        </is>
      </c>
    </row>
    <row r="558">
      <c r="A558" t="inlineStr">
        <is>
          <t>INC-20250322-18</t>
        </is>
      </c>
      <c r="B558" t="inlineStr">
        <is>
          <t>R250320-kraftshala</t>
        </is>
      </c>
      <c r="C558" t="inlineStr">
        <is>
          <t>Inc42</t>
        </is>
      </c>
      <c r="D558" s="17" t="n">
        <v>45736</v>
      </c>
      <c r="E558" t="inlineStr">
        <is>
          <t>Kraftshala</t>
        </is>
      </c>
      <c r="F558" t="inlineStr"/>
      <c r="G558" s="19" t="n"/>
      <c r="H558" s="19" t="n"/>
      <c r="I558" t="inlineStr">
        <is>
          <t>Pre-Series A</t>
        </is>
      </c>
      <c r="J558" t="inlineStr"/>
      <c r="K558" t="inlineStr">
        <is>
          <t>https://inc42.com/buzz/from-nivara-home-finance-to-pilgrim-indian-startups-raised-109-mn-this-week/</t>
        </is>
      </c>
    </row>
    <row r="559">
      <c r="A559" t="inlineStr">
        <is>
          <t>ENT-8873084</t>
        </is>
      </c>
      <c r="B559" t="inlineStr">
        <is>
          <t>R250320-lighthouseprop</t>
        </is>
      </c>
      <c r="C559" t="inlineStr">
        <is>
          <t>Entrackr</t>
        </is>
      </c>
      <c r="D559" s="17" t="n">
        <v>45736</v>
      </c>
      <c r="E559" t="inlineStr">
        <is>
          <t>Lighthouse PropTech</t>
        </is>
      </c>
      <c r="F559" t="inlineStr">
        <is>
          <t>$2.5 million</t>
        </is>
      </c>
      <c r="G559" s="19" t="n"/>
      <c r="H559" s="19" t="n">
        <v>2.5</v>
      </c>
      <c r="I559" t="inlineStr">
        <is>
          <t>Undisclosed</t>
        </is>
      </c>
      <c r="J559" t="inlineStr"/>
      <c r="K559" t="inlineStr">
        <is>
          <t>https://entrackr.com/snippets/turbostart-leads-25-mn-round-in-lighthouse-proptech-8873084</t>
        </is>
      </c>
    </row>
    <row r="560">
      <c r="A560" t="inlineStr">
        <is>
          <t>INC-20250322-10</t>
        </is>
      </c>
      <c r="B560" t="inlineStr">
        <is>
          <t>R250320-lighthouseprop</t>
        </is>
      </c>
      <c r="C560" t="inlineStr">
        <is>
          <t>Inc42</t>
        </is>
      </c>
      <c r="D560" s="17" t="n">
        <v>45736</v>
      </c>
      <c r="E560" t="inlineStr">
        <is>
          <t>Lighthouse PropTech</t>
        </is>
      </c>
      <c r="F560" t="inlineStr">
        <is>
          <t>$1 Mn</t>
        </is>
      </c>
      <c r="G560" s="19" t="n"/>
      <c r="H560" s="19" t="n">
        <v>1</v>
      </c>
      <c r="I560" t="inlineStr">
        <is>
          <t>Undisclosed</t>
        </is>
      </c>
      <c r="J560" t="inlineStr">
        <is>
          <t>Turbostart</t>
        </is>
      </c>
      <c r="K560" t="inlineStr">
        <is>
          <t>https://inc42.com/buzz/from-nivara-home-finance-to-pilgrim-indian-startups-raised-109-mn-this-week/</t>
        </is>
      </c>
    </row>
    <row r="561">
      <c r="A561" t="inlineStr">
        <is>
          <t>INC-20250322-05</t>
        </is>
      </c>
      <c r="B561" t="inlineStr">
        <is>
          <t>R250320-magentamobilit</t>
        </is>
      </c>
      <c r="C561" t="inlineStr">
        <is>
          <t>Inc42</t>
        </is>
      </c>
      <c r="D561" s="17" t="n">
        <v>45736</v>
      </c>
      <c r="E561" t="inlineStr">
        <is>
          <t>Magenta Mobility</t>
        </is>
      </c>
      <c r="F561" t="inlineStr">
        <is>
          <t>$11.5 Mn</t>
        </is>
      </c>
      <c r="G561" s="19" t="n"/>
      <c r="H561" s="19" t="n">
        <v>11.5</v>
      </c>
      <c r="I561" t="inlineStr">
        <is>
          <t>Pre-Series B</t>
        </is>
      </c>
      <c r="J561" t="inlineStr"/>
      <c r="K561" t="inlineStr">
        <is>
          <t>https://inc42.com/buzz/from-nivara-home-finance-to-pilgrim-indian-startups-raised-109-mn-this-week/</t>
        </is>
      </c>
    </row>
    <row r="562">
      <c r="A562" t="inlineStr">
        <is>
          <t>ENT-8872394</t>
        </is>
      </c>
      <c r="B562" t="inlineStr">
        <is>
          <t>R250320-mypahadidukan</t>
        </is>
      </c>
      <c r="C562" t="inlineStr">
        <is>
          <t>Entrackr</t>
        </is>
      </c>
      <c r="D562" s="17" t="n">
        <v>45736</v>
      </c>
      <c r="E562" t="inlineStr">
        <is>
          <t>My Pahadi Dukan</t>
        </is>
      </c>
      <c r="F562" t="inlineStr"/>
      <c r="G562" s="19" t="n"/>
      <c r="H562" s="19" t="n"/>
      <c r="I562" t="inlineStr">
        <is>
          <t>Pre-Seed</t>
        </is>
      </c>
      <c r="J562" t="inlineStr"/>
      <c r="K562" t="inlineStr">
        <is>
          <t>https://entrackr.com/snippets/my-pahadi-dukan-raises-pre-seed-funding-led-by-ipv-8872394</t>
        </is>
      </c>
    </row>
    <row r="563">
      <c r="A563" t="inlineStr">
        <is>
          <t>INC-20250322-17</t>
        </is>
      </c>
      <c r="B563" t="inlineStr">
        <is>
          <t>R250320-mypahadidukan</t>
        </is>
      </c>
      <c r="C563" t="inlineStr">
        <is>
          <t>Inc42</t>
        </is>
      </c>
      <c r="D563" s="17" t="n">
        <v>45736</v>
      </c>
      <c r="E563" t="inlineStr">
        <is>
          <t>My Pahadi Dukan</t>
        </is>
      </c>
      <c r="F563" t="inlineStr"/>
      <c r="G563" s="19" t="n"/>
      <c r="H563" s="19" t="n"/>
      <c r="I563" t="inlineStr">
        <is>
          <t>Pre-Seed</t>
        </is>
      </c>
      <c r="J563" t="inlineStr">
        <is>
          <t>Inflection Point Ventures</t>
        </is>
      </c>
      <c r="K563" t="inlineStr">
        <is>
          <t>https://inc42.com/buzz/from-nivara-home-finance-to-pilgrim-indian-startups-raised-109-mn-this-week/</t>
        </is>
      </c>
    </row>
    <row r="564">
      <c r="A564" t="inlineStr">
        <is>
          <t>INC-20250322-11</t>
        </is>
      </c>
      <c r="B564" t="inlineStr">
        <is>
          <t>R250320-qilagames</t>
        </is>
      </c>
      <c r="C564" t="inlineStr">
        <is>
          <t>Inc42</t>
        </is>
      </c>
      <c r="D564" s="17" t="n">
        <v>45736</v>
      </c>
      <c r="E564" t="inlineStr">
        <is>
          <t>Qila Games</t>
        </is>
      </c>
      <c r="F564" t="inlineStr">
        <is>
          <t>$1 Mn</t>
        </is>
      </c>
      <c r="G564" s="19" t="n"/>
      <c r="H564" s="19" t="n">
        <v>1</v>
      </c>
      <c r="I564" t="inlineStr">
        <is>
          <t>Pre-Seed</t>
        </is>
      </c>
      <c r="J564" t="inlineStr">
        <is>
          <t>Chimera VC</t>
        </is>
      </c>
      <c r="K564" t="inlineStr">
        <is>
          <t>https://inc42.com/buzz/from-nivara-home-finance-to-pilgrim-indian-startups-raised-109-mn-this-week/</t>
        </is>
      </c>
    </row>
    <row r="565">
      <c r="A565" t="inlineStr">
        <is>
          <t>ENT-8875620</t>
        </is>
      </c>
      <c r="B565" t="inlineStr">
        <is>
          <t>R250320-qilagames</t>
        </is>
      </c>
      <c r="C565" t="inlineStr">
        <is>
          <t>Entrackr</t>
        </is>
      </c>
      <c r="D565" s="17" t="n">
        <v>45737</v>
      </c>
      <c r="E565" t="inlineStr">
        <is>
          <t>Qila Games</t>
        </is>
      </c>
      <c r="F565" t="inlineStr">
        <is>
          <t>$1 million</t>
        </is>
      </c>
      <c r="G565" s="19" t="n"/>
      <c r="H565" s="19" t="n">
        <v>1</v>
      </c>
      <c r="I565" t="inlineStr">
        <is>
          <t>Pre-Seed</t>
        </is>
      </c>
      <c r="J565" t="inlineStr">
        <is>
          <t>Chimera VC</t>
        </is>
      </c>
      <c r="K565" t="inlineStr">
        <is>
          <t>https://entrackr.com/snippets/gaming-startup-qila-games-bags-1-mn-in-pre-seed-round-8875620</t>
        </is>
      </c>
    </row>
    <row r="566">
      <c r="A566" t="inlineStr">
        <is>
          <t>ENT-8876590</t>
        </is>
      </c>
      <c r="B566" t="inlineStr">
        <is>
          <t>R250321-stage</t>
        </is>
      </c>
      <c r="C566" t="inlineStr">
        <is>
          <t>Entrackr</t>
        </is>
      </c>
      <c r="D566" s="17" t="n">
        <v>45737</v>
      </c>
      <c r="E566" t="inlineStr">
        <is>
          <t>Stage</t>
        </is>
      </c>
      <c r="F566" t="inlineStr">
        <is>
          <t>$12.5 million</t>
        </is>
      </c>
      <c r="G566" s="19" t="n"/>
      <c r="H566" s="19" t="n">
        <v>12.5</v>
      </c>
      <c r="I566" t="inlineStr">
        <is>
          <t>Series B</t>
        </is>
      </c>
      <c r="J566" t="inlineStr">
        <is>
          <t>Good Water; Blume Ventures</t>
        </is>
      </c>
      <c r="K566" t="inlineStr">
        <is>
          <t>https://entrackr.com/snippets/regional-ott-app-stage-raises-125-mn-in-series-b-8876590</t>
        </is>
      </c>
    </row>
    <row r="567">
      <c r="A567" t="inlineStr">
        <is>
          <t>INC-20250322-04</t>
        </is>
      </c>
      <c r="B567" t="inlineStr">
        <is>
          <t>R250321-stage</t>
        </is>
      </c>
      <c r="C567" t="inlineStr">
        <is>
          <t>Inc42</t>
        </is>
      </c>
      <c r="D567" s="17" t="n">
        <v>45737</v>
      </c>
      <c r="E567" t="inlineStr">
        <is>
          <t>STAGE</t>
        </is>
      </c>
      <c r="F567" t="inlineStr">
        <is>
          <t>$12.5 Mn</t>
        </is>
      </c>
      <c r="G567" s="19" t="n"/>
      <c r="H567" s="19" t="n">
        <v>12.5</v>
      </c>
      <c r="I567" t="inlineStr">
        <is>
          <t>Series B</t>
        </is>
      </c>
      <c r="J567" t="inlineStr">
        <is>
          <t>Goodwater Capital; Blume Ventures</t>
        </is>
      </c>
      <c r="K567" t="inlineStr">
        <is>
          <t>https://inc42.com/buzz/from-nivara-home-finance-to-pilgrim-indian-startups-raised-109-mn-this-week/</t>
        </is>
      </c>
    </row>
    <row r="568">
      <c r="A568" t="inlineStr">
        <is>
          <t>ENT-8883740</t>
        </is>
      </c>
      <c r="B568" t="inlineStr">
        <is>
          <t>R250324-apnamart</t>
        </is>
      </c>
      <c r="C568" t="inlineStr">
        <is>
          <t>Entrackr</t>
        </is>
      </c>
      <c r="D568" s="17" t="n">
        <v>45740</v>
      </c>
      <c r="E568" t="inlineStr">
        <is>
          <t>Apna Mart</t>
        </is>
      </c>
      <c r="F568" t="inlineStr">
        <is>
          <t>Rs 214.5 crore</t>
        </is>
      </c>
      <c r="G568" s="19" t="n">
        <v>214.5</v>
      </c>
      <c r="H568" s="19" t="n">
        <v>25</v>
      </c>
      <c r="I568" t="inlineStr">
        <is>
          <t>Undisclosed</t>
        </is>
      </c>
      <c r="J568" t="inlineStr">
        <is>
          <t>Fundamentum Partnership Fund; Accel</t>
        </is>
      </c>
      <c r="K568" t="inlineStr">
        <is>
          <t>https://entrackr.com/exclusive/exclusive-apna-mart-raises-25-mn-led-by-fundamentum-and-accel-8883740</t>
        </is>
      </c>
    </row>
    <row r="569">
      <c r="A569" t="inlineStr">
        <is>
          <t>ET-119419305</t>
        </is>
      </c>
      <c r="B569" t="inlineStr">
        <is>
          <t>R250324-apnamart</t>
        </is>
      </c>
      <c r="C569" t="inlineStr">
        <is>
          <t>The Economic Times</t>
        </is>
      </c>
      <c r="D569" s="17" t="n">
        <v>45740</v>
      </c>
      <c r="E569" t="inlineStr">
        <is>
          <t>Apna Mart</t>
        </is>
      </c>
      <c r="F569" t="inlineStr">
        <is>
          <t>$25 million</t>
        </is>
      </c>
      <c r="G569" s="19" t="n">
        <v>214</v>
      </c>
      <c r="H569" s="19" t="n">
        <v>25</v>
      </c>
      <c r="I569" t="inlineStr">
        <is>
          <t>Undisclosed</t>
        </is>
      </c>
      <c r="J569" t="inlineStr"/>
      <c r="K569" t="inlineStr">
        <is>
          <t>https://economictimes.indiatimes.com/tech/funding/grocery-delivery-startup-apna-mart-raises-25-million-in-equity-debt-mix-from-fundamentum-accel-others/articleshow/119419305.cms</t>
        </is>
      </c>
    </row>
    <row r="570">
      <c r="A570" t="inlineStr">
        <is>
          <t>VCC-4376c74fef</t>
        </is>
      </c>
      <c r="B570" t="inlineStr">
        <is>
          <t>R250324-apnamart</t>
        </is>
      </c>
      <c r="C570" t="inlineStr">
        <is>
          <t>VCCircle</t>
        </is>
      </c>
      <c r="D570" s="17" t="n">
        <v>45740</v>
      </c>
      <c r="E570" t="inlineStr">
        <is>
          <t>apna mart</t>
        </is>
      </c>
      <c r="F570" t="inlineStr"/>
      <c r="G570" s="19" t="n"/>
      <c r="H570" s="19" t="n"/>
      <c r="I570" t="inlineStr">
        <is>
          <t>Undisclosed</t>
        </is>
      </c>
      <c r="J570" t="inlineStr"/>
      <c r="K570" t="inlineStr">
        <is>
          <t>https://www.vccircle.com/fundamentumaccel-co-lead-apna-mart-s-new-funding-round</t>
        </is>
      </c>
    </row>
    <row r="571">
      <c r="A571" t="inlineStr">
        <is>
          <t>ENT-8884598</t>
        </is>
      </c>
      <c r="B571" t="inlineStr">
        <is>
          <t>R250324-dcdckidneycare</t>
        </is>
      </c>
      <c r="C571" t="inlineStr">
        <is>
          <t>Entrackr</t>
        </is>
      </c>
      <c r="D571" s="17" t="n">
        <v>45740</v>
      </c>
      <c r="E571" t="inlineStr">
        <is>
          <t>DCDC Kidney Care</t>
        </is>
      </c>
      <c r="F571" t="inlineStr">
        <is>
          <t>Rs 150 crore</t>
        </is>
      </c>
      <c r="G571" s="19" t="n">
        <v>150</v>
      </c>
      <c r="H571" s="19" t="n">
        <v>17.4</v>
      </c>
      <c r="I571" t="inlineStr">
        <is>
          <t>Undisclosed</t>
        </is>
      </c>
      <c r="J571" t="inlineStr"/>
      <c r="K571" t="inlineStr">
        <is>
          <t>https://entrackr.com/snippets/abc-impact-leads-rs-150-cr-round-in-dcdc-kidney-care-8884598</t>
        </is>
      </c>
    </row>
    <row r="572">
      <c r="A572" t="inlineStr">
        <is>
          <t>ENT-8886292</t>
        </is>
      </c>
      <c r="B572" t="inlineStr">
        <is>
          <t>R250324-taxina</t>
        </is>
      </c>
      <c r="C572" t="inlineStr">
        <is>
          <t>Entrackr</t>
        </is>
      </c>
      <c r="D572" s="17" t="n">
        <v>45740</v>
      </c>
      <c r="E572" t="inlineStr">
        <is>
          <t>Taxi’na</t>
        </is>
      </c>
      <c r="F572" t="inlineStr">
        <is>
          <t>Rs 1.5 crore</t>
        </is>
      </c>
      <c r="G572" s="19" t="n">
        <v>1.5</v>
      </c>
      <c r="H572" s="19" t="n"/>
      <c r="I572" t="inlineStr">
        <is>
          <t>Undisclosed</t>
        </is>
      </c>
      <c r="J572" t="inlineStr"/>
      <c r="K572" t="inlineStr">
        <is>
          <t>https://entrackr.com/snippets/mobility-solutions-startup-taxina-bags-funding-from-navyug-global-ventures-8886292</t>
        </is>
      </c>
    </row>
    <row r="573">
      <c r="A573" t="inlineStr">
        <is>
          <t>ENT-8888658</t>
        </is>
      </c>
      <c r="B573" t="inlineStr">
        <is>
          <t>R250325-carefi</t>
        </is>
      </c>
      <c r="C573" t="inlineStr">
        <is>
          <t>Entrackr</t>
        </is>
      </c>
      <c r="D573" s="17" t="n">
        <v>45741</v>
      </c>
      <c r="E573" t="inlineStr">
        <is>
          <t>Care.fi</t>
        </is>
      </c>
      <c r="F573" t="inlineStr">
        <is>
          <t>Rs 7.5 crore</t>
        </is>
      </c>
      <c r="G573" s="19" t="n">
        <v>7.5</v>
      </c>
      <c r="H573" s="19" t="n"/>
      <c r="I573" t="inlineStr">
        <is>
          <t>Debt</t>
        </is>
      </c>
      <c r="J573" t="inlineStr"/>
      <c r="K573" t="inlineStr">
        <is>
          <t>https://entrackr.com/snippets/carefi-secures-rs-75-cr-in-debt-from-vivriti-capital-8888658</t>
        </is>
      </c>
    </row>
    <row r="574">
      <c r="A574" t="inlineStr">
        <is>
          <t>INC-20250329-06</t>
        </is>
      </c>
      <c r="B574" t="inlineStr">
        <is>
          <t>R250325-dozee</t>
        </is>
      </c>
      <c r="C574" t="inlineStr">
        <is>
          <t>Inc42</t>
        </is>
      </c>
      <c r="D574" s="17" t="n">
        <v>45741</v>
      </c>
      <c r="E574" t="inlineStr">
        <is>
          <t>Dozee</t>
        </is>
      </c>
      <c r="F574" t="inlineStr">
        <is>
          <t>$8 Mn</t>
        </is>
      </c>
      <c r="G574" s="19" t="n"/>
      <c r="H574" s="19" t="n">
        <v>8</v>
      </c>
      <c r="I574" t="inlineStr">
        <is>
          <t>Undisclosed</t>
        </is>
      </c>
      <c r="J574" t="inlineStr"/>
      <c r="K574" t="inlineStr">
        <is>
          <t>https://inc42.com/buzz/from-smallcase-to-lendingkart-indian-startups-raised-144-mn-this-week/</t>
        </is>
      </c>
    </row>
    <row r="575">
      <c r="A575" t="inlineStr">
        <is>
          <t>ENT-8887831</t>
        </is>
      </c>
      <c r="B575" t="inlineStr">
        <is>
          <t>R250325-fireflydiamond</t>
        </is>
      </c>
      <c r="C575" t="inlineStr">
        <is>
          <t>Entrackr</t>
        </is>
      </c>
      <c r="D575" s="17" t="n">
        <v>45741</v>
      </c>
      <c r="E575" t="inlineStr">
        <is>
          <t>Firefly Diamonds</t>
        </is>
      </c>
      <c r="F575" t="inlineStr">
        <is>
          <t>$3 million</t>
        </is>
      </c>
      <c r="G575" s="19" t="n"/>
      <c r="H575" s="19" t="n">
        <v>3</v>
      </c>
      <c r="I575" t="inlineStr">
        <is>
          <t>Seed</t>
        </is>
      </c>
      <c r="J575" t="inlineStr">
        <is>
          <t>WestBridge Capital</t>
        </is>
      </c>
      <c r="K575" t="inlineStr">
        <is>
          <t>https://entrackr.com/snippets/firefly-diamonds-raises-3-mn-in-seed-round-led-by-westbridge-capital-8887831</t>
        </is>
      </c>
    </row>
    <row r="576">
      <c r="A576" t="inlineStr">
        <is>
          <t>ET-119466793</t>
        </is>
      </c>
      <c r="B576" t="inlineStr">
        <is>
          <t>R250325-fireflydiamond</t>
        </is>
      </c>
      <c r="C576" t="inlineStr">
        <is>
          <t>The Economic Times</t>
        </is>
      </c>
      <c r="D576" s="17" t="n">
        <v>45741</v>
      </c>
      <c r="E576" t="inlineStr">
        <is>
          <t>Firefly</t>
        </is>
      </c>
      <c r="F576" t="inlineStr">
        <is>
          <t>$3 million</t>
        </is>
      </c>
      <c r="G576" s="19" t="n"/>
      <c r="H576" s="19" t="n">
        <v>3</v>
      </c>
      <c r="I576" t="inlineStr">
        <is>
          <t>Seed</t>
        </is>
      </c>
      <c r="J576" t="inlineStr"/>
      <c r="K576" t="inlineStr">
        <is>
          <t>https://economictimes.indiatimes.com/tech/funding/lab-grown-diamond-startup-firefly-diamonds-raises-3-million-from-westbridge-capital/articleshow/119466793.cms</t>
        </is>
      </c>
    </row>
    <row r="577">
      <c r="A577" t="inlineStr">
        <is>
          <t>INC-20250329-07</t>
        </is>
      </c>
      <c r="B577" t="inlineStr">
        <is>
          <t>R250325-fireflydiamond</t>
        </is>
      </c>
      <c r="C577" t="inlineStr">
        <is>
          <t>Inc42</t>
        </is>
      </c>
      <c r="D577" s="17" t="n">
        <v>45742</v>
      </c>
      <c r="E577" t="inlineStr">
        <is>
          <t>Firefly Diamonds</t>
        </is>
      </c>
      <c r="F577" t="inlineStr">
        <is>
          <t>$3 Mn</t>
        </is>
      </c>
      <c r="G577" s="19" t="n"/>
      <c r="H577" s="19" t="n">
        <v>3</v>
      </c>
      <c r="I577" t="inlineStr">
        <is>
          <t>Seed</t>
        </is>
      </c>
      <c r="J577" t="inlineStr">
        <is>
          <t>WestBridge Capital</t>
        </is>
      </c>
      <c r="K577" t="inlineStr">
        <is>
          <t>https://inc42.com/buzz/from-smallcase-to-lendingkart-indian-startups-raised-144-mn-this-week/</t>
        </is>
      </c>
    </row>
    <row r="578">
      <c r="A578" t="inlineStr">
        <is>
          <t>ENT-8888234</t>
        </is>
      </c>
      <c r="B578" t="inlineStr">
        <is>
          <t>R250325-gramiyaa</t>
        </is>
      </c>
      <c r="C578" t="inlineStr">
        <is>
          <t>Entrackr</t>
        </is>
      </c>
      <c r="D578" s="17" t="n">
        <v>45741</v>
      </c>
      <c r="E578" t="inlineStr">
        <is>
          <t>Gramiyaa</t>
        </is>
      </c>
      <c r="F578" t="inlineStr">
        <is>
          <t>Rs 7.2 crore</t>
        </is>
      </c>
      <c r="G578" s="19" t="n">
        <v>7.2</v>
      </c>
      <c r="H578" s="19" t="n"/>
      <c r="I578" t="inlineStr">
        <is>
          <t>Pre-Series A</t>
        </is>
      </c>
      <c r="J578" t="inlineStr">
        <is>
          <t>Homegrown Ventures</t>
        </is>
      </c>
      <c r="K578" t="inlineStr">
        <is>
          <t>https://entrackr.com/snippets/cold-pressed-oil-brand-gramiyaa-raises-pre-series-a-funding-8888234</t>
        </is>
      </c>
    </row>
    <row r="579">
      <c r="A579" t="inlineStr">
        <is>
          <t>ENT-8889005</t>
        </is>
      </c>
      <c r="B579" t="inlineStr">
        <is>
          <t>R250325-growindigo</t>
        </is>
      </c>
      <c r="C579" t="inlineStr">
        <is>
          <t>Entrackr</t>
        </is>
      </c>
      <c r="D579" s="17" t="n">
        <v>45741</v>
      </c>
      <c r="E579" t="inlineStr">
        <is>
          <t>Grow Indigo</t>
        </is>
      </c>
      <c r="F579" t="inlineStr">
        <is>
          <t>$10 million</t>
        </is>
      </c>
      <c r="G579" s="19" t="n"/>
      <c r="H579" s="19" t="n">
        <v>10</v>
      </c>
      <c r="I579" t="inlineStr">
        <is>
          <t>Undisclosed</t>
        </is>
      </c>
      <c r="J579" t="inlineStr"/>
      <c r="K579" t="inlineStr">
        <is>
          <t>https://entrackr.com/snippets/grow-indigo-raises-10-mn-from-british-international-investment-8889005</t>
        </is>
      </c>
    </row>
    <row r="580">
      <c r="A580" t="inlineStr">
        <is>
          <t>ET-119483685</t>
        </is>
      </c>
      <c r="B580" t="inlineStr">
        <is>
          <t>R250325-growindigo</t>
        </is>
      </c>
      <c r="C580" t="inlineStr">
        <is>
          <t>The Economic Times</t>
        </is>
      </c>
      <c r="D580" s="17" t="n">
        <v>45741</v>
      </c>
      <c r="E580" t="inlineStr">
        <is>
          <t>Grow Indigo</t>
        </is>
      </c>
      <c r="F580" t="inlineStr">
        <is>
          <t>$10 million</t>
        </is>
      </c>
      <c r="G580" s="19" t="n"/>
      <c r="H580" s="19" t="n">
        <v>10</v>
      </c>
      <c r="I580" t="inlineStr">
        <is>
          <t>Undisclosed</t>
        </is>
      </c>
      <c r="J580" t="inlineStr"/>
      <c r="K580" t="inlineStr">
        <is>
          <t>https://economictimes.indiatimes.com/tech/funding/agritech-startup-grow-indigo-raises-10-million-from-british-international-investment/articleshow/119483685.cms</t>
        </is>
      </c>
    </row>
    <row r="581">
      <c r="A581" t="inlineStr">
        <is>
          <t>INC-20250329-05</t>
        </is>
      </c>
      <c r="B581" t="inlineStr">
        <is>
          <t>R250325-growindigo</t>
        </is>
      </c>
      <c r="C581" t="inlineStr">
        <is>
          <t>Inc42</t>
        </is>
      </c>
      <c r="D581" s="17" t="n">
        <v>45741</v>
      </c>
      <c r="E581" t="inlineStr">
        <is>
          <t>Grow Indigo</t>
        </is>
      </c>
      <c r="F581" t="inlineStr">
        <is>
          <t>$10 Mn</t>
        </is>
      </c>
      <c r="G581" s="19" t="n"/>
      <c r="H581" s="19" t="n">
        <v>10</v>
      </c>
      <c r="I581" t="inlineStr">
        <is>
          <t>Undisclosed</t>
        </is>
      </c>
      <c r="J581" t="inlineStr">
        <is>
          <t>British International Investment</t>
        </is>
      </c>
      <c r="K581" t="inlineStr">
        <is>
          <t>https://inc42.com/buzz/from-smallcase-to-lendingkart-indian-startups-raised-144-mn-this-week/</t>
        </is>
      </c>
    </row>
    <row r="582">
      <c r="A582" t="inlineStr">
        <is>
          <t>ENT-8888537</t>
        </is>
      </c>
      <c r="B582" t="inlineStr">
        <is>
          <t>R250325-irameai</t>
        </is>
      </c>
      <c r="C582" t="inlineStr">
        <is>
          <t>Entrackr</t>
        </is>
      </c>
      <c r="D582" s="17" t="n">
        <v>45741</v>
      </c>
      <c r="E582" t="inlineStr">
        <is>
          <t>Irame.ai</t>
        </is>
      </c>
      <c r="F582" t="inlineStr">
        <is>
          <t>$1 million</t>
        </is>
      </c>
      <c r="G582" s="19" t="n"/>
      <c r="H582" s="19" t="n">
        <v>1</v>
      </c>
      <c r="I582" t="inlineStr">
        <is>
          <t>Seed</t>
        </is>
      </c>
      <c r="J582" t="inlineStr"/>
      <c r="K582" t="inlineStr">
        <is>
          <t>https://entrackr.com/snippets/irameai-bags-1-mn-in-seed-round-from-senseai-ventures-8888537</t>
        </is>
      </c>
    </row>
    <row r="583">
      <c r="A583" t="inlineStr">
        <is>
          <t>INC-20250329-13</t>
        </is>
      </c>
      <c r="B583" t="inlineStr">
        <is>
          <t>R250325-irameai</t>
        </is>
      </c>
      <c r="C583" t="inlineStr">
        <is>
          <t>Inc42</t>
        </is>
      </c>
      <c r="D583" s="17" t="n">
        <v>45741</v>
      </c>
      <c r="E583" t="inlineStr">
        <is>
          <t>Irame.ai</t>
        </is>
      </c>
      <c r="F583" t="inlineStr">
        <is>
          <t>$1 Mn</t>
        </is>
      </c>
      <c r="G583" s="19" t="n"/>
      <c r="H583" s="19" t="n">
        <v>1</v>
      </c>
      <c r="I583" t="inlineStr">
        <is>
          <t>Seed</t>
        </is>
      </c>
      <c r="J583" t="inlineStr">
        <is>
          <t>SenseAI Ventures</t>
        </is>
      </c>
      <c r="K583" t="inlineStr">
        <is>
          <t>https://inc42.com/buzz/from-smallcase-to-lendingkart-indian-startups-raised-144-mn-this-week/</t>
        </is>
      </c>
    </row>
    <row r="584">
      <c r="A584" t="inlineStr">
        <is>
          <t>ENT-8888022</t>
        </is>
      </c>
      <c r="B584" t="inlineStr">
        <is>
          <t>R250325-pizzawings</t>
        </is>
      </c>
      <c r="C584" t="inlineStr">
        <is>
          <t>Entrackr</t>
        </is>
      </c>
      <c r="D584" s="17" t="n">
        <v>45741</v>
      </c>
      <c r="E584" t="inlineStr">
        <is>
          <t>Pizza Wings</t>
        </is>
      </c>
      <c r="F584" t="inlineStr">
        <is>
          <t>$2.8 million</t>
        </is>
      </c>
      <c r="G584" s="19" t="n"/>
      <c r="H584" s="19" t="n">
        <v>2.8</v>
      </c>
      <c r="I584" t="inlineStr">
        <is>
          <t>Seed</t>
        </is>
      </c>
      <c r="J584" t="inlineStr"/>
      <c r="K584" t="inlineStr">
        <is>
          <t>https://entrackr.com/snippets/qsr-brand-pizza-wings-raises-28-mn-to-expand-across-india-8888022</t>
        </is>
      </c>
    </row>
    <row r="585">
      <c r="A585" t="inlineStr">
        <is>
          <t>ENT-8891747</t>
        </is>
      </c>
      <c r="B585" t="inlineStr">
        <is>
          <t>R250326-antithesis</t>
        </is>
      </c>
      <c r="C585" t="inlineStr">
        <is>
          <t>Entrackr</t>
        </is>
      </c>
      <c r="D585" s="17" t="n">
        <v>45742</v>
      </c>
      <c r="E585" t="inlineStr">
        <is>
          <t>Antithesis</t>
        </is>
      </c>
      <c r="F585" t="inlineStr">
        <is>
          <t>Rs 5 crore</t>
        </is>
      </c>
      <c r="G585" s="19" t="n">
        <v>5</v>
      </c>
      <c r="H585" s="19" t="n">
        <v>0.582</v>
      </c>
      <c r="I585" t="inlineStr">
        <is>
          <t>Pre-Seed</t>
        </is>
      </c>
      <c r="J585" t="inlineStr">
        <is>
          <t>Rukam Capital; V3 Ventures</t>
        </is>
      </c>
      <c r="K585" t="inlineStr">
        <is>
          <t>https://entrackr.com/snippets/antithesis-raises-rs-5-cr-in-pre-seed-round-co-led-by-rukam-and-v3-ventures-8891747</t>
        </is>
      </c>
    </row>
    <row r="586">
      <c r="A586" t="inlineStr">
        <is>
          <t>INC-20250329-14</t>
        </is>
      </c>
      <c r="B586" t="inlineStr">
        <is>
          <t>R250326-antithesis</t>
        </is>
      </c>
      <c r="C586" t="inlineStr">
        <is>
          <t>Inc42</t>
        </is>
      </c>
      <c r="D586" s="17" t="n">
        <v>45742</v>
      </c>
      <c r="E586" t="inlineStr">
        <is>
          <t>Antithesis</t>
        </is>
      </c>
      <c r="F586" t="inlineStr">
        <is>
          <t>$585K</t>
        </is>
      </c>
      <c r="G586" s="19" t="n"/>
      <c r="H586" s="19" t="n">
        <v>0.585</v>
      </c>
      <c r="I586" t="inlineStr">
        <is>
          <t>Seed</t>
        </is>
      </c>
      <c r="J586" t="inlineStr">
        <is>
          <t>Rukam Capital; V3 Ventures India</t>
        </is>
      </c>
      <c r="K586" t="inlineStr">
        <is>
          <t>https://inc42.com/buzz/from-smallcase-to-lendingkart-indian-startups-raised-144-mn-this-week/</t>
        </is>
      </c>
    </row>
    <row r="587">
      <c r="A587" t="inlineStr">
        <is>
          <t>INC-20250329-09</t>
        </is>
      </c>
      <c r="B587" t="inlineStr">
        <is>
          <t>R250326-droom</t>
        </is>
      </c>
      <c r="C587" t="inlineStr">
        <is>
          <t>Inc42</t>
        </is>
      </c>
      <c r="D587" s="17" t="n">
        <v>45742</v>
      </c>
      <c r="E587" t="inlineStr">
        <is>
          <t>Droom</t>
        </is>
      </c>
      <c r="F587" t="inlineStr">
        <is>
          <t>$3 Mn</t>
        </is>
      </c>
      <c r="G587" s="19" t="n"/>
      <c r="H587" s="19" t="n">
        <v>3</v>
      </c>
      <c r="I587" t="inlineStr">
        <is>
          <t>Undisclosed</t>
        </is>
      </c>
      <c r="J587" t="inlineStr">
        <is>
          <t>India Accelerator; Finvolve</t>
        </is>
      </c>
      <c r="K587" t="inlineStr">
        <is>
          <t>https://inc42.com/buzz/from-smallcase-to-lendingkart-indian-startups-raised-144-mn-this-week/</t>
        </is>
      </c>
    </row>
    <row r="588">
      <c r="A588" t="inlineStr">
        <is>
          <t>ENT-8891346</t>
        </is>
      </c>
      <c r="B588" t="inlineStr">
        <is>
          <t>R250326-greenfortune</t>
        </is>
      </c>
      <c r="C588" t="inlineStr">
        <is>
          <t>Entrackr</t>
        </is>
      </c>
      <c r="D588" s="17" t="n">
        <v>45742</v>
      </c>
      <c r="E588" t="inlineStr">
        <is>
          <t>GreenFortune</t>
        </is>
      </c>
      <c r="F588" t="inlineStr">
        <is>
          <t>$ 4.5 million</t>
        </is>
      </c>
      <c r="G588" s="19" t="n"/>
      <c r="H588" s="19" t="n">
        <v>4.5</v>
      </c>
      <c r="I588" t="inlineStr">
        <is>
          <t>Pre-Series A</t>
        </is>
      </c>
      <c r="J588" t="inlineStr">
        <is>
          <t>Foundamental</t>
        </is>
      </c>
      <c r="K588" t="inlineStr">
        <is>
          <t>https://entrackr.com/snippets/greenfortune-secures-45-mn-in-pre-series-a-round-8891346</t>
        </is>
      </c>
    </row>
    <row r="589">
      <c r="A589" t="inlineStr">
        <is>
          <t>ET-119494638</t>
        </is>
      </c>
      <c r="B589" t="inlineStr">
        <is>
          <t>R250326-greenfortune</t>
        </is>
      </c>
      <c r="C589" t="inlineStr">
        <is>
          <t>The Economic Times</t>
        </is>
      </c>
      <c r="D589" s="17" t="n">
        <v>45742</v>
      </c>
      <c r="E589" t="inlineStr">
        <is>
          <t>GreenFortune</t>
        </is>
      </c>
      <c r="F589" t="inlineStr">
        <is>
          <t>$4.5 million</t>
        </is>
      </c>
      <c r="G589" s="19" t="n">
        <v>39</v>
      </c>
      <c r="H589" s="19" t="n">
        <v>4.5</v>
      </c>
      <c r="I589" t="inlineStr">
        <is>
          <t>Undisclosed</t>
        </is>
      </c>
      <c r="J589" t="inlineStr">
        <is>
          <t>Foundamental</t>
        </is>
      </c>
      <c r="K589" t="inlineStr">
        <is>
          <t>https://economictimes.indiatimes.com/tech/funding/window-and-door-maker-greenfortune-raises-4-5-million-in-round-led-by-germany-based-fund-foundamental/articleshow/119494638.cms</t>
        </is>
      </c>
    </row>
    <row r="590">
      <c r="A590" t="inlineStr">
        <is>
          <t>ENT-8893216</t>
        </is>
      </c>
      <c r="B590" t="inlineStr">
        <is>
          <t>R250326-milabeaute</t>
        </is>
      </c>
      <c r="C590" t="inlineStr">
        <is>
          <t>Entrackr</t>
        </is>
      </c>
      <c r="D590" s="17" t="n">
        <v>45742</v>
      </c>
      <c r="E590" t="inlineStr">
        <is>
          <t>Mila Beauté</t>
        </is>
      </c>
      <c r="F590" t="inlineStr">
        <is>
          <t>$2.16 million</t>
        </is>
      </c>
      <c r="G590" s="19" t="n">
        <v>18</v>
      </c>
      <c r="H590" s="19" t="n">
        <v>2.16</v>
      </c>
      <c r="I590" t="inlineStr">
        <is>
          <t>Pre-Series A</t>
        </is>
      </c>
      <c r="J590" t="inlineStr">
        <is>
          <t>Rukam Capital</t>
        </is>
      </c>
      <c r="K590" t="inlineStr">
        <is>
          <t>https://entrackr.com/snippets/mila-beauté-raises-216-mn-in-pre-series-a-round-led-by-rukam-capital-8893216</t>
        </is>
      </c>
    </row>
    <row r="591">
      <c r="A591" t="inlineStr">
        <is>
          <t>ENT-8892749</t>
        </is>
      </c>
      <c r="B591" t="inlineStr">
        <is>
          <t>R250326-nabhdrishtiaer</t>
        </is>
      </c>
      <c r="C591" t="inlineStr">
        <is>
          <t>Entrackr</t>
        </is>
      </c>
      <c r="D591" s="17" t="n">
        <v>45742</v>
      </c>
      <c r="E591" t="inlineStr">
        <is>
          <t>Nabhdrishti Aerospace</t>
        </is>
      </c>
      <c r="F591" t="inlineStr">
        <is>
          <t>$3 million</t>
        </is>
      </c>
      <c r="G591" s="19" t="n">
        <v>25</v>
      </c>
      <c r="H591" s="19" t="n">
        <v>3</v>
      </c>
      <c r="I591" t="inlineStr">
        <is>
          <t>Undisclosed</t>
        </is>
      </c>
      <c r="J591" t="inlineStr">
        <is>
          <t>Accel</t>
        </is>
      </c>
      <c r="K591" t="inlineStr">
        <is>
          <t>https://entrackr.com/snippets/nabhdrishti-aerospace-raises-3-mn-led-by-accel-8892749</t>
        </is>
      </c>
    </row>
    <row r="592">
      <c r="A592" t="inlineStr">
        <is>
          <t>INC-20250329-08</t>
        </is>
      </c>
      <c r="B592" t="inlineStr">
        <is>
          <t>R250326-nabhdrishtiaer</t>
        </is>
      </c>
      <c r="C592" t="inlineStr">
        <is>
          <t>Inc42</t>
        </is>
      </c>
      <c r="D592" s="17" t="n">
        <v>45742</v>
      </c>
      <c r="E592" t="inlineStr">
        <is>
          <t>Nabhdrishti Aerospace</t>
        </is>
      </c>
      <c r="F592" t="inlineStr">
        <is>
          <t>$3 Mn</t>
        </is>
      </c>
      <c r="G592" s="19" t="n"/>
      <c r="H592" s="19" t="n">
        <v>3</v>
      </c>
      <c r="I592" t="inlineStr">
        <is>
          <t>Undisclosed</t>
        </is>
      </c>
      <c r="J592" t="inlineStr">
        <is>
          <t>Accel</t>
        </is>
      </c>
      <c r="K592" t="inlineStr">
        <is>
          <t>https://inc42.com/buzz/from-smallcase-to-lendingkart-indian-startups-raised-144-mn-this-week/</t>
        </is>
      </c>
    </row>
    <row r="593">
      <c r="A593" t="inlineStr">
        <is>
          <t>ENT-8892047</t>
        </is>
      </c>
      <c r="B593" t="inlineStr">
        <is>
          <t>R250326-vahdamindia</t>
        </is>
      </c>
      <c r="C593" t="inlineStr">
        <is>
          <t>Entrackr</t>
        </is>
      </c>
      <c r="D593" s="17" t="n">
        <v>45742</v>
      </c>
      <c r="E593" t="inlineStr">
        <is>
          <t>VAHDAM India</t>
        </is>
      </c>
      <c r="F593" t="inlineStr">
        <is>
          <t>$3 million</t>
        </is>
      </c>
      <c r="G593" s="19" t="n">
        <v>25</v>
      </c>
      <c r="H593" s="19" t="n">
        <v>3</v>
      </c>
      <c r="I593" t="inlineStr">
        <is>
          <t>Undisclosed</t>
        </is>
      </c>
      <c r="J593" t="inlineStr"/>
      <c r="K593" t="inlineStr">
        <is>
          <t>https://entrackr.com/snippets/vahdam-india-raises-3-mn-led-by-sidbi-venture-8892047</t>
        </is>
      </c>
    </row>
    <row r="594">
      <c r="A594" t="inlineStr">
        <is>
          <t>INC-20250329-10</t>
        </is>
      </c>
      <c r="B594" t="inlineStr">
        <is>
          <t>R250326-vahdamindia</t>
        </is>
      </c>
      <c r="C594" t="inlineStr">
        <is>
          <t>Inc42</t>
        </is>
      </c>
      <c r="D594" s="17" t="n">
        <v>45742</v>
      </c>
      <c r="E594" t="inlineStr">
        <is>
          <t>Vahdam</t>
        </is>
      </c>
      <c r="F594" t="inlineStr">
        <is>
          <t>$3 Mn</t>
        </is>
      </c>
      <c r="G594" s="19" t="n"/>
      <c r="H594" s="19" t="n">
        <v>3</v>
      </c>
      <c r="I594" t="inlineStr">
        <is>
          <t>Undisclosed</t>
        </is>
      </c>
      <c r="J594" t="inlineStr">
        <is>
          <t>SIDBI Venture Capital</t>
        </is>
      </c>
      <c r="K594" t="inlineStr">
        <is>
          <t>https://inc42.com/buzz/from-smallcase-to-lendingkart-indian-startups-raised-144-mn-this-week/</t>
        </is>
      </c>
    </row>
    <row r="595">
      <c r="A595" t="inlineStr">
        <is>
          <t>INC-20250329-15</t>
        </is>
      </c>
      <c r="B595" t="inlineStr">
        <is>
          <t>R250326-zealopiatechno</t>
        </is>
      </c>
      <c r="C595" t="inlineStr">
        <is>
          <t>Inc42</t>
        </is>
      </c>
      <c r="D595" s="17" t="n">
        <v>45742</v>
      </c>
      <c r="E595" t="inlineStr">
        <is>
          <t>Zealopia Technologies</t>
        </is>
      </c>
      <c r="F595" t="inlineStr"/>
      <c r="G595" s="19" t="n"/>
      <c r="H595" s="19" t="n"/>
      <c r="I595" t="inlineStr">
        <is>
          <t>Undisclosed</t>
        </is>
      </c>
      <c r="J595" t="inlineStr"/>
      <c r="K595" t="inlineStr">
        <is>
          <t>https://inc42.com/buzz/from-smallcase-to-lendingkart-indian-startups-raised-144-mn-this-week/</t>
        </is>
      </c>
    </row>
    <row r="596">
      <c r="A596" t="inlineStr">
        <is>
          <t>ENT-8896744</t>
        </is>
      </c>
      <c r="B596" t="inlineStr">
        <is>
          <t>R250327-abound</t>
        </is>
      </c>
      <c r="C596" t="inlineStr">
        <is>
          <t>Entrackr</t>
        </is>
      </c>
      <c r="D596" s="17" t="n">
        <v>45743</v>
      </c>
      <c r="E596" t="inlineStr">
        <is>
          <t>Abound</t>
        </is>
      </c>
      <c r="F596" t="inlineStr">
        <is>
          <t>$14 million</t>
        </is>
      </c>
      <c r="G596" s="19" t="n"/>
      <c r="H596" s="19" t="n">
        <v>14</v>
      </c>
      <c r="I596" t="inlineStr">
        <is>
          <t>Seed</t>
        </is>
      </c>
      <c r="J596" t="inlineStr">
        <is>
          <t>NEAR Foundation</t>
        </is>
      </c>
      <c r="K596" t="inlineStr">
        <is>
          <t>https://entrackr.com/news/abound-raises-14-mn-to-boost-cross-border-finance-for-indian-americans-8896744</t>
        </is>
      </c>
    </row>
    <row r="597">
      <c r="A597" t="inlineStr">
        <is>
          <t>INC-20250329-03</t>
        </is>
      </c>
      <c r="B597" t="inlineStr">
        <is>
          <t>R250327-abound</t>
        </is>
      </c>
      <c r="C597" t="inlineStr">
        <is>
          <t>Inc42</t>
        </is>
      </c>
      <c r="D597" s="17" t="n">
        <v>45743</v>
      </c>
      <c r="E597" t="inlineStr">
        <is>
          <t>Abound</t>
        </is>
      </c>
      <c r="F597" t="inlineStr">
        <is>
          <t>$14 Mn</t>
        </is>
      </c>
      <c r="G597" s="19" t="n"/>
      <c r="H597" s="19" t="n">
        <v>14</v>
      </c>
      <c r="I597" t="inlineStr">
        <is>
          <t>Seed</t>
        </is>
      </c>
      <c r="J597" t="inlineStr">
        <is>
          <t>NEAR Foundation</t>
        </is>
      </c>
      <c r="K597" t="inlineStr">
        <is>
          <t>https://inc42.com/buzz/from-smallcase-to-lendingkart-indian-startups-raised-144-mn-this-week/</t>
        </is>
      </c>
    </row>
    <row r="598">
      <c r="A598" t="inlineStr">
        <is>
          <t>ET-119916131</t>
        </is>
      </c>
      <c r="B598" t="inlineStr">
        <is>
          <t>R250327-abound</t>
        </is>
      </c>
      <c r="C598" t="inlineStr">
        <is>
          <t>The Economic Times</t>
        </is>
      </c>
      <c r="D598" s="17" t="n">
        <v>45750</v>
      </c>
      <c r="E598" t="inlineStr">
        <is>
          <t>Abound</t>
        </is>
      </c>
      <c r="F598" t="inlineStr">
        <is>
          <t>$14 million</t>
        </is>
      </c>
      <c r="G598" s="19" t="n"/>
      <c r="H598" s="19" t="n">
        <v>14</v>
      </c>
      <c r="I598" t="inlineStr">
        <is>
          <t>Undisclosed</t>
        </is>
      </c>
      <c r="J598" t="inlineStr">
        <is>
          <t>Near Foundation</t>
        </is>
      </c>
      <c r="K598" t="inlineStr">
        <is>
          <t>https://economictimes.indiatimes.com/tech/funding/financial-superapp-abound-raises-14-million-from-near-foundation-and-others/articleshow/119916131.cms</t>
        </is>
      </c>
    </row>
    <row r="599">
      <c r="A599" t="inlineStr">
        <is>
          <t>ENT-8896432</t>
        </is>
      </c>
      <c r="B599" t="inlineStr">
        <is>
          <t>R250327-expertiaai</t>
        </is>
      </c>
      <c r="C599" t="inlineStr">
        <is>
          <t>Entrackr</t>
        </is>
      </c>
      <c r="D599" s="17" t="n">
        <v>45743</v>
      </c>
      <c r="E599" t="inlineStr">
        <is>
          <t>Expertia AI</t>
        </is>
      </c>
      <c r="F599" t="inlineStr">
        <is>
          <t>Rs 20 crore</t>
        </is>
      </c>
      <c r="G599" s="19" t="n">
        <v>20</v>
      </c>
      <c r="H599" s="19" t="n"/>
      <c r="I599" t="inlineStr">
        <is>
          <t>Pre-Series A</t>
        </is>
      </c>
      <c r="J599" t="inlineStr">
        <is>
          <t>Rockstud Capital</t>
        </is>
      </c>
      <c r="K599" t="inlineStr">
        <is>
          <t>https://entrackr.com/snippets/expertia-ai-secures-pre-series-a-funding-led-by-rockstud-capital-8896432</t>
        </is>
      </c>
    </row>
    <row r="600">
      <c r="A600" t="inlineStr">
        <is>
          <t>INC-20250329-16</t>
        </is>
      </c>
      <c r="B600" t="inlineStr">
        <is>
          <t>R250327-konectu</t>
        </is>
      </c>
      <c r="C600" t="inlineStr">
        <is>
          <t>Inc42</t>
        </is>
      </c>
      <c r="D600" s="17" t="n">
        <v>45743</v>
      </c>
      <c r="E600" t="inlineStr">
        <is>
          <t>Konect U</t>
        </is>
      </c>
      <c r="F600" t="inlineStr"/>
      <c r="G600" s="19" t="n"/>
      <c r="H600" s="19" t="n"/>
      <c r="I600" t="inlineStr">
        <is>
          <t>Undisclosed</t>
        </is>
      </c>
      <c r="J600" t="inlineStr"/>
      <c r="K600" t="inlineStr">
        <is>
          <t>https://inc42.com/buzz/from-smallcase-to-lendingkart-indian-startups-raised-144-mn-this-week/</t>
        </is>
      </c>
    </row>
    <row r="601">
      <c r="A601" t="inlineStr">
        <is>
          <t>ENT-8896011</t>
        </is>
      </c>
      <c r="B601" t="inlineStr">
        <is>
          <t>R250327-m1xchange</t>
        </is>
      </c>
      <c r="C601" t="inlineStr">
        <is>
          <t>Entrackr</t>
        </is>
      </c>
      <c r="D601" s="17" t="n">
        <v>45743</v>
      </c>
      <c r="E601" t="inlineStr">
        <is>
          <t>M1xchange</t>
        </is>
      </c>
      <c r="F601" t="inlineStr">
        <is>
          <t>$18 Mn</t>
        </is>
      </c>
      <c r="G601" s="19" t="n"/>
      <c r="H601" s="19" t="n">
        <v>18</v>
      </c>
      <c r="I601" t="inlineStr">
        <is>
          <t>Undisclosed</t>
        </is>
      </c>
      <c r="J601" t="inlineStr"/>
      <c r="K601" t="inlineStr">
        <is>
          <t>https://entrackr.com/news/jindal-stainless-invests-18-mn-in-amazon-backed-m1xchange-8896011</t>
        </is>
      </c>
    </row>
    <row r="602">
      <c r="A602" t="inlineStr">
        <is>
          <t>ENT-8896264</t>
        </is>
      </c>
      <c r="B602" t="inlineStr">
        <is>
          <t>R250327-onestack</t>
        </is>
      </c>
      <c r="C602" t="inlineStr">
        <is>
          <t>Entrackr</t>
        </is>
      </c>
      <c r="D602" s="17" t="n">
        <v>45743</v>
      </c>
      <c r="E602" t="inlineStr">
        <is>
          <t>OneStack</t>
        </is>
      </c>
      <c r="F602" t="inlineStr">
        <is>
          <t>$2 million</t>
        </is>
      </c>
      <c r="G602" s="19" t="n"/>
      <c r="H602" s="19" t="n">
        <v>2</v>
      </c>
      <c r="I602" t="inlineStr">
        <is>
          <t>Series A</t>
        </is>
      </c>
      <c r="J602" t="inlineStr">
        <is>
          <t>Pentathlon Ventures</t>
        </is>
      </c>
      <c r="K602" t="inlineStr">
        <is>
          <t>https://entrackr.com/snippets/fintech-onestack-raises-2-mn-in-series-a-round-8896264</t>
        </is>
      </c>
    </row>
    <row r="603">
      <c r="A603" t="inlineStr">
        <is>
          <t>INC-20250329-12</t>
        </is>
      </c>
      <c r="B603" t="inlineStr">
        <is>
          <t>R250327-onestack</t>
        </is>
      </c>
      <c r="C603" t="inlineStr">
        <is>
          <t>Inc42</t>
        </is>
      </c>
      <c r="D603" s="17" t="n">
        <v>45743</v>
      </c>
      <c r="E603" t="inlineStr">
        <is>
          <t>OneStack</t>
        </is>
      </c>
      <c r="F603" t="inlineStr">
        <is>
          <t>$2 Mn</t>
        </is>
      </c>
      <c r="G603" s="19" t="n"/>
      <c r="H603" s="19" t="n">
        <v>2</v>
      </c>
      <c r="I603" t="inlineStr">
        <is>
          <t>Series A</t>
        </is>
      </c>
      <c r="J603" t="inlineStr">
        <is>
          <t>Pentathlon Ventures</t>
        </is>
      </c>
      <c r="K603" t="inlineStr">
        <is>
          <t>https://inc42.com/buzz/from-smallcase-to-lendingkart-indian-startups-raised-144-mn-this-week/</t>
        </is>
      </c>
    </row>
    <row r="604">
      <c r="A604" t="inlineStr">
        <is>
          <t>ENT-8895369</t>
        </is>
      </c>
      <c r="B604" t="inlineStr">
        <is>
          <t>R250327-osso</t>
        </is>
      </c>
      <c r="C604" t="inlineStr">
        <is>
          <t>Entrackr</t>
        </is>
      </c>
      <c r="D604" s="17" t="n">
        <v>45743</v>
      </c>
      <c r="E604" t="inlineStr">
        <is>
          <t>OSSO</t>
        </is>
      </c>
      <c r="F604" t="inlineStr">
        <is>
          <t>$250,000</t>
        </is>
      </c>
      <c r="G604" s="19" t="n"/>
      <c r="H604" s="19" t="n">
        <v>0.25</v>
      </c>
      <c r="I604" t="inlineStr">
        <is>
          <t>Pre-Seed</t>
        </is>
      </c>
      <c r="J604" t="inlineStr">
        <is>
          <t>Blume Ventures Founders Fund</t>
        </is>
      </c>
      <c r="K604" t="inlineStr">
        <is>
          <t>https://entrackr.com/snippets/osso-raises-250k-in-pre-seed-round-8895369</t>
        </is>
      </c>
    </row>
    <row r="605">
      <c r="A605" t="inlineStr">
        <is>
          <t>INC-20250329-04</t>
        </is>
      </c>
      <c r="B605" t="inlineStr">
        <is>
          <t>R250327-outplay</t>
        </is>
      </c>
      <c r="C605" t="inlineStr">
        <is>
          <t>Inc42</t>
        </is>
      </c>
      <c r="D605" s="17" t="n">
        <v>45743</v>
      </c>
      <c r="E605" t="inlineStr">
        <is>
          <t>Outplay</t>
        </is>
      </c>
      <c r="F605" t="inlineStr">
        <is>
          <t>$14 Mn</t>
        </is>
      </c>
      <c r="G605" s="19" t="n"/>
      <c r="H605" s="19" t="n">
        <v>14</v>
      </c>
      <c r="I605" t="inlineStr">
        <is>
          <t>Undisclosed</t>
        </is>
      </c>
      <c r="J605" t="inlineStr">
        <is>
          <t>JungleWorks</t>
        </is>
      </c>
      <c r="K605" t="inlineStr">
        <is>
          <t>https://inc42.com/buzz/from-smallcase-to-lendingkart-indian-startups-raised-144-mn-this-week/</t>
        </is>
      </c>
    </row>
    <row r="606">
      <c r="A606" t="inlineStr">
        <is>
          <t>INC-20250329-11</t>
        </is>
      </c>
      <c r="B606" t="inlineStr">
        <is>
          <t>R250328-axitrustsurety</t>
        </is>
      </c>
      <c r="C606" t="inlineStr">
        <is>
          <t>Inc42</t>
        </is>
      </c>
      <c r="D606" s="17" t="n">
        <v>45744</v>
      </c>
      <c r="E606" t="inlineStr">
        <is>
          <t>axiTrust Surety</t>
        </is>
      </c>
      <c r="F606" t="inlineStr">
        <is>
          <t>$2.6 Mn</t>
        </is>
      </c>
      <c r="G606" s="19" t="n"/>
      <c r="H606" s="19" t="n">
        <v>2.6</v>
      </c>
      <c r="I606" t="inlineStr">
        <is>
          <t>Undisclosed</t>
        </is>
      </c>
      <c r="J606" t="inlineStr">
        <is>
          <t>General Catalyst</t>
        </is>
      </c>
      <c r="K606" t="inlineStr">
        <is>
          <t>https://inc42.com/buzz/from-smallcase-to-lendingkart-indian-startups-raised-144-mn-this-week/</t>
        </is>
      </c>
    </row>
    <row r="607">
      <c r="A607" t="inlineStr">
        <is>
          <t>INC-20250329-02</t>
        </is>
      </c>
      <c r="B607" t="inlineStr">
        <is>
          <t>R250328-lendingkart</t>
        </is>
      </c>
      <c r="C607" t="inlineStr">
        <is>
          <t>Inc42</t>
        </is>
      </c>
      <c r="D607" s="17" t="n">
        <v>45744</v>
      </c>
      <c r="E607" t="inlineStr">
        <is>
          <t>Lendingkart</t>
        </is>
      </c>
      <c r="F607" t="inlineStr">
        <is>
          <t>$29.5 Mn</t>
        </is>
      </c>
      <c r="G607" s="19" t="n"/>
      <c r="H607" s="19" t="n">
        <v>29.5</v>
      </c>
      <c r="I607" t="inlineStr">
        <is>
          <t>Series E</t>
        </is>
      </c>
      <c r="J607" t="inlineStr">
        <is>
          <t>Fullerton Financial Holdings</t>
        </is>
      </c>
      <c r="K607" t="inlineStr">
        <is>
          <t>https://inc42.com/buzz/from-smallcase-to-lendingkart-indian-startups-raised-144-mn-this-week/</t>
        </is>
      </c>
    </row>
    <row r="608">
      <c r="A608" t="inlineStr">
        <is>
          <t>ENT-8898948</t>
        </is>
      </c>
      <c r="B608" t="inlineStr">
        <is>
          <t>R250328-smallcase</t>
        </is>
      </c>
      <c r="C608" t="inlineStr">
        <is>
          <t>Entrackr</t>
        </is>
      </c>
      <c r="D608" s="17" t="n">
        <v>45744</v>
      </c>
      <c r="E608" t="inlineStr">
        <is>
          <t>Smallcase</t>
        </is>
      </c>
      <c r="F608" t="inlineStr">
        <is>
          <t>$50 million</t>
        </is>
      </c>
      <c r="G608" s="19" t="n"/>
      <c r="H608" s="19" t="n">
        <v>50</v>
      </c>
      <c r="I608" t="inlineStr">
        <is>
          <t>Series D</t>
        </is>
      </c>
      <c r="J608" t="inlineStr">
        <is>
          <t>Elev8 Venture Partners</t>
        </is>
      </c>
      <c r="K608" t="inlineStr">
        <is>
          <t>https://entrackr.com/news/smallcase-raises-50-mn-in-series-d-led-by-elev8-8898948</t>
        </is>
      </c>
    </row>
    <row r="609">
      <c r="A609" t="inlineStr">
        <is>
          <t>ET-119629434</t>
        </is>
      </c>
      <c r="B609" t="inlineStr">
        <is>
          <t>R250328-smallcase</t>
        </is>
      </c>
      <c r="C609" t="inlineStr">
        <is>
          <t>The Economic Times</t>
        </is>
      </c>
      <c r="D609" s="17" t="n">
        <v>45744</v>
      </c>
      <c r="E609" t="inlineStr">
        <is>
          <t>Smallcase</t>
        </is>
      </c>
      <c r="F609" t="inlineStr">
        <is>
          <t>$50 million</t>
        </is>
      </c>
      <c r="G609" s="19" t="n"/>
      <c r="H609" s="19" t="n">
        <v>50</v>
      </c>
      <c r="I609" t="inlineStr">
        <is>
          <t>Series D</t>
        </is>
      </c>
      <c r="J609" t="inlineStr">
        <is>
          <t>Elev8 Venture Partners</t>
        </is>
      </c>
      <c r="K609" t="inlineStr">
        <is>
          <t>https://economictimes.indiatimes.com/tech/funding/elev8-leads-50-million-funding-round-in-smallcase-as-wealthtech-sector-heats-up/articleshow/119629434.cms</t>
        </is>
      </c>
    </row>
    <row r="610">
      <c r="A610" t="inlineStr">
        <is>
          <t>INC-20250329-01</t>
        </is>
      </c>
      <c r="B610" t="inlineStr">
        <is>
          <t>R250328-smallcase</t>
        </is>
      </c>
      <c r="C610" t="inlineStr">
        <is>
          <t>Inc42</t>
        </is>
      </c>
      <c r="D610" s="17" t="n">
        <v>45744</v>
      </c>
      <c r="E610" t="inlineStr">
        <is>
          <t>smallcase</t>
        </is>
      </c>
      <c r="F610" t="inlineStr">
        <is>
          <t>$50 Mn</t>
        </is>
      </c>
      <c r="G610" s="19" t="n"/>
      <c r="H610" s="19" t="n">
        <v>50</v>
      </c>
      <c r="I610" t="inlineStr">
        <is>
          <t>Series D</t>
        </is>
      </c>
      <c r="J610" t="inlineStr">
        <is>
          <t>Elev8 Venture Partners</t>
        </is>
      </c>
      <c r="K610" t="inlineStr">
        <is>
          <t>https://inc42.com/buzz/from-smallcase-to-lendingkart-indian-startups-raised-144-mn-this-week/</t>
        </is>
      </c>
    </row>
    <row r="611">
      <c r="A611" t="inlineStr">
        <is>
          <t>ENT-8910456</t>
        </is>
      </c>
      <c r="B611" t="inlineStr">
        <is>
          <t>R250331-spinny</t>
        </is>
      </c>
      <c r="C611" t="inlineStr">
        <is>
          <t>Entrackr</t>
        </is>
      </c>
      <c r="D611" s="17" t="n">
        <v>45747</v>
      </c>
      <c r="E611" t="inlineStr">
        <is>
          <t>Spinny</t>
        </is>
      </c>
      <c r="F611" t="inlineStr">
        <is>
          <t>$131 million</t>
        </is>
      </c>
      <c r="G611" s="19" t="n"/>
      <c r="H611" s="19" t="n">
        <v>131</v>
      </c>
      <c r="I611" t="inlineStr">
        <is>
          <t>Undisclosed</t>
        </is>
      </c>
      <c r="J611" t="inlineStr">
        <is>
          <t>Accel Leaders Fund</t>
        </is>
      </c>
      <c r="K611" t="inlineStr">
        <is>
          <t>https://entrackr.com/news/spinny-raises-131-mn-led-by-accel-leaders-fund-8910456</t>
        </is>
      </c>
    </row>
    <row r="612">
      <c r="A612" t="inlineStr">
        <is>
          <t>ET-119804553</t>
        </is>
      </c>
      <c r="B612" t="inlineStr">
        <is>
          <t>R250331-spinny</t>
        </is>
      </c>
      <c r="C612" t="inlineStr">
        <is>
          <t>The Economic Times</t>
        </is>
      </c>
      <c r="D612" s="17" t="n">
        <v>45747</v>
      </c>
      <c r="E612" t="inlineStr">
        <is>
          <t>Spinny</t>
        </is>
      </c>
      <c r="F612" t="inlineStr">
        <is>
          <t>$131 million</t>
        </is>
      </c>
      <c r="G612" s="19" t="n">
        <v>1120</v>
      </c>
      <c r="H612" s="19" t="n">
        <v>131</v>
      </c>
      <c r="I612" t="inlineStr">
        <is>
          <t>Undisclosed</t>
        </is>
      </c>
      <c r="J612" t="inlineStr">
        <is>
          <t>Accel Leaders Fund</t>
        </is>
      </c>
      <c r="K612" t="inlineStr">
        <is>
          <t>https://economictimes.indiatimes.com/tech/funding/spinny-raises-52-million-from-existing-investors-accel-fundamentum/articleshow/119804553.cms</t>
        </is>
      </c>
    </row>
    <row r="613">
      <c r="A613" t="inlineStr">
        <is>
          <t>ENT-8909549</t>
        </is>
      </c>
      <c r="B613" t="inlineStr">
        <is>
          <t>R250331-spotdraft</t>
        </is>
      </c>
      <c r="C613" t="inlineStr">
        <is>
          <t>Entrackr</t>
        </is>
      </c>
      <c r="D613" s="17" t="n">
        <v>45747</v>
      </c>
      <c r="E613" t="inlineStr">
        <is>
          <t>SpotDraft</t>
        </is>
      </c>
      <c r="F613" t="inlineStr">
        <is>
          <t>$54 million</t>
        </is>
      </c>
      <c r="G613" s="19" t="n"/>
      <c r="H613" s="19" t="n">
        <v>54</v>
      </c>
      <c r="I613" t="inlineStr">
        <is>
          <t>Series B</t>
        </is>
      </c>
      <c r="J613" t="inlineStr">
        <is>
          <t>Vertex Growth Singapore; Trident Partners</t>
        </is>
      </c>
      <c r="K613" t="inlineStr">
        <is>
          <t>https://entrackr.com/fintrackr/decoding-spotdrafts-series-b-funding-round-latest-valuation-and-captable-8909549</t>
        </is>
      </c>
    </row>
    <row r="614">
      <c r="A614" t="inlineStr">
        <is>
          <t>ENT-8911803</t>
        </is>
      </c>
      <c r="B614" t="inlineStr">
        <is>
          <t>R250401-chefrobotics</t>
        </is>
      </c>
      <c r="C614" t="inlineStr">
        <is>
          <t>Entrackr</t>
        </is>
      </c>
      <c r="D614" s="17" t="n">
        <v>45748</v>
      </c>
      <c r="E614" t="inlineStr">
        <is>
          <t>Chef Robotics</t>
        </is>
      </c>
      <c r="F614" t="inlineStr">
        <is>
          <t>$43.1 million</t>
        </is>
      </c>
      <c r="G614" s="19" t="n"/>
      <c r="H614" s="19" t="n">
        <v>43.1</v>
      </c>
      <c r="I614" t="inlineStr">
        <is>
          <t>Series A</t>
        </is>
      </c>
      <c r="J614" t="inlineStr">
        <is>
          <t>Avataar Ventures</t>
        </is>
      </c>
      <c r="K614" t="inlineStr">
        <is>
          <t>https://entrackr.com/news/chef-robotics-raises-431-mn-led-by-avataar-ventures-8911803</t>
        </is>
      </c>
    </row>
    <row r="615">
      <c r="A615" t="inlineStr">
        <is>
          <t>ENT-8912861</t>
        </is>
      </c>
      <c r="B615" t="inlineStr">
        <is>
          <t>R250401-collegedekho</t>
        </is>
      </c>
      <c r="C615" t="inlineStr">
        <is>
          <t>Entrackr</t>
        </is>
      </c>
      <c r="D615" s="17" t="n">
        <v>45748</v>
      </c>
      <c r="E615" t="inlineStr">
        <is>
          <t>CollegeDekho</t>
        </is>
      </c>
      <c r="F615" t="inlineStr">
        <is>
          <t>Rs 30 crore</t>
        </is>
      </c>
      <c r="G615" s="19" t="n">
        <v>30</v>
      </c>
      <c r="H615" s="19" t="n">
        <v>3.5</v>
      </c>
      <c r="I615" t="inlineStr">
        <is>
          <t>Undisclosed</t>
        </is>
      </c>
      <c r="J615" t="inlineStr"/>
      <c r="K615" t="inlineStr">
        <is>
          <t>https://entrackr.com/snippets/collegedekho-raises-rs-30-cr-from-lighthouse-canton-8912861</t>
        </is>
      </c>
    </row>
    <row r="616">
      <c r="A616" t="inlineStr">
        <is>
          <t>INC-20250405-12</t>
        </is>
      </c>
      <c r="B616" t="inlineStr">
        <is>
          <t>R250401-decharge</t>
        </is>
      </c>
      <c r="C616" t="inlineStr">
        <is>
          <t>Inc42</t>
        </is>
      </c>
      <c r="D616" s="17" t="n">
        <v>45748</v>
      </c>
      <c r="E616" t="inlineStr">
        <is>
          <t>DeCharge</t>
        </is>
      </c>
      <c r="F616" t="inlineStr">
        <is>
          <t>$2.5 Mn</t>
        </is>
      </c>
      <c r="G616" s="19" t="n"/>
      <c r="H616" s="19" t="n">
        <v>2.5</v>
      </c>
      <c r="I616" t="inlineStr">
        <is>
          <t>Seed</t>
        </is>
      </c>
      <c r="J616" t="inlineStr">
        <is>
          <t>Lemniscap</t>
        </is>
      </c>
      <c r="K616" t="inlineStr">
        <is>
          <t>https://inc42.com/buzz/from-scapia-to-pratilipi-indian-startups-raised-144-mn-this-week/</t>
        </is>
      </c>
    </row>
    <row r="617">
      <c r="A617" t="inlineStr">
        <is>
          <t>ENT-8912889</t>
        </is>
      </c>
      <c r="B617" t="inlineStr">
        <is>
          <t>R250401-entvinai</t>
        </is>
      </c>
      <c r="C617" t="inlineStr">
        <is>
          <t>Entrackr</t>
        </is>
      </c>
      <c r="D617" s="17" t="n">
        <v>45748</v>
      </c>
      <c r="E617" t="inlineStr">
        <is>
          <t>Entvin AI</t>
        </is>
      </c>
      <c r="F617" t="inlineStr">
        <is>
          <t>$500K</t>
        </is>
      </c>
      <c r="G617" s="19" t="n"/>
      <c r="H617" s="19" t="n">
        <v>0.5</v>
      </c>
      <c r="I617" t="inlineStr">
        <is>
          <t>Undisclosed</t>
        </is>
      </c>
      <c r="J617" t="inlineStr"/>
      <c r="K617" t="inlineStr">
        <is>
          <t>https://entrackr.com/snippets/entvin-ai-raises-500k-from-y-combinator-8912889</t>
        </is>
      </c>
    </row>
    <row r="618">
      <c r="A618" t="inlineStr">
        <is>
          <t>INC-20250405-19</t>
        </is>
      </c>
      <c r="B618" t="inlineStr">
        <is>
          <t>R250401-entvinai</t>
        </is>
      </c>
      <c r="C618" t="inlineStr">
        <is>
          <t>Inc42</t>
        </is>
      </c>
      <c r="D618" s="17" t="n">
        <v>45749</v>
      </c>
      <c r="E618" t="inlineStr">
        <is>
          <t>Entvin AI</t>
        </is>
      </c>
      <c r="F618" t="inlineStr">
        <is>
          <t>$585K</t>
        </is>
      </c>
      <c r="G618" s="19" t="n"/>
      <c r="H618" s="19" t="n">
        <v>0.585</v>
      </c>
      <c r="I618" t="inlineStr">
        <is>
          <t>Undisclosed</t>
        </is>
      </c>
      <c r="J618" t="inlineStr">
        <is>
          <t>Y Combinator</t>
        </is>
      </c>
      <c r="K618" t="inlineStr">
        <is>
          <t>https://inc42.com/buzz/from-scapia-to-pratilipi-indian-startups-raised-144-mn-this-week/</t>
        </is>
      </c>
    </row>
    <row r="619">
      <c r="A619" t="inlineStr">
        <is>
          <t>ENT-8912650</t>
        </is>
      </c>
      <c r="B619" t="inlineStr">
        <is>
          <t>R250401-evenflow</t>
        </is>
      </c>
      <c r="C619" t="inlineStr">
        <is>
          <t>Entrackr</t>
        </is>
      </c>
      <c r="D619" s="17" t="n">
        <v>45748</v>
      </c>
      <c r="E619" t="inlineStr">
        <is>
          <t>Evenflow</t>
        </is>
      </c>
      <c r="F619" t="inlineStr">
        <is>
          <t>$5 million</t>
        </is>
      </c>
      <c r="G619" s="19" t="n"/>
      <c r="H619" s="19" t="n">
        <v>5</v>
      </c>
      <c r="I619" t="inlineStr">
        <is>
          <t>Series A</t>
        </is>
      </c>
      <c r="J619" t="inlineStr"/>
      <c r="K619" t="inlineStr">
        <is>
          <t>https://entrackr.com/snippets/evenflow-raises-fresh-funds-from-venture-catalysts-and-others-8912650</t>
        </is>
      </c>
    </row>
    <row r="620">
      <c r="A620" t="inlineStr">
        <is>
          <t>INC-20250405-10</t>
        </is>
      </c>
      <c r="B620" t="inlineStr">
        <is>
          <t>R250401-evenflow</t>
        </is>
      </c>
      <c r="C620" t="inlineStr">
        <is>
          <t>Inc42</t>
        </is>
      </c>
      <c r="D620" s="17" t="n">
        <v>45748</v>
      </c>
      <c r="E620" t="inlineStr">
        <is>
          <t>Evenflow</t>
        </is>
      </c>
      <c r="F620" t="inlineStr">
        <is>
          <t>$5 Mn</t>
        </is>
      </c>
      <c r="G620" s="19" t="n"/>
      <c r="H620" s="19" t="n">
        <v>5</v>
      </c>
      <c r="I620" t="inlineStr">
        <is>
          <t>Series A</t>
        </is>
      </c>
      <c r="J620" t="inlineStr">
        <is>
          <t>Venture Catalysts</t>
        </is>
      </c>
      <c r="K620" t="inlineStr">
        <is>
          <t>https://inc42.com/buzz/from-scapia-to-pratilipi-indian-startups-raised-144-mn-this-week/</t>
        </is>
      </c>
    </row>
    <row r="621">
      <c r="A621" t="inlineStr">
        <is>
          <t>INC-20250503-10</t>
        </is>
      </c>
      <c r="B621" t="inlineStr">
        <is>
          <t>R250401-ezstays</t>
        </is>
      </c>
      <c r="C621" t="inlineStr">
        <is>
          <t>Inc42</t>
        </is>
      </c>
      <c r="D621" s="17" t="n">
        <v>45748</v>
      </c>
      <c r="E621" t="inlineStr">
        <is>
          <t>EZStays</t>
        </is>
      </c>
      <c r="F621" t="inlineStr">
        <is>
          <t>$1 Mn</t>
        </is>
      </c>
      <c r="G621" s="19" t="n"/>
      <c r="H621" s="19" t="n">
        <v>1</v>
      </c>
      <c r="I621" t="inlineStr">
        <is>
          <t>Undisclosed</t>
        </is>
      </c>
      <c r="J621" t="inlineStr"/>
      <c r="K621" t="inlineStr">
        <is>
          <t>https://inc42.com/buzz/from-hexahealth-to-anveshan-indian-startups-raised-55-mn-this-week/</t>
        </is>
      </c>
    </row>
    <row r="622">
      <c r="A622" t="inlineStr">
        <is>
          <t>ENT-8912132</t>
        </is>
      </c>
      <c r="B622" t="inlineStr">
        <is>
          <t>R250401-lehlah</t>
        </is>
      </c>
      <c r="C622" t="inlineStr">
        <is>
          <t>Entrackr</t>
        </is>
      </c>
      <c r="D622" s="17" t="n">
        <v>45748</v>
      </c>
      <c r="E622" t="inlineStr">
        <is>
          <t>Lehlah</t>
        </is>
      </c>
      <c r="F622" t="inlineStr">
        <is>
          <t>Rs 12.5 crore</t>
        </is>
      </c>
      <c r="G622" s="19" t="n">
        <v>12.5</v>
      </c>
      <c r="H622" s="19" t="n">
        <v>1.46</v>
      </c>
      <c r="I622" t="inlineStr">
        <is>
          <t>Seed</t>
        </is>
      </c>
      <c r="J622" t="inlineStr">
        <is>
          <t>Gruhas; Abhijeet Pai of Puzzolana Group</t>
        </is>
      </c>
      <c r="K622" t="inlineStr">
        <is>
          <t>https://entrackr.com/snippets/content-commerce-platform-lehlah-raises-rs-125-cr-in-seed-round-8912132</t>
        </is>
      </c>
    </row>
    <row r="623">
      <c r="A623" t="inlineStr">
        <is>
          <t>ET-119817455</t>
        </is>
      </c>
      <c r="B623" t="inlineStr">
        <is>
          <t>R250401-lehlah</t>
        </is>
      </c>
      <c r="C623" t="inlineStr">
        <is>
          <t>The Economic Times</t>
        </is>
      </c>
      <c r="D623" s="17" t="n">
        <v>45748</v>
      </c>
      <c r="E623" t="inlineStr">
        <is>
          <t>Lehlah</t>
        </is>
      </c>
      <c r="F623" t="inlineStr">
        <is>
          <t>Rs 12.5 crore</t>
        </is>
      </c>
      <c r="G623" s="19" t="n">
        <v>12.5</v>
      </c>
      <c r="H623" s="19" t="n"/>
      <c r="I623" t="inlineStr">
        <is>
          <t>Seed</t>
        </is>
      </c>
      <c r="J623" t="inlineStr">
        <is>
          <t>Gruhas; Nikhil Kamath; Abhijeet Pai of Puzzolana Group</t>
        </is>
      </c>
      <c r="K623" t="inlineStr">
        <is>
          <t>https://economictimes.indiatimes.com/tech/funding/influencer-commerce-startup-lehlah-raises-rs-12-5-crore-in-funding-led-by-nikhil-kamaths-gruhas/articleshow/119817455.cms</t>
        </is>
      </c>
    </row>
    <row r="624">
      <c r="A624" t="inlineStr">
        <is>
          <t>INC-20250405-14</t>
        </is>
      </c>
      <c r="B624" t="inlineStr">
        <is>
          <t>R250401-lehlah</t>
        </is>
      </c>
      <c r="C624" t="inlineStr">
        <is>
          <t>Inc42</t>
        </is>
      </c>
      <c r="D624" s="17" t="n">
        <v>45748</v>
      </c>
      <c r="E624" t="inlineStr">
        <is>
          <t>LehLah</t>
        </is>
      </c>
      <c r="F624" t="inlineStr">
        <is>
          <t>$1.5 Mn</t>
        </is>
      </c>
      <c r="G624" s="19" t="n"/>
      <c r="H624" s="19" t="n">
        <v>1.5</v>
      </c>
      <c r="I624" t="inlineStr">
        <is>
          <t>Seed</t>
        </is>
      </c>
      <c r="J624" t="inlineStr">
        <is>
          <t>Gruhas</t>
        </is>
      </c>
      <c r="K624" t="inlineStr">
        <is>
          <t>https://inc42.com/buzz/from-scapia-to-pratilipi-indian-startups-raised-144-mn-this-week/</t>
        </is>
      </c>
    </row>
    <row r="625">
      <c r="A625" t="inlineStr">
        <is>
          <t>INC-20250405-07</t>
        </is>
      </c>
      <c r="B625" t="inlineStr">
        <is>
          <t>R250401-thebearhouse</t>
        </is>
      </c>
      <c r="C625" t="inlineStr">
        <is>
          <t>Inc42</t>
        </is>
      </c>
      <c r="D625" s="17" t="n">
        <v>45748</v>
      </c>
      <c r="E625" t="inlineStr">
        <is>
          <t>The Bear House</t>
        </is>
      </c>
      <c r="F625" t="inlineStr">
        <is>
          <t>$5.8 Mn</t>
        </is>
      </c>
      <c r="G625" s="19" t="n"/>
      <c r="H625" s="19" t="n">
        <v>5.8</v>
      </c>
      <c r="I625" t="inlineStr">
        <is>
          <t>Series A</t>
        </is>
      </c>
      <c r="J625" t="inlineStr">
        <is>
          <t>JM Financial Private Equity</t>
        </is>
      </c>
      <c r="K625" t="inlineStr">
        <is>
          <t>https://inc42.com/buzz/from-scapia-to-pratilipi-indian-startups-raised-144-mn-this-week/</t>
        </is>
      </c>
    </row>
    <row r="626">
      <c r="A626" t="inlineStr">
        <is>
          <t>ENT-8917504</t>
        </is>
      </c>
      <c r="B626" t="inlineStr">
        <is>
          <t>R250401-thebearhouse</t>
        </is>
      </c>
      <c r="C626" t="inlineStr">
        <is>
          <t>Entrackr</t>
        </is>
      </c>
      <c r="D626" s="17" t="n">
        <v>45749</v>
      </c>
      <c r="E626" t="inlineStr">
        <is>
          <t>The Bear House</t>
        </is>
      </c>
      <c r="F626" t="inlineStr">
        <is>
          <t>Rs 50 crore</t>
        </is>
      </c>
      <c r="G626" s="19" t="n">
        <v>50</v>
      </c>
      <c r="H626" s="19" t="n">
        <v>5.84</v>
      </c>
      <c r="I626" t="inlineStr">
        <is>
          <t>Series A</t>
        </is>
      </c>
      <c r="J626" t="inlineStr">
        <is>
          <t>JM Financial India Growth Fund III</t>
        </is>
      </c>
      <c r="K626" t="inlineStr">
        <is>
          <t>https://entrackr.com/snippets/the-bear-house-raises-rs-50-cr-in-series-a-round-led-by-jm-financial-8917504</t>
        </is>
      </c>
    </row>
    <row r="627">
      <c r="A627" t="inlineStr">
        <is>
          <t>ENT-8912397</t>
        </is>
      </c>
      <c r="B627" t="inlineStr">
        <is>
          <t>R250401-tvastergenkalp</t>
        </is>
      </c>
      <c r="C627" t="inlineStr">
        <is>
          <t>Entrackr</t>
        </is>
      </c>
      <c r="D627" s="17" t="n">
        <v>45748</v>
      </c>
      <c r="E627" t="inlineStr">
        <is>
          <t>Tvaster Genkalp</t>
        </is>
      </c>
      <c r="F627" t="inlineStr">
        <is>
          <t>$1.25 million</t>
        </is>
      </c>
      <c r="G627" s="19" t="n"/>
      <c r="H627" s="19" t="n">
        <v>1.25</v>
      </c>
      <c r="I627" t="inlineStr">
        <is>
          <t>Pre-Series A</t>
        </is>
      </c>
      <c r="J627" t="inlineStr">
        <is>
          <t>Ideaspring Capital</t>
        </is>
      </c>
      <c r="K627" t="inlineStr">
        <is>
          <t>https://entrackr.com/snippets/tvaster-genkalp-raises-125-mn-in-pre-series-a-round-8912397</t>
        </is>
      </c>
    </row>
    <row r="628">
      <c r="A628" t="inlineStr">
        <is>
          <t>ET-119850897</t>
        </is>
      </c>
      <c r="B628" t="inlineStr">
        <is>
          <t>R250401-tvastergenkalp</t>
        </is>
      </c>
      <c r="C628" t="inlineStr">
        <is>
          <t>The Economic Times</t>
        </is>
      </c>
      <c r="D628" s="17" t="n">
        <v>45748</v>
      </c>
      <c r="E628" t="inlineStr">
        <is>
          <t>Tvaster Genkalp</t>
        </is>
      </c>
      <c r="F628" t="inlineStr">
        <is>
          <t>$1.25 million</t>
        </is>
      </c>
      <c r="G628" s="19" t="n"/>
      <c r="H628" s="19" t="n">
        <v>1.25</v>
      </c>
      <c r="I628" t="inlineStr">
        <is>
          <t>Pre-Series A</t>
        </is>
      </c>
      <c r="J628" t="inlineStr">
        <is>
          <t>Ideaspring Capital</t>
        </is>
      </c>
      <c r="K628" t="inlineStr">
        <is>
          <t>https://economictimes.indiatimes.com/tech/funding/tvaster-genkalp-secures-1-25-million-from-ideaspring-capital/articleshow/119850897.cms</t>
        </is>
      </c>
    </row>
    <row r="629">
      <c r="A629" t="inlineStr">
        <is>
          <t>INC-20250405-15</t>
        </is>
      </c>
      <c r="B629" t="inlineStr">
        <is>
          <t>R250401-tvastergenkalp</t>
        </is>
      </c>
      <c r="C629" t="inlineStr">
        <is>
          <t>Inc42</t>
        </is>
      </c>
      <c r="D629" s="17" t="n">
        <v>45748</v>
      </c>
      <c r="E629" t="inlineStr">
        <is>
          <t>Tvaster Genkalp</t>
        </is>
      </c>
      <c r="F629" t="inlineStr">
        <is>
          <t>$1.3 Mn</t>
        </is>
      </c>
      <c r="G629" s="19" t="n"/>
      <c r="H629" s="19" t="n">
        <v>1.3</v>
      </c>
      <c r="I629" t="inlineStr">
        <is>
          <t>Pre-Series A</t>
        </is>
      </c>
      <c r="J629" t="inlineStr">
        <is>
          <t>Ideaspring Capital</t>
        </is>
      </c>
      <c r="K629" t="inlineStr">
        <is>
          <t>https://inc42.com/buzz/from-scapia-to-pratilipi-indian-startups-raised-144-mn-this-week/</t>
        </is>
      </c>
    </row>
    <row r="630">
      <c r="A630" t="inlineStr">
        <is>
          <t>ENT-8912966</t>
        </is>
      </c>
      <c r="B630" t="inlineStr">
        <is>
          <t>R250401-wendor</t>
        </is>
      </c>
      <c r="C630" t="inlineStr">
        <is>
          <t>Entrackr</t>
        </is>
      </c>
      <c r="D630" s="17" t="n">
        <v>45748</v>
      </c>
      <c r="E630" t="inlineStr">
        <is>
          <t>Wendor</t>
        </is>
      </c>
      <c r="F630" t="inlineStr">
        <is>
          <t>$2.5 million</t>
        </is>
      </c>
      <c r="G630" s="19" t="n">
        <v>21</v>
      </c>
      <c r="H630" s="19" t="n">
        <v>2.5</v>
      </c>
      <c r="I630" t="inlineStr">
        <is>
          <t>Seed</t>
        </is>
      </c>
      <c r="J630" t="inlineStr">
        <is>
          <t>Elanpro</t>
        </is>
      </c>
      <c r="K630" t="inlineStr">
        <is>
          <t>https://entrackr.com/snippets/smart-vending-platform-wendor-raises-25-mn-in-seed-round-8912966</t>
        </is>
      </c>
    </row>
    <row r="631">
      <c r="A631" t="inlineStr">
        <is>
          <t>INC-20250405-13</t>
        </is>
      </c>
      <c r="B631" t="inlineStr">
        <is>
          <t>R250401-wendor</t>
        </is>
      </c>
      <c r="C631" t="inlineStr">
        <is>
          <t>Inc42</t>
        </is>
      </c>
      <c r="D631" s="17" t="n">
        <v>45748</v>
      </c>
      <c r="E631" t="inlineStr">
        <is>
          <t>Wendor</t>
        </is>
      </c>
      <c r="F631" t="inlineStr">
        <is>
          <t>$2.5 Mn</t>
        </is>
      </c>
      <c r="G631" s="19" t="n"/>
      <c r="H631" s="19" t="n">
        <v>2.5</v>
      </c>
      <c r="I631" t="inlineStr">
        <is>
          <t>Undisclosed</t>
        </is>
      </c>
      <c r="J631" t="inlineStr">
        <is>
          <t>Elanpro</t>
        </is>
      </c>
      <c r="K631" t="inlineStr">
        <is>
          <t>https://inc42.com/buzz/from-scapia-to-pratilipi-indian-startups-raised-144-mn-this-week/</t>
        </is>
      </c>
    </row>
    <row r="632">
      <c r="A632" t="inlineStr">
        <is>
          <t>ENT-8916249</t>
        </is>
      </c>
      <c r="B632" t="inlineStr">
        <is>
          <t>R250402-argoswatches</t>
        </is>
      </c>
      <c r="C632" t="inlineStr">
        <is>
          <t>Entrackr</t>
        </is>
      </c>
      <c r="D632" s="17" t="n">
        <v>45749</v>
      </c>
      <c r="E632" t="inlineStr">
        <is>
          <t>Argos Watches</t>
        </is>
      </c>
      <c r="F632" t="inlineStr">
        <is>
          <t>Rs 6.5 crore</t>
        </is>
      </c>
      <c r="G632" s="19" t="n">
        <v>6.5</v>
      </c>
      <c r="H632" s="19" t="n">
        <v>0.78</v>
      </c>
      <c r="I632" t="inlineStr">
        <is>
          <t>Angel</t>
        </is>
      </c>
      <c r="J632" t="inlineStr"/>
      <c r="K632" t="inlineStr">
        <is>
          <t>https://entrackr.com/snippets/argos-watches-raises-rs-65-cr-in-angel-round-8916249</t>
        </is>
      </c>
    </row>
    <row r="633">
      <c r="A633" t="inlineStr">
        <is>
          <t>ENT-8916674</t>
        </is>
      </c>
      <c r="B633" t="inlineStr">
        <is>
          <t>R250402-betternutritio</t>
        </is>
      </c>
      <c r="C633" t="inlineStr">
        <is>
          <t>Entrackr</t>
        </is>
      </c>
      <c r="D633" s="17" t="n">
        <v>45749</v>
      </c>
      <c r="E633" t="inlineStr">
        <is>
          <t>Better Nutrition</t>
        </is>
      </c>
      <c r="F633" t="inlineStr">
        <is>
          <t>Rs 10 crore</t>
        </is>
      </c>
      <c r="G633" s="19" t="n">
        <v>10</v>
      </c>
      <c r="H633" s="19" t="n"/>
      <c r="I633" t="inlineStr">
        <is>
          <t>Seed</t>
        </is>
      </c>
      <c r="J633" t="inlineStr"/>
      <c r="K633" t="inlineStr">
        <is>
          <t>https://entrackr.com/snippets/pv-sindhu-backed-better-nutrition-nets-rs-10-cr-in-seed-round-8916674</t>
        </is>
      </c>
    </row>
    <row r="634">
      <c r="A634" t="inlineStr">
        <is>
          <t>INC-20250412-16</t>
        </is>
      </c>
      <c r="B634" t="inlineStr">
        <is>
          <t>R250402-betternutritio</t>
        </is>
      </c>
      <c r="C634" t="inlineStr">
        <is>
          <t>Inc42</t>
        </is>
      </c>
      <c r="D634" s="17" t="n">
        <v>45751</v>
      </c>
      <c r="E634" t="inlineStr">
        <is>
          <t>Better Nutrition</t>
        </is>
      </c>
      <c r="F634" t="inlineStr">
        <is>
          <t>$1.2 Mn</t>
        </is>
      </c>
      <c r="G634" s="19" t="n"/>
      <c r="H634" s="19" t="n">
        <v>1.2</v>
      </c>
      <c r="I634" t="inlineStr">
        <is>
          <t>Undisclosed</t>
        </is>
      </c>
      <c r="J634" t="inlineStr"/>
      <c r="K634" t="inlineStr">
        <is>
          <t>https://inc42.com/buzz/from-juspay-to-noise-indian-startups-raised-195-mn-this-week/</t>
        </is>
      </c>
    </row>
    <row r="635">
      <c r="A635" t="inlineStr">
        <is>
          <t>ENT-8917156</t>
        </is>
      </c>
      <c r="B635" t="inlineStr">
        <is>
          <t>R250402-furjaden</t>
        </is>
      </c>
      <c r="C635" t="inlineStr">
        <is>
          <t>Entrackr</t>
        </is>
      </c>
      <c r="D635" s="17" t="n">
        <v>45749</v>
      </c>
      <c r="E635" t="inlineStr">
        <is>
          <t>Fur Jaden</t>
        </is>
      </c>
      <c r="F635" t="inlineStr">
        <is>
          <t>Rs 9.5 crore</t>
        </is>
      </c>
      <c r="G635" s="19" t="n">
        <v>9.5</v>
      </c>
      <c r="H635" s="19" t="n">
        <v>1.1</v>
      </c>
      <c r="I635" t="inlineStr">
        <is>
          <t>Pre-Series A</t>
        </is>
      </c>
      <c r="J635" t="inlineStr">
        <is>
          <t>Gruhas Collective Consumer Fund</t>
        </is>
      </c>
      <c r="K635" t="inlineStr">
        <is>
          <t>https://entrackr.com/snippets/fur-jaden-raises-rs-95-cr-in-pre-series-a-from-gruhas-collective-consumer-fund-8917156</t>
        </is>
      </c>
    </row>
    <row r="636">
      <c r="A636" t="inlineStr">
        <is>
          <t>INC-20250405-09</t>
        </is>
      </c>
      <c r="B636" t="inlineStr">
        <is>
          <t>R250402-infinityfincor</t>
        </is>
      </c>
      <c r="C636" t="inlineStr">
        <is>
          <t>Inc42</t>
        </is>
      </c>
      <c r="D636" s="17" t="n">
        <v>45749</v>
      </c>
      <c r="E636" t="inlineStr">
        <is>
          <t>Infinity Fincorp</t>
        </is>
      </c>
      <c r="F636" t="inlineStr">
        <is>
          <t>$5 Mn</t>
        </is>
      </c>
      <c r="G636" s="19" t="n"/>
      <c r="H636" s="19" t="n">
        <v>5</v>
      </c>
      <c r="I636" t="inlineStr">
        <is>
          <t>Series A</t>
        </is>
      </c>
      <c r="J636" t="inlineStr"/>
      <c r="K636" t="inlineStr">
        <is>
          <t>https://inc42.com/buzz/from-scapia-to-pratilipi-indian-startups-raised-144-mn-this-week/</t>
        </is>
      </c>
    </row>
    <row r="637">
      <c r="A637" t="inlineStr">
        <is>
          <t>VCC-933f50432a</t>
        </is>
      </c>
      <c r="B637" t="inlineStr">
        <is>
          <t>R250402-infinityfincor</t>
        </is>
      </c>
      <c r="C637" t="inlineStr">
        <is>
          <t>VCCircle</t>
        </is>
      </c>
      <c r="D637" s="17" t="n">
        <v>45749</v>
      </c>
      <c r="E637" t="inlineStr">
        <is>
          <t>infinity fincorp</t>
        </is>
      </c>
      <c r="F637" t="inlineStr"/>
      <c r="G637" s="19" t="n"/>
      <c r="H637" s="19" t="n"/>
      <c r="I637" t="inlineStr">
        <is>
          <t>Undisclosed</t>
        </is>
      </c>
      <c r="J637" t="inlineStr"/>
      <c r="K637" t="inlineStr">
        <is>
          <t>https://www.vccircle.com/beamsfintech-fund-bets-on-pe-backed-lender-infinity-fincorp</t>
        </is>
      </c>
    </row>
    <row r="638">
      <c r="A638" t="inlineStr">
        <is>
          <t>INC-20250405-20</t>
        </is>
      </c>
      <c r="B638" t="inlineStr">
        <is>
          <t>R250402-innergize</t>
        </is>
      </c>
      <c r="C638" t="inlineStr">
        <is>
          <t>Inc42</t>
        </is>
      </c>
      <c r="D638" s="17" t="n">
        <v>45749</v>
      </c>
      <c r="E638" t="inlineStr">
        <is>
          <t>InnerGize</t>
        </is>
      </c>
      <c r="F638" t="inlineStr">
        <is>
          <t>$525K</t>
        </is>
      </c>
      <c r="G638" s="19" t="n"/>
      <c r="H638" s="19" t="n">
        <v>0.525</v>
      </c>
      <c r="I638" t="inlineStr">
        <is>
          <t>Pre-Seed</t>
        </is>
      </c>
      <c r="J638" t="inlineStr">
        <is>
          <t>Antler</t>
        </is>
      </c>
      <c r="K638" t="inlineStr">
        <is>
          <t>https://inc42.com/buzz/from-scapia-to-pratilipi-indian-startups-raised-144-mn-this-week/</t>
        </is>
      </c>
    </row>
    <row r="639">
      <c r="A639" t="inlineStr">
        <is>
          <t>ENT-8915822</t>
        </is>
      </c>
      <c r="B639" t="inlineStr">
        <is>
          <t>R250402-stancehealth</t>
        </is>
      </c>
      <c r="C639" t="inlineStr">
        <is>
          <t>Entrackr</t>
        </is>
      </c>
      <c r="D639" s="17" t="n">
        <v>45749</v>
      </c>
      <c r="E639" t="inlineStr">
        <is>
          <t>Stance Health</t>
        </is>
      </c>
      <c r="F639" t="inlineStr">
        <is>
          <t>$1 million</t>
        </is>
      </c>
      <c r="G639" s="19" t="n"/>
      <c r="H639" s="19" t="n">
        <v>1</v>
      </c>
      <c r="I639" t="inlineStr">
        <is>
          <t>Pre-Seed</t>
        </is>
      </c>
      <c r="J639" t="inlineStr">
        <is>
          <t>General Catalyst</t>
        </is>
      </c>
      <c r="K639" t="inlineStr">
        <is>
          <t>https://entrackr.com/snippets/stance-health-raises-1-mn-in-pre-seed-round-8915822</t>
        </is>
      </c>
    </row>
    <row r="640">
      <c r="A640" t="inlineStr">
        <is>
          <t>ET-119879490</t>
        </is>
      </c>
      <c r="B640" t="inlineStr">
        <is>
          <t>R250402-stancehealth</t>
        </is>
      </c>
      <c r="C640" t="inlineStr">
        <is>
          <t>The Economic Times</t>
        </is>
      </c>
      <c r="D640" s="17" t="n">
        <v>45749</v>
      </c>
      <c r="E640" t="inlineStr">
        <is>
          <t>Stance Health</t>
        </is>
      </c>
      <c r="F640" t="inlineStr">
        <is>
          <t>$1 million</t>
        </is>
      </c>
      <c r="G640" s="19" t="n"/>
      <c r="H640" s="19" t="n">
        <v>1</v>
      </c>
      <c r="I640" t="inlineStr">
        <is>
          <t>Pre-Seed</t>
        </is>
      </c>
      <c r="J640" t="inlineStr">
        <is>
          <t>General Catalyst</t>
        </is>
      </c>
      <c r="K640" t="inlineStr">
        <is>
          <t>https://economictimes.indiatimes.com/tech/funding/healthtech-startup-stance-health-raises-1-million-in-pre-seed-round-led-by-general-catalyst/articleshow/119879490.cms</t>
        </is>
      </c>
    </row>
    <row r="641">
      <c r="A641" t="inlineStr">
        <is>
          <t>INC-20250405-17</t>
        </is>
      </c>
      <c r="B641" t="inlineStr">
        <is>
          <t>R250402-stancehealth</t>
        </is>
      </c>
      <c r="C641" t="inlineStr">
        <is>
          <t>Inc42</t>
        </is>
      </c>
      <c r="D641" s="17" t="n">
        <v>45749</v>
      </c>
      <c r="E641" t="inlineStr">
        <is>
          <t>Stance Health</t>
        </is>
      </c>
      <c r="F641" t="inlineStr">
        <is>
          <t>$1 Mn</t>
        </is>
      </c>
      <c r="G641" s="19" t="n"/>
      <c r="H641" s="19" t="n">
        <v>1</v>
      </c>
      <c r="I641" t="inlineStr">
        <is>
          <t>Pre-Seed</t>
        </is>
      </c>
      <c r="J641" t="inlineStr">
        <is>
          <t>General Catalyst</t>
        </is>
      </c>
      <c r="K641" t="inlineStr">
        <is>
          <t>https://inc42.com/buzz/from-scapia-to-pratilipi-indian-startups-raised-144-mn-this-week/</t>
        </is>
      </c>
    </row>
    <row r="642">
      <c r="A642" t="inlineStr">
        <is>
          <t>ENT-8916277</t>
        </is>
      </c>
      <c r="B642" t="inlineStr">
        <is>
          <t>R250402-yatrikart</t>
        </is>
      </c>
      <c r="C642" t="inlineStr">
        <is>
          <t>Entrackr</t>
        </is>
      </c>
      <c r="D642" s="17" t="n">
        <v>45749</v>
      </c>
      <c r="E642" t="inlineStr">
        <is>
          <t>Yatrikart</t>
        </is>
      </c>
      <c r="F642" t="inlineStr"/>
      <c r="G642" s="19" t="n"/>
      <c r="H642" s="19" t="n"/>
      <c r="I642" t="inlineStr">
        <is>
          <t>Series A</t>
        </is>
      </c>
      <c r="J642" t="inlineStr"/>
      <c r="K642" t="inlineStr">
        <is>
          <t>https://entrackr.com/snippets/transit-retail-chain-yatrikart-bags-strategic-investment-from-mmg-group-8916277</t>
        </is>
      </c>
    </row>
    <row r="643">
      <c r="A643" t="inlineStr">
        <is>
          <t>ENT-8920587</t>
        </is>
      </c>
      <c r="B643" t="inlineStr">
        <is>
          <t>R250403-drivershaab</t>
        </is>
      </c>
      <c r="C643" t="inlineStr">
        <is>
          <t>Entrackr</t>
        </is>
      </c>
      <c r="D643" s="17" t="n">
        <v>45750</v>
      </c>
      <c r="E643" t="inlineStr">
        <is>
          <t>DriverShaab</t>
        </is>
      </c>
      <c r="F643" t="inlineStr">
        <is>
          <t>Rs 2.82 crore</t>
        </is>
      </c>
      <c r="G643" s="19" t="n">
        <v>2.82</v>
      </c>
      <c r="H643" s="19" t="n"/>
      <c r="I643" t="inlineStr">
        <is>
          <t>Pre-Series A</t>
        </is>
      </c>
      <c r="J643" t="inlineStr">
        <is>
          <t>Firstport Capital; Inflection Point Ventures</t>
        </is>
      </c>
      <c r="K643" t="inlineStr">
        <is>
          <t>https://entrackr.com/snippets/b2b-mobility-startup-drivershaab-raises-pre-series-a-round-8920587</t>
        </is>
      </c>
    </row>
    <row r="644">
      <c r="A644" t="inlineStr">
        <is>
          <t>INC-20250405-21</t>
        </is>
      </c>
      <c r="B644" t="inlineStr">
        <is>
          <t>R250403-drivershaab</t>
        </is>
      </c>
      <c r="C644" t="inlineStr">
        <is>
          <t>Inc42</t>
        </is>
      </c>
      <c r="D644" s="17" t="n">
        <v>45750</v>
      </c>
      <c r="E644" t="inlineStr">
        <is>
          <t>DriverShaab</t>
        </is>
      </c>
      <c r="F644" t="inlineStr">
        <is>
          <t>$330K</t>
        </is>
      </c>
      <c r="G644" s="19" t="n"/>
      <c r="H644" s="19" t="n">
        <v>0.33</v>
      </c>
      <c r="I644" t="inlineStr">
        <is>
          <t>Pre-Series A</t>
        </is>
      </c>
      <c r="J644" t="inlineStr">
        <is>
          <t>Firstport Capital; Inflection Point Ventures</t>
        </is>
      </c>
      <c r="K644" t="inlineStr">
        <is>
          <t>https://inc42.com/buzz/from-scapia-to-pratilipi-indian-startups-raised-144-mn-this-week/</t>
        </is>
      </c>
    </row>
    <row r="645">
      <c r="A645" t="inlineStr">
        <is>
          <t>ET-119911795</t>
        </is>
      </c>
      <c r="B645" t="inlineStr">
        <is>
          <t>R250403-furtherai</t>
        </is>
      </c>
      <c r="C645" t="inlineStr">
        <is>
          <t>The Economic Times</t>
        </is>
      </c>
      <c r="D645" s="17" t="n">
        <v>45749</v>
      </c>
      <c r="E645" t="inlineStr">
        <is>
          <t>FurtherAI</t>
        </is>
      </c>
      <c r="F645" t="inlineStr">
        <is>
          <t>$5 million</t>
        </is>
      </c>
      <c r="G645" s="19" t="n"/>
      <c r="H645" s="19" t="n">
        <v>5</v>
      </c>
      <c r="I645" t="inlineStr">
        <is>
          <t>Seed</t>
        </is>
      </c>
      <c r="J645" t="inlineStr">
        <is>
          <t>Nexus Venture Partners</t>
        </is>
      </c>
      <c r="K645" t="inlineStr">
        <is>
          <t>https://economictimes.indiatimes.com/tech/funding/ai-assistant-startup-furtherai-raises-5-million-in-round-led-by-nexus-venture-partners/articleshow/119911795.cms</t>
        </is>
      </c>
    </row>
    <row r="646">
      <c r="A646" t="inlineStr">
        <is>
          <t>INC-20250405-08</t>
        </is>
      </c>
      <c r="B646" t="inlineStr">
        <is>
          <t>R250403-furtherai</t>
        </is>
      </c>
      <c r="C646" t="inlineStr">
        <is>
          <t>Inc42</t>
        </is>
      </c>
      <c r="D646" s="17" t="n">
        <v>45750</v>
      </c>
      <c r="E646" t="inlineStr">
        <is>
          <t>FurtherAI</t>
        </is>
      </c>
      <c r="F646" t="inlineStr">
        <is>
          <t>$5 Mn</t>
        </is>
      </c>
      <c r="G646" s="19" t="n"/>
      <c r="H646" s="19" t="n">
        <v>5</v>
      </c>
      <c r="I646" t="inlineStr">
        <is>
          <t>Seed</t>
        </is>
      </c>
      <c r="J646" t="inlineStr">
        <is>
          <t>Nexus Venture Partner</t>
        </is>
      </c>
      <c r="K646" t="inlineStr">
        <is>
          <t>https://inc42.com/buzz/from-scapia-to-pratilipi-indian-startups-raised-144-mn-this-week/</t>
        </is>
      </c>
    </row>
    <row r="647">
      <c r="A647" t="inlineStr">
        <is>
          <t>ENT-8920452</t>
        </is>
      </c>
      <c r="B647" t="inlineStr">
        <is>
          <t>R250403-perkanttech</t>
        </is>
      </c>
      <c r="C647" t="inlineStr">
        <is>
          <t>Entrackr</t>
        </is>
      </c>
      <c r="D647" s="17" t="n">
        <v>45750</v>
      </c>
      <c r="E647" t="inlineStr">
        <is>
          <t>Perkant Tech</t>
        </is>
      </c>
      <c r="F647" t="inlineStr">
        <is>
          <t>Rs 6.6 crore</t>
        </is>
      </c>
      <c r="G647" s="19" t="n">
        <v>6.6</v>
      </c>
      <c r="H647" s="19" t="n">
        <v>0.771</v>
      </c>
      <c r="I647" t="inlineStr">
        <is>
          <t>Seed</t>
        </is>
      </c>
      <c r="J647" t="inlineStr">
        <is>
          <t>YourNest Venture Capital</t>
        </is>
      </c>
      <c r="K647" t="inlineStr">
        <is>
          <t>https://entrackr.com/snippets/perkant-tech-raises-rs-66-cr-in-seed-round-8920452</t>
        </is>
      </c>
    </row>
    <row r="648">
      <c r="A648" t="inlineStr">
        <is>
          <t>INC-20250405-18</t>
        </is>
      </c>
      <c r="B648" t="inlineStr">
        <is>
          <t>R250403-perkanttech</t>
        </is>
      </c>
      <c r="C648" t="inlineStr">
        <is>
          <t>Inc42</t>
        </is>
      </c>
      <c r="D648" s="17" t="n">
        <v>45750</v>
      </c>
      <c r="E648" t="inlineStr">
        <is>
          <t>Perkant Tech</t>
        </is>
      </c>
      <c r="F648" t="inlineStr">
        <is>
          <t>$772K</t>
        </is>
      </c>
      <c r="G648" s="19" t="n"/>
      <c r="H648" s="19" t="n">
        <v>0.772</v>
      </c>
      <c r="I648" t="inlineStr">
        <is>
          <t>Seed</t>
        </is>
      </c>
      <c r="J648" t="inlineStr">
        <is>
          <t>YourNest Venture Capital</t>
        </is>
      </c>
      <c r="K648" t="inlineStr">
        <is>
          <t>https://inc42.com/buzz/from-scapia-to-pratilipi-indian-startups-raised-144-mn-this-week/</t>
        </is>
      </c>
    </row>
    <row r="649">
      <c r="A649" t="inlineStr">
        <is>
          <t>ENT-8919558</t>
        </is>
      </c>
      <c r="B649" t="inlineStr">
        <is>
          <t>R250403-pratilipi</t>
        </is>
      </c>
      <c r="C649" t="inlineStr">
        <is>
          <t>Entrackr</t>
        </is>
      </c>
      <c r="D649" s="17" t="n">
        <v>45750</v>
      </c>
      <c r="E649" t="inlineStr">
        <is>
          <t>Pratilipi</t>
        </is>
      </c>
      <c r="F649" t="inlineStr">
        <is>
          <t>$20 million</t>
        </is>
      </c>
      <c r="G649" s="19" t="n"/>
      <c r="H649" s="19" t="n">
        <v>20</v>
      </c>
      <c r="I649" t="inlineStr">
        <is>
          <t>Series E</t>
        </is>
      </c>
      <c r="J649" t="inlineStr">
        <is>
          <t>Jungle Ventures</t>
        </is>
      </c>
      <c r="K649" t="inlineStr">
        <is>
          <t>https://entrackr.com/news/pratilipi-raises-20-mn-in-series-e-led-by-jungle-ventures-8919558</t>
        </is>
      </c>
    </row>
    <row r="650">
      <c r="A650" t="inlineStr">
        <is>
          <t>INC-20250405-03</t>
        </is>
      </c>
      <c r="B650" t="inlineStr">
        <is>
          <t>R250403-pratilipi</t>
        </is>
      </c>
      <c r="C650" t="inlineStr">
        <is>
          <t>Inc42</t>
        </is>
      </c>
      <c r="D650" s="17" t="n">
        <v>45750</v>
      </c>
      <c r="E650" t="inlineStr">
        <is>
          <t>Pratilipi</t>
        </is>
      </c>
      <c r="F650" t="inlineStr">
        <is>
          <t>$20 Mn</t>
        </is>
      </c>
      <c r="G650" s="19" t="n"/>
      <c r="H650" s="19" t="n">
        <v>20</v>
      </c>
      <c r="I650" t="inlineStr">
        <is>
          <t>Series E</t>
        </is>
      </c>
      <c r="J650" t="inlineStr">
        <is>
          <t>Jungle Ventures</t>
        </is>
      </c>
      <c r="K650" t="inlineStr">
        <is>
          <t>https://inc42.com/buzz/from-scapia-to-pratilipi-indian-startups-raised-144-mn-this-week/</t>
        </is>
      </c>
    </row>
    <row r="651">
      <c r="A651" t="inlineStr">
        <is>
          <t>VCC-b4bf85d1ab</t>
        </is>
      </c>
      <c r="B651" t="inlineStr">
        <is>
          <t>R250403-pratilipi</t>
        </is>
      </c>
      <c r="C651" t="inlineStr">
        <is>
          <t>VCCircle</t>
        </is>
      </c>
      <c r="D651" s="17" t="n">
        <v>45750</v>
      </c>
      <c r="E651" t="inlineStr">
        <is>
          <t>pratilipi</t>
        </is>
      </c>
      <c r="F651" t="inlineStr"/>
      <c r="G651" s="19" t="n"/>
      <c r="H651" s="19" t="n"/>
      <c r="I651" t="inlineStr">
        <is>
          <t>Series E</t>
        </is>
      </c>
      <c r="J651" t="inlineStr"/>
      <c r="K651" t="inlineStr">
        <is>
          <t>https://www.vccircle.com/jungleventures-leads-series-e-funding-in-pratilipi-as-chinese-vcs-exit</t>
        </is>
      </c>
    </row>
    <row r="652">
      <c r="A652" t="inlineStr">
        <is>
          <t>ENT-8920333</t>
        </is>
      </c>
      <c r="B652" t="inlineStr">
        <is>
          <t>R250403-rapidclaims</t>
        </is>
      </c>
      <c r="C652" t="inlineStr">
        <is>
          <t>Entrackr</t>
        </is>
      </c>
      <c r="D652" s="17" t="n">
        <v>45750</v>
      </c>
      <c r="E652" t="inlineStr">
        <is>
          <t>RapidClaims</t>
        </is>
      </c>
      <c r="F652" t="inlineStr">
        <is>
          <t>$11 million</t>
        </is>
      </c>
      <c r="G652" s="19" t="n"/>
      <c r="H652" s="19" t="n">
        <v>11</v>
      </c>
      <c r="I652" t="inlineStr">
        <is>
          <t>Undisclosed</t>
        </is>
      </c>
      <c r="J652" t="inlineStr">
        <is>
          <t>Accel</t>
        </is>
      </c>
      <c r="K652" t="inlineStr">
        <is>
          <t>https://entrackr.com/snippets/rapidclaims-raises-11-mn-led-by-accel-8920333</t>
        </is>
      </c>
    </row>
    <row r="653">
      <c r="A653" t="inlineStr">
        <is>
          <t>INC-20250405-06</t>
        </is>
      </c>
      <c r="B653" t="inlineStr">
        <is>
          <t>R250403-rapidclaims</t>
        </is>
      </c>
      <c r="C653" t="inlineStr">
        <is>
          <t>Inc42</t>
        </is>
      </c>
      <c r="D653" s="17" t="n">
        <v>45750</v>
      </c>
      <c r="E653" t="inlineStr">
        <is>
          <t>RapidClaims</t>
        </is>
      </c>
      <c r="F653" t="inlineStr">
        <is>
          <t>$8 Mn</t>
        </is>
      </c>
      <c r="G653" s="19" t="n"/>
      <c r="H653" s="19" t="n">
        <v>8</v>
      </c>
      <c r="I653" t="inlineStr">
        <is>
          <t>Series A</t>
        </is>
      </c>
      <c r="J653" t="inlineStr">
        <is>
          <t>Accel</t>
        </is>
      </c>
      <c r="K653" t="inlineStr">
        <is>
          <t>https://inc42.com/buzz/from-scapia-to-pratilipi-indian-startups-raised-144-mn-this-week/</t>
        </is>
      </c>
    </row>
    <row r="654">
      <c r="A654" t="inlineStr">
        <is>
          <t>ENT-8920072</t>
        </is>
      </c>
      <c r="B654" t="inlineStr">
        <is>
          <t>R250403-scapia</t>
        </is>
      </c>
      <c r="C654" t="inlineStr">
        <is>
          <t>Entrackr</t>
        </is>
      </c>
      <c r="D654" s="17" t="n">
        <v>45750</v>
      </c>
      <c r="E654" t="inlineStr">
        <is>
          <t>Scapia</t>
        </is>
      </c>
      <c r="F654" t="inlineStr">
        <is>
          <t>$40 million</t>
        </is>
      </c>
      <c r="G654" s="19" t="n"/>
      <c r="H654" s="19" t="n">
        <v>40</v>
      </c>
      <c r="I654" t="inlineStr">
        <is>
          <t>Series B</t>
        </is>
      </c>
      <c r="J654" t="inlineStr">
        <is>
          <t>Peak XV Partners</t>
        </is>
      </c>
      <c r="K654" t="inlineStr">
        <is>
          <t>https://entrackr.com/news/scapia-raises-40-mn-in-series-b-led-by-peak-xv-8920072</t>
        </is>
      </c>
    </row>
    <row r="655">
      <c r="A655" t="inlineStr">
        <is>
          <t>ET-119933018</t>
        </is>
      </c>
      <c r="B655" t="inlineStr">
        <is>
          <t>R250403-scapia</t>
        </is>
      </c>
      <c r="C655" t="inlineStr">
        <is>
          <t>The Economic Times</t>
        </is>
      </c>
      <c r="D655" s="17" t="n">
        <v>45750</v>
      </c>
      <c r="E655" t="inlineStr">
        <is>
          <t>Scapia</t>
        </is>
      </c>
      <c r="F655" t="inlineStr">
        <is>
          <t>$40 million</t>
        </is>
      </c>
      <c r="G655" s="19" t="n"/>
      <c r="H655" s="19" t="n">
        <v>40</v>
      </c>
      <c r="I655" t="inlineStr">
        <is>
          <t>Undisclosed</t>
        </is>
      </c>
      <c r="J655" t="inlineStr">
        <is>
          <t>Peak XV Partners</t>
        </is>
      </c>
      <c r="K655" t="inlineStr">
        <is>
          <t>https://economictimes.indiatimes.com/tech/funding/scapia-raises-40-million-from-peak-xv-partners-and-existing-investors/articleshow/119933018.cms</t>
        </is>
      </c>
    </row>
    <row r="656">
      <c r="A656" t="inlineStr">
        <is>
          <t>INC-20250405-01</t>
        </is>
      </c>
      <c r="B656" t="inlineStr">
        <is>
          <t>R250403-scapia</t>
        </is>
      </c>
      <c r="C656" t="inlineStr">
        <is>
          <t>Inc42</t>
        </is>
      </c>
      <c r="D656" s="17" t="n">
        <v>45750</v>
      </c>
      <c r="E656" t="inlineStr">
        <is>
          <t>Scapia</t>
        </is>
      </c>
      <c r="F656" t="inlineStr">
        <is>
          <t>$40 Mn</t>
        </is>
      </c>
      <c r="G656" s="19" t="n"/>
      <c r="H656" s="19" t="n">
        <v>40</v>
      </c>
      <c r="I656" t="inlineStr">
        <is>
          <t>Series B</t>
        </is>
      </c>
      <c r="J656" t="inlineStr">
        <is>
          <t>Peak XV Partners</t>
        </is>
      </c>
      <c r="K656" t="inlineStr">
        <is>
          <t>https://inc42.com/buzz/from-scapia-to-pratilipi-indian-startups-raised-144-mn-this-week/</t>
        </is>
      </c>
    </row>
    <row r="657">
      <c r="A657" t="inlineStr">
        <is>
          <t>ENT-8919745</t>
        </is>
      </c>
      <c r="B657" t="inlineStr">
        <is>
          <t>R250403-sweetkaramcoff</t>
        </is>
      </c>
      <c r="C657" t="inlineStr">
        <is>
          <t>Entrackr</t>
        </is>
      </c>
      <c r="D657" s="17" t="n">
        <v>45750</v>
      </c>
      <c r="E657" t="inlineStr">
        <is>
          <t>Sweet Karam Coffee</t>
        </is>
      </c>
      <c r="F657" t="inlineStr">
        <is>
          <t>$8 million</t>
        </is>
      </c>
      <c r="G657" s="19" t="n"/>
      <c r="H657" s="19" t="n">
        <v>8</v>
      </c>
      <c r="I657" t="inlineStr">
        <is>
          <t>Series A</t>
        </is>
      </c>
      <c r="J657" t="inlineStr">
        <is>
          <t>Peak XV Partners</t>
        </is>
      </c>
      <c r="K657" t="inlineStr">
        <is>
          <t>https://entrackr.com/snippets/sweet-karam-coffee-raises-8-mn-led-by-peak-xv-8919745</t>
        </is>
      </c>
    </row>
    <row r="658">
      <c r="A658" t="inlineStr">
        <is>
          <t>ET-119938457</t>
        </is>
      </c>
      <c r="B658" t="inlineStr">
        <is>
          <t>R250403-sweetkaramcoff</t>
        </is>
      </c>
      <c r="C658" t="inlineStr">
        <is>
          <t>The Economic Times</t>
        </is>
      </c>
      <c r="D658" s="17" t="n">
        <v>45750</v>
      </c>
      <c r="E658" t="inlineStr">
        <is>
          <t>Sweet Karam Coffee</t>
        </is>
      </c>
      <c r="F658" t="inlineStr">
        <is>
          <t>$8 million</t>
        </is>
      </c>
      <c r="G658" s="19" t="n"/>
      <c r="H658" s="19" t="n">
        <v>8</v>
      </c>
      <c r="I658" t="inlineStr">
        <is>
          <t>Series A</t>
        </is>
      </c>
      <c r="J658" t="inlineStr"/>
      <c r="K658" t="inlineStr">
        <is>
          <t>https://economictimes.indiatimes.com/tech/funding/snacking-brand-sweet-karam-coffee-raises-8-million-from-peak-xv-partners-fireside-ventures/articleshow/119938457.cms</t>
        </is>
      </c>
    </row>
    <row r="659">
      <c r="A659" t="inlineStr">
        <is>
          <t>INC-20250405-05</t>
        </is>
      </c>
      <c r="B659" t="inlineStr">
        <is>
          <t>R250403-sweetkaramcoff</t>
        </is>
      </c>
      <c r="C659" t="inlineStr">
        <is>
          <t>Inc42</t>
        </is>
      </c>
      <c r="D659" s="17" t="n">
        <v>45750</v>
      </c>
      <c r="E659" t="inlineStr">
        <is>
          <t>Sweet Karam Coffee</t>
        </is>
      </c>
      <c r="F659" t="inlineStr">
        <is>
          <t>$8 Mn</t>
        </is>
      </c>
      <c r="G659" s="19" t="n"/>
      <c r="H659" s="19" t="n">
        <v>8</v>
      </c>
      <c r="I659" t="inlineStr">
        <is>
          <t>Series A</t>
        </is>
      </c>
      <c r="J659" t="inlineStr">
        <is>
          <t>Peak XV Partners</t>
        </is>
      </c>
      <c r="K659" t="inlineStr">
        <is>
          <t>https://inc42.com/buzz/from-scapia-to-pratilipi-indian-startups-raised-144-mn-this-week/</t>
        </is>
      </c>
    </row>
    <row r="660">
      <c r="A660" t="inlineStr">
        <is>
          <t>ENT-8921571</t>
        </is>
      </c>
      <c r="B660" t="inlineStr">
        <is>
          <t>R250403-tonboimaging</t>
        </is>
      </c>
      <c r="C660" t="inlineStr">
        <is>
          <t>Entrackr</t>
        </is>
      </c>
      <c r="D660" s="17" t="n">
        <v>45750</v>
      </c>
      <c r="E660" t="inlineStr">
        <is>
          <t>Tonbo Imaging</t>
        </is>
      </c>
      <c r="F660" t="inlineStr">
        <is>
          <t>Rs 175 crore</t>
        </is>
      </c>
      <c r="G660" s="19" t="n">
        <v>175</v>
      </c>
      <c r="H660" s="19" t="n">
        <v>21</v>
      </c>
      <c r="I660" t="inlineStr">
        <is>
          <t>Pre-IPO</t>
        </is>
      </c>
      <c r="J660" t="inlineStr"/>
      <c r="K660" t="inlineStr">
        <is>
          <t>https://entrackr.com/snippets/tonbo-imaging-raises-21-mn-in-pre-ipo-round-8921571</t>
        </is>
      </c>
    </row>
    <row r="661">
      <c r="A661" t="inlineStr">
        <is>
          <t>INC-20250405-02</t>
        </is>
      </c>
      <c r="B661" t="inlineStr">
        <is>
          <t>R250403-tonboimaging</t>
        </is>
      </c>
      <c r="C661" t="inlineStr">
        <is>
          <t>Inc42</t>
        </is>
      </c>
      <c r="D661" s="17" t="n">
        <v>45750</v>
      </c>
      <c r="E661" t="inlineStr">
        <is>
          <t>Tonbo Imaging</t>
        </is>
      </c>
      <c r="F661" t="inlineStr">
        <is>
          <t>$20.4 Mn</t>
        </is>
      </c>
      <c r="G661" s="19" t="n"/>
      <c r="H661" s="19" t="n">
        <v>20.4</v>
      </c>
      <c r="I661" t="inlineStr">
        <is>
          <t>Series D</t>
        </is>
      </c>
      <c r="J661" t="inlineStr"/>
      <c r="K661" t="inlineStr">
        <is>
          <t>https://inc42.com/buzz/from-scapia-to-pratilipi-indian-startups-raised-144-mn-this-week/</t>
        </is>
      </c>
    </row>
    <row r="662">
      <c r="A662" t="inlineStr">
        <is>
          <t>VCC-8df5807353</t>
        </is>
      </c>
      <c r="B662" t="inlineStr">
        <is>
          <t>R250403-tonboimaging</t>
        </is>
      </c>
      <c r="C662" t="inlineStr">
        <is>
          <t>VCCircle</t>
        </is>
      </c>
      <c r="D662" s="17" t="n">
        <v>45750</v>
      </c>
      <c r="E662" t="inlineStr">
        <is>
          <t>tonbo imaging s pre ipo round</t>
        </is>
      </c>
      <c r="F662" t="inlineStr"/>
      <c r="G662" s="19" t="n"/>
      <c r="H662" s="19" t="n"/>
      <c r="I662" t="inlineStr">
        <is>
          <t>Pre-IPO</t>
        </is>
      </c>
      <c r="J662" t="inlineStr"/>
      <c r="K662" t="inlineStr">
        <is>
          <t>https://www.vccircle.com/mathewcyriac-s-florintree-others-invest-in-tonbo-imaging-s-pre-ipo-round</t>
        </is>
      </c>
    </row>
    <row r="663">
      <c r="A663" t="inlineStr">
        <is>
          <t>ENT-8924311</t>
        </is>
      </c>
      <c r="B663" t="inlineStr">
        <is>
          <t>R250404-aerem</t>
        </is>
      </c>
      <c r="C663" t="inlineStr">
        <is>
          <t>Entrackr</t>
        </is>
      </c>
      <c r="D663" s="17" t="n">
        <v>45751</v>
      </c>
      <c r="E663" t="inlineStr">
        <is>
          <t>Aerem</t>
        </is>
      </c>
      <c r="F663" t="inlineStr">
        <is>
          <t>Rs 100 crore</t>
        </is>
      </c>
      <c r="G663" s="19" t="n">
        <v>100</v>
      </c>
      <c r="H663" s="19" t="n">
        <v>11.7</v>
      </c>
      <c r="I663" t="inlineStr">
        <is>
          <t>Undisclosed</t>
        </is>
      </c>
      <c r="J663" t="inlineStr">
        <is>
          <t>UTEC</t>
        </is>
      </c>
      <c r="K663" t="inlineStr">
        <is>
          <t>https://entrackr.com/news/solar-startup-aerem-raises-rs-100-cr-led-by-japans-utec-8924311</t>
        </is>
      </c>
    </row>
    <row r="664">
      <c r="A664" t="inlineStr">
        <is>
          <t>ET-119949325</t>
        </is>
      </c>
      <c r="B664" t="inlineStr">
        <is>
          <t>R250404-aerem</t>
        </is>
      </c>
      <c r="C664" t="inlineStr">
        <is>
          <t>The Economic Times</t>
        </is>
      </c>
      <c r="D664" s="17" t="n">
        <v>45751</v>
      </c>
      <c r="E664" t="inlineStr">
        <is>
          <t>Aerem</t>
        </is>
      </c>
      <c r="F664" t="inlineStr">
        <is>
          <t>Rs 100 crore</t>
        </is>
      </c>
      <c r="G664" s="19" t="n">
        <v>100</v>
      </c>
      <c r="H664" s="19" t="n"/>
      <c r="I664" t="inlineStr">
        <is>
          <t>Undisclosed</t>
        </is>
      </c>
      <c r="J664" t="inlineStr">
        <is>
          <t>UTEC</t>
        </is>
      </c>
      <c r="K664" t="inlineStr">
        <is>
          <t>https://economictimes.indiatimes.com/tech/funding/solartech-startup-aerem-raises-rs-100-crore-in-round-led-by-japan-based-utec/articleshow/119949325.cms</t>
        </is>
      </c>
    </row>
    <row r="665">
      <c r="A665" t="inlineStr">
        <is>
          <t>INC-20250405-04</t>
        </is>
      </c>
      <c r="B665" t="inlineStr">
        <is>
          <t>R250404-aerem</t>
        </is>
      </c>
      <c r="C665" t="inlineStr">
        <is>
          <t>Inc42</t>
        </is>
      </c>
      <c r="D665" s="17" t="n">
        <v>45751</v>
      </c>
      <c r="E665" t="inlineStr">
        <is>
          <t>Aerem</t>
        </is>
      </c>
      <c r="F665" t="inlineStr">
        <is>
          <t>$12 Mn</t>
        </is>
      </c>
      <c r="G665" s="19" t="n"/>
      <c r="H665" s="19" t="n">
        <v>12</v>
      </c>
      <c r="I665" t="inlineStr">
        <is>
          <t>Series A</t>
        </is>
      </c>
      <c r="J665" t="inlineStr">
        <is>
          <t>Tokyo Edge Capital Partners</t>
        </is>
      </c>
      <c r="K665" t="inlineStr">
        <is>
          <t>https://inc42.com/buzz/from-scapia-to-pratilipi-indian-startups-raised-144-mn-this-week/</t>
        </is>
      </c>
    </row>
    <row r="666">
      <c r="A666" t="inlineStr">
        <is>
          <t>VCC-a5c75ebb68</t>
        </is>
      </c>
      <c r="B666" t="inlineStr">
        <is>
          <t>R250404-aerem</t>
        </is>
      </c>
      <c r="C666" t="inlineStr">
        <is>
          <t>VCCircle</t>
        </is>
      </c>
      <c r="D666" s="17" t="n">
        <v>45751</v>
      </c>
      <c r="E666" t="inlineStr">
        <is>
          <t>aerem</t>
        </is>
      </c>
      <c r="F666" t="inlineStr"/>
      <c r="G666" s="19" t="n"/>
      <c r="H666" s="19" t="n"/>
      <c r="I666" t="inlineStr">
        <is>
          <t>Series A</t>
        </is>
      </c>
      <c r="J666" t="inlineStr"/>
      <c r="K666" t="inlineStr">
        <is>
          <t>https://www.vccircle.com/japanesevc-fund-utec-leads-series-a-funding-in-blume-backed-aerem</t>
        </is>
      </c>
    </row>
    <row r="667">
      <c r="A667" t="inlineStr">
        <is>
          <t>ENT-8924648</t>
        </is>
      </c>
      <c r="B667" t="inlineStr">
        <is>
          <t>R250404-alienkind</t>
        </is>
      </c>
      <c r="C667" t="inlineStr">
        <is>
          <t>Entrackr</t>
        </is>
      </c>
      <c r="D667" s="17" t="n">
        <v>45751</v>
      </c>
      <c r="E667" t="inlineStr">
        <is>
          <t>Alienkind</t>
        </is>
      </c>
      <c r="F667" t="inlineStr">
        <is>
          <t>$1.2 million</t>
        </is>
      </c>
      <c r="G667" s="19" t="n"/>
      <c r="H667" s="19" t="n">
        <v>1.2</v>
      </c>
      <c r="I667" t="inlineStr">
        <is>
          <t>Seed</t>
        </is>
      </c>
      <c r="J667" t="inlineStr">
        <is>
          <t>Super</t>
        </is>
      </c>
      <c r="K667" t="inlineStr">
        <is>
          <t>https://entrackr.com/snippets/juice-brand-alienkind-raises-12-mn-in-seed-round-8924648</t>
        </is>
      </c>
    </row>
    <row r="668">
      <c r="A668" t="inlineStr">
        <is>
          <t>INC-20250405-16</t>
        </is>
      </c>
      <c r="B668" t="inlineStr">
        <is>
          <t>R250404-alienkind</t>
        </is>
      </c>
      <c r="C668" t="inlineStr">
        <is>
          <t>Inc42</t>
        </is>
      </c>
      <c r="D668" s="17" t="n">
        <v>45751</v>
      </c>
      <c r="E668" t="inlineStr">
        <is>
          <t>Alienkind</t>
        </is>
      </c>
      <c r="F668" t="inlineStr">
        <is>
          <t>$1.2 Mn</t>
        </is>
      </c>
      <c r="G668" s="19" t="n"/>
      <c r="H668" s="19" t="n">
        <v>1.2</v>
      </c>
      <c r="I668" t="inlineStr">
        <is>
          <t>Seed</t>
        </is>
      </c>
      <c r="J668" t="inlineStr">
        <is>
          <t>Prakash Sikaria; Ravi Iyer; Arpan Sheth</t>
        </is>
      </c>
      <c r="K668" t="inlineStr">
        <is>
          <t>https://inc42.com/buzz/from-scapia-to-pratilipi-indian-startups-raised-144-mn-this-week/</t>
        </is>
      </c>
    </row>
    <row r="669">
      <c r="A669" t="inlineStr">
        <is>
          <t>ENT-8924908</t>
        </is>
      </c>
      <c r="B669" t="inlineStr">
        <is>
          <t>R250404-jaikisan</t>
        </is>
      </c>
      <c r="C669" t="inlineStr">
        <is>
          <t>Entrackr</t>
        </is>
      </c>
      <c r="D669" s="17" t="n">
        <v>45751</v>
      </c>
      <c r="E669" t="inlineStr">
        <is>
          <t>Jai Kisan</t>
        </is>
      </c>
      <c r="F669" t="inlineStr">
        <is>
          <t>Rs 26.5 crore</t>
        </is>
      </c>
      <c r="G669" s="19" t="n">
        <v>26.5</v>
      </c>
      <c r="H669" s="19" t="n">
        <v>3</v>
      </c>
      <c r="I669" t="inlineStr">
        <is>
          <t>Series B</t>
        </is>
      </c>
      <c r="J669" t="inlineStr"/>
      <c r="K669" t="inlineStr">
        <is>
          <t>https://entrackr.com/snippets/jai-kisan-raises-fresh-funds-in-extended-series-b-8924908</t>
        </is>
      </c>
    </row>
    <row r="670">
      <c r="A670" t="inlineStr">
        <is>
          <t>INC-20250405-11</t>
        </is>
      </c>
      <c r="B670" t="inlineStr">
        <is>
          <t>R250404-jaikisan</t>
        </is>
      </c>
      <c r="C670" t="inlineStr">
        <is>
          <t>Inc42</t>
        </is>
      </c>
      <c r="D670" s="17" t="n">
        <v>45751</v>
      </c>
      <c r="E670" t="inlineStr">
        <is>
          <t>Jai Kisan</t>
        </is>
      </c>
      <c r="F670" t="inlineStr">
        <is>
          <t>$3 Mn</t>
        </is>
      </c>
      <c r="G670" s="19" t="n"/>
      <c r="H670" s="19" t="n">
        <v>3</v>
      </c>
      <c r="I670" t="inlineStr">
        <is>
          <t>Undisclosed</t>
        </is>
      </c>
      <c r="J670" t="inlineStr"/>
      <c r="K670" t="inlineStr">
        <is>
          <t>https://inc42.com/buzz/from-scapia-to-pratilipi-indian-startups-raised-144-mn-this-week/</t>
        </is>
      </c>
    </row>
    <row r="671">
      <c r="A671" t="inlineStr">
        <is>
          <t>ENT-8933836</t>
        </is>
      </c>
      <c r="B671" t="inlineStr">
        <is>
          <t>R250407-ashaventures</t>
        </is>
      </c>
      <c r="C671" t="inlineStr">
        <is>
          <t>Entrackr</t>
        </is>
      </c>
      <c r="D671" s="17" t="n">
        <v>45754</v>
      </c>
      <c r="E671" t="inlineStr">
        <is>
          <t>Asha Ventures</t>
        </is>
      </c>
      <c r="F671" t="inlineStr">
        <is>
          <t>$10 million</t>
        </is>
      </c>
      <c r="G671" s="19" t="n"/>
      <c r="H671" s="19" t="n">
        <v>10</v>
      </c>
      <c r="I671" t="inlineStr">
        <is>
          <t>Undisclosed</t>
        </is>
      </c>
      <c r="J671" t="inlineStr"/>
      <c r="K671" t="inlineStr">
        <is>
          <t>https://entrackr.com/snippets/asha-ventures-receives-10-mn-from-british-international-investment-8933836</t>
        </is>
      </c>
    </row>
    <row r="672">
      <c r="A672" t="inlineStr">
        <is>
          <t>ENT-8934376</t>
        </is>
      </c>
      <c r="B672" t="inlineStr">
        <is>
          <t>R250407-calligotechnol</t>
        </is>
      </c>
      <c r="C672" t="inlineStr">
        <is>
          <t>Entrackr</t>
        </is>
      </c>
      <c r="D672" s="17" t="n">
        <v>45754</v>
      </c>
      <c r="E672" t="inlineStr">
        <is>
          <t>Calligo Technologies</t>
        </is>
      </c>
      <c r="F672" t="inlineStr">
        <is>
          <t>$1.1 million</t>
        </is>
      </c>
      <c r="G672" s="19" t="n"/>
      <c r="H672" s="19" t="n">
        <v>1.1</v>
      </c>
      <c r="I672" t="inlineStr">
        <is>
          <t>Pre-Series A</t>
        </is>
      </c>
      <c r="J672" t="inlineStr">
        <is>
          <t>Seafund; Artha Venture Fund</t>
        </is>
      </c>
      <c r="K672" t="inlineStr">
        <is>
          <t>https://entrackr.com/snippets/semiconductor-startup-calligo-technologies-bags-11-mn-in-pre-series-a-8934376</t>
        </is>
      </c>
    </row>
    <row r="673">
      <c r="A673" t="inlineStr">
        <is>
          <t>ET-120067474</t>
        </is>
      </c>
      <c r="B673" t="inlineStr">
        <is>
          <t>R250407-calligotechnol</t>
        </is>
      </c>
      <c r="C673" t="inlineStr">
        <is>
          <t>The Economic Times</t>
        </is>
      </c>
      <c r="D673" s="17" t="n">
        <v>45754</v>
      </c>
      <c r="E673" t="inlineStr">
        <is>
          <t>Calligo Technologies</t>
        </is>
      </c>
      <c r="F673" t="inlineStr">
        <is>
          <t>$1.1 million</t>
        </is>
      </c>
      <c r="G673" s="19" t="n"/>
      <c r="H673" s="19" t="n">
        <v>1.1</v>
      </c>
      <c r="I673" t="inlineStr">
        <is>
          <t>Pre-Series A</t>
        </is>
      </c>
      <c r="J673" t="inlineStr">
        <is>
          <t>Seafund; Artha Venture Fund</t>
        </is>
      </c>
      <c r="K673" t="inlineStr">
        <is>
          <t>https://economictimes.indiatimes.com/tech/funding/semiconductor-startup-calligo-technologies-raises-1-1-million-from-seafund-artha-venture-fund/articleshow/120067474.cms</t>
        </is>
      </c>
    </row>
    <row r="674">
      <c r="A674" t="inlineStr">
        <is>
          <t>INC-20250412-17</t>
        </is>
      </c>
      <c r="B674" t="inlineStr">
        <is>
          <t>R250407-calligotechnol</t>
        </is>
      </c>
      <c r="C674" t="inlineStr">
        <is>
          <t>Inc42</t>
        </is>
      </c>
      <c r="D674" s="17" t="n">
        <v>45754</v>
      </c>
      <c r="E674" t="inlineStr">
        <is>
          <t>Calligo Technologies</t>
        </is>
      </c>
      <c r="F674" t="inlineStr">
        <is>
          <t>$1.1 Mn</t>
        </is>
      </c>
      <c r="G674" s="19" t="n"/>
      <c r="H674" s="19" t="n">
        <v>1.1</v>
      </c>
      <c r="I674" t="inlineStr">
        <is>
          <t>Pre-Series A</t>
        </is>
      </c>
      <c r="J674" t="inlineStr">
        <is>
          <t>Seafund; Artha Venture Fund</t>
        </is>
      </c>
      <c r="K674" t="inlineStr">
        <is>
          <t>https://inc42.com/buzz/from-juspay-to-noise-indian-startups-raised-195-mn-this-week/</t>
        </is>
      </c>
    </row>
    <row r="675">
      <c r="A675" t="inlineStr">
        <is>
          <t>ENT-8933729</t>
        </is>
      </c>
      <c r="B675" t="inlineStr">
        <is>
          <t>R250407-easebuzz</t>
        </is>
      </c>
      <c r="C675" t="inlineStr">
        <is>
          <t>Entrackr</t>
        </is>
      </c>
      <c r="D675" s="17" t="n">
        <v>45754</v>
      </c>
      <c r="E675" t="inlineStr">
        <is>
          <t>Easebuzz</t>
        </is>
      </c>
      <c r="F675" t="inlineStr">
        <is>
          <t>Rs 240 crore</t>
        </is>
      </c>
      <c r="G675" s="19" t="n">
        <v>240</v>
      </c>
      <c r="H675" s="19" t="n">
        <v>30</v>
      </c>
      <c r="I675" t="inlineStr">
        <is>
          <t>Undisclosed</t>
        </is>
      </c>
      <c r="J675" t="inlineStr">
        <is>
          <t>Bessemer Venture Partners</t>
        </is>
      </c>
      <c r="K675" t="inlineStr">
        <is>
          <t>https://entrackr.com/news/easebuzz-raises-30-mn-plans-ipo-in-2-3-years-8933729</t>
        </is>
      </c>
    </row>
    <row r="676">
      <c r="A676" t="inlineStr">
        <is>
          <t>ET-120043449</t>
        </is>
      </c>
      <c r="B676" t="inlineStr">
        <is>
          <t>R250407-easebuzz</t>
        </is>
      </c>
      <c r="C676" t="inlineStr">
        <is>
          <t>The Economic Times</t>
        </is>
      </c>
      <c r="D676" s="17" t="n">
        <v>45754</v>
      </c>
      <c r="E676" t="inlineStr">
        <is>
          <t>Easebuzz</t>
        </is>
      </c>
      <c r="F676" t="inlineStr">
        <is>
          <t>Rs 240 crore</t>
        </is>
      </c>
      <c r="G676" s="19" t="n">
        <v>240</v>
      </c>
      <c r="H676" s="19" t="n">
        <v>30</v>
      </c>
      <c r="I676" t="inlineStr">
        <is>
          <t>Undisclosed</t>
        </is>
      </c>
      <c r="J676" t="inlineStr">
        <is>
          <t>Bessemer Venture Partners</t>
        </is>
      </c>
      <c r="K676" t="inlineStr">
        <is>
          <t>https://economictimes.indiatimes.com/tech/funding/digital-payment-company-easebuzz-bags-30-million-lead-by-bessemer/articleshow/120043449.cms</t>
        </is>
      </c>
    </row>
    <row r="677">
      <c r="A677" t="inlineStr">
        <is>
          <t>INC-20250412-02</t>
        </is>
      </c>
      <c r="B677" t="inlineStr">
        <is>
          <t>R250407-easebuzz</t>
        </is>
      </c>
      <c r="C677" t="inlineStr">
        <is>
          <t>Inc42</t>
        </is>
      </c>
      <c r="D677" s="17" t="n">
        <v>45754</v>
      </c>
      <c r="E677" t="inlineStr">
        <is>
          <t>Easebuzz</t>
        </is>
      </c>
      <c r="F677" t="inlineStr">
        <is>
          <t>$30 Mn</t>
        </is>
      </c>
      <c r="G677" s="19" t="n"/>
      <c r="H677" s="19" t="n">
        <v>30</v>
      </c>
      <c r="I677" t="inlineStr">
        <is>
          <t>Series A</t>
        </is>
      </c>
      <c r="J677" t="inlineStr">
        <is>
          <t>Bessemer Venture Partners</t>
        </is>
      </c>
      <c r="K677" t="inlineStr">
        <is>
          <t>https://inc42.com/buzz/from-juspay-to-noise-indian-startups-raised-195-mn-this-week/</t>
        </is>
      </c>
    </row>
    <row r="678">
      <c r="A678" t="inlineStr">
        <is>
          <t>ENT-8997440</t>
        </is>
      </c>
      <c r="B678" t="inlineStr">
        <is>
          <t>R250407-easebuzz</t>
        </is>
      </c>
      <c r="C678" t="inlineStr">
        <is>
          <t>Entrackr</t>
        </is>
      </c>
      <c r="D678" s="17" t="n">
        <v>45771</v>
      </c>
      <c r="E678" t="inlineStr">
        <is>
          <t>Easebuzz</t>
        </is>
      </c>
      <c r="F678" t="inlineStr">
        <is>
          <t>Rs 240 crore</t>
        </is>
      </c>
      <c r="G678" s="19" t="n">
        <v>240</v>
      </c>
      <c r="H678" s="19" t="n">
        <v>28.2</v>
      </c>
      <c r="I678" t="inlineStr">
        <is>
          <t>Series A</t>
        </is>
      </c>
      <c r="J678" t="inlineStr"/>
      <c r="K678" t="inlineStr">
        <is>
          <t>https://entrackr.com/fintrackr/decoding-easebuzzs-series-a-round-valuation-and-captable-8997440</t>
        </is>
      </c>
    </row>
    <row r="679">
      <c r="A679" t="inlineStr">
        <is>
          <t>ENT-8934341</t>
        </is>
      </c>
      <c r="B679" t="inlineStr">
        <is>
          <t>R250407-innovist</t>
        </is>
      </c>
      <c r="C679" t="inlineStr">
        <is>
          <t>Entrackr</t>
        </is>
      </c>
      <c r="D679" s="17" t="n">
        <v>45754</v>
      </c>
      <c r="E679" t="inlineStr">
        <is>
          <t>Innovist</t>
        </is>
      </c>
      <c r="F679" t="inlineStr">
        <is>
          <t>Rs 136 crore</t>
        </is>
      </c>
      <c r="G679" s="19" t="n">
        <v>136</v>
      </c>
      <c r="H679" s="19" t="n">
        <v>16</v>
      </c>
      <c r="I679" t="inlineStr">
        <is>
          <t>Series B</t>
        </is>
      </c>
      <c r="J679" t="inlineStr">
        <is>
          <t>ICICI Venture</t>
        </is>
      </c>
      <c r="K679" t="inlineStr">
        <is>
          <t>https://entrackr.com/news/innovist-raises-rs-136-cr-led-by-icici-venture-accel-exits-8934341</t>
        </is>
      </c>
    </row>
    <row r="680">
      <c r="A680" t="inlineStr">
        <is>
          <t>ET-120053280</t>
        </is>
      </c>
      <c r="B680" t="inlineStr">
        <is>
          <t>R250407-innovist</t>
        </is>
      </c>
      <c r="C680" t="inlineStr">
        <is>
          <t>The Economic Times</t>
        </is>
      </c>
      <c r="D680" s="17" t="n">
        <v>45754</v>
      </c>
      <c r="E680" t="inlineStr">
        <is>
          <t>Innovist</t>
        </is>
      </c>
      <c r="F680" t="inlineStr">
        <is>
          <t>Rs 136 crore</t>
        </is>
      </c>
      <c r="G680" s="19" t="n">
        <v>136</v>
      </c>
      <c r="H680" s="19" t="n"/>
      <c r="I680" t="inlineStr">
        <is>
          <t>Undisclosed</t>
        </is>
      </c>
      <c r="J680" t="inlineStr">
        <is>
          <t>ICICI Venture</t>
        </is>
      </c>
      <c r="K680" t="inlineStr">
        <is>
          <t>https://economictimes.indiatimes.com/tech/funding/bare-anatomy-parent-innovist-raises-rs-136-crore-from-icici-venture-others/articleshow/120053280.cms</t>
        </is>
      </c>
    </row>
    <row r="681">
      <c r="A681" t="inlineStr">
        <is>
          <t>INC-20250412-05</t>
        </is>
      </c>
      <c r="B681" t="inlineStr">
        <is>
          <t>R250407-innovist</t>
        </is>
      </c>
      <c r="C681" t="inlineStr">
        <is>
          <t>Inc42</t>
        </is>
      </c>
      <c r="D681" s="17" t="n">
        <v>45754</v>
      </c>
      <c r="E681" t="inlineStr">
        <is>
          <t>Innovist</t>
        </is>
      </c>
      <c r="F681" t="inlineStr">
        <is>
          <t>$15.8 Mn</t>
        </is>
      </c>
      <c r="G681" s="19" t="n"/>
      <c r="H681" s="19" t="n">
        <v>15.8</v>
      </c>
      <c r="I681" t="inlineStr">
        <is>
          <t>Series B</t>
        </is>
      </c>
      <c r="J681" t="inlineStr">
        <is>
          <t>ICICI Ventures</t>
        </is>
      </c>
      <c r="K681" t="inlineStr">
        <is>
          <t>https://inc42.com/buzz/from-juspay-to-noise-indian-startups-raised-195-mn-this-week/</t>
        </is>
      </c>
    </row>
    <row r="682">
      <c r="A682" t="inlineStr">
        <is>
          <t>ENT-8934673</t>
        </is>
      </c>
      <c r="B682" t="inlineStr">
        <is>
          <t>R250407-juspay</t>
        </is>
      </c>
      <c r="C682" t="inlineStr">
        <is>
          <t>Entrackr</t>
        </is>
      </c>
      <c r="D682" s="17" t="n">
        <v>45754</v>
      </c>
      <c r="E682" t="inlineStr">
        <is>
          <t>Juspay</t>
        </is>
      </c>
      <c r="F682" t="inlineStr">
        <is>
          <t>$60 million</t>
        </is>
      </c>
      <c r="G682" s="19" t="n"/>
      <c r="H682" s="19" t="n">
        <v>60</v>
      </c>
      <c r="I682" t="inlineStr">
        <is>
          <t>Series D</t>
        </is>
      </c>
      <c r="J682" t="inlineStr">
        <is>
          <t>Kedaara Capital</t>
        </is>
      </c>
      <c r="K682" t="inlineStr">
        <is>
          <t>https://entrackr.com/news/juspay-secures-60-mn-from-kedaara-softbank-and-accel-8934673</t>
        </is>
      </c>
    </row>
    <row r="683">
      <c r="A683" t="inlineStr">
        <is>
          <t>ET-120055855</t>
        </is>
      </c>
      <c r="B683" t="inlineStr">
        <is>
          <t>R250407-juspay</t>
        </is>
      </c>
      <c r="C683" t="inlineStr">
        <is>
          <t>The Economic Times</t>
        </is>
      </c>
      <c r="D683" s="17" t="n">
        <v>45754</v>
      </c>
      <c r="E683" t="inlineStr">
        <is>
          <t>Juspay</t>
        </is>
      </c>
      <c r="F683" t="inlineStr">
        <is>
          <t>$60 million</t>
        </is>
      </c>
      <c r="G683" s="19" t="n"/>
      <c r="H683" s="19" t="n">
        <v>60</v>
      </c>
      <c r="I683" t="inlineStr">
        <is>
          <t>Undisclosed</t>
        </is>
      </c>
      <c r="J683" t="inlineStr">
        <is>
          <t>Kedaara Capital</t>
        </is>
      </c>
      <c r="K683" t="inlineStr">
        <is>
          <t>https://economictimes.indiatimes.com/tech/funding/juspay-closes-60-million-funding-from-kedaara-capital-others-valuation-doubles-to-more-than-900-million/articleshow/120055855.cms</t>
        </is>
      </c>
    </row>
    <row r="684">
      <c r="A684" t="inlineStr">
        <is>
          <t>INC-20250412-01</t>
        </is>
      </c>
      <c r="B684" t="inlineStr">
        <is>
          <t>R250407-juspay</t>
        </is>
      </c>
      <c r="C684" t="inlineStr">
        <is>
          <t>Inc42</t>
        </is>
      </c>
      <c r="D684" s="17" t="n">
        <v>45754</v>
      </c>
      <c r="E684" t="inlineStr">
        <is>
          <t>Juspay</t>
        </is>
      </c>
      <c r="F684" t="inlineStr">
        <is>
          <t>$60 Mn</t>
        </is>
      </c>
      <c r="G684" s="19" t="n"/>
      <c r="H684" s="19" t="n">
        <v>60</v>
      </c>
      <c r="I684" t="inlineStr">
        <is>
          <t>Series D</t>
        </is>
      </c>
      <c r="J684" t="inlineStr">
        <is>
          <t>Kedaara Capital</t>
        </is>
      </c>
      <c r="K684" t="inlineStr">
        <is>
          <t>https://inc42.com/buzz/from-juspay-to-noise-indian-startups-raised-195-mn-this-week/</t>
        </is>
      </c>
    </row>
    <row r="685">
      <c r="A685" t="inlineStr">
        <is>
          <t>VCC-dca705c692</t>
        </is>
      </c>
      <c r="B685" t="inlineStr">
        <is>
          <t>R250407-juspay</t>
        </is>
      </c>
      <c r="C685" t="inlineStr">
        <is>
          <t>VCCircle</t>
        </is>
      </c>
      <c r="D685" s="17" t="n">
        <v>45754</v>
      </c>
      <c r="E685" t="inlineStr">
        <is>
          <t>juspay</t>
        </is>
      </c>
      <c r="F685" t="inlineStr"/>
      <c r="G685" s="19" t="n"/>
      <c r="H685" s="19" t="n"/>
      <c r="I685" t="inlineStr">
        <is>
          <t>Series D</t>
        </is>
      </c>
      <c r="J685" t="inlineStr"/>
      <c r="K685" t="inlineStr">
        <is>
          <t>https://www.vccircle.com/kedaaracapital-leads-juspay-s-series-d-round-as-swedish-investor-trims-stake</t>
        </is>
      </c>
    </row>
    <row r="686">
      <c r="A686" t="inlineStr">
        <is>
          <t>ENT-8934877</t>
        </is>
      </c>
      <c r="B686" t="inlineStr">
        <is>
          <t>R250407-sadbhavfuturet</t>
        </is>
      </c>
      <c r="C686" t="inlineStr">
        <is>
          <t>Entrackr</t>
        </is>
      </c>
      <c r="D686" s="17" t="n">
        <v>45754</v>
      </c>
      <c r="E686" t="inlineStr">
        <is>
          <t>Sadbhav Future Tech</t>
        </is>
      </c>
      <c r="F686" t="inlineStr">
        <is>
          <t>Rs 36 crore</t>
        </is>
      </c>
      <c r="G686" s="19" t="n">
        <v>36</v>
      </c>
      <c r="H686" s="19" t="n">
        <v>4.19</v>
      </c>
      <c r="I686" t="inlineStr">
        <is>
          <t>Pre-IPO</t>
        </is>
      </c>
      <c r="J686" t="inlineStr"/>
      <c r="K686" t="inlineStr">
        <is>
          <t>https://entrackr.com/snippets/chanakya-opportunities-fund-invests-in-sadbhav-future-techs-rs-36-cr-round-8934877</t>
        </is>
      </c>
    </row>
    <row r="687">
      <c r="A687" t="inlineStr">
        <is>
          <t>ENT-8936188</t>
        </is>
      </c>
      <c r="B687" t="inlineStr">
        <is>
          <t>R250407-startupsiglqai</t>
        </is>
      </c>
      <c r="C687" t="inlineStr">
        <is>
          <t>Entrackr</t>
        </is>
      </c>
      <c r="D687" s="17" t="n">
        <v>45754</v>
      </c>
      <c r="E687" t="inlineStr">
        <is>
          <t>Startup SiglQ.ai</t>
        </is>
      </c>
      <c r="F687" t="inlineStr">
        <is>
          <t>$9.5 million</t>
        </is>
      </c>
      <c r="G687" s="19" t="n"/>
      <c r="H687" s="19" t="n">
        <v>9.5</v>
      </c>
      <c r="I687" t="inlineStr">
        <is>
          <t>Seed</t>
        </is>
      </c>
      <c r="J687" t="inlineStr">
        <is>
          <t>GSV Ventures</t>
        </is>
      </c>
      <c r="K687" t="inlineStr">
        <is>
          <t>https://entrackr.com/snippets/edtech-startup-siglqai-secures-95-mn-in-seed-funding-8936188</t>
        </is>
      </c>
    </row>
    <row r="688">
      <c r="A688" t="inlineStr">
        <is>
          <t>ENT-8933840</t>
        </is>
      </c>
      <c r="B688" t="inlineStr">
        <is>
          <t>R250407-vimano</t>
        </is>
      </c>
      <c r="C688" t="inlineStr">
        <is>
          <t>Entrackr</t>
        </is>
      </c>
      <c r="D688" s="17" t="n">
        <v>45754</v>
      </c>
      <c r="E688" t="inlineStr">
        <is>
          <t>Vimano</t>
        </is>
      </c>
      <c r="F688" t="inlineStr">
        <is>
          <t>Rs 25 crore</t>
        </is>
      </c>
      <c r="G688" s="19" t="n">
        <v>25</v>
      </c>
      <c r="H688" s="19" t="n">
        <v>3</v>
      </c>
      <c r="I688" t="inlineStr">
        <is>
          <t>Seed</t>
        </is>
      </c>
      <c r="J688" t="inlineStr">
        <is>
          <t>Ankur Capital</t>
        </is>
      </c>
      <c r="K688" t="inlineStr">
        <is>
          <t>https://entrackr.com/snippets/vimano-raises-rs-25-cr-in-seed-round-led-by-ankur-capital-8933840</t>
        </is>
      </c>
    </row>
    <row r="689">
      <c r="A689" t="inlineStr">
        <is>
          <t>ET-120055716</t>
        </is>
      </c>
      <c r="B689" t="inlineStr">
        <is>
          <t>R250407-vimano</t>
        </is>
      </c>
      <c r="C689" t="inlineStr">
        <is>
          <t>The Economic Times</t>
        </is>
      </c>
      <c r="D689" s="17" t="n">
        <v>45754</v>
      </c>
      <c r="E689" t="inlineStr">
        <is>
          <t>Vimano</t>
        </is>
      </c>
      <c r="F689" t="inlineStr">
        <is>
          <t>Rs 25 crore</t>
        </is>
      </c>
      <c r="G689" s="19" t="n">
        <v>25</v>
      </c>
      <c r="H689" s="19" t="n"/>
      <c r="I689" t="inlineStr">
        <is>
          <t>Seed</t>
        </is>
      </c>
      <c r="J689" t="inlineStr">
        <is>
          <t>Ankur Capital</t>
        </is>
      </c>
      <c r="K689" t="inlineStr">
        <is>
          <t>https://economictimes.indiatimes.com/tech/funding/nanotechnology-startup-vimano-raises-rs-25-crore-from-ankur-capital/articleshow/120055716.cms</t>
        </is>
      </c>
    </row>
    <row r="690">
      <c r="A690" t="inlineStr">
        <is>
          <t>INC-20250412-10</t>
        </is>
      </c>
      <c r="B690" t="inlineStr">
        <is>
          <t>R250407-vimano</t>
        </is>
      </c>
      <c r="C690" t="inlineStr">
        <is>
          <t>Inc42</t>
        </is>
      </c>
      <c r="D690" s="17" t="n">
        <v>45754</v>
      </c>
      <c r="E690" t="inlineStr">
        <is>
          <t>Vimano</t>
        </is>
      </c>
      <c r="F690" t="inlineStr">
        <is>
          <t>$2.9 Mn</t>
        </is>
      </c>
      <c r="G690" s="19" t="n"/>
      <c r="H690" s="19" t="n">
        <v>2.9</v>
      </c>
      <c r="I690" t="inlineStr">
        <is>
          <t>Seed</t>
        </is>
      </c>
      <c r="J690" t="inlineStr">
        <is>
          <t>Ankur Capital</t>
        </is>
      </c>
      <c r="K690" t="inlineStr">
        <is>
          <t>https://inc42.com/buzz/from-juspay-to-noise-indian-startups-raised-195-mn-this-week/</t>
        </is>
      </c>
    </row>
    <row r="691">
      <c r="A691" t="inlineStr">
        <is>
          <t>ENT-8937865</t>
        </is>
      </c>
      <c r="B691" t="inlineStr">
        <is>
          <t>R250408-agrostar</t>
        </is>
      </c>
      <c r="C691" t="inlineStr">
        <is>
          <t>Entrackr</t>
        </is>
      </c>
      <c r="D691" s="17" t="n">
        <v>45755</v>
      </c>
      <c r="E691" t="inlineStr">
        <is>
          <t>Agrostar</t>
        </is>
      </c>
      <c r="F691" t="inlineStr">
        <is>
          <t>Rs 57.65 crore</t>
        </is>
      </c>
      <c r="G691" s="19" t="n">
        <v>57.65</v>
      </c>
      <c r="H691" s="19" t="n">
        <v>6.7</v>
      </c>
      <c r="I691" t="inlineStr">
        <is>
          <t>Undisclosed</t>
        </is>
      </c>
      <c r="J691" t="inlineStr"/>
      <c r="K691" t="inlineStr">
        <is>
          <t>https://entrackr.com/exclusive/exclusive-agrostar-raises-fresh-funds-from-existing-investors-8937865</t>
        </is>
      </c>
    </row>
    <row r="692">
      <c r="A692" t="inlineStr">
        <is>
          <t>ET-120090947</t>
        </is>
      </c>
      <c r="B692" t="inlineStr">
        <is>
          <t>R250408-agrostar</t>
        </is>
      </c>
      <c r="C692" t="inlineStr">
        <is>
          <t>The Economic Times</t>
        </is>
      </c>
      <c r="D692" s="17" t="n">
        <v>45755</v>
      </c>
      <c r="E692" t="inlineStr">
        <is>
          <t>AgroStar</t>
        </is>
      </c>
      <c r="F692" t="inlineStr">
        <is>
          <t>$6.7 million</t>
        </is>
      </c>
      <c r="G692" s="19" t="n"/>
      <c r="H692" s="19" t="n">
        <v>6.7</v>
      </c>
      <c r="I692" t="inlineStr">
        <is>
          <t>Undisclosed</t>
        </is>
      </c>
      <c r="J692" t="inlineStr"/>
      <c r="K692" t="inlineStr">
        <is>
          <t>https://economictimes.indiatimes.com/tech/funding/agritech-startup-agrostar-raises-6-7-million-from-accel-india-other-existing-backers/articleshow/120090947.cms</t>
        </is>
      </c>
    </row>
    <row r="693">
      <c r="A693" t="inlineStr">
        <is>
          <t>INC-20250412-08</t>
        </is>
      </c>
      <c r="B693" t="inlineStr">
        <is>
          <t>R250408-agrostar</t>
        </is>
      </c>
      <c r="C693" t="inlineStr">
        <is>
          <t>Inc42</t>
        </is>
      </c>
      <c r="D693" s="17" t="n">
        <v>45756</v>
      </c>
      <c r="E693" t="inlineStr">
        <is>
          <t>AgroStar</t>
        </is>
      </c>
      <c r="F693" t="inlineStr">
        <is>
          <t>$6.7 Mn</t>
        </is>
      </c>
      <c r="G693" s="19" t="n"/>
      <c r="H693" s="19" t="n">
        <v>6.7</v>
      </c>
      <c r="I693" t="inlineStr">
        <is>
          <t>Undisclosed</t>
        </is>
      </c>
      <c r="J693" t="inlineStr">
        <is>
          <t>Accel India</t>
        </is>
      </c>
      <c r="K693" t="inlineStr">
        <is>
          <t>https://inc42.com/buzz/from-juspay-to-noise-indian-startups-raised-195-mn-this-week/</t>
        </is>
      </c>
    </row>
    <row r="694">
      <c r="A694" t="inlineStr">
        <is>
          <t>ENT-8938078</t>
        </is>
      </c>
      <c r="B694" t="inlineStr">
        <is>
          <t>R250408-cautio</t>
        </is>
      </c>
      <c r="C694" t="inlineStr">
        <is>
          <t>Entrackr</t>
        </is>
      </c>
      <c r="D694" s="17" t="n">
        <v>45755</v>
      </c>
      <c r="E694" t="inlineStr">
        <is>
          <t>Cautio</t>
        </is>
      </c>
      <c r="F694" t="inlineStr">
        <is>
          <t>Rs 11 crore</t>
        </is>
      </c>
      <c r="G694" s="19" t="n">
        <v>11</v>
      </c>
      <c r="H694" s="19" t="n"/>
      <c r="I694" t="inlineStr">
        <is>
          <t>Seed</t>
        </is>
      </c>
      <c r="J694" t="inlineStr"/>
      <c r="K694" t="inlineStr">
        <is>
          <t>https://entrackr.com/snippets/dashcam-startup-cautio-raises-rs-11-cr-in-seed-round-8938078</t>
        </is>
      </c>
    </row>
    <row r="695">
      <c r="A695" t="inlineStr">
        <is>
          <t>INC-20250412-14</t>
        </is>
      </c>
      <c r="B695" t="inlineStr">
        <is>
          <t>R250408-cautio</t>
        </is>
      </c>
      <c r="C695" t="inlineStr">
        <is>
          <t>Inc42</t>
        </is>
      </c>
      <c r="D695" s="17" t="n">
        <v>45755</v>
      </c>
      <c r="E695" t="inlineStr">
        <is>
          <t>Cautio</t>
        </is>
      </c>
      <c r="F695" t="inlineStr">
        <is>
          <t>$1.3 Mn</t>
        </is>
      </c>
      <c r="G695" s="19" t="n"/>
      <c r="H695" s="19" t="n">
        <v>1.3</v>
      </c>
      <c r="I695" t="inlineStr">
        <is>
          <t>Seed</t>
        </is>
      </c>
      <c r="J695" t="inlineStr"/>
      <c r="K695" t="inlineStr">
        <is>
          <t>https://inc42.com/buzz/from-juspay-to-noise-indian-startups-raised-195-mn-this-week/</t>
        </is>
      </c>
    </row>
    <row r="696">
      <c r="A696" t="inlineStr">
        <is>
          <t>INC-20250412-12</t>
        </is>
      </c>
      <c r="B696" t="inlineStr">
        <is>
          <t>R250408-eatbetter</t>
        </is>
      </c>
      <c r="C696" t="inlineStr">
        <is>
          <t>Inc42</t>
        </is>
      </c>
      <c r="D696" s="17" t="n">
        <v>45755</v>
      </c>
      <c r="E696" t="inlineStr">
        <is>
          <t>Eat Better</t>
        </is>
      </c>
      <c r="F696" t="inlineStr">
        <is>
          <t>$2 Mn</t>
        </is>
      </c>
      <c r="G696" s="19" t="n"/>
      <c r="H696" s="19" t="n">
        <v>2</v>
      </c>
      <c r="I696" t="inlineStr">
        <is>
          <t>Pre-Series A</t>
        </is>
      </c>
      <c r="J696" t="inlineStr">
        <is>
          <t>Prath Ventures; Spring Marketing Capital</t>
        </is>
      </c>
      <c r="K696" t="inlineStr">
        <is>
          <t>https://inc42.com/buzz/from-juspay-to-noise-indian-startups-raised-195-mn-this-week/</t>
        </is>
      </c>
    </row>
    <row r="697">
      <c r="A697" t="inlineStr">
        <is>
          <t>ENT-8942690</t>
        </is>
      </c>
      <c r="B697" t="inlineStr">
        <is>
          <t>R250408-eatbetter</t>
        </is>
      </c>
      <c r="C697" t="inlineStr">
        <is>
          <t>Entrackr</t>
        </is>
      </c>
      <c r="D697" s="17" t="n">
        <v>45756</v>
      </c>
      <c r="E697" t="inlineStr">
        <is>
          <t>Eat Better Co</t>
        </is>
      </c>
      <c r="F697" t="inlineStr">
        <is>
          <t>Rs 17 crore</t>
        </is>
      </c>
      <c r="G697" s="19" t="n">
        <v>17</v>
      </c>
      <c r="H697" s="19" t="n"/>
      <c r="I697" t="inlineStr">
        <is>
          <t>Pre-Series A</t>
        </is>
      </c>
      <c r="J697" t="inlineStr">
        <is>
          <t>Prath Ventures; Spring Marketing Capital</t>
        </is>
      </c>
      <c r="K697" t="inlineStr">
        <is>
          <t>https://entrackr.com/snippets/eat-better-co-bags-rs-17-cr-in-pre-series-a-round-8942690</t>
        </is>
      </c>
    </row>
    <row r="698">
      <c r="A698" t="inlineStr">
        <is>
          <t>ENT-8938030</t>
        </is>
      </c>
      <c r="B698" t="inlineStr">
        <is>
          <t>R250408-outzidr</t>
        </is>
      </c>
      <c r="C698" t="inlineStr">
        <is>
          <t>Entrackr</t>
        </is>
      </c>
      <c r="D698" s="17" t="n">
        <v>45755</v>
      </c>
      <c r="E698" t="inlineStr">
        <is>
          <t>Outzidr</t>
        </is>
      </c>
      <c r="F698" t="inlineStr">
        <is>
          <t>Rs 30 crore</t>
        </is>
      </c>
      <c r="G698" s="19" t="n">
        <v>30</v>
      </c>
      <c r="H698" s="19" t="n">
        <v>3.49</v>
      </c>
      <c r="I698" t="inlineStr">
        <is>
          <t>Seed</t>
        </is>
      </c>
      <c r="J698" t="inlineStr">
        <is>
          <t>Stellaris Venture Partners</t>
        </is>
      </c>
      <c r="K698" t="inlineStr">
        <is>
          <t>https://entrackr.com/snippets/fashion-brand-outzidr-raises-rs-30-cr-in-seed-round-from-stellaris-8938030</t>
        </is>
      </c>
    </row>
    <row r="699">
      <c r="A699" t="inlineStr">
        <is>
          <t>INC-20250412-09</t>
        </is>
      </c>
      <c r="B699" t="inlineStr">
        <is>
          <t>R250408-outzidr</t>
        </is>
      </c>
      <c r="C699" t="inlineStr">
        <is>
          <t>Inc42</t>
        </is>
      </c>
      <c r="D699" s="17" t="n">
        <v>45755</v>
      </c>
      <c r="E699" t="inlineStr">
        <is>
          <t>OUTZIDR</t>
        </is>
      </c>
      <c r="F699" t="inlineStr">
        <is>
          <t>$3.5 Mn</t>
        </is>
      </c>
      <c r="G699" s="19" t="n"/>
      <c r="H699" s="19" t="n">
        <v>3.5</v>
      </c>
      <c r="I699" t="inlineStr">
        <is>
          <t>Seed</t>
        </is>
      </c>
      <c r="J699" t="inlineStr">
        <is>
          <t>Stellaris Venture Partners</t>
        </is>
      </c>
      <c r="K699" t="inlineStr">
        <is>
          <t>https://inc42.com/buzz/from-juspay-to-noise-indian-startups-raised-195-mn-this-week/</t>
        </is>
      </c>
    </row>
    <row r="700">
      <c r="A700" t="inlineStr">
        <is>
          <t>ENT-8941824</t>
        </is>
      </c>
      <c r="B700" t="inlineStr">
        <is>
          <t>R250409-amicco</t>
        </is>
      </c>
      <c r="C700" t="inlineStr">
        <is>
          <t>Entrackr</t>
        </is>
      </c>
      <c r="D700" s="17" t="n">
        <v>45756</v>
      </c>
      <c r="E700" t="inlineStr">
        <is>
          <t>Amicco</t>
        </is>
      </c>
      <c r="F700" t="inlineStr">
        <is>
          <t>$1 million</t>
        </is>
      </c>
      <c r="G700" s="19" t="n"/>
      <c r="H700" s="19" t="n">
        <v>1</v>
      </c>
      <c r="I700" t="inlineStr">
        <is>
          <t>Seed</t>
        </is>
      </c>
      <c r="J700" t="inlineStr">
        <is>
          <t>Eximius Ventures</t>
        </is>
      </c>
      <c r="K700" t="inlineStr">
        <is>
          <t>https://entrackr.com/snippets/amicco-raises-1-mn-in-seed-round-led-by-eximius-8941824</t>
        </is>
      </c>
    </row>
    <row r="701">
      <c r="A701" t="inlineStr">
        <is>
          <t>INC-20250412-19</t>
        </is>
      </c>
      <c r="B701" t="inlineStr">
        <is>
          <t>R250409-amicco</t>
        </is>
      </c>
      <c r="C701" t="inlineStr">
        <is>
          <t>Inc42</t>
        </is>
      </c>
      <c r="D701" s="17" t="n">
        <v>45756</v>
      </c>
      <c r="E701" t="inlineStr">
        <is>
          <t>Amicco</t>
        </is>
      </c>
      <c r="F701" t="inlineStr">
        <is>
          <t>$1 Mn</t>
        </is>
      </c>
      <c r="G701" s="19" t="n"/>
      <c r="H701" s="19" t="n">
        <v>1</v>
      </c>
      <c r="I701" t="inlineStr">
        <is>
          <t>Seed</t>
        </is>
      </c>
      <c r="J701" t="inlineStr">
        <is>
          <t>Eximius Ventures</t>
        </is>
      </c>
      <c r="K701" t="inlineStr">
        <is>
          <t>https://inc42.com/buzz/from-juspay-to-noise-indian-startups-raised-195-mn-this-week/</t>
        </is>
      </c>
    </row>
    <row r="702">
      <c r="A702" t="inlineStr">
        <is>
          <t>ENT-8943087</t>
        </is>
      </c>
      <c r="B702" t="inlineStr">
        <is>
          <t>R250409-bhagva</t>
        </is>
      </c>
      <c r="C702" t="inlineStr">
        <is>
          <t>Entrackr</t>
        </is>
      </c>
      <c r="D702" s="17" t="n">
        <v>45756</v>
      </c>
      <c r="E702" t="inlineStr">
        <is>
          <t>Bhagva</t>
        </is>
      </c>
      <c r="F702" t="inlineStr">
        <is>
          <t>$1 million</t>
        </is>
      </c>
      <c r="G702" s="19" t="n"/>
      <c r="H702" s="19" t="n">
        <v>1</v>
      </c>
      <c r="I702" t="inlineStr">
        <is>
          <t>Pre-Series A</t>
        </is>
      </c>
      <c r="J702" t="inlineStr"/>
      <c r="K702" t="inlineStr">
        <is>
          <t>https://entrackr.com/snippets/digital-spiritual-platform-bhagva-raises-1-mn-in-pre-series-a-round-8943087</t>
        </is>
      </c>
    </row>
    <row r="703">
      <c r="A703" t="inlineStr">
        <is>
          <t>INC-20250412-18</t>
        </is>
      </c>
      <c r="B703" t="inlineStr">
        <is>
          <t>R250409-bhagva</t>
        </is>
      </c>
      <c r="C703" t="inlineStr">
        <is>
          <t>Inc42</t>
        </is>
      </c>
      <c r="D703" s="17" t="n">
        <v>45757</v>
      </c>
      <c r="E703" t="inlineStr">
        <is>
          <t>Bhagva</t>
        </is>
      </c>
      <c r="F703" t="inlineStr">
        <is>
          <t>$1 Mn</t>
        </is>
      </c>
      <c r="G703" s="19" t="n"/>
      <c r="H703" s="19" t="n">
        <v>1</v>
      </c>
      <c r="I703" t="inlineStr">
        <is>
          <t>Pre-Series A</t>
        </is>
      </c>
      <c r="J703" t="inlineStr"/>
      <c r="K703" t="inlineStr">
        <is>
          <t>https://inc42.com/buzz/from-juspay-to-noise-indian-startups-raised-195-mn-this-week/</t>
        </is>
      </c>
    </row>
    <row r="704">
      <c r="A704" t="inlineStr">
        <is>
          <t>ENT-8942343</t>
        </is>
      </c>
      <c r="B704" t="inlineStr">
        <is>
          <t>R250409-lettry</t>
        </is>
      </c>
      <c r="C704" t="inlineStr">
        <is>
          <t>Entrackr</t>
        </is>
      </c>
      <c r="D704" s="17" t="n">
        <v>45756</v>
      </c>
      <c r="E704" t="inlineStr">
        <is>
          <t>Let’s Try</t>
        </is>
      </c>
      <c r="F704" t="inlineStr">
        <is>
          <t>$2.5 million</t>
        </is>
      </c>
      <c r="G704" s="19" t="n"/>
      <c r="H704" s="19" t="n">
        <v>2.5</v>
      </c>
      <c r="I704" t="inlineStr">
        <is>
          <t>Undisclosed</t>
        </is>
      </c>
      <c r="J704" t="inlineStr">
        <is>
          <t>SWC Global</t>
        </is>
      </c>
      <c r="K704" t="inlineStr">
        <is>
          <t>https://entrackr.com/snippets/snack-brand-lets-try-raises-25-mn-led-by-swc-global-8942343</t>
        </is>
      </c>
    </row>
    <row r="705">
      <c r="A705" t="inlineStr">
        <is>
          <t>INC-20250412-11</t>
        </is>
      </c>
      <c r="B705" t="inlineStr">
        <is>
          <t>R250409-lettry</t>
        </is>
      </c>
      <c r="C705" t="inlineStr">
        <is>
          <t>Inc42</t>
        </is>
      </c>
      <c r="D705" s="17" t="n">
        <v>45756</v>
      </c>
      <c r="E705" t="inlineStr">
        <is>
          <t>Let’s Try</t>
        </is>
      </c>
      <c r="F705" t="inlineStr">
        <is>
          <t>$2.5 Mn</t>
        </is>
      </c>
      <c r="G705" s="19" t="n"/>
      <c r="H705" s="19" t="n">
        <v>2.5</v>
      </c>
      <c r="I705" t="inlineStr">
        <is>
          <t>Pre-Series A</t>
        </is>
      </c>
      <c r="J705" t="inlineStr">
        <is>
          <t>SWC Global</t>
        </is>
      </c>
      <c r="K705" t="inlineStr">
        <is>
          <t>https://inc42.com/buzz/from-juspay-to-noise-indian-startups-raised-195-mn-this-week/</t>
        </is>
      </c>
    </row>
    <row r="706">
      <c r="A706" t="inlineStr">
        <is>
          <t>ET-120130563</t>
        </is>
      </c>
      <c r="B706" t="inlineStr">
        <is>
          <t>R250409-noise</t>
        </is>
      </c>
      <c r="C706" t="inlineStr">
        <is>
          <t>The Economic Times</t>
        </is>
      </c>
      <c r="D706" s="17" t="n">
        <v>45756</v>
      </c>
      <c r="E706" t="inlineStr">
        <is>
          <t>Noise</t>
        </is>
      </c>
      <c r="F706" t="inlineStr">
        <is>
          <t>$20 million</t>
        </is>
      </c>
      <c r="G706" s="19" t="n"/>
      <c r="H706" s="19" t="n">
        <v>20</v>
      </c>
      <c r="I706" t="inlineStr">
        <is>
          <t>Undisclosed</t>
        </is>
      </c>
      <c r="J706" t="inlineStr"/>
      <c r="K706" t="inlineStr">
        <is>
          <t>https://economictimes.indiatimes.com/tech/funding/wearables-brand-noise-raises-20-million-from-bose-corp/articleshow/120130563.cms</t>
        </is>
      </c>
    </row>
    <row r="707">
      <c r="A707" t="inlineStr">
        <is>
          <t>INC-20250412-03</t>
        </is>
      </c>
      <c r="B707" t="inlineStr">
        <is>
          <t>R250409-noise</t>
        </is>
      </c>
      <c r="C707" t="inlineStr">
        <is>
          <t>Inc42</t>
        </is>
      </c>
      <c r="D707" s="17" t="n">
        <v>45756</v>
      </c>
      <c r="E707" t="inlineStr">
        <is>
          <t>Noise</t>
        </is>
      </c>
      <c r="F707" t="inlineStr">
        <is>
          <t>$20 Mn</t>
        </is>
      </c>
      <c r="G707" s="19" t="n"/>
      <c r="H707" s="19" t="n">
        <v>20</v>
      </c>
      <c r="I707" t="inlineStr">
        <is>
          <t>Undisclosed</t>
        </is>
      </c>
      <c r="J707" t="inlineStr">
        <is>
          <t>Bose</t>
        </is>
      </c>
      <c r="K707" t="inlineStr">
        <is>
          <t>https://inc42.com/buzz/from-juspay-to-noise-indian-startups-raised-195-mn-this-week/</t>
        </is>
      </c>
    </row>
    <row r="708">
      <c r="A708" t="inlineStr">
        <is>
          <t>ENT-8946838</t>
        </is>
      </c>
      <c r="B708" t="inlineStr">
        <is>
          <t>R250410-askmyguru</t>
        </is>
      </c>
      <c r="C708" t="inlineStr">
        <is>
          <t>Entrackr</t>
        </is>
      </c>
      <c r="D708" s="17" t="n">
        <v>45757</v>
      </c>
      <c r="E708" t="inlineStr">
        <is>
          <t>AskMyGuru</t>
        </is>
      </c>
      <c r="F708" t="inlineStr">
        <is>
          <t>$1.2 million</t>
        </is>
      </c>
      <c r="G708" s="19" t="n"/>
      <c r="H708" s="19" t="n">
        <v>1.2</v>
      </c>
      <c r="I708" t="inlineStr">
        <is>
          <t>Seed</t>
        </is>
      </c>
      <c r="J708" t="inlineStr">
        <is>
          <t>Lumikai</t>
        </is>
      </c>
      <c r="K708" t="inlineStr">
        <is>
          <t>https://entrackr.com/snippets/lumikai-leads-12-mn-seed-round-in-askmyguru-8946838</t>
        </is>
      </c>
    </row>
    <row r="709">
      <c r="A709" t="inlineStr">
        <is>
          <t>INC-20250412-15</t>
        </is>
      </c>
      <c r="B709" t="inlineStr">
        <is>
          <t>R250410-askmyguru</t>
        </is>
      </c>
      <c r="C709" t="inlineStr">
        <is>
          <t>Inc42</t>
        </is>
      </c>
      <c r="D709" s="17" t="n">
        <v>45757</v>
      </c>
      <c r="E709" t="inlineStr">
        <is>
          <t>AskMyGuru</t>
        </is>
      </c>
      <c r="F709" t="inlineStr">
        <is>
          <t>$1.2 Mn</t>
        </is>
      </c>
      <c r="G709" s="19" t="n"/>
      <c r="H709" s="19" t="n">
        <v>1.2</v>
      </c>
      <c r="I709" t="inlineStr">
        <is>
          <t>Undisclosed</t>
        </is>
      </c>
      <c r="J709" t="inlineStr">
        <is>
          <t>Lumikai</t>
        </is>
      </c>
      <c r="K709" t="inlineStr">
        <is>
          <t>https://inc42.com/buzz/from-juspay-to-noise-indian-startups-raised-195-mn-this-week/</t>
        </is>
      </c>
    </row>
    <row r="710">
      <c r="A710" t="inlineStr">
        <is>
          <t>ENT-8947167</t>
        </is>
      </c>
      <c r="B710" t="inlineStr">
        <is>
          <t>R250410-bower</t>
        </is>
      </c>
      <c r="C710" t="inlineStr">
        <is>
          <t>Entrackr</t>
        </is>
      </c>
      <c r="D710" s="17" t="n">
        <v>45757</v>
      </c>
      <c r="E710" t="inlineStr">
        <is>
          <t>Bower</t>
        </is>
      </c>
      <c r="F710" t="inlineStr">
        <is>
          <t>Rs 11.5 crore</t>
        </is>
      </c>
      <c r="G710" s="19" t="n">
        <v>11.5</v>
      </c>
      <c r="H710" s="19" t="n">
        <v>1.33</v>
      </c>
      <c r="I710" t="inlineStr">
        <is>
          <t>Seed</t>
        </is>
      </c>
      <c r="J710" t="inlineStr"/>
      <c r="K710" t="inlineStr">
        <is>
          <t>https://entrackr.com/snippets/bower-raises-rs-115-cr-in-seed-round-8947167</t>
        </is>
      </c>
    </row>
    <row r="711">
      <c r="A711" t="inlineStr">
        <is>
          <t>ET-120158225</t>
        </is>
      </c>
      <c r="B711" t="inlineStr">
        <is>
          <t>R250410-bower</t>
        </is>
      </c>
      <c r="C711" t="inlineStr">
        <is>
          <t>The Economic Times</t>
        </is>
      </c>
      <c r="D711" s="17" t="n">
        <v>45757</v>
      </c>
      <c r="E711" t="inlineStr">
        <is>
          <t>Bower School of Entrepreneurship</t>
        </is>
      </c>
      <c r="F711" t="inlineStr">
        <is>
          <t>Rs 11.5 crore</t>
        </is>
      </c>
      <c r="G711" s="19" t="n">
        <v>11.5</v>
      </c>
      <c r="H711" s="19" t="n"/>
      <c r="I711" t="inlineStr">
        <is>
          <t>Seed</t>
        </is>
      </c>
      <c r="J711" t="inlineStr"/>
      <c r="K711" t="inlineStr">
        <is>
          <t>https://economictimes.indiatimes.com/tech/funding/bower-school-of-entrepreneurship-raises-rs-11-5-crore-in-seed-funding/articleshow/120158225.cms</t>
        </is>
      </c>
    </row>
    <row r="712">
      <c r="A712" t="inlineStr">
        <is>
          <t>INC-20250412-13</t>
        </is>
      </c>
      <c r="B712" t="inlineStr">
        <is>
          <t>R250410-bower</t>
        </is>
      </c>
      <c r="C712" t="inlineStr">
        <is>
          <t>Inc42</t>
        </is>
      </c>
      <c r="D712" s="17" t="n">
        <v>45757</v>
      </c>
      <c r="E712" t="inlineStr">
        <is>
          <t>Bower School of Entrepreneurship</t>
        </is>
      </c>
      <c r="F712" t="inlineStr">
        <is>
          <t>$1.4 Mn</t>
        </is>
      </c>
      <c r="G712" s="19" t="n"/>
      <c r="H712" s="19" t="n">
        <v>1.4</v>
      </c>
      <c r="I712" t="inlineStr">
        <is>
          <t>Seed</t>
        </is>
      </c>
      <c r="J712" t="inlineStr"/>
      <c r="K712" t="inlineStr">
        <is>
          <t>https://inc42.com/buzz/from-juspay-to-noise-indian-startups-raised-195-mn-this-week/</t>
        </is>
      </c>
    </row>
    <row r="713">
      <c r="A713" t="inlineStr">
        <is>
          <t>INC-20250412-20</t>
        </is>
      </c>
      <c r="B713" t="inlineStr">
        <is>
          <t>R250410-drivefitt</t>
        </is>
      </c>
      <c r="C713" t="inlineStr">
        <is>
          <t>Inc42</t>
        </is>
      </c>
      <c r="D713" s="17" t="n">
        <v>45757</v>
      </c>
      <c r="E713" t="inlineStr">
        <is>
          <t>DRIVE FITT</t>
        </is>
      </c>
      <c r="F713" t="inlineStr"/>
      <c r="G713" s="19" t="n"/>
      <c r="H713" s="19" t="n"/>
      <c r="I713" t="inlineStr">
        <is>
          <t>Undisclosed</t>
        </is>
      </c>
      <c r="J713" t="inlineStr"/>
      <c r="K713" t="inlineStr">
        <is>
          <t>https://inc42.com/buzz/from-juspay-to-noise-indian-startups-raised-195-mn-this-week/</t>
        </is>
      </c>
    </row>
    <row r="714">
      <c r="A714" t="inlineStr">
        <is>
          <t>ENT-8946507</t>
        </is>
      </c>
      <c r="B714" t="inlineStr">
        <is>
          <t>R250410-eloelo</t>
        </is>
      </c>
      <c r="C714" t="inlineStr">
        <is>
          <t>Entrackr</t>
        </is>
      </c>
      <c r="D714" s="17" t="n">
        <v>45757</v>
      </c>
      <c r="E714" t="inlineStr">
        <is>
          <t>Eloelo</t>
        </is>
      </c>
      <c r="F714" t="inlineStr">
        <is>
          <t>$13.5 million</t>
        </is>
      </c>
      <c r="G714" s="19" t="n">
        <v>114.3</v>
      </c>
      <c r="H714" s="19" t="n">
        <v>13.5</v>
      </c>
      <c r="I714" t="inlineStr">
        <is>
          <t>Series B</t>
        </is>
      </c>
      <c r="J714" t="inlineStr">
        <is>
          <t>Play Ventures</t>
        </is>
      </c>
      <c r="K714" t="inlineStr">
        <is>
          <t>https://entrackr.com/snippets/eloelo-raises-135-mn-in-series-b-round-led-by-play-ventures-8946507</t>
        </is>
      </c>
    </row>
    <row r="715">
      <c r="A715" t="inlineStr">
        <is>
          <t>INC-20250412-06</t>
        </is>
      </c>
      <c r="B715" t="inlineStr">
        <is>
          <t>R250410-eloelo</t>
        </is>
      </c>
      <c r="C715" t="inlineStr">
        <is>
          <t>Inc42</t>
        </is>
      </c>
      <c r="D715" s="17" t="n">
        <v>45757</v>
      </c>
      <c r="E715" t="inlineStr">
        <is>
          <t>EloElo</t>
        </is>
      </c>
      <c r="F715" t="inlineStr">
        <is>
          <t>$13.5 Mn</t>
        </is>
      </c>
      <c r="G715" s="19" t="n"/>
      <c r="H715" s="19" t="n">
        <v>13.5</v>
      </c>
      <c r="I715" t="inlineStr">
        <is>
          <t>Series B</t>
        </is>
      </c>
      <c r="J715" t="inlineStr">
        <is>
          <t>Play Ventures</t>
        </is>
      </c>
      <c r="K715" t="inlineStr">
        <is>
          <t>https://inc42.com/buzz/from-juspay-to-noise-indian-startups-raised-195-mn-this-week/</t>
        </is>
      </c>
    </row>
    <row r="716">
      <c r="A716" t="inlineStr">
        <is>
          <t>VCC-10f1218819</t>
        </is>
      </c>
      <c r="B716" t="inlineStr">
        <is>
          <t>R250410-eloelo</t>
        </is>
      </c>
      <c r="C716" t="inlineStr">
        <is>
          <t>VCCircle</t>
        </is>
      </c>
      <c r="D716" s="17" t="n">
        <v>45757</v>
      </c>
      <c r="E716" t="inlineStr">
        <is>
          <t>eloelo</t>
        </is>
      </c>
      <c r="F716" t="inlineStr"/>
      <c r="G716" s="19" t="n"/>
      <c r="H716" s="19" t="n"/>
      <c r="I716" t="inlineStr">
        <is>
          <t>Series B</t>
        </is>
      </c>
      <c r="J716" t="inlineStr"/>
      <c r="K716" t="inlineStr">
        <is>
          <t>https://www.vccircle.com/kalaaricapital-backed-eloelo-snags-series-b-funding</t>
        </is>
      </c>
    </row>
    <row r="717">
      <c r="A717" t="inlineStr">
        <is>
          <t>ENT-8946136</t>
        </is>
      </c>
      <c r="B717" t="inlineStr">
        <is>
          <t>R250410-mosaicwellness</t>
        </is>
      </c>
      <c r="C717" t="inlineStr">
        <is>
          <t>Entrackr</t>
        </is>
      </c>
      <c r="D717" s="17" t="n">
        <v>45757</v>
      </c>
      <c r="E717" t="inlineStr">
        <is>
          <t>Mosaic Wellness</t>
        </is>
      </c>
      <c r="F717" t="inlineStr">
        <is>
          <t>Rs 175 crore</t>
        </is>
      </c>
      <c r="G717" s="19" t="n">
        <v>175</v>
      </c>
      <c r="H717" s="19" t="n">
        <v>20</v>
      </c>
      <c r="I717" t="inlineStr">
        <is>
          <t>Undisclosed</t>
        </is>
      </c>
      <c r="J717" t="inlineStr"/>
      <c r="K717" t="inlineStr">
        <is>
          <t>https://entrackr.com/exclusive/exclusive-mosaic-wellness-raises-20-mn-at-400-mn-valuation-8946136</t>
        </is>
      </c>
    </row>
    <row r="718">
      <c r="A718" t="inlineStr">
        <is>
          <t>ET-120163333</t>
        </is>
      </c>
      <c r="B718" t="inlineStr">
        <is>
          <t>R250410-mosaicwellness</t>
        </is>
      </c>
      <c r="C718" t="inlineStr">
        <is>
          <t>The Economic Times</t>
        </is>
      </c>
      <c r="D718" s="17" t="n">
        <v>45757</v>
      </c>
      <c r="E718" t="inlineStr">
        <is>
          <t>Mosaic Wellness</t>
        </is>
      </c>
      <c r="F718" t="inlineStr">
        <is>
          <t>$20 million</t>
        </is>
      </c>
      <c r="G718" s="19" t="n">
        <v>175</v>
      </c>
      <c r="H718" s="19" t="n">
        <v>20</v>
      </c>
      <c r="I718" t="inlineStr">
        <is>
          <t>Undisclosed</t>
        </is>
      </c>
      <c r="J718" t="inlineStr"/>
      <c r="K718" t="inlineStr">
        <is>
          <t>https://economictimes.indiatimes.com/tech/funding/health-and-wellness-startup-mosaic-wellness-raises-rs-175-crore-from-think-investment/articleshow/120163333.cms</t>
        </is>
      </c>
    </row>
    <row r="719">
      <c r="A719" t="inlineStr">
        <is>
          <t>INC-20250412-04</t>
        </is>
      </c>
      <c r="B719" t="inlineStr">
        <is>
          <t>R250410-mosaicwellness</t>
        </is>
      </c>
      <c r="C719" t="inlineStr">
        <is>
          <t>Inc42</t>
        </is>
      </c>
      <c r="D719" s="17" t="n">
        <v>45757</v>
      </c>
      <c r="E719" t="inlineStr">
        <is>
          <t>Mosaic Wellness</t>
        </is>
      </c>
      <c r="F719" t="inlineStr">
        <is>
          <t>$20 Mn</t>
        </is>
      </c>
      <c r="G719" s="19" t="n"/>
      <c r="H719" s="19" t="n">
        <v>20</v>
      </c>
      <c r="I719" t="inlineStr">
        <is>
          <t>Undisclosed</t>
        </is>
      </c>
      <c r="J719" t="inlineStr">
        <is>
          <t>Think Investments</t>
        </is>
      </c>
      <c r="K719" t="inlineStr">
        <is>
          <t>https://inc42.com/buzz/from-juspay-to-noise-indian-startups-raised-195-mn-this-week/</t>
        </is>
      </c>
    </row>
    <row r="720">
      <c r="A720" t="inlineStr">
        <is>
          <t>ENT-8946129</t>
        </is>
      </c>
      <c r="B720" t="inlineStr">
        <is>
          <t>R250410-xindus</t>
        </is>
      </c>
      <c r="C720" t="inlineStr">
        <is>
          <t>Entrackr</t>
        </is>
      </c>
      <c r="D720" s="17" t="n">
        <v>45757</v>
      </c>
      <c r="E720" t="inlineStr">
        <is>
          <t>Xindus</t>
        </is>
      </c>
      <c r="F720" t="inlineStr">
        <is>
          <t>$10 million</t>
        </is>
      </c>
      <c r="G720" s="19" t="n"/>
      <c r="H720" s="19" t="n">
        <v>10</v>
      </c>
      <c r="I720" t="inlineStr">
        <is>
          <t>Series A</t>
        </is>
      </c>
      <c r="J720" t="inlineStr"/>
      <c r="K720" t="inlineStr">
        <is>
          <t>https://entrackr.com/snippets/cross-border-logistics-startup-xindus-bags-10-mn-in-pre-series-a-round-8946129</t>
        </is>
      </c>
    </row>
    <row r="721">
      <c r="A721" t="inlineStr">
        <is>
          <t>ET-120146648</t>
        </is>
      </c>
      <c r="B721" t="inlineStr">
        <is>
          <t>R250410-xindus</t>
        </is>
      </c>
      <c r="C721" t="inlineStr">
        <is>
          <t>The Economic Times</t>
        </is>
      </c>
      <c r="D721" s="17" t="n">
        <v>45757</v>
      </c>
      <c r="E721" t="inlineStr">
        <is>
          <t>Xindus</t>
        </is>
      </c>
      <c r="F721" t="inlineStr">
        <is>
          <t>$10 million</t>
        </is>
      </c>
      <c r="G721" s="19" t="n"/>
      <c r="H721" s="19" t="n">
        <v>10</v>
      </c>
      <c r="I721" t="inlineStr">
        <is>
          <t>Undisclosed</t>
        </is>
      </c>
      <c r="J721" t="inlineStr">
        <is>
          <t>3one4 Capital</t>
        </is>
      </c>
      <c r="K721" t="inlineStr">
        <is>
          <t>https://economictimes.indiatimes.com/tech/funding/trade-enablement-startup-xindus-raises-10-million-funding-from-3one4-capital-others/articleshow/120146648.cms</t>
        </is>
      </c>
    </row>
    <row r="722">
      <c r="A722" t="inlineStr">
        <is>
          <t>INC-20250412-07</t>
        </is>
      </c>
      <c r="B722" t="inlineStr">
        <is>
          <t>R250410-xindus</t>
        </is>
      </c>
      <c r="C722" t="inlineStr">
        <is>
          <t>Inc42</t>
        </is>
      </c>
      <c r="D722" s="17" t="n">
        <v>45757</v>
      </c>
      <c r="E722" t="inlineStr">
        <is>
          <t>Xindus</t>
        </is>
      </c>
      <c r="F722" t="inlineStr">
        <is>
          <t>$10 Mn</t>
        </is>
      </c>
      <c r="G722" s="19" t="n"/>
      <c r="H722" s="19" t="n">
        <v>10</v>
      </c>
      <c r="I722" t="inlineStr">
        <is>
          <t>Series A</t>
        </is>
      </c>
      <c r="J722" t="inlineStr">
        <is>
          <t>3one4 Capital</t>
        </is>
      </c>
      <c r="K722" t="inlineStr">
        <is>
          <t>https://inc42.com/buzz/from-juspay-to-noise-indian-startups-raised-195-mn-this-week/</t>
        </is>
      </c>
    </row>
    <row r="723">
      <c r="A723" t="inlineStr">
        <is>
          <t>VCC-f13f9d8cdb</t>
        </is>
      </c>
      <c r="B723" t="inlineStr">
        <is>
          <t>R250411-greenline</t>
        </is>
      </c>
      <c r="C723" t="inlineStr">
        <is>
          <t>VCCircle</t>
        </is>
      </c>
      <c r="D723" s="17" t="n">
        <v>45757</v>
      </c>
      <c r="E723" t="inlineStr">
        <is>
          <t>greenline mobility</t>
        </is>
      </c>
      <c r="F723" t="inlineStr"/>
      <c r="G723" s="19" t="n"/>
      <c r="H723" s="19" t="n"/>
      <c r="I723" t="inlineStr">
        <is>
          <t>Undisclosed</t>
        </is>
      </c>
      <c r="J723" t="inlineStr"/>
      <c r="K723" t="inlineStr">
        <is>
          <t>https://www.vccircle.com/zerodhas-nikhil-kamath-invests-in-essar-firm-greenline-mobility</t>
        </is>
      </c>
    </row>
    <row r="724">
      <c r="A724" t="inlineStr">
        <is>
          <t>ENT-8950173</t>
        </is>
      </c>
      <c r="B724" t="inlineStr">
        <is>
          <t>R250411-greenline</t>
        </is>
      </c>
      <c r="C724" t="inlineStr">
        <is>
          <t>Entrackr</t>
        </is>
      </c>
      <c r="D724" s="17" t="n">
        <v>45758</v>
      </c>
      <c r="E724" t="inlineStr">
        <is>
          <t>GreenLine</t>
        </is>
      </c>
      <c r="F724" t="inlineStr">
        <is>
          <t>$275 million</t>
        </is>
      </c>
      <c r="G724" s="19" t="n"/>
      <c r="H724" s="19" t="n">
        <v>275</v>
      </c>
      <c r="I724" t="inlineStr">
        <is>
          <t>Undisclosed</t>
        </is>
      </c>
      <c r="J724" t="inlineStr"/>
      <c r="K724" t="inlineStr">
        <is>
          <t>https://entrackr.com/snippets/nikhil-kamath-invests-20-mn-in-greenlines-275-mn-round-8950173</t>
        </is>
      </c>
    </row>
    <row r="725">
      <c r="A725" t="inlineStr">
        <is>
          <t>ENT-8960958</t>
        </is>
      </c>
      <c r="B725" t="inlineStr">
        <is>
          <t>R250414-beastlife</t>
        </is>
      </c>
      <c r="C725" t="inlineStr">
        <is>
          <t>Entrackr</t>
        </is>
      </c>
      <c r="D725" s="17" t="n">
        <v>45761</v>
      </c>
      <c r="E725" t="inlineStr">
        <is>
          <t>BeastLife</t>
        </is>
      </c>
      <c r="F725" t="inlineStr">
        <is>
          <t>Rs 1.9 crore</t>
        </is>
      </c>
      <c r="G725" s="19" t="n">
        <v>1.9</v>
      </c>
      <c r="H725" s="19" t="n"/>
      <c r="I725" t="inlineStr">
        <is>
          <t>Undisclosed</t>
        </is>
      </c>
      <c r="J725" t="inlineStr"/>
      <c r="K725" t="inlineStr">
        <is>
          <t>https://entrackr.com/snippets/indian-cricketer-rinku-singh-invests-rs-19-cr-in-beastlife-at-120-cr-valuation-8960958</t>
        </is>
      </c>
    </row>
    <row r="726">
      <c r="A726" t="inlineStr">
        <is>
          <t>INC-20250419-18</t>
        </is>
      </c>
      <c r="B726" t="inlineStr">
        <is>
          <t>R250414-beastlife</t>
        </is>
      </c>
      <c r="C726" t="inlineStr">
        <is>
          <t>Inc42</t>
        </is>
      </c>
      <c r="D726" s="17" t="n">
        <v>45762</v>
      </c>
      <c r="E726" t="inlineStr">
        <is>
          <t>BeastLife</t>
        </is>
      </c>
      <c r="F726" t="inlineStr">
        <is>
          <t>$222K</t>
        </is>
      </c>
      <c r="G726" s="19" t="n"/>
      <c r="H726" s="19" t="n">
        <v>0.222</v>
      </c>
      <c r="I726" t="inlineStr">
        <is>
          <t>Undisclosed</t>
        </is>
      </c>
      <c r="J726" t="inlineStr">
        <is>
          <t>Rinku Singh</t>
        </is>
      </c>
      <c r="K726" t="inlineStr">
        <is>
          <t>https://inc42.com/buzz/from-garuda-aerospace-to-jewelbox-indian-startups-raised-65-mn-this-week/</t>
        </is>
      </c>
    </row>
    <row r="727">
      <c r="A727" t="inlineStr">
        <is>
          <t>ENT-8960594</t>
        </is>
      </c>
      <c r="B727" t="inlineStr">
        <is>
          <t>R250414-curacare</t>
        </is>
      </c>
      <c r="C727" t="inlineStr">
        <is>
          <t>Entrackr</t>
        </is>
      </c>
      <c r="D727" s="17" t="n">
        <v>45761</v>
      </c>
      <c r="E727" t="inlineStr">
        <is>
          <t>Cura Care</t>
        </is>
      </c>
      <c r="F727" t="inlineStr">
        <is>
          <t>Rs 5 crore</t>
        </is>
      </c>
      <c r="G727" s="19" t="n">
        <v>5</v>
      </c>
      <c r="H727" s="19" t="n"/>
      <c r="I727" t="inlineStr">
        <is>
          <t>Pre-Seed</t>
        </is>
      </c>
      <c r="J727" t="inlineStr">
        <is>
          <t>Zeropearl VC</t>
        </is>
      </c>
      <c r="K727" t="inlineStr">
        <is>
          <t>https://entrackr.com/snippets/cura-care-raises-rs-5-cr-in-pre-seed-round-led-by-zeropearl-vc-8960594</t>
        </is>
      </c>
    </row>
    <row r="728">
      <c r="A728" t="inlineStr">
        <is>
          <t>INC-20250419-16</t>
        </is>
      </c>
      <c r="B728" t="inlineStr">
        <is>
          <t>R250414-curacare</t>
        </is>
      </c>
      <c r="C728" t="inlineStr">
        <is>
          <t>Inc42</t>
        </is>
      </c>
      <c r="D728" s="17" t="n">
        <v>45761</v>
      </c>
      <c r="E728" t="inlineStr">
        <is>
          <t>Cura Care</t>
        </is>
      </c>
      <c r="F728" t="inlineStr">
        <is>
          <t>$586K</t>
        </is>
      </c>
      <c r="G728" s="19" t="n"/>
      <c r="H728" s="19" t="n">
        <v>0.586</v>
      </c>
      <c r="I728" t="inlineStr">
        <is>
          <t>Pre-Seed</t>
        </is>
      </c>
      <c r="J728" t="inlineStr">
        <is>
          <t>Zeropearl VC</t>
        </is>
      </c>
      <c r="K728" t="inlineStr">
        <is>
          <t>https://inc42.com/buzz/from-garuda-aerospace-to-jewelbox-indian-startups-raised-65-mn-this-week/</t>
        </is>
      </c>
    </row>
    <row r="729">
      <c r="A729" t="inlineStr">
        <is>
          <t>INC-20250419-13</t>
        </is>
      </c>
      <c r="B729" t="inlineStr">
        <is>
          <t>R250414-eonspacelabs</t>
        </is>
      </c>
      <c r="C729" t="inlineStr">
        <is>
          <t>Inc42</t>
        </is>
      </c>
      <c r="D729" s="17" t="n">
        <v>45761</v>
      </c>
      <c r="E729" t="inlineStr">
        <is>
          <t>EON Space Labs</t>
        </is>
      </c>
      <c r="F729" t="inlineStr">
        <is>
          <t>$1.2 Mn</t>
        </is>
      </c>
      <c r="G729" s="19" t="n"/>
      <c r="H729" s="19" t="n">
        <v>1.2</v>
      </c>
      <c r="I729" t="inlineStr">
        <is>
          <t>Pre-Series A</t>
        </is>
      </c>
      <c r="J729" t="inlineStr">
        <is>
          <t>MountTech Growth Fund-Kavachh</t>
        </is>
      </c>
      <c r="K729" t="inlineStr">
        <is>
          <t>https://inc42.com/buzz/from-garuda-aerospace-to-jewelbox-indian-startups-raised-65-mn-this-week/</t>
        </is>
      </c>
    </row>
    <row r="730">
      <c r="A730" t="inlineStr">
        <is>
          <t>ET-120277963</t>
        </is>
      </c>
      <c r="B730" t="inlineStr">
        <is>
          <t>R250414-noto</t>
        </is>
      </c>
      <c r="C730" t="inlineStr">
        <is>
          <t>The Economic Times</t>
        </is>
      </c>
      <c r="D730" s="17" t="n">
        <v>45761</v>
      </c>
      <c r="E730" t="inlineStr">
        <is>
          <t>Noto</t>
        </is>
      </c>
      <c r="F730" t="inlineStr">
        <is>
          <t>Rs 21 crore</t>
        </is>
      </c>
      <c r="G730" s="19" t="n">
        <v>21</v>
      </c>
      <c r="H730" s="19" t="n"/>
      <c r="I730" t="inlineStr">
        <is>
          <t>Undisclosed</t>
        </is>
      </c>
      <c r="J730" t="inlineStr">
        <is>
          <t>Equentis Angel Fund; Equentis Wealth Advisory</t>
        </is>
      </c>
      <c r="K730" t="inlineStr">
        <is>
          <t>https://economictimes.indiatimes.com/tech/funding/john-abraham-backed-ice-cream-brand-noto-raises-rs-21-crore-from-equentis-angel-fund-others/articleshow/120277963.cms</t>
        </is>
      </c>
    </row>
    <row r="731">
      <c r="A731" t="inlineStr">
        <is>
          <t>INC-20250419-15</t>
        </is>
      </c>
      <c r="B731" t="inlineStr">
        <is>
          <t>R250414-noto</t>
        </is>
      </c>
      <c r="C731" t="inlineStr">
        <is>
          <t>Inc42</t>
        </is>
      </c>
      <c r="D731" s="17" t="n">
        <v>45761</v>
      </c>
      <c r="E731" t="inlineStr">
        <is>
          <t>NOTO</t>
        </is>
      </c>
      <c r="F731" t="inlineStr">
        <is>
          <t>$700K</t>
        </is>
      </c>
      <c r="G731" s="19" t="n"/>
      <c r="H731" s="19" t="n">
        <v>0.7</v>
      </c>
      <c r="I731" t="inlineStr">
        <is>
          <t>Pre-Series A</t>
        </is>
      </c>
      <c r="J731" t="inlineStr">
        <is>
          <t>Equentis Angel Fund</t>
        </is>
      </c>
      <c r="K731" t="inlineStr">
        <is>
          <t>https://inc42.com/buzz/from-garuda-aerospace-to-jewelbox-indian-startups-raised-65-mn-this-week/</t>
        </is>
      </c>
    </row>
    <row r="732">
      <c r="A732" t="inlineStr">
        <is>
          <t>ENT-8960093</t>
        </is>
      </c>
      <c r="B732" t="inlineStr">
        <is>
          <t>R250414-optimizedelect</t>
        </is>
      </c>
      <c r="C732" t="inlineStr">
        <is>
          <t>Entrackr</t>
        </is>
      </c>
      <c r="D732" s="17" t="n">
        <v>45761</v>
      </c>
      <c r="E732" t="inlineStr">
        <is>
          <t>Optimized Electrotech</t>
        </is>
      </c>
      <c r="F732" t="inlineStr">
        <is>
          <t>$ 6 million</t>
        </is>
      </c>
      <c r="G732" s="19" t="n"/>
      <c r="H732" s="19" t="n">
        <v>6</v>
      </c>
      <c r="I732" t="inlineStr">
        <is>
          <t>Series A</t>
        </is>
      </c>
      <c r="J732" t="inlineStr">
        <is>
          <t>Blume Ventures; Mela Ventures</t>
        </is>
      </c>
      <c r="K732" t="inlineStr">
        <is>
          <t>https://entrackr.com/snippets/optimized-electrotech-raises-6-mn-in-series-a-round-8960093</t>
        </is>
      </c>
    </row>
    <row r="733">
      <c r="A733" t="inlineStr">
        <is>
          <t>ET-120277368</t>
        </is>
      </c>
      <c r="B733" t="inlineStr">
        <is>
          <t>R250414-optimizedelect</t>
        </is>
      </c>
      <c r="C733" t="inlineStr">
        <is>
          <t>The Economic Times</t>
        </is>
      </c>
      <c r="D733" s="17" t="n">
        <v>45761</v>
      </c>
      <c r="E733" t="inlineStr">
        <is>
          <t>Optimized Electrotech</t>
        </is>
      </c>
      <c r="F733" t="inlineStr">
        <is>
          <t>$6 million</t>
        </is>
      </c>
      <c r="G733" s="19" t="n"/>
      <c r="H733" s="19" t="n">
        <v>6</v>
      </c>
      <c r="I733" t="inlineStr">
        <is>
          <t>Series A</t>
        </is>
      </c>
      <c r="J733" t="inlineStr">
        <is>
          <t>Blume Ventures; Mela Ventures</t>
        </is>
      </c>
      <c r="K733" t="inlineStr">
        <is>
          <t>https://economictimes.indiatimes.com/tech/funding/deeptech-imaging-startup-optimized-electrotech-raises-6-million-from-blume-ventures-mela-ventures-others/articleshow/120277368.cms</t>
        </is>
      </c>
    </row>
    <row r="734">
      <c r="A734" t="inlineStr">
        <is>
          <t>INC-20250419-04</t>
        </is>
      </c>
      <c r="B734" t="inlineStr">
        <is>
          <t>R250414-optimizedelect</t>
        </is>
      </c>
      <c r="C734" t="inlineStr">
        <is>
          <t>Inc42</t>
        </is>
      </c>
      <c r="D734" s="17" t="n">
        <v>45761</v>
      </c>
      <c r="E734" t="inlineStr">
        <is>
          <t>Optimized Electrotech</t>
        </is>
      </c>
      <c r="F734" t="inlineStr">
        <is>
          <t>$6 Mn</t>
        </is>
      </c>
      <c r="G734" s="19" t="n"/>
      <c r="H734" s="19" t="n">
        <v>6</v>
      </c>
      <c r="I734" t="inlineStr">
        <is>
          <t>Series A</t>
        </is>
      </c>
      <c r="J734" t="inlineStr">
        <is>
          <t>Blume Ventures; Mela Ventures</t>
        </is>
      </c>
      <c r="K734" t="inlineStr">
        <is>
          <t>https://inc42.com/buzz/from-garuda-aerospace-to-jewelbox-indian-startups-raised-65-mn-this-week/</t>
        </is>
      </c>
    </row>
    <row r="735">
      <c r="A735" t="inlineStr">
        <is>
          <t>INC-20250419-12</t>
        </is>
      </c>
      <c r="B735" t="inlineStr">
        <is>
          <t>R250414-pujashreeprodu</t>
        </is>
      </c>
      <c r="C735" t="inlineStr">
        <is>
          <t>Inc42</t>
        </is>
      </c>
      <c r="D735" s="17" t="n">
        <v>45761</v>
      </c>
      <c r="E735" t="inlineStr">
        <is>
          <t>PujaShree Products Global</t>
        </is>
      </c>
      <c r="F735" t="inlineStr">
        <is>
          <t>$1.5 Mn</t>
        </is>
      </c>
      <c r="G735" s="19" t="n"/>
      <c r="H735" s="19" t="n">
        <v>1.5</v>
      </c>
      <c r="I735" t="inlineStr">
        <is>
          <t>Seed</t>
        </is>
      </c>
      <c r="J735" t="inlineStr"/>
      <c r="K735" t="inlineStr">
        <is>
          <t>https://inc42.com/buzz/from-garuda-aerospace-to-jewelbox-indian-startups-raised-65-mn-this-week/</t>
        </is>
      </c>
    </row>
    <row r="736">
      <c r="A736" t="inlineStr">
        <is>
          <t>ENT-8960409</t>
        </is>
      </c>
      <c r="B736" t="inlineStr">
        <is>
          <t>R250414-sportsskill</t>
        </is>
      </c>
      <c r="C736" t="inlineStr">
        <is>
          <t>Entrackr</t>
        </is>
      </c>
      <c r="D736" s="17" t="n">
        <v>45761</v>
      </c>
      <c r="E736" t="inlineStr">
        <is>
          <t>SportsSkill</t>
        </is>
      </c>
      <c r="F736" t="inlineStr"/>
      <c r="G736" s="19" t="n"/>
      <c r="H736" s="19" t="n"/>
      <c r="I736" t="inlineStr">
        <is>
          <t>Pre-Seed</t>
        </is>
      </c>
      <c r="J736" t="inlineStr">
        <is>
          <t>Waimea Bay Investments</t>
        </is>
      </c>
      <c r="K736" t="inlineStr">
        <is>
          <t>https://entrackr.com/snippets/sports-tech-startup-sportsskill-bags-pre-seed-round-led-by-waimea-bay-investments-8960409</t>
        </is>
      </c>
    </row>
    <row r="737">
      <c r="A737" t="inlineStr">
        <is>
          <t>INC-20250419-21</t>
        </is>
      </c>
      <c r="B737" t="inlineStr">
        <is>
          <t>R250414-sportsskill</t>
        </is>
      </c>
      <c r="C737" t="inlineStr">
        <is>
          <t>Inc42</t>
        </is>
      </c>
      <c r="D737" s="17" t="n">
        <v>45761</v>
      </c>
      <c r="E737" t="inlineStr">
        <is>
          <t>SportsSkill</t>
        </is>
      </c>
      <c r="F737" t="inlineStr"/>
      <c r="G737" s="19" t="n"/>
      <c r="H737" s="19" t="n"/>
      <c r="I737" t="inlineStr">
        <is>
          <t>Pre-Seed</t>
        </is>
      </c>
      <c r="J737" t="inlineStr">
        <is>
          <t>Waimea Bay Investments</t>
        </is>
      </c>
      <c r="K737" t="inlineStr">
        <is>
          <t>https://inc42.com/buzz/from-garuda-aerospace-to-jewelbox-indian-startups-raised-65-mn-this-week/</t>
        </is>
      </c>
    </row>
    <row r="738">
      <c r="A738" t="inlineStr">
        <is>
          <t>ENT-8959902</t>
        </is>
      </c>
      <c r="B738" t="inlineStr">
        <is>
          <t>R250414-uppercase</t>
        </is>
      </c>
      <c r="C738" t="inlineStr">
        <is>
          <t>Entrackr</t>
        </is>
      </c>
      <c r="D738" s="17" t="n">
        <v>45761</v>
      </c>
      <c r="E738" t="inlineStr">
        <is>
          <t>Uppercase</t>
        </is>
      </c>
      <c r="F738" t="inlineStr"/>
      <c r="G738" s="19" t="n"/>
      <c r="H738" s="19" t="n"/>
      <c r="I738" t="inlineStr">
        <is>
          <t>Undisclosed</t>
        </is>
      </c>
      <c r="J738" t="inlineStr"/>
      <c r="K738" t="inlineStr">
        <is>
          <t>https://entrackr.com/snippets/jasprit-bumrah-invests-in-luggage-brand-uppercase-8959902</t>
        </is>
      </c>
    </row>
    <row r="739">
      <c r="A739" t="inlineStr">
        <is>
          <t>INC-20250419-20</t>
        </is>
      </c>
      <c r="B739" t="inlineStr">
        <is>
          <t>R250414-uppercase</t>
        </is>
      </c>
      <c r="C739" t="inlineStr">
        <is>
          <t>Inc42</t>
        </is>
      </c>
      <c r="D739" s="17" t="n">
        <v>45761</v>
      </c>
      <c r="E739" t="inlineStr">
        <is>
          <t>uppercase</t>
        </is>
      </c>
      <c r="F739" t="inlineStr"/>
      <c r="G739" s="19" t="n"/>
      <c r="H739" s="19" t="n"/>
      <c r="I739" t="inlineStr">
        <is>
          <t>Undisclosed</t>
        </is>
      </c>
      <c r="J739" t="inlineStr">
        <is>
          <t>Jasprit Bumrah</t>
        </is>
      </c>
      <c r="K739" t="inlineStr">
        <is>
          <t>https://inc42.com/buzz/from-garuda-aerospace-to-jewelbox-indian-startups-raised-65-mn-this-week/</t>
        </is>
      </c>
    </row>
    <row r="740">
      <c r="A740" t="inlineStr">
        <is>
          <t>ENT-8963164</t>
        </is>
      </c>
      <c r="B740" t="inlineStr">
        <is>
          <t>R250415-centa</t>
        </is>
      </c>
      <c r="C740" t="inlineStr">
        <is>
          <t>Entrackr</t>
        </is>
      </c>
      <c r="D740" s="17" t="n">
        <v>45762</v>
      </c>
      <c r="E740" t="inlineStr">
        <is>
          <t>CENTA</t>
        </is>
      </c>
      <c r="F740" t="inlineStr">
        <is>
          <t>Rs 20 crore</t>
        </is>
      </c>
      <c r="G740" s="19" t="n">
        <v>20</v>
      </c>
      <c r="H740" s="19" t="n">
        <v>2.33</v>
      </c>
      <c r="I740" t="inlineStr">
        <is>
          <t>Series A</t>
        </is>
      </c>
      <c r="J740" t="inlineStr">
        <is>
          <t>Colossa Ventures</t>
        </is>
      </c>
      <c r="K740" t="inlineStr">
        <is>
          <t>https://entrackr.com/snippets/centa-raises-rs-20-cr-in-series-a1-round-led-by-colossa-ventures-8963164</t>
        </is>
      </c>
    </row>
    <row r="741">
      <c r="A741" t="inlineStr">
        <is>
          <t>ET-120304132</t>
        </is>
      </c>
      <c r="B741" t="inlineStr">
        <is>
          <t>R250415-centa</t>
        </is>
      </c>
      <c r="C741" t="inlineStr">
        <is>
          <t>The Economic Times</t>
        </is>
      </c>
      <c r="D741" s="17" t="n">
        <v>45762</v>
      </c>
      <c r="E741" t="inlineStr">
        <is>
          <t>Centa</t>
        </is>
      </c>
      <c r="F741" t="inlineStr">
        <is>
          <t>Rs 20 crore</t>
        </is>
      </c>
      <c r="G741" s="19" t="n">
        <v>20</v>
      </c>
      <c r="H741" s="19" t="n"/>
      <c r="I741" t="inlineStr">
        <is>
          <t>Undisclosed</t>
        </is>
      </c>
      <c r="J741" t="inlineStr">
        <is>
          <t>Colossa Ventures</t>
        </is>
      </c>
      <c r="K741" t="inlineStr">
        <is>
          <t>https://economictimes.indiatimes.com/tech/funding/teacher-accreditation-edtech-startup-centa-raises-rs-20-crore-from-colossa-ventures-others/articleshow/120304132.cms</t>
        </is>
      </c>
    </row>
    <row r="742">
      <c r="A742" t="inlineStr">
        <is>
          <t>INC-20250419-10</t>
        </is>
      </c>
      <c r="B742" t="inlineStr">
        <is>
          <t>R250415-centa</t>
        </is>
      </c>
      <c r="C742" t="inlineStr">
        <is>
          <t>Inc42</t>
        </is>
      </c>
      <c r="D742" s="17" t="n">
        <v>45762</v>
      </c>
      <c r="E742" t="inlineStr">
        <is>
          <t>CENTA</t>
        </is>
      </c>
      <c r="F742" t="inlineStr">
        <is>
          <t>$2.3 Mn</t>
        </is>
      </c>
      <c r="G742" s="19" t="n"/>
      <c r="H742" s="19" t="n">
        <v>2.3</v>
      </c>
      <c r="I742" t="inlineStr">
        <is>
          <t>Series A</t>
        </is>
      </c>
      <c r="J742" t="inlineStr">
        <is>
          <t>Colossa Ventures</t>
        </is>
      </c>
      <c r="K742" t="inlineStr">
        <is>
          <t>https://inc42.com/buzz/from-garuda-aerospace-to-jewelbox-indian-startups-raised-65-mn-this-week/</t>
        </is>
      </c>
    </row>
    <row r="743">
      <c r="A743" t="inlineStr">
        <is>
          <t>INC-20250419-22</t>
        </is>
      </c>
      <c r="B743" t="inlineStr">
        <is>
          <t>R250415-ochrespirits</t>
        </is>
      </c>
      <c r="C743" t="inlineStr">
        <is>
          <t>Inc42</t>
        </is>
      </c>
      <c r="D743" s="17" t="n">
        <v>45762</v>
      </c>
      <c r="E743" t="inlineStr">
        <is>
          <t>Ochre Spirits</t>
        </is>
      </c>
      <c r="F743" t="inlineStr"/>
      <c r="G743" s="19" t="n"/>
      <c r="H743" s="19" t="n"/>
      <c r="I743" t="inlineStr">
        <is>
          <t>Undisclosed</t>
        </is>
      </c>
      <c r="J743" t="inlineStr"/>
      <c r="K743" t="inlineStr">
        <is>
          <t>https://inc42.com/buzz/from-garuda-aerospace-to-jewelbox-indian-startups-raised-65-mn-this-week/</t>
        </is>
      </c>
    </row>
    <row r="744">
      <c r="A744" t="inlineStr">
        <is>
          <t>ENT-8965035</t>
        </is>
      </c>
      <c r="B744" t="inlineStr">
        <is>
          <t>R250415-rioinnobev</t>
        </is>
      </c>
      <c r="C744" t="inlineStr">
        <is>
          <t>Entrackr</t>
        </is>
      </c>
      <c r="D744" s="17" t="n">
        <v>45762</v>
      </c>
      <c r="E744" t="inlineStr">
        <is>
          <t>Rio Innobev</t>
        </is>
      </c>
      <c r="F744" t="inlineStr">
        <is>
          <t>Rs 10 crore</t>
        </is>
      </c>
      <c r="G744" s="19" t="n">
        <v>10</v>
      </c>
      <c r="H744" s="19" t="n"/>
      <c r="I744" t="inlineStr">
        <is>
          <t>Pre-Series A</t>
        </is>
      </c>
      <c r="J744" t="inlineStr">
        <is>
          <t>Atomic Capital</t>
        </is>
      </c>
      <c r="K744" t="inlineStr">
        <is>
          <t>https://entrackr.com/snippets/beverage-startup-rio-innobev-raises-rs-10-cr-led-by-atomic-capital-8965035</t>
        </is>
      </c>
    </row>
    <row r="745">
      <c r="A745" t="inlineStr">
        <is>
          <t>ENT-8967215</t>
        </is>
      </c>
      <c r="B745" t="inlineStr">
        <is>
          <t>R250416-garudaaerospac</t>
        </is>
      </c>
      <c r="C745" t="inlineStr">
        <is>
          <t>Entrackr</t>
        </is>
      </c>
      <c r="D745" s="17" t="n">
        <v>45763</v>
      </c>
      <c r="E745" t="inlineStr">
        <is>
          <t>Garuda Aerospace</t>
        </is>
      </c>
      <c r="F745" t="inlineStr">
        <is>
          <t>Rs 100 crore</t>
        </is>
      </c>
      <c r="G745" s="19" t="n">
        <v>100</v>
      </c>
      <c r="H745" s="19" t="n">
        <v>11.6</v>
      </c>
      <c r="I745" t="inlineStr">
        <is>
          <t>Series B</t>
        </is>
      </c>
      <c r="J745" t="inlineStr">
        <is>
          <t>Venture Catalysts</t>
        </is>
      </c>
      <c r="K745" t="inlineStr">
        <is>
          <t>https://entrackr.com/news/ms-dhoni-backed-garuda-aerospace-raises-rs-100-cr-in-series-b-round-8967215</t>
        </is>
      </c>
    </row>
    <row r="746">
      <c r="A746" t="inlineStr">
        <is>
          <t>ET-120334562</t>
        </is>
      </c>
      <c r="B746" t="inlineStr">
        <is>
          <t>R250416-garudaaerospac</t>
        </is>
      </c>
      <c r="C746" t="inlineStr">
        <is>
          <t>The Economic Times</t>
        </is>
      </c>
      <c r="D746" s="17" t="n">
        <v>45763</v>
      </c>
      <c r="E746" t="inlineStr">
        <is>
          <t>Garuda Aerospace</t>
        </is>
      </c>
      <c r="F746" t="inlineStr">
        <is>
          <t>Rs 100 crore</t>
        </is>
      </c>
      <c r="G746" s="19" t="n">
        <v>100</v>
      </c>
      <c r="H746" s="19" t="n"/>
      <c r="I746" t="inlineStr">
        <is>
          <t>Series B</t>
        </is>
      </c>
      <c r="J746" t="inlineStr"/>
      <c r="K746" t="inlineStr">
        <is>
          <t>https://economictimes.indiatimes.com/tech/funding/drone-startup-garuda-aerospace-secures-rs-100-crore-funding-from-venture-catalysts-at-250-million-valuation/articleshow/120334562.cms</t>
        </is>
      </c>
    </row>
    <row r="747">
      <c r="A747" t="inlineStr">
        <is>
          <t>INC-20250419-01</t>
        </is>
      </c>
      <c r="B747" t="inlineStr">
        <is>
          <t>R250416-garudaaerospac</t>
        </is>
      </c>
      <c r="C747" t="inlineStr">
        <is>
          <t>Inc42</t>
        </is>
      </c>
      <c r="D747" s="17" t="n">
        <v>45763</v>
      </c>
      <c r="E747" t="inlineStr">
        <is>
          <t>Garuda Aerospace</t>
        </is>
      </c>
      <c r="F747" t="inlineStr">
        <is>
          <t>$11.7 Mn</t>
        </is>
      </c>
      <c r="G747" s="19" t="n"/>
      <c r="H747" s="19" t="n">
        <v>11.7</v>
      </c>
      <c r="I747" t="inlineStr">
        <is>
          <t>Series B</t>
        </is>
      </c>
      <c r="J747" t="inlineStr">
        <is>
          <t>Venture Catalysts</t>
        </is>
      </c>
      <c r="K747" t="inlineStr">
        <is>
          <t>https://inc42.com/buzz/from-garuda-aerospace-to-jewelbox-indian-startups-raised-65-mn-this-week/</t>
        </is>
      </c>
    </row>
    <row r="748">
      <c r="A748" t="inlineStr">
        <is>
          <t>VCC-f9afc008c3</t>
        </is>
      </c>
      <c r="B748" t="inlineStr">
        <is>
          <t>R250416-garudaaerospac</t>
        </is>
      </c>
      <c r="C748" t="inlineStr">
        <is>
          <t>VCCircle</t>
        </is>
      </c>
      <c r="D748" s="17" t="n">
        <v>45763</v>
      </c>
      <c r="E748" t="inlineStr">
        <is>
          <t>garudaaerospace</t>
        </is>
      </c>
      <c r="F748" t="inlineStr"/>
      <c r="G748" s="19" t="n"/>
      <c r="H748" s="19" t="n"/>
      <c r="I748" t="inlineStr">
        <is>
          <t>Series B</t>
        </is>
      </c>
      <c r="J748" t="inlineStr"/>
      <c r="K748" t="inlineStr">
        <is>
          <t>https://www.vccircle.com/garudaaerospace-secures-series-b-funding-from-venture-catalysts</t>
        </is>
      </c>
    </row>
    <row r="749">
      <c r="A749" t="inlineStr">
        <is>
          <t>ENT-8968756</t>
        </is>
      </c>
      <c r="B749" t="inlineStr">
        <is>
          <t>R250416-ipec</t>
        </is>
      </c>
      <c r="C749" t="inlineStr">
        <is>
          <t>Entrackr</t>
        </is>
      </c>
      <c r="D749" s="17" t="n">
        <v>45763</v>
      </c>
      <c r="E749" t="inlineStr">
        <is>
          <t>IPEC</t>
        </is>
      </c>
      <c r="F749" t="inlineStr">
        <is>
          <t>$3 million</t>
        </is>
      </c>
      <c r="G749" s="19" t="n"/>
      <c r="H749" s="19" t="n">
        <v>3</v>
      </c>
      <c r="I749" t="inlineStr">
        <is>
          <t>Undisclosed</t>
        </is>
      </c>
      <c r="J749" t="inlineStr"/>
      <c r="K749" t="inlineStr">
        <is>
          <t>https://entrackr.com/snippets/ev-charging-startup-ipec-bags-3-mn-from-gruhas-8968756</t>
        </is>
      </c>
    </row>
    <row r="750">
      <c r="A750" t="inlineStr">
        <is>
          <t>INC-20250419-08</t>
        </is>
      </c>
      <c r="B750" t="inlineStr">
        <is>
          <t>R250416-ipec</t>
        </is>
      </c>
      <c r="C750" t="inlineStr">
        <is>
          <t>Inc42</t>
        </is>
      </c>
      <c r="D750" s="17" t="n">
        <v>45764</v>
      </c>
      <c r="E750" t="inlineStr">
        <is>
          <t>IPEC</t>
        </is>
      </c>
      <c r="F750" t="inlineStr">
        <is>
          <t>$3 Mn</t>
        </is>
      </c>
      <c r="G750" s="19" t="n"/>
      <c r="H750" s="19" t="n">
        <v>3</v>
      </c>
      <c r="I750" t="inlineStr">
        <is>
          <t>Undisclosed</t>
        </is>
      </c>
      <c r="J750" t="inlineStr">
        <is>
          <t>Gruhas</t>
        </is>
      </c>
      <c r="K750" t="inlineStr">
        <is>
          <t>https://inc42.com/buzz/from-garuda-aerospace-to-jewelbox-indian-startups-raised-65-mn-this-week/</t>
        </is>
      </c>
    </row>
    <row r="751">
      <c r="A751" t="inlineStr">
        <is>
          <t>ENT-8966846</t>
        </is>
      </c>
      <c r="B751" t="inlineStr">
        <is>
          <t>R250416-jewelbox</t>
        </is>
      </c>
      <c r="C751" t="inlineStr">
        <is>
          <t>Entrackr</t>
        </is>
      </c>
      <c r="D751" s="17" t="n">
        <v>45763</v>
      </c>
      <c r="E751" t="inlineStr">
        <is>
          <t>Jewelbox</t>
        </is>
      </c>
      <c r="F751" t="inlineStr">
        <is>
          <t>$3.2 million</t>
        </is>
      </c>
      <c r="G751" s="19" t="n"/>
      <c r="H751" s="19" t="n">
        <v>3.2</v>
      </c>
      <c r="I751" t="inlineStr">
        <is>
          <t>Pre-Series A</t>
        </is>
      </c>
      <c r="J751" t="inlineStr">
        <is>
          <t>V3 Ventures</t>
        </is>
      </c>
      <c r="K751" t="inlineStr">
        <is>
          <t>https://entrackr.com/snippets/jewelbox-raises-32-mn-in-pre-series-a-round-8966846</t>
        </is>
      </c>
    </row>
    <row r="752">
      <c r="A752" t="inlineStr">
        <is>
          <t>ET-120319335</t>
        </is>
      </c>
      <c r="B752" t="inlineStr">
        <is>
          <t>R250416-jewelbox</t>
        </is>
      </c>
      <c r="C752" t="inlineStr">
        <is>
          <t>The Economic Times</t>
        </is>
      </c>
      <c r="D752" s="17" t="n">
        <v>45763</v>
      </c>
      <c r="E752" t="inlineStr">
        <is>
          <t>Jewelbox</t>
        </is>
      </c>
      <c r="F752" t="inlineStr">
        <is>
          <t>$3.2 million</t>
        </is>
      </c>
      <c r="G752" s="19" t="n"/>
      <c r="H752" s="19" t="n">
        <v>3.2</v>
      </c>
      <c r="I752" t="inlineStr">
        <is>
          <t>Undisclosed</t>
        </is>
      </c>
      <c r="J752" t="inlineStr">
        <is>
          <t>V3 Ventures</t>
        </is>
      </c>
      <c r="K752" t="inlineStr">
        <is>
          <t>https://economictimes.indiatimes.com/tech/funding/lab-grown-diamond-startup-jewelbox-raises-3-2-million-from-v3-ventures-others/articleshow/120319335.cms</t>
        </is>
      </c>
    </row>
    <row r="753">
      <c r="A753" t="inlineStr">
        <is>
          <t>INC-20250419-07</t>
        </is>
      </c>
      <c r="B753" t="inlineStr">
        <is>
          <t>R250416-jewelbox</t>
        </is>
      </c>
      <c r="C753" t="inlineStr">
        <is>
          <t>Inc42</t>
        </is>
      </c>
      <c r="D753" s="17" t="n">
        <v>45763</v>
      </c>
      <c r="E753" t="inlineStr">
        <is>
          <t>Jewelbox</t>
        </is>
      </c>
      <c r="F753" t="inlineStr">
        <is>
          <t>$3.2 Mn</t>
        </is>
      </c>
      <c r="G753" s="19" t="n"/>
      <c r="H753" s="19" t="n">
        <v>3.2</v>
      </c>
      <c r="I753" t="inlineStr">
        <is>
          <t>Pre-Series A</t>
        </is>
      </c>
      <c r="J753" t="inlineStr">
        <is>
          <t>V3 Ventures</t>
        </is>
      </c>
      <c r="K753" t="inlineStr">
        <is>
          <t>https://inc42.com/buzz/from-garuda-aerospace-to-jewelbox-indian-startups-raised-65-mn-this-week/</t>
        </is>
      </c>
    </row>
    <row r="754">
      <c r="A754" t="inlineStr">
        <is>
          <t>ENT-8969008</t>
        </is>
      </c>
      <c r="B754" t="inlineStr">
        <is>
          <t>R250416-magma</t>
        </is>
      </c>
      <c r="C754" t="inlineStr">
        <is>
          <t>Entrackr</t>
        </is>
      </c>
      <c r="D754" s="17" t="n">
        <v>45763</v>
      </c>
      <c r="E754" t="inlineStr">
        <is>
          <t>Magma</t>
        </is>
      </c>
      <c r="F754" t="inlineStr">
        <is>
          <t>$5 million</t>
        </is>
      </c>
      <c r="G754" s="19" t="n"/>
      <c r="H754" s="19" t="n">
        <v>5</v>
      </c>
      <c r="I754" t="inlineStr">
        <is>
          <t>Series A</t>
        </is>
      </c>
      <c r="J754" t="inlineStr">
        <is>
          <t>Capria Ventures</t>
        </is>
      </c>
      <c r="K754" t="inlineStr">
        <is>
          <t>https://entrackr.com/snippets/magma-raises-5-mn-in-series-a-round-led-by-capria-ventures-8969008</t>
        </is>
      </c>
    </row>
    <row r="755">
      <c r="A755" t="inlineStr">
        <is>
          <t>INC-20250419-05</t>
        </is>
      </c>
      <c r="B755" t="inlineStr">
        <is>
          <t>R250416-magma</t>
        </is>
      </c>
      <c r="C755" t="inlineStr">
        <is>
          <t>Inc42</t>
        </is>
      </c>
      <c r="D755" s="17" t="n">
        <v>45763</v>
      </c>
      <c r="E755" t="inlineStr">
        <is>
          <t>Magma</t>
        </is>
      </c>
      <c r="F755" t="inlineStr">
        <is>
          <t>$5 Mn</t>
        </is>
      </c>
      <c r="G755" s="19" t="n"/>
      <c r="H755" s="19" t="n">
        <v>5</v>
      </c>
      <c r="I755" t="inlineStr">
        <is>
          <t>Series A</t>
        </is>
      </c>
      <c r="J755" t="inlineStr">
        <is>
          <t>Capria Ventures</t>
        </is>
      </c>
      <c r="K755" t="inlineStr">
        <is>
          <t>https://inc42.com/buzz/from-garuda-aerospace-to-jewelbox-indian-startups-raised-65-mn-this-week/</t>
        </is>
      </c>
    </row>
    <row r="756">
      <c r="A756" t="inlineStr">
        <is>
          <t>ET-120371041</t>
        </is>
      </c>
      <c r="B756" t="inlineStr">
        <is>
          <t>R250416-magma</t>
        </is>
      </c>
      <c r="C756" t="inlineStr">
        <is>
          <t>The Economic Times</t>
        </is>
      </c>
      <c r="D756" s="17" t="n">
        <v>45764</v>
      </c>
      <c r="E756" t="inlineStr">
        <is>
          <t>Magma</t>
        </is>
      </c>
      <c r="F756" t="inlineStr">
        <is>
          <t>$5 million</t>
        </is>
      </c>
      <c r="G756" s="19" t="n"/>
      <c r="H756" s="19" t="n">
        <v>5</v>
      </c>
      <c r="I756" t="inlineStr">
        <is>
          <t>Undisclosed</t>
        </is>
      </c>
      <c r="J756" t="inlineStr">
        <is>
          <t>Capria Ventures</t>
        </is>
      </c>
      <c r="K756" t="inlineStr">
        <is>
          <t>https://economictimes.indiatimes.com/tech/funding/b2b-industrial-solutions-provider-magma-raises-5-million-from-capria-ventures-others/articleshow/120371041.cms</t>
        </is>
      </c>
    </row>
    <row r="757">
      <c r="A757" t="inlineStr">
        <is>
          <t>ENT-8967106</t>
        </is>
      </c>
      <c r="B757" t="inlineStr">
        <is>
          <t>R250416-nothingbeforec</t>
        </is>
      </c>
      <c r="C757" t="inlineStr">
        <is>
          <t>Entrackr</t>
        </is>
      </c>
      <c r="D757" s="17" t="n">
        <v>45763</v>
      </c>
      <c r="E757" t="inlineStr">
        <is>
          <t>Nothing Before Coffee</t>
        </is>
      </c>
      <c r="F757" t="inlineStr">
        <is>
          <t>$2.3 million</t>
        </is>
      </c>
      <c r="G757" s="19" t="n"/>
      <c r="H757" s="19" t="n">
        <v>2.3</v>
      </c>
      <c r="I757" t="inlineStr">
        <is>
          <t>Pre-Series A</t>
        </is>
      </c>
      <c r="J757" t="inlineStr">
        <is>
          <t>Prath Ventures</t>
        </is>
      </c>
      <c r="K757" t="inlineStr">
        <is>
          <t>https://entrackr.com/snippets/nothing-before-coffee-bags-23-mn-in-pre-series-a-round-8967106</t>
        </is>
      </c>
    </row>
    <row r="758">
      <c r="A758" t="inlineStr">
        <is>
          <t>ET-120332378</t>
        </is>
      </c>
      <c r="B758" t="inlineStr">
        <is>
          <t>R250416-nothingbeforec</t>
        </is>
      </c>
      <c r="C758" t="inlineStr">
        <is>
          <t>The Economic Times</t>
        </is>
      </c>
      <c r="D758" s="17" t="n">
        <v>45763</v>
      </c>
      <c r="E758" t="inlineStr">
        <is>
          <t>Nothing Before Coffee</t>
        </is>
      </c>
      <c r="F758" t="inlineStr">
        <is>
          <t>$2.3 million</t>
        </is>
      </c>
      <c r="G758" s="19" t="n"/>
      <c r="H758" s="19" t="n">
        <v>2.3</v>
      </c>
      <c r="I758" t="inlineStr">
        <is>
          <t>Undisclosed</t>
        </is>
      </c>
      <c r="J758" t="inlineStr">
        <is>
          <t>Prath Ventures</t>
        </is>
      </c>
      <c r="K758" t="inlineStr">
        <is>
          <t>https://economictimes.indiatimes.com/tech/funding/qsr-chain-nothing-before-coffee-raises-2-3-million-from-prath-ventures-syl-investments/articleshow/120332378.cms</t>
        </is>
      </c>
    </row>
    <row r="759">
      <c r="A759" t="inlineStr">
        <is>
          <t>INC-20250419-09</t>
        </is>
      </c>
      <c r="B759" t="inlineStr">
        <is>
          <t>R250416-nothingbeforec</t>
        </is>
      </c>
      <c r="C759" t="inlineStr">
        <is>
          <t>Inc42</t>
        </is>
      </c>
      <c r="D759" s="17" t="n">
        <v>45763</v>
      </c>
      <c r="E759" t="inlineStr">
        <is>
          <t>Nothing Before Coffee</t>
        </is>
      </c>
      <c r="F759" t="inlineStr">
        <is>
          <t>$2.3 Mn</t>
        </is>
      </c>
      <c r="G759" s="19" t="n"/>
      <c r="H759" s="19" t="n">
        <v>2.3</v>
      </c>
      <c r="I759" t="inlineStr">
        <is>
          <t>Pre-Series A</t>
        </is>
      </c>
      <c r="J759" t="inlineStr">
        <is>
          <t>Prath Ventures</t>
        </is>
      </c>
      <c r="K759" t="inlineStr">
        <is>
          <t>https://inc42.com/buzz/from-garuda-aerospace-to-jewelbox-indian-startups-raised-65-mn-this-week/</t>
        </is>
      </c>
    </row>
    <row r="760">
      <c r="A760" t="inlineStr">
        <is>
          <t>ENT-8967733</t>
        </is>
      </c>
      <c r="B760" t="inlineStr">
        <is>
          <t>R250416-ofbusiness</t>
        </is>
      </c>
      <c r="C760" t="inlineStr">
        <is>
          <t>Entrackr</t>
        </is>
      </c>
      <c r="D760" s="17" t="n">
        <v>45763</v>
      </c>
      <c r="E760" t="inlineStr">
        <is>
          <t>OfBusiness</t>
        </is>
      </c>
      <c r="F760" t="inlineStr">
        <is>
          <t>Rs 100 crore</t>
        </is>
      </c>
      <c r="G760" s="19" t="n">
        <v>100</v>
      </c>
      <c r="H760" s="19" t="n">
        <v>11.7</v>
      </c>
      <c r="I760" t="inlineStr">
        <is>
          <t>Undisclosed</t>
        </is>
      </c>
      <c r="J760" t="inlineStr">
        <is>
          <t>Cornerstone Ventures</t>
        </is>
      </c>
      <c r="K760" t="inlineStr">
        <is>
          <t>https://entrackr.com/news/ipo-bound-ofbusiness-raises-rs-100-cr-led-by-cornerstone-ventures-8967733</t>
        </is>
      </c>
    </row>
    <row r="761">
      <c r="A761" t="inlineStr">
        <is>
          <t>INC-20250419-02</t>
        </is>
      </c>
      <c r="B761" t="inlineStr">
        <is>
          <t>R250416-ofbusiness</t>
        </is>
      </c>
      <c r="C761" t="inlineStr">
        <is>
          <t>Inc42</t>
        </is>
      </c>
      <c r="D761" s="17" t="n">
        <v>45763</v>
      </c>
      <c r="E761" t="inlineStr">
        <is>
          <t>OfBusiness</t>
        </is>
      </c>
      <c r="F761" t="inlineStr">
        <is>
          <t>$11.7 Mn</t>
        </is>
      </c>
      <c r="G761" s="19" t="n"/>
      <c r="H761" s="19" t="n">
        <v>11.7</v>
      </c>
      <c r="I761" t="inlineStr">
        <is>
          <t>Undisclosed</t>
        </is>
      </c>
      <c r="J761" t="inlineStr">
        <is>
          <t>Cornerstone Ventures</t>
        </is>
      </c>
      <c r="K761" t="inlineStr">
        <is>
          <t>https://inc42.com/buzz/from-garuda-aerospace-to-jewelbox-indian-startups-raised-65-mn-this-week/</t>
        </is>
      </c>
    </row>
    <row r="762">
      <c r="A762" t="inlineStr">
        <is>
          <t>ET-120380377</t>
        </is>
      </c>
      <c r="B762" t="inlineStr">
        <is>
          <t>R250416-ofbusiness</t>
        </is>
      </c>
      <c r="C762" t="inlineStr">
        <is>
          <t>The Economic Times</t>
        </is>
      </c>
      <c r="D762" s="17" t="n">
        <v>45764</v>
      </c>
      <c r="E762" t="inlineStr">
        <is>
          <t>OfBusiness</t>
        </is>
      </c>
      <c r="F762" t="inlineStr">
        <is>
          <t>Rs 100 crore</t>
        </is>
      </c>
      <c r="G762" s="19" t="n">
        <v>100</v>
      </c>
      <c r="H762" s="19" t="n"/>
      <c r="I762" t="inlineStr">
        <is>
          <t>Undisclosed</t>
        </is>
      </c>
      <c r="J762" t="inlineStr"/>
      <c r="K762" t="inlineStr">
        <is>
          <t>https://economictimes.indiatimes.com/tech/funding/b2b-ecommerce-startup-ofbusiness-raises-rs-100-crore-from-cornerstone-ventures/articleshow/120380377.cms</t>
        </is>
      </c>
    </row>
    <row r="763">
      <c r="A763" t="inlineStr">
        <is>
          <t>ENT-8967307</t>
        </is>
      </c>
      <c r="B763" t="inlineStr">
        <is>
          <t>R250416-peppermint</t>
        </is>
      </c>
      <c r="C763" t="inlineStr">
        <is>
          <t>Entrackr</t>
        </is>
      </c>
      <c r="D763" s="17" t="n">
        <v>45763</v>
      </c>
      <c r="E763" t="inlineStr">
        <is>
          <t>Peppermint</t>
        </is>
      </c>
      <c r="F763" t="inlineStr">
        <is>
          <t>Rs 34 crore</t>
        </is>
      </c>
      <c r="G763" s="19" t="n">
        <v>34</v>
      </c>
      <c r="H763" s="19" t="n">
        <v>4</v>
      </c>
      <c r="I763" t="inlineStr">
        <is>
          <t>Series A</t>
        </is>
      </c>
      <c r="J763" t="inlineStr"/>
      <c r="K763" t="inlineStr">
        <is>
          <t>https://entrackr.com/snippets/peppermint-raises-4-mn-to-expand-in-eu-japan-and-apac-8967307</t>
        </is>
      </c>
    </row>
    <row r="764">
      <c r="A764" t="inlineStr">
        <is>
          <t>INC-20250419-06</t>
        </is>
      </c>
      <c r="B764" t="inlineStr">
        <is>
          <t>R250416-peppermint</t>
        </is>
      </c>
      <c r="C764" t="inlineStr">
        <is>
          <t>Inc42</t>
        </is>
      </c>
      <c r="D764" s="17" t="n">
        <v>45763</v>
      </c>
      <c r="E764" t="inlineStr">
        <is>
          <t>Peppermint Robotics</t>
        </is>
      </c>
      <c r="F764" t="inlineStr">
        <is>
          <t>$4 Mn</t>
        </is>
      </c>
      <c r="G764" s="19" t="n"/>
      <c r="H764" s="19" t="n">
        <v>4</v>
      </c>
      <c r="I764" t="inlineStr">
        <is>
          <t>Series A</t>
        </is>
      </c>
      <c r="J764" t="inlineStr"/>
      <c r="K764" t="inlineStr">
        <is>
          <t>https://inc42.com/buzz/from-garuda-aerospace-to-jewelbox-indian-startups-raised-65-mn-this-week/</t>
        </is>
      </c>
    </row>
    <row r="765">
      <c r="A765" t="inlineStr">
        <is>
          <t>ENT-8970983</t>
        </is>
      </c>
      <c r="B765" t="inlineStr">
        <is>
          <t>R250417-foxtale</t>
        </is>
      </c>
      <c r="C765" t="inlineStr">
        <is>
          <t>Entrackr</t>
        </is>
      </c>
      <c r="D765" s="17" t="n">
        <v>45764</v>
      </c>
      <c r="E765" t="inlineStr">
        <is>
          <t>Foxtale</t>
        </is>
      </c>
      <c r="F765" t="inlineStr">
        <is>
          <t>Rs 250 crore</t>
        </is>
      </c>
      <c r="G765" s="19" t="n">
        <v>250</v>
      </c>
      <c r="H765" s="19" t="n">
        <v>30</v>
      </c>
      <c r="I765" t="inlineStr">
        <is>
          <t>Series C</t>
        </is>
      </c>
      <c r="J765" t="inlineStr">
        <is>
          <t>Kose Corporation</t>
        </is>
      </c>
      <c r="K765" t="inlineStr">
        <is>
          <t>https://entrackr.com/fintrackr/decoding-foxtales-series-c-funding-round-latest-valuation-and-captable-8970983</t>
        </is>
      </c>
    </row>
    <row r="766">
      <c r="A766" t="inlineStr">
        <is>
          <t>ENT-8971461</t>
        </is>
      </c>
      <c r="B766" t="inlineStr">
        <is>
          <t>R250417-goodmonk</t>
        </is>
      </c>
      <c r="C766" t="inlineStr">
        <is>
          <t>Entrackr</t>
        </is>
      </c>
      <c r="D766" s="17" t="n">
        <v>45764</v>
      </c>
      <c r="E766" t="inlineStr">
        <is>
          <t>Good Monk</t>
        </is>
      </c>
      <c r="F766" t="inlineStr">
        <is>
          <t>$2 million</t>
        </is>
      </c>
      <c r="G766" s="19" t="n"/>
      <c r="H766" s="19" t="n">
        <v>2</v>
      </c>
      <c r="I766" t="inlineStr">
        <is>
          <t>Pre-Series A</t>
        </is>
      </c>
      <c r="J766" t="inlineStr">
        <is>
          <t>RPSG Capital Ventures; Multiply Ventures; Sharrp Ventures &amp; ThinKuvate</t>
        </is>
      </c>
      <c r="K766" t="inlineStr">
        <is>
          <t>https://entrackr.com/snippets/good-monk-raises-2-mn-in-pre-series-a-round-led-by-rpsg-capital-8971461</t>
        </is>
      </c>
    </row>
    <row r="767">
      <c r="A767" t="inlineStr">
        <is>
          <t>ET-120375189</t>
        </is>
      </c>
      <c r="B767" t="inlineStr">
        <is>
          <t>R250417-goodmonk</t>
        </is>
      </c>
      <c r="C767" t="inlineStr">
        <is>
          <t>The Economic Times</t>
        </is>
      </c>
      <c r="D767" s="17" t="n">
        <v>45764</v>
      </c>
      <c r="E767" t="inlineStr">
        <is>
          <t>Good Monk</t>
        </is>
      </c>
      <c r="F767" t="inlineStr">
        <is>
          <t>$2 million</t>
        </is>
      </c>
      <c r="G767" s="19" t="n"/>
      <c r="H767" s="19" t="n">
        <v>2</v>
      </c>
      <c r="I767" t="inlineStr">
        <is>
          <t>Pre-Series A</t>
        </is>
      </c>
      <c r="J767" t="inlineStr">
        <is>
          <t>RPSG Capital Ventures</t>
        </is>
      </c>
      <c r="K767" t="inlineStr">
        <is>
          <t>https://economictimes.indiatimes.com/tech/funding/nutrition-startup-good-monk-raises-2-million-from-rpsg-capital-ventures-others/articleshow/120375189.cms</t>
        </is>
      </c>
    </row>
    <row r="768">
      <c r="A768" t="inlineStr">
        <is>
          <t>INC-20250419-11</t>
        </is>
      </c>
      <c r="B768" t="inlineStr">
        <is>
          <t>R250417-goodmonk</t>
        </is>
      </c>
      <c r="C768" t="inlineStr">
        <is>
          <t>Inc42</t>
        </is>
      </c>
      <c r="D768" s="17" t="n">
        <v>45765</v>
      </c>
      <c r="E768" t="inlineStr">
        <is>
          <t>Good Monk</t>
        </is>
      </c>
      <c r="F768" t="inlineStr">
        <is>
          <t>$2 Mn</t>
        </is>
      </c>
      <c r="G768" s="19" t="n"/>
      <c r="H768" s="19" t="n">
        <v>2</v>
      </c>
      <c r="I768" t="inlineStr">
        <is>
          <t>Pre-Series A</t>
        </is>
      </c>
      <c r="J768" t="inlineStr">
        <is>
          <t>RPSG Capital Ventures</t>
        </is>
      </c>
      <c r="K768" t="inlineStr">
        <is>
          <t>https://inc42.com/buzz/from-garuda-aerospace-to-jewelbox-indian-startups-raised-65-mn-this-week/</t>
        </is>
      </c>
    </row>
    <row r="769">
      <c r="A769" t="inlineStr">
        <is>
          <t>INC-20250419-19</t>
        </is>
      </c>
      <c r="B769" t="inlineStr">
        <is>
          <t>R250417-jetsynthesys</t>
        </is>
      </c>
      <c r="C769" t="inlineStr">
        <is>
          <t>Inc42</t>
        </is>
      </c>
      <c r="D769" s="17" t="n">
        <v>45764</v>
      </c>
      <c r="E769" t="inlineStr">
        <is>
          <t>JetSynthesys</t>
        </is>
      </c>
      <c r="F769" t="inlineStr"/>
      <c r="G769" s="19" t="n"/>
      <c r="H769" s="19" t="n"/>
      <c r="I769" t="inlineStr">
        <is>
          <t>Undisclosed</t>
        </is>
      </c>
      <c r="J769" t="inlineStr">
        <is>
          <t>KRAFTON</t>
        </is>
      </c>
      <c r="K769" t="inlineStr">
        <is>
          <t>https://inc42.com/buzz/from-garuda-aerospace-to-jewelbox-indian-startups-raised-65-mn-this-week/</t>
        </is>
      </c>
    </row>
    <row r="770">
      <c r="A770" t="inlineStr">
        <is>
          <t>VCC-fafa54ad7b</t>
        </is>
      </c>
      <c r="B770" t="inlineStr">
        <is>
          <t>R250417-jetsynthesys</t>
        </is>
      </c>
      <c r="C770" t="inlineStr">
        <is>
          <t>VCCircle</t>
        </is>
      </c>
      <c r="D770" s="17" t="n">
        <v>45764</v>
      </c>
      <c r="E770" t="inlineStr">
        <is>
          <t>jetsynthesys</t>
        </is>
      </c>
      <c r="F770" t="inlineStr"/>
      <c r="G770" s="19" t="n"/>
      <c r="H770" s="19" t="n"/>
      <c r="I770" t="inlineStr">
        <is>
          <t>Undisclosed</t>
        </is>
      </c>
      <c r="J770" t="inlineStr"/>
      <c r="K770" t="inlineStr">
        <is>
          <t>https://www.vccircle.com/southkorea-s-krafton-others-invest-in-jetsynthesys</t>
        </is>
      </c>
    </row>
    <row r="771">
      <c r="A771" t="inlineStr">
        <is>
          <t>ENT-8971726</t>
        </is>
      </c>
      <c r="B771" t="inlineStr">
        <is>
          <t>R250417-planck</t>
        </is>
      </c>
      <c r="C771" t="inlineStr">
        <is>
          <t>Entrackr</t>
        </is>
      </c>
      <c r="D771" s="17" t="n">
        <v>45764</v>
      </c>
      <c r="E771" t="inlineStr">
        <is>
          <t>Planck</t>
        </is>
      </c>
      <c r="F771" t="inlineStr">
        <is>
          <t>$500K</t>
        </is>
      </c>
      <c r="G771" s="19" t="n"/>
      <c r="H771" s="19" t="n">
        <v>0.5</v>
      </c>
      <c r="I771" t="inlineStr">
        <is>
          <t>Pre-Seed</t>
        </is>
      </c>
      <c r="J771" t="inlineStr"/>
      <c r="K771" t="inlineStr">
        <is>
          <t>https://entrackr.com/snippets/deep-tech-startup-planck-bags-pre-seed-funding-ok-8971726</t>
        </is>
      </c>
    </row>
    <row r="772">
      <c r="A772" t="inlineStr">
        <is>
          <t>ENT-8971464</t>
        </is>
      </c>
      <c r="B772" t="inlineStr">
        <is>
          <t>R250417-thatsassything</t>
        </is>
      </c>
      <c r="C772" t="inlineStr">
        <is>
          <t>Entrackr</t>
        </is>
      </c>
      <c r="D772" s="17" t="n">
        <v>45764</v>
      </c>
      <c r="E772" t="inlineStr">
        <is>
          <t>That Sassy Thing</t>
        </is>
      </c>
      <c r="F772" t="inlineStr">
        <is>
          <t>Rs 6 crore</t>
        </is>
      </c>
      <c r="G772" s="19" t="n">
        <v>6</v>
      </c>
      <c r="H772" s="19" t="n"/>
      <c r="I772" t="inlineStr">
        <is>
          <t>Seed</t>
        </is>
      </c>
      <c r="J772" t="inlineStr">
        <is>
          <t>Inflection Point Ventures</t>
        </is>
      </c>
      <c r="K772" t="inlineStr">
        <is>
          <t>https://entrackr.com/snippets/that-sassy-thing-raises-rs-6-cr-in-seed-round-led-by-ipv-8971464</t>
        </is>
      </c>
    </row>
    <row r="773">
      <c r="A773" t="inlineStr">
        <is>
          <t>INC-20250419-14</t>
        </is>
      </c>
      <c r="B773" t="inlineStr">
        <is>
          <t>R250417-thatsassything</t>
        </is>
      </c>
      <c r="C773" t="inlineStr">
        <is>
          <t>Inc42</t>
        </is>
      </c>
      <c r="D773" s="17" t="n">
        <v>45764</v>
      </c>
      <c r="E773" t="inlineStr">
        <is>
          <t>That Sassy Thing</t>
        </is>
      </c>
      <c r="F773" t="inlineStr">
        <is>
          <t>$703K</t>
        </is>
      </c>
      <c r="G773" s="19" t="n"/>
      <c r="H773" s="19" t="n">
        <v>0.703</v>
      </c>
      <c r="I773" t="inlineStr">
        <is>
          <t>Seed</t>
        </is>
      </c>
      <c r="J773" t="inlineStr">
        <is>
          <t>Inflection Point Ventures</t>
        </is>
      </c>
      <c r="K773" t="inlineStr">
        <is>
          <t>https://inc42.com/buzz/from-garuda-aerospace-to-jewelbox-indian-startups-raised-65-mn-this-week/</t>
        </is>
      </c>
    </row>
    <row r="774">
      <c r="A774" t="inlineStr">
        <is>
          <t>INC-20250426-15</t>
        </is>
      </c>
      <c r="B774" t="inlineStr">
        <is>
          <t>R250417-uniseoul</t>
        </is>
      </c>
      <c r="C774" t="inlineStr">
        <is>
          <t>Inc42</t>
        </is>
      </c>
      <c r="D774" s="17" t="n">
        <v>45764</v>
      </c>
      <c r="E774" t="inlineStr">
        <is>
          <t>Uni Seoul</t>
        </is>
      </c>
      <c r="F774" t="inlineStr">
        <is>
          <t>$585K</t>
        </is>
      </c>
      <c r="G774" s="19" t="n"/>
      <c r="H774" s="19" t="n">
        <v>0.585</v>
      </c>
      <c r="I774" t="inlineStr">
        <is>
          <t>Seed</t>
        </is>
      </c>
      <c r="J774" t="inlineStr">
        <is>
          <t>Sauce VC</t>
        </is>
      </c>
      <c r="K774" t="inlineStr">
        <is>
          <t>https://inc42.com/buzz/from-dehaat-to-fabric-iot-indian-startups-raised-100-mn-this-week/</t>
        </is>
      </c>
    </row>
    <row r="775">
      <c r="A775" t="inlineStr">
        <is>
          <t>ENT-9009267</t>
        </is>
      </c>
      <c r="B775" t="inlineStr">
        <is>
          <t>R250417-uniseoul</t>
        </is>
      </c>
      <c r="C775" t="inlineStr">
        <is>
          <t>Entrackr</t>
        </is>
      </c>
      <c r="D775" s="17" t="n">
        <v>45775</v>
      </c>
      <c r="E775" t="inlineStr">
        <is>
          <t>Uni Seoul</t>
        </is>
      </c>
      <c r="F775" t="inlineStr">
        <is>
          <t>Rs 5 crore</t>
        </is>
      </c>
      <c r="G775" s="19" t="n">
        <v>5</v>
      </c>
      <c r="H775" s="19" t="n">
        <v>0.585</v>
      </c>
      <c r="I775" t="inlineStr">
        <is>
          <t>Seed</t>
        </is>
      </c>
      <c r="J775" t="inlineStr">
        <is>
          <t>Sauce VC</t>
        </is>
      </c>
      <c r="K775" t="inlineStr">
        <is>
          <t>https://entrackr.com/snippets/uni-seoul-raises-rs-5-cr-in-seed-round-led-by-sauce-vc-9009267</t>
        </is>
      </c>
    </row>
    <row r="776">
      <c r="A776" t="inlineStr">
        <is>
          <t>INC-20250419-03</t>
        </is>
      </c>
      <c r="B776" t="inlineStr">
        <is>
          <t>R250417-varthana</t>
        </is>
      </c>
      <c r="C776" t="inlineStr">
        <is>
          <t>Inc42</t>
        </is>
      </c>
      <c r="D776" s="17" t="n">
        <v>45764</v>
      </c>
      <c r="E776" t="inlineStr">
        <is>
          <t>Varthana</t>
        </is>
      </c>
      <c r="F776" t="inlineStr">
        <is>
          <t>$8.7 Mn</t>
        </is>
      </c>
      <c r="G776" s="19" t="n"/>
      <c r="H776" s="19" t="n">
        <v>8.699999999999999</v>
      </c>
      <c r="I776" t="inlineStr">
        <is>
          <t>Debt</t>
        </is>
      </c>
      <c r="J776" t="inlineStr">
        <is>
          <t>OfBusiness; Oxyzo</t>
        </is>
      </c>
      <c r="K776" t="inlineStr">
        <is>
          <t>https://inc42.com/buzz/from-garuda-aerospace-to-jewelbox-indian-startups-raised-65-mn-this-week/</t>
        </is>
      </c>
    </row>
    <row r="777">
      <c r="A777" t="inlineStr">
        <is>
          <t>ENT-8976444</t>
        </is>
      </c>
      <c r="B777" t="inlineStr">
        <is>
          <t>R250418-rayzonsolar</t>
        </is>
      </c>
      <c r="C777" t="inlineStr">
        <is>
          <t>Entrackr</t>
        </is>
      </c>
      <c r="D777" s="17" t="n">
        <v>45765</v>
      </c>
      <c r="E777" t="inlineStr">
        <is>
          <t>Rayzon Solar</t>
        </is>
      </c>
      <c r="F777" t="inlineStr">
        <is>
          <t>$16.2 Mn</t>
        </is>
      </c>
      <c r="G777" s="19" t="n"/>
      <c r="H777" s="19" t="n">
        <v>16.2</v>
      </c>
      <c r="I777" t="inlineStr">
        <is>
          <t>Undisclosed</t>
        </is>
      </c>
      <c r="J777" t="inlineStr"/>
      <c r="K777" t="inlineStr">
        <is>
          <t>https://entrackr.com/exclusive/exclusive-sachin-tendulkar-and-others-invest-18-mn-in-rayzon-solar-at-844-mn-valuation-8976444</t>
        </is>
      </c>
    </row>
    <row r="778">
      <c r="A778" t="inlineStr">
        <is>
          <t>ENT-8975971</t>
        </is>
      </c>
      <c r="B778" t="inlineStr">
        <is>
          <t>R250418-risalabs</t>
        </is>
      </c>
      <c r="C778" t="inlineStr">
        <is>
          <t>Entrackr</t>
        </is>
      </c>
      <c r="D778" s="17" t="n">
        <v>45765</v>
      </c>
      <c r="E778" t="inlineStr">
        <is>
          <t>Risa Labs</t>
        </is>
      </c>
      <c r="F778" t="inlineStr">
        <is>
          <t>$3.5 million</t>
        </is>
      </c>
      <c r="G778" s="19" t="n"/>
      <c r="H778" s="19" t="n">
        <v>3.5</v>
      </c>
      <c r="I778" t="inlineStr">
        <is>
          <t>Seed</t>
        </is>
      </c>
      <c r="J778" t="inlineStr">
        <is>
          <t>Binny Bansal</t>
        </is>
      </c>
      <c r="K778" t="inlineStr">
        <is>
          <t>https://entrackr.com/snippets/risa-labs-raises-35-mn-in-seed-round-led-by-binny-bansal-8975971</t>
        </is>
      </c>
    </row>
    <row r="779">
      <c r="A779" t="inlineStr">
        <is>
          <t>ET-120403471</t>
        </is>
      </c>
      <c r="B779" t="inlineStr">
        <is>
          <t>R250418-risalabs</t>
        </is>
      </c>
      <c r="C779" t="inlineStr">
        <is>
          <t>The Economic Times</t>
        </is>
      </c>
      <c r="D779" s="17" t="n">
        <v>45765</v>
      </c>
      <c r="E779" t="inlineStr">
        <is>
          <t>Risa Labs</t>
        </is>
      </c>
      <c r="F779" t="inlineStr">
        <is>
          <t>$3.5 million</t>
        </is>
      </c>
      <c r="G779" s="19" t="n"/>
      <c r="H779" s="19" t="n">
        <v>3.5</v>
      </c>
      <c r="I779" t="inlineStr">
        <is>
          <t>Seed</t>
        </is>
      </c>
      <c r="J779" t="inlineStr">
        <is>
          <t>Binny Bansal</t>
        </is>
      </c>
      <c r="K779" t="inlineStr">
        <is>
          <t>https://economictimes.indiatimes.com/tech/funding/healthcare-startup-risa-labs-raises-3-5-million-from-binny-bansal-others/articleshow/120403471.cms</t>
        </is>
      </c>
    </row>
    <row r="780">
      <c r="A780" t="inlineStr">
        <is>
          <t>ENT-8984043</t>
        </is>
      </c>
      <c r="B780" t="inlineStr">
        <is>
          <t>R250421-finodayacapita</t>
        </is>
      </c>
      <c r="C780" t="inlineStr">
        <is>
          <t>Entrackr</t>
        </is>
      </c>
      <c r="D780" s="17" t="n">
        <v>45768</v>
      </c>
      <c r="E780" t="inlineStr">
        <is>
          <t>Finodaya Capital</t>
        </is>
      </c>
      <c r="F780" t="inlineStr">
        <is>
          <t>$2.5 million</t>
        </is>
      </c>
      <c r="G780" s="19" t="n"/>
      <c r="H780" s="19" t="n">
        <v>2.5</v>
      </c>
      <c r="I780" t="inlineStr">
        <is>
          <t>Seed</t>
        </is>
      </c>
      <c r="J780" t="inlineStr">
        <is>
          <t>White Venture Capital</t>
        </is>
      </c>
      <c r="K780" t="inlineStr">
        <is>
          <t>https://entrackr.com/snippets/finodaya-capital-raises-25-mn-in-seed-round-8984043</t>
        </is>
      </c>
    </row>
    <row r="781">
      <c r="A781" t="inlineStr">
        <is>
          <t>ET-120460843</t>
        </is>
      </c>
      <c r="B781" t="inlineStr">
        <is>
          <t>R250421-finodayacapita</t>
        </is>
      </c>
      <c r="C781" t="inlineStr">
        <is>
          <t>The Economic Times</t>
        </is>
      </c>
      <c r="D781" s="17" t="n">
        <v>45768</v>
      </c>
      <c r="E781" t="inlineStr">
        <is>
          <t>Finodaya Capital</t>
        </is>
      </c>
      <c r="F781" t="inlineStr">
        <is>
          <t>$2.5 million</t>
        </is>
      </c>
      <c r="G781" s="19" t="n"/>
      <c r="H781" s="19" t="n">
        <v>2.5</v>
      </c>
      <c r="I781" t="inlineStr">
        <is>
          <t>Seed</t>
        </is>
      </c>
      <c r="J781" t="inlineStr">
        <is>
          <t>White Venture Capital</t>
        </is>
      </c>
      <c r="K781" t="inlineStr">
        <is>
          <t>https://economictimes.indiatimes.com/tech/funding/nbfc-finodaya-capital-raises-2-5-million-from-white-venture-capital-others/articleshow/120460843.cms</t>
        </is>
      </c>
    </row>
    <row r="782">
      <c r="A782" t="inlineStr">
        <is>
          <t>INC-20250426-10</t>
        </is>
      </c>
      <c r="B782" t="inlineStr">
        <is>
          <t>R250421-finodayacapita</t>
        </is>
      </c>
      <c r="C782" t="inlineStr">
        <is>
          <t>Inc42</t>
        </is>
      </c>
      <c r="D782" s="17" t="n">
        <v>45768</v>
      </c>
      <c r="E782" t="inlineStr">
        <is>
          <t>Finodaya</t>
        </is>
      </c>
      <c r="F782" t="inlineStr">
        <is>
          <t>$2.5 Mn</t>
        </is>
      </c>
      <c r="G782" s="19" t="n"/>
      <c r="H782" s="19" t="n">
        <v>2.5</v>
      </c>
      <c r="I782" t="inlineStr">
        <is>
          <t>Seed</t>
        </is>
      </c>
      <c r="J782" t="inlineStr">
        <is>
          <t>White Venture Capital</t>
        </is>
      </c>
      <c r="K782" t="inlineStr">
        <is>
          <t>https://inc42.com/buzz/from-dehaat-to-fabric-iot-indian-startups-raised-100-mn-this-week/</t>
        </is>
      </c>
    </row>
    <row r="783">
      <c r="A783" t="inlineStr">
        <is>
          <t>ENT-8984497</t>
        </is>
      </c>
      <c r="B783" t="inlineStr">
        <is>
          <t>R250421-ivory</t>
        </is>
      </c>
      <c r="C783" t="inlineStr">
        <is>
          <t>Entrackr</t>
        </is>
      </c>
      <c r="D783" s="17" t="n">
        <v>45768</v>
      </c>
      <c r="E783" t="inlineStr">
        <is>
          <t>Ivory</t>
        </is>
      </c>
      <c r="F783" t="inlineStr">
        <is>
          <t>$1 million</t>
        </is>
      </c>
      <c r="G783" s="19" t="n"/>
      <c r="H783" s="19" t="n">
        <v>1</v>
      </c>
      <c r="I783" t="inlineStr">
        <is>
          <t>Undisclosed</t>
        </is>
      </c>
      <c r="J783" t="inlineStr">
        <is>
          <t>IIM-A Ventures; Capital A</t>
        </is>
      </c>
      <c r="K783" t="inlineStr">
        <is>
          <t>https://entrackr.com/snippets/ivory-raises-1-mn-led-by-iim-a-ventures-and-capital-a-8984497</t>
        </is>
      </c>
    </row>
    <row r="784">
      <c r="A784" t="inlineStr">
        <is>
          <t>ET-120473198</t>
        </is>
      </c>
      <c r="B784" t="inlineStr">
        <is>
          <t>R250421-ivory</t>
        </is>
      </c>
      <c r="C784" t="inlineStr">
        <is>
          <t>The Economic Times</t>
        </is>
      </c>
      <c r="D784" s="17" t="n">
        <v>45768</v>
      </c>
      <c r="E784" t="inlineStr">
        <is>
          <t>Ivory</t>
        </is>
      </c>
      <c r="F784" t="inlineStr">
        <is>
          <t>$1 million</t>
        </is>
      </c>
      <c r="G784" s="19" t="n"/>
      <c r="H784" s="19" t="n">
        <v>1</v>
      </c>
      <c r="I784" t="inlineStr">
        <is>
          <t>Undisclosed</t>
        </is>
      </c>
      <c r="J784" t="inlineStr">
        <is>
          <t>IIM-A Ventures; Capital-A</t>
        </is>
      </c>
      <c r="K784" t="inlineStr">
        <is>
          <t>https://economictimes.indiatimes.com/tech/funding/brain-health-startup-ivory-raises-1-million-from-iim-a-ventures-capital-a-others/articleshow/120473198.cms</t>
        </is>
      </c>
    </row>
    <row r="785">
      <c r="A785" t="inlineStr">
        <is>
          <t>INC-20250426-14</t>
        </is>
      </c>
      <c r="B785" t="inlineStr">
        <is>
          <t>R250421-ivory</t>
        </is>
      </c>
      <c r="C785" t="inlineStr">
        <is>
          <t>Inc42</t>
        </is>
      </c>
      <c r="D785" s="17" t="n">
        <v>45768</v>
      </c>
      <c r="E785" t="inlineStr">
        <is>
          <t>Ivory</t>
        </is>
      </c>
      <c r="F785" t="inlineStr">
        <is>
          <t>$1 Mn</t>
        </is>
      </c>
      <c r="G785" s="19" t="n"/>
      <c r="H785" s="19" t="n">
        <v>1</v>
      </c>
      <c r="I785" t="inlineStr">
        <is>
          <t>Undisclosed</t>
        </is>
      </c>
      <c r="J785" t="inlineStr">
        <is>
          <t>IIM-A Ventures; Capital-A</t>
        </is>
      </c>
      <c r="K785" t="inlineStr">
        <is>
          <t>https://inc42.com/buzz/from-dehaat-to-fabric-iot-indian-startups-raised-100-mn-this-week/</t>
        </is>
      </c>
    </row>
    <row r="786">
      <c r="A786" t="inlineStr">
        <is>
          <t>ENT-8984090</t>
        </is>
      </c>
      <c r="B786" t="inlineStr">
        <is>
          <t>R250421-matbook</t>
        </is>
      </c>
      <c r="C786" t="inlineStr">
        <is>
          <t>Entrackr</t>
        </is>
      </c>
      <c r="D786" s="17" t="n">
        <v>45768</v>
      </c>
      <c r="E786" t="inlineStr">
        <is>
          <t>MatBook</t>
        </is>
      </c>
      <c r="F786" t="inlineStr">
        <is>
          <t>$750,000</t>
        </is>
      </c>
      <c r="G786" s="19" t="n"/>
      <c r="H786" s="19" t="n">
        <v>0.75</v>
      </c>
      <c r="I786" t="inlineStr">
        <is>
          <t>Pre-Seed</t>
        </is>
      </c>
      <c r="J786" t="inlineStr">
        <is>
          <t>Seedstars International Ventures; Fluent Ventures; Everywhere Ventures</t>
        </is>
      </c>
      <c r="K786" t="inlineStr">
        <is>
          <t>https://entrackr.com/snippets/matbook-raises-750k-in-pre-seed-round-8984090</t>
        </is>
      </c>
    </row>
    <row r="787">
      <c r="A787" t="inlineStr">
        <is>
          <t>INC-20250426-18</t>
        </is>
      </c>
      <c r="B787" t="inlineStr">
        <is>
          <t>R250422-catalogus</t>
        </is>
      </c>
      <c r="C787" t="inlineStr">
        <is>
          <t>Inc42</t>
        </is>
      </c>
      <c r="D787" s="17" t="n">
        <v>45769</v>
      </c>
      <c r="E787" t="inlineStr">
        <is>
          <t>Catalogus</t>
        </is>
      </c>
      <c r="F787" t="inlineStr"/>
      <c r="G787" s="19" t="n"/>
      <c r="H787" s="19" t="n"/>
      <c r="I787" t="inlineStr">
        <is>
          <t>Seed</t>
        </is>
      </c>
      <c r="J787" t="inlineStr">
        <is>
          <t>Zeropearl VC</t>
        </is>
      </c>
      <c r="K787" t="inlineStr">
        <is>
          <t>https://inc42.com/buzz/from-dehaat-to-fabric-iot-indian-startups-raised-100-mn-this-week/</t>
        </is>
      </c>
    </row>
    <row r="788">
      <c r="A788" t="inlineStr">
        <is>
          <t>ENT-8988945</t>
        </is>
      </c>
      <c r="B788" t="inlineStr">
        <is>
          <t>R250422-devassure</t>
        </is>
      </c>
      <c r="C788" t="inlineStr">
        <is>
          <t>Entrackr</t>
        </is>
      </c>
      <c r="D788" s="17" t="n">
        <v>45769</v>
      </c>
      <c r="E788" t="inlineStr">
        <is>
          <t>DevAssure</t>
        </is>
      </c>
      <c r="F788" t="inlineStr"/>
      <c r="G788" s="19" t="n"/>
      <c r="H788" s="19" t="n"/>
      <c r="I788" t="inlineStr">
        <is>
          <t>Seed</t>
        </is>
      </c>
      <c r="J788" t="inlineStr">
        <is>
          <t>Eximius Ventures</t>
        </is>
      </c>
      <c r="K788" t="inlineStr">
        <is>
          <t>https://entrackr.com/snippets/eximius-ventures-leads-preseed-round-in-devassure-8988945</t>
        </is>
      </c>
    </row>
    <row r="789">
      <c r="A789" t="inlineStr">
        <is>
          <t>INC-20250426-17</t>
        </is>
      </c>
      <c r="B789" t="inlineStr">
        <is>
          <t>R250422-devassure</t>
        </is>
      </c>
      <c r="C789" t="inlineStr">
        <is>
          <t>Inc42</t>
        </is>
      </c>
      <c r="D789" s="17" t="n">
        <v>45769</v>
      </c>
      <c r="E789" t="inlineStr">
        <is>
          <t>DevAssure</t>
        </is>
      </c>
      <c r="F789" t="inlineStr"/>
      <c r="G789" s="19" t="n"/>
      <c r="H789" s="19" t="n"/>
      <c r="I789" t="inlineStr">
        <is>
          <t>Pre-Seed</t>
        </is>
      </c>
      <c r="J789" t="inlineStr">
        <is>
          <t>Eximius Ventures</t>
        </is>
      </c>
      <c r="K789" t="inlineStr">
        <is>
          <t>https://inc42.com/buzz/from-dehaat-to-fabric-iot-indian-startups-raised-100-mn-this-week/</t>
        </is>
      </c>
    </row>
    <row r="790">
      <c r="A790" t="inlineStr">
        <is>
          <t>INC-20250426-16</t>
        </is>
      </c>
      <c r="B790" t="inlineStr">
        <is>
          <t>R250422-kiranapro</t>
        </is>
      </c>
      <c r="C790" t="inlineStr">
        <is>
          <t>Inc42</t>
        </is>
      </c>
      <c r="D790" s="17" t="n">
        <v>45769</v>
      </c>
      <c r="E790" t="inlineStr">
        <is>
          <t>KiranaPro</t>
        </is>
      </c>
      <c r="F790" t="inlineStr"/>
      <c r="G790" s="19" t="n"/>
      <c r="H790" s="19" t="n"/>
      <c r="I790" t="inlineStr">
        <is>
          <t>Undisclosed</t>
        </is>
      </c>
      <c r="J790" t="inlineStr">
        <is>
          <t>Arjun Vaidya</t>
        </is>
      </c>
      <c r="K790" t="inlineStr">
        <is>
          <t>https://inc42.com/buzz/from-dehaat-to-fabric-iot-indian-startups-raised-100-mn-this-week/</t>
        </is>
      </c>
    </row>
    <row r="791">
      <c r="A791" t="inlineStr">
        <is>
          <t>ENT-8988676</t>
        </is>
      </c>
      <c r="B791" t="inlineStr">
        <is>
          <t>R250422-mydesignation</t>
        </is>
      </c>
      <c r="C791" t="inlineStr">
        <is>
          <t>Entrackr</t>
        </is>
      </c>
      <c r="D791" s="17" t="n">
        <v>45769</v>
      </c>
      <c r="E791" t="inlineStr">
        <is>
          <t>MyDesignation</t>
        </is>
      </c>
      <c r="F791" t="inlineStr">
        <is>
          <t>$1.25 million</t>
        </is>
      </c>
      <c r="G791" s="19" t="n">
        <v>10.7</v>
      </c>
      <c r="H791" s="19" t="n">
        <v>1.25</v>
      </c>
      <c r="I791" t="inlineStr">
        <is>
          <t>Seed</t>
        </is>
      </c>
      <c r="J791" t="inlineStr">
        <is>
          <t>Multiply Ventures</t>
        </is>
      </c>
      <c r="K791" t="inlineStr">
        <is>
          <t>https://entrackr.com/snippets/mydesignation-raises-125-mn-in-seed-round-8988676</t>
        </is>
      </c>
    </row>
    <row r="792">
      <c r="A792" t="inlineStr">
        <is>
          <t>INC-20250426-13</t>
        </is>
      </c>
      <c r="B792" t="inlineStr">
        <is>
          <t>R250422-mydesignation</t>
        </is>
      </c>
      <c r="C792" t="inlineStr">
        <is>
          <t>Inc42</t>
        </is>
      </c>
      <c r="D792" s="17" t="n">
        <v>45769</v>
      </c>
      <c r="E792" t="inlineStr">
        <is>
          <t>MyDesignation</t>
        </is>
      </c>
      <c r="F792" t="inlineStr">
        <is>
          <t>$1.3 Mn</t>
        </is>
      </c>
      <c r="G792" s="19" t="n"/>
      <c r="H792" s="19" t="n">
        <v>1.3</v>
      </c>
      <c r="I792" t="inlineStr">
        <is>
          <t>Seed</t>
        </is>
      </c>
      <c r="J792" t="inlineStr">
        <is>
          <t>Multiply Ventures</t>
        </is>
      </c>
      <c r="K792" t="inlineStr">
        <is>
          <t>https://inc42.com/buzz/from-dehaat-to-fabric-iot-indian-startups-raised-100-mn-this-week/</t>
        </is>
      </c>
    </row>
    <row r="793">
      <c r="A793" t="inlineStr">
        <is>
          <t>ENT-8988801</t>
        </is>
      </c>
      <c r="B793" t="inlineStr">
        <is>
          <t>R250422-poshsmetal</t>
        </is>
      </c>
      <c r="C793" t="inlineStr">
        <is>
          <t>Entrackr</t>
        </is>
      </c>
      <c r="D793" s="17" t="n">
        <v>45769</v>
      </c>
      <c r="E793" t="inlineStr">
        <is>
          <t>Poshs Metal</t>
        </is>
      </c>
      <c r="F793" t="inlineStr">
        <is>
          <t>Rs 43 crore</t>
        </is>
      </c>
      <c r="G793" s="19" t="n">
        <v>43</v>
      </c>
      <c r="H793" s="19" t="n">
        <v>5</v>
      </c>
      <c r="I793" t="inlineStr">
        <is>
          <t>Undisclosed</t>
        </is>
      </c>
      <c r="J793" t="inlineStr">
        <is>
          <t>Aavishkaar Capital</t>
        </is>
      </c>
      <c r="K793" t="inlineStr">
        <is>
          <t>https://entrackr.com/snippets/aavishkaar-capital-leads-5-mn-round-in-poshs-metal-8988801</t>
        </is>
      </c>
    </row>
    <row r="794">
      <c r="A794" t="inlineStr">
        <is>
          <t>ENT-8989219</t>
        </is>
      </c>
      <c r="B794" t="inlineStr">
        <is>
          <t>R250422-rebelfoods</t>
        </is>
      </c>
      <c r="C794" t="inlineStr">
        <is>
          <t>Entrackr</t>
        </is>
      </c>
      <c r="D794" s="17" t="n">
        <v>45769</v>
      </c>
      <c r="E794" t="inlineStr">
        <is>
          <t>Rebel Foods</t>
        </is>
      </c>
      <c r="F794" t="inlineStr">
        <is>
          <t>$25 million</t>
        </is>
      </c>
      <c r="G794" s="19" t="n">
        <v>212.71</v>
      </c>
      <c r="H794" s="19" t="n">
        <v>25</v>
      </c>
      <c r="I794" t="inlineStr">
        <is>
          <t>Undisclosed</t>
        </is>
      </c>
      <c r="J794" t="inlineStr"/>
      <c r="K794" t="inlineStr">
        <is>
          <t>https://entrackr.com/snippets/rebel-foods-raises-25-mn-from-qia-report-8989219</t>
        </is>
      </c>
    </row>
    <row r="795">
      <c r="A795" t="inlineStr">
        <is>
          <t>ENT-8988661</t>
        </is>
      </c>
      <c r="B795" t="inlineStr">
        <is>
          <t>R250422-uniqusconsulte</t>
        </is>
      </c>
      <c r="C795" t="inlineStr">
        <is>
          <t>Entrackr</t>
        </is>
      </c>
      <c r="D795" s="17" t="n">
        <v>45769</v>
      </c>
      <c r="E795" t="inlineStr">
        <is>
          <t>Uniqus Consultech</t>
        </is>
      </c>
      <c r="F795" t="inlineStr">
        <is>
          <t>$20 million</t>
        </is>
      </c>
      <c r="G795" s="19" t="n"/>
      <c r="H795" s="19" t="n">
        <v>20</v>
      </c>
      <c r="I795" t="inlineStr">
        <is>
          <t>Series C</t>
        </is>
      </c>
      <c r="J795" t="inlineStr">
        <is>
          <t>Nexus Venture Partners</t>
        </is>
      </c>
      <c r="K795" t="inlineStr">
        <is>
          <t>https://entrackr.com/news/uniqus-consultech-raises-20-mn-in-series-c-round-led-by-nexus-8988661</t>
        </is>
      </c>
    </row>
    <row r="796">
      <c r="A796" t="inlineStr">
        <is>
          <t>INC-20250426-02</t>
        </is>
      </c>
      <c r="B796" t="inlineStr">
        <is>
          <t>R250422-uniqusconsulte</t>
        </is>
      </c>
      <c r="C796" t="inlineStr">
        <is>
          <t>Inc42</t>
        </is>
      </c>
      <c r="D796" s="17" t="n">
        <v>45769</v>
      </c>
      <c r="E796" t="inlineStr">
        <is>
          <t>Uniqus</t>
        </is>
      </c>
      <c r="F796" t="inlineStr">
        <is>
          <t>$20 Mn</t>
        </is>
      </c>
      <c r="G796" s="19" t="n"/>
      <c r="H796" s="19" t="n">
        <v>20</v>
      </c>
      <c r="I796" t="inlineStr">
        <is>
          <t>Series C</t>
        </is>
      </c>
      <c r="J796" t="inlineStr">
        <is>
          <t>Nexus Venture Partners</t>
        </is>
      </c>
      <c r="K796" t="inlineStr">
        <is>
          <t>https://inc42.com/buzz/from-dehaat-to-fabric-iot-indian-startups-raised-100-mn-this-week/</t>
        </is>
      </c>
    </row>
    <row r="797">
      <c r="A797" t="inlineStr">
        <is>
          <t>ENT-8990181</t>
        </is>
      </c>
      <c r="B797" t="inlineStr">
        <is>
          <t>R250422-vayudh</t>
        </is>
      </c>
      <c r="C797" t="inlineStr">
        <is>
          <t>Entrackr</t>
        </is>
      </c>
      <c r="D797" s="17" t="n">
        <v>45769</v>
      </c>
      <c r="E797" t="inlineStr">
        <is>
          <t>Vayudh</t>
        </is>
      </c>
      <c r="F797" t="inlineStr">
        <is>
          <t>$10 million</t>
        </is>
      </c>
      <c r="G797" s="19" t="n"/>
      <c r="H797" s="19" t="n">
        <v>10</v>
      </c>
      <c r="I797" t="inlineStr">
        <is>
          <t>Undisclosed</t>
        </is>
      </c>
      <c r="J797" t="inlineStr">
        <is>
          <t>Dharana Capital</t>
        </is>
      </c>
      <c r="K797" t="inlineStr">
        <is>
          <t>https://entrackr.com/snippets/drone-startup-vayudh-raises-10-mn-led-by-dharana-capital-8990181</t>
        </is>
      </c>
    </row>
    <row r="798">
      <c r="A798" t="inlineStr">
        <is>
          <t>ET-120524103</t>
        </is>
      </c>
      <c r="B798" t="inlineStr">
        <is>
          <t>R250422-vayudh</t>
        </is>
      </c>
      <c r="C798" t="inlineStr">
        <is>
          <t>The Economic Times</t>
        </is>
      </c>
      <c r="D798" s="17" t="n">
        <v>45769</v>
      </c>
      <c r="E798" t="inlineStr">
        <is>
          <t>Vayudh</t>
        </is>
      </c>
      <c r="F798" t="inlineStr">
        <is>
          <t>$10 million</t>
        </is>
      </c>
      <c r="G798" s="19" t="n"/>
      <c r="H798" s="19" t="n">
        <v>10</v>
      </c>
      <c r="I798" t="inlineStr">
        <is>
          <t>Undisclosed</t>
        </is>
      </c>
      <c r="J798" t="inlineStr">
        <is>
          <t>Vy Capital’s offshoot Dharana Capital</t>
        </is>
      </c>
      <c r="K798" t="inlineStr">
        <is>
          <t>https://economictimes.indiatimes.com/tech/funding/defence-tech-startup-vayudh-raises-10-million-in-round-led-by-vy-capitals-offshoot-dharana-capital/articleshow/120524103.cms</t>
        </is>
      </c>
    </row>
    <row r="799">
      <c r="A799" t="inlineStr">
        <is>
          <t>INC-20250426-04</t>
        </is>
      </c>
      <c r="B799" t="inlineStr">
        <is>
          <t>R250422-vayudh</t>
        </is>
      </c>
      <c r="C799" t="inlineStr">
        <is>
          <t>Inc42</t>
        </is>
      </c>
      <c r="D799" s="17" t="n">
        <v>45769</v>
      </c>
      <c r="E799" t="inlineStr">
        <is>
          <t>Vayudh</t>
        </is>
      </c>
      <c r="F799" t="inlineStr">
        <is>
          <t>$10 Mn</t>
        </is>
      </c>
      <c r="G799" s="19" t="n"/>
      <c r="H799" s="19" t="n">
        <v>10</v>
      </c>
      <c r="I799" t="inlineStr">
        <is>
          <t>Undisclosed</t>
        </is>
      </c>
      <c r="J799" t="inlineStr">
        <is>
          <t>Dharana Capital</t>
        </is>
      </c>
      <c r="K799" t="inlineStr">
        <is>
          <t>https://inc42.com/buzz/from-dehaat-to-fabric-iot-indian-startups-raised-100-mn-this-week/</t>
        </is>
      </c>
    </row>
    <row r="800">
      <c r="A800" t="inlineStr">
        <is>
          <t>ENT-8991858</t>
        </is>
      </c>
      <c r="B800" t="inlineStr">
        <is>
          <t>R250423-bankbazaar</t>
        </is>
      </c>
      <c r="C800" t="inlineStr">
        <is>
          <t>Entrackr</t>
        </is>
      </c>
      <c r="D800" s="17" t="n">
        <v>45770</v>
      </c>
      <c r="E800" t="inlineStr">
        <is>
          <t>BankBazaar</t>
        </is>
      </c>
      <c r="F800" t="inlineStr">
        <is>
          <t>Rs 55 crore</t>
        </is>
      </c>
      <c r="G800" s="19" t="n">
        <v>55</v>
      </c>
      <c r="H800" s="19" t="n">
        <v>6.44</v>
      </c>
      <c r="I800" t="inlineStr">
        <is>
          <t>Undisclosed</t>
        </is>
      </c>
      <c r="J800" t="inlineStr"/>
      <c r="K800" t="inlineStr">
        <is>
          <t>https://entrackr.com/snippets/bankbazaar-raises-rs-55-cr-partners-with-muthoot-fincorp-to-enter-gold-loan-segment-8991858</t>
        </is>
      </c>
    </row>
    <row r="801">
      <c r="A801" t="inlineStr">
        <is>
          <t>ET-120529437</t>
        </is>
      </c>
      <c r="B801" t="inlineStr">
        <is>
          <t>R250423-bankbazaar</t>
        </is>
      </c>
      <c r="C801" t="inlineStr">
        <is>
          <t>The Economic Times</t>
        </is>
      </c>
      <c r="D801" s="17" t="n">
        <v>45770</v>
      </c>
      <c r="E801" t="inlineStr">
        <is>
          <t>BankBazaar</t>
        </is>
      </c>
      <c r="F801" t="inlineStr">
        <is>
          <t>Rs 55 crore</t>
        </is>
      </c>
      <c r="G801" s="19" t="n">
        <v>55</v>
      </c>
      <c r="H801" s="19" t="n"/>
      <c r="I801" t="inlineStr">
        <is>
          <t>Undisclosed</t>
        </is>
      </c>
      <c r="J801" t="inlineStr"/>
      <c r="K801" t="inlineStr">
        <is>
          <t>https://economictimes.indiatimes.com/tech/funding/bankbazaar-raises-rs-55-crore-enters-gold-loan-business-with-muthoot-fincorp/articleshow/120529437.cms</t>
        </is>
      </c>
    </row>
    <row r="802">
      <c r="A802" t="inlineStr">
        <is>
          <t>INC-20250426-05</t>
        </is>
      </c>
      <c r="B802" t="inlineStr">
        <is>
          <t>R250423-bankbazaar</t>
        </is>
      </c>
      <c r="C802" t="inlineStr">
        <is>
          <t>Inc42</t>
        </is>
      </c>
      <c r="D802" s="17" t="n">
        <v>45770</v>
      </c>
      <c r="E802" t="inlineStr">
        <is>
          <t>BankBazaar</t>
        </is>
      </c>
      <c r="F802" t="inlineStr">
        <is>
          <t>$6 Mn</t>
        </is>
      </c>
      <c r="G802" s="19" t="n"/>
      <c r="H802" s="19" t="n">
        <v>6</v>
      </c>
      <c r="I802" t="inlineStr">
        <is>
          <t>Series D</t>
        </is>
      </c>
      <c r="J802" t="inlineStr"/>
      <c r="K802" t="inlineStr">
        <is>
          <t>https://inc42.com/buzz/from-dehaat-to-fabric-iot-indian-startups-raised-100-mn-this-week/</t>
        </is>
      </c>
    </row>
    <row r="803">
      <c r="A803" t="inlineStr">
        <is>
          <t>ET-120527578</t>
        </is>
      </c>
      <c r="B803" t="inlineStr">
        <is>
          <t>R250423-beyondoddstech</t>
        </is>
      </c>
      <c r="C803" t="inlineStr">
        <is>
          <t>The Economic Times</t>
        </is>
      </c>
      <c r="D803" s="17" t="n">
        <v>45770</v>
      </c>
      <c r="E803" t="inlineStr">
        <is>
          <t>Beyond Odds Technologies</t>
        </is>
      </c>
      <c r="F803" t="inlineStr">
        <is>
          <t>$5 million</t>
        </is>
      </c>
      <c r="G803" s="19" t="n"/>
      <c r="H803" s="19" t="n">
        <v>5</v>
      </c>
      <c r="I803" t="inlineStr">
        <is>
          <t>Undisclosed</t>
        </is>
      </c>
      <c r="J803" t="inlineStr">
        <is>
          <t>Z47</t>
        </is>
      </c>
      <c r="K803" t="inlineStr">
        <is>
          <t>https://economictimes.indiatimes.com/tech/funding/emversity-parent-beyond-odds-technologies-raises-5-million-in-round-co-led-by-z47-lightspeed/articleshow/120527578.cms</t>
        </is>
      </c>
    </row>
    <row r="804">
      <c r="A804" t="inlineStr">
        <is>
          <t>ENT-8991784</t>
        </is>
      </c>
      <c r="B804" t="inlineStr">
        <is>
          <t>R250423-emversity</t>
        </is>
      </c>
      <c r="C804" t="inlineStr">
        <is>
          <t>Entrackr</t>
        </is>
      </c>
      <c r="D804" s="17" t="n">
        <v>45770</v>
      </c>
      <c r="E804" t="inlineStr">
        <is>
          <t>Emversity</t>
        </is>
      </c>
      <c r="F804" t="inlineStr">
        <is>
          <t>$5 million</t>
        </is>
      </c>
      <c r="G804" s="19" t="n"/>
      <c r="H804" s="19" t="n">
        <v>5</v>
      </c>
      <c r="I804" t="inlineStr">
        <is>
          <t>Pre-Series A</t>
        </is>
      </c>
      <c r="J804" t="inlineStr">
        <is>
          <t>Lightspeed; Z47</t>
        </is>
      </c>
      <c r="K804" t="inlineStr">
        <is>
          <t>https://entrackr.com/snippets/emversity-raises-5-mn-in-pre-series-a-round-led-by-lightspeed-and-z47-8991784</t>
        </is>
      </c>
    </row>
    <row r="805">
      <c r="A805" t="inlineStr">
        <is>
          <t>INC-20250426-06</t>
        </is>
      </c>
      <c r="B805" t="inlineStr">
        <is>
          <t>R250423-emversity</t>
        </is>
      </c>
      <c r="C805" t="inlineStr">
        <is>
          <t>Inc42</t>
        </is>
      </c>
      <c r="D805" s="17" t="n">
        <v>45770</v>
      </c>
      <c r="E805" t="inlineStr">
        <is>
          <t>Emversity</t>
        </is>
      </c>
      <c r="F805" t="inlineStr">
        <is>
          <t>$5 Mn</t>
        </is>
      </c>
      <c r="G805" s="19" t="n"/>
      <c r="H805" s="19" t="n">
        <v>5</v>
      </c>
      <c r="I805" t="inlineStr">
        <is>
          <t>Pre-Series A</t>
        </is>
      </c>
      <c r="J805" t="inlineStr">
        <is>
          <t>Z47; Lightspeed Venture Partners</t>
        </is>
      </c>
      <c r="K805" t="inlineStr">
        <is>
          <t>https://inc42.com/buzz/from-dehaat-to-fabric-iot-indian-startups-raised-100-mn-this-week/</t>
        </is>
      </c>
    </row>
    <row r="806">
      <c r="A806" t="inlineStr">
        <is>
          <t>ENT-8992611</t>
        </is>
      </c>
      <c r="B806" t="inlineStr">
        <is>
          <t>R250423-farmart</t>
        </is>
      </c>
      <c r="C806" t="inlineStr">
        <is>
          <t>Entrackr</t>
        </is>
      </c>
      <c r="D806" s="17" t="n">
        <v>45770</v>
      </c>
      <c r="E806" t="inlineStr">
        <is>
          <t>FarMart</t>
        </is>
      </c>
      <c r="F806" t="inlineStr">
        <is>
          <t>Rs 84 crore</t>
        </is>
      </c>
      <c r="G806" s="19" t="n">
        <v>84</v>
      </c>
      <c r="H806" s="19" t="n">
        <v>10</v>
      </c>
      <c r="I806" t="inlineStr">
        <is>
          <t>Undisclosed</t>
        </is>
      </c>
      <c r="J806" t="inlineStr"/>
      <c r="K806" t="inlineStr">
        <is>
          <t>https://entrackr.com/news/exclusive-farmart-bags-10-mn-through-equity-and-debt-funding-8992611</t>
        </is>
      </c>
    </row>
    <row r="807">
      <c r="A807" t="inlineStr">
        <is>
          <t>ENT-8992782</t>
        </is>
      </c>
      <c r="B807" t="inlineStr">
        <is>
          <t>R250423-savein</t>
        </is>
      </c>
      <c r="C807" t="inlineStr">
        <is>
          <t>Entrackr</t>
        </is>
      </c>
      <c r="D807" s="17" t="n">
        <v>45770</v>
      </c>
      <c r="E807" t="inlineStr">
        <is>
          <t>SaveIN</t>
        </is>
      </c>
      <c r="F807" t="inlineStr">
        <is>
          <t>Rs 37 crore</t>
        </is>
      </c>
      <c r="G807" s="19" t="n">
        <v>37</v>
      </c>
      <c r="H807" s="19" t="n">
        <v>4.3</v>
      </c>
      <c r="I807" t="inlineStr">
        <is>
          <t>Undisclosed</t>
        </is>
      </c>
      <c r="J807" t="inlineStr">
        <is>
          <t>Oliver Jung; Leblon Capital</t>
        </is>
      </c>
      <c r="K807" t="inlineStr">
        <is>
          <t>https://entrackr.com/snippets/healthcare-focused-fintech-startup-savein-raises-rs-37-cr-8992782</t>
        </is>
      </c>
    </row>
    <row r="808">
      <c r="A808" t="inlineStr">
        <is>
          <t>INC-20250426-07</t>
        </is>
      </c>
      <c r="B808" t="inlineStr">
        <is>
          <t>R250423-savein</t>
        </is>
      </c>
      <c r="C808" t="inlineStr">
        <is>
          <t>Inc42</t>
        </is>
      </c>
      <c r="D808" s="17" t="n">
        <v>45770</v>
      </c>
      <c r="E808" t="inlineStr">
        <is>
          <t>SaveIn</t>
        </is>
      </c>
      <c r="F808" t="inlineStr">
        <is>
          <t>$4.3 Mn</t>
        </is>
      </c>
      <c r="G808" s="19" t="n"/>
      <c r="H808" s="19" t="n">
        <v>4.3</v>
      </c>
      <c r="I808" t="inlineStr">
        <is>
          <t>Undisclosed</t>
        </is>
      </c>
      <c r="J808" t="inlineStr">
        <is>
          <t>Oliver Jung; Leblon Capital</t>
        </is>
      </c>
      <c r="K808" t="inlineStr">
        <is>
          <t>https://inc42.com/buzz/from-dehaat-to-fabric-iot-indian-startups-raised-100-mn-this-week/</t>
        </is>
      </c>
    </row>
    <row r="809">
      <c r="A809" t="inlineStr">
        <is>
          <t>INC-20250426-08</t>
        </is>
      </c>
      <c r="B809" t="inlineStr">
        <is>
          <t>R250424-bachatt</t>
        </is>
      </c>
      <c r="C809" t="inlineStr">
        <is>
          <t>Inc42</t>
        </is>
      </c>
      <c r="D809" s="17" t="n">
        <v>45771</v>
      </c>
      <c r="E809" t="inlineStr">
        <is>
          <t>Bachatt</t>
        </is>
      </c>
      <c r="F809" t="inlineStr">
        <is>
          <t>$4 Mn</t>
        </is>
      </c>
      <c r="G809" s="19" t="n"/>
      <c r="H809" s="19" t="n">
        <v>4</v>
      </c>
      <c r="I809" t="inlineStr">
        <is>
          <t>Seed</t>
        </is>
      </c>
      <c r="J809" t="inlineStr">
        <is>
          <t>Lightspeed; Info Edge Ventures</t>
        </is>
      </c>
      <c r="K809" t="inlineStr">
        <is>
          <t>https://inc42.com/buzz/from-dehaat-to-fabric-iot-indian-startups-raised-100-mn-this-week/</t>
        </is>
      </c>
    </row>
    <row r="810">
      <c r="A810" t="inlineStr">
        <is>
          <t>INC-20250426-03</t>
        </is>
      </c>
      <c r="B810" t="inlineStr">
        <is>
          <t>R250424-fabriciot</t>
        </is>
      </c>
      <c r="C810" t="inlineStr">
        <is>
          <t>Inc42</t>
        </is>
      </c>
      <c r="D810" s="17" t="n">
        <v>45771</v>
      </c>
      <c r="E810" t="inlineStr">
        <is>
          <t>Fabric IoT</t>
        </is>
      </c>
      <c r="F810" t="inlineStr">
        <is>
          <t>$13.5 Mn</t>
        </is>
      </c>
      <c r="G810" s="19" t="n"/>
      <c r="H810" s="19" t="n">
        <v>13.5</v>
      </c>
      <c r="I810" t="inlineStr">
        <is>
          <t>Series A</t>
        </is>
      </c>
      <c r="J810" t="inlineStr">
        <is>
          <t>Nuveen</t>
        </is>
      </c>
      <c r="K810" t="inlineStr">
        <is>
          <t>https://inc42.com/buzz/from-dehaat-to-fabric-iot-indian-startups-raised-100-mn-this-week/</t>
        </is>
      </c>
    </row>
    <row r="811">
      <c r="A811" t="inlineStr">
        <is>
          <t>ENT-8996019</t>
        </is>
      </c>
      <c r="B811" t="inlineStr">
        <is>
          <t>R250424-greengrahi</t>
        </is>
      </c>
      <c r="C811" t="inlineStr">
        <is>
          <t>Entrackr</t>
        </is>
      </c>
      <c r="D811" s="17" t="n">
        <v>45771</v>
      </c>
      <c r="E811" t="inlineStr">
        <is>
          <t>GreenGrahi</t>
        </is>
      </c>
      <c r="F811" t="inlineStr">
        <is>
          <t>Rs 32 crore</t>
        </is>
      </c>
      <c r="G811" s="19" t="n">
        <v>32</v>
      </c>
      <c r="H811" s="19" t="n">
        <v>3.73</v>
      </c>
      <c r="I811" t="inlineStr">
        <is>
          <t>Undisclosed</t>
        </is>
      </c>
      <c r="J811" t="inlineStr"/>
      <c r="K811" t="inlineStr">
        <is>
          <t>https://entrackr.com/snippets/agri-biotech-startup-greengrahi-raises-rs-32-cr-led-by-avaana-capital-8996019</t>
        </is>
      </c>
    </row>
    <row r="812">
      <c r="A812" t="inlineStr">
        <is>
          <t>ET-120571247</t>
        </is>
      </c>
      <c r="B812" t="inlineStr">
        <is>
          <t>R250424-greengrahi</t>
        </is>
      </c>
      <c r="C812" t="inlineStr">
        <is>
          <t>The Economic Times</t>
        </is>
      </c>
      <c r="D812" s="17" t="n">
        <v>45771</v>
      </c>
      <c r="E812" t="inlineStr">
        <is>
          <t>GreenGrahi</t>
        </is>
      </c>
      <c r="F812" t="inlineStr">
        <is>
          <t>Rs 32 crore</t>
        </is>
      </c>
      <c r="G812" s="19" t="n">
        <v>32</v>
      </c>
      <c r="H812" s="19" t="n"/>
      <c r="I812" t="inlineStr">
        <is>
          <t>Undisclosed</t>
        </is>
      </c>
      <c r="J812" t="inlineStr">
        <is>
          <t>Avaana Capital</t>
        </is>
      </c>
      <c r="K812" t="inlineStr">
        <is>
          <t>https://economictimes.indiatimes.com/tech/funding/agri-biotech-startup-greengrahi-raises-rs-32-crore-in-round-led-by-avaana-capital/articleshow/120571247.cms</t>
        </is>
      </c>
    </row>
    <row r="813">
      <c r="A813" t="inlineStr">
        <is>
          <t>INC-20250426-09</t>
        </is>
      </c>
      <c r="B813" t="inlineStr">
        <is>
          <t>R250424-greengrahi</t>
        </is>
      </c>
      <c r="C813" t="inlineStr">
        <is>
          <t>Inc42</t>
        </is>
      </c>
      <c r="D813" s="17" t="n">
        <v>45771</v>
      </c>
      <c r="E813" t="inlineStr">
        <is>
          <t>GreenGrahi</t>
        </is>
      </c>
      <c r="F813" t="inlineStr">
        <is>
          <t>$3.7 Mn</t>
        </is>
      </c>
      <c r="G813" s="19" t="n"/>
      <c r="H813" s="19" t="n">
        <v>3.7</v>
      </c>
      <c r="I813" t="inlineStr">
        <is>
          <t>Seed</t>
        </is>
      </c>
      <c r="J813" t="inlineStr">
        <is>
          <t>Avaana Capital</t>
        </is>
      </c>
      <c r="K813" t="inlineStr">
        <is>
          <t>https://inc42.com/buzz/from-dehaat-to-fabric-iot-indian-startups-raised-100-mn-this-week/</t>
        </is>
      </c>
    </row>
    <row r="814">
      <c r="A814" t="inlineStr">
        <is>
          <t>ENT-8996856</t>
        </is>
      </c>
      <c r="B814" t="inlineStr">
        <is>
          <t>R250424-rimigo</t>
        </is>
      </c>
      <c r="C814" t="inlineStr">
        <is>
          <t>Entrackr</t>
        </is>
      </c>
      <c r="D814" s="17" t="n">
        <v>45771</v>
      </c>
      <c r="E814" t="inlineStr">
        <is>
          <t>Rimigo</t>
        </is>
      </c>
      <c r="F814" t="inlineStr">
        <is>
          <t>$550,000</t>
        </is>
      </c>
      <c r="G814" s="19" t="n"/>
      <c r="H814" s="19" t="n">
        <v>0.55</v>
      </c>
      <c r="I814" t="inlineStr">
        <is>
          <t>Pre-Seed</t>
        </is>
      </c>
      <c r="J814" t="inlineStr">
        <is>
          <t>Reazon Capital; SGgrow Capital</t>
        </is>
      </c>
      <c r="K814" t="inlineStr">
        <is>
          <t>https://entrackr.com/snippets/travel-tech-company-rimigo-raises-550k-in-pre-seed-round-8996856</t>
        </is>
      </c>
    </row>
    <row r="815">
      <c r="A815" t="inlineStr">
        <is>
          <t>INC-20250426-11</t>
        </is>
      </c>
      <c r="B815" t="inlineStr">
        <is>
          <t>R250424-visa2fly</t>
        </is>
      </c>
      <c r="C815" t="inlineStr">
        <is>
          <t>Inc42</t>
        </is>
      </c>
      <c r="D815" s="17" t="n">
        <v>45771</v>
      </c>
      <c r="E815" t="inlineStr">
        <is>
          <t>Visa2Fly</t>
        </is>
      </c>
      <c r="F815" t="inlineStr">
        <is>
          <t>$2 Mn</t>
        </is>
      </c>
      <c r="G815" s="19" t="n"/>
      <c r="H815" s="19" t="n">
        <v>2</v>
      </c>
      <c r="I815" t="inlineStr">
        <is>
          <t>Seed</t>
        </is>
      </c>
      <c r="J815" t="inlineStr">
        <is>
          <t>M Venture Partners</t>
        </is>
      </c>
      <c r="K815" t="inlineStr">
        <is>
          <t>https://inc42.com/buzz/from-dehaat-to-fabric-iot-indian-startups-raised-100-mn-this-week/</t>
        </is>
      </c>
    </row>
    <row r="816">
      <c r="A816" t="inlineStr">
        <is>
          <t>INC-20250426-01</t>
        </is>
      </c>
      <c r="B816" t="inlineStr">
        <is>
          <t>R250425-dehaat</t>
        </is>
      </c>
      <c r="C816" t="inlineStr">
        <is>
          <t>Inc42</t>
        </is>
      </c>
      <c r="D816" s="17" t="n">
        <v>45772</v>
      </c>
      <c r="E816" t="inlineStr">
        <is>
          <t>DeHaat</t>
        </is>
      </c>
      <c r="F816" t="inlineStr">
        <is>
          <t>$23.4 Mn</t>
        </is>
      </c>
      <c r="G816" s="19" t="n"/>
      <c r="H816" s="19" t="n">
        <v>23.4</v>
      </c>
      <c r="I816" t="inlineStr">
        <is>
          <t>Debt</t>
        </is>
      </c>
      <c r="J816" t="inlineStr">
        <is>
          <t>Trifecta Capital</t>
        </is>
      </c>
      <c r="K816" t="inlineStr">
        <is>
          <t>https://inc42.com/buzz/from-dehaat-to-fabric-iot-indian-startups-raised-100-mn-this-week/</t>
        </is>
      </c>
    </row>
    <row r="817">
      <c r="A817" t="inlineStr">
        <is>
          <t>ENT-9000269</t>
        </is>
      </c>
      <c r="B817" t="inlineStr">
        <is>
          <t>R250425-phab</t>
        </is>
      </c>
      <c r="C817" t="inlineStr">
        <is>
          <t>Entrackr</t>
        </is>
      </c>
      <c r="D817" s="17" t="n">
        <v>45772</v>
      </c>
      <c r="E817" t="inlineStr">
        <is>
          <t>phab</t>
        </is>
      </c>
      <c r="F817" t="inlineStr">
        <is>
          <t>$2 million</t>
        </is>
      </c>
      <c r="G817" s="19" t="n"/>
      <c r="H817" s="19" t="n">
        <v>2</v>
      </c>
      <c r="I817" t="inlineStr">
        <is>
          <t>Seed</t>
        </is>
      </c>
      <c r="J817" t="inlineStr">
        <is>
          <t>OTP Ventures</t>
        </is>
      </c>
      <c r="K817" t="inlineStr">
        <is>
          <t>https://entrackr.com/snippets/snack-brand-phab-raises-2-mn-in-seed-round-led-by-otp-ventures-9000269</t>
        </is>
      </c>
    </row>
    <row r="818">
      <c r="A818" t="inlineStr">
        <is>
          <t>INC-20250426-12</t>
        </is>
      </c>
      <c r="B818" t="inlineStr">
        <is>
          <t>R250425-phab</t>
        </is>
      </c>
      <c r="C818" t="inlineStr">
        <is>
          <t>Inc42</t>
        </is>
      </c>
      <c r="D818" s="17" t="n">
        <v>45772</v>
      </c>
      <c r="E818" t="inlineStr">
        <is>
          <t>phab</t>
        </is>
      </c>
      <c r="F818" t="inlineStr">
        <is>
          <t>$2 Mn</t>
        </is>
      </c>
      <c r="G818" s="19" t="n"/>
      <c r="H818" s="19" t="n">
        <v>2</v>
      </c>
      <c r="I818" t="inlineStr">
        <is>
          <t>Seed</t>
        </is>
      </c>
      <c r="J818" t="inlineStr">
        <is>
          <t>OTP Ventures</t>
        </is>
      </c>
      <c r="K818" t="inlineStr">
        <is>
          <t>https://inc42.com/buzz/from-dehaat-to-fabric-iot-indian-startups-raised-100-mn-this-week/</t>
        </is>
      </c>
    </row>
    <row r="819">
      <c r="A819" t="inlineStr">
        <is>
          <t>ENT-9010019</t>
        </is>
      </c>
      <c r="B819" t="inlineStr">
        <is>
          <t>R250428-carefi</t>
        </is>
      </c>
      <c r="C819" t="inlineStr">
        <is>
          <t>Entrackr</t>
        </is>
      </c>
      <c r="D819" s="17" t="n">
        <v>45775</v>
      </c>
      <c r="E819" t="inlineStr">
        <is>
          <t>Care.fi</t>
        </is>
      </c>
      <c r="F819" t="inlineStr">
        <is>
          <t>Rs 6 crore</t>
        </is>
      </c>
      <c r="G819" s="19" t="n">
        <v>6</v>
      </c>
      <c r="H819" s="19" t="n"/>
      <c r="I819" t="inlineStr">
        <is>
          <t>Debt</t>
        </is>
      </c>
      <c r="J819" t="inlineStr"/>
      <c r="K819" t="inlineStr">
        <is>
          <t>https://entrackr.com/snippets/carefi-raises-rs-6-cr-debt-round-from-revx-9010019</t>
        </is>
      </c>
    </row>
    <row r="820">
      <c r="A820" t="inlineStr">
        <is>
          <t>ENT-9009389</t>
        </is>
      </c>
      <c r="B820" t="inlineStr">
        <is>
          <t>R250428-hexahealth</t>
        </is>
      </c>
      <c r="C820" t="inlineStr">
        <is>
          <t>Entrackr</t>
        </is>
      </c>
      <c r="D820" s="17" t="n">
        <v>45775</v>
      </c>
      <c r="E820" t="inlineStr">
        <is>
          <t>HexaHealth</t>
        </is>
      </c>
      <c r="F820" t="inlineStr">
        <is>
          <t>$12 million</t>
        </is>
      </c>
      <c r="G820" s="19" t="n"/>
      <c r="H820" s="19" t="n">
        <v>12</v>
      </c>
      <c r="I820" t="inlineStr">
        <is>
          <t>Series A</t>
        </is>
      </c>
      <c r="J820" t="inlineStr">
        <is>
          <t>Orios Venture Partners; 3one4 Capital</t>
        </is>
      </c>
      <c r="K820" t="inlineStr">
        <is>
          <t>https://entrackr.com/exclusive/exclusive-hexahealth-secures-fresh-funds-led-by-orios-vp-9009389</t>
        </is>
      </c>
    </row>
    <row r="821">
      <c r="A821" t="inlineStr">
        <is>
          <t>INC-20250503-01</t>
        </is>
      </c>
      <c r="B821" t="inlineStr">
        <is>
          <t>R250428-hexahealth</t>
        </is>
      </c>
      <c r="C821" t="inlineStr">
        <is>
          <t>Inc42</t>
        </is>
      </c>
      <c r="D821" s="17" t="n">
        <v>45777</v>
      </c>
      <c r="E821" t="inlineStr">
        <is>
          <t>HexaHealth</t>
        </is>
      </c>
      <c r="F821" t="inlineStr">
        <is>
          <t>$12 Mn</t>
        </is>
      </c>
      <c r="G821" s="19" t="n"/>
      <c r="H821" s="19" t="n">
        <v>12</v>
      </c>
      <c r="I821" t="inlineStr">
        <is>
          <t>Series A</t>
        </is>
      </c>
      <c r="J821" t="inlineStr">
        <is>
          <t>Orios Venture Partners; 3one4 Capital</t>
        </is>
      </c>
      <c r="K821" t="inlineStr">
        <is>
          <t>https://inc42.com/buzz/from-hexahealth-to-anveshan-indian-startups-raised-55-mn-this-week/</t>
        </is>
      </c>
    </row>
    <row r="822">
      <c r="A822" t="inlineStr">
        <is>
          <t>ENT-9009681</t>
        </is>
      </c>
      <c r="B822" t="inlineStr">
        <is>
          <t>R250428-malaki</t>
        </is>
      </c>
      <c r="C822" t="inlineStr">
        <is>
          <t>Entrackr</t>
        </is>
      </c>
      <c r="D822" s="17" t="n">
        <v>45775</v>
      </c>
      <c r="E822" t="inlineStr">
        <is>
          <t>Malaki</t>
        </is>
      </c>
      <c r="F822" t="inlineStr">
        <is>
          <t>Rs 5.7 crore</t>
        </is>
      </c>
      <c r="G822" s="19" t="n">
        <v>5.7</v>
      </c>
      <c r="H822" s="19" t="n">
        <v>0.669</v>
      </c>
      <c r="I822" t="inlineStr">
        <is>
          <t>Seed</t>
        </is>
      </c>
      <c r="J822" t="inlineStr">
        <is>
          <t>Venture Catalysts</t>
        </is>
      </c>
      <c r="K822" t="inlineStr">
        <is>
          <t>https://entrackr.com/snippets/malaki-raises-rs-57-cr-in-seed-round-led-by-venture-catalysts-9009681</t>
        </is>
      </c>
    </row>
    <row r="823">
      <c r="A823" t="inlineStr">
        <is>
          <t>INC-20250503-11</t>
        </is>
      </c>
      <c r="B823" t="inlineStr">
        <is>
          <t>R250428-malaki</t>
        </is>
      </c>
      <c r="C823" t="inlineStr">
        <is>
          <t>Inc42</t>
        </is>
      </c>
      <c r="D823" s="17" t="n">
        <v>45775</v>
      </c>
      <c r="E823" t="inlineStr">
        <is>
          <t>Malaki</t>
        </is>
      </c>
      <c r="F823" t="inlineStr">
        <is>
          <t>$675K</t>
        </is>
      </c>
      <c r="G823" s="19" t="n"/>
      <c r="H823" s="19" t="n">
        <v>0.675</v>
      </c>
      <c r="I823" t="inlineStr">
        <is>
          <t>Seed</t>
        </is>
      </c>
      <c r="J823" t="inlineStr">
        <is>
          <t>Venture Catalysts</t>
        </is>
      </c>
      <c r="K823" t="inlineStr">
        <is>
          <t>https://inc42.com/buzz/from-hexahealth-to-anveshan-indian-startups-raised-55-mn-this-week/</t>
        </is>
      </c>
    </row>
    <row r="824">
      <c r="A824" t="inlineStr">
        <is>
          <t>ENT-9044989</t>
        </is>
      </c>
      <c r="B824" t="inlineStr">
        <is>
          <t>R250428-mugafi</t>
        </is>
      </c>
      <c r="C824" t="inlineStr">
        <is>
          <t>Entrackr</t>
        </is>
      </c>
      <c r="D824" s="17" t="n">
        <v>45775</v>
      </c>
      <c r="E824" t="inlineStr">
        <is>
          <t>Mugafi</t>
        </is>
      </c>
      <c r="F824" t="inlineStr">
        <is>
          <t>$3 million</t>
        </is>
      </c>
      <c r="G824" s="19" t="n"/>
      <c r="H824" s="19" t="n">
        <v>3</v>
      </c>
      <c r="I824" t="inlineStr">
        <is>
          <t>Seed</t>
        </is>
      </c>
      <c r="J824" t="inlineStr">
        <is>
          <t>StartupXseed; Auxano; Proneur; MarsshotVC</t>
        </is>
      </c>
      <c r="K824" t="inlineStr">
        <is>
          <t>https://entrackr.com/snippets/mugafi-raises-3-mn-in-seed-funding-9044989</t>
        </is>
      </c>
    </row>
    <row r="825">
      <c r="A825" t="inlineStr">
        <is>
          <t>INC-20250503-08</t>
        </is>
      </c>
      <c r="B825" t="inlineStr">
        <is>
          <t>R250428-mugafi</t>
        </is>
      </c>
      <c r="C825" t="inlineStr">
        <is>
          <t>Inc42</t>
        </is>
      </c>
      <c r="D825" s="17" t="n">
        <v>45775</v>
      </c>
      <c r="E825" t="inlineStr">
        <is>
          <t>Mugafi</t>
        </is>
      </c>
      <c r="F825" t="inlineStr">
        <is>
          <t>$3 Mn</t>
        </is>
      </c>
      <c r="G825" s="19" t="n"/>
      <c r="H825" s="19" t="n">
        <v>3</v>
      </c>
      <c r="I825" t="inlineStr">
        <is>
          <t>Seed</t>
        </is>
      </c>
      <c r="J825" t="inlineStr">
        <is>
          <t>StartupXseed</t>
        </is>
      </c>
      <c r="K825" t="inlineStr">
        <is>
          <t>https://inc42.com/buzz/from-hexahealth-to-anveshan-indian-startups-raised-55-mn-this-week/</t>
        </is>
      </c>
    </row>
    <row r="826">
      <c r="A826" t="inlineStr">
        <is>
          <t>INC-20250503-15</t>
        </is>
      </c>
      <c r="B826" t="inlineStr">
        <is>
          <t>R250429-beat22</t>
        </is>
      </c>
      <c r="C826" t="inlineStr">
        <is>
          <t>Inc42</t>
        </is>
      </c>
      <c r="D826" s="17" t="n">
        <v>45776</v>
      </c>
      <c r="E826" t="inlineStr">
        <is>
          <t>Beat22</t>
        </is>
      </c>
      <c r="F826" t="inlineStr"/>
      <c r="G826" s="19" t="n"/>
      <c r="H826" s="19" t="n"/>
      <c r="I826" t="inlineStr">
        <is>
          <t>Pre-Seed</t>
        </is>
      </c>
      <c r="J826" t="inlineStr">
        <is>
          <t>SucSEED Indovation Fund</t>
        </is>
      </c>
      <c r="K826" t="inlineStr">
        <is>
          <t>https://inc42.com/buzz/from-hexahealth-to-anveshan-indian-startups-raised-55-mn-this-week/</t>
        </is>
      </c>
    </row>
    <row r="827">
      <c r="A827" t="inlineStr">
        <is>
          <t>ENT-9013552</t>
        </is>
      </c>
      <c r="B827" t="inlineStr">
        <is>
          <t>R250429-collegedekho</t>
        </is>
      </c>
      <c r="C827" t="inlineStr">
        <is>
          <t>Entrackr</t>
        </is>
      </c>
      <c r="D827" s="17" t="n">
        <v>45776</v>
      </c>
      <c r="E827" t="inlineStr">
        <is>
          <t>CollegeDekho</t>
        </is>
      </c>
      <c r="F827" t="inlineStr">
        <is>
          <t>Rs 40 crore</t>
        </is>
      </c>
      <c r="G827" s="19" t="n">
        <v>40</v>
      </c>
      <c r="H827" s="19" t="n"/>
      <c r="I827" t="inlineStr">
        <is>
          <t>Debt</t>
        </is>
      </c>
      <c r="J827" t="inlineStr"/>
      <c r="K827" t="inlineStr">
        <is>
          <t>https://entrackr.com/snippets/collegedekho-secures-rs-40-cr-debt-funding-from-recur-club-9013552</t>
        </is>
      </c>
    </row>
    <row r="828">
      <c r="A828" t="inlineStr">
        <is>
          <t>ENT-9014718</t>
        </is>
      </c>
      <c r="B828" t="inlineStr">
        <is>
          <t>R250429-kult</t>
        </is>
      </c>
      <c r="C828" t="inlineStr">
        <is>
          <t>Entrackr</t>
        </is>
      </c>
      <c r="D828" s="17" t="n">
        <v>45776</v>
      </c>
      <c r="E828" t="inlineStr">
        <is>
          <t>Kult</t>
        </is>
      </c>
      <c r="F828" t="inlineStr">
        <is>
          <t>$20 million</t>
        </is>
      </c>
      <c r="G828" s="19" t="n">
        <v>170</v>
      </c>
      <c r="H828" s="19" t="n">
        <v>20</v>
      </c>
      <c r="I828" t="inlineStr">
        <is>
          <t>Series A</t>
        </is>
      </c>
      <c r="J828" t="inlineStr">
        <is>
          <t>Dr</t>
        </is>
      </c>
      <c r="K828" t="inlineStr">
        <is>
          <t>https://entrackr.com/news/kult-raises-20-mn-in-series-a-round-led-by-m3m-family-office-9014718</t>
        </is>
      </c>
    </row>
    <row r="829">
      <c r="A829" t="inlineStr">
        <is>
          <t>ET-120726397</t>
        </is>
      </c>
      <c r="B829" t="inlineStr">
        <is>
          <t>R250429-kult</t>
        </is>
      </c>
      <c r="C829" t="inlineStr">
        <is>
          <t>The Economic Times</t>
        </is>
      </c>
      <c r="D829" s="17" t="n">
        <v>45776</v>
      </c>
      <c r="E829" t="inlineStr">
        <is>
          <t>Kult</t>
        </is>
      </c>
      <c r="F829" t="inlineStr">
        <is>
          <t>$20 million</t>
        </is>
      </c>
      <c r="G829" s="19" t="n">
        <v>170</v>
      </c>
      <c r="H829" s="19" t="n">
        <v>20</v>
      </c>
      <c r="I829" t="inlineStr">
        <is>
          <t>Series A</t>
        </is>
      </c>
      <c r="J829" t="inlineStr"/>
      <c r="K829" t="inlineStr">
        <is>
          <t>https://economictimes.indiatimes.com/tech/startups/beauty-tech-startup-kult-raises-20-million-from-m3m-family-office-other-investors/articleshow/120726397.cms</t>
        </is>
      </c>
    </row>
    <row r="830">
      <c r="A830" t="inlineStr">
        <is>
          <t>ENT-9013053</t>
        </is>
      </c>
      <c r="B830" t="inlineStr">
        <is>
          <t>R250429-metafin</t>
        </is>
      </c>
      <c r="C830" t="inlineStr">
        <is>
          <t>Entrackr</t>
        </is>
      </c>
      <c r="D830" s="17" t="n">
        <v>45776</v>
      </c>
      <c r="E830" t="inlineStr">
        <is>
          <t>Metafin</t>
        </is>
      </c>
      <c r="F830" t="inlineStr">
        <is>
          <t>$10 million</t>
        </is>
      </c>
      <c r="G830" s="19" t="n">
        <v>85</v>
      </c>
      <c r="H830" s="19" t="n">
        <v>10</v>
      </c>
      <c r="I830" t="inlineStr">
        <is>
          <t>Series A</t>
        </is>
      </c>
      <c r="J830" t="inlineStr">
        <is>
          <t>Vertex Ventures Southeast Asia; India</t>
        </is>
      </c>
      <c r="K830" t="inlineStr">
        <is>
          <t>https://entrackr.com/snippets/metafin-raises-10-mn-in-series-a-round-led-by-vertex-ventures-9013053</t>
        </is>
      </c>
    </row>
    <row r="831">
      <c r="A831" t="inlineStr">
        <is>
          <t>INC-20250503-02</t>
        </is>
      </c>
      <c r="B831" t="inlineStr">
        <is>
          <t>R250429-metafin</t>
        </is>
      </c>
      <c r="C831" t="inlineStr">
        <is>
          <t>Inc42</t>
        </is>
      </c>
      <c r="D831" s="17" t="n">
        <v>45776</v>
      </c>
      <c r="E831" t="inlineStr">
        <is>
          <t>Metafin</t>
        </is>
      </c>
      <c r="F831" t="inlineStr">
        <is>
          <t>$10 Mn</t>
        </is>
      </c>
      <c r="G831" s="19" t="n"/>
      <c r="H831" s="19" t="n">
        <v>10</v>
      </c>
      <c r="I831" t="inlineStr">
        <is>
          <t>Series A</t>
        </is>
      </c>
      <c r="J831" t="inlineStr">
        <is>
          <t>Vertex Ventures Southeast Asia; India</t>
        </is>
      </c>
      <c r="K831" t="inlineStr">
        <is>
          <t>https://inc42.com/buzz/from-hexahealth-to-anveshan-indian-startups-raised-55-mn-this-week/</t>
        </is>
      </c>
    </row>
    <row r="832">
      <c r="A832" t="inlineStr">
        <is>
          <t>ET-120705250</t>
        </is>
      </c>
      <c r="B832" t="inlineStr">
        <is>
          <t>R250429-nbfcmetafin</t>
        </is>
      </c>
      <c r="C832" t="inlineStr">
        <is>
          <t>The Economic Times</t>
        </is>
      </c>
      <c r="D832" s="17" t="n">
        <v>45776</v>
      </c>
      <c r="E832" t="inlineStr">
        <is>
          <t>NBFC Metafin</t>
        </is>
      </c>
      <c r="F832" t="inlineStr">
        <is>
          <t>$10 million</t>
        </is>
      </c>
      <c r="G832" s="19" t="n"/>
      <c r="H832" s="19" t="n">
        <v>10</v>
      </c>
      <c r="I832" t="inlineStr">
        <is>
          <t>Undisclosed</t>
        </is>
      </c>
      <c r="J832" t="inlineStr">
        <is>
          <t>Vertex Ventures Southeast Asia; India</t>
        </is>
      </c>
      <c r="K832" t="inlineStr">
        <is>
          <t>https://economictimes.indiatimes.com/tech/funding/solar-focussed-nbfc-metafin-raises-10-million-in-round-led-by-vertex-ventures-sea-india/articleshow/120705250.cms</t>
        </is>
      </c>
    </row>
    <row r="833">
      <c r="A833" t="inlineStr">
        <is>
          <t>ENT-9013913</t>
        </is>
      </c>
      <c r="B833" t="inlineStr">
        <is>
          <t>R250429-primebook</t>
        </is>
      </c>
      <c r="C833" t="inlineStr">
        <is>
          <t>Entrackr</t>
        </is>
      </c>
      <c r="D833" s="17" t="n">
        <v>45776</v>
      </c>
      <c r="E833" t="inlineStr">
        <is>
          <t>Primebook</t>
        </is>
      </c>
      <c r="F833" t="inlineStr">
        <is>
          <t>$2 million</t>
        </is>
      </c>
      <c r="G833" s="19" t="n"/>
      <c r="H833" s="19" t="n">
        <v>2</v>
      </c>
      <c r="I833" t="inlineStr">
        <is>
          <t>Pre-Series A</t>
        </is>
      </c>
      <c r="J833" t="inlineStr"/>
      <c r="K833" t="inlineStr">
        <is>
          <t>https://entrackr.com/snippets/android-laptop-brand-primebook-raises-2-mn-in-pre-series-a-9013913</t>
        </is>
      </c>
    </row>
    <row r="834">
      <c r="A834" t="inlineStr">
        <is>
          <t>INC-20250503-09</t>
        </is>
      </c>
      <c r="B834" t="inlineStr">
        <is>
          <t>R250429-primebook</t>
        </is>
      </c>
      <c r="C834" t="inlineStr">
        <is>
          <t>Inc42</t>
        </is>
      </c>
      <c r="D834" s="17" t="n">
        <v>45776</v>
      </c>
      <c r="E834" t="inlineStr">
        <is>
          <t>Primebook</t>
        </is>
      </c>
      <c r="F834" t="inlineStr">
        <is>
          <t>$2 Mn</t>
        </is>
      </c>
      <c r="G834" s="19" t="n"/>
      <c r="H834" s="19" t="n">
        <v>2</v>
      </c>
      <c r="I834" t="inlineStr">
        <is>
          <t>Pre-Series A</t>
        </is>
      </c>
      <c r="J834" t="inlineStr"/>
      <c r="K834" t="inlineStr">
        <is>
          <t>https://inc42.com/buzz/from-hexahealth-to-anveshan-indian-startups-raised-55-mn-this-week/</t>
        </is>
      </c>
    </row>
    <row r="835">
      <c r="A835" t="inlineStr">
        <is>
          <t>INC-20250503-12</t>
        </is>
      </c>
      <c r="B835" t="inlineStr">
        <is>
          <t>R250429-scandalousfood</t>
        </is>
      </c>
      <c r="C835" t="inlineStr">
        <is>
          <t>Inc42</t>
        </is>
      </c>
      <c r="D835" s="17" t="n">
        <v>45776</v>
      </c>
      <c r="E835" t="inlineStr">
        <is>
          <t>Scandalous Foods</t>
        </is>
      </c>
      <c r="F835" t="inlineStr">
        <is>
          <t>$237K</t>
        </is>
      </c>
      <c r="G835" s="19" t="n"/>
      <c r="H835" s="19" t="n">
        <v>0.237</v>
      </c>
      <c r="I835" t="inlineStr">
        <is>
          <t>Seed</t>
        </is>
      </c>
      <c r="J835" t="inlineStr">
        <is>
          <t>New Age India Fund</t>
        </is>
      </c>
      <c r="K835" t="inlineStr">
        <is>
          <t>https://inc42.com/buzz/from-hexahealth-to-anveshan-indian-startups-raised-55-mn-this-week/</t>
        </is>
      </c>
    </row>
    <row r="836">
      <c r="A836" t="inlineStr">
        <is>
          <t>ET-120755244</t>
        </is>
      </c>
      <c r="B836" t="inlineStr">
        <is>
          <t>R250430-anveshan</t>
        </is>
      </c>
      <c r="C836" t="inlineStr">
        <is>
          <t>The Economic Times</t>
        </is>
      </c>
      <c r="D836" s="17" t="n">
        <v>45777</v>
      </c>
      <c r="E836" t="inlineStr">
        <is>
          <t>Anveshan</t>
        </is>
      </c>
      <c r="F836" t="inlineStr">
        <is>
          <t>Rs 48 crore</t>
        </is>
      </c>
      <c r="G836" s="19" t="n">
        <v>48</v>
      </c>
      <c r="H836" s="19" t="n"/>
      <c r="I836" t="inlineStr">
        <is>
          <t>Undisclosed</t>
        </is>
      </c>
      <c r="J836" t="inlineStr">
        <is>
          <t>Wipro Consumer Care Ventures</t>
        </is>
      </c>
      <c r="K836" t="inlineStr">
        <is>
          <t>https://economictimes.indiatimes.com/tech/funding/health-food-brand-anveshan-raises-rs-48-crore-from-wipro-consumer-care-ventures-others/articleshow/120755244.cms</t>
        </is>
      </c>
    </row>
    <row r="837">
      <c r="A837" t="inlineStr">
        <is>
          <t>INC-20250503-04</t>
        </is>
      </c>
      <c r="B837" t="inlineStr">
        <is>
          <t>R250430-anveshan</t>
        </is>
      </c>
      <c r="C837" t="inlineStr">
        <is>
          <t>Inc42</t>
        </is>
      </c>
      <c r="D837" s="17" t="n">
        <v>45777</v>
      </c>
      <c r="E837" t="inlineStr">
        <is>
          <t>Anveshan</t>
        </is>
      </c>
      <c r="F837" t="inlineStr">
        <is>
          <t>$6 Mn</t>
        </is>
      </c>
      <c r="G837" s="19" t="n"/>
      <c r="H837" s="19" t="n">
        <v>6</v>
      </c>
      <c r="I837" t="inlineStr">
        <is>
          <t>Series A</t>
        </is>
      </c>
      <c r="J837" t="inlineStr">
        <is>
          <t>Wipro Consumer Care Ventures</t>
        </is>
      </c>
      <c r="K837" t="inlineStr">
        <is>
          <t>https://inc42.com/buzz/from-hexahealth-to-anveshan-indian-startups-raised-55-mn-this-week/</t>
        </is>
      </c>
    </row>
    <row r="838">
      <c r="A838" t="inlineStr">
        <is>
          <t>INC-20250503-13</t>
        </is>
      </c>
      <c r="B838" t="inlineStr">
        <is>
          <t>R250430-ivanajewels</t>
        </is>
      </c>
      <c r="C838" t="inlineStr">
        <is>
          <t>Inc42</t>
        </is>
      </c>
      <c r="D838" s="17" t="n">
        <v>45777</v>
      </c>
      <c r="E838" t="inlineStr">
        <is>
          <t>IVANA Jewels</t>
        </is>
      </c>
      <c r="F838" t="inlineStr">
        <is>
          <t>$237K</t>
        </is>
      </c>
      <c r="G838" s="19" t="n"/>
      <c r="H838" s="19" t="n">
        <v>0.237</v>
      </c>
      <c r="I838" t="inlineStr">
        <is>
          <t>Seed</t>
        </is>
      </c>
      <c r="J838" t="inlineStr">
        <is>
          <t>Avinya Ventures</t>
        </is>
      </c>
      <c r="K838" t="inlineStr">
        <is>
          <t>https://inc42.com/buzz/from-hexahealth-to-anveshan-indian-startups-raised-55-mn-this-week/</t>
        </is>
      </c>
    </row>
    <row r="839">
      <c r="A839" t="inlineStr">
        <is>
          <t>ENT-9016730</t>
        </is>
      </c>
      <c r="B839" t="inlineStr">
        <is>
          <t>R250430-qnulabs</t>
        </is>
      </c>
      <c r="C839" t="inlineStr">
        <is>
          <t>Entrackr</t>
        </is>
      </c>
      <c r="D839" s="17" t="n">
        <v>45777</v>
      </c>
      <c r="E839" t="inlineStr">
        <is>
          <t>QNu Labs</t>
        </is>
      </c>
      <c r="F839" t="inlineStr">
        <is>
          <t>Rs 60 crore</t>
        </is>
      </c>
      <c r="G839" s="19" t="n">
        <v>60</v>
      </c>
      <c r="H839" s="19" t="n">
        <v>7</v>
      </c>
      <c r="I839" t="inlineStr">
        <is>
          <t>Series A</t>
        </is>
      </c>
      <c r="J839" t="inlineStr">
        <is>
          <t>National Quantum Mission</t>
        </is>
      </c>
      <c r="K839" t="inlineStr">
        <is>
          <t>https://entrackr.com/snippets/qnu-labs-raises-rs-60-cr-in-series-a-round-led-by-nqm-9016730</t>
        </is>
      </c>
    </row>
    <row r="840">
      <c r="A840" t="inlineStr">
        <is>
          <t>ET-120739731</t>
        </is>
      </c>
      <c r="B840" t="inlineStr">
        <is>
          <t>R250430-qnulabs</t>
        </is>
      </c>
      <c r="C840" t="inlineStr">
        <is>
          <t>The Economic Times</t>
        </is>
      </c>
      <c r="D840" s="17" t="n">
        <v>45777</v>
      </c>
      <c r="E840" t="inlineStr">
        <is>
          <t>QNu Labs</t>
        </is>
      </c>
      <c r="F840" t="inlineStr">
        <is>
          <t>Rs 60 crore</t>
        </is>
      </c>
      <c r="G840" s="19" t="n">
        <v>60</v>
      </c>
      <c r="H840" s="19" t="n"/>
      <c r="I840" t="inlineStr">
        <is>
          <t>Series A</t>
        </is>
      </c>
      <c r="J840" t="inlineStr">
        <is>
          <t>National Quantum Mission</t>
        </is>
      </c>
      <c r="K840" t="inlineStr">
        <is>
          <t>https://economictimes.indiatimes.com/tech/funding/cyber-security-firm-qnu-labs-bags-rs-60-crore-from-govts-nqm-others/articleshow/120739731.cms</t>
        </is>
      </c>
    </row>
    <row r="841">
      <c r="A841" t="inlineStr">
        <is>
          <t>INC-20250503-03</t>
        </is>
      </c>
      <c r="B841" t="inlineStr">
        <is>
          <t>R250430-qnulabs</t>
        </is>
      </c>
      <c r="C841" t="inlineStr">
        <is>
          <t>Inc42</t>
        </is>
      </c>
      <c r="D841" s="17" t="n">
        <v>45777</v>
      </c>
      <c r="E841" t="inlineStr">
        <is>
          <t>QNu Labs</t>
        </is>
      </c>
      <c r="F841" t="inlineStr">
        <is>
          <t>$7 Mn</t>
        </is>
      </c>
      <c r="G841" s="19" t="n"/>
      <c r="H841" s="19" t="n">
        <v>7</v>
      </c>
      <c r="I841" t="inlineStr">
        <is>
          <t>Series A</t>
        </is>
      </c>
      <c r="J841" t="inlineStr">
        <is>
          <t>National Quantum Mission</t>
        </is>
      </c>
      <c r="K841" t="inlineStr">
        <is>
          <t>https://inc42.com/buzz/from-hexahealth-to-anveshan-indian-startups-raised-55-mn-this-week/</t>
        </is>
      </c>
    </row>
    <row r="842">
      <c r="A842" t="inlineStr">
        <is>
          <t>ENT-9017119</t>
        </is>
      </c>
      <c r="B842" t="inlineStr">
        <is>
          <t>R250430-sadhavoffshore</t>
        </is>
      </c>
      <c r="C842" t="inlineStr">
        <is>
          <t>Entrackr</t>
        </is>
      </c>
      <c r="D842" s="17" t="n">
        <v>45777</v>
      </c>
      <c r="E842" t="inlineStr">
        <is>
          <t>Sadhav Offshore</t>
        </is>
      </c>
      <c r="F842" t="inlineStr">
        <is>
          <t>Rs 25 crore</t>
        </is>
      </c>
      <c r="G842" s="19" t="n">
        <v>25</v>
      </c>
      <c r="H842" s="19" t="n"/>
      <c r="I842" t="inlineStr">
        <is>
          <t>Undisclosed</t>
        </is>
      </c>
      <c r="J842" t="inlineStr">
        <is>
          <t>Negen Undiscovered Value Fund</t>
        </is>
      </c>
      <c r="K842" t="inlineStr">
        <is>
          <t>https://entrackr.com/snippets/sadhav-offshore-raises-rs-25-cr-in-equity-round-led-by-negen-capital-9017119</t>
        </is>
      </c>
    </row>
    <row r="843">
      <c r="A843" t="inlineStr">
        <is>
          <t>ENT-9019477</t>
        </is>
      </c>
      <c r="B843" t="inlineStr">
        <is>
          <t>R250430-saltoralcare</t>
        </is>
      </c>
      <c r="C843" t="inlineStr">
        <is>
          <t>Entrackr</t>
        </is>
      </c>
      <c r="D843" s="17" t="n">
        <v>45777</v>
      </c>
      <c r="E843" t="inlineStr">
        <is>
          <t>Salt Oral Care</t>
        </is>
      </c>
      <c r="F843" t="inlineStr">
        <is>
          <t>$1 million</t>
        </is>
      </c>
      <c r="G843" s="19" t="n"/>
      <c r="H843" s="19" t="n">
        <v>1</v>
      </c>
      <c r="I843" t="inlineStr">
        <is>
          <t>Pre-Series A</t>
        </is>
      </c>
      <c r="J843" t="inlineStr"/>
      <c r="K843" t="inlineStr">
        <is>
          <t>https://entrackr.com/snippets/salt-oral-care-raises-1-mn-in-pre-series-a-round-led-by-lotus-holdings-9019477</t>
        </is>
      </c>
    </row>
    <row r="844">
      <c r="A844" t="inlineStr">
        <is>
          <t>ENT-9016898</t>
        </is>
      </c>
      <c r="B844" t="inlineStr">
        <is>
          <t>R250430-satleolabs</t>
        </is>
      </c>
      <c r="C844" t="inlineStr">
        <is>
          <t>Entrackr</t>
        </is>
      </c>
      <c r="D844" s="17" t="n">
        <v>45777</v>
      </c>
      <c r="E844" t="inlineStr">
        <is>
          <t>SatLeo Labs</t>
        </is>
      </c>
      <c r="F844" t="inlineStr">
        <is>
          <t>$3.3 million</t>
        </is>
      </c>
      <c r="G844" s="19" t="n"/>
      <c r="H844" s="19" t="n">
        <v>3.3</v>
      </c>
      <c r="I844" t="inlineStr">
        <is>
          <t>Pre-Seed</t>
        </is>
      </c>
      <c r="J844" t="inlineStr">
        <is>
          <t>Merak Ventures</t>
        </is>
      </c>
      <c r="K844" t="inlineStr">
        <is>
          <t>https://entrackr.com/snippets/satleo-labs-raises-33-mn-in-pre-seed-round-led-by-merak-ventures-9016898</t>
        </is>
      </c>
    </row>
    <row r="845">
      <c r="A845" t="inlineStr">
        <is>
          <t>INC-20250503-07</t>
        </is>
      </c>
      <c r="B845" t="inlineStr">
        <is>
          <t>R250430-satleolabs</t>
        </is>
      </c>
      <c r="C845" t="inlineStr">
        <is>
          <t>Inc42</t>
        </is>
      </c>
      <c r="D845" s="17" t="n">
        <v>45777</v>
      </c>
      <c r="E845" t="inlineStr">
        <is>
          <t>SatLeo Labs</t>
        </is>
      </c>
      <c r="F845" t="inlineStr">
        <is>
          <t>$3.3 Mn</t>
        </is>
      </c>
      <c r="G845" s="19" t="n"/>
      <c r="H845" s="19" t="n">
        <v>3.3</v>
      </c>
      <c r="I845" t="inlineStr">
        <is>
          <t>Pre-Series A</t>
        </is>
      </c>
      <c r="J845" t="inlineStr">
        <is>
          <t>Merak Ventures</t>
        </is>
      </c>
      <c r="K845" t="inlineStr">
        <is>
          <t>https://inc42.com/buzz/from-hexahealth-to-anveshan-indian-startups-raised-55-mn-this-week/</t>
        </is>
      </c>
    </row>
    <row r="846">
      <c r="A846" t="inlineStr">
        <is>
          <t>ENT-9016664</t>
        </is>
      </c>
      <c r="B846" t="inlineStr">
        <is>
          <t>R250430-stimuler</t>
        </is>
      </c>
      <c r="C846" t="inlineStr">
        <is>
          <t>Entrackr</t>
        </is>
      </c>
      <c r="D846" s="17" t="n">
        <v>45777</v>
      </c>
      <c r="E846" t="inlineStr">
        <is>
          <t>Stimuler</t>
        </is>
      </c>
      <c r="F846" t="inlineStr">
        <is>
          <t>$3.75 million</t>
        </is>
      </c>
      <c r="G846" s="19" t="n"/>
      <c r="H846" s="19" t="n">
        <v>3.75</v>
      </c>
      <c r="I846" t="inlineStr">
        <is>
          <t>Pre-Series A</t>
        </is>
      </c>
      <c r="J846" t="inlineStr">
        <is>
          <t>Lightspeed; SWC Global</t>
        </is>
      </c>
      <c r="K846" t="inlineStr">
        <is>
          <t>https://entrackr.com/snippets/stimuler-raises-375-mn-in-pre-series-a-round-led-by-lightspeed-9016664</t>
        </is>
      </c>
    </row>
    <row r="847">
      <c r="A847" t="inlineStr">
        <is>
          <t>ET-120739525</t>
        </is>
      </c>
      <c r="B847" t="inlineStr">
        <is>
          <t>R250430-stimuler</t>
        </is>
      </c>
      <c r="C847" t="inlineStr">
        <is>
          <t>The Economic Times</t>
        </is>
      </c>
      <c r="D847" s="17" t="n">
        <v>45777</v>
      </c>
      <c r="E847" t="inlineStr">
        <is>
          <t>Stimuler</t>
        </is>
      </c>
      <c r="F847" t="inlineStr">
        <is>
          <t>$3.75 million</t>
        </is>
      </c>
      <c r="G847" s="19" t="n"/>
      <c r="H847" s="19" t="n">
        <v>3.75</v>
      </c>
      <c r="I847" t="inlineStr">
        <is>
          <t>Undisclosed</t>
        </is>
      </c>
      <c r="J847" t="inlineStr"/>
      <c r="K847" t="inlineStr">
        <is>
          <t>https://economictimes.indiatimes.com/tech/funding/voice-first-ai-tutor-stimuler-raises-3-75-million-from-lightspeed-swc-global/articleshow/120739525.cms</t>
        </is>
      </c>
    </row>
    <row r="848">
      <c r="A848" t="inlineStr">
        <is>
          <t>INC-20250503-06</t>
        </is>
      </c>
      <c r="B848" t="inlineStr">
        <is>
          <t>R250430-stimuler</t>
        </is>
      </c>
      <c r="C848" t="inlineStr">
        <is>
          <t>Inc42</t>
        </is>
      </c>
      <c r="D848" s="17" t="n">
        <v>45777</v>
      </c>
      <c r="E848" t="inlineStr">
        <is>
          <t>Stimuler</t>
        </is>
      </c>
      <c r="F848" t="inlineStr">
        <is>
          <t>$3.8 Mn</t>
        </is>
      </c>
      <c r="G848" s="19" t="n"/>
      <c r="H848" s="19" t="n">
        <v>3.8</v>
      </c>
      <c r="I848" t="inlineStr">
        <is>
          <t>Pre-Series A</t>
        </is>
      </c>
      <c r="J848" t="inlineStr">
        <is>
          <t>Lightspeed; SWC Global</t>
        </is>
      </c>
      <c r="K848" t="inlineStr">
        <is>
          <t>https://inc42.com/buzz/from-hexahealth-to-anveshan-indian-startups-raised-55-mn-this-week/</t>
        </is>
      </c>
    </row>
    <row r="849">
      <c r="A849" t="inlineStr">
        <is>
          <t>ENT-9016984</t>
        </is>
      </c>
      <c r="B849" t="inlineStr">
        <is>
          <t>R250430-vividobots</t>
        </is>
      </c>
      <c r="C849" t="inlineStr">
        <is>
          <t>Entrackr</t>
        </is>
      </c>
      <c r="D849" s="17" t="n">
        <v>45777</v>
      </c>
      <c r="E849" t="inlineStr">
        <is>
          <t>Vividobots</t>
        </is>
      </c>
      <c r="F849" t="inlineStr">
        <is>
          <t>Rs 1.47 crore</t>
        </is>
      </c>
      <c r="G849" s="19" t="n">
        <v>1.47</v>
      </c>
      <c r="H849" s="19" t="n"/>
      <c r="I849" t="inlineStr">
        <is>
          <t>Seed</t>
        </is>
      </c>
      <c r="J849" t="inlineStr">
        <is>
          <t>Inflection Point Ventures</t>
        </is>
      </c>
      <c r="K849" t="inlineStr">
        <is>
          <t>https://entrackr.com/snippets/vividobots-raises-rs-147-cr-in-seed-round-led-by-ipv-9016984</t>
        </is>
      </c>
    </row>
    <row r="850">
      <c r="A850" t="inlineStr">
        <is>
          <t>INC-20250503-14</t>
        </is>
      </c>
      <c r="B850" t="inlineStr">
        <is>
          <t>R250430-vividobots</t>
        </is>
      </c>
      <c r="C850" t="inlineStr">
        <is>
          <t>Inc42</t>
        </is>
      </c>
      <c r="D850" s="17" t="n">
        <v>45777</v>
      </c>
      <c r="E850" t="inlineStr">
        <is>
          <t>Vividobots</t>
        </is>
      </c>
      <c r="F850" t="inlineStr">
        <is>
          <t>$174K</t>
        </is>
      </c>
      <c r="G850" s="19" t="n"/>
      <c r="H850" s="19" t="n">
        <v>0.174</v>
      </c>
      <c r="I850" t="inlineStr">
        <is>
          <t>Seed</t>
        </is>
      </c>
      <c r="J850" t="inlineStr">
        <is>
          <t>Inflection Point Ventures</t>
        </is>
      </c>
      <c r="K850" t="inlineStr">
        <is>
          <t>https://inc42.com/buzz/from-hexahealth-to-anveshan-indian-startups-raised-55-mn-this-week/</t>
        </is>
      </c>
    </row>
    <row r="851">
      <c r="A851" t="inlineStr">
        <is>
          <t>ENT-9021181</t>
        </is>
      </c>
      <c r="B851" t="inlineStr">
        <is>
          <t>R250501-fuze</t>
        </is>
      </c>
      <c r="C851" t="inlineStr">
        <is>
          <t>Entrackr</t>
        </is>
      </c>
      <c r="D851" s="17" t="n">
        <v>45778</v>
      </c>
      <c r="E851" t="inlineStr">
        <is>
          <t>Fuze</t>
        </is>
      </c>
      <c r="F851" t="inlineStr">
        <is>
          <t>$12.2 million</t>
        </is>
      </c>
      <c r="G851" s="19" t="n"/>
      <c r="H851" s="19" t="n">
        <v>12.2</v>
      </c>
      <c r="I851" t="inlineStr">
        <is>
          <t>Series A</t>
        </is>
      </c>
      <c r="J851" t="inlineStr">
        <is>
          <t>Galaxy</t>
        </is>
      </c>
      <c r="K851" t="inlineStr">
        <is>
          <t>https://entrackr.com/snippets/fuze-raises-122-mn-in-series-a-round-led-by-galaxy-and-e-capital-9021181</t>
        </is>
      </c>
    </row>
    <row r="852">
      <c r="A852" t="inlineStr">
        <is>
          <t>ET-120788780</t>
        </is>
      </c>
      <c r="B852" t="inlineStr">
        <is>
          <t>R250501-fuze</t>
        </is>
      </c>
      <c r="C852" t="inlineStr">
        <is>
          <t>The Economic Times</t>
        </is>
      </c>
      <c r="D852" s="17" t="n">
        <v>45778</v>
      </c>
      <c r="E852" t="inlineStr">
        <is>
          <t>Fuze</t>
        </is>
      </c>
      <c r="F852" t="inlineStr">
        <is>
          <t>$12.2 million</t>
        </is>
      </c>
      <c r="G852" s="19" t="n"/>
      <c r="H852" s="19" t="n">
        <v>12.2</v>
      </c>
      <c r="I852" t="inlineStr">
        <is>
          <t>Series A</t>
        </is>
      </c>
      <c r="J852" t="inlineStr">
        <is>
          <t>Galaxy</t>
        </is>
      </c>
      <c r="K852" t="inlineStr">
        <is>
          <t>https://economictimes.indiatimes.com/tech/funding/digital-assets-infrastructure-startup-fuze-raises-12-2-million-from-galaxy-e-others/articleshow/120788780.cms</t>
        </is>
      </c>
    </row>
    <row r="853">
      <c r="A853" t="inlineStr">
        <is>
          <t>ET-120828028</t>
        </is>
      </c>
      <c r="B853" t="inlineStr">
        <is>
          <t>R250502-byteedge</t>
        </is>
      </c>
      <c r="C853" t="inlineStr">
        <is>
          <t>The Economic Times</t>
        </is>
      </c>
      <c r="D853" s="17" t="n">
        <v>45779</v>
      </c>
      <c r="E853" t="inlineStr">
        <is>
          <t>ByteEdge</t>
        </is>
      </c>
      <c r="F853" t="inlineStr">
        <is>
          <t>$1.5 million</t>
        </is>
      </c>
      <c r="G853" s="19" t="n"/>
      <c r="H853" s="19" t="n">
        <v>1.5</v>
      </c>
      <c r="I853" t="inlineStr">
        <is>
          <t>Undisclosed</t>
        </is>
      </c>
      <c r="J853" t="inlineStr">
        <is>
          <t>TRTL Ventures</t>
        </is>
      </c>
      <c r="K853" t="inlineStr">
        <is>
          <t>https://economictimes.indiatimes.com/tech/funding/ai-knowledge-transfer-platform-byteedge-raises-1-5-million-in-round-led-by-trtl-ventures/articleshow/120828028.cms</t>
        </is>
      </c>
    </row>
    <row r="854">
      <c r="A854" t="inlineStr">
        <is>
          <t>ENT-9025505</t>
        </is>
      </c>
      <c r="B854" t="inlineStr">
        <is>
          <t>R250502-kaleidofin</t>
        </is>
      </c>
      <c r="C854" t="inlineStr">
        <is>
          <t>Entrackr</t>
        </is>
      </c>
      <c r="D854" s="17" t="n">
        <v>45779</v>
      </c>
      <c r="E854" t="inlineStr">
        <is>
          <t>Kaleidofin</t>
        </is>
      </c>
      <c r="F854" t="inlineStr">
        <is>
          <t>$5.3 million</t>
        </is>
      </c>
      <c r="G854" s="19" t="n">
        <v>44.5</v>
      </c>
      <c r="H854" s="19" t="n">
        <v>5.3</v>
      </c>
      <c r="I854" t="inlineStr">
        <is>
          <t>Undisclosed</t>
        </is>
      </c>
      <c r="J854" t="inlineStr">
        <is>
          <t>IDH Farmfit Fund</t>
        </is>
      </c>
      <c r="K854" t="inlineStr">
        <is>
          <t>https://entrackr.com/snippets/neobanking-platform-kaleidofin-raises-53-mn-led-by-idh-farmfit-fund-9025505</t>
        </is>
      </c>
    </row>
    <row r="855">
      <c r="A855" t="inlineStr">
        <is>
          <t>ET-120827658</t>
        </is>
      </c>
      <c r="B855" t="inlineStr">
        <is>
          <t>R250502-kaleidofin</t>
        </is>
      </c>
      <c r="C855" t="inlineStr">
        <is>
          <t>The Economic Times</t>
        </is>
      </c>
      <c r="D855" s="17" t="n">
        <v>45779</v>
      </c>
      <c r="E855" t="inlineStr">
        <is>
          <t>Kaleidofin</t>
        </is>
      </c>
      <c r="F855" t="inlineStr">
        <is>
          <t>$5.3 million</t>
        </is>
      </c>
      <c r="G855" s="19" t="n"/>
      <c r="H855" s="19" t="n">
        <v>5.3</v>
      </c>
      <c r="I855" t="inlineStr">
        <is>
          <t>Undisclosed</t>
        </is>
      </c>
      <c r="J855" t="inlineStr"/>
      <c r="K855" t="inlineStr">
        <is>
          <t>https://economictimes.indiatimes.com/tech/funding/financial-services-startup-kaleidofin-raises-5-3-million-from-idh-farmfit-fund/articleshow/120827658.cms</t>
        </is>
      </c>
    </row>
    <row r="856">
      <c r="A856" t="inlineStr">
        <is>
          <t>INC-20250503-05</t>
        </is>
      </c>
      <c r="B856" t="inlineStr">
        <is>
          <t>R250502-kaleidofin</t>
        </is>
      </c>
      <c r="C856" t="inlineStr">
        <is>
          <t>Inc42</t>
        </is>
      </c>
      <c r="D856" s="17" t="n">
        <v>45779</v>
      </c>
      <c r="E856" t="inlineStr">
        <is>
          <t>Kaleidofin</t>
        </is>
      </c>
      <c r="F856" t="inlineStr">
        <is>
          <t>$5.3 Mn</t>
        </is>
      </c>
      <c r="G856" s="19" t="n"/>
      <c r="H856" s="19" t="n">
        <v>5.3</v>
      </c>
      <c r="I856" t="inlineStr">
        <is>
          <t>Undisclosed</t>
        </is>
      </c>
      <c r="J856" t="inlineStr">
        <is>
          <t>IDH Farmfit Fund</t>
        </is>
      </c>
      <c r="K856" t="inlineStr">
        <is>
          <t>https://inc42.com/buzz/from-hexahealth-to-anveshan-indian-startups-raised-55-mn-this-week/</t>
        </is>
      </c>
    </row>
    <row r="857">
      <c r="A857" t="inlineStr">
        <is>
          <t>ENT-9025275</t>
        </is>
      </c>
      <c r="B857" t="inlineStr">
        <is>
          <t>R250502-sednahoreca</t>
        </is>
      </c>
      <c r="C857" t="inlineStr">
        <is>
          <t>Entrackr</t>
        </is>
      </c>
      <c r="D857" s="17" t="n">
        <v>45779</v>
      </c>
      <c r="E857" t="inlineStr">
        <is>
          <t>Sedna HoReCa</t>
        </is>
      </c>
      <c r="F857" t="inlineStr">
        <is>
          <t>Rs 50 crore</t>
        </is>
      </c>
      <c r="G857" s="19" t="n">
        <v>50</v>
      </c>
      <c r="H857" s="19" t="n">
        <v>5.8</v>
      </c>
      <c r="I857" t="inlineStr">
        <is>
          <t>Undisclosed</t>
        </is>
      </c>
      <c r="J857" t="inlineStr">
        <is>
          <t>Anicut Capital</t>
        </is>
      </c>
      <c r="K857" t="inlineStr">
        <is>
          <t>https://entrackr.com/snippets/sedna-horeca-raises-rs-50-cr-led-by-anicut-capital-9025275</t>
        </is>
      </c>
    </row>
    <row r="858">
      <c r="A858" t="inlineStr">
        <is>
          <t>ENT-9035850</t>
        </is>
      </c>
      <c r="B858" t="inlineStr">
        <is>
          <t>R250505-91trucks</t>
        </is>
      </c>
      <c r="C858" t="inlineStr">
        <is>
          <t>Entrackr</t>
        </is>
      </c>
      <c r="D858" s="17" t="n">
        <v>45782</v>
      </c>
      <c r="E858" t="inlineStr">
        <is>
          <t>91Trucks</t>
        </is>
      </c>
      <c r="F858" t="inlineStr">
        <is>
          <t>$5 million</t>
        </is>
      </c>
      <c r="G858" s="19" t="n"/>
      <c r="H858" s="19" t="n">
        <v>5</v>
      </c>
      <c r="I858" t="inlineStr">
        <is>
          <t>Series A</t>
        </is>
      </c>
      <c r="J858" t="inlineStr">
        <is>
          <t>Arkam Ventures</t>
        </is>
      </c>
      <c r="K858" t="inlineStr">
        <is>
          <t>https://entrackr.com/exclusive/exclusive-91trucks-begins-series-a-round-with-55x-valuation-surge-9035850</t>
        </is>
      </c>
    </row>
    <row r="859">
      <c r="A859" t="inlineStr">
        <is>
          <t>INC-20250510-10</t>
        </is>
      </c>
      <c r="B859" t="inlineStr">
        <is>
          <t>R250505-91trucks</t>
        </is>
      </c>
      <c r="C859" t="inlineStr">
        <is>
          <t>Inc42</t>
        </is>
      </c>
      <c r="D859" s="17" t="n">
        <v>45782</v>
      </c>
      <c r="E859" t="inlineStr">
        <is>
          <t>91trucks</t>
        </is>
      </c>
      <c r="F859" t="inlineStr">
        <is>
          <t>$5 Mn</t>
        </is>
      </c>
      <c r="G859" s="19" t="n"/>
      <c r="H859" s="19" t="n">
        <v>5</v>
      </c>
      <c r="I859" t="inlineStr">
        <is>
          <t>Undisclosed</t>
        </is>
      </c>
      <c r="J859" t="inlineStr">
        <is>
          <t>Arkam Ventures</t>
        </is>
      </c>
      <c r="K859" t="inlineStr">
        <is>
          <t>https://inc42.com/buzz/from-pb-health-to-porter-indian-startups-raised-587-mn/</t>
        </is>
      </c>
    </row>
    <row r="860">
      <c r="A860" t="inlineStr">
        <is>
          <t>ET-120986766</t>
        </is>
      </c>
      <c r="B860" t="inlineStr">
        <is>
          <t>R250505-91trucks</t>
        </is>
      </c>
      <c r="C860" t="inlineStr">
        <is>
          <t>The Economic Times</t>
        </is>
      </c>
      <c r="D860" s="17" t="n">
        <v>45785</v>
      </c>
      <c r="E860" t="inlineStr">
        <is>
          <t>91Trucks</t>
        </is>
      </c>
      <c r="F860" t="inlineStr">
        <is>
          <t>$5 million</t>
        </is>
      </c>
      <c r="G860" s="19" t="n"/>
      <c r="H860" s="19" t="n">
        <v>5</v>
      </c>
      <c r="I860" t="inlineStr">
        <is>
          <t>Series A</t>
        </is>
      </c>
      <c r="J860" t="inlineStr">
        <is>
          <t>Arkam Ventures</t>
        </is>
      </c>
      <c r="K860" t="inlineStr">
        <is>
          <t>https://economictimes.indiatimes.com/tech/funding/commercial-vehicle-startup-91trucks-raises-5-million-from-arkam-ventures-existing-investors/articleshow/120986766.cms</t>
        </is>
      </c>
    </row>
    <row r="861">
      <c r="A861" t="inlineStr">
        <is>
          <t>ENT-9036092</t>
        </is>
      </c>
      <c r="B861" t="inlineStr">
        <is>
          <t>R250505-altdrx</t>
        </is>
      </c>
      <c r="C861" t="inlineStr">
        <is>
          <t>Entrackr</t>
        </is>
      </c>
      <c r="D861" s="17" t="n">
        <v>45782</v>
      </c>
      <c r="E861" t="inlineStr">
        <is>
          <t>Alt DRX</t>
        </is>
      </c>
      <c r="F861" t="inlineStr">
        <is>
          <t>Rs 23 crore</t>
        </is>
      </c>
      <c r="G861" s="19" t="n">
        <v>23</v>
      </c>
      <c r="H861" s="19" t="n">
        <v>2.7</v>
      </c>
      <c r="I861" t="inlineStr">
        <is>
          <t>Undisclosed</t>
        </is>
      </c>
      <c r="J861" t="inlineStr"/>
      <c r="K861" t="inlineStr">
        <is>
          <t>https://entrackr.com/snippets/alt-drx-raises-rs-23-cr-from-qatar-development-bank-others-9036092</t>
        </is>
      </c>
    </row>
    <row r="862">
      <c r="A862" t="inlineStr">
        <is>
          <t>ET-120891721</t>
        </is>
      </c>
      <c r="B862" t="inlineStr">
        <is>
          <t>R250505-altdrx</t>
        </is>
      </c>
      <c r="C862" t="inlineStr">
        <is>
          <t>The Economic Times</t>
        </is>
      </c>
      <c r="D862" s="17" t="n">
        <v>45782</v>
      </c>
      <c r="E862" t="inlineStr">
        <is>
          <t>Alt DRX</t>
        </is>
      </c>
      <c r="F862" t="inlineStr">
        <is>
          <t>Rs 23 crore</t>
        </is>
      </c>
      <c r="G862" s="19" t="n">
        <v>23</v>
      </c>
      <c r="H862" s="19" t="n">
        <v>2.7</v>
      </c>
      <c r="I862" t="inlineStr">
        <is>
          <t>Undisclosed</t>
        </is>
      </c>
      <c r="J862" t="inlineStr"/>
      <c r="K862" t="inlineStr">
        <is>
          <t>https://economictimes.indiatimes.com/tech/funding/digital-real-estate-platform-alt-drx-raises-2-7-million-in-new-funding-round/articleshow/120891721.cms</t>
        </is>
      </c>
    </row>
    <row r="863">
      <c r="A863" t="inlineStr">
        <is>
          <t>VCC-4870d85517</t>
        </is>
      </c>
      <c r="B863" t="inlineStr">
        <is>
          <t>R250505-altdrx</t>
        </is>
      </c>
      <c r="C863" t="inlineStr">
        <is>
          <t>VCCircle</t>
        </is>
      </c>
      <c r="D863" s="17" t="n">
        <v>45784</v>
      </c>
      <c r="E863" t="inlineStr">
        <is>
          <t>altdrx</t>
        </is>
      </c>
      <c r="F863" t="inlineStr"/>
      <c r="G863" s="19" t="n"/>
      <c r="H863" s="19" t="n"/>
      <c r="I863" t="inlineStr">
        <is>
          <t>Pre-Series A</t>
        </is>
      </c>
      <c r="J863" t="inlineStr"/>
      <c r="K863" t="inlineStr">
        <is>
          <t>https://www.vccircle.com/altdrx-secures-funding-from-hindustan-media-ventures-limited-in-pre-series-a-round</t>
        </is>
      </c>
    </row>
    <row r="864">
      <c r="A864" t="inlineStr">
        <is>
          <t>ENT-9036323</t>
        </is>
      </c>
      <c r="B864" t="inlineStr">
        <is>
          <t>R250505-lifechartgutti</t>
        </is>
      </c>
      <c r="C864" t="inlineStr">
        <is>
          <t>Entrackr</t>
        </is>
      </c>
      <c r="D864" s="17" t="n">
        <v>45782</v>
      </c>
      <c r="E864" t="inlineStr">
        <is>
          <t>Lifechart’s Guttify</t>
        </is>
      </c>
      <c r="F864" t="inlineStr">
        <is>
          <t>$360,000</t>
        </is>
      </c>
      <c r="G864" s="19" t="n"/>
      <c r="H864" s="19" t="n">
        <v>0.36</v>
      </c>
      <c r="I864" t="inlineStr">
        <is>
          <t>Seed</t>
        </is>
      </c>
      <c r="J864" t="inlineStr">
        <is>
          <t>Prajay Advisors; Prakash Mody; Jayendra Shah</t>
        </is>
      </c>
      <c r="K864" t="inlineStr">
        <is>
          <t>https://entrackr.com/snippets/lifecharts-guttify-secures-360k-from-unichem-labs-family-office-9036323</t>
        </is>
      </c>
    </row>
    <row r="865">
      <c r="A865" t="inlineStr">
        <is>
          <t>INC-20250510-23</t>
        </is>
      </c>
      <c r="B865" t="inlineStr">
        <is>
          <t>R250505-lifechartgutti</t>
        </is>
      </c>
      <c r="C865" t="inlineStr">
        <is>
          <t>Inc42</t>
        </is>
      </c>
      <c r="D865" s="17" t="n">
        <v>45782</v>
      </c>
      <c r="E865" t="inlineStr">
        <is>
          <t>Lifechart</t>
        </is>
      </c>
      <c r="F865" t="inlineStr">
        <is>
          <t>$360K</t>
        </is>
      </c>
      <c r="G865" s="19" t="n"/>
      <c r="H865" s="19" t="n">
        <v>0.36</v>
      </c>
      <c r="I865" t="inlineStr">
        <is>
          <t>Seed</t>
        </is>
      </c>
      <c r="J865" t="inlineStr">
        <is>
          <t>Prajay Advisors</t>
        </is>
      </c>
      <c r="K865" t="inlineStr">
        <is>
          <t>https://inc42.com/buzz/from-pb-health-to-porter-indian-startups-raised-587-mn/</t>
        </is>
      </c>
    </row>
    <row r="866">
      <c r="A866" t="inlineStr">
        <is>
          <t>ENT-9036056</t>
        </is>
      </c>
      <c r="B866" t="inlineStr">
        <is>
          <t>R250505-storemygoods</t>
        </is>
      </c>
      <c r="C866" t="inlineStr">
        <is>
          <t>Entrackr</t>
        </is>
      </c>
      <c r="D866" s="17" t="n">
        <v>45782</v>
      </c>
      <c r="E866" t="inlineStr">
        <is>
          <t>Store My Goods</t>
        </is>
      </c>
      <c r="F866" t="inlineStr">
        <is>
          <t>Rs 4 crore</t>
        </is>
      </c>
      <c r="G866" s="19" t="n">
        <v>4</v>
      </c>
      <c r="H866" s="19" t="n">
        <v>0.46</v>
      </c>
      <c r="I866" t="inlineStr">
        <is>
          <t>Undisclosed</t>
        </is>
      </c>
      <c r="J866" t="inlineStr">
        <is>
          <t>JITO Incubation; Innovation Foundation</t>
        </is>
      </c>
      <c r="K866" t="inlineStr">
        <is>
          <t>https://entrackr.com/snippets/store-my-goods-raises-rs-4-cr-led-by-jiif-9036056</t>
        </is>
      </c>
    </row>
    <row r="867">
      <c r="A867" t="inlineStr">
        <is>
          <t>INC-20250510-21</t>
        </is>
      </c>
      <c r="B867" t="inlineStr">
        <is>
          <t>R250505-storemygoods</t>
        </is>
      </c>
      <c r="C867" t="inlineStr">
        <is>
          <t>Inc42</t>
        </is>
      </c>
      <c r="D867" s="17" t="n">
        <v>45782</v>
      </c>
      <c r="E867" t="inlineStr">
        <is>
          <t>Store My Goods</t>
        </is>
      </c>
      <c r="F867" t="inlineStr">
        <is>
          <t>$467K</t>
        </is>
      </c>
      <c r="G867" s="19" t="n"/>
      <c r="H867" s="19" t="n">
        <v>0.467</v>
      </c>
      <c r="I867" t="inlineStr">
        <is>
          <t>Undisclosed</t>
        </is>
      </c>
      <c r="J867" t="inlineStr">
        <is>
          <t>JIIF</t>
        </is>
      </c>
      <c r="K867" t="inlineStr">
        <is>
          <t>https://inc42.com/buzz/from-pb-health-to-porter-indian-startups-raised-587-mn/</t>
        </is>
      </c>
    </row>
    <row r="868">
      <c r="A868" t="inlineStr">
        <is>
          <t>ENT-9035400</t>
        </is>
      </c>
      <c r="B868" t="inlineStr">
        <is>
          <t>R250505-volt14</t>
        </is>
      </c>
      <c r="C868" t="inlineStr">
        <is>
          <t>Entrackr</t>
        </is>
      </c>
      <c r="D868" s="17" t="n">
        <v>45782</v>
      </c>
      <c r="E868" t="inlineStr">
        <is>
          <t>Volt14</t>
        </is>
      </c>
      <c r="F868" t="inlineStr">
        <is>
          <t>$1.87 million</t>
        </is>
      </c>
      <c r="G868" s="19" t="n"/>
      <c r="H868" s="19" t="n">
        <v>1.87</v>
      </c>
      <c r="I868" t="inlineStr">
        <is>
          <t>Pre-Series A</t>
        </is>
      </c>
      <c r="J868" t="inlineStr">
        <is>
          <t>Blume Ventures</t>
        </is>
      </c>
      <c r="K868" t="inlineStr">
        <is>
          <t>https://entrackr.com/snippets/volt14-raises-187-mn-in-pre-series-a-round-led-by-blume-ventures-9035400</t>
        </is>
      </c>
    </row>
    <row r="869">
      <c r="A869" t="inlineStr">
        <is>
          <t>ET-120893714</t>
        </is>
      </c>
      <c r="B869" t="inlineStr">
        <is>
          <t>R250505-volt14</t>
        </is>
      </c>
      <c r="C869" t="inlineStr">
        <is>
          <t>The Economic Times</t>
        </is>
      </c>
      <c r="D869" s="17" t="n">
        <v>45782</v>
      </c>
      <c r="E869" t="inlineStr">
        <is>
          <t>Volt14</t>
        </is>
      </c>
      <c r="F869" t="inlineStr">
        <is>
          <t>$1.87 million</t>
        </is>
      </c>
      <c r="G869" s="19" t="n"/>
      <c r="H869" s="19" t="n">
        <v>1.87</v>
      </c>
      <c r="I869" t="inlineStr">
        <is>
          <t>Undisclosed</t>
        </is>
      </c>
      <c r="J869" t="inlineStr">
        <is>
          <t>Blume Ventures</t>
        </is>
      </c>
      <c r="K869" t="inlineStr">
        <is>
          <t>https://economictimes.indiatimes.com/tech/funding/battery-tech-startup-volt14-raises-1-87-million-from-blume-ventures-others/articleshow/120893714.cms</t>
        </is>
      </c>
    </row>
    <row r="870">
      <c r="A870" t="inlineStr">
        <is>
          <t>INC-20250510-15</t>
        </is>
      </c>
      <c r="B870" t="inlineStr">
        <is>
          <t>R250505-volt14</t>
        </is>
      </c>
      <c r="C870" t="inlineStr">
        <is>
          <t>Inc42</t>
        </is>
      </c>
      <c r="D870" s="17" t="n">
        <v>45782</v>
      </c>
      <c r="E870" t="inlineStr">
        <is>
          <t>Volt14</t>
        </is>
      </c>
      <c r="F870" t="inlineStr">
        <is>
          <t>$1.9 Mn</t>
        </is>
      </c>
      <c r="G870" s="19" t="n"/>
      <c r="H870" s="19" t="n">
        <v>1.9</v>
      </c>
      <c r="I870" t="inlineStr">
        <is>
          <t>Pre-Series A</t>
        </is>
      </c>
      <c r="J870" t="inlineStr">
        <is>
          <t>Blume Ventures</t>
        </is>
      </c>
      <c r="K870" t="inlineStr">
        <is>
          <t>https://inc42.com/buzz/from-pb-health-to-porter-indian-startups-raised-587-mn/</t>
        </is>
      </c>
    </row>
    <row r="871">
      <c r="A871" t="inlineStr">
        <is>
          <t>INC-20250510-06</t>
        </is>
      </c>
      <c r="B871" t="inlineStr">
        <is>
          <t>R250506-bharatpe</t>
        </is>
      </c>
      <c r="C871" t="inlineStr">
        <is>
          <t>Inc42</t>
        </is>
      </c>
      <c r="D871" s="17" t="n">
        <v>45783</v>
      </c>
      <c r="E871" t="inlineStr">
        <is>
          <t>BharatPe</t>
        </is>
      </c>
      <c r="F871" t="inlineStr">
        <is>
          <t>$15 Mn</t>
        </is>
      </c>
      <c r="G871" s="19" t="n"/>
      <c r="H871" s="19" t="n">
        <v>15</v>
      </c>
      <c r="I871" t="inlineStr">
        <is>
          <t>Debt</t>
        </is>
      </c>
      <c r="J871" t="inlineStr">
        <is>
          <t>Neo Group; Trifecta Capital</t>
        </is>
      </c>
      <c r="K871" t="inlineStr">
        <is>
          <t>https://inc42.com/buzz/from-pb-health-to-porter-indian-startups-raised-587-mn/</t>
        </is>
      </c>
    </row>
    <row r="872">
      <c r="A872" t="inlineStr">
        <is>
          <t>ENT-9040617</t>
        </is>
      </c>
      <c r="B872" t="inlineStr">
        <is>
          <t>R250506-blissclub</t>
        </is>
      </c>
      <c r="C872" t="inlineStr">
        <is>
          <t>Entrackr</t>
        </is>
      </c>
      <c r="D872" s="17" t="n">
        <v>45783</v>
      </c>
      <c r="E872" t="inlineStr">
        <is>
          <t>Blissclub</t>
        </is>
      </c>
      <c r="F872" t="inlineStr">
        <is>
          <t>Rs 45 crore</t>
        </is>
      </c>
      <c r="G872" s="19" t="n">
        <v>45</v>
      </c>
      <c r="H872" s="19" t="n">
        <v>5.3</v>
      </c>
      <c r="I872" t="inlineStr">
        <is>
          <t>Undisclosed</t>
        </is>
      </c>
      <c r="J872" t="inlineStr">
        <is>
          <t>Elevation Capital</t>
        </is>
      </c>
      <c r="K872" t="inlineStr">
        <is>
          <t>https://entrackr.com/exclusive/exclusive-d2c-startup-blissclub-secures-fresh-funds-at-flat-valuation-9040617</t>
        </is>
      </c>
    </row>
    <row r="873">
      <c r="A873" t="inlineStr">
        <is>
          <t>ET-120936755</t>
        </is>
      </c>
      <c r="B873" t="inlineStr">
        <is>
          <t>R250506-blissclub</t>
        </is>
      </c>
      <c r="C873" t="inlineStr">
        <is>
          <t>The Economic Times</t>
        </is>
      </c>
      <c r="D873" s="17" t="n">
        <v>45783</v>
      </c>
      <c r="E873" t="inlineStr">
        <is>
          <t>BlissClub</t>
        </is>
      </c>
      <c r="F873" t="inlineStr">
        <is>
          <t>Rs 33 crore</t>
        </is>
      </c>
      <c r="G873" s="19" t="n">
        <v>33</v>
      </c>
      <c r="H873" s="19" t="n"/>
      <c r="I873" t="inlineStr">
        <is>
          <t>Undisclosed</t>
        </is>
      </c>
      <c r="J873" t="inlineStr">
        <is>
          <t>Elevation Capital</t>
        </is>
      </c>
      <c r="K873" t="inlineStr">
        <is>
          <t>https://economictimes.indiatimes.com/tech/funding/d2c-activewear-brand-blissclub-raises-rs-33-crore-in-round-led-by-elevation-capital/articleshow/120936755.cms</t>
        </is>
      </c>
    </row>
    <row r="874">
      <c r="A874" t="inlineStr">
        <is>
          <t>INC-20250510-11</t>
        </is>
      </c>
      <c r="B874" t="inlineStr">
        <is>
          <t>R250506-blissclub</t>
        </is>
      </c>
      <c r="C874" t="inlineStr">
        <is>
          <t>Inc42</t>
        </is>
      </c>
      <c r="D874" s="17" t="n">
        <v>45784</v>
      </c>
      <c r="E874" t="inlineStr">
        <is>
          <t>Blissclub</t>
        </is>
      </c>
      <c r="F874" t="inlineStr">
        <is>
          <t>$3.9 Mn</t>
        </is>
      </c>
      <c r="G874" s="19" t="n"/>
      <c r="H874" s="19" t="n">
        <v>3.9</v>
      </c>
      <c r="I874" t="inlineStr">
        <is>
          <t>Series B</t>
        </is>
      </c>
      <c r="J874" t="inlineStr">
        <is>
          <t>Elevation Capital</t>
        </is>
      </c>
      <c r="K874" t="inlineStr">
        <is>
          <t>https://inc42.com/buzz/from-pb-health-to-porter-indian-startups-raised-587-mn/</t>
        </is>
      </c>
    </row>
    <row r="875">
      <c r="A875" t="inlineStr">
        <is>
          <t>ENT-9038927</t>
        </is>
      </c>
      <c r="B875" t="inlineStr">
        <is>
          <t>R250506-celciuslogisti</t>
        </is>
      </c>
      <c r="C875" t="inlineStr">
        <is>
          <t>Entrackr</t>
        </is>
      </c>
      <c r="D875" s="17" t="n">
        <v>45783</v>
      </c>
      <c r="E875" t="inlineStr">
        <is>
          <t>Celcius Logistics</t>
        </is>
      </c>
      <c r="F875" t="inlineStr">
        <is>
          <t>Rs 250 crore</t>
        </is>
      </c>
      <c r="G875" s="19" t="n">
        <v>250</v>
      </c>
      <c r="H875" s="19" t="n">
        <v>30</v>
      </c>
      <c r="I875" t="inlineStr">
        <is>
          <t>Series B</t>
        </is>
      </c>
      <c r="J875" t="inlineStr">
        <is>
          <t>Eurazeo; Omnivore</t>
        </is>
      </c>
      <c r="K875" t="inlineStr">
        <is>
          <t>https://entrackr.com/news/celcius-logistics-raises-rs-250-cr-in-series-b-round-9038927</t>
        </is>
      </c>
    </row>
    <row r="876">
      <c r="A876" t="inlineStr">
        <is>
          <t>ET-120907713</t>
        </is>
      </c>
      <c r="B876" t="inlineStr">
        <is>
          <t>R250506-celciuslogisti</t>
        </is>
      </c>
      <c r="C876" t="inlineStr">
        <is>
          <t>The Economic Times</t>
        </is>
      </c>
      <c r="D876" s="17" t="n">
        <v>45783</v>
      </c>
      <c r="E876" t="inlineStr">
        <is>
          <t>Celcius Logistics</t>
        </is>
      </c>
      <c r="F876" t="inlineStr">
        <is>
          <t>Rs 250 crore</t>
        </is>
      </c>
      <c r="G876" s="19" t="n">
        <v>250</v>
      </c>
      <c r="H876" s="19" t="n"/>
      <c r="I876" t="inlineStr">
        <is>
          <t>Undisclosed</t>
        </is>
      </c>
      <c r="J876" t="inlineStr">
        <is>
          <t>Eurazeo; Omnivore</t>
        </is>
      </c>
      <c r="K876" t="inlineStr">
        <is>
          <t>https://economictimes.indiatimes.com/tech/funding/cold-chain-aggregator-celcius-logistics-raises-rs-250-crore-in-equity-debt/articleshow/120907713.cms</t>
        </is>
      </c>
    </row>
    <row r="877">
      <c r="A877" t="inlineStr">
        <is>
          <t>INC-20250510-05</t>
        </is>
      </c>
      <c r="B877" t="inlineStr">
        <is>
          <t>R250506-celciuslogisti</t>
        </is>
      </c>
      <c r="C877" t="inlineStr">
        <is>
          <t>Inc42</t>
        </is>
      </c>
      <c r="D877" s="17" t="n">
        <v>45783</v>
      </c>
      <c r="E877" t="inlineStr">
        <is>
          <t>Celcius Logistics</t>
        </is>
      </c>
      <c r="F877" t="inlineStr">
        <is>
          <t>$29.3 Mn</t>
        </is>
      </c>
      <c r="G877" s="19" t="n"/>
      <c r="H877" s="19" t="n">
        <v>29.3</v>
      </c>
      <c r="I877" t="inlineStr">
        <is>
          <t>Series B</t>
        </is>
      </c>
      <c r="J877" t="inlineStr">
        <is>
          <t>Eurazeo; Omnivore</t>
        </is>
      </c>
      <c r="K877" t="inlineStr">
        <is>
          <t>https://inc42.com/buzz/from-pb-health-to-porter-indian-startups-raised-587-mn/</t>
        </is>
      </c>
    </row>
    <row r="878">
      <c r="A878" t="inlineStr">
        <is>
          <t>VCC-3bbc5188c4</t>
        </is>
      </c>
      <c r="B878" t="inlineStr">
        <is>
          <t>R250506-celciuslogisti</t>
        </is>
      </c>
      <c r="C878" t="inlineStr">
        <is>
          <t>VCCircle</t>
        </is>
      </c>
      <c r="D878" s="17" t="n">
        <v>45783</v>
      </c>
      <c r="E878" t="inlineStr">
        <is>
          <t>celcius logistics</t>
        </is>
      </c>
      <c r="F878" t="inlineStr"/>
      <c r="G878" s="19" t="n"/>
      <c r="H878" s="19" t="n"/>
      <c r="I878" t="inlineStr">
        <is>
          <t>Series B</t>
        </is>
      </c>
      <c r="J878" t="inlineStr"/>
      <c r="K878" t="inlineStr">
        <is>
          <t>https://www.vccircle.com/coldchain-marketplace-celcius-logistics-closes-series-b-funding-round</t>
        </is>
      </c>
    </row>
    <row r="879">
      <c r="A879" t="inlineStr">
        <is>
          <t>ENT-9040178</t>
        </is>
      </c>
      <c r="B879" t="inlineStr">
        <is>
          <t>R250506-insurancesamad</t>
        </is>
      </c>
      <c r="C879" t="inlineStr">
        <is>
          <t>Entrackr</t>
        </is>
      </c>
      <c r="D879" s="17" t="n">
        <v>45783</v>
      </c>
      <c r="E879" t="inlineStr">
        <is>
          <t>Insurance Samadhan</t>
        </is>
      </c>
      <c r="F879" t="inlineStr">
        <is>
          <t>Rs 8.5 crore</t>
        </is>
      </c>
      <c r="G879" s="19" t="n">
        <v>8.5</v>
      </c>
      <c r="H879" s="19" t="n"/>
      <c r="I879" t="inlineStr">
        <is>
          <t>Undisclosed</t>
        </is>
      </c>
      <c r="J879" t="inlineStr"/>
      <c r="K879" t="inlineStr">
        <is>
          <t>https://entrackr.com/snippets/insurance-samadhan-secures-rs-85-cr-to-boost-tech-infrastructure-9040178</t>
        </is>
      </c>
    </row>
    <row r="880">
      <c r="A880" t="inlineStr">
        <is>
          <t>ENT-9039962</t>
        </is>
      </c>
      <c r="B880" t="inlineStr">
        <is>
          <t>R250506-korinmi</t>
        </is>
      </c>
      <c r="C880" t="inlineStr">
        <is>
          <t>Entrackr</t>
        </is>
      </c>
      <c r="D880" s="17" t="n">
        <v>45783</v>
      </c>
      <c r="E880" t="inlineStr">
        <is>
          <t>KorinMi</t>
        </is>
      </c>
      <c r="F880" t="inlineStr">
        <is>
          <t>Rs 3 crore</t>
        </is>
      </c>
      <c r="G880" s="19" t="n">
        <v>3</v>
      </c>
      <c r="H880" s="19" t="n">
        <v>0.36</v>
      </c>
      <c r="I880" t="inlineStr">
        <is>
          <t>Pre-Seed</t>
        </is>
      </c>
      <c r="J880" t="inlineStr">
        <is>
          <t>Vikas Agarwal</t>
        </is>
      </c>
      <c r="K880" t="inlineStr">
        <is>
          <t>https://entrackr.com/snippets/korean-skin-clinic-korinmi-raises-rs-3-cr-in-pre-seed-round-9039962</t>
        </is>
      </c>
    </row>
    <row r="881">
      <c r="A881" t="inlineStr">
        <is>
          <t>INC-20250510-25</t>
        </is>
      </c>
      <c r="B881" t="inlineStr">
        <is>
          <t>R250506-korinmi</t>
        </is>
      </c>
      <c r="C881" t="inlineStr">
        <is>
          <t>Inc42</t>
        </is>
      </c>
      <c r="D881" s="17" t="n">
        <v>45783</v>
      </c>
      <c r="E881" t="inlineStr">
        <is>
          <t>KorinMi</t>
        </is>
      </c>
      <c r="F881" t="inlineStr"/>
      <c r="G881" s="19" t="n"/>
      <c r="H881" s="19" t="n"/>
      <c r="I881" t="inlineStr">
        <is>
          <t>Pre-Seed</t>
        </is>
      </c>
      <c r="J881" t="inlineStr">
        <is>
          <t>Vikas Agarwal; Vivek Kumar</t>
        </is>
      </c>
      <c r="K881" t="inlineStr">
        <is>
          <t>https://inc42.com/buzz/from-pb-health-to-porter-indian-startups-raised-587-mn/</t>
        </is>
      </c>
    </row>
    <row r="882">
      <c r="A882" t="inlineStr">
        <is>
          <t>ENT-9039698</t>
        </is>
      </c>
      <c r="B882" t="inlineStr">
        <is>
          <t>R250506-nawgati</t>
        </is>
      </c>
      <c r="C882" t="inlineStr">
        <is>
          <t>Entrackr</t>
        </is>
      </c>
      <c r="D882" s="17" t="n">
        <v>45783</v>
      </c>
      <c r="E882" t="inlineStr">
        <is>
          <t>Nawgati</t>
        </is>
      </c>
      <c r="F882" t="inlineStr">
        <is>
          <t>$2.5 million</t>
        </is>
      </c>
      <c r="G882" s="19" t="n"/>
      <c r="H882" s="19" t="n">
        <v>2.5</v>
      </c>
      <c r="I882" t="inlineStr">
        <is>
          <t>Pre-Series A</t>
        </is>
      </c>
      <c r="J882" t="inlineStr">
        <is>
          <t>Ajay Upadhyaya; MeitY Startup Hub; Aamara Capital; Sanjay Sharma; Ashish Sharma; Prithvijit Roy; Vivek Mathur</t>
        </is>
      </c>
      <c r="K882" t="inlineStr">
        <is>
          <t>https://entrackr.com/snippets/fuel-tech-startup-nawgati-raises-25-mn-in-pre-series-a-round-9039698</t>
        </is>
      </c>
    </row>
    <row r="883">
      <c r="A883" t="inlineStr">
        <is>
          <t>ET-120937490</t>
        </is>
      </c>
      <c r="B883" t="inlineStr">
        <is>
          <t>R250506-nawgati</t>
        </is>
      </c>
      <c r="C883" t="inlineStr">
        <is>
          <t>The Economic Times</t>
        </is>
      </c>
      <c r="D883" s="17" t="n">
        <v>45783</v>
      </c>
      <c r="E883" t="inlineStr">
        <is>
          <t>Nawgati</t>
        </is>
      </c>
      <c r="F883" t="inlineStr">
        <is>
          <t>$2.5 million</t>
        </is>
      </c>
      <c r="G883" s="19" t="n">
        <v>21</v>
      </c>
      <c r="H883" s="19" t="n">
        <v>2.5</v>
      </c>
      <c r="I883" t="inlineStr">
        <is>
          <t>Pre-Series A</t>
        </is>
      </c>
      <c r="J883" t="inlineStr">
        <is>
          <t>Ajay Upadhyaya</t>
        </is>
      </c>
      <c r="K883" t="inlineStr">
        <is>
          <t>https://economictimes.indiatimes.com/tech/funding/fuel-tech-platform-nawgati-raises-2-5-million/articleshow/120937490.cms</t>
        </is>
      </c>
    </row>
    <row r="884">
      <c r="A884" t="inlineStr">
        <is>
          <t>INC-20250510-12</t>
        </is>
      </c>
      <c r="B884" t="inlineStr">
        <is>
          <t>R250506-nawgati</t>
        </is>
      </c>
      <c r="C884" t="inlineStr">
        <is>
          <t>Inc42</t>
        </is>
      </c>
      <c r="D884" s="17" t="n">
        <v>45783</v>
      </c>
      <c r="E884" t="inlineStr">
        <is>
          <t>Nawgati</t>
        </is>
      </c>
      <c r="F884" t="inlineStr">
        <is>
          <t>$2.5 Mn</t>
        </is>
      </c>
      <c r="G884" s="19" t="n"/>
      <c r="H884" s="19" t="n">
        <v>2.5</v>
      </c>
      <c r="I884" t="inlineStr">
        <is>
          <t>Pre-Series A</t>
        </is>
      </c>
      <c r="J884" t="inlineStr">
        <is>
          <t>Ajay Upadhyaya</t>
        </is>
      </c>
      <c r="K884" t="inlineStr">
        <is>
          <t>https://inc42.com/buzz/from-pb-health-to-porter-indian-startups-raised-587-mn/</t>
        </is>
      </c>
    </row>
    <row r="885">
      <c r="A885" t="inlineStr">
        <is>
          <t>INC-20250510-24</t>
        </is>
      </c>
      <c r="B885" t="inlineStr">
        <is>
          <t>R250506-saleassistai</t>
        </is>
      </c>
      <c r="C885" t="inlineStr">
        <is>
          <t>Inc42</t>
        </is>
      </c>
      <c r="D885" s="17" t="n">
        <v>45783</v>
      </c>
      <c r="E885" t="inlineStr">
        <is>
          <t>SaleAssist.ai</t>
        </is>
      </c>
      <c r="F885" t="inlineStr">
        <is>
          <t>$300K</t>
        </is>
      </c>
      <c r="G885" s="19" t="n"/>
      <c r="H885" s="19" t="n">
        <v>0.3</v>
      </c>
      <c r="I885" t="inlineStr">
        <is>
          <t>Undisclosed</t>
        </is>
      </c>
      <c r="J885" t="inlineStr">
        <is>
          <t>ASICS Ventures Corporation; India Accelerator</t>
        </is>
      </c>
      <c r="K885" t="inlineStr">
        <is>
          <t>https://inc42.com/buzz/from-pb-health-to-porter-indian-startups-raised-587-mn/</t>
        </is>
      </c>
    </row>
    <row r="886">
      <c r="A886" t="inlineStr">
        <is>
          <t>ENT-9041027</t>
        </is>
      </c>
      <c r="B886" t="inlineStr">
        <is>
          <t>R250506-thegoodbug</t>
        </is>
      </c>
      <c r="C886" t="inlineStr">
        <is>
          <t>Entrackr</t>
        </is>
      </c>
      <c r="D886" s="17" t="n">
        <v>45783</v>
      </c>
      <c r="E886" t="inlineStr">
        <is>
          <t>The Good Bug</t>
        </is>
      </c>
      <c r="F886" t="inlineStr">
        <is>
          <t>Rs 100 crore</t>
        </is>
      </c>
      <c r="G886" s="19" t="n">
        <v>100</v>
      </c>
      <c r="H886" s="19" t="n">
        <v>12</v>
      </c>
      <c r="I886" t="inlineStr">
        <is>
          <t>Series B</t>
        </is>
      </c>
      <c r="J886" t="inlineStr">
        <is>
          <t>Susquehanna Asia Venture Capital; Fireside Ventures</t>
        </is>
      </c>
      <c r="K886" t="inlineStr">
        <is>
          <t>https://entrackr.com/snippets/gut-health-startup-the-good-bug-raises-rs-100-cr-in-series-b-round-9041027</t>
        </is>
      </c>
    </row>
    <row r="887">
      <c r="A887" t="inlineStr">
        <is>
          <t>ET-120930935</t>
        </is>
      </c>
      <c r="B887" t="inlineStr">
        <is>
          <t>R250506-thegoodbug</t>
        </is>
      </c>
      <c r="C887" t="inlineStr">
        <is>
          <t>The Economic Times</t>
        </is>
      </c>
      <c r="D887" s="17" t="n">
        <v>45783</v>
      </c>
      <c r="E887" t="inlineStr">
        <is>
          <t>The Good Bug</t>
        </is>
      </c>
      <c r="F887" t="inlineStr">
        <is>
          <t>Rs 100 crore</t>
        </is>
      </c>
      <c r="G887" s="19" t="n">
        <v>100</v>
      </c>
      <c r="H887" s="19" t="n">
        <v>12</v>
      </c>
      <c r="I887" t="inlineStr">
        <is>
          <t>Series B</t>
        </is>
      </c>
      <c r="J887" t="inlineStr">
        <is>
          <t>Susquehanna Asia Venture Capital</t>
        </is>
      </c>
      <c r="K887" t="inlineStr">
        <is>
          <t>https://economictimes.indiatimes.com/tech/startups/the-good-bug-raises-rs-100-crore-from-susquehanna-asia-vc-fireside/articleshow/120930935.cms</t>
        </is>
      </c>
    </row>
    <row r="888">
      <c r="A888" t="inlineStr">
        <is>
          <t>INC-20250510-07</t>
        </is>
      </c>
      <c r="B888" t="inlineStr">
        <is>
          <t>R250506-thegoodbug</t>
        </is>
      </c>
      <c r="C888" t="inlineStr">
        <is>
          <t>Inc42</t>
        </is>
      </c>
      <c r="D888" s="17" t="n">
        <v>45783</v>
      </c>
      <c r="E888" t="inlineStr">
        <is>
          <t>The Good Bug</t>
        </is>
      </c>
      <c r="F888" t="inlineStr">
        <is>
          <t>$11.8 Mn</t>
        </is>
      </c>
      <c r="G888" s="19" t="n"/>
      <c r="H888" s="19" t="n">
        <v>11.8</v>
      </c>
      <c r="I888" t="inlineStr">
        <is>
          <t>Series B</t>
        </is>
      </c>
      <c r="J888" t="inlineStr">
        <is>
          <t>Susquehanna Asia VC</t>
        </is>
      </c>
      <c r="K888" t="inlineStr">
        <is>
          <t>https://inc42.com/buzz/from-pb-health-to-porter-indian-startups-raised-587-mn/</t>
        </is>
      </c>
    </row>
    <row r="889">
      <c r="A889" t="inlineStr">
        <is>
          <t>ENT-9039471</t>
        </is>
      </c>
      <c r="B889" t="inlineStr">
        <is>
          <t>R250506-troovy</t>
        </is>
      </c>
      <c r="C889" t="inlineStr">
        <is>
          <t>Entrackr</t>
        </is>
      </c>
      <c r="D889" s="17" t="n">
        <v>45783</v>
      </c>
      <c r="E889" t="inlineStr">
        <is>
          <t>Troovy</t>
        </is>
      </c>
      <c r="F889" t="inlineStr">
        <is>
          <t>Rs 20 crore</t>
        </is>
      </c>
      <c r="G889" s="19" t="n">
        <v>20</v>
      </c>
      <c r="H889" s="19" t="n">
        <v>2.3</v>
      </c>
      <c r="I889" t="inlineStr">
        <is>
          <t>Pre-Series A</t>
        </is>
      </c>
      <c r="J889" t="inlineStr">
        <is>
          <t>Fireside Ventures</t>
        </is>
      </c>
      <c r="K889" t="inlineStr">
        <is>
          <t>https://entrackr.com/snippets/troovy-raises-rs-20-cr-in-pre-series-a-round-led-by-fireside-ventures-9039471</t>
        </is>
      </c>
    </row>
    <row r="890">
      <c r="A890" t="inlineStr">
        <is>
          <t>INC-20250510-13</t>
        </is>
      </c>
      <c r="B890" t="inlineStr">
        <is>
          <t>R250506-troovy</t>
        </is>
      </c>
      <c r="C890" t="inlineStr">
        <is>
          <t>Inc42</t>
        </is>
      </c>
      <c r="D890" s="17" t="n">
        <v>45784</v>
      </c>
      <c r="E890" t="inlineStr">
        <is>
          <t>Troovy</t>
        </is>
      </c>
      <c r="F890" t="inlineStr">
        <is>
          <t>$2.3 Mn</t>
        </is>
      </c>
      <c r="G890" s="19" t="n"/>
      <c r="H890" s="19" t="n">
        <v>2.3</v>
      </c>
      <c r="I890" t="inlineStr">
        <is>
          <t>Pre-Series A</t>
        </is>
      </c>
      <c r="J890" t="inlineStr">
        <is>
          <t>Fireside Ventures</t>
        </is>
      </c>
      <c r="K890" t="inlineStr">
        <is>
          <t>https://inc42.com/buzz/from-pb-health-to-porter-indian-startups-raised-587-mn/</t>
        </is>
      </c>
    </row>
    <row r="891">
      <c r="A891" t="inlineStr">
        <is>
          <t>INC-20250510-14</t>
        </is>
      </c>
      <c r="B891" t="inlineStr">
        <is>
          <t>R250507-codeantai</t>
        </is>
      </c>
      <c r="C891" t="inlineStr">
        <is>
          <t>Inc42</t>
        </is>
      </c>
      <c r="D891" s="17" t="n">
        <v>45784</v>
      </c>
      <c r="E891" t="inlineStr">
        <is>
          <t>CodeAnt AI</t>
        </is>
      </c>
      <c r="F891" t="inlineStr">
        <is>
          <t>$2 Mn</t>
        </is>
      </c>
      <c r="G891" s="19" t="n"/>
      <c r="H891" s="19" t="n">
        <v>2</v>
      </c>
      <c r="I891" t="inlineStr">
        <is>
          <t>Undisclosed</t>
        </is>
      </c>
      <c r="J891" t="inlineStr">
        <is>
          <t>Y Combinator; Uncorrelated Ventures; VitalStage Ventures</t>
        </is>
      </c>
      <c r="K891" t="inlineStr">
        <is>
          <t>https://inc42.com/buzz/from-pb-health-to-porter-indian-startups-raised-587-mn/</t>
        </is>
      </c>
    </row>
    <row r="892">
      <c r="A892" t="inlineStr">
        <is>
          <t>ENT-9043959</t>
        </is>
      </c>
      <c r="B892" t="inlineStr">
        <is>
          <t>R250507-flipspaces</t>
        </is>
      </c>
      <c r="C892" t="inlineStr">
        <is>
          <t>Entrackr</t>
        </is>
      </c>
      <c r="D892" s="17" t="n">
        <v>45784</v>
      </c>
      <c r="E892" t="inlineStr">
        <is>
          <t>Flipspaces</t>
        </is>
      </c>
      <c r="F892" t="inlineStr">
        <is>
          <t>$35 million</t>
        </is>
      </c>
      <c r="G892" s="19" t="n"/>
      <c r="H892" s="19" t="n">
        <v>35</v>
      </c>
      <c r="I892" t="inlineStr">
        <is>
          <t>Undisclosed</t>
        </is>
      </c>
      <c r="J892" t="inlineStr">
        <is>
          <t>Iron Pillar</t>
        </is>
      </c>
      <c r="K892" t="inlineStr">
        <is>
          <t>https://entrackr.com/snippets/interior-design-startup-flipspaces-raises-35-mn-9043959</t>
        </is>
      </c>
    </row>
    <row r="893">
      <c r="A893" t="inlineStr">
        <is>
          <t>ET-120957567</t>
        </is>
      </c>
      <c r="B893" t="inlineStr">
        <is>
          <t>R250507-flipspaces</t>
        </is>
      </c>
      <c r="C893" t="inlineStr">
        <is>
          <t>The Economic Times</t>
        </is>
      </c>
      <c r="D893" s="17" t="n">
        <v>45784</v>
      </c>
      <c r="E893" t="inlineStr">
        <is>
          <t>Flipspaces</t>
        </is>
      </c>
      <c r="F893" t="inlineStr">
        <is>
          <t>$35 million</t>
        </is>
      </c>
      <c r="G893" s="19" t="n">
        <v>297</v>
      </c>
      <c r="H893" s="19" t="n">
        <v>35</v>
      </c>
      <c r="I893" t="inlineStr">
        <is>
          <t>Undisclosed</t>
        </is>
      </c>
      <c r="J893" t="inlineStr"/>
      <c r="K893" t="inlineStr">
        <is>
          <t>https://economictimes.indiatimes.com/tech/startups/interior-design-startup-flipspaces-raises-35-million-from-investors-to-expand-business/articleshow/120957567.cms</t>
        </is>
      </c>
    </row>
    <row r="894">
      <c r="A894" t="inlineStr">
        <is>
          <t>INC-20250510-04</t>
        </is>
      </c>
      <c r="B894" t="inlineStr">
        <is>
          <t>R250507-flipspaces</t>
        </is>
      </c>
      <c r="C894" t="inlineStr">
        <is>
          <t>Inc42</t>
        </is>
      </c>
      <c r="D894" s="17" t="n">
        <v>45784</v>
      </c>
      <c r="E894" t="inlineStr">
        <is>
          <t>Flipspaces</t>
        </is>
      </c>
      <c r="F894" t="inlineStr">
        <is>
          <t>$35 Mn</t>
        </is>
      </c>
      <c r="G894" s="19" t="n"/>
      <c r="H894" s="19" t="n">
        <v>35</v>
      </c>
      <c r="I894" t="inlineStr">
        <is>
          <t>Undisclosed</t>
        </is>
      </c>
      <c r="J894" t="inlineStr">
        <is>
          <t>Iron Pillar</t>
        </is>
      </c>
      <c r="K894" t="inlineStr">
        <is>
          <t>https://inc42.com/buzz/from-pb-health-to-porter-indian-startups-raised-587-mn/</t>
        </is>
      </c>
    </row>
    <row r="895">
      <c r="A895" t="inlineStr">
        <is>
          <t>VCC-e0d34052c5</t>
        </is>
      </c>
      <c r="B895" t="inlineStr">
        <is>
          <t>R250507-flipspaces</t>
        </is>
      </c>
      <c r="C895" t="inlineStr">
        <is>
          <t>VCCircle</t>
        </is>
      </c>
      <c r="D895" s="17" t="n">
        <v>45784</v>
      </c>
      <c r="E895" t="inlineStr">
        <is>
          <t>flipspaces</t>
        </is>
      </c>
      <c r="F895" t="inlineStr">
        <is>
          <t>$ 35 million</t>
        </is>
      </c>
      <c r="G895" s="19" t="n"/>
      <c r="H895" s="19" t="n">
        <v>35</v>
      </c>
      <c r="I895" t="inlineStr">
        <is>
          <t>Undisclosed</t>
        </is>
      </c>
      <c r="J895" t="inlineStr"/>
      <c r="K895" t="inlineStr">
        <is>
          <t>https://www.vccircle.com/ironpillar-leads-35-mn-round-in-flipspaces</t>
        </is>
      </c>
    </row>
    <row r="896">
      <c r="A896" t="inlineStr">
        <is>
          <t>ENT-9042994</t>
        </is>
      </c>
      <c r="B896" t="inlineStr">
        <is>
          <t>R250507-inspecity</t>
        </is>
      </c>
      <c r="C896" t="inlineStr">
        <is>
          <t>Entrackr</t>
        </is>
      </c>
      <c r="D896" s="17" t="n">
        <v>45784</v>
      </c>
      <c r="E896" t="inlineStr">
        <is>
          <t>InspeCity</t>
        </is>
      </c>
      <c r="F896" t="inlineStr">
        <is>
          <t>$5.6 million</t>
        </is>
      </c>
      <c r="G896" s="19" t="n">
        <v>46</v>
      </c>
      <c r="H896" s="19" t="n">
        <v>5.6</v>
      </c>
      <c r="I896" t="inlineStr">
        <is>
          <t>Seed</t>
        </is>
      </c>
      <c r="J896" t="inlineStr">
        <is>
          <t>Ashish Kacholia</t>
        </is>
      </c>
      <c r="K896" t="inlineStr">
        <is>
          <t>https://entrackr.com/snippets/spacetech-startup-inspecity-raises-56-mn-in-seed-round-9042994</t>
        </is>
      </c>
    </row>
    <row r="897">
      <c r="A897" t="inlineStr">
        <is>
          <t>ET-120941683</t>
        </is>
      </c>
      <c r="B897" t="inlineStr">
        <is>
          <t>R250507-inspecity</t>
        </is>
      </c>
      <c r="C897" t="inlineStr">
        <is>
          <t>The Economic Times</t>
        </is>
      </c>
      <c r="D897" s="17" t="n">
        <v>45784</v>
      </c>
      <c r="E897" t="inlineStr">
        <is>
          <t>InspeCity</t>
        </is>
      </c>
      <c r="F897" t="inlineStr">
        <is>
          <t>$5.6 million</t>
        </is>
      </c>
      <c r="G897" s="19" t="n">
        <v>47.9</v>
      </c>
      <c r="H897" s="19" t="n">
        <v>5.6</v>
      </c>
      <c r="I897" t="inlineStr">
        <is>
          <t>Seed</t>
        </is>
      </c>
      <c r="J897" t="inlineStr">
        <is>
          <t>Ashish Kacholia; Shastra VC; Antler India; DeVC; MGF-Kavachh; Anicut Capital</t>
        </is>
      </c>
      <c r="K897" t="inlineStr">
        <is>
          <t>https://economictimes.indiatimes.com/tech/funding/iit-bombay-incubated-spacetch-startup-inspecity-secures-5-6-million-in-seed-funding/articleshow/120941683.cms</t>
        </is>
      </c>
    </row>
    <row r="898">
      <c r="A898" t="inlineStr">
        <is>
          <t>INC-20250510-09</t>
        </is>
      </c>
      <c r="B898" t="inlineStr">
        <is>
          <t>R250507-inspecity</t>
        </is>
      </c>
      <c r="C898" t="inlineStr">
        <is>
          <t>Inc42</t>
        </is>
      </c>
      <c r="D898" s="17" t="n">
        <v>45784</v>
      </c>
      <c r="E898" t="inlineStr">
        <is>
          <t>InspeCity</t>
        </is>
      </c>
      <c r="F898" t="inlineStr">
        <is>
          <t>$5.6 Mn</t>
        </is>
      </c>
      <c r="G898" s="19" t="n"/>
      <c r="H898" s="19" t="n">
        <v>5.6</v>
      </c>
      <c r="I898" t="inlineStr">
        <is>
          <t>Seed</t>
        </is>
      </c>
      <c r="J898" t="inlineStr">
        <is>
          <t>Lucky Investment Managers</t>
        </is>
      </c>
      <c r="K898" t="inlineStr">
        <is>
          <t>https://inc42.com/buzz/from-pb-health-to-porter-indian-startups-raised-587-mn/</t>
        </is>
      </c>
    </row>
    <row r="899">
      <c r="A899" t="inlineStr">
        <is>
          <t>ET-120954442</t>
        </is>
      </c>
      <c r="B899" t="inlineStr">
        <is>
          <t>R250507-lahori</t>
        </is>
      </c>
      <c r="C899" t="inlineStr">
        <is>
          <t>The Economic Times</t>
        </is>
      </c>
      <c r="D899" s="17" t="n">
        <v>45784</v>
      </c>
      <c r="E899" t="inlineStr">
        <is>
          <t>Lahori</t>
        </is>
      </c>
      <c r="F899" t="inlineStr">
        <is>
          <t>Rs 200 crore</t>
        </is>
      </c>
      <c r="G899" s="19" t="n">
        <v>200</v>
      </c>
      <c r="H899" s="19" t="n"/>
      <c r="I899" t="inlineStr">
        <is>
          <t>Undisclosed</t>
        </is>
      </c>
      <c r="J899" t="inlineStr"/>
      <c r="K899" t="inlineStr">
        <is>
          <t>https://economictimes.indiatimes.com/tech/funding/beverages-maker-lahori-raises-rs-200-crore-from-motilal-oswal-wealth/articleshow/120954442.cms</t>
        </is>
      </c>
    </row>
    <row r="900">
      <c r="A900" t="inlineStr">
        <is>
          <t>ET-120933191</t>
        </is>
      </c>
      <c r="B900" t="inlineStr">
        <is>
          <t>R250507-posha</t>
        </is>
      </c>
      <c r="C900" t="inlineStr">
        <is>
          <t>The Economic Times</t>
        </is>
      </c>
      <c r="D900" s="17" t="n">
        <v>45783</v>
      </c>
      <c r="E900" t="inlineStr">
        <is>
          <t>Posha</t>
        </is>
      </c>
      <c r="F900" t="inlineStr">
        <is>
          <t>$8 million</t>
        </is>
      </c>
      <c r="G900" s="19" t="n"/>
      <c r="H900" s="19" t="n">
        <v>8</v>
      </c>
      <c r="I900" t="inlineStr">
        <is>
          <t>Series A</t>
        </is>
      </c>
      <c r="J900" t="inlineStr">
        <is>
          <t>Accel</t>
        </is>
      </c>
      <c r="K900" t="inlineStr">
        <is>
          <t>https://economictimes.indiatimes.com/tech/funding/kitchen-robotics-startup-posha-raises-8-million-from-accel-others/articleshow/120933191.cms</t>
        </is>
      </c>
    </row>
    <row r="901">
      <c r="A901" t="inlineStr">
        <is>
          <t>ENT-9044948</t>
        </is>
      </c>
      <c r="B901" t="inlineStr">
        <is>
          <t>R250507-posha</t>
        </is>
      </c>
      <c r="C901" t="inlineStr">
        <is>
          <t>Entrackr</t>
        </is>
      </c>
      <c r="D901" s="17" t="n">
        <v>45784</v>
      </c>
      <c r="E901" t="inlineStr">
        <is>
          <t>Posha</t>
        </is>
      </c>
      <c r="F901" t="inlineStr">
        <is>
          <t>$8 million</t>
        </is>
      </c>
      <c r="G901" s="19" t="n">
        <v>67</v>
      </c>
      <c r="H901" s="19" t="n">
        <v>8</v>
      </c>
      <c r="I901" t="inlineStr">
        <is>
          <t>Series A</t>
        </is>
      </c>
      <c r="J901" t="inlineStr">
        <is>
          <t>Accel</t>
        </is>
      </c>
      <c r="K901" t="inlineStr">
        <is>
          <t>https://entrackr.com/snippets/posha-secures-8-mn-in-series-a-round-led-by-accel-9044948</t>
        </is>
      </c>
    </row>
    <row r="902">
      <c r="A902" t="inlineStr">
        <is>
          <t>INC-20250510-08</t>
        </is>
      </c>
      <c r="B902" t="inlineStr">
        <is>
          <t>R250507-posha</t>
        </is>
      </c>
      <c r="C902" t="inlineStr">
        <is>
          <t>Inc42</t>
        </is>
      </c>
      <c r="D902" s="17" t="n">
        <v>45784</v>
      </c>
      <c r="E902" t="inlineStr">
        <is>
          <t>Posha</t>
        </is>
      </c>
      <c r="F902" t="inlineStr">
        <is>
          <t>$8 Mn</t>
        </is>
      </c>
      <c r="G902" s="19" t="n"/>
      <c r="H902" s="19" t="n">
        <v>8</v>
      </c>
      <c r="I902" t="inlineStr">
        <is>
          <t>Series A</t>
        </is>
      </c>
      <c r="J902" t="inlineStr">
        <is>
          <t>Accel</t>
        </is>
      </c>
      <c r="K902" t="inlineStr">
        <is>
          <t>https://inc42.com/buzz/from-pb-health-to-porter-indian-startups-raised-587-mn/</t>
        </is>
      </c>
    </row>
    <row r="903">
      <c r="A903" t="inlineStr">
        <is>
          <t>ENT-9043234</t>
        </is>
      </c>
      <c r="B903" t="inlineStr">
        <is>
          <t>R250507-routematic</t>
        </is>
      </c>
      <c r="C903" t="inlineStr">
        <is>
          <t>Entrackr</t>
        </is>
      </c>
      <c r="D903" s="17" t="n">
        <v>45784</v>
      </c>
      <c r="E903" t="inlineStr">
        <is>
          <t>Routematic</t>
        </is>
      </c>
      <c r="F903" t="inlineStr">
        <is>
          <t>$40 million</t>
        </is>
      </c>
      <c r="G903" s="19" t="n"/>
      <c r="H903" s="19" t="n">
        <v>40</v>
      </c>
      <c r="I903" t="inlineStr">
        <is>
          <t>Series C</t>
        </is>
      </c>
      <c r="J903" t="inlineStr">
        <is>
          <t>Fullerton Carbon Action Fund; Shift4Good</t>
        </is>
      </c>
      <c r="K903" t="inlineStr">
        <is>
          <t>https://entrackr.com/news/routematic-raises-40-mn-led-by-fullerton-carbon-action-fund-and-shift4good-9043234</t>
        </is>
      </c>
    </row>
    <row r="904">
      <c r="A904" t="inlineStr">
        <is>
          <t>INC-20250510-03</t>
        </is>
      </c>
      <c r="B904" t="inlineStr">
        <is>
          <t>R250507-routematic</t>
        </is>
      </c>
      <c r="C904" t="inlineStr">
        <is>
          <t>Inc42</t>
        </is>
      </c>
      <c r="D904" s="17" t="n">
        <v>45784</v>
      </c>
      <c r="E904" t="inlineStr">
        <is>
          <t>Routematic</t>
        </is>
      </c>
      <c r="F904" t="inlineStr">
        <is>
          <t>$40 Mn</t>
        </is>
      </c>
      <c r="G904" s="19" t="n"/>
      <c r="H904" s="19" t="n">
        <v>40</v>
      </c>
      <c r="I904" t="inlineStr">
        <is>
          <t>Series C</t>
        </is>
      </c>
      <c r="J904" t="inlineStr">
        <is>
          <t>Fullerton Carbon Action Fund; Shift4Good</t>
        </is>
      </c>
      <c r="K904" t="inlineStr">
        <is>
          <t>https://inc42.com/buzz/from-pb-health-to-porter-indian-startups-raised-587-mn/</t>
        </is>
      </c>
    </row>
    <row r="905">
      <c r="A905" t="inlineStr">
        <is>
          <t>VCC-41bda8fdf8</t>
        </is>
      </c>
      <c r="B905" t="inlineStr">
        <is>
          <t>R250507-routematic</t>
        </is>
      </c>
      <c r="C905" t="inlineStr">
        <is>
          <t>VCCircle</t>
        </is>
      </c>
      <c r="D905" s="17" t="n">
        <v>45784</v>
      </c>
      <c r="E905" t="inlineStr">
        <is>
          <t>blumebacked routematic</t>
        </is>
      </c>
      <c r="F905" t="inlineStr">
        <is>
          <t>$ 40 million</t>
        </is>
      </c>
      <c r="G905" s="19" t="n"/>
      <c r="H905" s="19" t="n">
        <v>40</v>
      </c>
      <c r="I905" t="inlineStr">
        <is>
          <t>Undisclosed</t>
        </is>
      </c>
      <c r="J905" t="inlineStr"/>
      <c r="K905" t="inlineStr">
        <is>
          <t>https://www.vccircle.com/blumebacked-routematic-raises-40-mn-amid-rising-demand-for-corporate-commutes</t>
        </is>
      </c>
    </row>
    <row r="906">
      <c r="A906" t="inlineStr">
        <is>
          <t>ENT-9043416</t>
        </is>
      </c>
      <c r="B906" t="inlineStr">
        <is>
          <t>R250507-shiplog</t>
        </is>
      </c>
      <c r="C906" t="inlineStr">
        <is>
          <t>Entrackr</t>
        </is>
      </c>
      <c r="D906" s="17" t="n">
        <v>45784</v>
      </c>
      <c r="E906" t="inlineStr">
        <is>
          <t>Shiplog</t>
        </is>
      </c>
      <c r="F906" t="inlineStr">
        <is>
          <t>Rs 6.5 crore</t>
        </is>
      </c>
      <c r="G906" s="19" t="n">
        <v>6.5</v>
      </c>
      <c r="H906" s="19" t="n">
        <v>0.768</v>
      </c>
      <c r="I906" t="inlineStr">
        <is>
          <t>Seed</t>
        </is>
      </c>
      <c r="J906" t="inlineStr">
        <is>
          <t>Deepak Bhagnani Family Office</t>
        </is>
      </c>
      <c r="K906" t="inlineStr">
        <is>
          <t>https://entrackr.com/snippets/shiplog-raises-rs-65-cr-in-seed-round-9043416</t>
        </is>
      </c>
    </row>
    <row r="907">
      <c r="A907" t="inlineStr">
        <is>
          <t>INC-20250510-19</t>
        </is>
      </c>
      <c r="B907" t="inlineStr">
        <is>
          <t>R250507-shiplog</t>
        </is>
      </c>
      <c r="C907" t="inlineStr">
        <is>
          <t>Inc42</t>
        </is>
      </c>
      <c r="D907" s="17" t="n">
        <v>45784</v>
      </c>
      <c r="E907" t="inlineStr">
        <is>
          <t>Shiplog</t>
        </is>
      </c>
      <c r="F907" t="inlineStr">
        <is>
          <t>$761K</t>
        </is>
      </c>
      <c r="G907" s="19" t="n"/>
      <c r="H907" s="19" t="n">
        <v>0.761</v>
      </c>
      <c r="I907" t="inlineStr">
        <is>
          <t>Seed</t>
        </is>
      </c>
      <c r="J907" t="inlineStr">
        <is>
          <t>Deepak Bhagnani Family Office</t>
        </is>
      </c>
      <c r="K907" t="inlineStr">
        <is>
          <t>https://inc42.com/buzz/from-pb-health-to-porter-indian-startups-raised-587-mn/</t>
        </is>
      </c>
    </row>
    <row r="908">
      <c r="A908" t="inlineStr">
        <is>
          <t>ENT-9047624</t>
        </is>
      </c>
      <c r="B908" t="inlineStr">
        <is>
          <t>R250508-felinespirits</t>
        </is>
      </c>
      <c r="C908" t="inlineStr">
        <is>
          <t>Entrackr</t>
        </is>
      </c>
      <c r="D908" s="17" t="n">
        <v>45785</v>
      </c>
      <c r="E908" t="inlineStr">
        <is>
          <t>Feline Spirits</t>
        </is>
      </c>
      <c r="F908" t="inlineStr">
        <is>
          <t>Rs 5.2 crore</t>
        </is>
      </c>
      <c r="G908" s="19" t="n">
        <v>5.2</v>
      </c>
      <c r="H908" s="19" t="n"/>
      <c r="I908" t="inlineStr">
        <is>
          <t>Pre-Series A</t>
        </is>
      </c>
      <c r="J908" t="inlineStr">
        <is>
          <t>Inflection Point Ventures</t>
        </is>
      </c>
      <c r="K908" t="inlineStr">
        <is>
          <t>https://entrackr.com/snippets/feline-spirits-raises-rs-52-cr-in-pre-series-a-round-led-by-ipv-9047624</t>
        </is>
      </c>
    </row>
    <row r="909">
      <c r="A909" t="inlineStr">
        <is>
          <t>INC-20250510-20</t>
        </is>
      </c>
      <c r="B909" t="inlineStr">
        <is>
          <t>R250508-felinespirits</t>
        </is>
      </c>
      <c r="C909" t="inlineStr">
        <is>
          <t>Inc42</t>
        </is>
      </c>
      <c r="D909" s="17" t="n">
        <v>45785</v>
      </c>
      <c r="E909" t="inlineStr">
        <is>
          <t>Feline Spirits</t>
        </is>
      </c>
      <c r="F909" t="inlineStr">
        <is>
          <t>$609K</t>
        </is>
      </c>
      <c r="G909" s="19" t="n"/>
      <c r="H909" s="19" t="n">
        <v>0.609</v>
      </c>
      <c r="I909" t="inlineStr">
        <is>
          <t>Pre-Series A</t>
        </is>
      </c>
      <c r="J909" t="inlineStr">
        <is>
          <t>Inflection Point Ventures</t>
        </is>
      </c>
      <c r="K909" t="inlineStr">
        <is>
          <t>https://inc42.com/buzz/from-pb-health-to-porter-indian-startups-raised-587-mn/</t>
        </is>
      </c>
    </row>
    <row r="910">
      <c r="A910" t="inlineStr">
        <is>
          <t>ENT-9048497</t>
        </is>
      </c>
      <c r="B910" t="inlineStr">
        <is>
          <t>R250508-footprintspres</t>
        </is>
      </c>
      <c r="C910" t="inlineStr">
        <is>
          <t>Entrackr</t>
        </is>
      </c>
      <c r="D910" s="17" t="n">
        <v>45785</v>
      </c>
      <c r="E910" t="inlineStr">
        <is>
          <t>Footprints Preschool &amp; Daycare</t>
        </is>
      </c>
      <c r="F910" t="inlineStr">
        <is>
          <t>$7.5 million</t>
        </is>
      </c>
      <c r="G910" s="19" t="n"/>
      <c r="H910" s="19" t="n">
        <v>7.5</v>
      </c>
      <c r="I910" t="inlineStr">
        <is>
          <t>Series A</t>
        </is>
      </c>
      <c r="J910" t="inlineStr">
        <is>
          <t>Tanglin Venture Partners</t>
        </is>
      </c>
      <c r="K910" t="inlineStr">
        <is>
          <t>https://entrackr.com/snippets/tanglin-leads-75-mn-round-in-footprints-preschool-daycare-9048497</t>
        </is>
      </c>
    </row>
    <row r="911">
      <c r="A911" t="inlineStr">
        <is>
          <t>ENT-9047946</t>
        </is>
      </c>
      <c r="B911" t="inlineStr">
        <is>
          <t>R250508-gotrust</t>
        </is>
      </c>
      <c r="C911" t="inlineStr">
        <is>
          <t>Entrackr</t>
        </is>
      </c>
      <c r="D911" s="17" t="n">
        <v>45785</v>
      </c>
      <c r="E911" t="inlineStr">
        <is>
          <t>GoTrust</t>
        </is>
      </c>
      <c r="F911" t="inlineStr">
        <is>
          <t>$400K</t>
        </is>
      </c>
      <c r="G911" s="19" t="n"/>
      <c r="H911" s="19" t="n">
        <v>0.4</v>
      </c>
      <c r="I911" t="inlineStr">
        <is>
          <t>Pre-Seed</t>
        </is>
      </c>
      <c r="J911" t="inlineStr">
        <is>
          <t>Aevitas Capital Private Limited</t>
        </is>
      </c>
      <c r="K911" t="inlineStr">
        <is>
          <t>https://entrackr.com/snippets/gotrust-secures-400k-in-pre-seed-funding-led-by-aevitas-capital-9047946</t>
        </is>
      </c>
    </row>
    <row r="912">
      <c r="A912" t="inlineStr">
        <is>
          <t>INC-20250510-22</t>
        </is>
      </c>
      <c r="B912" t="inlineStr">
        <is>
          <t>R250508-gotrust</t>
        </is>
      </c>
      <c r="C912" t="inlineStr">
        <is>
          <t>Inc42</t>
        </is>
      </c>
      <c r="D912" s="17" t="n">
        <v>45785</v>
      </c>
      <c r="E912" t="inlineStr">
        <is>
          <t>GoTrust</t>
        </is>
      </c>
      <c r="F912" t="inlineStr">
        <is>
          <t>$400K</t>
        </is>
      </c>
      <c r="G912" s="19" t="n"/>
      <c r="H912" s="19" t="n">
        <v>0.4</v>
      </c>
      <c r="I912" t="inlineStr">
        <is>
          <t>Pre-Seed</t>
        </is>
      </c>
      <c r="J912" t="inlineStr">
        <is>
          <t>Aevitas Capital</t>
        </is>
      </c>
      <c r="K912" t="inlineStr">
        <is>
          <t>https://inc42.com/buzz/from-pb-health-to-porter-indian-startups-raised-587-mn/</t>
        </is>
      </c>
    </row>
    <row r="913">
      <c r="A913" t="inlineStr">
        <is>
          <t>ENT-9046988</t>
        </is>
      </c>
      <c r="B913" t="inlineStr">
        <is>
          <t>R250508-hightimefoods</t>
        </is>
      </c>
      <c r="C913" t="inlineStr">
        <is>
          <t>Entrackr</t>
        </is>
      </c>
      <c r="D913" s="17" t="n">
        <v>45785</v>
      </c>
      <c r="E913" t="inlineStr">
        <is>
          <t>High Time Foods</t>
        </is>
      </c>
      <c r="F913" t="inlineStr">
        <is>
          <t>$1.2 million</t>
        </is>
      </c>
      <c r="G913" s="19" t="n"/>
      <c r="H913" s="19" t="n">
        <v>1.2</v>
      </c>
      <c r="I913" t="inlineStr">
        <is>
          <t>Undisclosed</t>
        </is>
      </c>
      <c r="J913" t="inlineStr">
        <is>
          <t>Avaana Capital</t>
        </is>
      </c>
      <c r="K913" t="inlineStr">
        <is>
          <t>https://entrackr.com/snippets/foodtech-startup-high-time-foods-raises-12-mn-9046988</t>
        </is>
      </c>
    </row>
    <row r="914">
      <c r="A914" t="inlineStr">
        <is>
          <t>ET-120972456</t>
        </is>
      </c>
      <c r="B914" t="inlineStr">
        <is>
          <t>R250508-hightimefoods</t>
        </is>
      </c>
      <c r="C914" t="inlineStr">
        <is>
          <t>The Economic Times</t>
        </is>
      </c>
      <c r="D914" s="17" t="n">
        <v>45785</v>
      </c>
      <c r="E914" t="inlineStr">
        <is>
          <t>High Time Foods</t>
        </is>
      </c>
      <c r="F914" t="inlineStr">
        <is>
          <t>$1.2 million</t>
        </is>
      </c>
      <c r="G914" s="19" t="n"/>
      <c r="H914" s="19" t="n">
        <v>1.2</v>
      </c>
      <c r="I914" t="inlineStr">
        <is>
          <t>Undisclosed</t>
        </is>
      </c>
      <c r="J914" t="inlineStr">
        <is>
          <t>Avaana Capital</t>
        </is>
      </c>
      <c r="K914" t="inlineStr">
        <is>
          <t>https://economictimes.indiatimes.com/tech/funding/food-tech-startup-high-time-foods-raises-1-2-million-in-round-led-by-avaana-capital/articleshow/120972456.cms</t>
        </is>
      </c>
    </row>
    <row r="915">
      <c r="A915" t="inlineStr">
        <is>
          <t>INC-20250510-17</t>
        </is>
      </c>
      <c r="B915" t="inlineStr">
        <is>
          <t>R250508-hightimefoods</t>
        </is>
      </c>
      <c r="C915" t="inlineStr">
        <is>
          <t>Inc42</t>
        </is>
      </c>
      <c r="D915" s="17" t="n">
        <v>45785</v>
      </c>
      <c r="E915" t="inlineStr">
        <is>
          <t>High Time Foods</t>
        </is>
      </c>
      <c r="F915" t="inlineStr">
        <is>
          <t>$1.2 Mn</t>
        </is>
      </c>
      <c r="G915" s="19" t="n"/>
      <c r="H915" s="19" t="n">
        <v>1.2</v>
      </c>
      <c r="I915" t="inlineStr">
        <is>
          <t>Seed</t>
        </is>
      </c>
      <c r="J915" t="inlineStr">
        <is>
          <t>Avaana Capital</t>
        </is>
      </c>
      <c r="K915" t="inlineStr">
        <is>
          <t>https://inc42.com/buzz/from-pb-health-to-porter-indian-startups-raised-587-mn/</t>
        </is>
      </c>
    </row>
    <row r="916">
      <c r="A916" t="inlineStr">
        <is>
          <t>ENT-9046716</t>
        </is>
      </c>
      <c r="B916" t="inlineStr">
        <is>
          <t>R250508-pbhealthcare</t>
        </is>
      </c>
      <c r="C916" t="inlineStr">
        <is>
          <t>Entrackr</t>
        </is>
      </c>
      <c r="D916" s="17" t="n">
        <v>45785</v>
      </c>
      <c r="E916" t="inlineStr">
        <is>
          <t>PB Healthcare</t>
        </is>
      </c>
      <c r="F916" t="inlineStr">
        <is>
          <t>$218 million</t>
        </is>
      </c>
      <c r="G916" s="19" t="n"/>
      <c r="H916" s="19" t="n">
        <v>218</v>
      </c>
      <c r="I916" t="inlineStr">
        <is>
          <t>Seed</t>
        </is>
      </c>
      <c r="J916" t="inlineStr">
        <is>
          <t>General Catalyst</t>
        </is>
      </c>
      <c r="K916" t="inlineStr">
        <is>
          <t>https://entrackr.com/news/pb-healthcare-raises-218-mn-in-seed-round-led-by-general-catalyst-9046716</t>
        </is>
      </c>
    </row>
    <row r="917">
      <c r="A917" t="inlineStr">
        <is>
          <t>ET-120972112</t>
        </is>
      </c>
      <c r="B917" t="inlineStr">
        <is>
          <t>R250508-pbhealthcare</t>
        </is>
      </c>
      <c r="C917" t="inlineStr">
        <is>
          <t>The Economic Times</t>
        </is>
      </c>
      <c r="D917" s="17" t="n">
        <v>45785</v>
      </c>
      <c r="E917" t="inlineStr">
        <is>
          <t>PB Healthcare</t>
        </is>
      </c>
      <c r="F917" t="inlineStr">
        <is>
          <t>$218 million</t>
        </is>
      </c>
      <c r="G917" s="19" t="n">
        <v>1848</v>
      </c>
      <c r="H917" s="19" t="n">
        <v>218</v>
      </c>
      <c r="I917" t="inlineStr">
        <is>
          <t>Undisclosed</t>
        </is>
      </c>
      <c r="J917" t="inlineStr"/>
      <c r="K917" t="inlineStr">
        <is>
          <t>https://economictimes.indiatimes.com/tech/funding/pb-healthcare-secures-218-million-from-general-catalyst-pb-fintech-others/articleshow/120972112.cms</t>
        </is>
      </c>
    </row>
    <row r="918">
      <c r="A918" t="inlineStr">
        <is>
          <t>INC-20250510-01</t>
        </is>
      </c>
      <c r="B918" t="inlineStr">
        <is>
          <t>R250508-pbhealthcare</t>
        </is>
      </c>
      <c r="C918" t="inlineStr">
        <is>
          <t>Inc42</t>
        </is>
      </c>
      <c r="D918" s="17" t="n">
        <v>45785</v>
      </c>
      <c r="E918" t="inlineStr">
        <is>
          <t>PB Health</t>
        </is>
      </c>
      <c r="F918" t="inlineStr">
        <is>
          <t>$218 Mn</t>
        </is>
      </c>
      <c r="G918" s="19" t="n"/>
      <c r="H918" s="19" t="n">
        <v>218</v>
      </c>
      <c r="I918" t="inlineStr">
        <is>
          <t>Seed</t>
        </is>
      </c>
      <c r="J918" t="inlineStr">
        <is>
          <t>General Catalyst</t>
        </is>
      </c>
      <c r="K918" t="inlineStr">
        <is>
          <t>https://inc42.com/buzz/from-pb-health-to-porter-indian-startups-raised-587-mn/</t>
        </is>
      </c>
    </row>
    <row r="919">
      <c r="A919" t="inlineStr">
        <is>
          <t>ENT-9048693</t>
        </is>
      </c>
      <c r="B919" t="inlineStr">
        <is>
          <t>R250508-porter</t>
        </is>
      </c>
      <c r="C919" t="inlineStr">
        <is>
          <t>Entrackr</t>
        </is>
      </c>
      <c r="D919" s="17" t="n">
        <v>45785</v>
      </c>
      <c r="E919" t="inlineStr">
        <is>
          <t>Porter</t>
        </is>
      </c>
      <c r="F919" t="inlineStr">
        <is>
          <t>$200 million</t>
        </is>
      </c>
      <c r="G919" s="19" t="n"/>
      <c r="H919" s="19" t="n">
        <v>200</v>
      </c>
      <c r="I919" t="inlineStr">
        <is>
          <t>Series F</t>
        </is>
      </c>
      <c r="J919" t="inlineStr">
        <is>
          <t>Kedaara Capital; Wellington Management</t>
        </is>
      </c>
      <c r="K919" t="inlineStr">
        <is>
          <t>https://entrackr.com/news/porter-raises-200-mn-led-by-kedaara-and-wellington-management-9048693</t>
        </is>
      </c>
    </row>
    <row r="920">
      <c r="A920" t="inlineStr">
        <is>
          <t>ET-120997906</t>
        </is>
      </c>
      <c r="B920" t="inlineStr">
        <is>
          <t>R250508-porter</t>
        </is>
      </c>
      <c r="C920" t="inlineStr">
        <is>
          <t>The Economic Times</t>
        </is>
      </c>
      <c r="D920" s="17" t="n">
        <v>45785</v>
      </c>
      <c r="E920" t="inlineStr">
        <is>
          <t>Porter</t>
        </is>
      </c>
      <c r="F920" t="inlineStr">
        <is>
          <t>$200 million</t>
        </is>
      </c>
      <c r="G920" s="19" t="n"/>
      <c r="H920" s="19" t="n">
        <v>200</v>
      </c>
      <c r="I920" t="inlineStr">
        <is>
          <t>Undisclosed</t>
        </is>
      </c>
      <c r="J920" t="inlineStr">
        <is>
          <t>Wellington Management</t>
        </is>
      </c>
      <c r="K920" t="inlineStr">
        <is>
          <t>https://economictimes.indiatimes.com/tech/funding/porter-closes-200-million-round-led-by-kedaara-capital-wellington-management-at-unicorn-valuation/articleshow/120997906.cms</t>
        </is>
      </c>
    </row>
    <row r="921">
      <c r="A921" t="inlineStr">
        <is>
          <t>INC-20250510-02</t>
        </is>
      </c>
      <c r="B921" t="inlineStr">
        <is>
          <t>R250508-porter</t>
        </is>
      </c>
      <c r="C921" t="inlineStr">
        <is>
          <t>Inc42</t>
        </is>
      </c>
      <c r="D921" s="17" t="n">
        <v>45785</v>
      </c>
      <c r="E921" t="inlineStr">
        <is>
          <t>Porter</t>
        </is>
      </c>
      <c r="F921" t="inlineStr">
        <is>
          <t>$200 Mn</t>
        </is>
      </c>
      <c r="G921" s="19" t="n"/>
      <c r="H921" s="19" t="n">
        <v>200</v>
      </c>
      <c r="I921" t="inlineStr">
        <is>
          <t>Series F</t>
        </is>
      </c>
      <c r="J921" t="inlineStr">
        <is>
          <t>Kedaara Capital; Wellington Management</t>
        </is>
      </c>
      <c r="K921" t="inlineStr">
        <is>
          <t>https://inc42.com/buzz/from-pb-health-to-porter-indian-startups-raised-587-mn/</t>
        </is>
      </c>
    </row>
    <row r="922">
      <c r="A922" t="inlineStr">
        <is>
          <t>VCC-e31d42991b</t>
        </is>
      </c>
      <c r="B922" t="inlineStr">
        <is>
          <t>R250508-porter</t>
        </is>
      </c>
      <c r="C922" t="inlineStr">
        <is>
          <t>VCCircle</t>
        </is>
      </c>
      <c r="D922" s="17" t="n">
        <v>45785</v>
      </c>
      <c r="E922" t="inlineStr">
        <is>
          <t>logisticsunicorn porter</t>
        </is>
      </c>
      <c r="F922" t="inlineStr"/>
      <c r="G922" s="19" t="n"/>
      <c r="H922" s="19" t="n"/>
      <c r="I922" t="inlineStr">
        <is>
          <t>Series F</t>
        </is>
      </c>
      <c r="J922" t="inlineStr"/>
      <c r="K922" t="inlineStr">
        <is>
          <t>https://www.vccircle.com/logisticsunicorn-porter-gets-series-f-cheques-from-kedaara-wellington-management</t>
        </is>
      </c>
    </row>
    <row r="923">
      <c r="A923" t="inlineStr">
        <is>
          <t>ENT-9046948</t>
        </is>
      </c>
      <c r="B923" t="inlineStr">
        <is>
          <t>R250508-vaya</t>
        </is>
      </c>
      <c r="C923" t="inlineStr">
        <is>
          <t>Entrackr</t>
        </is>
      </c>
      <c r="D923" s="17" t="n">
        <v>45785</v>
      </c>
      <c r="E923" t="inlineStr">
        <is>
          <t>Vaya</t>
        </is>
      </c>
      <c r="F923" t="inlineStr">
        <is>
          <t>$1.5 million</t>
        </is>
      </c>
      <c r="G923" s="19" t="n"/>
      <c r="H923" s="19" t="n">
        <v>1.5</v>
      </c>
      <c r="I923" t="inlineStr">
        <is>
          <t>Undisclosed</t>
        </is>
      </c>
      <c r="J923" t="inlineStr"/>
      <c r="K923" t="inlineStr">
        <is>
          <t>https://entrackr.com/snippets/astrology-startup-vaya-raises-15-mn-9046948</t>
        </is>
      </c>
    </row>
    <row r="924">
      <c r="A924" t="inlineStr">
        <is>
          <t>ET-120972862</t>
        </is>
      </c>
      <c r="B924" t="inlineStr">
        <is>
          <t>R250508-vaya</t>
        </is>
      </c>
      <c r="C924" t="inlineStr">
        <is>
          <t>The Economic Times</t>
        </is>
      </c>
      <c r="D924" s="17" t="n">
        <v>45785</v>
      </c>
      <c r="E924" t="inlineStr">
        <is>
          <t>Vaya</t>
        </is>
      </c>
      <c r="F924" t="inlineStr">
        <is>
          <t>$1.5 million</t>
        </is>
      </c>
      <c r="G924" s="19" t="n"/>
      <c r="H924" s="19" t="n">
        <v>1.5</v>
      </c>
      <c r="I924" t="inlineStr">
        <is>
          <t>Undisclosed</t>
        </is>
      </c>
      <c r="J924" t="inlineStr">
        <is>
          <t>Accel; Arkam Ventures</t>
        </is>
      </c>
      <c r="K924" t="inlineStr">
        <is>
          <t>https://economictimes.indiatimes.com/tech/funding/astrology-startup-vaya-raises-1-5-million-in-round-led-by-accel-arkam-ventures/articleshow/120972862.cms</t>
        </is>
      </c>
    </row>
    <row r="925">
      <c r="A925" t="inlineStr">
        <is>
          <t>INC-20250510-16</t>
        </is>
      </c>
      <c r="B925" t="inlineStr">
        <is>
          <t>R250508-vaya</t>
        </is>
      </c>
      <c r="C925" t="inlineStr">
        <is>
          <t>Inc42</t>
        </is>
      </c>
      <c r="D925" s="17" t="n">
        <v>45785</v>
      </c>
      <c r="E925" t="inlineStr">
        <is>
          <t>Vaya</t>
        </is>
      </c>
      <c r="F925" t="inlineStr">
        <is>
          <t>$1.5 Mn</t>
        </is>
      </c>
      <c r="G925" s="19" t="n"/>
      <c r="H925" s="19" t="n">
        <v>1.5</v>
      </c>
      <c r="I925" t="inlineStr">
        <is>
          <t>Seed</t>
        </is>
      </c>
      <c r="J925" t="inlineStr">
        <is>
          <t>Accel; Arkam Ventures</t>
        </is>
      </c>
      <c r="K925" t="inlineStr">
        <is>
          <t>https://inc42.com/buzz/from-pb-health-to-porter-indian-startups-raised-587-mn/</t>
        </is>
      </c>
    </row>
    <row r="926">
      <c r="A926" t="inlineStr">
        <is>
          <t>ENT-9047400</t>
        </is>
      </c>
      <c r="B926" t="inlineStr">
        <is>
          <t>R250508-zebu</t>
        </is>
      </c>
      <c r="C926" t="inlineStr">
        <is>
          <t>Entrackr</t>
        </is>
      </c>
      <c r="D926" s="17" t="n">
        <v>45785</v>
      </c>
      <c r="E926" t="inlineStr">
        <is>
          <t>Zebu</t>
        </is>
      </c>
      <c r="F926" t="inlineStr">
        <is>
          <t>$1 million</t>
        </is>
      </c>
      <c r="G926" s="19" t="n"/>
      <c r="H926" s="19" t="n">
        <v>1</v>
      </c>
      <c r="I926" t="inlineStr">
        <is>
          <t>Pre-Series A</t>
        </is>
      </c>
      <c r="J926" t="inlineStr">
        <is>
          <t>Bluehill VC</t>
        </is>
      </c>
      <c r="K926" t="inlineStr">
        <is>
          <t>https://entrackr.com/snippets/defense-tech-startup-zebu-raises-1-mn-in-pre-series-a-round-9047400</t>
        </is>
      </c>
    </row>
    <row r="927">
      <c r="A927" t="inlineStr">
        <is>
          <t>INC-20250510-18</t>
        </is>
      </c>
      <c r="B927" t="inlineStr">
        <is>
          <t>R250508-zebu</t>
        </is>
      </c>
      <c r="C927" t="inlineStr">
        <is>
          <t>Inc42</t>
        </is>
      </c>
      <c r="D927" s="17" t="n">
        <v>45785</v>
      </c>
      <c r="E927" t="inlineStr">
        <is>
          <t>Zebu</t>
        </is>
      </c>
      <c r="F927" t="inlineStr">
        <is>
          <t>$1 Mn</t>
        </is>
      </c>
      <c r="G927" s="19" t="n"/>
      <c r="H927" s="19" t="n">
        <v>1</v>
      </c>
      <c r="I927" t="inlineStr">
        <is>
          <t>Pre-Series A</t>
        </is>
      </c>
      <c r="J927" t="inlineStr">
        <is>
          <t>Bluehill VC</t>
        </is>
      </c>
      <c r="K927" t="inlineStr">
        <is>
          <t>https://inc42.com/buzz/from-pb-health-to-porter-indian-startups-raised-587-mn/</t>
        </is>
      </c>
    </row>
    <row r="928">
      <c r="A928" t="inlineStr">
        <is>
          <t>ENT-9059265</t>
        </is>
      </c>
      <c r="B928" t="inlineStr">
        <is>
          <t>R250512-avammunetherap</t>
        </is>
      </c>
      <c r="C928" t="inlineStr">
        <is>
          <t>Entrackr</t>
        </is>
      </c>
      <c r="D928" s="17" t="n">
        <v>45789</v>
      </c>
      <c r="E928" t="inlineStr">
        <is>
          <t>Avammune Therapeutics</t>
        </is>
      </c>
      <c r="F928" t="inlineStr">
        <is>
          <t>$12 million</t>
        </is>
      </c>
      <c r="G928" s="19" t="n">
        <v>100</v>
      </c>
      <c r="H928" s="19" t="n">
        <v>12</v>
      </c>
      <c r="I928" t="inlineStr">
        <is>
          <t>Series A</t>
        </is>
      </c>
      <c r="J928" t="inlineStr">
        <is>
          <t>Capital 2B; Shastra VC; Kotak Lifesciences Fund I</t>
        </is>
      </c>
      <c r="K928" t="inlineStr">
        <is>
          <t>https://entrackr.com/snippets/avammune-therapeutics-raises-12-mn-in-series-a-round-9059265</t>
        </is>
      </c>
    </row>
    <row r="929">
      <c r="A929" t="inlineStr">
        <is>
          <t>INC-20250517-06</t>
        </is>
      </c>
      <c r="B929" t="inlineStr">
        <is>
          <t>R250512-avammunetherap</t>
        </is>
      </c>
      <c r="C929" t="inlineStr">
        <is>
          <t>Inc42</t>
        </is>
      </c>
      <c r="D929" s="17" t="n">
        <v>45789</v>
      </c>
      <c r="E929" t="inlineStr">
        <is>
          <t>Avammune Therapeutics</t>
        </is>
      </c>
      <c r="F929" t="inlineStr">
        <is>
          <t>$12 Mn</t>
        </is>
      </c>
      <c r="G929" s="19" t="n"/>
      <c r="H929" s="19" t="n">
        <v>12</v>
      </c>
      <c r="I929" t="inlineStr">
        <is>
          <t>Series A</t>
        </is>
      </c>
      <c r="J929" t="inlineStr">
        <is>
          <t>Capital 2B; Shastra VC; Kotak Alternate Asset Managers</t>
        </is>
      </c>
      <c r="K929" t="inlineStr">
        <is>
          <t>https://inc42.com/buzz/from-farmley-to-stashfin-indian-startups-raised-152-mn-this-week/</t>
        </is>
      </c>
    </row>
    <row r="930">
      <c r="A930" t="inlineStr">
        <is>
          <t>INC-20250517-03</t>
        </is>
      </c>
      <c r="B930" t="inlineStr">
        <is>
          <t>R250512-celebal</t>
        </is>
      </c>
      <c r="C930" t="inlineStr">
        <is>
          <t>Inc42</t>
        </is>
      </c>
      <c r="D930" s="17" t="n">
        <v>45789</v>
      </c>
      <c r="E930" t="inlineStr">
        <is>
          <t>Celebal</t>
        </is>
      </c>
      <c r="F930" t="inlineStr">
        <is>
          <t>$15 Mn</t>
        </is>
      </c>
      <c r="G930" s="19" t="n"/>
      <c r="H930" s="19" t="n">
        <v>15</v>
      </c>
      <c r="I930" t="inlineStr">
        <is>
          <t>Series B</t>
        </is>
      </c>
      <c r="J930" t="inlineStr"/>
      <c r="K930" t="inlineStr">
        <is>
          <t>https://inc42.com/buzz/from-farmley-to-stashfin-indian-startups-raised-152-mn-this-week/</t>
        </is>
      </c>
    </row>
    <row r="931">
      <c r="A931" t="inlineStr">
        <is>
          <t>ENT-9060080</t>
        </is>
      </c>
      <c r="B931" t="inlineStr">
        <is>
          <t>R250512-citrusfreight</t>
        </is>
      </c>
      <c r="C931" t="inlineStr">
        <is>
          <t>Entrackr</t>
        </is>
      </c>
      <c r="D931" s="17" t="n">
        <v>45789</v>
      </c>
      <c r="E931" t="inlineStr">
        <is>
          <t>Citrus Freight</t>
        </is>
      </c>
      <c r="F931" t="inlineStr">
        <is>
          <t>Rs 2.5 crore</t>
        </is>
      </c>
      <c r="G931" s="19" t="n">
        <v>2.5</v>
      </c>
      <c r="H931" s="19" t="n"/>
      <c r="I931" t="inlineStr">
        <is>
          <t>Bridge</t>
        </is>
      </c>
      <c r="J931" t="inlineStr"/>
      <c r="K931" t="inlineStr">
        <is>
          <t>https://entrackr.com/snippets/reefer-container-shipping-platform-citrus-freight-raises-bridge-round-9060080</t>
        </is>
      </c>
    </row>
    <row r="932">
      <c r="A932" t="inlineStr">
        <is>
          <t>ENT-9059167</t>
        </is>
      </c>
      <c r="B932" t="inlineStr">
        <is>
          <t>R250512-farmley</t>
        </is>
      </c>
      <c r="C932" t="inlineStr">
        <is>
          <t>Entrackr</t>
        </is>
      </c>
      <c r="D932" s="17" t="n">
        <v>45789</v>
      </c>
      <c r="E932" t="inlineStr">
        <is>
          <t>Farmley</t>
        </is>
      </c>
      <c r="F932" t="inlineStr">
        <is>
          <t>$40 million</t>
        </is>
      </c>
      <c r="G932" s="19" t="n"/>
      <c r="H932" s="19" t="n">
        <v>40</v>
      </c>
      <c r="I932" t="inlineStr">
        <is>
          <t>Series C</t>
        </is>
      </c>
      <c r="J932" t="inlineStr">
        <is>
          <t>L Catterton</t>
        </is>
      </c>
      <c r="K932" t="inlineStr">
        <is>
          <t>https://entrackr.com/news/farmley-raises-40-mn-in-series-c-round-led-by-l-catterton-9059167</t>
        </is>
      </c>
    </row>
    <row r="933">
      <c r="A933" t="inlineStr">
        <is>
          <t>ET-121085521</t>
        </is>
      </c>
      <c r="B933" t="inlineStr">
        <is>
          <t>R250512-farmley</t>
        </is>
      </c>
      <c r="C933" t="inlineStr">
        <is>
          <t>The Economic Times</t>
        </is>
      </c>
      <c r="D933" s="17" t="n">
        <v>45789</v>
      </c>
      <c r="E933" t="inlineStr">
        <is>
          <t>Farmley</t>
        </is>
      </c>
      <c r="F933" t="inlineStr">
        <is>
          <t>$40 million</t>
        </is>
      </c>
      <c r="G933" s="19" t="n"/>
      <c r="H933" s="19" t="n">
        <v>40</v>
      </c>
      <c r="I933" t="inlineStr">
        <is>
          <t>Undisclosed</t>
        </is>
      </c>
      <c r="J933" t="inlineStr">
        <is>
          <t>L Catterton</t>
        </is>
      </c>
      <c r="K933" t="inlineStr">
        <is>
          <t>https://economictimes.indiatimes.com/tech/funding/healthy-snacking-brand-farmley-bags-40-million/articleshow/121085521.cms</t>
        </is>
      </c>
    </row>
    <row r="934">
      <c r="A934" t="inlineStr">
        <is>
          <t>INC-20250517-01</t>
        </is>
      </c>
      <c r="B934" t="inlineStr">
        <is>
          <t>R250512-farmley</t>
        </is>
      </c>
      <c r="C934" t="inlineStr">
        <is>
          <t>Inc42</t>
        </is>
      </c>
      <c r="D934" s="17" t="n">
        <v>45789</v>
      </c>
      <c r="E934" t="inlineStr">
        <is>
          <t>Farmley</t>
        </is>
      </c>
      <c r="F934" t="inlineStr">
        <is>
          <t>$40 Mn</t>
        </is>
      </c>
      <c r="G934" s="19" t="n"/>
      <c r="H934" s="19" t="n">
        <v>40</v>
      </c>
      <c r="I934" t="inlineStr">
        <is>
          <t>Series C</t>
        </is>
      </c>
      <c r="J934" t="inlineStr">
        <is>
          <t>L Catterton</t>
        </is>
      </c>
      <c r="K934" t="inlineStr">
        <is>
          <t>https://inc42.com/buzz/from-farmley-to-stashfin-indian-startups-raised-152-mn-this-week/</t>
        </is>
      </c>
    </row>
    <row r="935">
      <c r="A935" t="inlineStr">
        <is>
          <t>ENT-9065071</t>
        </is>
      </c>
      <c r="B935" t="inlineStr">
        <is>
          <t>R250513-adoptai</t>
        </is>
      </c>
      <c r="C935" t="inlineStr">
        <is>
          <t>Entrackr</t>
        </is>
      </c>
      <c r="D935" s="17" t="n">
        <v>45790</v>
      </c>
      <c r="E935" t="inlineStr">
        <is>
          <t>Adopt AI</t>
        </is>
      </c>
      <c r="F935" t="inlineStr">
        <is>
          <t>$6 million</t>
        </is>
      </c>
      <c r="G935" s="19" t="n"/>
      <c r="H935" s="19" t="n">
        <v>6</v>
      </c>
      <c r="I935" t="inlineStr">
        <is>
          <t>Seed</t>
        </is>
      </c>
      <c r="J935" t="inlineStr">
        <is>
          <t>Elevation Capital</t>
        </is>
      </c>
      <c r="K935" t="inlineStr">
        <is>
          <t>https://entrackr.com/snippets/adopt-ai-raises-6-mn-in-seed-round-led-by-elevation-capital-9065071</t>
        </is>
      </c>
    </row>
    <row r="936">
      <c r="A936" t="inlineStr">
        <is>
          <t>ET-121141068</t>
        </is>
      </c>
      <c r="B936" t="inlineStr">
        <is>
          <t>R250513-adoptai</t>
        </is>
      </c>
      <c r="C936" t="inlineStr">
        <is>
          <t>The Economic Times</t>
        </is>
      </c>
      <c r="D936" s="17" t="n">
        <v>45790</v>
      </c>
      <c r="E936" t="inlineStr">
        <is>
          <t>Adopt AI</t>
        </is>
      </c>
      <c r="F936" t="inlineStr">
        <is>
          <t>$6 million</t>
        </is>
      </c>
      <c r="G936" s="19" t="n"/>
      <c r="H936" s="19" t="n">
        <v>6</v>
      </c>
      <c r="I936" t="inlineStr">
        <is>
          <t>Undisclosed</t>
        </is>
      </c>
      <c r="J936" t="inlineStr">
        <is>
          <t>Elevation Capital</t>
        </is>
      </c>
      <c r="K936" t="inlineStr">
        <is>
          <t>https://economictimes.indiatimes.com/tech/funding/agentic-ai-startup-adopt-ai-raises-6-million-in-round-led-by-elevation-capital/articleshow/121141068.cms</t>
        </is>
      </c>
    </row>
    <row r="937">
      <c r="A937" t="inlineStr">
        <is>
          <t>INC-20250517-09</t>
        </is>
      </c>
      <c r="B937" t="inlineStr">
        <is>
          <t>R250513-adoptai</t>
        </is>
      </c>
      <c r="C937" t="inlineStr">
        <is>
          <t>Inc42</t>
        </is>
      </c>
      <c r="D937" s="17" t="n">
        <v>45790</v>
      </c>
      <c r="E937" t="inlineStr">
        <is>
          <t>Adopt AI</t>
        </is>
      </c>
      <c r="F937" t="inlineStr">
        <is>
          <t>$6 Mn</t>
        </is>
      </c>
      <c r="G937" s="19" t="n"/>
      <c r="H937" s="19" t="n">
        <v>6</v>
      </c>
      <c r="I937" t="inlineStr">
        <is>
          <t>Seed</t>
        </is>
      </c>
      <c r="J937" t="inlineStr">
        <is>
          <t>Elevation Capital</t>
        </is>
      </c>
      <c r="K937" t="inlineStr">
        <is>
          <t>https://inc42.com/buzz/from-farmley-to-stashfin-indian-startups-raised-152-mn-this-week/</t>
        </is>
      </c>
    </row>
    <row r="938">
      <c r="A938" t="inlineStr">
        <is>
          <t>ENT-9063574</t>
        </is>
      </c>
      <c r="B938" t="inlineStr">
        <is>
          <t>R250513-beclinical</t>
        </is>
      </c>
      <c r="C938" t="inlineStr">
        <is>
          <t>Entrackr</t>
        </is>
      </c>
      <c r="D938" s="17" t="n">
        <v>45790</v>
      </c>
      <c r="E938" t="inlineStr">
        <is>
          <t>Be Clinical</t>
        </is>
      </c>
      <c r="F938" t="inlineStr">
        <is>
          <t>Rs 2 crore</t>
        </is>
      </c>
      <c r="G938" s="19" t="n">
        <v>2</v>
      </c>
      <c r="H938" s="19" t="n"/>
      <c r="I938" t="inlineStr">
        <is>
          <t>Seed</t>
        </is>
      </c>
      <c r="J938" t="inlineStr">
        <is>
          <t>Titan Capital; Aditya Agarwal</t>
        </is>
      </c>
      <c r="K938" t="inlineStr">
        <is>
          <t>https://entrackr.com/snippets/titan-capital-leads-seed-round-in-skincare-brand-be-clinical-9063574</t>
        </is>
      </c>
    </row>
    <row r="939">
      <c r="A939" t="inlineStr">
        <is>
          <t>INC-20250517-22</t>
        </is>
      </c>
      <c r="B939" t="inlineStr">
        <is>
          <t>R250513-beclinical</t>
        </is>
      </c>
      <c r="C939" t="inlineStr">
        <is>
          <t>Inc42</t>
        </is>
      </c>
      <c r="D939" s="17" t="n">
        <v>45790</v>
      </c>
      <c r="E939" t="inlineStr">
        <is>
          <t>Be Clinical</t>
        </is>
      </c>
      <c r="F939" t="inlineStr">
        <is>
          <t>$234K</t>
        </is>
      </c>
      <c r="G939" s="19" t="n"/>
      <c r="H939" s="19" t="n">
        <v>0.234</v>
      </c>
      <c r="I939" t="inlineStr">
        <is>
          <t>Seed</t>
        </is>
      </c>
      <c r="J939" t="inlineStr">
        <is>
          <t>Titan Capital</t>
        </is>
      </c>
      <c r="K939" t="inlineStr">
        <is>
          <t>https://inc42.com/buzz/from-farmley-to-stashfin-indian-startups-raised-152-mn-this-week/</t>
        </is>
      </c>
    </row>
    <row r="940">
      <c r="A940" t="inlineStr">
        <is>
          <t>ENT-9063619</t>
        </is>
      </c>
      <c r="B940" t="inlineStr">
        <is>
          <t>R250513-biryaniblues</t>
        </is>
      </c>
      <c r="C940" t="inlineStr">
        <is>
          <t>Entrackr</t>
        </is>
      </c>
      <c r="D940" s="17" t="n">
        <v>45790</v>
      </c>
      <c r="E940" t="inlineStr">
        <is>
          <t>Biryani Blues</t>
        </is>
      </c>
      <c r="F940" t="inlineStr">
        <is>
          <t>$5 million</t>
        </is>
      </c>
      <c r="G940" s="19" t="n">
        <v>42</v>
      </c>
      <c r="H940" s="19" t="n">
        <v>5</v>
      </c>
      <c r="I940" t="inlineStr">
        <is>
          <t>Undisclosed</t>
        </is>
      </c>
      <c r="J940" t="inlineStr">
        <is>
          <t>Yugadi Capital</t>
        </is>
      </c>
      <c r="K940" t="inlineStr">
        <is>
          <t>https://entrackr.com/snippets/qsr-chain-biryani-blues-raises-5-mn-led-by-yugadi-capital-9063619</t>
        </is>
      </c>
    </row>
    <row r="941">
      <c r="A941" t="inlineStr">
        <is>
          <t>ET-121130670</t>
        </is>
      </c>
      <c r="B941" t="inlineStr">
        <is>
          <t>R250513-biryaniblues</t>
        </is>
      </c>
      <c r="C941" t="inlineStr">
        <is>
          <t>The Economic Times</t>
        </is>
      </c>
      <c r="D941" s="17" t="n">
        <v>45790</v>
      </c>
      <c r="E941" t="inlineStr">
        <is>
          <t>Biryani Blues</t>
        </is>
      </c>
      <c r="F941" t="inlineStr">
        <is>
          <t>$5 million</t>
        </is>
      </c>
      <c r="G941" s="19" t="n">
        <v>42</v>
      </c>
      <c r="H941" s="19" t="n">
        <v>5</v>
      </c>
      <c r="I941" t="inlineStr">
        <is>
          <t>Undisclosed</t>
        </is>
      </c>
      <c r="J941" t="inlineStr">
        <is>
          <t>Yugadi Capital</t>
        </is>
      </c>
      <c r="K941" t="inlineStr">
        <is>
          <t>https://economictimes.indiatimes.com/tech/funding/qsr-chain-biryani-blues-raises-5-million-from-carpediem-capital-fund-others/articleshow/121130670.cms</t>
        </is>
      </c>
    </row>
    <row r="942">
      <c r="A942" t="inlineStr">
        <is>
          <t>INC-20250517-10</t>
        </is>
      </c>
      <c r="B942" t="inlineStr">
        <is>
          <t>R250513-biryaniblues</t>
        </is>
      </c>
      <c r="C942" t="inlineStr">
        <is>
          <t>Inc42</t>
        </is>
      </c>
      <c r="D942" s="17" t="n">
        <v>45790</v>
      </c>
      <c r="E942" t="inlineStr">
        <is>
          <t>Biryani Blues</t>
        </is>
      </c>
      <c r="F942" t="inlineStr">
        <is>
          <t>$5 Mn</t>
        </is>
      </c>
      <c r="G942" s="19" t="n"/>
      <c r="H942" s="19" t="n">
        <v>5</v>
      </c>
      <c r="I942" t="inlineStr">
        <is>
          <t>Pre-Series C</t>
        </is>
      </c>
      <c r="J942" t="inlineStr">
        <is>
          <t>Yugadi Capital</t>
        </is>
      </c>
      <c r="K942" t="inlineStr">
        <is>
          <t>https://inc42.com/buzz/from-farmley-to-stashfin-indian-startups-raised-152-mn-this-week/</t>
        </is>
      </c>
    </row>
    <row r="943">
      <c r="A943" t="inlineStr">
        <is>
          <t>ENT-9064890</t>
        </is>
      </c>
      <c r="B943" t="inlineStr">
        <is>
          <t>R250513-flam</t>
        </is>
      </c>
      <c r="C943" t="inlineStr">
        <is>
          <t>Entrackr</t>
        </is>
      </c>
      <c r="D943" s="17" t="n">
        <v>45790</v>
      </c>
      <c r="E943" t="inlineStr">
        <is>
          <t>Flam</t>
        </is>
      </c>
      <c r="F943" t="inlineStr">
        <is>
          <t>$14 million</t>
        </is>
      </c>
      <c r="G943" s="19" t="n">
        <v>119</v>
      </c>
      <c r="H943" s="19" t="n">
        <v>14</v>
      </c>
      <c r="I943" t="inlineStr">
        <is>
          <t>Series A</t>
        </is>
      </c>
      <c r="J943" t="inlineStr">
        <is>
          <t>RTP Global</t>
        </is>
      </c>
      <c r="K943" t="inlineStr">
        <is>
          <t>https://entrackr.com/snippets/mixed-reality-startup-flam-bags-14-mn-led-by-rtp-global-9064890</t>
        </is>
      </c>
    </row>
    <row r="944">
      <c r="A944" t="inlineStr">
        <is>
          <t>ET-121140410</t>
        </is>
      </c>
      <c r="B944" t="inlineStr">
        <is>
          <t>R250513-flam</t>
        </is>
      </c>
      <c r="C944" t="inlineStr">
        <is>
          <t>The Economic Times</t>
        </is>
      </c>
      <c r="D944" s="17" t="n">
        <v>45790</v>
      </c>
      <c r="E944" t="inlineStr">
        <is>
          <t>Flam</t>
        </is>
      </c>
      <c r="F944" t="inlineStr">
        <is>
          <t>$14 million</t>
        </is>
      </c>
      <c r="G944" s="19" t="n"/>
      <c r="H944" s="19" t="n">
        <v>14</v>
      </c>
      <c r="I944" t="inlineStr">
        <is>
          <t>Series A</t>
        </is>
      </c>
      <c r="J944" t="inlineStr">
        <is>
          <t>RTP Global</t>
        </is>
      </c>
      <c r="K944" t="inlineStr">
        <is>
          <t>https://economictimes.indiatimes.com/tech/funding/mixed-reality-content-startup-flam-raises-14-million-from-rtp-global-others/articleshow/121140410.cms</t>
        </is>
      </c>
    </row>
    <row r="945">
      <c r="A945" t="inlineStr">
        <is>
          <t>INC-20250517-04</t>
        </is>
      </c>
      <c r="B945" t="inlineStr">
        <is>
          <t>R250513-flam</t>
        </is>
      </c>
      <c r="C945" t="inlineStr">
        <is>
          <t>Inc42</t>
        </is>
      </c>
      <c r="D945" s="17" t="n">
        <v>45790</v>
      </c>
      <c r="E945" t="inlineStr">
        <is>
          <t>Flam</t>
        </is>
      </c>
      <c r="F945" t="inlineStr">
        <is>
          <t>$14 Mn</t>
        </is>
      </c>
      <c r="G945" s="19" t="n"/>
      <c r="H945" s="19" t="n">
        <v>14</v>
      </c>
      <c r="I945" t="inlineStr">
        <is>
          <t>Series A</t>
        </is>
      </c>
      <c r="J945" t="inlineStr">
        <is>
          <t>RTP Global</t>
        </is>
      </c>
      <c r="K945" t="inlineStr">
        <is>
          <t>https://inc42.com/buzz/from-farmley-to-stashfin-indian-startups-raised-152-mn-this-week/</t>
        </is>
      </c>
    </row>
    <row r="946">
      <c r="A946" t="inlineStr">
        <is>
          <t>ENT-9062825</t>
        </is>
      </c>
      <c r="B946" t="inlineStr">
        <is>
          <t>R250513-hyperbots</t>
        </is>
      </c>
      <c r="C946" t="inlineStr">
        <is>
          <t>Entrackr</t>
        </is>
      </c>
      <c r="D946" s="17" t="n">
        <v>45790</v>
      </c>
      <c r="E946" t="inlineStr">
        <is>
          <t>Hyperbots</t>
        </is>
      </c>
      <c r="F946" t="inlineStr">
        <is>
          <t>$6.5 million</t>
        </is>
      </c>
      <c r="G946" s="19" t="n"/>
      <c r="H946" s="19" t="n">
        <v>6.5</v>
      </c>
      <c r="I946" t="inlineStr">
        <is>
          <t>Series A</t>
        </is>
      </c>
      <c r="J946" t="inlineStr">
        <is>
          <t>Arkam Ventures; Athera Venture Partners</t>
        </is>
      </c>
      <c r="K946" t="inlineStr">
        <is>
          <t>https://entrackr.com/snippets/hyperbots-raises-65-mn-in-series-a-round-9062825</t>
        </is>
      </c>
    </row>
    <row r="947">
      <c r="A947" t="inlineStr">
        <is>
          <t>ET-121119359</t>
        </is>
      </c>
      <c r="B947" t="inlineStr">
        <is>
          <t>R250513-hyperbots</t>
        </is>
      </c>
      <c r="C947" t="inlineStr">
        <is>
          <t>The Economic Times</t>
        </is>
      </c>
      <c r="D947" s="17" t="n">
        <v>45790</v>
      </c>
      <c r="E947" t="inlineStr">
        <is>
          <t>Hyperbots</t>
        </is>
      </c>
      <c r="F947" t="inlineStr">
        <is>
          <t>$6.5 million</t>
        </is>
      </c>
      <c r="G947" s="19" t="n"/>
      <c r="H947" s="19" t="n">
        <v>6.5</v>
      </c>
      <c r="I947" t="inlineStr">
        <is>
          <t>Series A</t>
        </is>
      </c>
      <c r="J947" t="inlineStr">
        <is>
          <t>Arkam Ventures; Athera Venture Partners</t>
        </is>
      </c>
      <c r="K947" t="inlineStr">
        <is>
          <t>https://economictimes.indiatimes.com/tech/funding/finance-automation-startup-hyperbots-raises-6-5-million-from-arkam-ventures-athera-venture-partners-others/articleshow/121119359.cms</t>
        </is>
      </c>
    </row>
    <row r="948">
      <c r="A948" t="inlineStr">
        <is>
          <t>INC-20250517-08</t>
        </is>
      </c>
      <c r="B948" t="inlineStr">
        <is>
          <t>R250513-hyperbots</t>
        </is>
      </c>
      <c r="C948" t="inlineStr">
        <is>
          <t>Inc42</t>
        </is>
      </c>
      <c r="D948" s="17" t="n">
        <v>45790</v>
      </c>
      <c r="E948" t="inlineStr">
        <is>
          <t>Hyperbots</t>
        </is>
      </c>
      <c r="F948" t="inlineStr">
        <is>
          <t>$6.5 Mn</t>
        </is>
      </c>
      <c r="G948" s="19" t="n"/>
      <c r="H948" s="19" t="n">
        <v>6.5</v>
      </c>
      <c r="I948" t="inlineStr">
        <is>
          <t>Series A</t>
        </is>
      </c>
      <c r="J948" t="inlineStr">
        <is>
          <t>Arkam Ventures; Athera Venture Partners</t>
        </is>
      </c>
      <c r="K948" t="inlineStr">
        <is>
          <t>https://inc42.com/buzz/from-farmley-to-stashfin-indian-startups-raised-152-mn-this-week/</t>
        </is>
      </c>
    </row>
    <row r="949">
      <c r="A949" t="inlineStr">
        <is>
          <t>INC-20250517-20</t>
        </is>
      </c>
      <c r="B949" t="inlineStr">
        <is>
          <t>R250513-luzo</t>
        </is>
      </c>
      <c r="C949" t="inlineStr">
        <is>
          <t>Inc42</t>
        </is>
      </c>
      <c r="D949" s="17" t="n">
        <v>45790</v>
      </c>
      <c r="E949" t="inlineStr">
        <is>
          <t>LUZO</t>
        </is>
      </c>
      <c r="F949" t="inlineStr">
        <is>
          <t>$550K</t>
        </is>
      </c>
      <c r="G949" s="19" t="n"/>
      <c r="H949" s="19" t="n">
        <v>0.55</v>
      </c>
      <c r="I949" t="inlineStr">
        <is>
          <t>Seed</t>
        </is>
      </c>
      <c r="J949" t="inlineStr">
        <is>
          <t>Enrission India Capital</t>
        </is>
      </c>
      <c r="K949" t="inlineStr">
        <is>
          <t>https://inc42.com/buzz/from-farmley-to-stashfin-indian-startups-raised-152-mn-this-week/</t>
        </is>
      </c>
    </row>
    <row r="950">
      <c r="A950" t="inlineStr">
        <is>
          <t>ENT-9067496</t>
        </is>
      </c>
      <c r="B950" t="inlineStr">
        <is>
          <t>R250513-luzo</t>
        </is>
      </c>
      <c r="C950" t="inlineStr">
        <is>
          <t>Entrackr</t>
        </is>
      </c>
      <c r="D950" s="17" t="n">
        <v>45791</v>
      </c>
      <c r="E950" t="inlineStr">
        <is>
          <t>LUZO</t>
        </is>
      </c>
      <c r="F950" t="inlineStr">
        <is>
          <t>$550K</t>
        </is>
      </c>
      <c r="G950" s="19" t="n"/>
      <c r="H950" s="19" t="n">
        <v>0.55</v>
      </c>
      <c r="I950" t="inlineStr">
        <is>
          <t>Seed</t>
        </is>
      </c>
      <c r="J950" t="inlineStr">
        <is>
          <t>Enrission India Capital Inc</t>
        </is>
      </c>
      <c r="K950" t="inlineStr">
        <is>
          <t>https://entrackr.com/snippets/luzo-raises-550k-in-seed-round-led-by-enrission-india-capital-9067496</t>
        </is>
      </c>
    </row>
    <row r="951">
      <c r="A951" t="inlineStr">
        <is>
          <t>INC-20250517-23</t>
        </is>
      </c>
      <c r="B951" t="inlineStr">
        <is>
          <t>R250513-neurostellar</t>
        </is>
      </c>
      <c r="C951" t="inlineStr">
        <is>
          <t>Inc42</t>
        </is>
      </c>
      <c r="D951" s="17" t="n">
        <v>45790</v>
      </c>
      <c r="E951" t="inlineStr">
        <is>
          <t>Neurostellar</t>
        </is>
      </c>
      <c r="F951" t="inlineStr">
        <is>
          <t>$150K</t>
        </is>
      </c>
      <c r="G951" s="19" t="n"/>
      <c r="H951" s="19" t="n">
        <v>0.15</v>
      </c>
      <c r="I951" t="inlineStr">
        <is>
          <t>Undisclosed</t>
        </is>
      </c>
      <c r="J951" t="inlineStr"/>
      <c r="K951" t="inlineStr">
        <is>
          <t>https://inc42.com/buzz/from-farmley-to-stashfin-indian-startups-raised-152-mn-this-week/</t>
        </is>
      </c>
    </row>
    <row r="952">
      <c r="A952" t="inlineStr">
        <is>
          <t>INC-20250517-07</t>
        </is>
      </c>
      <c r="B952" t="inlineStr">
        <is>
          <t>R250513-stashfin</t>
        </is>
      </c>
      <c r="C952" t="inlineStr">
        <is>
          <t>Inc42</t>
        </is>
      </c>
      <c r="D952" s="17" t="n">
        <v>45790</v>
      </c>
      <c r="E952" t="inlineStr">
        <is>
          <t>Stashfin</t>
        </is>
      </c>
      <c r="F952" t="inlineStr">
        <is>
          <t>$9.3 Mn</t>
        </is>
      </c>
      <c r="G952" s="19" t="n"/>
      <c r="H952" s="19" t="n">
        <v>9.300000000000001</v>
      </c>
      <c r="I952" t="inlineStr">
        <is>
          <t>Debt</t>
        </is>
      </c>
      <c r="J952" t="inlineStr"/>
      <c r="K952" t="inlineStr">
        <is>
          <t>https://inc42.com/buzz/from-farmley-to-stashfin-indian-startups-raised-152-mn-this-week/</t>
        </is>
      </c>
    </row>
    <row r="953">
      <c r="A953" t="inlineStr">
        <is>
          <t>ENT-9064495</t>
        </is>
      </c>
      <c r="B953" t="inlineStr">
        <is>
          <t>R250513-tieaconnectors</t>
        </is>
      </c>
      <c r="C953" t="inlineStr">
        <is>
          <t>Entrackr</t>
        </is>
      </c>
      <c r="D953" s="17" t="n">
        <v>45790</v>
      </c>
      <c r="E953" t="inlineStr">
        <is>
          <t>TIEA Connectors</t>
        </is>
      </c>
      <c r="F953" t="inlineStr">
        <is>
          <t>Rs 22 crore</t>
        </is>
      </c>
      <c r="G953" s="19" t="n">
        <v>22</v>
      </c>
      <c r="H953" s="19" t="n">
        <v>2.57</v>
      </c>
      <c r="I953" t="inlineStr">
        <is>
          <t>Undisclosed</t>
        </is>
      </c>
      <c r="J953" t="inlineStr">
        <is>
          <t>Jamwant Ventures; Valour Capital</t>
        </is>
      </c>
      <c r="K953" t="inlineStr">
        <is>
          <t>https://entrackr.com/snippets/tiea-connectors-raises-rs-22-cr-co-led-by-jamwant-ventures-and-valour-capital-9064495</t>
        </is>
      </c>
    </row>
    <row r="954">
      <c r="A954" t="inlineStr">
        <is>
          <t>INC-20250517-12</t>
        </is>
      </c>
      <c r="B954" t="inlineStr">
        <is>
          <t>R250513-tieaconnectors</t>
        </is>
      </c>
      <c r="C954" t="inlineStr">
        <is>
          <t>Inc42</t>
        </is>
      </c>
      <c r="D954" s="17" t="n">
        <v>45790</v>
      </c>
      <c r="E954" t="inlineStr">
        <is>
          <t>TIEA Connectors</t>
        </is>
      </c>
      <c r="F954" t="inlineStr">
        <is>
          <t>$2.6 Mn</t>
        </is>
      </c>
      <c r="G954" s="19" t="n"/>
      <c r="H954" s="19" t="n">
        <v>2.6</v>
      </c>
      <c r="I954" t="inlineStr">
        <is>
          <t>Undisclosed</t>
        </is>
      </c>
      <c r="J954" t="inlineStr">
        <is>
          <t>Jamwant Ventures; Valour Capital</t>
        </is>
      </c>
      <c r="K954" t="inlineStr">
        <is>
          <t>https://inc42.com/buzz/from-farmley-to-stashfin-indian-startups-raised-152-mn-this-week/</t>
        </is>
      </c>
    </row>
    <row r="955">
      <c r="A955" t="inlineStr">
        <is>
          <t>ENT-9066890</t>
        </is>
      </c>
      <c r="B955" t="inlineStr">
        <is>
          <t>R250514-bluestone</t>
        </is>
      </c>
      <c r="C955" t="inlineStr">
        <is>
          <t>Entrackr</t>
        </is>
      </c>
      <c r="D955" s="17" t="n">
        <v>45791</v>
      </c>
      <c r="E955" t="inlineStr">
        <is>
          <t>Bluestone</t>
        </is>
      </c>
      <c r="F955" t="inlineStr">
        <is>
          <t>Rs 40 crore</t>
        </is>
      </c>
      <c r="G955" s="19" t="n">
        <v>40</v>
      </c>
      <c r="H955" s="19" t="n">
        <v>4.7</v>
      </c>
      <c r="I955" t="inlineStr">
        <is>
          <t>Debt</t>
        </is>
      </c>
      <c r="J955" t="inlineStr">
        <is>
          <t>BlackSoil</t>
        </is>
      </c>
      <c r="K955" t="inlineStr">
        <is>
          <t>https://entrackr.com/exclusive/exclusive-bluestone-secures-debt-ahead-of-ipo-9066890</t>
        </is>
      </c>
    </row>
    <row r="956">
      <c r="A956" t="inlineStr">
        <is>
          <t>INC-20250517-11</t>
        </is>
      </c>
      <c r="B956" t="inlineStr">
        <is>
          <t>R250514-bluestone</t>
        </is>
      </c>
      <c r="C956" t="inlineStr">
        <is>
          <t>Inc42</t>
        </is>
      </c>
      <c r="D956" s="17" t="n">
        <v>45791</v>
      </c>
      <c r="E956" t="inlineStr">
        <is>
          <t>BlueStone</t>
        </is>
      </c>
      <c r="F956" t="inlineStr">
        <is>
          <t>$4.7 Mn</t>
        </is>
      </c>
      <c r="G956" s="19" t="n"/>
      <c r="H956" s="19" t="n">
        <v>4.7</v>
      </c>
      <c r="I956" t="inlineStr">
        <is>
          <t>Debt</t>
        </is>
      </c>
      <c r="J956" t="inlineStr"/>
      <c r="K956" t="inlineStr">
        <is>
          <t>https://inc42.com/buzz/from-farmley-to-stashfin-indian-startups-raised-152-mn-this-week/</t>
        </is>
      </c>
    </row>
    <row r="957">
      <c r="A957" t="inlineStr">
        <is>
          <t>ET-121164632</t>
        </is>
      </c>
      <c r="B957" t="inlineStr">
        <is>
          <t>R250514-complement1</t>
        </is>
      </c>
      <c r="C957" t="inlineStr">
        <is>
          <t>The Economic Times</t>
        </is>
      </c>
      <c r="D957" s="17" t="n">
        <v>45791</v>
      </c>
      <c r="E957" t="inlineStr">
        <is>
          <t>Complement 1</t>
        </is>
      </c>
      <c r="F957" t="inlineStr">
        <is>
          <t>$16 million</t>
        </is>
      </c>
      <c r="G957" s="19" t="n"/>
      <c r="H957" s="19" t="n">
        <v>16</v>
      </c>
      <c r="I957" t="inlineStr">
        <is>
          <t>Seed</t>
        </is>
      </c>
      <c r="J957" t="inlineStr">
        <is>
          <t>Owl Ventures; Blume Ventures</t>
        </is>
      </c>
      <c r="K957" t="inlineStr">
        <is>
          <t>https://economictimes.indiatimes.com/tech/funding/healthtech-startup-complement-1-raises-16-million-in-round-led-by-owl-ventures-blume-ventures/articleshow/121164632.cms</t>
        </is>
      </c>
    </row>
    <row r="958">
      <c r="A958" t="inlineStr">
        <is>
          <t>INC-20250517-02</t>
        </is>
      </c>
      <c r="B958" t="inlineStr">
        <is>
          <t>R250514-complement1</t>
        </is>
      </c>
      <c r="C958" t="inlineStr">
        <is>
          <t>Inc42</t>
        </is>
      </c>
      <c r="D958" s="17" t="n">
        <v>45791</v>
      </c>
      <c r="E958" t="inlineStr">
        <is>
          <t>Complement1</t>
        </is>
      </c>
      <c r="F958" t="inlineStr">
        <is>
          <t>$16 Mn</t>
        </is>
      </c>
      <c r="G958" s="19" t="n"/>
      <c r="H958" s="19" t="n">
        <v>16</v>
      </c>
      <c r="I958" t="inlineStr">
        <is>
          <t>Seed</t>
        </is>
      </c>
      <c r="J958" t="inlineStr">
        <is>
          <t>Owl Ventures; Blume Ventures</t>
        </is>
      </c>
      <c r="K958" t="inlineStr">
        <is>
          <t>https://inc42.com/buzz/from-farmley-to-stashfin-indian-startups-raised-152-mn-this-week/</t>
        </is>
      </c>
    </row>
    <row r="959">
      <c r="A959" t="inlineStr">
        <is>
          <t>ENT-9067397</t>
        </is>
      </c>
      <c r="B959" t="inlineStr">
        <is>
          <t>R250514-contravaultai</t>
        </is>
      </c>
      <c r="C959" t="inlineStr">
        <is>
          <t>Entrackr</t>
        </is>
      </c>
      <c r="D959" s="17" t="n">
        <v>45791</v>
      </c>
      <c r="E959" t="inlineStr">
        <is>
          <t>ContraVault AI</t>
        </is>
      </c>
      <c r="F959" t="inlineStr">
        <is>
          <t>Rs 5.1 crore</t>
        </is>
      </c>
      <c r="G959" s="19" t="n">
        <v>5.1</v>
      </c>
      <c r="H959" s="19" t="n"/>
      <c r="I959" t="inlineStr">
        <is>
          <t>Seed</t>
        </is>
      </c>
      <c r="J959" t="inlineStr">
        <is>
          <t>Titan Capital; Rajiv Ahuja; Haresh Chawla; Jaswinder Ahuja; Dilipkumar Khandelwal; Abhishek Goyal</t>
        </is>
      </c>
      <c r="K959" t="inlineStr">
        <is>
          <t>https://entrackr.com/snippets/titan-capital-leads-seed-round-in-contravault-ai-9067397</t>
        </is>
      </c>
    </row>
    <row r="960">
      <c r="A960" t="inlineStr">
        <is>
          <t>INC-20250517-18</t>
        </is>
      </c>
      <c r="B960" t="inlineStr">
        <is>
          <t>R250514-contravaultai</t>
        </is>
      </c>
      <c r="C960" t="inlineStr">
        <is>
          <t>Inc42</t>
        </is>
      </c>
      <c r="D960" s="17" t="n">
        <v>45791</v>
      </c>
      <c r="E960" t="inlineStr">
        <is>
          <t>ContraVault AI</t>
        </is>
      </c>
      <c r="F960" t="inlineStr">
        <is>
          <t>$596K</t>
        </is>
      </c>
      <c r="G960" s="19" t="n"/>
      <c r="H960" s="19" t="n">
        <v>0.596</v>
      </c>
      <c r="I960" t="inlineStr">
        <is>
          <t>Seed</t>
        </is>
      </c>
      <c r="J960" t="inlineStr">
        <is>
          <t>Titan Capital</t>
        </is>
      </c>
      <c r="K960" t="inlineStr">
        <is>
          <t>https://inc42.com/buzz/from-farmley-to-stashfin-indian-startups-raised-152-mn-this-week/</t>
        </is>
      </c>
    </row>
    <row r="961">
      <c r="A961" t="inlineStr">
        <is>
          <t>ENT-9067572</t>
        </is>
      </c>
      <c r="B961" t="inlineStr">
        <is>
          <t>R250514-karanbajaj</t>
        </is>
      </c>
      <c r="C961" t="inlineStr">
        <is>
          <t>Entrackr</t>
        </is>
      </c>
      <c r="D961" s="17" t="n">
        <v>45791</v>
      </c>
      <c r="E961" t="inlineStr">
        <is>
          <t>Karan Bajaj</t>
        </is>
      </c>
      <c r="F961" t="inlineStr">
        <is>
          <t>$16 million</t>
        </is>
      </c>
      <c r="G961" s="19" t="n"/>
      <c r="H961" s="19" t="n">
        <v>16</v>
      </c>
      <c r="I961" t="inlineStr">
        <is>
          <t>Seed</t>
        </is>
      </c>
      <c r="J961" t="inlineStr">
        <is>
          <t>Owl Ventures; Blume Ventures</t>
        </is>
      </c>
      <c r="K961" t="inlineStr">
        <is>
          <t>https://entrackr.com/news/whitehat-jr-founder-karan-bajaj-raises-16-mn-for-new-startup-complement1-9067572</t>
        </is>
      </c>
    </row>
    <row r="962">
      <c r="A962" t="inlineStr">
        <is>
          <t>INC-20250517-17</t>
        </is>
      </c>
      <c r="B962" t="inlineStr">
        <is>
          <t>R250514-medvital</t>
        </is>
      </c>
      <c r="C962" t="inlineStr">
        <is>
          <t>Inc42</t>
        </is>
      </c>
      <c r="D962" s="17" t="n">
        <v>45791</v>
      </c>
      <c r="E962" t="inlineStr">
        <is>
          <t>MedVital</t>
        </is>
      </c>
      <c r="F962" t="inlineStr">
        <is>
          <t>$981K</t>
        </is>
      </c>
      <c r="G962" s="19" t="n"/>
      <c r="H962" s="19" t="n">
        <v>0.981</v>
      </c>
      <c r="I962" t="inlineStr">
        <is>
          <t>Pre-Seed</t>
        </is>
      </c>
      <c r="J962" t="inlineStr">
        <is>
          <t>4point0 Health Ventures</t>
        </is>
      </c>
      <c r="K962" t="inlineStr">
        <is>
          <t>https://inc42.com/buzz/from-farmley-to-stashfin-indian-startups-raised-152-mn-this-week/</t>
        </is>
      </c>
    </row>
    <row r="963">
      <c r="A963" t="inlineStr">
        <is>
          <t>ENT-9072305</t>
        </is>
      </c>
      <c r="B963" t="inlineStr">
        <is>
          <t>R250514-medvital</t>
        </is>
      </c>
      <c r="C963" t="inlineStr">
        <is>
          <t>Entrackr</t>
        </is>
      </c>
      <c r="D963" s="17" t="n">
        <v>45792</v>
      </c>
      <c r="E963" t="inlineStr">
        <is>
          <t>MedVital</t>
        </is>
      </c>
      <c r="F963" t="inlineStr">
        <is>
          <t>Rs 8.4 crore</t>
        </is>
      </c>
      <c r="G963" s="19" t="n">
        <v>8.4</v>
      </c>
      <c r="H963" s="19" t="n"/>
      <c r="I963" t="inlineStr">
        <is>
          <t>Pre-Seed</t>
        </is>
      </c>
      <c r="J963" t="inlineStr">
        <is>
          <t>4point0 Health Ventures</t>
        </is>
      </c>
      <c r="K963" t="inlineStr">
        <is>
          <t>https://entrackr.com/snippets/medtech-startup-medvital-raises-rs-84-cr-in-pre-seed-round-9072305</t>
        </is>
      </c>
    </row>
    <row r="964">
      <c r="A964" t="inlineStr">
        <is>
          <t>ENT-9067336</t>
        </is>
      </c>
      <c r="B964" t="inlineStr">
        <is>
          <t>R250514-reelsaga</t>
        </is>
      </c>
      <c r="C964" t="inlineStr">
        <is>
          <t>Entrackr</t>
        </is>
      </c>
      <c r="D964" s="17" t="n">
        <v>45791</v>
      </c>
      <c r="E964" t="inlineStr">
        <is>
          <t>ReelSaga</t>
        </is>
      </c>
      <c r="F964" t="inlineStr">
        <is>
          <t>$2.1 million</t>
        </is>
      </c>
      <c r="G964" s="19" t="n"/>
      <c r="H964" s="19" t="n">
        <v>2.1</v>
      </c>
      <c r="I964" t="inlineStr">
        <is>
          <t>Seed</t>
        </is>
      </c>
      <c r="J964" t="inlineStr">
        <is>
          <t>Picus Capital</t>
        </is>
      </c>
      <c r="K964" t="inlineStr">
        <is>
          <t>https://entrackr.com/snippets/reelsaga-raises-21-mn-in-seed-round-led-by-picus-capital-9067336</t>
        </is>
      </c>
    </row>
    <row r="965">
      <c r="A965" t="inlineStr">
        <is>
          <t>INC-20250517-13</t>
        </is>
      </c>
      <c r="B965" t="inlineStr">
        <is>
          <t>R250514-reelsaga</t>
        </is>
      </c>
      <c r="C965" t="inlineStr">
        <is>
          <t>Inc42</t>
        </is>
      </c>
      <c r="D965" s="17" t="n">
        <v>45791</v>
      </c>
      <c r="E965" t="inlineStr">
        <is>
          <t>ReelSaga</t>
        </is>
      </c>
      <c r="F965" t="inlineStr">
        <is>
          <t>$2.1 Mn</t>
        </is>
      </c>
      <c r="G965" s="19" t="n"/>
      <c r="H965" s="19" t="n">
        <v>2.1</v>
      </c>
      <c r="I965" t="inlineStr">
        <is>
          <t>Seed</t>
        </is>
      </c>
      <c r="J965" t="inlineStr">
        <is>
          <t>Picus Capital</t>
        </is>
      </c>
      <c r="K965" t="inlineStr">
        <is>
          <t>https://inc42.com/buzz/from-farmley-to-stashfin-indian-startups-raised-152-mn-this-week/</t>
        </is>
      </c>
    </row>
    <row r="966">
      <c r="A966" t="inlineStr">
        <is>
          <t>ENT-9067442</t>
        </is>
      </c>
      <c r="B966" t="inlineStr">
        <is>
          <t>R250514-thirdbracket</t>
        </is>
      </c>
      <c r="C966" t="inlineStr">
        <is>
          <t>Entrackr</t>
        </is>
      </c>
      <c r="D966" s="17" t="n">
        <v>45791</v>
      </c>
      <c r="E966" t="inlineStr">
        <is>
          <t>Third Bracket</t>
        </is>
      </c>
      <c r="F966" t="inlineStr">
        <is>
          <t>Rs 5 crore</t>
        </is>
      </c>
      <c r="G966" s="19" t="n">
        <v>5</v>
      </c>
      <c r="H966" s="19" t="n"/>
      <c r="I966" t="inlineStr">
        <is>
          <t>Seed</t>
        </is>
      </c>
      <c r="J966" t="inlineStr"/>
      <c r="K966" t="inlineStr">
        <is>
          <t>https://entrackr.com/snippets/hiring-platform-third-bracket-raises-rs-5-cr-in-seed-round-9067442</t>
        </is>
      </c>
    </row>
    <row r="967">
      <c r="A967" t="inlineStr">
        <is>
          <t>INC-20250517-19</t>
        </is>
      </c>
      <c r="B967" t="inlineStr">
        <is>
          <t>R250514-thirdbracket</t>
        </is>
      </c>
      <c r="C967" t="inlineStr">
        <is>
          <t>Inc42</t>
        </is>
      </c>
      <c r="D967" s="17" t="n">
        <v>45791</v>
      </c>
      <c r="E967" t="inlineStr">
        <is>
          <t>Third Bracket</t>
        </is>
      </c>
      <c r="F967" t="inlineStr">
        <is>
          <t>$584K</t>
        </is>
      </c>
      <c r="G967" s="19" t="n"/>
      <c r="H967" s="19" t="n">
        <v>0.584</v>
      </c>
      <c r="I967" t="inlineStr">
        <is>
          <t>Seed</t>
        </is>
      </c>
      <c r="J967" t="inlineStr"/>
      <c r="K967" t="inlineStr">
        <is>
          <t>https://inc42.com/buzz/from-farmley-to-stashfin-indian-startups-raised-152-mn-this-week/</t>
        </is>
      </c>
    </row>
    <row r="968">
      <c r="A968" t="inlineStr">
        <is>
          <t>ENT-9067409</t>
        </is>
      </c>
      <c r="B968" t="inlineStr">
        <is>
          <t>R250514-vflowtech</t>
        </is>
      </c>
      <c r="C968" t="inlineStr">
        <is>
          <t>Entrackr</t>
        </is>
      </c>
      <c r="D968" s="17" t="n">
        <v>45791</v>
      </c>
      <c r="E968" t="inlineStr">
        <is>
          <t>VFlowTech</t>
        </is>
      </c>
      <c r="F968" t="inlineStr">
        <is>
          <t>$20.5 million</t>
        </is>
      </c>
      <c r="G968" s="19" t="n"/>
      <c r="H968" s="19" t="n">
        <v>20.5</v>
      </c>
      <c r="I968" t="inlineStr">
        <is>
          <t>Undisclosed</t>
        </is>
      </c>
      <c r="J968" t="inlineStr">
        <is>
          <t>Granite Asia</t>
        </is>
      </c>
      <c r="K968" t="inlineStr">
        <is>
          <t>https://entrackr.com/snippets/vflowtech-raises-205-mn-led-by-granite-asia-9067409</t>
        </is>
      </c>
    </row>
    <row r="969">
      <c r="A969" t="inlineStr">
        <is>
          <t>ENT-9071077</t>
        </is>
      </c>
      <c r="B969" t="inlineStr">
        <is>
          <t>R250515-1indiafamilyma</t>
        </is>
      </c>
      <c r="C969" t="inlineStr">
        <is>
          <t>Entrackr</t>
        </is>
      </c>
      <c r="D969" s="17" t="n">
        <v>45792</v>
      </c>
      <c r="E969" t="inlineStr">
        <is>
          <t>1-India Family Mart</t>
        </is>
      </c>
      <c r="F969" t="inlineStr">
        <is>
          <t>$12 million</t>
        </is>
      </c>
      <c r="G969" s="19" t="n"/>
      <c r="H969" s="19" t="n">
        <v>12</v>
      </c>
      <c r="I969" t="inlineStr">
        <is>
          <t>Series D</t>
        </is>
      </c>
      <c r="J969" t="inlineStr"/>
      <c r="K969" t="inlineStr">
        <is>
          <t>https://entrackr.com/snippets/value-retail-chain-1-india-family-mart-raises-12-mn-in-series-d-round-9071077</t>
        </is>
      </c>
    </row>
    <row r="970">
      <c r="A970" t="inlineStr">
        <is>
          <t>VCC-17af19051c</t>
        </is>
      </c>
      <c r="B970" t="inlineStr">
        <is>
          <t>R250515-1indiafamilyma</t>
        </is>
      </c>
      <c r="C970" t="inlineStr">
        <is>
          <t>VCCircle</t>
        </is>
      </c>
      <c r="D970" s="17" t="n">
        <v>45792</v>
      </c>
      <c r="E970" t="inlineStr">
        <is>
          <t>valueretailer 1 india family mart</t>
        </is>
      </c>
      <c r="F970" t="inlineStr"/>
      <c r="G970" s="19" t="n"/>
      <c r="H970" s="19" t="n"/>
      <c r="I970" t="inlineStr">
        <is>
          <t>Series D</t>
        </is>
      </c>
      <c r="J970" t="inlineStr"/>
      <c r="K970" t="inlineStr">
        <is>
          <t>https://www.vccircle.com/valueretailer-1-india-family-mart-pockets-series-d-funding</t>
        </is>
      </c>
    </row>
    <row r="971">
      <c r="A971" t="inlineStr">
        <is>
          <t>ENT-9070468</t>
        </is>
      </c>
      <c r="B971" t="inlineStr">
        <is>
          <t>R250515-hocco</t>
        </is>
      </c>
      <c r="C971" t="inlineStr">
        <is>
          <t>Entrackr</t>
        </is>
      </c>
      <c r="D971" s="17" t="n">
        <v>45792</v>
      </c>
      <c r="E971" t="inlineStr">
        <is>
          <t>Hocco</t>
        </is>
      </c>
      <c r="F971" t="inlineStr">
        <is>
          <t>$10 million</t>
        </is>
      </c>
      <c r="G971" s="19" t="n"/>
      <c r="H971" s="19" t="n">
        <v>10</v>
      </c>
      <c r="I971" t="inlineStr">
        <is>
          <t>Series B</t>
        </is>
      </c>
      <c r="J971" t="inlineStr">
        <is>
          <t>Chona Family Office; Sauce VC</t>
        </is>
      </c>
      <c r="K971" t="inlineStr">
        <is>
          <t>https://entrackr.com/news/ice-cream-brand-hocco-raises-10-mn-in-first-close-of-series-b-round-9070468</t>
        </is>
      </c>
    </row>
    <row r="972">
      <c r="A972" t="inlineStr">
        <is>
          <t>ET-121190723</t>
        </is>
      </c>
      <c r="B972" t="inlineStr">
        <is>
          <t>R250515-hocco</t>
        </is>
      </c>
      <c r="C972" t="inlineStr">
        <is>
          <t>The Economic Times</t>
        </is>
      </c>
      <c r="D972" s="17" t="n">
        <v>45792</v>
      </c>
      <c r="E972" t="inlineStr">
        <is>
          <t>Hocco</t>
        </is>
      </c>
      <c r="F972" t="inlineStr">
        <is>
          <t>$10 million</t>
        </is>
      </c>
      <c r="G972" s="19" t="n"/>
      <c r="H972" s="19" t="n">
        <v>10</v>
      </c>
      <c r="I972" t="inlineStr">
        <is>
          <t>Series B</t>
        </is>
      </c>
      <c r="J972" t="inlineStr">
        <is>
          <t>Chona Family Office</t>
        </is>
      </c>
      <c r="K972" t="inlineStr">
        <is>
          <t>https://economictimes.indiatimes.com/tech/funding/new-age-ice-cream-brand-hocco-raises-10-million-in-round-co-led-by-chona-family-office-sauce-vc/articleshow/121190723.cms</t>
        </is>
      </c>
    </row>
    <row r="973">
      <c r="A973" t="inlineStr">
        <is>
          <t>INC-20250517-05</t>
        </is>
      </c>
      <c r="B973" t="inlineStr">
        <is>
          <t>R250515-hocco</t>
        </is>
      </c>
      <c r="C973" t="inlineStr">
        <is>
          <t>Inc42</t>
        </is>
      </c>
      <c r="D973" s="17" t="n">
        <v>45792</v>
      </c>
      <c r="E973" t="inlineStr">
        <is>
          <t>Hocco</t>
        </is>
      </c>
      <c r="F973" t="inlineStr">
        <is>
          <t>$10 Mn</t>
        </is>
      </c>
      <c r="G973" s="19" t="n"/>
      <c r="H973" s="19" t="n">
        <v>10</v>
      </c>
      <c r="I973" t="inlineStr">
        <is>
          <t>Series B</t>
        </is>
      </c>
      <c r="J973" t="inlineStr">
        <is>
          <t>Sauce.vc</t>
        </is>
      </c>
      <c r="K973" t="inlineStr">
        <is>
          <t>https://inc42.com/buzz/from-farmley-to-stashfin-indian-startups-raised-152-mn-this-week/</t>
        </is>
      </c>
    </row>
    <row r="974">
      <c r="A974" t="inlineStr">
        <is>
          <t>ENT-9070508</t>
        </is>
      </c>
      <c r="B974" t="inlineStr">
        <is>
          <t>R250515-naptapgo</t>
        </is>
      </c>
      <c r="C974" t="inlineStr">
        <is>
          <t>Entrackr</t>
        </is>
      </c>
      <c r="D974" s="17" t="n">
        <v>45792</v>
      </c>
      <c r="E974" t="inlineStr">
        <is>
          <t>Naptapgo</t>
        </is>
      </c>
      <c r="F974" t="inlineStr">
        <is>
          <t>Rs 2 crore</t>
        </is>
      </c>
      <c r="G974" s="19" t="n">
        <v>2</v>
      </c>
      <c r="H974" s="19" t="n">
        <v>0.233</v>
      </c>
      <c r="I974" t="inlineStr">
        <is>
          <t>Pre-Seed</t>
        </is>
      </c>
      <c r="J974" t="inlineStr">
        <is>
          <t>Inflection Point Ventures</t>
        </is>
      </c>
      <c r="K974" t="inlineStr">
        <is>
          <t>https://entrackr.com/snippets/pod-hotel-startup-naptapgo-raises-pre-seed-round-led-by-ipv-9070508</t>
        </is>
      </c>
    </row>
    <row r="975">
      <c r="A975" t="inlineStr">
        <is>
          <t>INC-20250517-21</t>
        </is>
      </c>
      <c r="B975" t="inlineStr">
        <is>
          <t>R250515-naptapgo</t>
        </is>
      </c>
      <c r="C975" t="inlineStr">
        <is>
          <t>Inc42</t>
        </is>
      </c>
      <c r="D975" s="17" t="n">
        <v>45792</v>
      </c>
      <c r="E975" t="inlineStr">
        <is>
          <t>Naptapgo</t>
        </is>
      </c>
      <c r="F975" t="inlineStr">
        <is>
          <t>$234K</t>
        </is>
      </c>
      <c r="G975" s="19" t="n"/>
      <c r="H975" s="19" t="n">
        <v>0.234</v>
      </c>
      <c r="I975" t="inlineStr">
        <is>
          <t>Pre-Seed</t>
        </is>
      </c>
      <c r="J975" t="inlineStr">
        <is>
          <t>Inflection Point Ventures</t>
        </is>
      </c>
      <c r="K975" t="inlineStr">
        <is>
          <t>https://inc42.com/buzz/from-farmley-to-stashfin-indian-startups-raised-152-mn-this-week/</t>
        </is>
      </c>
    </row>
    <row r="976">
      <c r="A976" t="inlineStr">
        <is>
          <t>INC-20250517-16</t>
        </is>
      </c>
      <c r="B976" t="inlineStr">
        <is>
          <t>R250515-rohaltechnolog</t>
        </is>
      </c>
      <c r="C976" t="inlineStr">
        <is>
          <t>Inc42</t>
        </is>
      </c>
      <c r="D976" s="17" t="n">
        <v>45792</v>
      </c>
      <c r="E976" t="inlineStr">
        <is>
          <t>Rohal Technologies</t>
        </is>
      </c>
      <c r="F976" t="inlineStr">
        <is>
          <t>$1 Mn</t>
        </is>
      </c>
      <c r="G976" s="19" t="n"/>
      <c r="H976" s="19" t="n">
        <v>1</v>
      </c>
      <c r="I976" t="inlineStr">
        <is>
          <t>Seed</t>
        </is>
      </c>
      <c r="J976" t="inlineStr">
        <is>
          <t>India Accelerator</t>
        </is>
      </c>
      <c r="K976" t="inlineStr">
        <is>
          <t>https://inc42.com/buzz/from-farmley-to-stashfin-indian-startups-raised-152-mn-this-week/</t>
        </is>
      </c>
    </row>
    <row r="977">
      <c r="A977" t="inlineStr">
        <is>
          <t>INC-20250517-14</t>
        </is>
      </c>
      <c r="B977" t="inlineStr">
        <is>
          <t>R250515-zenergize</t>
        </is>
      </c>
      <c r="C977" t="inlineStr">
        <is>
          <t>Inc42</t>
        </is>
      </c>
      <c r="D977" s="17" t="n">
        <v>45792</v>
      </c>
      <c r="E977" t="inlineStr">
        <is>
          <t>Zenergize</t>
        </is>
      </c>
      <c r="F977" t="inlineStr">
        <is>
          <t>$2 Mn</t>
        </is>
      </c>
      <c r="G977" s="19" t="n"/>
      <c r="H977" s="19" t="n">
        <v>2</v>
      </c>
      <c r="I977" t="inlineStr">
        <is>
          <t>Seed</t>
        </is>
      </c>
      <c r="J977" t="inlineStr">
        <is>
          <t>Mohit Tandon; Himanshu Aggarwal</t>
        </is>
      </c>
      <c r="K977" t="inlineStr">
        <is>
          <t>https://inc42.com/buzz/from-farmley-to-stashfin-indian-startups-raised-152-mn-this-week/</t>
        </is>
      </c>
    </row>
    <row r="978">
      <c r="A978" t="inlineStr">
        <is>
          <t>INC-20250517-24</t>
        </is>
      </c>
      <c r="B978" t="inlineStr">
        <is>
          <t>R250516-airbotsaerospa</t>
        </is>
      </c>
      <c r="C978" t="inlineStr">
        <is>
          <t>Inc42</t>
        </is>
      </c>
      <c r="D978" s="17" t="n">
        <v>45793</v>
      </c>
      <c r="E978" t="inlineStr">
        <is>
          <t>Airbots Aerospace</t>
        </is>
      </c>
      <c r="F978" t="inlineStr"/>
      <c r="G978" s="19" t="n"/>
      <c r="H978" s="19" t="n"/>
      <c r="I978" t="inlineStr">
        <is>
          <t>Undisclosed</t>
        </is>
      </c>
      <c r="J978" t="inlineStr">
        <is>
          <t>Technology Innovation Hub Foundation</t>
        </is>
      </c>
      <c r="K978" t="inlineStr">
        <is>
          <t>https://inc42.com/buzz/from-farmley-to-stashfin-indian-startups-raised-152-mn-this-week/</t>
        </is>
      </c>
    </row>
    <row r="979">
      <c r="A979" t="inlineStr">
        <is>
          <t>VCC-da5bfec145</t>
        </is>
      </c>
      <c r="B979" t="inlineStr">
        <is>
          <t>R250516-nobelhygiene</t>
        </is>
      </c>
      <c r="C979" t="inlineStr">
        <is>
          <t>VCCircle</t>
        </is>
      </c>
      <c r="D979" s="17" t="n">
        <v>45792</v>
      </c>
      <c r="E979" t="inlineStr">
        <is>
          <t>nobel hygiene</t>
        </is>
      </c>
      <c r="F979" t="inlineStr">
        <is>
          <t>$ 20 million</t>
        </is>
      </c>
      <c r="G979" s="19" t="n"/>
      <c r="H979" s="19" t="n">
        <v>20</v>
      </c>
      <c r="I979" t="inlineStr">
        <is>
          <t>Undisclosed</t>
        </is>
      </c>
      <c r="J979" t="inlineStr"/>
      <c r="K979" t="inlineStr">
        <is>
          <t>https://www.vccircle.com/neoasset-management-invests-20-mn-in-diaper-maker-nobel-hygiene</t>
        </is>
      </c>
    </row>
    <row r="980">
      <c r="A980" t="inlineStr">
        <is>
          <t>ENT-9075303</t>
        </is>
      </c>
      <c r="B980" t="inlineStr">
        <is>
          <t>R250516-nobelhygiene</t>
        </is>
      </c>
      <c r="C980" t="inlineStr">
        <is>
          <t>Entrackr</t>
        </is>
      </c>
      <c r="D980" s="17" t="n">
        <v>45793</v>
      </c>
      <c r="E980" t="inlineStr">
        <is>
          <t>Nobel Hygiene</t>
        </is>
      </c>
      <c r="F980" t="inlineStr">
        <is>
          <t>Rs 170 crore</t>
        </is>
      </c>
      <c r="G980" s="19" t="n">
        <v>170</v>
      </c>
      <c r="H980" s="19" t="n">
        <v>20</v>
      </c>
      <c r="I980" t="inlineStr">
        <is>
          <t>Undisclosed</t>
        </is>
      </c>
      <c r="J980" t="inlineStr"/>
      <c r="K980" t="inlineStr">
        <is>
          <t>https://entrackr.com/news/nobel-hygiene-secures-20-mn-from-neo-asset-management-9075303</t>
        </is>
      </c>
    </row>
    <row r="981">
      <c r="A981" t="inlineStr">
        <is>
          <t>INC-20250517-15</t>
        </is>
      </c>
      <c r="B981" t="inlineStr">
        <is>
          <t>R250516-pronto</t>
        </is>
      </c>
      <c r="C981" t="inlineStr">
        <is>
          <t>Inc42</t>
        </is>
      </c>
      <c r="D981" s="17" t="n">
        <v>45793</v>
      </c>
      <c r="E981" t="inlineStr">
        <is>
          <t>Pronto</t>
        </is>
      </c>
      <c r="F981" t="inlineStr">
        <is>
          <t>$2 Mn</t>
        </is>
      </c>
      <c r="G981" s="19" t="n"/>
      <c r="H981" s="19" t="n">
        <v>2</v>
      </c>
      <c r="I981" t="inlineStr">
        <is>
          <t>Undisclosed</t>
        </is>
      </c>
      <c r="J981" t="inlineStr">
        <is>
          <t>Bain Capital Ventures</t>
        </is>
      </c>
      <c r="K981" t="inlineStr">
        <is>
          <t>https://inc42.com/buzz/from-farmley-to-stashfin-indian-startups-raised-152-mn-this-week/</t>
        </is>
      </c>
    </row>
    <row r="982">
      <c r="A982" t="inlineStr">
        <is>
          <t>ET-121219146</t>
        </is>
      </c>
      <c r="B982" t="inlineStr">
        <is>
          <t>R250517-fynmobility</t>
        </is>
      </c>
      <c r="C982" t="inlineStr">
        <is>
          <t>The Economic Times</t>
        </is>
      </c>
      <c r="D982" s="17" t="n">
        <v>45794</v>
      </c>
      <c r="E982" t="inlineStr">
        <is>
          <t>Fyn Mobility</t>
        </is>
      </c>
      <c r="F982" t="inlineStr">
        <is>
          <t>$2.5 million</t>
        </is>
      </c>
      <c r="G982" s="19" t="n"/>
      <c r="H982" s="19" t="n">
        <v>2.5</v>
      </c>
      <c r="I982" t="inlineStr">
        <is>
          <t>Undisclosed</t>
        </is>
      </c>
      <c r="J982" t="inlineStr">
        <is>
          <t>Vijay Kedia; Lloyd Balajadia; Rahul Bothra</t>
        </is>
      </c>
      <c r="K982" t="inlineStr">
        <is>
          <t>https://economictimes.indiatimes.com/tech/funding/evaas-startup-fyn-mobility-raises-2-5-million-eyes-global-markets/articleshow/121219146.cms</t>
        </is>
      </c>
    </row>
    <row r="983">
      <c r="A983" t="inlineStr">
        <is>
          <t>ENT-9083850</t>
        </is>
      </c>
      <c r="B983" t="inlineStr">
        <is>
          <t>R250519-eulermotors</t>
        </is>
      </c>
      <c r="C983" t="inlineStr">
        <is>
          <t>Entrackr</t>
        </is>
      </c>
      <c r="D983" s="17" t="n">
        <v>45796</v>
      </c>
      <c r="E983" t="inlineStr">
        <is>
          <t>Euler Motors</t>
        </is>
      </c>
      <c r="F983" t="inlineStr">
        <is>
          <t>Rs 638 crore</t>
        </is>
      </c>
      <c r="G983" s="19" t="n">
        <v>638</v>
      </c>
      <c r="H983" s="19" t="n">
        <v>75</v>
      </c>
      <c r="I983" t="inlineStr">
        <is>
          <t>Series D</t>
        </is>
      </c>
      <c r="J983" t="inlineStr">
        <is>
          <t>Hero MotoCorp; British International Investment</t>
        </is>
      </c>
      <c r="K983" t="inlineStr">
        <is>
          <t>https://entrackr.com/news/euler-motors-raises-rs-638-cr-in-series-d-funding-round-9083850</t>
        </is>
      </c>
    </row>
    <row r="984">
      <c r="A984" t="inlineStr">
        <is>
          <t>ET-121265538</t>
        </is>
      </c>
      <c r="B984" t="inlineStr">
        <is>
          <t>R250519-eulermotors</t>
        </is>
      </c>
      <c r="C984" t="inlineStr">
        <is>
          <t>The Economic Times</t>
        </is>
      </c>
      <c r="D984" s="17" t="n">
        <v>45796</v>
      </c>
      <c r="E984" t="inlineStr">
        <is>
          <t>Euler Motors</t>
        </is>
      </c>
      <c r="F984" t="inlineStr">
        <is>
          <t>Rs 638 crore</t>
        </is>
      </c>
      <c r="G984" s="19" t="n">
        <v>638</v>
      </c>
      <c r="H984" s="19" t="n"/>
      <c r="I984" t="inlineStr">
        <is>
          <t>Undisclosed</t>
        </is>
      </c>
      <c r="J984" t="inlineStr">
        <is>
          <t>Hero MotoCorp</t>
        </is>
      </c>
      <c r="K984" t="inlineStr">
        <is>
          <t>https://economictimes.indiatimes.com/tech/funding/euler-motors-raises-rs-638-crore-funding-in-round-led-by-hero-motocorp/articleshow/121265538.cms</t>
        </is>
      </c>
    </row>
    <row r="985">
      <c r="A985" t="inlineStr">
        <is>
          <t>INC-20250524-01</t>
        </is>
      </c>
      <c r="B985" t="inlineStr">
        <is>
          <t>R250519-eulermotors</t>
        </is>
      </c>
      <c r="C985" t="inlineStr">
        <is>
          <t>Inc42</t>
        </is>
      </c>
      <c r="D985" s="17" t="n">
        <v>45796</v>
      </c>
      <c r="E985" t="inlineStr">
        <is>
          <t>Euler Motors</t>
        </is>
      </c>
      <c r="F985" t="inlineStr">
        <is>
          <t>$75 Mn</t>
        </is>
      </c>
      <c r="G985" s="19" t="n"/>
      <c r="H985" s="19" t="n">
        <v>75</v>
      </c>
      <c r="I985" t="inlineStr">
        <is>
          <t>Series D</t>
        </is>
      </c>
      <c r="J985" t="inlineStr">
        <is>
          <t>Hero MotoCorp</t>
        </is>
      </c>
      <c r="K985" t="inlineStr">
        <is>
          <t>https://inc42.com/buzz/from-euler-motors-to-cloudsek-indian-startups-raised-232-mn-this-week/</t>
        </is>
      </c>
    </row>
    <row r="986">
      <c r="A986" t="inlineStr">
        <is>
          <t>VCC-00edc131b7</t>
        </is>
      </c>
      <c r="B986" t="inlineStr">
        <is>
          <t>R250519-eulermotors</t>
        </is>
      </c>
      <c r="C986" t="inlineStr">
        <is>
          <t>VCCircle</t>
        </is>
      </c>
      <c r="D986" s="17" t="n">
        <v>45796</v>
      </c>
      <c r="E986" t="inlineStr">
        <is>
          <t>eulermotors</t>
        </is>
      </c>
      <c r="F986" t="inlineStr">
        <is>
          <t>$ 75 million</t>
        </is>
      </c>
      <c r="G986" s="19" t="n"/>
      <c r="H986" s="19" t="n">
        <v>75</v>
      </c>
      <c r="I986" t="inlineStr">
        <is>
          <t>Series D</t>
        </is>
      </c>
      <c r="J986" t="inlineStr"/>
      <c r="K986" t="inlineStr">
        <is>
          <t>https://www.vccircle.com/eulermotors-snags-nearly-75-mn-in-series-d-round</t>
        </is>
      </c>
    </row>
    <row r="987">
      <c r="A987" t="inlineStr">
        <is>
          <t>ENT-9083487</t>
        </is>
      </c>
      <c r="B987" t="inlineStr">
        <is>
          <t>R250519-vivritiassetma</t>
        </is>
      </c>
      <c r="C987" t="inlineStr">
        <is>
          <t>Entrackr</t>
        </is>
      </c>
      <c r="D987" s="17" t="n">
        <v>45796</v>
      </c>
      <c r="E987" t="inlineStr">
        <is>
          <t>Vivriti Asset Management</t>
        </is>
      </c>
      <c r="F987" t="inlineStr">
        <is>
          <t>$20 million</t>
        </is>
      </c>
      <c r="G987" s="19" t="n"/>
      <c r="H987" s="19" t="n">
        <v>20</v>
      </c>
      <c r="I987" t="inlineStr">
        <is>
          <t>Debt</t>
        </is>
      </c>
      <c r="J987" t="inlineStr"/>
      <c r="K987" t="inlineStr">
        <is>
          <t>https://entrackr.com/snippets/vivriti-asset-management-raises-20-mn-from-development-bank-of-austria-9083487</t>
        </is>
      </c>
    </row>
    <row r="988">
      <c r="A988" t="inlineStr">
        <is>
          <t>ENT-9085770</t>
        </is>
      </c>
      <c r="B988" t="inlineStr">
        <is>
          <t>R250520-cloudsek</t>
        </is>
      </c>
      <c r="C988" t="inlineStr">
        <is>
          <t>Entrackr</t>
        </is>
      </c>
      <c r="D988" s="17" t="n">
        <v>45797</v>
      </c>
      <c r="E988" t="inlineStr">
        <is>
          <t>CloudSEK</t>
        </is>
      </c>
      <c r="F988" t="inlineStr">
        <is>
          <t>$ 19 million</t>
        </is>
      </c>
      <c r="G988" s="19" t="n"/>
      <c r="H988" s="19" t="n">
        <v>19</v>
      </c>
      <c r="I988" t="inlineStr">
        <is>
          <t>Series A</t>
        </is>
      </c>
      <c r="J988" t="inlineStr"/>
      <c r="K988" t="inlineStr">
        <is>
          <t>https://entrackr.com/news/cybersecurity-startup-cloudsek-raises-19-mn-9085770</t>
        </is>
      </c>
    </row>
    <row r="989">
      <c r="A989" t="inlineStr">
        <is>
          <t>ET-121274077</t>
        </is>
      </c>
      <c r="B989" t="inlineStr">
        <is>
          <t>R250520-cloudsek</t>
        </is>
      </c>
      <c r="C989" t="inlineStr">
        <is>
          <t>The Economic Times</t>
        </is>
      </c>
      <c r="D989" s="17" t="n">
        <v>45797</v>
      </c>
      <c r="E989" t="inlineStr">
        <is>
          <t>Cloudsek</t>
        </is>
      </c>
      <c r="F989" t="inlineStr">
        <is>
          <t>$19 million</t>
        </is>
      </c>
      <c r="G989" s="19" t="n"/>
      <c r="H989" s="19" t="n">
        <v>19</v>
      </c>
      <c r="I989" t="inlineStr">
        <is>
          <t>Undisclosed</t>
        </is>
      </c>
      <c r="J989" t="inlineStr">
        <is>
          <t>Tenacity Ventures; Commvault</t>
        </is>
      </c>
      <c r="K989" t="inlineStr">
        <is>
          <t>https://economictimes.indiatimes.com/tech/funding/cybersecurity-startup-cloudsek-raises-19-million-in-funding-led-by-tenacity-ventures-commvault/articleshow/121274077.cms</t>
        </is>
      </c>
    </row>
    <row r="990">
      <c r="A990" t="inlineStr">
        <is>
          <t>INC-20250524-04</t>
        </is>
      </c>
      <c r="B990" t="inlineStr">
        <is>
          <t>R250520-cloudsek</t>
        </is>
      </c>
      <c r="C990" t="inlineStr">
        <is>
          <t>Inc42</t>
        </is>
      </c>
      <c r="D990" s="17" t="n">
        <v>45797</v>
      </c>
      <c r="E990" t="inlineStr">
        <is>
          <t>CloudSEK</t>
        </is>
      </c>
      <c r="F990" t="inlineStr">
        <is>
          <t>$19 Mn</t>
        </is>
      </c>
      <c r="G990" s="19" t="n"/>
      <c r="H990" s="19" t="n">
        <v>19</v>
      </c>
      <c r="I990" t="inlineStr">
        <is>
          <t>Series A</t>
        </is>
      </c>
      <c r="J990" t="inlineStr"/>
      <c r="K990" t="inlineStr">
        <is>
          <t>https://inc42.com/buzz/from-euler-motors-to-cloudsek-indian-startups-raised-232-mn-this-week/</t>
        </is>
      </c>
    </row>
    <row r="991">
      <c r="A991" t="inlineStr">
        <is>
          <t>VCC-bd2a36436c</t>
        </is>
      </c>
      <c r="B991" t="inlineStr">
        <is>
          <t>R250520-cloudsek</t>
        </is>
      </c>
      <c r="C991" t="inlineStr">
        <is>
          <t>VCCircle</t>
        </is>
      </c>
      <c r="D991" s="17" t="n">
        <v>45797</v>
      </c>
      <c r="E991" t="inlineStr">
        <is>
          <t>cybersecuritystartup cloudsek</t>
        </is>
      </c>
      <c r="F991" t="inlineStr">
        <is>
          <t>$ 19 million</t>
        </is>
      </c>
      <c r="G991" s="19" t="n"/>
      <c r="H991" s="19" t="n">
        <v>19</v>
      </c>
      <c r="I991" t="inlineStr">
        <is>
          <t>Undisclosed</t>
        </is>
      </c>
      <c r="J991" t="inlineStr"/>
      <c r="K991" t="inlineStr">
        <is>
          <t>https://www.vccircle.com/cybersecuritystartup-cloudsek-nets-19-mn-from-massmutual-inflexor-others</t>
        </is>
      </c>
    </row>
    <row r="992">
      <c r="A992" t="inlineStr">
        <is>
          <t>ENT-9085603</t>
        </is>
      </c>
      <c r="B992" t="inlineStr">
        <is>
          <t>R250520-curebay</t>
        </is>
      </c>
      <c r="C992" t="inlineStr">
        <is>
          <t>Entrackr</t>
        </is>
      </c>
      <c r="D992" s="17" t="n">
        <v>45797</v>
      </c>
      <c r="E992" t="inlineStr">
        <is>
          <t>CureBay</t>
        </is>
      </c>
      <c r="F992" t="inlineStr">
        <is>
          <t>$21 million</t>
        </is>
      </c>
      <c r="G992" s="19" t="n"/>
      <c r="H992" s="19" t="n">
        <v>21</v>
      </c>
      <c r="I992" t="inlineStr">
        <is>
          <t>Series B</t>
        </is>
      </c>
      <c r="J992" t="inlineStr">
        <is>
          <t>Bertelsmann India Investments</t>
        </is>
      </c>
      <c r="K992" t="inlineStr">
        <is>
          <t>https://entrackr.com/news/curebay-raises-21-mn-in-series-b-round-led-by-bertelsmann-india-9085603</t>
        </is>
      </c>
    </row>
    <row r="993">
      <c r="A993" t="inlineStr">
        <is>
          <t>ET-121273974</t>
        </is>
      </c>
      <c r="B993" t="inlineStr">
        <is>
          <t>R250520-curebay</t>
        </is>
      </c>
      <c r="C993" t="inlineStr">
        <is>
          <t>The Economic Times</t>
        </is>
      </c>
      <c r="D993" s="17" t="n">
        <v>45797</v>
      </c>
      <c r="E993" t="inlineStr">
        <is>
          <t>CureBay</t>
        </is>
      </c>
      <c r="F993" t="inlineStr">
        <is>
          <t>$21 million</t>
        </is>
      </c>
      <c r="G993" s="19" t="n"/>
      <c r="H993" s="19" t="n">
        <v>21</v>
      </c>
      <c r="I993" t="inlineStr">
        <is>
          <t>Undisclosed</t>
        </is>
      </c>
      <c r="J993" t="inlineStr">
        <is>
          <t>Bertelsmann India Investments</t>
        </is>
      </c>
      <c r="K993" t="inlineStr">
        <is>
          <t>https://economictimes.indiatimes.com/tech/funding/health-tech-startup-curebay-raises-21-million-in-round-led-by-bertelsmann-india/articleshow/121273974.cms</t>
        </is>
      </c>
    </row>
    <row r="994">
      <c r="A994" t="inlineStr">
        <is>
          <t>INC-20250524-03</t>
        </is>
      </c>
      <c r="B994" t="inlineStr">
        <is>
          <t>R250520-curebay</t>
        </is>
      </c>
      <c r="C994" t="inlineStr">
        <is>
          <t>Inc42</t>
        </is>
      </c>
      <c r="D994" s="17" t="n">
        <v>45797</v>
      </c>
      <c r="E994" t="inlineStr">
        <is>
          <t>CureBay</t>
        </is>
      </c>
      <c r="F994" t="inlineStr">
        <is>
          <t>$21 Mn</t>
        </is>
      </c>
      <c r="G994" s="19" t="n"/>
      <c r="H994" s="19" t="n">
        <v>21</v>
      </c>
      <c r="I994" t="inlineStr">
        <is>
          <t>Series B</t>
        </is>
      </c>
      <c r="J994" t="inlineStr">
        <is>
          <t>Bertelsmann India Investments</t>
        </is>
      </c>
      <c r="K994" t="inlineStr">
        <is>
          <t>https://inc42.com/buzz/from-euler-motors-to-cloudsek-indian-startups-raised-232-mn-this-week/</t>
        </is>
      </c>
    </row>
    <row r="995">
      <c r="A995" t="inlineStr">
        <is>
          <t>ENT-9086396</t>
        </is>
      </c>
      <c r="B995" t="inlineStr">
        <is>
          <t>R250520-miraggio</t>
        </is>
      </c>
      <c r="C995" t="inlineStr">
        <is>
          <t>Entrackr</t>
        </is>
      </c>
      <c r="D995" s="17" t="n">
        <v>45797</v>
      </c>
      <c r="E995" t="inlineStr">
        <is>
          <t>Miraggio</t>
        </is>
      </c>
      <c r="F995" t="inlineStr">
        <is>
          <t>$6.5 million</t>
        </is>
      </c>
      <c r="G995" s="19" t="n">
        <v>55</v>
      </c>
      <c r="H995" s="19" t="n">
        <v>6.5</v>
      </c>
      <c r="I995" t="inlineStr">
        <is>
          <t>Undisclosed</t>
        </is>
      </c>
      <c r="J995" t="inlineStr">
        <is>
          <t>RPSG Capital Ventures; Client Associates Alternate Fund</t>
        </is>
      </c>
      <c r="K995" t="inlineStr">
        <is>
          <t>https://entrackr.com/snippets/miraggio-raises-65-mn-led-by-rpsg-capital-9086396</t>
        </is>
      </c>
    </row>
    <row r="996">
      <c r="A996" t="inlineStr">
        <is>
          <t>ET-121274382</t>
        </is>
      </c>
      <c r="B996" t="inlineStr">
        <is>
          <t>R250520-miraggio</t>
        </is>
      </c>
      <c r="C996" t="inlineStr">
        <is>
          <t>The Economic Times</t>
        </is>
      </c>
      <c r="D996" s="17" t="n">
        <v>45797</v>
      </c>
      <c r="E996" t="inlineStr">
        <is>
          <t>Miraggio</t>
        </is>
      </c>
      <c r="F996" t="inlineStr">
        <is>
          <t>$6.5 million</t>
        </is>
      </c>
      <c r="G996" s="19" t="n">
        <v>55</v>
      </c>
      <c r="H996" s="19" t="n">
        <v>6.5</v>
      </c>
      <c r="I996" t="inlineStr">
        <is>
          <t>Undisclosed</t>
        </is>
      </c>
      <c r="J996" t="inlineStr">
        <is>
          <t>RPSG Capital Ventures; Client Associates Alternate Fund</t>
        </is>
      </c>
      <c r="K996" t="inlineStr">
        <is>
          <t>https://economictimes.indiatimes.com/tech/funding/miraggio-raises-6-5-million-in-round-led-by-rpsg-capital-client-associates-alternate-fund/articleshow/121274382.cms</t>
        </is>
      </c>
    </row>
    <row r="997">
      <c r="A997" t="inlineStr">
        <is>
          <t>INC-20250524-08</t>
        </is>
      </c>
      <c r="B997" t="inlineStr">
        <is>
          <t>R250520-miraggio</t>
        </is>
      </c>
      <c r="C997" t="inlineStr">
        <is>
          <t>Inc42</t>
        </is>
      </c>
      <c r="D997" s="17" t="n">
        <v>45797</v>
      </c>
      <c r="E997" t="inlineStr">
        <is>
          <t>Miraggio</t>
        </is>
      </c>
      <c r="F997" t="inlineStr">
        <is>
          <t>$6.5 Mn</t>
        </is>
      </c>
      <c r="G997" s="19" t="n"/>
      <c r="H997" s="19" t="n">
        <v>6.5</v>
      </c>
      <c r="I997" t="inlineStr">
        <is>
          <t>Series A</t>
        </is>
      </c>
      <c r="J997" t="inlineStr">
        <is>
          <t>RPSG Capital Ventures; Client Associates Alternate Fund</t>
        </is>
      </c>
      <c r="K997" t="inlineStr">
        <is>
          <t>https://inc42.com/buzz/from-euler-motors-to-cloudsek-indian-startups-raised-232-mn-this-week/</t>
        </is>
      </c>
    </row>
    <row r="998">
      <c r="A998" t="inlineStr">
        <is>
          <t>ENT-9087722</t>
        </is>
      </c>
      <c r="B998" t="inlineStr">
        <is>
          <t>R250520-misfits</t>
        </is>
      </c>
      <c r="C998" t="inlineStr">
        <is>
          <t>Entrackr</t>
        </is>
      </c>
      <c r="D998" s="17" t="n">
        <v>45797</v>
      </c>
      <c r="E998" t="inlineStr">
        <is>
          <t>Misfits</t>
        </is>
      </c>
      <c r="F998" t="inlineStr">
        <is>
          <t>Rs 5 crore</t>
        </is>
      </c>
      <c r="G998" s="19" t="n">
        <v>5</v>
      </c>
      <c r="H998" s="19" t="n"/>
      <c r="I998" t="inlineStr">
        <is>
          <t>Seed</t>
        </is>
      </c>
      <c r="J998" t="inlineStr">
        <is>
          <t>Info Edge Ventures; Better Capital</t>
        </is>
      </c>
      <c r="K998" t="inlineStr">
        <is>
          <t>https://entrackr.com/snippets/misfits-raises-seed-round-co-led-by-info-edge-ventures-and-better-capital-9087722</t>
        </is>
      </c>
    </row>
    <row r="999">
      <c r="A999" t="inlineStr">
        <is>
          <t>INC-20250524-14</t>
        </is>
      </c>
      <c r="B999" t="inlineStr">
        <is>
          <t>R250520-misfits</t>
        </is>
      </c>
      <c r="C999" t="inlineStr">
        <is>
          <t>Inc42</t>
        </is>
      </c>
      <c r="D999" s="17" t="n">
        <v>45797</v>
      </c>
      <c r="E999" t="inlineStr">
        <is>
          <t>Misfits</t>
        </is>
      </c>
      <c r="F999" t="inlineStr">
        <is>
          <t>$586K</t>
        </is>
      </c>
      <c r="G999" s="19" t="n"/>
      <c r="H999" s="19" t="n">
        <v>0.586</v>
      </c>
      <c r="I999" t="inlineStr">
        <is>
          <t>Seed</t>
        </is>
      </c>
      <c r="J999" t="inlineStr">
        <is>
          <t>Info Edge Ventures; Better Capital</t>
        </is>
      </c>
      <c r="K999" t="inlineStr">
        <is>
          <t>https://inc42.com/buzz/from-euler-motors-to-cloudsek-indian-startups-raised-232-mn-this-week/</t>
        </is>
      </c>
    </row>
    <row r="1000">
      <c r="A1000" t="inlineStr">
        <is>
          <t>INC-20250524-13</t>
        </is>
      </c>
      <c r="B1000" t="inlineStr">
        <is>
          <t>R250520-paysprint</t>
        </is>
      </c>
      <c r="C1000" t="inlineStr">
        <is>
          <t>Inc42</t>
        </is>
      </c>
      <c r="D1000" s="17" t="n">
        <v>45797</v>
      </c>
      <c r="E1000" t="inlineStr">
        <is>
          <t>PaySprint</t>
        </is>
      </c>
      <c r="F1000" t="inlineStr">
        <is>
          <t>$1.2 Mn</t>
        </is>
      </c>
      <c r="G1000" s="19" t="n"/>
      <c r="H1000" s="19" t="n">
        <v>1.2</v>
      </c>
      <c r="I1000" t="inlineStr">
        <is>
          <t>Series A</t>
        </is>
      </c>
      <c r="J1000" t="inlineStr"/>
      <c r="K1000" t="inlineStr">
        <is>
          <t>https://inc42.com/buzz/from-euler-motors-to-cloudsek-indian-startups-raised-232-mn-this-week/</t>
        </is>
      </c>
    </row>
    <row r="1001">
      <c r="A1001" t="inlineStr">
        <is>
          <t>ENT-9086785</t>
        </is>
      </c>
      <c r="B1001" t="inlineStr">
        <is>
          <t>R250520-tan90</t>
        </is>
      </c>
      <c r="C1001" t="inlineStr">
        <is>
          <t>Entrackr</t>
        </is>
      </c>
      <c r="D1001" s="17" t="n">
        <v>45797</v>
      </c>
      <c r="E1001" t="inlineStr">
        <is>
          <t>Tan90</t>
        </is>
      </c>
      <c r="F1001" t="inlineStr">
        <is>
          <t>Rs 20 crore</t>
        </is>
      </c>
      <c r="G1001" s="19" t="n">
        <v>20</v>
      </c>
      <c r="H1001" s="19" t="n">
        <v>2.35</v>
      </c>
      <c r="I1001" t="inlineStr">
        <is>
          <t>Series A</t>
        </is>
      </c>
      <c r="J1001" t="inlineStr">
        <is>
          <t>NABVENTURES; Capital-A; 3i Partners</t>
        </is>
      </c>
      <c r="K1001" t="inlineStr">
        <is>
          <t>https://entrackr.com/snippets/nabventures-leads-rs-20-cr-round-in-deep-tech-startup-tan90-9086785</t>
        </is>
      </c>
    </row>
    <row r="1002">
      <c r="A1002" t="inlineStr">
        <is>
          <t>INC-20250524-10</t>
        </is>
      </c>
      <c r="B1002" t="inlineStr">
        <is>
          <t>R250520-tan90</t>
        </is>
      </c>
      <c r="C1002" t="inlineStr">
        <is>
          <t>Inc42</t>
        </is>
      </c>
      <c r="D1002" s="17" t="n">
        <v>45797</v>
      </c>
      <c r="E1002" t="inlineStr">
        <is>
          <t>Tan90 Thermal Solutions</t>
        </is>
      </c>
      <c r="F1002" t="inlineStr">
        <is>
          <t>$2.3 Mn</t>
        </is>
      </c>
      <c r="G1002" s="19" t="n"/>
      <c r="H1002" s="19" t="n">
        <v>2.3</v>
      </c>
      <c r="I1002" t="inlineStr">
        <is>
          <t>Series A</t>
        </is>
      </c>
      <c r="J1002" t="inlineStr">
        <is>
          <t>NABVENTURES</t>
        </is>
      </c>
      <c r="K1002" t="inlineStr">
        <is>
          <t>https://inc42.com/buzz/from-euler-motors-to-cloudsek-indian-startups-raised-232-mn-this-week/</t>
        </is>
      </c>
    </row>
    <row r="1003">
      <c r="A1003" t="inlineStr">
        <is>
          <t>ENT-9089926</t>
        </is>
      </c>
      <c r="B1003" t="inlineStr">
        <is>
          <t>R250521-mythik</t>
        </is>
      </c>
      <c r="C1003" t="inlineStr">
        <is>
          <t>Entrackr</t>
        </is>
      </c>
      <c r="D1003" s="17" t="n">
        <v>45798</v>
      </c>
      <c r="E1003" t="inlineStr">
        <is>
          <t>Mythik</t>
        </is>
      </c>
      <c r="F1003" t="inlineStr">
        <is>
          <t>$15 million</t>
        </is>
      </c>
      <c r="G1003" s="19" t="n"/>
      <c r="H1003" s="19" t="n">
        <v>15</v>
      </c>
      <c r="I1003" t="inlineStr">
        <is>
          <t>Seed</t>
        </is>
      </c>
      <c r="J1003" t="inlineStr"/>
      <c r="K1003" t="inlineStr">
        <is>
          <t>https://entrackr.com/snippets/jason-kotharis-new-startup-mythik-raises-15-mn-in-seed-round-9089926</t>
        </is>
      </c>
    </row>
    <row r="1004">
      <c r="A1004" t="inlineStr">
        <is>
          <t>ET-121307957</t>
        </is>
      </c>
      <c r="B1004" t="inlineStr">
        <is>
          <t>R250521-mythik</t>
        </is>
      </c>
      <c r="C1004" t="inlineStr">
        <is>
          <t>The Economic Times</t>
        </is>
      </c>
      <c r="D1004" s="17" t="n">
        <v>45798</v>
      </c>
      <c r="E1004" t="inlineStr">
        <is>
          <t>Mythik</t>
        </is>
      </c>
      <c r="F1004" t="inlineStr">
        <is>
          <t>$15 million</t>
        </is>
      </c>
      <c r="G1004" s="19" t="n"/>
      <c r="H1004" s="19" t="n">
        <v>15</v>
      </c>
      <c r="I1004" t="inlineStr">
        <is>
          <t>Undisclosed</t>
        </is>
      </c>
      <c r="J1004" t="inlineStr"/>
      <c r="K1004" t="inlineStr">
        <is>
          <t>https://economictimes.indiatimes.com/tech/funding/jason-kotharis-entertainment-startup-mythik-raises-15-million-from-sakal-group-shah-rukh-khans-family-office/articleshow/121307957.cms</t>
        </is>
      </c>
    </row>
    <row r="1005">
      <c r="A1005" t="inlineStr">
        <is>
          <t>INC-20250524-05</t>
        </is>
      </c>
      <c r="B1005" t="inlineStr">
        <is>
          <t>R250521-mythik</t>
        </is>
      </c>
      <c r="C1005" t="inlineStr">
        <is>
          <t>Inc42</t>
        </is>
      </c>
      <c r="D1005" s="17" t="n">
        <v>45798</v>
      </c>
      <c r="E1005" t="inlineStr">
        <is>
          <t>Mythik</t>
        </is>
      </c>
      <c r="F1005" t="inlineStr">
        <is>
          <t>$15 Mn</t>
        </is>
      </c>
      <c r="G1005" s="19" t="n"/>
      <c r="H1005" s="19" t="n">
        <v>15</v>
      </c>
      <c r="I1005" t="inlineStr">
        <is>
          <t>Seed</t>
        </is>
      </c>
      <c r="J1005" t="inlineStr"/>
      <c r="K1005" t="inlineStr">
        <is>
          <t>https://inc42.com/buzz/from-euler-motors-to-cloudsek-indian-startups-raised-232-mn-this-week/</t>
        </is>
      </c>
    </row>
    <row r="1006">
      <c r="A1006" t="inlineStr">
        <is>
          <t>INC-20250524-16</t>
        </is>
      </c>
      <c r="B1006" t="inlineStr">
        <is>
          <t>R250521-thesockstreet</t>
        </is>
      </c>
      <c r="C1006" t="inlineStr">
        <is>
          <t>Inc42</t>
        </is>
      </c>
      <c r="D1006" s="17" t="n">
        <v>45798</v>
      </c>
      <c r="E1006" t="inlineStr">
        <is>
          <t>The Sock Street</t>
        </is>
      </c>
      <c r="F1006" t="inlineStr"/>
      <c r="G1006" s="19" t="n"/>
      <c r="H1006" s="19" t="n"/>
      <c r="I1006" t="inlineStr">
        <is>
          <t>Undisclosed</t>
        </is>
      </c>
      <c r="J1006" t="inlineStr">
        <is>
          <t>Knit World Inc</t>
        </is>
      </c>
      <c r="K1006" t="inlineStr">
        <is>
          <t>https://inc42.com/buzz/from-euler-motors-to-cloudsek-indian-startups-raised-232-mn-this-week/</t>
        </is>
      </c>
    </row>
    <row r="1007">
      <c r="A1007" t="inlineStr">
        <is>
          <t>ENT-9187389</t>
        </is>
      </c>
      <c r="B1007" t="inlineStr">
        <is>
          <t>R250522-altcarbon</t>
        </is>
      </c>
      <c r="C1007" t="inlineStr">
        <is>
          <t>Entrackr</t>
        </is>
      </c>
      <c r="D1007" s="17" t="n">
        <v>45799</v>
      </c>
      <c r="E1007" t="inlineStr">
        <is>
          <t>ALT CARBON</t>
        </is>
      </c>
      <c r="F1007" t="inlineStr">
        <is>
          <t>$12 million</t>
        </is>
      </c>
      <c r="G1007" s="19" t="n">
        <v>102.8</v>
      </c>
      <c r="H1007" s="19" t="n">
        <v>12</v>
      </c>
      <c r="I1007" t="inlineStr">
        <is>
          <t>Seed</t>
        </is>
      </c>
      <c r="J1007" t="inlineStr">
        <is>
          <t>Lachy Groom; Jason Zhao; Amrendra Singh; Tanmay Bhat; Arjun Soin; Nakuul Mehta; Arjun Ramani; Advaith Vishwanath; Rahul Seth</t>
        </is>
      </c>
      <c r="K1007" t="inlineStr">
        <is>
          <t>https://entrackr.com/snippets/deeptech-startup-alt-carbon-raises-12-mn-in-seed-round-9187389</t>
        </is>
      </c>
    </row>
    <row r="1008">
      <c r="A1008" t="inlineStr">
        <is>
          <t>INC-20250524-06</t>
        </is>
      </c>
      <c r="B1008" t="inlineStr">
        <is>
          <t>R250522-altcarbon</t>
        </is>
      </c>
      <c r="C1008" t="inlineStr">
        <is>
          <t>Inc42</t>
        </is>
      </c>
      <c r="D1008" s="17" t="n">
        <v>45799</v>
      </c>
      <c r="E1008" t="inlineStr">
        <is>
          <t>Alt Carbon</t>
        </is>
      </c>
      <c r="F1008" t="inlineStr">
        <is>
          <t>$12 Mn</t>
        </is>
      </c>
      <c r="G1008" s="19" t="n"/>
      <c r="H1008" s="19" t="n">
        <v>12</v>
      </c>
      <c r="I1008" t="inlineStr">
        <is>
          <t>Seed</t>
        </is>
      </c>
      <c r="J1008" t="inlineStr">
        <is>
          <t>Lachy Groom</t>
        </is>
      </c>
      <c r="K1008" t="inlineStr">
        <is>
          <t>https://inc42.com/buzz/from-euler-motors-to-cloudsek-indian-startups-raised-232-mn-this-week/</t>
        </is>
      </c>
    </row>
    <row r="1009">
      <c r="A1009" t="inlineStr">
        <is>
          <t>INC-20250524-15</t>
        </is>
      </c>
      <c r="B1009" t="inlineStr">
        <is>
          <t>R250522-blackcarrot</t>
        </is>
      </c>
      <c r="C1009" t="inlineStr">
        <is>
          <t>Inc42</t>
        </is>
      </c>
      <c r="D1009" s="17" t="n">
        <v>45799</v>
      </c>
      <c r="E1009" t="inlineStr">
        <is>
          <t>BlackCarrot</t>
        </is>
      </c>
      <c r="F1009" t="inlineStr"/>
      <c r="G1009" s="19" t="n"/>
      <c r="H1009" s="19" t="n"/>
      <c r="I1009" t="inlineStr">
        <is>
          <t>Pre-Seed</t>
        </is>
      </c>
      <c r="J1009" t="inlineStr">
        <is>
          <t>Venture Catalyst</t>
        </is>
      </c>
      <c r="K1009" t="inlineStr">
        <is>
          <t>https://inc42.com/buzz/from-euler-motors-to-cloudsek-indian-startups-raised-232-mn-this-week/</t>
        </is>
      </c>
    </row>
    <row r="1010">
      <c r="A1010" t="inlineStr">
        <is>
          <t>ENT-9149674</t>
        </is>
      </c>
      <c r="B1010" t="inlineStr">
        <is>
          <t>R250522-datasutram</t>
        </is>
      </c>
      <c r="C1010" t="inlineStr">
        <is>
          <t>Entrackr</t>
        </is>
      </c>
      <c r="D1010" s="17" t="n">
        <v>45799</v>
      </c>
      <c r="E1010" t="inlineStr">
        <is>
          <t>Data Sutram</t>
        </is>
      </c>
      <c r="F1010" t="inlineStr">
        <is>
          <t>$9 million</t>
        </is>
      </c>
      <c r="G1010" s="19" t="n"/>
      <c r="H1010" s="19" t="n">
        <v>9</v>
      </c>
      <c r="I1010" t="inlineStr">
        <is>
          <t>Series A</t>
        </is>
      </c>
      <c r="J1010" t="inlineStr">
        <is>
          <t>B Capital; Lightspeed</t>
        </is>
      </c>
      <c r="K1010" t="inlineStr">
        <is>
          <t>https://entrackr.com/news/data-sutram-raises-9-mn-in-series-a-round-9149674</t>
        </is>
      </c>
    </row>
    <row r="1011">
      <c r="A1011" t="inlineStr">
        <is>
          <t>ET-121321939</t>
        </is>
      </c>
      <c r="B1011" t="inlineStr">
        <is>
          <t>R250522-datasutram</t>
        </is>
      </c>
      <c r="C1011" t="inlineStr">
        <is>
          <t>The Economic Times</t>
        </is>
      </c>
      <c r="D1011" s="17" t="n">
        <v>45799</v>
      </c>
      <c r="E1011" t="inlineStr">
        <is>
          <t>Data Sutram</t>
        </is>
      </c>
      <c r="F1011" t="inlineStr">
        <is>
          <t>$9 million</t>
        </is>
      </c>
      <c r="G1011" s="19" t="n"/>
      <c r="H1011" s="19" t="n">
        <v>9</v>
      </c>
      <c r="I1011" t="inlineStr">
        <is>
          <t>Undisclosed</t>
        </is>
      </c>
      <c r="J1011" t="inlineStr">
        <is>
          <t>Lightspeed</t>
        </is>
      </c>
      <c r="K1011" t="inlineStr">
        <is>
          <t>https://economictimes.indiatimes.com/tech/funding/fintech-startup-data-sutram-raises-9-million-from-b-capital-lightspeed/articleshow/121321939.cms</t>
        </is>
      </c>
    </row>
    <row r="1012">
      <c r="A1012" t="inlineStr">
        <is>
          <t>INC-20250524-07</t>
        </is>
      </c>
      <c r="B1012" t="inlineStr">
        <is>
          <t>R250522-datasutram</t>
        </is>
      </c>
      <c r="C1012" t="inlineStr">
        <is>
          <t>Inc42</t>
        </is>
      </c>
      <c r="D1012" s="17" t="n">
        <v>45799</v>
      </c>
      <c r="E1012" t="inlineStr">
        <is>
          <t>Data Sutram</t>
        </is>
      </c>
      <c r="F1012" t="inlineStr">
        <is>
          <t>$9 Mn</t>
        </is>
      </c>
      <c r="G1012" s="19" t="n"/>
      <c r="H1012" s="19" t="n">
        <v>9</v>
      </c>
      <c r="I1012" t="inlineStr">
        <is>
          <t>Series A</t>
        </is>
      </c>
      <c r="J1012" t="inlineStr">
        <is>
          <t>Lightspeed Venture Partners; B Capital</t>
        </is>
      </c>
      <c r="K1012" t="inlineStr">
        <is>
          <t>https://inc42.com/buzz/from-euler-motors-to-cloudsek-indian-startups-raised-232-mn-this-week/</t>
        </is>
      </c>
    </row>
    <row r="1013">
      <c r="A1013" t="inlineStr">
        <is>
          <t>INC-20250524-02</t>
        </is>
      </c>
      <c r="B1013" t="inlineStr">
        <is>
          <t>R250522-oxyzo</t>
        </is>
      </c>
      <c r="C1013" t="inlineStr">
        <is>
          <t>Inc42</t>
        </is>
      </c>
      <c r="D1013" s="17" t="n">
        <v>45799</v>
      </c>
      <c r="E1013" t="inlineStr">
        <is>
          <t>Oxyzo</t>
        </is>
      </c>
      <c r="F1013" t="inlineStr">
        <is>
          <t>$62.4 Mn</t>
        </is>
      </c>
      <c r="G1013" s="19" t="n"/>
      <c r="H1013" s="19" t="n">
        <v>62.4</v>
      </c>
      <c r="I1013" t="inlineStr">
        <is>
          <t>Debt</t>
        </is>
      </c>
      <c r="J1013" t="inlineStr">
        <is>
          <t>Neo Group</t>
        </is>
      </c>
      <c r="K1013" t="inlineStr">
        <is>
          <t>https://inc42.com/buzz/from-euler-motors-to-cloudsek-indian-startups-raised-232-mn-this-week/</t>
        </is>
      </c>
    </row>
    <row r="1014">
      <c r="A1014" t="inlineStr">
        <is>
          <t>VCC-f031422029</t>
        </is>
      </c>
      <c r="B1014" t="inlineStr">
        <is>
          <t>R250522-oxyzo</t>
        </is>
      </c>
      <c r="C1014" t="inlineStr">
        <is>
          <t>VCCircle</t>
        </is>
      </c>
      <c r="D1014" s="17" t="n">
        <v>45807</v>
      </c>
      <c r="E1014" t="inlineStr">
        <is>
          <t>oxyzo plans series b funding round</t>
        </is>
      </c>
      <c r="F1014" t="inlineStr"/>
      <c r="G1014" s="19" t="n"/>
      <c r="H1014" s="19" t="n"/>
      <c r="I1014" t="inlineStr">
        <is>
          <t>Series B</t>
        </is>
      </c>
      <c r="J1014" t="inlineStr"/>
      <c r="K1014" t="inlineStr">
        <is>
          <t>https://www.vccircle.com/alphawave-tiger-global-backed-oxyzo-plans-series-b-funding-round</t>
        </is>
      </c>
    </row>
    <row r="1015">
      <c r="A1015" t="inlineStr">
        <is>
          <t>ENT-9149741</t>
        </is>
      </c>
      <c r="B1015" t="inlineStr">
        <is>
          <t>R250522-prometheanener</t>
        </is>
      </c>
      <c r="C1015" t="inlineStr">
        <is>
          <t>Entrackr</t>
        </is>
      </c>
      <c r="D1015" s="17" t="n">
        <v>45799</v>
      </c>
      <c r="E1015" t="inlineStr">
        <is>
          <t>Promethean Energy</t>
        </is>
      </c>
      <c r="F1015" t="inlineStr">
        <is>
          <t>$2 million</t>
        </is>
      </c>
      <c r="G1015" s="19" t="n"/>
      <c r="H1015" s="19" t="n">
        <v>2</v>
      </c>
      <c r="I1015" t="inlineStr">
        <is>
          <t>Pre-Series A</t>
        </is>
      </c>
      <c r="J1015" t="inlineStr">
        <is>
          <t>Transition VC</t>
        </is>
      </c>
      <c r="K1015" t="inlineStr">
        <is>
          <t>https://entrackr.com/snippets/promethean-energy-raises-2-mn-in-pre-series-a-round-9149741</t>
        </is>
      </c>
    </row>
    <row r="1016">
      <c r="A1016" t="inlineStr">
        <is>
          <t>INC-20250524-12</t>
        </is>
      </c>
      <c r="B1016" t="inlineStr">
        <is>
          <t>R250522-prometheanener</t>
        </is>
      </c>
      <c r="C1016" t="inlineStr">
        <is>
          <t>Inc42</t>
        </is>
      </c>
      <c r="D1016" s="17" t="n">
        <v>45799</v>
      </c>
      <c r="E1016" t="inlineStr">
        <is>
          <t>Promethean Energy</t>
        </is>
      </c>
      <c r="F1016" t="inlineStr">
        <is>
          <t>$2 Mn</t>
        </is>
      </c>
      <c r="G1016" s="19" t="n"/>
      <c r="H1016" s="19" t="n">
        <v>2</v>
      </c>
      <c r="I1016" t="inlineStr">
        <is>
          <t>Pre-Series A</t>
        </is>
      </c>
      <c r="J1016" t="inlineStr">
        <is>
          <t>Transition VC</t>
        </is>
      </c>
      <c r="K1016" t="inlineStr">
        <is>
          <t>https://inc42.com/buzz/from-euler-motors-to-cloudsek-indian-startups-raised-232-mn-this-week/</t>
        </is>
      </c>
    </row>
    <row r="1017">
      <c r="A1017" t="inlineStr">
        <is>
          <t>ENT-9155102</t>
        </is>
      </c>
      <c r="B1017" t="inlineStr">
        <is>
          <t>R250522-shuru</t>
        </is>
      </c>
      <c r="C1017" t="inlineStr">
        <is>
          <t>Entrackr</t>
        </is>
      </c>
      <c r="D1017" s="17" t="n">
        <v>45799</v>
      </c>
      <c r="E1017" t="inlineStr">
        <is>
          <t>Shuru</t>
        </is>
      </c>
      <c r="F1017" t="inlineStr">
        <is>
          <t>Rs 29 crore</t>
        </is>
      </c>
      <c r="G1017" s="19" t="n">
        <v>29</v>
      </c>
      <c r="H1017" s="19" t="n"/>
      <c r="I1017" t="inlineStr">
        <is>
          <t>Undisclosed</t>
        </is>
      </c>
      <c r="J1017" t="inlineStr"/>
      <c r="K1017" t="inlineStr">
        <is>
          <t>https://entrackr.com/exclusive/exclusive-krafton-leads-rs-29-cr-round-in-shuru-at-rs-135-cr-valuation-9155102</t>
        </is>
      </c>
    </row>
    <row r="1018">
      <c r="A1018" t="inlineStr">
        <is>
          <t>INC-20250524-09</t>
        </is>
      </c>
      <c r="B1018" t="inlineStr">
        <is>
          <t>R250522-shuru</t>
        </is>
      </c>
      <c r="C1018" t="inlineStr">
        <is>
          <t>Inc42</t>
        </is>
      </c>
      <c r="D1018" s="17" t="n">
        <v>45799</v>
      </c>
      <c r="E1018" t="inlineStr">
        <is>
          <t>Shuru</t>
        </is>
      </c>
      <c r="F1018" t="inlineStr">
        <is>
          <t>$3.4 Mn</t>
        </is>
      </c>
      <c r="G1018" s="19" t="n"/>
      <c r="H1018" s="19" t="n">
        <v>3.4</v>
      </c>
      <c r="I1018" t="inlineStr">
        <is>
          <t>Undisclosed</t>
        </is>
      </c>
      <c r="J1018" t="inlineStr">
        <is>
          <t>KRAFTON</t>
        </is>
      </c>
      <c r="K1018" t="inlineStr">
        <is>
          <t>https://inc42.com/buzz/from-euler-motors-to-cloudsek-indian-startups-raised-232-mn-this-week/</t>
        </is>
      </c>
    </row>
    <row r="1019">
      <c r="A1019" t="inlineStr">
        <is>
          <t>ET-121318583</t>
        </is>
      </c>
      <c r="B1019" t="inlineStr">
        <is>
          <t>R250522-zoca</t>
        </is>
      </c>
      <c r="C1019" t="inlineStr">
        <is>
          <t>The Economic Times</t>
        </is>
      </c>
      <c r="D1019" s="17" t="n">
        <v>45798</v>
      </c>
      <c r="E1019" t="inlineStr">
        <is>
          <t>Zoca</t>
        </is>
      </c>
      <c r="F1019" t="inlineStr">
        <is>
          <t>$6 million</t>
        </is>
      </c>
      <c r="G1019" s="19" t="n"/>
      <c r="H1019" s="19" t="n">
        <v>6</v>
      </c>
      <c r="I1019" t="inlineStr">
        <is>
          <t>Undisclosed</t>
        </is>
      </c>
      <c r="J1019" t="inlineStr">
        <is>
          <t>Accel</t>
        </is>
      </c>
      <c r="K1019" t="inlineStr">
        <is>
          <t>https://economictimes.indiatimes.com/tech/funding/ai-startup-zoca-raises-6-million-from-accel-elevation-capital-others/articleshow/121318583.cms</t>
        </is>
      </c>
    </row>
    <row r="1020">
      <c r="A1020" t="inlineStr">
        <is>
          <t>ENT-9157565</t>
        </is>
      </c>
      <c r="B1020" t="inlineStr">
        <is>
          <t>R250522-zoca</t>
        </is>
      </c>
      <c r="C1020" t="inlineStr">
        <is>
          <t>Entrackr</t>
        </is>
      </c>
      <c r="D1020" s="17" t="n">
        <v>45799</v>
      </c>
      <c r="E1020" t="inlineStr">
        <is>
          <t>Zoca</t>
        </is>
      </c>
      <c r="F1020" t="inlineStr">
        <is>
          <t>$6 million</t>
        </is>
      </c>
      <c r="G1020" s="19" t="n"/>
      <c r="H1020" s="19" t="n">
        <v>6</v>
      </c>
      <c r="I1020" t="inlineStr">
        <is>
          <t>Undisclosed</t>
        </is>
      </c>
      <c r="J1020" t="inlineStr">
        <is>
          <t>Accel; Elevation Capital; Better Capital</t>
        </is>
      </c>
      <c r="K1020" t="inlineStr">
        <is>
          <t>https://entrackr.com/snippets/ai-startup-zoca-raises-6-mn-led-by-accel-9157565</t>
        </is>
      </c>
    </row>
    <row r="1021">
      <c r="A1021" t="inlineStr">
        <is>
          <t>INC-20250524-11</t>
        </is>
      </c>
      <c r="B1021" t="inlineStr">
        <is>
          <t>R250523-borderless</t>
        </is>
      </c>
      <c r="C1021" t="inlineStr">
        <is>
          <t>Inc42</t>
        </is>
      </c>
      <c r="D1021" s="17" t="n">
        <v>45800</v>
      </c>
      <c r="E1021" t="inlineStr">
        <is>
          <t>Borderless</t>
        </is>
      </c>
      <c r="F1021" t="inlineStr">
        <is>
          <t>$2.3 Mn</t>
        </is>
      </c>
      <c r="G1021" s="19" t="n"/>
      <c r="H1021" s="19" t="n">
        <v>2.3</v>
      </c>
      <c r="I1021" t="inlineStr">
        <is>
          <t>Undisclosed</t>
        </is>
      </c>
      <c r="J1021" t="inlineStr">
        <is>
          <t>Equirus Credence Family Office</t>
        </is>
      </c>
      <c r="K1021" t="inlineStr">
        <is>
          <t>https://inc42.com/buzz/from-euler-motors-to-cloudsek-indian-startups-raised-232-mn-this-week/</t>
        </is>
      </c>
    </row>
    <row r="1022">
      <c r="A1022" t="inlineStr">
        <is>
          <t>ENT-9300612</t>
        </is>
      </c>
      <c r="B1022" t="inlineStr">
        <is>
          <t>R250523-kskt</t>
        </is>
      </c>
      <c r="C1022" t="inlineStr">
        <is>
          <t>Entrackr</t>
        </is>
      </c>
      <c r="D1022" s="17" t="n">
        <v>45800</v>
      </c>
      <c r="E1022" t="inlineStr">
        <is>
          <t>KSKT</t>
        </is>
      </c>
      <c r="F1022" t="inlineStr">
        <is>
          <t>$1.3 million</t>
        </is>
      </c>
      <c r="G1022" s="19" t="n"/>
      <c r="H1022" s="19" t="n">
        <v>1.3</v>
      </c>
      <c r="I1022" t="inlineStr">
        <is>
          <t>Undisclosed</t>
        </is>
      </c>
      <c r="J1022" t="inlineStr">
        <is>
          <t>Keiretsu Forum; 1stCheque Angel Network</t>
        </is>
      </c>
      <c r="K1022" t="inlineStr">
        <is>
          <t>https://entrackr.com/snippets/kskt-raises-13-mn-in-equity-and-debt-round-9300612</t>
        </is>
      </c>
    </row>
    <row r="1023">
      <c r="A1023" t="inlineStr">
        <is>
          <t>ENT-9309720</t>
        </is>
      </c>
      <c r="B1023" t="inlineStr">
        <is>
          <t>R250527-citykart</t>
        </is>
      </c>
      <c r="C1023" t="inlineStr">
        <is>
          <t>Entrackr</t>
        </is>
      </c>
      <c r="D1023" s="17" t="n">
        <v>45804</v>
      </c>
      <c r="E1023" t="inlineStr">
        <is>
          <t>Citykart</t>
        </is>
      </c>
      <c r="F1023" t="inlineStr">
        <is>
          <t>Rs 538 crore</t>
        </is>
      </c>
      <c r="G1023" s="19" t="n">
        <v>538</v>
      </c>
      <c r="H1023" s="19" t="n">
        <v>63</v>
      </c>
      <c r="I1023" t="inlineStr">
        <is>
          <t>Series B</t>
        </is>
      </c>
      <c r="J1023" t="inlineStr">
        <is>
          <t>TPG NewQuest; A91 Partners</t>
        </is>
      </c>
      <c r="K1023" t="inlineStr">
        <is>
          <t>https://entrackr.com/news/citykart-raises-rs-538-cr-led-by-tpg-newquest-and-a91-partner-9309720</t>
        </is>
      </c>
    </row>
    <row r="1024">
      <c r="A1024" t="inlineStr">
        <is>
          <t>ENT-9310309</t>
        </is>
      </c>
      <c r="B1024" t="inlineStr">
        <is>
          <t>R250527-contineu</t>
        </is>
      </c>
      <c r="C1024" t="inlineStr">
        <is>
          <t>Entrackr</t>
        </is>
      </c>
      <c r="D1024" s="17" t="n">
        <v>45804</v>
      </c>
      <c r="E1024" t="inlineStr">
        <is>
          <t>Contineu</t>
        </is>
      </c>
      <c r="F1024" t="inlineStr">
        <is>
          <t>$1.2 million</t>
        </is>
      </c>
      <c r="G1024" s="19" t="n"/>
      <c r="H1024" s="19" t="n">
        <v>1.2</v>
      </c>
      <c r="I1024" t="inlineStr">
        <is>
          <t>Seed</t>
        </is>
      </c>
      <c r="J1024" t="inlineStr">
        <is>
          <t>SenseAI Ventures</t>
        </is>
      </c>
      <c r="K1024" t="inlineStr">
        <is>
          <t>https://entrackr.com/snippets/deep-tech-startup-contineu-raises-12-mn-led-by-senseai-ventures-9310309</t>
        </is>
      </c>
    </row>
    <row r="1025">
      <c r="A1025" t="inlineStr">
        <is>
          <t>ET-121440961</t>
        </is>
      </c>
      <c r="B1025" t="inlineStr">
        <is>
          <t>R250527-contineu</t>
        </is>
      </c>
      <c r="C1025" t="inlineStr">
        <is>
          <t>The Economic Times</t>
        </is>
      </c>
      <c r="D1025" s="17" t="n">
        <v>45804</v>
      </c>
      <c r="E1025" t="inlineStr">
        <is>
          <t>Contineu</t>
        </is>
      </c>
      <c r="F1025" t="inlineStr">
        <is>
          <t>$1.2 million</t>
        </is>
      </c>
      <c r="G1025" s="19" t="n"/>
      <c r="H1025" s="19" t="n">
        <v>1.2</v>
      </c>
      <c r="I1025" t="inlineStr">
        <is>
          <t>Seed</t>
        </is>
      </c>
      <c r="J1025" t="inlineStr">
        <is>
          <t>SenseAI Ventures</t>
        </is>
      </c>
      <c r="K1025" t="inlineStr">
        <is>
          <t>https://economictimes.indiatimes.com/tech/funding/ai-startup-contineu-raises-1-2-million-in-round-led-by-senseai-ventures/articleshow/121440961.cms</t>
        </is>
      </c>
    </row>
    <row r="1026">
      <c r="A1026" t="inlineStr">
        <is>
          <t>INC-20250531-09</t>
        </is>
      </c>
      <c r="B1026" t="inlineStr">
        <is>
          <t>R250527-contineu</t>
        </is>
      </c>
      <c r="C1026" t="inlineStr">
        <is>
          <t>Inc42</t>
        </is>
      </c>
      <c r="D1026" s="17" t="n">
        <v>45804</v>
      </c>
      <c r="E1026" t="inlineStr">
        <is>
          <t>Contineu.ai</t>
        </is>
      </c>
      <c r="F1026" t="inlineStr">
        <is>
          <t>$1.2 Mn</t>
        </is>
      </c>
      <c r="G1026" s="19" t="n"/>
      <c r="H1026" s="19" t="n">
        <v>1.2</v>
      </c>
      <c r="I1026" t="inlineStr">
        <is>
          <t>Seed</t>
        </is>
      </c>
      <c r="J1026" t="inlineStr">
        <is>
          <t>SenseAI Ventures</t>
        </is>
      </c>
      <c r="K1026" t="inlineStr">
        <is>
          <t>https://inc42.com/buzz/from-battery-smart-to-chalo-indian-startups-raised-93-mn-this-week/</t>
        </is>
      </c>
    </row>
    <row r="1027">
      <c r="A1027" t="inlineStr">
        <is>
          <t>ENT-9310121</t>
        </is>
      </c>
      <c r="B1027" t="inlineStr">
        <is>
          <t>R250527-eume</t>
        </is>
      </c>
      <c r="C1027" t="inlineStr">
        <is>
          <t>Entrackr</t>
        </is>
      </c>
      <c r="D1027" s="17" t="n">
        <v>45804</v>
      </c>
      <c r="E1027" t="inlineStr">
        <is>
          <t>EUME</t>
        </is>
      </c>
      <c r="F1027" t="inlineStr">
        <is>
          <t>Rs 25 crore</t>
        </is>
      </c>
      <c r="G1027" s="19" t="n">
        <v>25</v>
      </c>
      <c r="H1027" s="19" t="n">
        <v>3</v>
      </c>
      <c r="I1027" t="inlineStr">
        <is>
          <t>Series A</t>
        </is>
      </c>
      <c r="J1027" t="inlineStr">
        <is>
          <t>Ashish Kacholia</t>
        </is>
      </c>
      <c r="K1027" t="inlineStr">
        <is>
          <t>https://entrackr.com/snippets/travel-accessories-brand-eume-raises-rs-25-cr-in-series-a-9310121</t>
        </is>
      </c>
    </row>
    <row r="1028">
      <c r="A1028" t="inlineStr">
        <is>
          <t>INC-20250531-08</t>
        </is>
      </c>
      <c r="B1028" t="inlineStr">
        <is>
          <t>R250527-eume</t>
        </is>
      </c>
      <c r="C1028" t="inlineStr">
        <is>
          <t>Inc42</t>
        </is>
      </c>
      <c r="D1028" s="17" t="n">
        <v>45804</v>
      </c>
      <c r="E1028" t="inlineStr">
        <is>
          <t>EUME</t>
        </is>
      </c>
      <c r="F1028" t="inlineStr">
        <is>
          <t>$3 Mn</t>
        </is>
      </c>
      <c r="G1028" s="19" t="n"/>
      <c r="H1028" s="19" t="n">
        <v>3</v>
      </c>
      <c r="I1028" t="inlineStr">
        <is>
          <t>Series A</t>
        </is>
      </c>
      <c r="J1028" t="inlineStr">
        <is>
          <t>Ashish Kacholia</t>
        </is>
      </c>
      <c r="K1028" t="inlineStr">
        <is>
          <t>https://inc42.com/buzz/from-battery-smart-to-chalo-indian-startups-raised-93-mn-this-week/</t>
        </is>
      </c>
    </row>
    <row r="1029">
      <c r="A1029" t="inlineStr">
        <is>
          <t>ENT-9309763</t>
        </is>
      </c>
      <c r="B1029" t="inlineStr">
        <is>
          <t>R250527-fleetx</t>
        </is>
      </c>
      <c r="C1029" t="inlineStr">
        <is>
          <t>Entrackr</t>
        </is>
      </c>
      <c r="D1029" s="17" t="n">
        <v>45804</v>
      </c>
      <c r="E1029" t="inlineStr">
        <is>
          <t>Fleetx</t>
        </is>
      </c>
      <c r="F1029" t="inlineStr">
        <is>
          <t>Rs 113 crore</t>
        </is>
      </c>
      <c r="G1029" s="19" t="n">
        <v>113</v>
      </c>
      <c r="H1029" s="19" t="n">
        <v>13.2</v>
      </c>
      <c r="I1029" t="inlineStr">
        <is>
          <t>Series C</t>
        </is>
      </c>
      <c r="J1029" t="inlineStr">
        <is>
          <t>IndiaMART Intermesh; Accelerate Fund</t>
        </is>
      </c>
      <c r="K1029" t="inlineStr">
        <is>
          <t>https://entrackr.com/news/fleetx-raises-rs-113-cr-in-series-c-led-by-indiamart-and-beenext-9309763</t>
        </is>
      </c>
    </row>
    <row r="1030">
      <c r="A1030" t="inlineStr">
        <is>
          <t>ET-121430510</t>
        </is>
      </c>
      <c r="B1030" t="inlineStr">
        <is>
          <t>R250527-fleetx</t>
        </is>
      </c>
      <c r="C1030" t="inlineStr">
        <is>
          <t>The Economic Times</t>
        </is>
      </c>
      <c r="D1030" s="17" t="n">
        <v>45804</v>
      </c>
      <c r="E1030" t="inlineStr">
        <is>
          <t>Fleetx</t>
        </is>
      </c>
      <c r="F1030" t="inlineStr">
        <is>
          <t>Rs 113 crore</t>
        </is>
      </c>
      <c r="G1030" s="19" t="n">
        <v>113</v>
      </c>
      <c r="H1030" s="19" t="n"/>
      <c r="I1030" t="inlineStr">
        <is>
          <t>Undisclosed</t>
        </is>
      </c>
      <c r="J1030" t="inlineStr">
        <is>
          <t>Indiamart Intermesh; Beenext</t>
        </is>
      </c>
      <c r="K1030" t="inlineStr">
        <is>
          <t>https://economictimes.indiatimes.com/tech/funding/logistics-saas-startup-fleetx-raises-rs-113-crore-from-indiamart-beenext/articleshow/121430510.cms</t>
        </is>
      </c>
    </row>
    <row r="1031">
      <c r="A1031" t="inlineStr">
        <is>
          <t>INC-20250531-03</t>
        </is>
      </c>
      <c r="B1031" t="inlineStr">
        <is>
          <t>R250527-fleetx</t>
        </is>
      </c>
      <c r="C1031" t="inlineStr">
        <is>
          <t>Inc42</t>
        </is>
      </c>
      <c r="D1031" s="17" t="n">
        <v>45804</v>
      </c>
      <c r="E1031" t="inlineStr">
        <is>
          <t>Fleetx</t>
        </is>
      </c>
      <c r="F1031" t="inlineStr">
        <is>
          <t>$13.2 Mn</t>
        </is>
      </c>
      <c r="G1031" s="19" t="n"/>
      <c r="H1031" s="19" t="n">
        <v>13.2</v>
      </c>
      <c r="I1031" t="inlineStr">
        <is>
          <t>Series C</t>
        </is>
      </c>
      <c r="J1031" t="inlineStr">
        <is>
          <t>IndiaMART Intermesh; BEENEXT Accelerate Fund</t>
        </is>
      </c>
      <c r="K1031" t="inlineStr">
        <is>
          <t>https://inc42.com/buzz/from-battery-smart-to-chalo-indian-startups-raised-93-mn-this-week/</t>
        </is>
      </c>
    </row>
    <row r="1032">
      <c r="A1032" t="inlineStr">
        <is>
          <t>VCC-717ac0ed3e</t>
        </is>
      </c>
      <c r="B1032" t="inlineStr">
        <is>
          <t>R250527-fleetx</t>
        </is>
      </c>
      <c r="C1032" t="inlineStr">
        <is>
          <t>VCCircle</t>
        </is>
      </c>
      <c r="D1032" s="17" t="n">
        <v>45804</v>
      </c>
      <c r="E1032" t="inlineStr">
        <is>
          <t>fleetx</t>
        </is>
      </c>
      <c r="F1032" t="inlineStr"/>
      <c r="G1032" s="19" t="n"/>
      <c r="H1032" s="19" t="n"/>
      <c r="I1032" t="inlineStr">
        <is>
          <t>Series C</t>
        </is>
      </c>
      <c r="J1032" t="inlineStr"/>
      <c r="K1032" t="inlineStr">
        <is>
          <t>https://www.vccircle.com/logisticssaas-startup-fleetx-gets-series-c-funding-from-indiamart-beenext</t>
        </is>
      </c>
    </row>
    <row r="1033">
      <c r="A1033" t="inlineStr">
        <is>
          <t>ENT-9310766</t>
        </is>
      </c>
      <c r="B1033" t="inlineStr">
        <is>
          <t>R250527-frinksai</t>
        </is>
      </c>
      <c r="C1033" t="inlineStr">
        <is>
          <t>Entrackr</t>
        </is>
      </c>
      <c r="D1033" s="17" t="n">
        <v>45804</v>
      </c>
      <c r="E1033" t="inlineStr">
        <is>
          <t>Frinks AI</t>
        </is>
      </c>
      <c r="F1033" t="inlineStr">
        <is>
          <t>$5.4 million</t>
        </is>
      </c>
      <c r="G1033" s="19" t="n"/>
      <c r="H1033" s="19" t="n">
        <v>5.4</v>
      </c>
      <c r="I1033" t="inlineStr">
        <is>
          <t>Pre-Series A</t>
        </is>
      </c>
      <c r="J1033" t="inlineStr">
        <is>
          <t>Prime Venture Partners</t>
        </is>
      </c>
      <c r="K1033" t="inlineStr">
        <is>
          <t>https://entrackr.com/snippets/frinks-ai-raises-54-mn-in-pre-series-a-round-9310766</t>
        </is>
      </c>
    </row>
    <row r="1034">
      <c r="A1034" t="inlineStr">
        <is>
          <t>ET-121437335</t>
        </is>
      </c>
      <c r="B1034" t="inlineStr">
        <is>
          <t>R250527-frinksai</t>
        </is>
      </c>
      <c r="C1034" t="inlineStr">
        <is>
          <t>The Economic Times</t>
        </is>
      </c>
      <c r="D1034" s="17" t="n">
        <v>45804</v>
      </c>
      <c r="E1034" t="inlineStr">
        <is>
          <t>Frinks AI</t>
        </is>
      </c>
      <c r="F1034" t="inlineStr">
        <is>
          <t>$5.4 million</t>
        </is>
      </c>
      <c r="G1034" s="19" t="n"/>
      <c r="H1034" s="19" t="n">
        <v>5.4</v>
      </c>
      <c r="I1034" t="inlineStr">
        <is>
          <t>Undisclosed</t>
        </is>
      </c>
      <c r="J1034" t="inlineStr">
        <is>
          <t>Prime Venture Partners</t>
        </is>
      </c>
      <c r="K1034" t="inlineStr">
        <is>
          <t>https://economictimes.indiatimes.com/tech/funding/frinks-ai-raises-5-4-million-in-funding-round-led-by-prime-venture-partners/articleshow/121437335.cms</t>
        </is>
      </c>
    </row>
    <row r="1035">
      <c r="A1035" t="inlineStr">
        <is>
          <t>INC-20250531-06</t>
        </is>
      </c>
      <c r="B1035" t="inlineStr">
        <is>
          <t>R250527-frinksai</t>
        </is>
      </c>
      <c r="C1035" t="inlineStr">
        <is>
          <t>Inc42</t>
        </is>
      </c>
      <c r="D1035" s="17" t="n">
        <v>45804</v>
      </c>
      <c r="E1035" t="inlineStr">
        <is>
          <t>Frinks AI</t>
        </is>
      </c>
      <c r="F1035" t="inlineStr">
        <is>
          <t>$5.4 Mn</t>
        </is>
      </c>
      <c r="G1035" s="19" t="n"/>
      <c r="H1035" s="19" t="n">
        <v>5.4</v>
      </c>
      <c r="I1035" t="inlineStr">
        <is>
          <t>Pre-Series A</t>
        </is>
      </c>
      <c r="J1035" t="inlineStr">
        <is>
          <t>Prime Venture Partners</t>
        </is>
      </c>
      <c r="K1035" t="inlineStr">
        <is>
          <t>https://inc42.com/buzz/from-battery-smart-to-chalo-indian-startups-raised-93-mn-this-week/</t>
        </is>
      </c>
    </row>
    <row r="1036">
      <c r="A1036" t="inlineStr">
        <is>
          <t>ENT-9309173</t>
        </is>
      </c>
      <c r="B1036" t="inlineStr">
        <is>
          <t>R250527-slikk</t>
        </is>
      </c>
      <c r="C1036" t="inlineStr">
        <is>
          <t>Entrackr</t>
        </is>
      </c>
      <c r="D1036" s="17" t="n">
        <v>45804</v>
      </c>
      <c r="E1036" t="inlineStr">
        <is>
          <t>Slikk</t>
        </is>
      </c>
      <c r="F1036" t="inlineStr">
        <is>
          <t>$10 million</t>
        </is>
      </c>
      <c r="G1036" s="19" t="n"/>
      <c r="H1036" s="19" t="n">
        <v>10</v>
      </c>
      <c r="I1036" t="inlineStr">
        <is>
          <t>Series A</t>
        </is>
      </c>
      <c r="J1036" t="inlineStr">
        <is>
          <t>Nexus Venture Partners</t>
        </is>
      </c>
      <c r="K1036" t="inlineStr">
        <is>
          <t>https://entrackr.com/news/quick-fashion-delivery-startup-slikk-raises-10-mn-led-by-nexus-9309173</t>
        </is>
      </c>
    </row>
    <row r="1037">
      <c r="A1037" t="inlineStr">
        <is>
          <t>ET-121419227</t>
        </is>
      </c>
      <c r="B1037" t="inlineStr">
        <is>
          <t>R250527-slikk</t>
        </is>
      </c>
      <c r="C1037" t="inlineStr">
        <is>
          <t>The Economic Times</t>
        </is>
      </c>
      <c r="D1037" s="17" t="n">
        <v>45804</v>
      </c>
      <c r="E1037" t="inlineStr">
        <is>
          <t>Slikk</t>
        </is>
      </c>
      <c r="F1037" t="inlineStr">
        <is>
          <t>$10 million</t>
        </is>
      </c>
      <c r="G1037" s="19" t="n">
        <v>85</v>
      </c>
      <c r="H1037" s="19" t="n">
        <v>10</v>
      </c>
      <c r="I1037" t="inlineStr">
        <is>
          <t>Undisclosed</t>
        </is>
      </c>
      <c r="J1037" t="inlineStr">
        <is>
          <t>Nexus Venture Partners</t>
        </is>
      </c>
      <c r="K1037" t="inlineStr">
        <is>
          <t>https://economictimes.indiatimes.com/tech/funding/fashion-delivery-startup-slikk-club-raises-10-million-led-by-nexus-venture-partners/articleshow/121419227.cms</t>
        </is>
      </c>
    </row>
    <row r="1038">
      <c r="A1038" t="inlineStr">
        <is>
          <t>INC-20250531-04</t>
        </is>
      </c>
      <c r="B1038" t="inlineStr">
        <is>
          <t>R250527-slikk</t>
        </is>
      </c>
      <c r="C1038" t="inlineStr">
        <is>
          <t>Inc42</t>
        </is>
      </c>
      <c r="D1038" s="17" t="n">
        <v>45804</v>
      </c>
      <c r="E1038" t="inlineStr">
        <is>
          <t>Slikk</t>
        </is>
      </c>
      <c r="F1038" t="inlineStr">
        <is>
          <t>$10 Mn</t>
        </is>
      </c>
      <c r="G1038" s="19" t="n"/>
      <c r="H1038" s="19" t="n">
        <v>10</v>
      </c>
      <c r="I1038" t="inlineStr">
        <is>
          <t>Series A</t>
        </is>
      </c>
      <c r="J1038" t="inlineStr">
        <is>
          <t>Nexus Venture Partners</t>
        </is>
      </c>
      <c r="K1038" t="inlineStr">
        <is>
          <t>https://inc42.com/buzz/from-battery-smart-to-chalo-indian-startups-raised-93-mn-this-week/</t>
        </is>
      </c>
    </row>
    <row r="1039">
      <c r="A1039" t="inlineStr">
        <is>
          <t>INC-20250531-13</t>
        </is>
      </c>
      <c r="B1039" t="inlineStr">
        <is>
          <t>R250527-tova</t>
        </is>
      </c>
      <c r="C1039" t="inlineStr">
        <is>
          <t>Inc42</t>
        </is>
      </c>
      <c r="D1039" s="17" t="n">
        <v>45804</v>
      </c>
      <c r="E1039" t="inlineStr">
        <is>
          <t>TOVA</t>
        </is>
      </c>
      <c r="F1039" t="inlineStr"/>
      <c r="G1039" s="19" t="n"/>
      <c r="H1039" s="19" t="n"/>
      <c r="I1039" t="inlineStr">
        <is>
          <t>Undisclosed</t>
        </is>
      </c>
      <c r="J1039" t="inlineStr">
        <is>
          <t>Poonawalla Group</t>
        </is>
      </c>
      <c r="K1039" t="inlineStr">
        <is>
          <t>https://inc42.com/buzz/from-battery-smart-to-chalo-indian-startups-raised-93-mn-this-week/</t>
        </is>
      </c>
    </row>
    <row r="1040">
      <c r="A1040" t="inlineStr">
        <is>
          <t>ENT-9313488</t>
        </is>
      </c>
      <c r="B1040" t="inlineStr">
        <is>
          <t>R250528-growit</t>
        </is>
      </c>
      <c r="C1040" t="inlineStr">
        <is>
          <t>Entrackr</t>
        </is>
      </c>
      <c r="D1040" s="17" t="n">
        <v>45805</v>
      </c>
      <c r="E1040" t="inlineStr">
        <is>
          <t>GROWiT</t>
        </is>
      </c>
      <c r="F1040" t="inlineStr">
        <is>
          <t>$3 million</t>
        </is>
      </c>
      <c r="G1040" s="19" t="n"/>
      <c r="H1040" s="19" t="n">
        <v>3</v>
      </c>
      <c r="I1040" t="inlineStr">
        <is>
          <t>Series A</t>
        </is>
      </c>
      <c r="J1040" t="inlineStr">
        <is>
          <t>GVFL</t>
        </is>
      </c>
      <c r="K1040" t="inlineStr">
        <is>
          <t>https://entrackr.com/snippets/growit-raises-3-mn-in-series-a-round-led-by-gvfl-9313488</t>
        </is>
      </c>
    </row>
    <row r="1041">
      <c r="A1041" t="inlineStr">
        <is>
          <t>ET-121462276</t>
        </is>
      </c>
      <c r="B1041" t="inlineStr">
        <is>
          <t>R250528-growit</t>
        </is>
      </c>
      <c r="C1041" t="inlineStr">
        <is>
          <t>The Economic Times</t>
        </is>
      </c>
      <c r="D1041" s="17" t="n">
        <v>45805</v>
      </c>
      <c r="E1041" t="inlineStr">
        <is>
          <t>GROWiT</t>
        </is>
      </c>
      <c r="F1041" t="inlineStr">
        <is>
          <t>$3 million</t>
        </is>
      </c>
      <c r="G1041" s="19" t="n"/>
      <c r="H1041" s="19" t="n">
        <v>3</v>
      </c>
      <c r="I1041" t="inlineStr">
        <is>
          <t>Undisclosed</t>
        </is>
      </c>
      <c r="J1041" t="inlineStr">
        <is>
          <t>GVFL</t>
        </is>
      </c>
      <c r="K1041" t="inlineStr">
        <is>
          <t>https://economictimes.indiatimes.com/tech/funding/agritech-startup-growit-raises-3-million-in-funding-round-led-by-gvfl/articleshow/121462276.cms</t>
        </is>
      </c>
    </row>
    <row r="1042">
      <c r="A1042" t="inlineStr">
        <is>
          <t>INC-20250531-07</t>
        </is>
      </c>
      <c r="B1042" t="inlineStr">
        <is>
          <t>R250528-growit</t>
        </is>
      </c>
      <c r="C1042" t="inlineStr">
        <is>
          <t>Inc42</t>
        </is>
      </c>
      <c r="D1042" s="17" t="n">
        <v>45805</v>
      </c>
      <c r="E1042" t="inlineStr">
        <is>
          <t>GROWiT</t>
        </is>
      </c>
      <c r="F1042" t="inlineStr">
        <is>
          <t>$3 Mn</t>
        </is>
      </c>
      <c r="G1042" s="19" t="n"/>
      <c r="H1042" s="19" t="n">
        <v>3</v>
      </c>
      <c r="I1042" t="inlineStr">
        <is>
          <t>Series A</t>
        </is>
      </c>
      <c r="J1042" t="inlineStr">
        <is>
          <t>GVFL</t>
        </is>
      </c>
      <c r="K1042" t="inlineStr">
        <is>
          <t>https://inc42.com/buzz/from-battery-smart-to-chalo-indian-startups-raised-93-mn-this-week/</t>
        </is>
      </c>
    </row>
    <row r="1043">
      <c r="A1043" t="inlineStr">
        <is>
          <t>ENT-9314010</t>
        </is>
      </c>
      <c r="B1043" t="inlineStr">
        <is>
          <t>R250528-ilios72alterna</t>
        </is>
      </c>
      <c r="C1043" t="inlineStr">
        <is>
          <t>Entrackr</t>
        </is>
      </c>
      <c r="D1043" s="17" t="n">
        <v>45805</v>
      </c>
      <c r="E1043" t="inlineStr">
        <is>
          <t>ILIOS 72 Alternative Capital</t>
        </is>
      </c>
      <c r="F1043" t="inlineStr">
        <is>
          <t>Rs 1 crore</t>
        </is>
      </c>
      <c r="G1043" s="19" t="n">
        <v>1</v>
      </c>
      <c r="H1043" s="19" t="n"/>
      <c r="I1043" t="inlineStr">
        <is>
          <t>Seed</t>
        </is>
      </c>
      <c r="J1043" t="inlineStr"/>
      <c r="K1043" t="inlineStr">
        <is>
          <t>https://entrackr.com/snippets/wealth-management-firm-ilios-72-alternative-capital-raises-seed-round-9314010</t>
        </is>
      </c>
    </row>
    <row r="1044">
      <c r="A1044" t="inlineStr">
        <is>
          <t>ENT-9313216</t>
        </is>
      </c>
      <c r="B1044" t="inlineStr">
        <is>
          <t>R250528-orbittspace</t>
        </is>
      </c>
      <c r="C1044" t="inlineStr">
        <is>
          <t>Entrackr</t>
        </is>
      </c>
      <c r="D1044" s="17" t="n">
        <v>45805</v>
      </c>
      <c r="E1044" t="inlineStr">
        <is>
          <t>Orbitt Space</t>
        </is>
      </c>
      <c r="F1044" t="inlineStr">
        <is>
          <t>$1 million</t>
        </is>
      </c>
      <c r="G1044" s="19" t="n"/>
      <c r="H1044" s="19" t="n">
        <v>1</v>
      </c>
      <c r="I1044" t="inlineStr">
        <is>
          <t>Pre-Seed</t>
        </is>
      </c>
      <c r="J1044" t="inlineStr"/>
      <c r="K1044" t="inlineStr">
        <is>
          <t>https://entrackr.com/snippets/orbitt-space-raises-1-mn-in-pre-seed-round-led-by-pi-ventures-9313216</t>
        </is>
      </c>
    </row>
    <row r="1045">
      <c r="A1045" t="inlineStr">
        <is>
          <t>ET-121445122</t>
        </is>
      </c>
      <c r="B1045" t="inlineStr">
        <is>
          <t>R250528-orbittspace</t>
        </is>
      </c>
      <c r="C1045" t="inlineStr">
        <is>
          <t>The Economic Times</t>
        </is>
      </c>
      <c r="D1045" s="17" t="n">
        <v>45805</v>
      </c>
      <c r="E1045" t="inlineStr">
        <is>
          <t>Orbitt Space</t>
        </is>
      </c>
      <c r="F1045" t="inlineStr">
        <is>
          <t>$1 million</t>
        </is>
      </c>
      <c r="G1045" s="19" t="n"/>
      <c r="H1045" s="19" t="n">
        <v>1</v>
      </c>
      <c r="I1045" t="inlineStr">
        <is>
          <t>Pre-Seed</t>
        </is>
      </c>
      <c r="J1045" t="inlineStr">
        <is>
          <t>Pi Ventures</t>
        </is>
      </c>
      <c r="K1045" t="inlineStr">
        <is>
          <t>https://economictimes.indiatimes.com/tech/funding/former-isro-scientists-startup-orbitt-space-raises-1-million-from-pi-ventures-iima-ventures/articleshow/121445122.cms</t>
        </is>
      </c>
    </row>
    <row r="1046">
      <c r="A1046" t="inlineStr">
        <is>
          <t>INC-20250531-12</t>
        </is>
      </c>
      <c r="B1046" t="inlineStr">
        <is>
          <t>R250528-orbittspace</t>
        </is>
      </c>
      <c r="C1046" t="inlineStr">
        <is>
          <t>Inc42</t>
        </is>
      </c>
      <c r="D1046" s="17" t="n">
        <v>45805</v>
      </c>
      <c r="E1046" t="inlineStr">
        <is>
          <t>Orbitt Space</t>
        </is>
      </c>
      <c r="F1046" t="inlineStr">
        <is>
          <t>$1 Mn</t>
        </is>
      </c>
      <c r="G1046" s="19" t="n"/>
      <c r="H1046" s="19" t="n">
        <v>1</v>
      </c>
      <c r="I1046" t="inlineStr">
        <is>
          <t>Pre-Seed</t>
        </is>
      </c>
      <c r="J1046" t="inlineStr"/>
      <c r="K1046" t="inlineStr">
        <is>
          <t>https://inc42.com/buzz/from-battery-smart-to-chalo-indian-startups-raised-93-mn-this-week/</t>
        </is>
      </c>
    </row>
    <row r="1047">
      <c r="A1047" t="inlineStr">
        <is>
          <t>ENT-9313667</t>
        </is>
      </c>
      <c r="B1047" t="inlineStr">
        <is>
          <t>R250528-saarathifinanc</t>
        </is>
      </c>
      <c r="C1047" t="inlineStr">
        <is>
          <t>Entrackr</t>
        </is>
      </c>
      <c r="D1047" s="17" t="n">
        <v>45805</v>
      </c>
      <c r="E1047" t="inlineStr">
        <is>
          <t>Saarathi Finance</t>
        </is>
      </c>
      <c r="F1047" t="inlineStr">
        <is>
          <t>Rs 475 crore</t>
        </is>
      </c>
      <c r="G1047" s="19" t="n">
        <v>475</v>
      </c>
      <c r="H1047" s="19" t="n"/>
      <c r="I1047" t="inlineStr">
        <is>
          <t>Series A</t>
        </is>
      </c>
      <c r="J1047" t="inlineStr">
        <is>
          <t>Lok Capital; Evolvence Equity Partners; Paragon Partners</t>
        </is>
      </c>
      <c r="K1047" t="inlineStr">
        <is>
          <t>https://entrackr.com/snippets/saarathi-finance-secures-rs-475-cr-equity-capital-9313667</t>
        </is>
      </c>
    </row>
    <row r="1048">
      <c r="A1048" t="inlineStr">
        <is>
          <t>ENT-9316482</t>
        </is>
      </c>
      <c r="B1048" t="inlineStr">
        <is>
          <t>R250529-cleevo</t>
        </is>
      </c>
      <c r="C1048" t="inlineStr">
        <is>
          <t>Entrackr</t>
        </is>
      </c>
      <c r="D1048" s="17" t="n">
        <v>45806</v>
      </c>
      <c r="E1048" t="inlineStr">
        <is>
          <t>Cleevo</t>
        </is>
      </c>
      <c r="F1048" t="inlineStr">
        <is>
          <t>$1 million</t>
        </is>
      </c>
      <c r="G1048" s="19" t="n"/>
      <c r="H1048" s="19" t="n">
        <v>1</v>
      </c>
      <c r="I1048" t="inlineStr">
        <is>
          <t>Seed</t>
        </is>
      </c>
      <c r="J1048" t="inlineStr">
        <is>
          <t>Eternal Capital</t>
        </is>
      </c>
      <c r="K1048" t="inlineStr">
        <is>
          <t>https://entrackr.com/snippets/cleevo-raises-1-mn-in-seed-round-led-by-eternal-capital-9316482</t>
        </is>
      </c>
    </row>
    <row r="1049">
      <c r="A1049" t="inlineStr">
        <is>
          <t>INC-20250531-11</t>
        </is>
      </c>
      <c r="B1049" t="inlineStr">
        <is>
          <t>R250529-cleevo</t>
        </is>
      </c>
      <c r="C1049" t="inlineStr">
        <is>
          <t>Inc42</t>
        </is>
      </c>
      <c r="D1049" s="17" t="n">
        <v>45806</v>
      </c>
      <c r="E1049" t="inlineStr">
        <is>
          <t>Cleevo</t>
        </is>
      </c>
      <c r="F1049" t="inlineStr">
        <is>
          <t>$1 Mn</t>
        </is>
      </c>
      <c r="G1049" s="19" t="n"/>
      <c r="H1049" s="19" t="n">
        <v>1</v>
      </c>
      <c r="I1049" t="inlineStr">
        <is>
          <t>Seed</t>
        </is>
      </c>
      <c r="J1049" t="inlineStr">
        <is>
          <t>Eternal Capital</t>
        </is>
      </c>
      <c r="K1049" t="inlineStr">
        <is>
          <t>https://inc42.com/buzz/from-battery-smart-to-chalo-indian-startups-raised-93-mn-this-week/</t>
        </is>
      </c>
    </row>
    <row r="1050">
      <c r="A1050" t="inlineStr">
        <is>
          <t>INC-20250531-14</t>
        </is>
      </c>
      <c r="B1050" t="inlineStr">
        <is>
          <t>R250529-gydexp</t>
        </is>
      </c>
      <c r="C1050" t="inlineStr">
        <is>
          <t>Inc42</t>
        </is>
      </c>
      <c r="D1050" s="17" t="n">
        <v>45806</v>
      </c>
      <c r="E1050" t="inlineStr">
        <is>
          <t>GydeXP</t>
        </is>
      </c>
      <c r="F1050" t="inlineStr"/>
      <c r="G1050" s="19" t="n"/>
      <c r="H1050" s="19" t="n"/>
      <c r="I1050" t="inlineStr">
        <is>
          <t>Pre-Seed</t>
        </is>
      </c>
      <c r="J1050" t="inlineStr">
        <is>
          <t>Rukam Sitara</t>
        </is>
      </c>
      <c r="K1050" t="inlineStr">
        <is>
          <t>https://inc42.com/buzz/from-battery-smart-to-chalo-indian-startups-raised-93-mn-this-week/</t>
        </is>
      </c>
    </row>
    <row r="1051">
      <c r="A1051" t="inlineStr">
        <is>
          <t>ENT-9317219</t>
        </is>
      </c>
      <c r="B1051" t="inlineStr">
        <is>
          <t>R250529-khiladipro</t>
        </is>
      </c>
      <c r="C1051" t="inlineStr">
        <is>
          <t>Entrackr</t>
        </is>
      </c>
      <c r="D1051" s="17" t="n">
        <v>45806</v>
      </c>
      <c r="E1051" t="inlineStr">
        <is>
          <t>KhiladiPro</t>
        </is>
      </c>
      <c r="F1051" t="inlineStr">
        <is>
          <t>$1 million</t>
        </is>
      </c>
      <c r="G1051" s="19" t="n"/>
      <c r="H1051" s="19" t="n">
        <v>1</v>
      </c>
      <c r="I1051" t="inlineStr">
        <is>
          <t>Pre-Seed</t>
        </is>
      </c>
      <c r="J1051" t="inlineStr">
        <is>
          <t>Shastra VC; MGA Ventures</t>
        </is>
      </c>
      <c r="K1051" t="inlineStr">
        <is>
          <t>https://entrackr.com/snippets/sports-tech-startup-khiladipro-secures-1mn-in-pre-seed-round-9317219</t>
        </is>
      </c>
    </row>
    <row r="1052">
      <c r="A1052" t="inlineStr">
        <is>
          <t>INC-20250531-10</t>
        </is>
      </c>
      <c r="B1052" t="inlineStr">
        <is>
          <t>R250529-khiladipro</t>
        </is>
      </c>
      <c r="C1052" t="inlineStr">
        <is>
          <t>Inc42</t>
        </is>
      </c>
      <c r="D1052" s="17" t="n">
        <v>45806</v>
      </c>
      <c r="E1052" t="inlineStr">
        <is>
          <t>KhiladiPro</t>
        </is>
      </c>
      <c r="F1052" t="inlineStr">
        <is>
          <t>$1 Mn</t>
        </is>
      </c>
      <c r="G1052" s="19" t="n"/>
      <c r="H1052" s="19" t="n">
        <v>1</v>
      </c>
      <c r="I1052" t="inlineStr">
        <is>
          <t>Undisclosed</t>
        </is>
      </c>
      <c r="J1052" t="inlineStr">
        <is>
          <t>Shastra VC</t>
        </is>
      </c>
      <c r="K1052" t="inlineStr">
        <is>
          <t>https://inc42.com/buzz/from-battery-smart-to-chalo-indian-startups-raised-93-mn-this-week/</t>
        </is>
      </c>
    </row>
    <row r="1053">
      <c r="A1053" t="inlineStr">
        <is>
          <t>ET-121573628</t>
        </is>
      </c>
      <c r="B1053" t="inlineStr">
        <is>
          <t>R250529-khiladipro</t>
        </is>
      </c>
      <c r="C1053" t="inlineStr">
        <is>
          <t>The Economic Times</t>
        </is>
      </c>
      <c r="D1053" s="17" t="n">
        <v>45810</v>
      </c>
      <c r="E1053" t="inlineStr">
        <is>
          <t>KhiladiPro</t>
        </is>
      </c>
      <c r="F1053" t="inlineStr">
        <is>
          <t>$1 million</t>
        </is>
      </c>
      <c r="G1053" s="19" t="n"/>
      <c r="H1053" s="19" t="n">
        <v>1</v>
      </c>
      <c r="I1053" t="inlineStr">
        <is>
          <t>Undisclosed</t>
        </is>
      </c>
      <c r="J1053" t="inlineStr">
        <is>
          <t>MGA Ventures</t>
        </is>
      </c>
      <c r="K1053" t="inlineStr">
        <is>
          <t>https://economictimes.indiatimes.com/tech/funding/sports-tech-startup-khiladipro-raises-1-million-in-round-led-by-shastra-vc-mga-ventures/articleshow/121573628.cms</t>
        </is>
      </c>
    </row>
    <row r="1054">
      <c r="A1054" t="inlineStr">
        <is>
          <t>ENT-9316145</t>
        </is>
      </c>
      <c r="B1054" t="inlineStr">
        <is>
          <t>R250529-snabbit</t>
        </is>
      </c>
      <c r="C1054" t="inlineStr">
        <is>
          <t>Entrackr</t>
        </is>
      </c>
      <c r="D1054" s="17" t="n">
        <v>45806</v>
      </c>
      <c r="E1054" t="inlineStr">
        <is>
          <t>Snabbit</t>
        </is>
      </c>
      <c r="F1054" t="inlineStr">
        <is>
          <t>$19 million</t>
        </is>
      </c>
      <c r="G1054" s="19" t="n"/>
      <c r="H1054" s="19" t="n">
        <v>19</v>
      </c>
      <c r="I1054" t="inlineStr">
        <is>
          <t>Undisclosed</t>
        </is>
      </c>
      <c r="J1054" t="inlineStr">
        <is>
          <t>Lightspeed</t>
        </is>
      </c>
      <c r="K1054" t="inlineStr">
        <is>
          <t>https://entrackr.com/news/quick-service-platform-snabbit-raises-19-mn-led-by-lightspeed-9316145</t>
        </is>
      </c>
    </row>
    <row r="1055">
      <c r="A1055" t="inlineStr">
        <is>
          <t>ET-121470654</t>
        </is>
      </c>
      <c r="B1055" t="inlineStr">
        <is>
          <t>R250529-snabbit</t>
        </is>
      </c>
      <c r="C1055" t="inlineStr">
        <is>
          <t>The Economic Times</t>
        </is>
      </c>
      <c r="D1055" s="17" t="n">
        <v>45806</v>
      </c>
      <c r="E1055" t="inlineStr">
        <is>
          <t>Snabbit</t>
        </is>
      </c>
      <c r="F1055" t="inlineStr">
        <is>
          <t>$19 million</t>
        </is>
      </c>
      <c r="G1055" s="19" t="n"/>
      <c r="H1055" s="19" t="n">
        <v>19</v>
      </c>
      <c r="I1055" t="inlineStr">
        <is>
          <t>Undisclosed</t>
        </is>
      </c>
      <c r="J1055" t="inlineStr">
        <is>
          <t>Lightspeed</t>
        </is>
      </c>
      <c r="K1055" t="inlineStr">
        <is>
          <t>https://economictimes.indiatimes.com/tech/funding/quick-service-app-snabbit-raises-19-million-in-round-led-by-lightspeed/articleshow/121470654.cms</t>
        </is>
      </c>
    </row>
    <row r="1056">
      <c r="A1056" t="inlineStr">
        <is>
          <t>INC-20250531-02</t>
        </is>
      </c>
      <c r="B1056" t="inlineStr">
        <is>
          <t>R250529-snabbit</t>
        </is>
      </c>
      <c r="C1056" t="inlineStr">
        <is>
          <t>Inc42</t>
        </is>
      </c>
      <c r="D1056" s="17" t="n">
        <v>45806</v>
      </c>
      <c r="E1056" t="inlineStr">
        <is>
          <t>Snabbit</t>
        </is>
      </c>
      <c r="F1056" t="inlineStr">
        <is>
          <t>$19 Mn</t>
        </is>
      </c>
      <c r="G1056" s="19" t="n"/>
      <c r="H1056" s="19" t="n">
        <v>19</v>
      </c>
      <c r="I1056" t="inlineStr">
        <is>
          <t>Series B</t>
        </is>
      </c>
      <c r="J1056" t="inlineStr">
        <is>
          <t>Lightspeed Ventures</t>
        </is>
      </c>
      <c r="K1056" t="inlineStr">
        <is>
          <t>https://inc42.com/buzz/from-battery-smart-to-chalo-indian-startups-raised-93-mn-this-week/</t>
        </is>
      </c>
    </row>
    <row r="1057">
      <c r="A1057" t="inlineStr">
        <is>
          <t>VCC-b097f15326</t>
        </is>
      </c>
      <c r="B1057" t="inlineStr">
        <is>
          <t>R250529-snabbit</t>
        </is>
      </c>
      <c r="C1057" t="inlineStr">
        <is>
          <t>VCCircle</t>
        </is>
      </c>
      <c r="D1057" s="17" t="n">
        <v>45806</v>
      </c>
      <c r="E1057" t="inlineStr">
        <is>
          <t>snabbit s series b round</t>
        </is>
      </c>
      <c r="F1057" t="inlineStr"/>
      <c r="G1057" s="19" t="n"/>
      <c r="H1057" s="19" t="n"/>
      <c r="I1057" t="inlineStr">
        <is>
          <t>Series B</t>
        </is>
      </c>
      <c r="J1057" t="inlineStr"/>
      <c r="K1057" t="inlineStr">
        <is>
          <t>https://www.vccircle.com/ligthspeedleads-elevation-nexus-backed-snabbit-s-series-b-round</t>
        </is>
      </c>
    </row>
    <row r="1058">
      <c r="A1058" t="inlineStr">
        <is>
          <t>ET-121488082</t>
        </is>
      </c>
      <c r="B1058" t="inlineStr">
        <is>
          <t>R250529-snitch</t>
        </is>
      </c>
      <c r="C1058" t="inlineStr">
        <is>
          <t>The Economic Times</t>
        </is>
      </c>
      <c r="D1058" s="17" t="n">
        <v>45806</v>
      </c>
      <c r="E1058" t="inlineStr">
        <is>
          <t>Snitch</t>
        </is>
      </c>
      <c r="F1058" t="inlineStr">
        <is>
          <t>Rs 278 crore</t>
        </is>
      </c>
      <c r="G1058" s="19" t="n">
        <v>278</v>
      </c>
      <c r="H1058" s="19" t="n"/>
      <c r="I1058" t="inlineStr">
        <is>
          <t>Undisclosed</t>
        </is>
      </c>
      <c r="J1058" t="inlineStr">
        <is>
          <t>360 One Asset</t>
        </is>
      </c>
      <c r="K1058" t="inlineStr">
        <is>
          <t>https://economictimes.indiatimes.com/tech/funding/menswear-brand-snitch-reveals-it-has-raised-rs-278-crore-from-360-one-asset-others/articleshow/121488082.cms</t>
        </is>
      </c>
    </row>
    <row r="1059">
      <c r="A1059" t="inlineStr">
        <is>
          <t>ENT-9327509</t>
        </is>
      </c>
      <c r="B1059" t="inlineStr">
        <is>
          <t>R250529-snitch</t>
        </is>
      </c>
      <c r="C1059" t="inlineStr">
        <is>
          <t>Entrackr</t>
        </is>
      </c>
      <c r="D1059" s="17" t="n">
        <v>45810</v>
      </c>
      <c r="E1059" t="inlineStr">
        <is>
          <t>Snitch</t>
        </is>
      </c>
      <c r="F1059" t="inlineStr">
        <is>
          <t>$40 million</t>
        </is>
      </c>
      <c r="G1059" s="19" t="n"/>
      <c r="H1059" s="19" t="n">
        <v>40</v>
      </c>
      <c r="I1059" t="inlineStr">
        <is>
          <t>Series B</t>
        </is>
      </c>
      <c r="J1059" t="inlineStr">
        <is>
          <t>360 ONE Asset</t>
        </is>
      </c>
      <c r="K1059" t="inlineStr">
        <is>
          <t>https://entrackr.com/snippets/snitch-raises-40-mn-in-series-b-round-to-enter-quick-commerce-9327509</t>
        </is>
      </c>
    </row>
    <row r="1060">
      <c r="A1060" t="inlineStr">
        <is>
          <t>ET-121576576</t>
        </is>
      </c>
      <c r="B1060" t="inlineStr">
        <is>
          <t>R250529-snitch</t>
        </is>
      </c>
      <c r="C1060" t="inlineStr">
        <is>
          <t>The Economic Times</t>
        </is>
      </c>
      <c r="D1060" s="17" t="n">
        <v>45810</v>
      </c>
      <c r="E1060" t="inlineStr">
        <is>
          <t>Snitch</t>
        </is>
      </c>
      <c r="F1060" t="inlineStr">
        <is>
          <t>$40 million</t>
        </is>
      </c>
      <c r="G1060" s="19" t="n"/>
      <c r="H1060" s="19" t="n">
        <v>40</v>
      </c>
      <c r="I1060" t="inlineStr">
        <is>
          <t>Undisclosed</t>
        </is>
      </c>
      <c r="J1060" t="inlineStr">
        <is>
          <t>360 One Asset</t>
        </is>
      </c>
      <c r="K1060" t="inlineStr">
        <is>
          <t>https://economictimes.indiatimes.com/tech/funding/menswear-fashion-brand-snitch-raises-up-to-40-million-in-round-led-by-360-one-asset/articleshow/121576576.cms</t>
        </is>
      </c>
    </row>
    <row r="1061">
      <c r="A1061" t="inlineStr">
        <is>
          <t>INC-20250607-01</t>
        </is>
      </c>
      <c r="B1061" t="inlineStr">
        <is>
          <t>R250529-snitch</t>
        </is>
      </c>
      <c r="C1061" t="inlineStr">
        <is>
          <t>Inc42</t>
        </is>
      </c>
      <c r="D1061" s="17" t="n">
        <v>45810</v>
      </c>
      <c r="E1061" t="inlineStr">
        <is>
          <t>Snitch</t>
        </is>
      </c>
      <c r="F1061" t="inlineStr">
        <is>
          <t>$40 Mn</t>
        </is>
      </c>
      <c r="G1061" s="19" t="n"/>
      <c r="H1061" s="19" t="n">
        <v>40</v>
      </c>
      <c r="I1061" t="inlineStr">
        <is>
          <t>Series B</t>
        </is>
      </c>
      <c r="J1061" t="inlineStr">
        <is>
          <t>360One Asset</t>
        </is>
      </c>
      <c r="K1061" t="inlineStr">
        <is>
          <t>https://inc42.com/buzz/from-snitch-to-stable-money-indian-startups-raised-134-mn-this-week/</t>
        </is>
      </c>
    </row>
    <row r="1062">
      <c r="A1062" t="inlineStr">
        <is>
          <t>VCC-321732caf5</t>
        </is>
      </c>
      <c r="B1062" t="inlineStr">
        <is>
          <t>R250529-snitch</t>
        </is>
      </c>
      <c r="C1062" t="inlineStr">
        <is>
          <t>VCCircle</t>
        </is>
      </c>
      <c r="D1062" s="17" t="n">
        <v>45810</v>
      </c>
      <c r="E1062" t="inlineStr">
        <is>
          <t>snitch</t>
        </is>
      </c>
      <c r="F1062" t="inlineStr">
        <is>
          <t>$ 40 million</t>
        </is>
      </c>
      <c r="G1062" s="19" t="n"/>
      <c r="H1062" s="19" t="n">
        <v>40</v>
      </c>
      <c r="I1062" t="inlineStr">
        <is>
          <t>Series B</t>
        </is>
      </c>
      <c r="J1062" t="inlineStr"/>
      <c r="K1062" t="inlineStr">
        <is>
          <t>https://www.vccircle.com/ivycapbacked-apparel-brand-snitch-raises-40-mn-in-series-b-round</t>
        </is>
      </c>
    </row>
    <row r="1063">
      <c r="A1063" t="inlineStr">
        <is>
          <t>ENT-9317863</t>
        </is>
      </c>
      <c r="B1063" t="inlineStr">
        <is>
          <t>R250529-unbound</t>
        </is>
      </c>
      <c r="C1063" t="inlineStr">
        <is>
          <t>Entrackr</t>
        </is>
      </c>
      <c r="D1063" s="17" t="n">
        <v>45806</v>
      </c>
      <c r="E1063" t="inlineStr">
        <is>
          <t>Unbound</t>
        </is>
      </c>
      <c r="F1063" t="inlineStr">
        <is>
          <t>$4 million</t>
        </is>
      </c>
      <c r="G1063" s="19" t="n"/>
      <c r="H1063" s="19" t="n">
        <v>4</v>
      </c>
      <c r="I1063" t="inlineStr">
        <is>
          <t>Seed</t>
        </is>
      </c>
      <c r="J1063" t="inlineStr">
        <is>
          <t>Race Capital; Y Combinator; Massive Tech Ventures</t>
        </is>
      </c>
      <c r="K1063" t="inlineStr">
        <is>
          <t>https://entrackr.com/snippets/unbound-raises-4-mn-in-seed-round-led-by-race-capital-9317863</t>
        </is>
      </c>
    </row>
    <row r="1064">
      <c r="A1064" t="inlineStr">
        <is>
          <t>ET-121517989</t>
        </is>
      </c>
      <c r="B1064" t="inlineStr">
        <is>
          <t>R250529-unbound</t>
        </is>
      </c>
      <c r="C1064" t="inlineStr">
        <is>
          <t>The Economic Times</t>
        </is>
      </c>
      <c r="D1064" s="17" t="n">
        <v>45807</v>
      </c>
      <c r="E1064" t="inlineStr">
        <is>
          <t>Unbound</t>
        </is>
      </c>
      <c r="F1064" t="inlineStr">
        <is>
          <t>$4 million</t>
        </is>
      </c>
      <c r="G1064" s="19" t="n"/>
      <c r="H1064" s="19" t="n">
        <v>4</v>
      </c>
      <c r="I1064" t="inlineStr">
        <is>
          <t>Seed</t>
        </is>
      </c>
      <c r="J1064" t="inlineStr">
        <is>
          <t>Race Capital</t>
        </is>
      </c>
      <c r="K1064" t="inlineStr">
        <is>
          <t>https://economictimes.indiatimes.com/tech/funding/ai-security-startup-unbound-raises-4-million-in-round-led-by-race-capital/articleshow/121517989.cms</t>
        </is>
      </c>
    </row>
    <row r="1065">
      <c r="A1065" t="inlineStr">
        <is>
          <t>INC-20250531-15</t>
        </is>
      </c>
      <c r="B1065" t="inlineStr">
        <is>
          <t>R250529-ziniosa</t>
        </is>
      </c>
      <c r="C1065" t="inlineStr">
        <is>
          <t>Inc42</t>
        </is>
      </c>
      <c r="D1065" s="17" t="n">
        <v>45806</v>
      </c>
      <c r="E1065" t="inlineStr">
        <is>
          <t>Ziniosa</t>
        </is>
      </c>
      <c r="F1065" t="inlineStr"/>
      <c r="G1065" s="19" t="n"/>
      <c r="H1065" s="19" t="n"/>
      <c r="I1065" t="inlineStr">
        <is>
          <t>Undisclosed</t>
        </is>
      </c>
      <c r="J1065" t="inlineStr">
        <is>
          <t>Inflection Point Ventures</t>
        </is>
      </c>
      <c r="K1065" t="inlineStr">
        <is>
          <t>https://inc42.com/buzz/from-battery-smart-to-chalo-indian-startups-raised-93-mn-this-week/</t>
        </is>
      </c>
    </row>
    <row r="1066">
      <c r="A1066" t="inlineStr">
        <is>
          <t>INC-20250531-01</t>
        </is>
      </c>
      <c r="B1066" t="inlineStr">
        <is>
          <t>R250530-batterysmart</t>
        </is>
      </c>
      <c r="C1066" t="inlineStr">
        <is>
          <t>Inc42</t>
        </is>
      </c>
      <c r="D1066" s="17" t="n">
        <v>45807</v>
      </c>
      <c r="E1066" t="inlineStr">
        <is>
          <t>Battery Smart</t>
        </is>
      </c>
      <c r="F1066" t="inlineStr">
        <is>
          <t>$29 Mn</t>
        </is>
      </c>
      <c r="G1066" s="19" t="n"/>
      <c r="H1066" s="19" t="n">
        <v>29</v>
      </c>
      <c r="I1066" t="inlineStr">
        <is>
          <t>Series B</t>
        </is>
      </c>
      <c r="J1066" t="inlineStr">
        <is>
          <t>Rising Tide Energy</t>
        </is>
      </c>
      <c r="K1066" t="inlineStr">
        <is>
          <t>https://inc42.com/buzz/from-battery-smart-to-chalo-indian-startups-raised-93-mn-this-week/</t>
        </is>
      </c>
    </row>
    <row r="1067">
      <c r="A1067" t="inlineStr">
        <is>
          <t>ENT-9405291</t>
        </is>
      </c>
      <c r="B1067" t="inlineStr">
        <is>
          <t>R250530-batterysmart</t>
        </is>
      </c>
      <c r="C1067" t="inlineStr">
        <is>
          <t>Entrackr</t>
        </is>
      </c>
      <c r="D1067" s="17" t="n">
        <v>45833</v>
      </c>
      <c r="E1067" t="inlineStr">
        <is>
          <t>Battery Smart</t>
        </is>
      </c>
      <c r="F1067" t="inlineStr">
        <is>
          <t>$21 million</t>
        </is>
      </c>
      <c r="G1067" s="19" t="n"/>
      <c r="H1067" s="19" t="n">
        <v>21</v>
      </c>
      <c r="I1067" t="inlineStr">
        <is>
          <t>Series B</t>
        </is>
      </c>
      <c r="J1067" t="inlineStr">
        <is>
          <t>Rising Tide Energy</t>
        </is>
      </c>
      <c r="K1067" t="inlineStr">
        <is>
          <t>https://entrackr.com/news/battery-smarts-extended-series-b-round-pushes-valuation-to-450-mn-9405291</t>
        </is>
      </c>
    </row>
    <row r="1068">
      <c r="A1068" t="inlineStr">
        <is>
          <t>INC-20250531-05</t>
        </is>
      </c>
      <c r="B1068" t="inlineStr">
        <is>
          <t>R250530-chalo</t>
        </is>
      </c>
      <c r="C1068" t="inlineStr">
        <is>
          <t>Inc42</t>
        </is>
      </c>
      <c r="D1068" s="17" t="n">
        <v>45807</v>
      </c>
      <c r="E1068" t="inlineStr">
        <is>
          <t>Chalo</t>
        </is>
      </c>
      <c r="F1068" t="inlineStr">
        <is>
          <t>$6.1 Mn</t>
        </is>
      </c>
      <c r="G1068" s="19" t="n"/>
      <c r="H1068" s="19" t="n">
        <v>6.1</v>
      </c>
      <c r="I1068" t="inlineStr">
        <is>
          <t>Undisclosed</t>
        </is>
      </c>
      <c r="J1068" t="inlineStr"/>
      <c r="K1068" t="inlineStr">
        <is>
          <t>https://inc42.com/buzz/from-battery-smart-to-chalo-indian-startups-raised-93-mn-this-week/</t>
        </is>
      </c>
    </row>
    <row r="1069">
      <c r="A1069" t="inlineStr">
        <is>
          <t>ENT-9319868</t>
        </is>
      </c>
      <c r="B1069" t="inlineStr">
        <is>
          <t>R250530-neysa</t>
        </is>
      </c>
      <c r="C1069" t="inlineStr">
        <is>
          <t>Entrackr</t>
        </is>
      </c>
      <c r="D1069" s="17" t="n">
        <v>45807</v>
      </c>
      <c r="E1069" t="inlineStr">
        <is>
          <t>Neysa</t>
        </is>
      </c>
      <c r="F1069" t="inlineStr">
        <is>
          <t>$30 million</t>
        </is>
      </c>
      <c r="G1069" s="19" t="n"/>
      <c r="H1069" s="19" t="n">
        <v>30</v>
      </c>
      <c r="I1069" t="inlineStr">
        <is>
          <t>Series A</t>
        </is>
      </c>
      <c r="J1069" t="inlineStr">
        <is>
          <t>NTT Venture Capital</t>
        </is>
      </c>
      <c r="K1069" t="inlineStr">
        <is>
          <t>https://entrackr.com/fintrackr/decoding-neysas-series-a-round-valuation-and-shareholding-pattern-9319868</t>
        </is>
      </c>
    </row>
    <row r="1070">
      <c r="A1070" t="inlineStr">
        <is>
          <t>ET-121570857</t>
        </is>
      </c>
      <c r="B1070" t="inlineStr">
        <is>
          <t>R250602-pepperfry</t>
        </is>
      </c>
      <c r="C1070" t="inlineStr">
        <is>
          <t>The Economic Times</t>
        </is>
      </c>
      <c r="D1070" s="17" t="n">
        <v>45810</v>
      </c>
      <c r="E1070" t="inlineStr">
        <is>
          <t>Pepperfry</t>
        </is>
      </c>
      <c r="F1070" t="inlineStr">
        <is>
          <t>Rs 43.3 crore</t>
        </is>
      </c>
      <c r="G1070" s="19" t="n">
        <v>43.3</v>
      </c>
      <c r="H1070" s="19" t="n"/>
      <c r="I1070" t="inlineStr">
        <is>
          <t>Undisclosed</t>
        </is>
      </c>
      <c r="J1070" t="inlineStr"/>
      <c r="K1070" t="inlineStr">
        <is>
          <t>https://economictimes.indiatimes.com/tech/startups/furniture-retailer-pepperfry-raises-rs-43-crore-from-existing-investors/articleshow/121570857.cms</t>
        </is>
      </c>
    </row>
    <row r="1071">
      <c r="A1071" t="inlineStr">
        <is>
          <t>ENT-9327516</t>
        </is>
      </c>
      <c r="B1071" t="inlineStr">
        <is>
          <t>R250602-spense</t>
        </is>
      </c>
      <c r="C1071" t="inlineStr">
        <is>
          <t>Entrackr</t>
        </is>
      </c>
      <c r="D1071" s="17" t="n">
        <v>45810</v>
      </c>
      <c r="E1071" t="inlineStr">
        <is>
          <t>Spense</t>
        </is>
      </c>
      <c r="F1071" t="inlineStr">
        <is>
          <t>$1.85 million</t>
        </is>
      </c>
      <c r="G1071" s="19" t="n"/>
      <c r="H1071" s="19" t="n">
        <v>1.85</v>
      </c>
      <c r="I1071" t="inlineStr">
        <is>
          <t>Pre-Seed</t>
        </is>
      </c>
      <c r="J1071" t="inlineStr">
        <is>
          <t>GrowthCap Ventures</t>
        </is>
      </c>
      <c r="K1071" t="inlineStr">
        <is>
          <t>https://entrackr.com/snippets/growthcap-leads-185-mn-pre-seed-round-in-spense-9327516</t>
        </is>
      </c>
    </row>
    <row r="1072">
      <c r="A1072" t="inlineStr">
        <is>
          <t>INC-20250607-11</t>
        </is>
      </c>
      <c r="B1072" t="inlineStr">
        <is>
          <t>R250602-spense</t>
        </is>
      </c>
      <c r="C1072" t="inlineStr">
        <is>
          <t>Inc42</t>
        </is>
      </c>
      <c r="D1072" s="17" t="n">
        <v>45810</v>
      </c>
      <c r="E1072" t="inlineStr">
        <is>
          <t>Spense</t>
        </is>
      </c>
      <c r="F1072" t="inlineStr">
        <is>
          <t>$1.9 Mn</t>
        </is>
      </c>
      <c r="G1072" s="19" t="n"/>
      <c r="H1072" s="19" t="n">
        <v>1.9</v>
      </c>
      <c r="I1072" t="inlineStr">
        <is>
          <t>Pre-Seed</t>
        </is>
      </c>
      <c r="J1072" t="inlineStr">
        <is>
          <t>GrowthCap Ventures</t>
        </is>
      </c>
      <c r="K1072" t="inlineStr">
        <is>
          <t>https://inc42.com/buzz/from-snitch-to-stable-money-indian-startups-raised-134-mn-this-week/</t>
        </is>
      </c>
    </row>
    <row r="1073">
      <c r="A1073" t="inlineStr">
        <is>
          <t>ENT-9327813</t>
        </is>
      </c>
      <c r="B1073" t="inlineStr">
        <is>
          <t>R250602-udaan</t>
        </is>
      </c>
      <c r="C1073" t="inlineStr">
        <is>
          <t>Entrackr</t>
        </is>
      </c>
      <c r="D1073" s="17" t="n">
        <v>45810</v>
      </c>
      <c r="E1073" t="inlineStr">
        <is>
          <t>Udaan</t>
        </is>
      </c>
      <c r="F1073" t="inlineStr">
        <is>
          <t>$114 million</t>
        </is>
      </c>
      <c r="G1073" s="19" t="n"/>
      <c r="H1073" s="19" t="n">
        <v>114</v>
      </c>
      <c r="I1073" t="inlineStr">
        <is>
          <t>Series G</t>
        </is>
      </c>
      <c r="J1073" t="inlineStr">
        <is>
          <t>M&amp;G Investments; Lightspeed</t>
        </is>
      </c>
      <c r="K1073" t="inlineStr">
        <is>
          <t>https://entrackr.com/news/udaan-closes-series-g-round-at-114-mn-9327813</t>
        </is>
      </c>
    </row>
    <row r="1074">
      <c r="A1074" t="inlineStr">
        <is>
          <t>ET-121564790</t>
        </is>
      </c>
      <c r="B1074" t="inlineStr">
        <is>
          <t>R250602-udaan</t>
        </is>
      </c>
      <c r="C1074" t="inlineStr">
        <is>
          <t>The Economic Times</t>
        </is>
      </c>
      <c r="D1074" s="17" t="n">
        <v>45810</v>
      </c>
      <c r="E1074" t="inlineStr">
        <is>
          <t>Udaan</t>
        </is>
      </c>
      <c r="F1074" t="inlineStr">
        <is>
          <t>$114 million</t>
        </is>
      </c>
      <c r="G1074" s="19" t="n"/>
      <c r="H1074" s="19" t="n">
        <v>114</v>
      </c>
      <c r="I1074" t="inlineStr">
        <is>
          <t>Undisclosed</t>
        </is>
      </c>
      <c r="J1074" t="inlineStr">
        <is>
          <t>M&amp;amp</t>
        </is>
      </c>
      <c r="K1074" t="inlineStr">
        <is>
          <t>https://economictimes.indiatimes.com/tech/funding/udaan-closes-latest-funding-round-at-114-million-led-by-uks-mg-lightspeed/articleshow/121564790.cms</t>
        </is>
      </c>
    </row>
    <row r="1075">
      <c r="A1075" t="inlineStr">
        <is>
          <t>INC-20250607-02</t>
        </is>
      </c>
      <c r="B1075" t="inlineStr">
        <is>
          <t>R250602-udaan</t>
        </is>
      </c>
      <c r="C1075" t="inlineStr">
        <is>
          <t>Inc42</t>
        </is>
      </c>
      <c r="D1075" s="17" t="n">
        <v>45810</v>
      </c>
      <c r="E1075" t="inlineStr">
        <is>
          <t>Udaan</t>
        </is>
      </c>
      <c r="F1075" t="inlineStr">
        <is>
          <t>$39 Mn</t>
        </is>
      </c>
      <c r="G1075" s="19" t="n"/>
      <c r="H1075" s="19" t="n">
        <v>39</v>
      </c>
      <c r="I1075" t="inlineStr">
        <is>
          <t>Series G</t>
        </is>
      </c>
      <c r="J1075" t="inlineStr"/>
      <c r="K1075" t="inlineStr">
        <is>
          <t>https://inc42.com/buzz/from-snitch-to-stable-money-indian-startups-raised-134-mn-this-week/</t>
        </is>
      </c>
    </row>
    <row r="1076">
      <c r="A1076" t="inlineStr">
        <is>
          <t>VCC-1a6bcff240</t>
        </is>
      </c>
      <c r="B1076" t="inlineStr">
        <is>
          <t>R250602-udaan</t>
        </is>
      </c>
      <c r="C1076" t="inlineStr">
        <is>
          <t>VCCircle</t>
        </is>
      </c>
      <c r="D1076" s="17" t="n">
        <v>45810</v>
      </c>
      <c r="E1076" t="inlineStr">
        <is>
          <t>udaan</t>
        </is>
      </c>
      <c r="F1076" t="inlineStr"/>
      <c r="G1076" s="19" t="n"/>
      <c r="H1076" s="19" t="n"/>
      <c r="I1076" t="inlineStr">
        <is>
          <t>Series G</t>
        </is>
      </c>
      <c r="J1076" t="inlineStr"/>
      <c r="K1076" t="inlineStr">
        <is>
          <t>https://www.vccircle.com/b2bcommerce-platform-udaan-wraps-up-series-g-funding-round</t>
        </is>
      </c>
    </row>
    <row r="1077">
      <c r="A1077" t="inlineStr">
        <is>
          <t>ENT-9331170</t>
        </is>
      </c>
      <c r="B1077" t="inlineStr">
        <is>
          <t>R250603-gullylabs</t>
        </is>
      </c>
      <c r="C1077" t="inlineStr">
        <is>
          <t>Entrackr</t>
        </is>
      </c>
      <c r="D1077" s="17" t="n">
        <v>45811</v>
      </c>
      <c r="E1077" t="inlineStr">
        <is>
          <t>Gully Labs</t>
        </is>
      </c>
      <c r="F1077" t="inlineStr">
        <is>
          <t>Rs 8.7 crore</t>
        </is>
      </c>
      <c r="G1077" s="19" t="n">
        <v>8.699999999999999</v>
      </c>
      <c r="H1077" s="19" t="n"/>
      <c r="I1077" t="inlineStr">
        <is>
          <t>Seed</t>
        </is>
      </c>
      <c r="J1077" t="inlineStr">
        <is>
          <t>Zeropearl VC; Atrium Ventures; Vivekananda Hallekere; Suhasini Sampath; Nishchay AG; Ashutosh Valani; Anurag Ramadasan; Rahul Seth</t>
        </is>
      </c>
      <c r="K1077" t="inlineStr">
        <is>
          <t>https://entrackr.com/snippets/gully-labs-raises-rs-87-cr-in-seed-round-led-by-zeropearl-vc-9331170</t>
        </is>
      </c>
    </row>
    <row r="1078">
      <c r="A1078" t="inlineStr">
        <is>
          <t>INC-20250607-12</t>
        </is>
      </c>
      <c r="B1078" t="inlineStr">
        <is>
          <t>R250603-gullylabs</t>
        </is>
      </c>
      <c r="C1078" t="inlineStr">
        <is>
          <t>Inc42</t>
        </is>
      </c>
      <c r="D1078" s="17" t="n">
        <v>45811</v>
      </c>
      <c r="E1078" t="inlineStr">
        <is>
          <t>Gully Labs</t>
        </is>
      </c>
      <c r="F1078" t="inlineStr">
        <is>
          <t>$1 Mn</t>
        </is>
      </c>
      <c r="G1078" s="19" t="n"/>
      <c r="H1078" s="19" t="n">
        <v>1</v>
      </c>
      <c r="I1078" t="inlineStr">
        <is>
          <t>Seed</t>
        </is>
      </c>
      <c r="J1078" t="inlineStr">
        <is>
          <t>Zeropearl VC</t>
        </is>
      </c>
      <c r="K1078" t="inlineStr">
        <is>
          <t>https://inc42.com/buzz/from-snitch-to-stable-money-indian-startups-raised-134-mn-this-week/</t>
        </is>
      </c>
    </row>
    <row r="1079">
      <c r="A1079" t="inlineStr">
        <is>
          <t>ET-121603219</t>
        </is>
      </c>
      <c r="B1079" t="inlineStr">
        <is>
          <t>R250603-gyandhan</t>
        </is>
      </c>
      <c r="C1079" t="inlineStr">
        <is>
          <t>The Economic Times</t>
        </is>
      </c>
      <c r="D1079" s="17" t="n">
        <v>45811</v>
      </c>
      <c r="E1079" t="inlineStr">
        <is>
          <t>GyanDhan</t>
        </is>
      </c>
      <c r="F1079" t="inlineStr">
        <is>
          <t>Rs 50 crore</t>
        </is>
      </c>
      <c r="G1079" s="19" t="n">
        <v>50</v>
      </c>
      <c r="H1079" s="19" t="n"/>
      <c r="I1079" t="inlineStr">
        <is>
          <t>Undisclosed</t>
        </is>
      </c>
      <c r="J1079" t="inlineStr"/>
      <c r="K1079" t="inlineStr">
        <is>
          <t>https://economictimes.indiatimes.com/tech/funding/education-financing-startup-gyandhan-raises-rs-50-crore-from-edtech-firm-classplus-vc-fund-pravega-ventures/articleshow/121603219.cms</t>
        </is>
      </c>
    </row>
    <row r="1080">
      <c r="A1080" t="inlineStr">
        <is>
          <t>INC-20250607-05</t>
        </is>
      </c>
      <c r="B1080" t="inlineStr">
        <is>
          <t>R250603-gyandhan</t>
        </is>
      </c>
      <c r="C1080" t="inlineStr">
        <is>
          <t>Inc42</t>
        </is>
      </c>
      <c r="D1080" s="17" t="n">
        <v>45811</v>
      </c>
      <c r="E1080" t="inlineStr">
        <is>
          <t>GyanDhan</t>
        </is>
      </c>
      <c r="F1080" t="inlineStr">
        <is>
          <t>$5.8 Mn</t>
        </is>
      </c>
      <c r="G1080" s="19" t="n"/>
      <c r="H1080" s="19" t="n">
        <v>5.8</v>
      </c>
      <c r="I1080" t="inlineStr">
        <is>
          <t>Series A</t>
        </is>
      </c>
      <c r="J1080" t="inlineStr"/>
      <c r="K1080" t="inlineStr">
        <is>
          <t>https://inc42.com/buzz/from-snitch-to-stable-money-indian-startups-raised-134-mn-this-week/</t>
        </is>
      </c>
    </row>
    <row r="1081">
      <c r="A1081" t="inlineStr">
        <is>
          <t>ENT-9333649</t>
        </is>
      </c>
      <c r="B1081" t="inlineStr">
        <is>
          <t>R250603-gyandhan</t>
        </is>
      </c>
      <c r="C1081" t="inlineStr">
        <is>
          <t>Entrackr</t>
        </is>
      </c>
      <c r="D1081" s="17" t="n">
        <v>45812</v>
      </c>
      <c r="E1081" t="inlineStr">
        <is>
          <t>GyanDhan</t>
        </is>
      </c>
      <c r="F1081" t="inlineStr">
        <is>
          <t>Rs 50 crore</t>
        </is>
      </c>
      <c r="G1081" s="19" t="n">
        <v>50</v>
      </c>
      <c r="H1081" s="19" t="n">
        <v>5.8</v>
      </c>
      <c r="I1081" t="inlineStr">
        <is>
          <t>Series A</t>
        </is>
      </c>
      <c r="J1081" t="inlineStr"/>
      <c r="K1081" t="inlineStr">
        <is>
          <t>https://entrackr.com/snippets/gyandhan-raises-rs-50-cr-in-series-a-round-from-classplus-and-pravega-9333649</t>
        </is>
      </c>
    </row>
    <row r="1082">
      <c r="A1082" t="inlineStr">
        <is>
          <t>ENT-9330660</t>
        </is>
      </c>
      <c r="B1082" t="inlineStr">
        <is>
          <t>R250603-plush</t>
        </is>
      </c>
      <c r="C1082" t="inlineStr">
        <is>
          <t>Entrackr</t>
        </is>
      </c>
      <c r="D1082" s="17" t="n">
        <v>45811</v>
      </c>
      <c r="E1082" t="inlineStr">
        <is>
          <t>Plush</t>
        </is>
      </c>
      <c r="F1082" t="inlineStr">
        <is>
          <t>Rs 40 crore</t>
        </is>
      </c>
      <c r="G1082" s="19" t="n">
        <v>40</v>
      </c>
      <c r="H1082" s="19" t="n"/>
      <c r="I1082" t="inlineStr">
        <is>
          <t>Undisclosed</t>
        </is>
      </c>
      <c r="J1082" t="inlineStr">
        <is>
          <t>Rahul Garg</t>
        </is>
      </c>
      <c r="K1082" t="inlineStr">
        <is>
          <t>https://entrackr.com/exclusive/exclusive-feminine-care-brand-plush-to-kick-off-series-b-round-at-3x-valuation-surge-9330660</t>
        </is>
      </c>
    </row>
    <row r="1083">
      <c r="A1083" t="inlineStr">
        <is>
          <t>INC-20250607-06</t>
        </is>
      </c>
      <c r="B1083" t="inlineStr">
        <is>
          <t>R250603-plush</t>
        </is>
      </c>
      <c r="C1083" t="inlineStr">
        <is>
          <t>Inc42</t>
        </is>
      </c>
      <c r="D1083" s="17" t="n">
        <v>45812</v>
      </c>
      <c r="E1083" t="inlineStr">
        <is>
          <t>Plush</t>
        </is>
      </c>
      <c r="F1083" t="inlineStr">
        <is>
          <t>$4.7 Mn</t>
        </is>
      </c>
      <c r="G1083" s="19" t="n"/>
      <c r="H1083" s="19" t="n">
        <v>4.7</v>
      </c>
      <c r="I1083" t="inlineStr">
        <is>
          <t>Undisclosed</t>
        </is>
      </c>
      <c r="J1083" t="inlineStr">
        <is>
          <t>Rahul Garg</t>
        </is>
      </c>
      <c r="K1083" t="inlineStr">
        <is>
          <t>https://inc42.com/buzz/from-snitch-to-stable-money-indian-startups-raised-134-mn-this-week/</t>
        </is>
      </c>
    </row>
    <row r="1084">
      <c r="A1084" t="inlineStr">
        <is>
          <t>VCC-46418dd929</t>
        </is>
      </c>
      <c r="B1084" t="inlineStr">
        <is>
          <t>R250603-plush</t>
        </is>
      </c>
      <c r="C1084" t="inlineStr">
        <is>
          <t>VCCircle</t>
        </is>
      </c>
      <c r="D1084" s="17" t="n">
        <v>45813</v>
      </c>
      <c r="E1084" t="inlineStr">
        <is>
          <t>plush</t>
        </is>
      </c>
      <c r="F1084" t="inlineStr"/>
      <c r="G1084" s="19" t="n"/>
      <c r="H1084" s="19" t="n"/>
      <c r="I1084" t="inlineStr">
        <is>
          <t>Series B</t>
        </is>
      </c>
      <c r="J1084" t="inlineStr"/>
      <c r="K1084" t="inlineStr">
        <is>
          <t>https://www.vccircle.com/womens-wellness-brand-plush-raises-series-b-from-blume-ex-premjiinvest-exec</t>
        </is>
      </c>
    </row>
    <row r="1085">
      <c r="A1085" t="inlineStr">
        <is>
          <t>ENT-9331008</t>
        </is>
      </c>
      <c r="B1085" t="inlineStr">
        <is>
          <t>R250603-serveclub</t>
        </is>
      </c>
      <c r="C1085" t="inlineStr">
        <is>
          <t>Entrackr</t>
        </is>
      </c>
      <c r="D1085" s="17" t="n">
        <v>45811</v>
      </c>
      <c r="E1085" t="inlineStr">
        <is>
          <t>ServeClub</t>
        </is>
      </c>
      <c r="F1085" t="inlineStr"/>
      <c r="G1085" s="19" t="n"/>
      <c r="H1085" s="19" t="n"/>
      <c r="I1085" t="inlineStr">
        <is>
          <t>Seed</t>
        </is>
      </c>
      <c r="J1085" t="inlineStr"/>
      <c r="K1085" t="inlineStr">
        <is>
          <t>https://entrackr.com/snippets/serveclub-raises-seed-round-from-rare-rabbit-the-moms-co-founders-9331008</t>
        </is>
      </c>
    </row>
    <row r="1086">
      <c r="A1086" t="inlineStr">
        <is>
          <t>ENT-9330477</t>
        </is>
      </c>
      <c r="B1086" t="inlineStr">
        <is>
          <t>R250603-stablemoney</t>
        </is>
      </c>
      <c r="C1086" t="inlineStr">
        <is>
          <t>Entrackr</t>
        </is>
      </c>
      <c r="D1086" s="17" t="n">
        <v>45811</v>
      </c>
      <c r="E1086" t="inlineStr">
        <is>
          <t>Stable Money</t>
        </is>
      </c>
      <c r="F1086" t="inlineStr">
        <is>
          <t>$20 million</t>
        </is>
      </c>
      <c r="G1086" s="19" t="n">
        <v>173</v>
      </c>
      <c r="H1086" s="19" t="n">
        <v>20</v>
      </c>
      <c r="I1086" t="inlineStr">
        <is>
          <t>Undisclosed</t>
        </is>
      </c>
      <c r="J1086" t="inlineStr">
        <is>
          <t>Fundamentum Partnership; Z47; RTP Global; Lightspeed</t>
        </is>
      </c>
      <c r="K1086" t="inlineStr">
        <is>
          <t>https://entrackr.com/news/stable-money-raises-20-mn-led-by-fundamentum-9330477</t>
        </is>
      </c>
    </row>
    <row r="1087">
      <c r="A1087" t="inlineStr">
        <is>
          <t>ET-121575665</t>
        </is>
      </c>
      <c r="B1087" t="inlineStr">
        <is>
          <t>R250603-stablemoney</t>
        </is>
      </c>
      <c r="C1087" t="inlineStr">
        <is>
          <t>The Economic Times</t>
        </is>
      </c>
      <c r="D1087" s="17" t="n">
        <v>45811</v>
      </c>
      <c r="E1087" t="inlineStr">
        <is>
          <t>Stable Money</t>
        </is>
      </c>
      <c r="F1087" t="inlineStr">
        <is>
          <t>$20 million</t>
        </is>
      </c>
      <c r="G1087" s="19" t="n">
        <v>173</v>
      </c>
      <c r="H1087" s="19" t="n">
        <v>20</v>
      </c>
      <c r="I1087" t="inlineStr">
        <is>
          <t>Undisclosed</t>
        </is>
      </c>
      <c r="J1087" t="inlineStr">
        <is>
          <t>Fundamentum Partnership</t>
        </is>
      </c>
      <c r="K1087" t="inlineStr">
        <is>
          <t>https://economictimes.indiatimes.com/tech/funding/wealthtech-startup-stable-money-raises-20-million-in-round-led-by-nilekanis-fundamentum-partnership/articleshow/121575665.cms</t>
        </is>
      </c>
    </row>
    <row r="1088">
      <c r="A1088" t="inlineStr">
        <is>
          <t>INC-20250607-03</t>
        </is>
      </c>
      <c r="B1088" t="inlineStr">
        <is>
          <t>R250603-stablemoney</t>
        </is>
      </c>
      <c r="C1088" t="inlineStr">
        <is>
          <t>Inc42</t>
        </is>
      </c>
      <c r="D1088" s="17" t="n">
        <v>45811</v>
      </c>
      <c r="E1088" t="inlineStr">
        <is>
          <t>Stable Money</t>
        </is>
      </c>
      <c r="F1088" t="inlineStr">
        <is>
          <t>$20 Mn</t>
        </is>
      </c>
      <c r="G1088" s="19" t="n"/>
      <c r="H1088" s="19" t="n">
        <v>20</v>
      </c>
      <c r="I1088" t="inlineStr">
        <is>
          <t>Series B</t>
        </is>
      </c>
      <c r="J1088" t="inlineStr">
        <is>
          <t>Fundamentum Partnership</t>
        </is>
      </c>
      <c r="K1088" t="inlineStr">
        <is>
          <t>https://inc42.com/buzz/from-snitch-to-stable-money-indian-startups-raised-134-mn-this-week/</t>
        </is>
      </c>
    </row>
    <row r="1089">
      <c r="A1089" t="inlineStr">
        <is>
          <t>INC-20250607-09</t>
        </is>
      </c>
      <c r="B1089" t="inlineStr">
        <is>
          <t>R250603-truediamond</t>
        </is>
      </c>
      <c r="C1089" t="inlineStr">
        <is>
          <t>Inc42</t>
        </is>
      </c>
      <c r="D1089" s="17" t="n">
        <v>45811</v>
      </c>
      <c r="E1089" t="inlineStr">
        <is>
          <t>True Diamond</t>
        </is>
      </c>
      <c r="F1089" t="inlineStr">
        <is>
          <t>$3 Mn</t>
        </is>
      </c>
      <c r="G1089" s="19" t="n"/>
      <c r="H1089" s="19" t="n">
        <v>3</v>
      </c>
      <c r="I1089" t="inlineStr">
        <is>
          <t>Undisclosed</t>
        </is>
      </c>
      <c r="J1089" t="inlineStr">
        <is>
          <t>India Quotient</t>
        </is>
      </c>
      <c r="K1089" t="inlineStr">
        <is>
          <t>https://inc42.com/buzz/from-snitch-to-stable-money-indian-startups-raised-134-mn-this-week/</t>
        </is>
      </c>
    </row>
    <row r="1090">
      <c r="A1090" t="inlineStr">
        <is>
          <t>ENT-9334235</t>
        </is>
      </c>
      <c r="B1090" t="inlineStr">
        <is>
          <t>R250603-truediamond</t>
        </is>
      </c>
      <c r="C1090" t="inlineStr">
        <is>
          <t>Entrackr</t>
        </is>
      </c>
      <c r="D1090" s="17" t="n">
        <v>45812</v>
      </c>
      <c r="E1090" t="inlineStr">
        <is>
          <t>True Diamond</t>
        </is>
      </c>
      <c r="F1090" t="inlineStr">
        <is>
          <t>Rs 26 crore</t>
        </is>
      </c>
      <c r="G1090" s="19" t="n">
        <v>26</v>
      </c>
      <c r="H1090" s="19" t="n">
        <v>3</v>
      </c>
      <c r="I1090" t="inlineStr">
        <is>
          <t>Pre-Series A</t>
        </is>
      </c>
      <c r="J1090" t="inlineStr">
        <is>
          <t>India Quotient; Titan Capital Winners Fund; Huddle Ventures</t>
        </is>
      </c>
      <c r="K1090" t="inlineStr">
        <is>
          <t>https://entrackr.com/snippets/true-diamond-raises-3-mn-led-by-india-quotient-9334235</t>
        </is>
      </c>
    </row>
    <row r="1091">
      <c r="A1091" t="inlineStr">
        <is>
          <t>VCC-d1c31d4752</t>
        </is>
      </c>
      <c r="B1091" t="inlineStr">
        <is>
          <t>R250603-truediamond</t>
        </is>
      </c>
      <c r="C1091" t="inlineStr">
        <is>
          <t>VCCircle</t>
        </is>
      </c>
      <c r="D1091" s="17" t="n">
        <v>45812</v>
      </c>
      <c r="E1091" t="inlineStr">
        <is>
          <t>jewellerystartup true diamond</t>
        </is>
      </c>
      <c r="F1091" t="inlineStr">
        <is>
          <t>$ 3 million</t>
        </is>
      </c>
      <c r="G1091" s="19" t="n"/>
      <c r="H1091" s="19" t="n">
        <v>3</v>
      </c>
      <c r="I1091" t="inlineStr">
        <is>
          <t>Undisclosed</t>
        </is>
      </c>
      <c r="J1091" t="inlineStr"/>
      <c r="K1091" t="inlineStr">
        <is>
          <t>https://www.vccircle.com/jewellerystartup-true-diamond-secures-3-mn-in-early-stage-funding</t>
        </is>
      </c>
    </row>
    <row r="1092">
      <c r="A1092" t="inlineStr">
        <is>
          <t>INC-20250607-10</t>
        </is>
      </c>
      <c r="B1092" t="inlineStr">
        <is>
          <t>R250604-naagin</t>
        </is>
      </c>
      <c r="C1092" t="inlineStr">
        <is>
          <t>Inc42</t>
        </is>
      </c>
      <c r="D1092" s="17" t="n">
        <v>45812</v>
      </c>
      <c r="E1092" t="inlineStr">
        <is>
          <t>Naagin</t>
        </is>
      </c>
      <c r="F1092" t="inlineStr">
        <is>
          <t>$2.1 Mn</t>
        </is>
      </c>
      <c r="G1092" s="19" t="n"/>
      <c r="H1092" s="19" t="n">
        <v>2.1</v>
      </c>
      <c r="I1092" t="inlineStr">
        <is>
          <t>Undisclosed</t>
        </is>
      </c>
      <c r="J1092" t="inlineStr">
        <is>
          <t>360One Asset</t>
        </is>
      </c>
      <c r="K1092" t="inlineStr">
        <is>
          <t>https://inc42.com/buzz/from-snitch-to-stable-money-indian-startups-raised-134-mn-this-week/</t>
        </is>
      </c>
    </row>
    <row r="1093">
      <c r="A1093" t="inlineStr">
        <is>
          <t>INC-20250607-13</t>
        </is>
      </c>
      <c r="B1093" t="inlineStr">
        <is>
          <t>R250605-biglilpeople</t>
        </is>
      </c>
      <c r="C1093" t="inlineStr">
        <is>
          <t>Inc42</t>
        </is>
      </c>
      <c r="D1093" s="17" t="n">
        <v>45813</v>
      </c>
      <c r="E1093" t="inlineStr">
        <is>
          <t>Biglilpeople</t>
        </is>
      </c>
      <c r="F1093" t="inlineStr">
        <is>
          <t>$466K</t>
        </is>
      </c>
      <c r="G1093" s="19" t="n"/>
      <c r="H1093" s="19" t="n">
        <v>0.466</v>
      </c>
      <c r="I1093" t="inlineStr">
        <is>
          <t>Seed</t>
        </is>
      </c>
      <c r="J1093" t="inlineStr"/>
      <c r="K1093" t="inlineStr">
        <is>
          <t>https://inc42.com/buzz/from-snitch-to-stable-money-indian-startups-raised-134-mn-this-week/</t>
        </is>
      </c>
    </row>
    <row r="1094">
      <c r="A1094" t="inlineStr">
        <is>
          <t>ENT-9336946</t>
        </is>
      </c>
      <c r="B1094" t="inlineStr">
        <is>
          <t>R250605-kharifoods</t>
        </is>
      </c>
      <c r="C1094" t="inlineStr">
        <is>
          <t>Entrackr</t>
        </is>
      </c>
      <c r="D1094" s="17" t="n">
        <v>45813</v>
      </c>
      <c r="E1094" t="inlineStr">
        <is>
          <t>Khari Foods</t>
        </is>
      </c>
      <c r="F1094" t="inlineStr">
        <is>
          <t>Rs 3 crore</t>
        </is>
      </c>
      <c r="G1094" s="19" t="n">
        <v>3</v>
      </c>
      <c r="H1094" s="19" t="n">
        <v>0.35</v>
      </c>
      <c r="I1094" t="inlineStr">
        <is>
          <t>Seed</t>
        </is>
      </c>
      <c r="J1094" t="inlineStr">
        <is>
          <t>Meri Punji IMF Private Limited</t>
        </is>
      </c>
      <c r="K1094" t="inlineStr">
        <is>
          <t>https://entrackr.com/snippets/khari-foods-raises-rs-3-cr-in-seed-round-9336946</t>
        </is>
      </c>
    </row>
    <row r="1095">
      <c r="A1095" t="inlineStr">
        <is>
          <t>INC-20250607-14</t>
        </is>
      </c>
      <c r="B1095" t="inlineStr">
        <is>
          <t>R250605-kharifoods</t>
        </is>
      </c>
      <c r="C1095" t="inlineStr">
        <is>
          <t>Inc42</t>
        </is>
      </c>
      <c r="D1095" s="17" t="n">
        <v>45813</v>
      </c>
      <c r="E1095" t="inlineStr">
        <is>
          <t>Khari Foods</t>
        </is>
      </c>
      <c r="F1095" t="inlineStr">
        <is>
          <t>$350K</t>
        </is>
      </c>
      <c r="G1095" s="19" t="n"/>
      <c r="H1095" s="19" t="n">
        <v>0.35</v>
      </c>
      <c r="I1095" t="inlineStr">
        <is>
          <t>Seed</t>
        </is>
      </c>
      <c r="J1095" t="inlineStr">
        <is>
          <t>Meri Punji IMF</t>
        </is>
      </c>
      <c r="K1095" t="inlineStr">
        <is>
          <t>https://inc42.com/buzz/from-snitch-to-stable-money-indian-startups-raised-134-mn-this-week/</t>
        </is>
      </c>
    </row>
    <row r="1096">
      <c r="A1096" t="inlineStr">
        <is>
          <t>ENT-9336604</t>
        </is>
      </c>
      <c r="B1096" t="inlineStr">
        <is>
          <t>R250605-loantap</t>
        </is>
      </c>
      <c r="C1096" t="inlineStr">
        <is>
          <t>Entrackr</t>
        </is>
      </c>
      <c r="D1096" s="17" t="n">
        <v>45813</v>
      </c>
      <c r="E1096" t="inlineStr">
        <is>
          <t>Loantap</t>
        </is>
      </c>
      <c r="F1096" t="inlineStr">
        <is>
          <t>$6.2 million</t>
        </is>
      </c>
      <c r="G1096" s="19" t="n"/>
      <c r="H1096" s="19" t="n">
        <v>6.2</v>
      </c>
      <c r="I1096" t="inlineStr">
        <is>
          <t>Undisclosed</t>
        </is>
      </c>
      <c r="J1096" t="inlineStr">
        <is>
          <t>July Ventures</t>
        </is>
      </c>
      <c r="K1096" t="inlineStr">
        <is>
          <t>https://entrackr.com/snippets/loantap-raises-62-mn-led-by-july-ventures-9336604</t>
        </is>
      </c>
    </row>
    <row r="1097">
      <c r="A1097" t="inlineStr">
        <is>
          <t>ET-121629403</t>
        </is>
      </c>
      <c r="B1097" t="inlineStr">
        <is>
          <t>R250605-loantap</t>
        </is>
      </c>
      <c r="C1097" t="inlineStr">
        <is>
          <t>The Economic Times</t>
        </is>
      </c>
      <c r="D1097" s="17" t="n">
        <v>45813</v>
      </c>
      <c r="E1097" t="inlineStr">
        <is>
          <t>Loantap</t>
        </is>
      </c>
      <c r="F1097" t="inlineStr">
        <is>
          <t>$6.2 million</t>
        </is>
      </c>
      <c r="G1097" s="19" t="n"/>
      <c r="H1097" s="19" t="n">
        <v>6.2</v>
      </c>
      <c r="I1097" t="inlineStr">
        <is>
          <t>Undisclosed</t>
        </is>
      </c>
      <c r="J1097" t="inlineStr">
        <is>
          <t>July Ventures</t>
        </is>
      </c>
      <c r="K1097" t="inlineStr">
        <is>
          <t>https://economictimes.indiatimes.com/tech/funding/loantap-secures-6-2-million-in-fresh-funding-from-july-ventures-and-existing-investors/articleshow/121629403.cms</t>
        </is>
      </c>
    </row>
    <row r="1098">
      <c r="A1098" t="inlineStr">
        <is>
          <t>INC-20250607-04</t>
        </is>
      </c>
      <c r="B1098" t="inlineStr">
        <is>
          <t>R250605-loantap</t>
        </is>
      </c>
      <c r="C1098" t="inlineStr">
        <is>
          <t>Inc42</t>
        </is>
      </c>
      <c r="D1098" s="17" t="n">
        <v>45813</v>
      </c>
      <c r="E1098" t="inlineStr">
        <is>
          <t>LoanTap</t>
        </is>
      </c>
      <c r="F1098" t="inlineStr">
        <is>
          <t>$8.6 Mn</t>
        </is>
      </c>
      <c r="G1098" s="19" t="n"/>
      <c r="H1098" s="19" t="n">
        <v>8.6</v>
      </c>
      <c r="I1098" t="inlineStr">
        <is>
          <t>Pre-Series C</t>
        </is>
      </c>
      <c r="J1098" t="inlineStr">
        <is>
          <t>July Ventures</t>
        </is>
      </c>
      <c r="K1098" t="inlineStr">
        <is>
          <t>https://inc42.com/buzz/from-snitch-to-stable-money-indian-startups-raised-134-mn-this-week/</t>
        </is>
      </c>
    </row>
    <row r="1099">
      <c r="A1099" t="inlineStr">
        <is>
          <t>VCC-ff9c88de6d</t>
        </is>
      </c>
      <c r="B1099" t="inlineStr">
        <is>
          <t>R250605-loantap</t>
        </is>
      </c>
      <c r="C1099" t="inlineStr">
        <is>
          <t>VCCircle</t>
        </is>
      </c>
      <c r="D1099" s="17" t="n">
        <v>45813</v>
      </c>
      <c r="E1099" t="inlineStr">
        <is>
          <t>loantap</t>
        </is>
      </c>
      <c r="F1099" t="inlineStr"/>
      <c r="G1099" s="19" t="n"/>
      <c r="H1099" s="19" t="n"/>
      <c r="I1099" t="inlineStr">
        <is>
          <t>Pre-Series C</t>
        </is>
      </c>
      <c r="J1099" t="inlineStr"/>
      <c r="K1099" t="inlineStr">
        <is>
          <t>https://www.vccircle.com/digitallending-startup-loantap-raises-pre-series-c-round</t>
        </is>
      </c>
    </row>
    <row r="1100">
      <c r="A1100" t="inlineStr">
        <is>
          <t>ENT-9336653</t>
        </is>
      </c>
      <c r="B1100" t="inlineStr">
        <is>
          <t>R250605-stridegreen</t>
        </is>
      </c>
      <c r="C1100" t="inlineStr">
        <is>
          <t>Entrackr</t>
        </is>
      </c>
      <c r="D1100" s="17" t="n">
        <v>45813</v>
      </c>
      <c r="E1100" t="inlineStr">
        <is>
          <t>Stride Green</t>
        </is>
      </c>
      <c r="F1100" t="inlineStr">
        <is>
          <t>$3.5 million</t>
        </is>
      </c>
      <c r="G1100" s="19" t="n"/>
      <c r="H1100" s="19" t="n">
        <v>3.5</v>
      </c>
      <c r="I1100" t="inlineStr">
        <is>
          <t>Seed</t>
        </is>
      </c>
      <c r="J1100" t="inlineStr">
        <is>
          <t>Micelio Technology Fund; Incubate Fund Asia</t>
        </is>
      </c>
      <c r="K1100" t="inlineStr">
        <is>
          <t>https://entrackr.com/snippets/stride-green-raises-35-mn-in-seed-round-9336653</t>
        </is>
      </c>
    </row>
    <row r="1101">
      <c r="A1101" t="inlineStr">
        <is>
          <t>ET-121638995</t>
        </is>
      </c>
      <c r="B1101" t="inlineStr">
        <is>
          <t>R250605-stridegreen</t>
        </is>
      </c>
      <c r="C1101" t="inlineStr">
        <is>
          <t>The Economic Times</t>
        </is>
      </c>
      <c r="D1101" s="17" t="n">
        <v>45813</v>
      </c>
      <c r="E1101" t="inlineStr">
        <is>
          <t>StrideGreen</t>
        </is>
      </c>
      <c r="F1101" t="inlineStr">
        <is>
          <t>$3.5 million</t>
        </is>
      </c>
      <c r="G1101" s="19" t="n"/>
      <c r="H1101" s="19" t="n">
        <v>3.5</v>
      </c>
      <c r="I1101" t="inlineStr">
        <is>
          <t>Undisclosed</t>
        </is>
      </c>
      <c r="J1101" t="inlineStr">
        <is>
          <t>Micelio Technology Fund</t>
        </is>
      </c>
      <c r="K1101" t="inlineStr">
        <is>
          <t>https://economictimes.indiatimes.com/tech/funding/cleantech-asset-financier-stridegreen-raises-3-5-million-from-micelio-tech-fund-incubate-fund-asia/articleshow/121638995.cms</t>
        </is>
      </c>
    </row>
    <row r="1102">
      <c r="A1102" t="inlineStr">
        <is>
          <t>ENT-9336626</t>
        </is>
      </c>
      <c r="B1102" t="inlineStr">
        <is>
          <t>R250605-syfe</t>
        </is>
      </c>
      <c r="C1102" t="inlineStr">
        <is>
          <t>Entrackr</t>
        </is>
      </c>
      <c r="D1102" s="17" t="n">
        <v>45813</v>
      </c>
      <c r="E1102" t="inlineStr">
        <is>
          <t>Syfe</t>
        </is>
      </c>
      <c r="F1102" t="inlineStr">
        <is>
          <t>$80 million</t>
        </is>
      </c>
      <c r="G1102" s="19" t="n"/>
      <c r="H1102" s="19" t="n">
        <v>80</v>
      </c>
      <c r="I1102" t="inlineStr">
        <is>
          <t>Series C</t>
        </is>
      </c>
      <c r="J1102" t="inlineStr"/>
      <c r="K1102" t="inlineStr">
        <is>
          <t>https://entrackr.com/news/wealth-management-platform-syfe-raises-80-mn-in-series-c-9336626</t>
        </is>
      </c>
    </row>
    <row r="1103">
      <c r="A1103" t="inlineStr">
        <is>
          <t>ET-121653155</t>
        </is>
      </c>
      <c r="B1103" t="inlineStr">
        <is>
          <t>R250605-syfe</t>
        </is>
      </c>
      <c r="C1103" t="inlineStr">
        <is>
          <t>The Economic Times</t>
        </is>
      </c>
      <c r="D1103" s="17" t="n">
        <v>45813</v>
      </c>
      <c r="E1103" t="inlineStr">
        <is>
          <t>Syfe</t>
        </is>
      </c>
      <c r="F1103" t="inlineStr">
        <is>
          <t>$53 million</t>
        </is>
      </c>
      <c r="G1103" s="19" t="n"/>
      <c r="H1103" s="19" t="n">
        <v>53</v>
      </c>
      <c r="I1103" t="inlineStr">
        <is>
          <t>Undisclosed</t>
        </is>
      </c>
      <c r="J1103" t="inlineStr"/>
      <c r="K1103" t="inlineStr">
        <is>
          <t>https://economictimes.indiatimes.com/tech/funding/wealthtech-platform-syfe-closes-80-million-funding-round-plans-to-expand-tech-team-in-india/articleshow/121653155.cms</t>
        </is>
      </c>
    </row>
    <row r="1104">
      <c r="A1104" t="inlineStr">
        <is>
          <t>VCC-37d77dfaa0</t>
        </is>
      </c>
      <c r="B1104" t="inlineStr">
        <is>
          <t>R250605-syfe</t>
        </is>
      </c>
      <c r="C1104" t="inlineStr">
        <is>
          <t>VCCircle</t>
        </is>
      </c>
      <c r="D1104" s="17" t="n">
        <v>45813</v>
      </c>
      <c r="E1104" t="inlineStr">
        <is>
          <t>syfe</t>
        </is>
      </c>
      <c r="F1104" t="inlineStr">
        <is>
          <t>$ 80 million</t>
        </is>
      </c>
      <c r="G1104" s="19" t="n"/>
      <c r="H1104" s="19" t="n">
        <v>80</v>
      </c>
      <c r="I1104" t="inlineStr">
        <is>
          <t>Series C</t>
        </is>
      </c>
      <c r="J1104" t="inlineStr"/>
      <c r="K1104" t="inlineStr">
        <is>
          <t>https://www.vccircle.com/valarventures-backed-wealth-platform-syfe-raises-80-mn-in-series-c-funding</t>
        </is>
      </c>
    </row>
    <row r="1105">
      <c r="A1105" t="inlineStr">
        <is>
          <t>ENT-9336938</t>
        </is>
      </c>
      <c r="B1105" t="inlineStr">
        <is>
          <t>R250605-thetarzanway</t>
        </is>
      </c>
      <c r="C1105" t="inlineStr">
        <is>
          <t>Entrackr</t>
        </is>
      </c>
      <c r="D1105" s="17" t="n">
        <v>45813</v>
      </c>
      <c r="E1105" t="inlineStr">
        <is>
          <t>The Tarzan Way</t>
        </is>
      </c>
      <c r="F1105" t="inlineStr">
        <is>
          <t>Rs 2 crore</t>
        </is>
      </c>
      <c r="G1105" s="19" t="n">
        <v>2</v>
      </c>
      <c r="H1105" s="19" t="n">
        <v>0.233</v>
      </c>
      <c r="I1105" t="inlineStr">
        <is>
          <t>Seed</t>
        </is>
      </c>
      <c r="J1105" t="inlineStr">
        <is>
          <t>Inflection Point Ventures</t>
        </is>
      </c>
      <c r="K1105" t="inlineStr">
        <is>
          <t>https://entrackr.com/snippets/travel-tech-startup-the-tarzan-way-raises-rs-2-cr-led-by-ipv-9336938</t>
        </is>
      </c>
    </row>
    <row r="1106">
      <c r="A1106" t="inlineStr">
        <is>
          <t>INC-20250607-15</t>
        </is>
      </c>
      <c r="B1106" t="inlineStr">
        <is>
          <t>R250605-thetarzanway</t>
        </is>
      </c>
      <c r="C1106" t="inlineStr">
        <is>
          <t>Inc42</t>
        </is>
      </c>
      <c r="D1106" s="17" t="n">
        <v>45813</v>
      </c>
      <c r="E1106" t="inlineStr">
        <is>
          <t>The Tarzan Way</t>
        </is>
      </c>
      <c r="F1106" t="inlineStr">
        <is>
          <t>$233K</t>
        </is>
      </c>
      <c r="G1106" s="19" t="n"/>
      <c r="H1106" s="19" t="n">
        <v>0.233</v>
      </c>
      <c r="I1106" t="inlineStr">
        <is>
          <t>Seed</t>
        </is>
      </c>
      <c r="J1106" t="inlineStr">
        <is>
          <t>Inflection Point Venture</t>
        </is>
      </c>
      <c r="K1106" t="inlineStr">
        <is>
          <t>https://inc42.com/buzz/from-snitch-to-stable-money-indian-startups-raised-134-mn-this-week/</t>
        </is>
      </c>
    </row>
    <row r="1107">
      <c r="A1107" t="inlineStr">
        <is>
          <t>ET-121675811</t>
        </is>
      </c>
      <c r="B1107" t="inlineStr">
        <is>
          <t>R250606-biopeak</t>
        </is>
      </c>
      <c r="C1107" t="inlineStr">
        <is>
          <t>The Economic Times</t>
        </is>
      </c>
      <c r="D1107" s="17" t="n">
        <v>45814</v>
      </c>
      <c r="E1107" t="inlineStr">
        <is>
          <t>Biopeak</t>
        </is>
      </c>
      <c r="F1107" t="inlineStr">
        <is>
          <t>$3 million</t>
        </is>
      </c>
      <c r="G1107" s="19" t="n"/>
      <c r="H1107" s="19" t="n">
        <v>3</v>
      </c>
      <c r="I1107" t="inlineStr">
        <is>
          <t>Seed</t>
        </is>
      </c>
      <c r="J1107" t="inlineStr"/>
      <c r="K1107" t="inlineStr">
        <is>
          <t>https://economictimes.indiatimes.com/tech/funding/wellness-and-longevity-startup-biopeak-raises-3-million-from-ranjan-pais-claypond-capital-accels-prashanth-prakash-others/articleshow/121675811.cms</t>
        </is>
      </c>
    </row>
    <row r="1108">
      <c r="A1108" t="inlineStr">
        <is>
          <t>INC-20250607-07</t>
        </is>
      </c>
      <c r="B1108" t="inlineStr">
        <is>
          <t>R250606-biopeak</t>
        </is>
      </c>
      <c r="C1108" t="inlineStr">
        <is>
          <t>Inc42</t>
        </is>
      </c>
      <c r="D1108" s="17" t="n">
        <v>45814</v>
      </c>
      <c r="E1108" t="inlineStr">
        <is>
          <t>Biopeak</t>
        </is>
      </c>
      <c r="F1108" t="inlineStr">
        <is>
          <t>$3.5 Mn</t>
        </is>
      </c>
      <c r="G1108" s="19" t="n"/>
      <c r="H1108" s="19" t="n">
        <v>3.5</v>
      </c>
      <c r="I1108" t="inlineStr">
        <is>
          <t>Seed</t>
        </is>
      </c>
      <c r="J1108" t="inlineStr">
        <is>
          <t>Prashanth Prakash</t>
        </is>
      </c>
      <c r="K1108" t="inlineStr">
        <is>
          <t>https://inc42.com/buzz/from-snitch-to-stable-money-indian-startups-raised-134-mn-this-week/</t>
        </is>
      </c>
    </row>
    <row r="1109">
      <c r="A1109" t="inlineStr">
        <is>
          <t>ENT-9339941</t>
        </is>
      </c>
      <c r="B1109" t="inlineStr">
        <is>
          <t>R250606-decentro</t>
        </is>
      </c>
      <c r="C1109" t="inlineStr">
        <is>
          <t>Entrackr</t>
        </is>
      </c>
      <c r="D1109" s="17" t="n">
        <v>45814</v>
      </c>
      <c r="E1109" t="inlineStr">
        <is>
          <t>Decentro</t>
        </is>
      </c>
      <c r="F1109" t="inlineStr">
        <is>
          <t>Rs 30 crore</t>
        </is>
      </c>
      <c r="G1109" s="19" t="n">
        <v>30</v>
      </c>
      <c r="H1109" s="19" t="n"/>
      <c r="I1109" t="inlineStr">
        <is>
          <t>Series B</t>
        </is>
      </c>
      <c r="J1109" t="inlineStr">
        <is>
          <t>InfoEdge Ventures</t>
        </is>
      </c>
      <c r="K1109" t="inlineStr">
        <is>
          <t>https://entrackr.com/snippets/decentro-raises-rs-30-cr-in-series-b-to-shift-domicile-to-india-9339941</t>
        </is>
      </c>
    </row>
    <row r="1110">
      <c r="A1110" t="inlineStr">
        <is>
          <t>ET-121672965</t>
        </is>
      </c>
      <c r="B1110" t="inlineStr">
        <is>
          <t>R250606-decentro</t>
        </is>
      </c>
      <c r="C1110" t="inlineStr">
        <is>
          <t>The Economic Times</t>
        </is>
      </c>
      <c r="D1110" s="17" t="n">
        <v>45814</v>
      </c>
      <c r="E1110" t="inlineStr">
        <is>
          <t>Decentro</t>
        </is>
      </c>
      <c r="F1110" t="inlineStr">
        <is>
          <t>Rs 30 crore</t>
        </is>
      </c>
      <c r="G1110" s="19" t="n">
        <v>30</v>
      </c>
      <c r="H1110" s="19" t="n"/>
      <c r="I1110" t="inlineStr">
        <is>
          <t>Undisclosed</t>
        </is>
      </c>
      <c r="J1110" t="inlineStr">
        <is>
          <t>InfoEdge Ventures</t>
        </is>
      </c>
      <c r="K1110" t="inlineStr">
        <is>
          <t>https://economictimes.indiatimes.com/tech/funding/fintech-startup-decentro-raises-rs-30-crore-will-shift-domicile-to-india/articleshow/121672965.cms</t>
        </is>
      </c>
    </row>
    <row r="1111">
      <c r="A1111" t="inlineStr">
        <is>
          <t>INC-20250607-08</t>
        </is>
      </c>
      <c r="B1111" t="inlineStr">
        <is>
          <t>R250606-decentro</t>
        </is>
      </c>
      <c r="C1111" t="inlineStr">
        <is>
          <t>Inc42</t>
        </is>
      </c>
      <c r="D1111" s="17" t="n">
        <v>45814</v>
      </c>
      <c r="E1111" t="inlineStr">
        <is>
          <t>Decentro</t>
        </is>
      </c>
      <c r="F1111" t="inlineStr">
        <is>
          <t>$3.5 Mn</t>
        </is>
      </c>
      <c r="G1111" s="19" t="n"/>
      <c r="H1111" s="19" t="n">
        <v>3.5</v>
      </c>
      <c r="I1111" t="inlineStr">
        <is>
          <t>Series B</t>
        </is>
      </c>
      <c r="J1111" t="inlineStr">
        <is>
          <t>InfoEdge Ventures</t>
        </is>
      </c>
      <c r="K1111" t="inlineStr">
        <is>
          <t>https://inc42.com/buzz/from-snitch-to-stable-money-indian-startups-raised-134-mn-this-week/</t>
        </is>
      </c>
    </row>
    <row r="1112">
      <c r="A1112" t="inlineStr">
        <is>
          <t>VCC-8dd87b9b5e</t>
        </is>
      </c>
      <c r="B1112" t="inlineStr">
        <is>
          <t>R250606-decentro</t>
        </is>
      </c>
      <c r="C1112" t="inlineStr">
        <is>
          <t>VCCircle</t>
        </is>
      </c>
      <c r="D1112" s="17" t="n">
        <v>45814</v>
      </c>
      <c r="E1112" t="inlineStr">
        <is>
          <t>decentro</t>
        </is>
      </c>
      <c r="F1112" t="inlineStr"/>
      <c r="G1112" s="19" t="n"/>
      <c r="H1112" s="19" t="n"/>
      <c r="I1112" t="inlineStr">
        <is>
          <t>Series B</t>
        </is>
      </c>
      <c r="J1112" t="inlineStr"/>
      <c r="K1112" t="inlineStr">
        <is>
          <t>https://www.vccircle.com/infoedgeventures-leads-series-b-funding-in-decentro</t>
        </is>
      </c>
    </row>
    <row r="1113">
      <c r="A1113" t="inlineStr">
        <is>
          <t>ENT-9340447</t>
        </is>
      </c>
      <c r="B1113" t="inlineStr">
        <is>
          <t>R250606-kosmcai</t>
        </is>
      </c>
      <c r="C1113" t="inlineStr">
        <is>
          <t>Entrackr</t>
        </is>
      </c>
      <c r="D1113" s="17" t="n">
        <v>45814</v>
      </c>
      <c r="E1113" t="inlineStr">
        <is>
          <t>Kosmc AI</t>
        </is>
      </c>
      <c r="F1113" t="inlineStr">
        <is>
          <t>$200K</t>
        </is>
      </c>
      <c r="G1113" s="19" t="n"/>
      <c r="H1113" s="19" t="n">
        <v>0.2</v>
      </c>
      <c r="I1113" t="inlineStr">
        <is>
          <t>Pre-Seed</t>
        </is>
      </c>
      <c r="J1113" t="inlineStr"/>
      <c r="K1113" t="inlineStr">
        <is>
          <t>https://entrackr.com/snippets/social-commerce-infrastructure-startup-kosmc-ai-raises-pre-seed-round-9340447</t>
        </is>
      </c>
    </row>
    <row r="1114">
      <c r="A1114" t="inlineStr">
        <is>
          <t>INC-20250607-16</t>
        </is>
      </c>
      <c r="B1114" t="inlineStr">
        <is>
          <t>R250606-kosmcai</t>
        </is>
      </c>
      <c r="C1114" t="inlineStr">
        <is>
          <t>Inc42</t>
        </is>
      </c>
      <c r="D1114" s="17" t="n">
        <v>45814</v>
      </c>
      <c r="E1114" t="inlineStr">
        <is>
          <t>Kosmc AI</t>
        </is>
      </c>
      <c r="F1114" t="inlineStr">
        <is>
          <t>$200K</t>
        </is>
      </c>
      <c r="G1114" s="19" t="n"/>
      <c r="H1114" s="19" t="n">
        <v>0.2</v>
      </c>
      <c r="I1114" t="inlineStr">
        <is>
          <t>Pre-Seed</t>
        </is>
      </c>
      <c r="J1114" t="inlineStr"/>
      <c r="K1114" t="inlineStr">
        <is>
          <t>https://inc42.com/buzz/from-snitch-to-stable-money-indian-startups-raised-134-mn-this-week/</t>
        </is>
      </c>
    </row>
    <row r="1115">
      <c r="A1115" t="inlineStr">
        <is>
          <t>ENT-9349417</t>
        </is>
      </c>
      <c r="B1115" t="inlineStr">
        <is>
          <t>R250609-cred</t>
        </is>
      </c>
      <c r="C1115" t="inlineStr">
        <is>
          <t>Entrackr</t>
        </is>
      </c>
      <c r="D1115" s="17" t="n">
        <v>45817</v>
      </c>
      <c r="E1115" t="inlineStr">
        <is>
          <t>CRED</t>
        </is>
      </c>
      <c r="F1115" t="inlineStr">
        <is>
          <t>Rs 617 crore</t>
        </is>
      </c>
      <c r="G1115" s="19" t="n">
        <v>617</v>
      </c>
      <c r="H1115" s="19" t="n">
        <v>72</v>
      </c>
      <c r="I1115" t="inlineStr">
        <is>
          <t>Undisclosed</t>
        </is>
      </c>
      <c r="J1115" t="inlineStr"/>
      <c r="K1115" t="inlineStr">
        <is>
          <t>https://entrackr.com/news/cred-raises-72-mn-from-lathe-kunal-shahs-qed-and-others-9349417</t>
        </is>
      </c>
    </row>
    <row r="1116">
      <c r="A1116" t="inlineStr">
        <is>
          <t>INC-20250614-03</t>
        </is>
      </c>
      <c r="B1116" t="inlineStr">
        <is>
          <t>R250609-cred</t>
        </is>
      </c>
      <c r="C1116" t="inlineStr">
        <is>
          <t>Inc42</t>
        </is>
      </c>
      <c r="D1116" s="17" t="n">
        <v>45818</v>
      </c>
      <c r="E1116" t="inlineStr">
        <is>
          <t>CRED</t>
        </is>
      </c>
      <c r="F1116" t="inlineStr">
        <is>
          <t>$72 Mn</t>
        </is>
      </c>
      <c r="G1116" s="19" t="n"/>
      <c r="H1116" s="19" t="n">
        <v>72</v>
      </c>
      <c r="I1116" t="inlineStr">
        <is>
          <t>Series G</t>
        </is>
      </c>
      <c r="J1116" t="inlineStr">
        <is>
          <t>Lathe Investment</t>
        </is>
      </c>
      <c r="K1116" t="inlineStr">
        <is>
          <t>https://inc42.com/buzz/from-groww-to-sanlayan-indian-startups-raised-559-mn-this-week/</t>
        </is>
      </c>
    </row>
    <row r="1117">
      <c r="A1117" t="inlineStr">
        <is>
          <t>ENT-9347781</t>
        </is>
      </c>
      <c r="B1117" t="inlineStr">
        <is>
          <t>R250609-roomstoryai</t>
        </is>
      </c>
      <c r="C1117" t="inlineStr">
        <is>
          <t>Entrackr</t>
        </is>
      </c>
      <c r="D1117" s="17" t="n">
        <v>45817</v>
      </c>
      <c r="E1117" t="inlineStr">
        <is>
          <t>Roomstory.ai</t>
        </is>
      </c>
      <c r="F1117" t="inlineStr">
        <is>
          <t>Rs 3 crore</t>
        </is>
      </c>
      <c r="G1117" s="19" t="n">
        <v>3</v>
      </c>
      <c r="H1117" s="19" t="n"/>
      <c r="I1117" t="inlineStr">
        <is>
          <t>Pre-Seed</t>
        </is>
      </c>
      <c r="J1117" t="inlineStr">
        <is>
          <t>Rukam Sitara Fund; Aakash Anand; Wolfpack Labs</t>
        </is>
      </c>
      <c r="K1117" t="inlineStr">
        <is>
          <t>https://entrackr.com/snippets/interior-discovery-platform-roomstoryai-raises-pre-seed-round-led-by-rukam-sitara-fund-9347781</t>
        </is>
      </c>
    </row>
    <row r="1118">
      <c r="A1118" t="inlineStr">
        <is>
          <t>INC-20250614-17</t>
        </is>
      </c>
      <c r="B1118" t="inlineStr">
        <is>
          <t>R250609-roomstoryai</t>
        </is>
      </c>
      <c r="C1118" t="inlineStr">
        <is>
          <t>Inc42</t>
        </is>
      </c>
      <c r="D1118" s="17" t="n">
        <v>45817</v>
      </c>
      <c r="E1118" t="inlineStr">
        <is>
          <t>Roomstory.ai</t>
        </is>
      </c>
      <c r="F1118" t="inlineStr">
        <is>
          <t>$348K</t>
        </is>
      </c>
      <c r="G1118" s="19" t="n"/>
      <c r="H1118" s="19" t="n">
        <v>0.348</v>
      </c>
      <c r="I1118" t="inlineStr">
        <is>
          <t>Pre-Seed</t>
        </is>
      </c>
      <c r="J1118" t="inlineStr">
        <is>
          <t>Rukam Sitara Fund</t>
        </is>
      </c>
      <c r="K1118" t="inlineStr">
        <is>
          <t>https://inc42.com/buzz/from-groww-to-sanlayan-indian-startups-raised-559-mn-this-week/</t>
        </is>
      </c>
    </row>
    <row r="1119">
      <c r="A1119" t="inlineStr">
        <is>
          <t>ENT-9347529</t>
        </is>
      </c>
      <c r="B1119" t="inlineStr">
        <is>
          <t>R250609-sanlayan</t>
        </is>
      </c>
      <c r="C1119" t="inlineStr">
        <is>
          <t>Entrackr</t>
        </is>
      </c>
      <c r="D1119" s="17" t="n">
        <v>45817</v>
      </c>
      <c r="E1119" t="inlineStr">
        <is>
          <t>Sanlayan</t>
        </is>
      </c>
      <c r="F1119" t="inlineStr">
        <is>
          <t>Rs 186 crore</t>
        </is>
      </c>
      <c r="G1119" s="19" t="n">
        <v>186</v>
      </c>
      <c r="H1119" s="19" t="n">
        <v>22</v>
      </c>
      <c r="I1119" t="inlineStr">
        <is>
          <t>Series A</t>
        </is>
      </c>
      <c r="J1119" t="inlineStr">
        <is>
          <t>Ashish Kacholia; Lashit Sanghvi; Jungle Ventures</t>
        </is>
      </c>
      <c r="K1119" t="inlineStr">
        <is>
          <t>https://entrackr.com/news/defence-electronics-startup-sanlayan-raises-rs-186-cr-in-series-a-9347529</t>
        </is>
      </c>
    </row>
    <row r="1120">
      <c r="A1120" t="inlineStr">
        <is>
          <t>INC-20250614-05</t>
        </is>
      </c>
      <c r="B1120" t="inlineStr">
        <is>
          <t>R250609-sanlayan</t>
        </is>
      </c>
      <c r="C1120" t="inlineStr">
        <is>
          <t>Inc42</t>
        </is>
      </c>
      <c r="D1120" s="17" t="n">
        <v>45817</v>
      </c>
      <c r="E1120" t="inlineStr">
        <is>
          <t>Sanlayan</t>
        </is>
      </c>
      <c r="F1120" t="inlineStr">
        <is>
          <t>$21.7 Mn</t>
        </is>
      </c>
      <c r="G1120" s="19" t="n"/>
      <c r="H1120" s="19" t="n">
        <v>21.7</v>
      </c>
      <c r="I1120" t="inlineStr">
        <is>
          <t>Series A</t>
        </is>
      </c>
      <c r="J1120" t="inlineStr">
        <is>
          <t>Ashish Kacholia</t>
        </is>
      </c>
      <c r="K1120" t="inlineStr">
        <is>
          <t>https://inc42.com/buzz/from-groww-to-sanlayan-indian-startups-raised-559-mn-this-week/</t>
        </is>
      </c>
    </row>
    <row r="1121">
      <c r="A1121" t="inlineStr">
        <is>
          <t>VCC-4d69b77b3e</t>
        </is>
      </c>
      <c r="B1121" t="inlineStr">
        <is>
          <t>R250609-sanlayan</t>
        </is>
      </c>
      <c r="C1121" t="inlineStr">
        <is>
          <t>VCCircle</t>
        </is>
      </c>
      <c r="D1121" s="17" t="n">
        <v>45817</v>
      </c>
      <c r="E1121" t="inlineStr">
        <is>
          <t>ashishkacholia jungle ventures lead funding in sanlayan roomstory</t>
        </is>
      </c>
      <c r="F1121" t="inlineStr"/>
      <c r="G1121" s="19" t="n"/>
      <c r="H1121" s="19" t="n"/>
      <c r="I1121" t="inlineStr">
        <is>
          <t>Pre-Seed</t>
        </is>
      </c>
      <c r="J1121" t="inlineStr"/>
      <c r="K1121" t="inlineStr">
        <is>
          <t>https://www.vccircle.com/ashishkacholia-jungle-ventures-lead-funding-in-sanlayan-roomstory-bags-pre-seed-cheque</t>
        </is>
      </c>
    </row>
    <row r="1122">
      <c r="A1122" t="inlineStr">
        <is>
          <t>ENT-9348232</t>
        </is>
      </c>
      <c r="B1122" t="inlineStr">
        <is>
          <t>R250609-vecmocon</t>
        </is>
      </c>
      <c r="C1122" t="inlineStr">
        <is>
          <t>Entrackr</t>
        </is>
      </c>
      <c r="D1122" s="17" t="n">
        <v>45817</v>
      </c>
      <c r="E1122" t="inlineStr">
        <is>
          <t>Vecmocon</t>
        </is>
      </c>
      <c r="F1122" t="inlineStr">
        <is>
          <t>$18 million</t>
        </is>
      </c>
      <c r="G1122" s="19" t="n"/>
      <c r="H1122" s="19" t="n">
        <v>18</v>
      </c>
      <c r="I1122" t="inlineStr">
        <is>
          <t>Series A</t>
        </is>
      </c>
      <c r="J1122" t="inlineStr">
        <is>
          <t>Ecosystem Integrity Fund</t>
        </is>
      </c>
      <c r="K1122" t="inlineStr">
        <is>
          <t>https://entrackr.com/snippets/vecmocon-raises-18-mn-in-series-a-round-led-by-eif-9348232</t>
        </is>
      </c>
    </row>
    <row r="1123">
      <c r="A1123" t="inlineStr">
        <is>
          <t>ET-121724466</t>
        </is>
      </c>
      <c r="B1123" t="inlineStr">
        <is>
          <t>R250609-vecmocon</t>
        </is>
      </c>
      <c r="C1123" t="inlineStr">
        <is>
          <t>The Economic Times</t>
        </is>
      </c>
      <c r="D1123" s="17" t="n">
        <v>45817</v>
      </c>
      <c r="E1123" t="inlineStr">
        <is>
          <t>Vecmocon Tech</t>
        </is>
      </c>
      <c r="F1123" t="inlineStr">
        <is>
          <t>$18 million</t>
        </is>
      </c>
      <c r="G1123" s="19" t="n"/>
      <c r="H1123" s="19" t="n">
        <v>18</v>
      </c>
      <c r="I1123" t="inlineStr">
        <is>
          <t>Undisclosed</t>
        </is>
      </c>
      <c r="J1123" t="inlineStr">
        <is>
          <t>Ecosystem Integrity Fund</t>
        </is>
      </c>
      <c r="K1123" t="inlineStr">
        <is>
          <t>https://economictimes.indiatimes.com/tech/funding/vecmocon-technologies-raises-over-18-million-in-series-a-round/articleshow/121724466.cms</t>
        </is>
      </c>
    </row>
    <row r="1124">
      <c r="A1124" t="inlineStr">
        <is>
          <t>INC-20250614-06</t>
        </is>
      </c>
      <c r="B1124" t="inlineStr">
        <is>
          <t>R250609-vecmocon</t>
        </is>
      </c>
      <c r="C1124" t="inlineStr">
        <is>
          <t>Inc42</t>
        </is>
      </c>
      <c r="D1124" s="17" t="n">
        <v>45817</v>
      </c>
      <c r="E1124" t="inlineStr">
        <is>
          <t>Vecmocon</t>
        </is>
      </c>
      <c r="F1124" t="inlineStr">
        <is>
          <t>$18 Mn</t>
        </is>
      </c>
      <c r="G1124" s="19" t="n"/>
      <c r="H1124" s="19" t="n">
        <v>18</v>
      </c>
      <c r="I1124" t="inlineStr">
        <is>
          <t>Series A</t>
        </is>
      </c>
      <c r="J1124" t="inlineStr">
        <is>
          <t>Ecosystem Integrity Fund; Aavishkaar Capital</t>
        </is>
      </c>
      <c r="K1124" t="inlineStr">
        <is>
          <t>https://inc42.com/buzz/from-groww-to-sanlayan-indian-startups-raised-559-mn-this-week/</t>
        </is>
      </c>
    </row>
    <row r="1125">
      <c r="A1125" t="inlineStr">
        <is>
          <t>INC-20250614-04</t>
        </is>
      </c>
      <c r="B1125" t="inlineStr">
        <is>
          <t>R250610-flexiloans</t>
        </is>
      </c>
      <c r="C1125" t="inlineStr">
        <is>
          <t>Inc42</t>
        </is>
      </c>
      <c r="D1125" s="17" t="n">
        <v>45818</v>
      </c>
      <c r="E1125" t="inlineStr">
        <is>
          <t>FlexiLoans</t>
        </is>
      </c>
      <c r="F1125" t="inlineStr">
        <is>
          <t>$43.8 Mn</t>
        </is>
      </c>
      <c r="G1125" s="19" t="n"/>
      <c r="H1125" s="19" t="n">
        <v>43.8</v>
      </c>
      <c r="I1125" t="inlineStr">
        <is>
          <t>Series C</t>
        </is>
      </c>
      <c r="J1125" t="inlineStr">
        <is>
          <t>Nuveen</t>
        </is>
      </c>
      <c r="K1125" t="inlineStr">
        <is>
          <t>https://inc42.com/buzz/from-groww-to-sanlayan-indian-startups-raised-559-mn-this-week/</t>
        </is>
      </c>
    </row>
    <row r="1126">
      <c r="A1126" t="inlineStr">
        <is>
          <t>ENT-9352911</t>
        </is>
      </c>
      <c r="B1126" t="inlineStr">
        <is>
          <t>R250610-flexiloans</t>
        </is>
      </c>
      <c r="C1126" t="inlineStr">
        <is>
          <t>Entrackr</t>
        </is>
      </c>
      <c r="D1126" s="17" t="n">
        <v>45819</v>
      </c>
      <c r="E1126" t="inlineStr">
        <is>
          <t>FlexiLoans</t>
        </is>
      </c>
      <c r="F1126" t="inlineStr">
        <is>
          <t>Rs 375 crore</t>
        </is>
      </c>
      <c r="G1126" s="19" t="n">
        <v>375</v>
      </c>
      <c r="H1126" s="19" t="n">
        <v>44</v>
      </c>
      <c r="I1126" t="inlineStr">
        <is>
          <t>Series C</t>
        </is>
      </c>
      <c r="J1126" t="inlineStr">
        <is>
          <t>Fundamentum; Accion Digital Transformation; Nuveen; Maj Invest</t>
        </is>
      </c>
      <c r="K1126" t="inlineStr">
        <is>
          <t>https://entrackr.com/news/flexiloans-raises-rs-375-cr-in-extended-series-c-round-9352911</t>
        </is>
      </c>
    </row>
    <row r="1127">
      <c r="A1127" t="inlineStr">
        <is>
          <t>ET-121760544</t>
        </is>
      </c>
      <c r="B1127" t="inlineStr">
        <is>
          <t>R250610-flexiloans</t>
        </is>
      </c>
      <c r="C1127" t="inlineStr">
        <is>
          <t>The Economic Times</t>
        </is>
      </c>
      <c r="D1127" s="17" t="n">
        <v>45819</v>
      </c>
      <c r="E1127" t="inlineStr">
        <is>
          <t>Flexiloans</t>
        </is>
      </c>
      <c r="F1127" t="inlineStr">
        <is>
          <t>Rs 375 crore</t>
        </is>
      </c>
      <c r="G1127" s="19" t="n">
        <v>375</v>
      </c>
      <c r="H1127" s="19" t="n"/>
      <c r="I1127" t="inlineStr">
        <is>
          <t>Undisclosed</t>
        </is>
      </c>
      <c r="J1127" t="inlineStr"/>
      <c r="K1127" t="inlineStr">
        <is>
          <t>https://economictimes.indiatimes.com/tech/funding/flexiloans-raises-another-rs-375-crore-from-fundamentum-accion-and-others/articleshow/121760544.cms</t>
        </is>
      </c>
    </row>
    <row r="1128">
      <c r="A1128" t="inlineStr">
        <is>
          <t>ENT-9350145</t>
        </is>
      </c>
      <c r="B1128" t="inlineStr">
        <is>
          <t>R250610-flicktv</t>
        </is>
      </c>
      <c r="C1128" t="inlineStr">
        <is>
          <t>Entrackr</t>
        </is>
      </c>
      <c r="D1128" s="17" t="n">
        <v>45818</v>
      </c>
      <c r="E1128" t="inlineStr">
        <is>
          <t>Flick TV</t>
        </is>
      </c>
      <c r="F1128" t="inlineStr">
        <is>
          <t>$2.3 million</t>
        </is>
      </c>
      <c r="G1128" s="19" t="n">
        <v>19.7</v>
      </c>
      <c r="H1128" s="19" t="n">
        <v>2.3</v>
      </c>
      <c r="I1128" t="inlineStr">
        <is>
          <t>Seed</t>
        </is>
      </c>
      <c r="J1128" t="inlineStr">
        <is>
          <t>Stellaris Venture Partners</t>
        </is>
      </c>
      <c r="K1128" t="inlineStr">
        <is>
          <t>https://entrackr.com/snippets/flick-tv-raises-23-mn-in-seed-round-led-by-stellaris-ventures-9350145</t>
        </is>
      </c>
    </row>
    <row r="1129">
      <c r="A1129" t="inlineStr">
        <is>
          <t>ET-121732502</t>
        </is>
      </c>
      <c r="B1129" t="inlineStr">
        <is>
          <t>R250610-flicktv</t>
        </is>
      </c>
      <c r="C1129" t="inlineStr">
        <is>
          <t>The Economic Times</t>
        </is>
      </c>
      <c r="D1129" s="17" t="n">
        <v>45818</v>
      </c>
      <c r="E1129" t="inlineStr">
        <is>
          <t>Flick TV</t>
        </is>
      </c>
      <c r="F1129" t="inlineStr">
        <is>
          <t>$2.3 million</t>
        </is>
      </c>
      <c r="G1129" s="19" t="n"/>
      <c r="H1129" s="19" t="n">
        <v>2.3</v>
      </c>
      <c r="I1129" t="inlineStr">
        <is>
          <t>Seed</t>
        </is>
      </c>
      <c r="J1129" t="inlineStr">
        <is>
          <t>Stellaris Venture Partners</t>
        </is>
      </c>
      <c r="K1129" t="inlineStr">
        <is>
          <t>https://economictimes.indiatimes.com/tech/funding/micro-drama-ott-platform-flick-tv-raises-2-3-million-in-round-led-by-stellaris-venture-partners/articleshow/121732502.cms</t>
        </is>
      </c>
    </row>
    <row r="1130">
      <c r="A1130" t="inlineStr">
        <is>
          <t>INC-20250614-10</t>
        </is>
      </c>
      <c r="B1130" t="inlineStr">
        <is>
          <t>R250610-flicktv</t>
        </is>
      </c>
      <c r="C1130" t="inlineStr">
        <is>
          <t>Inc42</t>
        </is>
      </c>
      <c r="D1130" s="17" t="n">
        <v>45818</v>
      </c>
      <c r="E1130" t="inlineStr">
        <is>
          <t>Flick TV</t>
        </is>
      </c>
      <c r="F1130" t="inlineStr">
        <is>
          <t>$2.3 Mn</t>
        </is>
      </c>
      <c r="G1130" s="19" t="n"/>
      <c r="H1130" s="19" t="n">
        <v>2.3</v>
      </c>
      <c r="I1130" t="inlineStr">
        <is>
          <t>Seed</t>
        </is>
      </c>
      <c r="J1130" t="inlineStr">
        <is>
          <t>Stellaris Venture Partners</t>
        </is>
      </c>
      <c r="K1130" t="inlineStr">
        <is>
          <t>https://inc42.com/buzz/from-groww-to-sanlayan-indian-startups-raised-559-mn-this-week/</t>
        </is>
      </c>
    </row>
    <row r="1131">
      <c r="A1131" t="inlineStr">
        <is>
          <t>INC-20250614-12</t>
        </is>
      </c>
      <c r="B1131" t="inlineStr">
        <is>
          <t>R250610-kisahapparels</t>
        </is>
      </c>
      <c r="C1131" t="inlineStr">
        <is>
          <t>Inc42</t>
        </is>
      </c>
      <c r="D1131" s="17" t="n">
        <v>45818</v>
      </c>
      <c r="E1131" t="inlineStr">
        <is>
          <t>Kisah Apparels</t>
        </is>
      </c>
      <c r="F1131" t="inlineStr">
        <is>
          <t>$1.5 Mn</t>
        </is>
      </c>
      <c r="G1131" s="19" t="n"/>
      <c r="H1131" s="19" t="n">
        <v>1.5</v>
      </c>
      <c r="I1131" t="inlineStr">
        <is>
          <t>Undisclosed</t>
        </is>
      </c>
      <c r="J1131" t="inlineStr">
        <is>
          <t>Sagar Daryani</t>
        </is>
      </c>
      <c r="K1131" t="inlineStr">
        <is>
          <t>https://inc42.com/buzz/from-groww-to-sanlayan-indian-startups-raised-559-mn-this-week/</t>
        </is>
      </c>
    </row>
    <row r="1132">
      <c r="A1132" t="inlineStr">
        <is>
          <t>ENT-9355545</t>
        </is>
      </c>
      <c r="B1132" t="inlineStr">
        <is>
          <t>R250610-kisahapparels</t>
        </is>
      </c>
      <c r="C1132" t="inlineStr">
        <is>
          <t>Entrackr</t>
        </is>
      </c>
      <c r="D1132" s="17" t="n">
        <v>45820</v>
      </c>
      <c r="E1132" t="inlineStr">
        <is>
          <t>Kisah</t>
        </is>
      </c>
      <c r="F1132" t="inlineStr">
        <is>
          <t>Rs 13 crore</t>
        </is>
      </c>
      <c r="G1132" s="19" t="n">
        <v>13</v>
      </c>
      <c r="H1132" s="19" t="n"/>
      <c r="I1132" t="inlineStr">
        <is>
          <t>Pre-Series A</t>
        </is>
      </c>
      <c r="J1132" t="inlineStr">
        <is>
          <t>Sagar Daryani; Rahul Todi; Vinod Dugar; Inflection Point Ventures</t>
        </is>
      </c>
      <c r="K1132" t="inlineStr">
        <is>
          <t>https://entrackr.com/snippets/mens-ethnicwear-brand-kisah-secures-rs-13-cr-to-expand-offline-and-d2c-biz-9355545</t>
        </is>
      </c>
    </row>
    <row r="1133">
      <c r="A1133" t="inlineStr">
        <is>
          <t>ET-121794467</t>
        </is>
      </c>
      <c r="B1133" t="inlineStr">
        <is>
          <t>R250610-kisahapparels</t>
        </is>
      </c>
      <c r="C1133" t="inlineStr">
        <is>
          <t>The Economic Times</t>
        </is>
      </c>
      <c r="D1133" s="17" t="n">
        <v>45820</v>
      </c>
      <c r="E1133" t="inlineStr">
        <is>
          <t>Kisah Apparels</t>
        </is>
      </c>
      <c r="F1133" t="inlineStr">
        <is>
          <t>Rs 13 crore</t>
        </is>
      </c>
      <c r="G1133" s="19" t="n">
        <v>13</v>
      </c>
      <c r="H1133" s="19" t="n"/>
      <c r="I1133" t="inlineStr">
        <is>
          <t>Undisclosed</t>
        </is>
      </c>
      <c r="J1133" t="inlineStr">
        <is>
          <t>Sagar Daryani</t>
        </is>
      </c>
      <c r="K1133" t="inlineStr">
        <is>
          <t>https://economictimes.indiatimes.com/tech/funding/ethnicwear-brand-kisah-apparels-raises-rs-13-crore-from-wow-momo-others/articleshow/121794467.cms</t>
        </is>
      </c>
    </row>
    <row r="1134">
      <c r="A1134" t="inlineStr">
        <is>
          <t>VCC-5984263831</t>
        </is>
      </c>
      <c r="B1134" t="inlineStr">
        <is>
          <t>R250610-kisahapparels</t>
        </is>
      </c>
      <c r="C1134" t="inlineStr">
        <is>
          <t>VCCircle</t>
        </is>
      </c>
      <c r="D1134" s="17" t="n">
        <v>45820</v>
      </c>
      <c r="E1134" t="inlineStr">
        <is>
          <t>kisah</t>
        </is>
      </c>
      <c r="F1134" t="inlineStr"/>
      <c r="G1134" s="19" t="n"/>
      <c r="H1134" s="19" t="n"/>
      <c r="I1134" t="inlineStr">
        <is>
          <t>Series A</t>
        </is>
      </c>
      <c r="J1134" t="inlineStr"/>
      <c r="K1134" t="inlineStr">
        <is>
          <t>https://www.vccircle.com/ethnicwear-brand-kisah-snags-angel-funding-plans-larger-series-a-round</t>
        </is>
      </c>
    </row>
    <row r="1135">
      <c r="A1135" t="inlineStr">
        <is>
          <t>ENT-9351425</t>
        </is>
      </c>
      <c r="B1135" t="inlineStr">
        <is>
          <t>R250610-wowmomo</t>
        </is>
      </c>
      <c r="C1135" t="inlineStr">
        <is>
          <t>Entrackr</t>
        </is>
      </c>
      <c r="D1135" s="17" t="n">
        <v>45818</v>
      </c>
      <c r="E1135" t="inlineStr">
        <is>
          <t>Wow! Momo</t>
        </is>
      </c>
      <c r="F1135" t="inlineStr">
        <is>
          <t>Rs 85 crore</t>
        </is>
      </c>
      <c r="G1135" s="19" t="n">
        <v>85</v>
      </c>
      <c r="H1135" s="19" t="n">
        <v>10</v>
      </c>
      <c r="I1135" t="inlineStr">
        <is>
          <t>Debt</t>
        </is>
      </c>
      <c r="J1135" t="inlineStr"/>
      <c r="K1135" t="inlineStr">
        <is>
          <t>https://entrackr.com/snippets/wow-momo-raises-rs-85-cr-in-debt-from-stride-ventures-9351425</t>
        </is>
      </c>
    </row>
    <row r="1136">
      <c r="A1136" t="inlineStr">
        <is>
          <t>INC-20250614-07</t>
        </is>
      </c>
      <c r="B1136" t="inlineStr">
        <is>
          <t>R250610-wowmomo</t>
        </is>
      </c>
      <c r="C1136" t="inlineStr">
        <is>
          <t>Inc42</t>
        </is>
      </c>
      <c r="D1136" s="17" t="n">
        <v>45818</v>
      </c>
      <c r="E1136" t="inlineStr">
        <is>
          <t>Wow! Momo</t>
        </is>
      </c>
      <c r="F1136" t="inlineStr">
        <is>
          <t>$10 Mn</t>
        </is>
      </c>
      <c r="G1136" s="19" t="n"/>
      <c r="H1136" s="19" t="n">
        <v>10</v>
      </c>
      <c r="I1136" t="inlineStr">
        <is>
          <t>Debt</t>
        </is>
      </c>
      <c r="J1136" t="inlineStr">
        <is>
          <t>Stride Ventures</t>
        </is>
      </c>
      <c r="K1136" t="inlineStr">
        <is>
          <t>https://inc42.com/buzz/from-groww-to-sanlayan-indian-startups-raised-559-mn-this-week/</t>
        </is>
      </c>
    </row>
    <row r="1137">
      <c r="A1137" t="inlineStr">
        <is>
          <t>ET-121760187</t>
        </is>
      </c>
      <c r="B1137" t="inlineStr">
        <is>
          <t>R250611-garudaaerospac</t>
        </is>
      </c>
      <c r="C1137" t="inlineStr">
        <is>
          <t>The Economic Times</t>
        </is>
      </c>
      <c r="D1137" s="17" t="n">
        <v>45819</v>
      </c>
      <c r="E1137" t="inlineStr">
        <is>
          <t>Garuda Aerospace</t>
        </is>
      </c>
      <c r="F1137" t="inlineStr">
        <is>
          <t>$1 million</t>
        </is>
      </c>
      <c r="G1137" s="19" t="n"/>
      <c r="H1137" s="19" t="n">
        <v>1</v>
      </c>
      <c r="I1137" t="inlineStr">
        <is>
          <t>Undisclosed</t>
        </is>
      </c>
      <c r="J1137" t="inlineStr"/>
      <c r="K1137" t="inlineStr">
        <is>
          <t>https://economictimes.indiatimes.com/tech/funding/garuda-aerospace-raises-1-million-from-narotam-sekhsaria-family-office-others/articleshow/121760187.cms</t>
        </is>
      </c>
    </row>
    <row r="1138">
      <c r="A1138" t="inlineStr">
        <is>
          <t>ENT-9353444</t>
        </is>
      </c>
      <c r="B1138" t="inlineStr">
        <is>
          <t>R250611-leumas</t>
        </is>
      </c>
      <c r="C1138" t="inlineStr">
        <is>
          <t>Entrackr</t>
        </is>
      </c>
      <c r="D1138" s="17" t="n">
        <v>45819</v>
      </c>
      <c r="E1138" t="inlineStr">
        <is>
          <t>Leumas</t>
        </is>
      </c>
      <c r="F1138" t="inlineStr">
        <is>
          <t>$2.2 million</t>
        </is>
      </c>
      <c r="G1138" s="19" t="n"/>
      <c r="H1138" s="19" t="n">
        <v>2.2</v>
      </c>
      <c r="I1138" t="inlineStr">
        <is>
          <t>Seed</t>
        </is>
      </c>
      <c r="J1138" t="inlineStr">
        <is>
          <t>Capital 2B; Temasek; Anicut Capital</t>
        </is>
      </c>
      <c r="K1138" t="inlineStr">
        <is>
          <t>https://entrackr.com/snippets/deeptech-manufacturing-startup-leumas-raises-22-mn-in-seed-round-9353444</t>
        </is>
      </c>
    </row>
    <row r="1139">
      <c r="A1139" t="inlineStr">
        <is>
          <t>INC-20250614-11</t>
        </is>
      </c>
      <c r="B1139" t="inlineStr">
        <is>
          <t>R250611-leumas</t>
        </is>
      </c>
      <c r="C1139" t="inlineStr">
        <is>
          <t>Inc42</t>
        </is>
      </c>
      <c r="D1139" s="17" t="n">
        <v>45819</v>
      </c>
      <c r="E1139" t="inlineStr">
        <is>
          <t>Leumas</t>
        </is>
      </c>
      <c r="F1139" t="inlineStr">
        <is>
          <t>$2.2 Mn</t>
        </is>
      </c>
      <c r="G1139" s="19" t="n"/>
      <c r="H1139" s="19" t="n">
        <v>2.2</v>
      </c>
      <c r="I1139" t="inlineStr">
        <is>
          <t>Seed</t>
        </is>
      </c>
      <c r="J1139" t="inlineStr">
        <is>
          <t>Capital 2B</t>
        </is>
      </c>
      <c r="K1139" t="inlineStr">
        <is>
          <t>https://inc42.com/buzz/from-groww-to-sanlayan-indian-startups-raised-559-mn-this-week/</t>
        </is>
      </c>
    </row>
    <row r="1140">
      <c r="A1140" t="inlineStr">
        <is>
          <t>ENT-9353316</t>
        </is>
      </c>
      <c r="B1140" t="inlineStr">
        <is>
          <t>R250611-machaxi</t>
        </is>
      </c>
      <c r="C1140" t="inlineStr">
        <is>
          <t>Entrackr</t>
        </is>
      </c>
      <c r="D1140" s="17" t="n">
        <v>45819</v>
      </c>
      <c r="E1140" t="inlineStr">
        <is>
          <t>Machaxi</t>
        </is>
      </c>
      <c r="F1140" t="inlineStr">
        <is>
          <t>$1.5 million</t>
        </is>
      </c>
      <c r="G1140" s="19" t="n"/>
      <c r="H1140" s="19" t="n">
        <v>1.5</v>
      </c>
      <c r="I1140" t="inlineStr">
        <is>
          <t>Undisclosed</t>
        </is>
      </c>
      <c r="J1140" t="inlineStr">
        <is>
          <t>Rainmatter</t>
        </is>
      </c>
      <c r="K1140" t="inlineStr">
        <is>
          <t>https://entrackr.com/snippets/machaxi-raises-15-mn-from-rainmatter-prakash-padukone-others-9353316</t>
        </is>
      </c>
    </row>
    <row r="1141">
      <c r="A1141" t="inlineStr">
        <is>
          <t>INC-20250614-13</t>
        </is>
      </c>
      <c r="B1141" t="inlineStr">
        <is>
          <t>R250611-machaxi</t>
        </is>
      </c>
      <c r="C1141" t="inlineStr">
        <is>
          <t>Inc42</t>
        </is>
      </c>
      <c r="D1141" s="17" t="n">
        <v>45819</v>
      </c>
      <c r="E1141" t="inlineStr">
        <is>
          <t>Machaxi</t>
        </is>
      </c>
      <c r="F1141" t="inlineStr">
        <is>
          <t>$1.5 Mn</t>
        </is>
      </c>
      <c r="G1141" s="19" t="n"/>
      <c r="H1141" s="19" t="n">
        <v>1.5</v>
      </c>
      <c r="I1141" t="inlineStr">
        <is>
          <t>Undisclosed</t>
        </is>
      </c>
      <c r="J1141" t="inlineStr">
        <is>
          <t>Rainmatter</t>
        </is>
      </c>
      <c r="K1141" t="inlineStr">
        <is>
          <t>https://inc42.com/buzz/from-groww-to-sanlayan-indian-startups-raised-559-mn-this-week/</t>
        </is>
      </c>
    </row>
    <row r="1142">
      <c r="A1142" t="inlineStr">
        <is>
          <t>ET-121807972</t>
        </is>
      </c>
      <c r="B1142" t="inlineStr">
        <is>
          <t>R250611-machaxi</t>
        </is>
      </c>
      <c r="C1142" t="inlineStr">
        <is>
          <t>The Economic Times</t>
        </is>
      </c>
      <c r="D1142" s="17" t="n">
        <v>45820</v>
      </c>
      <c r="E1142" t="inlineStr">
        <is>
          <t>Machaxi</t>
        </is>
      </c>
      <c r="F1142" t="inlineStr">
        <is>
          <t>$1.5 million</t>
        </is>
      </c>
      <c r="G1142" s="19" t="n"/>
      <c r="H1142" s="19" t="n">
        <v>1.5</v>
      </c>
      <c r="I1142" t="inlineStr">
        <is>
          <t>Undisclosed</t>
        </is>
      </c>
      <c r="J1142" t="inlineStr">
        <is>
          <t>Rainmatter</t>
        </is>
      </c>
      <c r="K1142" t="inlineStr">
        <is>
          <t>https://economictimes.indiatimes.com/tech/funding/sports-tech-company-machaxi-raises-1-5-million-from-prakash-padukone-rainmatter-others/articleshow/121807972.cms</t>
        </is>
      </c>
    </row>
    <row r="1143">
      <c r="A1143" t="inlineStr">
        <is>
          <t>ENT-9353235</t>
        </is>
      </c>
      <c r="B1143" t="inlineStr">
        <is>
          <t>R250611-piston</t>
        </is>
      </c>
      <c r="C1143" t="inlineStr">
        <is>
          <t>Entrackr</t>
        </is>
      </c>
      <c r="D1143" s="17" t="n">
        <v>45819</v>
      </c>
      <c r="E1143" t="inlineStr">
        <is>
          <t>Piston</t>
        </is>
      </c>
      <c r="F1143" t="inlineStr">
        <is>
          <t>$7.5 million</t>
        </is>
      </c>
      <c r="G1143" s="19" t="n"/>
      <c r="H1143" s="19" t="n">
        <v>7.5</v>
      </c>
      <c r="I1143" t="inlineStr">
        <is>
          <t>Pre-Seed</t>
        </is>
      </c>
      <c r="J1143" t="inlineStr">
        <is>
          <t>Spark Capital</t>
        </is>
      </c>
      <c r="K1143" t="inlineStr">
        <is>
          <t>https://entrackr.com/snippets/piston-closes-75-mn-seed-round-led-by-spark-capital-9353235</t>
        </is>
      </c>
    </row>
    <row r="1144">
      <c r="A1144" t="inlineStr">
        <is>
          <t>ENT-9353039</t>
        </is>
      </c>
      <c r="B1144" t="inlineStr">
        <is>
          <t>R250611-powerupmoney</t>
        </is>
      </c>
      <c r="C1144" t="inlineStr">
        <is>
          <t>Entrackr</t>
        </is>
      </c>
      <c r="D1144" s="17" t="n">
        <v>45819</v>
      </c>
      <c r="E1144" t="inlineStr">
        <is>
          <t>PowerUp Money</t>
        </is>
      </c>
      <c r="F1144" t="inlineStr">
        <is>
          <t>$7.1 million</t>
        </is>
      </c>
      <c r="G1144" s="19" t="n"/>
      <c r="H1144" s="19" t="n">
        <v>7.1</v>
      </c>
      <c r="I1144" t="inlineStr">
        <is>
          <t>Undisclosed</t>
        </is>
      </c>
      <c r="J1144" t="inlineStr">
        <is>
          <t>Accel; Blume Ventures; Kae Capital</t>
        </is>
      </c>
      <c r="K1144" t="inlineStr">
        <is>
          <t>https://entrackr.com/snippets/powerup-money-raises-71-mn-from-accel-blume-and-others-9353039</t>
        </is>
      </c>
    </row>
    <row r="1145">
      <c r="A1145" t="inlineStr">
        <is>
          <t>ET-121760344</t>
        </is>
      </c>
      <c r="B1145" t="inlineStr">
        <is>
          <t>R250611-powerupmoney</t>
        </is>
      </c>
      <c r="C1145" t="inlineStr">
        <is>
          <t>The Economic Times</t>
        </is>
      </c>
      <c r="D1145" s="17" t="n">
        <v>45819</v>
      </c>
      <c r="E1145" t="inlineStr">
        <is>
          <t>PowerUp Money</t>
        </is>
      </c>
      <c r="F1145" t="inlineStr">
        <is>
          <t>$7.1 million</t>
        </is>
      </c>
      <c r="G1145" s="19" t="n"/>
      <c r="H1145" s="19" t="n">
        <v>7.1</v>
      </c>
      <c r="I1145" t="inlineStr">
        <is>
          <t>Undisclosed</t>
        </is>
      </c>
      <c r="J1145" t="inlineStr">
        <is>
          <t>Accel; Blume Ventures; Kae Capital</t>
        </is>
      </c>
      <c r="K1145" t="inlineStr">
        <is>
          <t>https://economictimes.indiatimes.com/tech/funding/wealthtech-startup-powerup-money-raises-7-million-from-accel-blume-others/articleshow/121760344.cms</t>
        </is>
      </c>
    </row>
    <row r="1146">
      <c r="A1146" t="inlineStr">
        <is>
          <t>INC-20250614-08</t>
        </is>
      </c>
      <c r="B1146" t="inlineStr">
        <is>
          <t>R250611-powerupmoney</t>
        </is>
      </c>
      <c r="C1146" t="inlineStr">
        <is>
          <t>Inc42</t>
        </is>
      </c>
      <c r="D1146" s="17" t="n">
        <v>45819</v>
      </c>
      <c r="E1146" t="inlineStr">
        <is>
          <t>PowerUp Money</t>
        </is>
      </c>
      <c r="F1146" t="inlineStr">
        <is>
          <t>$7.1 Mn</t>
        </is>
      </c>
      <c r="G1146" s="19" t="n"/>
      <c r="H1146" s="19" t="n">
        <v>7.1</v>
      </c>
      <c r="I1146" t="inlineStr">
        <is>
          <t>Seed</t>
        </is>
      </c>
      <c r="J1146" t="inlineStr">
        <is>
          <t>Accel; Blume Ventures; Kae Capital</t>
        </is>
      </c>
      <c r="K1146" t="inlineStr">
        <is>
          <t>https://inc42.com/buzz/from-groww-to-sanlayan-indian-startups-raised-559-mn-this-week/</t>
        </is>
      </c>
    </row>
    <row r="1147">
      <c r="A1147" t="inlineStr">
        <is>
          <t>INC-20250614-09</t>
        </is>
      </c>
      <c r="B1147" t="inlineStr">
        <is>
          <t>R250611-refyne</t>
        </is>
      </c>
      <c r="C1147" t="inlineStr">
        <is>
          <t>Inc42</t>
        </is>
      </c>
      <c r="D1147" s="17" t="n">
        <v>45819</v>
      </c>
      <c r="E1147" t="inlineStr">
        <is>
          <t>Refyne</t>
        </is>
      </c>
      <c r="F1147" t="inlineStr">
        <is>
          <t>$4 Mn</t>
        </is>
      </c>
      <c r="G1147" s="19" t="n"/>
      <c r="H1147" s="19" t="n">
        <v>4</v>
      </c>
      <c r="I1147" t="inlineStr">
        <is>
          <t>Debt</t>
        </is>
      </c>
      <c r="J1147" t="inlineStr">
        <is>
          <t>Stride Ventures</t>
        </is>
      </c>
      <c r="K1147" t="inlineStr">
        <is>
          <t>https://inc42.com/buzz/from-groww-to-sanlayan-indian-startups-raised-559-mn-this-week/</t>
        </is>
      </c>
    </row>
    <row r="1148">
      <c r="A1148" t="inlineStr">
        <is>
          <t>INC-20250614-19</t>
        </is>
      </c>
      <c r="B1148" t="inlineStr">
        <is>
          <t>R250611-zolo</t>
        </is>
      </c>
      <c r="C1148" t="inlineStr">
        <is>
          <t>Inc42</t>
        </is>
      </c>
      <c r="D1148" s="17" t="n">
        <v>45819</v>
      </c>
      <c r="E1148" t="inlineStr">
        <is>
          <t>Zolo</t>
        </is>
      </c>
      <c r="F1148" t="inlineStr"/>
      <c r="G1148" s="19" t="n"/>
      <c r="H1148" s="19" t="n"/>
      <c r="I1148" t="inlineStr">
        <is>
          <t>Debt</t>
        </is>
      </c>
      <c r="J1148" t="inlineStr">
        <is>
          <t>VentureSoul Partners</t>
        </is>
      </c>
      <c r="K1148" t="inlineStr">
        <is>
          <t>https://inc42.com/buzz/from-groww-to-sanlayan-indian-startups-raised-559-mn-this-week/</t>
        </is>
      </c>
    </row>
    <row r="1149">
      <c r="A1149" t="inlineStr">
        <is>
          <t>ENT-9356438</t>
        </is>
      </c>
      <c r="B1149" t="inlineStr">
        <is>
          <t>R250612-iombioworks</t>
        </is>
      </c>
      <c r="C1149" t="inlineStr">
        <is>
          <t>Entrackr</t>
        </is>
      </c>
      <c r="D1149" s="17" t="n">
        <v>45820</v>
      </c>
      <c r="E1149" t="inlineStr">
        <is>
          <t>Iom Bioworks</t>
        </is>
      </c>
      <c r="F1149" t="inlineStr">
        <is>
          <t>Rs 4 crore</t>
        </is>
      </c>
      <c r="G1149" s="19" t="n">
        <v>4</v>
      </c>
      <c r="H1149" s="19" t="n"/>
      <c r="I1149" t="inlineStr">
        <is>
          <t>Seed</t>
        </is>
      </c>
      <c r="J1149" t="inlineStr">
        <is>
          <t>Inflection Point Ventures</t>
        </is>
      </c>
      <c r="K1149" t="inlineStr">
        <is>
          <t>https://entrackr.com/snippets/iom-bioworks-raises-rs-4-cr-in-seed-round-led-by-ipv-9356438</t>
        </is>
      </c>
    </row>
    <row r="1150">
      <c r="A1150" t="inlineStr">
        <is>
          <t>INC-20250614-16</t>
        </is>
      </c>
      <c r="B1150" t="inlineStr">
        <is>
          <t>R250612-iombioworks</t>
        </is>
      </c>
      <c r="C1150" t="inlineStr">
        <is>
          <t>Inc42</t>
        </is>
      </c>
      <c r="D1150" s="17" t="n">
        <v>45820</v>
      </c>
      <c r="E1150" t="inlineStr">
        <is>
          <t>Iom Bioworks</t>
        </is>
      </c>
      <c r="F1150" t="inlineStr">
        <is>
          <t>$465K</t>
        </is>
      </c>
      <c r="G1150" s="19" t="n"/>
      <c r="H1150" s="19" t="n">
        <v>0.465</v>
      </c>
      <c r="I1150" t="inlineStr">
        <is>
          <t>Seed</t>
        </is>
      </c>
      <c r="J1150" t="inlineStr">
        <is>
          <t>Inflection Point Ventures</t>
        </is>
      </c>
      <c r="K1150" t="inlineStr">
        <is>
          <t>https://inc42.com/buzz/from-groww-to-sanlayan-indian-startups-raised-559-mn-this-week/</t>
        </is>
      </c>
    </row>
    <row r="1151">
      <c r="A1151" t="inlineStr">
        <is>
          <t>ENT-9357153</t>
        </is>
      </c>
      <c r="B1151" t="inlineStr">
        <is>
          <t>R250612-plutope</t>
        </is>
      </c>
      <c r="C1151" t="inlineStr">
        <is>
          <t>Entrackr</t>
        </is>
      </c>
      <c r="D1151" s="17" t="n">
        <v>45820</v>
      </c>
      <c r="E1151" t="inlineStr">
        <is>
          <t>PlutoPe</t>
        </is>
      </c>
      <c r="F1151" t="inlineStr">
        <is>
          <t>$500K</t>
        </is>
      </c>
      <c r="G1151" s="19" t="n"/>
      <c r="H1151" s="19" t="n">
        <v>0.5</v>
      </c>
      <c r="I1151" t="inlineStr">
        <is>
          <t>Pre-Seed</t>
        </is>
      </c>
      <c r="J1151" t="inlineStr">
        <is>
          <t>Manit Gupta</t>
        </is>
      </c>
      <c r="K1151" t="inlineStr">
        <is>
          <t>https://entrackr.com/snippets/defi-startup-plutope-raises-500k-in-pre-seed-round-9357153</t>
        </is>
      </c>
    </row>
    <row r="1152">
      <c r="A1152" t="inlineStr">
        <is>
          <t>INC-20250614-15</t>
        </is>
      </c>
      <c r="B1152" t="inlineStr">
        <is>
          <t>R250612-plutope</t>
        </is>
      </c>
      <c r="C1152" t="inlineStr">
        <is>
          <t>Inc42</t>
        </is>
      </c>
      <c r="D1152" s="17" t="n">
        <v>45820</v>
      </c>
      <c r="E1152" t="inlineStr">
        <is>
          <t>PlutoPe</t>
        </is>
      </c>
      <c r="F1152" t="inlineStr">
        <is>
          <t>$500K</t>
        </is>
      </c>
      <c r="G1152" s="19" t="n"/>
      <c r="H1152" s="19" t="n">
        <v>0.5</v>
      </c>
      <c r="I1152" t="inlineStr">
        <is>
          <t>Pre-Seed</t>
        </is>
      </c>
      <c r="J1152" t="inlineStr">
        <is>
          <t>Manit Gupta</t>
        </is>
      </c>
      <c r="K1152" t="inlineStr">
        <is>
          <t>https://inc42.com/buzz/from-groww-to-sanlayan-indian-startups-raised-559-mn-this-week/</t>
        </is>
      </c>
    </row>
    <row r="1153">
      <c r="A1153" t="inlineStr">
        <is>
          <t>ENT-9356170</t>
        </is>
      </c>
      <c r="B1153" t="inlineStr">
        <is>
          <t>R250612-repello</t>
        </is>
      </c>
      <c r="C1153" t="inlineStr">
        <is>
          <t>Entrackr</t>
        </is>
      </c>
      <c r="D1153" s="17" t="n">
        <v>45820</v>
      </c>
      <c r="E1153" t="inlineStr">
        <is>
          <t>Repello</t>
        </is>
      </c>
      <c r="F1153" t="inlineStr">
        <is>
          <t>$1.2 million</t>
        </is>
      </c>
      <c r="G1153" s="19" t="n"/>
      <c r="H1153" s="19" t="n">
        <v>1.2</v>
      </c>
      <c r="I1153" t="inlineStr">
        <is>
          <t>Seed</t>
        </is>
      </c>
      <c r="J1153" t="inlineStr">
        <is>
          <t>Venture Highway; Pi Ventures; Entrepreneur First</t>
        </is>
      </c>
      <c r="K1153" t="inlineStr">
        <is>
          <t>https://entrackr.com/snippets/repello-raises-12-mn-seed-round-led-by-venture-highway-and-others-9356170</t>
        </is>
      </c>
    </row>
    <row r="1154">
      <c r="A1154" t="inlineStr">
        <is>
          <t>ET-121782444</t>
        </is>
      </c>
      <c r="B1154" t="inlineStr">
        <is>
          <t>R250612-repello</t>
        </is>
      </c>
      <c r="C1154" t="inlineStr">
        <is>
          <t>The Economic Times</t>
        </is>
      </c>
      <c r="D1154" s="17" t="n">
        <v>45820</v>
      </c>
      <c r="E1154" t="inlineStr">
        <is>
          <t>Repello AI</t>
        </is>
      </c>
      <c r="F1154" t="inlineStr">
        <is>
          <t>$1.2 million</t>
        </is>
      </c>
      <c r="G1154" s="19" t="n"/>
      <c r="H1154" s="19" t="n">
        <v>1.2</v>
      </c>
      <c r="I1154" t="inlineStr">
        <is>
          <t>Seed</t>
        </is>
      </c>
      <c r="J1154" t="inlineStr"/>
      <c r="K1154" t="inlineStr">
        <is>
          <t>https://economictimes.indiatimes.com/tech/funding/ai-security-startup-repello-ai-raises-1-2-million-from-venture-highway-pi-ventures-others/articleshow/121782444.cms</t>
        </is>
      </c>
    </row>
    <row r="1155">
      <c r="A1155" t="inlineStr">
        <is>
          <t>INC-20250614-14</t>
        </is>
      </c>
      <c r="B1155" t="inlineStr">
        <is>
          <t>R250612-repello</t>
        </is>
      </c>
      <c r="C1155" t="inlineStr">
        <is>
          <t>Inc42</t>
        </is>
      </c>
      <c r="D1155" s="17" t="n">
        <v>45820</v>
      </c>
      <c r="E1155" t="inlineStr">
        <is>
          <t>Repello AI</t>
        </is>
      </c>
      <c r="F1155" t="inlineStr">
        <is>
          <t>$1.2 Mn</t>
        </is>
      </c>
      <c r="G1155" s="19" t="n"/>
      <c r="H1155" s="19" t="n">
        <v>1.2</v>
      </c>
      <c r="I1155" t="inlineStr">
        <is>
          <t>Seed</t>
        </is>
      </c>
      <c r="J1155" t="inlineStr"/>
      <c r="K1155" t="inlineStr">
        <is>
          <t>https://inc42.com/buzz/from-groww-to-sanlayan-indian-startups-raised-559-mn-this-week/</t>
        </is>
      </c>
    </row>
    <row r="1156">
      <c r="A1156" t="inlineStr">
        <is>
          <t>INC-20250614-02</t>
        </is>
      </c>
      <c r="B1156" t="inlineStr">
        <is>
          <t>R250612-spinny</t>
        </is>
      </c>
      <c r="C1156" t="inlineStr">
        <is>
          <t>Inc42</t>
        </is>
      </c>
      <c r="D1156" s="17" t="n">
        <v>45820</v>
      </c>
      <c r="E1156" t="inlineStr">
        <is>
          <t>Spinny</t>
        </is>
      </c>
      <c r="F1156" t="inlineStr">
        <is>
          <t>$170 Mn</t>
        </is>
      </c>
      <c r="G1156" s="19" t="n"/>
      <c r="H1156" s="19" t="n">
        <v>170</v>
      </c>
      <c r="I1156" t="inlineStr">
        <is>
          <t>Series F</t>
        </is>
      </c>
      <c r="J1156" t="inlineStr">
        <is>
          <t>Accel Leaders Fund</t>
        </is>
      </c>
      <c r="K1156" t="inlineStr">
        <is>
          <t>https://inc42.com/buzz/from-groww-to-sanlayan-indian-startups-raised-559-mn-this-week/</t>
        </is>
      </c>
    </row>
    <row r="1157">
      <c r="A1157" t="inlineStr">
        <is>
          <t>ENT-9367136</t>
        </is>
      </c>
      <c r="B1157" t="inlineStr">
        <is>
          <t>R250612-spinny</t>
        </is>
      </c>
      <c r="C1157" t="inlineStr">
        <is>
          <t>Entrackr</t>
        </is>
      </c>
      <c r="D1157" s="17" t="n">
        <v>45824</v>
      </c>
      <c r="E1157" t="inlineStr">
        <is>
          <t>Spinny</t>
        </is>
      </c>
      <c r="F1157" t="inlineStr">
        <is>
          <t>Rs 260.76 crore</t>
        </is>
      </c>
      <c r="G1157" s="19" t="n">
        <v>260.76</v>
      </c>
      <c r="H1157" s="19" t="n">
        <v>30.6</v>
      </c>
      <c r="I1157" t="inlineStr">
        <is>
          <t>Series F</t>
        </is>
      </c>
      <c r="J1157" t="inlineStr"/>
      <c r="K1157" t="inlineStr">
        <is>
          <t>https://entrackr.com/exclusive/exclusive-spinny-receives-30-mn-from-westbridge-9367136</t>
        </is>
      </c>
    </row>
    <row r="1158">
      <c r="A1158" t="inlineStr">
        <is>
          <t>ENT-9357436</t>
        </is>
      </c>
      <c r="B1158" t="inlineStr">
        <is>
          <t>R250612-zype</t>
        </is>
      </c>
      <c r="C1158" t="inlineStr">
        <is>
          <t>Entrackr</t>
        </is>
      </c>
      <c r="D1158" s="17" t="n">
        <v>45820</v>
      </c>
      <c r="E1158" t="inlineStr">
        <is>
          <t>Zype</t>
        </is>
      </c>
      <c r="F1158" t="inlineStr">
        <is>
          <t>Rs 34 crore</t>
        </is>
      </c>
      <c r="G1158" s="19" t="n">
        <v>34</v>
      </c>
      <c r="H1158" s="19" t="n">
        <v>4</v>
      </c>
      <c r="I1158" t="inlineStr">
        <is>
          <t>Debt</t>
        </is>
      </c>
      <c r="J1158" t="inlineStr"/>
      <c r="K1158" t="inlineStr">
        <is>
          <t>https://entrackr.com/exclusive/exclusive-fintech-startup-zype-secures-debt-9357436</t>
        </is>
      </c>
    </row>
    <row r="1159">
      <c r="A1159" t="inlineStr">
        <is>
          <t>INC-20250614-01</t>
        </is>
      </c>
      <c r="B1159" t="inlineStr">
        <is>
          <t>R250613-groww</t>
        </is>
      </c>
      <c r="C1159" t="inlineStr">
        <is>
          <t>Inc42</t>
        </is>
      </c>
      <c r="D1159" s="17" t="n">
        <v>45821</v>
      </c>
      <c r="E1159" t="inlineStr">
        <is>
          <t>Groww</t>
        </is>
      </c>
      <c r="F1159" t="inlineStr">
        <is>
          <t>$202.3 Mn</t>
        </is>
      </c>
      <c r="G1159" s="19" t="n"/>
      <c r="H1159" s="19" t="n">
        <v>202.3</v>
      </c>
      <c r="I1159" t="inlineStr">
        <is>
          <t>Series F</t>
        </is>
      </c>
      <c r="J1159" t="inlineStr"/>
      <c r="K1159" t="inlineStr">
        <is>
          <t>https://inc42.com/buzz/from-groww-to-sanlayan-indian-startups-raised-559-mn-this-week/</t>
        </is>
      </c>
    </row>
    <row r="1160">
      <c r="A1160" t="inlineStr">
        <is>
          <t>VCC-ddf7de51fd</t>
        </is>
      </c>
      <c r="B1160" t="inlineStr">
        <is>
          <t>R250613-groww</t>
        </is>
      </c>
      <c r="C1160" t="inlineStr">
        <is>
          <t>VCCircle</t>
        </is>
      </c>
      <c r="D1160" s="17" t="n">
        <v>45821</v>
      </c>
      <c r="E1160" t="inlineStr">
        <is>
          <t>ipobound groww</t>
        </is>
      </c>
      <c r="F1160" t="inlineStr">
        <is>
          <t>$ 200 million</t>
        </is>
      </c>
      <c r="G1160" s="19" t="n"/>
      <c r="H1160" s="19" t="n">
        <v>200</v>
      </c>
      <c r="I1160" t="inlineStr">
        <is>
          <t>Undisclosed</t>
        </is>
      </c>
      <c r="J1160" t="inlineStr"/>
      <c r="K1160" t="inlineStr">
        <is>
          <t>https://www.vccircle.com/ipobound-groww-raises-200-mn-from-gic-others</t>
        </is>
      </c>
    </row>
    <row r="1161">
      <c r="A1161" t="inlineStr">
        <is>
          <t>ENT-9359940</t>
        </is>
      </c>
      <c r="B1161" t="inlineStr">
        <is>
          <t>R250613-pehlejaisa</t>
        </is>
      </c>
      <c r="C1161" t="inlineStr">
        <is>
          <t>Entrackr</t>
        </is>
      </c>
      <c r="D1161" s="17" t="n">
        <v>45821</v>
      </c>
      <c r="E1161" t="inlineStr">
        <is>
          <t>Pehle Jaisa</t>
        </is>
      </c>
      <c r="F1161" t="inlineStr">
        <is>
          <t>$300K</t>
        </is>
      </c>
      <c r="G1161" s="19" t="n"/>
      <c r="H1161" s="19" t="n">
        <v>0.3</v>
      </c>
      <c r="I1161" t="inlineStr">
        <is>
          <t>Pre-Series A</t>
        </is>
      </c>
      <c r="J1161" t="inlineStr">
        <is>
          <t>Pantnagar Capital</t>
        </is>
      </c>
      <c r="K1161" t="inlineStr">
        <is>
          <t>https://entrackr.com/snippets/pehle-jaisa-raises-300k-in-pre-series-a-round-9359940</t>
        </is>
      </c>
    </row>
    <row r="1162">
      <c r="A1162" t="inlineStr">
        <is>
          <t>INC-20250614-18</t>
        </is>
      </c>
      <c r="B1162" t="inlineStr">
        <is>
          <t>R250613-pehlejaisa</t>
        </is>
      </c>
      <c r="C1162" t="inlineStr">
        <is>
          <t>Inc42</t>
        </is>
      </c>
      <c r="D1162" s="17" t="n">
        <v>45821</v>
      </c>
      <c r="E1162" t="inlineStr">
        <is>
          <t>Pehla Jaisa</t>
        </is>
      </c>
      <c r="F1162" t="inlineStr">
        <is>
          <t>$300K</t>
        </is>
      </c>
      <c r="G1162" s="19" t="n"/>
      <c r="H1162" s="19" t="n">
        <v>0.3</v>
      </c>
      <c r="I1162" t="inlineStr">
        <is>
          <t>Pre-Series A</t>
        </is>
      </c>
      <c r="J1162" t="inlineStr"/>
      <c r="K1162" t="inlineStr">
        <is>
          <t>https://inc42.com/buzz/from-groww-to-sanlayan-indian-startups-raised-559-mn-this-week/</t>
        </is>
      </c>
    </row>
    <row r="1163">
      <c r="A1163" t="inlineStr">
        <is>
          <t>ENT-9367516</t>
        </is>
      </c>
      <c r="B1163" t="inlineStr">
        <is>
          <t>R250616-aspora</t>
        </is>
      </c>
      <c r="C1163" t="inlineStr">
        <is>
          <t>Entrackr</t>
        </is>
      </c>
      <c r="D1163" s="17" t="n">
        <v>45824</v>
      </c>
      <c r="E1163" t="inlineStr">
        <is>
          <t>Aspora</t>
        </is>
      </c>
      <c r="F1163" t="inlineStr">
        <is>
          <t>$53 million</t>
        </is>
      </c>
      <c r="G1163" s="19" t="n"/>
      <c r="H1163" s="19" t="n">
        <v>53</v>
      </c>
      <c r="I1163" t="inlineStr">
        <is>
          <t>Series B</t>
        </is>
      </c>
      <c r="J1163" t="inlineStr">
        <is>
          <t>Sequoia; Greylock</t>
        </is>
      </c>
      <c r="K1163" t="inlineStr">
        <is>
          <t>https://entrackr.com/news/sequoia-and-greylock-lead-53-mn-round-in-aspora-9367516</t>
        </is>
      </c>
    </row>
    <row r="1164">
      <c r="A1164" t="inlineStr">
        <is>
          <t>ET-121864362</t>
        </is>
      </c>
      <c r="B1164" t="inlineStr">
        <is>
          <t>R250616-aspora</t>
        </is>
      </c>
      <c r="C1164" t="inlineStr">
        <is>
          <t>The Economic Times</t>
        </is>
      </c>
      <c r="D1164" s="17" t="n">
        <v>45824</v>
      </c>
      <c r="E1164" t="inlineStr">
        <is>
          <t>Aspora</t>
        </is>
      </c>
      <c r="F1164" t="inlineStr">
        <is>
          <t>$93 million</t>
        </is>
      </c>
      <c r="G1164" s="19" t="n"/>
      <c r="H1164" s="19" t="n">
        <v>93</v>
      </c>
      <c r="I1164" t="inlineStr">
        <is>
          <t>Undisclosed</t>
        </is>
      </c>
      <c r="J1164" t="inlineStr"/>
      <c r="K1164" t="inlineStr">
        <is>
          <t>https://economictimes.indiatimes.com/tech/funding/cross-border-digital-payments-startup-aspora-raises-93-million-from-sequoia-capital-greylock-and-others/articleshow/121864362.cms</t>
        </is>
      </c>
    </row>
    <row r="1165">
      <c r="A1165" t="inlineStr">
        <is>
          <t>ENT-9367123</t>
        </is>
      </c>
      <c r="B1165" t="inlineStr">
        <is>
          <t>R250616-fundbyatomicca</t>
        </is>
      </c>
      <c r="C1165" t="inlineStr">
        <is>
          <t>Entrackr</t>
        </is>
      </c>
      <c r="D1165" s="17" t="n">
        <v>45824</v>
      </c>
      <c r="E1165" t="inlineStr">
        <is>
          <t>fund by Atomic Capital</t>
        </is>
      </c>
      <c r="F1165" t="inlineStr">
        <is>
          <t>Rs 26.5 crore</t>
        </is>
      </c>
      <c r="G1165" s="19" t="n">
        <v>26.5</v>
      </c>
      <c r="H1165" s="19" t="n"/>
      <c r="I1165" t="inlineStr">
        <is>
          <t>Undisclosed</t>
        </is>
      </c>
      <c r="J1165" t="inlineStr"/>
      <c r="K1165" t="inlineStr">
        <is>
          <t>https://entrackr.com/snippets/jiif-investors-invest-in-rs-350-cr-consumer-focused-fund-by-atomic-capital-9367123</t>
        </is>
      </c>
    </row>
    <row r="1166">
      <c r="A1166" t="inlineStr">
        <is>
          <t>ENT-9367474</t>
        </is>
      </c>
      <c r="B1166" t="inlineStr">
        <is>
          <t>R250616-nuvie</t>
        </is>
      </c>
      <c r="C1166" t="inlineStr">
        <is>
          <t>Entrackr</t>
        </is>
      </c>
      <c r="D1166" s="17" t="n">
        <v>45824</v>
      </c>
      <c r="E1166" t="inlineStr">
        <is>
          <t>Nuvie</t>
        </is>
      </c>
      <c r="F1166" t="inlineStr">
        <is>
          <t>$450K</t>
        </is>
      </c>
      <c r="G1166" s="19" t="n">
        <v>3.8</v>
      </c>
      <c r="H1166" s="19" t="n">
        <v>0.45</v>
      </c>
      <c r="I1166" t="inlineStr">
        <is>
          <t>Pre-Seed</t>
        </is>
      </c>
      <c r="J1166" t="inlineStr"/>
      <c r="K1166" t="inlineStr">
        <is>
          <t>https://entrackr.com/snippets/fb-startup-nuvie-raises-450k-in-pre-seed-round-led-by-pedalstart-9367474</t>
        </is>
      </c>
    </row>
    <row r="1167">
      <c r="A1167" t="inlineStr">
        <is>
          <t>INC-20250621-09</t>
        </is>
      </c>
      <c r="B1167" t="inlineStr">
        <is>
          <t>R250616-nuvie</t>
        </is>
      </c>
      <c r="C1167" t="inlineStr">
        <is>
          <t>Inc42</t>
        </is>
      </c>
      <c r="D1167" s="17" t="n">
        <v>45824</v>
      </c>
      <c r="E1167" t="inlineStr">
        <is>
          <t>Nuvie</t>
        </is>
      </c>
      <c r="F1167" t="inlineStr">
        <is>
          <t>$450K</t>
        </is>
      </c>
      <c r="G1167" s="19" t="n"/>
      <c r="H1167" s="19" t="n">
        <v>0.45</v>
      </c>
      <c r="I1167" t="inlineStr">
        <is>
          <t>Pre-Seed</t>
        </is>
      </c>
      <c r="J1167" t="inlineStr">
        <is>
          <t>PedalStart</t>
        </is>
      </c>
      <c r="K1167" t="inlineStr">
        <is>
          <t>https://inc42.com/buzz/from-wiom-to-oben-electric-indian-startups-raised-92-mn-this-week/</t>
        </is>
      </c>
    </row>
    <row r="1168">
      <c r="A1168" t="inlineStr">
        <is>
          <t>ET-121910092</t>
        </is>
      </c>
      <c r="B1168" t="inlineStr">
        <is>
          <t>R250617-coralogix</t>
        </is>
      </c>
      <c r="C1168" t="inlineStr">
        <is>
          <t>The Economic Times</t>
        </is>
      </c>
      <c r="D1168" s="17" t="n">
        <v>45825</v>
      </c>
      <c r="E1168" t="inlineStr">
        <is>
          <t>Coralogix</t>
        </is>
      </c>
      <c r="F1168" t="inlineStr">
        <is>
          <t>$115 million</t>
        </is>
      </c>
      <c r="G1168" s="19" t="n">
        <v>992</v>
      </c>
      <c r="H1168" s="19" t="n">
        <v>115</v>
      </c>
      <c r="I1168" t="inlineStr">
        <is>
          <t>Series E</t>
        </is>
      </c>
      <c r="J1168" t="inlineStr">
        <is>
          <t>NewView Capital</t>
        </is>
      </c>
      <c r="K1168" t="inlineStr">
        <is>
          <t>https://economictimes.indiatimes.com/tech/funding/israeli-data-security-platform-coralogix-raises-115-million/articleshow/121910092.cms</t>
        </is>
      </c>
    </row>
    <row r="1169">
      <c r="A1169" t="inlineStr">
        <is>
          <t>ENT-9370903</t>
        </is>
      </c>
      <c r="B1169" t="inlineStr">
        <is>
          <t>R250617-darwixai</t>
        </is>
      </c>
      <c r="C1169" t="inlineStr">
        <is>
          <t>Entrackr</t>
        </is>
      </c>
      <c r="D1169" s="17" t="n">
        <v>45825</v>
      </c>
      <c r="E1169" t="inlineStr">
        <is>
          <t>Darwix AI</t>
        </is>
      </c>
      <c r="F1169" t="inlineStr">
        <is>
          <t>$1.5 million</t>
        </is>
      </c>
      <c r="G1169" s="19" t="n"/>
      <c r="H1169" s="19" t="n">
        <v>1.5</v>
      </c>
      <c r="I1169" t="inlineStr">
        <is>
          <t>Seed</t>
        </is>
      </c>
      <c r="J1169" t="inlineStr"/>
      <c r="K1169" t="inlineStr">
        <is>
          <t>https://entrackr.com/snippets/darwix-ai-raises-15-mn-in-seed-funding-round-9370903</t>
        </is>
      </c>
    </row>
    <row r="1170">
      <c r="A1170" t="inlineStr">
        <is>
          <t>ET-121912424</t>
        </is>
      </c>
      <c r="B1170" t="inlineStr">
        <is>
          <t>R250617-darwixai</t>
        </is>
      </c>
      <c r="C1170" t="inlineStr">
        <is>
          <t>The Economic Times</t>
        </is>
      </c>
      <c r="D1170" s="17" t="n">
        <v>45825</v>
      </c>
      <c r="E1170" t="inlineStr">
        <is>
          <t>Darwix AI</t>
        </is>
      </c>
      <c r="F1170" t="inlineStr">
        <is>
          <t>$1.5 million</t>
        </is>
      </c>
      <c r="G1170" s="19" t="n"/>
      <c r="H1170" s="19" t="n">
        <v>1.5</v>
      </c>
      <c r="I1170" t="inlineStr">
        <is>
          <t>Seed</t>
        </is>
      </c>
      <c r="J1170" t="inlineStr">
        <is>
          <t>Rebalance; IPV; JITO Incubation; Innovation Foundation</t>
        </is>
      </c>
      <c r="K1170" t="inlineStr">
        <is>
          <t>https://economictimes.indiatimes.com/tech/funding/genai-startup-darwix-ai-raises-1-5-million-in-seed-funding/articleshow/121912424.cms</t>
        </is>
      </c>
    </row>
    <row r="1171">
      <c r="A1171" t="inlineStr">
        <is>
          <t>INC-20250621-07</t>
        </is>
      </c>
      <c r="B1171" t="inlineStr">
        <is>
          <t>R250617-darwixai</t>
        </is>
      </c>
      <c r="C1171" t="inlineStr">
        <is>
          <t>Inc42</t>
        </is>
      </c>
      <c r="D1171" s="17" t="n">
        <v>45825</v>
      </c>
      <c r="E1171" t="inlineStr">
        <is>
          <t>Darwix AI</t>
        </is>
      </c>
      <c r="F1171" t="inlineStr">
        <is>
          <t>$1.5 Mn</t>
        </is>
      </c>
      <c r="G1171" s="19" t="n"/>
      <c r="H1171" s="19" t="n">
        <v>1.5</v>
      </c>
      <c r="I1171" t="inlineStr">
        <is>
          <t>Undisclosed</t>
        </is>
      </c>
      <c r="J1171" t="inlineStr"/>
      <c r="K1171" t="inlineStr">
        <is>
          <t>https://inc42.com/buzz/from-wiom-to-oben-electric-indian-startups-raised-92-mn-this-week/</t>
        </is>
      </c>
    </row>
    <row r="1172">
      <c r="A1172" t="inlineStr">
        <is>
          <t>ENT-9371623</t>
        </is>
      </c>
      <c r="B1172" t="inlineStr">
        <is>
          <t>R250617-israelcoralogi</t>
        </is>
      </c>
      <c r="C1172" t="inlineStr">
        <is>
          <t>Entrackr</t>
        </is>
      </c>
      <c r="D1172" s="17" t="n">
        <v>45825</v>
      </c>
      <c r="E1172" t="inlineStr">
        <is>
          <t>Israel's Coralogix</t>
        </is>
      </c>
      <c r="F1172" t="inlineStr">
        <is>
          <t>$115 million</t>
        </is>
      </c>
      <c r="G1172" s="19" t="n"/>
      <c r="H1172" s="19" t="n">
        <v>115</v>
      </c>
      <c r="I1172" t="inlineStr">
        <is>
          <t>Series E</t>
        </is>
      </c>
      <c r="J1172" t="inlineStr">
        <is>
          <t>NewView Capital; NextEquity</t>
        </is>
      </c>
      <c r="K1172" t="inlineStr">
        <is>
          <t>https://entrackr.com/snippets/israels-coralogix-raises-115-mn-to-fuel-india-expansion-9371623</t>
        </is>
      </c>
    </row>
    <row r="1173">
      <c r="A1173" t="inlineStr">
        <is>
          <t>ENT-9370189</t>
        </is>
      </c>
      <c r="B1173" t="inlineStr">
        <is>
          <t>R250617-nbfcdugarfinan</t>
        </is>
      </c>
      <c r="C1173" t="inlineStr">
        <is>
          <t>Entrackr</t>
        </is>
      </c>
      <c r="D1173" s="17" t="n">
        <v>45825</v>
      </c>
      <c r="E1173" t="inlineStr">
        <is>
          <t>NBFC Dugar Finance</t>
        </is>
      </c>
      <c r="F1173" t="inlineStr">
        <is>
          <t>$3 million</t>
        </is>
      </c>
      <c r="G1173" s="19" t="n"/>
      <c r="H1173" s="19" t="n">
        <v>3</v>
      </c>
      <c r="I1173" t="inlineStr">
        <is>
          <t>Debt</t>
        </is>
      </c>
      <c r="J1173" t="inlineStr"/>
      <c r="K1173" t="inlineStr">
        <is>
          <t>https://entrackr.com/snippets/rooftop-solar-focused-nbfc-dugar-finance-raises-3-mn-in-debt-9370189</t>
        </is>
      </c>
    </row>
    <row r="1174">
      <c r="A1174" t="inlineStr">
        <is>
          <t>INC-20250621-02</t>
        </is>
      </c>
      <c r="B1174" t="inlineStr">
        <is>
          <t>R250617-pop</t>
        </is>
      </c>
      <c r="C1174" t="inlineStr">
        <is>
          <t>Inc42</t>
        </is>
      </c>
      <c r="D1174" s="17" t="n">
        <v>45825</v>
      </c>
      <c r="E1174" t="inlineStr">
        <is>
          <t>POP</t>
        </is>
      </c>
      <c r="F1174" t="inlineStr">
        <is>
          <t>$30 Mn</t>
        </is>
      </c>
      <c r="G1174" s="19" t="n"/>
      <c r="H1174" s="19" t="n">
        <v>30</v>
      </c>
      <c r="I1174" t="inlineStr">
        <is>
          <t>Undisclosed</t>
        </is>
      </c>
      <c r="J1174" t="inlineStr">
        <is>
          <t>Razorpay</t>
        </is>
      </c>
      <c r="K1174" t="inlineStr">
        <is>
          <t>https://inc42.com/buzz/from-wiom-to-oben-electric-indian-startups-raised-92-mn-this-week/</t>
        </is>
      </c>
    </row>
    <row r="1175">
      <c r="A1175" t="inlineStr">
        <is>
          <t>ENT-9369946</t>
        </is>
      </c>
      <c r="B1175" t="inlineStr">
        <is>
          <t>R250617-saswatfinance</t>
        </is>
      </c>
      <c r="C1175" t="inlineStr">
        <is>
          <t>Entrackr</t>
        </is>
      </c>
      <c r="D1175" s="17" t="n">
        <v>45825</v>
      </c>
      <c r="E1175" t="inlineStr">
        <is>
          <t>Saswat Finance</t>
        </is>
      </c>
      <c r="F1175" t="inlineStr">
        <is>
          <t>$2.6 million</t>
        </is>
      </c>
      <c r="G1175" s="19" t="n"/>
      <c r="H1175" s="19" t="n">
        <v>2.6</v>
      </c>
      <c r="I1175" t="inlineStr">
        <is>
          <t>Pre-Series A</t>
        </is>
      </c>
      <c r="J1175" t="inlineStr">
        <is>
          <t>Ankur Capital</t>
        </is>
      </c>
      <c r="K1175" t="inlineStr">
        <is>
          <t>https://entrackr.com/snippets/saswat-finance-raises-26-mn-led-by-ankur-capital-9369946</t>
        </is>
      </c>
    </row>
    <row r="1176">
      <c r="A1176" t="inlineStr">
        <is>
          <t>ET-121903137</t>
        </is>
      </c>
      <c r="B1176" t="inlineStr">
        <is>
          <t>R250617-saswatfinance</t>
        </is>
      </c>
      <c r="C1176" t="inlineStr">
        <is>
          <t>The Economic Times</t>
        </is>
      </c>
      <c r="D1176" s="17" t="n">
        <v>45825</v>
      </c>
      <c r="E1176" t="inlineStr">
        <is>
          <t>Saswat Finance</t>
        </is>
      </c>
      <c r="F1176" t="inlineStr">
        <is>
          <t>$2.6 million</t>
        </is>
      </c>
      <c r="G1176" s="19" t="n"/>
      <c r="H1176" s="19" t="n">
        <v>2.6</v>
      </c>
      <c r="I1176" t="inlineStr">
        <is>
          <t>Undisclosed</t>
        </is>
      </c>
      <c r="J1176" t="inlineStr">
        <is>
          <t>Ankur Capital</t>
        </is>
      </c>
      <c r="K1176" t="inlineStr">
        <is>
          <t>https://economictimes.indiatimes.com/tech/funding/fintech-startup-saswat-finance-raises-2-6-million-from-ankur-capital-others/articleshow/121903137.cms</t>
        </is>
      </c>
    </row>
    <row r="1177">
      <c r="A1177" t="inlineStr">
        <is>
          <t>INC-20250621-05</t>
        </is>
      </c>
      <c r="B1177" t="inlineStr">
        <is>
          <t>R250617-saswatfinance</t>
        </is>
      </c>
      <c r="C1177" t="inlineStr">
        <is>
          <t>Inc42</t>
        </is>
      </c>
      <c r="D1177" s="17" t="n">
        <v>45825</v>
      </c>
      <c r="E1177" t="inlineStr">
        <is>
          <t>Saswat Finance</t>
        </is>
      </c>
      <c r="F1177" t="inlineStr">
        <is>
          <t>$2.6 Mn</t>
        </is>
      </c>
      <c r="G1177" s="19" t="n"/>
      <c r="H1177" s="19" t="n">
        <v>2.6</v>
      </c>
      <c r="I1177" t="inlineStr">
        <is>
          <t>Pre-Series A</t>
        </is>
      </c>
      <c r="J1177" t="inlineStr">
        <is>
          <t>Ankur Capital</t>
        </is>
      </c>
      <c r="K1177" t="inlineStr">
        <is>
          <t>https://inc42.com/buzz/from-wiom-to-oben-electric-indian-startups-raised-92-mn-this-week/</t>
        </is>
      </c>
    </row>
    <row r="1178">
      <c r="A1178" t="inlineStr">
        <is>
          <t>INC-20250621-10</t>
        </is>
      </c>
      <c r="B1178" t="inlineStr">
        <is>
          <t>R250617-xportel</t>
        </is>
      </c>
      <c r="C1178" t="inlineStr">
        <is>
          <t>Inc42</t>
        </is>
      </c>
      <c r="D1178" s="17" t="n">
        <v>45825</v>
      </c>
      <c r="E1178" t="inlineStr">
        <is>
          <t>Xportel</t>
        </is>
      </c>
      <c r="F1178" t="inlineStr"/>
      <c r="G1178" s="19" t="n"/>
      <c r="H1178" s="19" t="n"/>
      <c r="I1178" t="inlineStr">
        <is>
          <t>Seed</t>
        </is>
      </c>
      <c r="J1178" t="inlineStr">
        <is>
          <t>Rukam Sitara; Flipkart Ventures</t>
        </is>
      </c>
      <c r="K1178" t="inlineStr">
        <is>
          <t>https://inc42.com/buzz/from-wiom-to-oben-electric-indian-startups-raised-92-mn-this-week/</t>
        </is>
      </c>
    </row>
    <row r="1179">
      <c r="A1179" t="inlineStr">
        <is>
          <t>INC-20250621-08</t>
        </is>
      </c>
      <c r="B1179" t="inlineStr">
        <is>
          <t>R250618-7ring</t>
        </is>
      </c>
      <c r="C1179" t="inlineStr">
        <is>
          <t>Inc42</t>
        </is>
      </c>
      <c r="D1179" s="17" t="n">
        <v>45826</v>
      </c>
      <c r="E1179" t="inlineStr">
        <is>
          <t>7 Ring</t>
        </is>
      </c>
      <c r="F1179" t="inlineStr">
        <is>
          <t>$462K</t>
        </is>
      </c>
      <c r="G1179" s="19" t="n"/>
      <c r="H1179" s="19" t="n">
        <v>0.462</v>
      </c>
      <c r="I1179" t="inlineStr">
        <is>
          <t>Pre-Series A</t>
        </is>
      </c>
      <c r="J1179" t="inlineStr">
        <is>
          <t>Venture Catalysts</t>
        </is>
      </c>
      <c r="K1179" t="inlineStr">
        <is>
          <t>https://inc42.com/buzz/from-wiom-to-oben-electric-indian-startups-raised-92-mn-this-week/</t>
        </is>
      </c>
    </row>
    <row r="1180">
      <c r="A1180" t="inlineStr">
        <is>
          <t>ENT-9373271</t>
        </is>
      </c>
      <c r="B1180" t="inlineStr">
        <is>
          <t>R250618-clrfacilityser</t>
        </is>
      </c>
      <c r="C1180" t="inlineStr">
        <is>
          <t>Entrackr</t>
        </is>
      </c>
      <c r="D1180" s="17" t="n">
        <v>45826</v>
      </c>
      <c r="E1180" t="inlineStr">
        <is>
          <t>CLR Facility Services</t>
        </is>
      </c>
      <c r="F1180" t="inlineStr">
        <is>
          <t>$15 million</t>
        </is>
      </c>
      <c r="G1180" s="19" t="n">
        <v>125</v>
      </c>
      <c r="H1180" s="19" t="n">
        <v>15</v>
      </c>
      <c r="I1180" t="inlineStr">
        <is>
          <t>Undisclosed</t>
        </is>
      </c>
      <c r="J1180" t="inlineStr"/>
      <c r="K1180" t="inlineStr">
        <is>
          <t>https://entrackr.com/snippets/clr-facility-services-raises-15-mn-from-bii-9373271</t>
        </is>
      </c>
    </row>
    <row r="1181">
      <c r="A1181" t="inlineStr">
        <is>
          <t>ENT-9373606</t>
        </is>
      </c>
      <c r="B1181" t="inlineStr">
        <is>
          <t>R250618-illumine</t>
        </is>
      </c>
      <c r="C1181" t="inlineStr">
        <is>
          <t>Entrackr</t>
        </is>
      </c>
      <c r="D1181" s="17" t="n">
        <v>45826</v>
      </c>
      <c r="E1181" t="inlineStr">
        <is>
          <t>illumine</t>
        </is>
      </c>
      <c r="F1181" t="inlineStr">
        <is>
          <t>$2.5 million</t>
        </is>
      </c>
      <c r="G1181" s="19" t="n"/>
      <c r="H1181" s="19" t="n">
        <v>2.5</v>
      </c>
      <c r="I1181" t="inlineStr">
        <is>
          <t>Seed</t>
        </is>
      </c>
      <c r="J1181" t="inlineStr"/>
      <c r="K1181" t="inlineStr">
        <is>
          <t>https://entrackr.com/snippets/illumine-raises-25-mn-seed-funding-round-led-by-prime-venture-partners-9373606</t>
        </is>
      </c>
    </row>
    <row r="1182">
      <c r="A1182" t="inlineStr">
        <is>
          <t>INC-20250621-06</t>
        </is>
      </c>
      <c r="B1182" t="inlineStr">
        <is>
          <t>R250618-illumine</t>
        </is>
      </c>
      <c r="C1182" t="inlineStr">
        <is>
          <t>Inc42</t>
        </is>
      </c>
      <c r="D1182" s="17" t="n">
        <v>45827</v>
      </c>
      <c r="E1182" t="inlineStr">
        <is>
          <t>illumine</t>
        </is>
      </c>
      <c r="F1182" t="inlineStr">
        <is>
          <t>$2.5 Mn</t>
        </is>
      </c>
      <c r="G1182" s="19" t="n"/>
      <c r="H1182" s="19" t="n">
        <v>2.5</v>
      </c>
      <c r="I1182" t="inlineStr">
        <is>
          <t>Seed</t>
        </is>
      </c>
      <c r="J1182" t="inlineStr">
        <is>
          <t>Prime Venture Partners</t>
        </is>
      </c>
      <c r="K1182" t="inlineStr">
        <is>
          <t>https://inc42.com/buzz/from-wiom-to-oben-electric-indian-startups-raised-92-mn-this-week/</t>
        </is>
      </c>
    </row>
    <row r="1183">
      <c r="A1183" t="inlineStr">
        <is>
          <t>ENT-9373375</t>
        </is>
      </c>
      <c r="B1183" t="inlineStr">
        <is>
          <t>R250618-obenelectric</t>
        </is>
      </c>
      <c r="C1183" t="inlineStr">
        <is>
          <t>Entrackr</t>
        </is>
      </c>
      <c r="D1183" s="17" t="n">
        <v>45826</v>
      </c>
      <c r="E1183" t="inlineStr">
        <is>
          <t>Oben Electric</t>
        </is>
      </c>
      <c r="F1183" t="inlineStr">
        <is>
          <t>Rs 50 crore</t>
        </is>
      </c>
      <c r="G1183" s="19" t="n">
        <v>50</v>
      </c>
      <c r="H1183" s="19" t="n">
        <v>6</v>
      </c>
      <c r="I1183" t="inlineStr">
        <is>
          <t>Series A</t>
        </is>
      </c>
      <c r="J1183" t="inlineStr"/>
      <c r="K1183" t="inlineStr">
        <is>
          <t>https://entrackr.com/snippets/oben-electric-closes-rs-100-cr-series-a-round-9373375</t>
        </is>
      </c>
    </row>
    <row r="1184">
      <c r="A1184" t="inlineStr">
        <is>
          <t>ET-121924756</t>
        </is>
      </c>
      <c r="B1184" t="inlineStr">
        <is>
          <t>R250618-obenelectric</t>
        </is>
      </c>
      <c r="C1184" t="inlineStr">
        <is>
          <t>The Economic Times</t>
        </is>
      </c>
      <c r="D1184" s="17" t="n">
        <v>45826</v>
      </c>
      <c r="E1184" t="inlineStr">
        <is>
          <t>Oben Electric</t>
        </is>
      </c>
      <c r="F1184" t="inlineStr">
        <is>
          <t>Rs 50-crore</t>
        </is>
      </c>
      <c r="G1184" s="19" t="n">
        <v>50</v>
      </c>
      <c r="H1184" s="19" t="n"/>
      <c r="I1184" t="inlineStr">
        <is>
          <t>Series A</t>
        </is>
      </c>
      <c r="J1184" t="inlineStr"/>
      <c r="K1184" t="inlineStr">
        <is>
          <t>https://economictimes.indiatimes.com/tech/funding/oben-electric-raises-rs-50-crore-total-series-a-funding-hits-rs-100-crore/articleshow/121924756.cms</t>
        </is>
      </c>
    </row>
    <row r="1185">
      <c r="A1185" t="inlineStr">
        <is>
          <t>INC-20250621-03</t>
        </is>
      </c>
      <c r="B1185" t="inlineStr">
        <is>
          <t>R250618-obenelectric</t>
        </is>
      </c>
      <c r="C1185" t="inlineStr">
        <is>
          <t>Inc42</t>
        </is>
      </c>
      <c r="D1185" s="17" t="n">
        <v>45826</v>
      </c>
      <c r="E1185" t="inlineStr">
        <is>
          <t>Oben Electric</t>
        </is>
      </c>
      <c r="F1185" t="inlineStr">
        <is>
          <t>$11.5 Mn</t>
        </is>
      </c>
      <c r="G1185" s="19" t="n"/>
      <c r="H1185" s="19" t="n">
        <v>11.5</v>
      </c>
      <c r="I1185" t="inlineStr">
        <is>
          <t>Series A</t>
        </is>
      </c>
      <c r="J1185" t="inlineStr"/>
      <c r="K1185" t="inlineStr">
        <is>
          <t>https://inc42.com/buzz/from-wiom-to-oben-electric-indian-startups-raised-92-mn-this-week/</t>
        </is>
      </c>
    </row>
    <row r="1186">
      <c r="A1186" t="inlineStr">
        <is>
          <t>ENT-9374111</t>
        </is>
      </c>
      <c r="B1186" t="inlineStr">
        <is>
          <t>R250618-seven</t>
        </is>
      </c>
      <c r="C1186" t="inlineStr">
        <is>
          <t>Entrackr</t>
        </is>
      </c>
      <c r="D1186" s="17" t="n">
        <v>45826</v>
      </c>
      <c r="E1186" t="inlineStr">
        <is>
          <t>Seven</t>
        </is>
      </c>
      <c r="F1186" t="inlineStr">
        <is>
          <t>Rs 4 crore</t>
        </is>
      </c>
      <c r="G1186" s="19" t="n">
        <v>4</v>
      </c>
      <c r="H1186" s="19" t="n"/>
      <c r="I1186" t="inlineStr">
        <is>
          <t>Pre-Series A</t>
        </is>
      </c>
      <c r="J1186" t="inlineStr">
        <is>
          <t>Venture Catalysts</t>
        </is>
      </c>
      <c r="K1186" t="inlineStr">
        <is>
          <t>https://entrackr.com/snippets/venture-catalysts-leads-pre-series-a-round-in-payment-ring-startup-seven-9374111</t>
        </is>
      </c>
    </row>
    <row r="1187">
      <c r="A1187" t="inlineStr">
        <is>
          <t>ENT-9373005</t>
        </is>
      </c>
      <c r="B1187" t="inlineStr">
        <is>
          <t>R250618-techfino</t>
        </is>
      </c>
      <c r="C1187" t="inlineStr">
        <is>
          <t>Entrackr</t>
        </is>
      </c>
      <c r="D1187" s="17" t="n">
        <v>45826</v>
      </c>
      <c r="E1187" t="inlineStr">
        <is>
          <t>Techfino</t>
        </is>
      </c>
      <c r="F1187" t="inlineStr">
        <is>
          <t>Rs 65 crore</t>
        </is>
      </c>
      <c r="G1187" s="19" t="n">
        <v>65</v>
      </c>
      <c r="H1187" s="19" t="n">
        <v>7.5</v>
      </c>
      <c r="I1187" t="inlineStr">
        <is>
          <t>Undisclosed</t>
        </is>
      </c>
      <c r="J1187" t="inlineStr"/>
      <c r="K1187" t="inlineStr">
        <is>
          <t>https://entrackr.com/snippets/techfino-raises-rs-65-cr-from-stellaris-saison-capital-9373005</t>
        </is>
      </c>
    </row>
    <row r="1188">
      <c r="A1188" t="inlineStr">
        <is>
          <t>INC-20250621-04</t>
        </is>
      </c>
      <c r="B1188" t="inlineStr">
        <is>
          <t>R250618-techfino</t>
        </is>
      </c>
      <c r="C1188" t="inlineStr">
        <is>
          <t>Inc42</t>
        </is>
      </c>
      <c r="D1188" s="17" t="n">
        <v>45826</v>
      </c>
      <c r="E1188" t="inlineStr">
        <is>
          <t>Techfino</t>
        </is>
      </c>
      <c r="F1188" t="inlineStr">
        <is>
          <t>$7.5 Mn</t>
        </is>
      </c>
      <c r="G1188" s="19" t="n"/>
      <c r="H1188" s="19" t="n">
        <v>7.5</v>
      </c>
      <c r="I1188" t="inlineStr">
        <is>
          <t>Undisclosed</t>
        </is>
      </c>
      <c r="J1188" t="inlineStr"/>
      <c r="K1188" t="inlineStr">
        <is>
          <t>https://inc42.com/buzz/from-wiom-to-oben-electric-indian-startups-raised-92-mn-this-week/</t>
        </is>
      </c>
    </row>
    <row r="1189">
      <c r="A1189" t="inlineStr">
        <is>
          <t>INC-20250621-01</t>
        </is>
      </c>
      <c r="B1189" t="inlineStr">
        <is>
          <t>R250618-wiom</t>
        </is>
      </c>
      <c r="C1189" t="inlineStr">
        <is>
          <t>Inc42</t>
        </is>
      </c>
      <c r="D1189" s="17" t="n">
        <v>45826</v>
      </c>
      <c r="E1189" t="inlineStr">
        <is>
          <t>WIOM</t>
        </is>
      </c>
      <c r="F1189" t="inlineStr">
        <is>
          <t>$35 Mn</t>
        </is>
      </c>
      <c r="G1189" s="19" t="n"/>
      <c r="H1189" s="19" t="n">
        <v>35</v>
      </c>
      <c r="I1189" t="inlineStr">
        <is>
          <t>Undisclosed</t>
        </is>
      </c>
      <c r="J1189" t="inlineStr">
        <is>
          <t>Accel; Prosus</t>
        </is>
      </c>
      <c r="K1189" t="inlineStr">
        <is>
          <t>https://inc42.com/buzz/from-wiom-to-oben-electric-indian-startups-raised-92-mn-this-week/</t>
        </is>
      </c>
    </row>
    <row r="1190">
      <c r="A1190" t="inlineStr">
        <is>
          <t>ENT-9439479</t>
        </is>
      </c>
      <c r="B1190" t="inlineStr">
        <is>
          <t>R250618-wiom</t>
        </is>
      </c>
      <c r="C1190" t="inlineStr">
        <is>
          <t>Entrackr</t>
        </is>
      </c>
      <c r="D1190" s="17" t="n">
        <v>45834</v>
      </c>
      <c r="E1190" t="inlineStr">
        <is>
          <t>Wiom</t>
        </is>
      </c>
      <c r="F1190" t="inlineStr">
        <is>
          <t>$40 million</t>
        </is>
      </c>
      <c r="G1190" s="19" t="n"/>
      <c r="H1190" s="19" t="n">
        <v>40</v>
      </c>
      <c r="I1190" t="inlineStr">
        <is>
          <t>Undisclosed</t>
        </is>
      </c>
      <c r="J1190" t="inlineStr">
        <is>
          <t>Bertelsmann India Investments; Accel</t>
        </is>
      </c>
      <c r="K1190" t="inlineStr">
        <is>
          <t>https://entrackr.com/news/wiom-raises-40-mn-led-by-bertelsmann-and-accel-9439479</t>
        </is>
      </c>
    </row>
    <row r="1191">
      <c r="A1191" t="inlineStr">
        <is>
          <t>ENT-9376076</t>
        </is>
      </c>
      <c r="B1191" t="inlineStr">
        <is>
          <t>R250619-mahaveerfinanc</t>
        </is>
      </c>
      <c r="C1191" t="inlineStr">
        <is>
          <t>Entrackr</t>
        </is>
      </c>
      <c r="D1191" s="17" t="n">
        <v>45827</v>
      </c>
      <c r="E1191" t="inlineStr">
        <is>
          <t>Mahaveer Finance</t>
        </is>
      </c>
      <c r="F1191" t="inlineStr">
        <is>
          <t>Rs 200 crore</t>
        </is>
      </c>
      <c r="G1191" s="19" t="n">
        <v>200</v>
      </c>
      <c r="H1191" s="19" t="n">
        <v>23.1</v>
      </c>
      <c r="I1191" t="inlineStr">
        <is>
          <t>Bridge</t>
        </is>
      </c>
      <c r="J1191" t="inlineStr">
        <is>
          <t>Elevation Capital</t>
        </is>
      </c>
      <c r="K1191" t="inlineStr">
        <is>
          <t>https://entrackr.com/news/mahaveer-finance-raises-rs-200-cr-led-by-elevation-capital-9376076</t>
        </is>
      </c>
    </row>
    <row r="1192">
      <c r="A1192" t="inlineStr">
        <is>
          <t>ET-121938522</t>
        </is>
      </c>
      <c r="B1192" t="inlineStr">
        <is>
          <t>R250619-mahaveerfinanc</t>
        </is>
      </c>
      <c r="C1192" t="inlineStr">
        <is>
          <t>The Economic Times</t>
        </is>
      </c>
      <c r="D1192" s="17" t="n">
        <v>45827</v>
      </c>
      <c r="E1192" t="inlineStr">
        <is>
          <t>Mahaveer Finance</t>
        </is>
      </c>
      <c r="F1192" t="inlineStr">
        <is>
          <t>Rs 200 crore</t>
        </is>
      </c>
      <c r="G1192" s="19" t="n">
        <v>200</v>
      </c>
      <c r="H1192" s="19" t="n"/>
      <c r="I1192" t="inlineStr">
        <is>
          <t>Bridge</t>
        </is>
      </c>
      <c r="J1192" t="inlineStr">
        <is>
          <t>Elevation Capital; First Bridge Capital</t>
        </is>
      </c>
      <c r="K1192" t="inlineStr">
        <is>
          <t>https://economictimes.indiatimes.com/tech/funding/mahaveer-finance-raises-rs-200-crore-from-elevation-capital-and-others/articleshow/121938522.cms</t>
        </is>
      </c>
    </row>
    <row r="1193">
      <c r="A1193" t="inlineStr">
        <is>
          <t>ENT-9376298</t>
        </is>
      </c>
      <c r="B1193" t="inlineStr">
        <is>
          <t>R250619-okinawa</t>
        </is>
      </c>
      <c r="C1193" t="inlineStr">
        <is>
          <t>Entrackr</t>
        </is>
      </c>
      <c r="D1193" s="17" t="n">
        <v>45827</v>
      </c>
      <c r="E1193" t="inlineStr">
        <is>
          <t>Okinawa</t>
        </is>
      </c>
      <c r="F1193" t="inlineStr">
        <is>
          <t>Rs 60 crore</t>
        </is>
      </c>
      <c r="G1193" s="19" t="n">
        <v>60</v>
      </c>
      <c r="H1193" s="19" t="n">
        <v>7</v>
      </c>
      <c r="I1193" t="inlineStr">
        <is>
          <t>Undisclosed</t>
        </is>
      </c>
      <c r="J1193" t="inlineStr"/>
      <c r="K1193" t="inlineStr">
        <is>
          <t>https://entrackr.com/exclusive/exclusive-okinawa-secures-7-mn-from-existing-investor-9376298</t>
        </is>
      </c>
    </row>
    <row r="1194">
      <c r="A1194" t="inlineStr">
        <is>
          <t>ENT-9377579</t>
        </is>
      </c>
      <c r="B1194" t="inlineStr">
        <is>
          <t>R250619-onehandclapmed</t>
        </is>
      </c>
      <c r="C1194" t="inlineStr">
        <is>
          <t>Entrackr</t>
        </is>
      </c>
      <c r="D1194" s="17" t="n">
        <v>45827</v>
      </c>
      <c r="E1194" t="inlineStr">
        <is>
          <t>One Hand Clap Media</t>
        </is>
      </c>
      <c r="F1194" t="inlineStr"/>
      <c r="G1194" s="19" t="n"/>
      <c r="H1194" s="19" t="n"/>
      <c r="I1194" t="inlineStr">
        <is>
          <t>Undisclosed</t>
        </is>
      </c>
      <c r="J1194" t="inlineStr"/>
      <c r="K1194" t="inlineStr">
        <is>
          <t>https://entrackr.com/snippets/nikhil-kamath-invests-in-creative-agency-one-hand-clap-media-9377579</t>
        </is>
      </c>
    </row>
    <row r="1195">
      <c r="A1195" t="inlineStr">
        <is>
          <t>ENT-9379957</t>
        </is>
      </c>
      <c r="B1195" t="inlineStr">
        <is>
          <t>R250620-renewbuy</t>
        </is>
      </c>
      <c r="C1195" t="inlineStr">
        <is>
          <t>Entrackr</t>
        </is>
      </c>
      <c r="D1195" s="17" t="n">
        <v>45828</v>
      </c>
      <c r="E1195" t="inlineStr">
        <is>
          <t>Renewbuy</t>
        </is>
      </c>
      <c r="F1195" t="inlineStr">
        <is>
          <t>$10 million</t>
        </is>
      </c>
      <c r="G1195" s="19" t="n">
        <v>86</v>
      </c>
      <c r="H1195" s="19" t="n">
        <v>10</v>
      </c>
      <c r="I1195" t="inlineStr">
        <is>
          <t>Undisclosed</t>
        </is>
      </c>
      <c r="J1195" t="inlineStr"/>
      <c r="K1195" t="inlineStr">
        <is>
          <t>https://entrackr.com/snippets/renewbuy-raises-10-mn-from-apis-partners-and-360-one-report-9379957</t>
        </is>
      </c>
    </row>
    <row r="1196">
      <c r="A1196" t="inlineStr">
        <is>
          <t>ET-121959939</t>
        </is>
      </c>
      <c r="B1196" t="inlineStr">
        <is>
          <t>R250620-renewbuy</t>
        </is>
      </c>
      <c r="C1196" t="inlineStr">
        <is>
          <t>The Economic Times</t>
        </is>
      </c>
      <c r="D1196" s="17" t="n">
        <v>45828</v>
      </c>
      <c r="E1196" t="inlineStr">
        <is>
          <t>Renewbuy</t>
        </is>
      </c>
      <c r="F1196" t="inlineStr">
        <is>
          <t>$10 million</t>
        </is>
      </c>
      <c r="G1196" s="19" t="n">
        <v>86</v>
      </c>
      <c r="H1196" s="19" t="n">
        <v>10</v>
      </c>
      <c r="I1196" t="inlineStr">
        <is>
          <t>Undisclosed</t>
        </is>
      </c>
      <c r="J1196" t="inlineStr"/>
      <c r="K1196" t="inlineStr">
        <is>
          <t>https://economictimes.indiatimes.com/tech/funding/insurtech-firm-renewbuy-bags-10-million-from-apis-360-one/articleshow/121959939.cms</t>
        </is>
      </c>
    </row>
    <row r="1197">
      <c r="A1197" t="inlineStr">
        <is>
          <t>INC-20250628-03</t>
        </is>
      </c>
      <c r="B1197" t="inlineStr">
        <is>
          <t>R250623-ekamobility</t>
        </is>
      </c>
      <c r="C1197" t="inlineStr">
        <is>
          <t>Inc42</t>
        </is>
      </c>
      <c r="D1197" s="17" t="n">
        <v>45831</v>
      </c>
      <c r="E1197" t="inlineStr">
        <is>
          <t>EKA Mobility</t>
        </is>
      </c>
      <c r="F1197" t="inlineStr">
        <is>
          <t>$23 Mn</t>
        </is>
      </c>
      <c r="G1197" s="19" t="n"/>
      <c r="H1197" s="19" t="n">
        <v>23</v>
      </c>
      <c r="I1197" t="inlineStr">
        <is>
          <t>Undisclosed</t>
        </is>
      </c>
      <c r="J1197" t="inlineStr">
        <is>
          <t>Enam Holdings</t>
        </is>
      </c>
      <c r="K1197" t="inlineStr">
        <is>
          <t>https://inc42.com/buzz/from-raphe-mphibr-to-gokwik-indian-startups-raised-278-mn-this-week/</t>
        </is>
      </c>
    </row>
    <row r="1198">
      <c r="A1198" t="inlineStr">
        <is>
          <t>ET-122027507</t>
        </is>
      </c>
      <c r="B1198" t="inlineStr">
        <is>
          <t>R250623-incredholdings</t>
        </is>
      </c>
      <c r="C1198" t="inlineStr">
        <is>
          <t>The Economic Times</t>
        </is>
      </c>
      <c r="D1198" s="17" t="n">
        <v>45831</v>
      </c>
      <c r="E1198" t="inlineStr">
        <is>
          <t>InCred Holdings</t>
        </is>
      </c>
      <c r="F1198" t="inlineStr">
        <is>
          <t>Rs 250 crore</t>
        </is>
      </c>
      <c r="G1198" s="19" t="n">
        <v>250</v>
      </c>
      <c r="H1198" s="19" t="n"/>
      <c r="I1198" t="inlineStr">
        <is>
          <t>Undisclosed</t>
        </is>
      </c>
      <c r="J1198" t="inlineStr"/>
      <c r="K1198" t="inlineStr">
        <is>
          <t>https://economictimes.indiatimes.com/tech/funding/zerodhas-kamath-brothers-invest-rs-250-crore-in-incred-holdings/articleshow/122027507.cms</t>
        </is>
      </c>
    </row>
    <row r="1199">
      <c r="A1199" t="inlineStr">
        <is>
          <t>ENT-9389336</t>
        </is>
      </c>
      <c r="B1199" t="inlineStr">
        <is>
          <t>R250623-kazam</t>
        </is>
      </c>
      <c r="C1199" t="inlineStr">
        <is>
          <t>Entrackr</t>
        </is>
      </c>
      <c r="D1199" s="17" t="n">
        <v>45831</v>
      </c>
      <c r="E1199" t="inlineStr">
        <is>
          <t>Kazam</t>
        </is>
      </c>
      <c r="F1199" t="inlineStr">
        <is>
          <t>$6.2 million</t>
        </is>
      </c>
      <c r="G1199" s="19" t="n"/>
      <c r="H1199" s="19" t="n">
        <v>6.2</v>
      </c>
      <c r="I1199" t="inlineStr">
        <is>
          <t>Series B</t>
        </is>
      </c>
      <c r="J1199" t="inlineStr"/>
      <c r="K1199" t="inlineStr">
        <is>
          <t>https://entrackr.com/snippets/ev-startup-kazam-raises-62-mn-from-ifc-vertex-and-avaana-capital-9389336</t>
        </is>
      </c>
    </row>
    <row r="1200">
      <c r="A1200" t="inlineStr">
        <is>
          <t>ET-122028248</t>
        </is>
      </c>
      <c r="B1200" t="inlineStr">
        <is>
          <t>R250623-kazam</t>
        </is>
      </c>
      <c r="C1200" t="inlineStr">
        <is>
          <t>The Economic Times</t>
        </is>
      </c>
      <c r="D1200" s="17" t="n">
        <v>45831</v>
      </c>
      <c r="E1200" t="inlineStr">
        <is>
          <t>Kazam</t>
        </is>
      </c>
      <c r="F1200" t="inlineStr">
        <is>
          <t>$6.2 million</t>
        </is>
      </c>
      <c r="G1200" s="19" t="n"/>
      <c r="H1200" s="19" t="n">
        <v>6.2</v>
      </c>
      <c r="I1200" t="inlineStr">
        <is>
          <t>Undisclosed</t>
        </is>
      </c>
      <c r="J1200" t="inlineStr">
        <is>
          <t>International Finance Corporation</t>
        </is>
      </c>
      <c r="K1200" t="inlineStr">
        <is>
          <t>https://economictimes.indiatimes.com/tech/funding/ev-energy-tech-startup-kazam-raises-6-2-million-from-ifc-vertex-ventures-avaana-capital-advisors/articleshow/122028248.cms</t>
        </is>
      </c>
    </row>
    <row r="1201">
      <c r="A1201" t="inlineStr">
        <is>
          <t>INC-20250628-08</t>
        </is>
      </c>
      <c r="B1201" t="inlineStr">
        <is>
          <t>R250623-kazam</t>
        </is>
      </c>
      <c r="C1201" t="inlineStr">
        <is>
          <t>Inc42</t>
        </is>
      </c>
      <c r="D1201" s="17" t="n">
        <v>45831</v>
      </c>
      <c r="E1201" t="inlineStr">
        <is>
          <t>Kazam</t>
        </is>
      </c>
      <c r="F1201" t="inlineStr">
        <is>
          <t>$6.2 Mn</t>
        </is>
      </c>
      <c r="G1201" s="19" t="n"/>
      <c r="H1201" s="19" t="n">
        <v>6.2</v>
      </c>
      <c r="I1201" t="inlineStr">
        <is>
          <t>Series B</t>
        </is>
      </c>
      <c r="J1201" t="inlineStr">
        <is>
          <t>International Finance Corporation</t>
        </is>
      </c>
      <c r="K1201" t="inlineStr">
        <is>
          <t>https://inc42.com/buzz/from-raphe-mphibr-to-gokwik-indian-startups-raised-278-mn-this-week/</t>
        </is>
      </c>
    </row>
    <row r="1202">
      <c r="A1202" t="inlineStr">
        <is>
          <t>ENT-9389652</t>
        </is>
      </c>
      <c r="B1202" t="inlineStr">
        <is>
          <t>R250623-rabitat</t>
        </is>
      </c>
      <c r="C1202" t="inlineStr">
        <is>
          <t>Entrackr</t>
        </is>
      </c>
      <c r="D1202" s="17" t="n">
        <v>45831</v>
      </c>
      <c r="E1202" t="inlineStr">
        <is>
          <t>Rabitat</t>
        </is>
      </c>
      <c r="F1202" t="inlineStr">
        <is>
          <t>Rs 40 crore</t>
        </is>
      </c>
      <c r="G1202" s="19" t="n">
        <v>40</v>
      </c>
      <c r="H1202" s="19" t="n">
        <v>5</v>
      </c>
      <c r="I1202" t="inlineStr">
        <is>
          <t>Series A</t>
        </is>
      </c>
      <c r="J1202" t="inlineStr">
        <is>
          <t>RPSG Capital Ventures; DSG Consumer Partners</t>
        </is>
      </c>
      <c r="K1202" t="inlineStr">
        <is>
          <t>https://entrackr.com/snippets/d2c-brand-rabitat-raises-rs-40-cr-in-series-a-round-9389652</t>
        </is>
      </c>
    </row>
    <row r="1203">
      <c r="A1203" t="inlineStr">
        <is>
          <t>INC-20250628-11</t>
        </is>
      </c>
      <c r="B1203" t="inlineStr">
        <is>
          <t>R250623-rabitat</t>
        </is>
      </c>
      <c r="C1203" t="inlineStr">
        <is>
          <t>Inc42</t>
        </is>
      </c>
      <c r="D1203" s="17" t="n">
        <v>45831</v>
      </c>
      <c r="E1203" t="inlineStr">
        <is>
          <t>Rabitat</t>
        </is>
      </c>
      <c r="F1203" t="inlineStr">
        <is>
          <t>$4.6 Mn</t>
        </is>
      </c>
      <c r="G1203" s="19" t="n"/>
      <c r="H1203" s="19" t="n">
        <v>4.6</v>
      </c>
      <c r="I1203" t="inlineStr">
        <is>
          <t>Series A</t>
        </is>
      </c>
      <c r="J1203" t="inlineStr">
        <is>
          <t>RPSG Capital; DSG Consumer Partners</t>
        </is>
      </c>
      <c r="K1203" t="inlineStr">
        <is>
          <t>https://inc42.com/buzz/from-raphe-mphibr-to-gokwik-indian-startups-raised-278-mn-this-week/</t>
        </is>
      </c>
    </row>
    <row r="1204">
      <c r="A1204" t="inlineStr">
        <is>
          <t>ENT-9392137</t>
        </is>
      </c>
      <c r="B1204" t="inlineStr">
        <is>
          <t>R250623-truliv</t>
        </is>
      </c>
      <c r="C1204" t="inlineStr">
        <is>
          <t>Entrackr</t>
        </is>
      </c>
      <c r="D1204" s="17" t="n">
        <v>45831</v>
      </c>
      <c r="E1204" t="inlineStr">
        <is>
          <t>Truliv</t>
        </is>
      </c>
      <c r="F1204" t="inlineStr"/>
      <c r="G1204" s="19" t="n"/>
      <c r="H1204" s="19" t="n"/>
      <c r="I1204" t="inlineStr">
        <is>
          <t>Undisclosed</t>
        </is>
      </c>
      <c r="J1204" t="inlineStr"/>
      <c r="K1204" t="inlineStr">
        <is>
          <t>https://entrackr.com/snippets/co-living-startup-truliv-raises-strategic-investment-from-bccl-9392137</t>
        </is>
      </c>
    </row>
    <row r="1205">
      <c r="A1205" t="inlineStr">
        <is>
          <t>INC-20250628-21</t>
        </is>
      </c>
      <c r="B1205" t="inlineStr">
        <is>
          <t>R250623-truliv</t>
        </is>
      </c>
      <c r="C1205" t="inlineStr">
        <is>
          <t>Inc42</t>
        </is>
      </c>
      <c r="D1205" s="17" t="n">
        <v>45831</v>
      </c>
      <c r="E1205" t="inlineStr">
        <is>
          <t>Truliv</t>
        </is>
      </c>
      <c r="F1205" t="inlineStr"/>
      <c r="G1205" s="19" t="n"/>
      <c r="H1205" s="19" t="n"/>
      <c r="I1205" t="inlineStr">
        <is>
          <t>Undisclosed</t>
        </is>
      </c>
      <c r="J1205" t="inlineStr">
        <is>
          <t>Bennett; Coleman &amp; Co</t>
        </is>
      </c>
      <c r="K1205" t="inlineStr">
        <is>
          <t>https://inc42.com/buzz/from-raphe-mphibr-to-gokwik-indian-startups-raised-278-mn-this-week/</t>
        </is>
      </c>
    </row>
    <row r="1206">
      <c r="A1206" t="inlineStr">
        <is>
          <t>ENT-9396942</t>
        </is>
      </c>
      <c r="B1206" t="inlineStr">
        <is>
          <t>R250624-everacabs</t>
        </is>
      </c>
      <c r="C1206" t="inlineStr">
        <is>
          <t>Entrackr</t>
        </is>
      </c>
      <c r="D1206" s="17" t="n">
        <v>45832</v>
      </c>
      <c r="E1206" t="inlineStr">
        <is>
          <t>Evera Cabs</t>
        </is>
      </c>
      <c r="F1206" t="inlineStr">
        <is>
          <t>$4 million</t>
        </is>
      </c>
      <c r="G1206" s="19" t="n"/>
      <c r="H1206" s="19" t="n">
        <v>4</v>
      </c>
      <c r="I1206" t="inlineStr">
        <is>
          <t>Debt</t>
        </is>
      </c>
      <c r="J1206" t="inlineStr"/>
      <c r="K1206" t="inlineStr">
        <is>
          <t>https://entrackr.com/snippets/evera-cabs-secures-4-mn-from-mufin-green-finance-9396942</t>
        </is>
      </c>
    </row>
    <row r="1207">
      <c r="A1207" t="inlineStr">
        <is>
          <t>INC-20250628-13</t>
        </is>
      </c>
      <c r="B1207" t="inlineStr">
        <is>
          <t>R250624-everacabs</t>
        </is>
      </c>
      <c r="C1207" t="inlineStr">
        <is>
          <t>Inc42</t>
        </is>
      </c>
      <c r="D1207" s="17" t="n">
        <v>45832</v>
      </c>
      <c r="E1207" t="inlineStr">
        <is>
          <t>Evera Cabs</t>
        </is>
      </c>
      <c r="F1207" t="inlineStr">
        <is>
          <t>$4 Mn</t>
        </is>
      </c>
      <c r="G1207" s="19" t="n"/>
      <c r="H1207" s="19" t="n">
        <v>4</v>
      </c>
      <c r="I1207" t="inlineStr">
        <is>
          <t>Debt</t>
        </is>
      </c>
      <c r="J1207" t="inlineStr">
        <is>
          <t>Mufin Green Finance</t>
        </is>
      </c>
      <c r="K1207" t="inlineStr">
        <is>
          <t>https://inc42.com/buzz/from-raphe-mphibr-to-gokwik-indian-startups-raised-278-mn-this-week/</t>
        </is>
      </c>
    </row>
    <row r="1208">
      <c r="A1208" t="inlineStr">
        <is>
          <t>ENT-9396012</t>
        </is>
      </c>
      <c r="B1208" t="inlineStr">
        <is>
          <t>R250624-fabheads</t>
        </is>
      </c>
      <c r="C1208" t="inlineStr">
        <is>
          <t>Entrackr</t>
        </is>
      </c>
      <c r="D1208" s="17" t="n">
        <v>45832</v>
      </c>
      <c r="E1208" t="inlineStr">
        <is>
          <t>Fabheads</t>
        </is>
      </c>
      <c r="F1208" t="inlineStr">
        <is>
          <t>$10 million</t>
        </is>
      </c>
      <c r="G1208" s="19" t="n"/>
      <c r="H1208" s="19" t="n">
        <v>10</v>
      </c>
      <c r="I1208" t="inlineStr">
        <is>
          <t>Series A</t>
        </is>
      </c>
      <c r="J1208" t="inlineStr">
        <is>
          <t>Accel</t>
        </is>
      </c>
      <c r="K1208" t="inlineStr">
        <is>
          <t>https://entrackr.com/snippets/fabheads-raises-10-mn-in-series-a-round-led-by-accel-9396012</t>
        </is>
      </c>
    </row>
    <row r="1209">
      <c r="A1209" t="inlineStr">
        <is>
          <t>ET-122028162</t>
        </is>
      </c>
      <c r="B1209" t="inlineStr">
        <is>
          <t>R250624-fabheads</t>
        </is>
      </c>
      <c r="C1209" t="inlineStr">
        <is>
          <t>The Economic Times</t>
        </is>
      </c>
      <c r="D1209" s="17" t="n">
        <v>45832</v>
      </c>
      <c r="E1209" t="inlineStr">
        <is>
          <t>Fabheads</t>
        </is>
      </c>
      <c r="F1209" t="inlineStr">
        <is>
          <t>$10 million</t>
        </is>
      </c>
      <c r="G1209" s="19" t="n"/>
      <c r="H1209" s="19" t="n">
        <v>10</v>
      </c>
      <c r="I1209" t="inlineStr">
        <is>
          <t>Undisclosed</t>
        </is>
      </c>
      <c r="J1209" t="inlineStr">
        <is>
          <t>Accel</t>
        </is>
      </c>
      <c r="K1209" t="inlineStr">
        <is>
          <t>https://economictimes.indiatimes.com/tech/funding/composite-manufacturing-tech-startup-fabheads-raises-10-million-in-round-led-by-accel/articleshow/122028162.cms</t>
        </is>
      </c>
    </row>
    <row r="1210">
      <c r="A1210" t="inlineStr">
        <is>
          <t>INC-20250628-07</t>
        </is>
      </c>
      <c r="B1210" t="inlineStr">
        <is>
          <t>R250624-fabheads</t>
        </is>
      </c>
      <c r="C1210" t="inlineStr">
        <is>
          <t>Inc42</t>
        </is>
      </c>
      <c r="D1210" s="17" t="n">
        <v>45832</v>
      </c>
      <c r="E1210" t="inlineStr">
        <is>
          <t>Fabheads</t>
        </is>
      </c>
      <c r="F1210" t="inlineStr">
        <is>
          <t>$10 Mn</t>
        </is>
      </c>
      <c r="G1210" s="19" t="n"/>
      <c r="H1210" s="19" t="n">
        <v>10</v>
      </c>
      <c r="I1210" t="inlineStr">
        <is>
          <t>Series A</t>
        </is>
      </c>
      <c r="J1210" t="inlineStr">
        <is>
          <t>Accel</t>
        </is>
      </c>
      <c r="K1210" t="inlineStr">
        <is>
          <t>https://inc42.com/buzz/from-raphe-mphibr-to-gokwik-indian-startups-raised-278-mn-this-week/</t>
        </is>
      </c>
    </row>
    <row r="1211">
      <c r="A1211" t="inlineStr">
        <is>
          <t>ENT-9396255</t>
        </is>
      </c>
      <c r="B1211" t="inlineStr">
        <is>
          <t>R250624-fantail</t>
        </is>
      </c>
      <c r="C1211" t="inlineStr">
        <is>
          <t>Entrackr</t>
        </is>
      </c>
      <c r="D1211" s="17" t="n">
        <v>45832</v>
      </c>
      <c r="E1211" t="inlineStr">
        <is>
          <t>Fantail</t>
        </is>
      </c>
      <c r="F1211" t="inlineStr">
        <is>
          <t>Rs 13.75 crore</t>
        </is>
      </c>
      <c r="G1211" s="19" t="n">
        <v>13.75</v>
      </c>
      <c r="H1211" s="19" t="n">
        <v>1.6</v>
      </c>
      <c r="I1211" t="inlineStr">
        <is>
          <t>Seed</t>
        </is>
      </c>
      <c r="J1211" t="inlineStr">
        <is>
          <t>Riverwalk Holdings; Incubate Fund Asia; All In Capital</t>
        </is>
      </c>
      <c r="K1211" t="inlineStr">
        <is>
          <t>https://entrackr.com/snippets/b2b-textile-manufacturing-startup-fantail-raises-rs-1375-cr-in-seed-round-9396255</t>
        </is>
      </c>
    </row>
    <row r="1212">
      <c r="A1212" t="inlineStr">
        <is>
          <t>INC-20250628-15</t>
        </is>
      </c>
      <c r="B1212" t="inlineStr">
        <is>
          <t>R250624-fantail</t>
        </is>
      </c>
      <c r="C1212" t="inlineStr">
        <is>
          <t>Inc42</t>
        </is>
      </c>
      <c r="D1212" s="17" t="n">
        <v>45832</v>
      </c>
      <c r="E1212" t="inlineStr">
        <is>
          <t>Fantail</t>
        </is>
      </c>
      <c r="F1212" t="inlineStr">
        <is>
          <t>$1.6 Mn</t>
        </is>
      </c>
      <c r="G1212" s="19" t="n"/>
      <c r="H1212" s="19" t="n">
        <v>1.6</v>
      </c>
      <c r="I1212" t="inlineStr">
        <is>
          <t>Seed</t>
        </is>
      </c>
      <c r="J1212" t="inlineStr">
        <is>
          <t>Riverwalk Holdings; Incubate Fund Asia; All in Capital</t>
        </is>
      </c>
      <c r="K1212" t="inlineStr">
        <is>
          <t>https://inc42.com/buzz/from-raphe-mphibr-to-gokwik-indian-startups-raised-278-mn-this-week/</t>
        </is>
      </c>
    </row>
    <row r="1213">
      <c r="A1213" t="inlineStr">
        <is>
          <t>ENT-9396485</t>
        </is>
      </c>
      <c r="B1213" t="inlineStr">
        <is>
          <t>R250624-gokwik</t>
        </is>
      </c>
      <c r="C1213" t="inlineStr">
        <is>
          <t>Entrackr</t>
        </is>
      </c>
      <c r="D1213" s="17" t="n">
        <v>45832</v>
      </c>
      <c r="E1213" t="inlineStr">
        <is>
          <t>GoKwik</t>
        </is>
      </c>
      <c r="F1213" t="inlineStr">
        <is>
          <t>$13 million</t>
        </is>
      </c>
      <c r="G1213" s="19" t="n"/>
      <c r="H1213" s="19" t="n">
        <v>13</v>
      </c>
      <c r="I1213" t="inlineStr">
        <is>
          <t>Undisclosed</t>
        </is>
      </c>
      <c r="J1213" t="inlineStr">
        <is>
          <t>RTP Global</t>
        </is>
      </c>
      <c r="K1213" t="inlineStr">
        <is>
          <t>https://entrackr.com/snippets/e-commerce-enabler-gokwik-raises-13-mn-led-by-rtp-global-9396485</t>
        </is>
      </c>
    </row>
    <row r="1214">
      <c r="A1214" t="inlineStr">
        <is>
          <t>ET-122043020</t>
        </is>
      </c>
      <c r="B1214" t="inlineStr">
        <is>
          <t>R250624-gokwik</t>
        </is>
      </c>
      <c r="C1214" t="inlineStr">
        <is>
          <t>The Economic Times</t>
        </is>
      </c>
      <c r="D1214" s="17" t="n">
        <v>45832</v>
      </c>
      <c r="E1214" t="inlineStr">
        <is>
          <t>GoKwik</t>
        </is>
      </c>
      <c r="F1214" t="inlineStr">
        <is>
          <t>$13 million</t>
        </is>
      </c>
      <c r="G1214" s="19" t="n"/>
      <c r="H1214" s="19" t="n">
        <v>13</v>
      </c>
      <c r="I1214" t="inlineStr">
        <is>
          <t>Undisclosed</t>
        </is>
      </c>
      <c r="J1214" t="inlineStr">
        <is>
          <t>RTP Global</t>
        </is>
      </c>
      <c r="K1214" t="inlineStr">
        <is>
          <t>https://economictimes.indiatimes.com/tech/funding/ecommerce-enabler-gokwik-raises-13-million-from-rtp-global-others/articleshow/122043020.cms</t>
        </is>
      </c>
    </row>
    <row r="1215">
      <c r="A1215" t="inlineStr">
        <is>
          <t>INC-20250628-05</t>
        </is>
      </c>
      <c r="B1215" t="inlineStr">
        <is>
          <t>R250624-gokwik</t>
        </is>
      </c>
      <c r="C1215" t="inlineStr">
        <is>
          <t>Inc42</t>
        </is>
      </c>
      <c r="D1215" s="17" t="n">
        <v>45832</v>
      </c>
      <c r="E1215" t="inlineStr">
        <is>
          <t>GoKwik</t>
        </is>
      </c>
      <c r="F1215" t="inlineStr">
        <is>
          <t>$13 Mn</t>
        </is>
      </c>
      <c r="G1215" s="19" t="n"/>
      <c r="H1215" s="19" t="n">
        <v>13</v>
      </c>
      <c r="I1215" t="inlineStr">
        <is>
          <t>Undisclosed</t>
        </is>
      </c>
      <c r="J1215" t="inlineStr">
        <is>
          <t>RTP Global</t>
        </is>
      </c>
      <c r="K1215" t="inlineStr">
        <is>
          <t>https://inc42.com/buzz/from-raphe-mphibr-to-gokwik-indian-startups-raised-278-mn-this-week/</t>
        </is>
      </c>
    </row>
    <row r="1216">
      <c r="A1216" t="inlineStr">
        <is>
          <t>ENT-9402512</t>
        </is>
      </c>
      <c r="B1216" t="inlineStr">
        <is>
          <t>R250624-innovodigm</t>
        </is>
      </c>
      <c r="C1216" t="inlineStr">
        <is>
          <t>Entrackr</t>
        </is>
      </c>
      <c r="D1216" s="17" t="n">
        <v>45832</v>
      </c>
      <c r="E1216" t="inlineStr">
        <is>
          <t>Innovodigm</t>
        </is>
      </c>
      <c r="F1216" t="inlineStr">
        <is>
          <t>Rs 5.5 crore</t>
        </is>
      </c>
      <c r="G1216" s="19" t="n">
        <v>5.5</v>
      </c>
      <c r="H1216" s="19" t="n"/>
      <c r="I1216" t="inlineStr">
        <is>
          <t>Seed</t>
        </is>
      </c>
      <c r="J1216" t="inlineStr">
        <is>
          <t>IAN Group</t>
        </is>
      </c>
      <c r="K1216" t="inlineStr">
        <is>
          <t>https://entrackr.com/snippets/med-tech-startup-innovodigm-raises-seed-funding-round-led-by-ian-group-9402512</t>
        </is>
      </c>
    </row>
    <row r="1217">
      <c r="A1217" t="inlineStr">
        <is>
          <t>INC-20250628-20</t>
        </is>
      </c>
      <c r="B1217" t="inlineStr">
        <is>
          <t>R250624-innovodigm</t>
        </is>
      </c>
      <c r="C1217" t="inlineStr">
        <is>
          <t>Inc42</t>
        </is>
      </c>
      <c r="D1217" s="17" t="n">
        <v>45832</v>
      </c>
      <c r="E1217" t="inlineStr">
        <is>
          <t>Innovodigm</t>
        </is>
      </c>
      <c r="F1217" t="inlineStr">
        <is>
          <t>$643K</t>
        </is>
      </c>
      <c r="G1217" s="19" t="n"/>
      <c r="H1217" s="19" t="n">
        <v>0.643</v>
      </c>
      <c r="I1217" t="inlineStr">
        <is>
          <t>Seed</t>
        </is>
      </c>
      <c r="J1217" t="inlineStr"/>
      <c r="K1217" t="inlineStr">
        <is>
          <t>https://inc42.com/buzz/from-raphe-mphibr-to-gokwik-indian-startups-raised-278-mn-this-week/</t>
        </is>
      </c>
    </row>
    <row r="1218">
      <c r="A1218" t="inlineStr">
        <is>
          <t>ENT-9396900</t>
        </is>
      </c>
      <c r="B1218" t="inlineStr">
        <is>
          <t>R250624-skippi</t>
        </is>
      </c>
      <c r="C1218" t="inlineStr">
        <is>
          <t>Entrackr</t>
        </is>
      </c>
      <c r="D1218" s="17" t="n">
        <v>45832</v>
      </c>
      <c r="E1218" t="inlineStr">
        <is>
          <t>Skippi</t>
        </is>
      </c>
      <c r="F1218" t="inlineStr">
        <is>
          <t>Rs 12 crore</t>
        </is>
      </c>
      <c r="G1218" s="19" t="n">
        <v>12</v>
      </c>
      <c r="H1218" s="19" t="n">
        <v>1.4</v>
      </c>
      <c r="I1218" t="inlineStr">
        <is>
          <t>Pre-Series A</t>
        </is>
      </c>
      <c r="J1218" t="inlineStr"/>
      <c r="K1218" t="inlineStr">
        <is>
          <t>https://entrackr.com/snippets/ice-popsicle-brand-skippi-raises-rs-12-cr-in-extended-pre-series-a-round-9396900</t>
        </is>
      </c>
    </row>
    <row r="1219">
      <c r="A1219" t="inlineStr">
        <is>
          <t>INC-20250628-18</t>
        </is>
      </c>
      <c r="B1219" t="inlineStr">
        <is>
          <t>R250624-skippi</t>
        </is>
      </c>
      <c r="C1219" t="inlineStr">
        <is>
          <t>Inc42</t>
        </is>
      </c>
      <c r="D1219" s="17" t="n">
        <v>45832</v>
      </c>
      <c r="E1219" t="inlineStr">
        <is>
          <t>Skippi</t>
        </is>
      </c>
      <c r="F1219" t="inlineStr">
        <is>
          <t>$1.4 Mn</t>
        </is>
      </c>
      <c r="G1219" s="19" t="n"/>
      <c r="H1219" s="19" t="n">
        <v>1.4</v>
      </c>
      <c r="I1219" t="inlineStr">
        <is>
          <t>Pre-Series A</t>
        </is>
      </c>
      <c r="J1219" t="inlineStr"/>
      <c r="K1219" t="inlineStr">
        <is>
          <t>https://inc42.com/buzz/from-raphe-mphibr-to-gokwik-indian-startups-raised-278-mn-this-week/</t>
        </is>
      </c>
    </row>
    <row r="1220">
      <c r="A1220" t="inlineStr">
        <is>
          <t>ENT-9396662</t>
        </is>
      </c>
      <c r="B1220" t="inlineStr">
        <is>
          <t>R250624-utopiatherapeu</t>
        </is>
      </c>
      <c r="C1220" t="inlineStr">
        <is>
          <t>Entrackr</t>
        </is>
      </c>
      <c r="D1220" s="17" t="n">
        <v>45832</v>
      </c>
      <c r="E1220" t="inlineStr">
        <is>
          <t>Utopia Therapeutics</t>
        </is>
      </c>
      <c r="F1220" t="inlineStr">
        <is>
          <t>$1.5 million</t>
        </is>
      </c>
      <c r="G1220" s="19" t="n"/>
      <c r="H1220" s="19" t="n">
        <v>1.5</v>
      </c>
      <c r="I1220" t="inlineStr">
        <is>
          <t>Seed</t>
        </is>
      </c>
      <c r="J1220" t="inlineStr"/>
      <c r="K1220" t="inlineStr">
        <is>
          <t>https://entrackr.com/snippets/bio-tech-startup-utopia-therapeutics-raises-15-mn-led-by-whale-tank-9396662</t>
        </is>
      </c>
    </row>
    <row r="1221">
      <c r="A1221" t="inlineStr">
        <is>
          <t>ENT-9404571</t>
        </is>
      </c>
      <c r="B1221" t="inlineStr">
        <is>
          <t>R250625-armory</t>
        </is>
      </c>
      <c r="C1221" t="inlineStr">
        <is>
          <t>Entrackr</t>
        </is>
      </c>
      <c r="D1221" s="17" t="n">
        <v>45833</v>
      </c>
      <c r="E1221" t="inlineStr">
        <is>
          <t>Armory</t>
        </is>
      </c>
      <c r="F1221" t="inlineStr">
        <is>
          <t>Rs 13 crore</t>
        </is>
      </c>
      <c r="G1221" s="19" t="n">
        <v>13</v>
      </c>
      <c r="H1221" s="19" t="n">
        <v>1.5</v>
      </c>
      <c r="I1221" t="inlineStr">
        <is>
          <t>Undisclosed</t>
        </is>
      </c>
      <c r="J1221" t="inlineStr"/>
      <c r="K1221" t="inlineStr">
        <is>
          <t>https://entrackr.com/snippets/defence-tech-startup-armory-raises-rs-13-cr-led-by-growx-ventures-9404571</t>
        </is>
      </c>
    </row>
    <row r="1222">
      <c r="A1222" t="inlineStr">
        <is>
          <t>ET-122054851</t>
        </is>
      </c>
      <c r="B1222" t="inlineStr">
        <is>
          <t>R250625-armory</t>
        </is>
      </c>
      <c r="C1222" t="inlineStr">
        <is>
          <t>The Economic Times</t>
        </is>
      </c>
      <c r="D1222" s="17" t="n">
        <v>45833</v>
      </c>
      <c r="E1222" t="inlineStr">
        <is>
          <t>Armory</t>
        </is>
      </c>
      <c r="F1222" t="inlineStr">
        <is>
          <t>Rs 13 crore</t>
        </is>
      </c>
      <c r="G1222" s="19" t="n">
        <v>13</v>
      </c>
      <c r="H1222" s="19" t="n"/>
      <c r="I1222" t="inlineStr">
        <is>
          <t>Undisclosed</t>
        </is>
      </c>
      <c r="J1222" t="inlineStr">
        <is>
          <t>GrowX Ventures</t>
        </is>
      </c>
      <c r="K1222" t="inlineStr">
        <is>
          <t>https://economictimes.indiatimes.com/tech/funding/defence-tech-startup-armory-raises-rs-13-crore-in-round-led-by-growx-ventures/articleshow/122054851.cms</t>
        </is>
      </c>
    </row>
    <row r="1223">
      <c r="A1223" t="inlineStr">
        <is>
          <t>INC-20250628-16</t>
        </is>
      </c>
      <c r="B1223" t="inlineStr">
        <is>
          <t>R250625-armory</t>
        </is>
      </c>
      <c r="C1223" t="inlineStr">
        <is>
          <t>Inc42</t>
        </is>
      </c>
      <c r="D1223" s="17" t="n">
        <v>45833</v>
      </c>
      <c r="E1223" t="inlineStr">
        <is>
          <t>Armory</t>
        </is>
      </c>
      <c r="F1223" t="inlineStr">
        <is>
          <t>$1.5 Mn</t>
        </is>
      </c>
      <c r="G1223" s="19" t="n"/>
      <c r="H1223" s="19" t="n">
        <v>1.5</v>
      </c>
      <c r="I1223" t="inlineStr">
        <is>
          <t>Undisclosed</t>
        </is>
      </c>
      <c r="J1223" t="inlineStr"/>
      <c r="K1223" t="inlineStr">
        <is>
          <t>https://inc42.com/buzz/from-raphe-mphibr-to-gokwik-indian-startups-raised-278-mn-this-week/</t>
        </is>
      </c>
    </row>
    <row r="1224">
      <c r="A1224" t="inlineStr">
        <is>
          <t>ENT-9404901</t>
        </is>
      </c>
      <c r="B1224" t="inlineStr">
        <is>
          <t>R250625-auraml</t>
        </is>
      </c>
      <c r="C1224" t="inlineStr">
        <is>
          <t>Entrackr</t>
        </is>
      </c>
      <c r="D1224" s="17" t="n">
        <v>45833</v>
      </c>
      <c r="E1224" t="inlineStr">
        <is>
          <t>AuraML</t>
        </is>
      </c>
      <c r="F1224" t="inlineStr">
        <is>
          <t>$1 million</t>
        </is>
      </c>
      <c r="G1224" s="19" t="n"/>
      <c r="H1224" s="19" t="n">
        <v>1</v>
      </c>
      <c r="I1224" t="inlineStr">
        <is>
          <t>Pre-Seed</t>
        </is>
      </c>
      <c r="J1224" t="inlineStr">
        <is>
          <t>Turbostart</t>
        </is>
      </c>
      <c r="K1224" t="inlineStr">
        <is>
          <t>https://entrackr.com/snippets/auraml-raises-1-mn-in-pre-seed-round-led-by-turbostart-9404901</t>
        </is>
      </c>
    </row>
    <row r="1225">
      <c r="A1225" t="inlineStr">
        <is>
          <t>INC-20250628-19</t>
        </is>
      </c>
      <c r="B1225" t="inlineStr">
        <is>
          <t>R250625-auraml</t>
        </is>
      </c>
      <c r="C1225" t="inlineStr">
        <is>
          <t>Inc42</t>
        </is>
      </c>
      <c r="D1225" s="17" t="n">
        <v>45833</v>
      </c>
      <c r="E1225" t="inlineStr">
        <is>
          <t>AuraML</t>
        </is>
      </c>
      <c r="F1225" t="inlineStr">
        <is>
          <t>$1 Mn</t>
        </is>
      </c>
      <c r="G1225" s="19" t="n"/>
      <c r="H1225" s="19" t="n">
        <v>1</v>
      </c>
      <c r="I1225" t="inlineStr">
        <is>
          <t>Pre-Seed</t>
        </is>
      </c>
      <c r="J1225" t="inlineStr">
        <is>
          <t>Turbostart</t>
        </is>
      </c>
      <c r="K1225" t="inlineStr">
        <is>
          <t>https://inc42.com/buzz/from-raphe-mphibr-to-gokwik-indian-startups-raised-278-mn-this-week/</t>
        </is>
      </c>
    </row>
    <row r="1226">
      <c r="A1226" t="inlineStr">
        <is>
          <t>ENT-9407202</t>
        </is>
      </c>
      <c r="B1226" t="inlineStr">
        <is>
          <t>R250625-giva</t>
        </is>
      </c>
      <c r="C1226" t="inlineStr">
        <is>
          <t>Entrackr</t>
        </is>
      </c>
      <c r="D1226" s="17" t="n">
        <v>45833</v>
      </c>
      <c r="E1226" t="inlineStr">
        <is>
          <t>GIVA</t>
        </is>
      </c>
      <c r="F1226" t="inlineStr">
        <is>
          <t>Rs 530 crore</t>
        </is>
      </c>
      <c r="G1226" s="19" t="n">
        <v>530</v>
      </c>
      <c r="H1226" s="19" t="n">
        <v>61.5</v>
      </c>
      <c r="I1226" t="inlineStr">
        <is>
          <t>Series C</t>
        </is>
      </c>
      <c r="J1226" t="inlineStr">
        <is>
          <t>Creaegis</t>
        </is>
      </c>
      <c r="K1226" t="inlineStr">
        <is>
          <t>https://entrackr.com/news/giva-raises-rs-530-cr-in-series-c-round-led-by-creaegis-9407202</t>
        </is>
      </c>
    </row>
    <row r="1227">
      <c r="A1227" t="inlineStr">
        <is>
          <t>INC-20250628-02</t>
        </is>
      </c>
      <c r="B1227" t="inlineStr">
        <is>
          <t>R250625-giva</t>
        </is>
      </c>
      <c r="C1227" t="inlineStr">
        <is>
          <t>Inc42</t>
        </is>
      </c>
      <c r="D1227" s="17" t="n">
        <v>45833</v>
      </c>
      <c r="E1227" t="inlineStr">
        <is>
          <t>GIVA</t>
        </is>
      </c>
      <c r="F1227" t="inlineStr">
        <is>
          <t>$62 Mn</t>
        </is>
      </c>
      <c r="G1227" s="19" t="n"/>
      <c r="H1227" s="19" t="n">
        <v>62</v>
      </c>
      <c r="I1227" t="inlineStr">
        <is>
          <t>Undisclosed</t>
        </is>
      </c>
      <c r="J1227" t="inlineStr">
        <is>
          <t>Creaegis</t>
        </is>
      </c>
      <c r="K1227" t="inlineStr">
        <is>
          <t>https://inc42.com/buzz/from-raphe-mphibr-to-gokwik-indian-startups-raised-278-mn-this-week/</t>
        </is>
      </c>
    </row>
    <row r="1228">
      <c r="A1228" t="inlineStr">
        <is>
          <t>ET-122065869</t>
        </is>
      </c>
      <c r="B1228" t="inlineStr">
        <is>
          <t>R250625-indiabonds</t>
        </is>
      </c>
      <c r="C1228" t="inlineStr">
        <is>
          <t>The Economic Times</t>
        </is>
      </c>
      <c r="D1228" s="17" t="n">
        <v>45833</v>
      </c>
      <c r="E1228" t="inlineStr">
        <is>
          <t>IndiaBonds</t>
        </is>
      </c>
      <c r="F1228" t="inlineStr">
        <is>
          <t>Rs 32.5 crore</t>
        </is>
      </c>
      <c r="G1228" s="19" t="n">
        <v>32.5</v>
      </c>
      <c r="H1228" s="19" t="n">
        <v>3.77</v>
      </c>
      <c r="I1228" t="inlineStr">
        <is>
          <t>Undisclosed</t>
        </is>
      </c>
      <c r="J1228" t="inlineStr"/>
      <c r="K1228" t="inlineStr">
        <is>
          <t>https://economictimes.indiatimes.com/tech/funding/indiabonds-raises-rs-32-5-crore-from-individual-investors/articleshow/122065869.cms</t>
        </is>
      </c>
    </row>
    <row r="1229">
      <c r="A1229" t="inlineStr">
        <is>
          <t>ENT-9405715</t>
        </is>
      </c>
      <c r="B1229" t="inlineStr">
        <is>
          <t>R250625-indiansnackhou</t>
        </is>
      </c>
      <c r="C1229" t="inlineStr">
        <is>
          <t>Entrackr</t>
        </is>
      </c>
      <c r="D1229" s="17" t="n">
        <v>45833</v>
      </c>
      <c r="E1229" t="inlineStr">
        <is>
          <t>Indian Snack House</t>
        </is>
      </c>
      <c r="F1229" t="inlineStr">
        <is>
          <t>Rs 2.2 crore</t>
        </is>
      </c>
      <c r="G1229" s="19" t="n">
        <v>2.2</v>
      </c>
      <c r="H1229" s="19" t="n"/>
      <c r="I1229" t="inlineStr">
        <is>
          <t>Pre-Seed</t>
        </is>
      </c>
      <c r="J1229" t="inlineStr">
        <is>
          <t>Titan Capital</t>
        </is>
      </c>
      <c r="K1229" t="inlineStr">
        <is>
          <t>https://entrackr.com/snippets/d2c-brand-indian-snack-house-raises-pre-seed-funding-round-led-by-titan-capital-9405715</t>
        </is>
      </c>
    </row>
    <row r="1230">
      <c r="A1230" t="inlineStr">
        <is>
          <t>ENT-9410494</t>
        </is>
      </c>
      <c r="B1230" t="inlineStr">
        <is>
          <t>R250625-pazy</t>
        </is>
      </c>
      <c r="C1230" t="inlineStr">
        <is>
          <t>Entrackr</t>
        </is>
      </c>
      <c r="D1230" s="17" t="n">
        <v>45833</v>
      </c>
      <c r="E1230" t="inlineStr">
        <is>
          <t>Pazy</t>
        </is>
      </c>
      <c r="F1230" t="inlineStr">
        <is>
          <t>Rs 6 crore</t>
        </is>
      </c>
      <c r="G1230" s="19" t="n">
        <v>6</v>
      </c>
      <c r="H1230" s="19" t="n">
        <v>0.72</v>
      </c>
      <c r="I1230" t="inlineStr">
        <is>
          <t>Pre-Seed</t>
        </is>
      </c>
      <c r="J1230" t="inlineStr">
        <is>
          <t>Inuka Capital</t>
        </is>
      </c>
      <c r="K1230" t="inlineStr">
        <is>
          <t>https://entrackr.com/snippets/business-payments-platform-pazy-raises-pre-seed-funding-round-9410494</t>
        </is>
      </c>
    </row>
    <row r="1231">
      <c r="A1231" t="inlineStr">
        <is>
          <t>ENT-9404619</t>
        </is>
      </c>
      <c r="B1231" t="inlineStr">
        <is>
          <t>R250625-sahi</t>
        </is>
      </c>
      <c r="C1231" t="inlineStr">
        <is>
          <t>Entrackr</t>
        </is>
      </c>
      <c r="D1231" s="17" t="n">
        <v>45833</v>
      </c>
      <c r="E1231" t="inlineStr">
        <is>
          <t>Sahi</t>
        </is>
      </c>
      <c r="F1231" t="inlineStr">
        <is>
          <t>$10.5 million</t>
        </is>
      </c>
      <c r="G1231" s="19" t="n"/>
      <c r="H1231" s="19" t="n">
        <v>10.5</v>
      </c>
      <c r="I1231" t="inlineStr">
        <is>
          <t>Undisclosed</t>
        </is>
      </c>
      <c r="J1231" t="inlineStr">
        <is>
          <t>Accel; Elevation Capital</t>
        </is>
      </c>
      <c r="K1231" t="inlineStr">
        <is>
          <t>https://entrackr.com/news/former-swiggy-ctos-stock-trading-app-sahi-raises-105-mn-led-by-accel-and-elevation-9404619</t>
        </is>
      </c>
    </row>
    <row r="1232">
      <c r="A1232" t="inlineStr">
        <is>
          <t>ET-122054466</t>
        </is>
      </c>
      <c r="B1232" t="inlineStr">
        <is>
          <t>R250625-sahi</t>
        </is>
      </c>
      <c r="C1232" t="inlineStr">
        <is>
          <t>The Economic Times</t>
        </is>
      </c>
      <c r="D1232" s="17" t="n">
        <v>45833</v>
      </c>
      <c r="E1232" t="inlineStr">
        <is>
          <t>Sahi</t>
        </is>
      </c>
      <c r="F1232" t="inlineStr">
        <is>
          <t>$10.5 million</t>
        </is>
      </c>
      <c r="G1232" s="19" t="n"/>
      <c r="H1232" s="19" t="n">
        <v>10.5</v>
      </c>
      <c r="I1232" t="inlineStr">
        <is>
          <t>Undisclosed</t>
        </is>
      </c>
      <c r="J1232" t="inlineStr">
        <is>
          <t>Accel; Elevation Capital</t>
        </is>
      </c>
      <c r="K1232" t="inlineStr">
        <is>
          <t>https://economictimes.indiatimes.com/tech/funding/stock-trading-firm-sahi-lands-10-5-million-in-a-round-led-by-accel-elevation-capital/articleshow/122054466.cms</t>
        </is>
      </c>
    </row>
    <row r="1233">
      <c r="A1233" t="inlineStr">
        <is>
          <t>INC-20250628-06</t>
        </is>
      </c>
      <c r="B1233" t="inlineStr">
        <is>
          <t>R250625-sahi</t>
        </is>
      </c>
      <c r="C1233" t="inlineStr">
        <is>
          <t>Inc42</t>
        </is>
      </c>
      <c r="D1233" s="17" t="n">
        <v>45833</v>
      </c>
      <c r="E1233" t="inlineStr">
        <is>
          <t>Sahi</t>
        </is>
      </c>
      <c r="F1233" t="inlineStr">
        <is>
          <t>$10.5 Mn</t>
        </is>
      </c>
      <c r="G1233" s="19" t="n"/>
      <c r="H1233" s="19" t="n">
        <v>10.5</v>
      </c>
      <c r="I1233" t="inlineStr">
        <is>
          <t>Series A</t>
        </is>
      </c>
      <c r="J1233" t="inlineStr">
        <is>
          <t>Accel; Elevation Capital</t>
        </is>
      </c>
      <c r="K1233" t="inlineStr">
        <is>
          <t>https://inc42.com/buzz/from-raphe-mphibr-to-gokwik-indian-startups-raised-278-mn-this-week/</t>
        </is>
      </c>
    </row>
    <row r="1234">
      <c r="A1234" t="inlineStr">
        <is>
          <t>ENT-9405438</t>
        </is>
      </c>
      <c r="B1234" t="inlineStr">
        <is>
          <t>R250625-sthyrenergy</t>
        </is>
      </c>
      <c r="C1234" t="inlineStr">
        <is>
          <t>Entrackr</t>
        </is>
      </c>
      <c r="D1234" s="17" t="n">
        <v>45833</v>
      </c>
      <c r="E1234" t="inlineStr">
        <is>
          <t>Sthyr Energy</t>
        </is>
      </c>
      <c r="F1234" t="inlineStr">
        <is>
          <t>$1 million</t>
        </is>
      </c>
      <c r="G1234" s="19" t="n"/>
      <c r="H1234" s="19" t="n">
        <v>1</v>
      </c>
      <c r="I1234" t="inlineStr">
        <is>
          <t>Seed</t>
        </is>
      </c>
      <c r="J1234" t="inlineStr">
        <is>
          <t>Speciale Invest</t>
        </is>
      </c>
      <c r="K1234" t="inlineStr">
        <is>
          <t>https://entrackr.com/snippets/deeptech-startup-sthyr-energy-raises-1-mn-in-seed-round-9405438</t>
        </is>
      </c>
    </row>
    <row r="1235">
      <c r="A1235" t="inlineStr">
        <is>
          <t>ET-122063856</t>
        </is>
      </c>
      <c r="B1235" t="inlineStr">
        <is>
          <t>R250625-sthyrenergy</t>
        </is>
      </c>
      <c r="C1235" t="inlineStr">
        <is>
          <t>The Economic Times</t>
        </is>
      </c>
      <c r="D1235" s="17" t="n">
        <v>45833</v>
      </c>
      <c r="E1235" t="inlineStr">
        <is>
          <t>Sthyr Energy</t>
        </is>
      </c>
      <c r="F1235" t="inlineStr">
        <is>
          <t>$1 million</t>
        </is>
      </c>
      <c r="G1235" s="19" t="n"/>
      <c r="H1235" s="19" t="n">
        <v>1</v>
      </c>
      <c r="I1235" t="inlineStr">
        <is>
          <t>Seed</t>
        </is>
      </c>
      <c r="J1235" t="inlineStr"/>
      <c r="K1235" t="inlineStr">
        <is>
          <t>https://economictimes.indiatimes.com/tech/funding/deeptech-startup-sthyr-energy-raises-1-million-from-speciale-invest-antares-ventures/articleshow/122063856.cms</t>
        </is>
      </c>
    </row>
    <row r="1236">
      <c r="A1236" t="inlineStr">
        <is>
          <t>INC-20250705-15</t>
        </is>
      </c>
      <c r="B1236" t="inlineStr">
        <is>
          <t>R250625-sthyrenergy</t>
        </is>
      </c>
      <c r="C1236" t="inlineStr">
        <is>
          <t>Inc42</t>
        </is>
      </c>
      <c r="D1236" s="17" t="n">
        <v>45838</v>
      </c>
      <c r="E1236" t="inlineStr">
        <is>
          <t>Sthyr Energy</t>
        </is>
      </c>
      <c r="F1236" t="inlineStr">
        <is>
          <t>$1 Mn</t>
        </is>
      </c>
      <c r="G1236" s="19" t="n"/>
      <c r="H1236" s="19" t="n">
        <v>1</v>
      </c>
      <c r="I1236" t="inlineStr">
        <is>
          <t>Seed</t>
        </is>
      </c>
      <c r="J1236" t="inlineStr">
        <is>
          <t>Speciale Invest</t>
        </is>
      </c>
      <c r="K1236" t="inlineStr">
        <is>
          <t>https://inc42.com/buzz/from-jumbotail-to-incred-finance-indian-startups-raised-315-mn-this-week/</t>
        </is>
      </c>
    </row>
    <row r="1237">
      <c r="A1237" t="inlineStr">
        <is>
          <t>ENT-9420511</t>
        </is>
      </c>
      <c r="B1237" t="inlineStr">
        <is>
          <t>R250626-flipspaces</t>
        </is>
      </c>
      <c r="C1237" t="inlineStr">
        <is>
          <t>Entrackr</t>
        </is>
      </c>
      <c r="D1237" s="17" t="n">
        <v>45834</v>
      </c>
      <c r="E1237" t="inlineStr">
        <is>
          <t>Flipspaces</t>
        </is>
      </c>
      <c r="F1237" t="inlineStr">
        <is>
          <t>Rs 50 crore</t>
        </is>
      </c>
      <c r="G1237" s="19" t="n">
        <v>50</v>
      </c>
      <c r="H1237" s="19" t="n">
        <v>5.9</v>
      </c>
      <c r="I1237" t="inlineStr">
        <is>
          <t>Undisclosed</t>
        </is>
      </c>
      <c r="J1237" t="inlineStr"/>
      <c r="K1237" t="inlineStr">
        <is>
          <t>https://entrackr.com/snippets/flipspaces-raises-rs-50-cr-from-asiana-fund-9420511</t>
        </is>
      </c>
    </row>
    <row r="1238">
      <c r="A1238" t="inlineStr">
        <is>
          <t>INC-20250628-09</t>
        </is>
      </c>
      <c r="B1238" t="inlineStr">
        <is>
          <t>R250626-flipspaces</t>
        </is>
      </c>
      <c r="C1238" t="inlineStr">
        <is>
          <t>Inc42</t>
        </is>
      </c>
      <c r="D1238" s="17" t="n">
        <v>45834</v>
      </c>
      <c r="E1238" t="inlineStr">
        <is>
          <t>Flipspaces</t>
        </is>
      </c>
      <c r="F1238" t="inlineStr">
        <is>
          <t>$5.9 Mn</t>
        </is>
      </c>
      <c r="G1238" s="19" t="n"/>
      <c r="H1238" s="19" t="n">
        <v>5.9</v>
      </c>
      <c r="I1238" t="inlineStr">
        <is>
          <t>Undisclosed</t>
        </is>
      </c>
      <c r="J1238" t="inlineStr">
        <is>
          <t>Asiana Fund</t>
        </is>
      </c>
      <c r="K1238" t="inlineStr">
        <is>
          <t>https://inc42.com/buzz/from-raphe-mphibr-to-gokwik-indian-startups-raised-278-mn-this-week/</t>
        </is>
      </c>
    </row>
    <row r="1239">
      <c r="A1239" t="inlineStr">
        <is>
          <t>INC-20250628-17</t>
        </is>
      </c>
      <c r="B1239" t="inlineStr">
        <is>
          <t>R250626-jobizo</t>
        </is>
      </c>
      <c r="C1239" t="inlineStr">
        <is>
          <t>Inc42</t>
        </is>
      </c>
      <c r="D1239" s="17" t="n">
        <v>45834</v>
      </c>
      <c r="E1239" t="inlineStr">
        <is>
          <t>Jobizo</t>
        </is>
      </c>
      <c r="F1239" t="inlineStr">
        <is>
          <t>$1.4 Mn</t>
        </is>
      </c>
      <c r="G1239" s="19" t="n"/>
      <c r="H1239" s="19" t="n">
        <v>1.4</v>
      </c>
      <c r="I1239" t="inlineStr">
        <is>
          <t>Pre-Series A</t>
        </is>
      </c>
      <c r="J1239" t="inlineStr">
        <is>
          <t>Inflection Point Ventures; Alkemi Ventures</t>
        </is>
      </c>
      <c r="K1239" t="inlineStr">
        <is>
          <t>https://inc42.com/buzz/from-raphe-mphibr-to-gokwik-indian-startups-raised-278-mn-this-week/</t>
        </is>
      </c>
    </row>
    <row r="1240">
      <c r="A1240" t="inlineStr">
        <is>
          <t>ENT-9438924</t>
        </is>
      </c>
      <c r="B1240" t="inlineStr">
        <is>
          <t>R250626-raphemphibr</t>
        </is>
      </c>
      <c r="C1240" t="inlineStr">
        <is>
          <t>Entrackr</t>
        </is>
      </c>
      <c r="D1240" s="17" t="n">
        <v>45834</v>
      </c>
      <c r="E1240" t="inlineStr">
        <is>
          <t>Raphe mPhibr</t>
        </is>
      </c>
      <c r="F1240" t="inlineStr">
        <is>
          <t>$100 million</t>
        </is>
      </c>
      <c r="G1240" s="19" t="n"/>
      <c r="H1240" s="19" t="n">
        <v>100</v>
      </c>
      <c r="I1240" t="inlineStr">
        <is>
          <t>Undisclosed</t>
        </is>
      </c>
      <c r="J1240" t="inlineStr">
        <is>
          <t>General Catalyst</t>
        </is>
      </c>
      <c r="K1240" t="inlineStr">
        <is>
          <t>https://entrackr.com/news/defence-tech-startup-raphe-mphibr-raises-100-mn-led-by-general-catalyst-9438924</t>
        </is>
      </c>
    </row>
    <row r="1241">
      <c r="A1241" t="inlineStr">
        <is>
          <t>ET-122090949</t>
        </is>
      </c>
      <c r="B1241" t="inlineStr">
        <is>
          <t>R250626-raphemphibr</t>
        </is>
      </c>
      <c r="C1241" t="inlineStr">
        <is>
          <t>The Economic Times</t>
        </is>
      </c>
      <c r="D1241" s="17" t="n">
        <v>45834</v>
      </c>
      <c r="E1241" t="inlineStr">
        <is>
          <t>Raphe mPhibr</t>
        </is>
      </c>
      <c r="F1241" t="inlineStr">
        <is>
          <t>$100 million</t>
        </is>
      </c>
      <c r="G1241" s="19" t="n"/>
      <c r="H1241" s="19" t="n">
        <v>100</v>
      </c>
      <c r="I1241" t="inlineStr">
        <is>
          <t>Undisclosed</t>
        </is>
      </c>
      <c r="J1241" t="inlineStr">
        <is>
          <t>General Catalyst</t>
        </is>
      </c>
      <c r="K1241" t="inlineStr">
        <is>
          <t>https://economictimes.indiatimes.com/tech/funding/drone-maker-raphe-mphibr-raises-100-million-in-round-led-by-silicon-valleys-general-catalyst/articleshow/122090949.cms</t>
        </is>
      </c>
    </row>
    <row r="1242">
      <c r="A1242" t="inlineStr">
        <is>
          <t>INC-20250628-01</t>
        </is>
      </c>
      <c r="B1242" t="inlineStr">
        <is>
          <t>R250626-raphemphibr</t>
        </is>
      </c>
      <c r="C1242" t="inlineStr">
        <is>
          <t>Inc42</t>
        </is>
      </c>
      <c r="D1242" s="17" t="n">
        <v>45834</v>
      </c>
      <c r="E1242" t="inlineStr">
        <is>
          <t>Raphe mPhibr</t>
        </is>
      </c>
      <c r="F1242" t="inlineStr">
        <is>
          <t>$100 Mn</t>
        </is>
      </c>
      <c r="G1242" s="19" t="n"/>
      <c r="H1242" s="19" t="n">
        <v>100</v>
      </c>
      <c r="I1242" t="inlineStr">
        <is>
          <t>Undisclosed</t>
        </is>
      </c>
      <c r="J1242" t="inlineStr">
        <is>
          <t>General Catalyst</t>
        </is>
      </c>
      <c r="K1242" t="inlineStr">
        <is>
          <t>https://inc42.com/buzz/from-raphe-mphibr-to-gokwik-indian-startups-raised-278-mn-this-week/</t>
        </is>
      </c>
    </row>
    <row r="1243">
      <c r="A1243" t="inlineStr">
        <is>
          <t>VCC-70a948e0d6</t>
        </is>
      </c>
      <c r="B1243" t="inlineStr">
        <is>
          <t>R250626-raphemphibr</t>
        </is>
      </c>
      <c r="C1243" t="inlineStr">
        <is>
          <t>VCCircle</t>
        </is>
      </c>
      <c r="D1243" s="17" t="n">
        <v>45834</v>
      </c>
      <c r="E1243" t="inlineStr">
        <is>
          <t>raphe mphibir</t>
        </is>
      </c>
      <c r="F1243" t="inlineStr">
        <is>
          <t>$ 100 million</t>
        </is>
      </c>
      <c r="G1243" s="19" t="n"/>
      <c r="H1243" s="19" t="n">
        <v>100</v>
      </c>
      <c r="I1243" t="inlineStr">
        <is>
          <t>Undisclosed</t>
        </is>
      </c>
      <c r="J1243" t="inlineStr"/>
      <c r="K1243" t="inlineStr">
        <is>
          <t>https://www.vccircle.com/generalcatalyst-leads-100-mn-funding-in-drone-maker-raphe-mphibir</t>
        </is>
      </c>
    </row>
    <row r="1244">
      <c r="A1244" t="inlineStr">
        <is>
          <t>ENT-9429597</t>
        </is>
      </c>
      <c r="B1244" t="inlineStr">
        <is>
          <t>R250626-shopos</t>
        </is>
      </c>
      <c r="C1244" t="inlineStr">
        <is>
          <t>Entrackr</t>
        </is>
      </c>
      <c r="D1244" s="17" t="n">
        <v>45834</v>
      </c>
      <c r="E1244" t="inlineStr">
        <is>
          <t>ShopOS</t>
        </is>
      </c>
      <c r="F1244" t="inlineStr">
        <is>
          <t>$20 million</t>
        </is>
      </c>
      <c r="G1244" s="19" t="n"/>
      <c r="H1244" s="19" t="n">
        <v>20</v>
      </c>
      <c r="I1244" t="inlineStr">
        <is>
          <t>Undisclosed</t>
        </is>
      </c>
      <c r="J1244" t="inlineStr">
        <is>
          <t>3STATE Ventures</t>
        </is>
      </c>
      <c r="K1244" t="inlineStr">
        <is>
          <t>https://entrackr.com/news/binny-bansal-invests-20-mn-in-e-comm-os-startup-shopos-9429597</t>
        </is>
      </c>
    </row>
    <row r="1245">
      <c r="A1245" t="inlineStr">
        <is>
          <t>INC-20250628-04</t>
        </is>
      </c>
      <c r="B1245" t="inlineStr">
        <is>
          <t>R250626-shopos</t>
        </is>
      </c>
      <c r="C1245" t="inlineStr">
        <is>
          <t>Inc42</t>
        </is>
      </c>
      <c r="D1245" s="17" t="n">
        <v>45834</v>
      </c>
      <c r="E1245" t="inlineStr">
        <is>
          <t>ShopOS</t>
        </is>
      </c>
      <c r="F1245" t="inlineStr">
        <is>
          <t>$20 Mn</t>
        </is>
      </c>
      <c r="G1245" s="19" t="n"/>
      <c r="H1245" s="19" t="n">
        <v>20</v>
      </c>
      <c r="I1245" t="inlineStr">
        <is>
          <t>Seed</t>
        </is>
      </c>
      <c r="J1245" t="inlineStr">
        <is>
          <t>3STATE Ventures</t>
        </is>
      </c>
      <c r="K1245" t="inlineStr">
        <is>
          <t>https://inc42.com/buzz/from-raphe-mphibr-to-gokwik-indian-startups-raised-278-mn-this-week/</t>
        </is>
      </c>
    </row>
    <row r="1246">
      <c r="A1246" t="inlineStr">
        <is>
          <t>ENT-9424228</t>
        </is>
      </c>
      <c r="B1246" t="inlineStr">
        <is>
          <t>R250626-solarsquare</t>
        </is>
      </c>
      <c r="C1246" t="inlineStr">
        <is>
          <t>Entrackr</t>
        </is>
      </c>
      <c r="D1246" s="17" t="n">
        <v>45834</v>
      </c>
      <c r="E1246" t="inlineStr">
        <is>
          <t>SolarSquare</t>
        </is>
      </c>
      <c r="F1246" t="inlineStr">
        <is>
          <t>$40 million</t>
        </is>
      </c>
      <c r="G1246" s="19" t="n"/>
      <c r="H1246" s="19" t="n">
        <v>40</v>
      </c>
      <c r="I1246" t="inlineStr">
        <is>
          <t>Series B</t>
        </is>
      </c>
      <c r="J1246" t="inlineStr">
        <is>
          <t>Lightspeed</t>
        </is>
      </c>
      <c r="K1246" t="inlineStr">
        <is>
          <t>https://entrackr.com/decoding/decoding-solarsquares-series-b-round-valuation-and-captable-9424228</t>
        </is>
      </c>
    </row>
    <row r="1247">
      <c r="A1247" t="inlineStr">
        <is>
          <t>ENT-9439300</t>
        </is>
      </c>
      <c r="B1247" t="inlineStr">
        <is>
          <t>R250626-stayvista</t>
        </is>
      </c>
      <c r="C1247" t="inlineStr">
        <is>
          <t>Entrackr</t>
        </is>
      </c>
      <c r="D1247" s="17" t="n">
        <v>45834</v>
      </c>
      <c r="E1247" t="inlineStr">
        <is>
          <t>StayVista</t>
        </is>
      </c>
      <c r="F1247" t="inlineStr">
        <is>
          <t>Rs 40 crore</t>
        </is>
      </c>
      <c r="G1247" s="19" t="n">
        <v>40</v>
      </c>
      <c r="H1247" s="19" t="n">
        <v>4.6</v>
      </c>
      <c r="I1247" t="inlineStr">
        <is>
          <t>Series B</t>
        </is>
      </c>
      <c r="J1247" t="inlineStr">
        <is>
          <t>JSW Ventures</t>
        </is>
      </c>
      <c r="K1247" t="inlineStr">
        <is>
          <t>https://entrackr.com/snippets/stayvista-raises-rs-40-cr-in-series-b-round-led-by-jsw-ventures-9439300</t>
        </is>
      </c>
    </row>
    <row r="1248">
      <c r="A1248" t="inlineStr">
        <is>
          <t>INC-20250628-10</t>
        </is>
      </c>
      <c r="B1248" t="inlineStr">
        <is>
          <t>R250626-stayvista</t>
        </is>
      </c>
      <c r="C1248" t="inlineStr">
        <is>
          <t>Inc42</t>
        </is>
      </c>
      <c r="D1248" s="17" t="n">
        <v>45834</v>
      </c>
      <c r="E1248" t="inlineStr">
        <is>
          <t>StayVista</t>
        </is>
      </c>
      <c r="F1248" t="inlineStr">
        <is>
          <t>$5 Mn</t>
        </is>
      </c>
      <c r="G1248" s="19" t="n"/>
      <c r="H1248" s="19" t="n">
        <v>5</v>
      </c>
      <c r="I1248" t="inlineStr">
        <is>
          <t>Series B</t>
        </is>
      </c>
      <c r="J1248" t="inlineStr">
        <is>
          <t>JSW Ventures</t>
        </is>
      </c>
      <c r="K1248" t="inlineStr">
        <is>
          <t>https://inc42.com/buzz/from-raphe-mphibr-to-gokwik-indian-startups-raised-278-mn-this-week/</t>
        </is>
      </c>
    </row>
    <row r="1249">
      <c r="A1249" t="inlineStr">
        <is>
          <t>INC-20250628-14</t>
        </is>
      </c>
      <c r="B1249" t="inlineStr">
        <is>
          <t>R250627-coratiatechnol</t>
        </is>
      </c>
      <c r="C1249" t="inlineStr">
        <is>
          <t>Inc42</t>
        </is>
      </c>
      <c r="D1249" s="17" t="n">
        <v>45835</v>
      </c>
      <c r="E1249" t="inlineStr">
        <is>
          <t>Coratia Technologies</t>
        </is>
      </c>
      <c r="F1249" t="inlineStr">
        <is>
          <t>$2 Mn</t>
        </is>
      </c>
      <c r="G1249" s="19" t="n"/>
      <c r="H1249" s="19" t="n">
        <v>2</v>
      </c>
      <c r="I1249" t="inlineStr">
        <is>
          <t>Pre-Series A</t>
        </is>
      </c>
      <c r="J1249" t="inlineStr">
        <is>
          <t>MGF-Kavachh</t>
        </is>
      </c>
      <c r="K1249" t="inlineStr">
        <is>
          <t>https://inc42.com/buzz/from-raphe-mphibr-to-gokwik-indian-startups-raised-278-mn-this-week/</t>
        </is>
      </c>
    </row>
    <row r="1250">
      <c r="A1250" t="inlineStr">
        <is>
          <t>ENT-9441409</t>
        </is>
      </c>
      <c r="B1250" t="inlineStr">
        <is>
          <t>R250627-zilo</t>
        </is>
      </c>
      <c r="C1250" t="inlineStr">
        <is>
          <t>Entrackr</t>
        </is>
      </c>
      <c r="D1250" s="17" t="n">
        <v>45835</v>
      </c>
      <c r="E1250" t="inlineStr">
        <is>
          <t>ZILO</t>
        </is>
      </c>
      <c r="F1250" t="inlineStr">
        <is>
          <t>$4.5 million</t>
        </is>
      </c>
      <c r="G1250" s="19" t="n"/>
      <c r="H1250" s="19" t="n">
        <v>4.5</v>
      </c>
      <c r="I1250" t="inlineStr">
        <is>
          <t>Seed</t>
        </is>
      </c>
      <c r="J1250" t="inlineStr">
        <is>
          <t>Info Edge Ventures; Chiratae Ventures</t>
        </is>
      </c>
      <c r="K1250" t="inlineStr">
        <is>
          <t>https://entrackr.com/snippets/quick-fashion-delivery-startup-zilo-raises-45-mn-in-seed-round-9441409</t>
        </is>
      </c>
    </row>
    <row r="1251">
      <c r="A1251" t="inlineStr">
        <is>
          <t>ET-122111055</t>
        </is>
      </c>
      <c r="B1251" t="inlineStr">
        <is>
          <t>R250627-zilo</t>
        </is>
      </c>
      <c r="C1251" t="inlineStr">
        <is>
          <t>The Economic Times</t>
        </is>
      </c>
      <c r="D1251" s="17" t="n">
        <v>45835</v>
      </c>
      <c r="E1251" t="inlineStr">
        <is>
          <t>Zilo</t>
        </is>
      </c>
      <c r="F1251" t="inlineStr">
        <is>
          <t>$4.5 million</t>
        </is>
      </c>
      <c r="G1251" s="19" t="n"/>
      <c r="H1251" s="19" t="n">
        <v>4.5</v>
      </c>
      <c r="I1251" t="inlineStr">
        <is>
          <t>Seed</t>
        </is>
      </c>
      <c r="J1251" t="inlineStr">
        <is>
          <t>Info Edge Ventures; Chiratae Ventures</t>
        </is>
      </c>
      <c r="K1251" t="inlineStr">
        <is>
          <t>https://economictimes.indiatimes.com/tech/funding/fashion-tech-startup-zilo-raises-4-5-million-from-info-edge-ventures-chiratae-ventures/articleshow/122111055.cms</t>
        </is>
      </c>
    </row>
    <row r="1252">
      <c r="A1252" t="inlineStr">
        <is>
          <t>INC-20250628-12</t>
        </is>
      </c>
      <c r="B1252" t="inlineStr">
        <is>
          <t>R250627-zilo</t>
        </is>
      </c>
      <c r="C1252" t="inlineStr">
        <is>
          <t>Inc42</t>
        </is>
      </c>
      <c r="D1252" s="17" t="n">
        <v>45835</v>
      </c>
      <c r="E1252" t="inlineStr">
        <is>
          <t>ZILO</t>
        </is>
      </c>
      <c r="F1252" t="inlineStr">
        <is>
          <t>$4.5 Mn</t>
        </is>
      </c>
      <c r="G1252" s="19" t="n"/>
      <c r="H1252" s="19" t="n">
        <v>4.5</v>
      </c>
      <c r="I1252" t="inlineStr">
        <is>
          <t>Seed</t>
        </is>
      </c>
      <c r="J1252" t="inlineStr">
        <is>
          <t>Info Edge Ventures; Chiratae Ventures</t>
        </is>
      </c>
      <c r="K1252" t="inlineStr">
        <is>
          <t>https://inc42.com/buzz/from-raphe-mphibr-to-gokwik-indian-startups-raised-278-mn-this-week/</t>
        </is>
      </c>
    </row>
    <row r="1253">
      <c r="A1253" t="inlineStr">
        <is>
          <t>ENT-9449078</t>
        </is>
      </c>
      <c r="B1253" t="inlineStr">
        <is>
          <t>R250630-aukera</t>
        </is>
      </c>
      <c r="C1253" t="inlineStr">
        <is>
          <t>Entrackr</t>
        </is>
      </c>
      <c r="D1253" s="17" t="n">
        <v>45838</v>
      </c>
      <c r="E1253" t="inlineStr">
        <is>
          <t>Aukera</t>
        </is>
      </c>
      <c r="F1253" t="inlineStr">
        <is>
          <t>$15 million</t>
        </is>
      </c>
      <c r="G1253" s="19" t="n"/>
      <c r="H1253" s="19" t="n">
        <v>15</v>
      </c>
      <c r="I1253" t="inlineStr">
        <is>
          <t>Series B</t>
        </is>
      </c>
      <c r="J1253" t="inlineStr">
        <is>
          <t>Peak XV Partners</t>
        </is>
      </c>
      <c r="K1253" t="inlineStr">
        <is>
          <t>https://entrackr.com/news/lab-grown-diamond-brand-aukera-raises-15-mn-led-by-peak-xv-9449078</t>
        </is>
      </c>
    </row>
    <row r="1254">
      <c r="A1254" t="inlineStr">
        <is>
          <t>ET-122145848</t>
        </is>
      </c>
      <c r="B1254" t="inlineStr">
        <is>
          <t>R250630-aukera</t>
        </is>
      </c>
      <c r="C1254" t="inlineStr">
        <is>
          <t>The Economic Times</t>
        </is>
      </c>
      <c r="D1254" s="17" t="n">
        <v>45838</v>
      </c>
      <c r="E1254" t="inlineStr">
        <is>
          <t>Aukera</t>
        </is>
      </c>
      <c r="F1254" t="inlineStr">
        <is>
          <t>$15 million</t>
        </is>
      </c>
      <c r="G1254" s="19" t="n"/>
      <c r="H1254" s="19" t="n">
        <v>15</v>
      </c>
      <c r="I1254" t="inlineStr">
        <is>
          <t>Undisclosed</t>
        </is>
      </c>
      <c r="J1254" t="inlineStr">
        <is>
          <t>Peak XV Partners</t>
        </is>
      </c>
      <c r="K1254" t="inlineStr">
        <is>
          <t>https://economictimes.indiatimes.com/tech/funding/lab-grown-diamond-jewellery-company-aukera-raises-15-million-in-round-led-by-peak-xv-partners/articleshow/122145848.cms</t>
        </is>
      </c>
    </row>
    <row r="1255">
      <c r="A1255" t="inlineStr">
        <is>
          <t>INC-20250705-06</t>
        </is>
      </c>
      <c r="B1255" t="inlineStr">
        <is>
          <t>R250630-aukera</t>
        </is>
      </c>
      <c r="C1255" t="inlineStr">
        <is>
          <t>Inc42</t>
        </is>
      </c>
      <c r="D1255" s="17" t="n">
        <v>45838</v>
      </c>
      <c r="E1255" t="inlineStr">
        <is>
          <t>Aukera</t>
        </is>
      </c>
      <c r="F1255" t="inlineStr">
        <is>
          <t>$15 Mn</t>
        </is>
      </c>
      <c r="G1255" s="19" t="n"/>
      <c r="H1255" s="19" t="n">
        <v>15</v>
      </c>
      <c r="I1255" t="inlineStr">
        <is>
          <t>Series B</t>
        </is>
      </c>
      <c r="J1255" t="inlineStr">
        <is>
          <t>Peak XV Partners</t>
        </is>
      </c>
      <c r="K1255" t="inlineStr">
        <is>
          <t>https://inc42.com/buzz/from-jumbotail-to-incred-finance-indian-startups-raised-315-mn-this-week/</t>
        </is>
      </c>
    </row>
    <row r="1256">
      <c r="A1256" t="inlineStr">
        <is>
          <t>ENT-9449740</t>
        </is>
      </c>
      <c r="B1256" t="inlineStr">
        <is>
          <t>R250630-blostem</t>
        </is>
      </c>
      <c r="C1256" t="inlineStr">
        <is>
          <t>Entrackr</t>
        </is>
      </c>
      <c r="D1256" s="17" t="n">
        <v>45838</v>
      </c>
      <c r="E1256" t="inlineStr">
        <is>
          <t>Blostem</t>
        </is>
      </c>
      <c r="F1256" t="inlineStr">
        <is>
          <t>Rs 4 crore</t>
        </is>
      </c>
      <c r="G1256" s="19" t="n">
        <v>4</v>
      </c>
      <c r="H1256" s="19" t="n"/>
      <c r="I1256" t="inlineStr">
        <is>
          <t>Seed</t>
        </is>
      </c>
      <c r="J1256" t="inlineStr"/>
      <c r="K1256" t="inlineStr">
        <is>
          <t>https://entrackr.com/snippets/blostem-raises-seed-round-led-by-ac-ventures-9449740</t>
        </is>
      </c>
    </row>
    <row r="1257">
      <c r="A1257" t="inlineStr">
        <is>
          <t>ENT-9449466</t>
        </is>
      </c>
      <c r="B1257" t="inlineStr">
        <is>
          <t>R250630-eggoz</t>
        </is>
      </c>
      <c r="C1257" t="inlineStr">
        <is>
          <t>Entrackr</t>
        </is>
      </c>
      <c r="D1257" s="17" t="n">
        <v>45838</v>
      </c>
      <c r="E1257" t="inlineStr">
        <is>
          <t>Eggoz</t>
        </is>
      </c>
      <c r="F1257" t="inlineStr">
        <is>
          <t>$20 million</t>
        </is>
      </c>
      <c r="G1257" s="19" t="n"/>
      <c r="H1257" s="19" t="n">
        <v>20</v>
      </c>
      <c r="I1257" t="inlineStr">
        <is>
          <t>Series C</t>
        </is>
      </c>
      <c r="J1257" t="inlineStr">
        <is>
          <t>Gaja Capital</t>
        </is>
      </c>
      <c r="K1257" t="inlineStr">
        <is>
          <t>https://entrackr.com/snippets/eggoz-raises-20-mn-in-series-c-round-led-by-gaja-capital-9449466</t>
        </is>
      </c>
    </row>
    <row r="1258">
      <c r="A1258" t="inlineStr">
        <is>
          <t>ET-122145598</t>
        </is>
      </c>
      <c r="B1258" t="inlineStr">
        <is>
          <t>R250630-eggoz</t>
        </is>
      </c>
      <c r="C1258" t="inlineStr">
        <is>
          <t>The Economic Times</t>
        </is>
      </c>
      <c r="D1258" s="17" t="n">
        <v>45838</v>
      </c>
      <c r="E1258" t="inlineStr">
        <is>
          <t>Eggoz</t>
        </is>
      </c>
      <c r="F1258" t="inlineStr">
        <is>
          <t>$20 million</t>
        </is>
      </c>
      <c r="G1258" s="19" t="n">
        <v>167</v>
      </c>
      <c r="H1258" s="19" t="n">
        <v>20</v>
      </c>
      <c r="I1258" t="inlineStr">
        <is>
          <t>Undisclosed</t>
        </is>
      </c>
      <c r="J1258" t="inlineStr">
        <is>
          <t>Gaja Capital</t>
        </is>
      </c>
      <c r="K1258" t="inlineStr">
        <is>
          <t>https://economictimes.indiatimes.com/tech/funding/eggoz-raises-20-million-funding-led-by-gaja-capital/articleshow/122145598.cms</t>
        </is>
      </c>
    </row>
    <row r="1259">
      <c r="A1259" t="inlineStr">
        <is>
          <t>INC-20250705-04</t>
        </is>
      </c>
      <c r="B1259" t="inlineStr">
        <is>
          <t>R250630-eggoz</t>
        </is>
      </c>
      <c r="C1259" t="inlineStr">
        <is>
          <t>Inc42</t>
        </is>
      </c>
      <c r="D1259" s="17" t="n">
        <v>45838</v>
      </c>
      <c r="E1259" t="inlineStr">
        <is>
          <t>Eggoz</t>
        </is>
      </c>
      <c r="F1259" t="inlineStr">
        <is>
          <t>$20 Mn</t>
        </is>
      </c>
      <c r="G1259" s="19" t="n"/>
      <c r="H1259" s="19" t="n">
        <v>20</v>
      </c>
      <c r="I1259" t="inlineStr">
        <is>
          <t>Series C</t>
        </is>
      </c>
      <c r="J1259" t="inlineStr">
        <is>
          <t>Gaja Capital</t>
        </is>
      </c>
      <c r="K1259" t="inlineStr">
        <is>
          <t>https://inc42.com/buzz/from-jumbotail-to-incred-finance-indian-startups-raised-315-mn-this-week/</t>
        </is>
      </c>
    </row>
    <row r="1260">
      <c r="A1260" t="inlineStr">
        <is>
          <t>ENT-9449081</t>
        </is>
      </c>
      <c r="B1260" t="inlineStr">
        <is>
          <t>R250630-inframarket</t>
        </is>
      </c>
      <c r="C1260" t="inlineStr">
        <is>
          <t>Entrackr</t>
        </is>
      </c>
      <c r="D1260" s="17" t="n">
        <v>45838</v>
      </c>
      <c r="E1260" t="inlineStr">
        <is>
          <t>Infra.Market</t>
        </is>
      </c>
      <c r="F1260" t="inlineStr">
        <is>
          <t>$150 million</t>
        </is>
      </c>
      <c r="G1260" s="19" t="n"/>
      <c r="H1260" s="19" t="n">
        <v>150</v>
      </c>
      <c r="I1260" t="inlineStr">
        <is>
          <t>Debt</t>
        </is>
      </c>
      <c r="J1260" t="inlineStr"/>
      <c r="K1260" t="inlineStr">
        <is>
          <t>https://entrackr.com/news/inframarket-secures-150-mn-from-mars-growth-capital-9449081</t>
        </is>
      </c>
    </row>
    <row r="1261">
      <c r="A1261" t="inlineStr">
        <is>
          <t>ET-122153303</t>
        </is>
      </c>
      <c r="B1261" t="inlineStr">
        <is>
          <t>R250630-inframarket</t>
        </is>
      </c>
      <c r="C1261" t="inlineStr">
        <is>
          <t>The Economic Times</t>
        </is>
      </c>
      <c r="D1261" s="17" t="n">
        <v>45838</v>
      </c>
      <c r="E1261" t="inlineStr">
        <is>
          <t>Infra Market</t>
        </is>
      </c>
      <c r="F1261" t="inlineStr">
        <is>
          <t>$50 million</t>
        </is>
      </c>
      <c r="G1261" s="19" t="n"/>
      <c r="H1261" s="19" t="n">
        <v>50</v>
      </c>
      <c r="I1261" t="inlineStr">
        <is>
          <t>Debt</t>
        </is>
      </c>
      <c r="J1261" t="inlineStr"/>
      <c r="K1261" t="inlineStr">
        <is>
          <t>https://economictimes.indiatimes.com/tech/startups/ipo-bound-infra-market-raises-additional-50-million-financing-from-mars-growth-capital/articleshow/122153303.cms</t>
        </is>
      </c>
    </row>
    <row r="1262">
      <c r="A1262" t="inlineStr">
        <is>
          <t>INC-20250705-02</t>
        </is>
      </c>
      <c r="B1262" t="inlineStr">
        <is>
          <t>R250630-inframarket</t>
        </is>
      </c>
      <c r="C1262" t="inlineStr">
        <is>
          <t>Inc42</t>
        </is>
      </c>
      <c r="D1262" s="17" t="n">
        <v>45838</v>
      </c>
      <c r="E1262" t="inlineStr">
        <is>
          <t>Infra.Market</t>
        </is>
      </c>
      <c r="F1262" t="inlineStr">
        <is>
          <t>$50 Mn</t>
        </is>
      </c>
      <c r="G1262" s="19" t="n"/>
      <c r="H1262" s="19" t="n">
        <v>50</v>
      </c>
      <c r="I1262" t="inlineStr">
        <is>
          <t>Debt</t>
        </is>
      </c>
      <c r="J1262" t="inlineStr">
        <is>
          <t>Mars Growth Capital</t>
        </is>
      </c>
      <c r="K1262" t="inlineStr">
        <is>
          <t>https://inc42.com/buzz/from-jumbotail-to-incred-finance-indian-startups-raised-315-mn-this-week/</t>
        </is>
      </c>
    </row>
    <row r="1263">
      <c r="A1263" t="inlineStr">
        <is>
          <t>VCC-6bf2ae93e6</t>
        </is>
      </c>
      <c r="B1263" t="inlineStr">
        <is>
          <t>R250630-inframarket</t>
        </is>
      </c>
      <c r="C1263" t="inlineStr">
        <is>
          <t>VCCircle</t>
        </is>
      </c>
      <c r="D1263" s="17" t="n">
        <v>45838</v>
      </c>
      <c r="E1263" t="inlineStr">
        <is>
          <t>ipobound infra market</t>
        </is>
      </c>
      <c r="F1263" t="inlineStr">
        <is>
          <t>$ 50 million</t>
        </is>
      </c>
      <c r="G1263" s="19" t="n"/>
      <c r="H1263" s="19" t="n">
        <v>50</v>
      </c>
      <c r="I1263" t="inlineStr">
        <is>
          <t>Undisclosed</t>
        </is>
      </c>
      <c r="J1263" t="inlineStr"/>
      <c r="K1263" t="inlineStr">
        <is>
          <t>https://www.vccircle.com/ipobound-infra-market-gets-extension-of-financing-from-mars-growth-capital-with-additional-50-mn</t>
        </is>
      </c>
    </row>
    <row r="1264">
      <c r="A1264" t="inlineStr">
        <is>
          <t>ENT-9449623</t>
        </is>
      </c>
      <c r="B1264" t="inlineStr">
        <is>
          <t>R250630-jumbotail</t>
        </is>
      </c>
      <c r="C1264" t="inlineStr">
        <is>
          <t>Entrackr</t>
        </is>
      </c>
      <c r="D1264" s="17" t="n">
        <v>45838</v>
      </c>
      <c r="E1264" t="inlineStr">
        <is>
          <t>Jumbotail</t>
        </is>
      </c>
      <c r="F1264" t="inlineStr">
        <is>
          <t>$120 million</t>
        </is>
      </c>
      <c r="G1264" s="19" t="n"/>
      <c r="H1264" s="19" t="n">
        <v>120</v>
      </c>
      <c r="I1264" t="inlineStr">
        <is>
          <t>Series D</t>
        </is>
      </c>
      <c r="J1264" t="inlineStr">
        <is>
          <t>SC Ventures</t>
        </is>
      </c>
      <c r="K1264" t="inlineStr">
        <is>
          <t>https://entrackr.com/news/jumbotail-turns-unicorn-after-120-mn-series-d-round-9449623</t>
        </is>
      </c>
    </row>
    <row r="1265">
      <c r="A1265" t="inlineStr">
        <is>
          <t>ET-122156577</t>
        </is>
      </c>
      <c r="B1265" t="inlineStr">
        <is>
          <t>R250630-jumbotail</t>
        </is>
      </c>
      <c r="C1265" t="inlineStr">
        <is>
          <t>The Economic Times</t>
        </is>
      </c>
      <c r="D1265" s="17" t="n">
        <v>45838</v>
      </c>
      <c r="E1265" t="inlineStr">
        <is>
          <t>Jumbotail</t>
        </is>
      </c>
      <c r="F1265" t="inlineStr">
        <is>
          <t>$120 million</t>
        </is>
      </c>
      <c r="G1265" s="19" t="n"/>
      <c r="H1265" s="19" t="n">
        <v>120</v>
      </c>
      <c r="I1265" t="inlineStr">
        <is>
          <t>Undisclosed</t>
        </is>
      </c>
      <c r="J1265" t="inlineStr">
        <is>
          <t>SC Ventures; Standard Chartered</t>
        </is>
      </c>
      <c r="K1265" t="inlineStr">
        <is>
          <t>https://economictimes.indiatimes.com/tech/funding/b2b-ecommerce-firm-jumbotail-raises-120-million-from-standard-chartereds-investment-arm-others/articleshow/122156577.cms</t>
        </is>
      </c>
    </row>
    <row r="1266">
      <c r="A1266" t="inlineStr">
        <is>
          <t>INC-20250705-01</t>
        </is>
      </c>
      <c r="B1266" t="inlineStr">
        <is>
          <t>R250630-jumbotail</t>
        </is>
      </c>
      <c r="C1266" t="inlineStr">
        <is>
          <t>Inc42</t>
        </is>
      </c>
      <c r="D1266" s="17" t="n">
        <v>45838</v>
      </c>
      <c r="E1266" t="inlineStr">
        <is>
          <t>Jumbotail</t>
        </is>
      </c>
      <c r="F1266" t="inlineStr">
        <is>
          <t>$120 Mn</t>
        </is>
      </c>
      <c r="G1266" s="19" t="n"/>
      <c r="H1266" s="19" t="n">
        <v>120</v>
      </c>
      <c r="I1266" t="inlineStr">
        <is>
          <t>Series D</t>
        </is>
      </c>
      <c r="J1266" t="inlineStr">
        <is>
          <t>SC Ventures</t>
        </is>
      </c>
      <c r="K1266" t="inlineStr">
        <is>
          <t>https://inc42.com/buzz/from-jumbotail-to-incred-finance-indian-startups-raised-315-mn-this-week/</t>
        </is>
      </c>
    </row>
    <row r="1267">
      <c r="A1267" t="inlineStr">
        <is>
          <t>ENT-9451578</t>
        </is>
      </c>
      <c r="B1267" t="inlineStr">
        <is>
          <t>R250701-appsforbharat</t>
        </is>
      </c>
      <c r="C1267" t="inlineStr">
        <is>
          <t>Entrackr</t>
        </is>
      </c>
      <c r="D1267" s="17" t="n">
        <v>45839</v>
      </c>
      <c r="E1267" t="inlineStr">
        <is>
          <t>AppsForBharat</t>
        </is>
      </c>
      <c r="F1267" t="inlineStr">
        <is>
          <t>Rs 175 crore</t>
        </is>
      </c>
      <c r="G1267" s="19" t="n">
        <v>175</v>
      </c>
      <c r="H1267" s="19" t="n">
        <v>20</v>
      </c>
      <c r="I1267" t="inlineStr">
        <is>
          <t>Series C</t>
        </is>
      </c>
      <c r="J1267" t="inlineStr">
        <is>
          <t>Susquehanna Asia Venture Capital</t>
        </is>
      </c>
      <c r="K1267" t="inlineStr">
        <is>
          <t>https://entrackr.com/news/appsforbharat-raises-20-mn-in-series-c-round-9451578</t>
        </is>
      </c>
    </row>
    <row r="1268">
      <c r="A1268" t="inlineStr">
        <is>
          <t>ET-122165107</t>
        </is>
      </c>
      <c r="B1268" t="inlineStr">
        <is>
          <t>R250701-appsforbharat</t>
        </is>
      </c>
      <c r="C1268" t="inlineStr">
        <is>
          <t>The Economic Times</t>
        </is>
      </c>
      <c r="D1268" s="17" t="n">
        <v>45839</v>
      </c>
      <c r="E1268" t="inlineStr">
        <is>
          <t>AppsForBharat</t>
        </is>
      </c>
      <c r="F1268" t="inlineStr">
        <is>
          <t>$20 million</t>
        </is>
      </c>
      <c r="G1268" s="19" t="n"/>
      <c r="H1268" s="19" t="n">
        <v>20</v>
      </c>
      <c r="I1268" t="inlineStr">
        <is>
          <t>Undisclosed</t>
        </is>
      </c>
      <c r="J1268" t="inlineStr">
        <is>
          <t>Susquehanna Asia Venture Capital</t>
        </is>
      </c>
      <c r="K1268" t="inlineStr">
        <is>
          <t>https://economictimes.indiatimes.com/tech/funding/appsforbharat-raises-20-million-in-round-led-by-susquehanna-asia-venture-capital/articleshow/122165107.cms</t>
        </is>
      </c>
    </row>
    <row r="1269">
      <c r="A1269" t="inlineStr">
        <is>
          <t>INC-20250705-05</t>
        </is>
      </c>
      <c r="B1269" t="inlineStr">
        <is>
          <t>R250701-appsforbharat</t>
        </is>
      </c>
      <c r="C1269" t="inlineStr">
        <is>
          <t>Inc42</t>
        </is>
      </c>
      <c r="D1269" s="17" t="n">
        <v>45843</v>
      </c>
      <c r="E1269" t="inlineStr">
        <is>
          <t>AppsForBharat</t>
        </is>
      </c>
      <c r="F1269" t="inlineStr">
        <is>
          <t>$20 Mn</t>
        </is>
      </c>
      <c r="G1269" s="19" t="n"/>
      <c r="H1269" s="19" t="n">
        <v>20</v>
      </c>
      <c r="I1269" t="inlineStr">
        <is>
          <t>Series C</t>
        </is>
      </c>
      <c r="J1269" t="inlineStr">
        <is>
          <t>Susquehanna Asia VC</t>
        </is>
      </c>
      <c r="K1269" t="inlineStr">
        <is>
          <t>https://inc42.com/buzz/from-jumbotail-to-incred-finance-indian-startups-raised-315-mn-this-week/</t>
        </is>
      </c>
    </row>
    <row r="1270">
      <c r="A1270" t="inlineStr">
        <is>
          <t>ENT-9452911</t>
        </is>
      </c>
      <c r="B1270" t="inlineStr">
        <is>
          <t>R250701-astrophelaeros</t>
        </is>
      </c>
      <c r="C1270" t="inlineStr">
        <is>
          <t>Entrackr</t>
        </is>
      </c>
      <c r="D1270" s="17" t="n">
        <v>45839</v>
      </c>
      <c r="E1270" t="inlineStr">
        <is>
          <t>Astrophel Aerospace</t>
        </is>
      </c>
      <c r="F1270" t="inlineStr">
        <is>
          <t>Rs 6.84 crore</t>
        </is>
      </c>
      <c r="G1270" s="19" t="n">
        <v>6.84</v>
      </c>
      <c r="H1270" s="19" t="n">
        <v>0.8</v>
      </c>
      <c r="I1270" t="inlineStr">
        <is>
          <t>Pre-Seed</t>
        </is>
      </c>
      <c r="J1270" t="inlineStr"/>
      <c r="K1270" t="inlineStr">
        <is>
          <t>https://entrackr.com/snippets/astrophel-aerospace-raises-rs-684-cr-in-pre-seed-round-9452911</t>
        </is>
      </c>
    </row>
    <row r="1271">
      <c r="A1271" t="inlineStr">
        <is>
          <t>INC-20250705-16</t>
        </is>
      </c>
      <c r="B1271" t="inlineStr">
        <is>
          <t>R250701-astrophelaeros</t>
        </is>
      </c>
      <c r="C1271" t="inlineStr">
        <is>
          <t>Inc42</t>
        </is>
      </c>
      <c r="D1271" s="17" t="n">
        <v>45839</v>
      </c>
      <c r="E1271" t="inlineStr">
        <is>
          <t>Astrophel Aerospace</t>
        </is>
      </c>
      <c r="F1271" t="inlineStr">
        <is>
          <t>$800K</t>
        </is>
      </c>
      <c r="G1271" s="19" t="n"/>
      <c r="H1271" s="19" t="n">
        <v>0.8</v>
      </c>
      <c r="I1271" t="inlineStr">
        <is>
          <t>Pre-Seed</t>
        </is>
      </c>
      <c r="J1271" t="inlineStr"/>
      <c r="K1271" t="inlineStr">
        <is>
          <t>https://inc42.com/buzz/from-jumbotail-to-incred-finance-indian-startups-raised-315-mn-this-week/</t>
        </is>
      </c>
    </row>
    <row r="1272">
      <c r="A1272" t="inlineStr">
        <is>
          <t>ENT-9452773</t>
        </is>
      </c>
      <c r="B1272" t="inlineStr">
        <is>
          <t>R250701-bambrew</t>
        </is>
      </c>
      <c r="C1272" t="inlineStr">
        <is>
          <t>Entrackr</t>
        </is>
      </c>
      <c r="D1272" s="17" t="n">
        <v>45839</v>
      </c>
      <c r="E1272" t="inlineStr">
        <is>
          <t>Bambrew</t>
        </is>
      </c>
      <c r="F1272" t="inlineStr">
        <is>
          <t>Rs 90 crore</t>
        </is>
      </c>
      <c r="G1272" s="19" t="n">
        <v>90</v>
      </c>
      <c r="H1272" s="19" t="n">
        <v>10.3</v>
      </c>
      <c r="I1272" t="inlineStr">
        <is>
          <t>Undisclosed</t>
        </is>
      </c>
      <c r="J1272" t="inlineStr">
        <is>
          <t>Ashok Goel; ENRISSION INDIA CAPITAL</t>
        </is>
      </c>
      <c r="K1272" t="inlineStr">
        <is>
          <t>https://entrackr.com/snippets/bambrew-raises-rs-90-cr-led-by-ashok-goel-and-enrission-india-capital-9452773</t>
        </is>
      </c>
    </row>
    <row r="1273">
      <c r="A1273" t="inlineStr">
        <is>
          <t>INC-20250705-07</t>
        </is>
      </c>
      <c r="B1273" t="inlineStr">
        <is>
          <t>R250701-bambrew</t>
        </is>
      </c>
      <c r="C1273" t="inlineStr">
        <is>
          <t>Inc42</t>
        </is>
      </c>
      <c r="D1273" s="17" t="n">
        <v>45843</v>
      </c>
      <c r="E1273" t="inlineStr">
        <is>
          <t>Bambrew</t>
        </is>
      </c>
      <c r="F1273" t="inlineStr">
        <is>
          <t>$10.5 Mn</t>
        </is>
      </c>
      <c r="G1273" s="19" t="n"/>
      <c r="H1273" s="19" t="n">
        <v>10.5</v>
      </c>
      <c r="I1273" t="inlineStr">
        <is>
          <t>Series B</t>
        </is>
      </c>
      <c r="J1273" t="inlineStr">
        <is>
          <t>Ashok Goel; Enrission India Capital</t>
        </is>
      </c>
      <c r="K1273" t="inlineStr">
        <is>
          <t>https://inc42.com/buzz/from-jumbotail-to-incred-finance-indian-startups-raised-315-mn-this-week/</t>
        </is>
      </c>
    </row>
    <row r="1274">
      <c r="A1274" t="inlineStr">
        <is>
          <t>ENT-9452600</t>
        </is>
      </c>
      <c r="B1274" t="inlineStr">
        <is>
          <t>R250701-eeki</t>
        </is>
      </c>
      <c r="C1274" t="inlineStr">
        <is>
          <t>Entrackr</t>
        </is>
      </c>
      <c r="D1274" s="17" t="n">
        <v>45839</v>
      </c>
      <c r="E1274" t="inlineStr">
        <is>
          <t>Eeki</t>
        </is>
      </c>
      <c r="F1274" t="inlineStr">
        <is>
          <t>$7 million</t>
        </is>
      </c>
      <c r="G1274" s="19" t="n"/>
      <c r="H1274" s="19" t="n">
        <v>7</v>
      </c>
      <c r="I1274" t="inlineStr">
        <is>
          <t>Undisclosed</t>
        </is>
      </c>
      <c r="J1274" t="inlineStr"/>
      <c r="K1274" t="inlineStr">
        <is>
          <t>https://entrackr.com/snippets/agritech-startup-eeki-raises-7-mn-from-sixth-sense-ventures-9452600</t>
        </is>
      </c>
    </row>
    <row r="1275">
      <c r="A1275" t="inlineStr">
        <is>
          <t>ET-122181028</t>
        </is>
      </c>
      <c r="B1275" t="inlineStr">
        <is>
          <t>R250701-eeki</t>
        </is>
      </c>
      <c r="C1275" t="inlineStr">
        <is>
          <t>The Economic Times</t>
        </is>
      </c>
      <c r="D1275" s="17" t="n">
        <v>45839</v>
      </c>
      <c r="E1275" t="inlineStr">
        <is>
          <t>Eeki</t>
        </is>
      </c>
      <c r="F1275" t="inlineStr">
        <is>
          <t>$7 million</t>
        </is>
      </c>
      <c r="G1275" s="19" t="n"/>
      <c r="H1275" s="19" t="n">
        <v>7</v>
      </c>
      <c r="I1275" t="inlineStr">
        <is>
          <t>Undisclosed</t>
        </is>
      </c>
      <c r="J1275" t="inlineStr"/>
      <c r="K1275" t="inlineStr">
        <is>
          <t>https://economictimes.indiatimes.com/tech/funding/agri-startup-eeki-raises-7-million-from-sixth-sense-ventures-to-expand-operations/articleshow/122181028.cms</t>
        </is>
      </c>
    </row>
    <row r="1276">
      <c r="A1276" t="inlineStr">
        <is>
          <t>INC-20250705-08</t>
        </is>
      </c>
      <c r="B1276" t="inlineStr">
        <is>
          <t>R250701-eeki</t>
        </is>
      </c>
      <c r="C1276" t="inlineStr">
        <is>
          <t>Inc42</t>
        </is>
      </c>
      <c r="D1276" s="17" t="n">
        <v>45839</v>
      </c>
      <c r="E1276" t="inlineStr">
        <is>
          <t>Eeki</t>
        </is>
      </c>
      <c r="F1276" t="inlineStr">
        <is>
          <t>$7 Mn</t>
        </is>
      </c>
      <c r="G1276" s="19" t="n"/>
      <c r="H1276" s="19" t="n">
        <v>7</v>
      </c>
      <c r="I1276" t="inlineStr">
        <is>
          <t>Series A</t>
        </is>
      </c>
      <c r="J1276" t="inlineStr">
        <is>
          <t>Sixth Sense Ventures</t>
        </is>
      </c>
      <c r="K1276" t="inlineStr">
        <is>
          <t>https://inc42.com/buzz/from-jumbotail-to-incred-finance-indian-startups-raised-315-mn-this-week/</t>
        </is>
      </c>
    </row>
    <row r="1277">
      <c r="A1277" t="inlineStr">
        <is>
          <t>ENT-9452878</t>
        </is>
      </c>
      <c r="B1277" t="inlineStr">
        <is>
          <t>R250701-fincfriends</t>
        </is>
      </c>
      <c r="C1277" t="inlineStr">
        <is>
          <t>Entrackr</t>
        </is>
      </c>
      <c r="D1277" s="17" t="n">
        <v>45839</v>
      </c>
      <c r="E1277" t="inlineStr">
        <is>
          <t>FincFriends</t>
        </is>
      </c>
      <c r="F1277" t="inlineStr">
        <is>
          <t>Rs 98.5 crore</t>
        </is>
      </c>
      <c r="G1277" s="19" t="n">
        <v>98.5</v>
      </c>
      <c r="H1277" s="19" t="n">
        <v>11.5</v>
      </c>
      <c r="I1277" t="inlineStr">
        <is>
          <t>Debt</t>
        </is>
      </c>
      <c r="J1277" t="inlineStr"/>
      <c r="K1277" t="inlineStr">
        <is>
          <t>https://entrackr.com/snippets/fincfriends-closes-115-mn-debt-funding-round-9452878</t>
        </is>
      </c>
    </row>
    <row r="1278">
      <c r="A1278" t="inlineStr">
        <is>
          <t>ENT-9452385</t>
        </is>
      </c>
      <c r="B1278" t="inlineStr">
        <is>
          <t>R250701-garaaz</t>
        </is>
      </c>
      <c r="C1278" t="inlineStr">
        <is>
          <t>Entrackr</t>
        </is>
      </c>
      <c r="D1278" s="17" t="n">
        <v>45839</v>
      </c>
      <c r="E1278" t="inlineStr">
        <is>
          <t>Garaaz</t>
        </is>
      </c>
      <c r="F1278" t="inlineStr">
        <is>
          <t>Rs 4.55 crore</t>
        </is>
      </c>
      <c r="G1278" s="19" t="n">
        <v>4.55</v>
      </c>
      <c r="H1278" s="19" t="n">
        <v>0.53</v>
      </c>
      <c r="I1278" t="inlineStr">
        <is>
          <t>Seed</t>
        </is>
      </c>
      <c r="J1278" t="inlineStr"/>
      <c r="K1278" t="inlineStr">
        <is>
          <t>https://entrackr.com/snippets/automotive-spare-parts-aggregator-garaaz-raises-rs-455-cr-in-seed-round-9452385</t>
        </is>
      </c>
    </row>
    <row r="1279">
      <c r="A1279" t="inlineStr">
        <is>
          <t>INC-20250705-19</t>
        </is>
      </c>
      <c r="B1279" t="inlineStr">
        <is>
          <t>R250701-garaaz</t>
        </is>
      </c>
      <c r="C1279" t="inlineStr">
        <is>
          <t>Inc42</t>
        </is>
      </c>
      <c r="D1279" s="17" t="n">
        <v>45839</v>
      </c>
      <c r="E1279" t="inlineStr">
        <is>
          <t>Garaaz</t>
        </is>
      </c>
      <c r="F1279" t="inlineStr">
        <is>
          <t>$531K</t>
        </is>
      </c>
      <c r="G1279" s="19" t="n"/>
      <c r="H1279" s="19" t="n">
        <v>0.531</v>
      </c>
      <c r="I1279" t="inlineStr">
        <is>
          <t>Seed</t>
        </is>
      </c>
      <c r="J1279" t="inlineStr">
        <is>
          <t>GVFL</t>
        </is>
      </c>
      <c r="K1279" t="inlineStr">
        <is>
          <t>https://inc42.com/buzz/from-jumbotail-to-incred-finance-indian-startups-raised-315-mn-this-week/</t>
        </is>
      </c>
    </row>
    <row r="1280">
      <c r="A1280" t="inlineStr">
        <is>
          <t>ENT-9453084</t>
        </is>
      </c>
      <c r="B1280" t="inlineStr">
        <is>
          <t>R250701-lamarkbiotech</t>
        </is>
      </c>
      <c r="C1280" t="inlineStr">
        <is>
          <t>Entrackr</t>
        </is>
      </c>
      <c r="D1280" s="17" t="n">
        <v>45839</v>
      </c>
      <c r="E1280" t="inlineStr">
        <is>
          <t>Lamark Biotech</t>
        </is>
      </c>
      <c r="F1280" t="inlineStr">
        <is>
          <t>Rs 6.5 crore</t>
        </is>
      </c>
      <c r="G1280" s="19" t="n">
        <v>6.5</v>
      </c>
      <c r="H1280" s="19" t="n"/>
      <c r="I1280" t="inlineStr">
        <is>
          <t>Pre-Series A</t>
        </is>
      </c>
      <c r="J1280" t="inlineStr">
        <is>
          <t>IAN Group; IAN Alpha Fund; Vinayender Tulla; Nita Roy; Venkataraman KNK</t>
        </is>
      </c>
      <c r="K1280" t="inlineStr">
        <is>
          <t>https://entrackr.com/snippets/lamark-biotech-raises-rs-65-cr-in-pre-series-a-round-led-by-ian-group-9453084</t>
        </is>
      </c>
    </row>
    <row r="1281">
      <c r="A1281" t="inlineStr">
        <is>
          <t>INC-20250705-17</t>
        </is>
      </c>
      <c r="B1281" t="inlineStr">
        <is>
          <t>R250701-lamarkbiotech</t>
        </is>
      </c>
      <c r="C1281" t="inlineStr">
        <is>
          <t>Inc42</t>
        </is>
      </c>
      <c r="D1281" s="17" t="n">
        <v>45839</v>
      </c>
      <c r="E1281" t="inlineStr">
        <is>
          <t>Lamark Biotech</t>
        </is>
      </c>
      <c r="F1281" t="inlineStr">
        <is>
          <t>$767K</t>
        </is>
      </c>
      <c r="G1281" s="19" t="n"/>
      <c r="H1281" s="19" t="n">
        <v>0.767</v>
      </c>
      <c r="I1281" t="inlineStr">
        <is>
          <t>Pre-Series A</t>
        </is>
      </c>
      <c r="J1281" t="inlineStr">
        <is>
          <t>IAN Alpha Fund</t>
        </is>
      </c>
      <c r="K1281" t="inlineStr">
        <is>
          <t>https://inc42.com/buzz/from-jumbotail-to-incred-finance-indian-startups-raised-315-mn-this-week/</t>
        </is>
      </c>
    </row>
    <row r="1282">
      <c r="A1282" t="inlineStr">
        <is>
          <t>ENT-9453681</t>
        </is>
      </c>
      <c r="B1282" t="inlineStr">
        <is>
          <t>R250701-loopworm</t>
        </is>
      </c>
      <c r="C1282" t="inlineStr">
        <is>
          <t>Entrackr</t>
        </is>
      </c>
      <c r="D1282" s="17" t="n">
        <v>45839</v>
      </c>
      <c r="E1282" t="inlineStr">
        <is>
          <t>Loopworm</t>
        </is>
      </c>
      <c r="F1282" t="inlineStr">
        <is>
          <t>$3.25 million</t>
        </is>
      </c>
      <c r="G1282" s="19" t="n"/>
      <c r="H1282" s="19" t="n">
        <v>3.25</v>
      </c>
      <c r="I1282" t="inlineStr">
        <is>
          <t>Pre-Series A</t>
        </is>
      </c>
      <c r="J1282" t="inlineStr">
        <is>
          <t>WaterBridge Ventures; ENRISSION INDIA CAPITAL</t>
        </is>
      </c>
      <c r="K1282" t="inlineStr">
        <is>
          <t>https://entrackr.com/snippets/biomanufacturing-startup-loopworm-raises-325-mn-in-pre-series-a-round-9453681</t>
        </is>
      </c>
    </row>
    <row r="1283">
      <c r="A1283" t="inlineStr">
        <is>
          <t>INC-20250705-13</t>
        </is>
      </c>
      <c r="B1283" t="inlineStr">
        <is>
          <t>R250701-loopworm</t>
        </is>
      </c>
      <c r="C1283" t="inlineStr">
        <is>
          <t>Inc42</t>
        </is>
      </c>
      <c r="D1283" s="17" t="n">
        <v>45840</v>
      </c>
      <c r="E1283" t="inlineStr">
        <is>
          <t>Loopworm</t>
        </is>
      </c>
      <c r="F1283" t="inlineStr">
        <is>
          <t>$3.3 Mn</t>
        </is>
      </c>
      <c r="G1283" s="19" t="n"/>
      <c r="H1283" s="19" t="n">
        <v>3.3</v>
      </c>
      <c r="I1283" t="inlineStr">
        <is>
          <t>Pre-Series A</t>
        </is>
      </c>
      <c r="J1283" t="inlineStr">
        <is>
          <t>WaterBridge Ventures; Enrission India Capital</t>
        </is>
      </c>
      <c r="K1283" t="inlineStr">
        <is>
          <t>https://inc42.com/buzz/from-jumbotail-to-incred-finance-indian-startups-raised-315-mn-this-week/</t>
        </is>
      </c>
    </row>
    <row r="1284">
      <c r="A1284" t="inlineStr">
        <is>
          <t>ENT-9452864</t>
        </is>
      </c>
      <c r="B1284" t="inlineStr">
        <is>
          <t>R250701-zangoai</t>
        </is>
      </c>
      <c r="C1284" t="inlineStr">
        <is>
          <t>Entrackr</t>
        </is>
      </c>
      <c r="D1284" s="17" t="n">
        <v>45839</v>
      </c>
      <c r="E1284" t="inlineStr">
        <is>
          <t>Zango AI</t>
        </is>
      </c>
      <c r="F1284" t="inlineStr">
        <is>
          <t>$4.8 million</t>
        </is>
      </c>
      <c r="G1284" s="19" t="n">
        <v>41</v>
      </c>
      <c r="H1284" s="19" t="n">
        <v>4.8</v>
      </c>
      <c r="I1284" t="inlineStr">
        <is>
          <t>Seed</t>
        </is>
      </c>
      <c r="J1284" t="inlineStr">
        <is>
          <t>Nexus Venture Partners</t>
        </is>
      </c>
      <c r="K1284" t="inlineStr">
        <is>
          <t>https://entrackr.com/snippets/zango-ai-raises-48-mn-in-seed-round-led-by-nexus-venture-partners-9452864</t>
        </is>
      </c>
    </row>
    <row r="1285">
      <c r="A1285" t="inlineStr">
        <is>
          <t>ET-122177426</t>
        </is>
      </c>
      <c r="B1285" t="inlineStr">
        <is>
          <t>R250701-zangoai</t>
        </is>
      </c>
      <c r="C1285" t="inlineStr">
        <is>
          <t>The Economic Times</t>
        </is>
      </c>
      <c r="D1285" s="17" t="n">
        <v>45839</v>
      </c>
      <c r="E1285" t="inlineStr">
        <is>
          <t>Zango AI</t>
        </is>
      </c>
      <c r="F1285" t="inlineStr">
        <is>
          <t>$4.8 million</t>
        </is>
      </c>
      <c r="G1285" s="19" t="n"/>
      <c r="H1285" s="19" t="n">
        <v>4.8</v>
      </c>
      <c r="I1285" t="inlineStr">
        <is>
          <t>Undisclosed</t>
        </is>
      </c>
      <c r="J1285" t="inlineStr">
        <is>
          <t>Nexus Venture Partners</t>
        </is>
      </c>
      <c r="K1285" t="inlineStr">
        <is>
          <t>https://economictimes.indiatimes.com/tech/funding/regtech-startup-zango-ai-raises-4-8-million-from-nexus-venture-partners-others/articleshow/122177426.cms</t>
        </is>
      </c>
    </row>
    <row r="1286">
      <c r="A1286" t="inlineStr">
        <is>
          <t>INC-20250705-09</t>
        </is>
      </c>
      <c r="B1286" t="inlineStr">
        <is>
          <t>R250701-zangoai</t>
        </is>
      </c>
      <c r="C1286" t="inlineStr">
        <is>
          <t>Inc42</t>
        </is>
      </c>
      <c r="D1286" s="17" t="n">
        <v>45839</v>
      </c>
      <c r="E1286" t="inlineStr">
        <is>
          <t>Zango AI</t>
        </is>
      </c>
      <c r="F1286" t="inlineStr">
        <is>
          <t>$4.8 Mn</t>
        </is>
      </c>
      <c r="G1286" s="19" t="n"/>
      <c r="H1286" s="19" t="n">
        <v>4.8</v>
      </c>
      <c r="I1286" t="inlineStr">
        <is>
          <t>Seed</t>
        </is>
      </c>
      <c r="J1286" t="inlineStr">
        <is>
          <t>Nexus Venture Partners</t>
        </is>
      </c>
      <c r="K1286" t="inlineStr">
        <is>
          <t>https://inc42.com/buzz/from-jumbotail-to-incred-finance-indian-startups-raised-315-mn-this-week/</t>
        </is>
      </c>
    </row>
    <row r="1287">
      <c r="A1287" t="inlineStr">
        <is>
          <t>ENT-9455272</t>
        </is>
      </c>
      <c r="B1287" t="inlineStr">
        <is>
          <t>R250702-cimware</t>
        </is>
      </c>
      <c r="C1287" t="inlineStr">
        <is>
          <t>Entrackr</t>
        </is>
      </c>
      <c r="D1287" s="17" t="n">
        <v>45840</v>
      </c>
      <c r="E1287" t="inlineStr">
        <is>
          <t>CIMware</t>
        </is>
      </c>
      <c r="F1287" t="inlineStr">
        <is>
          <t>$2.3 million</t>
        </is>
      </c>
      <c r="G1287" s="19" t="n"/>
      <c r="H1287" s="19" t="n">
        <v>2.3</v>
      </c>
      <c r="I1287" t="inlineStr">
        <is>
          <t>Pre-Series A</t>
        </is>
      </c>
      <c r="J1287" t="inlineStr"/>
      <c r="K1287" t="inlineStr">
        <is>
          <t>https://entrackr.com/snippets/cimware-raises-23-mn-from-transition-vc-9455272</t>
        </is>
      </c>
    </row>
    <row r="1288">
      <c r="A1288" t="inlineStr">
        <is>
          <t>ET-122190613</t>
        </is>
      </c>
      <c r="B1288" t="inlineStr">
        <is>
          <t>R250702-cimware</t>
        </is>
      </c>
      <c r="C1288" t="inlineStr">
        <is>
          <t>The Economic Times</t>
        </is>
      </c>
      <c r="D1288" s="17" t="n">
        <v>45840</v>
      </c>
      <c r="E1288" t="inlineStr">
        <is>
          <t>CIMware</t>
        </is>
      </c>
      <c r="F1288" t="inlineStr">
        <is>
          <t>$2.3 million</t>
        </is>
      </c>
      <c r="G1288" s="19" t="n"/>
      <c r="H1288" s="19" t="n">
        <v>2.3</v>
      </c>
      <c r="I1288" t="inlineStr">
        <is>
          <t>Undisclosed</t>
        </is>
      </c>
      <c r="J1288" t="inlineStr">
        <is>
          <t>Transition VC</t>
        </is>
      </c>
      <c r="K1288" t="inlineStr">
        <is>
          <t>https://economictimes.indiatimes.com/tech/funding/cimware-raises-2-3-m-in-round-led-by-transition-vc/articleshow/122190613.cms</t>
        </is>
      </c>
    </row>
    <row r="1289">
      <c r="A1289" t="inlineStr">
        <is>
          <t>INC-20250705-14</t>
        </is>
      </c>
      <c r="B1289" t="inlineStr">
        <is>
          <t>R250702-cimware</t>
        </is>
      </c>
      <c r="C1289" t="inlineStr">
        <is>
          <t>Inc42</t>
        </is>
      </c>
      <c r="D1289" s="17" t="n">
        <v>45840</v>
      </c>
      <c r="E1289" t="inlineStr">
        <is>
          <t>CIMware</t>
        </is>
      </c>
      <c r="F1289" t="inlineStr">
        <is>
          <t>$2.3 Mn</t>
        </is>
      </c>
      <c r="G1289" s="19" t="n"/>
      <c r="H1289" s="19" t="n">
        <v>2.3</v>
      </c>
      <c r="I1289" t="inlineStr">
        <is>
          <t>Pre-Series A</t>
        </is>
      </c>
      <c r="J1289" t="inlineStr">
        <is>
          <t>Transition VC</t>
        </is>
      </c>
      <c r="K1289" t="inlineStr">
        <is>
          <t>https://inc42.com/buzz/from-jumbotail-to-incred-finance-indian-startups-raised-315-mn-this-week/</t>
        </is>
      </c>
    </row>
    <row r="1290">
      <c r="A1290" t="inlineStr">
        <is>
          <t>ENT-9456330</t>
        </is>
      </c>
      <c r="B1290" t="inlineStr">
        <is>
          <t>R250702-iora</t>
        </is>
      </c>
      <c r="C1290" t="inlineStr">
        <is>
          <t>Entrackr</t>
        </is>
      </c>
      <c r="D1290" s="17" t="n">
        <v>45840</v>
      </c>
      <c r="E1290" t="inlineStr">
        <is>
          <t>IORA</t>
        </is>
      </c>
      <c r="F1290" t="inlineStr">
        <is>
          <t>Rs 8.5 crore</t>
        </is>
      </c>
      <c r="G1290" s="19" t="n">
        <v>8.5</v>
      </c>
      <c r="H1290" s="19" t="n">
        <v>1</v>
      </c>
      <c r="I1290" t="inlineStr">
        <is>
          <t>Debt</t>
        </is>
      </c>
      <c r="J1290" t="inlineStr"/>
      <c r="K1290" t="inlineStr">
        <is>
          <t>https://entrackr.com/snippets/iora-raises-rs-85-cr-funding-from-caspian-debt-9456330</t>
        </is>
      </c>
    </row>
    <row r="1291">
      <c r="A1291" t="inlineStr">
        <is>
          <t>ENT-9459270</t>
        </is>
      </c>
      <c r="B1291" t="inlineStr">
        <is>
          <t>R250703-fescafe</t>
        </is>
      </c>
      <c r="C1291" t="inlineStr">
        <is>
          <t>Entrackr</t>
        </is>
      </c>
      <c r="D1291" s="17" t="n">
        <v>45841</v>
      </c>
      <c r="E1291" t="inlineStr">
        <is>
          <t>FES Cafe</t>
        </is>
      </c>
      <c r="F1291" t="inlineStr">
        <is>
          <t>Rs 3 crore</t>
        </is>
      </c>
      <c r="G1291" s="19" t="n">
        <v>3</v>
      </c>
      <c r="H1291" s="19" t="n"/>
      <c r="I1291" t="inlineStr">
        <is>
          <t>Seed</t>
        </is>
      </c>
      <c r="J1291" t="inlineStr">
        <is>
          <t>Aakash Anand</t>
        </is>
      </c>
      <c r="K1291" t="inlineStr">
        <is>
          <t>https://entrackr.com/snippets/fes-cafe-raises-seed-round-led-by-aakash-anand-and-wolfpack-labs-9459270</t>
        </is>
      </c>
    </row>
    <row r="1292">
      <c r="A1292" t="inlineStr">
        <is>
          <t>INC-20250705-20</t>
        </is>
      </c>
      <c r="B1292" t="inlineStr">
        <is>
          <t>R250703-fescafe</t>
        </is>
      </c>
      <c r="C1292" t="inlineStr">
        <is>
          <t>Inc42</t>
        </is>
      </c>
      <c r="D1292" s="17" t="n">
        <v>45841</v>
      </c>
      <c r="E1292" t="inlineStr">
        <is>
          <t>FES Cafe</t>
        </is>
      </c>
      <c r="F1292" t="inlineStr">
        <is>
          <t>$351K</t>
        </is>
      </c>
      <c r="G1292" s="19" t="n"/>
      <c r="H1292" s="19" t="n">
        <v>0.351</v>
      </c>
      <c r="I1292" t="inlineStr">
        <is>
          <t>Seed</t>
        </is>
      </c>
      <c r="J1292" t="inlineStr">
        <is>
          <t>Wolfpack Labs</t>
        </is>
      </c>
      <c r="K1292" t="inlineStr">
        <is>
          <t>https://inc42.com/buzz/from-jumbotail-to-incred-finance-indian-startups-raised-315-mn-this-week/</t>
        </is>
      </c>
    </row>
    <row r="1293">
      <c r="A1293" t="inlineStr">
        <is>
          <t>ENT-9458574</t>
        </is>
      </c>
      <c r="B1293" t="inlineStr">
        <is>
          <t>R250703-fitfeast</t>
        </is>
      </c>
      <c r="C1293" t="inlineStr">
        <is>
          <t>Entrackr</t>
        </is>
      </c>
      <c r="D1293" s="17" t="n">
        <v>45841</v>
      </c>
      <c r="E1293" t="inlineStr">
        <is>
          <t>FitFeast</t>
        </is>
      </c>
      <c r="F1293" t="inlineStr">
        <is>
          <t>Rs 5.5 crore</t>
        </is>
      </c>
      <c r="G1293" s="19" t="n">
        <v>5.5</v>
      </c>
      <c r="H1293" s="19" t="n">
        <v>0.642</v>
      </c>
      <c r="I1293" t="inlineStr">
        <is>
          <t>Seed</t>
        </is>
      </c>
      <c r="J1293" t="inlineStr">
        <is>
          <t>Inflection Point Ventures</t>
        </is>
      </c>
      <c r="K1293" t="inlineStr">
        <is>
          <t>https://entrackr.com/snippets/fitfeast-raises-rs-55-cr-from-ipv-ropes-in-shane-watson-and-axar-patel-as-investors-9458574</t>
        </is>
      </c>
    </row>
    <row r="1294">
      <c r="A1294" t="inlineStr">
        <is>
          <t>INC-20250705-18</t>
        </is>
      </c>
      <c r="B1294" t="inlineStr">
        <is>
          <t>R250703-fitfeast</t>
        </is>
      </c>
      <c r="C1294" t="inlineStr">
        <is>
          <t>Inc42</t>
        </is>
      </c>
      <c r="D1294" s="17" t="n">
        <v>45841</v>
      </c>
      <c r="E1294" t="inlineStr">
        <is>
          <t>FitFeast</t>
        </is>
      </c>
      <c r="F1294" t="inlineStr">
        <is>
          <t>$644K</t>
        </is>
      </c>
      <c r="G1294" s="19" t="n"/>
      <c r="H1294" s="19" t="n">
        <v>0.644</v>
      </c>
      <c r="I1294" t="inlineStr">
        <is>
          <t>Seed</t>
        </is>
      </c>
      <c r="J1294" t="inlineStr">
        <is>
          <t>Inflection Point Ventures</t>
        </is>
      </c>
      <c r="K1294" t="inlineStr">
        <is>
          <t>https://inc42.com/buzz/from-jumbotail-to-incred-finance-indian-startups-raised-315-mn-this-week/</t>
        </is>
      </c>
    </row>
    <row r="1295">
      <c r="A1295" t="inlineStr">
        <is>
          <t>ENT-9458254</t>
        </is>
      </c>
      <c r="B1295" t="inlineStr">
        <is>
          <t>R250703-gobblecube</t>
        </is>
      </c>
      <c r="C1295" t="inlineStr">
        <is>
          <t>Entrackr</t>
        </is>
      </c>
      <c r="D1295" s="17" t="n">
        <v>45841</v>
      </c>
      <c r="E1295" t="inlineStr">
        <is>
          <t>GobbleCube</t>
        </is>
      </c>
      <c r="F1295" t="inlineStr">
        <is>
          <t>$3.5 million</t>
        </is>
      </c>
      <c r="G1295" s="19" t="n"/>
      <c r="H1295" s="19" t="n">
        <v>3.5</v>
      </c>
      <c r="I1295" t="inlineStr">
        <is>
          <t>Pre-Series A</t>
        </is>
      </c>
      <c r="J1295" t="inlineStr">
        <is>
          <t>InfoEdge Ventures</t>
        </is>
      </c>
      <c r="K1295" t="inlineStr">
        <is>
          <t>https://entrackr.com/snippets/gobblecube-raises-35-mn-led-by-infoedge-ventures-9458254</t>
        </is>
      </c>
    </row>
    <row r="1296">
      <c r="A1296" t="inlineStr">
        <is>
          <t>INC-20250705-12</t>
        </is>
      </c>
      <c r="B1296" t="inlineStr">
        <is>
          <t>R250703-gobblecube</t>
        </is>
      </c>
      <c r="C1296" t="inlineStr">
        <is>
          <t>Inc42</t>
        </is>
      </c>
      <c r="D1296" s="17" t="n">
        <v>45841</v>
      </c>
      <c r="E1296" t="inlineStr">
        <is>
          <t>GobbleCube</t>
        </is>
      </c>
      <c r="F1296" t="inlineStr">
        <is>
          <t>$3.5 Mn</t>
        </is>
      </c>
      <c r="G1296" s="19" t="n"/>
      <c r="H1296" s="19" t="n">
        <v>3.5</v>
      </c>
      <c r="I1296" t="inlineStr">
        <is>
          <t>Pre-Series A</t>
        </is>
      </c>
      <c r="J1296" t="inlineStr">
        <is>
          <t>InfoEdge Ventures</t>
        </is>
      </c>
      <c r="K1296" t="inlineStr">
        <is>
          <t>https://inc42.com/buzz/from-jumbotail-to-incred-finance-indian-startups-raised-315-mn-this-week/</t>
        </is>
      </c>
    </row>
    <row r="1297">
      <c r="A1297" t="inlineStr">
        <is>
          <t>INC-20250705-03</t>
        </is>
      </c>
      <c r="B1297" t="inlineStr">
        <is>
          <t>R250703-incredfinance</t>
        </is>
      </c>
      <c r="C1297" t="inlineStr">
        <is>
          <t>Inc42</t>
        </is>
      </c>
      <c r="D1297" s="17" t="n">
        <v>45841</v>
      </c>
      <c r="E1297" t="inlineStr">
        <is>
          <t>InCred Finance</t>
        </is>
      </c>
      <c r="F1297" t="inlineStr">
        <is>
          <t>$46.8 Mn</t>
        </is>
      </c>
      <c r="G1297" s="19" t="n"/>
      <c r="H1297" s="19" t="n">
        <v>46.8</v>
      </c>
      <c r="I1297" t="inlineStr">
        <is>
          <t>Debt</t>
        </is>
      </c>
      <c r="J1297" t="inlineStr"/>
      <c r="K1297" t="inlineStr">
        <is>
          <t>https://inc42.com/buzz/from-jumbotail-to-incred-finance-indian-startups-raised-315-mn-this-week/</t>
        </is>
      </c>
    </row>
    <row r="1298">
      <c r="A1298" t="inlineStr">
        <is>
          <t>ENT-9458476</t>
        </is>
      </c>
      <c r="B1298" t="inlineStr">
        <is>
          <t>R250703-lumafertility</t>
        </is>
      </c>
      <c r="C1298" t="inlineStr">
        <is>
          <t>Entrackr</t>
        </is>
      </c>
      <c r="D1298" s="17" t="n">
        <v>45841</v>
      </c>
      <c r="E1298" t="inlineStr">
        <is>
          <t>Luma Fertility</t>
        </is>
      </c>
      <c r="F1298" t="inlineStr">
        <is>
          <t>$4 million</t>
        </is>
      </c>
      <c r="G1298" s="19" t="n"/>
      <c r="H1298" s="19" t="n">
        <v>4</v>
      </c>
      <c r="I1298" t="inlineStr">
        <is>
          <t>Seed</t>
        </is>
      </c>
      <c r="J1298" t="inlineStr">
        <is>
          <t>Surge</t>
        </is>
      </c>
      <c r="K1298" t="inlineStr">
        <is>
          <t>https://entrackr.com/snippets/luma-fertility-raises-4-mn-led-by-peak-xvs-surge-9458476</t>
        </is>
      </c>
    </row>
    <row r="1299">
      <c r="A1299" t="inlineStr">
        <is>
          <t>ET-122221217</t>
        </is>
      </c>
      <c r="B1299" t="inlineStr">
        <is>
          <t>R250703-lumafertility</t>
        </is>
      </c>
      <c r="C1299" t="inlineStr">
        <is>
          <t>The Economic Times</t>
        </is>
      </c>
      <c r="D1299" s="17" t="n">
        <v>45841</v>
      </c>
      <c r="E1299" t="inlineStr">
        <is>
          <t>Luma Fertility</t>
        </is>
      </c>
      <c r="F1299" t="inlineStr">
        <is>
          <t>$4 million</t>
        </is>
      </c>
      <c r="G1299" s="19" t="n"/>
      <c r="H1299" s="19" t="n">
        <v>4</v>
      </c>
      <c r="I1299" t="inlineStr">
        <is>
          <t>Seed</t>
        </is>
      </c>
      <c r="J1299" t="inlineStr"/>
      <c r="K1299" t="inlineStr">
        <is>
          <t>https://economictimes.indiatimes.com/tech/funding/fertech-startup-luma-fertility-raises-4-million-from-peak-xvs-surge-fund-others/articleshow/122221217.cms</t>
        </is>
      </c>
    </row>
    <row r="1300">
      <c r="A1300" t="inlineStr">
        <is>
          <t>INC-20250705-11</t>
        </is>
      </c>
      <c r="B1300" t="inlineStr">
        <is>
          <t>R250703-lumafertility</t>
        </is>
      </c>
      <c r="C1300" t="inlineStr">
        <is>
          <t>Inc42</t>
        </is>
      </c>
      <c r="D1300" s="17" t="n">
        <v>45841</v>
      </c>
      <c r="E1300" t="inlineStr">
        <is>
          <t>Luma Fertility</t>
        </is>
      </c>
      <c r="F1300" t="inlineStr">
        <is>
          <t>$4 Mn</t>
        </is>
      </c>
      <c r="G1300" s="19" t="n"/>
      <c r="H1300" s="19" t="n">
        <v>4</v>
      </c>
      <c r="I1300" t="inlineStr">
        <is>
          <t>Seed</t>
        </is>
      </c>
      <c r="J1300" t="inlineStr">
        <is>
          <t>Peak XV</t>
        </is>
      </c>
      <c r="K1300" t="inlineStr">
        <is>
          <t>https://inc42.com/buzz/from-jumbotail-to-incred-finance-indian-startups-raised-315-mn-this-week/</t>
        </is>
      </c>
    </row>
    <row r="1301">
      <c r="A1301" t="inlineStr">
        <is>
          <t>ENT-9458859</t>
        </is>
      </c>
      <c r="B1301" t="inlineStr">
        <is>
          <t>R250703-maieuticsemico</t>
        </is>
      </c>
      <c r="C1301" t="inlineStr">
        <is>
          <t>Entrackr</t>
        </is>
      </c>
      <c r="D1301" s="17" t="n">
        <v>45841</v>
      </c>
      <c r="E1301" t="inlineStr">
        <is>
          <t>Maieutic Semiconductor</t>
        </is>
      </c>
      <c r="F1301" t="inlineStr">
        <is>
          <t>$4.15 million</t>
        </is>
      </c>
      <c r="G1301" s="19" t="n"/>
      <c r="H1301" s="19" t="n">
        <v>4.15</v>
      </c>
      <c r="I1301" t="inlineStr">
        <is>
          <t>Seed</t>
        </is>
      </c>
      <c r="J1301" t="inlineStr">
        <is>
          <t>Endiya Partners; Exfinity Venture Partners</t>
        </is>
      </c>
      <c r="K1301" t="inlineStr">
        <is>
          <t>https://entrackr.com/snippets/deep-tech-startup-maieutic-semiconductor-raises-415-mn-seed-round-9458859</t>
        </is>
      </c>
    </row>
    <row r="1302">
      <c r="A1302" t="inlineStr">
        <is>
          <t>ET-122210969</t>
        </is>
      </c>
      <c r="B1302" t="inlineStr">
        <is>
          <t>R250703-maieuticsemico</t>
        </is>
      </c>
      <c r="C1302" t="inlineStr">
        <is>
          <t>The Economic Times</t>
        </is>
      </c>
      <c r="D1302" s="17" t="n">
        <v>45841</v>
      </c>
      <c r="E1302" t="inlineStr">
        <is>
          <t>Maieutic Semiconductor</t>
        </is>
      </c>
      <c r="F1302" t="inlineStr">
        <is>
          <t>$4.15 million</t>
        </is>
      </c>
      <c r="G1302" s="19" t="n"/>
      <c r="H1302" s="19" t="n">
        <v>4.15</v>
      </c>
      <c r="I1302" t="inlineStr">
        <is>
          <t>Seed</t>
        </is>
      </c>
      <c r="J1302" t="inlineStr">
        <is>
          <t>Endiya Partners; Exfinity Venture Partners</t>
        </is>
      </c>
      <c r="K1302" t="inlineStr">
        <is>
          <t>https://economictimes.indiatimes.com/tech/funding/deeptech-startup-maieutic-semiconductor-raises-4-15-million-from-endiya-partners-exfinity-venture-partners/articleshow/122210969.cms</t>
        </is>
      </c>
    </row>
    <row r="1303">
      <c r="A1303" t="inlineStr">
        <is>
          <t>ET-122233442</t>
        </is>
      </c>
      <c r="B1303" t="inlineStr">
        <is>
          <t>R250703-maieuticsemico</t>
        </is>
      </c>
      <c r="C1303" t="inlineStr">
        <is>
          <t>The Economic Times</t>
        </is>
      </c>
      <c r="D1303" s="17" t="n">
        <v>45841</v>
      </c>
      <c r="E1303" t="inlineStr">
        <is>
          <t>Maieutic Semiconductor</t>
        </is>
      </c>
      <c r="F1303" t="inlineStr">
        <is>
          <t>$4.15 million</t>
        </is>
      </c>
      <c r="G1303" s="19" t="n"/>
      <c r="H1303" s="19" t="n">
        <v>4.15</v>
      </c>
      <c r="I1303" t="inlineStr">
        <is>
          <t>Undisclosed</t>
        </is>
      </c>
      <c r="J1303" t="inlineStr">
        <is>
          <t>Endiya Partners; Exfinity Venture Partners</t>
        </is>
      </c>
      <c r="K1303" t="inlineStr">
        <is>
          <t>https://economictimes.indiatimes.com/tech/funding/maieutic-semiconductor-raises-4-15-million/articleshow/122233442.cms</t>
        </is>
      </c>
    </row>
    <row r="1304">
      <c r="A1304" t="inlineStr">
        <is>
          <t>INC-20250705-10</t>
        </is>
      </c>
      <c r="B1304" t="inlineStr">
        <is>
          <t>R250703-maieuticsemico</t>
        </is>
      </c>
      <c r="C1304" t="inlineStr">
        <is>
          <t>Inc42</t>
        </is>
      </c>
      <c r="D1304" s="17" t="n">
        <v>45841</v>
      </c>
      <c r="E1304" t="inlineStr">
        <is>
          <t>Maieutic Semiconductor</t>
        </is>
      </c>
      <c r="F1304" t="inlineStr">
        <is>
          <t>$4.2 Mn</t>
        </is>
      </c>
      <c r="G1304" s="19" t="n"/>
      <c r="H1304" s="19" t="n">
        <v>4.2</v>
      </c>
      <c r="I1304" t="inlineStr">
        <is>
          <t>Seed</t>
        </is>
      </c>
      <c r="J1304" t="inlineStr">
        <is>
          <t>Endiya Partners; Exfinity Venture Partners</t>
        </is>
      </c>
      <c r="K1304" t="inlineStr">
        <is>
          <t>https://inc42.com/buzz/from-jumbotail-to-incred-finance-indian-startups-raised-315-mn-this-week/</t>
        </is>
      </c>
    </row>
    <row r="1305">
      <c r="A1305" t="inlineStr">
        <is>
          <t>ENT-9462282</t>
        </is>
      </c>
      <c r="B1305" t="inlineStr">
        <is>
          <t>R250704-ajnalens</t>
        </is>
      </c>
      <c r="C1305" t="inlineStr">
        <is>
          <t>Entrackr</t>
        </is>
      </c>
      <c r="D1305" s="17" t="n">
        <v>45842</v>
      </c>
      <c r="E1305" t="inlineStr">
        <is>
          <t>Ajna Lens</t>
        </is>
      </c>
      <c r="F1305" t="inlineStr"/>
      <c r="G1305" s="19" t="n"/>
      <c r="H1305" s="19" t="n"/>
      <c r="I1305" t="inlineStr">
        <is>
          <t>Undisclosed</t>
        </is>
      </c>
      <c r="J1305" t="inlineStr"/>
      <c r="K1305" t="inlineStr">
        <is>
          <t>https://entrackr.com/snippets/lenskart-invests-in-deep-tech-xr-startup-ajna-lens-9462282</t>
        </is>
      </c>
    </row>
    <row r="1306">
      <c r="A1306" t="inlineStr">
        <is>
          <t>INC-20250705-21</t>
        </is>
      </c>
      <c r="B1306" t="inlineStr">
        <is>
          <t>R250704-ajnalens</t>
        </is>
      </c>
      <c r="C1306" t="inlineStr">
        <is>
          <t>Inc42</t>
        </is>
      </c>
      <c r="D1306" s="17" t="n">
        <v>45842</v>
      </c>
      <c r="E1306" t="inlineStr">
        <is>
          <t>AjnaLens</t>
        </is>
      </c>
      <c r="F1306" t="inlineStr"/>
      <c r="G1306" s="19" t="n"/>
      <c r="H1306" s="19" t="n"/>
      <c r="I1306" t="inlineStr">
        <is>
          <t>Undisclosed</t>
        </is>
      </c>
      <c r="J1306" t="inlineStr">
        <is>
          <t>Lenskart</t>
        </is>
      </c>
      <c r="K1306" t="inlineStr">
        <is>
          <t>https://inc42.com/buzz/from-jumbotail-to-incred-finance-indian-startups-raised-315-mn-this-week/</t>
        </is>
      </c>
    </row>
    <row r="1307">
      <c r="A1307" t="inlineStr">
        <is>
          <t>VCC-f3ffaa410f</t>
        </is>
      </c>
      <c r="B1307" t="inlineStr">
        <is>
          <t>R250704-ajnalens</t>
        </is>
      </c>
      <c r="C1307" t="inlineStr">
        <is>
          <t>VCCircle</t>
        </is>
      </c>
      <c r="D1307" s="17" t="n">
        <v>45842</v>
      </c>
      <c r="E1307" t="inlineStr">
        <is>
          <t>lenskartbets on ajna lens serendipity space</t>
        </is>
      </c>
      <c r="F1307" t="inlineStr"/>
      <c r="G1307" s="19" t="n"/>
      <c r="H1307" s="19" t="n"/>
      <c r="I1307" t="inlineStr">
        <is>
          <t>Undisclosed</t>
        </is>
      </c>
      <c r="J1307" t="inlineStr"/>
      <c r="K1307" t="inlineStr">
        <is>
          <t>https://www.vccircle.com/lenskartbets-on-ajna-lens-serendipity-space-secures-funding</t>
        </is>
      </c>
    </row>
    <row r="1308">
      <c r="A1308" t="inlineStr">
        <is>
          <t>INC-20250712-11</t>
        </is>
      </c>
      <c r="B1308" t="inlineStr">
        <is>
          <t>R250707-amama</t>
        </is>
      </c>
      <c r="C1308" t="inlineStr">
        <is>
          <t>Inc42</t>
        </is>
      </c>
      <c r="D1308" s="17" t="n">
        <v>45845</v>
      </c>
      <c r="E1308" t="inlineStr">
        <is>
          <t>AMAMA</t>
        </is>
      </c>
      <c r="F1308" t="inlineStr">
        <is>
          <t>$1 Mn</t>
        </is>
      </c>
      <c r="G1308" s="19" t="n"/>
      <c r="H1308" s="19" t="n">
        <v>1</v>
      </c>
      <c r="I1308" t="inlineStr">
        <is>
          <t>Undisclosed</t>
        </is>
      </c>
      <c r="J1308" t="inlineStr">
        <is>
          <t>Mistry Ventures</t>
        </is>
      </c>
      <c r="K1308" t="inlineStr">
        <is>
          <t>https://inc42.com/buzz/from-infinity-fincorp-to-chai-bisket-indian-startups-raised-133-mn-this-week/</t>
        </is>
      </c>
    </row>
    <row r="1309">
      <c r="A1309" t="inlineStr">
        <is>
          <t>INC-20250712-08</t>
        </is>
      </c>
      <c r="B1309" t="inlineStr">
        <is>
          <t>R250707-cookd</t>
        </is>
      </c>
      <c r="C1309" t="inlineStr">
        <is>
          <t>Inc42</t>
        </is>
      </c>
      <c r="D1309" s="17" t="n">
        <v>45845</v>
      </c>
      <c r="E1309" t="inlineStr">
        <is>
          <t>Cookd</t>
        </is>
      </c>
      <c r="F1309" t="inlineStr">
        <is>
          <t>$2 Mn</t>
        </is>
      </c>
      <c r="G1309" s="19" t="n"/>
      <c r="H1309" s="19" t="n">
        <v>2</v>
      </c>
      <c r="I1309" t="inlineStr">
        <is>
          <t>Pre-Series A</t>
        </is>
      </c>
      <c r="J1309" t="inlineStr">
        <is>
          <t>Spring Marketing Capital</t>
        </is>
      </c>
      <c r="K1309" t="inlineStr">
        <is>
          <t>https://inc42.com/buzz/from-infinity-fincorp-to-chai-bisket-indian-startups-raised-133-mn-this-week/</t>
        </is>
      </c>
    </row>
    <row r="1310">
      <c r="A1310" t="inlineStr">
        <is>
          <t>ENT-9485216</t>
        </is>
      </c>
      <c r="B1310" t="inlineStr">
        <is>
          <t>R250707-cookd</t>
        </is>
      </c>
      <c r="C1310" t="inlineStr">
        <is>
          <t>Entrackr</t>
        </is>
      </c>
      <c r="D1310" s="17" t="n">
        <v>45849</v>
      </c>
      <c r="E1310" t="inlineStr">
        <is>
          <t>Cookd</t>
        </is>
      </c>
      <c r="F1310" t="inlineStr">
        <is>
          <t>Rs 16 crore</t>
        </is>
      </c>
      <c r="G1310" s="19" t="n">
        <v>16</v>
      </c>
      <c r="H1310" s="19" t="n">
        <v>2</v>
      </c>
      <c r="I1310" t="inlineStr">
        <is>
          <t>Pre-Series A</t>
        </is>
      </c>
      <c r="J1310" t="inlineStr">
        <is>
          <t>Spring Marketing Capital</t>
        </is>
      </c>
      <c r="K1310" t="inlineStr">
        <is>
          <t>https://entrackr.com/snippets/cookd-raises-rs-16-cr-in-pre-series-a-round-led-by-spring-marketing-capital-9485216</t>
        </is>
      </c>
    </row>
    <row r="1311">
      <c r="A1311" t="inlineStr">
        <is>
          <t>ENT-9470543</t>
        </is>
      </c>
      <c r="B1311" t="inlineStr">
        <is>
          <t>R250707-divinehindu</t>
        </is>
      </c>
      <c r="C1311" t="inlineStr">
        <is>
          <t>Entrackr</t>
        </is>
      </c>
      <c r="D1311" s="17" t="n">
        <v>45845</v>
      </c>
      <c r="E1311" t="inlineStr">
        <is>
          <t>Divine Hindu</t>
        </is>
      </c>
      <c r="F1311" t="inlineStr">
        <is>
          <t>Rs 1.56 crore</t>
        </is>
      </c>
      <c r="G1311" s="19" t="n">
        <v>1.56</v>
      </c>
      <c r="H1311" s="19" t="n"/>
      <c r="I1311" t="inlineStr">
        <is>
          <t>Seed</t>
        </is>
      </c>
      <c r="J1311" t="inlineStr"/>
      <c r="K1311" t="inlineStr">
        <is>
          <t>https://entrackr.com/snippets/spiritual-lifestyle-brand-divine-hindu-raises-seed-round-9470543</t>
        </is>
      </c>
    </row>
    <row r="1312">
      <c r="A1312" t="inlineStr">
        <is>
          <t>INC-20250712-14</t>
        </is>
      </c>
      <c r="B1312" t="inlineStr">
        <is>
          <t>R250707-divinehindu</t>
        </is>
      </c>
      <c r="C1312" t="inlineStr">
        <is>
          <t>Inc42</t>
        </is>
      </c>
      <c r="D1312" s="17" t="n">
        <v>45845</v>
      </c>
      <c r="E1312" t="inlineStr">
        <is>
          <t>Divine Hindu</t>
        </is>
      </c>
      <c r="F1312" t="inlineStr">
        <is>
          <t>$181K</t>
        </is>
      </c>
      <c r="G1312" s="19" t="n"/>
      <c r="H1312" s="19" t="n">
        <v>0.181</v>
      </c>
      <c r="I1312" t="inlineStr">
        <is>
          <t>Seed</t>
        </is>
      </c>
      <c r="J1312" t="inlineStr"/>
      <c r="K1312" t="inlineStr">
        <is>
          <t>https://inc42.com/buzz/from-infinity-fincorp-to-chai-bisket-indian-startups-raised-133-mn-this-week/</t>
        </is>
      </c>
    </row>
    <row r="1313">
      <c r="A1313" t="inlineStr">
        <is>
          <t>ENT-9470068</t>
        </is>
      </c>
      <c r="B1313" t="inlineStr">
        <is>
          <t>R250707-inprimefinserv</t>
        </is>
      </c>
      <c r="C1313" t="inlineStr">
        <is>
          <t>Entrackr</t>
        </is>
      </c>
      <c r="D1313" s="17" t="n">
        <v>45845</v>
      </c>
      <c r="E1313" t="inlineStr">
        <is>
          <t>InPrime Finserv</t>
        </is>
      </c>
      <c r="F1313" t="inlineStr">
        <is>
          <t>Rs 50 crore</t>
        </is>
      </c>
      <c r="G1313" s="19" t="n">
        <v>50</v>
      </c>
      <c r="H1313" s="19" t="n">
        <v>6.02</v>
      </c>
      <c r="I1313" t="inlineStr">
        <is>
          <t>Series A</t>
        </is>
      </c>
      <c r="J1313" t="inlineStr">
        <is>
          <t>Pravega Ventures; Z47; InfoEdge Ventures; Kettleborough VC</t>
        </is>
      </c>
      <c r="K1313" t="inlineStr">
        <is>
          <t>https://entrackr.com/snippets/inprime-finserv-raises-rs-50-cr-in-series-a1-round-led-by-pravega-ventures-9470068</t>
        </is>
      </c>
    </row>
    <row r="1314">
      <c r="A1314" t="inlineStr">
        <is>
          <t>INC-20250712-04</t>
        </is>
      </c>
      <c r="B1314" t="inlineStr">
        <is>
          <t>R250707-inprimefinserv</t>
        </is>
      </c>
      <c r="C1314" t="inlineStr">
        <is>
          <t>Inc42</t>
        </is>
      </c>
      <c r="D1314" s="17" t="n">
        <v>45845</v>
      </c>
      <c r="E1314" t="inlineStr">
        <is>
          <t>InPrime Finserv</t>
        </is>
      </c>
      <c r="F1314" t="inlineStr">
        <is>
          <t>$6 Mn</t>
        </is>
      </c>
      <c r="G1314" s="19" t="n"/>
      <c r="H1314" s="19" t="n">
        <v>6</v>
      </c>
      <c r="I1314" t="inlineStr">
        <is>
          <t>Series A</t>
        </is>
      </c>
      <c r="J1314" t="inlineStr">
        <is>
          <t>Pravega Ventures</t>
        </is>
      </c>
      <c r="K1314" t="inlineStr">
        <is>
          <t>https://inc42.com/buzz/from-infinity-fincorp-to-chai-bisket-indian-startups-raised-133-mn-this-week/</t>
        </is>
      </c>
    </row>
    <row r="1315">
      <c r="A1315" t="inlineStr">
        <is>
          <t>ENT-9469606</t>
        </is>
      </c>
      <c r="B1315" t="inlineStr">
        <is>
          <t>R250707-khetika</t>
        </is>
      </c>
      <c r="C1315" t="inlineStr">
        <is>
          <t>Entrackr</t>
        </is>
      </c>
      <c r="D1315" s="17" t="n">
        <v>45845</v>
      </c>
      <c r="E1315" t="inlineStr">
        <is>
          <t>Khetika</t>
        </is>
      </c>
      <c r="F1315" t="inlineStr">
        <is>
          <t>$18 million</t>
        </is>
      </c>
      <c r="G1315" s="19" t="n">
        <v>153</v>
      </c>
      <c r="H1315" s="19" t="n">
        <v>18</v>
      </c>
      <c r="I1315" t="inlineStr">
        <is>
          <t>Undisclosed</t>
        </is>
      </c>
      <c r="J1315" t="inlineStr">
        <is>
          <t>Narotam Sekhsaria Family Office; Anicut Capital</t>
        </is>
      </c>
      <c r="K1315" t="inlineStr">
        <is>
          <t>https://entrackr.com/snippets/khetika-raises-18-mn-led-by-narotam-sekhsaria-family-office-and-anicut-capital-9469606</t>
        </is>
      </c>
    </row>
    <row r="1316">
      <c r="A1316" t="inlineStr">
        <is>
          <t>ET-122281212</t>
        </is>
      </c>
      <c r="B1316" t="inlineStr">
        <is>
          <t>R250707-khetika</t>
        </is>
      </c>
      <c r="C1316" t="inlineStr">
        <is>
          <t>The Economic Times</t>
        </is>
      </c>
      <c r="D1316" s="17" t="n">
        <v>45845</v>
      </c>
      <c r="E1316" t="inlineStr">
        <is>
          <t>Khetika</t>
        </is>
      </c>
      <c r="F1316" t="inlineStr">
        <is>
          <t>$18 million</t>
        </is>
      </c>
      <c r="G1316" s="19" t="n">
        <v>153</v>
      </c>
      <c r="H1316" s="19" t="n">
        <v>18</v>
      </c>
      <c r="I1316" t="inlineStr">
        <is>
          <t>Undisclosed</t>
        </is>
      </c>
      <c r="J1316" t="inlineStr"/>
      <c r="K1316" t="inlineStr">
        <is>
          <t>https://economictimes.indiatimes.com/tech/funding/healthy-food-startup-khetika-raises-18-million-for-expansion/articleshow/122281212.cms</t>
        </is>
      </c>
    </row>
    <row r="1317">
      <c r="A1317" t="inlineStr">
        <is>
          <t>INC-20250712-03</t>
        </is>
      </c>
      <c r="B1317" t="inlineStr">
        <is>
          <t>R250707-khetika</t>
        </is>
      </c>
      <c r="C1317" t="inlineStr">
        <is>
          <t>Inc42</t>
        </is>
      </c>
      <c r="D1317" s="17" t="n">
        <v>45845</v>
      </c>
      <c r="E1317" t="inlineStr">
        <is>
          <t>Khetika</t>
        </is>
      </c>
      <c r="F1317" t="inlineStr">
        <is>
          <t>$18 Mn</t>
        </is>
      </c>
      <c r="G1317" s="19" t="n"/>
      <c r="H1317" s="19" t="n">
        <v>18</v>
      </c>
      <c r="I1317" t="inlineStr">
        <is>
          <t>Series B</t>
        </is>
      </c>
      <c r="J1317" t="inlineStr">
        <is>
          <t>Narotam Sekhsaria Family Office; Anicut Capital</t>
        </is>
      </c>
      <c r="K1317" t="inlineStr">
        <is>
          <t>https://inc42.com/buzz/from-infinity-fincorp-to-chai-bisket-indian-startups-raised-133-mn-this-week/</t>
        </is>
      </c>
    </row>
    <row r="1318">
      <c r="A1318" t="inlineStr">
        <is>
          <t>VCC-f318e68399</t>
        </is>
      </c>
      <c r="B1318" t="inlineStr">
        <is>
          <t>R250707-khetika</t>
        </is>
      </c>
      <c r="C1318" t="inlineStr">
        <is>
          <t>VCCircle</t>
        </is>
      </c>
      <c r="D1318" s="17" t="n">
        <v>45845</v>
      </c>
      <c r="E1318" t="inlineStr">
        <is>
          <t>khetika</t>
        </is>
      </c>
      <c r="F1318" t="inlineStr">
        <is>
          <t>$ 18 million</t>
        </is>
      </c>
      <c r="G1318" s="19" t="n"/>
      <c r="H1318" s="19" t="n">
        <v>18</v>
      </c>
      <c r="I1318" t="inlineStr">
        <is>
          <t>Series B</t>
        </is>
      </c>
      <c r="J1318" t="inlineStr"/>
      <c r="K1318" t="inlineStr">
        <is>
          <t>https://www.vccircle.com/healthyfood-brand-khetika-bags-18-mn-in-series-b-round</t>
        </is>
      </c>
    </row>
    <row r="1319">
      <c r="A1319" t="inlineStr">
        <is>
          <t>ENT-9470240</t>
        </is>
      </c>
      <c r="B1319" t="inlineStr">
        <is>
          <t>R250707-wiselife</t>
        </is>
      </c>
      <c r="C1319" t="inlineStr">
        <is>
          <t>Entrackr</t>
        </is>
      </c>
      <c r="D1319" s="17" t="n">
        <v>45845</v>
      </c>
      <c r="E1319" t="inlineStr">
        <is>
          <t>WiseLife</t>
        </is>
      </c>
      <c r="F1319" t="inlineStr">
        <is>
          <t>Rs 8 crore</t>
        </is>
      </c>
      <c r="G1319" s="19" t="n">
        <v>8</v>
      </c>
      <c r="H1319" s="19" t="n"/>
      <c r="I1319" t="inlineStr">
        <is>
          <t>Pre-Series A</t>
        </is>
      </c>
      <c r="J1319" t="inlineStr">
        <is>
          <t>Rukam Capital</t>
        </is>
      </c>
      <c r="K1319" t="inlineStr">
        <is>
          <t>https://entrackr.com/snippets/wiselife-raises-rs-8-cr-led-by-rukam-capital-in-pre-series-a-round-9470240</t>
        </is>
      </c>
    </row>
    <row r="1320">
      <c r="A1320" t="inlineStr">
        <is>
          <t>INC-20250712-12</t>
        </is>
      </c>
      <c r="B1320" t="inlineStr">
        <is>
          <t>R250707-wiselife</t>
        </is>
      </c>
      <c r="C1320" t="inlineStr">
        <is>
          <t>Inc42</t>
        </is>
      </c>
      <c r="D1320" s="17" t="n">
        <v>45846</v>
      </c>
      <c r="E1320" t="inlineStr">
        <is>
          <t>WiseLife</t>
        </is>
      </c>
      <c r="F1320" t="inlineStr">
        <is>
          <t>$932K</t>
        </is>
      </c>
      <c r="G1320" s="19" t="n"/>
      <c r="H1320" s="19" t="n">
        <v>0.9320000000000001</v>
      </c>
      <c r="I1320" t="inlineStr">
        <is>
          <t>Seed</t>
        </is>
      </c>
      <c r="J1320" t="inlineStr">
        <is>
          <t>Rukam Capital</t>
        </is>
      </c>
      <c r="K1320" t="inlineStr">
        <is>
          <t>https://inc42.com/buzz/from-infinity-fincorp-to-chai-bisket-indian-startups-raised-133-mn-this-week/</t>
        </is>
      </c>
    </row>
    <row r="1321">
      <c r="A1321" t="inlineStr">
        <is>
          <t>ENT-9473019</t>
        </is>
      </c>
      <c r="B1321" t="inlineStr">
        <is>
          <t>R250708-creditwisecapi</t>
        </is>
      </c>
      <c r="C1321" t="inlineStr">
        <is>
          <t>Entrackr</t>
        </is>
      </c>
      <c r="D1321" s="17" t="n">
        <v>45846</v>
      </c>
      <c r="E1321" t="inlineStr">
        <is>
          <t>Credit Wise Capital</t>
        </is>
      </c>
      <c r="F1321" t="inlineStr">
        <is>
          <t>Rs 120 crore</t>
        </is>
      </c>
      <c r="G1321" s="19" t="n">
        <v>120</v>
      </c>
      <c r="H1321" s="19" t="n"/>
      <c r="I1321" t="inlineStr">
        <is>
          <t>Undisclosed</t>
        </is>
      </c>
      <c r="J1321" t="inlineStr"/>
      <c r="K1321" t="inlineStr">
        <is>
          <t>https://entrackr.com/news/trident-growth-partners-leads-rs-200-cr-round-in-credit-wise-capital-9473019</t>
        </is>
      </c>
    </row>
    <row r="1322">
      <c r="A1322" t="inlineStr">
        <is>
          <t>VCC-47f2e8a8ce</t>
        </is>
      </c>
      <c r="B1322" t="inlineStr">
        <is>
          <t>R250708-creditwisecapi</t>
        </is>
      </c>
      <c r="C1322" t="inlineStr">
        <is>
          <t>VCCircle</t>
        </is>
      </c>
      <c r="D1322" s="17" t="n">
        <v>45846</v>
      </c>
      <c r="E1322" t="inlineStr">
        <is>
          <t>creditwise</t>
        </is>
      </c>
      <c r="F1322" t="inlineStr"/>
      <c r="G1322" s="19" t="n"/>
      <c r="H1322" s="19" t="n"/>
      <c r="I1322" t="inlineStr">
        <is>
          <t>Undisclosed</t>
        </is>
      </c>
      <c r="J1322" t="inlineStr"/>
      <c r="K1322" t="inlineStr">
        <is>
          <t>https://www.vccircle.com/tridentgrowth-partners-leads-creditwise-s-maiden-institutional-funding-round</t>
        </is>
      </c>
    </row>
    <row r="1323">
      <c r="A1323" t="inlineStr">
        <is>
          <t>ENT-9473366</t>
        </is>
      </c>
      <c r="B1323" t="inlineStr">
        <is>
          <t>R250708-linkrunner</t>
        </is>
      </c>
      <c r="C1323" t="inlineStr">
        <is>
          <t>Entrackr</t>
        </is>
      </c>
      <c r="D1323" s="17" t="n">
        <v>45846</v>
      </c>
      <c r="E1323" t="inlineStr">
        <is>
          <t>Linkrunner</t>
        </is>
      </c>
      <c r="F1323" t="inlineStr">
        <is>
          <t>Rs 5 crore</t>
        </is>
      </c>
      <c r="G1323" s="19" t="n">
        <v>5</v>
      </c>
      <c r="H1323" s="19" t="n"/>
      <c r="I1323" t="inlineStr">
        <is>
          <t>Pre-Seed</t>
        </is>
      </c>
      <c r="J1323" t="inlineStr">
        <is>
          <t>Titan Capital; Samir Sood; 2AM.VC</t>
        </is>
      </c>
      <c r="K1323" t="inlineStr">
        <is>
          <t>https://entrackr.com/snippets/linkrunner-raises-pre-seed-round-led-by-titan-capital-9473366</t>
        </is>
      </c>
    </row>
    <row r="1324">
      <c r="A1324" t="inlineStr">
        <is>
          <t>INC-20250712-13</t>
        </is>
      </c>
      <c r="B1324" t="inlineStr">
        <is>
          <t>R250708-linkrunner</t>
        </is>
      </c>
      <c r="C1324" t="inlineStr">
        <is>
          <t>Inc42</t>
        </is>
      </c>
      <c r="D1324" s="17" t="n">
        <v>45846</v>
      </c>
      <c r="E1324" t="inlineStr">
        <is>
          <t>Linkrunner</t>
        </is>
      </c>
      <c r="F1324" t="inlineStr">
        <is>
          <t>$560K</t>
        </is>
      </c>
      <c r="G1324" s="19" t="n"/>
      <c r="H1324" s="19" t="n">
        <v>0.5600000000000001</v>
      </c>
      <c r="I1324" t="inlineStr">
        <is>
          <t>Undisclosed</t>
        </is>
      </c>
      <c r="J1324" t="inlineStr">
        <is>
          <t>Titan Capital</t>
        </is>
      </c>
      <c r="K1324" t="inlineStr">
        <is>
          <t>https://inc42.com/buzz/from-infinity-fincorp-to-chai-bisket-indian-startups-raised-133-mn-this-week/</t>
        </is>
      </c>
    </row>
    <row r="1325">
      <c r="A1325" t="inlineStr">
        <is>
          <t>ENT-9472988</t>
        </is>
      </c>
      <c r="B1325" t="inlineStr">
        <is>
          <t>R250708-qoruz</t>
        </is>
      </c>
      <c r="C1325" t="inlineStr">
        <is>
          <t>Entrackr</t>
        </is>
      </c>
      <c r="D1325" s="17" t="n">
        <v>45846</v>
      </c>
      <c r="E1325" t="inlineStr">
        <is>
          <t>Qoruz</t>
        </is>
      </c>
      <c r="F1325" t="inlineStr">
        <is>
          <t>$500K</t>
        </is>
      </c>
      <c r="G1325" s="19" t="n"/>
      <c r="H1325" s="19" t="n">
        <v>0.5</v>
      </c>
      <c r="I1325" t="inlineStr">
        <is>
          <t>Pre-Series A</t>
        </is>
      </c>
      <c r="J1325" t="inlineStr"/>
      <c r="K1325" t="inlineStr">
        <is>
          <t>https://entrackr.com/snippets/qoruz-raises-500k-in-pre-series-a-round-led-by-the-chennai-angels-9472988</t>
        </is>
      </c>
    </row>
    <row r="1326">
      <c r="A1326" t="inlineStr">
        <is>
          <t>INC-20250712-17</t>
        </is>
      </c>
      <c r="B1326" t="inlineStr">
        <is>
          <t>R250708-qoruz</t>
        </is>
      </c>
      <c r="C1326" t="inlineStr">
        <is>
          <t>Inc42</t>
        </is>
      </c>
      <c r="D1326" s="17" t="n">
        <v>45846</v>
      </c>
      <c r="E1326" t="inlineStr">
        <is>
          <t>Qoruz</t>
        </is>
      </c>
      <c r="F1326" t="inlineStr"/>
      <c r="G1326" s="19" t="n"/>
      <c r="H1326" s="19" t="n"/>
      <c r="I1326" t="inlineStr">
        <is>
          <t>Pre-Series A</t>
        </is>
      </c>
      <c r="J1326" t="inlineStr"/>
      <c r="K1326" t="inlineStr">
        <is>
          <t>https://inc42.com/buzz/from-infinity-fincorp-to-chai-bisket-indian-startups-raised-133-mn-this-week/</t>
        </is>
      </c>
    </row>
    <row r="1327">
      <c r="A1327" t="inlineStr">
        <is>
          <t>ENT-9476695</t>
        </is>
      </c>
      <c r="B1327" t="inlineStr">
        <is>
          <t>R250709-belong</t>
        </is>
      </c>
      <c r="C1327" t="inlineStr">
        <is>
          <t>Entrackr</t>
        </is>
      </c>
      <c r="D1327" s="17" t="n">
        <v>45847</v>
      </c>
      <c r="E1327" t="inlineStr">
        <is>
          <t>Belong</t>
        </is>
      </c>
      <c r="F1327" t="inlineStr">
        <is>
          <t>$5 million</t>
        </is>
      </c>
      <c r="G1327" s="19" t="n"/>
      <c r="H1327" s="19" t="n">
        <v>5</v>
      </c>
      <c r="I1327" t="inlineStr">
        <is>
          <t>Seed</t>
        </is>
      </c>
      <c r="J1327" t="inlineStr">
        <is>
          <t>Elevation Capital</t>
        </is>
      </c>
      <c r="K1327" t="inlineStr">
        <is>
          <t>https://entrackr.com/snippets/nri-focused-fintech-startup-belong-raises-5-mn-led-by-elevation-capital-9476695</t>
        </is>
      </c>
    </row>
    <row r="1328">
      <c r="A1328" t="inlineStr">
        <is>
          <t>ET-122324099</t>
        </is>
      </c>
      <c r="B1328" t="inlineStr">
        <is>
          <t>R250709-belong</t>
        </is>
      </c>
      <c r="C1328" t="inlineStr">
        <is>
          <t>The Economic Times</t>
        </is>
      </c>
      <c r="D1328" s="17" t="n">
        <v>45847</v>
      </c>
      <c r="E1328" t="inlineStr">
        <is>
          <t>Belong</t>
        </is>
      </c>
      <c r="F1328" t="inlineStr">
        <is>
          <t>$5 million</t>
        </is>
      </c>
      <c r="G1328" s="19" t="n"/>
      <c r="H1328" s="19" t="n">
        <v>5</v>
      </c>
      <c r="I1328" t="inlineStr">
        <is>
          <t>Undisclosed</t>
        </is>
      </c>
      <c r="J1328" t="inlineStr">
        <is>
          <t>Elevation Capital</t>
        </is>
      </c>
      <c r="K1328" t="inlineStr">
        <is>
          <t>https://economictimes.indiatimes.com/tech/funding/nri-focussed-fintech-startup-belong-raises-5-million-in-round-led-by-elevation-capital/articleshow/122324099.cms</t>
        </is>
      </c>
    </row>
    <row r="1329">
      <c r="A1329" t="inlineStr">
        <is>
          <t>INC-20250712-06</t>
        </is>
      </c>
      <c r="B1329" t="inlineStr">
        <is>
          <t>R250709-belong</t>
        </is>
      </c>
      <c r="C1329" t="inlineStr">
        <is>
          <t>Inc42</t>
        </is>
      </c>
      <c r="D1329" s="17" t="n">
        <v>45847</v>
      </c>
      <c r="E1329" t="inlineStr">
        <is>
          <t>Belong</t>
        </is>
      </c>
      <c r="F1329" t="inlineStr">
        <is>
          <t>$5 Mn</t>
        </is>
      </c>
      <c r="G1329" s="19" t="n"/>
      <c r="H1329" s="19" t="n">
        <v>5</v>
      </c>
      <c r="I1329" t="inlineStr">
        <is>
          <t>Seed</t>
        </is>
      </c>
      <c r="J1329" t="inlineStr">
        <is>
          <t>Elevation Capital</t>
        </is>
      </c>
      <c r="K1329" t="inlineStr">
        <is>
          <t>https://inc42.com/buzz/from-infinity-fincorp-to-chai-bisket-indian-startups-raised-133-mn-this-week/</t>
        </is>
      </c>
    </row>
    <row r="1330">
      <c r="A1330" t="inlineStr">
        <is>
          <t>ENT-9477331</t>
        </is>
      </c>
      <c r="B1330" t="inlineStr">
        <is>
          <t>R250709-chaibisket</t>
        </is>
      </c>
      <c r="C1330" t="inlineStr">
        <is>
          <t>Entrackr</t>
        </is>
      </c>
      <c r="D1330" s="17" t="n">
        <v>45847</v>
      </c>
      <c r="E1330" t="inlineStr">
        <is>
          <t>Chai Bisket</t>
        </is>
      </c>
      <c r="F1330" t="inlineStr">
        <is>
          <t>$5 million</t>
        </is>
      </c>
      <c r="G1330" s="19" t="n"/>
      <c r="H1330" s="19" t="n">
        <v>5</v>
      </c>
      <c r="I1330" t="inlineStr">
        <is>
          <t>Seed</t>
        </is>
      </c>
      <c r="J1330" t="inlineStr">
        <is>
          <t>InfoEdge Ventures; General Catalyst</t>
        </is>
      </c>
      <c r="K1330" t="inlineStr">
        <is>
          <t>https://entrackr.com/snippets/chai-bisket-raises-5-mn-led-by-infoedge-ventures-and-general-catalyst-to-launch-chai-shots-9477331</t>
        </is>
      </c>
    </row>
    <row r="1331">
      <c r="A1331" t="inlineStr">
        <is>
          <t>ET-122337562</t>
        </is>
      </c>
      <c r="B1331" t="inlineStr">
        <is>
          <t>R250709-chaibisket</t>
        </is>
      </c>
      <c r="C1331" t="inlineStr">
        <is>
          <t>The Economic Times</t>
        </is>
      </c>
      <c r="D1331" s="17" t="n">
        <v>45847</v>
      </c>
      <c r="E1331" t="inlineStr">
        <is>
          <t>Chai Bisket</t>
        </is>
      </c>
      <c r="F1331" t="inlineStr">
        <is>
          <t>$5 million</t>
        </is>
      </c>
      <c r="G1331" s="19" t="n"/>
      <c r="H1331" s="19" t="n">
        <v>5</v>
      </c>
      <c r="I1331" t="inlineStr">
        <is>
          <t>Seed</t>
        </is>
      </c>
      <c r="J1331" t="inlineStr"/>
      <c r="K1331" t="inlineStr">
        <is>
          <t>https://economictimes.indiatimes.com/tech/funding/digital-content-company-chai-bisket-raises-5-million-to-launch-microdrama-app-chai-shots/articleshow/122337562.cms</t>
        </is>
      </c>
    </row>
    <row r="1332">
      <c r="A1332" t="inlineStr">
        <is>
          <t>INC-20250712-05</t>
        </is>
      </c>
      <c r="B1332" t="inlineStr">
        <is>
          <t>R250709-chaibisket</t>
        </is>
      </c>
      <c r="C1332" t="inlineStr">
        <is>
          <t>Inc42</t>
        </is>
      </c>
      <c r="D1332" s="17" t="n">
        <v>45847</v>
      </c>
      <c r="E1332" t="inlineStr">
        <is>
          <t>Chai Bisket</t>
        </is>
      </c>
      <c r="F1332" t="inlineStr">
        <is>
          <t>$5 Mn</t>
        </is>
      </c>
      <c r="G1332" s="19" t="n"/>
      <c r="H1332" s="19" t="n">
        <v>5</v>
      </c>
      <c r="I1332" t="inlineStr">
        <is>
          <t>Seed</t>
        </is>
      </c>
      <c r="J1332" t="inlineStr">
        <is>
          <t>InfoEdge Ventures; General Catalyst</t>
        </is>
      </c>
      <c r="K1332" t="inlineStr">
        <is>
          <t>https://inc42.com/buzz/from-infinity-fincorp-to-chai-bisket-indian-startups-raised-133-mn-this-week/</t>
        </is>
      </c>
    </row>
    <row r="1333">
      <c r="A1333" t="inlineStr">
        <is>
          <t>ENT-9477028</t>
        </is>
      </c>
      <c r="B1333" t="inlineStr">
        <is>
          <t>R250709-enercomp</t>
        </is>
      </c>
      <c r="C1333" t="inlineStr">
        <is>
          <t>Entrackr</t>
        </is>
      </c>
      <c r="D1333" s="17" t="n">
        <v>45847</v>
      </c>
      <c r="E1333" t="inlineStr">
        <is>
          <t>Enercomp</t>
        </is>
      </c>
      <c r="F1333" t="inlineStr">
        <is>
          <t>Rs 2 crore</t>
        </is>
      </c>
      <c r="G1333" s="19" t="n">
        <v>2</v>
      </c>
      <c r="H1333" s="19" t="n"/>
      <c r="I1333" t="inlineStr">
        <is>
          <t>Bridge</t>
        </is>
      </c>
      <c r="J1333" t="inlineStr"/>
      <c r="K1333" t="inlineStr">
        <is>
          <t>https://entrackr.com/snippets/drone-tech-startup-enercomp-raises-rs-2-cr-in-bridge-round-9477028</t>
        </is>
      </c>
    </row>
    <row r="1334">
      <c r="A1334" t="inlineStr">
        <is>
          <t>INC-20250719-18</t>
        </is>
      </c>
      <c r="B1334" t="inlineStr">
        <is>
          <t>R250709-enercomp</t>
        </is>
      </c>
      <c r="C1334" t="inlineStr">
        <is>
          <t>Inc42</t>
        </is>
      </c>
      <c r="D1334" s="17" t="n">
        <v>45847</v>
      </c>
      <c r="E1334" t="inlineStr">
        <is>
          <t>Enercomp</t>
        </is>
      </c>
      <c r="F1334" t="inlineStr">
        <is>
          <t>$232K</t>
        </is>
      </c>
      <c r="G1334" s="19" t="n"/>
      <c r="H1334" s="19" t="n">
        <v>0.232</v>
      </c>
      <c r="I1334" t="inlineStr">
        <is>
          <t>Undisclosed</t>
        </is>
      </c>
      <c r="J1334" t="inlineStr"/>
      <c r="K1334" t="inlineStr">
        <is>
          <t>https://inc42.com/buzz/from-qpiai-to-knot-indian-startups-raised-80-mn-this-week/</t>
        </is>
      </c>
    </row>
    <row r="1335">
      <c r="A1335" t="inlineStr">
        <is>
          <t>ENT-9477236</t>
        </is>
      </c>
      <c r="B1335" t="inlineStr">
        <is>
          <t>R250709-greenaero</t>
        </is>
      </c>
      <c r="C1335" t="inlineStr">
        <is>
          <t>Entrackr</t>
        </is>
      </c>
      <c r="D1335" s="17" t="n">
        <v>45847</v>
      </c>
      <c r="E1335" t="inlineStr">
        <is>
          <t>Green Aero</t>
        </is>
      </c>
      <c r="F1335" t="inlineStr">
        <is>
          <t>$1.6 million</t>
        </is>
      </c>
      <c r="G1335" s="19" t="n"/>
      <c r="H1335" s="19" t="n">
        <v>1.6</v>
      </c>
      <c r="I1335" t="inlineStr">
        <is>
          <t>Seed</t>
        </is>
      </c>
      <c r="J1335" t="inlineStr"/>
      <c r="K1335" t="inlineStr">
        <is>
          <t>https://entrackr.com/snippets/green-aero-raises-16-mn-in-seed-round-led-by-pi-ventures-9477236</t>
        </is>
      </c>
    </row>
    <row r="1336">
      <c r="A1336" t="inlineStr">
        <is>
          <t>ET-122324030</t>
        </is>
      </c>
      <c r="B1336" t="inlineStr">
        <is>
          <t>R250709-greenaero</t>
        </is>
      </c>
      <c r="C1336" t="inlineStr">
        <is>
          <t>The Economic Times</t>
        </is>
      </c>
      <c r="D1336" s="17" t="n">
        <v>45847</v>
      </c>
      <c r="E1336" t="inlineStr">
        <is>
          <t>Green Aero</t>
        </is>
      </c>
      <c r="F1336" t="inlineStr">
        <is>
          <t>$1.6 million</t>
        </is>
      </c>
      <c r="G1336" s="19" t="n"/>
      <c r="H1336" s="19" t="n">
        <v>1.6</v>
      </c>
      <c r="I1336" t="inlineStr">
        <is>
          <t>Seed</t>
        </is>
      </c>
      <c r="J1336" t="inlineStr"/>
      <c r="K1336" t="inlineStr">
        <is>
          <t>https://economictimes.indiatimes.com/tech/funding/iit-delhi-incubated-deeptech-startup-green-aero-secures-1-6-million-from-pi-ventures/articleshow/122324030.cms</t>
        </is>
      </c>
    </row>
    <row r="1337">
      <c r="A1337" t="inlineStr">
        <is>
          <t>INC-20250712-10</t>
        </is>
      </c>
      <c r="B1337" t="inlineStr">
        <is>
          <t>R250709-greenaero</t>
        </is>
      </c>
      <c r="C1337" t="inlineStr">
        <is>
          <t>Inc42</t>
        </is>
      </c>
      <c r="D1337" s="17" t="n">
        <v>45847</v>
      </c>
      <c r="E1337" t="inlineStr">
        <is>
          <t>Green Aero</t>
        </is>
      </c>
      <c r="F1337" t="inlineStr">
        <is>
          <t>$1.6 Mn</t>
        </is>
      </c>
      <c r="G1337" s="19" t="n"/>
      <c r="H1337" s="19" t="n">
        <v>1.6</v>
      </c>
      <c r="I1337" t="inlineStr">
        <is>
          <t>Seed</t>
        </is>
      </c>
      <c r="J1337" t="inlineStr"/>
      <c r="K1337" t="inlineStr">
        <is>
          <t>https://inc42.com/buzz/from-infinity-fincorp-to-chai-bisket-indian-startups-raised-133-mn-this-week/</t>
        </is>
      </c>
    </row>
    <row r="1338">
      <c r="A1338" t="inlineStr">
        <is>
          <t>INC-20250712-15</t>
        </is>
      </c>
      <c r="B1338" t="inlineStr">
        <is>
          <t>R250709-jehaerospace</t>
        </is>
      </c>
      <c r="C1338" t="inlineStr">
        <is>
          <t>Inc42</t>
        </is>
      </c>
      <c r="D1338" s="17" t="n">
        <v>45847</v>
      </c>
      <c r="E1338" t="inlineStr">
        <is>
          <t>Jeh Aerospace</t>
        </is>
      </c>
      <c r="F1338" t="inlineStr"/>
      <c r="G1338" s="19" t="n"/>
      <c r="H1338" s="19" t="n"/>
      <c r="I1338" t="inlineStr">
        <is>
          <t>Undisclosed</t>
        </is>
      </c>
      <c r="J1338" t="inlineStr">
        <is>
          <t>Indigo Ventures</t>
        </is>
      </c>
      <c r="K1338" t="inlineStr">
        <is>
          <t>https://inc42.com/buzz/from-infinity-fincorp-to-chai-bisket-indian-startups-raised-133-mn-this-week/</t>
        </is>
      </c>
    </row>
    <row r="1339">
      <c r="A1339" t="inlineStr">
        <is>
          <t>INC-20250712-16</t>
        </is>
      </c>
      <c r="B1339" t="inlineStr">
        <is>
          <t>R250709-ldotr</t>
        </is>
      </c>
      <c r="C1339" t="inlineStr">
        <is>
          <t>Inc42</t>
        </is>
      </c>
      <c r="D1339" s="17" t="n">
        <v>45847</v>
      </c>
      <c r="E1339" t="inlineStr">
        <is>
          <t>LdotR</t>
        </is>
      </c>
      <c r="F1339" t="inlineStr"/>
      <c r="G1339" s="19" t="n"/>
      <c r="H1339" s="19" t="n"/>
      <c r="I1339" t="inlineStr">
        <is>
          <t>Undisclosed</t>
        </is>
      </c>
      <c r="J1339" t="inlineStr">
        <is>
          <t>Basil Moftah; Mark Garlinghouse</t>
        </is>
      </c>
      <c r="K1339" t="inlineStr">
        <is>
          <t>https://inc42.com/buzz/from-infinity-fincorp-to-chai-bisket-indian-startups-raised-133-mn-this-week/</t>
        </is>
      </c>
    </row>
    <row r="1340">
      <c r="A1340" t="inlineStr">
        <is>
          <t>ENT-9477464</t>
        </is>
      </c>
      <c r="B1340" t="inlineStr">
        <is>
          <t>R250709-varthana</t>
        </is>
      </c>
      <c r="C1340" t="inlineStr">
        <is>
          <t>Entrackr</t>
        </is>
      </c>
      <c r="D1340" s="17" t="n">
        <v>45847</v>
      </c>
      <c r="E1340" t="inlineStr">
        <is>
          <t>Varthana</t>
        </is>
      </c>
      <c r="F1340" t="inlineStr">
        <is>
          <t>Rs 159 crore</t>
        </is>
      </c>
      <c r="G1340" s="19" t="n">
        <v>159</v>
      </c>
      <c r="H1340" s="19" t="n"/>
      <c r="I1340" t="inlineStr">
        <is>
          <t>Debt</t>
        </is>
      </c>
      <c r="J1340" t="inlineStr"/>
      <c r="K1340" t="inlineStr">
        <is>
          <t>https://entrackr.com/snippets/nbfc-varthana-secures-rs-159-cr-in-debt-funding-9477464</t>
        </is>
      </c>
    </row>
    <row r="1341">
      <c r="A1341" t="inlineStr">
        <is>
          <t>INC-20250712-02</t>
        </is>
      </c>
      <c r="B1341" t="inlineStr">
        <is>
          <t>R250709-varthana</t>
        </is>
      </c>
      <c r="C1341" t="inlineStr">
        <is>
          <t>Inc42</t>
        </is>
      </c>
      <c r="D1341" s="17" t="n">
        <v>45847</v>
      </c>
      <c r="E1341" t="inlineStr">
        <is>
          <t>Varthana</t>
        </is>
      </c>
      <c r="F1341" t="inlineStr">
        <is>
          <t>$18.6 Mn</t>
        </is>
      </c>
      <c r="G1341" s="19" t="n"/>
      <c r="H1341" s="19" t="n">
        <v>18.6</v>
      </c>
      <c r="I1341" t="inlineStr">
        <is>
          <t>Debt</t>
        </is>
      </c>
      <c r="J1341" t="inlineStr"/>
      <c r="K1341" t="inlineStr">
        <is>
          <t>https://inc42.com/buzz/from-infinity-fincorp-to-chai-bisket-indian-startups-raised-133-mn-this-week/</t>
        </is>
      </c>
    </row>
    <row r="1342">
      <c r="A1342" t="inlineStr">
        <is>
          <t>VCC-e4ae6844f4</t>
        </is>
      </c>
      <c r="B1342" t="inlineStr">
        <is>
          <t>R250709-varthana</t>
        </is>
      </c>
      <c r="C1342" t="inlineStr">
        <is>
          <t>VCCircle</t>
        </is>
      </c>
      <c r="D1342" s="17" t="n">
        <v>45847</v>
      </c>
      <c r="E1342" t="inlineStr">
        <is>
          <t>chryscapitalbacked varthana finance</t>
        </is>
      </c>
      <c r="F1342" t="inlineStr"/>
      <c r="G1342" s="19" t="n"/>
      <c r="H1342" s="19" t="n"/>
      <c r="I1342" t="inlineStr">
        <is>
          <t>Debt</t>
        </is>
      </c>
      <c r="J1342" t="inlineStr"/>
      <c r="K1342" t="inlineStr">
        <is>
          <t>https://www.vccircle.com/chryscapitalbacked-varthana-finance-raises-debt-from-blueearth-capital-others</t>
        </is>
      </c>
    </row>
    <row r="1343">
      <c r="A1343" t="inlineStr">
        <is>
          <t>ET-122364309</t>
        </is>
      </c>
      <c r="B1343" t="inlineStr">
        <is>
          <t>R250710-arteriatechnol</t>
        </is>
      </c>
      <c r="C1343" t="inlineStr">
        <is>
          <t>The Economic Times</t>
        </is>
      </c>
      <c r="D1343" s="17" t="n">
        <v>45848</v>
      </c>
      <c r="E1343" t="inlineStr">
        <is>
          <t>Arteria Technologies</t>
        </is>
      </c>
      <c r="F1343" t="inlineStr">
        <is>
          <t>Rs 100 crore</t>
        </is>
      </c>
      <c r="G1343" s="19" t="n">
        <v>100</v>
      </c>
      <c r="H1343" s="19" t="n"/>
      <c r="I1343" t="inlineStr">
        <is>
          <t>Undisclosed</t>
        </is>
      </c>
      <c r="J1343" t="inlineStr"/>
      <c r="K1343" t="inlineStr">
        <is>
          <t>https://economictimes.indiatimes.com/tech/funding/saas-fintech-platform-arteria-technologies-raises-rs-100-crore-funding-from-icici-venture/articleshow/122364309.cms</t>
        </is>
      </c>
    </row>
    <row r="1344">
      <c r="A1344" t="inlineStr">
        <is>
          <t>VCC-b6547bd457</t>
        </is>
      </c>
      <c r="B1344" t="inlineStr">
        <is>
          <t>R250710-arteriatechnol</t>
        </is>
      </c>
      <c r="C1344" t="inlineStr">
        <is>
          <t>VCCircle</t>
        </is>
      </c>
      <c r="D1344" s="17" t="n">
        <v>45848</v>
      </c>
      <c r="E1344" t="inlineStr">
        <is>
          <t>arteria technologies series b round</t>
        </is>
      </c>
      <c r="F1344" t="inlineStr">
        <is>
          <t>$ 12 million</t>
        </is>
      </c>
      <c r="G1344" s="19" t="n"/>
      <c r="H1344" s="19" t="n">
        <v>12</v>
      </c>
      <c r="I1344" t="inlineStr">
        <is>
          <t>Series B</t>
        </is>
      </c>
      <c r="J1344" t="inlineStr"/>
      <c r="K1344" t="inlineStr">
        <is>
          <t>https://www.vccircle.com/iciciventure-invests-12-mn-in-arteria-technologies-series-b-round</t>
        </is>
      </c>
    </row>
    <row r="1345">
      <c r="A1345" t="inlineStr">
        <is>
          <t>ENT-9480496</t>
        </is>
      </c>
      <c r="B1345" t="inlineStr">
        <is>
          <t>R250710-cleanfanatics</t>
        </is>
      </c>
      <c r="C1345" t="inlineStr">
        <is>
          <t>Entrackr</t>
        </is>
      </c>
      <c r="D1345" s="17" t="n">
        <v>45848</v>
      </c>
      <c r="E1345" t="inlineStr">
        <is>
          <t>Clean Fanatics</t>
        </is>
      </c>
      <c r="F1345" t="inlineStr">
        <is>
          <t>Rs 17 crore</t>
        </is>
      </c>
      <c r="G1345" s="19" t="n">
        <v>17</v>
      </c>
      <c r="H1345" s="19" t="n">
        <v>2</v>
      </c>
      <c r="I1345" t="inlineStr">
        <is>
          <t>Seed</t>
        </is>
      </c>
      <c r="J1345" t="inlineStr">
        <is>
          <t>Inflection Point Ventures</t>
        </is>
      </c>
      <c r="K1345" t="inlineStr">
        <is>
          <t>https://entrackr.com/snippets/clean-fanatics-raises-2-mn-in-seed-round-led-by-inflection-point-ventures-9480496</t>
        </is>
      </c>
    </row>
    <row r="1346">
      <c r="A1346" t="inlineStr">
        <is>
          <t>INC-20250712-07</t>
        </is>
      </c>
      <c r="B1346" t="inlineStr">
        <is>
          <t>R250710-cleanfanatics</t>
        </is>
      </c>
      <c r="C1346" t="inlineStr">
        <is>
          <t>Inc42</t>
        </is>
      </c>
      <c r="D1346" s="17" t="n">
        <v>45848</v>
      </c>
      <c r="E1346" t="inlineStr">
        <is>
          <t>Clean Fanatics</t>
        </is>
      </c>
      <c r="F1346" t="inlineStr">
        <is>
          <t>$2 Mn</t>
        </is>
      </c>
      <c r="G1346" s="19" t="n"/>
      <c r="H1346" s="19" t="n">
        <v>2</v>
      </c>
      <c r="I1346" t="inlineStr">
        <is>
          <t>Seed</t>
        </is>
      </c>
      <c r="J1346" t="inlineStr">
        <is>
          <t>Inflection Point Ventures</t>
        </is>
      </c>
      <c r="K1346" t="inlineStr">
        <is>
          <t>https://inc42.com/buzz/from-infinity-fincorp-to-chai-bisket-indian-startups-raised-133-mn-this-week/</t>
        </is>
      </c>
    </row>
    <row r="1347">
      <c r="A1347" t="inlineStr">
        <is>
          <t>INC-20250712-01</t>
        </is>
      </c>
      <c r="B1347" t="inlineStr">
        <is>
          <t>R250710-infinityfincor</t>
        </is>
      </c>
      <c r="C1347" t="inlineStr">
        <is>
          <t>Inc42</t>
        </is>
      </c>
      <c r="D1347" s="17" t="n">
        <v>45848</v>
      </c>
      <c r="E1347" t="inlineStr">
        <is>
          <t>Infinity Fincorp</t>
        </is>
      </c>
      <c r="F1347" t="inlineStr">
        <is>
          <t>$70 Mn</t>
        </is>
      </c>
      <c r="G1347" s="19" t="n"/>
      <c r="H1347" s="19" t="n">
        <v>70</v>
      </c>
      <c r="I1347" t="inlineStr">
        <is>
          <t>Undisclosed</t>
        </is>
      </c>
      <c r="J1347" t="inlineStr">
        <is>
          <t>Partners Group</t>
        </is>
      </c>
      <c r="K1347" t="inlineStr">
        <is>
          <t>https://inc42.com/buzz/from-infinity-fincorp-to-chai-bisket-indian-startups-raised-133-mn-this-week/</t>
        </is>
      </c>
    </row>
    <row r="1348">
      <c r="A1348" t="inlineStr">
        <is>
          <t>INC-20250712-09</t>
        </is>
      </c>
      <c r="B1348" t="inlineStr">
        <is>
          <t>R250711-gramik</t>
        </is>
      </c>
      <c r="C1348" t="inlineStr">
        <is>
          <t>Inc42</t>
        </is>
      </c>
      <c r="D1348" s="17" t="n">
        <v>45849</v>
      </c>
      <c r="E1348" t="inlineStr">
        <is>
          <t>Gramik</t>
        </is>
      </c>
      <c r="F1348" t="inlineStr">
        <is>
          <t>$2 Mn</t>
        </is>
      </c>
      <c r="G1348" s="19" t="n"/>
      <c r="H1348" s="19" t="n">
        <v>2</v>
      </c>
      <c r="I1348" t="inlineStr">
        <is>
          <t>Undisclosed</t>
        </is>
      </c>
      <c r="J1348" t="inlineStr"/>
      <c r="K1348" t="inlineStr">
        <is>
          <t>https://inc42.com/buzz/from-infinity-fincorp-to-chai-bisket-indian-startups-raised-133-mn-this-week/</t>
        </is>
      </c>
    </row>
    <row r="1349">
      <c r="A1349" t="inlineStr">
        <is>
          <t>INC-20250719-07</t>
        </is>
      </c>
      <c r="B1349" t="inlineStr">
        <is>
          <t>R250712-vaaree</t>
        </is>
      </c>
      <c r="C1349" t="inlineStr">
        <is>
          <t>Inc42</t>
        </is>
      </c>
      <c r="D1349" s="17" t="n">
        <v>45850</v>
      </c>
      <c r="E1349" t="inlineStr">
        <is>
          <t>Vaaree</t>
        </is>
      </c>
      <c r="F1349" t="inlineStr">
        <is>
          <t>$2.1 Mn</t>
        </is>
      </c>
      <c r="G1349" s="19" t="n"/>
      <c r="H1349" s="19" t="n">
        <v>2.1</v>
      </c>
      <c r="I1349" t="inlineStr">
        <is>
          <t>Pre-Series A</t>
        </is>
      </c>
      <c r="J1349" t="inlineStr">
        <is>
          <t>PeerCapital; Peak XV Surge</t>
        </is>
      </c>
      <c r="K1349" t="inlineStr">
        <is>
          <t>https://inc42.com/buzz/from-qpiai-to-knot-indian-startups-raised-80-mn-this-week/</t>
        </is>
      </c>
    </row>
    <row r="1350">
      <c r="A1350" t="inlineStr">
        <is>
          <t>ET-122521569</t>
        </is>
      </c>
      <c r="B1350" t="inlineStr">
        <is>
          <t>R250712-vaaree</t>
        </is>
      </c>
      <c r="C1350" t="inlineStr">
        <is>
          <t>The Economic Times</t>
        </is>
      </c>
      <c r="D1350" s="17" t="n">
        <v>45853</v>
      </c>
      <c r="E1350" t="inlineStr">
        <is>
          <t>Vaaree</t>
        </is>
      </c>
      <c r="F1350" t="inlineStr">
        <is>
          <t>$4.6 million</t>
        </is>
      </c>
      <c r="G1350" s="19" t="n"/>
      <c r="H1350" s="19" t="n">
        <v>4.6</v>
      </c>
      <c r="I1350" t="inlineStr">
        <is>
          <t>Undisclosed</t>
        </is>
      </c>
      <c r="J1350" t="inlineStr">
        <is>
          <t>Peer Capital</t>
        </is>
      </c>
      <c r="K1350" t="inlineStr">
        <is>
          <t>https://economictimes.indiatimes.com/tech/funding/home-decor-platform-vaaree-raises-4-6-million-in-round-led-by-peercapital/articleshow/122521569.cms</t>
        </is>
      </c>
    </row>
    <row r="1351">
      <c r="A1351" t="inlineStr">
        <is>
          <t>ENT-9496114</t>
        </is>
      </c>
      <c r="B1351" t="inlineStr">
        <is>
          <t>R250714-gibran</t>
        </is>
      </c>
      <c r="C1351" t="inlineStr">
        <is>
          <t>Entrackr</t>
        </is>
      </c>
      <c r="D1351" s="17" t="n">
        <v>45852</v>
      </c>
      <c r="E1351" t="inlineStr">
        <is>
          <t>Gibran</t>
        </is>
      </c>
      <c r="F1351" t="inlineStr">
        <is>
          <t>$2.6 million</t>
        </is>
      </c>
      <c r="G1351" s="19" t="n"/>
      <c r="H1351" s="19" t="n">
        <v>2.6</v>
      </c>
      <c r="I1351" t="inlineStr">
        <is>
          <t>Seed</t>
        </is>
      </c>
      <c r="J1351" t="inlineStr"/>
      <c r="K1351" t="inlineStr">
        <is>
          <t>https://entrackr.com/snippets/gibran-raises-26-mn-in-seed-round-from-together-fund-9496114</t>
        </is>
      </c>
    </row>
    <row r="1352">
      <c r="A1352" t="inlineStr">
        <is>
          <t>ET-122437864</t>
        </is>
      </c>
      <c r="B1352" t="inlineStr">
        <is>
          <t>R250714-gibran</t>
        </is>
      </c>
      <c r="C1352" t="inlineStr">
        <is>
          <t>The Economic Times</t>
        </is>
      </c>
      <c r="D1352" s="17" t="n">
        <v>45852</v>
      </c>
      <c r="E1352" t="inlineStr">
        <is>
          <t>Gibran</t>
        </is>
      </c>
      <c r="F1352" t="inlineStr">
        <is>
          <t>$2.6 million</t>
        </is>
      </c>
      <c r="G1352" s="19" t="n"/>
      <c r="H1352" s="19" t="n">
        <v>2.6</v>
      </c>
      <c r="I1352" t="inlineStr">
        <is>
          <t>Seed</t>
        </is>
      </c>
      <c r="J1352" t="inlineStr"/>
      <c r="K1352" t="inlineStr">
        <is>
          <t>https://economictimes.indiatimes.com/tech/funding/together-fund-leads-2-6-million-round-in-ai-research-startup-gibran/articleshow/122437864.cms</t>
        </is>
      </c>
    </row>
    <row r="1353">
      <c r="A1353" t="inlineStr">
        <is>
          <t>INC-20250719-15</t>
        </is>
      </c>
      <c r="B1353" t="inlineStr">
        <is>
          <t>R250714-unibose</t>
        </is>
      </c>
      <c r="C1353" t="inlineStr">
        <is>
          <t>Inc42</t>
        </is>
      </c>
      <c r="D1353" s="17" t="n">
        <v>45852</v>
      </c>
      <c r="E1353" t="inlineStr">
        <is>
          <t>Unibose</t>
        </is>
      </c>
      <c r="F1353" t="inlineStr">
        <is>
          <t>$639K</t>
        </is>
      </c>
      <c r="G1353" s="19" t="n"/>
      <c r="H1353" s="19" t="n">
        <v>0.639</v>
      </c>
      <c r="I1353" t="inlineStr">
        <is>
          <t>Pre-Series A</t>
        </is>
      </c>
      <c r="J1353" t="inlineStr"/>
      <c r="K1353" t="inlineStr">
        <is>
          <t>https://inc42.com/buzz/from-qpiai-to-knot-indian-startups-raised-80-mn-this-week/</t>
        </is>
      </c>
    </row>
    <row r="1354">
      <c r="A1354" t="inlineStr">
        <is>
          <t>INC-20250719-19</t>
        </is>
      </c>
      <c r="B1354" t="inlineStr">
        <is>
          <t>R250715-cosmoss</t>
        </is>
      </c>
      <c r="C1354" t="inlineStr">
        <is>
          <t>Inc42</t>
        </is>
      </c>
      <c r="D1354" s="17" t="n">
        <v>45853</v>
      </c>
      <c r="E1354" t="inlineStr">
        <is>
          <t>CosMoss</t>
        </is>
      </c>
      <c r="F1354" t="inlineStr"/>
      <c r="G1354" s="19" t="n"/>
      <c r="H1354" s="19" t="n"/>
      <c r="I1354" t="inlineStr">
        <is>
          <t>Seed</t>
        </is>
      </c>
      <c r="J1354" t="inlineStr">
        <is>
          <t>Malika Sadani</t>
        </is>
      </c>
      <c r="K1354" t="inlineStr">
        <is>
          <t>https://inc42.com/buzz/from-qpiai-to-knot-indian-startups-raised-80-mn-this-week/</t>
        </is>
      </c>
    </row>
    <row r="1355">
      <c r="A1355" t="inlineStr">
        <is>
          <t>ENT-9498560</t>
        </is>
      </c>
      <c r="B1355" t="inlineStr">
        <is>
          <t>R250715-dial4242</t>
        </is>
      </c>
      <c r="C1355" t="inlineStr">
        <is>
          <t>Entrackr</t>
        </is>
      </c>
      <c r="D1355" s="17" t="n">
        <v>45853</v>
      </c>
      <c r="E1355" t="inlineStr">
        <is>
          <t>Dial4242</t>
        </is>
      </c>
      <c r="F1355" t="inlineStr">
        <is>
          <t>Rs 9 crore</t>
        </is>
      </c>
      <c r="G1355" s="19" t="n">
        <v>9</v>
      </c>
      <c r="H1355" s="19" t="n">
        <v>1.04</v>
      </c>
      <c r="I1355" t="inlineStr">
        <is>
          <t>Pre-Series A</t>
        </is>
      </c>
      <c r="J1355" t="inlineStr">
        <is>
          <t>IAN Group</t>
        </is>
      </c>
      <c r="K1355" t="inlineStr">
        <is>
          <t>https://entrackr.com/snippets/ambulance-startup-dial4242-raises-rs-9-cr-in-pre-series-a-round-9498560</t>
        </is>
      </c>
    </row>
    <row r="1356">
      <c r="A1356" t="inlineStr">
        <is>
          <t>INC-20250719-12</t>
        </is>
      </c>
      <c r="B1356" t="inlineStr">
        <is>
          <t>R250715-dial4242</t>
        </is>
      </c>
      <c r="C1356" t="inlineStr">
        <is>
          <t>Inc42</t>
        </is>
      </c>
      <c r="D1356" s="17" t="n">
        <v>45853</v>
      </c>
      <c r="E1356" t="inlineStr">
        <is>
          <t>Dial4242</t>
        </is>
      </c>
      <c r="F1356" t="inlineStr">
        <is>
          <t>$1.1 Mn</t>
        </is>
      </c>
      <c r="G1356" s="19" t="n"/>
      <c r="H1356" s="19" t="n">
        <v>1.1</v>
      </c>
      <c r="I1356" t="inlineStr">
        <is>
          <t>Pre-Series A</t>
        </is>
      </c>
      <c r="J1356" t="inlineStr">
        <is>
          <t>IAN Group</t>
        </is>
      </c>
      <c r="K1356" t="inlineStr">
        <is>
          <t>https://inc42.com/buzz/from-qpiai-to-knot-indian-startups-raised-80-mn-this-week/</t>
        </is>
      </c>
    </row>
    <row r="1357">
      <c r="A1357" t="inlineStr">
        <is>
          <t>ET-122455396</t>
        </is>
      </c>
      <c r="B1357" t="inlineStr">
        <is>
          <t>R250715-fractal</t>
        </is>
      </c>
      <c r="C1357" t="inlineStr">
        <is>
          <t>The Economic Times</t>
        </is>
      </c>
      <c r="D1357" s="17" t="n">
        <v>45853</v>
      </c>
      <c r="E1357" t="inlineStr">
        <is>
          <t>Fractal</t>
        </is>
      </c>
      <c r="F1357" t="inlineStr">
        <is>
          <t>$170 million</t>
        </is>
      </c>
      <c r="G1357" s="19" t="n">
        <v>1461</v>
      </c>
      <c r="H1357" s="19" t="n">
        <v>170</v>
      </c>
      <c r="I1357" t="inlineStr">
        <is>
          <t>Undisclosed</t>
        </is>
      </c>
      <c r="J1357" t="inlineStr"/>
      <c r="K1357" t="inlineStr">
        <is>
          <t>https://economictimes.indiatimes.com/tech/funding/ipo-bound-ai-company-fractal-bags-170-million-at-2-44-billion-valuation/articleshow/122455396.cms</t>
        </is>
      </c>
    </row>
    <row r="1358">
      <c r="A1358" t="inlineStr">
        <is>
          <t>ENT-9500014</t>
        </is>
      </c>
      <c r="B1358" t="inlineStr">
        <is>
          <t>R250715-navanaai</t>
        </is>
      </c>
      <c r="C1358" t="inlineStr">
        <is>
          <t>Entrackr</t>
        </is>
      </c>
      <c r="D1358" s="17" t="n">
        <v>45853</v>
      </c>
      <c r="E1358" t="inlineStr">
        <is>
          <t>Navana.ai</t>
        </is>
      </c>
      <c r="F1358" t="inlineStr">
        <is>
          <t>Rs 7 crore</t>
        </is>
      </c>
      <c r="G1358" s="19" t="n">
        <v>7</v>
      </c>
      <c r="H1358" s="19" t="n">
        <v>0.8</v>
      </c>
      <c r="I1358" t="inlineStr">
        <is>
          <t>Pre-Series A</t>
        </is>
      </c>
      <c r="J1358" t="inlineStr">
        <is>
          <t>Antler India</t>
        </is>
      </c>
      <c r="K1358" t="inlineStr">
        <is>
          <t>https://entrackr.com/snippets/voice-ai-startup-navanaai-raises-rs-7-cr-in-pre-series-a-round-9500014</t>
        </is>
      </c>
    </row>
    <row r="1359">
      <c r="A1359" t="inlineStr">
        <is>
          <t>ET-122516906</t>
        </is>
      </c>
      <c r="B1359" t="inlineStr">
        <is>
          <t>R250715-navanaai</t>
        </is>
      </c>
      <c r="C1359" t="inlineStr">
        <is>
          <t>The Economic Times</t>
        </is>
      </c>
      <c r="D1359" s="17" t="n">
        <v>45853</v>
      </c>
      <c r="E1359" t="inlineStr">
        <is>
          <t>Navana AI</t>
        </is>
      </c>
      <c r="F1359" t="inlineStr">
        <is>
          <t>Rs 7 crore</t>
        </is>
      </c>
      <c r="G1359" s="19" t="n">
        <v>7</v>
      </c>
      <c r="H1359" s="19" t="n"/>
      <c r="I1359" t="inlineStr">
        <is>
          <t>Pre-Series A</t>
        </is>
      </c>
      <c r="J1359" t="inlineStr">
        <is>
          <t>Antler India; Ajay Agarwal; Ronnie Screwvala; Sandeep Singhal</t>
        </is>
      </c>
      <c r="K1359" t="inlineStr">
        <is>
          <t>https://economictimes.indiatimes.com/tech/funding/voice-ai-startup-navana-ai-raises-rs-7-crore-in-round-led-by-antler-india/articleshow/122516906.cms</t>
        </is>
      </c>
    </row>
    <row r="1360">
      <c r="A1360" t="inlineStr">
        <is>
          <t>INC-20250719-14</t>
        </is>
      </c>
      <c r="B1360" t="inlineStr">
        <is>
          <t>R250715-navanaai</t>
        </is>
      </c>
      <c r="C1360" t="inlineStr">
        <is>
          <t>Inc42</t>
        </is>
      </c>
      <c r="D1360" s="17" t="n">
        <v>45853</v>
      </c>
      <c r="E1360" t="inlineStr">
        <is>
          <t>Navana.ai</t>
        </is>
      </c>
      <c r="F1360" t="inlineStr">
        <is>
          <t>$812K</t>
        </is>
      </c>
      <c r="G1360" s="19" t="n"/>
      <c r="H1360" s="19" t="n">
        <v>0.8120000000000001</v>
      </c>
      <c r="I1360" t="inlineStr">
        <is>
          <t>Pre-Series A</t>
        </is>
      </c>
      <c r="J1360" t="inlineStr">
        <is>
          <t>Antler India</t>
        </is>
      </c>
      <c r="K1360" t="inlineStr">
        <is>
          <t>https://inc42.com/buzz/from-qpiai-to-knot-indian-startups-raised-80-mn-this-week/</t>
        </is>
      </c>
    </row>
    <row r="1361">
      <c r="A1361" t="inlineStr">
        <is>
          <t>ENT-9496868</t>
        </is>
      </c>
      <c r="B1361" t="inlineStr">
        <is>
          <t>R250715-theweddingcomp</t>
        </is>
      </c>
      <c r="C1361" t="inlineStr">
        <is>
          <t>Entrackr</t>
        </is>
      </c>
      <c r="D1361" s="17" t="n">
        <v>45853</v>
      </c>
      <c r="E1361" t="inlineStr">
        <is>
          <t>The Wedding Company</t>
        </is>
      </c>
      <c r="F1361" t="inlineStr">
        <is>
          <t>$1 million</t>
        </is>
      </c>
      <c r="G1361" s="19" t="n"/>
      <c r="H1361" s="19" t="n">
        <v>1</v>
      </c>
      <c r="I1361" t="inlineStr">
        <is>
          <t>Pre-Seed</t>
        </is>
      </c>
      <c r="J1361" t="inlineStr">
        <is>
          <t>LVX</t>
        </is>
      </c>
      <c r="K1361" t="inlineStr">
        <is>
          <t>https://entrackr.com/snippets/the-wedding-company-raises-1-mn-in-pre-seed-round-9496868</t>
        </is>
      </c>
    </row>
    <row r="1362">
      <c r="A1362" t="inlineStr">
        <is>
          <t>INC-20250719-13</t>
        </is>
      </c>
      <c r="B1362" t="inlineStr">
        <is>
          <t>R250715-theweddingcomp</t>
        </is>
      </c>
      <c r="C1362" t="inlineStr">
        <is>
          <t>Inc42</t>
        </is>
      </c>
      <c r="D1362" s="17" t="n">
        <v>45854</v>
      </c>
      <c r="E1362" t="inlineStr">
        <is>
          <t>The Wedding Company</t>
        </is>
      </c>
      <c r="F1362" t="inlineStr">
        <is>
          <t>$1 Mn</t>
        </is>
      </c>
      <c r="G1362" s="19" t="n"/>
      <c r="H1362" s="19" t="n">
        <v>1</v>
      </c>
      <c r="I1362" t="inlineStr">
        <is>
          <t>Pre-Seed</t>
        </is>
      </c>
      <c r="J1362" t="inlineStr">
        <is>
          <t>LVX</t>
        </is>
      </c>
      <c r="K1362" t="inlineStr">
        <is>
          <t>https://inc42.com/buzz/from-qpiai-to-knot-indian-startups-raised-80-mn-this-week/</t>
        </is>
      </c>
    </row>
    <row r="1363">
      <c r="A1363" t="inlineStr">
        <is>
          <t>ENT-9498489</t>
        </is>
      </c>
      <c r="B1363" t="inlineStr">
        <is>
          <t>R250715-trupeer</t>
        </is>
      </c>
      <c r="C1363" t="inlineStr">
        <is>
          <t>Entrackr</t>
        </is>
      </c>
      <c r="D1363" s="17" t="n">
        <v>45853</v>
      </c>
      <c r="E1363" t="inlineStr">
        <is>
          <t>Trupeer</t>
        </is>
      </c>
      <c r="F1363" t="inlineStr">
        <is>
          <t>$3 million</t>
        </is>
      </c>
      <c r="G1363" s="19" t="n"/>
      <c r="H1363" s="19" t="n">
        <v>3</v>
      </c>
      <c r="I1363" t="inlineStr">
        <is>
          <t>Seed</t>
        </is>
      </c>
      <c r="J1363" t="inlineStr">
        <is>
          <t>RTP Global</t>
        </is>
      </c>
      <c r="K1363" t="inlineStr">
        <is>
          <t>https://entrackr.com/snippets/trupeer-bags-3-mn-seed-round-led-by-rtp-global-9498489</t>
        </is>
      </c>
    </row>
    <row r="1364">
      <c r="A1364" t="inlineStr">
        <is>
          <t>ET-122513298</t>
        </is>
      </c>
      <c r="B1364" t="inlineStr">
        <is>
          <t>R250715-trupeer</t>
        </is>
      </c>
      <c r="C1364" t="inlineStr">
        <is>
          <t>The Economic Times</t>
        </is>
      </c>
      <c r="D1364" s="17" t="n">
        <v>45853</v>
      </c>
      <c r="E1364" t="inlineStr">
        <is>
          <t>Trupeer AI</t>
        </is>
      </c>
      <c r="F1364" t="inlineStr">
        <is>
          <t>$3 million</t>
        </is>
      </c>
      <c r="G1364" s="19" t="n"/>
      <c r="H1364" s="19" t="n">
        <v>3</v>
      </c>
      <c r="I1364" t="inlineStr">
        <is>
          <t>Seed</t>
        </is>
      </c>
      <c r="J1364" t="inlineStr"/>
      <c r="K1364" t="inlineStr">
        <is>
          <t>https://economictimes.indiatimes.com/tech/funding/video-platform-trupeer-ai-raises-3-million-by-rtp-global-others/articleshow/122513298.cms</t>
        </is>
      </c>
    </row>
    <row r="1365">
      <c r="A1365" t="inlineStr">
        <is>
          <t>INC-20250719-05</t>
        </is>
      </c>
      <c r="B1365" t="inlineStr">
        <is>
          <t>R250715-trupeer</t>
        </is>
      </c>
      <c r="C1365" t="inlineStr">
        <is>
          <t>Inc42</t>
        </is>
      </c>
      <c r="D1365" s="17" t="n">
        <v>45853</v>
      </c>
      <c r="E1365" t="inlineStr">
        <is>
          <t>Trupeer.AI</t>
        </is>
      </c>
      <c r="F1365" t="inlineStr">
        <is>
          <t>$3 Mn</t>
        </is>
      </c>
      <c r="G1365" s="19" t="n"/>
      <c r="H1365" s="19" t="n">
        <v>3</v>
      </c>
      <c r="I1365" t="inlineStr">
        <is>
          <t>Seed</t>
        </is>
      </c>
      <c r="J1365" t="inlineStr">
        <is>
          <t>RTP Global</t>
        </is>
      </c>
      <c r="K1365" t="inlineStr">
        <is>
          <t>https://inc42.com/buzz/from-qpiai-to-knot-indian-startups-raised-80-mn-this-week/</t>
        </is>
      </c>
    </row>
    <row r="1366">
      <c r="A1366" t="inlineStr">
        <is>
          <t>ENT-9503107</t>
        </is>
      </c>
      <c r="B1366" t="inlineStr">
        <is>
          <t>R250716-culturecircle</t>
        </is>
      </c>
      <c r="C1366" t="inlineStr">
        <is>
          <t>Entrackr</t>
        </is>
      </c>
      <c r="D1366" s="17" t="n">
        <v>45854</v>
      </c>
      <c r="E1366" t="inlineStr">
        <is>
          <t>Culture Circle</t>
        </is>
      </c>
      <c r="F1366" t="inlineStr">
        <is>
          <t>Rs 100 crore</t>
        </is>
      </c>
      <c r="G1366" s="19" t="n">
        <v>100</v>
      </c>
      <c r="H1366" s="19" t="n"/>
      <c r="I1366" t="inlineStr">
        <is>
          <t>Undisclosed</t>
        </is>
      </c>
      <c r="J1366" t="inlineStr"/>
      <c r="K1366" t="inlineStr">
        <is>
          <t>https://entrackr.com/snippets/oyos-ritesh-agarwal-invests-in-culture-circle-at-over-rs-100-cr-valuation-9503107</t>
        </is>
      </c>
    </row>
    <row r="1367">
      <c r="A1367" t="inlineStr">
        <is>
          <t>ENT-9501281</t>
        </is>
      </c>
      <c r="B1367" t="inlineStr">
        <is>
          <t>R250716-deepalgorithm</t>
        </is>
      </c>
      <c r="C1367" t="inlineStr">
        <is>
          <t>Entrackr</t>
        </is>
      </c>
      <c r="D1367" s="17" t="n">
        <v>45854</v>
      </c>
      <c r="E1367" t="inlineStr">
        <is>
          <t>Deep Algorithm</t>
        </is>
      </c>
      <c r="F1367" t="inlineStr">
        <is>
          <t>Rs 10.8 crore</t>
        </is>
      </c>
      <c r="G1367" s="19" t="n">
        <v>10.8</v>
      </c>
      <c r="H1367" s="19" t="n">
        <v>1.25</v>
      </c>
      <c r="I1367" t="inlineStr">
        <is>
          <t>Seed</t>
        </is>
      </c>
      <c r="J1367" t="inlineStr">
        <is>
          <t>Unicorn India Ventures</t>
        </is>
      </c>
      <c r="K1367" t="inlineStr">
        <is>
          <t>https://entrackr.com/snippets/cybersecurity-startup-deep-algorithm-raises-rs-108-cr-in-seed-round-9501281</t>
        </is>
      </c>
    </row>
    <row r="1368">
      <c r="A1368" t="inlineStr">
        <is>
          <t>ET-122586240</t>
        </is>
      </c>
      <c r="B1368" t="inlineStr">
        <is>
          <t>R250716-deepalgorithm</t>
        </is>
      </c>
      <c r="C1368" t="inlineStr">
        <is>
          <t>The Economic Times</t>
        </is>
      </c>
      <c r="D1368" s="17" t="n">
        <v>45854</v>
      </c>
      <c r="E1368" t="inlineStr">
        <is>
          <t>Deep Algorithm</t>
        </is>
      </c>
      <c r="F1368" t="inlineStr">
        <is>
          <t>Rs 10.8 crore</t>
        </is>
      </c>
      <c r="G1368" s="19" t="n">
        <v>10.8</v>
      </c>
      <c r="H1368" s="19" t="n"/>
      <c r="I1368" t="inlineStr">
        <is>
          <t>Seed</t>
        </is>
      </c>
      <c r="J1368" t="inlineStr"/>
      <c r="K1368" t="inlineStr">
        <is>
          <t>https://economictimes.indiatimes.com/tech/funding/cybersecurity-startup-deep-algorithm-raises-rs-10-8-crore-from-unicorn-india-ventures/articleshow/122586240.cms</t>
        </is>
      </c>
    </row>
    <row r="1369">
      <c r="A1369" t="inlineStr">
        <is>
          <t>INC-20250719-11</t>
        </is>
      </c>
      <c r="B1369" t="inlineStr">
        <is>
          <t>R250716-deepalgorithm</t>
        </is>
      </c>
      <c r="C1369" t="inlineStr">
        <is>
          <t>Inc42</t>
        </is>
      </c>
      <c r="D1369" s="17" t="n">
        <v>45854</v>
      </c>
      <c r="E1369" t="inlineStr">
        <is>
          <t>Deep Algorithm</t>
        </is>
      </c>
      <c r="F1369" t="inlineStr">
        <is>
          <t>$1.3 Mn</t>
        </is>
      </c>
      <c r="G1369" s="19" t="n"/>
      <c r="H1369" s="19" t="n">
        <v>1.3</v>
      </c>
      <c r="I1369" t="inlineStr">
        <is>
          <t>Undisclosed</t>
        </is>
      </c>
      <c r="J1369" t="inlineStr">
        <is>
          <t>Unicorn India Ventures</t>
        </is>
      </c>
      <c r="K1369" t="inlineStr">
        <is>
          <t>https://inc42.com/buzz/from-qpiai-to-knot-indian-startups-raised-80-mn-this-week/</t>
        </is>
      </c>
    </row>
    <row r="1370">
      <c r="A1370" t="inlineStr">
        <is>
          <t>INC-20250719-21</t>
        </is>
      </c>
      <c r="B1370" t="inlineStr">
        <is>
          <t>R250716-fireai</t>
        </is>
      </c>
      <c r="C1370" t="inlineStr">
        <is>
          <t>Inc42</t>
        </is>
      </c>
      <c r="D1370" s="17" t="n">
        <v>45854</v>
      </c>
      <c r="E1370" t="inlineStr">
        <is>
          <t>Fire AI</t>
        </is>
      </c>
      <c r="F1370" t="inlineStr"/>
      <c r="G1370" s="19" t="n"/>
      <c r="H1370" s="19" t="n"/>
      <c r="I1370" t="inlineStr">
        <is>
          <t>Pre-Seed</t>
        </is>
      </c>
      <c r="J1370" t="inlineStr">
        <is>
          <t>Venture Catalysts</t>
        </is>
      </c>
      <c r="K1370" t="inlineStr">
        <is>
          <t>https://inc42.com/buzz/from-qpiai-to-knot-indian-startups-raised-80-mn-this-week/</t>
        </is>
      </c>
    </row>
    <row r="1371">
      <c r="A1371" t="inlineStr">
        <is>
          <t>ENT-9500840</t>
        </is>
      </c>
      <c r="B1371" t="inlineStr">
        <is>
          <t>R250716-knot</t>
        </is>
      </c>
      <c r="C1371" t="inlineStr">
        <is>
          <t>Entrackr</t>
        </is>
      </c>
      <c r="D1371" s="17" t="n">
        <v>45854</v>
      </c>
      <c r="E1371" t="inlineStr">
        <is>
          <t>KNOT</t>
        </is>
      </c>
      <c r="F1371" t="inlineStr">
        <is>
          <t>$3 million</t>
        </is>
      </c>
      <c r="G1371" s="19" t="n"/>
      <c r="H1371" s="19" t="n">
        <v>3</v>
      </c>
      <c r="I1371" t="inlineStr">
        <is>
          <t>Pre-Series A</t>
        </is>
      </c>
      <c r="J1371" t="inlineStr">
        <is>
          <t>Kae Capital</t>
        </is>
      </c>
      <c r="K1371" t="inlineStr">
        <is>
          <t>https://entrackr.com/snippets/quick-fashion-delivery-startup-knot-raises-3-mn-led-by-kae-capital-9500840</t>
        </is>
      </c>
    </row>
    <row r="1372">
      <c r="A1372" t="inlineStr">
        <is>
          <t>INC-20250719-04</t>
        </is>
      </c>
      <c r="B1372" t="inlineStr">
        <is>
          <t>R250716-knot</t>
        </is>
      </c>
      <c r="C1372" t="inlineStr">
        <is>
          <t>Inc42</t>
        </is>
      </c>
      <c r="D1372" s="17" t="n">
        <v>45854</v>
      </c>
      <c r="E1372" t="inlineStr">
        <is>
          <t>KNOT</t>
        </is>
      </c>
      <c r="F1372" t="inlineStr">
        <is>
          <t>$3 Mn</t>
        </is>
      </c>
      <c r="G1372" s="19" t="n"/>
      <c r="H1372" s="19" t="n">
        <v>3</v>
      </c>
      <c r="I1372" t="inlineStr">
        <is>
          <t>Pre-Series A</t>
        </is>
      </c>
      <c r="J1372" t="inlineStr">
        <is>
          <t>Kae Capital</t>
        </is>
      </c>
      <c r="K1372" t="inlineStr">
        <is>
          <t>https://inc42.com/buzz/from-qpiai-to-knot-indian-startups-raised-80-mn-this-week/</t>
        </is>
      </c>
    </row>
    <row r="1373">
      <c r="A1373" t="inlineStr">
        <is>
          <t>ENT-9501296</t>
        </is>
      </c>
      <c r="B1373" t="inlineStr">
        <is>
          <t>R250716-phicommerce</t>
        </is>
      </c>
      <c r="C1373" t="inlineStr">
        <is>
          <t>Entrackr</t>
        </is>
      </c>
      <c r="D1373" s="17" t="n">
        <v>45854</v>
      </c>
      <c r="E1373" t="inlineStr">
        <is>
          <t>Phi Commerce</t>
        </is>
      </c>
      <c r="F1373" t="inlineStr">
        <is>
          <t>Rs 51.34 crore</t>
        </is>
      </c>
      <c r="G1373" s="19" t="n">
        <v>51.34</v>
      </c>
      <c r="H1373" s="19" t="n">
        <v>6</v>
      </c>
      <c r="I1373" t="inlineStr">
        <is>
          <t>Series B</t>
        </is>
      </c>
      <c r="J1373" t="inlineStr"/>
      <c r="K1373" t="inlineStr">
        <is>
          <t>https://entrackr.com/exclusive/exclusive-phi-commerce-tops-up-series-b-with-fresh-funding-9501296</t>
        </is>
      </c>
    </row>
    <row r="1374">
      <c r="A1374" t="inlineStr">
        <is>
          <t>INC-20250719-03</t>
        </is>
      </c>
      <c r="B1374" t="inlineStr">
        <is>
          <t>R250716-phicommerce</t>
        </is>
      </c>
      <c r="C1374" t="inlineStr">
        <is>
          <t>Inc42</t>
        </is>
      </c>
      <c r="D1374" s="17" t="n">
        <v>45854</v>
      </c>
      <c r="E1374" t="inlineStr">
        <is>
          <t>Phi Commerce</t>
        </is>
      </c>
      <c r="F1374" t="inlineStr">
        <is>
          <t>$5.9 Mn</t>
        </is>
      </c>
      <c r="G1374" s="19" t="n"/>
      <c r="H1374" s="19" t="n">
        <v>5.9</v>
      </c>
      <c r="I1374" t="inlineStr">
        <is>
          <t>Series B</t>
        </is>
      </c>
      <c r="J1374" t="inlineStr">
        <is>
          <t>BEENEXT</t>
        </is>
      </c>
      <c r="K1374" t="inlineStr">
        <is>
          <t>https://inc42.com/buzz/from-qpiai-to-knot-indian-startups-raised-80-mn-this-week/</t>
        </is>
      </c>
    </row>
    <row r="1375">
      <c r="A1375" t="inlineStr">
        <is>
          <t>INC-20250719-01</t>
        </is>
      </c>
      <c r="B1375" t="inlineStr">
        <is>
          <t>R250716-qpiai</t>
        </is>
      </c>
      <c r="C1375" t="inlineStr">
        <is>
          <t>Inc42</t>
        </is>
      </c>
      <c r="D1375" s="17" t="n">
        <v>45854</v>
      </c>
      <c r="E1375" t="inlineStr">
        <is>
          <t>QpiAI</t>
        </is>
      </c>
      <c r="F1375" t="inlineStr">
        <is>
          <t>$32 Mn</t>
        </is>
      </c>
      <c r="G1375" s="19" t="n"/>
      <c r="H1375" s="19" t="n">
        <v>32</v>
      </c>
      <c r="I1375" t="inlineStr">
        <is>
          <t>Series A</t>
        </is>
      </c>
      <c r="J1375" t="inlineStr">
        <is>
          <t>Avataar Ventures; National Quantum Mission</t>
        </is>
      </c>
      <c r="K1375" t="inlineStr">
        <is>
          <t>https://inc42.com/buzz/from-qpiai-to-knot-indian-startups-raised-80-mn-this-week/</t>
        </is>
      </c>
    </row>
    <row r="1376">
      <c r="A1376" t="inlineStr">
        <is>
          <t>ENT-9500136</t>
        </is>
      </c>
      <c r="B1376" t="inlineStr">
        <is>
          <t>R250716-truemeds</t>
        </is>
      </c>
      <c r="C1376" t="inlineStr">
        <is>
          <t>Entrackr</t>
        </is>
      </c>
      <c r="D1376" s="17" t="n">
        <v>45854</v>
      </c>
      <c r="E1376" t="inlineStr">
        <is>
          <t>Truemeds</t>
        </is>
      </c>
      <c r="F1376" t="inlineStr">
        <is>
          <t>$20 million</t>
        </is>
      </c>
      <c r="G1376" s="19" t="n">
        <v>174.33</v>
      </c>
      <c r="H1376" s="19" t="n">
        <v>20</v>
      </c>
      <c r="I1376" t="inlineStr">
        <is>
          <t>Series C</t>
        </is>
      </c>
      <c r="J1376" t="inlineStr"/>
      <c r="K1376" t="inlineStr">
        <is>
          <t>https://entrackr.com/exclusive/exclusive-peak-xv-joins-truemeds-series-c-round-with-20-mn-9500136</t>
        </is>
      </c>
    </row>
    <row r="1377">
      <c r="A1377" t="inlineStr">
        <is>
          <t>INC-20250719-02</t>
        </is>
      </c>
      <c r="B1377" t="inlineStr">
        <is>
          <t>R250716-truemeds</t>
        </is>
      </c>
      <c r="C1377" t="inlineStr">
        <is>
          <t>Inc42</t>
        </is>
      </c>
      <c r="D1377" s="17" t="n">
        <v>45854</v>
      </c>
      <c r="E1377" t="inlineStr">
        <is>
          <t>Truemeds</t>
        </is>
      </c>
      <c r="F1377" t="inlineStr">
        <is>
          <t>$20 Mn</t>
        </is>
      </c>
      <c r="G1377" s="19" t="n"/>
      <c r="H1377" s="19" t="n">
        <v>20</v>
      </c>
      <c r="I1377" t="inlineStr">
        <is>
          <t>Series C</t>
        </is>
      </c>
      <c r="J1377" t="inlineStr">
        <is>
          <t>Peak XV Partners</t>
        </is>
      </c>
      <c r="K1377" t="inlineStr">
        <is>
          <t>https://inc42.com/buzz/from-qpiai-to-knot-indian-startups-raised-80-mn-this-week/</t>
        </is>
      </c>
    </row>
    <row r="1378">
      <c r="A1378" t="inlineStr">
        <is>
          <t>ENT-9647343</t>
        </is>
      </c>
      <c r="B1378" t="inlineStr">
        <is>
          <t>R250716-truemeds</t>
        </is>
      </c>
      <c r="C1378" t="inlineStr">
        <is>
          <t>Entrackr</t>
        </is>
      </c>
      <c r="D1378" s="17" t="n">
        <v>45880</v>
      </c>
      <c r="E1378" t="inlineStr">
        <is>
          <t>Truemeds</t>
        </is>
      </c>
      <c r="F1378" t="inlineStr">
        <is>
          <t>$85 million</t>
        </is>
      </c>
      <c r="G1378" s="19" t="n"/>
      <c r="H1378" s="19" t="n">
        <v>85</v>
      </c>
      <c r="I1378" t="inlineStr">
        <is>
          <t>Series C</t>
        </is>
      </c>
      <c r="J1378" t="inlineStr">
        <is>
          <t>Accel; Peak XV Partners</t>
        </is>
      </c>
      <c r="K1378" t="inlineStr">
        <is>
          <t>https://entrackr.com/news/truemeds-closes-85-mn-series-c-round-led-by-accel-and-peakxv-9647343</t>
        </is>
      </c>
    </row>
    <row r="1379">
      <c r="A1379" t="inlineStr">
        <is>
          <t>ET-123221428</t>
        </is>
      </c>
      <c r="B1379" t="inlineStr">
        <is>
          <t>R250716-truemeds</t>
        </is>
      </c>
      <c r="C1379" t="inlineStr">
        <is>
          <t>The Economic Times</t>
        </is>
      </c>
      <c r="D1379" s="17" t="n">
        <v>45880</v>
      </c>
      <c r="E1379" t="inlineStr">
        <is>
          <t>Truemeds</t>
        </is>
      </c>
      <c r="F1379" t="inlineStr">
        <is>
          <t>$85 million</t>
        </is>
      </c>
      <c r="G1379" s="19" t="n"/>
      <c r="H1379" s="19" t="n">
        <v>85</v>
      </c>
      <c r="I1379" t="inlineStr">
        <is>
          <t>Undisclosed</t>
        </is>
      </c>
      <c r="J1379" t="inlineStr">
        <is>
          <t>Accel; Peak XV Partners</t>
        </is>
      </c>
      <c r="K1379" t="inlineStr">
        <is>
          <t>https://economictimes.indiatimes.com/tech/funding/truemeds-closes-85-million-funding-led-by-accel-and-peak-xv-partners/articleshow/123221428.cms</t>
        </is>
      </c>
    </row>
    <row r="1380">
      <c r="A1380" t="inlineStr">
        <is>
          <t>INC-20250816-01</t>
        </is>
      </c>
      <c r="B1380" t="inlineStr">
        <is>
          <t>R250716-truemeds</t>
        </is>
      </c>
      <c r="C1380" t="inlineStr">
        <is>
          <t>Inc42</t>
        </is>
      </c>
      <c r="D1380" s="17" t="n">
        <v>45880</v>
      </c>
      <c r="E1380" t="inlineStr">
        <is>
          <t>Truemeds</t>
        </is>
      </c>
      <c r="F1380" t="inlineStr">
        <is>
          <t>$65 Mn</t>
        </is>
      </c>
      <c r="G1380" s="19" t="n"/>
      <c r="H1380" s="19" t="n">
        <v>65</v>
      </c>
      <c r="I1380" t="inlineStr">
        <is>
          <t>Series C</t>
        </is>
      </c>
      <c r="J1380" t="inlineStr"/>
      <c r="K1380" t="inlineStr">
        <is>
          <t>https://inc42.com/buzz/from-truemeds-to-ultraviolette-indian-startups-raised-272-mn-this-week/</t>
        </is>
      </c>
    </row>
    <row r="1381">
      <c r="A1381" t="inlineStr">
        <is>
          <t>ENT-9501055</t>
        </is>
      </c>
      <c r="B1381" t="inlineStr">
        <is>
          <t>R250716-zeushygia</t>
        </is>
      </c>
      <c r="C1381" t="inlineStr">
        <is>
          <t>Entrackr</t>
        </is>
      </c>
      <c r="D1381" s="17" t="n">
        <v>45854</v>
      </c>
      <c r="E1381" t="inlineStr">
        <is>
          <t>Zeus Hygia</t>
        </is>
      </c>
      <c r="F1381" t="inlineStr">
        <is>
          <t>$2.5 million</t>
        </is>
      </c>
      <c r="G1381" s="19" t="n"/>
      <c r="H1381" s="19" t="n">
        <v>2.5</v>
      </c>
      <c r="I1381" t="inlineStr">
        <is>
          <t>Series A</t>
        </is>
      </c>
      <c r="J1381" t="inlineStr"/>
      <c r="K1381" t="inlineStr">
        <is>
          <t>https://entrackr.com/snippets/zeus-hygia-raises-25-mn-from-nabventures-9501055</t>
        </is>
      </c>
    </row>
    <row r="1382">
      <c r="A1382" t="inlineStr">
        <is>
          <t>ENT-9501275</t>
        </is>
      </c>
      <c r="B1382" t="inlineStr">
        <is>
          <t>R250716-zuluclub</t>
        </is>
      </c>
      <c r="C1382" t="inlineStr">
        <is>
          <t>Entrackr</t>
        </is>
      </c>
      <c r="D1382" s="17" t="n">
        <v>45854</v>
      </c>
      <c r="E1382" t="inlineStr">
        <is>
          <t>Zulu Club</t>
        </is>
      </c>
      <c r="F1382" t="inlineStr">
        <is>
          <t>$250K</t>
        </is>
      </c>
      <c r="G1382" s="19" t="n"/>
      <c r="H1382" s="19" t="n">
        <v>0.25</v>
      </c>
      <c r="I1382" t="inlineStr">
        <is>
          <t>Pre-Seed</t>
        </is>
      </c>
      <c r="J1382" t="inlineStr"/>
      <c r="K1382" t="inlineStr">
        <is>
          <t>https://entrackr.com/snippets/zulu-club-raises-250k-in-pre-seed-round-from-tdv-partners-9501275</t>
        </is>
      </c>
    </row>
    <row r="1383">
      <c r="A1383" t="inlineStr">
        <is>
          <t>INC-20250719-16</t>
        </is>
      </c>
      <c r="B1383" t="inlineStr">
        <is>
          <t>R250716-zuluclub</t>
        </is>
      </c>
      <c r="C1383" t="inlineStr">
        <is>
          <t>Inc42</t>
        </is>
      </c>
      <c r="D1383" s="17" t="n">
        <v>45854</v>
      </c>
      <c r="E1383" t="inlineStr">
        <is>
          <t>Zulu Club</t>
        </is>
      </c>
      <c r="F1383" t="inlineStr">
        <is>
          <t>$250K</t>
        </is>
      </c>
      <c r="G1383" s="19" t="n"/>
      <c r="H1383" s="19" t="n">
        <v>0.25</v>
      </c>
      <c r="I1383" t="inlineStr">
        <is>
          <t>Pre-Seed</t>
        </is>
      </c>
      <c r="J1383" t="inlineStr">
        <is>
          <t>TDV Partners</t>
        </is>
      </c>
      <c r="K1383" t="inlineStr">
        <is>
          <t>https://inc42.com/buzz/from-qpiai-to-knot-indian-startups-raised-80-mn-this-week/</t>
        </is>
      </c>
    </row>
    <row r="1384">
      <c r="A1384" t="inlineStr">
        <is>
          <t>ENT-9502008</t>
        </is>
      </c>
      <c r="B1384" t="inlineStr">
        <is>
          <t>R250716-zuppa</t>
        </is>
      </c>
      <c r="C1384" t="inlineStr">
        <is>
          <t>Entrackr</t>
        </is>
      </c>
      <c r="D1384" s="17" t="n">
        <v>45854</v>
      </c>
      <c r="E1384" t="inlineStr">
        <is>
          <t>Zuppa</t>
        </is>
      </c>
      <c r="F1384" t="inlineStr">
        <is>
          <t>$1.5 million</t>
        </is>
      </c>
      <c r="G1384" s="19" t="n"/>
      <c r="H1384" s="19" t="n">
        <v>1.5</v>
      </c>
      <c r="I1384" t="inlineStr">
        <is>
          <t>Bridge</t>
        </is>
      </c>
      <c r="J1384" t="inlineStr">
        <is>
          <t>Rahul Dewan</t>
        </is>
      </c>
      <c r="K1384" t="inlineStr">
        <is>
          <t>https://entrackr.com/snippets/dronetech-startup-zuppa-raises-15-mn-in-bridge-round-9502008</t>
        </is>
      </c>
    </row>
    <row r="1385">
      <c r="A1385" t="inlineStr">
        <is>
          <t>INC-20250719-10</t>
        </is>
      </c>
      <c r="B1385" t="inlineStr">
        <is>
          <t>R250716-zuppa</t>
        </is>
      </c>
      <c r="C1385" t="inlineStr">
        <is>
          <t>Inc42</t>
        </is>
      </c>
      <c r="D1385" s="17" t="n">
        <v>45854</v>
      </c>
      <c r="E1385" t="inlineStr">
        <is>
          <t>Zuppa</t>
        </is>
      </c>
      <c r="F1385" t="inlineStr">
        <is>
          <t>$1.5 Mn</t>
        </is>
      </c>
      <c r="G1385" s="19" t="n"/>
      <c r="H1385" s="19" t="n">
        <v>1.5</v>
      </c>
      <c r="I1385" t="inlineStr">
        <is>
          <t>Undisclosed</t>
        </is>
      </c>
      <c r="J1385" t="inlineStr">
        <is>
          <t>Rahul Dewan</t>
        </is>
      </c>
      <c r="K1385" t="inlineStr">
        <is>
          <t>https://inc42.com/buzz/from-qpiai-to-knot-indian-startups-raised-80-mn-this-week/</t>
        </is>
      </c>
    </row>
    <row r="1386">
      <c r="A1386" t="inlineStr">
        <is>
          <t>ENT-9505558</t>
        </is>
      </c>
      <c r="B1386" t="inlineStr">
        <is>
          <t>R250717-dcgtech</t>
        </is>
      </c>
      <c r="C1386" t="inlineStr">
        <is>
          <t>Entrackr</t>
        </is>
      </c>
      <c r="D1386" s="17" t="n">
        <v>45855</v>
      </c>
      <c r="E1386" t="inlineStr">
        <is>
          <t>DCG Tech</t>
        </is>
      </c>
      <c r="F1386" t="inlineStr">
        <is>
          <t>Rs 15 crore</t>
        </is>
      </c>
      <c r="G1386" s="19" t="n">
        <v>15</v>
      </c>
      <c r="H1386" s="19" t="n"/>
      <c r="I1386" t="inlineStr">
        <is>
          <t>Pre-Series A</t>
        </is>
      </c>
      <c r="J1386" t="inlineStr">
        <is>
          <t>GVF</t>
        </is>
      </c>
      <c r="K1386" t="inlineStr">
        <is>
          <t>https://entrackr.com/snippets/gvfl-leads-rs-15-cr-round-in-b2b-packaging-platform-dcg-tech-9505558</t>
        </is>
      </c>
    </row>
    <row r="1387">
      <c r="A1387" t="inlineStr">
        <is>
          <t>INC-20250719-09</t>
        </is>
      </c>
      <c r="B1387" t="inlineStr">
        <is>
          <t>R250717-dcgtech</t>
        </is>
      </c>
      <c r="C1387" t="inlineStr">
        <is>
          <t>Inc42</t>
        </is>
      </c>
      <c r="D1387" s="17" t="n">
        <v>45855</v>
      </c>
      <c r="E1387" t="inlineStr">
        <is>
          <t>DCG Tech</t>
        </is>
      </c>
      <c r="F1387" t="inlineStr">
        <is>
          <t>$1.7 Mn</t>
        </is>
      </c>
      <c r="G1387" s="19" t="n"/>
      <c r="H1387" s="19" t="n">
        <v>1.7</v>
      </c>
      <c r="I1387" t="inlineStr">
        <is>
          <t>Pre-Series A</t>
        </is>
      </c>
      <c r="J1387" t="inlineStr">
        <is>
          <t>GVFL</t>
        </is>
      </c>
      <c r="K1387" t="inlineStr">
        <is>
          <t>https://inc42.com/buzz/from-qpiai-to-knot-indian-startups-raised-80-mn-this-week/</t>
        </is>
      </c>
    </row>
    <row r="1388">
      <c r="A1388" t="inlineStr">
        <is>
          <t>ENT-9504677</t>
        </is>
      </c>
      <c r="B1388" t="inlineStr">
        <is>
          <t>R250717-lofoods</t>
        </is>
      </c>
      <c r="C1388" t="inlineStr">
        <is>
          <t>Entrackr</t>
        </is>
      </c>
      <c r="D1388" s="17" t="n">
        <v>45855</v>
      </c>
      <c r="E1388" t="inlineStr">
        <is>
          <t>Lo! Foods</t>
        </is>
      </c>
      <c r="F1388" t="inlineStr">
        <is>
          <t>$3.5 million</t>
        </is>
      </c>
      <c r="G1388" s="19" t="n"/>
      <c r="H1388" s="19" t="n">
        <v>3.5</v>
      </c>
      <c r="I1388" t="inlineStr">
        <is>
          <t>Series B</t>
        </is>
      </c>
      <c r="J1388" t="inlineStr">
        <is>
          <t>Rainmatter Health</t>
        </is>
      </c>
      <c r="K1388" t="inlineStr">
        <is>
          <t>https://entrackr.com/snippets/lo-foods-raises-35-mn-in-series-b-round-9504677</t>
        </is>
      </c>
    </row>
    <row r="1389">
      <c r="A1389" t="inlineStr">
        <is>
          <t>INC-20250719-20</t>
        </is>
      </c>
      <c r="B1389" t="inlineStr">
        <is>
          <t>R250717-onetabai</t>
        </is>
      </c>
      <c r="C1389" t="inlineStr">
        <is>
          <t>Inc42</t>
        </is>
      </c>
      <c r="D1389" s="17" t="n">
        <v>45855</v>
      </c>
      <c r="E1389" t="inlineStr">
        <is>
          <t>Onetab.ai</t>
        </is>
      </c>
      <c r="F1389" t="inlineStr"/>
      <c r="G1389" s="19" t="n"/>
      <c r="H1389" s="19" t="n"/>
      <c r="I1389" t="inlineStr">
        <is>
          <t>Undisclosed</t>
        </is>
      </c>
      <c r="J1389" t="inlineStr">
        <is>
          <t>Hyperscope; Elrise</t>
        </is>
      </c>
      <c r="K1389" t="inlineStr">
        <is>
          <t>https://inc42.com/buzz/from-qpiai-to-knot-indian-startups-raised-80-mn-this-week/</t>
        </is>
      </c>
    </row>
    <row r="1390">
      <c r="A1390" t="inlineStr">
        <is>
          <t>ENT-9504985</t>
        </is>
      </c>
      <c r="B1390" t="inlineStr">
        <is>
          <t>R250717-parkobot</t>
        </is>
      </c>
      <c r="C1390" t="inlineStr">
        <is>
          <t>Entrackr</t>
        </is>
      </c>
      <c r="D1390" s="17" t="n">
        <v>45855</v>
      </c>
      <c r="E1390" t="inlineStr">
        <is>
          <t>Parkobot</t>
        </is>
      </c>
      <c r="F1390" t="inlineStr">
        <is>
          <t>Rs 2.09 crore</t>
        </is>
      </c>
      <c r="G1390" s="19" t="n">
        <v>2.09</v>
      </c>
      <c r="H1390" s="19" t="n">
        <v>0.243</v>
      </c>
      <c r="I1390" t="inlineStr">
        <is>
          <t>Seed</t>
        </is>
      </c>
      <c r="J1390" t="inlineStr">
        <is>
          <t>Inflection Point Ventures</t>
        </is>
      </c>
      <c r="K1390" t="inlineStr">
        <is>
          <t>https://entrackr.com/snippets/parkobot-raises-rs-209-cr-in-seed-round-led-by-ipv-9504985</t>
        </is>
      </c>
    </row>
    <row r="1391">
      <c r="A1391" t="inlineStr">
        <is>
          <t>INC-20250719-17</t>
        </is>
      </c>
      <c r="B1391" t="inlineStr">
        <is>
          <t>R250717-parkobot</t>
        </is>
      </c>
      <c r="C1391" t="inlineStr">
        <is>
          <t>Inc42</t>
        </is>
      </c>
      <c r="D1391" s="17" t="n">
        <v>45855</v>
      </c>
      <c r="E1391" t="inlineStr">
        <is>
          <t>Parkobot</t>
        </is>
      </c>
      <c r="F1391" t="inlineStr">
        <is>
          <t>$243K</t>
        </is>
      </c>
      <c r="G1391" s="19" t="n"/>
      <c r="H1391" s="19" t="n">
        <v>0.243</v>
      </c>
      <c r="I1391" t="inlineStr">
        <is>
          <t>Seed</t>
        </is>
      </c>
      <c r="J1391" t="inlineStr">
        <is>
          <t>Inflection Point Ventures</t>
        </is>
      </c>
      <c r="K1391" t="inlineStr">
        <is>
          <t>https://inc42.com/buzz/from-qpiai-to-knot-indian-startups-raised-80-mn-this-week/</t>
        </is>
      </c>
    </row>
    <row r="1392">
      <c r="A1392" t="inlineStr">
        <is>
          <t>ENT-9505667</t>
        </is>
      </c>
      <c r="B1392" t="inlineStr">
        <is>
          <t>R250717-zetwerk</t>
        </is>
      </c>
      <c r="C1392" t="inlineStr">
        <is>
          <t>Entrackr</t>
        </is>
      </c>
      <c r="D1392" s="17" t="n">
        <v>45855</v>
      </c>
      <c r="E1392" t="inlineStr">
        <is>
          <t>Zetwerk</t>
        </is>
      </c>
      <c r="F1392" t="inlineStr">
        <is>
          <t>Rs 75 crore</t>
        </is>
      </c>
      <c r="G1392" s="19" t="n">
        <v>75</v>
      </c>
      <c r="H1392" s="19" t="n">
        <v>8.800000000000001</v>
      </c>
      <c r="I1392" t="inlineStr">
        <is>
          <t>Debt</t>
        </is>
      </c>
      <c r="J1392" t="inlineStr"/>
      <c r="K1392" t="inlineStr">
        <is>
          <t>https://entrackr.com/exclusive/exclusive-zetwerk-secures-debt-from-jm-financial-9505667</t>
        </is>
      </c>
    </row>
    <row r="1393">
      <c r="A1393" t="inlineStr">
        <is>
          <t>ENT-9510915</t>
        </is>
      </c>
      <c r="B1393" t="inlineStr">
        <is>
          <t>R250718-bqp</t>
        </is>
      </c>
      <c r="C1393" t="inlineStr">
        <is>
          <t>Entrackr</t>
        </is>
      </c>
      <c r="D1393" s="17" t="n">
        <v>45856</v>
      </c>
      <c r="E1393" t="inlineStr">
        <is>
          <t>BQP</t>
        </is>
      </c>
      <c r="F1393" t="inlineStr">
        <is>
          <t>$4.9 million</t>
        </is>
      </c>
      <c r="G1393" s="19" t="n"/>
      <c r="H1393" s="19" t="n">
        <v>4.9</v>
      </c>
      <c r="I1393" t="inlineStr">
        <is>
          <t>Seed</t>
        </is>
      </c>
      <c r="J1393" t="inlineStr">
        <is>
          <t>Monta Vista Capital</t>
        </is>
      </c>
      <c r="K1393" t="inlineStr">
        <is>
          <t>https://entrackr.com/snippets/deeptech-startup-bqp-raises-49-mn-in-seed-round-led-by-monta-vista-capital-9510915</t>
        </is>
      </c>
    </row>
    <row r="1394">
      <c r="A1394" t="inlineStr">
        <is>
          <t>INC-20250719-08</t>
        </is>
      </c>
      <c r="B1394" t="inlineStr">
        <is>
          <t>R250718-curefit</t>
        </is>
      </c>
      <c r="C1394" t="inlineStr">
        <is>
          <t>Inc42</t>
        </is>
      </c>
      <c r="D1394" s="17" t="n">
        <v>45856</v>
      </c>
      <c r="E1394" t="inlineStr">
        <is>
          <t>CureFit</t>
        </is>
      </c>
      <c r="F1394" t="inlineStr">
        <is>
          <t>$2 Mn</t>
        </is>
      </c>
      <c r="G1394" s="19" t="n"/>
      <c r="H1394" s="19" t="n">
        <v>2</v>
      </c>
      <c r="I1394" t="inlineStr">
        <is>
          <t>Undisclosed</t>
        </is>
      </c>
      <c r="J1394" t="inlineStr">
        <is>
          <t>First Luxembourg SCA</t>
        </is>
      </c>
      <c r="K1394" t="inlineStr">
        <is>
          <t>https://inc42.com/buzz/from-qpiai-to-knot-indian-startups-raised-80-mn-this-week/</t>
        </is>
      </c>
    </row>
    <row r="1395">
      <c r="A1395" t="inlineStr">
        <is>
          <t>ENT-9510349</t>
        </is>
      </c>
      <c r="B1395" t="inlineStr">
        <is>
          <t>R250718-omspace</t>
        </is>
      </c>
      <c r="C1395" t="inlineStr">
        <is>
          <t>Entrackr</t>
        </is>
      </c>
      <c r="D1395" s="17" t="n">
        <v>45856</v>
      </c>
      <c r="E1395" t="inlineStr">
        <is>
          <t>Omspace</t>
        </is>
      </c>
      <c r="F1395" t="inlineStr">
        <is>
          <t>$3 million</t>
        </is>
      </c>
      <c r="G1395" s="19" t="n"/>
      <c r="H1395" s="19" t="n">
        <v>3</v>
      </c>
      <c r="I1395" t="inlineStr">
        <is>
          <t>Pre-Seed</t>
        </is>
      </c>
      <c r="J1395" t="inlineStr"/>
      <c r="K1395" t="inlineStr">
        <is>
          <t>https://entrackr.com/snippets/space-tech-startup-omspace-raises-3-mn-in-pre-seed-round-9510349</t>
        </is>
      </c>
    </row>
    <row r="1396">
      <c r="A1396" t="inlineStr">
        <is>
          <t>INC-20250719-06</t>
        </is>
      </c>
      <c r="B1396" t="inlineStr">
        <is>
          <t>R250718-omspace</t>
        </is>
      </c>
      <c r="C1396" t="inlineStr">
        <is>
          <t>Inc42</t>
        </is>
      </c>
      <c r="D1396" s="17" t="n">
        <v>45856</v>
      </c>
      <c r="E1396" t="inlineStr">
        <is>
          <t>Omspace Rocket &amp; Exploration</t>
        </is>
      </c>
      <c r="F1396" t="inlineStr">
        <is>
          <t>$3 Mn</t>
        </is>
      </c>
      <c r="G1396" s="19" t="n"/>
      <c r="H1396" s="19" t="n">
        <v>3</v>
      </c>
      <c r="I1396" t="inlineStr">
        <is>
          <t>Pre-Seed</t>
        </is>
      </c>
      <c r="J1396" t="inlineStr"/>
      <c r="K1396" t="inlineStr">
        <is>
          <t>https://inc42.com/buzz/from-qpiai-to-knot-indian-startups-raised-80-mn-this-week/</t>
        </is>
      </c>
    </row>
    <row r="1397">
      <c r="A1397" t="inlineStr">
        <is>
          <t>ENT-9519017</t>
        </is>
      </c>
      <c r="B1397" t="inlineStr">
        <is>
          <t>R250721-anny</t>
        </is>
      </c>
      <c r="C1397" t="inlineStr">
        <is>
          <t>Entrackr</t>
        </is>
      </c>
      <c r="D1397" s="17" t="n">
        <v>45859</v>
      </c>
      <c r="E1397" t="inlineStr">
        <is>
          <t>ANNY</t>
        </is>
      </c>
      <c r="F1397" t="inlineStr">
        <is>
          <t>Rs 10 crore</t>
        </is>
      </c>
      <c r="G1397" s="19" t="n">
        <v>10</v>
      </c>
      <c r="H1397" s="19" t="n"/>
      <c r="I1397" t="inlineStr">
        <is>
          <t>Pre-Series A</t>
        </is>
      </c>
      <c r="J1397" t="inlineStr">
        <is>
          <t>Atomic Capital</t>
        </is>
      </c>
      <c r="K1397" t="inlineStr">
        <is>
          <t>https://entrackr.com/snippets/anny-raises-rs-10-cr-in-pre-series-a-round-led-by-atomic-capital-9519017</t>
        </is>
      </c>
    </row>
    <row r="1398">
      <c r="A1398" t="inlineStr">
        <is>
          <t>INC-20250726-13</t>
        </is>
      </c>
      <c r="B1398" t="inlineStr">
        <is>
          <t>R250721-anny</t>
        </is>
      </c>
      <c r="C1398" t="inlineStr">
        <is>
          <t>Inc42</t>
        </is>
      </c>
      <c r="D1398" s="17" t="n">
        <v>45859</v>
      </c>
      <c r="E1398" t="inlineStr">
        <is>
          <t>ANNY</t>
        </is>
      </c>
      <c r="F1398" t="inlineStr">
        <is>
          <t>$1.2 Mn</t>
        </is>
      </c>
      <c r="G1398" s="19" t="n"/>
      <c r="H1398" s="19" t="n">
        <v>1.2</v>
      </c>
      <c r="I1398" t="inlineStr">
        <is>
          <t>Pre-Series A</t>
        </is>
      </c>
      <c r="J1398" t="inlineStr">
        <is>
          <t>Atomic Capital</t>
        </is>
      </c>
      <c r="K1398" t="inlineStr">
        <is>
          <t>https://inc42.com/buzz/from-gupshup-to-eveez-indian-startups-raised-134-mn-this-week/</t>
        </is>
      </c>
    </row>
    <row r="1399">
      <c r="A1399" t="inlineStr">
        <is>
          <t>ENT-9518911</t>
        </is>
      </c>
      <c r="B1399" t="inlineStr">
        <is>
          <t>R250721-edufund</t>
        </is>
      </c>
      <c r="C1399" t="inlineStr">
        <is>
          <t>Entrackr</t>
        </is>
      </c>
      <c r="D1399" s="17" t="n">
        <v>45859</v>
      </c>
      <c r="E1399" t="inlineStr">
        <is>
          <t>EduFund</t>
        </is>
      </c>
      <c r="F1399" t="inlineStr">
        <is>
          <t>$6 million</t>
        </is>
      </c>
      <c r="G1399" s="19" t="n">
        <v>50</v>
      </c>
      <c r="H1399" s="19" t="n">
        <v>6</v>
      </c>
      <c r="I1399" t="inlineStr">
        <is>
          <t>Series A</t>
        </is>
      </c>
      <c r="J1399" t="inlineStr">
        <is>
          <t>Cercano Management; MassMutual Ventures</t>
        </is>
      </c>
      <c r="K1399" t="inlineStr">
        <is>
          <t>https://entrackr.com/snippets/edufund-raises-6-mn-series-a-round-led-by-cercano-management-9518911</t>
        </is>
      </c>
    </row>
    <row r="1400">
      <c r="A1400" t="inlineStr">
        <is>
          <t>ET-122817115</t>
        </is>
      </c>
      <c r="B1400" t="inlineStr">
        <is>
          <t>R250721-edufund</t>
        </is>
      </c>
      <c r="C1400" t="inlineStr">
        <is>
          <t>The Economic Times</t>
        </is>
      </c>
      <c r="D1400" s="17" t="n">
        <v>45859</v>
      </c>
      <c r="E1400" t="inlineStr">
        <is>
          <t>EduFund</t>
        </is>
      </c>
      <c r="F1400" t="inlineStr">
        <is>
          <t>$6 million</t>
        </is>
      </c>
      <c r="G1400" s="19" t="n"/>
      <c r="H1400" s="19" t="n">
        <v>6</v>
      </c>
      <c r="I1400" t="inlineStr">
        <is>
          <t>Undisclosed</t>
        </is>
      </c>
      <c r="J1400" t="inlineStr">
        <is>
          <t>Cercano Management; MassMutual Ventures</t>
        </is>
      </c>
      <c r="K1400" t="inlineStr">
        <is>
          <t>https://economictimes.indiatimes.com/tech/funding/education-finance-platform-edufund-raises-6-million-from-cercano-management-massmutual-ventures/articleshow/122817115.cms</t>
        </is>
      </c>
    </row>
    <row r="1401">
      <c r="A1401" t="inlineStr">
        <is>
          <t>INC-20250726-05</t>
        </is>
      </c>
      <c r="B1401" t="inlineStr">
        <is>
          <t>R250721-edufund</t>
        </is>
      </c>
      <c r="C1401" t="inlineStr">
        <is>
          <t>Inc42</t>
        </is>
      </c>
      <c r="D1401" s="17" t="n">
        <v>45859</v>
      </c>
      <c r="E1401" t="inlineStr">
        <is>
          <t>EduFund</t>
        </is>
      </c>
      <c r="F1401" t="inlineStr">
        <is>
          <t>$6 Mn</t>
        </is>
      </c>
      <c r="G1401" s="19" t="n"/>
      <c r="H1401" s="19" t="n">
        <v>6</v>
      </c>
      <c r="I1401" t="inlineStr">
        <is>
          <t>Series A</t>
        </is>
      </c>
      <c r="J1401" t="inlineStr">
        <is>
          <t>Cercano Management</t>
        </is>
      </c>
      <c r="K1401" t="inlineStr">
        <is>
          <t>https://inc42.com/buzz/from-gupshup-to-eveez-indian-startups-raised-134-mn-this-week/</t>
        </is>
      </c>
    </row>
    <row r="1402">
      <c r="A1402" t="inlineStr">
        <is>
          <t>ENT-9518419</t>
        </is>
      </c>
      <c r="B1402" t="inlineStr">
        <is>
          <t>R250721-hudle</t>
        </is>
      </c>
      <c r="C1402" t="inlineStr">
        <is>
          <t>Entrackr</t>
        </is>
      </c>
      <c r="D1402" s="17" t="n">
        <v>45859</v>
      </c>
      <c r="E1402" t="inlineStr">
        <is>
          <t>Hudle</t>
        </is>
      </c>
      <c r="F1402" t="inlineStr">
        <is>
          <t>$2.5 million</t>
        </is>
      </c>
      <c r="G1402" s="19" t="n"/>
      <c r="H1402" s="19" t="n">
        <v>2.5</v>
      </c>
      <c r="I1402" t="inlineStr">
        <is>
          <t>Series A</t>
        </is>
      </c>
      <c r="J1402" t="inlineStr">
        <is>
          <t>Sky Impact Capital</t>
        </is>
      </c>
      <c r="K1402" t="inlineStr">
        <is>
          <t>https://entrackr.com/snippets/hudle-raises-25-mn-in-series-a-round-led-by-sky-impact-capital-9518419</t>
        </is>
      </c>
    </row>
    <row r="1403">
      <c r="A1403" t="inlineStr">
        <is>
          <t>INC-20250726-11</t>
        </is>
      </c>
      <c r="B1403" t="inlineStr">
        <is>
          <t>R250721-hudle</t>
        </is>
      </c>
      <c r="C1403" t="inlineStr">
        <is>
          <t>Inc42</t>
        </is>
      </c>
      <c r="D1403" s="17" t="n">
        <v>45859</v>
      </c>
      <c r="E1403" t="inlineStr">
        <is>
          <t>Hudle</t>
        </is>
      </c>
      <c r="F1403" t="inlineStr">
        <is>
          <t>$2.5 Mn</t>
        </is>
      </c>
      <c r="G1403" s="19" t="n"/>
      <c r="H1403" s="19" t="n">
        <v>2.5</v>
      </c>
      <c r="I1403" t="inlineStr">
        <is>
          <t>Series A</t>
        </is>
      </c>
      <c r="J1403" t="inlineStr">
        <is>
          <t>Sky Impact Capital</t>
        </is>
      </c>
      <c r="K1403" t="inlineStr">
        <is>
          <t>https://inc42.com/buzz/from-gupshup-to-eveez-indian-startups-raised-134-mn-this-week/</t>
        </is>
      </c>
    </row>
    <row r="1404">
      <c r="A1404" t="inlineStr">
        <is>
          <t>ENT-9519354</t>
        </is>
      </c>
      <c r="B1404" t="inlineStr">
        <is>
          <t>R250721-plenometechnol</t>
        </is>
      </c>
      <c r="C1404" t="inlineStr">
        <is>
          <t>Entrackr</t>
        </is>
      </c>
      <c r="D1404" s="17" t="n">
        <v>45859</v>
      </c>
      <c r="E1404" t="inlineStr">
        <is>
          <t>Plenome Technologies</t>
        </is>
      </c>
      <c r="F1404" t="inlineStr">
        <is>
          <t>Rs 6.5 crore</t>
        </is>
      </c>
      <c r="G1404" s="19" t="n">
        <v>6.5</v>
      </c>
      <c r="H1404" s="19" t="n"/>
      <c r="I1404" t="inlineStr">
        <is>
          <t>Seed</t>
        </is>
      </c>
      <c r="J1404" t="inlineStr"/>
      <c r="K1404" t="inlineStr">
        <is>
          <t>https://entrackr.com/snippets/plenome-technologies-raises-rs-65-cr-in-seed-round-9519354</t>
        </is>
      </c>
    </row>
    <row r="1405">
      <c r="A1405" t="inlineStr">
        <is>
          <t>INC-20250726-16</t>
        </is>
      </c>
      <c r="B1405" t="inlineStr">
        <is>
          <t>R250721-plenometechnol</t>
        </is>
      </c>
      <c r="C1405" t="inlineStr">
        <is>
          <t>Inc42</t>
        </is>
      </c>
      <c r="D1405" s="17" t="n">
        <v>45859</v>
      </c>
      <c r="E1405" t="inlineStr">
        <is>
          <t>Plenome Technologies</t>
        </is>
      </c>
      <c r="F1405" t="inlineStr">
        <is>
          <t>$752K</t>
        </is>
      </c>
      <c r="G1405" s="19" t="n"/>
      <c r="H1405" s="19" t="n">
        <v>0.752</v>
      </c>
      <c r="I1405" t="inlineStr">
        <is>
          <t>Seed</t>
        </is>
      </c>
      <c r="J1405" t="inlineStr">
        <is>
          <t>Ovington Capital Partners</t>
        </is>
      </c>
      <c r="K1405" t="inlineStr">
        <is>
          <t>https://inc42.com/buzz/from-gupshup-to-eveez-indian-startups-raised-134-mn-this-week/</t>
        </is>
      </c>
    </row>
    <row r="1406">
      <c r="A1406" t="inlineStr">
        <is>
          <t>ET-122907208</t>
        </is>
      </c>
      <c r="B1406" t="inlineStr">
        <is>
          <t>R250721-plenometechnol</t>
        </is>
      </c>
      <c r="C1406" t="inlineStr">
        <is>
          <t>The Economic Times</t>
        </is>
      </c>
      <c r="D1406" s="17" t="n">
        <v>45863</v>
      </c>
      <c r="E1406" t="inlineStr">
        <is>
          <t>Plenome Technologies</t>
        </is>
      </c>
      <c r="F1406" t="inlineStr">
        <is>
          <t>Rs 6.5 crore</t>
        </is>
      </c>
      <c r="G1406" s="19" t="n">
        <v>6.5</v>
      </c>
      <c r="H1406" s="19" t="n"/>
      <c r="I1406" t="inlineStr">
        <is>
          <t>Seed</t>
        </is>
      </c>
      <c r="J1406" t="inlineStr"/>
      <c r="K1406" t="inlineStr">
        <is>
          <t>https://economictimes.indiatimes.com/tech/funding/deeptech-startup-plenome-technologies-raises-rs-6-5-crore-from-indian-global-investors/articleshow/122907208.cms</t>
        </is>
      </c>
    </row>
    <row r="1407">
      <c r="A1407" t="inlineStr">
        <is>
          <t>ENT-9522522</t>
        </is>
      </c>
      <c r="B1407" t="inlineStr">
        <is>
          <t>R250722-apclub</t>
        </is>
      </c>
      <c r="C1407" t="inlineStr">
        <is>
          <t>Entrackr</t>
        </is>
      </c>
      <c r="D1407" s="17" t="n">
        <v>45860</v>
      </c>
      <c r="E1407" t="inlineStr">
        <is>
          <t>ApClub</t>
        </is>
      </c>
      <c r="F1407" t="inlineStr">
        <is>
          <t>Rs 2 crore</t>
        </is>
      </c>
      <c r="G1407" s="19" t="n">
        <v>2</v>
      </c>
      <c r="H1407" s="19" t="n"/>
      <c r="I1407" t="inlineStr">
        <is>
          <t>Pre-Seed</t>
        </is>
      </c>
      <c r="J1407" t="inlineStr">
        <is>
          <t>Curefit Healthcare</t>
        </is>
      </c>
      <c r="K1407" t="inlineStr">
        <is>
          <t>https://entrackr.com/snippets/apclub-raises-rs-2-cr-in-pre-seed-round-led-by-curefit-healthcare-9522522</t>
        </is>
      </c>
    </row>
    <row r="1408">
      <c r="A1408" t="inlineStr">
        <is>
          <t>INC-20250726-18</t>
        </is>
      </c>
      <c r="B1408" t="inlineStr">
        <is>
          <t>R250722-apclub</t>
        </is>
      </c>
      <c r="C1408" t="inlineStr">
        <is>
          <t>Inc42</t>
        </is>
      </c>
      <c r="D1408" s="17" t="n">
        <v>45860</v>
      </c>
      <c r="E1408" t="inlineStr">
        <is>
          <t>ApClub</t>
        </is>
      </c>
      <c r="F1408" t="inlineStr">
        <is>
          <t>$231K</t>
        </is>
      </c>
      <c r="G1408" s="19" t="n"/>
      <c r="H1408" s="19" t="n">
        <v>0.231</v>
      </c>
      <c r="I1408" t="inlineStr">
        <is>
          <t>Pre-Seed</t>
        </is>
      </c>
      <c r="J1408" t="inlineStr">
        <is>
          <t>Curefit</t>
        </is>
      </c>
      <c r="K1408" t="inlineStr">
        <is>
          <t>https://inc42.com/buzz/from-gupshup-to-eveez-indian-startups-raised-134-mn-this-week/</t>
        </is>
      </c>
    </row>
    <row r="1409">
      <c r="A1409" t="inlineStr">
        <is>
          <t>ENT-9525112</t>
        </is>
      </c>
      <c r="B1409" t="inlineStr">
        <is>
          <t>R250722-composio</t>
        </is>
      </c>
      <c r="C1409" t="inlineStr">
        <is>
          <t>Entrackr</t>
        </is>
      </c>
      <c r="D1409" s="17" t="n">
        <v>45860</v>
      </c>
      <c r="E1409" t="inlineStr">
        <is>
          <t>Composio</t>
        </is>
      </c>
      <c r="F1409" t="inlineStr">
        <is>
          <t>$25 million</t>
        </is>
      </c>
      <c r="G1409" s="19" t="n"/>
      <c r="H1409" s="19" t="n">
        <v>25</v>
      </c>
      <c r="I1409" t="inlineStr">
        <is>
          <t>Undisclosed</t>
        </is>
      </c>
      <c r="J1409" t="inlineStr">
        <is>
          <t>Lightspeed Venture Partners</t>
        </is>
      </c>
      <c r="K1409" t="inlineStr">
        <is>
          <t>https://entrackr.com/news/agentic-ai-startup-composio-raises-25-mn-led-by-lightspeed-9525112</t>
        </is>
      </c>
    </row>
    <row r="1410">
      <c r="A1410" t="inlineStr">
        <is>
          <t>ET-122838611</t>
        </is>
      </c>
      <c r="B1410" t="inlineStr">
        <is>
          <t>R250722-composio</t>
        </is>
      </c>
      <c r="C1410" t="inlineStr">
        <is>
          <t>The Economic Times</t>
        </is>
      </c>
      <c r="D1410" s="17" t="n">
        <v>45860</v>
      </c>
      <c r="E1410" t="inlineStr">
        <is>
          <t>Composio</t>
        </is>
      </c>
      <c r="F1410" t="inlineStr">
        <is>
          <t>$25 million</t>
        </is>
      </c>
      <c r="G1410" s="19" t="n"/>
      <c r="H1410" s="19" t="n">
        <v>25</v>
      </c>
      <c r="I1410" t="inlineStr">
        <is>
          <t>Undisclosed</t>
        </is>
      </c>
      <c r="J1410" t="inlineStr">
        <is>
          <t>Lightspeed Venture Partners; Soham Ganatra</t>
        </is>
      </c>
      <c r="K1410" t="inlineStr">
        <is>
          <t>https://economictimes.indiatimes.com/tech/funding/agentic-ai-startup-composio-raises-25-million-in-funding-round-led-by-lightspeed-venture-partners/articleshow/122838611.cms</t>
        </is>
      </c>
    </row>
    <row r="1411">
      <c r="A1411" t="inlineStr">
        <is>
          <t>ENT-9522469</t>
        </is>
      </c>
      <c r="B1411" t="inlineStr">
        <is>
          <t>R250722-escape</t>
        </is>
      </c>
      <c r="C1411" t="inlineStr">
        <is>
          <t>Entrackr</t>
        </is>
      </c>
      <c r="D1411" s="17" t="n">
        <v>45860</v>
      </c>
      <c r="E1411" t="inlineStr">
        <is>
          <t>Escape</t>
        </is>
      </c>
      <c r="F1411" t="inlineStr">
        <is>
          <t>$5 million</t>
        </is>
      </c>
      <c r="G1411" s="19" t="n"/>
      <c r="H1411" s="19" t="n">
        <v>5</v>
      </c>
      <c r="I1411" t="inlineStr">
        <is>
          <t>Undisclosed</t>
        </is>
      </c>
      <c r="J1411" t="inlineStr">
        <is>
          <t>Fireside Ventures</t>
        </is>
      </c>
      <c r="K1411" t="inlineStr">
        <is>
          <t>https://entrackr.com/snippets/escape-plan-raises-5-mn-in-new-round-led-by-jungle-ventures-9522469</t>
        </is>
      </c>
    </row>
    <row r="1412">
      <c r="A1412" t="inlineStr">
        <is>
          <t>ET-122820091</t>
        </is>
      </c>
      <c r="B1412" t="inlineStr">
        <is>
          <t>R250722-escape</t>
        </is>
      </c>
      <c r="C1412" t="inlineStr">
        <is>
          <t>The Economic Times</t>
        </is>
      </c>
      <c r="D1412" s="17" t="n">
        <v>45860</v>
      </c>
      <c r="E1412" t="inlineStr">
        <is>
          <t>Escape</t>
        </is>
      </c>
      <c r="F1412" t="inlineStr">
        <is>
          <t>$5 million</t>
        </is>
      </c>
      <c r="G1412" s="19" t="n"/>
      <c r="H1412" s="19" t="n">
        <v>5</v>
      </c>
      <c r="I1412" t="inlineStr">
        <is>
          <t>Undisclosed</t>
        </is>
      </c>
      <c r="J1412" t="inlineStr">
        <is>
          <t>Jungle Ventures via First Cheque@Jungle; Fireside Ventures</t>
        </is>
      </c>
      <c r="K1412" t="inlineStr">
        <is>
          <t>https://economictimes.indiatimes.com/tech/funding/new-age-travel-accessories-platform-escape-plan-raises-5-million-from-jungle-ventures-fireside-ventures/articleshow/122820091.cms</t>
        </is>
      </c>
    </row>
    <row r="1413">
      <c r="A1413" t="inlineStr">
        <is>
          <t>INC-20250726-10</t>
        </is>
      </c>
      <c r="B1413" t="inlineStr">
        <is>
          <t>R250722-escape</t>
        </is>
      </c>
      <c r="C1413" t="inlineStr">
        <is>
          <t>Inc42</t>
        </is>
      </c>
      <c r="D1413" s="17" t="n">
        <v>45860</v>
      </c>
      <c r="E1413" t="inlineStr">
        <is>
          <t>Escape Plan</t>
        </is>
      </c>
      <c r="F1413" t="inlineStr">
        <is>
          <t>$5 Mn</t>
        </is>
      </c>
      <c r="G1413" s="19" t="n"/>
      <c r="H1413" s="19" t="n">
        <v>5</v>
      </c>
      <c r="I1413" t="inlineStr">
        <is>
          <t>Seed</t>
        </is>
      </c>
      <c r="J1413" t="inlineStr">
        <is>
          <t>Jungle Ventures; Fireside Ventures</t>
        </is>
      </c>
      <c r="K1413" t="inlineStr">
        <is>
          <t>https://inc42.com/buzz/from-gupshup-to-eveez-indian-startups-raised-134-mn-this-week/</t>
        </is>
      </c>
    </row>
    <row r="1414">
      <c r="A1414" t="inlineStr">
        <is>
          <t>INC-20250726-22</t>
        </is>
      </c>
      <c r="B1414" t="inlineStr">
        <is>
          <t>R250722-klugklug</t>
        </is>
      </c>
      <c r="C1414" t="inlineStr">
        <is>
          <t>Inc42</t>
        </is>
      </c>
      <c r="D1414" s="17" t="n">
        <v>45860</v>
      </c>
      <c r="E1414" t="inlineStr">
        <is>
          <t>KlugKlug</t>
        </is>
      </c>
      <c r="F1414" t="inlineStr"/>
      <c r="G1414" s="19" t="n"/>
      <c r="H1414" s="19" t="n"/>
      <c r="I1414" t="inlineStr">
        <is>
          <t>Undisclosed</t>
        </is>
      </c>
      <c r="J1414" t="inlineStr"/>
      <c r="K1414" t="inlineStr">
        <is>
          <t>https://inc42.com/buzz/from-gupshup-to-eveez-indian-startups-raised-134-mn-this-week/</t>
        </is>
      </c>
    </row>
    <row r="1415">
      <c r="A1415" t="inlineStr">
        <is>
          <t>INC-20250726-20</t>
        </is>
      </c>
      <c r="B1415" t="inlineStr">
        <is>
          <t>R250722-magma</t>
        </is>
      </c>
      <c r="C1415" t="inlineStr">
        <is>
          <t>Inc42</t>
        </is>
      </c>
      <c r="D1415" s="17" t="n">
        <v>45860</v>
      </c>
      <c r="E1415" t="inlineStr">
        <is>
          <t>Magma</t>
        </is>
      </c>
      <c r="F1415" t="inlineStr"/>
      <c r="G1415" s="19" t="n"/>
      <c r="H1415" s="19" t="n"/>
      <c r="I1415" t="inlineStr">
        <is>
          <t>Undisclosed</t>
        </is>
      </c>
      <c r="J1415" t="inlineStr">
        <is>
          <t>GVFL Limited</t>
        </is>
      </c>
      <c r="K1415" t="inlineStr">
        <is>
          <t>https://inc42.com/buzz/from-gupshup-to-eveez-indian-startups-raised-134-mn-this-week/</t>
        </is>
      </c>
    </row>
    <row r="1416">
      <c r="A1416" t="inlineStr">
        <is>
          <t>ENT-9527285</t>
        </is>
      </c>
      <c r="B1416" t="inlineStr">
        <is>
          <t>R250722-magma</t>
        </is>
      </c>
      <c r="C1416" t="inlineStr">
        <is>
          <t>Entrackr</t>
        </is>
      </c>
      <c r="D1416" s="17" t="n">
        <v>45861</v>
      </c>
      <c r="E1416" t="inlineStr">
        <is>
          <t>Magma</t>
        </is>
      </c>
      <c r="F1416" t="inlineStr"/>
      <c r="G1416" s="19" t="n"/>
      <c r="H1416" s="19" t="n"/>
      <c r="I1416" t="inlineStr">
        <is>
          <t>Series A</t>
        </is>
      </c>
      <c r="J1416" t="inlineStr"/>
      <c r="K1416" t="inlineStr">
        <is>
          <t>https://entrackr.com/snippets/gvfl-backs-magma-in-extended-series-a-round-9527285</t>
        </is>
      </c>
    </row>
    <row r="1417">
      <c r="A1417" t="inlineStr">
        <is>
          <t>ENT-9526895</t>
        </is>
      </c>
      <c r="B1417" t="inlineStr">
        <is>
          <t>R250723-coluxe</t>
        </is>
      </c>
      <c r="C1417" t="inlineStr">
        <is>
          <t>Entrackr</t>
        </is>
      </c>
      <c r="D1417" s="17" t="n">
        <v>45861</v>
      </c>
      <c r="E1417" t="inlineStr">
        <is>
          <t>Coluxe</t>
        </is>
      </c>
      <c r="F1417" t="inlineStr"/>
      <c r="G1417" s="19" t="n"/>
      <c r="H1417" s="19" t="n"/>
      <c r="I1417" t="inlineStr">
        <is>
          <t>Undisclosed</t>
        </is>
      </c>
      <c r="J1417" t="inlineStr"/>
      <c r="K1417" t="inlineStr">
        <is>
          <t>https://entrackr.com/snippets/coluxe-closes-friends-and-family-round-to-launch-everyday-fine-jewellery-platform-9526895</t>
        </is>
      </c>
    </row>
    <row r="1418">
      <c r="A1418" t="inlineStr">
        <is>
          <t>INC-20250726-19</t>
        </is>
      </c>
      <c r="B1418" t="inlineStr">
        <is>
          <t>R250723-coluxe</t>
        </is>
      </c>
      <c r="C1418" t="inlineStr">
        <is>
          <t>Inc42</t>
        </is>
      </c>
      <c r="D1418" s="17" t="n">
        <v>45861</v>
      </c>
      <c r="E1418" t="inlineStr">
        <is>
          <t>Coluxe</t>
        </is>
      </c>
      <c r="F1418" t="inlineStr"/>
      <c r="G1418" s="19" t="n"/>
      <c r="H1418" s="19" t="n"/>
      <c r="I1418" t="inlineStr">
        <is>
          <t>Undisclosed</t>
        </is>
      </c>
      <c r="J1418" t="inlineStr"/>
      <c r="K1418" t="inlineStr">
        <is>
          <t>https://inc42.com/buzz/from-gupshup-to-eveez-indian-startups-raised-134-mn-this-week/</t>
        </is>
      </c>
    </row>
    <row r="1419">
      <c r="A1419" t="inlineStr">
        <is>
          <t>ENT-9526001</t>
        </is>
      </c>
      <c r="B1419" t="inlineStr">
        <is>
          <t>R250723-grexaai</t>
        </is>
      </c>
      <c r="C1419" t="inlineStr">
        <is>
          <t>Entrackr</t>
        </is>
      </c>
      <c r="D1419" s="17" t="n">
        <v>45861</v>
      </c>
      <c r="E1419" t="inlineStr">
        <is>
          <t>Grexa AI</t>
        </is>
      </c>
      <c r="F1419" t="inlineStr">
        <is>
          <t>Rs 15.5 crore</t>
        </is>
      </c>
      <c r="G1419" s="19" t="n">
        <v>15.5</v>
      </c>
      <c r="H1419" s="19" t="n">
        <v>1.85</v>
      </c>
      <c r="I1419" t="inlineStr">
        <is>
          <t>Seed</t>
        </is>
      </c>
      <c r="J1419" t="inlineStr">
        <is>
          <t>Utsav Somani</t>
        </is>
      </c>
      <c r="K1419" t="inlineStr">
        <is>
          <t>https://entrackr.com/snippets/marketing-platform-grexa-ai-raises-185-mn-in-seed-round-9526001</t>
        </is>
      </c>
    </row>
    <row r="1420">
      <c r="A1420" t="inlineStr">
        <is>
          <t>INC-20250726-12</t>
        </is>
      </c>
      <c r="B1420" t="inlineStr">
        <is>
          <t>R250723-grexaai</t>
        </is>
      </c>
      <c r="C1420" t="inlineStr">
        <is>
          <t>Inc42</t>
        </is>
      </c>
      <c r="D1420" s="17" t="n">
        <v>45861</v>
      </c>
      <c r="E1420" t="inlineStr">
        <is>
          <t>Grexa AI</t>
        </is>
      </c>
      <c r="F1420" t="inlineStr">
        <is>
          <t>$1.8 Mn</t>
        </is>
      </c>
      <c r="G1420" s="19" t="n"/>
      <c r="H1420" s="19" t="n">
        <v>1.8</v>
      </c>
      <c r="I1420" t="inlineStr">
        <is>
          <t>Seed</t>
        </is>
      </c>
      <c r="J1420" t="inlineStr">
        <is>
          <t>Utsav Somani</t>
        </is>
      </c>
      <c r="K1420" t="inlineStr">
        <is>
          <t>https://inc42.com/buzz/from-gupshup-to-eveez-indian-startups-raised-134-mn-this-week/</t>
        </is>
      </c>
    </row>
    <row r="1421">
      <c r="A1421" t="inlineStr">
        <is>
          <t>ENT-9526766</t>
        </is>
      </c>
      <c r="B1421" t="inlineStr">
        <is>
          <t>R250723-gupshup</t>
        </is>
      </c>
      <c r="C1421" t="inlineStr">
        <is>
          <t>Entrackr</t>
        </is>
      </c>
      <c r="D1421" s="17" t="n">
        <v>45861</v>
      </c>
      <c r="E1421" t="inlineStr">
        <is>
          <t>Gupshup</t>
        </is>
      </c>
      <c r="F1421" t="inlineStr">
        <is>
          <t>$60 million</t>
        </is>
      </c>
      <c r="G1421" s="19" t="n"/>
      <c r="H1421" s="19" t="n">
        <v>60</v>
      </c>
      <c r="I1421" t="inlineStr">
        <is>
          <t>Undisclosed</t>
        </is>
      </c>
      <c r="J1421" t="inlineStr"/>
      <c r="K1421" t="inlineStr">
        <is>
          <t>https://entrackr.com/news/gupshup-raises-60-mn-from-globespan-and-evolutionx-9526766</t>
        </is>
      </c>
    </row>
    <row r="1422">
      <c r="A1422" t="inlineStr">
        <is>
          <t>ET-122852452</t>
        </is>
      </c>
      <c r="B1422" t="inlineStr">
        <is>
          <t>R250723-gupshup</t>
        </is>
      </c>
      <c r="C1422" t="inlineStr">
        <is>
          <t>The Economic Times</t>
        </is>
      </c>
      <c r="D1422" s="17" t="n">
        <v>45861</v>
      </c>
      <c r="E1422" t="inlineStr">
        <is>
          <t>Gupshup</t>
        </is>
      </c>
      <c r="F1422" t="inlineStr">
        <is>
          <t>$60 million</t>
        </is>
      </c>
      <c r="G1422" s="19" t="n">
        <v>518</v>
      </c>
      <c r="H1422" s="19" t="n">
        <v>60</v>
      </c>
      <c r="I1422" t="inlineStr">
        <is>
          <t>Undisclosed</t>
        </is>
      </c>
      <c r="J1422" t="inlineStr"/>
      <c r="K1422" t="inlineStr">
        <is>
          <t>https://economictimes.indiatimes.com/tech/funding/conversational-ai-platform-gupshup-raises-60-million-from-globespan-evolutionx/articleshow/122852452.cms</t>
        </is>
      </c>
    </row>
    <row r="1423">
      <c r="A1423" t="inlineStr">
        <is>
          <t>INC-20250726-01</t>
        </is>
      </c>
      <c r="B1423" t="inlineStr">
        <is>
          <t>R250723-gupshup</t>
        </is>
      </c>
      <c r="C1423" t="inlineStr">
        <is>
          <t>Inc42</t>
        </is>
      </c>
      <c r="D1423" s="17" t="n">
        <v>45861</v>
      </c>
      <c r="E1423" t="inlineStr">
        <is>
          <t>Gupshup</t>
        </is>
      </c>
      <c r="F1423" t="inlineStr">
        <is>
          <t>$60 Mn</t>
        </is>
      </c>
      <c r="G1423" s="19" t="n"/>
      <c r="H1423" s="19" t="n">
        <v>60</v>
      </c>
      <c r="I1423" t="inlineStr">
        <is>
          <t>Undisclosed</t>
        </is>
      </c>
      <c r="J1423" t="inlineStr"/>
      <c r="K1423" t="inlineStr">
        <is>
          <t>https://inc42.com/buzz/from-gupshup-to-eveez-indian-startups-raised-134-mn-this-week/</t>
        </is>
      </c>
    </row>
    <row r="1424">
      <c r="A1424" t="inlineStr">
        <is>
          <t>ENT-9526624</t>
        </is>
      </c>
      <c r="B1424" t="inlineStr">
        <is>
          <t>R250723-inboundaerospa</t>
        </is>
      </c>
      <c r="C1424" t="inlineStr">
        <is>
          <t>Entrackr</t>
        </is>
      </c>
      <c r="D1424" s="17" t="n">
        <v>45861</v>
      </c>
      <c r="E1424" t="inlineStr">
        <is>
          <t>Inbound Aerospace</t>
        </is>
      </c>
      <c r="F1424" t="inlineStr">
        <is>
          <t>$1 million</t>
        </is>
      </c>
      <c r="G1424" s="19" t="n"/>
      <c r="H1424" s="19" t="n">
        <v>1</v>
      </c>
      <c r="I1424" t="inlineStr">
        <is>
          <t>Pre-Seed</t>
        </is>
      </c>
      <c r="J1424" t="inlineStr">
        <is>
          <t>Speciale Invest</t>
        </is>
      </c>
      <c r="K1424" t="inlineStr">
        <is>
          <t>https://entrackr.com/snippets/space-tech-startup-inbound-aerospace-raises-1-mn-in-seed-funding-round-9526624</t>
        </is>
      </c>
    </row>
    <row r="1425">
      <c r="A1425" t="inlineStr">
        <is>
          <t>ET-122851845</t>
        </is>
      </c>
      <c r="B1425" t="inlineStr">
        <is>
          <t>R250723-inboundaerospa</t>
        </is>
      </c>
      <c r="C1425" t="inlineStr">
        <is>
          <t>The Economic Times</t>
        </is>
      </c>
      <c r="D1425" s="17" t="n">
        <v>45861</v>
      </c>
      <c r="E1425" t="inlineStr">
        <is>
          <t>Inbound Aerospace</t>
        </is>
      </c>
      <c r="F1425" t="inlineStr">
        <is>
          <t>$1 million</t>
        </is>
      </c>
      <c r="G1425" s="19" t="n"/>
      <c r="H1425" s="19" t="n">
        <v>1</v>
      </c>
      <c r="I1425" t="inlineStr">
        <is>
          <t>Undisclosed</t>
        </is>
      </c>
      <c r="J1425" t="inlineStr">
        <is>
          <t>Speciale Invest</t>
        </is>
      </c>
      <c r="K1425" t="inlineStr">
        <is>
          <t>https://economictimes.indiatimes.com/tech/funding/spacetech-startup-inbound-aerospace-raises-1-million-in-funding-from-speciale-invest/articleshow/122851845.cms</t>
        </is>
      </c>
    </row>
    <row r="1426">
      <c r="A1426" t="inlineStr">
        <is>
          <t>INC-20250726-15</t>
        </is>
      </c>
      <c r="B1426" t="inlineStr">
        <is>
          <t>R250723-inboundaerospa</t>
        </is>
      </c>
      <c r="C1426" t="inlineStr">
        <is>
          <t>Inc42</t>
        </is>
      </c>
      <c r="D1426" s="17" t="n">
        <v>45861</v>
      </c>
      <c r="E1426" t="inlineStr">
        <is>
          <t>Inbound Aerospace</t>
        </is>
      </c>
      <c r="F1426" t="inlineStr">
        <is>
          <t>$1 Mn</t>
        </is>
      </c>
      <c r="G1426" s="19" t="n"/>
      <c r="H1426" s="19" t="n">
        <v>1</v>
      </c>
      <c r="I1426" t="inlineStr">
        <is>
          <t>Pre-Seed</t>
        </is>
      </c>
      <c r="J1426" t="inlineStr">
        <is>
          <t>Speciale Invest</t>
        </is>
      </c>
      <c r="K1426" t="inlineStr">
        <is>
          <t>https://inc42.com/buzz/from-gupshup-to-eveez-indian-startups-raised-134-mn-this-week/</t>
        </is>
      </c>
    </row>
    <row r="1427">
      <c r="A1427" t="inlineStr">
        <is>
          <t>ENT-9527330</t>
        </is>
      </c>
      <c r="B1427" t="inlineStr">
        <is>
          <t>R250723-ituring</t>
        </is>
      </c>
      <c r="C1427" t="inlineStr">
        <is>
          <t>Entrackr</t>
        </is>
      </c>
      <c r="D1427" s="17" t="n">
        <v>45861</v>
      </c>
      <c r="E1427" t="inlineStr">
        <is>
          <t>iTuring</t>
        </is>
      </c>
      <c r="F1427" t="inlineStr">
        <is>
          <t>$5 million</t>
        </is>
      </c>
      <c r="G1427" s="19" t="n"/>
      <c r="H1427" s="19" t="n">
        <v>5</v>
      </c>
      <c r="I1427" t="inlineStr">
        <is>
          <t>Series A</t>
        </is>
      </c>
      <c r="J1427" t="inlineStr">
        <is>
          <t>Dallas Venture Capital</t>
        </is>
      </c>
      <c r="K1427" t="inlineStr">
        <is>
          <t>https://entrackr.com/snippets/ituring-raises-5-mn-in-series-a-round-led-by-dallas-venture-and-mela-ventures-9527330</t>
        </is>
      </c>
    </row>
    <row r="1428">
      <c r="A1428" t="inlineStr">
        <is>
          <t>INC-20250726-08</t>
        </is>
      </c>
      <c r="B1428" t="inlineStr">
        <is>
          <t>R250723-ituring</t>
        </is>
      </c>
      <c r="C1428" t="inlineStr">
        <is>
          <t>Inc42</t>
        </is>
      </c>
      <c r="D1428" s="17" t="n">
        <v>45861</v>
      </c>
      <c r="E1428" t="inlineStr">
        <is>
          <t>iTuring.AI</t>
        </is>
      </c>
      <c r="F1428" t="inlineStr">
        <is>
          <t>$5 Mn</t>
        </is>
      </c>
      <c r="G1428" s="19" t="n"/>
      <c r="H1428" s="19" t="n">
        <v>5</v>
      </c>
      <c r="I1428" t="inlineStr">
        <is>
          <t>Series A</t>
        </is>
      </c>
      <c r="J1428" t="inlineStr">
        <is>
          <t>Dallas Venture Capital; Mela Ventures</t>
        </is>
      </c>
      <c r="K1428" t="inlineStr">
        <is>
          <t>https://inc42.com/buzz/from-gupshup-to-eveez-indian-startups-raised-134-mn-this-week/</t>
        </is>
      </c>
    </row>
    <row r="1429">
      <c r="A1429" t="inlineStr">
        <is>
          <t>ENT-9526543</t>
        </is>
      </c>
      <c r="B1429" t="inlineStr">
        <is>
          <t>R250723-kluiszai</t>
        </is>
      </c>
      <c r="C1429" t="inlineStr">
        <is>
          <t>Entrackr</t>
        </is>
      </c>
      <c r="D1429" s="17" t="n">
        <v>45861</v>
      </c>
      <c r="E1429" t="inlineStr">
        <is>
          <t>Kluisz.ai</t>
        </is>
      </c>
      <c r="F1429" t="inlineStr">
        <is>
          <t>$9.6 million</t>
        </is>
      </c>
      <c r="G1429" s="19" t="n"/>
      <c r="H1429" s="19" t="n">
        <v>9.6</v>
      </c>
      <c r="I1429" t="inlineStr">
        <is>
          <t>Seed</t>
        </is>
      </c>
      <c r="J1429" t="inlineStr">
        <is>
          <t>RTP Global</t>
        </is>
      </c>
      <c r="K1429" t="inlineStr">
        <is>
          <t>https://entrackr.com/news/kluiszai-raises-96-mn-in-seed-round-led-by-rtp-global-9526543</t>
        </is>
      </c>
    </row>
    <row r="1430">
      <c r="A1430" t="inlineStr">
        <is>
          <t>ET-122856045</t>
        </is>
      </c>
      <c r="B1430" t="inlineStr">
        <is>
          <t>R250723-kluiszai</t>
        </is>
      </c>
      <c r="C1430" t="inlineStr">
        <is>
          <t>The Economic Times</t>
        </is>
      </c>
      <c r="D1430" s="17" t="n">
        <v>45861</v>
      </c>
      <c r="E1430" t="inlineStr">
        <is>
          <t>Kluisz. ai</t>
        </is>
      </c>
      <c r="F1430" t="inlineStr">
        <is>
          <t>$9.6 million</t>
        </is>
      </c>
      <c r="G1430" s="19" t="n"/>
      <c r="H1430" s="19" t="n">
        <v>9.6</v>
      </c>
      <c r="I1430" t="inlineStr">
        <is>
          <t>Seed</t>
        </is>
      </c>
      <c r="J1430" t="inlineStr">
        <is>
          <t>RTP Global</t>
        </is>
      </c>
      <c r="K1430" t="inlineStr">
        <is>
          <t>https://economictimes.indiatimes.com/tech/funding/deeptech-startup-kluisz-ai-raises-9-6-million-in-round-led-by-rtp-global/articleshow/122856045.cms</t>
        </is>
      </c>
    </row>
    <row r="1431">
      <c r="A1431" t="inlineStr">
        <is>
          <t>INC-20250726-04</t>
        </is>
      </c>
      <c r="B1431" t="inlineStr">
        <is>
          <t>R250723-kluiszai</t>
        </is>
      </c>
      <c r="C1431" t="inlineStr">
        <is>
          <t>Inc42</t>
        </is>
      </c>
      <c r="D1431" s="17" t="n">
        <v>45861</v>
      </c>
      <c r="E1431" t="inlineStr">
        <is>
          <t>Kluisz.ai</t>
        </is>
      </c>
      <c r="F1431" t="inlineStr">
        <is>
          <t>$9.6 Mn</t>
        </is>
      </c>
      <c r="G1431" s="19" t="n"/>
      <c r="H1431" s="19" t="n">
        <v>9.6</v>
      </c>
      <c r="I1431" t="inlineStr">
        <is>
          <t>Seed</t>
        </is>
      </c>
      <c r="J1431" t="inlineStr">
        <is>
          <t>RTP Global</t>
        </is>
      </c>
      <c r="K1431" t="inlineStr">
        <is>
          <t>https://inc42.com/buzz/from-gupshup-to-eveez-indian-startups-raised-134-mn-this-week/</t>
        </is>
      </c>
    </row>
    <row r="1432">
      <c r="A1432" t="inlineStr">
        <is>
          <t>ENT-9527708</t>
        </is>
      </c>
      <c r="B1432" t="inlineStr">
        <is>
          <t>R250723-pristyncare</t>
        </is>
      </c>
      <c r="C1432" t="inlineStr">
        <is>
          <t>Entrackr</t>
        </is>
      </c>
      <c r="D1432" s="17" t="n">
        <v>45861</v>
      </c>
      <c r="E1432" t="inlineStr">
        <is>
          <t>Pristyn Care</t>
        </is>
      </c>
      <c r="F1432" t="inlineStr">
        <is>
          <t>$4 million</t>
        </is>
      </c>
      <c r="G1432" s="19" t="n"/>
      <c r="H1432" s="19" t="n">
        <v>4</v>
      </c>
      <c r="I1432" t="inlineStr">
        <is>
          <t>Undisclosed</t>
        </is>
      </c>
      <c r="J1432" t="inlineStr"/>
      <c r="K1432" t="inlineStr">
        <is>
          <t>https://entrackr.com/exclusive/exclusive-pristyn-care-raises-4-mn-to-scale-in-house-hospitals-preps-for-larger-round-9527708</t>
        </is>
      </c>
    </row>
    <row r="1433">
      <c r="A1433" t="inlineStr">
        <is>
          <t>INC-20250726-09</t>
        </is>
      </c>
      <c r="B1433" t="inlineStr">
        <is>
          <t>R250723-sugarcosmetics</t>
        </is>
      </c>
      <c r="C1433" t="inlineStr">
        <is>
          <t>Inc42</t>
        </is>
      </c>
      <c r="D1433" s="17" t="n">
        <v>45861</v>
      </c>
      <c r="E1433" t="inlineStr">
        <is>
          <t>Sugar Cosmetics</t>
        </is>
      </c>
      <c r="F1433" t="inlineStr">
        <is>
          <t>$5 Mn</t>
        </is>
      </c>
      <c r="G1433" s="19" t="n"/>
      <c r="H1433" s="19" t="n">
        <v>5</v>
      </c>
      <c r="I1433" t="inlineStr">
        <is>
          <t>Undisclosed</t>
        </is>
      </c>
      <c r="J1433" t="inlineStr">
        <is>
          <t>Anicut Capital</t>
        </is>
      </c>
      <c r="K1433" t="inlineStr">
        <is>
          <t>https://inc42.com/buzz/from-gupshup-to-eveez-indian-startups-raised-134-mn-this-week/</t>
        </is>
      </c>
    </row>
    <row r="1434">
      <c r="A1434" t="inlineStr">
        <is>
          <t>ENT-9530132</t>
        </is>
      </c>
      <c r="B1434" t="inlineStr">
        <is>
          <t>R250724-bharatsure</t>
        </is>
      </c>
      <c r="C1434" t="inlineStr">
        <is>
          <t>Entrackr</t>
        </is>
      </c>
      <c r="D1434" s="17" t="n">
        <v>45862</v>
      </c>
      <c r="E1434" t="inlineStr">
        <is>
          <t>Bharatsure</t>
        </is>
      </c>
      <c r="F1434" t="inlineStr">
        <is>
          <t>Rs 6 crore</t>
        </is>
      </c>
      <c r="G1434" s="19" t="n">
        <v>6</v>
      </c>
      <c r="H1434" s="19" t="n"/>
      <c r="I1434" t="inlineStr">
        <is>
          <t>Undisclosed</t>
        </is>
      </c>
      <c r="J1434" t="inlineStr">
        <is>
          <t>Inflection Point Ventures</t>
        </is>
      </c>
      <c r="K1434" t="inlineStr">
        <is>
          <t>https://entrackr.com/snippets/insurtech-startup-bharatsure-raises-rs-6-cr-led-by-ipv-9530132</t>
        </is>
      </c>
    </row>
    <row r="1435">
      <c r="A1435" t="inlineStr">
        <is>
          <t>INC-20250726-17</t>
        </is>
      </c>
      <c r="B1435" t="inlineStr">
        <is>
          <t>R250724-bharatsure</t>
        </is>
      </c>
      <c r="C1435" t="inlineStr">
        <is>
          <t>Inc42</t>
        </is>
      </c>
      <c r="D1435" s="17" t="n">
        <v>45862</v>
      </c>
      <c r="E1435" t="inlineStr">
        <is>
          <t>Bharatsure</t>
        </is>
      </c>
      <c r="F1435" t="inlineStr">
        <is>
          <t>$694K</t>
        </is>
      </c>
      <c r="G1435" s="19" t="n"/>
      <c r="H1435" s="19" t="n">
        <v>0.694</v>
      </c>
      <c r="I1435" t="inlineStr">
        <is>
          <t>Undisclosed</t>
        </is>
      </c>
      <c r="J1435" t="inlineStr">
        <is>
          <t>Inflection Point Ventures</t>
        </is>
      </c>
      <c r="K1435" t="inlineStr">
        <is>
          <t>https://inc42.com/buzz/from-gupshup-to-eveez-indian-startups-raised-134-mn-this-week/</t>
        </is>
      </c>
    </row>
    <row r="1436">
      <c r="A1436" t="inlineStr">
        <is>
          <t>ENT-9529908</t>
        </is>
      </c>
      <c r="B1436" t="inlineStr">
        <is>
          <t>R250724-enlite</t>
        </is>
      </c>
      <c r="C1436" t="inlineStr">
        <is>
          <t>Entrackr</t>
        </is>
      </c>
      <c r="D1436" s="17" t="n">
        <v>45862</v>
      </c>
      <c r="E1436" t="inlineStr">
        <is>
          <t>Enlite</t>
        </is>
      </c>
      <c r="F1436" t="inlineStr">
        <is>
          <t>Rs 46 crore</t>
        </is>
      </c>
      <c r="G1436" s="19" t="n">
        <v>46</v>
      </c>
      <c r="H1436" s="19" t="n">
        <v>5.32</v>
      </c>
      <c r="I1436" t="inlineStr">
        <is>
          <t>Series A</t>
        </is>
      </c>
      <c r="J1436" t="inlineStr">
        <is>
          <t>Avaana Capital</t>
        </is>
      </c>
      <c r="K1436" t="inlineStr">
        <is>
          <t>https://entrackr.com/snippets/enlite-raises-rs-46-cr-in-series-a-round-led-by-avaana-capital-9529908</t>
        </is>
      </c>
    </row>
    <row r="1437">
      <c r="A1437" t="inlineStr">
        <is>
          <t>ET-122864217</t>
        </is>
      </c>
      <c r="B1437" t="inlineStr">
        <is>
          <t>R250724-enlite</t>
        </is>
      </c>
      <c r="C1437" t="inlineStr">
        <is>
          <t>The Economic Times</t>
        </is>
      </c>
      <c r="D1437" s="17" t="n">
        <v>45862</v>
      </c>
      <c r="E1437" t="inlineStr">
        <is>
          <t>Enlite</t>
        </is>
      </c>
      <c r="F1437" t="inlineStr">
        <is>
          <t>Rs 46 crore</t>
        </is>
      </c>
      <c r="G1437" s="19" t="n">
        <v>46</v>
      </c>
      <c r="H1437" s="19" t="n">
        <v>5</v>
      </c>
      <c r="I1437" t="inlineStr">
        <is>
          <t>Undisclosed</t>
        </is>
      </c>
      <c r="J1437" t="inlineStr">
        <is>
          <t>Avaana Capital</t>
        </is>
      </c>
      <c r="K1437" t="inlineStr">
        <is>
          <t>https://economictimes.indiatimes.com/tech/funding/infra-automation-startup-enlite-raises-rs-46-crore-in-a-funding-round-led-by-avaana-capital/articleshow/122864217.cms</t>
        </is>
      </c>
    </row>
    <row r="1438">
      <c r="A1438" t="inlineStr">
        <is>
          <t>INC-20250726-07</t>
        </is>
      </c>
      <c r="B1438" t="inlineStr">
        <is>
          <t>R250724-enlite</t>
        </is>
      </c>
      <c r="C1438" t="inlineStr">
        <is>
          <t>Inc42</t>
        </is>
      </c>
      <c r="D1438" s="17" t="n">
        <v>45862</v>
      </c>
      <c r="E1438" t="inlineStr">
        <is>
          <t>Enlite Research</t>
        </is>
      </c>
      <c r="F1438" t="inlineStr">
        <is>
          <t>$5.3 Mn</t>
        </is>
      </c>
      <c r="G1438" s="19" t="n"/>
      <c r="H1438" s="19" t="n">
        <v>5.3</v>
      </c>
      <c r="I1438" t="inlineStr">
        <is>
          <t>Series A</t>
        </is>
      </c>
      <c r="J1438" t="inlineStr">
        <is>
          <t>Avaana Capital</t>
        </is>
      </c>
      <c r="K1438" t="inlineStr">
        <is>
          <t>https://inc42.com/buzz/from-gupshup-to-eveez-indian-startups-raised-134-mn-this-week/</t>
        </is>
      </c>
    </row>
    <row r="1439">
      <c r="A1439" t="inlineStr">
        <is>
          <t>ENT-9531676</t>
        </is>
      </c>
      <c r="B1439" t="inlineStr">
        <is>
          <t>R250724-eveez</t>
        </is>
      </c>
      <c r="C1439" t="inlineStr">
        <is>
          <t>Entrackr</t>
        </is>
      </c>
      <c r="D1439" s="17" t="n">
        <v>45862</v>
      </c>
      <c r="E1439" t="inlineStr">
        <is>
          <t>EVeez</t>
        </is>
      </c>
      <c r="F1439" t="inlineStr">
        <is>
          <t>$5.4 million</t>
        </is>
      </c>
      <c r="G1439" s="19" t="n"/>
      <c r="H1439" s="19" t="n">
        <v>5.4</v>
      </c>
      <c r="I1439" t="inlineStr">
        <is>
          <t>Series A</t>
        </is>
      </c>
      <c r="J1439" t="inlineStr">
        <is>
          <t>Michael &amp; Susan Dell Foundation</t>
        </is>
      </c>
      <c r="K1439" t="inlineStr">
        <is>
          <t>https://entrackr.com/snippets/eveez-raises-54-mn-in-series-a-led-by-michael-susan-dell-foundation-9531676</t>
        </is>
      </c>
    </row>
    <row r="1440">
      <c r="A1440" t="inlineStr">
        <is>
          <t>INC-20250726-06</t>
        </is>
      </c>
      <c r="B1440" t="inlineStr">
        <is>
          <t>R250724-eveez</t>
        </is>
      </c>
      <c r="C1440" t="inlineStr">
        <is>
          <t>Inc42</t>
        </is>
      </c>
      <c r="D1440" s="17" t="n">
        <v>45863</v>
      </c>
      <c r="E1440" t="inlineStr">
        <is>
          <t>EVeez</t>
        </is>
      </c>
      <c r="F1440" t="inlineStr">
        <is>
          <t>$5.4 Mn</t>
        </is>
      </c>
      <c r="G1440" s="19" t="n"/>
      <c r="H1440" s="19" t="n">
        <v>5.4</v>
      </c>
      <c r="I1440" t="inlineStr">
        <is>
          <t>Series A</t>
        </is>
      </c>
      <c r="J1440" t="inlineStr">
        <is>
          <t>Michael &amp; Susan Dell Foundation</t>
        </is>
      </c>
      <c r="K1440" t="inlineStr">
        <is>
          <t>https://inc42.com/buzz/from-gupshup-to-eveez-indian-startups-raised-134-mn-this-week/</t>
        </is>
      </c>
    </row>
    <row r="1441">
      <c r="A1441" t="inlineStr">
        <is>
          <t>ENT-9530646</t>
        </is>
      </c>
      <c r="B1441" t="inlineStr">
        <is>
          <t>R250724-netrasemi</t>
        </is>
      </c>
      <c r="C1441" t="inlineStr">
        <is>
          <t>Entrackr</t>
        </is>
      </c>
      <c r="D1441" s="17" t="n">
        <v>45862</v>
      </c>
      <c r="E1441" t="inlineStr">
        <is>
          <t>Netrasemi</t>
        </is>
      </c>
      <c r="F1441" t="inlineStr">
        <is>
          <t>Rs 107 crore</t>
        </is>
      </c>
      <c r="G1441" s="19" t="n">
        <v>107</v>
      </c>
      <c r="H1441" s="19" t="n">
        <v>12.5</v>
      </c>
      <c r="I1441" t="inlineStr">
        <is>
          <t>Series A</t>
        </is>
      </c>
      <c r="J1441" t="inlineStr">
        <is>
          <t>Zoho Corporations; Unicorn India Ventures</t>
        </is>
      </c>
      <c r="K1441" t="inlineStr">
        <is>
          <t>https://entrackr.com/snippets/semiconductor-startup-netrasemi-raises-rs-107-cr-led-by-zoho-corp-and-unicorn-india-ventures-9530646</t>
        </is>
      </c>
    </row>
    <row r="1442">
      <c r="A1442" t="inlineStr">
        <is>
          <t>ET-122880826</t>
        </is>
      </c>
      <c r="B1442" t="inlineStr">
        <is>
          <t>R250724-netrasemi</t>
        </is>
      </c>
      <c r="C1442" t="inlineStr">
        <is>
          <t>The Economic Times</t>
        </is>
      </c>
      <c r="D1442" s="17" t="n">
        <v>45862</v>
      </c>
      <c r="E1442" t="inlineStr">
        <is>
          <t>Netrasemi</t>
        </is>
      </c>
      <c r="F1442" t="inlineStr">
        <is>
          <t>Rs 107 crore</t>
        </is>
      </c>
      <c r="G1442" s="19" t="n">
        <v>107</v>
      </c>
      <c r="H1442" s="19" t="n"/>
      <c r="I1442" t="inlineStr">
        <is>
          <t>Undisclosed</t>
        </is>
      </c>
      <c r="J1442" t="inlineStr"/>
      <c r="K1442" t="inlineStr">
        <is>
          <t>https://economictimes.indiatimes.com/tech/funding/semiconductor-startup-netrasemi-raises-rs-107-crore-from-zoho-unicorn-india-ventures/articleshow/122880826.cms</t>
        </is>
      </c>
    </row>
    <row r="1443">
      <c r="A1443" t="inlineStr">
        <is>
          <t>INC-20250726-02</t>
        </is>
      </c>
      <c r="B1443" t="inlineStr">
        <is>
          <t>R250724-netrasemi</t>
        </is>
      </c>
      <c r="C1443" t="inlineStr">
        <is>
          <t>Inc42</t>
        </is>
      </c>
      <c r="D1443" s="17" t="n">
        <v>45862</v>
      </c>
      <c r="E1443" t="inlineStr">
        <is>
          <t>Netrasemi</t>
        </is>
      </c>
      <c r="F1443" t="inlineStr">
        <is>
          <t>$12.4 Mn</t>
        </is>
      </c>
      <c r="G1443" s="19" t="n"/>
      <c r="H1443" s="19" t="n">
        <v>12.4</v>
      </c>
      <c r="I1443" t="inlineStr">
        <is>
          <t>Series A</t>
        </is>
      </c>
      <c r="J1443" t="inlineStr">
        <is>
          <t>Zoho Corporation</t>
        </is>
      </c>
      <c r="K1443" t="inlineStr">
        <is>
          <t>https://inc42.com/buzz/from-gupshup-to-eveez-indian-startups-raised-134-mn-this-week/</t>
        </is>
      </c>
    </row>
    <row r="1444">
      <c r="A1444" t="inlineStr">
        <is>
          <t>INC-20250726-21</t>
        </is>
      </c>
      <c r="B1444" t="inlineStr">
        <is>
          <t>R250724-roastfoods</t>
        </is>
      </c>
      <c r="C1444" t="inlineStr">
        <is>
          <t>Inc42</t>
        </is>
      </c>
      <c r="D1444" s="17" t="n">
        <v>45862</v>
      </c>
      <c r="E1444" t="inlineStr">
        <is>
          <t>Roast Foods</t>
        </is>
      </c>
      <c r="F1444" t="inlineStr"/>
      <c r="G1444" s="19" t="n"/>
      <c r="H1444" s="19" t="n"/>
      <c r="I1444" t="inlineStr">
        <is>
          <t>Undisclosed</t>
        </is>
      </c>
      <c r="J1444" t="inlineStr">
        <is>
          <t>Pagariya Exports Pvt Ltd</t>
        </is>
      </c>
      <c r="K1444" t="inlineStr">
        <is>
          <t>https://inc42.com/buzz/from-gupshup-to-eveez-indian-startups-raised-134-mn-this-week/</t>
        </is>
      </c>
    </row>
    <row r="1445">
      <c r="A1445" t="inlineStr">
        <is>
          <t>ENT-9529906</t>
        </is>
      </c>
      <c r="B1445" t="inlineStr">
        <is>
          <t>R250724-superk</t>
        </is>
      </c>
      <c r="C1445" t="inlineStr">
        <is>
          <t>Entrackr</t>
        </is>
      </c>
      <c r="D1445" s="17" t="n">
        <v>45862</v>
      </c>
      <c r="E1445" t="inlineStr">
        <is>
          <t>SuperK</t>
        </is>
      </c>
      <c r="F1445" t="inlineStr">
        <is>
          <t>Rs 100 crore</t>
        </is>
      </c>
      <c r="G1445" s="19" t="n">
        <v>100</v>
      </c>
      <c r="H1445" s="19" t="n">
        <v>11.7</v>
      </c>
      <c r="I1445" t="inlineStr">
        <is>
          <t>Series B</t>
        </is>
      </c>
      <c r="J1445" t="inlineStr">
        <is>
          <t>3STATE Ventures; Mithun Sancheti</t>
        </is>
      </c>
      <c r="K1445" t="inlineStr">
        <is>
          <t>https://entrackr.com/news/superk-raises-rs-100-cr-led-by-binny-bansal-and-mithun-sacheti-9529906</t>
        </is>
      </c>
    </row>
    <row r="1446">
      <c r="A1446" t="inlineStr">
        <is>
          <t>ET-122872814</t>
        </is>
      </c>
      <c r="B1446" t="inlineStr">
        <is>
          <t>R250724-superk</t>
        </is>
      </c>
      <c r="C1446" t="inlineStr">
        <is>
          <t>The Economic Times</t>
        </is>
      </c>
      <c r="D1446" s="17" t="n">
        <v>45862</v>
      </c>
      <c r="E1446" t="inlineStr">
        <is>
          <t>SuperK</t>
        </is>
      </c>
      <c r="F1446" t="inlineStr">
        <is>
          <t>Rs 100 crore</t>
        </is>
      </c>
      <c r="G1446" s="19" t="n">
        <v>100</v>
      </c>
      <c r="H1446" s="19" t="n"/>
      <c r="I1446" t="inlineStr">
        <is>
          <t>Undisclosed</t>
        </is>
      </c>
      <c r="J1446" t="inlineStr"/>
      <c r="K1446" t="inlineStr">
        <is>
          <t>https://economictimes.indiatimes.com/tech/funding/value-retailer-superk-raises-rs-100-crore-co-led-by-binny-bansal-mithun-sacheti-cricketer-shubman-gill-joins-as-investor/articleshow/122872814.cms</t>
        </is>
      </c>
    </row>
    <row r="1447">
      <c r="A1447" t="inlineStr">
        <is>
          <t>INC-20250726-03</t>
        </is>
      </c>
      <c r="B1447" t="inlineStr">
        <is>
          <t>R250724-superk</t>
        </is>
      </c>
      <c r="C1447" t="inlineStr">
        <is>
          <t>Inc42</t>
        </is>
      </c>
      <c r="D1447" s="17" t="n">
        <v>45862</v>
      </c>
      <c r="E1447" t="inlineStr">
        <is>
          <t>SuperK</t>
        </is>
      </c>
      <c r="F1447" t="inlineStr">
        <is>
          <t>$11.5 Mn</t>
        </is>
      </c>
      <c r="G1447" s="19" t="n"/>
      <c r="H1447" s="19" t="n">
        <v>11.5</v>
      </c>
      <c r="I1447" t="inlineStr">
        <is>
          <t>Series B</t>
        </is>
      </c>
      <c r="J1447" t="inlineStr">
        <is>
          <t>3STATE Ventures</t>
        </is>
      </c>
      <c r="K1447" t="inlineStr">
        <is>
          <t>https://inc42.com/buzz/from-gupshup-to-eveez-indian-startups-raised-134-mn-this-week/</t>
        </is>
      </c>
    </row>
    <row r="1448">
      <c r="A1448" t="inlineStr">
        <is>
          <t>VCC-7b34056cfa</t>
        </is>
      </c>
      <c r="B1448" t="inlineStr">
        <is>
          <t>R250724-superk</t>
        </is>
      </c>
      <c r="C1448" t="inlineStr">
        <is>
          <t>VCCircle</t>
        </is>
      </c>
      <c r="D1448" s="17" t="n">
        <v>45862</v>
      </c>
      <c r="E1448" t="inlineStr">
        <is>
          <t>superk</t>
        </is>
      </c>
      <c r="F1448" t="inlineStr"/>
      <c r="G1448" s="19" t="n"/>
      <c r="H1448" s="19" t="n"/>
      <c r="I1448" t="inlineStr">
        <is>
          <t>Series B</t>
        </is>
      </c>
      <c r="J1448" t="inlineStr"/>
      <c r="K1448" t="inlineStr">
        <is>
          <t>https://www.vccircle.com/binnybansal-mithun-sacheti-lead-superk-s-series-b-round</t>
        </is>
      </c>
    </row>
    <row r="1449">
      <c r="A1449" t="inlineStr">
        <is>
          <t>ENT-9675563</t>
        </is>
      </c>
      <c r="B1449" t="inlineStr">
        <is>
          <t>R250724-superk</t>
        </is>
      </c>
      <c r="C1449" t="inlineStr">
        <is>
          <t>Entrackr</t>
        </is>
      </c>
      <c r="D1449" s="17" t="n">
        <v>45888</v>
      </c>
      <c r="E1449" t="inlineStr">
        <is>
          <t>SuperK</t>
        </is>
      </c>
      <c r="F1449" t="inlineStr">
        <is>
          <t>$12 million</t>
        </is>
      </c>
      <c r="G1449" s="19" t="n"/>
      <c r="H1449" s="19" t="n">
        <v>12</v>
      </c>
      <c r="I1449" t="inlineStr">
        <is>
          <t>Series B</t>
        </is>
      </c>
      <c r="J1449" t="inlineStr">
        <is>
          <t>021 Capital; FPGA Family Foundation</t>
        </is>
      </c>
      <c r="K1449" t="inlineStr">
        <is>
          <t>https://entrackr.com/decoding/retail-brand-superks-valuation-jumps-24x-in-series-b-round-9675563</t>
        </is>
      </c>
    </row>
    <row r="1450">
      <c r="A1450" t="inlineStr">
        <is>
          <t>ENT-9536371</t>
        </is>
      </c>
      <c r="B1450" t="inlineStr">
        <is>
          <t>R250725-ammunicsystems</t>
        </is>
      </c>
      <c r="C1450" t="inlineStr">
        <is>
          <t>Entrackr</t>
        </is>
      </c>
      <c r="D1450" s="17" t="n">
        <v>45863</v>
      </c>
      <c r="E1450" t="inlineStr">
        <is>
          <t>Ammunic Systems</t>
        </is>
      </c>
      <c r="F1450" t="inlineStr">
        <is>
          <t>$1.1 million</t>
        </is>
      </c>
      <c r="G1450" s="19" t="n"/>
      <c r="H1450" s="19" t="n">
        <v>1.1</v>
      </c>
      <c r="I1450" t="inlineStr">
        <is>
          <t>Seed</t>
        </is>
      </c>
      <c r="J1450" t="inlineStr">
        <is>
          <t>India Accelerator</t>
        </is>
      </c>
      <c r="K1450" t="inlineStr">
        <is>
          <t>https://entrackr.com/snippets/defence-tech-startup-ammunic-systems-raises-11-mn-in-seed-round-9536371</t>
        </is>
      </c>
    </row>
    <row r="1451">
      <c r="A1451" t="inlineStr">
        <is>
          <t>INC-20250726-14</t>
        </is>
      </c>
      <c r="B1451" t="inlineStr">
        <is>
          <t>R250725-ammunicsystems</t>
        </is>
      </c>
      <c r="C1451" t="inlineStr">
        <is>
          <t>Inc42</t>
        </is>
      </c>
      <c r="D1451" s="17" t="n">
        <v>45863</v>
      </c>
      <c r="E1451" t="inlineStr">
        <is>
          <t>Ammunic Systems</t>
        </is>
      </c>
      <c r="F1451" t="inlineStr">
        <is>
          <t>$1.1 Mn</t>
        </is>
      </c>
      <c r="G1451" s="19" t="n"/>
      <c r="H1451" s="19" t="n">
        <v>1.1</v>
      </c>
      <c r="I1451" t="inlineStr">
        <is>
          <t>Seed</t>
        </is>
      </c>
      <c r="J1451" t="inlineStr">
        <is>
          <t>India Accelerator; Finvolve</t>
        </is>
      </c>
      <c r="K1451" t="inlineStr">
        <is>
          <t>https://inc42.com/buzz/from-gupshup-to-eveez-indian-startups-raised-134-mn-this-week/</t>
        </is>
      </c>
    </row>
    <row r="1452">
      <c r="A1452" t="inlineStr">
        <is>
          <t>ENT-9587008</t>
        </is>
      </c>
      <c r="B1452" t="inlineStr">
        <is>
          <t>R250728-drizz</t>
        </is>
      </c>
      <c r="C1452" t="inlineStr">
        <is>
          <t>Entrackr</t>
        </is>
      </c>
      <c r="D1452" s="17" t="n">
        <v>45866</v>
      </c>
      <c r="E1452" t="inlineStr">
        <is>
          <t>Drizz</t>
        </is>
      </c>
      <c r="F1452" t="inlineStr">
        <is>
          <t>$2.7 million</t>
        </is>
      </c>
      <c r="G1452" s="19" t="n"/>
      <c r="H1452" s="19" t="n">
        <v>2.7</v>
      </c>
      <c r="I1452" t="inlineStr">
        <is>
          <t>Seed</t>
        </is>
      </c>
      <c r="J1452" t="inlineStr">
        <is>
          <t>Stellaris Venture Partners</t>
        </is>
      </c>
      <c r="K1452" t="inlineStr">
        <is>
          <t>https://entrackr.com/snippets/mobile-app-testing-platform-drizz-raises-27-mn-led-by-stellaris-9587008</t>
        </is>
      </c>
    </row>
    <row r="1453">
      <c r="A1453" t="inlineStr">
        <is>
          <t>ET-122953853</t>
        </is>
      </c>
      <c r="B1453" t="inlineStr">
        <is>
          <t>R250728-drizz</t>
        </is>
      </c>
      <c r="C1453" t="inlineStr">
        <is>
          <t>The Economic Times</t>
        </is>
      </c>
      <c r="D1453" s="17" t="n">
        <v>45866</v>
      </c>
      <c r="E1453" t="inlineStr">
        <is>
          <t>Drizz</t>
        </is>
      </c>
      <c r="F1453" t="inlineStr">
        <is>
          <t>$2.7 million</t>
        </is>
      </c>
      <c r="G1453" s="19" t="n"/>
      <c r="H1453" s="19" t="n">
        <v>2.7</v>
      </c>
      <c r="I1453" t="inlineStr">
        <is>
          <t>Undisclosed</t>
        </is>
      </c>
      <c r="J1453" t="inlineStr">
        <is>
          <t>Stellaris Venture Partners</t>
        </is>
      </c>
      <c r="K1453" t="inlineStr">
        <is>
          <t>https://economictimes.indiatimes.com/tech/funding/mobile-testing-platform-drizz-raises-2-7-million-from-stellaris-venture-partners-others/articleshow/122953853.cms</t>
        </is>
      </c>
    </row>
    <row r="1454">
      <c r="A1454" t="inlineStr">
        <is>
          <t>INC-20250802-06</t>
        </is>
      </c>
      <c r="B1454" t="inlineStr">
        <is>
          <t>R250728-drizz</t>
        </is>
      </c>
      <c r="C1454" t="inlineStr">
        <is>
          <t>Inc42</t>
        </is>
      </c>
      <c r="D1454" s="17" t="n">
        <v>45866</v>
      </c>
      <c r="E1454" t="inlineStr">
        <is>
          <t>Drizz</t>
        </is>
      </c>
      <c r="F1454" t="inlineStr">
        <is>
          <t>$2.7 Mn</t>
        </is>
      </c>
      <c r="G1454" s="19" t="n"/>
      <c r="H1454" s="19" t="n">
        <v>2.7</v>
      </c>
      <c r="I1454" t="inlineStr">
        <is>
          <t>Seed</t>
        </is>
      </c>
      <c r="J1454" t="inlineStr">
        <is>
          <t>Stellaris Venture Partners</t>
        </is>
      </c>
      <c r="K1454" t="inlineStr">
        <is>
          <t>https://inc42.com/buzz/from-safe-security-to-stan-indian-startups-raised-104-mn-this-week/</t>
        </is>
      </c>
    </row>
    <row r="1455">
      <c r="A1455" t="inlineStr">
        <is>
          <t>ENT-9585883</t>
        </is>
      </c>
      <c r="B1455" t="inlineStr">
        <is>
          <t>R250728-genexisbiotech</t>
        </is>
      </c>
      <c r="C1455" t="inlineStr">
        <is>
          <t>Entrackr</t>
        </is>
      </c>
      <c r="D1455" s="17" t="n">
        <v>45866</v>
      </c>
      <c r="E1455" t="inlineStr">
        <is>
          <t>Genexis Biotech</t>
        </is>
      </c>
      <c r="F1455" t="inlineStr">
        <is>
          <t>Rs 4 crore</t>
        </is>
      </c>
      <c r="G1455" s="19" t="n">
        <v>4</v>
      </c>
      <c r="H1455" s="19" t="n"/>
      <c r="I1455" t="inlineStr">
        <is>
          <t>Seed</t>
        </is>
      </c>
      <c r="J1455" t="inlineStr">
        <is>
          <t>GVFL</t>
        </is>
      </c>
      <c r="K1455" t="inlineStr">
        <is>
          <t>https://entrackr.com/snippets/genexis-biotech-raises-rs-4-cr-in-seed-round-led-by-gvfl-9585883</t>
        </is>
      </c>
    </row>
    <row r="1456">
      <c r="A1456" t="inlineStr">
        <is>
          <t>INC-20250802-13</t>
        </is>
      </c>
      <c r="B1456" t="inlineStr">
        <is>
          <t>R250728-genexisbiotech</t>
        </is>
      </c>
      <c r="C1456" t="inlineStr">
        <is>
          <t>Inc42</t>
        </is>
      </c>
      <c r="D1456" s="17" t="n">
        <v>45867</v>
      </c>
      <c r="E1456" t="inlineStr">
        <is>
          <t>Genexis Biotech</t>
        </is>
      </c>
      <c r="F1456" t="inlineStr">
        <is>
          <t>$457K</t>
        </is>
      </c>
      <c r="G1456" s="19" t="n"/>
      <c r="H1456" s="19" t="n">
        <v>0.457</v>
      </c>
      <c r="I1456" t="inlineStr">
        <is>
          <t>Seed</t>
        </is>
      </c>
      <c r="J1456" t="inlineStr">
        <is>
          <t>GVFL</t>
        </is>
      </c>
      <c r="K1456" t="inlineStr">
        <is>
          <t>https://inc42.com/buzz/from-safe-security-to-stan-indian-startups-raised-104-mn-this-week/</t>
        </is>
      </c>
    </row>
    <row r="1457">
      <c r="A1457" t="inlineStr">
        <is>
          <t>ENT-9585170</t>
        </is>
      </c>
      <c r="B1457" t="inlineStr">
        <is>
          <t>R250728-navi</t>
        </is>
      </c>
      <c r="C1457" t="inlineStr">
        <is>
          <t>Entrackr</t>
        </is>
      </c>
      <c r="D1457" s="17" t="n">
        <v>45866</v>
      </c>
      <c r="E1457" t="inlineStr">
        <is>
          <t>Navi</t>
        </is>
      </c>
      <c r="F1457" t="inlineStr">
        <is>
          <t>Rs 170 crore</t>
        </is>
      </c>
      <c r="G1457" s="19" t="n">
        <v>170</v>
      </c>
      <c r="H1457" s="19" t="n">
        <v>20</v>
      </c>
      <c r="I1457" t="inlineStr">
        <is>
          <t>Debt</t>
        </is>
      </c>
      <c r="J1457" t="inlineStr">
        <is>
          <t>PhillipCapital</t>
        </is>
      </c>
      <c r="K1457" t="inlineStr">
        <is>
          <t>https://entrackr.com/exclusive/exclusive-sachin-bansals-navi-raises-20-mn-debt-9585170</t>
        </is>
      </c>
    </row>
    <row r="1458">
      <c r="A1458" t="inlineStr">
        <is>
          <t>ET-122949689</t>
        </is>
      </c>
      <c r="B1458" t="inlineStr">
        <is>
          <t>R250728-navi</t>
        </is>
      </c>
      <c r="C1458" t="inlineStr">
        <is>
          <t>The Economic Times</t>
        </is>
      </c>
      <c r="D1458" s="17" t="n">
        <v>45866</v>
      </c>
      <c r="E1458" t="inlineStr">
        <is>
          <t>Navi Technologies</t>
        </is>
      </c>
      <c r="F1458" t="inlineStr">
        <is>
          <t>Rs 170 crore</t>
        </is>
      </c>
      <c r="G1458" s="19" t="n">
        <v>170</v>
      </c>
      <c r="H1458" s="19" t="n"/>
      <c r="I1458" t="inlineStr">
        <is>
          <t>Debt</t>
        </is>
      </c>
      <c r="J1458" t="inlineStr">
        <is>
          <t>PhillipCapital</t>
        </is>
      </c>
      <c r="K1458" t="inlineStr">
        <is>
          <t>https://economictimes.indiatimes.com/tech/funding/sachin-bansals-navi-technologies-raises-rs-170-crore-via-debt-round/articleshow/122949689.cms</t>
        </is>
      </c>
    </row>
    <row r="1459">
      <c r="A1459" t="inlineStr">
        <is>
          <t>ENT-9601217</t>
        </is>
      </c>
      <c r="B1459" t="inlineStr">
        <is>
          <t>R250729-optiproai</t>
        </is>
      </c>
      <c r="C1459" t="inlineStr">
        <is>
          <t>Entrackr</t>
        </is>
      </c>
      <c r="D1459" s="17" t="n">
        <v>45867</v>
      </c>
      <c r="E1459" t="inlineStr">
        <is>
          <t>Optipro AI</t>
        </is>
      </c>
      <c r="F1459" t="inlineStr"/>
      <c r="G1459" s="19" t="n"/>
      <c r="H1459" s="19" t="n"/>
      <c r="I1459" t="inlineStr">
        <is>
          <t>Undisclosed</t>
        </is>
      </c>
      <c r="J1459" t="inlineStr"/>
      <c r="K1459" t="inlineStr">
        <is>
          <t>https://entrackr.com/snippets/saas-startup-optipro-ai-raises-fresh-funding-9601217</t>
        </is>
      </c>
    </row>
    <row r="1460">
      <c r="A1460" t="inlineStr">
        <is>
          <t>ENT-9601885</t>
        </is>
      </c>
      <c r="B1460" t="inlineStr">
        <is>
          <t>R250729-passprttrips</t>
        </is>
      </c>
      <c r="C1460" t="inlineStr">
        <is>
          <t>Entrackr</t>
        </is>
      </c>
      <c r="D1460" s="17" t="n">
        <v>45867</v>
      </c>
      <c r="E1460" t="inlineStr">
        <is>
          <t>Passprt Trips</t>
        </is>
      </c>
      <c r="F1460" t="inlineStr">
        <is>
          <t>$500K</t>
        </is>
      </c>
      <c r="G1460" s="19" t="n"/>
      <c r="H1460" s="19" t="n">
        <v>0.5</v>
      </c>
      <c r="I1460" t="inlineStr">
        <is>
          <t>Pre-Seed</t>
        </is>
      </c>
      <c r="J1460" t="inlineStr">
        <is>
          <t>Aroa Venture Partners</t>
        </is>
      </c>
      <c r="K1460" t="inlineStr">
        <is>
          <t>https://entrackr.com/snippets/passprt-trips-raises-500k-in-pre-seed-round-led-by-aroa-venture-partners-9601885</t>
        </is>
      </c>
    </row>
    <row r="1461">
      <c r="A1461" t="inlineStr">
        <is>
          <t>INC-20250802-11</t>
        </is>
      </c>
      <c r="B1461" t="inlineStr">
        <is>
          <t>R250729-passprttrips</t>
        </is>
      </c>
      <c r="C1461" t="inlineStr">
        <is>
          <t>Inc42</t>
        </is>
      </c>
      <c r="D1461" s="17" t="n">
        <v>45867</v>
      </c>
      <c r="E1461" t="inlineStr">
        <is>
          <t>Passprt Trips</t>
        </is>
      </c>
      <c r="F1461" t="inlineStr">
        <is>
          <t>$500K</t>
        </is>
      </c>
      <c r="G1461" s="19" t="n"/>
      <c r="H1461" s="19" t="n">
        <v>0.5</v>
      </c>
      <c r="I1461" t="inlineStr">
        <is>
          <t>Pre-Seed</t>
        </is>
      </c>
      <c r="J1461" t="inlineStr">
        <is>
          <t>Aroa Venture Partners</t>
        </is>
      </c>
      <c r="K1461" t="inlineStr">
        <is>
          <t>https://inc42.com/buzz/from-safe-security-to-stan-indian-startups-raised-104-mn-this-week/</t>
        </is>
      </c>
    </row>
    <row r="1462">
      <c r="A1462" t="inlineStr">
        <is>
          <t>ENT-9601921</t>
        </is>
      </c>
      <c r="B1462" t="inlineStr">
        <is>
          <t>R250729-sharpsellai</t>
        </is>
      </c>
      <c r="C1462" t="inlineStr">
        <is>
          <t>Entrackr</t>
        </is>
      </c>
      <c r="D1462" s="17" t="n">
        <v>45867</v>
      </c>
      <c r="E1462" t="inlineStr">
        <is>
          <t>Sharpsell.ai</t>
        </is>
      </c>
      <c r="F1462" t="inlineStr">
        <is>
          <t>Rs 30 crore</t>
        </is>
      </c>
      <c r="G1462" s="19" t="n">
        <v>30</v>
      </c>
      <c r="H1462" s="19" t="n"/>
      <c r="I1462" t="inlineStr">
        <is>
          <t>Series A</t>
        </is>
      </c>
      <c r="J1462" t="inlineStr"/>
      <c r="K1462" t="inlineStr">
        <is>
          <t>https://entrackr.com/snippets/sharpsellai-raises-rs-30-cr-in-series-a-led-by-equentis-angel-fund-9601921</t>
        </is>
      </c>
    </row>
    <row r="1463">
      <c r="A1463" t="inlineStr">
        <is>
          <t>INC-20250802-05</t>
        </is>
      </c>
      <c r="B1463" t="inlineStr">
        <is>
          <t>R250729-sharpsellai</t>
        </is>
      </c>
      <c r="C1463" t="inlineStr">
        <is>
          <t>Inc42</t>
        </is>
      </c>
      <c r="D1463" s="17" t="n">
        <v>45867</v>
      </c>
      <c r="E1463" t="inlineStr">
        <is>
          <t>Sharpsell.ai</t>
        </is>
      </c>
      <c r="F1463" t="inlineStr">
        <is>
          <t>$3.4 Mn</t>
        </is>
      </c>
      <c r="G1463" s="19" t="n"/>
      <c r="H1463" s="19" t="n">
        <v>3.4</v>
      </c>
      <c r="I1463" t="inlineStr">
        <is>
          <t>Series A</t>
        </is>
      </c>
      <c r="J1463" t="inlineStr">
        <is>
          <t>Equentis Angel Fund</t>
        </is>
      </c>
      <c r="K1463" t="inlineStr">
        <is>
          <t>https://inc42.com/buzz/from-safe-security-to-stan-indian-startups-raised-104-mn-this-week/</t>
        </is>
      </c>
    </row>
    <row r="1464">
      <c r="A1464" t="inlineStr">
        <is>
          <t>ET-122990618</t>
        </is>
      </c>
      <c r="B1464" t="inlineStr">
        <is>
          <t>R250729-sharpsellai</t>
        </is>
      </c>
      <c r="C1464" t="inlineStr">
        <is>
          <t>The Economic Times</t>
        </is>
      </c>
      <c r="D1464" s="17" t="n">
        <v>45868</v>
      </c>
      <c r="E1464" t="inlineStr">
        <is>
          <t>Sharpsell</t>
        </is>
      </c>
      <c r="F1464" t="inlineStr">
        <is>
          <t>Rs 30 crore</t>
        </is>
      </c>
      <c r="G1464" s="19" t="n">
        <v>30</v>
      </c>
      <c r="H1464" s="19" t="n"/>
      <c r="I1464" t="inlineStr">
        <is>
          <t>Undisclosed</t>
        </is>
      </c>
      <c r="J1464" t="inlineStr"/>
      <c r="K1464" t="inlineStr">
        <is>
          <t>https://economictimes.indiatimes.com/tech/funding/ai-sales-enablement-platform-sharpsell-raises-rs-30-crore/articleshow/122990618.cms</t>
        </is>
      </c>
    </row>
    <row r="1465">
      <c r="A1465" t="inlineStr">
        <is>
          <t>ENT-9601713</t>
        </is>
      </c>
      <c r="B1465" t="inlineStr">
        <is>
          <t>R250729-zepto</t>
        </is>
      </c>
      <c r="C1465" t="inlineStr">
        <is>
          <t>Entrackr</t>
        </is>
      </c>
      <c r="D1465" s="17" t="n">
        <v>45867</v>
      </c>
      <c r="E1465" t="inlineStr">
        <is>
          <t>Zepto</t>
        </is>
      </c>
      <c r="F1465" t="inlineStr">
        <is>
          <t>Rs 7.5 crore</t>
        </is>
      </c>
      <c r="G1465" s="19" t="n">
        <v>7.5</v>
      </c>
      <c r="H1465" s="19" t="n"/>
      <c r="I1465" t="inlineStr">
        <is>
          <t>Undisclosed</t>
        </is>
      </c>
      <c r="J1465" t="inlineStr"/>
      <c r="K1465" t="inlineStr">
        <is>
          <t>https://entrackr.com/zepto-raises-fresh-funds-from-elcid-investment-5-bn-valuation-9601713</t>
        </is>
      </c>
    </row>
    <row r="1466">
      <c r="A1466" t="inlineStr">
        <is>
          <t>INC-20250802-09</t>
        </is>
      </c>
      <c r="B1466" t="inlineStr">
        <is>
          <t>R250729-zepto</t>
        </is>
      </c>
      <c r="C1466" t="inlineStr">
        <is>
          <t>Inc42</t>
        </is>
      </c>
      <c r="D1466" s="17" t="n">
        <v>45867</v>
      </c>
      <c r="E1466" t="inlineStr">
        <is>
          <t>Zepto</t>
        </is>
      </c>
      <c r="F1466" t="inlineStr">
        <is>
          <t>$857K</t>
        </is>
      </c>
      <c r="G1466" s="19" t="n"/>
      <c r="H1466" s="19" t="n">
        <v>0.857</v>
      </c>
      <c r="I1466" t="inlineStr">
        <is>
          <t>Undisclosed</t>
        </is>
      </c>
      <c r="J1466" t="inlineStr">
        <is>
          <t>Elcid Investments</t>
        </is>
      </c>
      <c r="K1466" t="inlineStr">
        <is>
          <t>https://inc42.com/buzz/from-safe-security-to-stan-indian-startups-raised-104-mn-this-week/</t>
        </is>
      </c>
    </row>
    <row r="1467">
      <c r="A1467" t="inlineStr">
        <is>
          <t>INC-20250809-14</t>
        </is>
      </c>
      <c r="B1467" t="inlineStr">
        <is>
          <t>R250729-zepto</t>
        </is>
      </c>
      <c r="C1467" t="inlineStr">
        <is>
          <t>Inc42</t>
        </is>
      </c>
      <c r="D1467" s="17" t="n">
        <v>45876</v>
      </c>
      <c r="E1467" t="inlineStr">
        <is>
          <t>Zepto</t>
        </is>
      </c>
      <c r="F1467" t="inlineStr">
        <is>
          <t>$2.9 Mn</t>
        </is>
      </c>
      <c r="G1467" s="19" t="n"/>
      <c r="H1467" s="19" t="n">
        <v>2.9</v>
      </c>
      <c r="I1467" t="inlineStr">
        <is>
          <t>Undisclosed</t>
        </is>
      </c>
      <c r="J1467" t="inlineStr">
        <is>
          <t>MapmyIndia</t>
        </is>
      </c>
      <c r="K1467" t="inlineStr">
        <is>
          <t>https://inc42.com/buzz/from-the-sleep-company-to-jeh-aerospace-indian-startups-raised-197-mn-this-week/</t>
        </is>
      </c>
    </row>
    <row r="1468">
      <c r="A1468" t="inlineStr">
        <is>
          <t>ENT-9654008</t>
        </is>
      </c>
      <c r="B1468" t="inlineStr">
        <is>
          <t>R250729-zepto</t>
        </is>
      </c>
      <c r="C1468" t="inlineStr">
        <is>
          <t>Entrackr</t>
        </is>
      </c>
      <c r="D1468" s="17" t="n">
        <v>45881</v>
      </c>
      <c r="E1468" t="inlineStr">
        <is>
          <t>Zepto</t>
        </is>
      </c>
      <c r="F1468" t="inlineStr">
        <is>
          <t>Rs 400 crore</t>
        </is>
      </c>
      <c r="G1468" s="19" t="n">
        <v>400</v>
      </c>
      <c r="H1468" s="19" t="n">
        <v>46</v>
      </c>
      <c r="I1468" t="inlineStr">
        <is>
          <t>Undisclosed</t>
        </is>
      </c>
      <c r="J1468" t="inlineStr"/>
      <c r="K1468" t="inlineStr">
        <is>
          <t>https://entrackr.com/news/zepto-secures-rs-400-cr-investment-from-motilal-oswal-9654008</t>
        </is>
      </c>
    </row>
    <row r="1469">
      <c r="A1469" t="inlineStr">
        <is>
          <t>ET-123261940</t>
        </is>
      </c>
      <c r="B1469" t="inlineStr">
        <is>
          <t>R250729-zepto</t>
        </is>
      </c>
      <c r="C1469" t="inlineStr">
        <is>
          <t>The Economic Times</t>
        </is>
      </c>
      <c r="D1469" s="17" t="n">
        <v>45881</v>
      </c>
      <c r="E1469" t="inlineStr">
        <is>
          <t>Zepto</t>
        </is>
      </c>
      <c r="F1469" t="inlineStr">
        <is>
          <t>Rs 400 crore</t>
        </is>
      </c>
      <c r="G1469" s="19" t="n">
        <v>400</v>
      </c>
      <c r="H1469" s="19" t="n"/>
      <c r="I1469" t="inlineStr">
        <is>
          <t>Undisclosed</t>
        </is>
      </c>
      <c r="J1469" t="inlineStr"/>
      <c r="K1469" t="inlineStr">
        <is>
          <t>https://economictimes.indiatimes.com/tech/funding/motilal-oswal-financial-services-invests-rs-400-crore-in-zepto/articleshow/123261940.cms</t>
        </is>
      </c>
    </row>
    <row r="1470">
      <c r="A1470" t="inlineStr">
        <is>
          <t>INC-20250816-02</t>
        </is>
      </c>
      <c r="B1470" t="inlineStr">
        <is>
          <t>R250729-zepto</t>
        </is>
      </c>
      <c r="C1470" t="inlineStr">
        <is>
          <t>Inc42</t>
        </is>
      </c>
      <c r="D1470" s="17" t="n">
        <v>45881</v>
      </c>
      <c r="E1470" t="inlineStr">
        <is>
          <t>Zepto</t>
        </is>
      </c>
      <c r="F1470" t="inlineStr">
        <is>
          <t>$45.7 Mn</t>
        </is>
      </c>
      <c r="G1470" s="19" t="n"/>
      <c r="H1470" s="19" t="n">
        <v>45.7</v>
      </c>
      <c r="I1470" t="inlineStr">
        <is>
          <t>Undisclosed</t>
        </is>
      </c>
      <c r="J1470" t="inlineStr">
        <is>
          <t>Motilal Oswal Financial Services Ltd</t>
        </is>
      </c>
      <c r="K1470" t="inlineStr">
        <is>
          <t>https://inc42.com/buzz/from-truemeds-to-ultraviolette-indian-startups-raised-272-mn-this-week/</t>
        </is>
      </c>
    </row>
    <row r="1471">
      <c r="A1471" t="inlineStr">
        <is>
          <t>ENT-9606172</t>
        </is>
      </c>
      <c r="B1471" t="inlineStr">
        <is>
          <t>R250730-acko</t>
        </is>
      </c>
      <c r="C1471" t="inlineStr">
        <is>
          <t>Entrackr</t>
        </is>
      </c>
      <c r="D1471" s="17" t="n">
        <v>45868</v>
      </c>
      <c r="E1471" t="inlineStr">
        <is>
          <t>Acko</t>
        </is>
      </c>
      <c r="F1471" t="inlineStr"/>
      <c r="G1471" s="19" t="n"/>
      <c r="H1471" s="19" t="n"/>
      <c r="I1471" t="inlineStr">
        <is>
          <t>Undisclosed</t>
        </is>
      </c>
      <c r="J1471" t="inlineStr"/>
      <c r="K1471" t="inlineStr">
        <is>
          <t>https://entrackr.com/snippets/ms-dhonis-family-office-invests-in-acko-9606172</t>
        </is>
      </c>
    </row>
    <row r="1472">
      <c r="A1472" t="inlineStr">
        <is>
          <t>ENT-9606526</t>
        </is>
      </c>
      <c r="B1472" t="inlineStr">
        <is>
          <t>R250730-designx</t>
        </is>
      </c>
      <c r="C1472" t="inlineStr">
        <is>
          <t>Entrackr</t>
        </is>
      </c>
      <c r="D1472" s="17" t="n">
        <v>45868</v>
      </c>
      <c r="E1472" t="inlineStr">
        <is>
          <t>DesignX</t>
        </is>
      </c>
      <c r="F1472" t="inlineStr">
        <is>
          <t>$2 million</t>
        </is>
      </c>
      <c r="G1472" s="19" t="n"/>
      <c r="H1472" s="19" t="n">
        <v>2</v>
      </c>
      <c r="I1472" t="inlineStr">
        <is>
          <t>Pre-Series A</t>
        </is>
      </c>
      <c r="J1472" t="inlineStr">
        <is>
          <t>Rockstud Capital</t>
        </is>
      </c>
      <c r="K1472" t="inlineStr">
        <is>
          <t>https://entrackr.com/snippets/designx-raises-2-mn-in-pre-series-a-round-led-by-rockstud-capital-9606526</t>
        </is>
      </c>
    </row>
    <row r="1473">
      <c r="A1473" t="inlineStr">
        <is>
          <t>INC-20250809-18</t>
        </is>
      </c>
      <c r="B1473" t="inlineStr">
        <is>
          <t>R250730-designx</t>
        </is>
      </c>
      <c r="C1473" t="inlineStr">
        <is>
          <t>Inc42</t>
        </is>
      </c>
      <c r="D1473" s="17" t="n">
        <v>45875</v>
      </c>
      <c r="E1473" t="inlineStr">
        <is>
          <t>DesignX</t>
        </is>
      </c>
      <c r="F1473" t="inlineStr">
        <is>
          <t>$2 Mn</t>
        </is>
      </c>
      <c r="G1473" s="19" t="n"/>
      <c r="H1473" s="19" t="n">
        <v>2</v>
      </c>
      <c r="I1473" t="inlineStr">
        <is>
          <t>Undisclosed</t>
        </is>
      </c>
      <c r="J1473" t="inlineStr"/>
      <c r="K1473" t="inlineStr">
        <is>
          <t>https://inc42.com/buzz/from-the-sleep-company-to-jeh-aerospace-indian-startups-raised-197-mn-this-week/</t>
        </is>
      </c>
    </row>
    <row r="1474">
      <c r="A1474" t="inlineStr">
        <is>
          <t>ENT-9605294</t>
        </is>
      </c>
      <c r="B1474" t="inlineStr">
        <is>
          <t>R250730-flexprice</t>
        </is>
      </c>
      <c r="C1474" t="inlineStr">
        <is>
          <t>Entrackr</t>
        </is>
      </c>
      <c r="D1474" s="17" t="n">
        <v>45868</v>
      </c>
      <c r="E1474" t="inlineStr">
        <is>
          <t>Flexprice</t>
        </is>
      </c>
      <c r="F1474" t="inlineStr">
        <is>
          <t>$500K</t>
        </is>
      </c>
      <c r="G1474" s="19" t="n"/>
      <c r="H1474" s="19" t="n">
        <v>0.5</v>
      </c>
      <c r="I1474" t="inlineStr">
        <is>
          <t>Pre-Seed</t>
        </is>
      </c>
      <c r="J1474" t="inlineStr">
        <is>
          <t>TDV Partners</t>
        </is>
      </c>
      <c r="K1474" t="inlineStr">
        <is>
          <t>https://entrackr.com/snippets/flexprice-raises-500k-in-pre-seed-round-led-by-tdv-partners-9605294</t>
        </is>
      </c>
    </row>
    <row r="1475">
      <c r="A1475" t="inlineStr">
        <is>
          <t>ENT-9606453</t>
        </is>
      </c>
      <c r="B1475" t="inlineStr">
        <is>
          <t>R250730-heizen</t>
        </is>
      </c>
      <c r="C1475" t="inlineStr">
        <is>
          <t>Entrackr</t>
        </is>
      </c>
      <c r="D1475" s="17" t="n">
        <v>45868</v>
      </c>
      <c r="E1475" t="inlineStr">
        <is>
          <t>Heizen</t>
        </is>
      </c>
      <c r="F1475" t="inlineStr">
        <is>
          <t>$500,000</t>
        </is>
      </c>
      <c r="G1475" s="19" t="n"/>
      <c r="H1475" s="19" t="n">
        <v>0.5</v>
      </c>
      <c r="I1475" t="inlineStr">
        <is>
          <t>Pre-Seed</t>
        </is>
      </c>
      <c r="J1475" t="inlineStr">
        <is>
          <t>Titan Capital; Varun Alagh</t>
        </is>
      </c>
      <c r="K1475" t="inlineStr">
        <is>
          <t>https://entrackr.com/snippets/software-delivery-startup-heizen-raises-seed-round-led-by-titan-capital-9606453</t>
        </is>
      </c>
    </row>
    <row r="1476">
      <c r="A1476" t="inlineStr">
        <is>
          <t>INC-20250802-10</t>
        </is>
      </c>
      <c r="B1476" t="inlineStr">
        <is>
          <t>R250730-heizen</t>
        </is>
      </c>
      <c r="C1476" t="inlineStr">
        <is>
          <t>Inc42</t>
        </is>
      </c>
      <c r="D1476" s="17" t="n">
        <v>45869</v>
      </c>
      <c r="E1476" t="inlineStr">
        <is>
          <t>Heizen</t>
        </is>
      </c>
      <c r="F1476" t="inlineStr">
        <is>
          <t>$500K</t>
        </is>
      </c>
      <c r="G1476" s="19" t="n"/>
      <c r="H1476" s="19" t="n">
        <v>0.5</v>
      </c>
      <c r="I1476" t="inlineStr">
        <is>
          <t>Pre-Seed</t>
        </is>
      </c>
      <c r="J1476" t="inlineStr">
        <is>
          <t>Titan Capital</t>
        </is>
      </c>
      <c r="K1476" t="inlineStr">
        <is>
          <t>https://inc42.com/buzz/from-safe-security-to-stan-indian-startups-raised-104-mn-this-week/</t>
        </is>
      </c>
    </row>
    <row r="1477">
      <c r="A1477" t="inlineStr">
        <is>
          <t>INC-20250802-12</t>
        </is>
      </c>
      <c r="B1477" t="inlineStr">
        <is>
          <t>R250730-iline</t>
        </is>
      </c>
      <c r="C1477" t="inlineStr">
        <is>
          <t>Inc42</t>
        </is>
      </c>
      <c r="D1477" s="17" t="n">
        <v>45868</v>
      </c>
      <c r="E1477" t="inlineStr">
        <is>
          <t>ILine</t>
        </is>
      </c>
      <c r="F1477" t="inlineStr">
        <is>
          <t>$500K</t>
        </is>
      </c>
      <c r="G1477" s="19" t="n"/>
      <c r="H1477" s="19" t="n">
        <v>0.5</v>
      </c>
      <c r="I1477" t="inlineStr">
        <is>
          <t>Undisclosed</t>
        </is>
      </c>
      <c r="J1477" t="inlineStr"/>
      <c r="K1477" t="inlineStr">
        <is>
          <t>https://inc42.com/buzz/from-safe-security-to-stan-indian-startups-raised-104-mn-this-week/</t>
        </is>
      </c>
    </row>
    <row r="1478">
      <c r="A1478" t="inlineStr">
        <is>
          <t>ENT-9609304</t>
        </is>
      </c>
      <c r="B1478" t="inlineStr">
        <is>
          <t>R250730-iline</t>
        </is>
      </c>
      <c r="C1478" t="inlineStr">
        <is>
          <t>Entrackr</t>
        </is>
      </c>
      <c r="D1478" s="17" t="n">
        <v>45869</v>
      </c>
      <c r="E1478" t="inlineStr">
        <is>
          <t>ILine</t>
        </is>
      </c>
      <c r="F1478" t="inlineStr">
        <is>
          <t>$500K</t>
        </is>
      </c>
      <c r="G1478" s="19" t="n"/>
      <c r="H1478" s="19" t="n">
        <v>0.5</v>
      </c>
      <c r="I1478" t="inlineStr">
        <is>
          <t>Angel</t>
        </is>
      </c>
      <c r="J1478" t="inlineStr"/>
      <c r="K1478" t="inlineStr">
        <is>
          <t>https://entrackr.com/snippets/iline-raises-500k-in-angel-round-9609304</t>
        </is>
      </c>
    </row>
    <row r="1479">
      <c r="A1479" t="inlineStr">
        <is>
          <t>ENT-9606016</t>
        </is>
      </c>
      <c r="B1479" t="inlineStr">
        <is>
          <t>R250730-littlebox</t>
        </is>
      </c>
      <c r="C1479" t="inlineStr">
        <is>
          <t>Entrackr</t>
        </is>
      </c>
      <c r="D1479" s="17" t="n">
        <v>45868</v>
      </c>
      <c r="E1479" t="inlineStr">
        <is>
          <t>Littlebox</t>
        </is>
      </c>
      <c r="F1479" t="inlineStr">
        <is>
          <t>Rs 17.5 crore</t>
        </is>
      </c>
      <c r="G1479" s="19" t="n">
        <v>17.5</v>
      </c>
      <c r="H1479" s="19" t="n">
        <v>2.1</v>
      </c>
      <c r="I1479" t="inlineStr">
        <is>
          <t>Undisclosed</t>
        </is>
      </c>
      <c r="J1479" t="inlineStr">
        <is>
          <t>Huddle Ventures; Prath Ventures</t>
        </is>
      </c>
      <c r="K1479" t="inlineStr">
        <is>
          <t>https://entrackr.com/snippets/fashion-startup-littlebox-raises-21-mn-led-by-huddle-and-prath-ventures-9606016</t>
        </is>
      </c>
    </row>
    <row r="1480">
      <c r="A1480" t="inlineStr">
        <is>
          <t>INC-20250802-07</t>
        </is>
      </c>
      <c r="B1480" t="inlineStr">
        <is>
          <t>R250730-littlebox</t>
        </is>
      </c>
      <c r="C1480" t="inlineStr">
        <is>
          <t>Inc42</t>
        </is>
      </c>
      <c r="D1480" s="17" t="n">
        <v>45868</v>
      </c>
      <c r="E1480" t="inlineStr">
        <is>
          <t>Littlebox</t>
        </is>
      </c>
      <c r="F1480" t="inlineStr">
        <is>
          <t>$2.1 Mn</t>
        </is>
      </c>
      <c r="G1480" s="19" t="n"/>
      <c r="H1480" s="19" t="n">
        <v>2.1</v>
      </c>
      <c r="I1480" t="inlineStr">
        <is>
          <t>Seed</t>
        </is>
      </c>
      <c r="J1480" t="inlineStr">
        <is>
          <t>Huddle Ventures; Prath Ventures</t>
        </is>
      </c>
      <c r="K1480" t="inlineStr">
        <is>
          <t>https://inc42.com/buzz/from-safe-security-to-stan-indian-startups-raised-104-mn-this-week/</t>
        </is>
      </c>
    </row>
    <row r="1481">
      <c r="A1481" t="inlineStr">
        <is>
          <t>ENT-9605746</t>
        </is>
      </c>
      <c r="B1481" t="inlineStr">
        <is>
          <t>R250730-vahanai</t>
        </is>
      </c>
      <c r="C1481" t="inlineStr">
        <is>
          <t>Entrackr</t>
        </is>
      </c>
      <c r="D1481" s="17" t="n">
        <v>45868</v>
      </c>
      <c r="E1481" t="inlineStr">
        <is>
          <t>Vahan.ai</t>
        </is>
      </c>
      <c r="F1481" t="inlineStr"/>
      <c r="G1481" s="19" t="n"/>
      <c r="H1481" s="19" t="n"/>
      <c r="I1481" t="inlineStr">
        <is>
          <t>Undisclosed</t>
        </is>
      </c>
      <c r="J1481" t="inlineStr"/>
      <c r="K1481" t="inlineStr">
        <is>
          <t>https://entrackr.com/snippets/vahanai-secures-strategic-investment-from-temaseks-lemmatree-acquires-learn-9605746</t>
        </is>
      </c>
    </row>
    <row r="1482">
      <c r="A1482" t="inlineStr">
        <is>
          <t>INC-20250802-14</t>
        </is>
      </c>
      <c r="B1482" t="inlineStr">
        <is>
          <t>R250730-vahanai</t>
        </is>
      </c>
      <c r="C1482" t="inlineStr">
        <is>
          <t>Inc42</t>
        </is>
      </c>
      <c r="D1482" s="17" t="n">
        <v>45868</v>
      </c>
      <c r="E1482" t="inlineStr">
        <is>
          <t>Vahan.ai</t>
        </is>
      </c>
      <c r="F1482" t="inlineStr"/>
      <c r="G1482" s="19" t="n"/>
      <c r="H1482" s="19" t="n"/>
      <c r="I1482" t="inlineStr">
        <is>
          <t>Undisclosed</t>
        </is>
      </c>
      <c r="J1482" t="inlineStr">
        <is>
          <t>Temasek</t>
        </is>
      </c>
      <c r="K1482" t="inlineStr">
        <is>
          <t>https://inc42.com/buzz/from-safe-security-to-stan-indian-startups-raised-104-mn-this-week/</t>
        </is>
      </c>
    </row>
    <row r="1483">
      <c r="A1483" t="inlineStr">
        <is>
          <t>ENT-9609066</t>
        </is>
      </c>
      <c r="B1483" t="inlineStr">
        <is>
          <t>R250731-arivihan</t>
        </is>
      </c>
      <c r="C1483" t="inlineStr">
        <is>
          <t>Entrackr</t>
        </is>
      </c>
      <c r="D1483" s="17" t="n">
        <v>45869</v>
      </c>
      <c r="E1483" t="inlineStr">
        <is>
          <t>Arivihan</t>
        </is>
      </c>
      <c r="F1483" t="inlineStr">
        <is>
          <t>$4.17 million</t>
        </is>
      </c>
      <c r="G1483" s="19" t="n"/>
      <c r="H1483" s="19" t="n">
        <v>4.17</v>
      </c>
      <c r="I1483" t="inlineStr">
        <is>
          <t>Pre-Series A</t>
        </is>
      </c>
      <c r="J1483" t="inlineStr">
        <is>
          <t>Prosus; Accel</t>
        </is>
      </c>
      <c r="K1483" t="inlineStr">
        <is>
          <t>https://entrackr.com/snippets/arivihan-raises-417-mn-in-pre-series-a-round-from-prosus-accel-9609066</t>
        </is>
      </c>
    </row>
    <row r="1484">
      <c r="A1484" t="inlineStr">
        <is>
          <t>ET-123004020</t>
        </is>
      </c>
      <c r="B1484" t="inlineStr">
        <is>
          <t>R250731-arivihan</t>
        </is>
      </c>
      <c r="C1484" t="inlineStr">
        <is>
          <t>The Economic Times</t>
        </is>
      </c>
      <c r="D1484" s="17" t="n">
        <v>45869</v>
      </c>
      <c r="E1484" t="inlineStr">
        <is>
          <t>Arivihan</t>
        </is>
      </c>
      <c r="F1484" t="inlineStr">
        <is>
          <t>$4.17 million</t>
        </is>
      </c>
      <c r="G1484" s="19" t="n"/>
      <c r="H1484" s="19" t="n">
        <v>4.17</v>
      </c>
      <c r="I1484" t="inlineStr">
        <is>
          <t>Undisclosed</t>
        </is>
      </c>
      <c r="J1484" t="inlineStr">
        <is>
          <t>Prosus</t>
        </is>
      </c>
      <c r="K1484" t="inlineStr">
        <is>
          <t>https://economictimes.indiatimes.com/tech/funding/edtech-firm-arivihan-raises-4-17-million-from-prosus-accel/articleshow/123004020.cms</t>
        </is>
      </c>
    </row>
    <row r="1485">
      <c r="A1485" t="inlineStr">
        <is>
          <t>INC-20250802-04</t>
        </is>
      </c>
      <c r="B1485" t="inlineStr">
        <is>
          <t>R250731-arivihan</t>
        </is>
      </c>
      <c r="C1485" t="inlineStr">
        <is>
          <t>Inc42</t>
        </is>
      </c>
      <c r="D1485" s="17" t="n">
        <v>45869</v>
      </c>
      <c r="E1485" t="inlineStr">
        <is>
          <t>Arivihan</t>
        </is>
      </c>
      <c r="F1485" t="inlineStr">
        <is>
          <t>$4.2 Mn</t>
        </is>
      </c>
      <c r="G1485" s="19" t="n"/>
      <c r="H1485" s="19" t="n">
        <v>4.2</v>
      </c>
      <c r="I1485" t="inlineStr">
        <is>
          <t>Pre-Series A</t>
        </is>
      </c>
      <c r="J1485" t="inlineStr">
        <is>
          <t>Prosus; Accel</t>
        </is>
      </c>
      <c r="K1485" t="inlineStr">
        <is>
          <t>https://inc42.com/buzz/from-safe-security-to-stan-indian-startups-raised-104-mn-this-week/</t>
        </is>
      </c>
    </row>
    <row r="1486">
      <c r="A1486" t="inlineStr">
        <is>
          <t>ENT-9610798</t>
        </is>
      </c>
      <c r="B1486" t="inlineStr">
        <is>
          <t>R250731-metaforms</t>
        </is>
      </c>
      <c r="C1486" t="inlineStr">
        <is>
          <t>Entrackr</t>
        </is>
      </c>
      <c r="D1486" s="17" t="n">
        <v>45869</v>
      </c>
      <c r="E1486" t="inlineStr">
        <is>
          <t>Metaforms</t>
        </is>
      </c>
      <c r="F1486" t="inlineStr">
        <is>
          <t>$9 million</t>
        </is>
      </c>
      <c r="G1486" s="19" t="n"/>
      <c r="H1486" s="19" t="n">
        <v>9</v>
      </c>
      <c r="I1486" t="inlineStr">
        <is>
          <t>Series A</t>
        </is>
      </c>
      <c r="J1486" t="inlineStr">
        <is>
          <t>Peak XV Partners</t>
        </is>
      </c>
      <c r="K1486" t="inlineStr">
        <is>
          <t>https://entrackr.com/snippets/metaforms-raises-9-mn-from-peak-xv-nexus-and-together-fund-9610798</t>
        </is>
      </c>
    </row>
    <row r="1487">
      <c r="A1487" t="inlineStr">
        <is>
          <t>ET-123025369</t>
        </is>
      </c>
      <c r="B1487" t="inlineStr">
        <is>
          <t>R250731-metaforms</t>
        </is>
      </c>
      <c r="C1487" t="inlineStr">
        <is>
          <t>The Economic Times</t>
        </is>
      </c>
      <c r="D1487" s="17" t="n">
        <v>45869</v>
      </c>
      <c r="E1487" t="inlineStr">
        <is>
          <t>Metaforms</t>
        </is>
      </c>
      <c r="F1487" t="inlineStr">
        <is>
          <t>$9 million</t>
        </is>
      </c>
      <c r="G1487" s="19" t="n"/>
      <c r="H1487" s="19" t="n">
        <v>9</v>
      </c>
      <c r="I1487" t="inlineStr">
        <is>
          <t>Undisclosed</t>
        </is>
      </c>
      <c r="J1487" t="inlineStr">
        <is>
          <t>Peak XV Partners</t>
        </is>
      </c>
      <c r="K1487" t="inlineStr">
        <is>
          <t>https://economictimes.indiatimes.com/tech/funding/ai-startup-metaforms-raises-9-million-in-round-led-by-peak-xv-partners/articleshow/123025369.cms</t>
        </is>
      </c>
    </row>
    <row r="1488">
      <c r="A1488" t="inlineStr">
        <is>
          <t>INC-20250802-02</t>
        </is>
      </c>
      <c r="B1488" t="inlineStr">
        <is>
          <t>R250731-metaforms</t>
        </is>
      </c>
      <c r="C1488" t="inlineStr">
        <is>
          <t>Inc42</t>
        </is>
      </c>
      <c r="D1488" s="17" t="n">
        <v>45869</v>
      </c>
      <c r="E1488" t="inlineStr">
        <is>
          <t>Metaforms</t>
        </is>
      </c>
      <c r="F1488" t="inlineStr">
        <is>
          <t>$9 Mn</t>
        </is>
      </c>
      <c r="G1488" s="19" t="n"/>
      <c r="H1488" s="19" t="n">
        <v>9</v>
      </c>
      <c r="I1488" t="inlineStr">
        <is>
          <t>Series A</t>
        </is>
      </c>
      <c r="J1488" t="inlineStr">
        <is>
          <t>Peak XV Partners</t>
        </is>
      </c>
      <c r="K1488" t="inlineStr">
        <is>
          <t>https://inc42.com/buzz/from-safe-security-to-stan-indian-startups-raised-104-mn-this-week/</t>
        </is>
      </c>
    </row>
    <row r="1489">
      <c r="A1489" t="inlineStr">
        <is>
          <t>ENT-9611500</t>
        </is>
      </c>
      <c r="B1489" t="inlineStr">
        <is>
          <t>R250731-safesecurity</t>
        </is>
      </c>
      <c r="C1489" t="inlineStr">
        <is>
          <t>Entrackr</t>
        </is>
      </c>
      <c r="D1489" s="17" t="n">
        <v>45869</v>
      </c>
      <c r="E1489" t="inlineStr">
        <is>
          <t>Safe Security</t>
        </is>
      </c>
      <c r="F1489" t="inlineStr">
        <is>
          <t>$70 million</t>
        </is>
      </c>
      <c r="G1489" s="19" t="n"/>
      <c r="H1489" s="19" t="n">
        <v>70</v>
      </c>
      <c r="I1489" t="inlineStr">
        <is>
          <t>Series C</t>
        </is>
      </c>
      <c r="J1489" t="inlineStr">
        <is>
          <t>Avataar Ventures</t>
        </is>
      </c>
      <c r="K1489" t="inlineStr">
        <is>
          <t>https://entrackr.com/news/safe-security-raises-70-mn-in-series-c-led-by-avataar-ventures-9611500</t>
        </is>
      </c>
    </row>
    <row r="1490">
      <c r="A1490" t="inlineStr">
        <is>
          <t>ET-123019206</t>
        </is>
      </c>
      <c r="B1490" t="inlineStr">
        <is>
          <t>R250731-safesecurity</t>
        </is>
      </c>
      <c r="C1490" t="inlineStr">
        <is>
          <t>The Economic Times</t>
        </is>
      </c>
      <c r="D1490" s="17" t="n">
        <v>45869</v>
      </c>
      <c r="E1490" t="inlineStr">
        <is>
          <t>Safe Security</t>
        </is>
      </c>
      <c r="F1490" t="inlineStr">
        <is>
          <t>$70 million</t>
        </is>
      </c>
      <c r="G1490" s="19" t="n"/>
      <c r="H1490" s="19" t="n">
        <v>70</v>
      </c>
      <c r="I1490" t="inlineStr">
        <is>
          <t>Undisclosed</t>
        </is>
      </c>
      <c r="J1490" t="inlineStr">
        <is>
          <t>Avataar Ventures</t>
        </is>
      </c>
      <c r="K1490" t="inlineStr">
        <is>
          <t>https://economictimes.indiatimes.com/tech/funding/cybersecurity-startup-safe-security-raises-70-million-from-avataar-ventures-others/articleshow/123019206.cms</t>
        </is>
      </c>
    </row>
    <row r="1491">
      <c r="A1491" t="inlineStr">
        <is>
          <t>INC-20250802-01</t>
        </is>
      </c>
      <c r="B1491" t="inlineStr">
        <is>
          <t>R250731-safesecurity</t>
        </is>
      </c>
      <c r="C1491" t="inlineStr">
        <is>
          <t>Inc42</t>
        </is>
      </c>
      <c r="D1491" s="17" t="n">
        <v>45869</v>
      </c>
      <c r="E1491" t="inlineStr">
        <is>
          <t>Safe Security</t>
        </is>
      </c>
      <c r="F1491" t="inlineStr">
        <is>
          <t>$70 Mn</t>
        </is>
      </c>
      <c r="G1491" s="19" t="n"/>
      <c r="H1491" s="19" t="n">
        <v>70</v>
      </c>
      <c r="I1491" t="inlineStr">
        <is>
          <t>Series C</t>
        </is>
      </c>
      <c r="J1491" t="inlineStr">
        <is>
          <t>Avataar Venture Partners</t>
        </is>
      </c>
      <c r="K1491" t="inlineStr">
        <is>
          <t>https://inc42.com/buzz/from-safe-security-to-stan-indian-startups-raised-104-mn-this-week/</t>
        </is>
      </c>
    </row>
    <row r="1492">
      <c r="A1492" t="inlineStr">
        <is>
          <t>ENT-9609864</t>
        </is>
      </c>
      <c r="B1492" t="inlineStr">
        <is>
          <t>R250731-snooplay</t>
        </is>
      </c>
      <c r="C1492" t="inlineStr">
        <is>
          <t>Entrackr</t>
        </is>
      </c>
      <c r="D1492" s="17" t="n">
        <v>45869</v>
      </c>
      <c r="E1492" t="inlineStr">
        <is>
          <t>Snooplay</t>
        </is>
      </c>
      <c r="F1492" t="inlineStr">
        <is>
          <t>Rs 8 crore</t>
        </is>
      </c>
      <c r="G1492" s="19" t="n">
        <v>8</v>
      </c>
      <c r="H1492" s="19" t="n"/>
      <c r="I1492" t="inlineStr">
        <is>
          <t>Pre-Series A</t>
        </is>
      </c>
      <c r="J1492" t="inlineStr">
        <is>
          <t>Pravek Family Office</t>
        </is>
      </c>
      <c r="K1492" t="inlineStr">
        <is>
          <t>https://entrackr.com/snippets/toy-marketplace-snooplay-raises-pre-series-a1-round-led-by-pravek-family-office-9609864</t>
        </is>
      </c>
    </row>
    <row r="1493">
      <c r="A1493" t="inlineStr">
        <is>
          <t>INC-20250802-08</t>
        </is>
      </c>
      <c r="B1493" t="inlineStr">
        <is>
          <t>R250731-snooplay</t>
        </is>
      </c>
      <c r="C1493" t="inlineStr">
        <is>
          <t>Inc42</t>
        </is>
      </c>
      <c r="D1493" s="17" t="n">
        <v>45869</v>
      </c>
      <c r="E1493" t="inlineStr">
        <is>
          <t>Snooplay</t>
        </is>
      </c>
      <c r="F1493" t="inlineStr">
        <is>
          <t>$916K</t>
        </is>
      </c>
      <c r="G1493" s="19" t="n"/>
      <c r="H1493" s="19" t="n">
        <v>0.916</v>
      </c>
      <c r="I1493" t="inlineStr">
        <is>
          <t>Pre-Series A</t>
        </is>
      </c>
      <c r="J1493" t="inlineStr">
        <is>
          <t>Pravek Family Office</t>
        </is>
      </c>
      <c r="K1493" t="inlineStr">
        <is>
          <t>https://inc42.com/buzz/from-safe-security-to-stan-indian-startups-raised-104-mn-this-week/</t>
        </is>
      </c>
    </row>
    <row r="1494">
      <c r="A1494" t="inlineStr">
        <is>
          <t>ENT-9611968</t>
        </is>
      </c>
      <c r="B1494" t="inlineStr">
        <is>
          <t>R250731-stan</t>
        </is>
      </c>
      <c r="C1494" t="inlineStr">
        <is>
          <t>Entrackr</t>
        </is>
      </c>
      <c r="D1494" s="17" t="n">
        <v>45869</v>
      </c>
      <c r="E1494" t="inlineStr">
        <is>
          <t>STAN</t>
        </is>
      </c>
      <c r="F1494" t="inlineStr">
        <is>
          <t>$8.5 million</t>
        </is>
      </c>
      <c r="G1494" s="19" t="n"/>
      <c r="H1494" s="19" t="n">
        <v>8.5</v>
      </c>
      <c r="I1494" t="inlineStr">
        <is>
          <t>Series A</t>
        </is>
      </c>
      <c r="J1494" t="inlineStr"/>
      <c r="K1494" t="inlineStr">
        <is>
          <t>https://entrackr.com/snippets/social-gaming-platform-stan-raises-85-mn-in-series-a-round-9611968</t>
        </is>
      </c>
    </row>
    <row r="1495">
      <c r="A1495" t="inlineStr">
        <is>
          <t>ET-123020060</t>
        </is>
      </c>
      <c r="B1495" t="inlineStr">
        <is>
          <t>R250731-stan</t>
        </is>
      </c>
      <c r="C1495" t="inlineStr">
        <is>
          <t>The Economic Times</t>
        </is>
      </c>
      <c r="D1495" s="17" t="n">
        <v>45869</v>
      </c>
      <c r="E1495" t="inlineStr">
        <is>
          <t>Stan</t>
        </is>
      </c>
      <c r="F1495" t="inlineStr">
        <is>
          <t>$8.5 million</t>
        </is>
      </c>
      <c r="G1495" s="19" t="n"/>
      <c r="H1495" s="19" t="n">
        <v>8.5</v>
      </c>
      <c r="I1495" t="inlineStr">
        <is>
          <t>Undisclosed</t>
        </is>
      </c>
      <c r="J1495" t="inlineStr"/>
      <c r="K1495" t="inlineStr">
        <is>
          <t>https://economictimes.indiatimes.com/tech/funding/online-gaming-firm-stan-raises-8-5-million-in-fresh-funding-round/articleshow/123020060.cms</t>
        </is>
      </c>
    </row>
    <row r="1496">
      <c r="A1496" t="inlineStr">
        <is>
          <t>INC-20250802-03</t>
        </is>
      </c>
      <c r="B1496" t="inlineStr">
        <is>
          <t>R250731-stan</t>
        </is>
      </c>
      <c r="C1496" t="inlineStr">
        <is>
          <t>Inc42</t>
        </is>
      </c>
      <c r="D1496" s="17" t="n">
        <v>45869</v>
      </c>
      <c r="E1496" t="inlineStr">
        <is>
          <t>STAN</t>
        </is>
      </c>
      <c r="F1496" t="inlineStr">
        <is>
          <t>$8.5 Mn</t>
        </is>
      </c>
      <c r="G1496" s="19" t="n"/>
      <c r="H1496" s="19" t="n">
        <v>8.5</v>
      </c>
      <c r="I1496" t="inlineStr">
        <is>
          <t>Series A</t>
        </is>
      </c>
      <c r="J1496" t="inlineStr"/>
      <c r="K1496" t="inlineStr">
        <is>
          <t>https://inc42.com/buzz/from-safe-security-to-stan-indian-startups-raised-104-mn-this-week/</t>
        </is>
      </c>
    </row>
    <row r="1497">
      <c r="A1497" t="inlineStr">
        <is>
          <t>ENT-9614155</t>
        </is>
      </c>
      <c r="B1497" t="inlineStr">
        <is>
          <t>R250801-bhindiio</t>
        </is>
      </c>
      <c r="C1497" t="inlineStr">
        <is>
          <t>Entrackr</t>
        </is>
      </c>
      <c r="D1497" s="17" t="n">
        <v>45870</v>
      </c>
      <c r="E1497" t="inlineStr">
        <is>
          <t>Bhindi.io</t>
        </is>
      </c>
      <c r="F1497" t="inlineStr">
        <is>
          <t>$4 million</t>
        </is>
      </c>
      <c r="G1497" s="19" t="n"/>
      <c r="H1497" s="19" t="n">
        <v>4</v>
      </c>
      <c r="I1497" t="inlineStr">
        <is>
          <t>Pre-Seed</t>
        </is>
      </c>
      <c r="J1497" t="inlineStr">
        <is>
          <t>Cyber Fund</t>
        </is>
      </c>
      <c r="K1497" t="inlineStr">
        <is>
          <t>https://entrackr.com/snippets/bhindiio-raises-4-mn-in-pre-seed-round-led-by-cyber-fund-9614155</t>
        </is>
      </c>
    </row>
    <row r="1498">
      <c r="A1498" t="inlineStr">
        <is>
          <t>ENT-9623583</t>
        </is>
      </c>
      <c r="B1498" t="inlineStr">
        <is>
          <t>R250804-mitigata</t>
        </is>
      </c>
      <c r="C1498" t="inlineStr">
        <is>
          <t>Entrackr</t>
        </is>
      </c>
      <c r="D1498" s="17" t="n">
        <v>45873</v>
      </c>
      <c r="E1498" t="inlineStr">
        <is>
          <t>Mitigata</t>
        </is>
      </c>
      <c r="F1498" t="inlineStr">
        <is>
          <t>$5.9 million</t>
        </is>
      </c>
      <c r="G1498" s="19" t="n"/>
      <c r="H1498" s="19" t="n">
        <v>5.9</v>
      </c>
      <c r="I1498" t="inlineStr">
        <is>
          <t>Series A</t>
        </is>
      </c>
      <c r="J1498" t="inlineStr">
        <is>
          <t>Nexus Venture Partners</t>
        </is>
      </c>
      <c r="K1498" t="inlineStr">
        <is>
          <t>https://entrackr.com/snippets/cyber-resilience-startup-mitigata-raises-59-mn-led-by-nexus-9623583</t>
        </is>
      </c>
    </row>
    <row r="1499">
      <c r="A1499" t="inlineStr">
        <is>
          <t>ET-123088197</t>
        </is>
      </c>
      <c r="B1499" t="inlineStr">
        <is>
          <t>R250804-mitigata</t>
        </is>
      </c>
      <c r="C1499" t="inlineStr">
        <is>
          <t>The Economic Times</t>
        </is>
      </c>
      <c r="D1499" s="17" t="n">
        <v>45873</v>
      </c>
      <c r="E1499" t="inlineStr">
        <is>
          <t>Mitigata</t>
        </is>
      </c>
      <c r="F1499" t="inlineStr">
        <is>
          <t>$5.9 million</t>
        </is>
      </c>
      <c r="G1499" s="19" t="n"/>
      <c r="H1499" s="19" t="n">
        <v>5.9</v>
      </c>
      <c r="I1499" t="inlineStr">
        <is>
          <t>Undisclosed</t>
        </is>
      </c>
      <c r="J1499" t="inlineStr">
        <is>
          <t>Nexus Venture Partners</t>
        </is>
      </c>
      <c r="K1499" t="inlineStr">
        <is>
          <t>https://economictimes.indiatimes.com/tech/funding/cyber-resilience-platform-mitigata-raises-5-9-million-from-nexus-venture-partners-others/articleshow/123088197.cms</t>
        </is>
      </c>
    </row>
    <row r="1500">
      <c r="A1500" t="inlineStr">
        <is>
          <t>INC-20250809-09</t>
        </is>
      </c>
      <c r="B1500" t="inlineStr">
        <is>
          <t>R250804-mitigata</t>
        </is>
      </c>
      <c r="C1500" t="inlineStr">
        <is>
          <t>Inc42</t>
        </is>
      </c>
      <c r="D1500" s="17" t="n">
        <v>45873</v>
      </c>
      <c r="E1500" t="inlineStr">
        <is>
          <t>Mitigata</t>
        </is>
      </c>
      <c r="F1500" t="inlineStr">
        <is>
          <t>$5.9 Mn</t>
        </is>
      </c>
      <c r="G1500" s="19" t="n"/>
      <c r="H1500" s="19" t="n">
        <v>5.9</v>
      </c>
      <c r="I1500" t="inlineStr">
        <is>
          <t>Series A</t>
        </is>
      </c>
      <c r="J1500" t="inlineStr">
        <is>
          <t>Nexus Venture Partners</t>
        </is>
      </c>
      <c r="K1500" t="inlineStr">
        <is>
          <t>https://inc42.com/buzz/from-the-sleep-company-to-jeh-aerospace-indian-startups-raised-197-mn-this-week/</t>
        </is>
      </c>
    </row>
    <row r="1501">
      <c r="A1501" t="inlineStr">
        <is>
          <t>ENT-9628241</t>
        </is>
      </c>
      <c r="B1501" t="inlineStr">
        <is>
          <t>R250805-eonspacelabs</t>
        </is>
      </c>
      <c r="C1501" t="inlineStr">
        <is>
          <t>Entrackr</t>
        </is>
      </c>
      <c r="D1501" s="17" t="n">
        <v>45874</v>
      </c>
      <c r="E1501" t="inlineStr">
        <is>
          <t>EON Space Labs</t>
        </is>
      </c>
      <c r="F1501" t="inlineStr">
        <is>
          <t>$1.2 million</t>
        </is>
      </c>
      <c r="G1501" s="19" t="n">
        <v>10.5</v>
      </c>
      <c r="H1501" s="19" t="n">
        <v>1.2</v>
      </c>
      <c r="I1501" t="inlineStr">
        <is>
          <t>Pre-Series A</t>
        </is>
      </c>
      <c r="J1501" t="inlineStr">
        <is>
          <t>MGF Kavachh</t>
        </is>
      </c>
      <c r="K1501" t="inlineStr">
        <is>
          <t>https://entrackr.com/snippets/eon-space-labs-bags-12-mn-in-pre-series-a-round-9628241</t>
        </is>
      </c>
    </row>
    <row r="1502">
      <c r="A1502" t="inlineStr">
        <is>
          <t>INC-20250809-19</t>
        </is>
      </c>
      <c r="B1502" t="inlineStr">
        <is>
          <t>R250805-eonspacelabs</t>
        </is>
      </c>
      <c r="C1502" t="inlineStr">
        <is>
          <t>Inc42</t>
        </is>
      </c>
      <c r="D1502" s="17" t="n">
        <v>45874</v>
      </c>
      <c r="E1502" t="inlineStr">
        <is>
          <t>EON Space Labs</t>
        </is>
      </c>
      <c r="F1502" t="inlineStr">
        <is>
          <t>$1.2 Mn</t>
        </is>
      </c>
      <c r="G1502" s="19" t="n"/>
      <c r="H1502" s="19" t="n">
        <v>1.2</v>
      </c>
      <c r="I1502" t="inlineStr">
        <is>
          <t>Pre-Series A</t>
        </is>
      </c>
      <c r="J1502" t="inlineStr">
        <is>
          <t>MGF Kavachh</t>
        </is>
      </c>
      <c r="K1502" t="inlineStr">
        <is>
          <t>https://inc42.com/buzz/from-the-sleep-company-to-jeh-aerospace-indian-startups-raised-197-mn-this-week/</t>
        </is>
      </c>
    </row>
    <row r="1503">
      <c r="A1503" t="inlineStr">
        <is>
          <t>ENT-9627953</t>
        </is>
      </c>
      <c r="B1503" t="inlineStr">
        <is>
          <t>R250805-fibelendingarm</t>
        </is>
      </c>
      <c r="C1503" t="inlineStr">
        <is>
          <t>Entrackr</t>
        </is>
      </c>
      <c r="D1503" s="17" t="n">
        <v>45874</v>
      </c>
      <c r="E1503" t="inlineStr">
        <is>
          <t>Fibe’s lending arm</t>
        </is>
      </c>
      <c r="F1503" t="inlineStr">
        <is>
          <t>Rs 250 crore</t>
        </is>
      </c>
      <c r="G1503" s="19" t="n">
        <v>250</v>
      </c>
      <c r="H1503" s="19" t="n">
        <v>26.5</v>
      </c>
      <c r="I1503" t="inlineStr">
        <is>
          <t>Debt</t>
        </is>
      </c>
      <c r="J1503" t="inlineStr"/>
      <c r="K1503" t="inlineStr">
        <is>
          <t>https://entrackr.com/news/fibes-lending-arm-raises-rs-225-cr-in-debt-9627953</t>
        </is>
      </c>
    </row>
    <row r="1504">
      <c r="A1504" t="inlineStr">
        <is>
          <t>INC-20250809-03</t>
        </is>
      </c>
      <c r="B1504" t="inlineStr">
        <is>
          <t>R250805-fibelendingarm</t>
        </is>
      </c>
      <c r="C1504" t="inlineStr">
        <is>
          <t>Inc42</t>
        </is>
      </c>
      <c r="D1504" s="17" t="n">
        <v>45874</v>
      </c>
      <c r="E1504" t="inlineStr">
        <is>
          <t>Fibe</t>
        </is>
      </c>
      <c r="F1504" t="inlineStr">
        <is>
          <t>$25 Mn</t>
        </is>
      </c>
      <c r="G1504" s="19" t="n"/>
      <c r="H1504" s="19" t="n">
        <v>25</v>
      </c>
      <c r="I1504" t="inlineStr">
        <is>
          <t>Debt</t>
        </is>
      </c>
      <c r="J1504" t="inlineStr">
        <is>
          <t>Franklin Templeton Alternative Investments Fund</t>
        </is>
      </c>
      <c r="K1504" t="inlineStr">
        <is>
          <t>https://inc42.com/buzz/from-the-sleep-company-to-jeh-aerospace-indian-startups-raised-197-mn-this-week/</t>
        </is>
      </c>
    </row>
    <row r="1505">
      <c r="A1505" t="inlineStr">
        <is>
          <t>ENT-9627733</t>
        </is>
      </c>
      <c r="B1505" t="inlineStr">
        <is>
          <t>R250805-fraganote</t>
        </is>
      </c>
      <c r="C1505" t="inlineStr">
        <is>
          <t>Entrackr</t>
        </is>
      </c>
      <c r="D1505" s="17" t="n">
        <v>45874</v>
      </c>
      <c r="E1505" t="inlineStr">
        <is>
          <t>Fraganote</t>
        </is>
      </c>
      <c r="F1505" t="inlineStr">
        <is>
          <t>$1 million</t>
        </is>
      </c>
      <c r="G1505" s="19" t="n"/>
      <c r="H1505" s="19" t="n">
        <v>1</v>
      </c>
      <c r="I1505" t="inlineStr">
        <is>
          <t>Pre-Series A</t>
        </is>
      </c>
      <c r="J1505" t="inlineStr">
        <is>
          <t>Rukam Capital</t>
        </is>
      </c>
      <c r="K1505" t="inlineStr">
        <is>
          <t>https://entrackr.com/snippets/fraganote-raises-1-mn-in-pre-series-a-round-led-by-rukam-capital-9627733</t>
        </is>
      </c>
    </row>
    <row r="1506">
      <c r="A1506" t="inlineStr">
        <is>
          <t>INC-20250809-21</t>
        </is>
      </c>
      <c r="B1506" t="inlineStr">
        <is>
          <t>R250805-fraganote</t>
        </is>
      </c>
      <c r="C1506" t="inlineStr">
        <is>
          <t>Inc42</t>
        </is>
      </c>
      <c r="D1506" s="17" t="n">
        <v>45874</v>
      </c>
      <c r="E1506" t="inlineStr">
        <is>
          <t>Fraganote</t>
        </is>
      </c>
      <c r="F1506" t="inlineStr">
        <is>
          <t>$1 Mn</t>
        </is>
      </c>
      <c r="G1506" s="19" t="n"/>
      <c r="H1506" s="19" t="n">
        <v>1</v>
      </c>
      <c r="I1506" t="inlineStr">
        <is>
          <t>Pre-Series A</t>
        </is>
      </c>
      <c r="J1506" t="inlineStr">
        <is>
          <t>Rukam Capital</t>
        </is>
      </c>
      <c r="K1506" t="inlineStr">
        <is>
          <t>https://inc42.com/buzz/from-the-sleep-company-to-jeh-aerospace-indian-startups-raised-197-mn-this-week/</t>
        </is>
      </c>
    </row>
    <row r="1507">
      <c r="A1507" t="inlineStr">
        <is>
          <t>ENT-9627957</t>
        </is>
      </c>
      <c r="B1507" t="inlineStr">
        <is>
          <t>R250805-gameramp</t>
        </is>
      </c>
      <c r="C1507" t="inlineStr">
        <is>
          <t>Entrackr</t>
        </is>
      </c>
      <c r="D1507" s="17" t="n">
        <v>45874</v>
      </c>
      <c r="E1507" t="inlineStr">
        <is>
          <t>GameRamp</t>
        </is>
      </c>
      <c r="F1507" t="inlineStr">
        <is>
          <t>$5.4 million</t>
        </is>
      </c>
      <c r="G1507" s="19" t="n"/>
      <c r="H1507" s="19" t="n">
        <v>5.4</v>
      </c>
      <c r="I1507" t="inlineStr">
        <is>
          <t>Pre-Seed</t>
        </is>
      </c>
      <c r="J1507" t="inlineStr">
        <is>
          <t>BITKRAFT Ventures; Mixi; DeVC</t>
        </is>
      </c>
      <c r="K1507" t="inlineStr">
        <is>
          <t>https://entrackr.com/snippets/gameramp-raises-54-mn-in-pre-seed-round-led-by-bitkraft-ventures-9627957</t>
        </is>
      </c>
    </row>
    <row r="1508">
      <c r="A1508" t="inlineStr">
        <is>
          <t>ET-123110706</t>
        </is>
      </c>
      <c r="B1508" t="inlineStr">
        <is>
          <t>R250805-gameramp</t>
        </is>
      </c>
      <c r="C1508" t="inlineStr">
        <is>
          <t>The Economic Times</t>
        </is>
      </c>
      <c r="D1508" s="17" t="n">
        <v>45874</v>
      </c>
      <c r="E1508" t="inlineStr">
        <is>
          <t>GameRamp</t>
        </is>
      </c>
      <c r="F1508" t="inlineStr">
        <is>
          <t>$5.4 million</t>
        </is>
      </c>
      <c r="G1508" s="19" t="n"/>
      <c r="H1508" s="19" t="n">
        <v>5.4</v>
      </c>
      <c r="I1508" t="inlineStr">
        <is>
          <t>Pre-Seed</t>
        </is>
      </c>
      <c r="J1508" t="inlineStr">
        <is>
          <t>Bitkraft Ventures</t>
        </is>
      </c>
      <c r="K1508" t="inlineStr">
        <is>
          <t>https://economictimes.indiatimes.com/tech/funding/gameramp-raises-5-4-million-funding-in-round-led-by-bitkraft-ventures/articleshow/123110706.cms</t>
        </is>
      </c>
    </row>
    <row r="1509">
      <c r="A1509" t="inlineStr">
        <is>
          <t>ENT-9627545</t>
        </is>
      </c>
      <c r="B1509" t="inlineStr">
        <is>
          <t>R250805-jehaerospace</t>
        </is>
      </c>
      <c r="C1509" t="inlineStr">
        <is>
          <t>Entrackr</t>
        </is>
      </c>
      <c r="D1509" s="17" t="n">
        <v>45874</v>
      </c>
      <c r="E1509" t="inlineStr">
        <is>
          <t>Jeh Aerospace</t>
        </is>
      </c>
      <c r="F1509" t="inlineStr">
        <is>
          <t>$11 million</t>
        </is>
      </c>
      <c r="G1509" s="19" t="n"/>
      <c r="H1509" s="19" t="n">
        <v>11</v>
      </c>
      <c r="I1509" t="inlineStr">
        <is>
          <t>Undisclosed</t>
        </is>
      </c>
      <c r="J1509" t="inlineStr">
        <is>
          <t>Elevation Capital; General Catalyst</t>
        </is>
      </c>
      <c r="K1509" t="inlineStr">
        <is>
          <t>https://entrackr.com/snippets/jeh-aerospace-raises-11-mn-led-by-elevation-capital-9627545</t>
        </is>
      </c>
    </row>
    <row r="1510">
      <c r="A1510" t="inlineStr">
        <is>
          <t>ET-123099912</t>
        </is>
      </c>
      <c r="B1510" t="inlineStr">
        <is>
          <t>R250805-jehaerospace</t>
        </is>
      </c>
      <c r="C1510" t="inlineStr">
        <is>
          <t>The Economic Times</t>
        </is>
      </c>
      <c r="D1510" s="17" t="n">
        <v>45874</v>
      </c>
      <c r="E1510" t="inlineStr">
        <is>
          <t>Jeh Aerospace</t>
        </is>
      </c>
      <c r="F1510" t="inlineStr">
        <is>
          <t>$11 million</t>
        </is>
      </c>
      <c r="G1510" s="19" t="n"/>
      <c r="H1510" s="19" t="n">
        <v>11</v>
      </c>
      <c r="I1510" t="inlineStr">
        <is>
          <t>Undisclosed</t>
        </is>
      </c>
      <c r="J1510" t="inlineStr">
        <is>
          <t>Elevation Capital</t>
        </is>
      </c>
      <c r="K1510" t="inlineStr">
        <is>
          <t>https://economictimes.indiatimes.com/tech/funding/jeh-aerospace-raises-11-million-in-round-led-by-elevation-capital/articleshow/123099912.cms</t>
        </is>
      </c>
    </row>
    <row r="1511">
      <c r="A1511" t="inlineStr">
        <is>
          <t>INC-20250809-05</t>
        </is>
      </c>
      <c r="B1511" t="inlineStr">
        <is>
          <t>R250805-jehaerospace</t>
        </is>
      </c>
      <c r="C1511" t="inlineStr">
        <is>
          <t>Inc42</t>
        </is>
      </c>
      <c r="D1511" s="17" t="n">
        <v>45874</v>
      </c>
      <c r="E1511" t="inlineStr">
        <is>
          <t>Jeh Aerospace</t>
        </is>
      </c>
      <c r="F1511" t="inlineStr">
        <is>
          <t>$11 Mn</t>
        </is>
      </c>
      <c r="G1511" s="19" t="n"/>
      <c r="H1511" s="19" t="n">
        <v>11</v>
      </c>
      <c r="I1511" t="inlineStr">
        <is>
          <t>Series A</t>
        </is>
      </c>
      <c r="J1511" t="inlineStr">
        <is>
          <t>Elevation Capital</t>
        </is>
      </c>
      <c r="K1511" t="inlineStr">
        <is>
          <t>https://inc42.com/buzz/from-the-sleep-company-to-jeh-aerospace-indian-startups-raised-197-mn-this-week/</t>
        </is>
      </c>
    </row>
    <row r="1512">
      <c r="A1512" t="inlineStr">
        <is>
          <t>ENT-9627721</t>
        </is>
      </c>
      <c r="B1512" t="inlineStr">
        <is>
          <t>R250805-politepowertec</t>
        </is>
      </c>
      <c r="C1512" t="inlineStr">
        <is>
          <t>Entrackr</t>
        </is>
      </c>
      <c r="D1512" s="17" t="n">
        <v>45874</v>
      </c>
      <c r="E1512" t="inlineStr">
        <is>
          <t>Polite Powertech</t>
        </is>
      </c>
      <c r="F1512" t="inlineStr"/>
      <c r="G1512" s="19" t="n"/>
      <c r="H1512" s="19" t="n"/>
      <c r="I1512" t="inlineStr">
        <is>
          <t>Pre-IPO</t>
        </is>
      </c>
      <c r="J1512" t="inlineStr"/>
      <c r="K1512" t="inlineStr">
        <is>
          <t>https://entrackr.com/snippets/chanakya-opportunities-fund-backs-polite-powertech-in-pre-ipo-round-9627721</t>
        </is>
      </c>
    </row>
    <row r="1513">
      <c r="A1513" t="inlineStr">
        <is>
          <t>INC-20250809-25</t>
        </is>
      </c>
      <c r="B1513" t="inlineStr">
        <is>
          <t>R250805-prozo</t>
        </is>
      </c>
      <c r="C1513" t="inlineStr">
        <is>
          <t>Inc42</t>
        </is>
      </c>
      <c r="D1513" s="17" t="n">
        <v>45874</v>
      </c>
      <c r="E1513" t="inlineStr">
        <is>
          <t>Prozo</t>
        </is>
      </c>
      <c r="F1513" t="inlineStr"/>
      <c r="G1513" s="19" t="n"/>
      <c r="H1513" s="19" t="n"/>
      <c r="I1513" t="inlineStr">
        <is>
          <t>Undisclosed</t>
        </is>
      </c>
      <c r="J1513" t="inlineStr">
        <is>
          <t>Ranbir Kapoor</t>
        </is>
      </c>
      <c r="K1513" t="inlineStr">
        <is>
          <t>https://inc42.com/buzz/from-the-sleep-company-to-jeh-aerospace-indian-startups-raised-197-mn-this-week/</t>
        </is>
      </c>
    </row>
    <row r="1514">
      <c r="A1514" t="inlineStr">
        <is>
          <t>ENT-9627182</t>
        </is>
      </c>
      <c r="B1514" t="inlineStr">
        <is>
          <t>R250805-rifaai</t>
        </is>
      </c>
      <c r="C1514" t="inlineStr">
        <is>
          <t>Entrackr</t>
        </is>
      </c>
      <c r="D1514" s="17" t="n">
        <v>45874</v>
      </c>
      <c r="E1514" t="inlineStr">
        <is>
          <t>Rifa AI</t>
        </is>
      </c>
      <c r="F1514" t="inlineStr">
        <is>
          <t>$1.1 million</t>
        </is>
      </c>
      <c r="G1514" s="19" t="n"/>
      <c r="H1514" s="19" t="n">
        <v>1.1</v>
      </c>
      <c r="I1514" t="inlineStr">
        <is>
          <t>Undisclosed</t>
        </is>
      </c>
      <c r="J1514" t="inlineStr">
        <is>
          <t>Seaborne Capital; FalconX</t>
        </is>
      </c>
      <c r="K1514" t="inlineStr">
        <is>
          <t>https://entrackr.com/snippets/rifa-ai-raises-11-mn-led-by-seaborne-capital-9627182</t>
        </is>
      </c>
    </row>
    <row r="1515">
      <c r="A1515" t="inlineStr">
        <is>
          <t>ET-123100347</t>
        </is>
      </c>
      <c r="B1515" t="inlineStr">
        <is>
          <t>R250805-rifaai</t>
        </is>
      </c>
      <c r="C1515" t="inlineStr">
        <is>
          <t>The Economic Times</t>
        </is>
      </c>
      <c r="D1515" s="17" t="n">
        <v>45874</v>
      </c>
      <c r="E1515" t="inlineStr">
        <is>
          <t>Rifa AI</t>
        </is>
      </c>
      <c r="F1515" t="inlineStr">
        <is>
          <t>$1.1 million</t>
        </is>
      </c>
      <c r="G1515" s="19" t="n"/>
      <c r="H1515" s="19" t="n">
        <v>1.1</v>
      </c>
      <c r="I1515" t="inlineStr">
        <is>
          <t>Undisclosed</t>
        </is>
      </c>
      <c r="J1515" t="inlineStr">
        <is>
          <t>Seaborne Capital</t>
        </is>
      </c>
      <c r="K1515" t="inlineStr">
        <is>
          <t>https://economictimes.indiatimes.com/tech/funding/conversational-ai-platform-rifa-ai-raises-1-1-million-from-seaborne-capital/articleshow/123100347.cms</t>
        </is>
      </c>
    </row>
    <row r="1516">
      <c r="A1516" t="inlineStr">
        <is>
          <t>ENT-9627976</t>
        </is>
      </c>
      <c r="B1516" t="inlineStr">
        <is>
          <t>R250805-shortgun</t>
        </is>
      </c>
      <c r="C1516" t="inlineStr">
        <is>
          <t>Entrackr</t>
        </is>
      </c>
      <c r="D1516" s="17" t="n">
        <v>45874</v>
      </c>
      <c r="E1516" t="inlineStr">
        <is>
          <t>Shortgun</t>
        </is>
      </c>
      <c r="F1516" t="inlineStr">
        <is>
          <t>$1 million</t>
        </is>
      </c>
      <c r="G1516" s="19" t="n"/>
      <c r="H1516" s="19" t="n">
        <v>1</v>
      </c>
      <c r="I1516" t="inlineStr">
        <is>
          <t>Seed</t>
        </is>
      </c>
      <c r="J1516" t="inlineStr"/>
      <c r="K1516" t="inlineStr">
        <is>
          <t>https://entrackr.com/snippets/game-development-studio-shortgun-raises-1-mn-in-seed-round-9627976</t>
        </is>
      </c>
    </row>
    <row r="1517">
      <c r="A1517" t="inlineStr">
        <is>
          <t>INC-20250809-22</t>
        </is>
      </c>
      <c r="B1517" t="inlineStr">
        <is>
          <t>R250805-shortgun</t>
        </is>
      </c>
      <c r="C1517" t="inlineStr">
        <is>
          <t>Inc42</t>
        </is>
      </c>
      <c r="D1517" s="17" t="n">
        <v>45874</v>
      </c>
      <c r="E1517" t="inlineStr">
        <is>
          <t>Shortgun Games</t>
        </is>
      </c>
      <c r="F1517" t="inlineStr">
        <is>
          <t>$1 Mn</t>
        </is>
      </c>
      <c r="G1517" s="19" t="n"/>
      <c r="H1517" s="19" t="n">
        <v>1</v>
      </c>
      <c r="I1517" t="inlineStr">
        <is>
          <t>Seed</t>
        </is>
      </c>
      <c r="J1517" t="inlineStr"/>
      <c r="K1517" t="inlineStr">
        <is>
          <t>https://inc42.com/buzz/from-the-sleep-company-to-jeh-aerospace-indian-startups-raised-197-mn-this-week/</t>
        </is>
      </c>
    </row>
    <row r="1518">
      <c r="A1518" t="inlineStr">
        <is>
          <t>ENT-9628896</t>
        </is>
      </c>
      <c r="B1518" t="inlineStr">
        <is>
          <t>R250805-terafac</t>
        </is>
      </c>
      <c r="C1518" t="inlineStr">
        <is>
          <t>Entrackr</t>
        </is>
      </c>
      <c r="D1518" s="17" t="n">
        <v>45874</v>
      </c>
      <c r="E1518" t="inlineStr">
        <is>
          <t>Terafac</t>
        </is>
      </c>
      <c r="F1518" t="inlineStr">
        <is>
          <t>Rs 6.5 crore</t>
        </is>
      </c>
      <c r="G1518" s="19" t="n">
        <v>6.5</v>
      </c>
      <c r="H1518" s="19" t="n">
        <v>0.8</v>
      </c>
      <c r="I1518" t="inlineStr">
        <is>
          <t>Pre-Seed</t>
        </is>
      </c>
      <c r="J1518" t="inlineStr">
        <is>
          <t>Inuka Capital</t>
        </is>
      </c>
      <c r="K1518" t="inlineStr">
        <is>
          <t>https://entrackr.com/snippets/terafac-raises-rs-65-cr-in-pre-seed-round-led-by-inuka-capital-9628896</t>
        </is>
      </c>
    </row>
    <row r="1519">
      <c r="A1519" t="inlineStr">
        <is>
          <t>INC-20250809-24</t>
        </is>
      </c>
      <c r="B1519" t="inlineStr">
        <is>
          <t>R250805-terafac</t>
        </is>
      </c>
      <c r="C1519" t="inlineStr">
        <is>
          <t>Inc42</t>
        </is>
      </c>
      <c r="D1519" s="17" t="n">
        <v>45874</v>
      </c>
      <c r="E1519" t="inlineStr">
        <is>
          <t>Terafac</t>
        </is>
      </c>
      <c r="F1519" t="inlineStr">
        <is>
          <t>$800K</t>
        </is>
      </c>
      <c r="G1519" s="19" t="n"/>
      <c r="H1519" s="19" t="n">
        <v>0.8</v>
      </c>
      <c r="I1519" t="inlineStr">
        <is>
          <t>Pre-Seed</t>
        </is>
      </c>
      <c r="J1519" t="inlineStr">
        <is>
          <t>Inuka Capital</t>
        </is>
      </c>
      <c r="K1519" t="inlineStr">
        <is>
          <t>https://inc42.com/buzz/from-the-sleep-company-to-jeh-aerospace-indian-startups-raised-197-mn-this-week/</t>
        </is>
      </c>
    </row>
    <row r="1520">
      <c r="A1520" t="inlineStr">
        <is>
          <t>ENT-9628769</t>
        </is>
      </c>
      <c r="B1520" t="inlineStr">
        <is>
          <t>R250805-tryo</t>
        </is>
      </c>
      <c r="C1520" t="inlineStr">
        <is>
          <t>Entrackr</t>
        </is>
      </c>
      <c r="D1520" s="17" t="n">
        <v>45874</v>
      </c>
      <c r="E1520" t="inlineStr">
        <is>
          <t>Tryo</t>
        </is>
      </c>
      <c r="F1520" t="inlineStr">
        <is>
          <t>Rs 3 crore</t>
        </is>
      </c>
      <c r="G1520" s="19" t="n">
        <v>3</v>
      </c>
      <c r="H1520" s="19" t="n"/>
      <c r="I1520" t="inlineStr">
        <is>
          <t>Pre-Seed</t>
        </is>
      </c>
      <c r="J1520" t="inlineStr">
        <is>
          <t>Zeropearl VC</t>
        </is>
      </c>
      <c r="K1520" t="inlineStr">
        <is>
          <t>https://entrackr.com/snippets/fashion-startup-tyro-raises-pre-seed-round-led-by-zeropearl-vc-9628769</t>
        </is>
      </c>
    </row>
    <row r="1521">
      <c r="A1521" t="inlineStr">
        <is>
          <t>ENT-9627690</t>
        </is>
      </c>
      <c r="B1521" t="inlineStr">
        <is>
          <t>R250805-turbohire</t>
        </is>
      </c>
      <c r="C1521" t="inlineStr">
        <is>
          <t>Entrackr</t>
        </is>
      </c>
      <c r="D1521" s="17" t="n">
        <v>45874</v>
      </c>
      <c r="E1521" t="inlineStr">
        <is>
          <t>TurboHire</t>
        </is>
      </c>
      <c r="F1521" t="inlineStr">
        <is>
          <t>$6 million</t>
        </is>
      </c>
      <c r="G1521" s="19" t="n"/>
      <c r="H1521" s="19" t="n">
        <v>6</v>
      </c>
      <c r="I1521" t="inlineStr">
        <is>
          <t>Series A</t>
        </is>
      </c>
      <c r="J1521" t="inlineStr">
        <is>
          <t>IvyCap Ventures</t>
        </is>
      </c>
      <c r="K1521" t="inlineStr">
        <is>
          <t>https://entrackr.com/snippets/turbohire-raises-6-mn-in-series-a-round-led-by-ivycap-ventures-9627690</t>
        </is>
      </c>
    </row>
    <row r="1522">
      <c r="A1522" t="inlineStr">
        <is>
          <t>INC-20250809-08</t>
        </is>
      </c>
      <c r="B1522" t="inlineStr">
        <is>
          <t>R250805-turbohire</t>
        </is>
      </c>
      <c r="C1522" t="inlineStr">
        <is>
          <t>Inc42</t>
        </is>
      </c>
      <c r="D1522" s="17" t="n">
        <v>45874</v>
      </c>
      <c r="E1522" t="inlineStr">
        <is>
          <t>TurboHire</t>
        </is>
      </c>
      <c r="F1522" t="inlineStr">
        <is>
          <t>$6 Mn</t>
        </is>
      </c>
      <c r="G1522" s="19" t="n"/>
      <c r="H1522" s="19" t="n">
        <v>6</v>
      </c>
      <c r="I1522" t="inlineStr">
        <is>
          <t>Series A</t>
        </is>
      </c>
      <c r="J1522" t="inlineStr">
        <is>
          <t>IvyCap Ventures</t>
        </is>
      </c>
      <c r="K1522" t="inlineStr">
        <is>
          <t>https://inc42.com/buzz/from-the-sleep-company-to-jeh-aerospace-indian-startups-raised-197-mn-this-week/</t>
        </is>
      </c>
    </row>
    <row r="1523">
      <c r="A1523" t="inlineStr">
        <is>
          <t>ENT-9631046</t>
        </is>
      </c>
      <c r="B1523" t="inlineStr">
        <is>
          <t>R250806-cautio</t>
        </is>
      </c>
      <c r="C1523" t="inlineStr">
        <is>
          <t>Entrackr</t>
        </is>
      </c>
      <c r="D1523" s="17" t="n">
        <v>45875</v>
      </c>
      <c r="E1523" t="inlineStr">
        <is>
          <t>Cautio</t>
        </is>
      </c>
      <c r="F1523" t="inlineStr">
        <is>
          <t>$1.8 million</t>
        </is>
      </c>
      <c r="G1523" s="19" t="n"/>
      <c r="H1523" s="19" t="n">
        <v>1.8</v>
      </c>
      <c r="I1523" t="inlineStr">
        <is>
          <t>Seed</t>
        </is>
      </c>
      <c r="J1523" t="inlineStr">
        <is>
          <t>Amal Parikh</t>
        </is>
      </c>
      <c r="K1523" t="inlineStr">
        <is>
          <t>https://entrackr.com/snippets/cautio-raises-3-mn-in-seed-round-led-by-amal-parikh-9631046</t>
        </is>
      </c>
    </row>
    <row r="1524">
      <c r="A1524" t="inlineStr">
        <is>
          <t>ET-123127526</t>
        </is>
      </c>
      <c r="B1524" t="inlineStr">
        <is>
          <t>R250806-cautio</t>
        </is>
      </c>
      <c r="C1524" t="inlineStr">
        <is>
          <t>The Economic Times</t>
        </is>
      </c>
      <c r="D1524" s="17" t="n">
        <v>45875</v>
      </c>
      <c r="E1524" t="inlineStr">
        <is>
          <t>Cautio</t>
        </is>
      </c>
      <c r="F1524" t="inlineStr">
        <is>
          <t>$1.8 million</t>
        </is>
      </c>
      <c r="G1524" s="19" t="n"/>
      <c r="H1524" s="19" t="n">
        <v>1.8</v>
      </c>
      <c r="I1524" t="inlineStr">
        <is>
          <t>Undisclosed</t>
        </is>
      </c>
      <c r="J1524" t="inlineStr">
        <is>
          <t>Amal Parikh</t>
        </is>
      </c>
      <c r="K1524" t="inlineStr">
        <is>
          <t>https://economictimes.indiatimes.com/tech/funding/visual-telematics-startup-cautio-closes-3-million-funding-round/articleshow/123127526.cms</t>
        </is>
      </c>
    </row>
    <row r="1525">
      <c r="A1525" t="inlineStr">
        <is>
          <t>INC-20250809-11</t>
        </is>
      </c>
      <c r="B1525" t="inlineStr">
        <is>
          <t>R250806-cautio</t>
        </is>
      </c>
      <c r="C1525" t="inlineStr">
        <is>
          <t>Inc42</t>
        </is>
      </c>
      <c r="D1525" s="17" t="n">
        <v>45875</v>
      </c>
      <c r="E1525" t="inlineStr">
        <is>
          <t>Cautio</t>
        </is>
      </c>
      <c r="F1525" t="inlineStr">
        <is>
          <t>$3 Mn</t>
        </is>
      </c>
      <c r="G1525" s="19" t="n"/>
      <c r="H1525" s="19" t="n">
        <v>3</v>
      </c>
      <c r="I1525" t="inlineStr">
        <is>
          <t>Seed</t>
        </is>
      </c>
      <c r="J1525" t="inlineStr"/>
      <c r="K1525" t="inlineStr">
        <is>
          <t>https://inc42.com/buzz/from-the-sleep-company-to-jeh-aerospace-indian-startups-raised-197-mn-this-week/</t>
        </is>
      </c>
    </row>
    <row r="1526">
      <c r="A1526" t="inlineStr">
        <is>
          <t>ENT-9631126</t>
        </is>
      </c>
      <c r="B1526" t="inlineStr">
        <is>
          <t>R250806-codekarma</t>
        </is>
      </c>
      <c r="C1526" t="inlineStr">
        <is>
          <t>Entrackr</t>
        </is>
      </c>
      <c r="D1526" s="17" t="n">
        <v>45875</v>
      </c>
      <c r="E1526" t="inlineStr">
        <is>
          <t>CodeKarma</t>
        </is>
      </c>
      <c r="F1526" t="inlineStr">
        <is>
          <t>$2.5 million</t>
        </is>
      </c>
      <c r="G1526" s="19" t="n"/>
      <c r="H1526" s="19" t="n">
        <v>2.5</v>
      </c>
      <c r="I1526" t="inlineStr">
        <is>
          <t>Pre-Seed</t>
        </is>
      </c>
      <c r="J1526" t="inlineStr">
        <is>
          <t>Prosus; Accel; Xeed Ventures</t>
        </is>
      </c>
      <c r="K1526" t="inlineStr">
        <is>
          <t>https://entrackr.com/snippets/prosus-accel-and-xeed-lead-pre-seed-round-in-codekarma-9631126</t>
        </is>
      </c>
    </row>
    <row r="1527">
      <c r="A1527" t="inlineStr">
        <is>
          <t>ET-123133488</t>
        </is>
      </c>
      <c r="B1527" t="inlineStr">
        <is>
          <t>R250806-codekarma</t>
        </is>
      </c>
      <c r="C1527" t="inlineStr">
        <is>
          <t>The Economic Times</t>
        </is>
      </c>
      <c r="D1527" s="17" t="n">
        <v>45875</v>
      </c>
      <c r="E1527" t="inlineStr">
        <is>
          <t>CodeKarma</t>
        </is>
      </c>
      <c r="F1527" t="inlineStr">
        <is>
          <t>$2.5 million</t>
        </is>
      </c>
      <c r="G1527" s="19" t="n"/>
      <c r="H1527" s="19" t="n">
        <v>2.5</v>
      </c>
      <c r="I1527" t="inlineStr">
        <is>
          <t>Undisclosed</t>
        </is>
      </c>
      <c r="J1527" t="inlineStr">
        <is>
          <t>Prosus; Accel; Xeed Ventures</t>
        </is>
      </c>
      <c r="K1527" t="inlineStr">
        <is>
          <t>https://economictimes.indiatimes.com/tech/funding/software-productivity-platform-codekarma-raises-2-5-million-from-prosus-accel-others/articleshow/123133488.cms</t>
        </is>
      </c>
    </row>
    <row r="1528">
      <c r="A1528" t="inlineStr">
        <is>
          <t>INC-20250809-15</t>
        </is>
      </c>
      <c r="B1528" t="inlineStr">
        <is>
          <t>R250806-codekarma</t>
        </is>
      </c>
      <c r="C1528" t="inlineStr">
        <is>
          <t>Inc42</t>
        </is>
      </c>
      <c r="D1528" s="17" t="n">
        <v>45875</v>
      </c>
      <c r="E1528" t="inlineStr">
        <is>
          <t>CodeKarma</t>
        </is>
      </c>
      <c r="F1528" t="inlineStr">
        <is>
          <t>$2.5 Mn</t>
        </is>
      </c>
      <c r="G1528" s="19" t="n"/>
      <c r="H1528" s="19" t="n">
        <v>2.5</v>
      </c>
      <c r="I1528" t="inlineStr">
        <is>
          <t>Pre-Seed</t>
        </is>
      </c>
      <c r="J1528" t="inlineStr">
        <is>
          <t>Prosus; Accel; Xeed Ventures</t>
        </is>
      </c>
      <c r="K1528" t="inlineStr">
        <is>
          <t>https://inc42.com/buzz/from-the-sleep-company-to-jeh-aerospace-indian-startups-raised-197-mn-this-week/</t>
        </is>
      </c>
    </row>
    <row r="1529">
      <c r="A1529" t="inlineStr">
        <is>
          <t>ENT-9631116</t>
        </is>
      </c>
      <c r="B1529" t="inlineStr">
        <is>
          <t>R250806-dpdzero</t>
        </is>
      </c>
      <c r="C1529" t="inlineStr">
        <is>
          <t>Entrackr</t>
        </is>
      </c>
      <c r="D1529" s="17" t="n">
        <v>45875</v>
      </c>
      <c r="E1529" t="inlineStr">
        <is>
          <t>DPDzero</t>
        </is>
      </c>
      <c r="F1529" t="inlineStr">
        <is>
          <t>$7 million</t>
        </is>
      </c>
      <c r="G1529" s="19" t="n"/>
      <c r="H1529" s="19" t="n">
        <v>7</v>
      </c>
      <c r="I1529" t="inlineStr">
        <is>
          <t>Undisclosed</t>
        </is>
      </c>
      <c r="J1529" t="inlineStr">
        <is>
          <t>GMO Venture Partners</t>
        </is>
      </c>
      <c r="K1529" t="inlineStr">
        <is>
          <t>https://entrackr.com/snippets/dpdzero-raises-7-mn-led-by-gmo-venture-partners-9631116</t>
        </is>
      </c>
    </row>
    <row r="1530">
      <c r="A1530" t="inlineStr">
        <is>
          <t>ET-123127454</t>
        </is>
      </c>
      <c r="B1530" t="inlineStr">
        <is>
          <t>R250806-dpdzero</t>
        </is>
      </c>
      <c r="C1530" t="inlineStr">
        <is>
          <t>The Economic Times</t>
        </is>
      </c>
      <c r="D1530" s="17" t="n">
        <v>45875</v>
      </c>
      <c r="E1530" t="inlineStr">
        <is>
          <t>DPDzero</t>
        </is>
      </c>
      <c r="F1530" t="inlineStr">
        <is>
          <t>$7 million</t>
        </is>
      </c>
      <c r="G1530" s="19" t="n"/>
      <c r="H1530" s="19" t="n">
        <v>7</v>
      </c>
      <c r="I1530" t="inlineStr">
        <is>
          <t>Undisclosed</t>
        </is>
      </c>
      <c r="J1530" t="inlineStr">
        <is>
          <t>GMO Venture Partners</t>
        </is>
      </c>
      <c r="K1530" t="inlineStr">
        <is>
          <t>https://economictimes.indiatimes.com/tech/funding/fintech-startup-dpdzero-raises-7-million-in-funding-round-led-by-gmo-venture-partners/articleshow/123127454.cms</t>
        </is>
      </c>
    </row>
    <row r="1531">
      <c r="A1531" t="inlineStr">
        <is>
          <t>INC-20250809-07</t>
        </is>
      </c>
      <c r="B1531" t="inlineStr">
        <is>
          <t>R250806-dpdzero</t>
        </is>
      </c>
      <c r="C1531" t="inlineStr">
        <is>
          <t>Inc42</t>
        </is>
      </c>
      <c r="D1531" s="17" t="n">
        <v>45875</v>
      </c>
      <c r="E1531" t="inlineStr">
        <is>
          <t>DPDPZero</t>
        </is>
      </c>
      <c r="F1531" t="inlineStr">
        <is>
          <t>$7 Mn</t>
        </is>
      </c>
      <c r="G1531" s="19" t="n"/>
      <c r="H1531" s="19" t="n">
        <v>7</v>
      </c>
      <c r="I1531" t="inlineStr">
        <is>
          <t>Series A</t>
        </is>
      </c>
      <c r="J1531" t="inlineStr">
        <is>
          <t>GMO Venture Partners</t>
        </is>
      </c>
      <c r="K1531" t="inlineStr">
        <is>
          <t>https://inc42.com/buzz/from-the-sleep-company-to-jeh-aerospace-indian-startups-raised-197-mn-this-week/</t>
        </is>
      </c>
    </row>
    <row r="1532">
      <c r="A1532" t="inlineStr">
        <is>
          <t>ENT-9755199</t>
        </is>
      </c>
      <c r="B1532" t="inlineStr">
        <is>
          <t>R250806-dpdzero</t>
        </is>
      </c>
      <c r="C1532" t="inlineStr">
        <is>
          <t>Entrackr</t>
        </is>
      </c>
      <c r="D1532" s="17" t="n">
        <v>45895</v>
      </c>
      <c r="E1532" t="inlineStr">
        <is>
          <t>DPDzero</t>
        </is>
      </c>
      <c r="F1532" t="inlineStr">
        <is>
          <t>$7 million</t>
        </is>
      </c>
      <c r="G1532" s="19" t="n"/>
      <c r="H1532" s="19" t="n">
        <v>7</v>
      </c>
      <c r="I1532" t="inlineStr">
        <is>
          <t>Series A</t>
        </is>
      </c>
      <c r="J1532" t="inlineStr">
        <is>
          <t>GMO Venture Partners</t>
        </is>
      </c>
      <c r="K1532" t="inlineStr">
        <is>
          <t>https://entrackr.com/decoding/dpdzero-co-founders-dilute-over-45-stake-after-series-a-round-9755199</t>
        </is>
      </c>
    </row>
    <row r="1533">
      <c r="A1533" t="inlineStr">
        <is>
          <t>ENT-9631040</t>
        </is>
      </c>
      <c r="B1533" t="inlineStr">
        <is>
          <t>R250806-gladful</t>
        </is>
      </c>
      <c r="C1533" t="inlineStr">
        <is>
          <t>Entrackr</t>
        </is>
      </c>
      <c r="D1533" s="17" t="n">
        <v>45875</v>
      </c>
      <c r="E1533" t="inlineStr">
        <is>
          <t>Gladful</t>
        </is>
      </c>
      <c r="F1533" t="inlineStr">
        <is>
          <t>Rs 8 crore</t>
        </is>
      </c>
      <c r="G1533" s="19" t="n">
        <v>8</v>
      </c>
      <c r="H1533" s="19" t="n"/>
      <c r="I1533" t="inlineStr">
        <is>
          <t>Undisclosed</t>
        </is>
      </c>
      <c r="J1533" t="inlineStr">
        <is>
          <t>Eternal Capital</t>
        </is>
      </c>
      <c r="K1533" t="inlineStr">
        <is>
          <t>https://entrackr.com/snippets/gladful-raises-rs-8-cr-led-by-eternal-capital-9631040</t>
        </is>
      </c>
    </row>
    <row r="1534">
      <c r="A1534" t="inlineStr">
        <is>
          <t>INC-20250809-23</t>
        </is>
      </c>
      <c r="B1534" t="inlineStr">
        <is>
          <t>R250806-gladful</t>
        </is>
      </c>
      <c r="C1534" t="inlineStr">
        <is>
          <t>Inc42</t>
        </is>
      </c>
      <c r="D1534" s="17" t="n">
        <v>45875</v>
      </c>
      <c r="E1534" t="inlineStr">
        <is>
          <t>Gladful</t>
        </is>
      </c>
      <c r="F1534" t="inlineStr">
        <is>
          <t>$913K</t>
        </is>
      </c>
      <c r="G1534" s="19" t="n"/>
      <c r="H1534" s="19" t="n">
        <v>0.913</v>
      </c>
      <c r="I1534" t="inlineStr">
        <is>
          <t>Undisclosed</t>
        </is>
      </c>
      <c r="J1534" t="inlineStr">
        <is>
          <t>Eternal Capital</t>
        </is>
      </c>
      <c r="K1534" t="inlineStr">
        <is>
          <t>https://inc42.com/buzz/from-the-sleep-company-to-jeh-aerospace-indian-startups-raised-197-mn-this-week/</t>
        </is>
      </c>
    </row>
    <row r="1535">
      <c r="A1535" t="inlineStr">
        <is>
          <t>ENT-9631632</t>
        </is>
      </c>
      <c r="B1535" t="inlineStr">
        <is>
          <t>R250806-hylenr</t>
        </is>
      </c>
      <c r="C1535" t="inlineStr">
        <is>
          <t>Entrackr</t>
        </is>
      </c>
      <c r="D1535" s="17" t="n">
        <v>45875</v>
      </c>
      <c r="E1535" t="inlineStr">
        <is>
          <t>HYLENR</t>
        </is>
      </c>
      <c r="F1535" t="inlineStr">
        <is>
          <t>$3 million</t>
        </is>
      </c>
      <c r="G1535" s="19" t="n"/>
      <c r="H1535" s="19" t="n">
        <v>3</v>
      </c>
      <c r="I1535" t="inlineStr">
        <is>
          <t>Pre-Series A</t>
        </is>
      </c>
      <c r="J1535" t="inlineStr">
        <is>
          <t>Valour Capital; Chhattisgarh Investments Limited</t>
        </is>
      </c>
      <c r="K1535" t="inlineStr">
        <is>
          <t>https://entrackr.com/snippets/clean-tech-startup-hylenr-raises-3-mn-in-pre-series-a-round-9631632</t>
        </is>
      </c>
    </row>
    <row r="1536">
      <c r="A1536" t="inlineStr">
        <is>
          <t>INC-20250809-13</t>
        </is>
      </c>
      <c r="B1536" t="inlineStr">
        <is>
          <t>R250806-hylenr</t>
        </is>
      </c>
      <c r="C1536" t="inlineStr">
        <is>
          <t>Inc42</t>
        </is>
      </c>
      <c r="D1536" s="17" t="n">
        <v>45875</v>
      </c>
      <c r="E1536" t="inlineStr">
        <is>
          <t>HYLENR</t>
        </is>
      </c>
      <c r="F1536" t="inlineStr">
        <is>
          <t>$3 Mn</t>
        </is>
      </c>
      <c r="G1536" s="19" t="n"/>
      <c r="H1536" s="19" t="n">
        <v>3</v>
      </c>
      <c r="I1536" t="inlineStr">
        <is>
          <t>Pre-Series A</t>
        </is>
      </c>
      <c r="J1536" t="inlineStr">
        <is>
          <t>Valour Capital; Chhattisgarh Investments</t>
        </is>
      </c>
      <c r="K1536" t="inlineStr">
        <is>
          <t>https://inc42.com/buzz/from-the-sleep-company-to-jeh-aerospace-indian-startups-raised-197-mn-this-week/</t>
        </is>
      </c>
    </row>
    <row r="1537">
      <c r="A1537" t="inlineStr">
        <is>
          <t>ENT-9631851</t>
        </is>
      </c>
      <c r="B1537" t="inlineStr">
        <is>
          <t>R250806-supergaming</t>
        </is>
      </c>
      <c r="C1537" t="inlineStr">
        <is>
          <t>Entrackr</t>
        </is>
      </c>
      <c r="D1537" s="17" t="n">
        <v>45875</v>
      </c>
      <c r="E1537" t="inlineStr">
        <is>
          <t>SuperGaming</t>
        </is>
      </c>
      <c r="F1537" t="inlineStr">
        <is>
          <t>$15 million</t>
        </is>
      </c>
      <c r="G1537" s="19" t="n"/>
      <c r="H1537" s="19" t="n">
        <v>15</v>
      </c>
      <c r="I1537" t="inlineStr">
        <is>
          <t>Series B</t>
        </is>
      </c>
      <c r="J1537" t="inlineStr">
        <is>
          <t>Skycatcher; Steadview Capital</t>
        </is>
      </c>
      <c r="K1537" t="inlineStr">
        <is>
          <t>https://entrackr.com/news/supergaming-raises-15-mn-led-by-skycatcher-and-steadview-9631851</t>
        </is>
      </c>
    </row>
    <row r="1538">
      <c r="A1538" t="inlineStr">
        <is>
          <t>ET-123133893</t>
        </is>
      </c>
      <c r="B1538" t="inlineStr">
        <is>
          <t>R250806-supergaming</t>
        </is>
      </c>
      <c r="C1538" t="inlineStr">
        <is>
          <t>The Economic Times</t>
        </is>
      </c>
      <c r="D1538" s="17" t="n">
        <v>45875</v>
      </c>
      <c r="E1538" t="inlineStr">
        <is>
          <t>SuperGaming</t>
        </is>
      </c>
      <c r="F1538" t="inlineStr">
        <is>
          <t>$15 million</t>
        </is>
      </c>
      <c r="G1538" s="19" t="n"/>
      <c r="H1538" s="19" t="n">
        <v>15</v>
      </c>
      <c r="I1538" t="inlineStr">
        <is>
          <t>Undisclosed</t>
        </is>
      </c>
      <c r="J1538" t="inlineStr">
        <is>
          <t>Skycatcher; Steadview Capital</t>
        </is>
      </c>
      <c r="K1538" t="inlineStr">
        <is>
          <t>https://economictimes.indiatimes.com/tech/funding/supergaming-raises-15-million-in-fresh-funding-at-five-times-higher-valuation/articleshow/123133893.cms</t>
        </is>
      </c>
    </row>
    <row r="1539">
      <c r="A1539" t="inlineStr">
        <is>
          <t>INC-20250809-04</t>
        </is>
      </c>
      <c r="B1539" t="inlineStr">
        <is>
          <t>R250806-supergaming</t>
        </is>
      </c>
      <c r="C1539" t="inlineStr">
        <is>
          <t>Inc42</t>
        </is>
      </c>
      <c r="D1539" s="17" t="n">
        <v>45875</v>
      </c>
      <c r="E1539" t="inlineStr">
        <is>
          <t>SuperGaming</t>
        </is>
      </c>
      <c r="F1539" t="inlineStr">
        <is>
          <t>$15 Mn</t>
        </is>
      </c>
      <c r="G1539" s="19" t="n"/>
      <c r="H1539" s="19" t="n">
        <v>15</v>
      </c>
      <c r="I1539" t="inlineStr">
        <is>
          <t>Series A</t>
        </is>
      </c>
      <c r="J1539" t="inlineStr">
        <is>
          <t>Skycatcher; Steadview Capital</t>
        </is>
      </c>
      <c r="K1539" t="inlineStr">
        <is>
          <t>https://inc42.com/buzz/from-the-sleep-company-to-jeh-aerospace-indian-startups-raised-197-mn-this-week/</t>
        </is>
      </c>
    </row>
    <row r="1540">
      <c r="A1540" t="inlineStr">
        <is>
          <t>ENT-9631069</t>
        </is>
      </c>
      <c r="B1540" t="inlineStr">
        <is>
          <t>R250806-thesleepcompan</t>
        </is>
      </c>
      <c r="C1540" t="inlineStr">
        <is>
          <t>Entrackr</t>
        </is>
      </c>
      <c r="D1540" s="17" t="n">
        <v>45875</v>
      </c>
      <c r="E1540" t="inlineStr">
        <is>
          <t>The Sleep Company</t>
        </is>
      </c>
      <c r="F1540" t="inlineStr">
        <is>
          <t>Rs 480 crore</t>
        </is>
      </c>
      <c r="G1540" s="19" t="n">
        <v>480</v>
      </c>
      <c r="H1540" s="19" t="n">
        <v>56</v>
      </c>
      <c r="I1540" t="inlineStr">
        <is>
          <t>Undisclosed</t>
        </is>
      </c>
      <c r="J1540" t="inlineStr"/>
      <c r="K1540" t="inlineStr">
        <is>
          <t>https://entrackr.com/news/the-sleep-company-raises-rs-480-cr-in-primary-and-secondary-funding-9631069</t>
        </is>
      </c>
    </row>
    <row r="1541">
      <c r="A1541" t="inlineStr">
        <is>
          <t>ET-123123213</t>
        </is>
      </c>
      <c r="B1541" t="inlineStr">
        <is>
          <t>R250806-thesleepcompan</t>
        </is>
      </c>
      <c r="C1541" t="inlineStr">
        <is>
          <t>The Economic Times</t>
        </is>
      </c>
      <c r="D1541" s="17" t="n">
        <v>45875</v>
      </c>
      <c r="E1541" t="inlineStr">
        <is>
          <t>The Sleep Company</t>
        </is>
      </c>
      <c r="F1541" t="inlineStr">
        <is>
          <t>Rs 480 crore</t>
        </is>
      </c>
      <c r="G1541" s="19" t="n">
        <v>480</v>
      </c>
      <c r="H1541" s="19" t="n"/>
      <c r="I1541" t="inlineStr">
        <is>
          <t>Undisclosed</t>
        </is>
      </c>
      <c r="J1541" t="inlineStr">
        <is>
          <t>ChrysCapital; 360 One Asset</t>
        </is>
      </c>
      <c r="K1541" t="inlineStr">
        <is>
          <t>https://economictimes.indiatimes.com/tech/funding/the-sleep-company-raises-rs-480-crore-in-funding-led-by-chryscapital-360-one-asset/articleshow/123123213.cms</t>
        </is>
      </c>
    </row>
    <row r="1542">
      <c r="A1542" t="inlineStr">
        <is>
          <t>INC-20250809-01</t>
        </is>
      </c>
      <c r="B1542" t="inlineStr">
        <is>
          <t>R250806-thesleepcompan</t>
        </is>
      </c>
      <c r="C1542" t="inlineStr">
        <is>
          <t>Inc42</t>
        </is>
      </c>
      <c r="D1542" s="17" t="n">
        <v>45875</v>
      </c>
      <c r="E1542" t="inlineStr">
        <is>
          <t>The Sleep Company</t>
        </is>
      </c>
      <c r="F1542" t="inlineStr">
        <is>
          <t>$54.6 Mn</t>
        </is>
      </c>
      <c r="G1542" s="19" t="n"/>
      <c r="H1542" s="19" t="n">
        <v>54.6</v>
      </c>
      <c r="I1542" t="inlineStr">
        <is>
          <t>Series D</t>
        </is>
      </c>
      <c r="J1542" t="inlineStr"/>
      <c r="K1542" t="inlineStr">
        <is>
          <t>https://inc42.com/buzz/from-the-sleep-company-to-jeh-aerospace-indian-startups-raised-197-mn-this-week/</t>
        </is>
      </c>
    </row>
    <row r="1543">
      <c r="A1543" t="inlineStr">
        <is>
          <t>VCC-d6a7012db0</t>
        </is>
      </c>
      <c r="B1543" t="inlineStr">
        <is>
          <t>R250806-thesleepcompan</t>
        </is>
      </c>
      <c r="C1543" t="inlineStr">
        <is>
          <t>VCCircle</t>
        </is>
      </c>
      <c r="D1543" s="17" t="n">
        <v>45875</v>
      </c>
      <c r="E1543" t="inlineStr">
        <is>
          <t>premjiinvestbacked the sleep company</t>
        </is>
      </c>
      <c r="F1543" t="inlineStr"/>
      <c r="G1543" s="19" t="n"/>
      <c r="H1543" s="19" t="n"/>
      <c r="I1543" t="inlineStr">
        <is>
          <t>Series D</t>
        </is>
      </c>
      <c r="J1543" t="inlineStr"/>
      <c r="K1543" t="inlineStr">
        <is>
          <t>https://www.vccircle.com/premjiinvestbacked-the-sleep-company-raises-series-d-funding</t>
        </is>
      </c>
    </row>
    <row r="1544">
      <c r="A1544" t="inlineStr">
        <is>
          <t>INC-20250809-10</t>
        </is>
      </c>
      <c r="B1544" t="inlineStr">
        <is>
          <t>R250806-tplusaindia</t>
        </is>
      </c>
      <c r="C1544" t="inlineStr">
        <is>
          <t>Inc42</t>
        </is>
      </c>
      <c r="D1544" s="17" t="n">
        <v>45875</v>
      </c>
      <c r="E1544" t="inlineStr">
        <is>
          <t>TPlusA India</t>
        </is>
      </c>
      <c r="F1544" t="inlineStr">
        <is>
          <t>$5.8 Mn</t>
        </is>
      </c>
      <c r="G1544" s="19" t="n"/>
      <c r="H1544" s="19" t="n">
        <v>5.8</v>
      </c>
      <c r="I1544" t="inlineStr">
        <is>
          <t>Seed</t>
        </is>
      </c>
      <c r="J1544" t="inlineStr">
        <is>
          <t>Livspace</t>
        </is>
      </c>
      <c r="K1544" t="inlineStr">
        <is>
          <t>https://inc42.com/buzz/from-the-sleep-company-to-jeh-aerospace-indian-startups-raised-197-mn-this-week/</t>
        </is>
      </c>
    </row>
    <row r="1545">
      <c r="A1545" t="inlineStr">
        <is>
          <t>ET-123144931</t>
        </is>
      </c>
      <c r="B1545" t="inlineStr">
        <is>
          <t>R250806-xovian</t>
        </is>
      </c>
      <c r="C1545" t="inlineStr">
        <is>
          <t>The Economic Times</t>
        </is>
      </c>
      <c r="D1545" s="17" t="n">
        <v>45875</v>
      </c>
      <c r="E1545" t="inlineStr">
        <is>
          <t>Xovian</t>
        </is>
      </c>
      <c r="F1545" t="inlineStr">
        <is>
          <t>$2.5 million</t>
        </is>
      </c>
      <c r="G1545" s="19" t="n"/>
      <c r="H1545" s="19" t="n">
        <v>2.5</v>
      </c>
      <c r="I1545" t="inlineStr">
        <is>
          <t>Pre-Seed</t>
        </is>
      </c>
      <c r="J1545" t="inlineStr"/>
      <c r="K1545" t="inlineStr">
        <is>
          <t>https://economictimes.indiatimes.com/tech/funding/spacetech-startup-xovian-raises-2-5-million-to-build-radio-frequency-satellites/articleshow/123144931.cms</t>
        </is>
      </c>
    </row>
    <row r="1546">
      <c r="A1546" t="inlineStr">
        <is>
          <t>ENT-9634531</t>
        </is>
      </c>
      <c r="B1546" t="inlineStr">
        <is>
          <t>R250806-xovian</t>
        </is>
      </c>
      <c r="C1546" t="inlineStr">
        <is>
          <t>Entrackr</t>
        </is>
      </c>
      <c r="D1546" s="17" t="n">
        <v>45876</v>
      </c>
      <c r="E1546" t="inlineStr">
        <is>
          <t>Xovian Aerospace</t>
        </is>
      </c>
      <c r="F1546" t="inlineStr">
        <is>
          <t>$2.5 million</t>
        </is>
      </c>
      <c r="G1546" s="19" t="n"/>
      <c r="H1546" s="19" t="n">
        <v>2.5</v>
      </c>
      <c r="I1546" t="inlineStr">
        <is>
          <t>Pre-Seed</t>
        </is>
      </c>
      <c r="J1546" t="inlineStr">
        <is>
          <t>Piper Serica; TurboStart</t>
        </is>
      </c>
      <c r="K1546" t="inlineStr">
        <is>
          <t>https://entrackr.com/snippets/xovian-aerospace-raises-25-mn-led-by-piper-serica-and-turbostart-9634531</t>
        </is>
      </c>
    </row>
    <row r="1547">
      <c r="A1547" t="inlineStr">
        <is>
          <t>INC-20250809-16</t>
        </is>
      </c>
      <c r="B1547" t="inlineStr">
        <is>
          <t>R250806-xovian</t>
        </is>
      </c>
      <c r="C1547" t="inlineStr">
        <is>
          <t>Inc42</t>
        </is>
      </c>
      <c r="D1547" s="17" t="n">
        <v>45876</v>
      </c>
      <c r="E1547" t="inlineStr">
        <is>
          <t>Xovian Aerospace</t>
        </is>
      </c>
      <c r="F1547" t="inlineStr">
        <is>
          <t>$2.5 Mn</t>
        </is>
      </c>
      <c r="G1547" s="19" t="n"/>
      <c r="H1547" s="19" t="n">
        <v>2.5</v>
      </c>
      <c r="I1547" t="inlineStr">
        <is>
          <t>Pre-Seed</t>
        </is>
      </c>
      <c r="J1547" t="inlineStr">
        <is>
          <t>Piper Serica; Turbostart</t>
        </is>
      </c>
      <c r="K1547" t="inlineStr">
        <is>
          <t>https://inc42.com/buzz/from-the-sleep-company-to-jeh-aerospace-indian-startups-raised-197-mn-this-week/</t>
        </is>
      </c>
    </row>
    <row r="1548">
      <c r="A1548" t="inlineStr">
        <is>
          <t>ENT-9631063</t>
        </is>
      </c>
      <c r="B1548" t="inlineStr">
        <is>
          <t>R250806-zype</t>
        </is>
      </c>
      <c r="C1548" t="inlineStr">
        <is>
          <t>Entrackr</t>
        </is>
      </c>
      <c r="D1548" s="17" t="n">
        <v>45875</v>
      </c>
      <c r="E1548" t="inlineStr">
        <is>
          <t>Zype</t>
        </is>
      </c>
      <c r="F1548" t="inlineStr">
        <is>
          <t>Rs 90 crore</t>
        </is>
      </c>
      <c r="G1548" s="19" t="n">
        <v>90</v>
      </c>
      <c r="H1548" s="19" t="n">
        <v>10.2</v>
      </c>
      <c r="I1548" t="inlineStr">
        <is>
          <t>Undisclosed</t>
        </is>
      </c>
      <c r="J1548" t="inlineStr">
        <is>
          <t>Unleash Capital Partners</t>
        </is>
      </c>
      <c r="K1548" t="inlineStr">
        <is>
          <t>https://entrackr.com/snippets/digital-lending-startup-zype-raises-rs-90-cr-led-by-unleash-capital-9631063</t>
        </is>
      </c>
    </row>
    <row r="1549">
      <c r="A1549" t="inlineStr">
        <is>
          <t>ET-123123139</t>
        </is>
      </c>
      <c r="B1549" t="inlineStr">
        <is>
          <t>R250806-zype</t>
        </is>
      </c>
      <c r="C1549" t="inlineStr">
        <is>
          <t>The Economic Times</t>
        </is>
      </c>
      <c r="D1549" s="17" t="n">
        <v>45875</v>
      </c>
      <c r="E1549" t="inlineStr">
        <is>
          <t>Zype</t>
        </is>
      </c>
      <c r="F1549" t="inlineStr">
        <is>
          <t>Rs 90 crore</t>
        </is>
      </c>
      <c r="G1549" s="19" t="n">
        <v>90</v>
      </c>
      <c r="H1549" s="19" t="n"/>
      <c r="I1549" t="inlineStr">
        <is>
          <t>Undisclosed</t>
        </is>
      </c>
      <c r="J1549" t="inlineStr">
        <is>
          <t>Unleash Capital Partners</t>
        </is>
      </c>
      <c r="K1549" t="inlineStr">
        <is>
          <t>https://economictimes.indiatimes.com/tech/funding/fintech-lender-zype-raises-rs-90-crore-in-round-led-by-japanese-vc-fund-unleash-capital-partners/articleshow/123123139.cms</t>
        </is>
      </c>
    </row>
    <row r="1550">
      <c r="A1550" t="inlineStr">
        <is>
          <t>INC-20250809-06</t>
        </is>
      </c>
      <c r="B1550" t="inlineStr">
        <is>
          <t>R250806-zype</t>
        </is>
      </c>
      <c r="C1550" t="inlineStr">
        <is>
          <t>Inc42</t>
        </is>
      </c>
      <c r="D1550" s="17" t="n">
        <v>45875</v>
      </c>
      <c r="E1550" t="inlineStr">
        <is>
          <t>Zype</t>
        </is>
      </c>
      <c r="F1550" t="inlineStr">
        <is>
          <t>$10.3 Mn</t>
        </is>
      </c>
      <c r="G1550" s="19" t="n"/>
      <c r="H1550" s="19" t="n">
        <v>10.3</v>
      </c>
      <c r="I1550" t="inlineStr">
        <is>
          <t>Undisclosed</t>
        </is>
      </c>
      <c r="J1550" t="inlineStr">
        <is>
          <t>Unleash Capital Partners</t>
        </is>
      </c>
      <c r="K1550" t="inlineStr">
        <is>
          <t>https://inc42.com/buzz/from-the-sleep-company-to-jeh-aerospace-indian-startups-raised-197-mn-this-week/</t>
        </is>
      </c>
    </row>
    <row r="1551">
      <c r="A1551" t="inlineStr">
        <is>
          <t>ENT-9635106</t>
        </is>
      </c>
      <c r="B1551" t="inlineStr">
        <is>
          <t>R250807-aukera</t>
        </is>
      </c>
      <c r="C1551" t="inlineStr">
        <is>
          <t>Entrackr</t>
        </is>
      </c>
      <c r="D1551" s="17" t="n">
        <v>45876</v>
      </c>
      <c r="E1551" t="inlineStr">
        <is>
          <t>Aukera</t>
        </is>
      </c>
      <c r="F1551" t="inlineStr">
        <is>
          <t>$15 million</t>
        </is>
      </c>
      <c r="G1551" s="19" t="n"/>
      <c r="H1551" s="19" t="n">
        <v>15</v>
      </c>
      <c r="I1551" t="inlineStr">
        <is>
          <t>Series B</t>
        </is>
      </c>
      <c r="J1551" t="inlineStr">
        <is>
          <t>Peak XV Partners</t>
        </is>
      </c>
      <c r="K1551" t="inlineStr">
        <is>
          <t>https://entrackr.com/analysis/aukeras-valuation-surges-over-45x-in-series-b-round-9635106</t>
        </is>
      </c>
    </row>
    <row r="1552">
      <c r="A1552" t="inlineStr">
        <is>
          <t>ENT-9635234</t>
        </is>
      </c>
      <c r="B1552" t="inlineStr">
        <is>
          <t>R250807-mangopoint</t>
        </is>
      </c>
      <c r="C1552" t="inlineStr">
        <is>
          <t>Entrackr</t>
        </is>
      </c>
      <c r="D1552" s="17" t="n">
        <v>45876</v>
      </c>
      <c r="E1552" t="inlineStr">
        <is>
          <t>MangoPoint</t>
        </is>
      </c>
      <c r="F1552" t="inlineStr">
        <is>
          <t>$1 million</t>
        </is>
      </c>
      <c r="G1552" s="19" t="n"/>
      <c r="H1552" s="19" t="n">
        <v>1</v>
      </c>
      <c r="I1552" t="inlineStr">
        <is>
          <t>Pre-Series A</t>
        </is>
      </c>
      <c r="J1552" t="inlineStr">
        <is>
          <t>Inflection Point Ventures</t>
        </is>
      </c>
      <c r="K1552" t="inlineStr">
        <is>
          <t>https://entrackr.com/snippets/mangopoint-raises-1-mn-in-pre-series-a-round-led-by-ipv-9635234</t>
        </is>
      </c>
    </row>
    <row r="1553">
      <c r="A1553" t="inlineStr">
        <is>
          <t>INC-20250809-20</t>
        </is>
      </c>
      <c r="B1553" t="inlineStr">
        <is>
          <t>R250807-mangopoint</t>
        </is>
      </c>
      <c r="C1553" t="inlineStr">
        <is>
          <t>Inc42</t>
        </is>
      </c>
      <c r="D1553" s="17" t="n">
        <v>45876</v>
      </c>
      <c r="E1553" t="inlineStr">
        <is>
          <t>MangoPoint</t>
        </is>
      </c>
      <c r="F1553" t="inlineStr">
        <is>
          <t>$1 Mn</t>
        </is>
      </c>
      <c r="G1553" s="19" t="n"/>
      <c r="H1553" s="19" t="n">
        <v>1</v>
      </c>
      <c r="I1553" t="inlineStr">
        <is>
          <t>Pre-Series A</t>
        </is>
      </c>
      <c r="J1553" t="inlineStr">
        <is>
          <t>Inflection Point Ventures</t>
        </is>
      </c>
      <c r="K1553" t="inlineStr">
        <is>
          <t>https://inc42.com/buzz/from-the-sleep-company-to-jeh-aerospace-indian-startups-raised-197-mn-this-week/</t>
        </is>
      </c>
    </row>
    <row r="1554">
      <c r="A1554" t="inlineStr">
        <is>
          <t>ENT-9635214</t>
        </is>
      </c>
      <c r="B1554" t="inlineStr">
        <is>
          <t>R250807-nprep</t>
        </is>
      </c>
      <c r="C1554" t="inlineStr">
        <is>
          <t>Entrackr</t>
        </is>
      </c>
      <c r="D1554" s="17" t="n">
        <v>45876</v>
      </c>
      <c r="E1554" t="inlineStr">
        <is>
          <t>NPrep</t>
        </is>
      </c>
      <c r="F1554" t="inlineStr"/>
      <c r="G1554" s="19" t="n"/>
      <c r="H1554" s="19" t="n"/>
      <c r="I1554" t="inlineStr">
        <is>
          <t>Pre-Seed</t>
        </is>
      </c>
      <c r="J1554" t="inlineStr">
        <is>
          <t>All In Capital; Aayush Phumbhra</t>
        </is>
      </c>
      <c r="K1554" t="inlineStr">
        <is>
          <t>https://entrackr.com/snippets/placement-focused-startup-nprep-raises-pre-seed-round-led-by-all-in-capital-9635214</t>
        </is>
      </c>
    </row>
    <row r="1555">
      <c r="A1555" t="inlineStr">
        <is>
          <t>ET-123157243</t>
        </is>
      </c>
      <c r="B1555" t="inlineStr">
        <is>
          <t>R250807-nprep</t>
        </is>
      </c>
      <c r="C1555" t="inlineStr">
        <is>
          <t>The Economic Times</t>
        </is>
      </c>
      <c r="D1555" s="17" t="n">
        <v>45876</v>
      </c>
      <c r="E1555" t="inlineStr">
        <is>
          <t>NPrep</t>
        </is>
      </c>
      <c r="F1555" t="inlineStr"/>
      <c r="G1555" s="19" t="n"/>
      <c r="H1555" s="19" t="n"/>
      <c r="I1555" t="inlineStr">
        <is>
          <t>Pre-Seed</t>
        </is>
      </c>
      <c r="J1555" t="inlineStr">
        <is>
          <t>All In Capital</t>
        </is>
      </c>
      <c r="K1555" t="inlineStr">
        <is>
          <t>https://economictimes.indiatimes.com/tech/funding/nursing-education-platform-nprep-raises-funding-from-all-in-capital-iima-ventures/articleshow/123157243.cms</t>
        </is>
      </c>
    </row>
    <row r="1556">
      <c r="A1556" t="inlineStr">
        <is>
          <t>ENT-9635614</t>
        </is>
      </c>
      <c r="B1556" t="inlineStr">
        <is>
          <t>R250807-nuuk</t>
        </is>
      </c>
      <c r="C1556" t="inlineStr">
        <is>
          <t>Entrackr</t>
        </is>
      </c>
      <c r="D1556" s="17" t="n">
        <v>45876</v>
      </c>
      <c r="E1556" t="inlineStr">
        <is>
          <t>Nuuk</t>
        </is>
      </c>
      <c r="F1556" t="inlineStr">
        <is>
          <t>$2 million</t>
        </is>
      </c>
      <c r="G1556" s="19" t="n">
        <v>19</v>
      </c>
      <c r="H1556" s="19" t="n">
        <v>2</v>
      </c>
      <c r="I1556" t="inlineStr">
        <is>
          <t>Series A</t>
        </is>
      </c>
      <c r="J1556" t="inlineStr">
        <is>
          <t>Vertex Ventures SEA; Good Capital</t>
        </is>
      </c>
      <c r="K1556" t="inlineStr">
        <is>
          <t>https://entrackr.com/snippets/nuuk-raises-2-mn-from-vertex-ventures-sea-and-good-capital-9635614</t>
        </is>
      </c>
    </row>
    <row r="1557">
      <c r="A1557" t="inlineStr">
        <is>
          <t>INC-20250809-17</t>
        </is>
      </c>
      <c r="B1557" t="inlineStr">
        <is>
          <t>R250807-nuuk</t>
        </is>
      </c>
      <c r="C1557" t="inlineStr">
        <is>
          <t>Inc42</t>
        </is>
      </c>
      <c r="D1557" s="17" t="n">
        <v>45876</v>
      </c>
      <c r="E1557" t="inlineStr">
        <is>
          <t>Nuuk</t>
        </is>
      </c>
      <c r="F1557" t="inlineStr">
        <is>
          <t>$2 Mn</t>
        </is>
      </c>
      <c r="G1557" s="19" t="n"/>
      <c r="H1557" s="19" t="n">
        <v>2</v>
      </c>
      <c r="I1557" t="inlineStr">
        <is>
          <t>Series A</t>
        </is>
      </c>
      <c r="J1557" t="inlineStr"/>
      <c r="K1557" t="inlineStr">
        <is>
          <t>https://inc42.com/buzz/from-the-sleep-company-to-jeh-aerospace-indian-startups-raised-197-mn-this-week/</t>
        </is>
      </c>
    </row>
    <row r="1558">
      <c r="A1558" t="inlineStr">
        <is>
          <t>ENT-9634019</t>
        </is>
      </c>
      <c r="B1558" t="inlineStr">
        <is>
          <t>R250807-outzidr</t>
        </is>
      </c>
      <c r="C1558" t="inlineStr">
        <is>
          <t>Entrackr</t>
        </is>
      </c>
      <c r="D1558" s="17" t="n">
        <v>45876</v>
      </c>
      <c r="E1558" t="inlineStr">
        <is>
          <t>Outzidr</t>
        </is>
      </c>
      <c r="F1558" t="inlineStr">
        <is>
          <t>Rs 27 crore</t>
        </is>
      </c>
      <c r="G1558" s="19" t="n">
        <v>27</v>
      </c>
      <c r="H1558" s="19" t="n">
        <v>3.1</v>
      </c>
      <c r="I1558" t="inlineStr">
        <is>
          <t>Pre-Series A</t>
        </is>
      </c>
      <c r="J1558" t="inlineStr">
        <is>
          <t>RTP Global; Stellaris Venture Partners</t>
        </is>
      </c>
      <c r="K1558" t="inlineStr">
        <is>
          <t>https://entrackr.com/snippets/fashion-brand-outzidr-raises-31-mn-led-by-rtp-global-9634019</t>
        </is>
      </c>
    </row>
    <row r="1559">
      <c r="A1559" t="inlineStr">
        <is>
          <t>ET-123149702</t>
        </is>
      </c>
      <c r="B1559" t="inlineStr">
        <is>
          <t>R250807-outzidr</t>
        </is>
      </c>
      <c r="C1559" t="inlineStr">
        <is>
          <t>The Economic Times</t>
        </is>
      </c>
      <c r="D1559" s="17" t="n">
        <v>45876</v>
      </c>
      <c r="E1559" t="inlineStr">
        <is>
          <t>Outzidr</t>
        </is>
      </c>
      <c r="F1559" t="inlineStr">
        <is>
          <t>$3.1 million</t>
        </is>
      </c>
      <c r="G1559" s="19" t="n"/>
      <c r="H1559" s="19" t="n">
        <v>3.1</v>
      </c>
      <c r="I1559" t="inlineStr">
        <is>
          <t>Undisclosed</t>
        </is>
      </c>
      <c r="J1559" t="inlineStr"/>
      <c r="K1559" t="inlineStr">
        <is>
          <t>https://economictimes.indiatimes.com/tech/funding/gen-z-womens-fashion-brand-outzidr-raises-3-1-million-in-round-led-by-rtp-global/articleshow/123149702.cms</t>
        </is>
      </c>
    </row>
    <row r="1560">
      <c r="A1560" t="inlineStr">
        <is>
          <t>INC-20250809-12</t>
        </is>
      </c>
      <c r="B1560" t="inlineStr">
        <is>
          <t>R250807-outzidr</t>
        </is>
      </c>
      <c r="C1560" t="inlineStr">
        <is>
          <t>Inc42</t>
        </is>
      </c>
      <c r="D1560" s="17" t="n">
        <v>45876</v>
      </c>
      <c r="E1560" t="inlineStr">
        <is>
          <t>OUTZIDR</t>
        </is>
      </c>
      <c r="F1560" t="inlineStr">
        <is>
          <t>$3 Mn</t>
        </is>
      </c>
      <c r="G1560" s="19" t="n"/>
      <c r="H1560" s="19" t="n">
        <v>3</v>
      </c>
      <c r="I1560" t="inlineStr">
        <is>
          <t>Pre-Series A</t>
        </is>
      </c>
      <c r="J1560" t="inlineStr">
        <is>
          <t>RTP Global</t>
        </is>
      </c>
      <c r="K1560" t="inlineStr">
        <is>
          <t>https://inc42.com/buzz/from-the-sleep-company-to-jeh-aerospace-indian-startups-raised-197-mn-this-week/</t>
        </is>
      </c>
    </row>
    <row r="1561">
      <c r="A1561" t="inlineStr">
        <is>
          <t>ENT-9634943</t>
        </is>
      </c>
      <c r="B1561" t="inlineStr">
        <is>
          <t>R250807-reneecosmetics</t>
        </is>
      </c>
      <c r="C1561" t="inlineStr">
        <is>
          <t>Entrackr</t>
        </is>
      </c>
      <c r="D1561" s="17" t="n">
        <v>45876</v>
      </c>
      <c r="E1561" t="inlineStr">
        <is>
          <t>RENÉE Cosmetics</t>
        </is>
      </c>
      <c r="F1561" t="inlineStr">
        <is>
          <t>$30 million</t>
        </is>
      </c>
      <c r="G1561" s="19" t="n"/>
      <c r="H1561" s="19" t="n">
        <v>30</v>
      </c>
      <c r="I1561" t="inlineStr">
        <is>
          <t>Series C</t>
        </is>
      </c>
      <c r="J1561" t="inlineStr">
        <is>
          <t>Playbook</t>
        </is>
      </c>
      <c r="K1561" t="inlineStr">
        <is>
          <t>https://entrackr.com/news/renée-cosmetics-raises-30-mn-in-series-c-at-200-mn-valuation-9634943</t>
        </is>
      </c>
    </row>
    <row r="1562">
      <c r="A1562" t="inlineStr">
        <is>
          <t>INC-20250809-02</t>
        </is>
      </c>
      <c r="B1562" t="inlineStr">
        <is>
          <t>R250807-reneecosmetics</t>
        </is>
      </c>
      <c r="C1562" t="inlineStr">
        <is>
          <t>Inc42</t>
        </is>
      </c>
      <c r="D1562" s="17" t="n">
        <v>45876</v>
      </c>
      <c r="E1562" t="inlineStr">
        <is>
          <t>RENEE Cosmetics</t>
        </is>
      </c>
      <c r="F1562" t="inlineStr">
        <is>
          <t>$30 Mn</t>
        </is>
      </c>
      <c r="G1562" s="19" t="n"/>
      <c r="H1562" s="19" t="n">
        <v>30</v>
      </c>
      <c r="I1562" t="inlineStr">
        <is>
          <t>Series C</t>
        </is>
      </c>
      <c r="J1562" t="inlineStr">
        <is>
          <t>Playbook Partners</t>
        </is>
      </c>
      <c r="K1562" t="inlineStr">
        <is>
          <t>https://inc42.com/buzz/from-the-sleep-company-to-jeh-aerospace-indian-startups-raised-197-mn-this-week/</t>
        </is>
      </c>
    </row>
    <row r="1563">
      <c r="A1563" t="inlineStr">
        <is>
          <t>ET-123217768</t>
        </is>
      </c>
      <c r="B1563" t="inlineStr">
        <is>
          <t>R250810-neuralzomecybe</t>
        </is>
      </c>
      <c r="C1563" t="inlineStr">
        <is>
          <t>The Economic Times</t>
        </is>
      </c>
      <c r="D1563" s="17" t="n">
        <v>45879</v>
      </c>
      <c r="E1563" t="inlineStr">
        <is>
          <t>Neuralzome Cybernetic</t>
        </is>
      </c>
      <c r="F1563" t="inlineStr">
        <is>
          <t>$2.4 million</t>
        </is>
      </c>
      <c r="G1563" s="19" t="n"/>
      <c r="H1563" s="19" t="n">
        <v>2.4</v>
      </c>
      <c r="I1563" t="inlineStr">
        <is>
          <t>Pre-Seed</t>
        </is>
      </c>
      <c r="J1563" t="inlineStr"/>
      <c r="K1563" t="inlineStr">
        <is>
          <t>https://economictimes.indiatimes.com/tech/funding/robotics-deeptech-startup-neuralzome-cybernetic-raises-2-4-million/articleshow/123217768.cms</t>
        </is>
      </c>
    </row>
    <row r="1564">
      <c r="A1564" t="inlineStr">
        <is>
          <t>ENT-9646812</t>
        </is>
      </c>
      <c r="B1564" t="inlineStr">
        <is>
          <t>R250810-neuralzomecybe</t>
        </is>
      </c>
      <c r="C1564" t="inlineStr">
        <is>
          <t>Entrackr</t>
        </is>
      </c>
      <c r="D1564" s="17" t="n">
        <v>45880</v>
      </c>
      <c r="E1564" t="inlineStr">
        <is>
          <t>Neuralzome Cybernetic</t>
        </is>
      </c>
      <c r="F1564" t="inlineStr">
        <is>
          <t>$2.4 million</t>
        </is>
      </c>
      <c r="G1564" s="19" t="n"/>
      <c r="H1564" s="19" t="n">
        <v>2.4</v>
      </c>
      <c r="I1564" t="inlineStr">
        <is>
          <t>Pre-Seed</t>
        </is>
      </c>
      <c r="J1564" t="inlineStr">
        <is>
          <t>8X Ventures</t>
        </is>
      </c>
      <c r="K1564" t="inlineStr">
        <is>
          <t>https://entrackr.com/snippets/neuralzome-cybernetic-raises-24-mn-led-by-8x-ventures-9646812</t>
        </is>
      </c>
    </row>
    <row r="1565">
      <c r="A1565" t="inlineStr">
        <is>
          <t>ENT-9648424</t>
        </is>
      </c>
      <c r="B1565" t="inlineStr">
        <is>
          <t>R250811-graasai</t>
        </is>
      </c>
      <c r="C1565" t="inlineStr">
        <is>
          <t>Entrackr</t>
        </is>
      </c>
      <c r="D1565" s="17" t="n">
        <v>45880</v>
      </c>
      <c r="E1565" t="inlineStr">
        <is>
          <t>Graas AI</t>
        </is>
      </c>
      <c r="F1565" t="inlineStr">
        <is>
          <t>$9 million</t>
        </is>
      </c>
      <c r="G1565" s="19" t="n"/>
      <c r="H1565" s="19" t="n">
        <v>9</v>
      </c>
      <c r="I1565" t="inlineStr">
        <is>
          <t>Undisclosed</t>
        </is>
      </c>
      <c r="J1565" t="inlineStr">
        <is>
          <t>Tin Men Capital; Incred Wealth; Orzon; Integra Partners; Yuj Ventures</t>
        </is>
      </c>
      <c r="K1565" t="inlineStr">
        <is>
          <t>https://entrackr.com/snippets/ecommerce-tech-startup-graas-ai-raises-9-mn-9648424</t>
        </is>
      </c>
    </row>
    <row r="1566">
      <c r="A1566" t="inlineStr">
        <is>
          <t>ET-123229287</t>
        </is>
      </c>
      <c r="B1566" t="inlineStr">
        <is>
          <t>R250811-graasai</t>
        </is>
      </c>
      <c r="C1566" t="inlineStr">
        <is>
          <t>The Economic Times</t>
        </is>
      </c>
      <c r="D1566" s="17" t="n">
        <v>45880</v>
      </c>
      <c r="E1566" t="inlineStr">
        <is>
          <t>Graas AI</t>
        </is>
      </c>
      <c r="F1566" t="inlineStr">
        <is>
          <t>$9 million</t>
        </is>
      </c>
      <c r="G1566" s="19" t="n"/>
      <c r="H1566" s="19" t="n">
        <v>9</v>
      </c>
      <c r="I1566" t="inlineStr">
        <is>
          <t>Undisclosed</t>
        </is>
      </c>
      <c r="J1566" t="inlineStr">
        <is>
          <t>Tin Men Capital</t>
        </is>
      </c>
      <c r="K1566" t="inlineStr">
        <is>
          <t>https://economictimes.indiatimes.com/tech/funding/ecommerce-tech-startup-graas-ai-raises-9-million-from-tin-men-capital-others/articleshow/123229287.cms</t>
        </is>
      </c>
    </row>
    <row r="1567">
      <c r="A1567" t="inlineStr">
        <is>
          <t>INC-20250816-10</t>
        </is>
      </c>
      <c r="B1567" t="inlineStr">
        <is>
          <t>R250811-graasai</t>
        </is>
      </c>
      <c r="C1567" t="inlineStr">
        <is>
          <t>Inc42</t>
        </is>
      </c>
      <c r="D1567" s="17" t="n">
        <v>45880</v>
      </c>
      <c r="E1567" t="inlineStr">
        <is>
          <t>Graas.ai</t>
        </is>
      </c>
      <c r="F1567" t="inlineStr">
        <is>
          <t>$9 Mn</t>
        </is>
      </c>
      <c r="G1567" s="19" t="n"/>
      <c r="H1567" s="19" t="n">
        <v>9</v>
      </c>
      <c r="I1567" t="inlineStr">
        <is>
          <t>Series B</t>
        </is>
      </c>
      <c r="J1567" t="inlineStr">
        <is>
          <t>Tin Men Capital</t>
        </is>
      </c>
      <c r="K1567" t="inlineStr">
        <is>
          <t>https://inc42.com/buzz/from-truemeds-to-ultraviolette-indian-startups-raised-272-mn-this-week/</t>
        </is>
      </c>
    </row>
    <row r="1568">
      <c r="A1568" t="inlineStr">
        <is>
          <t>ENT-9652792</t>
        </is>
      </c>
      <c r="B1568" t="inlineStr">
        <is>
          <t>R250812-aceblend</t>
        </is>
      </c>
      <c r="C1568" t="inlineStr">
        <is>
          <t>Entrackr</t>
        </is>
      </c>
      <c r="D1568" s="17" t="n">
        <v>45881</v>
      </c>
      <c r="E1568" t="inlineStr">
        <is>
          <t>Ace Blend</t>
        </is>
      </c>
      <c r="F1568" t="inlineStr">
        <is>
          <t>$3.3 million</t>
        </is>
      </c>
      <c r="G1568" s="19" t="n"/>
      <c r="H1568" s="19" t="n">
        <v>3.3</v>
      </c>
      <c r="I1568" t="inlineStr">
        <is>
          <t>Pre-Series A</t>
        </is>
      </c>
      <c r="J1568" t="inlineStr">
        <is>
          <t>Fireside Ventures</t>
        </is>
      </c>
      <c r="K1568" t="inlineStr">
        <is>
          <t>https://entrackr.com/snippets/nutrition-brand-ace-blend-raises-33-mn-led-by-fireside-ventures-9652792</t>
        </is>
      </c>
    </row>
    <row r="1569">
      <c r="A1569" t="inlineStr">
        <is>
          <t>ENT-9652921</t>
        </is>
      </c>
      <c r="B1569" t="inlineStr">
        <is>
          <t>R250812-brandworkstech</t>
        </is>
      </c>
      <c r="C1569" t="inlineStr">
        <is>
          <t>Entrackr</t>
        </is>
      </c>
      <c r="D1569" s="17" t="n">
        <v>45881</v>
      </c>
      <c r="E1569" t="inlineStr">
        <is>
          <t>Brandworks Technologies</t>
        </is>
      </c>
      <c r="F1569" t="inlineStr">
        <is>
          <t>$7 million</t>
        </is>
      </c>
      <c r="G1569" s="19" t="n">
        <v>61</v>
      </c>
      <c r="H1569" s="19" t="n">
        <v>7</v>
      </c>
      <c r="I1569" t="inlineStr">
        <is>
          <t>Series A</t>
        </is>
      </c>
      <c r="J1569" t="inlineStr"/>
      <c r="K1569" t="inlineStr">
        <is>
          <t>https://entrackr.com/snippets/cactus-partners-leads-7-mn-series-a-round-in-brandworks-technologies-9652921</t>
        </is>
      </c>
    </row>
    <row r="1570">
      <c r="A1570" t="inlineStr">
        <is>
          <t>ENT-9651035</t>
        </is>
      </c>
      <c r="B1570" t="inlineStr">
        <is>
          <t>R250812-dashverse</t>
        </is>
      </c>
      <c r="C1570" t="inlineStr">
        <is>
          <t>Entrackr</t>
        </is>
      </c>
      <c r="D1570" s="17" t="n">
        <v>45881</v>
      </c>
      <c r="E1570" t="inlineStr">
        <is>
          <t>Dashverse</t>
        </is>
      </c>
      <c r="F1570" t="inlineStr">
        <is>
          <t>$13 million</t>
        </is>
      </c>
      <c r="G1570" s="19" t="n"/>
      <c r="H1570" s="19" t="n">
        <v>13</v>
      </c>
      <c r="I1570" t="inlineStr">
        <is>
          <t>Series A</t>
        </is>
      </c>
      <c r="J1570" t="inlineStr">
        <is>
          <t>Peak XV Partners</t>
        </is>
      </c>
      <c r="K1570" t="inlineStr">
        <is>
          <t>https://entrackr.com/news/peak-xv-leads-13-mn-series-a-round-in-dashtoon-maker-dashverse-9651035</t>
        </is>
      </c>
    </row>
    <row r="1571">
      <c r="A1571" t="inlineStr">
        <is>
          <t>ET-123250912</t>
        </is>
      </c>
      <c r="B1571" t="inlineStr">
        <is>
          <t>R250812-dashverse</t>
        </is>
      </c>
      <c r="C1571" t="inlineStr">
        <is>
          <t>The Economic Times</t>
        </is>
      </c>
      <c r="D1571" s="17" t="n">
        <v>45881</v>
      </c>
      <c r="E1571" t="inlineStr">
        <is>
          <t>Dashverse</t>
        </is>
      </c>
      <c r="F1571" t="inlineStr">
        <is>
          <t>$13 million</t>
        </is>
      </c>
      <c r="G1571" s="19" t="n"/>
      <c r="H1571" s="19" t="n">
        <v>13</v>
      </c>
      <c r="I1571" t="inlineStr">
        <is>
          <t>Undisclosed</t>
        </is>
      </c>
      <c r="J1571" t="inlineStr"/>
      <c r="K1571" t="inlineStr">
        <is>
          <t>https://economictimes.indiatimes.com/tech/funding/ai-entertainment-startup-dashverse-raises-13-million-from-peak-xv-partners-z47-others/articleshow/123250912.cms</t>
        </is>
      </c>
    </row>
    <row r="1572">
      <c r="A1572" t="inlineStr">
        <is>
          <t>INC-20250816-06</t>
        </is>
      </c>
      <c r="B1572" t="inlineStr">
        <is>
          <t>R250812-dashverse</t>
        </is>
      </c>
      <c r="C1572" t="inlineStr">
        <is>
          <t>Inc42</t>
        </is>
      </c>
      <c r="D1572" s="17" t="n">
        <v>45881</v>
      </c>
      <c r="E1572" t="inlineStr">
        <is>
          <t>Dashverse</t>
        </is>
      </c>
      <c r="F1572" t="inlineStr">
        <is>
          <t>$13 Mn</t>
        </is>
      </c>
      <c r="G1572" s="19" t="n"/>
      <c r="H1572" s="19" t="n">
        <v>13</v>
      </c>
      <c r="I1572" t="inlineStr">
        <is>
          <t>Series A</t>
        </is>
      </c>
      <c r="J1572" t="inlineStr">
        <is>
          <t>Peak XV Partners</t>
        </is>
      </c>
      <c r="K1572" t="inlineStr">
        <is>
          <t>https://inc42.com/buzz/from-truemeds-to-ultraviolette-indian-startups-raised-272-mn-this-week/</t>
        </is>
      </c>
    </row>
    <row r="1573">
      <c r="A1573" t="inlineStr">
        <is>
          <t>ENT-9651899</t>
        </is>
      </c>
      <c r="B1573" t="inlineStr">
        <is>
          <t>R250812-elever</t>
        </is>
      </c>
      <c r="C1573" t="inlineStr">
        <is>
          <t>Entrackr</t>
        </is>
      </c>
      <c r="D1573" s="17" t="n">
        <v>45881</v>
      </c>
      <c r="E1573" t="inlineStr">
        <is>
          <t>Elever</t>
        </is>
      </c>
      <c r="F1573" t="inlineStr">
        <is>
          <t>$1.1 million</t>
        </is>
      </c>
      <c r="G1573" s="19" t="n"/>
      <c r="H1573" s="19" t="n">
        <v>1.1</v>
      </c>
      <c r="I1573" t="inlineStr">
        <is>
          <t>Pre-Series A</t>
        </is>
      </c>
      <c r="J1573" t="inlineStr"/>
      <c r="K1573" t="inlineStr">
        <is>
          <t>https://entrackr.com/snippets/elever-raises-11-mn-in-pre-series-a-round-led-by-brand-capital-9651899</t>
        </is>
      </c>
    </row>
    <row r="1574">
      <c r="A1574" t="inlineStr">
        <is>
          <t>ET-123244752</t>
        </is>
      </c>
      <c r="B1574" t="inlineStr">
        <is>
          <t>R250812-elever</t>
        </is>
      </c>
      <c r="C1574" t="inlineStr">
        <is>
          <t>The Economic Times</t>
        </is>
      </c>
      <c r="D1574" s="17" t="n">
        <v>45881</v>
      </c>
      <c r="E1574" t="inlineStr">
        <is>
          <t>Elever</t>
        </is>
      </c>
      <c r="F1574" t="inlineStr">
        <is>
          <t>$1.1 million</t>
        </is>
      </c>
      <c r="G1574" s="19" t="n"/>
      <c r="H1574" s="19" t="n">
        <v>1.1</v>
      </c>
      <c r="I1574" t="inlineStr">
        <is>
          <t>Undisclosed</t>
        </is>
      </c>
      <c r="J1574" t="inlineStr"/>
      <c r="K1574" t="inlineStr">
        <is>
          <t>https://economictimes.indiatimes.com/tech/funding/portfolio-management-firm-elever-raises-1-1-million-from-brand-capital-others/articleshow/123244752.cms</t>
        </is>
      </c>
    </row>
    <row r="1575">
      <c r="A1575" t="inlineStr">
        <is>
          <t>ENT-9650847</t>
        </is>
      </c>
      <c r="B1575" t="inlineStr">
        <is>
          <t>R250812-elivaas</t>
        </is>
      </c>
      <c r="C1575" t="inlineStr">
        <is>
          <t>Entrackr</t>
        </is>
      </c>
      <c r="D1575" s="17" t="n">
        <v>45881</v>
      </c>
      <c r="E1575" t="inlineStr">
        <is>
          <t>ELIVAAS</t>
        </is>
      </c>
      <c r="F1575" t="inlineStr">
        <is>
          <t>Rs 87 crore</t>
        </is>
      </c>
      <c r="G1575" s="19" t="n">
        <v>87</v>
      </c>
      <c r="H1575" s="19" t="n">
        <v>10</v>
      </c>
      <c r="I1575" t="inlineStr">
        <is>
          <t>Series B</t>
        </is>
      </c>
      <c r="J1575" t="inlineStr">
        <is>
          <t>Vertex Ventures Southeast Asia &amp; India</t>
        </is>
      </c>
      <c r="K1575" t="inlineStr">
        <is>
          <t>https://entrackr.com/news/elivaas-raises-rs-87-cr-in-series-b-round-led-by-vertex-ventures-9650847</t>
        </is>
      </c>
    </row>
    <row r="1576">
      <c r="A1576" t="inlineStr">
        <is>
          <t>ET-123244145</t>
        </is>
      </c>
      <c r="B1576" t="inlineStr">
        <is>
          <t>R250812-elivaas</t>
        </is>
      </c>
      <c r="C1576" t="inlineStr">
        <is>
          <t>The Economic Times</t>
        </is>
      </c>
      <c r="D1576" s="17" t="n">
        <v>45881</v>
      </c>
      <c r="E1576" t="inlineStr">
        <is>
          <t>Elivaas</t>
        </is>
      </c>
      <c r="F1576" t="inlineStr">
        <is>
          <t>$10.4 million</t>
        </is>
      </c>
      <c r="G1576" s="19" t="n">
        <v>87</v>
      </c>
      <c r="H1576" s="19" t="n">
        <v>10.4</v>
      </c>
      <c r="I1576" t="inlineStr">
        <is>
          <t>Undisclosed</t>
        </is>
      </c>
      <c r="J1576" t="inlineStr">
        <is>
          <t>Vertex Ventures Southeast Asia; India</t>
        </is>
      </c>
      <c r="K1576" t="inlineStr">
        <is>
          <t>https://economictimes.indiatimes.com/tech/funding/hospitality-startup-elivaas-raises-10-4-million-in-funding-round-led-by-vertex-ventures/articleshow/123244145.cms</t>
        </is>
      </c>
    </row>
    <row r="1577">
      <c r="A1577" t="inlineStr">
        <is>
          <t>INC-20250816-09</t>
        </is>
      </c>
      <c r="B1577" t="inlineStr">
        <is>
          <t>R250812-elivaas</t>
        </is>
      </c>
      <c r="C1577" t="inlineStr">
        <is>
          <t>Inc42</t>
        </is>
      </c>
      <c r="D1577" s="17" t="n">
        <v>45881</v>
      </c>
      <c r="E1577" t="inlineStr">
        <is>
          <t>Elivaas</t>
        </is>
      </c>
      <c r="F1577" t="inlineStr">
        <is>
          <t>$10 Mn</t>
        </is>
      </c>
      <c r="G1577" s="19" t="n"/>
      <c r="H1577" s="19" t="n">
        <v>10</v>
      </c>
      <c r="I1577" t="inlineStr">
        <is>
          <t>Series B</t>
        </is>
      </c>
      <c r="J1577" t="inlineStr">
        <is>
          <t>Vertex Ventures</t>
        </is>
      </c>
      <c r="K1577" t="inlineStr">
        <is>
          <t>https://inc42.com/buzz/from-truemeds-to-ultraviolette-indian-startups-raised-272-mn-this-week/</t>
        </is>
      </c>
    </row>
    <row r="1578">
      <c r="A1578" t="inlineStr">
        <is>
          <t>ENT-9651122</t>
        </is>
      </c>
      <c r="B1578" t="inlineStr">
        <is>
          <t>R250812-fairdeal</t>
        </is>
      </c>
      <c r="C1578" t="inlineStr">
        <is>
          <t>Entrackr</t>
        </is>
      </c>
      <c r="D1578" s="17" t="n">
        <v>45881</v>
      </c>
      <c r="E1578" t="inlineStr">
        <is>
          <t>Fairdeal</t>
        </is>
      </c>
      <c r="F1578" t="inlineStr">
        <is>
          <t>$3 million</t>
        </is>
      </c>
      <c r="G1578" s="19" t="n">
        <v>25</v>
      </c>
      <c r="H1578" s="19" t="n">
        <v>3</v>
      </c>
      <c r="I1578" t="inlineStr">
        <is>
          <t>Pre-Series A</t>
        </is>
      </c>
      <c r="J1578" t="inlineStr">
        <is>
          <t>Incubate Fund Asia; Waterbridge Ventures</t>
        </is>
      </c>
      <c r="K1578" t="inlineStr">
        <is>
          <t>https://entrackr.com/snippets/fairdeal-raises-3-mn-led-by-incubate-fund-asia-and-waterbridge-9651122</t>
        </is>
      </c>
    </row>
    <row r="1579">
      <c r="A1579" t="inlineStr">
        <is>
          <t>INC-20250816-14</t>
        </is>
      </c>
      <c r="B1579" t="inlineStr">
        <is>
          <t>R250812-fairdeal</t>
        </is>
      </c>
      <c r="C1579" t="inlineStr">
        <is>
          <t>Inc42</t>
        </is>
      </c>
      <c r="D1579" s="17" t="n">
        <v>45881</v>
      </c>
      <c r="E1579" t="inlineStr">
        <is>
          <t>Fairdeal.Market</t>
        </is>
      </c>
      <c r="F1579" t="inlineStr">
        <is>
          <t>$3 Mn</t>
        </is>
      </c>
      <c r="G1579" s="19" t="n"/>
      <c r="H1579" s="19" t="n">
        <v>3</v>
      </c>
      <c r="I1579" t="inlineStr">
        <is>
          <t>Pre-Series A</t>
        </is>
      </c>
      <c r="J1579" t="inlineStr">
        <is>
          <t>Incubate Fund Asia</t>
        </is>
      </c>
      <c r="K1579" t="inlineStr">
        <is>
          <t>https://inc42.com/buzz/from-truemeds-to-ultraviolette-indian-startups-raised-272-mn-this-week/</t>
        </is>
      </c>
    </row>
    <row r="1580">
      <c r="A1580" t="inlineStr">
        <is>
          <t>ENT-9653385</t>
        </is>
      </c>
      <c r="B1580" t="inlineStr">
        <is>
          <t>R250812-holidaytribe</t>
        </is>
      </c>
      <c r="C1580" t="inlineStr">
        <is>
          <t>Entrackr</t>
        </is>
      </c>
      <c r="D1580" s="17" t="n">
        <v>45881</v>
      </c>
      <c r="E1580" t="inlineStr">
        <is>
          <t>Holiday Tribe</t>
        </is>
      </c>
      <c r="F1580" t="inlineStr">
        <is>
          <t>Rs 25 crore</t>
        </is>
      </c>
      <c r="G1580" s="19" t="n">
        <v>25</v>
      </c>
      <c r="H1580" s="19" t="n">
        <v>2.85</v>
      </c>
      <c r="I1580" t="inlineStr">
        <is>
          <t>Pre-Series A</t>
        </is>
      </c>
      <c r="J1580" t="inlineStr">
        <is>
          <t>Powerhouse Ventures; GSF</t>
        </is>
      </c>
      <c r="K1580" t="inlineStr">
        <is>
          <t>https://entrackr.com/snippets/holiday-tribe-raises-rs-25-cr-in-pre-series-a-round-9653385</t>
        </is>
      </c>
    </row>
    <row r="1581">
      <c r="A1581" t="inlineStr">
        <is>
          <t>INC-20250816-13</t>
        </is>
      </c>
      <c r="B1581" t="inlineStr">
        <is>
          <t>R250812-holidaytribe</t>
        </is>
      </c>
      <c r="C1581" t="inlineStr">
        <is>
          <t>Inc42</t>
        </is>
      </c>
      <c r="D1581" s="17" t="n">
        <v>45881</v>
      </c>
      <c r="E1581" t="inlineStr">
        <is>
          <t>Holiday Tribe</t>
        </is>
      </c>
      <c r="F1581" t="inlineStr">
        <is>
          <t>$3 Mn</t>
        </is>
      </c>
      <c r="G1581" s="19" t="n"/>
      <c r="H1581" s="19" t="n">
        <v>3</v>
      </c>
      <c r="I1581" t="inlineStr">
        <is>
          <t>Pre-Series A</t>
        </is>
      </c>
      <c r="J1581" t="inlineStr">
        <is>
          <t>Powerhouse Ventures</t>
        </is>
      </c>
      <c r="K1581" t="inlineStr">
        <is>
          <t>https://inc42.com/buzz/from-truemeds-to-ultraviolette-indian-startups-raised-272-mn-this-week/</t>
        </is>
      </c>
    </row>
    <row r="1582">
      <c r="A1582" t="inlineStr">
        <is>
          <t>ENT-9652283</t>
        </is>
      </c>
      <c r="B1582" t="inlineStr">
        <is>
          <t>R250812-kimirica</t>
        </is>
      </c>
      <c r="C1582" t="inlineStr">
        <is>
          <t>Entrackr</t>
        </is>
      </c>
      <c r="D1582" s="17" t="n">
        <v>45881</v>
      </c>
      <c r="E1582" t="inlineStr">
        <is>
          <t>Kimirica</t>
        </is>
      </c>
      <c r="F1582" t="inlineStr">
        <is>
          <t>$15 million</t>
        </is>
      </c>
      <c r="G1582" s="19" t="n"/>
      <c r="H1582" s="19" t="n">
        <v>15</v>
      </c>
      <c r="I1582" t="inlineStr">
        <is>
          <t>Undisclosed</t>
        </is>
      </c>
      <c r="J1582" t="inlineStr">
        <is>
          <t>Vikas Khemani</t>
        </is>
      </c>
      <c r="K1582" t="inlineStr">
        <is>
          <t>https://entrackr.com/snippets/vikas-khemanis-carnelian-invests-15-mn-in-kimirica-9652283</t>
        </is>
      </c>
    </row>
    <row r="1583">
      <c r="A1583" t="inlineStr">
        <is>
          <t>ET-123261004</t>
        </is>
      </c>
      <c r="B1583" t="inlineStr">
        <is>
          <t>R250812-kimirica</t>
        </is>
      </c>
      <c r="C1583" t="inlineStr">
        <is>
          <t>The Economic Times</t>
        </is>
      </c>
      <c r="D1583" s="17" t="n">
        <v>45881</v>
      </c>
      <c r="E1583" t="inlineStr">
        <is>
          <t>Kimirica</t>
        </is>
      </c>
      <c r="F1583" t="inlineStr">
        <is>
          <t>$15 million</t>
        </is>
      </c>
      <c r="G1583" s="19" t="n"/>
      <c r="H1583" s="19" t="n">
        <v>15</v>
      </c>
      <c r="I1583" t="inlineStr">
        <is>
          <t>Undisclosed</t>
        </is>
      </c>
      <c r="J1583" t="inlineStr">
        <is>
          <t>Carnelian Asset Management</t>
        </is>
      </c>
      <c r="K1583" t="inlineStr">
        <is>
          <t>https://economictimes.indiatimes.com/tech/funding/personal-care-brand-kimirica-raises-15-million-in-round-led-by-carnelian-asset-management/articleshow/123261004.cms</t>
        </is>
      </c>
    </row>
    <row r="1584">
      <c r="A1584" t="inlineStr">
        <is>
          <t>ENT-9651060</t>
        </is>
      </c>
      <c r="B1584" t="inlineStr">
        <is>
          <t>R250812-manastuspace</t>
        </is>
      </c>
      <c r="C1584" t="inlineStr">
        <is>
          <t>Entrackr</t>
        </is>
      </c>
      <c r="D1584" s="17" t="n">
        <v>45881</v>
      </c>
      <c r="E1584" t="inlineStr">
        <is>
          <t>Manastu Space</t>
        </is>
      </c>
      <c r="F1584" t="inlineStr">
        <is>
          <t>$3 million</t>
        </is>
      </c>
      <c r="G1584" s="19" t="n"/>
      <c r="H1584" s="19" t="n">
        <v>3</v>
      </c>
      <c r="I1584" t="inlineStr">
        <is>
          <t>Undisclosed</t>
        </is>
      </c>
      <c r="J1584" t="inlineStr">
        <is>
          <t>Capital 2B; Indian Angel Network</t>
        </is>
      </c>
      <c r="K1584" t="inlineStr">
        <is>
          <t>https://entrackr.com/snippets/spacetech-startup-manastu-space-raises-3-mn-led-by-capital-a-9651060</t>
        </is>
      </c>
    </row>
    <row r="1585">
      <c r="A1585" t="inlineStr">
        <is>
          <t>ET-123244306</t>
        </is>
      </c>
      <c r="B1585" t="inlineStr">
        <is>
          <t>R250812-manastuspace</t>
        </is>
      </c>
      <c r="C1585" t="inlineStr">
        <is>
          <t>The Economic Times</t>
        </is>
      </c>
      <c r="D1585" s="17" t="n">
        <v>45881</v>
      </c>
      <c r="E1585" t="inlineStr">
        <is>
          <t>Manastu Space</t>
        </is>
      </c>
      <c r="F1585" t="inlineStr">
        <is>
          <t>$3 million</t>
        </is>
      </c>
      <c r="G1585" s="19" t="n"/>
      <c r="H1585" s="19" t="n">
        <v>3</v>
      </c>
      <c r="I1585" t="inlineStr">
        <is>
          <t>Undisclosed</t>
        </is>
      </c>
      <c r="J1585" t="inlineStr"/>
      <c r="K1585" t="inlineStr">
        <is>
          <t>https://economictimes.indiatimes.com/tech/funding/manastu-space-raises-3-million-in-round-led-by-capital-a/articleshow/123244306.cms</t>
        </is>
      </c>
    </row>
    <row r="1586">
      <c r="A1586" t="inlineStr">
        <is>
          <t>INC-20250816-15</t>
        </is>
      </c>
      <c r="B1586" t="inlineStr">
        <is>
          <t>R250812-manastuspace</t>
        </is>
      </c>
      <c r="C1586" t="inlineStr">
        <is>
          <t>Inc42</t>
        </is>
      </c>
      <c r="D1586" s="17" t="n">
        <v>45881</v>
      </c>
      <c r="E1586" t="inlineStr">
        <is>
          <t>Manastu Space Technologies</t>
        </is>
      </c>
      <c r="F1586" t="inlineStr">
        <is>
          <t>$3 Mn</t>
        </is>
      </c>
      <c r="G1586" s="19" t="n"/>
      <c r="H1586" s="19" t="n">
        <v>3</v>
      </c>
      <c r="I1586" t="inlineStr">
        <is>
          <t>Series A</t>
        </is>
      </c>
      <c r="J1586" t="inlineStr">
        <is>
          <t>Capital-A</t>
        </is>
      </c>
      <c r="K1586" t="inlineStr">
        <is>
          <t>https://inc42.com/buzz/from-truemeds-to-ultraviolette-indian-startups-raised-272-mn-this-week/</t>
        </is>
      </c>
    </row>
    <row r="1587">
      <c r="A1587" t="inlineStr">
        <is>
          <t>ENT-9650959</t>
        </is>
      </c>
      <c r="B1587" t="inlineStr">
        <is>
          <t>R250812-pronto</t>
        </is>
      </c>
      <c r="C1587" t="inlineStr">
        <is>
          <t>Entrackr</t>
        </is>
      </c>
      <c r="D1587" s="17" t="n">
        <v>45881</v>
      </c>
      <c r="E1587" t="inlineStr">
        <is>
          <t>Pronto</t>
        </is>
      </c>
      <c r="F1587" t="inlineStr">
        <is>
          <t>$11 million</t>
        </is>
      </c>
      <c r="G1587" s="19" t="n">
        <v>96</v>
      </c>
      <c r="H1587" s="19" t="n">
        <v>11</v>
      </c>
      <c r="I1587" t="inlineStr">
        <is>
          <t>Undisclosed</t>
        </is>
      </c>
      <c r="J1587" t="inlineStr">
        <is>
          <t>General Catalyst; Glade Brook Capital</t>
        </is>
      </c>
      <c r="K1587" t="inlineStr">
        <is>
          <t>https://entrackr.com/news/home-services-startup-pronto-raises-11-mn-led-by-general-catalyst-9650959</t>
        </is>
      </c>
    </row>
    <row r="1588">
      <c r="A1588" t="inlineStr">
        <is>
          <t>ET-123243934</t>
        </is>
      </c>
      <c r="B1588" t="inlineStr">
        <is>
          <t>R250812-pronto</t>
        </is>
      </c>
      <c r="C1588" t="inlineStr">
        <is>
          <t>The Economic Times</t>
        </is>
      </c>
      <c r="D1588" s="17" t="n">
        <v>45881</v>
      </c>
      <c r="E1588" t="inlineStr">
        <is>
          <t>Pronto</t>
        </is>
      </c>
      <c r="F1588" t="inlineStr">
        <is>
          <t>$11 million</t>
        </is>
      </c>
      <c r="G1588" s="19" t="n">
        <v>96</v>
      </c>
      <c r="H1588" s="19" t="n">
        <v>11</v>
      </c>
      <c r="I1588" t="inlineStr">
        <is>
          <t>Undisclosed</t>
        </is>
      </c>
      <c r="J1588" t="inlineStr">
        <is>
          <t>General Catalyst; Glade Brook Capital</t>
        </is>
      </c>
      <c r="K1588" t="inlineStr">
        <is>
          <t>https://economictimes.indiatimes.com/tech/funding/home-services-startup-pronto-raises-11-million-from-general-catalyst-glade-brook-capital/articleshow/123243934.cms</t>
        </is>
      </c>
    </row>
    <row r="1589">
      <c r="A1589" t="inlineStr">
        <is>
          <t>INC-20250816-08</t>
        </is>
      </c>
      <c r="B1589" t="inlineStr">
        <is>
          <t>R250812-pronto</t>
        </is>
      </c>
      <c r="C1589" t="inlineStr">
        <is>
          <t>Inc42</t>
        </is>
      </c>
      <c r="D1589" s="17" t="n">
        <v>45881</v>
      </c>
      <c r="E1589" t="inlineStr">
        <is>
          <t>Pronto</t>
        </is>
      </c>
      <c r="F1589" t="inlineStr">
        <is>
          <t>$11 Mn</t>
        </is>
      </c>
      <c r="G1589" s="19" t="n"/>
      <c r="H1589" s="19" t="n">
        <v>11</v>
      </c>
      <c r="I1589" t="inlineStr">
        <is>
          <t>Series A</t>
        </is>
      </c>
      <c r="J1589" t="inlineStr">
        <is>
          <t>General Catalyst; Glade Brook Capital</t>
        </is>
      </c>
      <c r="K1589" t="inlineStr">
        <is>
          <t>https://inc42.com/buzz/from-truemeds-to-ultraviolette-indian-startups-raised-272-mn-this-week/</t>
        </is>
      </c>
    </row>
    <row r="1590">
      <c r="A1590" t="inlineStr">
        <is>
          <t>ET-123255946</t>
        </is>
      </c>
      <c r="B1590" t="inlineStr">
        <is>
          <t>R250812-seedsfincap</t>
        </is>
      </c>
      <c r="C1590" t="inlineStr">
        <is>
          <t>The Economic Times</t>
        </is>
      </c>
      <c r="D1590" s="17" t="n">
        <v>45881</v>
      </c>
      <c r="E1590" t="inlineStr">
        <is>
          <t>Seeds Fincap</t>
        </is>
      </c>
      <c r="F1590" t="inlineStr">
        <is>
          <t>Rs 50 crore</t>
        </is>
      </c>
      <c r="G1590" s="19" t="n">
        <v>50</v>
      </c>
      <c r="H1590" s="19" t="n"/>
      <c r="I1590" t="inlineStr">
        <is>
          <t>Undisclosed</t>
        </is>
      </c>
      <c r="J1590" t="inlineStr">
        <is>
          <t>Z47; Lok Capital</t>
        </is>
      </c>
      <c r="K1590" t="inlineStr">
        <is>
          <t>https://economictimes.indiatimes.com/tech/funding/nbfc-seeds-fincap-raises-rs-50-crore-funding-in-round-led-by-z47-lok-capital/articleshow/123255946.cms</t>
        </is>
      </c>
    </row>
    <row r="1591">
      <c r="A1591" t="inlineStr">
        <is>
          <t>ENT-9651700</t>
        </is>
      </c>
      <c r="B1591" t="inlineStr">
        <is>
          <t>R250812-spikeai</t>
        </is>
      </c>
      <c r="C1591" t="inlineStr">
        <is>
          <t>Entrackr</t>
        </is>
      </c>
      <c r="D1591" s="17" t="n">
        <v>45881</v>
      </c>
      <c r="E1591" t="inlineStr">
        <is>
          <t>Spike AI</t>
        </is>
      </c>
      <c r="F1591" t="inlineStr">
        <is>
          <t>$1.9 million</t>
        </is>
      </c>
      <c r="G1591" s="19" t="n"/>
      <c r="H1591" s="19" t="n">
        <v>1.9</v>
      </c>
      <c r="I1591" t="inlineStr">
        <is>
          <t>Pre-Seed</t>
        </is>
      </c>
      <c r="J1591" t="inlineStr">
        <is>
          <t>Sorin Investments; Angad Banga</t>
        </is>
      </c>
      <c r="K1591" t="inlineStr">
        <is>
          <t>https://entrackr.com/snippets/spike-ai-raises-19-mn-in-pre-seed-round-led-by-sorin-investment-9651700</t>
        </is>
      </c>
    </row>
    <row r="1592">
      <c r="A1592" t="inlineStr">
        <is>
          <t>INC-20250816-17</t>
        </is>
      </c>
      <c r="B1592" t="inlineStr">
        <is>
          <t>R250812-spikeai</t>
        </is>
      </c>
      <c r="C1592" t="inlineStr">
        <is>
          <t>Inc42</t>
        </is>
      </c>
      <c r="D1592" s="17" t="n">
        <v>45881</v>
      </c>
      <c r="E1592" t="inlineStr">
        <is>
          <t>Spike AI</t>
        </is>
      </c>
      <c r="F1592" t="inlineStr">
        <is>
          <t>$1.9 Mn</t>
        </is>
      </c>
      <c r="G1592" s="19" t="n"/>
      <c r="H1592" s="19" t="n">
        <v>1.9</v>
      </c>
      <c r="I1592" t="inlineStr">
        <is>
          <t>Pre-Seed</t>
        </is>
      </c>
      <c r="J1592" t="inlineStr">
        <is>
          <t>Sorin Investments</t>
        </is>
      </c>
      <c r="K1592" t="inlineStr">
        <is>
          <t>https://inc42.com/buzz/from-truemeds-to-ultraviolette-indian-startups-raised-272-mn-this-week/</t>
        </is>
      </c>
    </row>
    <row r="1593">
      <c r="A1593" t="inlineStr">
        <is>
          <t>ENT-9652110</t>
        </is>
      </c>
      <c r="B1593" t="inlineStr">
        <is>
          <t>R250812-trackk</t>
        </is>
      </c>
      <c r="C1593" t="inlineStr">
        <is>
          <t>Entrackr</t>
        </is>
      </c>
      <c r="D1593" s="17" t="n">
        <v>45881</v>
      </c>
      <c r="E1593" t="inlineStr">
        <is>
          <t>Trackk</t>
        </is>
      </c>
      <c r="F1593" t="inlineStr">
        <is>
          <t>$1 million</t>
        </is>
      </c>
      <c r="G1593" s="19" t="n"/>
      <c r="H1593" s="19" t="n">
        <v>1</v>
      </c>
      <c r="I1593" t="inlineStr">
        <is>
          <t>Seed</t>
        </is>
      </c>
      <c r="J1593" t="inlineStr"/>
      <c r="K1593" t="inlineStr">
        <is>
          <t>https://entrackr.com/snippets/trading-platform-trackk-raises-1-mn-in-seed-round-9652110</t>
        </is>
      </c>
    </row>
    <row r="1594">
      <c r="A1594" t="inlineStr">
        <is>
          <t>INC-20250816-18</t>
        </is>
      </c>
      <c r="B1594" t="inlineStr">
        <is>
          <t>R250812-trackk</t>
        </is>
      </c>
      <c r="C1594" t="inlineStr">
        <is>
          <t>Inc42</t>
        </is>
      </c>
      <c r="D1594" s="17" t="n">
        <v>45881</v>
      </c>
      <c r="E1594" t="inlineStr">
        <is>
          <t>Trackk</t>
        </is>
      </c>
      <c r="F1594" t="inlineStr">
        <is>
          <t>$1 Mn</t>
        </is>
      </c>
      <c r="G1594" s="19" t="n"/>
      <c r="H1594" s="19" t="n">
        <v>1</v>
      </c>
      <c r="I1594" t="inlineStr">
        <is>
          <t>Seed</t>
        </is>
      </c>
      <c r="J1594" t="inlineStr"/>
      <c r="K1594" t="inlineStr">
        <is>
          <t>https://inc42.com/buzz/from-truemeds-to-ultraviolette-indian-startups-raised-272-mn-this-week/</t>
        </is>
      </c>
    </row>
    <row r="1595">
      <c r="A1595" t="inlineStr">
        <is>
          <t>ENT-9653374</t>
        </is>
      </c>
      <c r="B1595" t="inlineStr">
        <is>
          <t>R250812-ultraviolette</t>
        </is>
      </c>
      <c r="C1595" t="inlineStr">
        <is>
          <t>Entrackr</t>
        </is>
      </c>
      <c r="D1595" s="17" t="n">
        <v>45881</v>
      </c>
      <c r="E1595" t="inlineStr">
        <is>
          <t>Ultraviolette</t>
        </is>
      </c>
      <c r="F1595" t="inlineStr">
        <is>
          <t>$21 million</t>
        </is>
      </c>
      <c r="G1595" s="19" t="n"/>
      <c r="H1595" s="19" t="n">
        <v>21</v>
      </c>
      <c r="I1595" t="inlineStr">
        <is>
          <t>Undisclosed</t>
        </is>
      </c>
      <c r="J1595" t="inlineStr">
        <is>
          <t>TDK Ventures; TDK Corporation</t>
        </is>
      </c>
      <c r="K1595" t="inlineStr">
        <is>
          <t>https://entrackr.com/news/electric-bike-startup-ultraviolette-raises-21-mn-led-by-tdk-ventures-9653374</t>
        </is>
      </c>
    </row>
    <row r="1596">
      <c r="A1596" t="inlineStr">
        <is>
          <t>INC-20250816-04</t>
        </is>
      </c>
      <c r="B1596" t="inlineStr">
        <is>
          <t>R250812-ultraviolette</t>
        </is>
      </c>
      <c r="C1596" t="inlineStr">
        <is>
          <t>Inc42</t>
        </is>
      </c>
      <c r="D1596" s="17" t="n">
        <v>45881</v>
      </c>
      <c r="E1596" t="inlineStr">
        <is>
          <t>Ultraviolette</t>
        </is>
      </c>
      <c r="F1596" t="inlineStr">
        <is>
          <t>$21 Mn</t>
        </is>
      </c>
      <c r="G1596" s="19" t="n"/>
      <c r="H1596" s="19" t="n">
        <v>21</v>
      </c>
      <c r="I1596" t="inlineStr">
        <is>
          <t>Undisclosed</t>
        </is>
      </c>
      <c r="J1596" t="inlineStr">
        <is>
          <t>TDK Ventures</t>
        </is>
      </c>
      <c r="K1596" t="inlineStr">
        <is>
          <t>https://inc42.com/buzz/from-truemeds-to-ultraviolette-indian-startups-raised-272-mn-this-week/</t>
        </is>
      </c>
    </row>
    <row r="1597">
      <c r="A1597" t="inlineStr">
        <is>
          <t>ENT-9655031</t>
        </is>
      </c>
      <c r="B1597" t="inlineStr">
        <is>
          <t>R250813-arintra</t>
        </is>
      </c>
      <c r="C1597" t="inlineStr">
        <is>
          <t>Entrackr</t>
        </is>
      </c>
      <c r="D1597" s="17" t="n">
        <v>45882</v>
      </c>
      <c r="E1597" t="inlineStr">
        <is>
          <t>Arintra</t>
        </is>
      </c>
      <c r="F1597" t="inlineStr">
        <is>
          <t>$21 million</t>
        </is>
      </c>
      <c r="G1597" s="19" t="n"/>
      <c r="H1597" s="19" t="n">
        <v>21</v>
      </c>
      <c r="I1597" t="inlineStr">
        <is>
          <t>Series A</t>
        </is>
      </c>
      <c r="J1597" t="inlineStr">
        <is>
          <t>Peak XV Partners</t>
        </is>
      </c>
      <c r="K1597" t="inlineStr">
        <is>
          <t>https://entrackr.com/news/arintra-raises-21-mn-in-series-a-round-led-by-peak-xv-9655031</t>
        </is>
      </c>
    </row>
    <row r="1598">
      <c r="A1598" t="inlineStr">
        <is>
          <t>ET-123297667</t>
        </is>
      </c>
      <c r="B1598" t="inlineStr">
        <is>
          <t>R250813-arintra</t>
        </is>
      </c>
      <c r="C1598" t="inlineStr">
        <is>
          <t>The Economic Times</t>
        </is>
      </c>
      <c r="D1598" s="17" t="n">
        <v>45883</v>
      </c>
      <c r="E1598" t="inlineStr">
        <is>
          <t>Arintra</t>
        </is>
      </c>
      <c r="F1598" t="inlineStr">
        <is>
          <t>$21 million</t>
        </is>
      </c>
      <c r="G1598" s="19" t="n"/>
      <c r="H1598" s="19" t="n">
        <v>21</v>
      </c>
      <c r="I1598" t="inlineStr">
        <is>
          <t>Series A</t>
        </is>
      </c>
      <c r="J1598" t="inlineStr">
        <is>
          <t>Peak XV Partners</t>
        </is>
      </c>
      <c r="K1598" t="inlineStr">
        <is>
          <t>https://economictimes.indiatimes.com/tech/funding/healthcare-focused-startup-arintra-raises-21-million-in-funding-round-led-by-peak-xv-partners/articleshow/123297667.cms</t>
        </is>
      </c>
    </row>
    <row r="1599">
      <c r="A1599" t="inlineStr">
        <is>
          <t>INC-20250816-05</t>
        </is>
      </c>
      <c r="B1599" t="inlineStr">
        <is>
          <t>R250813-arintra</t>
        </is>
      </c>
      <c r="C1599" t="inlineStr">
        <is>
          <t>Inc42</t>
        </is>
      </c>
      <c r="D1599" s="17" t="n">
        <v>45883</v>
      </c>
      <c r="E1599" t="inlineStr">
        <is>
          <t>Arintra</t>
        </is>
      </c>
      <c r="F1599" t="inlineStr">
        <is>
          <t>$21 Mn</t>
        </is>
      </c>
      <c r="G1599" s="19" t="n"/>
      <c r="H1599" s="19" t="n">
        <v>21</v>
      </c>
      <c r="I1599" t="inlineStr">
        <is>
          <t>Series A</t>
        </is>
      </c>
      <c r="J1599" t="inlineStr">
        <is>
          <t>Peak XV Partners</t>
        </is>
      </c>
      <c r="K1599" t="inlineStr">
        <is>
          <t>https://inc42.com/buzz/from-truemeds-to-ultraviolette-indian-startups-raised-272-mn-this-week/</t>
        </is>
      </c>
    </row>
    <row r="1600">
      <c r="A1600" t="inlineStr">
        <is>
          <t>ENT-9654918</t>
        </is>
      </c>
      <c r="B1600" t="inlineStr">
        <is>
          <t>R250813-comminent</t>
        </is>
      </c>
      <c r="C1600" t="inlineStr">
        <is>
          <t>Entrackr</t>
        </is>
      </c>
      <c r="D1600" s="17" t="n">
        <v>45882</v>
      </c>
      <c r="E1600" t="inlineStr">
        <is>
          <t>Comminent</t>
        </is>
      </c>
      <c r="F1600" t="inlineStr">
        <is>
          <t>$2 million</t>
        </is>
      </c>
      <c r="G1600" s="19" t="n"/>
      <c r="H1600" s="19" t="n">
        <v>2</v>
      </c>
      <c r="I1600" t="inlineStr">
        <is>
          <t>Undisclosed</t>
        </is>
      </c>
      <c r="J1600" t="inlineStr"/>
      <c r="K1600" t="inlineStr">
        <is>
          <t>https://entrackr.com/snippets/deeptech-startup-comminent-raises-2-mn-from-transition-vc-9654918</t>
        </is>
      </c>
    </row>
    <row r="1601">
      <c r="A1601" t="inlineStr">
        <is>
          <t>ET-123273861</t>
        </is>
      </c>
      <c r="B1601" t="inlineStr">
        <is>
          <t>R250813-comminent</t>
        </is>
      </c>
      <c r="C1601" t="inlineStr">
        <is>
          <t>The Economic Times</t>
        </is>
      </c>
      <c r="D1601" s="17" t="n">
        <v>45882</v>
      </c>
      <c r="E1601" t="inlineStr">
        <is>
          <t>Comminent</t>
        </is>
      </c>
      <c r="F1601" t="inlineStr">
        <is>
          <t>$2 million</t>
        </is>
      </c>
      <c r="G1601" s="19" t="n"/>
      <c r="H1601" s="19" t="n">
        <v>2</v>
      </c>
      <c r="I1601" t="inlineStr">
        <is>
          <t>Undisclosed</t>
        </is>
      </c>
      <c r="J1601" t="inlineStr"/>
      <c r="K1601" t="inlineStr">
        <is>
          <t>https://economictimes.indiatimes.com/tech/funding/deeptech-startup-comminent-raises-2-million-from-transition-vc/articleshow/123273861.cms</t>
        </is>
      </c>
    </row>
    <row r="1602">
      <c r="A1602" t="inlineStr">
        <is>
          <t>INC-20250816-16</t>
        </is>
      </c>
      <c r="B1602" t="inlineStr">
        <is>
          <t>R250813-comminent</t>
        </is>
      </c>
      <c r="C1602" t="inlineStr">
        <is>
          <t>Inc42</t>
        </is>
      </c>
      <c r="D1602" s="17" t="n">
        <v>45882</v>
      </c>
      <c r="E1602" t="inlineStr">
        <is>
          <t>Comminent</t>
        </is>
      </c>
      <c r="F1602" t="inlineStr">
        <is>
          <t>$2 Mn</t>
        </is>
      </c>
      <c r="G1602" s="19" t="n"/>
      <c r="H1602" s="19" t="n">
        <v>2</v>
      </c>
      <c r="I1602" t="inlineStr">
        <is>
          <t>Undisclosed</t>
        </is>
      </c>
      <c r="J1602" t="inlineStr">
        <is>
          <t>Transition VC</t>
        </is>
      </c>
      <c r="K1602" t="inlineStr">
        <is>
          <t>https://inc42.com/buzz/from-truemeds-to-ultraviolette-indian-startups-raised-272-mn-this-week/</t>
        </is>
      </c>
    </row>
    <row r="1603">
      <c r="A1603" t="inlineStr">
        <is>
          <t>ENT-9655177</t>
        </is>
      </c>
      <c r="B1603" t="inlineStr">
        <is>
          <t>R250813-cureouslabs</t>
        </is>
      </c>
      <c r="C1603" t="inlineStr">
        <is>
          <t>Entrackr</t>
        </is>
      </c>
      <c r="D1603" s="17" t="n">
        <v>45882</v>
      </c>
      <c r="E1603" t="inlineStr">
        <is>
          <t>Cureous Labs</t>
        </is>
      </c>
      <c r="F1603" t="inlineStr">
        <is>
          <t>Rs 1.66 crore</t>
        </is>
      </c>
      <c r="G1603" s="19" t="n">
        <v>1.66</v>
      </c>
      <c r="H1603" s="19" t="n"/>
      <c r="I1603" t="inlineStr">
        <is>
          <t>Seed</t>
        </is>
      </c>
      <c r="J1603" t="inlineStr">
        <is>
          <t>Inflection Point Ventures</t>
        </is>
      </c>
      <c r="K1603" t="inlineStr">
        <is>
          <t>https://entrackr.com/snippets/cureous-labs-raises-rs-166-cr-in-seed-round-9655177</t>
        </is>
      </c>
    </row>
    <row r="1604">
      <c r="A1604" t="inlineStr">
        <is>
          <t>ENT-9655137</t>
        </is>
      </c>
      <c r="B1604" t="inlineStr">
        <is>
          <t>R250813-oleespace</t>
        </is>
      </c>
      <c r="C1604" t="inlineStr">
        <is>
          <t>Entrackr</t>
        </is>
      </c>
      <c r="D1604" s="17" t="n">
        <v>45882</v>
      </c>
      <c r="E1604" t="inlineStr">
        <is>
          <t>Olee.space</t>
        </is>
      </c>
      <c r="F1604" t="inlineStr">
        <is>
          <t>$3 million</t>
        </is>
      </c>
      <c r="G1604" s="19" t="n"/>
      <c r="H1604" s="19" t="n">
        <v>3</v>
      </c>
      <c r="I1604" t="inlineStr">
        <is>
          <t>Seed</t>
        </is>
      </c>
      <c r="J1604" t="inlineStr"/>
      <c r="K1604" t="inlineStr">
        <is>
          <t>https://entrackr.com/snippets/oleespace-raises-3-mn-in-seed-round-led-by-rockstud-capital-9655137</t>
        </is>
      </c>
    </row>
    <row r="1605">
      <c r="A1605" t="inlineStr">
        <is>
          <t>INC-20250816-12</t>
        </is>
      </c>
      <c r="B1605" t="inlineStr">
        <is>
          <t>R250813-oleespace</t>
        </is>
      </c>
      <c r="C1605" t="inlineStr">
        <is>
          <t>Inc42</t>
        </is>
      </c>
      <c r="D1605" s="17" t="n">
        <v>45882</v>
      </c>
      <c r="E1605" t="inlineStr">
        <is>
          <t>Olee Space</t>
        </is>
      </c>
      <c r="F1605" t="inlineStr">
        <is>
          <t>$3 Mn</t>
        </is>
      </c>
      <c r="G1605" s="19" t="n"/>
      <c r="H1605" s="19" t="n">
        <v>3</v>
      </c>
      <c r="I1605" t="inlineStr">
        <is>
          <t>Seed</t>
        </is>
      </c>
      <c r="J1605" t="inlineStr"/>
      <c r="K1605" t="inlineStr">
        <is>
          <t>https://inc42.com/buzz/from-truemeds-to-ultraviolette-indian-startups-raised-272-mn-this-week/</t>
        </is>
      </c>
    </row>
    <row r="1606">
      <c r="A1606" t="inlineStr">
        <is>
          <t>ENT-9657427</t>
        </is>
      </c>
      <c r="B1606" t="inlineStr">
        <is>
          <t>R250813-refoldai</t>
        </is>
      </c>
      <c r="C1606" t="inlineStr">
        <is>
          <t>Entrackr</t>
        </is>
      </c>
      <c r="D1606" s="17" t="n">
        <v>45882</v>
      </c>
      <c r="E1606" t="inlineStr">
        <is>
          <t>Refold AI</t>
        </is>
      </c>
      <c r="F1606" t="inlineStr">
        <is>
          <t>$6.5 million</t>
        </is>
      </c>
      <c r="G1606" s="19" t="n"/>
      <c r="H1606" s="19" t="n">
        <v>6.5</v>
      </c>
      <c r="I1606" t="inlineStr">
        <is>
          <t>Seed</t>
        </is>
      </c>
      <c r="J1606" t="inlineStr">
        <is>
          <t>Eniac Ventures; Tidal Ventures</t>
        </is>
      </c>
      <c r="K1606" t="inlineStr">
        <is>
          <t>https://entrackr.com/snippets/refold-ai-raises-65-mn-in-seed-round-9657427</t>
        </is>
      </c>
    </row>
    <row r="1607">
      <c r="A1607" t="inlineStr">
        <is>
          <t>ET-123281091</t>
        </is>
      </c>
      <c r="B1607" t="inlineStr">
        <is>
          <t>R250813-refoldai</t>
        </is>
      </c>
      <c r="C1607" t="inlineStr">
        <is>
          <t>The Economic Times</t>
        </is>
      </c>
      <c r="D1607" s="17" t="n">
        <v>45882</v>
      </c>
      <c r="E1607" t="inlineStr">
        <is>
          <t>Refold AI</t>
        </is>
      </c>
      <c r="F1607" t="inlineStr">
        <is>
          <t>$6.5 million</t>
        </is>
      </c>
      <c r="G1607" s="19" t="n"/>
      <c r="H1607" s="19" t="n">
        <v>6.5</v>
      </c>
      <c r="I1607" t="inlineStr">
        <is>
          <t>Seed</t>
        </is>
      </c>
      <c r="J1607" t="inlineStr">
        <is>
          <t>Eniac Ventures; Tidal Ventures</t>
        </is>
      </c>
      <c r="K1607" t="inlineStr">
        <is>
          <t>https://economictimes.indiatimes.com/tech/funding/ai-startup-refold-ai-raises-6-5-million-from-eniac-ventures-tidal-ventures/articleshow/123281091.cms</t>
        </is>
      </c>
    </row>
    <row r="1608">
      <c r="A1608" t="inlineStr">
        <is>
          <t>INC-20250816-11</t>
        </is>
      </c>
      <c r="B1608" t="inlineStr">
        <is>
          <t>R250813-refoldai</t>
        </is>
      </c>
      <c r="C1608" t="inlineStr">
        <is>
          <t>Inc42</t>
        </is>
      </c>
      <c r="D1608" s="17" t="n">
        <v>45882</v>
      </c>
      <c r="E1608" t="inlineStr">
        <is>
          <t>Refold AI</t>
        </is>
      </c>
      <c r="F1608" t="inlineStr">
        <is>
          <t>$6.5 Mn</t>
        </is>
      </c>
      <c r="G1608" s="19" t="n"/>
      <c r="H1608" s="19" t="n">
        <v>6.5</v>
      </c>
      <c r="I1608" t="inlineStr">
        <is>
          <t>Seed</t>
        </is>
      </c>
      <c r="J1608" t="inlineStr">
        <is>
          <t>Eniac Ventures; Tidal Ventures</t>
        </is>
      </c>
      <c r="K1608" t="inlineStr">
        <is>
          <t>https://inc42.com/buzz/from-truemeds-to-ultraviolette-indian-startups-raised-272-mn-this-week/</t>
        </is>
      </c>
    </row>
    <row r="1609">
      <c r="A1609" t="inlineStr">
        <is>
          <t>ENT-9661041</t>
        </is>
      </c>
      <c r="B1609" t="inlineStr">
        <is>
          <t>R250814-darwinbox</t>
        </is>
      </c>
      <c r="C1609" t="inlineStr">
        <is>
          <t>Entrackr</t>
        </is>
      </c>
      <c r="D1609" s="17" t="n">
        <v>45883</v>
      </c>
      <c r="E1609" t="inlineStr">
        <is>
          <t>Darwinbox</t>
        </is>
      </c>
      <c r="F1609" t="inlineStr">
        <is>
          <t>$40 million</t>
        </is>
      </c>
      <c r="G1609" s="19" t="n"/>
      <c r="H1609" s="19" t="n">
        <v>40</v>
      </c>
      <c r="I1609" t="inlineStr">
        <is>
          <t>Undisclosed</t>
        </is>
      </c>
      <c r="J1609" t="inlineStr"/>
      <c r="K1609" t="inlineStr">
        <is>
          <t>https://entrackr.com/news/darwinbox-raises-40-mn-funding-from-canadas-otpp-9661041</t>
        </is>
      </c>
    </row>
    <row r="1610">
      <c r="A1610" t="inlineStr">
        <is>
          <t>ET-123306193</t>
        </is>
      </c>
      <c r="B1610" t="inlineStr">
        <is>
          <t>R250814-darwinbox</t>
        </is>
      </c>
      <c r="C1610" t="inlineStr">
        <is>
          <t>The Economic Times</t>
        </is>
      </c>
      <c r="D1610" s="17" t="n">
        <v>45883</v>
      </c>
      <c r="E1610" t="inlineStr">
        <is>
          <t>Darwinbox</t>
        </is>
      </c>
      <c r="F1610" t="inlineStr">
        <is>
          <t>$40 million</t>
        </is>
      </c>
      <c r="G1610" s="19" t="n">
        <v>350</v>
      </c>
      <c r="H1610" s="19" t="n">
        <v>40</v>
      </c>
      <c r="I1610" t="inlineStr">
        <is>
          <t>Undisclosed</t>
        </is>
      </c>
      <c r="J1610" t="inlineStr"/>
      <c r="K1610" t="inlineStr">
        <is>
          <t>https://economictimes.indiatimes.com/tech/funding/darwinbox-secures-40-million-funding-from-canadas-otpp/articleshow/123306193.cms</t>
        </is>
      </c>
    </row>
    <row r="1611">
      <c r="A1611" t="inlineStr">
        <is>
          <t>INC-20250816-03</t>
        </is>
      </c>
      <c r="B1611" t="inlineStr">
        <is>
          <t>R250814-darwinbox</t>
        </is>
      </c>
      <c r="C1611" t="inlineStr">
        <is>
          <t>Inc42</t>
        </is>
      </c>
      <c r="D1611" s="17" t="n">
        <v>45883</v>
      </c>
      <c r="E1611" t="inlineStr">
        <is>
          <t>Darwinbox</t>
        </is>
      </c>
      <c r="F1611" t="inlineStr">
        <is>
          <t>$40 Mn</t>
        </is>
      </c>
      <c r="G1611" s="19" t="n"/>
      <c r="H1611" s="19" t="n">
        <v>40</v>
      </c>
      <c r="I1611" t="inlineStr">
        <is>
          <t>Undisclosed</t>
        </is>
      </c>
      <c r="J1611" t="inlineStr">
        <is>
          <t>Ontario Teachers’ Pension Plan</t>
        </is>
      </c>
      <c r="K1611" t="inlineStr">
        <is>
          <t>https://inc42.com/buzz/from-truemeds-to-ultraviolette-indian-startups-raised-272-mn-this-week/</t>
        </is>
      </c>
    </row>
    <row r="1612">
      <c r="A1612" t="inlineStr">
        <is>
          <t>INC-20250816-07</t>
        </is>
      </c>
      <c r="B1612" t="inlineStr">
        <is>
          <t>R250814-lifelongonline</t>
        </is>
      </c>
      <c r="C1612" t="inlineStr">
        <is>
          <t>Inc42</t>
        </is>
      </c>
      <c r="D1612" s="17" t="n">
        <v>45883</v>
      </c>
      <c r="E1612" t="inlineStr">
        <is>
          <t>Lifelong Online</t>
        </is>
      </c>
      <c r="F1612" t="inlineStr">
        <is>
          <t>$13 Mn</t>
        </is>
      </c>
      <c r="G1612" s="19" t="n"/>
      <c r="H1612" s="19" t="n">
        <v>13</v>
      </c>
      <c r="I1612" t="inlineStr">
        <is>
          <t>Undisclosed</t>
        </is>
      </c>
      <c r="J1612" t="inlineStr"/>
      <c r="K1612" t="inlineStr">
        <is>
          <t>https://inc42.com/buzz/from-truemeds-to-ultraviolette-indian-startups-raised-272-mn-this-week/</t>
        </is>
      </c>
    </row>
    <row r="1613">
      <c r="A1613" t="inlineStr">
        <is>
          <t>ENT-9658708</t>
        </is>
      </c>
      <c r="B1613" t="inlineStr">
        <is>
          <t>R250814-shivaliksmallf</t>
        </is>
      </c>
      <c r="C1613" t="inlineStr">
        <is>
          <t>Entrackr</t>
        </is>
      </c>
      <c r="D1613" s="17" t="n">
        <v>45883</v>
      </c>
      <c r="E1613" t="inlineStr">
        <is>
          <t>Shivalik Small Finance Bank</t>
        </is>
      </c>
      <c r="F1613" t="inlineStr">
        <is>
          <t>Rs 100 crore</t>
        </is>
      </c>
      <c r="G1613" s="19" t="n">
        <v>100</v>
      </c>
      <c r="H1613" s="19" t="n"/>
      <c r="I1613" t="inlineStr">
        <is>
          <t>Undisclosed</t>
        </is>
      </c>
      <c r="J1613" t="inlineStr">
        <is>
          <t>SMBC Asia Rising Fund- Japan</t>
        </is>
      </c>
      <c r="K1613" t="inlineStr">
        <is>
          <t>https://entrackr.com/snippets/shivalik-small-finance-bank-raises-rs-100-cr-from-smbc-accel-lightspeed-others-9658708</t>
        </is>
      </c>
    </row>
    <row r="1614">
      <c r="A1614" t="inlineStr">
        <is>
          <t>ENT-9659234</t>
        </is>
      </c>
      <c r="B1614" t="inlineStr">
        <is>
          <t>R250814-shreetech</t>
        </is>
      </c>
      <c r="C1614" t="inlineStr">
        <is>
          <t>Entrackr</t>
        </is>
      </c>
      <c r="D1614" s="17" t="n">
        <v>45883</v>
      </c>
      <c r="E1614" t="inlineStr">
        <is>
          <t>Shreetech</t>
        </is>
      </c>
      <c r="F1614" t="inlineStr">
        <is>
          <t>$4.5 million</t>
        </is>
      </c>
      <c r="G1614" s="19" t="n"/>
      <c r="H1614" s="19" t="n">
        <v>4.5</v>
      </c>
      <c r="I1614" t="inlineStr">
        <is>
          <t>Undisclosed</t>
        </is>
      </c>
      <c r="J1614" t="inlineStr"/>
      <c r="K1614" t="inlineStr">
        <is>
          <t>https://entrackr.com/snippets/shreetech-raises-45-mn-from-aarii-ventures-and-cello-family-office-9659234</t>
        </is>
      </c>
    </row>
    <row r="1615">
      <c r="A1615" t="inlineStr">
        <is>
          <t>ENT-9672151</t>
        </is>
      </c>
      <c r="B1615" t="inlineStr">
        <is>
          <t>R250818-amnex</t>
        </is>
      </c>
      <c r="C1615" t="inlineStr">
        <is>
          <t>Entrackr</t>
        </is>
      </c>
      <c r="D1615" s="17" t="n">
        <v>45887</v>
      </c>
      <c r="E1615" t="inlineStr">
        <is>
          <t>Amnex</t>
        </is>
      </c>
      <c r="F1615" t="inlineStr">
        <is>
          <t>Rs 460 crore</t>
        </is>
      </c>
      <c r="G1615" s="19" t="n">
        <v>460</v>
      </c>
      <c r="H1615" s="19" t="n">
        <v>52</v>
      </c>
      <c r="I1615" t="inlineStr">
        <is>
          <t>Undisclosed</t>
        </is>
      </c>
      <c r="J1615" t="inlineStr"/>
      <c r="K1615" t="inlineStr">
        <is>
          <t>https://entrackr.com/snippets/the-wealth-company-invests-rs-460-cr-in-ahmedabad-based-amnex-9672151</t>
        </is>
      </c>
    </row>
    <row r="1616">
      <c r="A1616" t="inlineStr">
        <is>
          <t>VCC-313e82c8f9</t>
        </is>
      </c>
      <c r="B1616" t="inlineStr">
        <is>
          <t>R250818-amnex</t>
        </is>
      </c>
      <c r="C1616" t="inlineStr">
        <is>
          <t>VCCircle</t>
        </is>
      </c>
      <c r="D1616" s="17" t="n">
        <v>45887</v>
      </c>
      <c r="E1616" t="inlineStr">
        <is>
          <t>amnex</t>
        </is>
      </c>
      <c r="F1616" t="inlineStr">
        <is>
          <t>$ 52 million</t>
        </is>
      </c>
      <c r="G1616" s="19" t="n"/>
      <c r="H1616" s="19" t="n">
        <v>52</v>
      </c>
      <c r="I1616" t="inlineStr">
        <is>
          <t>Undisclosed</t>
        </is>
      </c>
      <c r="J1616" t="inlineStr"/>
      <c r="K1616" t="inlineStr">
        <is>
          <t>https://www.vccircle.com/pantomaths-asset-management-arm-invests-52-mn-in-tech-solutions-provider-amnex</t>
        </is>
      </c>
    </row>
    <row r="1617">
      <c r="A1617" t="inlineStr">
        <is>
          <t>ENT-9671131</t>
        </is>
      </c>
      <c r="B1617" t="inlineStr">
        <is>
          <t>R250818-arthaselectfun</t>
        </is>
      </c>
      <c r="C1617" t="inlineStr">
        <is>
          <t>Entrackr</t>
        </is>
      </c>
      <c r="D1617" s="17" t="n">
        <v>45887</v>
      </c>
      <c r="E1617" t="inlineStr">
        <is>
          <t>Artha Select Fund</t>
        </is>
      </c>
      <c r="F1617" t="inlineStr">
        <is>
          <t>Rs 432 crore</t>
        </is>
      </c>
      <c r="G1617" s="19" t="n">
        <v>432</v>
      </c>
      <c r="H1617" s="19" t="n"/>
      <c r="I1617" t="inlineStr">
        <is>
          <t>Undisclosed</t>
        </is>
      </c>
      <c r="J1617" t="inlineStr"/>
      <c r="K1617" t="inlineStr">
        <is>
          <t>https://entrackr.com/snippets/artha-select-fund-closes-at-rs-432-cr-aum-crosses-rs-1200-cr-9671131</t>
        </is>
      </c>
    </row>
    <row r="1618">
      <c r="A1618" t="inlineStr">
        <is>
          <t>ET-123347035</t>
        </is>
      </c>
      <c r="B1618" t="inlineStr">
        <is>
          <t>R250818-arthaselectfun</t>
        </is>
      </c>
      <c r="C1618" t="inlineStr">
        <is>
          <t>The Economic Times</t>
        </is>
      </c>
      <c r="D1618" s="17" t="n">
        <v>45887</v>
      </c>
      <c r="E1618" t="inlineStr">
        <is>
          <t>Artha’s Select Fund</t>
        </is>
      </c>
      <c r="F1618" t="inlineStr">
        <is>
          <t>Rs 432 crore</t>
        </is>
      </c>
      <c r="G1618" s="19" t="n">
        <v>432</v>
      </c>
      <c r="H1618" s="19" t="n"/>
      <c r="I1618" t="inlineStr">
        <is>
          <t>Series B</t>
        </is>
      </c>
      <c r="J1618" t="inlineStr"/>
      <c r="K1618" t="inlineStr">
        <is>
          <t>https://economictimes.indiatimes.com/tech/startups/arthas-select-fund-closes-at-rs-432-crore-to-back-top-portfolio-startups/articleshow/123347035.cms</t>
        </is>
      </c>
    </row>
    <row r="1619">
      <c r="A1619" t="inlineStr">
        <is>
          <t>ENT-9672950</t>
        </is>
      </c>
      <c r="B1619" t="inlineStr">
        <is>
          <t>R250818-dobra</t>
        </is>
      </c>
      <c r="C1619" t="inlineStr">
        <is>
          <t>Entrackr</t>
        </is>
      </c>
      <c r="D1619" s="17" t="n">
        <v>45887</v>
      </c>
      <c r="E1619" t="inlineStr">
        <is>
          <t>DOBRA</t>
        </is>
      </c>
      <c r="F1619" t="inlineStr">
        <is>
          <t>Rs 1.5 crore</t>
        </is>
      </c>
      <c r="G1619" s="19" t="n">
        <v>1.5</v>
      </c>
      <c r="H1619" s="19" t="n"/>
      <c r="I1619" t="inlineStr">
        <is>
          <t>Seed</t>
        </is>
      </c>
      <c r="J1619" t="inlineStr">
        <is>
          <t>D2C Insider Super Angels Fund</t>
        </is>
      </c>
      <c r="K1619" t="inlineStr">
        <is>
          <t>https://entrackr.com/snippets/dobra-raises-rs-15-cr-in-seed-round-from-d2c-insider-super-angels-fund-9672950</t>
        </is>
      </c>
    </row>
    <row r="1620">
      <c r="A1620" t="inlineStr">
        <is>
          <t>INC-20250823-08</t>
        </is>
      </c>
      <c r="B1620" t="inlineStr">
        <is>
          <t>R250818-famyo</t>
        </is>
      </c>
      <c r="C1620" t="inlineStr">
        <is>
          <t>Inc42</t>
        </is>
      </c>
      <c r="D1620" s="17" t="n">
        <v>45887</v>
      </c>
      <c r="E1620" t="inlineStr">
        <is>
          <t>Famyo</t>
        </is>
      </c>
      <c r="F1620" t="inlineStr">
        <is>
          <t>$457K</t>
        </is>
      </c>
      <c r="G1620" s="19" t="n"/>
      <c r="H1620" s="19" t="n">
        <v>0.457</v>
      </c>
      <c r="I1620" t="inlineStr">
        <is>
          <t>Seed</t>
        </is>
      </c>
      <c r="J1620" t="inlineStr">
        <is>
          <t>IAN Angel Fund</t>
        </is>
      </c>
      <c r="K1620" t="inlineStr">
        <is>
          <t>https://inc42.com/buzz/from-r-for-rabbit-to-house-of-biryan-indian-startups-raised-62-mn-this-week/</t>
        </is>
      </c>
    </row>
    <row r="1621">
      <c r="A1621" t="inlineStr">
        <is>
          <t>ENT-9675985</t>
        </is>
      </c>
      <c r="B1621" t="inlineStr">
        <is>
          <t>R250818-famyo</t>
        </is>
      </c>
      <c r="C1621" t="inlineStr">
        <is>
          <t>Entrackr</t>
        </is>
      </c>
      <c r="D1621" s="17" t="n">
        <v>45888</v>
      </c>
      <c r="E1621" t="inlineStr">
        <is>
          <t>Famyo</t>
        </is>
      </c>
      <c r="F1621" t="inlineStr">
        <is>
          <t>Rs 4 crore</t>
        </is>
      </c>
      <c r="G1621" s="19" t="n">
        <v>4</v>
      </c>
      <c r="H1621" s="19" t="n"/>
      <c r="I1621" t="inlineStr">
        <is>
          <t>Seed</t>
        </is>
      </c>
      <c r="J1621" t="inlineStr">
        <is>
          <t>IAN Angel Fund</t>
        </is>
      </c>
      <c r="K1621" t="inlineStr">
        <is>
          <t>https://entrackr.com/snippets/ian-angel-fund-leads-rs-4-cr-in-seed-round-in-famyo-9675985</t>
        </is>
      </c>
    </row>
    <row r="1622">
      <c r="A1622" t="inlineStr">
        <is>
          <t>ENT-9673936</t>
        </is>
      </c>
      <c r="B1622" t="inlineStr">
        <is>
          <t>R250818-goldisolar</t>
        </is>
      </c>
      <c r="C1622" t="inlineStr">
        <is>
          <t>Entrackr</t>
        </is>
      </c>
      <c r="D1622" s="17" t="n">
        <v>45887</v>
      </c>
      <c r="E1622" t="inlineStr">
        <is>
          <t>Goldi Solar</t>
        </is>
      </c>
      <c r="F1622" t="inlineStr">
        <is>
          <t>Rs 137.5 crore</t>
        </is>
      </c>
      <c r="G1622" s="19" t="n">
        <v>137.5</v>
      </c>
      <c r="H1622" s="19" t="n"/>
      <c r="I1622" t="inlineStr">
        <is>
          <t>Undisclosed</t>
        </is>
      </c>
      <c r="J1622" t="inlineStr"/>
      <c r="K1622" t="inlineStr">
        <is>
          <t>https://entrackr.com/snippets/nikhil-kamath-invests-rs-1375-cr-in-goldi-solar-9673936</t>
        </is>
      </c>
    </row>
    <row r="1623">
      <c r="A1623" t="inlineStr">
        <is>
          <t>ENT-9672824</t>
        </is>
      </c>
      <c r="B1623" t="inlineStr">
        <is>
          <t>R250818-stanzaliving</t>
        </is>
      </c>
      <c r="C1623" t="inlineStr">
        <is>
          <t>Entrackr</t>
        </is>
      </c>
      <c r="D1623" s="17" t="n">
        <v>45887</v>
      </c>
      <c r="E1623" t="inlineStr">
        <is>
          <t>Stanza Living</t>
        </is>
      </c>
      <c r="F1623" t="inlineStr">
        <is>
          <t>Rs 60 crore</t>
        </is>
      </c>
      <c r="G1623" s="19" t="n">
        <v>60</v>
      </c>
      <c r="H1623" s="19" t="n">
        <v>7</v>
      </c>
      <c r="I1623" t="inlineStr">
        <is>
          <t>Debt</t>
        </is>
      </c>
      <c r="J1623" t="inlineStr"/>
      <c r="K1623" t="inlineStr">
        <is>
          <t>https://entrackr.com/exclusive/exclusive-stanza-living-secures-debt-from-alteria-and-innoven-capital-9672824</t>
        </is>
      </c>
    </row>
    <row r="1624">
      <c r="A1624" t="inlineStr">
        <is>
          <t>ENT-9674988</t>
        </is>
      </c>
      <c r="B1624" t="inlineStr">
        <is>
          <t>R250819-beyondapplianc</t>
        </is>
      </c>
      <c r="C1624" t="inlineStr">
        <is>
          <t>Entrackr</t>
        </is>
      </c>
      <c r="D1624" s="17" t="n">
        <v>45888</v>
      </c>
      <c r="E1624" t="inlineStr">
        <is>
          <t>Beyond Appliances</t>
        </is>
      </c>
      <c r="F1624" t="inlineStr">
        <is>
          <t>$4 million</t>
        </is>
      </c>
      <c r="G1624" s="19" t="n"/>
      <c r="H1624" s="19" t="n">
        <v>4</v>
      </c>
      <c r="I1624" t="inlineStr">
        <is>
          <t>Series A</t>
        </is>
      </c>
      <c r="J1624" t="inlineStr">
        <is>
          <t>Fireside Ventures</t>
        </is>
      </c>
      <c r="K1624" t="inlineStr">
        <is>
          <t>https://entrackr.com/snippets/beyond-appliances-raises-4-mn-in-series-a-round-led-by-fireside-ventures-9674988</t>
        </is>
      </c>
    </row>
    <row r="1625">
      <c r="A1625" t="inlineStr">
        <is>
          <t>ET-123366661</t>
        </is>
      </c>
      <c r="B1625" t="inlineStr">
        <is>
          <t>R250819-beyondapplianc</t>
        </is>
      </c>
      <c r="C1625" t="inlineStr">
        <is>
          <t>The Economic Times</t>
        </is>
      </c>
      <c r="D1625" s="17" t="n">
        <v>45888</v>
      </c>
      <c r="E1625" t="inlineStr">
        <is>
          <t>Beyond Appliances</t>
        </is>
      </c>
      <c r="F1625" t="inlineStr">
        <is>
          <t>$4 million</t>
        </is>
      </c>
      <c r="G1625" s="19" t="n">
        <v>34</v>
      </c>
      <c r="H1625" s="19" t="n">
        <v>4</v>
      </c>
      <c r="I1625" t="inlineStr">
        <is>
          <t>Undisclosed</t>
        </is>
      </c>
      <c r="J1625" t="inlineStr">
        <is>
          <t>Fireside Ventures</t>
        </is>
      </c>
      <c r="K1625" t="inlineStr">
        <is>
          <t>https://economictimes.indiatimes.com/tech/funding/kitchen-appliances-startup-beyond-appliances-raises-4-million-in-a-funding-round-led-by-fireside-ventures/articleshow/123366661.cms</t>
        </is>
      </c>
    </row>
    <row r="1626">
      <c r="A1626" t="inlineStr">
        <is>
          <t>INC-20250823-03</t>
        </is>
      </c>
      <c r="B1626" t="inlineStr">
        <is>
          <t>R250819-beyondapplianc</t>
        </is>
      </c>
      <c r="C1626" t="inlineStr">
        <is>
          <t>Inc42</t>
        </is>
      </c>
      <c r="D1626" s="17" t="n">
        <v>45888</v>
      </c>
      <c r="E1626" t="inlineStr">
        <is>
          <t>Beyond Appliances</t>
        </is>
      </c>
      <c r="F1626" t="inlineStr">
        <is>
          <t>$4 Mn</t>
        </is>
      </c>
      <c r="G1626" s="19" t="n"/>
      <c r="H1626" s="19" t="n">
        <v>4</v>
      </c>
      <c r="I1626" t="inlineStr">
        <is>
          <t>Series A</t>
        </is>
      </c>
      <c r="J1626" t="inlineStr">
        <is>
          <t>Fireside Ventures</t>
        </is>
      </c>
      <c r="K1626" t="inlineStr">
        <is>
          <t>https://inc42.com/buzz/from-r-for-rabbit-to-house-of-biryan-indian-startups-raised-62-mn-this-week/</t>
        </is>
      </c>
    </row>
    <row r="1627">
      <c r="A1627" t="inlineStr">
        <is>
          <t>INC-20250823-07</t>
        </is>
      </c>
      <c r="B1627" t="inlineStr">
        <is>
          <t>R250819-hexafun</t>
        </is>
      </c>
      <c r="C1627" t="inlineStr">
        <is>
          <t>Inc42</t>
        </is>
      </c>
      <c r="D1627" s="17" t="n">
        <v>45888</v>
      </c>
      <c r="E1627" t="inlineStr">
        <is>
          <t>Hexafun</t>
        </is>
      </c>
      <c r="F1627" t="inlineStr">
        <is>
          <t>$512K</t>
        </is>
      </c>
      <c r="G1627" s="19" t="n"/>
      <c r="H1627" s="19" t="n">
        <v>0.512</v>
      </c>
      <c r="I1627" t="inlineStr">
        <is>
          <t>Seed</t>
        </is>
      </c>
      <c r="J1627" t="inlineStr">
        <is>
          <t>Prajay Advisors</t>
        </is>
      </c>
      <c r="K1627" t="inlineStr">
        <is>
          <t>https://inc42.com/buzz/from-r-for-rabbit-to-house-of-biryan-indian-startups-raised-62-mn-this-week/</t>
        </is>
      </c>
    </row>
    <row r="1628">
      <c r="A1628" t="inlineStr">
        <is>
          <t>ENT-9755637</t>
        </is>
      </c>
      <c r="B1628" t="inlineStr">
        <is>
          <t>R250819-hexafun</t>
        </is>
      </c>
      <c r="C1628" t="inlineStr">
        <is>
          <t>Entrackr</t>
        </is>
      </c>
      <c r="D1628" s="17" t="n">
        <v>45895</v>
      </c>
      <c r="E1628" t="inlineStr">
        <is>
          <t>Hexafun</t>
        </is>
      </c>
      <c r="F1628" t="inlineStr">
        <is>
          <t>Rs 4.5 crore</t>
        </is>
      </c>
      <c r="G1628" s="19" t="n">
        <v>4.5</v>
      </c>
      <c r="H1628" s="19" t="n"/>
      <c r="I1628" t="inlineStr">
        <is>
          <t>Seed</t>
        </is>
      </c>
      <c r="J1628" t="inlineStr"/>
      <c r="K1628" t="inlineStr">
        <is>
          <t>https://entrackr.com/snippets/hexafun-raises-rs-45-cr-in-seed-round-from-prajay-advisors-9755637</t>
        </is>
      </c>
    </row>
    <row r="1629">
      <c r="A1629" t="inlineStr">
        <is>
          <t>INC-20250830-16</t>
        </is>
      </c>
      <c r="B1629" t="inlineStr">
        <is>
          <t>R250819-hexafun</t>
        </is>
      </c>
      <c r="C1629" t="inlineStr">
        <is>
          <t>Inc42</t>
        </is>
      </c>
      <c r="D1629" s="17" t="n">
        <v>45895</v>
      </c>
      <c r="E1629" t="inlineStr">
        <is>
          <t>Hexafun</t>
        </is>
      </c>
      <c r="F1629" t="inlineStr">
        <is>
          <t>$510K</t>
        </is>
      </c>
      <c r="G1629" s="19" t="n"/>
      <c r="H1629" s="19" t="n">
        <v>0.51</v>
      </c>
      <c r="I1629" t="inlineStr">
        <is>
          <t>Seed</t>
        </is>
      </c>
      <c r="J1629" t="inlineStr">
        <is>
          <t>Prajay Advisors</t>
        </is>
      </c>
      <c r="K1629" t="inlineStr">
        <is>
          <t>https://inc42.com/buzz/from-transbnk-to-wizcommerce-indian-startups-raised-98-mn-this-week/</t>
        </is>
      </c>
    </row>
    <row r="1630">
      <c r="A1630" t="inlineStr">
        <is>
          <t>ENT-9675275</t>
        </is>
      </c>
      <c r="B1630" t="inlineStr">
        <is>
          <t>R250819-houseofbiryan</t>
        </is>
      </c>
      <c r="C1630" t="inlineStr">
        <is>
          <t>Entrackr</t>
        </is>
      </c>
      <c r="D1630" s="17" t="n">
        <v>45888</v>
      </c>
      <c r="E1630" t="inlineStr">
        <is>
          <t>House of Biryan</t>
        </is>
      </c>
      <c r="F1630" t="inlineStr">
        <is>
          <t>Rs 32 crore</t>
        </is>
      </c>
      <c r="G1630" s="19" t="n">
        <v>32</v>
      </c>
      <c r="H1630" s="19" t="n">
        <v>3.66</v>
      </c>
      <c r="I1630" t="inlineStr">
        <is>
          <t>Undisclosed</t>
        </is>
      </c>
      <c r="J1630" t="inlineStr"/>
      <c r="K1630" t="inlineStr">
        <is>
          <t>https://entrackr.com/snippets/house-of-biryan-raises-rs-32-cr-from-ms-dhoni-bestvantage-and-others-9675275</t>
        </is>
      </c>
    </row>
    <row r="1631">
      <c r="A1631" t="inlineStr">
        <is>
          <t>INC-20250823-04</t>
        </is>
      </c>
      <c r="B1631" t="inlineStr">
        <is>
          <t>R250819-houseofbiryan</t>
        </is>
      </c>
      <c r="C1631" t="inlineStr">
        <is>
          <t>Inc42</t>
        </is>
      </c>
      <c r="D1631" s="17" t="n">
        <v>45888</v>
      </c>
      <c r="E1631" t="inlineStr">
        <is>
          <t>House Of Biryan</t>
        </is>
      </c>
      <c r="F1631" t="inlineStr">
        <is>
          <t>$3.6 Mn</t>
        </is>
      </c>
      <c r="G1631" s="19" t="n"/>
      <c r="H1631" s="19" t="n">
        <v>3.6</v>
      </c>
      <c r="I1631" t="inlineStr">
        <is>
          <t>Undisclosed</t>
        </is>
      </c>
      <c r="J1631" t="inlineStr"/>
      <c r="K1631" t="inlineStr">
        <is>
          <t>https://inc42.com/buzz/from-r-for-rabbit-to-house-of-biryan-indian-startups-raised-62-mn-this-week/</t>
        </is>
      </c>
    </row>
    <row r="1632">
      <c r="A1632" t="inlineStr">
        <is>
          <t>ENT-9676064</t>
        </is>
      </c>
      <c r="B1632" t="inlineStr">
        <is>
          <t>R250819-rforrabbit</t>
        </is>
      </c>
      <c r="C1632" t="inlineStr">
        <is>
          <t>Entrackr</t>
        </is>
      </c>
      <c r="D1632" s="17" t="n">
        <v>45888</v>
      </c>
      <c r="E1632" t="inlineStr">
        <is>
          <t>R for Rabbit</t>
        </is>
      </c>
      <c r="F1632" t="inlineStr">
        <is>
          <t>$27 million</t>
        </is>
      </c>
      <c r="G1632" s="19" t="n"/>
      <c r="H1632" s="19" t="n">
        <v>27</v>
      </c>
      <c r="I1632" t="inlineStr">
        <is>
          <t>Undisclosed</t>
        </is>
      </c>
      <c r="J1632" t="inlineStr">
        <is>
          <t>Filter Capital; 3one4 Capital</t>
        </is>
      </c>
      <c r="K1632" t="inlineStr">
        <is>
          <t>https://entrackr.com/news/r-for-rabbit-raises-27-mn-led-by-filter-capital-and-3one4-capital-9676064</t>
        </is>
      </c>
    </row>
    <row r="1633">
      <c r="A1633" t="inlineStr">
        <is>
          <t>INC-20250823-01</t>
        </is>
      </c>
      <c r="B1633" t="inlineStr">
        <is>
          <t>R250819-rforrabbit</t>
        </is>
      </c>
      <c r="C1633" t="inlineStr">
        <is>
          <t>Inc42</t>
        </is>
      </c>
      <c r="D1633" s="17" t="n">
        <v>45888</v>
      </c>
      <c r="E1633" t="inlineStr">
        <is>
          <t>R For Rabbit</t>
        </is>
      </c>
      <c r="F1633" t="inlineStr">
        <is>
          <t>$27 Mn</t>
        </is>
      </c>
      <c r="G1633" s="19" t="n"/>
      <c r="H1633" s="19" t="n">
        <v>27</v>
      </c>
      <c r="I1633" t="inlineStr">
        <is>
          <t>Series B</t>
        </is>
      </c>
      <c r="J1633" t="inlineStr">
        <is>
          <t>Filter Capital; 3one4 Capital</t>
        </is>
      </c>
      <c r="K1633" t="inlineStr">
        <is>
          <t>https://inc42.com/buzz/from-r-for-rabbit-to-house-of-biryan-indian-startups-raised-62-mn-this-week/</t>
        </is>
      </c>
    </row>
    <row r="1634">
      <c r="A1634" t="inlineStr">
        <is>
          <t>ENT-9675044</t>
        </is>
      </c>
      <c r="B1634" t="inlineStr">
        <is>
          <t>R250819-weaverservices</t>
        </is>
      </c>
      <c r="C1634" t="inlineStr">
        <is>
          <t>Entrackr</t>
        </is>
      </c>
      <c r="D1634" s="17" t="n">
        <v>45888</v>
      </c>
      <c r="E1634" t="inlineStr">
        <is>
          <t>Weaver Services</t>
        </is>
      </c>
      <c r="F1634" t="inlineStr">
        <is>
          <t>$170 million</t>
        </is>
      </c>
      <c r="G1634" s="19" t="n"/>
      <c r="H1634" s="19" t="n">
        <v>170</v>
      </c>
      <c r="I1634" t="inlineStr">
        <is>
          <t>Undisclosed</t>
        </is>
      </c>
      <c r="J1634" t="inlineStr">
        <is>
          <t>Lightspeed; Premji Invest</t>
        </is>
      </c>
      <c r="K1634" t="inlineStr">
        <is>
          <t>https://entrackr.com/snippets/lightspeed-and-premji-invest-lead-170-mn-round-in-weaver-services-9675044</t>
        </is>
      </c>
    </row>
    <row r="1635">
      <c r="A1635" t="inlineStr">
        <is>
          <t>INC-20250823-09</t>
        </is>
      </c>
      <c r="B1635" t="inlineStr">
        <is>
          <t>R250819-zenzebra</t>
        </is>
      </c>
      <c r="C1635" t="inlineStr">
        <is>
          <t>Inc42</t>
        </is>
      </c>
      <c r="D1635" s="17" t="n">
        <v>45888</v>
      </c>
      <c r="E1635" t="inlineStr">
        <is>
          <t>ZenZebra</t>
        </is>
      </c>
      <c r="F1635" t="inlineStr"/>
      <c r="G1635" s="19" t="n"/>
      <c r="H1635" s="19" t="n"/>
      <c r="I1635" t="inlineStr">
        <is>
          <t>Seed</t>
        </is>
      </c>
      <c r="J1635" t="inlineStr">
        <is>
          <t>Rukam Capital</t>
        </is>
      </c>
      <c r="K1635" t="inlineStr">
        <is>
          <t>https://inc42.com/buzz/from-r-for-rabbit-to-house-of-biryan-indian-startups-raised-62-mn-this-week/</t>
        </is>
      </c>
    </row>
    <row r="1636">
      <c r="A1636" t="inlineStr">
        <is>
          <t>INC-20250823-02</t>
        </is>
      </c>
      <c r="B1636" t="inlineStr">
        <is>
          <t>R250820-kiwi</t>
        </is>
      </c>
      <c r="C1636" t="inlineStr">
        <is>
          <t>Inc42</t>
        </is>
      </c>
      <c r="D1636" s="17" t="n">
        <v>45889</v>
      </c>
      <c r="E1636" t="inlineStr">
        <is>
          <t>Kiwi</t>
        </is>
      </c>
      <c r="F1636" t="inlineStr">
        <is>
          <t>$24 Mn</t>
        </is>
      </c>
      <c r="G1636" s="19" t="n"/>
      <c r="H1636" s="19" t="n">
        <v>24</v>
      </c>
      <c r="I1636" t="inlineStr">
        <is>
          <t>Series B</t>
        </is>
      </c>
      <c r="J1636" t="inlineStr">
        <is>
          <t>Vertex Ventures</t>
        </is>
      </c>
      <c r="K1636" t="inlineStr">
        <is>
          <t>https://inc42.com/buzz/from-r-for-rabbit-to-house-of-biryan-indian-startups-raised-62-mn-this-week/</t>
        </is>
      </c>
    </row>
    <row r="1637">
      <c r="A1637" t="inlineStr">
        <is>
          <t>ENT-9730788</t>
        </is>
      </c>
      <c r="B1637" t="inlineStr">
        <is>
          <t>R250820-kiwi</t>
        </is>
      </c>
      <c r="C1637" t="inlineStr">
        <is>
          <t>Entrackr</t>
        </is>
      </c>
      <c r="D1637" s="17" t="n">
        <v>45894</v>
      </c>
      <c r="E1637" t="inlineStr">
        <is>
          <t>Kiwi</t>
        </is>
      </c>
      <c r="F1637" t="inlineStr">
        <is>
          <t>$24 million</t>
        </is>
      </c>
      <c r="G1637" s="19" t="n">
        <v>208</v>
      </c>
      <c r="H1637" s="19" t="n">
        <v>24</v>
      </c>
      <c r="I1637" t="inlineStr">
        <is>
          <t>Series B</t>
        </is>
      </c>
      <c r="J1637" t="inlineStr">
        <is>
          <t>Vertex Ventures Southeast Asia &amp; India</t>
        </is>
      </c>
      <c r="K1637" t="inlineStr">
        <is>
          <t>https://entrackr.com/news/fintech-startup-kiwi-raises-24-mn-in-series-b-round-led-by-vertex-ventures-9730788</t>
        </is>
      </c>
    </row>
    <row r="1638">
      <c r="A1638" t="inlineStr">
        <is>
          <t>ET-123489617</t>
        </is>
      </c>
      <c r="B1638" t="inlineStr">
        <is>
          <t>R250820-kiwi</t>
        </is>
      </c>
      <c r="C1638" t="inlineStr">
        <is>
          <t>The Economic Times</t>
        </is>
      </c>
      <c r="D1638" s="17" t="n">
        <v>45894</v>
      </c>
      <c r="E1638" t="inlineStr">
        <is>
          <t>Kiwi</t>
        </is>
      </c>
      <c r="F1638" t="inlineStr">
        <is>
          <t>$24 million</t>
        </is>
      </c>
      <c r="G1638" s="19" t="n"/>
      <c r="H1638" s="19" t="n">
        <v>24</v>
      </c>
      <c r="I1638" t="inlineStr">
        <is>
          <t>Undisclosed</t>
        </is>
      </c>
      <c r="J1638" t="inlineStr">
        <is>
          <t>Vertex Ventures Southeast Asia; India</t>
        </is>
      </c>
      <c r="K1638" t="inlineStr">
        <is>
          <t>https://economictimes.indiatimes.com/tech/funding/fintech-startup-kiwi-secures-24-million-from-vertex-ventures-and-existing-investors/articleshow/123489617.cms</t>
        </is>
      </c>
    </row>
    <row r="1639">
      <c r="A1639" t="inlineStr">
        <is>
          <t>ENT-9679031</t>
        </is>
      </c>
      <c r="B1639" t="inlineStr">
        <is>
          <t>R250820-mithilafoods</t>
        </is>
      </c>
      <c r="C1639" t="inlineStr">
        <is>
          <t>Entrackr</t>
        </is>
      </c>
      <c r="D1639" s="17" t="n">
        <v>45889</v>
      </c>
      <c r="E1639" t="inlineStr">
        <is>
          <t>Mithila Foods</t>
        </is>
      </c>
      <c r="F1639" t="inlineStr">
        <is>
          <t>Rs 1.5 crore</t>
        </is>
      </c>
      <c r="G1639" s="19" t="n">
        <v>1.5</v>
      </c>
      <c r="H1639" s="19" t="n"/>
      <c r="I1639" t="inlineStr">
        <is>
          <t>Seed</t>
        </is>
      </c>
      <c r="J1639" t="inlineStr"/>
      <c r="K1639" t="inlineStr">
        <is>
          <t>https://entrackr.com/snippets/mithila-foods-raises-rs-15-cr-in-seed-round-from-aviral-bhatnagars-ajvc-9679031</t>
        </is>
      </c>
    </row>
    <row r="1640">
      <c r="A1640" t="inlineStr">
        <is>
          <t>ENT-9678818</t>
        </is>
      </c>
      <c r="B1640" t="inlineStr">
        <is>
          <t>R250820-peelon</t>
        </is>
      </c>
      <c r="C1640" t="inlineStr">
        <is>
          <t>Entrackr</t>
        </is>
      </c>
      <c r="D1640" s="17" t="n">
        <v>45889</v>
      </c>
      <c r="E1640" t="inlineStr">
        <is>
          <t>PeelON</t>
        </is>
      </c>
      <c r="F1640" t="inlineStr">
        <is>
          <t>$1 million</t>
        </is>
      </c>
      <c r="G1640" s="19" t="n"/>
      <c r="H1640" s="19" t="n">
        <v>1</v>
      </c>
      <c r="I1640" t="inlineStr">
        <is>
          <t>Seed</t>
        </is>
      </c>
      <c r="J1640" t="inlineStr">
        <is>
          <t>Clean Energy Venture Group</t>
        </is>
      </c>
      <c r="K1640" t="inlineStr">
        <is>
          <t>https://entrackr.com/snippets/bio-tech-startup-peelon-raises-1-mn-in-seed-round-led-by-growx-ventures-9678818</t>
        </is>
      </c>
    </row>
    <row r="1641">
      <c r="A1641" t="inlineStr">
        <is>
          <t>ET-123393699</t>
        </is>
      </c>
      <c r="B1641" t="inlineStr">
        <is>
          <t>R250820-peelon</t>
        </is>
      </c>
      <c r="C1641" t="inlineStr">
        <is>
          <t>The Economic Times</t>
        </is>
      </c>
      <c r="D1641" s="17" t="n">
        <v>45889</v>
      </c>
      <c r="E1641" t="inlineStr">
        <is>
          <t>PeelOn</t>
        </is>
      </c>
      <c r="F1641" t="inlineStr">
        <is>
          <t>$1 million</t>
        </is>
      </c>
      <c r="G1641" s="19" t="n"/>
      <c r="H1641" s="19" t="n">
        <v>1</v>
      </c>
      <c r="I1641" t="inlineStr">
        <is>
          <t>Undisclosed</t>
        </is>
      </c>
      <c r="J1641" t="inlineStr">
        <is>
          <t>GrowX Ventures</t>
        </is>
      </c>
      <c r="K1641" t="inlineStr">
        <is>
          <t>https://economictimes.indiatimes.com/tech/funding/biotech-startup-peelon-raises-1-million-in-funding-round-led-by-growx-ventures/articleshow/123393699.cms</t>
        </is>
      </c>
    </row>
    <row r="1642">
      <c r="A1642" t="inlineStr">
        <is>
          <t>INC-20250823-06</t>
        </is>
      </c>
      <c r="B1642" t="inlineStr">
        <is>
          <t>R250820-peelon</t>
        </is>
      </c>
      <c r="C1642" t="inlineStr">
        <is>
          <t>Inc42</t>
        </is>
      </c>
      <c r="D1642" s="17" t="n">
        <v>45890</v>
      </c>
      <c r="E1642" t="inlineStr">
        <is>
          <t>PeelON</t>
        </is>
      </c>
      <c r="F1642" t="inlineStr">
        <is>
          <t>$1 Mn</t>
        </is>
      </c>
      <c r="G1642" s="19" t="n"/>
      <c r="H1642" s="19" t="n">
        <v>1</v>
      </c>
      <c r="I1642" t="inlineStr">
        <is>
          <t>Seed</t>
        </is>
      </c>
      <c r="J1642" t="inlineStr"/>
      <c r="K1642" t="inlineStr">
        <is>
          <t>https://inc42.com/buzz/from-r-for-rabbit-to-house-of-biryan-indian-startups-raised-62-mn-this-week/</t>
        </is>
      </c>
    </row>
    <row r="1643">
      <c r="A1643" t="inlineStr">
        <is>
          <t>ENT-9683044</t>
        </is>
      </c>
      <c r="B1643" t="inlineStr">
        <is>
          <t>R250821-edgehax</t>
        </is>
      </c>
      <c r="C1643" t="inlineStr">
        <is>
          <t>Entrackr</t>
        </is>
      </c>
      <c r="D1643" s="17" t="n">
        <v>45890</v>
      </c>
      <c r="E1643" t="inlineStr">
        <is>
          <t>Edgehax</t>
        </is>
      </c>
      <c r="F1643" t="inlineStr">
        <is>
          <t>Rs 1.39 crore</t>
        </is>
      </c>
      <c r="G1643" s="19" t="n">
        <v>1.39</v>
      </c>
      <c r="H1643" s="19" t="n"/>
      <c r="I1643" t="inlineStr">
        <is>
          <t>Seed</t>
        </is>
      </c>
      <c r="J1643" t="inlineStr">
        <is>
          <t>Inflection Point Ventures</t>
        </is>
      </c>
      <c r="K1643" t="inlineStr">
        <is>
          <t>https://entrackr.com/snippets/edge-ai-startup-edgehax-raises-rs-139-cr-in-seed-round-led-by-ipv-9683044</t>
        </is>
      </c>
    </row>
    <row r="1644">
      <c r="A1644" t="inlineStr">
        <is>
          <t>ENT-9781247</t>
        </is>
      </c>
      <c r="B1644" t="inlineStr">
        <is>
          <t>R250821-edgehax</t>
        </is>
      </c>
      <c r="C1644" t="inlineStr">
        <is>
          <t>Entrackr</t>
        </is>
      </c>
      <c r="D1644" s="17" t="n">
        <v>45903</v>
      </c>
      <c r="E1644" t="inlineStr">
        <is>
          <t>Edgehax</t>
        </is>
      </c>
      <c r="F1644" t="inlineStr">
        <is>
          <t>Rs 1.39 crore</t>
        </is>
      </c>
      <c r="G1644" s="19" t="n">
        <v>1.39</v>
      </c>
      <c r="H1644" s="19" t="n"/>
      <c r="I1644" t="inlineStr">
        <is>
          <t>Seed</t>
        </is>
      </c>
      <c r="J1644" t="inlineStr"/>
      <c r="K1644" t="inlineStr">
        <is>
          <t>https://entrackr.com/snippets/edgehax-raises-rs-139-cr-in-seed-round-from-ipv-9781247</t>
        </is>
      </c>
    </row>
    <row r="1645">
      <c r="A1645" t="inlineStr">
        <is>
          <t>INC-20250906-20</t>
        </is>
      </c>
      <c r="B1645" t="inlineStr">
        <is>
          <t>R250821-edgehax</t>
        </is>
      </c>
      <c r="C1645" t="inlineStr">
        <is>
          <t>Inc42</t>
        </is>
      </c>
      <c r="D1645" s="17" t="n">
        <v>45903</v>
      </c>
      <c r="E1645" t="inlineStr">
        <is>
          <t>Edgehax</t>
        </is>
      </c>
      <c r="F1645" t="inlineStr">
        <is>
          <t>$158K</t>
        </is>
      </c>
      <c r="G1645" s="19" t="n"/>
      <c r="H1645" s="19" t="n">
        <v>0.158</v>
      </c>
      <c r="I1645" t="inlineStr">
        <is>
          <t>Seed</t>
        </is>
      </c>
      <c r="J1645" t="inlineStr">
        <is>
          <t>Inflection Point Ventures</t>
        </is>
      </c>
      <c r="K1645" t="inlineStr">
        <is>
          <t>https://inc42.com/buzz/from-citymall-to-firstclub-indian-startups-raised-186-mn-this-week/</t>
        </is>
      </c>
    </row>
    <row r="1646">
      <c r="A1646" t="inlineStr">
        <is>
          <t>ENT-9682768</t>
        </is>
      </c>
      <c r="B1646" t="inlineStr">
        <is>
          <t>R250821-mitra</t>
        </is>
      </c>
      <c r="C1646" t="inlineStr">
        <is>
          <t>Entrackr</t>
        </is>
      </c>
      <c r="D1646" s="17" t="n">
        <v>45890</v>
      </c>
      <c r="E1646" t="inlineStr">
        <is>
          <t>Mitra</t>
        </is>
      </c>
      <c r="F1646" t="inlineStr">
        <is>
          <t>Rs 14 crore</t>
        </is>
      </c>
      <c r="G1646" s="19" t="n">
        <v>14</v>
      </c>
      <c r="H1646" s="19" t="n">
        <v>1.6</v>
      </c>
      <c r="I1646" t="inlineStr">
        <is>
          <t>Bridge</t>
        </is>
      </c>
      <c r="J1646" t="inlineStr">
        <is>
          <t>Bestvantage Investments</t>
        </is>
      </c>
      <c r="K1646" t="inlineStr">
        <is>
          <t>https://entrackr.com/snippets/fmcg-startup-mitra-raises-rs-14-cr-in-bridge-round-led-by-bestvantage-9682768</t>
        </is>
      </c>
    </row>
    <row r="1647">
      <c r="A1647" t="inlineStr">
        <is>
          <t>ET-123429179</t>
        </is>
      </c>
      <c r="B1647" t="inlineStr">
        <is>
          <t>R250821-mitra</t>
        </is>
      </c>
      <c r="C1647" t="inlineStr">
        <is>
          <t>The Economic Times</t>
        </is>
      </c>
      <c r="D1647" s="17" t="n">
        <v>45890</v>
      </c>
      <c r="E1647" t="inlineStr">
        <is>
          <t>Mitra</t>
        </is>
      </c>
      <c r="F1647" t="inlineStr">
        <is>
          <t>Rs 14 crore</t>
        </is>
      </c>
      <c r="G1647" s="19" t="n">
        <v>14</v>
      </c>
      <c r="H1647" s="19" t="n"/>
      <c r="I1647" t="inlineStr">
        <is>
          <t>Bridge</t>
        </is>
      </c>
      <c r="J1647" t="inlineStr">
        <is>
          <t>Bestvantage Investments</t>
        </is>
      </c>
      <c r="K1647" t="inlineStr">
        <is>
          <t>https://economictimes.indiatimes.com/tech/funding/fmcg-startup-mitra-raises-rs-14-crore-in-round-led-by-bestvantage-investments/articleshow/123429179.cms</t>
        </is>
      </c>
    </row>
    <row r="1648">
      <c r="A1648" t="inlineStr">
        <is>
          <t>INC-20250823-05</t>
        </is>
      </c>
      <c r="B1648" t="inlineStr">
        <is>
          <t>R250821-mitra</t>
        </is>
      </c>
      <c r="C1648" t="inlineStr">
        <is>
          <t>Inc42</t>
        </is>
      </c>
      <c r="D1648" s="17" t="n">
        <v>45890</v>
      </c>
      <c r="E1648" t="inlineStr">
        <is>
          <t>Mitra</t>
        </is>
      </c>
      <c r="F1648" t="inlineStr">
        <is>
          <t>$1.6 Mn</t>
        </is>
      </c>
      <c r="G1648" s="19" t="n"/>
      <c r="H1648" s="19" t="n">
        <v>1.6</v>
      </c>
      <c r="I1648" t="inlineStr">
        <is>
          <t>Undisclosed</t>
        </is>
      </c>
      <c r="J1648" t="inlineStr">
        <is>
          <t>Bestvantage Investments</t>
        </is>
      </c>
      <c r="K1648" t="inlineStr">
        <is>
          <t>https://inc42.com/buzz/from-r-for-rabbit-to-house-of-biryan-indian-startups-raised-62-mn-this-week/</t>
        </is>
      </c>
    </row>
    <row r="1649">
      <c r="A1649" t="inlineStr">
        <is>
          <t>ENT-9730805</t>
        </is>
      </c>
      <c r="B1649" t="inlineStr">
        <is>
          <t>R250825-altumcredo</t>
        </is>
      </c>
      <c r="C1649" t="inlineStr">
        <is>
          <t>Entrackr</t>
        </is>
      </c>
      <c r="D1649" s="17" t="n">
        <v>45894</v>
      </c>
      <c r="E1649" t="inlineStr">
        <is>
          <t>Altum Credo</t>
        </is>
      </c>
      <c r="F1649" t="inlineStr">
        <is>
          <t>Rs 170 crore</t>
        </is>
      </c>
      <c r="G1649" s="19" t="n">
        <v>170</v>
      </c>
      <c r="H1649" s="19" t="n">
        <v>19.5</v>
      </c>
      <c r="I1649" t="inlineStr">
        <is>
          <t>Undisclosed</t>
        </is>
      </c>
      <c r="J1649" t="inlineStr"/>
      <c r="K1649" t="inlineStr">
        <is>
          <t>https://entrackr.com/news/altum-credo-raises-over-19-mn-from-british-international-investment-9730805</t>
        </is>
      </c>
    </row>
    <row r="1650">
      <c r="A1650" t="inlineStr">
        <is>
          <t>INC-20250830-02</t>
        </is>
      </c>
      <c r="B1650" t="inlineStr">
        <is>
          <t>R250825-altumcredo</t>
        </is>
      </c>
      <c r="C1650" t="inlineStr">
        <is>
          <t>Inc42</t>
        </is>
      </c>
      <c r="D1650" s="17" t="n">
        <v>45894</v>
      </c>
      <c r="E1650" t="inlineStr">
        <is>
          <t>Altum Credo</t>
        </is>
      </c>
      <c r="F1650" t="inlineStr">
        <is>
          <t>$19.4 Mn</t>
        </is>
      </c>
      <c r="G1650" s="19" t="n"/>
      <c r="H1650" s="19" t="n">
        <v>19.4</v>
      </c>
      <c r="I1650" t="inlineStr">
        <is>
          <t>Undisclosed</t>
        </is>
      </c>
      <c r="J1650" t="inlineStr">
        <is>
          <t>British International Investment</t>
        </is>
      </c>
      <c r="K1650" t="inlineStr">
        <is>
          <t>https://inc42.com/buzz/from-transbnk-to-wizcommerce-indian-startups-raised-98-mn-this-week/</t>
        </is>
      </c>
    </row>
    <row r="1651">
      <c r="A1651" t="inlineStr">
        <is>
          <t>ENT-9731330</t>
        </is>
      </c>
      <c r="B1651" t="inlineStr">
        <is>
          <t>R250825-credright</t>
        </is>
      </c>
      <c r="C1651" t="inlineStr">
        <is>
          <t>Entrackr</t>
        </is>
      </c>
      <c r="D1651" s="17" t="n">
        <v>45894</v>
      </c>
      <c r="E1651" t="inlineStr">
        <is>
          <t>CredRight</t>
        </is>
      </c>
      <c r="F1651" t="inlineStr">
        <is>
          <t>$10 million</t>
        </is>
      </c>
      <c r="G1651" s="19" t="n"/>
      <c r="H1651" s="19" t="n">
        <v>10</v>
      </c>
      <c r="I1651" t="inlineStr">
        <is>
          <t>Series B</t>
        </is>
      </c>
      <c r="J1651" t="inlineStr">
        <is>
          <t>Abler Nordic</t>
        </is>
      </c>
      <c r="K1651" t="inlineStr">
        <is>
          <t>https://entrackr.com/snippets/credright-raises-10-mn-in-series-b-led-by-abler-nordic-9731330</t>
        </is>
      </c>
    </row>
    <row r="1652">
      <c r="A1652" t="inlineStr">
        <is>
          <t>ET-123503796</t>
        </is>
      </c>
      <c r="B1652" t="inlineStr">
        <is>
          <t>R250825-credright</t>
        </is>
      </c>
      <c r="C1652" t="inlineStr">
        <is>
          <t>The Economic Times</t>
        </is>
      </c>
      <c r="D1652" s="17" t="n">
        <v>45894</v>
      </c>
      <c r="E1652" t="inlineStr">
        <is>
          <t>CredRight</t>
        </is>
      </c>
      <c r="F1652" t="inlineStr">
        <is>
          <t>$10 million</t>
        </is>
      </c>
      <c r="G1652" s="19" t="n"/>
      <c r="H1652" s="19" t="n">
        <v>10</v>
      </c>
      <c r="I1652" t="inlineStr">
        <is>
          <t>Undisclosed</t>
        </is>
      </c>
      <c r="J1652" t="inlineStr">
        <is>
          <t>Abler Nordic</t>
        </is>
      </c>
      <c r="K1652" t="inlineStr">
        <is>
          <t>https://economictimes.indiatimes.com/tech/funding/nbfc-credright-raises-10-million-in-round-led-by-abler-nordic/articleshow/123503796.cms</t>
        </is>
      </c>
    </row>
    <row r="1653">
      <c r="A1653" t="inlineStr">
        <is>
          <t>INC-20250830-03</t>
        </is>
      </c>
      <c r="B1653" t="inlineStr">
        <is>
          <t>R250825-credright</t>
        </is>
      </c>
      <c r="C1653" t="inlineStr">
        <is>
          <t>Inc42</t>
        </is>
      </c>
      <c r="D1653" s="17" t="n">
        <v>45894</v>
      </c>
      <c r="E1653" t="inlineStr">
        <is>
          <t>CredRight</t>
        </is>
      </c>
      <c r="F1653" t="inlineStr">
        <is>
          <t>$10 Mn</t>
        </is>
      </c>
      <c r="G1653" s="19" t="n"/>
      <c r="H1653" s="19" t="n">
        <v>10</v>
      </c>
      <c r="I1653" t="inlineStr">
        <is>
          <t>Series B</t>
        </is>
      </c>
      <c r="J1653" t="inlineStr">
        <is>
          <t>Abler Nordic</t>
        </is>
      </c>
      <c r="K1653" t="inlineStr">
        <is>
          <t>https://inc42.com/buzz/from-transbnk-to-wizcommerce-indian-startups-raised-98-mn-this-week/</t>
        </is>
      </c>
    </row>
    <row r="1654">
      <c r="A1654" t="inlineStr">
        <is>
          <t>ENT-9731102</t>
        </is>
      </c>
      <c r="B1654" t="inlineStr">
        <is>
          <t>R250825-enmovil</t>
        </is>
      </c>
      <c r="C1654" t="inlineStr">
        <is>
          <t>Entrackr</t>
        </is>
      </c>
      <c r="D1654" s="17" t="n">
        <v>45894</v>
      </c>
      <c r="E1654" t="inlineStr">
        <is>
          <t>Enmovil</t>
        </is>
      </c>
      <c r="F1654" t="inlineStr">
        <is>
          <t>$6 million</t>
        </is>
      </c>
      <c r="G1654" s="19" t="n"/>
      <c r="H1654" s="19" t="n">
        <v>6</v>
      </c>
      <c r="I1654" t="inlineStr">
        <is>
          <t>Series A</t>
        </is>
      </c>
      <c r="J1654" t="inlineStr">
        <is>
          <t>Sorin Investments; Twynam</t>
        </is>
      </c>
      <c r="K1654" t="inlineStr">
        <is>
          <t>https://entrackr.com/snippets/sorin-investments-leads-6-mn-series-a-round-in-enmovil-9731102</t>
        </is>
      </c>
    </row>
    <row r="1655">
      <c r="A1655" t="inlineStr">
        <is>
          <t>ET-123489751</t>
        </is>
      </c>
      <c r="B1655" t="inlineStr">
        <is>
          <t>R250825-enmovil</t>
        </is>
      </c>
      <c r="C1655" t="inlineStr">
        <is>
          <t>The Economic Times</t>
        </is>
      </c>
      <c r="D1655" s="17" t="n">
        <v>45894</v>
      </c>
      <c r="E1655" t="inlineStr">
        <is>
          <t>Enmovil</t>
        </is>
      </c>
      <c r="F1655" t="inlineStr">
        <is>
          <t>$6 million</t>
        </is>
      </c>
      <c r="G1655" s="19" t="n"/>
      <c r="H1655" s="19" t="n">
        <v>6</v>
      </c>
      <c r="I1655" t="inlineStr">
        <is>
          <t>Undisclosed</t>
        </is>
      </c>
      <c r="J1655" t="inlineStr">
        <is>
          <t>Sorin Investments; Angad Banga</t>
        </is>
      </c>
      <c r="K1655" t="inlineStr">
        <is>
          <t>https://economictimes.indiatimes.com/tech/funding/enterprise-supply-chain-startup-enmovil-raises-6-million-from-sorin-investments-others/articleshow/123489751.cms</t>
        </is>
      </c>
    </row>
    <row r="1656">
      <c r="A1656" t="inlineStr">
        <is>
          <t>INC-20250830-07</t>
        </is>
      </c>
      <c r="B1656" t="inlineStr">
        <is>
          <t>R250825-enmovil</t>
        </is>
      </c>
      <c r="C1656" t="inlineStr">
        <is>
          <t>Inc42</t>
        </is>
      </c>
      <c r="D1656" s="17" t="n">
        <v>45894</v>
      </c>
      <c r="E1656" t="inlineStr">
        <is>
          <t>Enmovil</t>
        </is>
      </c>
      <c r="F1656" t="inlineStr">
        <is>
          <t>$6 Mn</t>
        </is>
      </c>
      <c r="G1656" s="19" t="n"/>
      <c r="H1656" s="19" t="n">
        <v>6</v>
      </c>
      <c r="I1656" t="inlineStr">
        <is>
          <t>Series A</t>
        </is>
      </c>
      <c r="J1656" t="inlineStr">
        <is>
          <t>Sorin Investments</t>
        </is>
      </c>
      <c r="K1656" t="inlineStr">
        <is>
          <t>https://inc42.com/buzz/from-transbnk-to-wizcommerce-indian-startups-raised-98-mn-this-week/</t>
        </is>
      </c>
    </row>
    <row r="1657">
      <c r="A1657" t="inlineStr">
        <is>
          <t>ENT-9734204</t>
        </is>
      </c>
      <c r="B1657" t="inlineStr">
        <is>
          <t>R250825-harajukutokyoc</t>
        </is>
      </c>
      <c r="C1657" t="inlineStr">
        <is>
          <t>Entrackr</t>
        </is>
      </c>
      <c r="D1657" s="17" t="n">
        <v>45894</v>
      </c>
      <c r="E1657" t="inlineStr">
        <is>
          <t>Harajuku Tokyo Café</t>
        </is>
      </c>
      <c r="F1657" t="inlineStr">
        <is>
          <t>$2 million</t>
        </is>
      </c>
      <c r="G1657" s="19" t="n">
        <v>19</v>
      </c>
      <c r="H1657" s="19" t="n">
        <v>2</v>
      </c>
      <c r="I1657" t="inlineStr">
        <is>
          <t>Seed</t>
        </is>
      </c>
      <c r="J1657" t="inlineStr">
        <is>
          <t>Indian Angel Network</t>
        </is>
      </c>
      <c r="K1657" t="inlineStr">
        <is>
          <t>https://entrackr.com/snippets/harajuku-tokyo-café-raises-2-mn-in-seed-round-9734204</t>
        </is>
      </c>
    </row>
    <row r="1658">
      <c r="A1658" t="inlineStr">
        <is>
          <t>ET-123523473</t>
        </is>
      </c>
      <c r="B1658" t="inlineStr">
        <is>
          <t>R250825-harajukutokyoc</t>
        </is>
      </c>
      <c r="C1658" t="inlineStr">
        <is>
          <t>The Economic Times</t>
        </is>
      </c>
      <c r="D1658" s="17" t="n">
        <v>45895</v>
      </c>
      <c r="E1658" t="inlineStr">
        <is>
          <t>Harajuku Tokyo Cafe</t>
        </is>
      </c>
      <c r="F1658" t="inlineStr">
        <is>
          <t>$2 million</t>
        </is>
      </c>
      <c r="G1658" s="19" t="n">
        <v>19</v>
      </c>
      <c r="H1658" s="19" t="n">
        <v>2</v>
      </c>
      <c r="I1658" t="inlineStr">
        <is>
          <t>Seed</t>
        </is>
      </c>
      <c r="J1658" t="inlineStr"/>
      <c r="K1658" t="inlineStr">
        <is>
          <t>https://economictimes.indiatimes.com/tech/funding/japanese-cuisine-qsr-chain-harajuku-tokyo-cafe-raises-2-million-in-seed-funding/articleshow/123523473.cms</t>
        </is>
      </c>
    </row>
    <row r="1659">
      <c r="A1659" t="inlineStr">
        <is>
          <t>INC-20250830-11</t>
        </is>
      </c>
      <c r="B1659" t="inlineStr">
        <is>
          <t>R250825-harajukutokyoc</t>
        </is>
      </c>
      <c r="C1659" t="inlineStr">
        <is>
          <t>Inc42</t>
        </is>
      </c>
      <c r="D1659" s="17" t="n">
        <v>45895</v>
      </c>
      <c r="E1659" t="inlineStr">
        <is>
          <t>Harajuku Tokyo Cafe</t>
        </is>
      </c>
      <c r="F1659" t="inlineStr">
        <is>
          <t>$2 Mn</t>
        </is>
      </c>
      <c r="G1659" s="19" t="n"/>
      <c r="H1659" s="19" t="n">
        <v>2</v>
      </c>
      <c r="I1659" t="inlineStr">
        <is>
          <t>Seed</t>
        </is>
      </c>
      <c r="J1659" t="inlineStr">
        <is>
          <t>Indian Angel Network</t>
        </is>
      </c>
      <c r="K1659" t="inlineStr">
        <is>
          <t>https://inc42.com/buzz/from-transbnk-to-wizcommerce-indian-startups-raised-98-mn-this-week/</t>
        </is>
      </c>
    </row>
    <row r="1660">
      <c r="A1660" t="inlineStr">
        <is>
          <t>INC-20250830-14</t>
        </is>
      </c>
      <c r="B1660" t="inlineStr">
        <is>
          <t>R250825-nugen</t>
        </is>
      </c>
      <c r="C1660" t="inlineStr">
        <is>
          <t>Inc42</t>
        </is>
      </c>
      <c r="D1660" s="17" t="n">
        <v>45894</v>
      </c>
      <c r="E1660" t="inlineStr">
        <is>
          <t>Nugen</t>
        </is>
      </c>
      <c r="F1660" t="inlineStr">
        <is>
          <t>$1 Mn</t>
        </is>
      </c>
      <c r="G1660" s="19" t="n"/>
      <c r="H1660" s="19" t="n">
        <v>1</v>
      </c>
      <c r="I1660" t="inlineStr">
        <is>
          <t>Pre-Seed</t>
        </is>
      </c>
      <c r="J1660" t="inlineStr">
        <is>
          <t>Antler</t>
        </is>
      </c>
      <c r="K1660" t="inlineStr">
        <is>
          <t>https://inc42.com/buzz/from-transbnk-to-wizcommerce-indian-startups-raised-98-mn-this-week/</t>
        </is>
      </c>
    </row>
    <row r="1661">
      <c r="A1661" t="inlineStr">
        <is>
          <t>ENT-9743288</t>
        </is>
      </c>
      <c r="B1661" t="inlineStr">
        <is>
          <t>R250825-palmonas</t>
        </is>
      </c>
      <c r="C1661" t="inlineStr">
        <is>
          <t>Entrackr</t>
        </is>
      </c>
      <c r="D1661" s="17" t="n">
        <v>45894</v>
      </c>
      <c r="E1661" t="inlineStr">
        <is>
          <t>Palmonas</t>
        </is>
      </c>
      <c r="F1661" t="inlineStr">
        <is>
          <t>Rs 55 crore</t>
        </is>
      </c>
      <c r="G1661" s="19" t="n">
        <v>55</v>
      </c>
      <c r="H1661" s="19" t="n">
        <v>6.2</v>
      </c>
      <c r="I1661" t="inlineStr">
        <is>
          <t>Series A</t>
        </is>
      </c>
      <c r="J1661" t="inlineStr">
        <is>
          <t>Vertex Ventures Southeast Asia &amp; India</t>
        </is>
      </c>
      <c r="K1661" t="inlineStr">
        <is>
          <t>https://entrackr.com/snippets/palmonas-raises-rs-55-cr-in-series-a-round-led-by-vertex-ventures-9743288</t>
        </is>
      </c>
    </row>
    <row r="1662">
      <c r="A1662" t="inlineStr">
        <is>
          <t>INC-20250830-06</t>
        </is>
      </c>
      <c r="B1662" t="inlineStr">
        <is>
          <t>R250825-palmonas</t>
        </is>
      </c>
      <c r="C1662" t="inlineStr">
        <is>
          <t>Inc42</t>
        </is>
      </c>
      <c r="D1662" s="17" t="n">
        <v>45894</v>
      </c>
      <c r="E1662" t="inlineStr">
        <is>
          <t>Palmonas</t>
        </is>
      </c>
      <c r="F1662" t="inlineStr">
        <is>
          <t>$6.2 Mn</t>
        </is>
      </c>
      <c r="G1662" s="19" t="n"/>
      <c r="H1662" s="19" t="n">
        <v>6.2</v>
      </c>
      <c r="I1662" t="inlineStr">
        <is>
          <t>Series A</t>
        </is>
      </c>
      <c r="J1662" t="inlineStr">
        <is>
          <t>Vertex Ventures Southeast Asia &amp; India</t>
        </is>
      </c>
      <c r="K1662" t="inlineStr">
        <is>
          <t>https://inc42.com/buzz/from-transbnk-to-wizcommerce-indian-startups-raised-98-mn-this-week/</t>
        </is>
      </c>
    </row>
    <row r="1663">
      <c r="A1663" t="inlineStr">
        <is>
          <t>INC-20250830-15</t>
        </is>
      </c>
      <c r="B1663" t="inlineStr">
        <is>
          <t>R250825-vaave</t>
        </is>
      </c>
      <c r="C1663" t="inlineStr">
        <is>
          <t>Inc42</t>
        </is>
      </c>
      <c r="D1663" s="17" t="n">
        <v>45894</v>
      </c>
      <c r="E1663" t="inlineStr">
        <is>
          <t>Vaave</t>
        </is>
      </c>
      <c r="F1663" t="inlineStr">
        <is>
          <t>$748K</t>
        </is>
      </c>
      <c r="G1663" s="19" t="n"/>
      <c r="H1663" s="19" t="n">
        <v>0.748</v>
      </c>
      <c r="I1663" t="inlineStr">
        <is>
          <t>Undisclosed</t>
        </is>
      </c>
      <c r="J1663" t="inlineStr">
        <is>
          <t>VCMint</t>
        </is>
      </c>
      <c r="K1663" t="inlineStr">
        <is>
          <t>https://inc42.com/buzz/from-transbnk-to-wizcommerce-indian-startups-raised-98-mn-this-week/</t>
        </is>
      </c>
    </row>
    <row r="1664">
      <c r="A1664" t="inlineStr">
        <is>
          <t>ENT-9754672</t>
        </is>
      </c>
      <c r="B1664" t="inlineStr">
        <is>
          <t>R250825-vaave</t>
        </is>
      </c>
      <c r="C1664" t="inlineStr">
        <is>
          <t>Entrackr</t>
        </is>
      </c>
      <c r="D1664" s="17" t="n">
        <v>45895</v>
      </c>
      <c r="E1664" t="inlineStr">
        <is>
          <t>Vaave</t>
        </is>
      </c>
      <c r="F1664" t="inlineStr">
        <is>
          <t>Rs 6.6 crore</t>
        </is>
      </c>
      <c r="G1664" s="19" t="n">
        <v>6.6</v>
      </c>
      <c r="H1664" s="19" t="n"/>
      <c r="I1664" t="inlineStr">
        <is>
          <t>Undisclosed</t>
        </is>
      </c>
      <c r="J1664" t="inlineStr">
        <is>
          <t>Aditya Vuchi</t>
        </is>
      </c>
      <c r="K1664" t="inlineStr">
        <is>
          <t>https://entrackr.com/snippets/alumni-engagement-platform-vaave-raises-maiden-external-funding-9754672</t>
        </is>
      </c>
    </row>
    <row r="1665">
      <c r="A1665" t="inlineStr">
        <is>
          <t>ENT-9734075</t>
        </is>
      </c>
      <c r="B1665" t="inlineStr">
        <is>
          <t>R250825-wastelink</t>
        </is>
      </c>
      <c r="C1665" t="inlineStr">
        <is>
          <t>Entrackr</t>
        </is>
      </c>
      <c r="D1665" s="17" t="n">
        <v>45894</v>
      </c>
      <c r="E1665" t="inlineStr">
        <is>
          <t>Wastelink</t>
        </is>
      </c>
      <c r="F1665" t="inlineStr">
        <is>
          <t>Rs 27 crore</t>
        </is>
      </c>
      <c r="G1665" s="19" t="n">
        <v>27</v>
      </c>
      <c r="H1665" s="19" t="n">
        <v>3</v>
      </c>
      <c r="I1665" t="inlineStr">
        <is>
          <t>Series A</t>
        </is>
      </c>
      <c r="J1665" t="inlineStr">
        <is>
          <t>Avaana Capital</t>
        </is>
      </c>
      <c r="K1665" t="inlineStr">
        <is>
          <t>https://entrackr.com/snippets/clean-tech-startup-wastelink-raises-3-mn-led-by-avaana-capital-9734075</t>
        </is>
      </c>
    </row>
    <row r="1666">
      <c r="A1666" t="inlineStr">
        <is>
          <t>ET-123504864</t>
        </is>
      </c>
      <c r="B1666" t="inlineStr">
        <is>
          <t>R250825-wastelink</t>
        </is>
      </c>
      <c r="C1666" t="inlineStr">
        <is>
          <t>The Economic Times</t>
        </is>
      </c>
      <c r="D1666" s="17" t="n">
        <v>45894</v>
      </c>
      <c r="E1666" t="inlineStr">
        <is>
          <t>Wastelink</t>
        </is>
      </c>
      <c r="F1666" t="inlineStr">
        <is>
          <t>$3 million</t>
        </is>
      </c>
      <c r="G1666" s="19" t="n">
        <v>27</v>
      </c>
      <c r="H1666" s="19" t="n">
        <v>3</v>
      </c>
      <c r="I1666" t="inlineStr">
        <is>
          <t>Undisclosed</t>
        </is>
      </c>
      <c r="J1666" t="inlineStr"/>
      <c r="K1666" t="inlineStr">
        <is>
          <t>https://economictimes.indiatimes.com/tech/funding/agritech-startup-wastelink-raises-3-million-from-avaana-capital/articleshow/123504864.cms</t>
        </is>
      </c>
    </row>
    <row r="1667">
      <c r="A1667" t="inlineStr">
        <is>
          <t>INC-20250830-10</t>
        </is>
      </c>
      <c r="B1667" t="inlineStr">
        <is>
          <t>R250825-wastelink</t>
        </is>
      </c>
      <c r="C1667" t="inlineStr">
        <is>
          <t>Inc42</t>
        </is>
      </c>
      <c r="D1667" s="17" t="n">
        <v>45894</v>
      </c>
      <c r="E1667" t="inlineStr">
        <is>
          <t>Wastelink</t>
        </is>
      </c>
      <c r="F1667" t="inlineStr">
        <is>
          <t>$3 Mn</t>
        </is>
      </c>
      <c r="G1667" s="19" t="n"/>
      <c r="H1667" s="19" t="n">
        <v>3</v>
      </c>
      <c r="I1667" t="inlineStr">
        <is>
          <t>Series A</t>
        </is>
      </c>
      <c r="J1667" t="inlineStr">
        <is>
          <t>Avaana Capital</t>
        </is>
      </c>
      <c r="K1667" t="inlineStr">
        <is>
          <t>https://inc42.com/buzz/from-transbnk-to-wizcommerce-indian-startups-raised-98-mn-this-week/</t>
        </is>
      </c>
    </row>
    <row r="1668">
      <c r="A1668" t="inlineStr">
        <is>
          <t>ENT-9734199</t>
        </is>
      </c>
      <c r="B1668" t="inlineStr">
        <is>
          <t>R250825-wizcommerce</t>
        </is>
      </c>
      <c r="C1668" t="inlineStr">
        <is>
          <t>Entrackr</t>
        </is>
      </c>
      <c r="D1668" s="17" t="n">
        <v>45894</v>
      </c>
      <c r="E1668" t="inlineStr">
        <is>
          <t>WizCommerce</t>
        </is>
      </c>
      <c r="F1668" t="inlineStr">
        <is>
          <t>$8 million</t>
        </is>
      </c>
      <c r="G1668" s="19" t="n"/>
      <c r="H1668" s="19" t="n">
        <v>8</v>
      </c>
      <c r="I1668" t="inlineStr">
        <is>
          <t>Series A</t>
        </is>
      </c>
      <c r="J1668" t="inlineStr">
        <is>
          <t>Peak XV Partners</t>
        </is>
      </c>
      <c r="K1668" t="inlineStr">
        <is>
          <t>https://entrackr.com/snippets/wizcommerce-raises-8-mn-in-series-a-round-led-by-peak-xv-9734199</t>
        </is>
      </c>
    </row>
    <row r="1669">
      <c r="A1669" t="inlineStr">
        <is>
          <t>ET-123497330</t>
        </is>
      </c>
      <c r="B1669" t="inlineStr">
        <is>
          <t>R250825-wizcommerce</t>
        </is>
      </c>
      <c r="C1669" t="inlineStr">
        <is>
          <t>The Economic Times</t>
        </is>
      </c>
      <c r="D1669" s="17" t="n">
        <v>45894</v>
      </c>
      <c r="E1669" t="inlineStr">
        <is>
          <t>WizCommerce</t>
        </is>
      </c>
      <c r="F1669" t="inlineStr">
        <is>
          <t>$8 million</t>
        </is>
      </c>
      <c r="G1669" s="19" t="n"/>
      <c r="H1669" s="19" t="n">
        <v>8</v>
      </c>
      <c r="I1669" t="inlineStr">
        <is>
          <t>Undisclosed</t>
        </is>
      </c>
      <c r="J1669" t="inlineStr">
        <is>
          <t>Peak XV Partners</t>
        </is>
      </c>
      <c r="K1669" t="inlineStr">
        <is>
          <t>https://economictimes.indiatimes.com/tech/funding/ai-focused-sales-enablement-platform-wizcommerce-raises-8-million-from-peak-xv-partners-blume-ventures-others/articleshow/123497330.cms</t>
        </is>
      </c>
    </row>
    <row r="1670">
      <c r="A1670" t="inlineStr">
        <is>
          <t>INC-20250830-04</t>
        </is>
      </c>
      <c r="B1670" t="inlineStr">
        <is>
          <t>R250825-wizcommerce</t>
        </is>
      </c>
      <c r="C1670" t="inlineStr">
        <is>
          <t>Inc42</t>
        </is>
      </c>
      <c r="D1670" s="17" t="n">
        <v>45894</v>
      </c>
      <c r="E1670" t="inlineStr">
        <is>
          <t>WizCommerce</t>
        </is>
      </c>
      <c r="F1670" t="inlineStr">
        <is>
          <t>$8 Mn</t>
        </is>
      </c>
      <c r="G1670" s="19" t="n"/>
      <c r="H1670" s="19" t="n">
        <v>8</v>
      </c>
      <c r="I1670" t="inlineStr">
        <is>
          <t>Series A</t>
        </is>
      </c>
      <c r="J1670" t="inlineStr">
        <is>
          <t>Peak XV Partners</t>
        </is>
      </c>
      <c r="K1670" t="inlineStr">
        <is>
          <t>https://inc42.com/buzz/from-transbnk-to-wizcommerce-indian-startups-raised-98-mn-this-week/</t>
        </is>
      </c>
    </row>
    <row r="1671">
      <c r="A1671" t="inlineStr">
        <is>
          <t>ENT-9757041</t>
        </is>
      </c>
      <c r="B1671" t="inlineStr">
        <is>
          <t>R250826-matiks</t>
        </is>
      </c>
      <c r="C1671" t="inlineStr">
        <is>
          <t>Entrackr</t>
        </is>
      </c>
      <c r="D1671" s="17" t="n">
        <v>45895</v>
      </c>
      <c r="E1671" t="inlineStr">
        <is>
          <t>Matiks</t>
        </is>
      </c>
      <c r="F1671" t="inlineStr">
        <is>
          <t>$3.1 million</t>
        </is>
      </c>
      <c r="G1671" s="19" t="n">
        <v>27</v>
      </c>
      <c r="H1671" s="19" t="n">
        <v>3.1</v>
      </c>
      <c r="I1671" t="inlineStr">
        <is>
          <t>Pre-Series A</t>
        </is>
      </c>
      <c r="J1671" t="inlineStr">
        <is>
          <t>Tanglin Ventures; Aman Gupta; Unacademy co-founders Gaurav Munjal; Roman Saini; Anil Goteti</t>
        </is>
      </c>
      <c r="K1671" t="inlineStr">
        <is>
          <t>https://entrackr.com/snippets/matiks-raises-31-mn-in-pre-series-a-round-led-by-tanglin-ventures-9757041</t>
        </is>
      </c>
    </row>
    <row r="1672">
      <c r="A1672" t="inlineStr">
        <is>
          <t>INC-20250830-09</t>
        </is>
      </c>
      <c r="B1672" t="inlineStr">
        <is>
          <t>R250826-matiks</t>
        </is>
      </c>
      <c r="C1672" t="inlineStr">
        <is>
          <t>Inc42</t>
        </is>
      </c>
      <c r="D1672" s="17" t="n">
        <v>45895</v>
      </c>
      <c r="E1672" t="inlineStr">
        <is>
          <t>Matiks</t>
        </is>
      </c>
      <c r="F1672" t="inlineStr">
        <is>
          <t>$3.1 Mn</t>
        </is>
      </c>
      <c r="G1672" s="19" t="n"/>
      <c r="H1672" s="19" t="n">
        <v>3.1</v>
      </c>
      <c r="I1672" t="inlineStr">
        <is>
          <t>Pre-Series A</t>
        </is>
      </c>
      <c r="J1672" t="inlineStr">
        <is>
          <t>Tanglin Ventures</t>
        </is>
      </c>
      <c r="K1672" t="inlineStr">
        <is>
          <t>https://inc42.com/buzz/from-transbnk-to-wizcommerce-indian-startups-raised-98-mn-this-week/</t>
        </is>
      </c>
    </row>
    <row r="1673">
      <c r="A1673" t="inlineStr">
        <is>
          <t>ENT-9754576</t>
        </is>
      </c>
      <c r="B1673" t="inlineStr">
        <is>
          <t>R250826-peeko</t>
        </is>
      </c>
      <c r="C1673" t="inlineStr">
        <is>
          <t>Entrackr</t>
        </is>
      </c>
      <c r="D1673" s="17" t="n">
        <v>45895</v>
      </c>
      <c r="E1673" t="inlineStr">
        <is>
          <t>Peeko</t>
        </is>
      </c>
      <c r="F1673" t="inlineStr">
        <is>
          <t>$3.2 million</t>
        </is>
      </c>
      <c r="G1673" s="19" t="n"/>
      <c r="H1673" s="19" t="n">
        <v>3.2</v>
      </c>
      <c r="I1673" t="inlineStr">
        <is>
          <t>Undisclosed</t>
        </is>
      </c>
      <c r="J1673" t="inlineStr">
        <is>
          <t>Stellaris Venture Partners; Maninder Gulati; Kunal Bahl &amp; Rohit Bansal; Abhishek Goyal; Nitin Gupta; Arjun Vaidya</t>
        </is>
      </c>
      <c r="K1673" t="inlineStr">
        <is>
          <t>https://entrackr.com/snippets/babycare-quick-commerce-platform-peeko-raises-32-mn-led-by-stellaris-9754576</t>
        </is>
      </c>
    </row>
    <row r="1674">
      <c r="A1674" t="inlineStr">
        <is>
          <t>ET-123507840</t>
        </is>
      </c>
      <c r="B1674" t="inlineStr">
        <is>
          <t>R250826-peeko</t>
        </is>
      </c>
      <c r="C1674" t="inlineStr">
        <is>
          <t>The Economic Times</t>
        </is>
      </c>
      <c r="D1674" s="17" t="n">
        <v>45895</v>
      </c>
      <c r="E1674" t="inlineStr">
        <is>
          <t>Peeko</t>
        </is>
      </c>
      <c r="F1674" t="inlineStr">
        <is>
          <t>$3.2 million</t>
        </is>
      </c>
      <c r="G1674" s="19" t="n"/>
      <c r="H1674" s="19" t="n">
        <v>3.2</v>
      </c>
      <c r="I1674" t="inlineStr">
        <is>
          <t>Undisclosed</t>
        </is>
      </c>
      <c r="J1674" t="inlineStr">
        <is>
          <t>Stellaris Venture Partners</t>
        </is>
      </c>
      <c r="K1674" t="inlineStr">
        <is>
          <t>https://economictimes.indiatimes.com/tech/funding/babycare-quick-commerce-platform-peeko-raises-3-2-million-in-round-led-by-stellaris-venture-partners/articleshow/123507840.cms</t>
        </is>
      </c>
    </row>
    <row r="1675">
      <c r="A1675" t="inlineStr">
        <is>
          <t>INC-20250830-08</t>
        </is>
      </c>
      <c r="B1675" t="inlineStr">
        <is>
          <t>R250826-peeko</t>
        </is>
      </c>
      <c r="C1675" t="inlineStr">
        <is>
          <t>Inc42</t>
        </is>
      </c>
      <c r="D1675" s="17" t="n">
        <v>45895</v>
      </c>
      <c r="E1675" t="inlineStr">
        <is>
          <t>Peeko</t>
        </is>
      </c>
      <c r="F1675" t="inlineStr">
        <is>
          <t>$3.2 Mn</t>
        </is>
      </c>
      <c r="G1675" s="19" t="n"/>
      <c r="H1675" s="19" t="n">
        <v>3.2</v>
      </c>
      <c r="I1675" t="inlineStr">
        <is>
          <t>Seed</t>
        </is>
      </c>
      <c r="J1675" t="inlineStr">
        <is>
          <t>Stellaris Venture Partners</t>
        </is>
      </c>
      <c r="K1675" t="inlineStr">
        <is>
          <t>https://inc42.com/buzz/from-transbnk-to-wizcommerce-indian-startups-raised-98-mn-this-week/</t>
        </is>
      </c>
    </row>
    <row r="1676">
      <c r="A1676" t="inlineStr">
        <is>
          <t>ET-123528002</t>
        </is>
      </c>
      <c r="B1676" t="inlineStr">
        <is>
          <t>R250827-anmasa</t>
        </is>
      </c>
      <c r="C1676" t="inlineStr">
        <is>
          <t>The Economic Times</t>
        </is>
      </c>
      <c r="D1676" s="17" t="n">
        <v>45895</v>
      </c>
      <c r="E1676" t="inlineStr">
        <is>
          <t>Anmasa</t>
        </is>
      </c>
      <c r="F1676" t="inlineStr">
        <is>
          <t>$1.1 million</t>
        </is>
      </c>
      <c r="G1676" s="19" t="n"/>
      <c r="H1676" s="19" t="n">
        <v>1.1</v>
      </c>
      <c r="I1676" t="inlineStr">
        <is>
          <t>Pre-Seed</t>
        </is>
      </c>
      <c r="J1676" t="inlineStr"/>
      <c r="K1676" t="inlineStr">
        <is>
          <t>https://economictimes.indiatimes.com/tech/funding/d2c-grocery-startup-anmasa-raises-1-1-million-in-pre-seed-funding/articleshow/123528002.cms</t>
        </is>
      </c>
    </row>
    <row r="1677">
      <c r="A1677" t="inlineStr">
        <is>
          <t>ENT-9758266</t>
        </is>
      </c>
      <c r="B1677" t="inlineStr">
        <is>
          <t>R250827-anmasa</t>
        </is>
      </c>
      <c r="C1677" t="inlineStr">
        <is>
          <t>Entrackr</t>
        </is>
      </c>
      <c r="D1677" s="17" t="n">
        <v>45896</v>
      </c>
      <c r="E1677" t="inlineStr">
        <is>
          <t>Anmasa</t>
        </is>
      </c>
      <c r="F1677" t="inlineStr">
        <is>
          <t>$1.1 million</t>
        </is>
      </c>
      <c r="G1677" s="19" t="n"/>
      <c r="H1677" s="19" t="n">
        <v>1.1</v>
      </c>
      <c r="I1677" t="inlineStr">
        <is>
          <t>Pre-Seed</t>
        </is>
      </c>
      <c r="J1677" t="inlineStr">
        <is>
          <t>Snow Leopard Technology Ventures; Veltis Capital; Blume Ventures; Indigram Lab</t>
        </is>
      </c>
      <c r="K1677" t="inlineStr">
        <is>
          <t>https://entrackr.com/snippets/d2c-grocery-startup-anmasa-raises-11-mn-in-pre-seed-round-9758266</t>
        </is>
      </c>
    </row>
    <row r="1678">
      <c r="A1678" t="inlineStr">
        <is>
          <t>INC-20250830-13</t>
        </is>
      </c>
      <c r="B1678" t="inlineStr">
        <is>
          <t>R250827-anmasa</t>
        </is>
      </c>
      <c r="C1678" t="inlineStr">
        <is>
          <t>Inc42</t>
        </is>
      </c>
      <c r="D1678" s="17" t="n">
        <v>45896</v>
      </c>
      <c r="E1678" t="inlineStr">
        <is>
          <t>Anmasa</t>
        </is>
      </c>
      <c r="F1678" t="inlineStr">
        <is>
          <t>$1.1 Mn</t>
        </is>
      </c>
      <c r="G1678" s="19" t="n"/>
      <c r="H1678" s="19" t="n">
        <v>1.1</v>
      </c>
      <c r="I1678" t="inlineStr">
        <is>
          <t>Pre-Seed</t>
        </is>
      </c>
      <c r="J1678" t="inlineStr"/>
      <c r="K1678" t="inlineStr">
        <is>
          <t>https://inc42.com/buzz/from-transbnk-to-wizcommerce-indian-startups-raised-98-mn-this-week/</t>
        </is>
      </c>
    </row>
    <row r="1679">
      <c r="A1679" t="inlineStr">
        <is>
          <t>INC-20250830-18</t>
        </is>
      </c>
      <c r="B1679" t="inlineStr">
        <is>
          <t>R250827-bhaobhao</t>
        </is>
      </c>
      <c r="C1679" t="inlineStr">
        <is>
          <t>Inc42</t>
        </is>
      </c>
      <c r="D1679" s="17" t="n">
        <v>45896</v>
      </c>
      <c r="E1679" t="inlineStr">
        <is>
          <t>BhaoBhao</t>
        </is>
      </c>
      <c r="F1679" t="inlineStr">
        <is>
          <t>$200K</t>
        </is>
      </c>
      <c r="G1679" s="19" t="n"/>
      <c r="H1679" s="19" t="n">
        <v>0.2</v>
      </c>
      <c r="I1679" t="inlineStr">
        <is>
          <t>Undisclosed</t>
        </is>
      </c>
      <c r="J1679" t="inlineStr"/>
      <c r="K1679" t="inlineStr">
        <is>
          <t>https://inc42.com/buzz/from-transbnk-to-wizcommerce-indian-startups-raised-98-mn-this-week/</t>
        </is>
      </c>
    </row>
    <row r="1680">
      <c r="A1680" t="inlineStr">
        <is>
          <t>ENT-9761296</t>
        </is>
      </c>
      <c r="B1680" t="inlineStr">
        <is>
          <t>R250827-bhaobhao</t>
        </is>
      </c>
      <c r="C1680" t="inlineStr">
        <is>
          <t>Entrackr</t>
        </is>
      </c>
      <c r="D1680" s="17" t="n">
        <v>45897</v>
      </c>
      <c r="E1680" t="inlineStr">
        <is>
          <t>BhaoBhao</t>
        </is>
      </c>
      <c r="F1680" t="inlineStr">
        <is>
          <t>$200,000</t>
        </is>
      </c>
      <c r="G1680" s="19" t="n"/>
      <c r="H1680" s="19" t="n">
        <v>0.2</v>
      </c>
      <c r="I1680" t="inlineStr">
        <is>
          <t>Undisclosed</t>
        </is>
      </c>
      <c r="J1680" t="inlineStr"/>
      <c r="K1680" t="inlineStr">
        <is>
          <t>https://entrackr.com/snippets/pet-care-startup-bhaobhao-raises-200k-from-angel-investors-9761296</t>
        </is>
      </c>
    </row>
    <row r="1681">
      <c r="A1681" t="inlineStr">
        <is>
          <t>ENT-9758193</t>
        </is>
      </c>
      <c r="B1681" t="inlineStr">
        <is>
          <t>R250827-cuminco</t>
        </is>
      </c>
      <c r="C1681" t="inlineStr">
        <is>
          <t>Entrackr</t>
        </is>
      </c>
      <c r="D1681" s="17" t="n">
        <v>45896</v>
      </c>
      <c r="E1681" t="inlineStr">
        <is>
          <t>Cumin Co</t>
        </is>
      </c>
      <c r="F1681" t="inlineStr">
        <is>
          <t>$1.5 million</t>
        </is>
      </c>
      <c r="G1681" s="19" t="n">
        <v>13.16</v>
      </c>
      <c r="H1681" s="19" t="n">
        <v>1.5</v>
      </c>
      <c r="I1681" t="inlineStr">
        <is>
          <t>Undisclosed</t>
        </is>
      </c>
      <c r="J1681" t="inlineStr">
        <is>
          <t>Fireside Ventures</t>
        </is>
      </c>
      <c r="K1681" t="inlineStr">
        <is>
          <t>https://entrackr.com/snippets/kitchenware-brand-cumin-co-raises-15-mn-led-by-fireside-ventures-9758193</t>
        </is>
      </c>
    </row>
    <row r="1682">
      <c r="A1682" t="inlineStr">
        <is>
          <t>ET-123533924</t>
        </is>
      </c>
      <c r="B1682" t="inlineStr">
        <is>
          <t>R250827-cuminco</t>
        </is>
      </c>
      <c r="C1682" t="inlineStr">
        <is>
          <t>The Economic Times</t>
        </is>
      </c>
      <c r="D1682" s="17" t="n">
        <v>45896</v>
      </c>
      <c r="E1682" t="inlineStr">
        <is>
          <t>Cumin Co</t>
        </is>
      </c>
      <c r="F1682" t="inlineStr">
        <is>
          <t>$1.5 million</t>
        </is>
      </c>
      <c r="G1682" s="19" t="n">
        <v>13.16</v>
      </c>
      <c r="H1682" s="19" t="n">
        <v>1.5</v>
      </c>
      <c r="I1682" t="inlineStr">
        <is>
          <t>Undisclosed</t>
        </is>
      </c>
      <c r="J1682" t="inlineStr">
        <is>
          <t>Fireside Ventures</t>
        </is>
      </c>
      <c r="K1682" t="inlineStr">
        <is>
          <t>https://economictimes.indiatimes.com/tech/funding/kitchenware-brand-cumin-co-raises-1-5-million-in-round-led-by-fireside-ventures/articleshow/123533924.cms</t>
        </is>
      </c>
    </row>
    <row r="1683">
      <c r="A1683" t="inlineStr">
        <is>
          <t>INC-20250830-12</t>
        </is>
      </c>
      <c r="B1683" t="inlineStr">
        <is>
          <t>R250827-cuminco</t>
        </is>
      </c>
      <c r="C1683" t="inlineStr">
        <is>
          <t>Inc42</t>
        </is>
      </c>
      <c r="D1683" s="17" t="n">
        <v>45896</v>
      </c>
      <c r="E1683" t="inlineStr">
        <is>
          <t>Cumin Co</t>
        </is>
      </c>
      <c r="F1683" t="inlineStr">
        <is>
          <t>$1.5 Mn</t>
        </is>
      </c>
      <c r="G1683" s="19" t="n"/>
      <c r="H1683" s="19" t="n">
        <v>1.5</v>
      </c>
      <c r="I1683" t="inlineStr">
        <is>
          <t>Undisclosed</t>
        </is>
      </c>
      <c r="J1683" t="inlineStr">
        <is>
          <t>Fireside Ventures</t>
        </is>
      </c>
      <c r="K1683" t="inlineStr">
        <is>
          <t>https://inc42.com/buzz/from-transbnk-to-wizcommerce-indian-startups-raised-98-mn-this-week/</t>
        </is>
      </c>
    </row>
    <row r="1684">
      <c r="A1684" t="inlineStr">
        <is>
          <t>ENT-9758459</t>
        </is>
      </c>
      <c r="B1684" t="inlineStr">
        <is>
          <t>R250827-nuyug</t>
        </is>
      </c>
      <c r="C1684" t="inlineStr">
        <is>
          <t>Entrackr</t>
        </is>
      </c>
      <c r="D1684" s="17" t="n">
        <v>45896</v>
      </c>
      <c r="E1684" t="inlineStr">
        <is>
          <t>Nuyug</t>
        </is>
      </c>
      <c r="F1684" t="inlineStr">
        <is>
          <t>Rs 2.5 crore</t>
        </is>
      </c>
      <c r="G1684" s="19" t="n">
        <v>2.5</v>
      </c>
      <c r="H1684" s="19" t="n"/>
      <c r="I1684" t="inlineStr">
        <is>
          <t>Pre-Seed</t>
        </is>
      </c>
      <c r="J1684" t="inlineStr">
        <is>
          <t>AJVC</t>
        </is>
      </c>
      <c r="K1684" t="inlineStr">
        <is>
          <t>https://entrackr.com/snippets/jewellery-brand-nuyug-raises-pre-seed-round-led-by-ajvc-9758459</t>
        </is>
      </c>
    </row>
    <row r="1685">
      <c r="A1685" t="inlineStr">
        <is>
          <t>INC-20250830-17</t>
        </is>
      </c>
      <c r="B1685" t="inlineStr">
        <is>
          <t>R250827-nuyug</t>
        </is>
      </c>
      <c r="C1685" t="inlineStr">
        <is>
          <t>Inc42</t>
        </is>
      </c>
      <c r="D1685" s="17" t="n">
        <v>45896</v>
      </c>
      <c r="E1685" t="inlineStr">
        <is>
          <t>Nuyug</t>
        </is>
      </c>
      <c r="F1685" t="inlineStr">
        <is>
          <t>$283K</t>
        </is>
      </c>
      <c r="G1685" s="19" t="n"/>
      <c r="H1685" s="19" t="n">
        <v>0.283</v>
      </c>
      <c r="I1685" t="inlineStr">
        <is>
          <t>Pre-Seed</t>
        </is>
      </c>
      <c r="J1685" t="inlineStr">
        <is>
          <t>AJVC</t>
        </is>
      </c>
      <c r="K1685" t="inlineStr">
        <is>
          <t>https://inc42.com/buzz/from-transbnk-to-wizcommerce-indian-startups-raised-98-mn-this-week/</t>
        </is>
      </c>
    </row>
    <row r="1686">
      <c r="A1686" t="inlineStr">
        <is>
          <t>ENT-9761815</t>
        </is>
      </c>
      <c r="B1686" t="inlineStr">
        <is>
          <t>R250828-savemicrofinan</t>
        </is>
      </c>
      <c r="C1686" t="inlineStr">
        <is>
          <t>Entrackr</t>
        </is>
      </c>
      <c r="D1686" s="17" t="n">
        <v>45897</v>
      </c>
      <c r="E1686" t="inlineStr">
        <is>
          <t>SAVE Microfinance</t>
        </is>
      </c>
      <c r="F1686" t="inlineStr">
        <is>
          <t>$3 million</t>
        </is>
      </c>
      <c r="G1686" s="19" t="n"/>
      <c r="H1686" s="19" t="n">
        <v>3</v>
      </c>
      <c r="I1686" t="inlineStr">
        <is>
          <t>Debt</t>
        </is>
      </c>
      <c r="J1686" t="inlineStr"/>
      <c r="K1686" t="inlineStr">
        <is>
          <t>https://entrackr.com/snippets/save-microfinance-raises-3-mn-via-iixs-wlb7-9761815</t>
        </is>
      </c>
    </row>
    <row r="1687">
      <c r="A1687" t="inlineStr">
        <is>
          <t>ENT-9761128</t>
        </is>
      </c>
      <c r="B1687" t="inlineStr">
        <is>
          <t>R250828-transbnk</t>
        </is>
      </c>
      <c r="C1687" t="inlineStr">
        <is>
          <t>Entrackr</t>
        </is>
      </c>
      <c r="D1687" s="17" t="n">
        <v>45897</v>
      </c>
      <c r="E1687" t="inlineStr">
        <is>
          <t>TransBnk</t>
        </is>
      </c>
      <c r="F1687" t="inlineStr">
        <is>
          <t>$25 million</t>
        </is>
      </c>
      <c r="G1687" s="19" t="n"/>
      <c r="H1687" s="19" t="n">
        <v>25</v>
      </c>
      <c r="I1687" t="inlineStr">
        <is>
          <t>Series B</t>
        </is>
      </c>
      <c r="J1687" t="inlineStr">
        <is>
          <t>Bessemer Venture Partners</t>
        </is>
      </c>
      <c r="K1687" t="inlineStr">
        <is>
          <t>https://entrackr.com/news/transbnk-raises-25-mn-in-series-b-led-by-bessemer-9761128</t>
        </is>
      </c>
    </row>
    <row r="1688">
      <c r="A1688" t="inlineStr">
        <is>
          <t>ET-123551103</t>
        </is>
      </c>
      <c r="B1688" t="inlineStr">
        <is>
          <t>R250828-transbnk</t>
        </is>
      </c>
      <c r="C1688" t="inlineStr">
        <is>
          <t>The Economic Times</t>
        </is>
      </c>
      <c r="D1688" s="17" t="n">
        <v>45897</v>
      </c>
      <c r="E1688" t="inlineStr">
        <is>
          <t>TransBnk</t>
        </is>
      </c>
      <c r="F1688" t="inlineStr">
        <is>
          <t>$25 million</t>
        </is>
      </c>
      <c r="G1688" s="19" t="n"/>
      <c r="H1688" s="19" t="n">
        <v>25</v>
      </c>
      <c r="I1688" t="inlineStr">
        <is>
          <t>Undisclosed</t>
        </is>
      </c>
      <c r="J1688" t="inlineStr">
        <is>
          <t>Bessemer Venture Partners</t>
        </is>
      </c>
      <c r="K1688" t="inlineStr">
        <is>
          <t>https://economictimes.indiatimes.com/tech/funding/banking-infrastructure-startup-transbnk-raises-25-million-from-bessemer-venture-partners-others/articleshow/123551103.cms</t>
        </is>
      </c>
    </row>
    <row r="1689">
      <c r="A1689" t="inlineStr">
        <is>
          <t>INC-20250830-01</t>
        </is>
      </c>
      <c r="B1689" t="inlineStr">
        <is>
          <t>R250828-transbnk</t>
        </is>
      </c>
      <c r="C1689" t="inlineStr">
        <is>
          <t>Inc42</t>
        </is>
      </c>
      <c r="D1689" s="17" t="n">
        <v>45897</v>
      </c>
      <c r="E1689" t="inlineStr">
        <is>
          <t>TransBnk</t>
        </is>
      </c>
      <c r="F1689" t="inlineStr">
        <is>
          <t>$25 Mn</t>
        </is>
      </c>
      <c r="G1689" s="19" t="n"/>
      <c r="H1689" s="19" t="n">
        <v>25</v>
      </c>
      <c r="I1689" t="inlineStr">
        <is>
          <t>Series B</t>
        </is>
      </c>
      <c r="J1689" t="inlineStr">
        <is>
          <t>Bessemer Venture Partners</t>
        </is>
      </c>
      <c r="K1689" t="inlineStr">
        <is>
          <t>https://inc42.com/buzz/from-transbnk-to-wizcommerce-indian-startups-raised-98-mn-this-week/</t>
        </is>
      </c>
    </row>
    <row r="1690">
      <c r="A1690" t="inlineStr">
        <is>
          <t>ENT-9765499</t>
        </is>
      </c>
      <c r="B1690" t="inlineStr">
        <is>
          <t>R250829-vutto</t>
        </is>
      </c>
      <c r="C1690" t="inlineStr">
        <is>
          <t>Entrackr</t>
        </is>
      </c>
      <c r="D1690" s="17" t="n">
        <v>45898</v>
      </c>
      <c r="E1690" t="inlineStr">
        <is>
          <t>Vutto</t>
        </is>
      </c>
      <c r="F1690" t="inlineStr">
        <is>
          <t>$7 million</t>
        </is>
      </c>
      <c r="G1690" s="19" t="n">
        <v>61.4</v>
      </c>
      <c r="H1690" s="19" t="n">
        <v>7</v>
      </c>
      <c r="I1690" t="inlineStr">
        <is>
          <t>Series A</t>
        </is>
      </c>
      <c r="J1690" t="inlineStr">
        <is>
          <t>RTP Global; Blume Ventures</t>
        </is>
      </c>
      <c r="K1690" t="inlineStr">
        <is>
          <t>https://entrackr.com/snippets/used-two-wheeler-marketplace-vutto-raises-7-mn-in-series-a-round-9765499</t>
        </is>
      </c>
    </row>
    <row r="1691">
      <c r="A1691" t="inlineStr">
        <is>
          <t>INC-20250830-05</t>
        </is>
      </c>
      <c r="B1691" t="inlineStr">
        <is>
          <t>R250829-vutto</t>
        </is>
      </c>
      <c r="C1691" t="inlineStr">
        <is>
          <t>Inc42</t>
        </is>
      </c>
      <c r="D1691" s="17" t="n">
        <v>45898</v>
      </c>
      <c r="E1691" t="inlineStr">
        <is>
          <t>Vutto</t>
        </is>
      </c>
      <c r="F1691" t="inlineStr">
        <is>
          <t>$7 Mn</t>
        </is>
      </c>
      <c r="G1691" s="19" t="n"/>
      <c r="H1691" s="19" t="n">
        <v>7</v>
      </c>
      <c r="I1691" t="inlineStr">
        <is>
          <t>Series A</t>
        </is>
      </c>
      <c r="J1691" t="inlineStr">
        <is>
          <t>RTP Global</t>
        </is>
      </c>
      <c r="K1691" t="inlineStr">
        <is>
          <t>https://inc42.com/buzz/from-transbnk-to-wizcommerce-indian-startups-raised-98-mn-this-week/</t>
        </is>
      </c>
    </row>
    <row r="1692">
      <c r="A1692" t="inlineStr">
        <is>
          <t>ENT-9776061</t>
        </is>
      </c>
      <c r="B1692" t="inlineStr">
        <is>
          <t>R250901-bluetokai</t>
        </is>
      </c>
      <c r="C1692" t="inlineStr">
        <is>
          <t>Entrackr</t>
        </is>
      </c>
      <c r="D1692" s="17" t="n">
        <v>45901</v>
      </c>
      <c r="E1692" t="inlineStr">
        <is>
          <t>Blue Tokai</t>
        </is>
      </c>
      <c r="F1692" t="inlineStr">
        <is>
          <t>$25 million</t>
        </is>
      </c>
      <c r="G1692" s="19" t="n">
        <v>220</v>
      </c>
      <c r="H1692" s="19" t="n">
        <v>25</v>
      </c>
      <c r="I1692" t="inlineStr">
        <is>
          <t>Bridge</t>
        </is>
      </c>
      <c r="J1692" t="inlineStr"/>
      <c r="K1692" t="inlineStr">
        <is>
          <t>https://entrackr.com/news/blue-tokai-raises-25-mn-in-a-bridge-funding-round-from-existing-investors-9776061</t>
        </is>
      </c>
    </row>
    <row r="1693">
      <c r="A1693" t="inlineStr">
        <is>
          <t>INC-20250906-03</t>
        </is>
      </c>
      <c r="B1693" t="inlineStr">
        <is>
          <t>R250901-bluetokai</t>
        </is>
      </c>
      <c r="C1693" t="inlineStr">
        <is>
          <t>Inc42</t>
        </is>
      </c>
      <c r="D1693" s="17" t="n">
        <v>45901</v>
      </c>
      <c r="E1693" t="inlineStr">
        <is>
          <t>Blue Tokai Coffee Roasters</t>
        </is>
      </c>
      <c r="F1693" t="inlineStr">
        <is>
          <t>$25 Mn</t>
        </is>
      </c>
      <c r="G1693" s="19" t="n"/>
      <c r="H1693" s="19" t="n">
        <v>25</v>
      </c>
      <c r="I1693" t="inlineStr">
        <is>
          <t>Undisclosed</t>
        </is>
      </c>
      <c r="J1693" t="inlineStr"/>
      <c r="K1693" t="inlineStr">
        <is>
          <t>https://inc42.com/buzz/from-citymall-to-firstclub-indian-startups-raised-186-mn-this-week/</t>
        </is>
      </c>
    </row>
    <row r="1694">
      <c r="A1694" t="inlineStr">
        <is>
          <t>ET-123636551</t>
        </is>
      </c>
      <c r="B1694" t="inlineStr">
        <is>
          <t>R250901-citymall</t>
        </is>
      </c>
      <c r="C1694" t="inlineStr">
        <is>
          <t>The Economic Times</t>
        </is>
      </c>
      <c r="D1694" s="17" t="n">
        <v>45901</v>
      </c>
      <c r="E1694" t="inlineStr">
        <is>
          <t>CityMall</t>
        </is>
      </c>
      <c r="F1694" t="inlineStr">
        <is>
          <t>$47 million</t>
        </is>
      </c>
      <c r="G1694" s="19" t="n"/>
      <c r="H1694" s="19" t="n">
        <v>47</v>
      </c>
      <c r="I1694" t="inlineStr">
        <is>
          <t>Undisclosed</t>
        </is>
      </c>
      <c r="J1694" t="inlineStr">
        <is>
          <t>Accel</t>
        </is>
      </c>
      <c r="K1694" t="inlineStr">
        <is>
          <t>https://economictimes.indiatimes.com/tech/funding/community-ecommerce-startup-citymall-raises-47-million-at-flat-value/articleshow/123636551.cms</t>
        </is>
      </c>
    </row>
    <row r="1695">
      <c r="A1695" t="inlineStr">
        <is>
          <t>INC-20250906-01</t>
        </is>
      </c>
      <c r="B1695" t="inlineStr">
        <is>
          <t>R250901-citymall</t>
        </is>
      </c>
      <c r="C1695" t="inlineStr">
        <is>
          <t>Inc42</t>
        </is>
      </c>
      <c r="D1695" s="17" t="n">
        <v>45902</v>
      </c>
      <c r="E1695" t="inlineStr">
        <is>
          <t>CityMall</t>
        </is>
      </c>
      <c r="F1695" t="inlineStr">
        <is>
          <t>$47 Mn</t>
        </is>
      </c>
      <c r="G1695" s="19" t="n"/>
      <c r="H1695" s="19" t="n">
        <v>47</v>
      </c>
      <c r="I1695" t="inlineStr">
        <is>
          <t>Series D</t>
        </is>
      </c>
      <c r="J1695" t="inlineStr">
        <is>
          <t>Accel</t>
        </is>
      </c>
      <c r="K1695" t="inlineStr">
        <is>
          <t>https://inc42.com/buzz/from-citymall-to-firstclub-indian-startups-raised-186-mn-this-week/</t>
        </is>
      </c>
    </row>
    <row r="1696">
      <c r="A1696" t="inlineStr">
        <is>
          <t>ENT-9774557</t>
        </is>
      </c>
      <c r="B1696" t="inlineStr">
        <is>
          <t>R250901-cuzor</t>
        </is>
      </c>
      <c r="C1696" t="inlineStr">
        <is>
          <t>Entrackr</t>
        </is>
      </c>
      <c r="D1696" s="17" t="n">
        <v>45901</v>
      </c>
      <c r="E1696" t="inlineStr">
        <is>
          <t>Cuzor</t>
        </is>
      </c>
      <c r="F1696" t="inlineStr">
        <is>
          <t>Rs 5 crore</t>
        </is>
      </c>
      <c r="G1696" s="19" t="n">
        <v>5</v>
      </c>
      <c r="H1696" s="19" t="n"/>
      <c r="I1696" t="inlineStr">
        <is>
          <t>Seed</t>
        </is>
      </c>
      <c r="J1696" t="inlineStr"/>
      <c r="K1696" t="inlineStr">
        <is>
          <t>https://entrackr.com/snippets/consumer-electronics-brand-cuzor-raises-rs-5-cr-in-seed-round-9774557</t>
        </is>
      </c>
    </row>
    <row r="1697">
      <c r="A1697" t="inlineStr">
        <is>
          <t>INC-20250906-14</t>
        </is>
      </c>
      <c r="B1697" t="inlineStr">
        <is>
          <t>R250901-cuzor</t>
        </is>
      </c>
      <c r="C1697" t="inlineStr">
        <is>
          <t>Inc42</t>
        </is>
      </c>
      <c r="D1697" s="17" t="n">
        <v>45901</v>
      </c>
      <c r="E1697" t="inlineStr">
        <is>
          <t>Cuzor</t>
        </is>
      </c>
      <c r="F1697" t="inlineStr">
        <is>
          <t>$566K</t>
        </is>
      </c>
      <c r="G1697" s="19" t="n"/>
      <c r="H1697" s="19" t="n">
        <v>0.5659999999999999</v>
      </c>
      <c r="I1697" t="inlineStr">
        <is>
          <t>Seed</t>
        </is>
      </c>
      <c r="J1697" t="inlineStr">
        <is>
          <t>Ramesh Kannan (MD; Kaynes Technology)</t>
        </is>
      </c>
      <c r="K1697" t="inlineStr">
        <is>
          <t>https://inc42.com/buzz/from-citymall-to-firstclub-indian-startups-raised-186-mn-this-week/</t>
        </is>
      </c>
    </row>
    <row r="1698">
      <c r="A1698" t="inlineStr">
        <is>
          <t>ENT-9773853</t>
        </is>
      </c>
      <c r="B1698" t="inlineStr">
        <is>
          <t>R250901-tessolve</t>
        </is>
      </c>
      <c r="C1698" t="inlineStr">
        <is>
          <t>Entrackr</t>
        </is>
      </c>
      <c r="D1698" s="17" t="n">
        <v>45901</v>
      </c>
      <c r="E1698" t="inlineStr">
        <is>
          <t>Tessolve</t>
        </is>
      </c>
      <c r="F1698" t="inlineStr">
        <is>
          <t>$150 million</t>
        </is>
      </c>
      <c r="G1698" s="19" t="n"/>
      <c r="H1698" s="19" t="n">
        <v>150</v>
      </c>
      <c r="I1698" t="inlineStr">
        <is>
          <t>Undisclosed</t>
        </is>
      </c>
      <c r="J1698" t="inlineStr"/>
      <c r="K1698" t="inlineStr">
        <is>
          <t>https://entrackr.com/snippets/hero-electronixs-semiconductor-firm-tessolve-raises-150-mn-from-tpg-9773853</t>
        </is>
      </c>
    </row>
    <row r="1699">
      <c r="A1699" t="inlineStr">
        <is>
          <t>ENT-9777526</t>
        </is>
      </c>
      <c r="B1699" t="inlineStr">
        <is>
          <t>R250902-leafybus</t>
        </is>
      </c>
      <c r="C1699" t="inlineStr">
        <is>
          <t>Entrackr</t>
        </is>
      </c>
      <c r="D1699" s="17" t="n">
        <v>45902</v>
      </c>
      <c r="E1699" t="inlineStr">
        <is>
          <t>LeafyBus</t>
        </is>
      </c>
      <c r="F1699" t="inlineStr">
        <is>
          <t>$4.1 Mn</t>
        </is>
      </c>
      <c r="G1699" s="19" t="n"/>
      <c r="H1699" s="19" t="n">
        <v>4.1</v>
      </c>
      <c r="I1699" t="inlineStr">
        <is>
          <t>Pre-Series A</t>
        </is>
      </c>
      <c r="J1699" t="inlineStr"/>
      <c r="K1699" t="inlineStr">
        <is>
          <t>https://entrackr.com/snippets/intercity-ev-bus-startup-leafybus-raises-41-mn-from-enetra-ev-9777526</t>
        </is>
      </c>
    </row>
    <row r="1700">
      <c r="A1700" t="inlineStr">
        <is>
          <t>INC-20250906-09</t>
        </is>
      </c>
      <c r="B1700" t="inlineStr">
        <is>
          <t>R250902-leafybus</t>
        </is>
      </c>
      <c r="C1700" t="inlineStr">
        <is>
          <t>Inc42</t>
        </is>
      </c>
      <c r="D1700" s="17" t="n">
        <v>45902</v>
      </c>
      <c r="E1700" t="inlineStr">
        <is>
          <t>LeafyBus</t>
        </is>
      </c>
      <c r="F1700" t="inlineStr">
        <is>
          <t>$4.1 Mn</t>
        </is>
      </c>
      <c r="G1700" s="19" t="n"/>
      <c r="H1700" s="19" t="n">
        <v>4.1</v>
      </c>
      <c r="I1700" t="inlineStr">
        <is>
          <t>Pre-Series A</t>
        </is>
      </c>
      <c r="J1700" t="inlineStr">
        <is>
          <t>Enetra India</t>
        </is>
      </c>
      <c r="K1700" t="inlineStr">
        <is>
          <t>https://inc42.com/buzz/from-citymall-to-firstclub-indian-startups-raised-186-mn-this-week/</t>
        </is>
      </c>
    </row>
    <row r="1701">
      <c r="A1701" t="inlineStr">
        <is>
          <t>ENT-9776981</t>
        </is>
      </c>
      <c r="B1701" t="inlineStr">
        <is>
          <t>R250902-offgridenergyl</t>
        </is>
      </c>
      <c r="C1701" t="inlineStr">
        <is>
          <t>Entrackr</t>
        </is>
      </c>
      <c r="D1701" s="17" t="n">
        <v>45902</v>
      </c>
      <c r="E1701" t="inlineStr">
        <is>
          <t>Offgrid Energy Labs</t>
        </is>
      </c>
      <c r="F1701" t="inlineStr">
        <is>
          <t>$15 million</t>
        </is>
      </c>
      <c r="G1701" s="19" t="n"/>
      <c r="H1701" s="19" t="n">
        <v>15</v>
      </c>
      <c r="I1701" t="inlineStr">
        <is>
          <t>Undisclosed</t>
        </is>
      </c>
      <c r="J1701" t="inlineStr">
        <is>
          <t>Archean Chemical Industries</t>
        </is>
      </c>
      <c r="K1701" t="inlineStr">
        <is>
          <t>https://entrackr.com/snippets/offgrid-energy-labs-raises-15-mn-led-by-archean-chemical-industries-9776981</t>
        </is>
      </c>
    </row>
    <row r="1702">
      <c r="A1702" t="inlineStr">
        <is>
          <t>ET-123638954</t>
        </is>
      </c>
      <c r="B1702" t="inlineStr">
        <is>
          <t>R250902-offgridenergyl</t>
        </is>
      </c>
      <c r="C1702" t="inlineStr">
        <is>
          <t>The Economic Times</t>
        </is>
      </c>
      <c r="D1702" s="17" t="n">
        <v>45902</v>
      </c>
      <c r="E1702" t="inlineStr">
        <is>
          <t>Offgrid Energy Labs</t>
        </is>
      </c>
      <c r="F1702" t="inlineStr">
        <is>
          <t>$15 million</t>
        </is>
      </c>
      <c r="G1702" s="19" t="n"/>
      <c r="H1702" s="19" t="n">
        <v>15</v>
      </c>
      <c r="I1702" t="inlineStr">
        <is>
          <t>Undisclosed</t>
        </is>
      </c>
      <c r="J1702" t="inlineStr">
        <is>
          <t>Archean Chemical Industries Limited</t>
        </is>
      </c>
      <c r="K1702" t="inlineStr">
        <is>
          <t>https://economictimes.indiatimes.com/tech/funding/battery-tech-startup-offgrid-energy-labs-raises-15-million-in-round-led-by-archean-chemical-industries/articleshow/123638954.cms</t>
        </is>
      </c>
    </row>
    <row r="1703">
      <c r="A1703" t="inlineStr">
        <is>
          <t>INC-20250906-06</t>
        </is>
      </c>
      <c r="B1703" t="inlineStr">
        <is>
          <t>R250902-offgridenergyl</t>
        </is>
      </c>
      <c r="C1703" t="inlineStr">
        <is>
          <t>Inc42</t>
        </is>
      </c>
      <c r="D1703" s="17" t="n">
        <v>45902</v>
      </c>
      <c r="E1703" t="inlineStr">
        <is>
          <t>Offgrid Energy</t>
        </is>
      </c>
      <c r="F1703" t="inlineStr">
        <is>
          <t>$15 Mn</t>
        </is>
      </c>
      <c r="G1703" s="19" t="n"/>
      <c r="H1703" s="19" t="n">
        <v>15</v>
      </c>
      <c r="I1703" t="inlineStr">
        <is>
          <t>Series A</t>
        </is>
      </c>
      <c r="J1703" t="inlineStr">
        <is>
          <t>Archean Chemicals Industries</t>
        </is>
      </c>
      <c r="K1703" t="inlineStr">
        <is>
          <t>https://inc42.com/buzz/from-citymall-to-firstclub-indian-startups-raised-186-mn-this-week/</t>
        </is>
      </c>
    </row>
    <row r="1704">
      <c r="A1704" t="inlineStr">
        <is>
          <t>ENT-9776941</t>
        </is>
      </c>
      <c r="B1704" t="inlineStr">
        <is>
          <t>R250902-tucokids</t>
        </is>
      </c>
      <c r="C1704" t="inlineStr">
        <is>
          <t>Entrackr</t>
        </is>
      </c>
      <c r="D1704" s="17" t="n">
        <v>45902</v>
      </c>
      <c r="E1704" t="inlineStr">
        <is>
          <t>Tuco Kids</t>
        </is>
      </c>
      <c r="F1704" t="inlineStr">
        <is>
          <t>$4 million</t>
        </is>
      </c>
      <c r="G1704" s="19" t="n"/>
      <c r="H1704" s="19" t="n">
        <v>4</v>
      </c>
      <c r="I1704" t="inlineStr">
        <is>
          <t>Undisclosed</t>
        </is>
      </c>
      <c r="J1704" t="inlineStr">
        <is>
          <t>RTP Global</t>
        </is>
      </c>
      <c r="K1704" t="inlineStr">
        <is>
          <t>https://entrackr.com/snippets/tuco-kids-raises-4-mn-led-by-rtp-global-9776941</t>
        </is>
      </c>
    </row>
    <row r="1705">
      <c r="A1705" t="inlineStr">
        <is>
          <t>ET-123645975</t>
        </is>
      </c>
      <c r="B1705" t="inlineStr">
        <is>
          <t>R250902-tucokids</t>
        </is>
      </c>
      <c r="C1705" t="inlineStr">
        <is>
          <t>The Economic Times</t>
        </is>
      </c>
      <c r="D1705" s="17" t="n">
        <v>45902</v>
      </c>
      <c r="E1705" t="inlineStr">
        <is>
          <t>Tuco Kids</t>
        </is>
      </c>
      <c r="F1705" t="inlineStr">
        <is>
          <t>$4 million</t>
        </is>
      </c>
      <c r="G1705" s="19" t="n"/>
      <c r="H1705" s="19" t="n">
        <v>4</v>
      </c>
      <c r="I1705" t="inlineStr">
        <is>
          <t>Undisclosed</t>
        </is>
      </c>
      <c r="J1705" t="inlineStr">
        <is>
          <t>RTP Global</t>
        </is>
      </c>
      <c r="K1705" t="inlineStr">
        <is>
          <t>https://economictimes.indiatimes.com/tech/funding/child-personal-care-brand-tuco-kids-raises-4-million-in-round-led-by-rtp-global/articleshow/123645975.cms</t>
        </is>
      </c>
    </row>
    <row r="1706">
      <c r="A1706" t="inlineStr">
        <is>
          <t>INC-20250906-10</t>
        </is>
      </c>
      <c r="B1706" t="inlineStr">
        <is>
          <t>R250902-tucokids</t>
        </is>
      </c>
      <c r="C1706" t="inlineStr">
        <is>
          <t>Inc42</t>
        </is>
      </c>
      <c r="D1706" s="17" t="n">
        <v>45902</v>
      </c>
      <c r="E1706" t="inlineStr">
        <is>
          <t>Tuco Kids</t>
        </is>
      </c>
      <c r="F1706" t="inlineStr">
        <is>
          <t>$4 Mn</t>
        </is>
      </c>
      <c r="G1706" s="19" t="n"/>
      <c r="H1706" s="19" t="n">
        <v>4</v>
      </c>
      <c r="I1706" t="inlineStr">
        <is>
          <t>Series A</t>
        </is>
      </c>
      <c r="J1706" t="inlineStr">
        <is>
          <t>RTP Global</t>
        </is>
      </c>
      <c r="K1706" t="inlineStr">
        <is>
          <t>https://inc42.com/buzz/from-citymall-to-firstclub-indian-startups-raised-186-mn-this-week/</t>
        </is>
      </c>
    </row>
    <row r="1707">
      <c r="A1707" t="inlineStr">
        <is>
          <t>ENT-9779156</t>
        </is>
      </c>
      <c r="B1707" t="inlineStr">
        <is>
          <t>R250902-zanskar</t>
        </is>
      </c>
      <c r="C1707" t="inlineStr">
        <is>
          <t>Entrackr</t>
        </is>
      </c>
      <c r="D1707" s="17" t="n">
        <v>45902</v>
      </c>
      <c r="E1707" t="inlineStr">
        <is>
          <t>Zanskar</t>
        </is>
      </c>
      <c r="F1707" t="inlineStr">
        <is>
          <t>Rs 2.8 crore</t>
        </is>
      </c>
      <c r="G1707" s="19" t="n">
        <v>2.8</v>
      </c>
      <c r="H1707" s="19" t="n"/>
      <c r="I1707" t="inlineStr">
        <is>
          <t>Seed</t>
        </is>
      </c>
      <c r="J1707" t="inlineStr">
        <is>
          <t>Zeropearl VC</t>
        </is>
      </c>
      <c r="K1707" t="inlineStr">
        <is>
          <t>https://entrackr.com/snippets/zanskar-raises-rs-28-cr-seed-round-led-by-zeropearl-vc-9779156</t>
        </is>
      </c>
    </row>
    <row r="1708">
      <c r="A1708" t="inlineStr">
        <is>
          <t>INC-20250906-18</t>
        </is>
      </c>
      <c r="B1708" t="inlineStr">
        <is>
          <t>R250902-zanskar</t>
        </is>
      </c>
      <c r="C1708" t="inlineStr">
        <is>
          <t>Inc42</t>
        </is>
      </c>
      <c r="D1708" s="17" t="n">
        <v>45902</v>
      </c>
      <c r="E1708" t="inlineStr">
        <is>
          <t>Zanskar</t>
        </is>
      </c>
      <c r="F1708" t="inlineStr">
        <is>
          <t>$317K</t>
        </is>
      </c>
      <c r="G1708" s="19" t="n"/>
      <c r="H1708" s="19" t="n">
        <v>0.317</v>
      </c>
      <c r="I1708" t="inlineStr">
        <is>
          <t>Seed</t>
        </is>
      </c>
      <c r="J1708" t="inlineStr">
        <is>
          <t>Zeropearl VC</t>
        </is>
      </c>
      <c r="K1708" t="inlineStr">
        <is>
          <t>https://inc42.com/buzz/from-citymall-to-firstclub-indian-startups-raised-186-mn-this-week/</t>
        </is>
      </c>
    </row>
    <row r="1709">
      <c r="A1709" t="inlineStr">
        <is>
          <t>ENT-9780418</t>
        </is>
      </c>
      <c r="B1709" t="inlineStr">
        <is>
          <t>R250903-onlinepharmacy</t>
        </is>
      </c>
      <c r="C1709" t="inlineStr">
        <is>
          <t>Entrackr</t>
        </is>
      </c>
      <c r="D1709" s="17" t="n">
        <v>45903</v>
      </c>
      <c r="E1709" t="inlineStr">
        <is>
          <t>Online pharmacy PlatinumRx</t>
        </is>
      </c>
      <c r="F1709" t="inlineStr">
        <is>
          <t>$6 million</t>
        </is>
      </c>
      <c r="G1709" s="19" t="n"/>
      <c r="H1709" s="19" t="n">
        <v>6</v>
      </c>
      <c r="I1709" t="inlineStr">
        <is>
          <t>Undisclosed</t>
        </is>
      </c>
      <c r="J1709" t="inlineStr">
        <is>
          <t>Stellaris Venture Partners; India Quotient</t>
        </is>
      </c>
      <c r="K1709" t="inlineStr">
        <is>
          <t>https://entrackr.com/snippets/online-pharmacy-platinumrx-raises-6-mn-led-by-stellaris-9780418</t>
        </is>
      </c>
    </row>
    <row r="1710">
      <c r="A1710" t="inlineStr">
        <is>
          <t>ENT-9782051</t>
        </is>
      </c>
      <c r="B1710" t="inlineStr">
        <is>
          <t>R250903-pbhealthcare</t>
        </is>
      </c>
      <c r="C1710" t="inlineStr">
        <is>
          <t>Entrackr</t>
        </is>
      </c>
      <c r="D1710" s="17" t="n">
        <v>45903</v>
      </c>
      <c r="E1710" t="inlineStr">
        <is>
          <t>PB Healthcare</t>
        </is>
      </c>
      <c r="F1710" t="inlineStr">
        <is>
          <t>$218 million</t>
        </is>
      </c>
      <c r="G1710" s="19" t="n"/>
      <c r="H1710" s="19" t="n">
        <v>218</v>
      </c>
      <c r="I1710" t="inlineStr">
        <is>
          <t>Seed</t>
        </is>
      </c>
      <c r="J1710" t="inlineStr">
        <is>
          <t>General Catalyst</t>
        </is>
      </c>
      <c r="K1710" t="inlineStr">
        <is>
          <t>https://entrackr.com/decoding/decoding-pb-healthcares-218-mn-seed-round-shareholding-pattern-and-valuation-9782051</t>
        </is>
      </c>
    </row>
    <row r="1711">
      <c r="A1711" t="inlineStr">
        <is>
          <t>ET-123663937</t>
        </is>
      </c>
      <c r="B1711" t="inlineStr">
        <is>
          <t>R250903-platinumrx</t>
        </is>
      </c>
      <c r="C1711" t="inlineStr">
        <is>
          <t>The Economic Times</t>
        </is>
      </c>
      <c r="D1711" s="17" t="n">
        <v>45903</v>
      </c>
      <c r="E1711" t="inlineStr">
        <is>
          <t>PlatinumRx</t>
        </is>
      </c>
      <c r="F1711" t="inlineStr">
        <is>
          <t>$6 million</t>
        </is>
      </c>
      <c r="G1711" s="19" t="n"/>
      <c r="H1711" s="19" t="n">
        <v>6</v>
      </c>
      <c r="I1711" t="inlineStr">
        <is>
          <t>Undisclosed</t>
        </is>
      </c>
      <c r="J1711" t="inlineStr">
        <is>
          <t>Stellaris Venture Partners</t>
        </is>
      </c>
      <c r="K1711" t="inlineStr">
        <is>
          <t>https://economictimes.indiatimes.com/tech/funding/online-pharmacy-platinumrx-raises-6-million-in-round-led-by-stellaris-venture-partners/articleshow/123663937.cms</t>
        </is>
      </c>
    </row>
    <row r="1712">
      <c r="A1712" t="inlineStr">
        <is>
          <t>INC-20250906-08</t>
        </is>
      </c>
      <c r="B1712" t="inlineStr">
        <is>
          <t>R250903-platinumrx</t>
        </is>
      </c>
      <c r="C1712" t="inlineStr">
        <is>
          <t>Inc42</t>
        </is>
      </c>
      <c r="D1712" s="17" t="n">
        <v>45903</v>
      </c>
      <c r="E1712" t="inlineStr">
        <is>
          <t>PlatinumRx</t>
        </is>
      </c>
      <c r="F1712" t="inlineStr">
        <is>
          <t>$6 Mn</t>
        </is>
      </c>
      <c r="G1712" s="19" t="n"/>
      <c r="H1712" s="19" t="n">
        <v>6</v>
      </c>
      <c r="I1712" t="inlineStr">
        <is>
          <t>Series A</t>
        </is>
      </c>
      <c r="J1712" t="inlineStr">
        <is>
          <t>Stellaris Venture Partners</t>
        </is>
      </c>
      <c r="K1712" t="inlineStr">
        <is>
          <t>https://inc42.com/buzz/from-citymall-to-firstclub-indian-startups-raised-186-mn-this-week/</t>
        </is>
      </c>
    </row>
    <row r="1713">
      <c r="A1713" t="inlineStr">
        <is>
          <t>INC-20250906-02</t>
        </is>
      </c>
      <c r="B1713" t="inlineStr">
        <is>
          <t>R250903-seekho</t>
        </is>
      </c>
      <c r="C1713" t="inlineStr">
        <is>
          <t>Inc42</t>
        </is>
      </c>
      <c r="D1713" s="17" t="n">
        <v>45903</v>
      </c>
      <c r="E1713" t="inlineStr">
        <is>
          <t>Seekho</t>
        </is>
      </c>
      <c r="F1713" t="inlineStr">
        <is>
          <t>$28 Mn</t>
        </is>
      </c>
      <c r="G1713" s="19" t="n"/>
      <c r="H1713" s="19" t="n">
        <v>28</v>
      </c>
      <c r="I1713" t="inlineStr">
        <is>
          <t>Series B</t>
        </is>
      </c>
      <c r="J1713" t="inlineStr">
        <is>
          <t>Bessemer Venture Partners</t>
        </is>
      </c>
      <c r="K1713" t="inlineStr">
        <is>
          <t>https://inc42.com/buzz/from-citymall-to-firstclub-indian-startups-raised-186-mn-this-week/</t>
        </is>
      </c>
    </row>
    <row r="1714">
      <c r="A1714" t="inlineStr">
        <is>
          <t>ENT-9780883</t>
        </is>
      </c>
      <c r="B1714" t="inlineStr">
        <is>
          <t>R250903-stockgro</t>
        </is>
      </c>
      <c r="C1714" t="inlineStr">
        <is>
          <t>Entrackr</t>
        </is>
      </c>
      <c r="D1714" s="17" t="n">
        <v>45903</v>
      </c>
      <c r="E1714" t="inlineStr">
        <is>
          <t>StockGro</t>
        </is>
      </c>
      <c r="F1714" t="inlineStr">
        <is>
          <t>Rs 50 crore</t>
        </is>
      </c>
      <c r="G1714" s="19" t="n">
        <v>50</v>
      </c>
      <c r="H1714" s="19" t="n">
        <v>5.7</v>
      </c>
      <c r="I1714" t="inlineStr">
        <is>
          <t>Debt</t>
        </is>
      </c>
      <c r="J1714" t="inlineStr"/>
      <c r="K1714" t="inlineStr">
        <is>
          <t>https://entrackr.com/exclusive/exclusive-stockgro-secures-rs-50-cr-debt-from-trifecta-9780883</t>
        </is>
      </c>
    </row>
    <row r="1715">
      <c r="A1715" t="inlineStr">
        <is>
          <t>ENT-9780424</t>
        </is>
      </c>
      <c r="B1715" t="inlineStr">
        <is>
          <t>R250903-waterscience</t>
        </is>
      </c>
      <c r="C1715" t="inlineStr">
        <is>
          <t>Entrackr</t>
        </is>
      </c>
      <c r="D1715" s="17" t="n">
        <v>45903</v>
      </c>
      <c r="E1715" t="inlineStr">
        <is>
          <t>WaterScience</t>
        </is>
      </c>
      <c r="F1715" t="inlineStr">
        <is>
          <t>Rs 1.4 crore</t>
        </is>
      </c>
      <c r="G1715" s="19" t="n">
        <v>1.4</v>
      </c>
      <c r="H1715" s="19" t="n"/>
      <c r="I1715" t="inlineStr">
        <is>
          <t>Undisclosed</t>
        </is>
      </c>
      <c r="J1715" t="inlineStr"/>
      <c r="K1715" t="inlineStr">
        <is>
          <t>https://entrackr.com/snippets/non-drinking-water-filtration-brand-waterscience-secures-funding-from-velocity-9780424</t>
        </is>
      </c>
    </row>
    <row r="1716">
      <c r="A1716" t="inlineStr">
        <is>
          <t>INC-20250906-19</t>
        </is>
      </c>
      <c r="B1716" t="inlineStr">
        <is>
          <t>R250903-waterscience</t>
        </is>
      </c>
      <c r="C1716" t="inlineStr">
        <is>
          <t>Inc42</t>
        </is>
      </c>
      <c r="D1716" s="17" t="n">
        <v>45903</v>
      </c>
      <c r="E1716" t="inlineStr">
        <is>
          <t>Waterscience</t>
        </is>
      </c>
      <c r="F1716" t="inlineStr">
        <is>
          <t>$159K</t>
        </is>
      </c>
      <c r="G1716" s="19" t="n"/>
      <c r="H1716" s="19" t="n">
        <v>0.159</v>
      </c>
      <c r="I1716" t="inlineStr">
        <is>
          <t>Undisclosed</t>
        </is>
      </c>
      <c r="J1716" t="inlineStr">
        <is>
          <t>Valar Ventures</t>
        </is>
      </c>
      <c r="K1716" t="inlineStr">
        <is>
          <t>https://inc42.com/buzz/from-citymall-to-firstclub-indian-startups-raised-186-mn-this-week/</t>
        </is>
      </c>
    </row>
    <row r="1717">
      <c r="A1717" t="inlineStr">
        <is>
          <t>ENT-9893438</t>
        </is>
      </c>
      <c r="B1717" t="inlineStr">
        <is>
          <t>R250904-autodukan</t>
        </is>
      </c>
      <c r="C1717" t="inlineStr">
        <is>
          <t>Entrackr</t>
        </is>
      </c>
      <c r="D1717" s="17" t="n">
        <v>45904</v>
      </c>
      <c r="E1717" t="inlineStr">
        <is>
          <t>AutoDukan</t>
        </is>
      </c>
      <c r="F1717" t="inlineStr">
        <is>
          <t>$1 million</t>
        </is>
      </c>
      <c r="G1717" s="19" t="n"/>
      <c r="H1717" s="19" t="n">
        <v>1</v>
      </c>
      <c r="I1717" t="inlineStr">
        <is>
          <t>Pre-Series A</t>
        </is>
      </c>
      <c r="J1717" t="inlineStr">
        <is>
          <t>Choice Group</t>
        </is>
      </c>
      <c r="K1717" t="inlineStr">
        <is>
          <t>https://entrackr.com/snippets/autodukan-raises-1-mn-in-pre-series-a-round-9893438</t>
        </is>
      </c>
    </row>
    <row r="1718">
      <c r="A1718" t="inlineStr">
        <is>
          <t>INC-20250906-12</t>
        </is>
      </c>
      <c r="B1718" t="inlineStr">
        <is>
          <t>R250904-autodukan</t>
        </is>
      </c>
      <c r="C1718" t="inlineStr">
        <is>
          <t>Inc42</t>
        </is>
      </c>
      <c r="D1718" s="17" t="n">
        <v>45904</v>
      </c>
      <c r="E1718" t="inlineStr">
        <is>
          <t>AutoDukan</t>
        </is>
      </c>
      <c r="F1718" t="inlineStr">
        <is>
          <t>$1 Mn</t>
        </is>
      </c>
      <c r="G1718" s="19" t="n"/>
      <c r="H1718" s="19" t="n">
        <v>1</v>
      </c>
      <c r="I1718" t="inlineStr">
        <is>
          <t>Pre-Series A</t>
        </is>
      </c>
      <c r="J1718" t="inlineStr"/>
      <c r="K1718" t="inlineStr">
        <is>
          <t>https://inc42.com/buzz/from-citymall-to-firstclub-indian-startups-raised-186-mn-this-week/</t>
        </is>
      </c>
    </row>
    <row r="1719">
      <c r="A1719" t="inlineStr">
        <is>
          <t>ENT-9894671</t>
        </is>
      </c>
      <c r="B1719" t="inlineStr">
        <is>
          <t>R250904-colive</t>
        </is>
      </c>
      <c r="C1719" t="inlineStr">
        <is>
          <t>Entrackr</t>
        </is>
      </c>
      <c r="D1719" s="17" t="n">
        <v>45904</v>
      </c>
      <c r="E1719" t="inlineStr">
        <is>
          <t>Colive</t>
        </is>
      </c>
      <c r="F1719" t="inlineStr">
        <is>
          <t>$20 million</t>
        </is>
      </c>
      <c r="G1719" s="19" t="n"/>
      <c r="H1719" s="19" t="n">
        <v>20</v>
      </c>
      <c r="I1719" t="inlineStr">
        <is>
          <t>Undisclosed</t>
        </is>
      </c>
      <c r="J1719" t="inlineStr">
        <is>
          <t>Bain Capital</t>
        </is>
      </c>
      <c r="K1719" t="inlineStr">
        <is>
          <t>https://entrackr.com/snippets/colive-raises-20-mn-led-by-bain-capital-9894671</t>
        </is>
      </c>
    </row>
    <row r="1720">
      <c r="A1720" t="inlineStr">
        <is>
          <t>INC-20250906-05</t>
        </is>
      </c>
      <c r="B1720" t="inlineStr">
        <is>
          <t>R250904-colive</t>
        </is>
      </c>
      <c r="C1720" t="inlineStr">
        <is>
          <t>Inc42</t>
        </is>
      </c>
      <c r="D1720" s="17" t="n">
        <v>45904</v>
      </c>
      <c r="E1720" t="inlineStr">
        <is>
          <t>Colive</t>
        </is>
      </c>
      <c r="F1720" t="inlineStr">
        <is>
          <t>$20 Mn</t>
        </is>
      </c>
      <c r="G1720" s="19" t="n"/>
      <c r="H1720" s="19" t="n">
        <v>20</v>
      </c>
      <c r="I1720" t="inlineStr">
        <is>
          <t>Series B</t>
        </is>
      </c>
      <c r="J1720" t="inlineStr">
        <is>
          <t>Bain Capital</t>
        </is>
      </c>
      <c r="K1720" t="inlineStr">
        <is>
          <t>https://inc42.com/buzz/from-citymall-to-firstclub-indian-startups-raised-186-mn-this-week/</t>
        </is>
      </c>
    </row>
    <row r="1721">
      <c r="A1721" t="inlineStr">
        <is>
          <t>ENT-9885513</t>
        </is>
      </c>
      <c r="B1721" t="inlineStr">
        <is>
          <t>R250904-firstclub</t>
        </is>
      </c>
      <c r="C1721" t="inlineStr">
        <is>
          <t>Entrackr</t>
        </is>
      </c>
      <c r="D1721" s="17" t="n">
        <v>45904</v>
      </c>
      <c r="E1721" t="inlineStr">
        <is>
          <t>FirstClub</t>
        </is>
      </c>
      <c r="F1721" t="inlineStr">
        <is>
          <t>$23 million</t>
        </is>
      </c>
      <c r="G1721" s="19" t="n"/>
      <c r="H1721" s="19" t="n">
        <v>23</v>
      </c>
      <c r="I1721" t="inlineStr">
        <is>
          <t>Series A</t>
        </is>
      </c>
      <c r="J1721" t="inlineStr">
        <is>
          <t>Accel; RTP Global</t>
        </is>
      </c>
      <c r="K1721" t="inlineStr">
        <is>
          <t>https://entrackr.com/news/firstclub-raises-23-mn-in-series-a-round-at-120-mn-valuation-9885513</t>
        </is>
      </c>
    </row>
    <row r="1722">
      <c r="A1722" t="inlineStr">
        <is>
          <t>ET-123682574</t>
        </is>
      </c>
      <c r="B1722" t="inlineStr">
        <is>
          <t>R250904-firstclub</t>
        </is>
      </c>
      <c r="C1722" t="inlineStr">
        <is>
          <t>The Economic Times</t>
        </is>
      </c>
      <c r="D1722" s="17" t="n">
        <v>45904</v>
      </c>
      <c r="E1722" t="inlineStr">
        <is>
          <t>FirstClub</t>
        </is>
      </c>
      <c r="F1722" t="inlineStr">
        <is>
          <t>$23 million</t>
        </is>
      </c>
      <c r="G1722" s="19" t="n"/>
      <c r="H1722" s="19" t="n">
        <v>23</v>
      </c>
      <c r="I1722" t="inlineStr">
        <is>
          <t>Undisclosed</t>
        </is>
      </c>
      <c r="J1722" t="inlineStr">
        <is>
          <t>RTP Global</t>
        </is>
      </c>
      <c r="K1722" t="inlineStr">
        <is>
          <t>https://economictimes.indiatimes.com/tech/funding/firstclub-raises-23-million-in-a-funding-round-led-by-accel-and-rtp-global/articleshow/123682574.cms</t>
        </is>
      </c>
    </row>
    <row r="1723">
      <c r="A1723" t="inlineStr">
        <is>
          <t>INC-20250906-04</t>
        </is>
      </c>
      <c r="B1723" t="inlineStr">
        <is>
          <t>R250904-firstclub</t>
        </is>
      </c>
      <c r="C1723" t="inlineStr">
        <is>
          <t>Inc42</t>
        </is>
      </c>
      <c r="D1723" s="17" t="n">
        <v>45904</v>
      </c>
      <c r="E1723" t="inlineStr">
        <is>
          <t>FirstClub</t>
        </is>
      </c>
      <c r="F1723" t="inlineStr">
        <is>
          <t>$23 Mn</t>
        </is>
      </c>
      <c r="G1723" s="19" t="n"/>
      <c r="H1723" s="19" t="n">
        <v>23</v>
      </c>
      <c r="I1723" t="inlineStr">
        <is>
          <t>Series A</t>
        </is>
      </c>
      <c r="J1723" t="inlineStr">
        <is>
          <t>Accel; RTP Global</t>
        </is>
      </c>
      <c r="K1723" t="inlineStr">
        <is>
          <t>https://inc42.com/buzz/from-citymall-to-firstclub-indian-startups-raised-186-mn-this-week/</t>
        </is>
      </c>
    </row>
    <row r="1724">
      <c r="A1724" t="inlineStr">
        <is>
          <t>ENT-9888299</t>
        </is>
      </c>
      <c r="B1724" t="inlineStr">
        <is>
          <t>R250904-flexifyme</t>
        </is>
      </c>
      <c r="C1724" t="inlineStr">
        <is>
          <t>Entrackr</t>
        </is>
      </c>
      <c r="D1724" s="17" t="n">
        <v>45904</v>
      </c>
      <c r="E1724" t="inlineStr">
        <is>
          <t>FlexifyMe</t>
        </is>
      </c>
      <c r="F1724" t="inlineStr">
        <is>
          <t>Rs 20 crore</t>
        </is>
      </c>
      <c r="G1724" s="19" t="n">
        <v>20</v>
      </c>
      <c r="H1724" s="19" t="n">
        <v>2.4</v>
      </c>
      <c r="I1724" t="inlineStr">
        <is>
          <t>Pre-Series A</t>
        </is>
      </c>
      <c r="J1724" t="inlineStr">
        <is>
          <t>IvyCap Ventures</t>
        </is>
      </c>
      <c r="K1724" t="inlineStr">
        <is>
          <t>https://entrackr.com/snippets/flexifyme-raises-20-cr-in-pre-series-a-round-led-by-ivycap-ventures-9888299</t>
        </is>
      </c>
    </row>
    <row r="1725">
      <c r="A1725" t="inlineStr">
        <is>
          <t>INC-20250906-11</t>
        </is>
      </c>
      <c r="B1725" t="inlineStr">
        <is>
          <t>R250904-flexifyme</t>
        </is>
      </c>
      <c r="C1725" t="inlineStr">
        <is>
          <t>Inc42</t>
        </is>
      </c>
      <c r="D1725" s="17" t="n">
        <v>45904</v>
      </c>
      <c r="E1725" t="inlineStr">
        <is>
          <t>FlexifyMe</t>
        </is>
      </c>
      <c r="F1725" t="inlineStr">
        <is>
          <t>$2.3 Mn</t>
        </is>
      </c>
      <c r="G1725" s="19" t="n"/>
      <c r="H1725" s="19" t="n">
        <v>2.3</v>
      </c>
      <c r="I1725" t="inlineStr">
        <is>
          <t>Pre-Series A</t>
        </is>
      </c>
      <c r="J1725" t="inlineStr">
        <is>
          <t>IvyCap Ventures</t>
        </is>
      </c>
      <c r="K1725" t="inlineStr">
        <is>
          <t>https://inc42.com/buzz/from-citymall-to-firstclub-indian-startups-raised-186-mn-this-week/</t>
        </is>
      </c>
    </row>
    <row r="1726">
      <c r="A1726" t="inlineStr">
        <is>
          <t>ENT-9888630</t>
        </is>
      </c>
      <c r="B1726" t="inlineStr">
        <is>
          <t>R250904-houseofzelena</t>
        </is>
      </c>
      <c r="C1726" t="inlineStr">
        <is>
          <t>Entrackr</t>
        </is>
      </c>
      <c r="D1726" s="17" t="n">
        <v>45904</v>
      </c>
      <c r="E1726" t="inlineStr">
        <is>
          <t>House of Zelena</t>
        </is>
      </c>
      <c r="F1726" t="inlineStr">
        <is>
          <t>Rs 7 crore</t>
        </is>
      </c>
      <c r="G1726" s="19" t="n">
        <v>7</v>
      </c>
      <c r="H1726" s="19" t="n">
        <v>0.8</v>
      </c>
      <c r="I1726" t="inlineStr">
        <is>
          <t>Seed</t>
        </is>
      </c>
      <c r="J1726" t="inlineStr">
        <is>
          <t>Sprout Venture Partners; M Venture Partners</t>
        </is>
      </c>
      <c r="K1726" t="inlineStr">
        <is>
          <t>https://entrackr.com/snippets/house-of-zelena-raises-rs-7-cr-in-seed-round-9888630</t>
        </is>
      </c>
    </row>
    <row r="1727">
      <c r="A1727" t="inlineStr">
        <is>
          <t>INC-20250906-13</t>
        </is>
      </c>
      <c r="B1727" t="inlineStr">
        <is>
          <t>R250904-houseofzelena</t>
        </is>
      </c>
      <c r="C1727" t="inlineStr">
        <is>
          <t>Inc42</t>
        </is>
      </c>
      <c r="D1727" s="17" t="n">
        <v>45904</v>
      </c>
      <c r="E1727" t="inlineStr">
        <is>
          <t>House of Zelena</t>
        </is>
      </c>
      <c r="F1727" t="inlineStr">
        <is>
          <t>$793K</t>
        </is>
      </c>
      <c r="G1727" s="19" t="n"/>
      <c r="H1727" s="19" t="n">
        <v>0.793</v>
      </c>
      <c r="I1727" t="inlineStr">
        <is>
          <t>Seed</t>
        </is>
      </c>
      <c r="J1727" t="inlineStr">
        <is>
          <t>Sprout Venture Partners; M Venture Partners</t>
        </is>
      </c>
      <c r="K1727" t="inlineStr">
        <is>
          <t>https://inc42.com/buzz/from-citymall-to-firstclub-indian-startups-raised-186-mn-this-week/</t>
        </is>
      </c>
    </row>
    <row r="1728">
      <c r="A1728" t="inlineStr">
        <is>
          <t>ENT-9885620</t>
        </is>
      </c>
      <c r="B1728" t="inlineStr">
        <is>
          <t>R250904-quanteenergy</t>
        </is>
      </c>
      <c r="C1728" t="inlineStr">
        <is>
          <t>Entrackr</t>
        </is>
      </c>
      <c r="D1728" s="17" t="n">
        <v>45904</v>
      </c>
      <c r="E1728" t="inlineStr">
        <is>
          <t>QuantE Energy</t>
        </is>
      </c>
      <c r="F1728" t="inlineStr">
        <is>
          <t>$500K</t>
        </is>
      </c>
      <c r="G1728" s="19" t="n"/>
      <c r="H1728" s="19" t="n">
        <v>0.5</v>
      </c>
      <c r="I1728" t="inlineStr">
        <is>
          <t>Seed</t>
        </is>
      </c>
      <c r="J1728" t="inlineStr">
        <is>
          <t>Trillion Dollar Venture</t>
        </is>
      </c>
      <c r="K1728" t="inlineStr">
        <is>
          <t>https://entrackr.com/snippets/solar-startup-quante-energy-raises-500k-in-seed-round-9885620</t>
        </is>
      </c>
    </row>
    <row r="1729">
      <c r="A1729" t="inlineStr">
        <is>
          <t>ET-123702721</t>
        </is>
      </c>
      <c r="B1729" t="inlineStr">
        <is>
          <t>R250904-quanteenergy</t>
        </is>
      </c>
      <c r="C1729" t="inlineStr">
        <is>
          <t>The Economic Times</t>
        </is>
      </c>
      <c r="D1729" s="17" t="n">
        <v>45904</v>
      </c>
      <c r="E1729" t="inlineStr">
        <is>
          <t>QuantE Energy</t>
        </is>
      </c>
      <c r="F1729" t="inlineStr">
        <is>
          <t>$500,000</t>
        </is>
      </c>
      <c r="G1729" s="19" t="n"/>
      <c r="H1729" s="19" t="n">
        <v>0.5</v>
      </c>
      <c r="I1729" t="inlineStr">
        <is>
          <t>Seed</t>
        </is>
      </c>
      <c r="J1729" t="inlineStr"/>
      <c r="K1729" t="inlineStr">
        <is>
          <t>https://economictimes.indiatimes.com/tech/funding/cleantech-startup-quante-energy-raises-500000-seed-funding-from-tdv-partners-angel-investors/articleshow/123702721.cms</t>
        </is>
      </c>
    </row>
    <row r="1730">
      <c r="A1730" t="inlineStr">
        <is>
          <t>INC-20250906-16</t>
        </is>
      </c>
      <c r="B1730" t="inlineStr">
        <is>
          <t>R250904-quanteenergy</t>
        </is>
      </c>
      <c r="C1730" t="inlineStr">
        <is>
          <t>Inc42</t>
        </is>
      </c>
      <c r="D1730" s="17" t="n">
        <v>45904</v>
      </c>
      <c r="E1730" t="inlineStr">
        <is>
          <t>QuantE Energy</t>
        </is>
      </c>
      <c r="F1730" t="inlineStr">
        <is>
          <t>$500K</t>
        </is>
      </c>
      <c r="G1730" s="19" t="n"/>
      <c r="H1730" s="19" t="n">
        <v>0.5</v>
      </c>
      <c r="I1730" t="inlineStr">
        <is>
          <t>Seed</t>
        </is>
      </c>
      <c r="J1730" t="inlineStr">
        <is>
          <t>Trillion Dollar Venture Partners</t>
        </is>
      </c>
      <c r="K1730" t="inlineStr">
        <is>
          <t>https://inc42.com/buzz/from-citymall-to-firstclub-indian-startups-raised-186-mn-this-week/</t>
        </is>
      </c>
    </row>
    <row r="1731">
      <c r="A1731" t="inlineStr">
        <is>
          <t>ET-123682385</t>
        </is>
      </c>
      <c r="B1731" t="inlineStr">
        <is>
          <t>R250904-revealhealthte</t>
        </is>
      </c>
      <c r="C1731" t="inlineStr">
        <is>
          <t>The Economic Times</t>
        </is>
      </c>
      <c r="D1731" s="17" t="n">
        <v>45904</v>
      </c>
      <c r="E1731" t="inlineStr">
        <is>
          <t>Reveal HealthTech</t>
        </is>
      </c>
      <c r="F1731" t="inlineStr">
        <is>
          <t>$7.2 million</t>
        </is>
      </c>
      <c r="G1731" s="19" t="n"/>
      <c r="H1731" s="19" t="n">
        <v>7.2</v>
      </c>
      <c r="I1731" t="inlineStr">
        <is>
          <t>Series A</t>
        </is>
      </c>
      <c r="J1731" t="inlineStr">
        <is>
          <t>Leo Capital</t>
        </is>
      </c>
      <c r="K1731" t="inlineStr">
        <is>
          <t>https://economictimes.indiatimes.com/tech/funding/ai-led-healthcare-startup-reveal-healthtech-raises-7-2-million-in-round-led-by-leo-capital/articleshow/123682385.cms</t>
        </is>
      </c>
    </row>
    <row r="1732">
      <c r="A1732" t="inlineStr">
        <is>
          <t>INC-20250906-07</t>
        </is>
      </c>
      <c r="B1732" t="inlineStr">
        <is>
          <t>R250904-revealhealthte</t>
        </is>
      </c>
      <c r="C1732" t="inlineStr">
        <is>
          <t>Inc42</t>
        </is>
      </c>
      <c r="D1732" s="17" t="n">
        <v>45904</v>
      </c>
      <c r="E1732" t="inlineStr">
        <is>
          <t>Reveal Healthtech</t>
        </is>
      </c>
      <c r="F1732" t="inlineStr">
        <is>
          <t>$7.2 Mn</t>
        </is>
      </c>
      <c r="G1732" s="19" t="n"/>
      <c r="H1732" s="19" t="n">
        <v>7.2</v>
      </c>
      <c r="I1732" t="inlineStr">
        <is>
          <t>Series A</t>
        </is>
      </c>
      <c r="J1732" t="inlineStr">
        <is>
          <t>Leo Capital</t>
        </is>
      </c>
      <c r="K1732" t="inlineStr">
        <is>
          <t>https://inc42.com/buzz/from-citymall-to-firstclub-indian-startups-raised-186-mn-this-week/</t>
        </is>
      </c>
    </row>
    <row r="1733">
      <c r="A1733" t="inlineStr">
        <is>
          <t>ENT-9888031</t>
        </is>
      </c>
      <c r="B1733" t="inlineStr">
        <is>
          <t>R250904-rxmen</t>
        </is>
      </c>
      <c r="C1733" t="inlineStr">
        <is>
          <t>Entrackr</t>
        </is>
      </c>
      <c r="D1733" s="17" t="n">
        <v>45904</v>
      </c>
      <c r="E1733" t="inlineStr">
        <is>
          <t>RxMen</t>
        </is>
      </c>
      <c r="F1733" t="inlineStr">
        <is>
          <t>Rs 5 crore</t>
        </is>
      </c>
      <c r="G1733" s="19" t="n">
        <v>5</v>
      </c>
      <c r="H1733" s="19" t="n">
        <v>0.57</v>
      </c>
      <c r="I1733" t="inlineStr">
        <is>
          <t>Seed</t>
        </is>
      </c>
      <c r="J1733" t="inlineStr">
        <is>
          <t>Inflection Point Ventures</t>
        </is>
      </c>
      <c r="K1733" t="inlineStr">
        <is>
          <t>https://entrackr.com/snippets/mens-health-startup-rxmen-raises-rs-5-cr-in-seed-round-led-by-ipv-9888031</t>
        </is>
      </c>
    </row>
    <row r="1734">
      <c r="A1734" t="inlineStr">
        <is>
          <t>INC-20250906-15</t>
        </is>
      </c>
      <c r="B1734" t="inlineStr">
        <is>
          <t>R250904-rxmen</t>
        </is>
      </c>
      <c r="C1734" t="inlineStr">
        <is>
          <t>Inc42</t>
        </is>
      </c>
      <c r="D1734" s="17" t="n">
        <v>45904</v>
      </c>
      <c r="E1734" t="inlineStr">
        <is>
          <t>RxMen</t>
        </is>
      </c>
      <c r="F1734" t="inlineStr">
        <is>
          <t>$566K</t>
        </is>
      </c>
      <c r="G1734" s="19" t="n"/>
      <c r="H1734" s="19" t="n">
        <v>0.5659999999999999</v>
      </c>
      <c r="I1734" t="inlineStr">
        <is>
          <t>Seed</t>
        </is>
      </c>
      <c r="J1734" t="inlineStr">
        <is>
          <t>Inflection Point Ventures</t>
        </is>
      </c>
      <c r="K1734" t="inlineStr">
        <is>
          <t>https://inc42.com/buzz/from-citymall-to-firstclub-indian-startups-raised-186-mn-this-week/</t>
        </is>
      </c>
    </row>
    <row r="1735">
      <c r="A1735" t="inlineStr">
        <is>
          <t>ENT-9999600</t>
        </is>
      </c>
      <c r="B1735" t="inlineStr">
        <is>
          <t>R250905-dectrocel</t>
        </is>
      </c>
      <c r="C1735" t="inlineStr">
        <is>
          <t>Entrackr</t>
        </is>
      </c>
      <c r="D1735" s="17" t="n">
        <v>45905</v>
      </c>
      <c r="E1735" t="inlineStr">
        <is>
          <t>Dectrocel</t>
        </is>
      </c>
      <c r="F1735" t="inlineStr">
        <is>
          <t>Rs 4 crore</t>
        </is>
      </c>
      <c r="G1735" s="19" t="n">
        <v>4</v>
      </c>
      <c r="H1735" s="19" t="n"/>
      <c r="I1735" t="inlineStr">
        <is>
          <t>Undisclosed</t>
        </is>
      </c>
      <c r="J1735" t="inlineStr">
        <is>
          <t>IAN Group-powered BioAngels; Vinners</t>
        </is>
      </c>
      <c r="K1735" t="inlineStr">
        <is>
          <t>https://entrackr.com/snippets/health-tech-startup-dectrocel-raises-4-cr-led-by-ian-group-backed-boiangels-9999600</t>
        </is>
      </c>
    </row>
    <row r="1736">
      <c r="A1736" t="inlineStr">
        <is>
          <t>INC-20250906-17</t>
        </is>
      </c>
      <c r="B1736" t="inlineStr">
        <is>
          <t>R250905-dectrocel</t>
        </is>
      </c>
      <c r="C1736" t="inlineStr">
        <is>
          <t>Inc42</t>
        </is>
      </c>
      <c r="D1736" s="17" t="n">
        <v>45905</v>
      </c>
      <c r="E1736" t="inlineStr">
        <is>
          <t>Dectrocel</t>
        </is>
      </c>
      <c r="F1736" t="inlineStr">
        <is>
          <t>$453K</t>
        </is>
      </c>
      <c r="G1736" s="19" t="n"/>
      <c r="H1736" s="19" t="n">
        <v>0.453</v>
      </c>
      <c r="I1736" t="inlineStr">
        <is>
          <t>Undisclosed</t>
        </is>
      </c>
      <c r="J1736" t="inlineStr">
        <is>
          <t>BioAngels</t>
        </is>
      </c>
      <c r="K1736" t="inlineStr">
        <is>
          <t>https://inc42.com/buzz/from-citymall-to-firstclub-indian-startups-raised-186-mn-this-week/</t>
        </is>
      </c>
    </row>
    <row r="1737">
      <c r="A1737" t="inlineStr">
        <is>
          <t>ENT-9999795</t>
        </is>
      </c>
      <c r="B1737" t="inlineStr">
        <is>
          <t>R250905-ecosoul</t>
        </is>
      </c>
      <c r="C1737" t="inlineStr">
        <is>
          <t>Entrackr</t>
        </is>
      </c>
      <c r="D1737" s="17" t="n">
        <v>45905</v>
      </c>
      <c r="E1737" t="inlineStr">
        <is>
          <t>Ecosoul</t>
        </is>
      </c>
      <c r="F1737" t="inlineStr">
        <is>
          <t>Rs 45 crore</t>
        </is>
      </c>
      <c r="G1737" s="19" t="n">
        <v>45</v>
      </c>
      <c r="H1737" s="19" t="n">
        <v>5.2</v>
      </c>
      <c r="I1737" t="inlineStr">
        <is>
          <t>Debt</t>
        </is>
      </c>
      <c r="J1737" t="inlineStr"/>
      <c r="K1737" t="inlineStr">
        <is>
          <t>https://entrackr.com/exclusive/exclusive-d2c-brand-ecosoul-secures-rs-45-cr-debt-from-bajaj-9999795</t>
        </is>
      </c>
    </row>
    <row r="1738">
      <c r="A1738" t="inlineStr">
        <is>
          <t>ENT-10060919</t>
        </is>
      </c>
      <c r="B1738" t="inlineStr">
        <is>
          <t>R250908-flipspaces</t>
        </is>
      </c>
      <c r="C1738" t="inlineStr">
        <is>
          <t>Entrackr</t>
        </is>
      </c>
      <c r="D1738" s="17" t="n">
        <v>45908</v>
      </c>
      <c r="E1738" t="inlineStr">
        <is>
          <t>Flipspaces</t>
        </is>
      </c>
      <c r="F1738" t="inlineStr">
        <is>
          <t>$50 million</t>
        </is>
      </c>
      <c r="G1738" s="19" t="n"/>
      <c r="H1738" s="19" t="n">
        <v>50</v>
      </c>
      <c r="I1738" t="inlineStr">
        <is>
          <t>Series C</t>
        </is>
      </c>
      <c r="J1738" t="inlineStr"/>
      <c r="K1738" t="inlineStr">
        <is>
          <t>https://entrackr.com/news/flipspaces-raises-50-mn-in-expanded-series-c-round-10060919</t>
        </is>
      </c>
    </row>
    <row r="1739">
      <c r="A1739" t="inlineStr">
        <is>
          <t>INC-20250913-01</t>
        </is>
      </c>
      <c r="B1739" t="inlineStr">
        <is>
          <t>R250908-flipspaces</t>
        </is>
      </c>
      <c r="C1739" t="inlineStr">
        <is>
          <t>Inc42</t>
        </is>
      </c>
      <c r="D1739" s="17" t="n">
        <v>45908</v>
      </c>
      <c r="E1739" t="inlineStr">
        <is>
          <t>Flipspaces</t>
        </is>
      </c>
      <c r="F1739" t="inlineStr">
        <is>
          <t>$9 Mn</t>
        </is>
      </c>
      <c r="G1739" s="19" t="n"/>
      <c r="H1739" s="19" t="n">
        <v>9</v>
      </c>
      <c r="I1739" t="inlineStr">
        <is>
          <t>Series C</t>
        </is>
      </c>
      <c r="J1739" t="inlineStr"/>
      <c r="K1739" t="inlineStr">
        <is>
          <t>https://inc42.com/buzz/from-flipspaces-to-indrajaal-indian-startups-raised-48-mn-this-week/</t>
        </is>
      </c>
    </row>
    <row r="1740">
      <c r="A1740" t="inlineStr">
        <is>
          <t>INC-20250913-02</t>
        </is>
      </c>
      <c r="B1740" t="inlineStr">
        <is>
          <t>R250908-indrajaal</t>
        </is>
      </c>
      <c r="C1740" t="inlineStr">
        <is>
          <t>Inc42</t>
        </is>
      </c>
      <c r="D1740" s="17" t="n">
        <v>45908</v>
      </c>
      <c r="E1740" t="inlineStr">
        <is>
          <t>Indrajaal</t>
        </is>
      </c>
      <c r="F1740" t="inlineStr">
        <is>
          <t>$5.5 Mn</t>
        </is>
      </c>
      <c r="G1740" s="19" t="n"/>
      <c r="H1740" s="19" t="n">
        <v>5.5</v>
      </c>
      <c r="I1740" t="inlineStr">
        <is>
          <t>Pre-Series A</t>
        </is>
      </c>
      <c r="J1740" t="inlineStr">
        <is>
          <t>India Accelerator; Finvolve</t>
        </is>
      </c>
      <c r="K1740" t="inlineStr">
        <is>
          <t>https://inc42.com/buzz/from-flipspaces-to-indrajaal-indian-startups-raised-48-mn-this-week/</t>
        </is>
      </c>
    </row>
    <row r="1741">
      <c r="A1741" t="inlineStr">
        <is>
          <t>INC-20250913-17</t>
        </is>
      </c>
      <c r="B1741" t="inlineStr">
        <is>
          <t>R250908-misfits</t>
        </is>
      </c>
      <c r="C1741" t="inlineStr">
        <is>
          <t>Inc42</t>
        </is>
      </c>
      <c r="D1741" s="17" t="n">
        <v>45908</v>
      </c>
      <c r="E1741" t="inlineStr">
        <is>
          <t>Misfits</t>
        </is>
      </c>
      <c r="F1741" t="inlineStr"/>
      <c r="G1741" s="19" t="n"/>
      <c r="H1741" s="19" t="n"/>
      <c r="I1741" t="inlineStr">
        <is>
          <t>Seed</t>
        </is>
      </c>
      <c r="J1741" t="inlineStr">
        <is>
          <t>Nu Ventures</t>
        </is>
      </c>
      <c r="K1741" t="inlineStr">
        <is>
          <t>https://inc42.com/buzz/from-flipspaces-to-indrajaal-indian-startups-raised-48-mn-this-week/</t>
        </is>
      </c>
    </row>
    <row r="1742">
      <c r="A1742" t="inlineStr">
        <is>
          <t>ENT-10059879</t>
        </is>
      </c>
      <c r="B1742" t="inlineStr">
        <is>
          <t>R250908-trufrostandbut</t>
        </is>
      </c>
      <c r="C1742" t="inlineStr">
        <is>
          <t>Entrackr</t>
        </is>
      </c>
      <c r="D1742" s="17" t="n">
        <v>45908</v>
      </c>
      <c r="E1742" t="inlineStr">
        <is>
          <t>Trufrost &amp; Butler</t>
        </is>
      </c>
      <c r="F1742" t="inlineStr">
        <is>
          <t>$7 million</t>
        </is>
      </c>
      <c r="G1742" s="19" t="n"/>
      <c r="H1742" s="19" t="n">
        <v>7</v>
      </c>
      <c r="I1742" t="inlineStr">
        <is>
          <t>Undisclosed</t>
        </is>
      </c>
      <c r="J1742" t="inlineStr"/>
      <c r="K1742" t="inlineStr">
        <is>
          <t>https://entrackr.com/snippets/trufrost-butler-raises-7-mn-from-carpediem-capital-10059879</t>
        </is>
      </c>
    </row>
    <row r="1743">
      <c r="A1743" t="inlineStr">
        <is>
          <t>ENT-10059353</t>
        </is>
      </c>
      <c r="B1743" t="inlineStr">
        <is>
          <t>R250908-ziffichess</t>
        </is>
      </c>
      <c r="C1743" t="inlineStr">
        <is>
          <t>Entrackr</t>
        </is>
      </c>
      <c r="D1743" s="17" t="n">
        <v>45908</v>
      </c>
      <c r="E1743" t="inlineStr">
        <is>
          <t>Ziffi Chess</t>
        </is>
      </c>
      <c r="F1743" t="inlineStr">
        <is>
          <t>Rs 44.2 crore</t>
        </is>
      </c>
      <c r="G1743" s="19" t="n">
        <v>44.2</v>
      </c>
      <c r="H1743" s="19" t="n">
        <v>5</v>
      </c>
      <c r="I1743" t="inlineStr">
        <is>
          <t>Series A</t>
        </is>
      </c>
      <c r="J1743" t="inlineStr">
        <is>
          <t>Tanglin Venture Partners; India Quotient; DeVC</t>
        </is>
      </c>
      <c r="K1743" t="inlineStr">
        <is>
          <t>https://entrackr.com/exclusive/exclusive-ziffi-chess-raises-over-5-mn-led-by-tanglin-ventures-10059353</t>
        </is>
      </c>
    </row>
    <row r="1744">
      <c r="A1744" t="inlineStr">
        <is>
          <t>ENT-10066219</t>
        </is>
      </c>
      <c r="B1744" t="inlineStr">
        <is>
          <t>R250909-aurva</t>
        </is>
      </c>
      <c r="C1744" t="inlineStr">
        <is>
          <t>Entrackr</t>
        </is>
      </c>
      <c r="D1744" s="17" t="n">
        <v>45909</v>
      </c>
      <c r="E1744" t="inlineStr">
        <is>
          <t>Aurva</t>
        </is>
      </c>
      <c r="F1744" t="inlineStr">
        <is>
          <t>$2.2 million</t>
        </is>
      </c>
      <c r="G1744" s="19" t="n"/>
      <c r="H1744" s="19" t="n">
        <v>2.2</v>
      </c>
      <c r="I1744" t="inlineStr">
        <is>
          <t>Seed</t>
        </is>
      </c>
      <c r="J1744" t="inlineStr"/>
      <c r="K1744" t="inlineStr">
        <is>
          <t>https://entrackr.com/snippets/aurva-raises-22-mn-in-seed-round-led-by-nexus-vp-10066219</t>
        </is>
      </c>
    </row>
    <row r="1745">
      <c r="A1745" t="inlineStr">
        <is>
          <t>INC-20250913-11</t>
        </is>
      </c>
      <c r="B1745" t="inlineStr">
        <is>
          <t>R250909-aurva</t>
        </is>
      </c>
      <c r="C1745" t="inlineStr">
        <is>
          <t>Inc42</t>
        </is>
      </c>
      <c r="D1745" s="17" t="n">
        <v>45909</v>
      </c>
      <c r="E1745" t="inlineStr">
        <is>
          <t>Aurva</t>
        </is>
      </c>
      <c r="F1745" t="inlineStr">
        <is>
          <t>$2.2 Mn</t>
        </is>
      </c>
      <c r="G1745" s="19" t="n"/>
      <c r="H1745" s="19" t="n">
        <v>2.2</v>
      </c>
      <c r="I1745" t="inlineStr">
        <is>
          <t>Seed</t>
        </is>
      </c>
      <c r="J1745" t="inlineStr">
        <is>
          <t>Nexus Venture Partners</t>
        </is>
      </c>
      <c r="K1745" t="inlineStr">
        <is>
          <t>https://inc42.com/buzz/from-flipspaces-to-indrajaal-indian-startups-raised-48-mn-this-week/</t>
        </is>
      </c>
    </row>
    <row r="1746">
      <c r="A1746" t="inlineStr">
        <is>
          <t>ENT-10063654</t>
        </is>
      </c>
      <c r="B1746" t="inlineStr">
        <is>
          <t>R250909-indigrid</t>
        </is>
      </c>
      <c r="C1746" t="inlineStr">
        <is>
          <t>Entrackr</t>
        </is>
      </c>
      <c r="D1746" s="17" t="n">
        <v>45909</v>
      </c>
      <c r="E1746" t="inlineStr">
        <is>
          <t>IndiGrid</t>
        </is>
      </c>
      <c r="F1746" t="inlineStr">
        <is>
          <t>$4 million</t>
        </is>
      </c>
      <c r="G1746" s="19" t="n">
        <v>35.2</v>
      </c>
      <c r="H1746" s="19" t="n">
        <v>4</v>
      </c>
      <c r="I1746" t="inlineStr">
        <is>
          <t>Undisclosed</t>
        </is>
      </c>
      <c r="J1746" t="inlineStr">
        <is>
          <t>Cactus Partners</t>
        </is>
      </c>
      <c r="K1746" t="inlineStr">
        <is>
          <t>https://entrackr.com/snippets/indigrid-raises-4-mn-led-by-cactus-venture-partners-10063654</t>
        </is>
      </c>
    </row>
    <row r="1747">
      <c r="A1747" t="inlineStr">
        <is>
          <t>ET-123778112</t>
        </is>
      </c>
      <c r="B1747" t="inlineStr">
        <is>
          <t>R250909-indigrid</t>
        </is>
      </c>
      <c r="C1747" t="inlineStr">
        <is>
          <t>The Economic Times</t>
        </is>
      </c>
      <c r="D1747" s="17" t="n">
        <v>45909</v>
      </c>
      <c r="E1747" t="inlineStr">
        <is>
          <t>Indigrid Technology</t>
        </is>
      </c>
      <c r="F1747" t="inlineStr">
        <is>
          <t>$4 million</t>
        </is>
      </c>
      <c r="G1747" s="19" t="n">
        <v>35.2</v>
      </c>
      <c r="H1747" s="19" t="n">
        <v>4</v>
      </c>
      <c r="I1747" t="inlineStr">
        <is>
          <t>Undisclosed</t>
        </is>
      </c>
      <c r="J1747" t="inlineStr"/>
      <c r="K1747" t="inlineStr">
        <is>
          <t>https://economictimes.indiatimes.com/tech/funding/indigrid-technology-raises-rs-35-crore-from-cactus-partners-at-rs-600-crore-valuation/articleshow/123778112.cms</t>
        </is>
      </c>
    </row>
    <row r="1748">
      <c r="A1748" t="inlineStr">
        <is>
          <t>INC-20250913-04</t>
        </is>
      </c>
      <c r="B1748" t="inlineStr">
        <is>
          <t>R250909-indigrid</t>
        </is>
      </c>
      <c r="C1748" t="inlineStr">
        <is>
          <t>Inc42</t>
        </is>
      </c>
      <c r="D1748" s="17" t="n">
        <v>45909</v>
      </c>
      <c r="E1748" t="inlineStr">
        <is>
          <t>Indigrid Technology</t>
        </is>
      </c>
      <c r="F1748" t="inlineStr">
        <is>
          <t>$4 Mn</t>
        </is>
      </c>
      <c r="G1748" s="19" t="n"/>
      <c r="H1748" s="19" t="n">
        <v>4</v>
      </c>
      <c r="I1748" t="inlineStr">
        <is>
          <t>Undisclosed</t>
        </is>
      </c>
      <c r="J1748" t="inlineStr">
        <is>
          <t>Cactus Partners</t>
        </is>
      </c>
      <c r="K1748" t="inlineStr">
        <is>
          <t>https://inc42.com/buzz/from-flipspaces-to-indrajaal-indian-startups-raised-48-mn-this-week/</t>
        </is>
      </c>
    </row>
    <row r="1749">
      <c r="A1749" t="inlineStr">
        <is>
          <t>ENT-10064332</t>
        </is>
      </c>
      <c r="B1749" t="inlineStr">
        <is>
          <t>R250909-prowrrap</t>
        </is>
      </c>
      <c r="C1749" t="inlineStr">
        <is>
          <t>Entrackr</t>
        </is>
      </c>
      <c r="D1749" s="17" t="n">
        <v>45909</v>
      </c>
      <c r="E1749" t="inlineStr">
        <is>
          <t>Prowrrap</t>
        </is>
      </c>
      <c r="F1749" t="inlineStr">
        <is>
          <t>Rs 4 crore</t>
        </is>
      </c>
      <c r="G1749" s="19" t="n">
        <v>4</v>
      </c>
      <c r="H1749" s="19" t="n"/>
      <c r="I1749" t="inlineStr">
        <is>
          <t>Seed</t>
        </is>
      </c>
      <c r="J1749" t="inlineStr">
        <is>
          <t>Calance Software Pvt Ltd; Amit Govil</t>
        </is>
      </c>
      <c r="K1749" t="inlineStr">
        <is>
          <t>https://entrackr.com/snippets/b2b-procurement-startup-prowrrap-raises-rs-4-cr-in-seed-round-10064332</t>
        </is>
      </c>
    </row>
    <row r="1750">
      <c r="A1750" t="inlineStr">
        <is>
          <t>INC-20250913-15</t>
        </is>
      </c>
      <c r="B1750" t="inlineStr">
        <is>
          <t>R250909-prowrrap</t>
        </is>
      </c>
      <c r="C1750" t="inlineStr">
        <is>
          <t>Inc42</t>
        </is>
      </c>
      <c r="D1750" s="17" t="n">
        <v>45909</v>
      </c>
      <c r="E1750" t="inlineStr">
        <is>
          <t>Prowrrap</t>
        </is>
      </c>
      <c r="F1750" t="inlineStr">
        <is>
          <t>$453K</t>
        </is>
      </c>
      <c r="G1750" s="19" t="n"/>
      <c r="H1750" s="19" t="n">
        <v>0.453</v>
      </c>
      <c r="I1750" t="inlineStr">
        <is>
          <t>Pre-Series A</t>
        </is>
      </c>
      <c r="J1750" t="inlineStr">
        <is>
          <t>Calance Software; Amit Govil (chairman; Calance Corporation)</t>
        </is>
      </c>
      <c r="K1750" t="inlineStr">
        <is>
          <t>https://inc42.com/buzz/from-flipspaces-to-indrajaal-indian-startups-raised-48-mn-this-week/</t>
        </is>
      </c>
    </row>
    <row r="1751">
      <c r="A1751" t="inlineStr">
        <is>
          <t>ENT-10065607</t>
        </is>
      </c>
      <c r="B1751" t="inlineStr">
        <is>
          <t>R250909-traqcheck</t>
        </is>
      </c>
      <c r="C1751" t="inlineStr">
        <is>
          <t>Entrackr</t>
        </is>
      </c>
      <c r="D1751" s="17" t="n">
        <v>45909</v>
      </c>
      <c r="E1751" t="inlineStr">
        <is>
          <t>TraqCheck</t>
        </is>
      </c>
      <c r="F1751" t="inlineStr"/>
      <c r="G1751" s="19" t="n"/>
      <c r="H1751" s="19" t="n"/>
      <c r="I1751" t="inlineStr">
        <is>
          <t>Bridge</t>
        </is>
      </c>
      <c r="J1751" t="inlineStr"/>
      <c r="K1751" t="inlineStr">
        <is>
          <t>https://entrackr.com/snippets/traqcheck-raises-bridge-round-at-17-mn-valuation-10065607</t>
        </is>
      </c>
    </row>
    <row r="1752">
      <c r="A1752" t="inlineStr">
        <is>
          <t>INC-20250913-18</t>
        </is>
      </c>
      <c r="B1752" t="inlineStr">
        <is>
          <t>R250909-traqcheck</t>
        </is>
      </c>
      <c r="C1752" t="inlineStr">
        <is>
          <t>Inc42</t>
        </is>
      </c>
      <c r="D1752" s="17" t="n">
        <v>45909</v>
      </c>
      <c r="E1752" t="inlineStr">
        <is>
          <t>TraqCheck</t>
        </is>
      </c>
      <c r="F1752" t="inlineStr"/>
      <c r="G1752" s="19" t="n"/>
      <c r="H1752" s="19" t="n"/>
      <c r="I1752" t="inlineStr">
        <is>
          <t>Undisclosed</t>
        </is>
      </c>
      <c r="J1752" t="inlineStr">
        <is>
          <t>Alok Oberoi (chairman; Everstone Capital); Siddharth Mehta (founder; Bay Capital)</t>
        </is>
      </c>
      <c r="K1752" t="inlineStr">
        <is>
          <t>https://inc42.com/buzz/from-flipspaces-to-indrajaal-indian-startups-raised-48-mn-this-week/</t>
        </is>
      </c>
    </row>
    <row r="1753">
      <c r="A1753" t="inlineStr">
        <is>
          <t>ENT-10068246</t>
        </is>
      </c>
      <c r="B1753" t="inlineStr">
        <is>
          <t>R250910-asaya</t>
        </is>
      </c>
      <c r="C1753" t="inlineStr">
        <is>
          <t>Entrackr</t>
        </is>
      </c>
      <c r="D1753" s="17" t="n">
        <v>45910</v>
      </c>
      <c r="E1753" t="inlineStr">
        <is>
          <t>Asaya</t>
        </is>
      </c>
      <c r="F1753" t="inlineStr">
        <is>
          <t>Rs 28 crore</t>
        </is>
      </c>
      <c r="G1753" s="19" t="n">
        <v>28</v>
      </c>
      <c r="H1753" s="19" t="n">
        <v>3</v>
      </c>
      <c r="I1753" t="inlineStr">
        <is>
          <t>Pre-Series A</t>
        </is>
      </c>
      <c r="J1753" t="inlineStr">
        <is>
          <t>RPSG Capital</t>
        </is>
      </c>
      <c r="K1753" t="inlineStr">
        <is>
          <t>https://entrackr.com/snippets/asaya-raises-3-mn-in-pre-series-a-round-led-by-rpsg-capital-10068246</t>
        </is>
      </c>
    </row>
    <row r="1754">
      <c r="A1754" t="inlineStr">
        <is>
          <t>INC-20250913-06</t>
        </is>
      </c>
      <c r="B1754" t="inlineStr">
        <is>
          <t>R250910-asaya</t>
        </is>
      </c>
      <c r="C1754" t="inlineStr">
        <is>
          <t>Inc42</t>
        </is>
      </c>
      <c r="D1754" s="17" t="n">
        <v>45910</v>
      </c>
      <c r="E1754" t="inlineStr">
        <is>
          <t>Asaya</t>
        </is>
      </c>
      <c r="F1754" t="inlineStr">
        <is>
          <t>$3.2 Mn</t>
        </is>
      </c>
      <c r="G1754" s="19" t="n"/>
      <c r="H1754" s="19" t="n">
        <v>3.2</v>
      </c>
      <c r="I1754" t="inlineStr">
        <is>
          <t>Pre-Series A</t>
        </is>
      </c>
      <c r="J1754" t="inlineStr">
        <is>
          <t>RPSG Capital</t>
        </is>
      </c>
      <c r="K1754" t="inlineStr">
        <is>
          <t>https://inc42.com/buzz/from-flipspaces-to-indrajaal-indian-startups-raised-48-mn-this-week/</t>
        </is>
      </c>
    </row>
    <row r="1755">
      <c r="A1755" t="inlineStr">
        <is>
          <t>ENT-10068245</t>
        </is>
      </c>
      <c r="B1755" t="inlineStr">
        <is>
          <t>R250910-endureair</t>
        </is>
      </c>
      <c r="C1755" t="inlineStr">
        <is>
          <t>Entrackr</t>
        </is>
      </c>
      <c r="D1755" s="17" t="n">
        <v>45910</v>
      </c>
      <c r="E1755" t="inlineStr">
        <is>
          <t>EndureAir</t>
        </is>
      </c>
      <c r="F1755" t="inlineStr">
        <is>
          <t>Rs 25 crore</t>
        </is>
      </c>
      <c r="G1755" s="19" t="n">
        <v>25</v>
      </c>
      <c r="H1755" s="19" t="n">
        <v>2.85</v>
      </c>
      <c r="I1755" t="inlineStr">
        <is>
          <t>Undisclosed</t>
        </is>
      </c>
      <c r="J1755" t="inlineStr">
        <is>
          <t>IAN Alpha Fund</t>
        </is>
      </c>
      <c r="K1755" t="inlineStr">
        <is>
          <t>https://entrackr.com/snippets/endureair-raises-285-mn-led-by-ian-alpha-fund-10068245</t>
        </is>
      </c>
    </row>
    <row r="1756">
      <c r="A1756" t="inlineStr">
        <is>
          <t>INC-20250913-09</t>
        </is>
      </c>
      <c r="B1756" t="inlineStr">
        <is>
          <t>R250910-endureair</t>
        </is>
      </c>
      <c r="C1756" t="inlineStr">
        <is>
          <t>Inc42</t>
        </is>
      </c>
      <c r="D1756" s="17" t="n">
        <v>45910</v>
      </c>
      <c r="E1756" t="inlineStr">
        <is>
          <t>EndureAir Systems</t>
        </is>
      </c>
      <c r="F1756" t="inlineStr">
        <is>
          <t>$2.8 Mn</t>
        </is>
      </c>
      <c r="G1756" s="19" t="n"/>
      <c r="H1756" s="19" t="n">
        <v>2.8</v>
      </c>
      <c r="I1756" t="inlineStr">
        <is>
          <t>Undisclosed</t>
        </is>
      </c>
      <c r="J1756" t="inlineStr">
        <is>
          <t>Indian Angel Network</t>
        </is>
      </c>
      <c r="K1756" t="inlineStr">
        <is>
          <t>https://inc42.com/buzz/from-flipspaces-to-indrajaal-indian-startups-raised-48-mn-this-week/</t>
        </is>
      </c>
    </row>
    <row r="1757">
      <c r="A1757" t="inlineStr">
        <is>
          <t>ENT-10067726</t>
        </is>
      </c>
      <c r="B1757" t="inlineStr">
        <is>
          <t>R250910-presolv360</t>
        </is>
      </c>
      <c r="C1757" t="inlineStr">
        <is>
          <t>Entrackr</t>
        </is>
      </c>
      <c r="D1757" s="17" t="n">
        <v>45910</v>
      </c>
      <c r="E1757" t="inlineStr">
        <is>
          <t>Presolv360</t>
        </is>
      </c>
      <c r="F1757" t="inlineStr">
        <is>
          <t>$4.7 million</t>
        </is>
      </c>
      <c r="G1757" s="19" t="n"/>
      <c r="H1757" s="19" t="n">
        <v>4.7</v>
      </c>
      <c r="I1757" t="inlineStr">
        <is>
          <t>Undisclosed</t>
        </is>
      </c>
      <c r="J1757" t="inlineStr">
        <is>
          <t>Elevation Capital</t>
        </is>
      </c>
      <c r="K1757" t="inlineStr">
        <is>
          <t>https://entrackr.com/snippets/presolv360-raises-47-mn-led-by-elevation-capital-10067726</t>
        </is>
      </c>
    </row>
    <row r="1758">
      <c r="A1758" t="inlineStr">
        <is>
          <t>ET-123793094</t>
        </is>
      </c>
      <c r="B1758" t="inlineStr">
        <is>
          <t>R250910-presolv360</t>
        </is>
      </c>
      <c r="C1758" t="inlineStr">
        <is>
          <t>The Economic Times</t>
        </is>
      </c>
      <c r="D1758" s="17" t="n">
        <v>45910</v>
      </c>
      <c r="E1758" t="inlineStr">
        <is>
          <t>Presolv360</t>
        </is>
      </c>
      <c r="F1758" t="inlineStr">
        <is>
          <t>$4.7 million</t>
        </is>
      </c>
      <c r="G1758" s="19" t="n"/>
      <c r="H1758" s="19" t="n">
        <v>4.7</v>
      </c>
      <c r="I1758" t="inlineStr">
        <is>
          <t>Undisclosed</t>
        </is>
      </c>
      <c r="J1758" t="inlineStr">
        <is>
          <t>Elevation Capital</t>
        </is>
      </c>
      <c r="K1758" t="inlineStr">
        <is>
          <t>https://economictimes.indiatimes.com/tech/funding/online-dispute-resolution-platform-presolv360-raises-4-7-million-from-elevation-capital-others/articleshow/123793094.cms</t>
        </is>
      </c>
    </row>
    <row r="1759">
      <c r="A1759" t="inlineStr">
        <is>
          <t>INC-20250913-03</t>
        </is>
      </c>
      <c r="B1759" t="inlineStr">
        <is>
          <t>R250910-presolv360</t>
        </is>
      </c>
      <c r="C1759" t="inlineStr">
        <is>
          <t>Inc42</t>
        </is>
      </c>
      <c r="D1759" s="17" t="n">
        <v>45910</v>
      </c>
      <c r="E1759" t="inlineStr">
        <is>
          <t>Presolv360</t>
        </is>
      </c>
      <c r="F1759" t="inlineStr">
        <is>
          <t>$4.7 Mn</t>
        </is>
      </c>
      <c r="G1759" s="19" t="n"/>
      <c r="H1759" s="19" t="n">
        <v>4.7</v>
      </c>
      <c r="I1759" t="inlineStr">
        <is>
          <t>Series A</t>
        </is>
      </c>
      <c r="J1759" t="inlineStr">
        <is>
          <t>Elevation Capital; MGA Ventures</t>
        </is>
      </c>
      <c r="K1759" t="inlineStr">
        <is>
          <t>https://inc42.com/buzz/from-flipspaces-to-indrajaal-indian-startups-raised-48-mn-this-week/</t>
        </is>
      </c>
    </row>
    <row r="1760">
      <c r="A1760" t="inlineStr">
        <is>
          <t>ENT-10067976</t>
        </is>
      </c>
      <c r="B1760" t="inlineStr">
        <is>
          <t>R250910-terngroup</t>
        </is>
      </c>
      <c r="C1760" t="inlineStr">
        <is>
          <t>Entrackr</t>
        </is>
      </c>
      <c r="D1760" s="17" t="n">
        <v>45910</v>
      </c>
      <c r="E1760" t="inlineStr">
        <is>
          <t>TERN Group</t>
        </is>
      </c>
      <c r="F1760" t="inlineStr">
        <is>
          <t>$24 million</t>
        </is>
      </c>
      <c r="G1760" s="19" t="n"/>
      <c r="H1760" s="19" t="n">
        <v>24</v>
      </c>
      <c r="I1760" t="inlineStr">
        <is>
          <t>Series A</t>
        </is>
      </c>
      <c r="J1760" t="inlineStr">
        <is>
          <t>Notion Capital</t>
        </is>
      </c>
      <c r="K1760" t="inlineStr">
        <is>
          <t>https://entrackr.com/snippets/tern-group-raises-24-mn-in-series-a-round-led-by-notion-capital-10067976</t>
        </is>
      </c>
    </row>
    <row r="1761">
      <c r="A1761" t="inlineStr">
        <is>
          <t>ET-123812321</t>
        </is>
      </c>
      <c r="B1761" t="inlineStr">
        <is>
          <t>R250910-terngroup</t>
        </is>
      </c>
      <c r="C1761" t="inlineStr">
        <is>
          <t>The Economic Times</t>
        </is>
      </c>
      <c r="D1761" s="17" t="n">
        <v>45910</v>
      </c>
      <c r="E1761" t="inlineStr">
        <is>
          <t>Tern Group</t>
        </is>
      </c>
      <c r="F1761" t="inlineStr">
        <is>
          <t>$24 million</t>
        </is>
      </c>
      <c r="G1761" s="19" t="n"/>
      <c r="H1761" s="19" t="n">
        <v>24</v>
      </c>
      <c r="I1761" t="inlineStr">
        <is>
          <t>Undisclosed</t>
        </is>
      </c>
      <c r="J1761" t="inlineStr">
        <is>
          <t>Notion Capital</t>
        </is>
      </c>
      <c r="K1761" t="inlineStr">
        <is>
          <t>https://economictimes.indiatimes.com/tech/funding/ai-recruitment-platform-tern-group-raises-24-million-in-round-led-by-notion-capital/articleshow/123812321.cms</t>
        </is>
      </c>
    </row>
    <row r="1762">
      <c r="A1762" t="inlineStr">
        <is>
          <t>ENT-10229378</t>
        </is>
      </c>
      <c r="B1762" t="inlineStr">
        <is>
          <t>R250911-bacaltbioscien</t>
        </is>
      </c>
      <c r="C1762" t="inlineStr">
        <is>
          <t>Entrackr</t>
        </is>
      </c>
      <c r="D1762" s="17" t="n">
        <v>45911</v>
      </c>
      <c r="E1762" t="inlineStr">
        <is>
          <t>BacAlt Biosciences</t>
        </is>
      </c>
      <c r="F1762" t="inlineStr">
        <is>
          <t>$2 million</t>
        </is>
      </c>
      <c r="G1762" s="19" t="n">
        <v>18</v>
      </c>
      <c r="H1762" s="19" t="n">
        <v>2</v>
      </c>
      <c r="I1762" t="inlineStr">
        <is>
          <t>Pre-Seed</t>
        </is>
      </c>
      <c r="J1762" t="inlineStr">
        <is>
          <t>Avaana Capital</t>
        </is>
      </c>
      <c r="K1762" t="inlineStr">
        <is>
          <t>https://entrackr.com/snippets/bacalt-biosciences-raises-2-mn-in-pre-seed-round-led-by-avaana-capital-10229378</t>
        </is>
      </c>
    </row>
    <row r="1763">
      <c r="A1763" t="inlineStr">
        <is>
          <t>ET-123813774</t>
        </is>
      </c>
      <c r="B1763" t="inlineStr">
        <is>
          <t>R250911-bacaltbioscien</t>
        </is>
      </c>
      <c r="C1763" t="inlineStr">
        <is>
          <t>The Economic Times</t>
        </is>
      </c>
      <c r="D1763" s="17" t="n">
        <v>45911</v>
      </c>
      <c r="E1763" t="inlineStr">
        <is>
          <t>BacAlt Biosciences</t>
        </is>
      </c>
      <c r="F1763" t="inlineStr">
        <is>
          <t>Rs 18 crore</t>
        </is>
      </c>
      <c r="G1763" s="19" t="n">
        <v>18</v>
      </c>
      <c r="H1763" s="19" t="n"/>
      <c r="I1763" t="inlineStr">
        <is>
          <t>Undisclosed</t>
        </is>
      </c>
      <c r="J1763" t="inlineStr">
        <is>
          <t>Avaana Capital</t>
        </is>
      </c>
      <c r="K1763" t="inlineStr">
        <is>
          <t>https://economictimes.indiatimes.com/tech/funding/bacalt-biosciences-raises-rs-18-crore-in-round-led-by-avaana-capital-startup-valued-at-8-million/articleshow/123813774.cms</t>
        </is>
      </c>
    </row>
    <row r="1764">
      <c r="A1764" t="inlineStr">
        <is>
          <t>INC-20250913-12</t>
        </is>
      </c>
      <c r="B1764" t="inlineStr">
        <is>
          <t>R250911-bacaltbioscien</t>
        </is>
      </c>
      <c r="C1764" t="inlineStr">
        <is>
          <t>Inc42</t>
        </is>
      </c>
      <c r="D1764" s="17" t="n">
        <v>45911</v>
      </c>
      <c r="E1764" t="inlineStr">
        <is>
          <t>BacAlt Biosciences</t>
        </is>
      </c>
      <c r="F1764" t="inlineStr">
        <is>
          <t>$2 Mn</t>
        </is>
      </c>
      <c r="G1764" s="19" t="n"/>
      <c r="H1764" s="19" t="n">
        <v>2</v>
      </c>
      <c r="I1764" t="inlineStr">
        <is>
          <t>Pre-Seed</t>
        </is>
      </c>
      <c r="J1764" t="inlineStr">
        <is>
          <t>Avaana Capital</t>
        </is>
      </c>
      <c r="K1764" t="inlineStr">
        <is>
          <t>https://inc42.com/buzz/from-flipspaces-to-indrajaal-indian-startups-raised-48-mn-this-week/</t>
        </is>
      </c>
    </row>
    <row r="1765">
      <c r="A1765" t="inlineStr">
        <is>
          <t>ENT-10243848</t>
        </is>
      </c>
      <c r="B1765" t="inlineStr">
        <is>
          <t>R250911-biokraft</t>
        </is>
      </c>
      <c r="C1765" t="inlineStr">
        <is>
          <t>Entrackr</t>
        </is>
      </c>
      <c r="D1765" s="17" t="n">
        <v>45911</v>
      </c>
      <c r="E1765" t="inlineStr">
        <is>
          <t>Biokraft</t>
        </is>
      </c>
      <c r="F1765" t="inlineStr">
        <is>
          <t>Rs 2 crore</t>
        </is>
      </c>
      <c r="G1765" s="19" t="n">
        <v>2</v>
      </c>
      <c r="H1765" s="19" t="n"/>
      <c r="I1765" t="inlineStr">
        <is>
          <t>Pre-Seed</t>
        </is>
      </c>
      <c r="J1765" t="inlineStr">
        <is>
          <t>GVFL</t>
        </is>
      </c>
      <c r="K1765" t="inlineStr">
        <is>
          <t>https://entrackr.com/snippets/biokraft-raises-rs-2-cr-in-pre-seed-round-from-gvfl-10243848</t>
        </is>
      </c>
    </row>
    <row r="1766">
      <c r="A1766" t="inlineStr">
        <is>
          <t>INC-20250913-16</t>
        </is>
      </c>
      <c r="B1766" t="inlineStr">
        <is>
          <t>R250911-biokraft</t>
        </is>
      </c>
      <c r="C1766" t="inlineStr">
        <is>
          <t>Inc42</t>
        </is>
      </c>
      <c r="D1766" s="17" t="n">
        <v>45911</v>
      </c>
      <c r="E1766" t="inlineStr">
        <is>
          <t>Biokraft Foods</t>
        </is>
      </c>
      <c r="F1766" t="inlineStr">
        <is>
          <t>$227K</t>
        </is>
      </c>
      <c r="G1766" s="19" t="n"/>
      <c r="H1766" s="19" t="n">
        <v>0.227</v>
      </c>
      <c r="I1766" t="inlineStr">
        <is>
          <t>Seed</t>
        </is>
      </c>
      <c r="J1766" t="inlineStr">
        <is>
          <t>GVFL</t>
        </is>
      </c>
      <c r="K1766" t="inlineStr">
        <is>
          <t>https://inc42.com/buzz/from-flipspaces-to-indrajaal-indian-startups-raised-48-mn-this-week/</t>
        </is>
      </c>
    </row>
    <row r="1767">
      <c r="A1767" t="inlineStr">
        <is>
          <t>ENT-10253147</t>
        </is>
      </c>
      <c r="B1767" t="inlineStr">
        <is>
          <t>R250911-criontechnolog</t>
        </is>
      </c>
      <c r="C1767" t="inlineStr">
        <is>
          <t>Entrackr</t>
        </is>
      </c>
      <c r="D1767" s="17" t="n">
        <v>45911</v>
      </c>
      <c r="E1767" t="inlineStr">
        <is>
          <t>Crion Technologies</t>
        </is>
      </c>
      <c r="F1767" t="inlineStr">
        <is>
          <t>Rs 3.5 Cr</t>
        </is>
      </c>
      <c r="G1767" s="19" t="n">
        <v>3.5</v>
      </c>
      <c r="H1767" s="19" t="n"/>
      <c r="I1767" t="inlineStr">
        <is>
          <t>Undisclosed</t>
        </is>
      </c>
      <c r="J1767" t="inlineStr">
        <is>
          <t>SIG Tattva</t>
        </is>
      </c>
      <c r="K1767" t="inlineStr">
        <is>
          <t>https://entrackr.com/snippets/crion-technologies-raises-rs-35-cr-led-by-sig-tattva-10253147</t>
        </is>
      </c>
    </row>
    <row r="1768">
      <c r="A1768" t="inlineStr">
        <is>
          <t>ET-123811110</t>
        </is>
      </c>
      <c r="B1768" t="inlineStr">
        <is>
          <t>R250911-ember</t>
        </is>
      </c>
      <c r="C1768" t="inlineStr">
        <is>
          <t>The Economic Times</t>
        </is>
      </c>
      <c r="D1768" s="17" t="n">
        <v>45910</v>
      </c>
      <c r="E1768" t="inlineStr">
        <is>
          <t>Ember</t>
        </is>
      </c>
      <c r="F1768" t="inlineStr">
        <is>
          <t>$3.2 million</t>
        </is>
      </c>
      <c r="G1768" s="19" t="n"/>
      <c r="H1768" s="19" t="n">
        <v>3.2</v>
      </c>
      <c r="I1768" t="inlineStr">
        <is>
          <t>Undisclosed</t>
        </is>
      </c>
      <c r="J1768" t="inlineStr"/>
      <c r="K1768" t="inlineStr">
        <is>
          <t>https://economictimes.indiatimes.com/tech/funding/cookware-brand-ember-raises-3-2-million/articleshow/123811110.cms</t>
        </is>
      </c>
    </row>
    <row r="1769">
      <c r="A1769" t="inlineStr">
        <is>
          <t>ENT-10235912</t>
        </is>
      </c>
      <c r="B1769" t="inlineStr">
        <is>
          <t>R250911-ember</t>
        </is>
      </c>
      <c r="C1769" t="inlineStr">
        <is>
          <t>Entrackr</t>
        </is>
      </c>
      <c r="D1769" s="17" t="n">
        <v>45911</v>
      </c>
      <c r="E1769" t="inlineStr">
        <is>
          <t>Ember</t>
        </is>
      </c>
      <c r="F1769" t="inlineStr">
        <is>
          <t>$3.2 million</t>
        </is>
      </c>
      <c r="G1769" s="19" t="n"/>
      <c r="H1769" s="19" t="n">
        <v>3.2</v>
      </c>
      <c r="I1769" t="inlineStr">
        <is>
          <t>Seed</t>
        </is>
      </c>
      <c r="J1769" t="inlineStr"/>
      <c r="K1769" t="inlineStr">
        <is>
          <t>https://entrackr.com/snippets/cookware-brand-ember-raises-32-mn-chef-saransh-goila-joins-as-partner-10235912</t>
        </is>
      </c>
    </row>
    <row r="1770">
      <c r="A1770" t="inlineStr">
        <is>
          <t>INC-20250913-05</t>
        </is>
      </c>
      <c r="B1770" t="inlineStr">
        <is>
          <t>R250911-ember</t>
        </is>
      </c>
      <c r="C1770" t="inlineStr">
        <is>
          <t>Inc42</t>
        </is>
      </c>
      <c r="D1770" s="17" t="n">
        <v>45911</v>
      </c>
      <c r="E1770" t="inlineStr">
        <is>
          <t>Ember</t>
        </is>
      </c>
      <c r="F1770" t="inlineStr">
        <is>
          <t>$3.2 Mn</t>
        </is>
      </c>
      <c r="G1770" s="19" t="n"/>
      <c r="H1770" s="19" t="n">
        <v>3.2</v>
      </c>
      <c r="I1770" t="inlineStr">
        <is>
          <t>Seed</t>
        </is>
      </c>
      <c r="J1770" t="inlineStr"/>
      <c r="K1770" t="inlineStr">
        <is>
          <t>https://inc42.com/buzz/from-flipspaces-to-indrajaal-indian-startups-raised-48-mn-this-week/</t>
        </is>
      </c>
    </row>
    <row r="1771">
      <c r="A1771" t="inlineStr">
        <is>
          <t>ENT-10440866</t>
        </is>
      </c>
      <c r="B1771" t="inlineStr">
        <is>
          <t>R250911-eruditus</t>
        </is>
      </c>
      <c r="C1771" t="inlineStr">
        <is>
          <t>Entrackr</t>
        </is>
      </c>
      <c r="D1771" s="17" t="n">
        <v>45911</v>
      </c>
      <c r="E1771" t="inlineStr">
        <is>
          <t>Eruditus</t>
        </is>
      </c>
      <c r="F1771" t="inlineStr">
        <is>
          <t>$150 million</t>
        </is>
      </c>
      <c r="G1771" s="19" t="n"/>
      <c r="H1771" s="19" t="n">
        <v>150</v>
      </c>
      <c r="I1771" t="inlineStr">
        <is>
          <t>Undisclosed</t>
        </is>
      </c>
      <c r="J1771" t="inlineStr">
        <is>
          <t>Mars Growth Capital; MUFG Bank</t>
        </is>
      </c>
      <c r="K1771" t="inlineStr">
        <is>
          <t>https://entrackr.com/news/eruditus-secures-150-mn-refinancing-amid-dry-edtech-funding-environment-10440866</t>
        </is>
      </c>
    </row>
    <row r="1772">
      <c r="A1772" t="inlineStr">
        <is>
          <t>VCC-6cf4191128</t>
        </is>
      </c>
      <c r="B1772" t="inlineStr">
        <is>
          <t>R250911-eruditus</t>
        </is>
      </c>
      <c r="C1772" t="inlineStr">
        <is>
          <t>VCCircle</t>
        </is>
      </c>
      <c r="D1772" s="17" t="n">
        <v>45911</v>
      </c>
      <c r="E1772" t="inlineStr">
        <is>
          <t>softbankbacked eruditus</t>
        </is>
      </c>
      <c r="F1772" t="inlineStr">
        <is>
          <t>$ 150 million</t>
        </is>
      </c>
      <c r="G1772" s="19" t="n"/>
      <c r="H1772" s="19" t="n">
        <v>150</v>
      </c>
      <c r="I1772" t="inlineStr">
        <is>
          <t>Undisclosed</t>
        </is>
      </c>
      <c r="J1772" t="inlineStr"/>
      <c r="K1772" t="inlineStr">
        <is>
          <t>https://www.vccircle.com/softbankbacked-eruditus-closes-150-mn-refinancing-to-drive-growth</t>
        </is>
      </c>
    </row>
    <row r="1773">
      <c r="A1773" t="inlineStr">
        <is>
          <t>INC-20250913-07</t>
        </is>
      </c>
      <c r="B1773" t="inlineStr">
        <is>
          <t>R250911-inamo</t>
        </is>
      </c>
      <c r="C1773" t="inlineStr">
        <is>
          <t>Inc42</t>
        </is>
      </c>
      <c r="D1773" s="17" t="n">
        <v>45911</v>
      </c>
      <c r="E1773" t="inlineStr">
        <is>
          <t>Inamo</t>
        </is>
      </c>
      <c r="F1773" t="inlineStr">
        <is>
          <t>$3 Mn</t>
        </is>
      </c>
      <c r="G1773" s="19" t="n"/>
      <c r="H1773" s="19" t="n">
        <v>3</v>
      </c>
      <c r="I1773" t="inlineStr">
        <is>
          <t>Seed</t>
        </is>
      </c>
      <c r="J1773" t="inlineStr">
        <is>
          <t>Shastra VC</t>
        </is>
      </c>
      <c r="K1773" t="inlineStr">
        <is>
          <t>https://inc42.com/buzz/from-flipspaces-to-indrajaal-indian-startups-raised-48-mn-this-week/</t>
        </is>
      </c>
    </row>
    <row r="1774">
      <c r="A1774" t="inlineStr">
        <is>
          <t>INC-20250913-13</t>
        </is>
      </c>
      <c r="B1774" t="inlineStr">
        <is>
          <t>R250911-peakamp</t>
        </is>
      </c>
      <c r="C1774" t="inlineStr">
        <is>
          <t>Inc42</t>
        </is>
      </c>
      <c r="D1774" s="17" t="n">
        <v>45911</v>
      </c>
      <c r="E1774" t="inlineStr">
        <is>
          <t>PeakAmp</t>
        </is>
      </c>
      <c r="F1774" t="inlineStr">
        <is>
          <t>$1.4 Mn</t>
        </is>
      </c>
      <c r="G1774" s="19" t="n"/>
      <c r="H1774" s="19" t="n">
        <v>1.4</v>
      </c>
      <c r="I1774" t="inlineStr">
        <is>
          <t>Seed</t>
        </is>
      </c>
      <c r="J1774" t="inlineStr">
        <is>
          <t>Caret Capital</t>
        </is>
      </c>
      <c r="K1774" t="inlineStr">
        <is>
          <t>https://inc42.com/buzz/from-flipspaces-to-indrajaal-indian-startups-raised-48-mn-this-week/</t>
        </is>
      </c>
    </row>
    <row r="1775">
      <c r="A1775" t="inlineStr">
        <is>
          <t>ENT-10445869</t>
        </is>
      </c>
      <c r="B1775" t="inlineStr">
        <is>
          <t>R250911-peakamp</t>
        </is>
      </c>
      <c r="C1775" t="inlineStr">
        <is>
          <t>Entrackr</t>
        </is>
      </c>
      <c r="D1775" s="17" t="n">
        <v>45912</v>
      </c>
      <c r="E1775" t="inlineStr">
        <is>
          <t>PeakAmp</t>
        </is>
      </c>
      <c r="F1775" t="inlineStr">
        <is>
          <t>Rs 12 crore</t>
        </is>
      </c>
      <c r="G1775" s="19" t="n">
        <v>12</v>
      </c>
      <c r="H1775" s="19" t="n">
        <v>1.37</v>
      </c>
      <c r="I1775" t="inlineStr">
        <is>
          <t>Seed</t>
        </is>
      </c>
      <c r="J1775" t="inlineStr">
        <is>
          <t>Caret Capital</t>
        </is>
      </c>
      <c r="K1775" t="inlineStr">
        <is>
          <t>https://entrackr.com/snippets/peakamp-raises-137-mn-in-seed-round-led-by-caret-capital-10445869</t>
        </is>
      </c>
    </row>
    <row r="1776">
      <c r="A1776" t="inlineStr">
        <is>
          <t>ENT-10387917</t>
        </is>
      </c>
      <c r="B1776" t="inlineStr">
        <is>
          <t>R250911-snapecabs</t>
        </is>
      </c>
      <c r="C1776" t="inlineStr">
        <is>
          <t>Entrackr</t>
        </is>
      </c>
      <c r="D1776" s="17" t="n">
        <v>45911</v>
      </c>
      <c r="E1776" t="inlineStr">
        <is>
          <t>Snap-E Cabs</t>
        </is>
      </c>
      <c r="F1776" t="inlineStr">
        <is>
          <t>$2.5 million</t>
        </is>
      </c>
      <c r="G1776" s="19" t="n"/>
      <c r="H1776" s="19" t="n">
        <v>2.5</v>
      </c>
      <c r="I1776" t="inlineStr">
        <is>
          <t>Bridge</t>
        </is>
      </c>
      <c r="J1776" t="inlineStr">
        <is>
          <t>Inflection Point Ventures</t>
        </is>
      </c>
      <c r="K1776" t="inlineStr">
        <is>
          <t>https://entrackr.com/snippets/snap-e-cabs-raises-25-mn-in-bridge-round-led-by-ipv-10387917</t>
        </is>
      </c>
    </row>
    <row r="1777">
      <c r="A1777" t="inlineStr">
        <is>
          <t>INC-20250913-10</t>
        </is>
      </c>
      <c r="B1777" t="inlineStr">
        <is>
          <t>R250911-snapecabs</t>
        </is>
      </c>
      <c r="C1777" t="inlineStr">
        <is>
          <t>Inc42</t>
        </is>
      </c>
      <c r="D1777" s="17" t="n">
        <v>45911</v>
      </c>
      <c r="E1777" t="inlineStr">
        <is>
          <t>Snap-E-Cabs</t>
        </is>
      </c>
      <c r="F1777" t="inlineStr">
        <is>
          <t>$2.5 Mn</t>
        </is>
      </c>
      <c r="G1777" s="19" t="n"/>
      <c r="H1777" s="19" t="n">
        <v>2.5</v>
      </c>
      <c r="I1777" t="inlineStr">
        <is>
          <t>Undisclosed</t>
        </is>
      </c>
      <c r="J1777" t="inlineStr">
        <is>
          <t>Inflection Point Ventures</t>
        </is>
      </c>
      <c r="K1777" t="inlineStr">
        <is>
          <t>https://inc42.com/buzz/from-flipspaces-to-indrajaal-indian-startups-raised-48-mn-this-week/</t>
        </is>
      </c>
    </row>
    <row r="1778">
      <c r="A1778" t="inlineStr">
        <is>
          <t>INC-20250920-18</t>
        </is>
      </c>
      <c r="B1778" t="inlineStr">
        <is>
          <t>R250911-ugxai</t>
        </is>
      </c>
      <c r="C1778" t="inlineStr">
        <is>
          <t>Inc42</t>
        </is>
      </c>
      <c r="D1778" s="17" t="n">
        <v>45911</v>
      </c>
      <c r="E1778" t="inlineStr">
        <is>
          <t>UGX.ai</t>
        </is>
      </c>
      <c r="F1778" t="inlineStr">
        <is>
          <t>$1 Mn</t>
        </is>
      </c>
      <c r="G1778" s="19" t="n"/>
      <c r="H1778" s="19" t="n">
        <v>1</v>
      </c>
      <c r="I1778" t="inlineStr">
        <is>
          <t>Seed</t>
        </is>
      </c>
      <c r="J1778" t="inlineStr">
        <is>
          <t>Blue Ocean Venture Partners</t>
        </is>
      </c>
      <c r="K1778" t="inlineStr">
        <is>
          <t>https://inc42.com/buzz/from-infra-market-to-blue-energy-motors-indian-startups-raised-317-mn-this-week/</t>
        </is>
      </c>
    </row>
    <row r="1779">
      <c r="A1779" t="inlineStr">
        <is>
          <t>ENT-10441100</t>
        </is>
      </c>
      <c r="B1779" t="inlineStr">
        <is>
          <t>R250911-wehouse</t>
        </is>
      </c>
      <c r="C1779" t="inlineStr">
        <is>
          <t>Entrackr</t>
        </is>
      </c>
      <c r="D1779" s="17" t="n">
        <v>45911</v>
      </c>
      <c r="E1779" t="inlineStr">
        <is>
          <t>WeHouse</t>
        </is>
      </c>
      <c r="F1779" t="inlineStr">
        <is>
          <t>Rs 25 crore</t>
        </is>
      </c>
      <c r="G1779" s="19" t="n">
        <v>25</v>
      </c>
      <c r="H1779" s="19" t="n">
        <v>2.8</v>
      </c>
      <c r="I1779" t="inlineStr">
        <is>
          <t>Series A</t>
        </is>
      </c>
      <c r="J1779" t="inlineStr"/>
      <c r="K1779" t="inlineStr">
        <is>
          <t>https://entrackr.com/snippets/prop-tech-startup-wehouse-raises-rs-25-cr-from-anthill-ventures-and-others-10441100</t>
        </is>
      </c>
    </row>
    <row r="1780">
      <c r="A1780" t="inlineStr">
        <is>
          <t>ET-123831994</t>
        </is>
      </c>
      <c r="B1780" t="inlineStr">
        <is>
          <t>R250911-wehouse</t>
        </is>
      </c>
      <c r="C1780" t="inlineStr">
        <is>
          <t>The Economic Times</t>
        </is>
      </c>
      <c r="D1780" s="17" t="n">
        <v>45911</v>
      </c>
      <c r="E1780" t="inlineStr">
        <is>
          <t>WeHouse</t>
        </is>
      </c>
      <c r="F1780" t="inlineStr">
        <is>
          <t>Rs 25 crore</t>
        </is>
      </c>
      <c r="G1780" s="19" t="n">
        <v>25</v>
      </c>
      <c r="H1780" s="19" t="n"/>
      <c r="I1780" t="inlineStr">
        <is>
          <t>Series A</t>
        </is>
      </c>
      <c r="J1780" t="inlineStr"/>
      <c r="K1780" t="inlineStr">
        <is>
          <t>https://economictimes.indiatimes.com/tech/funding/wehouse-secures-rs-25-crore-in-series-a-funding-to-fuel-tech-driven-home-construction/articleshow/123831994.cms</t>
        </is>
      </c>
    </row>
    <row r="1781">
      <c r="A1781" t="inlineStr">
        <is>
          <t>INC-20250913-08</t>
        </is>
      </c>
      <c r="B1781" t="inlineStr">
        <is>
          <t>R250911-wehouse</t>
        </is>
      </c>
      <c r="C1781" t="inlineStr">
        <is>
          <t>Inc42</t>
        </is>
      </c>
      <c r="D1781" s="17" t="n">
        <v>45911</v>
      </c>
      <c r="E1781" t="inlineStr">
        <is>
          <t>WeHouse</t>
        </is>
      </c>
      <c r="F1781" t="inlineStr">
        <is>
          <t>$2.8 Mn</t>
        </is>
      </c>
      <c r="G1781" s="19" t="n"/>
      <c r="H1781" s="19" t="n">
        <v>2.8</v>
      </c>
      <c r="I1781" t="inlineStr">
        <is>
          <t>Series A</t>
        </is>
      </c>
      <c r="J1781" t="inlineStr"/>
      <c r="K1781" t="inlineStr">
        <is>
          <t>https://inc42.com/buzz/from-flipspaces-to-indrajaal-indian-startups-raised-48-mn-this-week/</t>
        </is>
      </c>
    </row>
    <row r="1782">
      <c r="A1782" t="inlineStr">
        <is>
          <t>ENT-10445947</t>
        </is>
      </c>
      <c r="B1782" t="inlineStr">
        <is>
          <t>R250912-farmdidi</t>
        </is>
      </c>
      <c r="C1782" t="inlineStr">
        <is>
          <t>Entrackr</t>
        </is>
      </c>
      <c r="D1782" s="17" t="n">
        <v>45912</v>
      </c>
      <c r="E1782" t="inlineStr">
        <is>
          <t>FarmDidi</t>
        </is>
      </c>
      <c r="F1782" t="inlineStr">
        <is>
          <t>Rs 7 crore</t>
        </is>
      </c>
      <c r="G1782" s="19" t="n">
        <v>7</v>
      </c>
      <c r="H1782" s="19" t="n"/>
      <c r="I1782" t="inlineStr">
        <is>
          <t>Seed</t>
        </is>
      </c>
      <c r="J1782" t="inlineStr">
        <is>
          <t>Samved Ventures</t>
        </is>
      </c>
      <c r="K1782" t="inlineStr">
        <is>
          <t>https://entrackr.com/snippets/d2c-pickle-brand-farmdidi-raises-rs-7-cr-led-by-samved-ventures-10445947</t>
        </is>
      </c>
    </row>
    <row r="1783">
      <c r="A1783" t="inlineStr">
        <is>
          <t>INC-20250913-14</t>
        </is>
      </c>
      <c r="B1783" t="inlineStr">
        <is>
          <t>R250912-farmdidi</t>
        </is>
      </c>
      <c r="C1783" t="inlineStr">
        <is>
          <t>Inc42</t>
        </is>
      </c>
      <c r="D1783" s="17" t="n">
        <v>45912</v>
      </c>
      <c r="E1783" t="inlineStr">
        <is>
          <t>FarmDidi</t>
        </is>
      </c>
      <c r="F1783" t="inlineStr">
        <is>
          <t>$793K</t>
        </is>
      </c>
      <c r="G1783" s="19" t="n"/>
      <c r="H1783" s="19" t="n">
        <v>0.793</v>
      </c>
      <c r="I1783" t="inlineStr">
        <is>
          <t>Seed</t>
        </is>
      </c>
      <c r="J1783" t="inlineStr">
        <is>
          <t>Samved Ventures</t>
        </is>
      </c>
      <c r="K1783" t="inlineStr">
        <is>
          <t>https://inc42.com/buzz/from-flipspaces-to-indrajaal-indian-startups-raised-48-mn-this-week/</t>
        </is>
      </c>
    </row>
    <row r="1784">
      <c r="A1784" t="inlineStr">
        <is>
          <t>ENT-10452934</t>
        </is>
      </c>
      <c r="B1784" t="inlineStr">
        <is>
          <t>R250912-zunroof</t>
        </is>
      </c>
      <c r="C1784" t="inlineStr">
        <is>
          <t>Entrackr</t>
        </is>
      </c>
      <c r="D1784" s="17" t="n">
        <v>45912</v>
      </c>
      <c r="E1784" t="inlineStr">
        <is>
          <t>Zunroof</t>
        </is>
      </c>
      <c r="F1784" t="inlineStr">
        <is>
          <t>Rs 25 crore</t>
        </is>
      </c>
      <c r="G1784" s="19" t="n">
        <v>25</v>
      </c>
      <c r="H1784" s="19" t="n">
        <v>2.85</v>
      </c>
      <c r="I1784" t="inlineStr">
        <is>
          <t>Undisclosed</t>
        </is>
      </c>
      <c r="J1784" t="inlineStr">
        <is>
          <t>ANBG Enterprise LLP</t>
        </is>
      </c>
      <c r="K1784" t="inlineStr">
        <is>
          <t>https://entrackr.com/exclusive/exclusive-zunroof-secures-fresh-funds-from-godrej-10452934</t>
        </is>
      </c>
    </row>
    <row r="1785">
      <c r="A1785" t="inlineStr">
        <is>
          <t>ENT-10465510</t>
        </is>
      </c>
      <c r="B1785" t="inlineStr">
        <is>
          <t>R250915-mynaksh</t>
        </is>
      </c>
      <c r="C1785" t="inlineStr">
        <is>
          <t>Entrackr</t>
        </is>
      </c>
      <c r="D1785" s="17" t="n">
        <v>45915</v>
      </c>
      <c r="E1785" t="inlineStr">
        <is>
          <t>MyNaksh</t>
        </is>
      </c>
      <c r="F1785" t="inlineStr">
        <is>
          <t>Rs 7.5 crore</t>
        </is>
      </c>
      <c r="G1785" s="19" t="n">
        <v>7.5</v>
      </c>
      <c r="H1785" s="19" t="n"/>
      <c r="I1785" t="inlineStr">
        <is>
          <t>Pre-Seed</t>
        </is>
      </c>
      <c r="J1785" t="inlineStr">
        <is>
          <t>Eximius Ventures; Gemba Capital</t>
        </is>
      </c>
      <c r="K1785" t="inlineStr">
        <is>
          <t>https://entrackr.com/snippets/astrotech-startup-mynaksh-raises-rs-75-cr-led-by-eximius-ventures-10465510</t>
        </is>
      </c>
    </row>
    <row r="1786">
      <c r="A1786" t="inlineStr">
        <is>
          <t>INC-20250920-21</t>
        </is>
      </c>
      <c r="B1786" t="inlineStr">
        <is>
          <t>R250915-mynaksh</t>
        </is>
      </c>
      <c r="C1786" t="inlineStr">
        <is>
          <t>Inc42</t>
        </is>
      </c>
      <c r="D1786" s="17" t="n">
        <v>45915</v>
      </c>
      <c r="E1786" t="inlineStr">
        <is>
          <t>MyNaksh</t>
        </is>
      </c>
      <c r="F1786" t="inlineStr">
        <is>
          <t>$852K</t>
        </is>
      </c>
      <c r="G1786" s="19" t="n"/>
      <c r="H1786" s="19" t="n">
        <v>0.852</v>
      </c>
      <c r="I1786" t="inlineStr">
        <is>
          <t>Pre-Seed</t>
        </is>
      </c>
      <c r="J1786" t="inlineStr">
        <is>
          <t>Eximius Ventures</t>
        </is>
      </c>
      <c r="K1786" t="inlineStr">
        <is>
          <t>https://inc42.com/buzz/from-infra-market-to-blue-energy-motors-indian-startups-raised-317-mn-this-week/</t>
        </is>
      </c>
    </row>
    <row r="1787">
      <c r="A1787" t="inlineStr">
        <is>
          <t>INC-20250920-13</t>
        </is>
      </c>
      <c r="B1787" t="inlineStr">
        <is>
          <t>R250915-pascalailabs</t>
        </is>
      </c>
      <c r="C1787" t="inlineStr">
        <is>
          <t>Inc42</t>
        </is>
      </c>
      <c r="D1787" s="17" t="n">
        <v>45915</v>
      </c>
      <c r="E1787" t="inlineStr">
        <is>
          <t>Pascal AI Labs</t>
        </is>
      </c>
      <c r="F1787" t="inlineStr">
        <is>
          <t>$3.1 Mn</t>
        </is>
      </c>
      <c r="G1787" s="19" t="n"/>
      <c r="H1787" s="19" t="n">
        <v>3.1</v>
      </c>
      <c r="I1787" t="inlineStr">
        <is>
          <t>Seed</t>
        </is>
      </c>
      <c r="J1787" t="inlineStr">
        <is>
          <t>Kalaari Capital</t>
        </is>
      </c>
      <c r="K1787" t="inlineStr">
        <is>
          <t>https://inc42.com/buzz/from-infra-market-to-blue-energy-motors-indian-startups-raised-317-mn-this-week/</t>
        </is>
      </c>
    </row>
    <row r="1788">
      <c r="A1788" t="inlineStr">
        <is>
          <t>ENT-10469000</t>
        </is>
      </c>
      <c r="B1788" t="inlineStr">
        <is>
          <t>R250916-amaani</t>
        </is>
      </c>
      <c r="C1788" t="inlineStr">
        <is>
          <t>Entrackr</t>
        </is>
      </c>
      <c r="D1788" s="17" t="n">
        <v>45916</v>
      </c>
      <c r="E1788" t="inlineStr">
        <is>
          <t>Amaani</t>
        </is>
      </c>
      <c r="F1788" t="inlineStr">
        <is>
          <t>$3 million</t>
        </is>
      </c>
      <c r="G1788" s="19" t="n"/>
      <c r="H1788" s="19" t="n">
        <v>3</v>
      </c>
      <c r="I1788" t="inlineStr">
        <is>
          <t>Seed</t>
        </is>
      </c>
      <c r="J1788" t="inlineStr"/>
      <c r="K1788" t="inlineStr">
        <is>
          <t>https://entrackr.com/snippets/amaani-raises-3-mn-from-peak-xvs-surge-10469000</t>
        </is>
      </c>
    </row>
    <row r="1789">
      <c r="A1789" t="inlineStr">
        <is>
          <t>ENT-10468922</t>
        </is>
      </c>
      <c r="B1789" t="inlineStr">
        <is>
          <t>R250916-beyondsquare</t>
        </is>
      </c>
      <c r="C1789" t="inlineStr">
        <is>
          <t>Entrackr</t>
        </is>
      </c>
      <c r="D1789" s="17" t="n">
        <v>45916</v>
      </c>
      <c r="E1789" t="inlineStr">
        <is>
          <t>BeyondSquare</t>
        </is>
      </c>
      <c r="F1789" t="inlineStr">
        <is>
          <t>$4 million</t>
        </is>
      </c>
      <c r="G1789" s="19" t="n"/>
      <c r="H1789" s="19" t="n">
        <v>4</v>
      </c>
      <c r="I1789" t="inlineStr">
        <is>
          <t>Series A</t>
        </is>
      </c>
      <c r="J1789" t="inlineStr">
        <is>
          <t>Avant Global Corporation</t>
        </is>
      </c>
      <c r="K1789" t="inlineStr">
        <is>
          <t>https://entrackr.com/snippets/beyondsquare-raises-4-mn-in-series-a-led-by-avant-global-10468922</t>
        </is>
      </c>
    </row>
    <row r="1790">
      <c r="A1790" t="inlineStr">
        <is>
          <t>ENT-10469902</t>
        </is>
      </c>
      <c r="B1790" t="inlineStr">
        <is>
          <t>R250916-genovationsolu</t>
        </is>
      </c>
      <c r="C1790" t="inlineStr">
        <is>
          <t>Entrackr</t>
        </is>
      </c>
      <c r="D1790" s="17" t="n">
        <v>45916</v>
      </c>
      <c r="E1790" t="inlineStr">
        <is>
          <t>Genovation Solutions</t>
        </is>
      </c>
      <c r="F1790" t="inlineStr">
        <is>
          <t>$150,000</t>
        </is>
      </c>
      <c r="G1790" s="19" t="n"/>
      <c r="H1790" s="19" t="n">
        <v>0.15</v>
      </c>
      <c r="I1790" t="inlineStr">
        <is>
          <t>Pre-Seed</t>
        </is>
      </c>
      <c r="J1790" t="inlineStr"/>
      <c r="K1790" t="inlineStr">
        <is>
          <t>https://entrackr.com/snippets/genovation-solutions-raises-150k-in-pre-seed-round-10469902</t>
        </is>
      </c>
    </row>
    <row r="1791">
      <c r="A1791" t="inlineStr">
        <is>
          <t>INC-20250920-12</t>
        </is>
      </c>
      <c r="B1791" t="inlineStr">
        <is>
          <t>R250916-idodevices</t>
        </is>
      </c>
      <c r="C1791" t="inlineStr">
        <is>
          <t>Inc42</t>
        </is>
      </c>
      <c r="D1791" s="17" t="n">
        <v>45916</v>
      </c>
      <c r="E1791" t="inlineStr">
        <is>
          <t>iDO Devices</t>
        </is>
      </c>
      <c r="F1791" t="inlineStr">
        <is>
          <t>$4 Mn</t>
        </is>
      </c>
      <c r="G1791" s="19" t="n"/>
      <c r="H1791" s="19" t="n">
        <v>4</v>
      </c>
      <c r="I1791" t="inlineStr">
        <is>
          <t>Undisclosed</t>
        </is>
      </c>
      <c r="J1791" t="inlineStr">
        <is>
          <t>Blume Ventures; Merak Ventures</t>
        </is>
      </c>
      <c r="K1791" t="inlineStr">
        <is>
          <t>https://inc42.com/buzz/from-infra-market-to-blue-energy-motors-indian-startups-raised-317-mn-this-week/</t>
        </is>
      </c>
    </row>
    <row r="1792">
      <c r="A1792" t="inlineStr">
        <is>
          <t>VCC-4c87918a73</t>
        </is>
      </c>
      <c r="B1792" t="inlineStr">
        <is>
          <t>R250916-idodevices</t>
        </is>
      </c>
      <c r="C1792" t="inlineStr">
        <is>
          <t>VCCircle</t>
        </is>
      </c>
      <c r="D1792" s="17" t="n">
        <v>45918</v>
      </c>
      <c r="E1792" t="inlineStr">
        <is>
          <t>ido devices</t>
        </is>
      </c>
      <c r="F1792" t="inlineStr">
        <is>
          <t>$ 4 million</t>
        </is>
      </c>
      <c r="G1792" s="19" t="n"/>
      <c r="H1792" s="19" t="n">
        <v>4</v>
      </c>
      <c r="I1792" t="inlineStr">
        <is>
          <t>Undisclosed</t>
        </is>
      </c>
      <c r="J1792" t="inlineStr"/>
      <c r="K1792" t="inlineStr">
        <is>
          <t>https://www.vccircle.com/blumeventures-and-merak-ventures-invest-4-million-in-ido-devices</t>
        </is>
      </c>
    </row>
    <row r="1793">
      <c r="A1793" t="inlineStr">
        <is>
          <t>ENT-10468795</t>
        </is>
      </c>
      <c r="B1793" t="inlineStr">
        <is>
          <t>R250916-incredmoney</t>
        </is>
      </c>
      <c r="C1793" t="inlineStr">
        <is>
          <t>Entrackr</t>
        </is>
      </c>
      <c r="D1793" s="17" t="n">
        <v>45916</v>
      </c>
      <c r="E1793" t="inlineStr">
        <is>
          <t>InCred Money</t>
        </is>
      </c>
      <c r="F1793" t="inlineStr">
        <is>
          <t>Rs 250 crore</t>
        </is>
      </c>
      <c r="G1793" s="19" t="n">
        <v>250</v>
      </c>
      <c r="H1793" s="19" t="n">
        <v>30</v>
      </c>
      <c r="I1793" t="inlineStr">
        <is>
          <t>Undisclosed</t>
        </is>
      </c>
      <c r="J1793" t="inlineStr"/>
      <c r="K1793" t="inlineStr">
        <is>
          <t>https://entrackr.com/exclusive/exclusive-incred-money-secures-rs-250-cr-from-marquee-investors-at-rs-1650-cr-valuation-10468795</t>
        </is>
      </c>
    </row>
    <row r="1794">
      <c r="A1794" t="inlineStr">
        <is>
          <t>INC-20250920-05</t>
        </is>
      </c>
      <c r="B1794" t="inlineStr">
        <is>
          <t>R250916-incredmoney</t>
        </is>
      </c>
      <c r="C1794" t="inlineStr">
        <is>
          <t>Inc42</t>
        </is>
      </c>
      <c r="D1794" s="17" t="n">
        <v>45916</v>
      </c>
      <c r="E1794" t="inlineStr">
        <is>
          <t>InCred Money</t>
        </is>
      </c>
      <c r="F1794" t="inlineStr">
        <is>
          <t>$30 Mn</t>
        </is>
      </c>
      <c r="G1794" s="19" t="n"/>
      <c r="H1794" s="19" t="n">
        <v>30</v>
      </c>
      <c r="I1794" t="inlineStr">
        <is>
          <t>Undisclosed</t>
        </is>
      </c>
      <c r="J1794" t="inlineStr"/>
      <c r="K1794" t="inlineStr">
        <is>
          <t>https://inc42.com/buzz/from-infra-market-to-blue-energy-motors-indian-startups-raised-317-mn-this-week/</t>
        </is>
      </c>
    </row>
    <row r="1795">
      <c r="A1795" t="inlineStr">
        <is>
          <t>INC-20250920-07</t>
        </is>
      </c>
      <c r="B1795" t="inlineStr">
        <is>
          <t>R250916-indkal</t>
        </is>
      </c>
      <c r="C1795" t="inlineStr">
        <is>
          <t>Inc42</t>
        </is>
      </c>
      <c r="D1795" s="17" t="n">
        <v>45916</v>
      </c>
      <c r="E1795" t="inlineStr">
        <is>
          <t>Indkal</t>
        </is>
      </c>
      <c r="F1795" t="inlineStr">
        <is>
          <t>$20 Mn</t>
        </is>
      </c>
      <c r="G1795" s="19" t="n"/>
      <c r="H1795" s="19" t="n">
        <v>20</v>
      </c>
      <c r="I1795" t="inlineStr">
        <is>
          <t>Undisclosed</t>
        </is>
      </c>
      <c r="J1795" t="inlineStr"/>
      <c r="K1795" t="inlineStr">
        <is>
          <t>https://inc42.com/buzz/from-infra-market-to-blue-energy-motors-indian-startups-raised-317-mn-this-week/</t>
        </is>
      </c>
    </row>
    <row r="1796">
      <c r="A1796" t="inlineStr">
        <is>
          <t>ENT-10469141</t>
        </is>
      </c>
      <c r="B1796" t="inlineStr">
        <is>
          <t>R250916-pelocal</t>
        </is>
      </c>
      <c r="C1796" t="inlineStr">
        <is>
          <t>Entrackr</t>
        </is>
      </c>
      <c r="D1796" s="17" t="n">
        <v>45916</v>
      </c>
      <c r="E1796" t="inlineStr">
        <is>
          <t>Pelocal</t>
        </is>
      </c>
      <c r="F1796" t="inlineStr">
        <is>
          <t>$5 million</t>
        </is>
      </c>
      <c r="G1796" s="19" t="n"/>
      <c r="H1796" s="19" t="n">
        <v>5</v>
      </c>
      <c r="I1796" t="inlineStr">
        <is>
          <t>Series A</t>
        </is>
      </c>
      <c r="J1796" t="inlineStr">
        <is>
          <t>UNLEASH Capital Partners; Unicorn India Ventures</t>
        </is>
      </c>
      <c r="K1796" t="inlineStr">
        <is>
          <t>https://entrackr.com/snippets/fintech-startup-pelocal-secures-5-mn-in-series-a-funding-10469141</t>
        </is>
      </c>
    </row>
    <row r="1797">
      <c r="A1797" t="inlineStr">
        <is>
          <t>ET-123915912</t>
        </is>
      </c>
      <c r="B1797" t="inlineStr">
        <is>
          <t>R250916-pelocal</t>
        </is>
      </c>
      <c r="C1797" t="inlineStr">
        <is>
          <t>The Economic Times</t>
        </is>
      </c>
      <c r="D1797" s="17" t="n">
        <v>45916</v>
      </c>
      <c r="E1797" t="inlineStr">
        <is>
          <t>Pelocal</t>
        </is>
      </c>
      <c r="F1797" t="inlineStr">
        <is>
          <t>$5 million</t>
        </is>
      </c>
      <c r="G1797" s="19" t="n"/>
      <c r="H1797" s="19" t="n">
        <v>5</v>
      </c>
      <c r="I1797" t="inlineStr">
        <is>
          <t>Undisclosed</t>
        </is>
      </c>
      <c r="J1797" t="inlineStr">
        <is>
          <t>Unleash Capital Partners; Unicorn India Ventures</t>
        </is>
      </c>
      <c r="K1797" t="inlineStr">
        <is>
          <t>https://economictimes.indiatimes.com/tech/funding/fintech-startup-pelocal-raises-5-million-from-unleash-capital-partners-unicorn-india-ventures-and-angels/articleshow/123915912.cms</t>
        </is>
      </c>
    </row>
    <row r="1798">
      <c r="A1798" t="inlineStr">
        <is>
          <t>INC-20250920-11</t>
        </is>
      </c>
      <c r="B1798" t="inlineStr">
        <is>
          <t>R250916-pelocal</t>
        </is>
      </c>
      <c r="C1798" t="inlineStr">
        <is>
          <t>Inc42</t>
        </is>
      </c>
      <c r="D1798" s="17" t="n">
        <v>45917</v>
      </c>
      <c r="E1798" t="inlineStr">
        <is>
          <t>Pelocal</t>
        </is>
      </c>
      <c r="F1798" t="inlineStr">
        <is>
          <t>$5 Mn</t>
        </is>
      </c>
      <c r="G1798" s="19" t="n"/>
      <c r="H1798" s="19" t="n">
        <v>5</v>
      </c>
      <c r="I1798" t="inlineStr">
        <is>
          <t>Series A</t>
        </is>
      </c>
      <c r="J1798" t="inlineStr">
        <is>
          <t>UNLEASH Capital Partners; Unicorn India Ventures</t>
        </is>
      </c>
      <c r="K1798" t="inlineStr">
        <is>
          <t>https://inc42.com/buzz/from-infra-market-to-blue-energy-motors-indian-startups-raised-317-mn-this-week/</t>
        </is>
      </c>
    </row>
    <row r="1799">
      <c r="A1799" t="inlineStr">
        <is>
          <t>ENT-10469652</t>
        </is>
      </c>
      <c r="B1799" t="inlineStr">
        <is>
          <t>R250916-pharmeasy</t>
        </is>
      </c>
      <c r="C1799" t="inlineStr">
        <is>
          <t>Entrackr</t>
        </is>
      </c>
      <c r="D1799" s="17" t="n">
        <v>45916</v>
      </c>
      <c r="E1799" t="inlineStr">
        <is>
          <t>PharmEasy</t>
        </is>
      </c>
      <c r="F1799" t="inlineStr">
        <is>
          <t>Rs 1,700 crore</t>
        </is>
      </c>
      <c r="G1799" s="19" t="n">
        <v>1700</v>
      </c>
      <c r="H1799" s="19" t="n">
        <v>193</v>
      </c>
      <c r="I1799" t="inlineStr">
        <is>
          <t>Debt</t>
        </is>
      </c>
      <c r="J1799" t="inlineStr">
        <is>
          <t>360 One</t>
        </is>
      </c>
      <c r="K1799" t="inlineStr">
        <is>
          <t>https://entrackr.com/news/pharmeasy-raises-fresh-debt-to-clear-goldman-sachs-loan-after-90-valuation-cut-10469652</t>
        </is>
      </c>
    </row>
    <row r="1800">
      <c r="A1800" t="inlineStr">
        <is>
          <t>INC-20250927-01</t>
        </is>
      </c>
      <c r="B1800" t="inlineStr">
        <is>
          <t>R250916-pharmeasy</t>
        </is>
      </c>
      <c r="C1800" t="inlineStr">
        <is>
          <t>Inc42</t>
        </is>
      </c>
      <c r="D1800" s="17" t="n">
        <v>45924</v>
      </c>
      <c r="E1800" t="inlineStr">
        <is>
          <t>PharmEasy</t>
        </is>
      </c>
      <c r="F1800" t="inlineStr">
        <is>
          <t>$191.7 Mn</t>
        </is>
      </c>
      <c r="G1800" s="19" t="n"/>
      <c r="H1800" s="19" t="n">
        <v>191.7</v>
      </c>
      <c r="I1800" t="inlineStr">
        <is>
          <t>Debt</t>
        </is>
      </c>
      <c r="J1800" t="inlineStr"/>
      <c r="K1800" t="inlineStr">
        <is>
          <t>https://inc42.com/buzz/from-pharmeasy-to-curefoods-indian-startups-raised-377-mn-this-week/</t>
        </is>
      </c>
    </row>
    <row r="1801">
      <c r="A1801" t="inlineStr">
        <is>
          <t>INC-20250920-19</t>
        </is>
      </c>
      <c r="B1801" t="inlineStr">
        <is>
          <t>R250916-playsuper</t>
        </is>
      </c>
      <c r="C1801" t="inlineStr">
        <is>
          <t>Inc42</t>
        </is>
      </c>
      <c r="D1801" s="17" t="n">
        <v>45916</v>
      </c>
      <c r="E1801" t="inlineStr">
        <is>
          <t>PlaySuper</t>
        </is>
      </c>
      <c r="F1801" t="inlineStr">
        <is>
          <t>$1 Mn</t>
        </is>
      </c>
      <c r="G1801" s="19" t="n"/>
      <c r="H1801" s="19" t="n">
        <v>1</v>
      </c>
      <c r="I1801" t="inlineStr">
        <is>
          <t>Seed</t>
        </is>
      </c>
      <c r="J1801" t="inlineStr">
        <is>
          <t>Chimera</t>
        </is>
      </c>
      <c r="K1801" t="inlineStr">
        <is>
          <t>https://inc42.com/buzz/from-infra-market-to-blue-energy-motors-indian-startups-raised-317-mn-this-week/</t>
        </is>
      </c>
    </row>
    <row r="1802">
      <c r="A1802" t="inlineStr">
        <is>
          <t>ENT-10472060</t>
        </is>
      </c>
      <c r="B1802" t="inlineStr">
        <is>
          <t>R250916-playsuper</t>
        </is>
      </c>
      <c r="C1802" t="inlineStr">
        <is>
          <t>Entrackr</t>
        </is>
      </c>
      <c r="D1802" s="17" t="n">
        <v>45917</v>
      </c>
      <c r="E1802" t="inlineStr">
        <is>
          <t>PlaySuper</t>
        </is>
      </c>
      <c r="F1802" t="inlineStr">
        <is>
          <t>$1 million</t>
        </is>
      </c>
      <c r="G1802" s="19" t="n"/>
      <c r="H1802" s="19" t="n">
        <v>1</v>
      </c>
      <c r="I1802" t="inlineStr">
        <is>
          <t>Seed</t>
        </is>
      </c>
      <c r="J1802" t="inlineStr"/>
      <c r="K1802" t="inlineStr">
        <is>
          <t>https://entrackr.com/snippets/playsuper-raises-1-mn-in-seed-round-led-by-singapore-based-chimera-10472060</t>
        </is>
      </c>
    </row>
    <row r="1803">
      <c r="A1803" t="inlineStr">
        <is>
          <t>ENT-10470901</t>
        </is>
      </c>
      <c r="B1803" t="inlineStr">
        <is>
          <t>R250916-scalekit</t>
        </is>
      </c>
      <c r="C1803" t="inlineStr">
        <is>
          <t>Entrackr</t>
        </is>
      </c>
      <c r="D1803" s="17" t="n">
        <v>45916</v>
      </c>
      <c r="E1803" t="inlineStr">
        <is>
          <t>Scalekit</t>
        </is>
      </c>
      <c r="F1803" t="inlineStr">
        <is>
          <t>$5.5 million</t>
        </is>
      </c>
      <c r="G1803" s="19" t="n"/>
      <c r="H1803" s="19" t="n">
        <v>5.5</v>
      </c>
      <c r="I1803" t="inlineStr">
        <is>
          <t>Seed</t>
        </is>
      </c>
      <c r="J1803" t="inlineStr">
        <is>
          <t>Together Fund; Z47</t>
        </is>
      </c>
      <c r="K1803" t="inlineStr">
        <is>
          <t>https://entrackr.com/snippets/saas-startup-scalekit-raises-55-mn-in-seed-round-led-by-together-fund-and-z47-10470901</t>
        </is>
      </c>
    </row>
    <row r="1804">
      <c r="A1804" t="inlineStr">
        <is>
          <t>INC-20250920-08</t>
        </is>
      </c>
      <c r="B1804" t="inlineStr">
        <is>
          <t>R250916-scalekit</t>
        </is>
      </c>
      <c r="C1804" t="inlineStr">
        <is>
          <t>Inc42</t>
        </is>
      </c>
      <c r="D1804" s="17" t="n">
        <v>45917</v>
      </c>
      <c r="E1804" t="inlineStr">
        <is>
          <t>Scalekit</t>
        </is>
      </c>
      <c r="F1804" t="inlineStr">
        <is>
          <t>$5.5 Mn</t>
        </is>
      </c>
      <c r="G1804" s="19" t="n"/>
      <c r="H1804" s="19" t="n">
        <v>5.5</v>
      </c>
      <c r="I1804" t="inlineStr">
        <is>
          <t>Seed</t>
        </is>
      </c>
      <c r="J1804" t="inlineStr">
        <is>
          <t>Together Fund; Z47</t>
        </is>
      </c>
      <c r="K1804" t="inlineStr">
        <is>
          <t>https://inc42.com/buzz/from-infra-market-to-blue-energy-motors-indian-startups-raised-317-mn-this-week/</t>
        </is>
      </c>
    </row>
    <row r="1805">
      <c r="A1805" t="inlineStr">
        <is>
          <t>ENT-10469229</t>
        </is>
      </c>
      <c r="B1805" t="inlineStr">
        <is>
          <t>R250916-uknowva</t>
        </is>
      </c>
      <c r="C1805" t="inlineStr">
        <is>
          <t>Entrackr</t>
        </is>
      </c>
      <c r="D1805" s="17" t="n">
        <v>45916</v>
      </c>
      <c r="E1805" t="inlineStr">
        <is>
          <t>uKnowva</t>
        </is>
      </c>
      <c r="F1805" t="inlineStr">
        <is>
          <t>$0.5 million</t>
        </is>
      </c>
      <c r="G1805" s="19" t="n"/>
      <c r="H1805" s="19" t="n">
        <v>0.5</v>
      </c>
      <c r="I1805" t="inlineStr">
        <is>
          <t>Pre-Series A</t>
        </is>
      </c>
      <c r="J1805" t="inlineStr">
        <is>
          <t>Parv Network; Growth 91; Aapna Infotech</t>
        </is>
      </c>
      <c r="K1805" t="inlineStr">
        <is>
          <t>https://entrackr.com/snippets/uknowva-raises-05-mn-in-pre-series-a-round-10469229</t>
        </is>
      </c>
    </row>
    <row r="1806">
      <c r="A1806" t="inlineStr">
        <is>
          <t>INC-20250920-22</t>
        </is>
      </c>
      <c r="B1806" t="inlineStr">
        <is>
          <t>R250916-uknowva</t>
        </is>
      </c>
      <c r="C1806" t="inlineStr">
        <is>
          <t>Inc42</t>
        </is>
      </c>
      <c r="D1806" s="17" t="n">
        <v>45916</v>
      </c>
      <c r="E1806" t="inlineStr">
        <is>
          <t>uKnowva</t>
        </is>
      </c>
      <c r="F1806" t="inlineStr">
        <is>
          <t>$500K</t>
        </is>
      </c>
      <c r="G1806" s="19" t="n"/>
      <c r="H1806" s="19" t="n">
        <v>0.5</v>
      </c>
      <c r="I1806" t="inlineStr">
        <is>
          <t>Pre-Series A</t>
        </is>
      </c>
      <c r="J1806" t="inlineStr"/>
      <c r="K1806" t="inlineStr">
        <is>
          <t>https://inc42.com/buzz/from-infra-market-to-blue-energy-motors-indian-startups-raised-317-mn-this-week/</t>
        </is>
      </c>
    </row>
    <row r="1807">
      <c r="A1807" t="inlineStr">
        <is>
          <t>ET-123919050</t>
        </is>
      </c>
      <c r="B1807" t="inlineStr">
        <is>
          <t>R250917-ecosoulhome</t>
        </is>
      </c>
      <c r="C1807" t="inlineStr">
        <is>
          <t>The Economic Times</t>
        </is>
      </c>
      <c r="D1807" s="17" t="n">
        <v>45916</v>
      </c>
      <c r="E1807" t="inlineStr">
        <is>
          <t>Ecosoul</t>
        </is>
      </c>
      <c r="F1807" t="inlineStr">
        <is>
          <t>$20 million</t>
        </is>
      </c>
      <c r="G1807" s="19" t="n"/>
      <c r="H1807" s="19" t="n">
        <v>20</v>
      </c>
      <c r="I1807" t="inlineStr">
        <is>
          <t>Undisclosed</t>
        </is>
      </c>
      <c r="J1807" t="inlineStr">
        <is>
          <t>Accel; Bajaj Financial Securities Limited</t>
        </is>
      </c>
      <c r="K1807" t="inlineStr">
        <is>
          <t>https://economictimes.indiatimes.com/tech/funding/sustainability-focused-homeware-brand-ecosoul-raises-20-million-from-accel-bajaj-fin-securities-others/articleshow/123919050.cms</t>
        </is>
      </c>
    </row>
    <row r="1808">
      <c r="A1808" t="inlineStr">
        <is>
          <t>ENT-10472175</t>
        </is>
      </c>
      <c r="B1808" t="inlineStr">
        <is>
          <t>R250917-ecosoulhome</t>
        </is>
      </c>
      <c r="C1808" t="inlineStr">
        <is>
          <t>Entrackr</t>
        </is>
      </c>
      <c r="D1808" s="17" t="n">
        <v>45917</v>
      </c>
      <c r="E1808" t="inlineStr">
        <is>
          <t>EcoSoul Home</t>
        </is>
      </c>
      <c r="F1808" t="inlineStr">
        <is>
          <t>$20 million</t>
        </is>
      </c>
      <c r="G1808" s="19" t="n"/>
      <c r="H1808" s="19" t="n">
        <v>20</v>
      </c>
      <c r="I1808" t="inlineStr">
        <is>
          <t>Series B</t>
        </is>
      </c>
      <c r="J1808" t="inlineStr">
        <is>
          <t>Accel; Bajaj Financial Securities Limited</t>
        </is>
      </c>
      <c r="K1808" t="inlineStr">
        <is>
          <t>https://entrackr.com/ecosoul-home-raises-20-mn-through-equity-and-debt-10472175</t>
        </is>
      </c>
    </row>
    <row r="1809">
      <c r="A1809" t="inlineStr">
        <is>
          <t>INC-20250920-06</t>
        </is>
      </c>
      <c r="B1809" t="inlineStr">
        <is>
          <t>R250917-ecosoulhome</t>
        </is>
      </c>
      <c r="C1809" t="inlineStr">
        <is>
          <t>Inc42</t>
        </is>
      </c>
      <c r="D1809" s="17" t="n">
        <v>45917</v>
      </c>
      <c r="E1809" t="inlineStr">
        <is>
          <t>EcoSoul</t>
        </is>
      </c>
      <c r="F1809" t="inlineStr">
        <is>
          <t>$20 Mn</t>
        </is>
      </c>
      <c r="G1809" s="19" t="n"/>
      <c r="H1809" s="19" t="n">
        <v>20</v>
      </c>
      <c r="I1809" t="inlineStr">
        <is>
          <t>Series B</t>
        </is>
      </c>
      <c r="J1809" t="inlineStr">
        <is>
          <t>Accel; Bajaj Financial Securities</t>
        </is>
      </c>
      <c r="K1809" t="inlineStr">
        <is>
          <t>https://inc42.com/buzz/from-infra-market-to-blue-energy-motors-indian-startups-raised-317-mn-this-week/</t>
        </is>
      </c>
    </row>
    <row r="1810">
      <c r="A1810" t="inlineStr">
        <is>
          <t>INC-20250920-02</t>
        </is>
      </c>
      <c r="B1810" t="inlineStr">
        <is>
          <t>R250917-evoluteiq</t>
        </is>
      </c>
      <c r="C1810" t="inlineStr">
        <is>
          <t>Inc42</t>
        </is>
      </c>
      <c r="D1810" s="17" t="n">
        <v>45917</v>
      </c>
      <c r="E1810" t="inlineStr">
        <is>
          <t>EvoluteIQ</t>
        </is>
      </c>
      <c r="F1810" t="inlineStr">
        <is>
          <t>$53 Mn</t>
        </is>
      </c>
      <c r="G1810" s="19" t="n"/>
      <c r="H1810" s="19" t="n">
        <v>53</v>
      </c>
      <c r="I1810" t="inlineStr">
        <is>
          <t>Undisclosed</t>
        </is>
      </c>
      <c r="J1810" t="inlineStr">
        <is>
          <t>Baird Capital</t>
        </is>
      </c>
      <c r="K1810" t="inlineStr">
        <is>
          <t>https://inc42.com/buzz/from-infra-market-to-blue-energy-motors-indian-startups-raised-317-mn-this-week/</t>
        </is>
      </c>
    </row>
    <row r="1811">
      <c r="A1811" t="inlineStr">
        <is>
          <t>ENT-10471935</t>
        </is>
      </c>
      <c r="B1811" t="inlineStr">
        <is>
          <t>R250917-finbox</t>
        </is>
      </c>
      <c r="C1811" t="inlineStr">
        <is>
          <t>Entrackr</t>
        </is>
      </c>
      <c r="D1811" s="17" t="n">
        <v>45917</v>
      </c>
      <c r="E1811" t="inlineStr">
        <is>
          <t>FinBox</t>
        </is>
      </c>
      <c r="F1811" t="inlineStr">
        <is>
          <t>$40 million</t>
        </is>
      </c>
      <c r="G1811" s="19" t="n"/>
      <c r="H1811" s="19" t="n">
        <v>40</v>
      </c>
      <c r="I1811" t="inlineStr">
        <is>
          <t>Series B</t>
        </is>
      </c>
      <c r="J1811" t="inlineStr">
        <is>
          <t>WestBridge Capital</t>
        </is>
      </c>
      <c r="K1811" t="inlineStr">
        <is>
          <t>https://entrackr.com/news/finbox-raises-40-mn-in-series-b-round-led-by-westbridge-10471935</t>
        </is>
      </c>
    </row>
    <row r="1812">
      <c r="A1812" t="inlineStr">
        <is>
          <t>ET-123935989</t>
        </is>
      </c>
      <c r="B1812" t="inlineStr">
        <is>
          <t>R250917-finbox</t>
        </is>
      </c>
      <c r="C1812" t="inlineStr">
        <is>
          <t>The Economic Times</t>
        </is>
      </c>
      <c r="D1812" s="17" t="n">
        <v>45917</v>
      </c>
      <c r="E1812" t="inlineStr">
        <is>
          <t>FinBox</t>
        </is>
      </c>
      <c r="F1812" t="inlineStr">
        <is>
          <t>$40 million</t>
        </is>
      </c>
      <c r="G1812" s="19" t="n"/>
      <c r="H1812" s="19" t="n">
        <v>40</v>
      </c>
      <c r="I1812" t="inlineStr">
        <is>
          <t>Undisclosed</t>
        </is>
      </c>
      <c r="J1812" t="inlineStr">
        <is>
          <t>WestBridge Capital</t>
        </is>
      </c>
      <c r="K1812" t="inlineStr">
        <is>
          <t>https://economictimes.indiatimes.com/tech/funding/digital-credit-infra-startup-finbox-raises-40-million-from-westbridge-capital-others/articleshow/123935989.cms</t>
        </is>
      </c>
    </row>
    <row r="1813">
      <c r="A1813" t="inlineStr">
        <is>
          <t>INC-20250920-03</t>
        </is>
      </c>
      <c r="B1813" t="inlineStr">
        <is>
          <t>R250917-finbox</t>
        </is>
      </c>
      <c r="C1813" t="inlineStr">
        <is>
          <t>Inc42</t>
        </is>
      </c>
      <c r="D1813" s="17" t="n">
        <v>45917</v>
      </c>
      <c r="E1813" t="inlineStr">
        <is>
          <t>FinBox</t>
        </is>
      </c>
      <c r="F1813" t="inlineStr">
        <is>
          <t>$40 Mn</t>
        </is>
      </c>
      <c r="G1813" s="19" t="n"/>
      <c r="H1813" s="19" t="n">
        <v>40</v>
      </c>
      <c r="I1813" t="inlineStr">
        <is>
          <t>Series B</t>
        </is>
      </c>
      <c r="J1813" t="inlineStr">
        <is>
          <t>WestBridge Capital</t>
        </is>
      </c>
      <c r="K1813" t="inlineStr">
        <is>
          <t>https://inc42.com/buzz/from-infra-market-to-blue-energy-motors-indian-startups-raised-317-mn-this-week/</t>
        </is>
      </c>
    </row>
    <row r="1814">
      <c r="A1814" t="inlineStr">
        <is>
          <t>ENT-10472259</t>
        </is>
      </c>
      <c r="B1814" t="inlineStr">
        <is>
          <t>R250917-lucira</t>
        </is>
      </c>
      <c r="C1814" t="inlineStr">
        <is>
          <t>Entrackr</t>
        </is>
      </c>
      <c r="D1814" s="17" t="n">
        <v>45917</v>
      </c>
      <c r="E1814" t="inlineStr">
        <is>
          <t>Lucira</t>
        </is>
      </c>
      <c r="F1814" t="inlineStr">
        <is>
          <t>$5.5 million</t>
        </is>
      </c>
      <c r="G1814" s="19" t="n">
        <v>48</v>
      </c>
      <c r="H1814" s="19" t="n">
        <v>5.5</v>
      </c>
      <c r="I1814" t="inlineStr">
        <is>
          <t>Seed</t>
        </is>
      </c>
      <c r="J1814" t="inlineStr">
        <is>
          <t>Blume Ventures; Spring Marketing Capital; Key; Livspace; Snitch</t>
        </is>
      </c>
      <c r="K1814" t="inlineStr">
        <is>
          <t>https://entrackr.com/snippets/lab-grown-diamond-jewellery-startup-lucira-raises-55-mn-10472259</t>
        </is>
      </c>
    </row>
    <row r="1815">
      <c r="A1815" t="inlineStr">
        <is>
          <t>INC-20250920-09</t>
        </is>
      </c>
      <c r="B1815" t="inlineStr">
        <is>
          <t>R250917-lucira</t>
        </is>
      </c>
      <c r="C1815" t="inlineStr">
        <is>
          <t>Inc42</t>
        </is>
      </c>
      <c r="D1815" s="17" t="n">
        <v>45917</v>
      </c>
      <c r="E1815" t="inlineStr">
        <is>
          <t>Lucira</t>
        </is>
      </c>
      <c r="F1815" t="inlineStr">
        <is>
          <t>$5.5 Mn</t>
        </is>
      </c>
      <c r="G1815" s="19" t="n"/>
      <c r="H1815" s="19" t="n">
        <v>5.5</v>
      </c>
      <c r="I1815" t="inlineStr">
        <is>
          <t>Seed</t>
        </is>
      </c>
      <c r="J1815" t="inlineStr">
        <is>
          <t>Blume Ventures</t>
        </is>
      </c>
      <c r="K1815" t="inlineStr">
        <is>
          <t>https://inc42.com/buzz/from-infra-market-to-blue-energy-motors-indian-startups-raised-317-mn-this-week/</t>
        </is>
      </c>
    </row>
    <row r="1816">
      <c r="A1816" t="inlineStr">
        <is>
          <t>ENT-10473113</t>
        </is>
      </c>
      <c r="B1816" t="inlineStr">
        <is>
          <t>R250917-rebelfoods</t>
        </is>
      </c>
      <c r="C1816" t="inlineStr">
        <is>
          <t>Entrackr</t>
        </is>
      </c>
      <c r="D1816" s="17" t="n">
        <v>45917</v>
      </c>
      <c r="E1816" t="inlineStr">
        <is>
          <t>Rebel Foods</t>
        </is>
      </c>
      <c r="F1816" t="inlineStr">
        <is>
          <t>Rs 150 crore</t>
        </is>
      </c>
      <c r="G1816" s="19" t="n">
        <v>150</v>
      </c>
      <c r="H1816" s="19" t="n">
        <v>17</v>
      </c>
      <c r="I1816" t="inlineStr">
        <is>
          <t>Debt</t>
        </is>
      </c>
      <c r="J1816" t="inlineStr"/>
      <c r="K1816" t="inlineStr">
        <is>
          <t>https://entrackr.com/exclusive/exclusive-rebel-foods-raises-rs-150-cr-debt-from-alteria-and-innoven-10473113</t>
        </is>
      </c>
    </row>
    <row r="1817">
      <c r="A1817" t="inlineStr">
        <is>
          <t>ENT-10473465</t>
        </is>
      </c>
      <c r="B1817" t="inlineStr">
        <is>
          <t>R250917-supply6</t>
        </is>
      </c>
      <c r="C1817" t="inlineStr">
        <is>
          <t>Entrackr</t>
        </is>
      </c>
      <c r="D1817" s="17" t="n">
        <v>45917</v>
      </c>
      <c r="E1817" t="inlineStr">
        <is>
          <t>Supply6</t>
        </is>
      </c>
      <c r="F1817" t="inlineStr">
        <is>
          <t>$1.1 million</t>
        </is>
      </c>
      <c r="G1817" s="19" t="n">
        <v>9.1</v>
      </c>
      <c r="H1817" s="19" t="n">
        <v>1.1</v>
      </c>
      <c r="I1817" t="inlineStr">
        <is>
          <t>Seed</t>
        </is>
      </c>
      <c r="J1817" t="inlineStr">
        <is>
          <t>Zeropearl VC</t>
        </is>
      </c>
      <c r="K1817" t="inlineStr">
        <is>
          <t>https://entrackr.com/snippets/supply6-raises-11-mn-in-seed-round-led-by-zeropearl-vc-10473465</t>
        </is>
      </c>
    </row>
    <row r="1818">
      <c r="A1818" t="inlineStr">
        <is>
          <t>INC-20250920-17</t>
        </is>
      </c>
      <c r="B1818" t="inlineStr">
        <is>
          <t>R250917-supply6</t>
        </is>
      </c>
      <c r="C1818" t="inlineStr">
        <is>
          <t>Inc42</t>
        </is>
      </c>
      <c r="D1818" s="17" t="n">
        <v>45917</v>
      </c>
      <c r="E1818" t="inlineStr">
        <is>
          <t>Supply6</t>
        </is>
      </c>
      <c r="F1818" t="inlineStr">
        <is>
          <t>$1.1 Mn</t>
        </is>
      </c>
      <c r="G1818" s="19" t="n"/>
      <c r="H1818" s="19" t="n">
        <v>1.1</v>
      </c>
      <c r="I1818" t="inlineStr">
        <is>
          <t>Seed</t>
        </is>
      </c>
      <c r="J1818" t="inlineStr">
        <is>
          <t>Zeropearl VC</t>
        </is>
      </c>
      <c r="K1818" t="inlineStr">
        <is>
          <t>https://inc42.com/buzz/from-infra-market-to-blue-energy-motors-indian-startups-raised-317-mn-this-week/</t>
        </is>
      </c>
    </row>
    <row r="1819">
      <c r="A1819" t="inlineStr">
        <is>
          <t>ET-123965170</t>
        </is>
      </c>
      <c r="B1819" t="inlineStr">
        <is>
          <t>R250918-inframarket</t>
        </is>
      </c>
      <c r="C1819" t="inlineStr">
        <is>
          <t>The Economic Times</t>
        </is>
      </c>
      <c r="D1819" s="17" t="n">
        <v>45918</v>
      </c>
      <c r="E1819" t="inlineStr">
        <is>
          <t>Infra.Market</t>
        </is>
      </c>
      <c r="F1819" t="inlineStr">
        <is>
          <t>Rs 732 crore</t>
        </is>
      </c>
      <c r="G1819" s="19" t="n">
        <v>732</v>
      </c>
      <c r="H1819" s="19" t="n"/>
      <c r="I1819" t="inlineStr">
        <is>
          <t>Undisclosed</t>
        </is>
      </c>
      <c r="J1819" t="inlineStr"/>
      <c r="K1819" t="inlineStr">
        <is>
          <t>https://economictimes.indiatimes.com/tech/funding/infra-market-raises-rs-732-crore-from-promoters-existing-investors/articleshow/123965170.cms</t>
        </is>
      </c>
    </row>
    <row r="1820">
      <c r="A1820" t="inlineStr">
        <is>
          <t>INC-20250920-01</t>
        </is>
      </c>
      <c r="B1820" t="inlineStr">
        <is>
          <t>R250918-inframarket</t>
        </is>
      </c>
      <c r="C1820" t="inlineStr">
        <is>
          <t>Inc42</t>
        </is>
      </c>
      <c r="D1820" s="17" t="n">
        <v>45918</v>
      </c>
      <c r="E1820" t="inlineStr">
        <is>
          <t>Infra.Market</t>
        </is>
      </c>
      <c r="F1820" t="inlineStr">
        <is>
          <t>$83 Mn</t>
        </is>
      </c>
      <c r="G1820" s="19" t="n"/>
      <c r="H1820" s="19" t="n">
        <v>83</v>
      </c>
      <c r="I1820" t="inlineStr">
        <is>
          <t>Series G</t>
        </is>
      </c>
      <c r="J1820" t="inlineStr"/>
      <c r="K1820" t="inlineStr">
        <is>
          <t>https://inc42.com/buzz/from-infra-market-to-blue-energy-motors-indian-startups-raised-317-mn-this-week/</t>
        </is>
      </c>
    </row>
    <row r="1821">
      <c r="A1821" t="inlineStr">
        <is>
          <t>VCC-85e193be7a</t>
        </is>
      </c>
      <c r="B1821" t="inlineStr">
        <is>
          <t>R250918-inframarket</t>
        </is>
      </c>
      <c r="C1821" t="inlineStr">
        <is>
          <t>VCCircle</t>
        </is>
      </c>
      <c r="D1821" s="17" t="n">
        <v>45918</v>
      </c>
      <c r="E1821" t="inlineStr">
        <is>
          <t>inframarket</t>
        </is>
      </c>
      <c r="F1821" t="inlineStr"/>
      <c r="G1821" s="19" t="n"/>
      <c r="H1821" s="19" t="n"/>
      <c r="I1821" t="inlineStr">
        <is>
          <t>Undisclosed</t>
        </is>
      </c>
      <c r="J1821" t="inlineStr"/>
      <c r="K1821" t="inlineStr">
        <is>
          <t>https://www.vccircle.com/inframarket-raises-fresh-funds-as-it-gears-up-for-ipo</t>
        </is>
      </c>
    </row>
    <row r="1822">
      <c r="A1822" t="inlineStr">
        <is>
          <t>INC-20250920-23</t>
        </is>
      </c>
      <c r="B1822" t="inlineStr">
        <is>
          <t>R250918-rapteehv</t>
        </is>
      </c>
      <c r="C1822" t="inlineStr">
        <is>
          <t>Inc42</t>
        </is>
      </c>
      <c r="D1822" s="17" t="n">
        <v>45918</v>
      </c>
      <c r="E1822" t="inlineStr">
        <is>
          <t>Raptee.HV</t>
        </is>
      </c>
      <c r="F1822" t="inlineStr"/>
      <c r="G1822" s="19" t="n"/>
      <c r="H1822" s="19" t="n"/>
      <c r="I1822" t="inlineStr">
        <is>
          <t>Undisclosed</t>
        </is>
      </c>
      <c r="J1822" t="inlineStr">
        <is>
          <t>Technology Development Board</t>
        </is>
      </c>
      <c r="K1822" t="inlineStr">
        <is>
          <t>https://inc42.com/buzz/from-infra-market-to-blue-energy-motors-indian-startups-raised-317-mn-this-week/</t>
        </is>
      </c>
    </row>
    <row r="1823">
      <c r="A1823" t="inlineStr">
        <is>
          <t>INC-20250920-10</t>
        </is>
      </c>
      <c r="B1823" t="inlineStr">
        <is>
          <t>R250918-spacefields</t>
        </is>
      </c>
      <c r="C1823" t="inlineStr">
        <is>
          <t>Inc42</t>
        </is>
      </c>
      <c r="D1823" s="17" t="n">
        <v>45918</v>
      </c>
      <c r="E1823" t="inlineStr">
        <is>
          <t>SpaceFields</t>
        </is>
      </c>
      <c r="F1823" t="inlineStr">
        <is>
          <t>$5 Mn</t>
        </is>
      </c>
      <c r="G1823" s="19" t="n"/>
      <c r="H1823" s="19" t="n">
        <v>5</v>
      </c>
      <c r="I1823" t="inlineStr">
        <is>
          <t>Pre-Series A</t>
        </is>
      </c>
      <c r="J1823" t="inlineStr">
        <is>
          <t>Globaz Technologies</t>
        </is>
      </c>
      <c r="K1823" t="inlineStr">
        <is>
          <t>https://inc42.com/buzz/from-infra-market-to-blue-energy-motors-indian-startups-raised-317-mn-this-week/</t>
        </is>
      </c>
    </row>
    <row r="1824">
      <c r="A1824" t="inlineStr">
        <is>
          <t>ENT-10479540</t>
        </is>
      </c>
      <c r="B1824" t="inlineStr">
        <is>
          <t>R250918-spacefields</t>
        </is>
      </c>
      <c r="C1824" t="inlineStr">
        <is>
          <t>Entrackr</t>
        </is>
      </c>
      <c r="D1824" s="17" t="n">
        <v>45919</v>
      </c>
      <c r="E1824" t="inlineStr">
        <is>
          <t>SpaceFields</t>
        </is>
      </c>
      <c r="F1824" t="inlineStr">
        <is>
          <t>$5 million</t>
        </is>
      </c>
      <c r="G1824" s="19" t="n">
        <v>42</v>
      </c>
      <c r="H1824" s="19" t="n">
        <v>5</v>
      </c>
      <c r="I1824" t="inlineStr">
        <is>
          <t>Pre-Series A</t>
        </is>
      </c>
      <c r="J1824" t="inlineStr">
        <is>
          <t>Globaz Technologies</t>
        </is>
      </c>
      <c r="K1824" t="inlineStr">
        <is>
          <t>https://entrackr.com/snippets/spacefields-raises-5-mn-in-pre-series-a-round-10479540</t>
        </is>
      </c>
    </row>
    <row r="1825">
      <c r="A1825" t="inlineStr">
        <is>
          <t>ET-123993714</t>
        </is>
      </c>
      <c r="B1825" t="inlineStr">
        <is>
          <t>R250918-spacefields</t>
        </is>
      </c>
      <c r="C1825" t="inlineStr">
        <is>
          <t>The Economic Times</t>
        </is>
      </c>
      <c r="D1825" s="17" t="n">
        <v>45919</v>
      </c>
      <c r="E1825" t="inlineStr">
        <is>
          <t>SpaceFields</t>
        </is>
      </c>
      <c r="F1825" t="inlineStr">
        <is>
          <t>$5 million</t>
        </is>
      </c>
      <c r="G1825" s="19" t="n"/>
      <c r="H1825" s="19" t="n">
        <v>5</v>
      </c>
      <c r="I1825" t="inlineStr">
        <is>
          <t>Undisclosed</t>
        </is>
      </c>
      <c r="J1825" t="inlineStr">
        <is>
          <t>Globaz Technologies Pvt</t>
        </is>
      </c>
      <c r="K1825" t="inlineStr">
        <is>
          <t>https://economictimes.indiatimes.com/tech/funding/deeptech-startup-spacefields-raises-5-million-from-globaz-technologies-others/articleshow/123993714.cms</t>
        </is>
      </c>
    </row>
    <row r="1826">
      <c r="A1826" t="inlineStr">
        <is>
          <t>INC-20250920-16</t>
        </is>
      </c>
      <c r="B1826" t="inlineStr">
        <is>
          <t>R250919-blinkitai</t>
        </is>
      </c>
      <c r="C1826" t="inlineStr">
        <is>
          <t>Inc42</t>
        </is>
      </c>
      <c r="D1826" s="17" t="n">
        <v>45919</v>
      </c>
      <c r="E1826" t="inlineStr">
        <is>
          <t>Blinkit-AI</t>
        </is>
      </c>
      <c r="F1826" t="inlineStr">
        <is>
          <t>$1.2 Mn</t>
        </is>
      </c>
      <c r="G1826" s="19" t="n"/>
      <c r="H1826" s="19" t="n">
        <v>1.2</v>
      </c>
      <c r="I1826" t="inlineStr">
        <is>
          <t>Seed</t>
        </is>
      </c>
      <c r="J1826" t="inlineStr">
        <is>
          <t>Foliflex Cables</t>
        </is>
      </c>
      <c r="K1826" t="inlineStr">
        <is>
          <t>https://inc42.com/buzz/from-infra-market-to-blue-energy-motors-indian-startups-raised-317-mn-this-week/</t>
        </is>
      </c>
    </row>
    <row r="1827">
      <c r="A1827" t="inlineStr">
        <is>
          <t>VCC-5ab4f4ee4f</t>
        </is>
      </c>
      <c r="B1827" t="inlineStr">
        <is>
          <t>R250919-blinkitai</t>
        </is>
      </c>
      <c r="C1827" t="inlineStr">
        <is>
          <t>VCCircle</t>
        </is>
      </c>
      <c r="D1827" s="17" t="n">
        <v>45929</v>
      </c>
      <c r="E1827" t="inlineStr">
        <is>
          <t>blinkitai</t>
        </is>
      </c>
      <c r="F1827" t="inlineStr">
        <is>
          <t>$ 1.2 million</t>
        </is>
      </c>
      <c r="G1827" s="19" t="n"/>
      <c r="H1827" s="19" t="n">
        <v>1.2</v>
      </c>
      <c r="I1827" t="inlineStr">
        <is>
          <t>Seed</t>
        </is>
      </c>
      <c r="J1827" t="inlineStr"/>
      <c r="K1827" t="inlineStr">
        <is>
          <t>https://www.vccircle.com/blinkitai-raises-1-2m-seed-round-to-tackle-fragmented-content-workflows</t>
        </is>
      </c>
    </row>
    <row r="1828">
      <c r="A1828" t="inlineStr">
        <is>
          <t>INC-20250920-04</t>
        </is>
      </c>
      <c r="B1828" t="inlineStr">
        <is>
          <t>R250919-blueenergymoto</t>
        </is>
      </c>
      <c r="C1828" t="inlineStr">
        <is>
          <t>Inc42</t>
        </is>
      </c>
      <c r="D1828" s="17" t="n">
        <v>45919</v>
      </c>
      <c r="E1828" t="inlineStr">
        <is>
          <t>Blue Energy Motors</t>
        </is>
      </c>
      <c r="F1828" t="inlineStr">
        <is>
          <t>$30 Mn</t>
        </is>
      </c>
      <c r="G1828" s="19" t="n"/>
      <c r="H1828" s="19" t="n">
        <v>30</v>
      </c>
      <c r="I1828" t="inlineStr">
        <is>
          <t>Undisclosed</t>
        </is>
      </c>
      <c r="J1828" t="inlineStr">
        <is>
          <t>Nikhil Kamath (Cofounder; Zerodha); Omnitex Industries</t>
        </is>
      </c>
      <c r="K1828" t="inlineStr">
        <is>
          <t>https://inc42.com/buzz/from-infra-market-to-blue-energy-motors-indian-startups-raised-317-mn-this-week/</t>
        </is>
      </c>
    </row>
    <row r="1829">
      <c r="A1829" t="inlineStr">
        <is>
          <t>ENT-10478460</t>
        </is>
      </c>
      <c r="B1829" t="inlineStr">
        <is>
          <t>R250919-equilibrium</t>
        </is>
      </c>
      <c r="C1829" t="inlineStr">
        <is>
          <t>Entrackr</t>
        </is>
      </c>
      <c r="D1829" s="17" t="n">
        <v>45919</v>
      </c>
      <c r="E1829" t="inlineStr">
        <is>
          <t>Equilibrium</t>
        </is>
      </c>
      <c r="F1829" t="inlineStr">
        <is>
          <t>$3 million</t>
        </is>
      </c>
      <c r="G1829" s="19" t="n"/>
      <c r="H1829" s="19" t="n">
        <v>3</v>
      </c>
      <c r="I1829" t="inlineStr">
        <is>
          <t>Undisclosed</t>
        </is>
      </c>
      <c r="J1829" t="inlineStr"/>
      <c r="K1829" t="inlineStr">
        <is>
          <t>https://entrackr.com/snippets/equilibrium-raises-3-mn-from-kalaari-avaana-and-peak-xv-10478460</t>
        </is>
      </c>
    </row>
    <row r="1830">
      <c r="A1830" t="inlineStr">
        <is>
          <t>INC-20250920-14</t>
        </is>
      </c>
      <c r="B1830" t="inlineStr">
        <is>
          <t>R250919-equilibrium</t>
        </is>
      </c>
      <c r="C1830" t="inlineStr">
        <is>
          <t>Inc42</t>
        </is>
      </c>
      <c r="D1830" s="17" t="n">
        <v>45919</v>
      </c>
      <c r="E1830" t="inlineStr">
        <is>
          <t>Equilibrium</t>
        </is>
      </c>
      <c r="F1830" t="inlineStr">
        <is>
          <t>$3 Mn</t>
        </is>
      </c>
      <c r="G1830" s="19" t="n"/>
      <c r="H1830" s="19" t="n">
        <v>3</v>
      </c>
      <c r="I1830" t="inlineStr">
        <is>
          <t>Seed</t>
        </is>
      </c>
      <c r="J1830" t="inlineStr"/>
      <c r="K1830" t="inlineStr">
        <is>
          <t>https://inc42.com/buzz/from-infra-market-to-blue-energy-motors-indian-startups-raised-317-mn-this-week/</t>
        </is>
      </c>
    </row>
    <row r="1831">
      <c r="A1831" t="inlineStr">
        <is>
          <t>INC-20250920-15</t>
        </is>
      </c>
      <c r="B1831" t="inlineStr">
        <is>
          <t>R250919-includ</t>
        </is>
      </c>
      <c r="C1831" t="inlineStr">
        <is>
          <t>Inc42</t>
        </is>
      </c>
      <c r="D1831" s="17" t="n">
        <v>45919</v>
      </c>
      <c r="E1831" t="inlineStr">
        <is>
          <t>INCLUD</t>
        </is>
      </c>
      <c r="F1831" t="inlineStr">
        <is>
          <t>$2.9 Mn</t>
        </is>
      </c>
      <c r="G1831" s="19" t="n"/>
      <c r="H1831" s="19" t="n">
        <v>2.9</v>
      </c>
      <c r="I1831" t="inlineStr">
        <is>
          <t>Pre-Series A</t>
        </is>
      </c>
      <c r="J1831" t="inlineStr">
        <is>
          <t>3one4 Capital</t>
        </is>
      </c>
      <c r="K1831" t="inlineStr">
        <is>
          <t>https://inc42.com/buzz/from-infra-market-to-blue-energy-motors-indian-startups-raised-317-mn-this-week/</t>
        </is>
      </c>
    </row>
    <row r="1832">
      <c r="A1832" t="inlineStr">
        <is>
          <t>INC-20250920-20</t>
        </is>
      </c>
      <c r="B1832" t="inlineStr">
        <is>
          <t>R250919-wankelenergysy</t>
        </is>
      </c>
      <c r="C1832" t="inlineStr">
        <is>
          <t>Inc42</t>
        </is>
      </c>
      <c r="D1832" s="17" t="n">
        <v>45919</v>
      </c>
      <c r="E1832" t="inlineStr">
        <is>
          <t>Wankel Energy Systems</t>
        </is>
      </c>
      <c r="F1832" t="inlineStr">
        <is>
          <t>$1 Mn</t>
        </is>
      </c>
      <c r="G1832" s="19" t="n"/>
      <c r="H1832" s="19" t="n">
        <v>1</v>
      </c>
      <c r="I1832" t="inlineStr">
        <is>
          <t>Pre-Seed</t>
        </is>
      </c>
      <c r="J1832" t="inlineStr">
        <is>
          <t>Shastra VC</t>
        </is>
      </c>
      <c r="K1832" t="inlineStr">
        <is>
          <t>https://inc42.com/buzz/from-infra-market-to-blue-energy-motors-indian-startups-raised-317-mn-this-week/</t>
        </is>
      </c>
    </row>
    <row r="1833">
      <c r="A1833" t="inlineStr">
        <is>
          <t>ENT-10486638</t>
        </is>
      </c>
      <c r="B1833" t="inlineStr">
        <is>
          <t>R250922-allthingspeopl</t>
        </is>
      </c>
      <c r="C1833" t="inlineStr">
        <is>
          <t>Entrackr</t>
        </is>
      </c>
      <c r="D1833" s="17" t="n">
        <v>45922</v>
      </c>
      <c r="E1833" t="inlineStr">
        <is>
          <t>All Things People</t>
        </is>
      </c>
      <c r="F1833" t="inlineStr">
        <is>
          <t>Rs 7 crore</t>
        </is>
      </c>
      <c r="G1833" s="19" t="n">
        <v>7</v>
      </c>
      <c r="H1833" s="19" t="n"/>
      <c r="I1833" t="inlineStr">
        <is>
          <t>Seed</t>
        </is>
      </c>
      <c r="J1833" t="inlineStr"/>
      <c r="K1833" t="inlineStr">
        <is>
          <t>https://entrackr.com/snippets/hr-tech-startup-all-things-people-raises-seed-funding-round-10486638</t>
        </is>
      </c>
    </row>
    <row r="1834">
      <c r="A1834" t="inlineStr">
        <is>
          <t>ENT-10486946</t>
        </is>
      </c>
      <c r="B1834" t="inlineStr">
        <is>
          <t>R250922-carbonmasters</t>
        </is>
      </c>
      <c r="C1834" t="inlineStr">
        <is>
          <t>Entrackr</t>
        </is>
      </c>
      <c r="D1834" s="17" t="n">
        <v>45922</v>
      </c>
      <c r="E1834" t="inlineStr">
        <is>
          <t>Carbon Masters</t>
        </is>
      </c>
      <c r="F1834" t="inlineStr"/>
      <c r="G1834" s="19" t="n"/>
      <c r="H1834" s="19" t="n"/>
      <c r="I1834" t="inlineStr">
        <is>
          <t>Undisclosed</t>
        </is>
      </c>
      <c r="J1834" t="inlineStr">
        <is>
          <t>Schneider Electric Energy Access Asia</t>
        </is>
      </c>
      <c r="K1834" t="inlineStr">
        <is>
          <t>https://entrackr.com/snippets/carbon-masters-raises-funds-led-by-schneider-electric-10486946</t>
        </is>
      </c>
    </row>
    <row r="1835">
      <c r="A1835" t="inlineStr">
        <is>
          <t>ENT-10490485</t>
        </is>
      </c>
      <c r="B1835" t="inlineStr">
        <is>
          <t>R250922-chakrinnovatio</t>
        </is>
      </c>
      <c r="C1835" t="inlineStr">
        <is>
          <t>Entrackr</t>
        </is>
      </c>
      <c r="D1835" s="17" t="n">
        <v>45922</v>
      </c>
      <c r="E1835" t="inlineStr">
        <is>
          <t>Chakr Innovation</t>
        </is>
      </c>
      <c r="F1835" t="inlineStr">
        <is>
          <t>$23 million</t>
        </is>
      </c>
      <c r="G1835" s="19" t="n">
        <v>193.5</v>
      </c>
      <c r="H1835" s="19" t="n">
        <v>23</v>
      </c>
      <c r="I1835" t="inlineStr">
        <is>
          <t>Series C</t>
        </is>
      </c>
      <c r="J1835" t="inlineStr">
        <is>
          <t>Iron Pillar</t>
        </is>
      </c>
      <c r="K1835" t="inlineStr">
        <is>
          <t>https://entrackr.com/news/cleantech-startup-chakr-innovation-raises-23-mn-led-by-iron-pillar-10490485</t>
        </is>
      </c>
    </row>
    <row r="1836">
      <c r="A1836" t="inlineStr">
        <is>
          <t>ET-124051248</t>
        </is>
      </c>
      <c r="B1836" t="inlineStr">
        <is>
          <t>R250922-chakrinnovatio</t>
        </is>
      </c>
      <c r="C1836" t="inlineStr">
        <is>
          <t>The Economic Times</t>
        </is>
      </c>
      <c r="D1836" s="17" t="n">
        <v>45922</v>
      </c>
      <c r="E1836" t="inlineStr">
        <is>
          <t>Chakr Innovation</t>
        </is>
      </c>
      <c r="F1836" t="inlineStr">
        <is>
          <t>$23 million</t>
        </is>
      </c>
      <c r="G1836" s="19" t="n">
        <v>193.5</v>
      </c>
      <c r="H1836" s="19" t="n">
        <v>23</v>
      </c>
      <c r="I1836" t="inlineStr">
        <is>
          <t>Undisclosed</t>
        </is>
      </c>
      <c r="J1836" t="inlineStr">
        <is>
          <t>Iron Pillar</t>
        </is>
      </c>
      <c r="K1836" t="inlineStr">
        <is>
          <t>https://economictimes.indiatimes.com/tech/funding/deeptech-startup-chakr-innovation-raises-23-million-from-iron-pillar-others/articleshow/124051248.cms</t>
        </is>
      </c>
    </row>
    <row r="1837">
      <c r="A1837" t="inlineStr">
        <is>
          <t>INC-20250927-03</t>
        </is>
      </c>
      <c r="B1837" t="inlineStr">
        <is>
          <t>R250922-chakrinnovatio</t>
        </is>
      </c>
      <c r="C1837" t="inlineStr">
        <is>
          <t>Inc42</t>
        </is>
      </c>
      <c r="D1837" s="17" t="n">
        <v>45922</v>
      </c>
      <c r="E1837" t="inlineStr">
        <is>
          <t>Chakr Innovation</t>
        </is>
      </c>
      <c r="F1837" t="inlineStr">
        <is>
          <t>$23 Mn</t>
        </is>
      </c>
      <c r="G1837" s="19" t="n"/>
      <c r="H1837" s="19" t="n">
        <v>23</v>
      </c>
      <c r="I1837" t="inlineStr">
        <is>
          <t>Series C</t>
        </is>
      </c>
      <c r="J1837" t="inlineStr">
        <is>
          <t>Iron Pillar</t>
        </is>
      </c>
      <c r="K1837" t="inlineStr">
        <is>
          <t>https://inc42.com/buzz/from-pharmeasy-to-curefoods-indian-startups-raised-377-mn-this-week/</t>
        </is>
      </c>
    </row>
    <row r="1838">
      <c r="A1838" t="inlineStr">
        <is>
          <t>VCC-93ae35ce60</t>
        </is>
      </c>
      <c r="B1838" t="inlineStr">
        <is>
          <t>R250922-chakrinnovatio</t>
        </is>
      </c>
      <c r="C1838" t="inlineStr">
        <is>
          <t>VCCircle</t>
        </is>
      </c>
      <c r="D1838" s="17" t="n">
        <v>45923</v>
      </c>
      <c r="E1838" t="inlineStr">
        <is>
          <t>chakr innovation</t>
        </is>
      </c>
      <c r="F1838" t="inlineStr"/>
      <c r="G1838" s="19" t="n"/>
      <c r="H1838" s="19" t="n"/>
      <c r="I1838" t="inlineStr">
        <is>
          <t>Series C</t>
        </is>
      </c>
      <c r="J1838" t="inlineStr"/>
      <c r="K1838" t="inlineStr">
        <is>
          <t>https://www.vccircle.com/neevfund-backed-chakr-innovation-raises-series-c-funding</t>
        </is>
      </c>
    </row>
    <row r="1839">
      <c r="A1839" t="inlineStr">
        <is>
          <t>ENT-10487159</t>
        </is>
      </c>
      <c r="B1839" t="inlineStr">
        <is>
          <t>R250922-onfinanceai</t>
        </is>
      </c>
      <c r="C1839" t="inlineStr">
        <is>
          <t>Entrackr</t>
        </is>
      </c>
      <c r="D1839" s="17" t="n">
        <v>45922</v>
      </c>
      <c r="E1839" t="inlineStr">
        <is>
          <t>OnFinance AI</t>
        </is>
      </c>
      <c r="F1839" t="inlineStr">
        <is>
          <t>$4.2 million</t>
        </is>
      </c>
      <c r="G1839" s="19" t="n"/>
      <c r="H1839" s="19" t="n">
        <v>4.2</v>
      </c>
      <c r="I1839" t="inlineStr">
        <is>
          <t>Pre-Series A</t>
        </is>
      </c>
      <c r="J1839" t="inlineStr">
        <is>
          <t>Surge</t>
        </is>
      </c>
      <c r="K1839" t="inlineStr">
        <is>
          <t>https://entrackr.com/snippets/onfinance-ai-raises-42-mn-led-by-peak-xvs-surge-10487159</t>
        </is>
      </c>
    </row>
    <row r="1840">
      <c r="A1840" t="inlineStr">
        <is>
          <t>ET-124052264</t>
        </is>
      </c>
      <c r="B1840" t="inlineStr">
        <is>
          <t>R250922-onfinanceai</t>
        </is>
      </c>
      <c r="C1840" t="inlineStr">
        <is>
          <t>The Economic Times</t>
        </is>
      </c>
      <c r="D1840" s="17" t="n">
        <v>45922</v>
      </c>
      <c r="E1840" t="inlineStr">
        <is>
          <t>OnFinance AI</t>
        </is>
      </c>
      <c r="F1840" t="inlineStr">
        <is>
          <t>$4.2 million</t>
        </is>
      </c>
      <c r="G1840" s="19" t="n"/>
      <c r="H1840" s="19" t="n">
        <v>4.2</v>
      </c>
      <c r="I1840" t="inlineStr">
        <is>
          <t>Undisclosed</t>
        </is>
      </c>
      <c r="J1840" t="inlineStr">
        <is>
          <t>Surge</t>
        </is>
      </c>
      <c r="K1840" t="inlineStr">
        <is>
          <t>https://economictimes.indiatimes.com/tech/funding/onfinance-ai-bags-4-2-million-in-funding-led-by-peak-xvs-surge/articleshow/124052264.cms</t>
        </is>
      </c>
    </row>
    <row r="1841">
      <c r="A1841" t="inlineStr">
        <is>
          <t>INC-20250927-14</t>
        </is>
      </c>
      <c r="B1841" t="inlineStr">
        <is>
          <t>R250922-onfinanceai</t>
        </is>
      </c>
      <c r="C1841" t="inlineStr">
        <is>
          <t>Inc42</t>
        </is>
      </c>
      <c r="D1841" s="17" t="n">
        <v>45922</v>
      </c>
      <c r="E1841" t="inlineStr">
        <is>
          <t>OnFinance</t>
        </is>
      </c>
      <c r="F1841" t="inlineStr">
        <is>
          <t>$4.2 Mn</t>
        </is>
      </c>
      <c r="G1841" s="19" t="n"/>
      <c r="H1841" s="19" t="n">
        <v>4.2</v>
      </c>
      <c r="I1841" t="inlineStr">
        <is>
          <t>Pre-Series A</t>
        </is>
      </c>
      <c r="J1841" t="inlineStr">
        <is>
          <t>Peak XV</t>
        </is>
      </c>
      <c r="K1841" t="inlineStr">
        <is>
          <t>https://inc42.com/buzz/from-pharmeasy-to-curefoods-indian-startups-raised-377-mn-this-week/</t>
        </is>
      </c>
    </row>
    <row r="1842">
      <c r="A1842" t="inlineStr">
        <is>
          <t>ENT-10487621</t>
        </is>
      </c>
      <c r="B1842" t="inlineStr">
        <is>
          <t>R250922-vyomic</t>
        </is>
      </c>
      <c r="C1842" t="inlineStr">
        <is>
          <t>Entrackr</t>
        </is>
      </c>
      <c r="D1842" s="17" t="n">
        <v>45922</v>
      </c>
      <c r="E1842" t="inlineStr">
        <is>
          <t>VyomIC</t>
        </is>
      </c>
      <c r="F1842" t="inlineStr">
        <is>
          <t>Rs 14 crore</t>
        </is>
      </c>
      <c r="G1842" s="19" t="n">
        <v>14</v>
      </c>
      <c r="H1842" s="19" t="n">
        <v>1.6</v>
      </c>
      <c r="I1842" t="inlineStr">
        <is>
          <t>Pre-Seed</t>
        </is>
      </c>
      <c r="J1842" t="inlineStr">
        <is>
          <t>Speciale Invest; DeVC</t>
        </is>
      </c>
      <c r="K1842" t="inlineStr">
        <is>
          <t>https://entrackr.com/snippets/deep-tech-startup-vyomic-bags-16-mn-led-by-speciale-invest-10487621</t>
        </is>
      </c>
    </row>
    <row r="1843">
      <c r="A1843" t="inlineStr">
        <is>
          <t>INC-20250927-20</t>
        </is>
      </c>
      <c r="B1843" t="inlineStr">
        <is>
          <t>R250922-vyomic</t>
        </is>
      </c>
      <c r="C1843" t="inlineStr">
        <is>
          <t>Inc42</t>
        </is>
      </c>
      <c r="D1843" s="17" t="n">
        <v>45922</v>
      </c>
      <c r="E1843" t="inlineStr">
        <is>
          <t>VyomIC</t>
        </is>
      </c>
      <c r="F1843" t="inlineStr">
        <is>
          <t>$1.6 Mn</t>
        </is>
      </c>
      <c r="G1843" s="19" t="n"/>
      <c r="H1843" s="19" t="n">
        <v>1.6</v>
      </c>
      <c r="I1843" t="inlineStr">
        <is>
          <t>Pre-Seed</t>
        </is>
      </c>
      <c r="J1843" t="inlineStr">
        <is>
          <t>Speciale Invest</t>
        </is>
      </c>
      <c r="K1843" t="inlineStr">
        <is>
          <t>https://inc42.com/buzz/from-pharmeasy-to-curefoods-indian-startups-raised-377-mn-this-week/</t>
        </is>
      </c>
    </row>
    <row r="1844">
      <c r="A1844" t="inlineStr">
        <is>
          <t>ET-124074771</t>
        </is>
      </c>
      <c r="B1844" t="inlineStr">
        <is>
          <t>R250923-amwoodo</t>
        </is>
      </c>
      <c r="C1844" t="inlineStr">
        <is>
          <t>The Economic Times</t>
        </is>
      </c>
      <c r="D1844" s="17" t="n">
        <v>45923</v>
      </c>
      <c r="E1844" t="inlineStr">
        <is>
          <t>Amwoodo</t>
        </is>
      </c>
      <c r="F1844" t="inlineStr">
        <is>
          <t>$4 million</t>
        </is>
      </c>
      <c r="G1844" s="19" t="n">
        <v>35</v>
      </c>
      <c r="H1844" s="19" t="n">
        <v>4</v>
      </c>
      <c r="I1844" t="inlineStr">
        <is>
          <t>Undisclosed</t>
        </is>
      </c>
      <c r="J1844" t="inlineStr"/>
      <c r="K1844" t="inlineStr">
        <is>
          <t>https://economictimes.indiatimes.com/tech/funding/amwoodo-raises-4-million-from-rainmatter-others/articleshow/124074771.cms</t>
        </is>
      </c>
    </row>
    <row r="1845">
      <c r="A1845" t="inlineStr">
        <is>
          <t>INC-20250927-15</t>
        </is>
      </c>
      <c r="B1845" t="inlineStr">
        <is>
          <t>R250923-amwoodo</t>
        </is>
      </c>
      <c r="C1845" t="inlineStr">
        <is>
          <t>Inc42</t>
        </is>
      </c>
      <c r="D1845" s="17" t="n">
        <v>45923</v>
      </c>
      <c r="E1845" t="inlineStr">
        <is>
          <t>Amwoodo</t>
        </is>
      </c>
      <c r="F1845" t="inlineStr">
        <is>
          <t>$4 Mn</t>
        </is>
      </c>
      <c r="G1845" s="19" t="n"/>
      <c r="H1845" s="19" t="n">
        <v>4</v>
      </c>
      <c r="I1845" t="inlineStr">
        <is>
          <t>Pre-Series A</t>
        </is>
      </c>
      <c r="J1845" t="inlineStr">
        <is>
          <t>Rainmatter</t>
        </is>
      </c>
      <c r="K1845" t="inlineStr">
        <is>
          <t>https://inc42.com/buzz/from-pharmeasy-to-curefoods-indian-startups-raised-377-mn-this-week/</t>
        </is>
      </c>
    </row>
    <row r="1846">
      <c r="A1846" t="inlineStr">
        <is>
          <t>ENT-10492413</t>
        </is>
      </c>
      <c r="B1846" t="inlineStr">
        <is>
          <t>R250923-distil</t>
        </is>
      </c>
      <c r="C1846" t="inlineStr">
        <is>
          <t>Entrackr</t>
        </is>
      </c>
      <c r="D1846" s="17" t="n">
        <v>45923</v>
      </c>
      <c r="E1846" t="inlineStr">
        <is>
          <t>Distil</t>
        </is>
      </c>
      <c r="F1846" t="inlineStr">
        <is>
          <t>$7.7 million</t>
        </is>
      </c>
      <c r="G1846" s="19" t="n"/>
      <c r="H1846" s="19" t="n">
        <v>7.7</v>
      </c>
      <c r="I1846" t="inlineStr">
        <is>
          <t>Series A</t>
        </is>
      </c>
      <c r="J1846" t="inlineStr">
        <is>
          <t>Jungle Ventures; CE-Ventures</t>
        </is>
      </c>
      <c r="K1846" t="inlineStr">
        <is>
          <t>https://entrackr.com/snippets/distil-raises-77-mn-in-series-a-led-by-jungle-and-ce-ventures-10492413</t>
        </is>
      </c>
    </row>
    <row r="1847">
      <c r="A1847" t="inlineStr">
        <is>
          <t>INC-20250927-10</t>
        </is>
      </c>
      <c r="B1847" t="inlineStr">
        <is>
          <t>R250923-distil</t>
        </is>
      </c>
      <c r="C1847" t="inlineStr">
        <is>
          <t>Inc42</t>
        </is>
      </c>
      <c r="D1847" s="17" t="n">
        <v>45923</v>
      </c>
      <c r="E1847" t="inlineStr">
        <is>
          <t>Distil</t>
        </is>
      </c>
      <c r="F1847" t="inlineStr">
        <is>
          <t>$7.7 Mn</t>
        </is>
      </c>
      <c r="G1847" s="19" t="n"/>
      <c r="H1847" s="19" t="n">
        <v>7.7</v>
      </c>
      <c r="I1847" t="inlineStr">
        <is>
          <t>Series A</t>
        </is>
      </c>
      <c r="J1847" t="inlineStr">
        <is>
          <t>Jungle Ventures; CE-Ventures</t>
        </is>
      </c>
      <c r="K1847" t="inlineStr">
        <is>
          <t>https://inc42.com/buzz/from-pharmeasy-to-curefoods-indian-startups-raised-377-mn-this-week/</t>
        </is>
      </c>
    </row>
    <row r="1848">
      <c r="A1848" t="inlineStr">
        <is>
          <t>INC-20250927-28</t>
        </is>
      </c>
      <c r="B1848" t="inlineStr">
        <is>
          <t>R250923-gabit</t>
        </is>
      </c>
      <c r="C1848" t="inlineStr">
        <is>
          <t>Inc42</t>
        </is>
      </c>
      <c r="D1848" s="17" t="n">
        <v>45923</v>
      </c>
      <c r="E1848" t="inlineStr">
        <is>
          <t>Gabit</t>
        </is>
      </c>
      <c r="F1848" t="inlineStr"/>
      <c r="G1848" s="19" t="n"/>
      <c r="H1848" s="19" t="n"/>
      <c r="I1848" t="inlineStr">
        <is>
          <t>Undisclosed</t>
        </is>
      </c>
      <c r="J1848" t="inlineStr"/>
      <c r="K1848" t="inlineStr">
        <is>
          <t>https://inc42.com/buzz/from-pharmeasy-to-curefoods-indian-startups-raised-377-mn-this-week/</t>
        </is>
      </c>
    </row>
    <row r="1849">
      <c r="A1849" t="inlineStr">
        <is>
          <t>ENT-10494148</t>
        </is>
      </c>
      <c r="B1849" t="inlineStr">
        <is>
          <t>R250923-grest</t>
        </is>
      </c>
      <c r="C1849" t="inlineStr">
        <is>
          <t>Entrackr</t>
        </is>
      </c>
      <c r="D1849" s="17" t="n">
        <v>45923</v>
      </c>
      <c r="E1849" t="inlineStr">
        <is>
          <t>Grest</t>
        </is>
      </c>
      <c r="F1849" t="inlineStr">
        <is>
          <t>Rs 16 crore</t>
        </is>
      </c>
      <c r="G1849" s="19" t="n">
        <v>16</v>
      </c>
      <c r="H1849" s="19" t="n"/>
      <c r="I1849" t="inlineStr">
        <is>
          <t>Undisclosed</t>
        </is>
      </c>
      <c r="J1849" t="inlineStr"/>
      <c r="K1849" t="inlineStr">
        <is>
          <t>https://entrackr.com/snippets/electronics-re-commerce-startup-grest-raises-rs-16-cr-led-by-equentis-10494148</t>
        </is>
      </c>
    </row>
    <row r="1850">
      <c r="A1850" t="inlineStr">
        <is>
          <t>INC-20250927-19</t>
        </is>
      </c>
      <c r="B1850" t="inlineStr">
        <is>
          <t>R250923-grest</t>
        </is>
      </c>
      <c r="C1850" t="inlineStr">
        <is>
          <t>Inc42</t>
        </is>
      </c>
      <c r="D1850" s="17" t="n">
        <v>45923</v>
      </c>
      <c r="E1850" t="inlineStr">
        <is>
          <t>Grest</t>
        </is>
      </c>
      <c r="F1850" t="inlineStr">
        <is>
          <t>$1.8 Mn</t>
        </is>
      </c>
      <c r="G1850" s="19" t="n"/>
      <c r="H1850" s="19" t="n">
        <v>1.8</v>
      </c>
      <c r="I1850" t="inlineStr">
        <is>
          <t>Undisclosed</t>
        </is>
      </c>
      <c r="J1850" t="inlineStr">
        <is>
          <t>Equentis</t>
        </is>
      </c>
      <c r="K1850" t="inlineStr">
        <is>
          <t>https://inc42.com/buzz/from-pharmeasy-to-curefoods-indian-startups-raised-377-mn-this-week/</t>
        </is>
      </c>
    </row>
    <row r="1851">
      <c r="A1851" t="inlineStr">
        <is>
          <t>ENT-10494174</t>
        </is>
      </c>
      <c r="B1851" t="inlineStr">
        <is>
          <t>R250923-navo</t>
        </is>
      </c>
      <c r="C1851" t="inlineStr">
        <is>
          <t>Entrackr</t>
        </is>
      </c>
      <c r="D1851" s="17" t="n">
        <v>45923</v>
      </c>
      <c r="E1851" t="inlineStr">
        <is>
          <t>Navo</t>
        </is>
      </c>
      <c r="F1851" t="inlineStr">
        <is>
          <t>Rs 8 crore</t>
        </is>
      </c>
      <c r="G1851" s="19" t="n">
        <v>8</v>
      </c>
      <c r="H1851" s="19" t="n"/>
      <c r="I1851" t="inlineStr">
        <is>
          <t>Seed</t>
        </is>
      </c>
      <c r="J1851" t="inlineStr">
        <is>
          <t>IndiaQuotient</t>
        </is>
      </c>
      <c r="K1851" t="inlineStr">
        <is>
          <t>https://entrackr.com/snippets/navo-raises-rs-8-cr-in-seed-round-led-by-indiaquotient-10494174</t>
        </is>
      </c>
    </row>
    <row r="1852">
      <c r="A1852" t="inlineStr">
        <is>
          <t>INC-20250927-22</t>
        </is>
      </c>
      <c r="B1852" t="inlineStr">
        <is>
          <t>R250923-navo</t>
        </is>
      </c>
      <c r="C1852" t="inlineStr">
        <is>
          <t>Inc42</t>
        </is>
      </c>
      <c r="D1852" s="17" t="n">
        <v>45924</v>
      </c>
      <c r="E1852" t="inlineStr">
        <is>
          <t>Navo</t>
        </is>
      </c>
      <c r="F1852" t="inlineStr">
        <is>
          <t>$902K</t>
        </is>
      </c>
      <c r="G1852" s="19" t="n"/>
      <c r="H1852" s="19" t="n">
        <v>0.902</v>
      </c>
      <c r="I1852" t="inlineStr">
        <is>
          <t>Seed</t>
        </is>
      </c>
      <c r="J1852" t="inlineStr">
        <is>
          <t>IndiaQuotient</t>
        </is>
      </c>
      <c r="K1852" t="inlineStr">
        <is>
          <t>https://inc42.com/buzz/from-pharmeasy-to-curefoods-indian-startups-raised-377-mn-this-week/</t>
        </is>
      </c>
    </row>
    <row r="1853">
      <c r="A1853" t="inlineStr">
        <is>
          <t>ENT-10492645</t>
        </is>
      </c>
      <c r="B1853" t="inlineStr">
        <is>
          <t>R250923-paarautonomy</t>
        </is>
      </c>
      <c r="C1853" t="inlineStr">
        <is>
          <t>Entrackr</t>
        </is>
      </c>
      <c r="D1853" s="17" t="n">
        <v>45923</v>
      </c>
      <c r="E1853" t="inlineStr">
        <is>
          <t>Paar Autonomy</t>
        </is>
      </c>
      <c r="F1853" t="inlineStr">
        <is>
          <t>Rs 3.5 crore</t>
        </is>
      </c>
      <c r="G1853" s="19" t="n">
        <v>3.5</v>
      </c>
      <c r="H1853" s="19" t="n"/>
      <c r="I1853" t="inlineStr">
        <is>
          <t>Pre-Seed</t>
        </is>
      </c>
      <c r="J1853" t="inlineStr">
        <is>
          <t>Venture Catalysts</t>
        </is>
      </c>
      <c r="K1853" t="inlineStr">
        <is>
          <t>https://entrackr.com/snippets/paar-autonomy-raises-rs-35-cr-led-by-venture-catalysts-10492645</t>
        </is>
      </c>
    </row>
    <row r="1854">
      <c r="A1854" t="inlineStr">
        <is>
          <t>INC-20250927-25</t>
        </is>
      </c>
      <c r="B1854" t="inlineStr">
        <is>
          <t>R250923-paarautonomy</t>
        </is>
      </c>
      <c r="C1854" t="inlineStr">
        <is>
          <t>Inc42</t>
        </is>
      </c>
      <c r="D1854" s="17" t="n">
        <v>45923</v>
      </c>
      <c r="E1854" t="inlineStr">
        <is>
          <t>Paar Autonomy</t>
        </is>
      </c>
      <c r="F1854" t="inlineStr">
        <is>
          <t>$500K</t>
        </is>
      </c>
      <c r="G1854" s="19" t="n"/>
      <c r="H1854" s="19" t="n">
        <v>0.5</v>
      </c>
      <c r="I1854" t="inlineStr">
        <is>
          <t>Seed</t>
        </is>
      </c>
      <c r="J1854" t="inlineStr">
        <is>
          <t>Venture Catalysts</t>
        </is>
      </c>
      <c r="K1854" t="inlineStr">
        <is>
          <t>https://inc42.com/buzz/from-pharmeasy-to-curefoods-indian-startups-raised-377-mn-this-week/</t>
        </is>
      </c>
    </row>
    <row r="1855">
      <c r="A1855" t="inlineStr">
        <is>
          <t>INC-20250927-13</t>
        </is>
      </c>
      <c r="B1855" t="inlineStr">
        <is>
          <t>R250923-prism</t>
        </is>
      </c>
      <c r="C1855" t="inlineStr">
        <is>
          <t>Inc42</t>
        </is>
      </c>
      <c r="D1855" s="17" t="n">
        <v>45923</v>
      </c>
      <c r="E1855" t="inlineStr">
        <is>
          <t>PRISM</t>
        </is>
      </c>
      <c r="F1855" t="inlineStr">
        <is>
          <t>$5.6 Mn</t>
        </is>
      </c>
      <c r="G1855" s="19" t="n"/>
      <c r="H1855" s="19" t="n">
        <v>5.6</v>
      </c>
      <c r="I1855" t="inlineStr">
        <is>
          <t>Undisclosed</t>
        </is>
      </c>
      <c r="J1855" t="inlineStr">
        <is>
          <t>InCred; Analah Capital</t>
        </is>
      </c>
      <c r="K1855" t="inlineStr">
        <is>
          <t>https://inc42.com/buzz/from-pharmeasy-to-curefoods-indian-startups-raised-377-mn-this-week/</t>
        </is>
      </c>
    </row>
    <row r="1856">
      <c r="A1856" t="inlineStr">
        <is>
          <t>ENT-10492642</t>
        </is>
      </c>
      <c r="B1856" t="inlineStr">
        <is>
          <t>R250923-rocket</t>
        </is>
      </c>
      <c r="C1856" t="inlineStr">
        <is>
          <t>Entrackr</t>
        </is>
      </c>
      <c r="D1856" s="17" t="n">
        <v>45923</v>
      </c>
      <c r="E1856" t="inlineStr">
        <is>
          <t>Rocket</t>
        </is>
      </c>
      <c r="F1856" t="inlineStr">
        <is>
          <t>$15 million</t>
        </is>
      </c>
      <c r="G1856" s="19" t="n"/>
      <c r="H1856" s="19" t="n">
        <v>15</v>
      </c>
      <c r="I1856" t="inlineStr">
        <is>
          <t>Seed</t>
        </is>
      </c>
      <c r="J1856" t="inlineStr">
        <is>
          <t>Salesforce Ventures; Accel</t>
        </is>
      </c>
      <c r="K1856" t="inlineStr">
        <is>
          <t>https://entrackr.com/snippets/rocket-raises-15-mn-in-seed-round-led-by-salesforce-ventures-10492642</t>
        </is>
      </c>
    </row>
    <row r="1857">
      <c r="A1857" t="inlineStr">
        <is>
          <t>ET-124063863</t>
        </is>
      </c>
      <c r="B1857" t="inlineStr">
        <is>
          <t>R250923-rocket</t>
        </is>
      </c>
      <c r="C1857" t="inlineStr">
        <is>
          <t>The Economic Times</t>
        </is>
      </c>
      <c r="D1857" s="17" t="n">
        <v>45923</v>
      </c>
      <c r="E1857" t="inlineStr">
        <is>
          <t>Rocket</t>
        </is>
      </c>
      <c r="F1857" t="inlineStr">
        <is>
          <t>$15 million</t>
        </is>
      </c>
      <c r="G1857" s="19" t="n"/>
      <c r="H1857" s="19" t="n">
        <v>15</v>
      </c>
      <c r="I1857" t="inlineStr">
        <is>
          <t>Seed</t>
        </is>
      </c>
      <c r="J1857" t="inlineStr">
        <is>
          <t>Salesforce Ventures; Accel</t>
        </is>
      </c>
      <c r="K1857" t="inlineStr">
        <is>
          <t>https://economictimes.indiatimes.com/tech/funding/surat-based-rocket-raises-15-million-from-salesforce-ventures-accel-and-others/articleshow/124063863.cms</t>
        </is>
      </c>
    </row>
    <row r="1858">
      <c r="A1858" t="inlineStr">
        <is>
          <t>INC-20250927-06</t>
        </is>
      </c>
      <c r="B1858" t="inlineStr">
        <is>
          <t>R250923-rocket</t>
        </is>
      </c>
      <c r="C1858" t="inlineStr">
        <is>
          <t>Inc42</t>
        </is>
      </c>
      <c r="D1858" s="17" t="n">
        <v>45923</v>
      </c>
      <c r="E1858" t="inlineStr">
        <is>
          <t>Rocket</t>
        </is>
      </c>
      <c r="F1858" t="inlineStr">
        <is>
          <t>$15 Mn</t>
        </is>
      </c>
      <c r="G1858" s="19" t="n"/>
      <c r="H1858" s="19" t="n">
        <v>15</v>
      </c>
      <c r="I1858" t="inlineStr">
        <is>
          <t>Seed</t>
        </is>
      </c>
      <c r="J1858" t="inlineStr">
        <is>
          <t>Salesforce Ventures; Accel</t>
        </is>
      </c>
      <c r="K1858" t="inlineStr">
        <is>
          <t>https://inc42.com/buzz/from-pharmeasy-to-curefoods-indian-startups-raised-377-mn-this-week/</t>
        </is>
      </c>
    </row>
    <row r="1859">
      <c r="A1859" t="inlineStr">
        <is>
          <t>ENT-10492908</t>
        </is>
      </c>
      <c r="B1859" t="inlineStr">
        <is>
          <t>R250923-zealthix</t>
        </is>
      </c>
      <c r="C1859" t="inlineStr">
        <is>
          <t>Entrackr</t>
        </is>
      </c>
      <c r="D1859" s="17" t="n">
        <v>45923</v>
      </c>
      <c r="E1859" t="inlineStr">
        <is>
          <t>Zealthix</t>
        </is>
      </c>
      <c r="F1859" t="inlineStr">
        <is>
          <t>$1.1 million</t>
        </is>
      </c>
      <c r="G1859" s="19" t="n"/>
      <c r="H1859" s="19" t="n">
        <v>1.1</v>
      </c>
      <c r="I1859" t="inlineStr">
        <is>
          <t>Seed</t>
        </is>
      </c>
      <c r="J1859" t="inlineStr">
        <is>
          <t>Unicorn India Ventures</t>
        </is>
      </c>
      <c r="K1859" t="inlineStr">
        <is>
          <t>https://entrackr.com/snippets/zealthix-raises-11-mn-in-seed-round-led-by-unicorn-india-ventures-10492908</t>
        </is>
      </c>
    </row>
    <row r="1860">
      <c r="A1860" t="inlineStr">
        <is>
          <t>ENT-10498639</t>
        </is>
      </c>
      <c r="B1860" t="inlineStr">
        <is>
          <t>R250924-emergent</t>
        </is>
      </c>
      <c r="C1860" t="inlineStr">
        <is>
          <t>Entrackr</t>
        </is>
      </c>
      <c r="D1860" s="17" t="n">
        <v>45924</v>
      </c>
      <c r="E1860" t="inlineStr">
        <is>
          <t>Emergent</t>
        </is>
      </c>
      <c r="F1860" t="inlineStr">
        <is>
          <t>$23 million</t>
        </is>
      </c>
      <c r="G1860" s="19" t="n"/>
      <c r="H1860" s="19" t="n">
        <v>23</v>
      </c>
      <c r="I1860" t="inlineStr">
        <is>
          <t>Series A</t>
        </is>
      </c>
      <c r="J1860" t="inlineStr">
        <is>
          <t>Lightspeed</t>
        </is>
      </c>
      <c r="K1860" t="inlineStr">
        <is>
          <t>https://entrackr.com/news/emergent-raises-23-mn-in-series-a-round-led-by-lightspeed-10498639</t>
        </is>
      </c>
    </row>
    <row r="1861">
      <c r="A1861" t="inlineStr">
        <is>
          <t>ET-124092379</t>
        </is>
      </c>
      <c r="B1861" t="inlineStr">
        <is>
          <t>R250924-emergent</t>
        </is>
      </c>
      <c r="C1861" t="inlineStr">
        <is>
          <t>The Economic Times</t>
        </is>
      </c>
      <c r="D1861" s="17" t="n">
        <v>45924</v>
      </c>
      <c r="E1861" t="inlineStr">
        <is>
          <t>Emergent AI</t>
        </is>
      </c>
      <c r="F1861" t="inlineStr">
        <is>
          <t>$23 million</t>
        </is>
      </c>
      <c r="G1861" s="19" t="n"/>
      <c r="H1861" s="19" t="n">
        <v>23</v>
      </c>
      <c r="I1861" t="inlineStr">
        <is>
          <t>Undisclosed</t>
        </is>
      </c>
      <c r="J1861" t="inlineStr">
        <is>
          <t>Lightspeed</t>
        </is>
      </c>
      <c r="K1861" t="inlineStr">
        <is>
          <t>https://economictimes.indiatimes.com/tech/funding/emergent-ai-raises-23-million-from-lightspeed-together-fund-others/articleshow/124092379.cms</t>
        </is>
      </c>
    </row>
    <row r="1862">
      <c r="A1862" t="inlineStr">
        <is>
          <t>INC-20250927-02</t>
        </is>
      </c>
      <c r="B1862" t="inlineStr">
        <is>
          <t>R250924-emergent</t>
        </is>
      </c>
      <c r="C1862" t="inlineStr">
        <is>
          <t>Inc42</t>
        </is>
      </c>
      <c r="D1862" s="17" t="n">
        <v>45924</v>
      </c>
      <c r="E1862" t="inlineStr">
        <is>
          <t>Emergent</t>
        </is>
      </c>
      <c r="F1862" t="inlineStr">
        <is>
          <t>$23 Mn</t>
        </is>
      </c>
      <c r="G1862" s="19" t="n"/>
      <c r="H1862" s="19" t="n">
        <v>23</v>
      </c>
      <c r="I1862" t="inlineStr">
        <is>
          <t>Series A</t>
        </is>
      </c>
      <c r="J1862" t="inlineStr">
        <is>
          <t>Lightspeed Ventures</t>
        </is>
      </c>
      <c r="K1862" t="inlineStr">
        <is>
          <t>https://inc42.com/buzz/from-pharmeasy-to-curefoods-indian-startups-raised-377-mn-this-week/</t>
        </is>
      </c>
    </row>
    <row r="1863">
      <c r="A1863" t="inlineStr">
        <is>
          <t>ENT-10495967</t>
        </is>
      </c>
      <c r="B1863" t="inlineStr">
        <is>
          <t>R250924-gullak</t>
        </is>
      </c>
      <c r="C1863" t="inlineStr">
        <is>
          <t>Entrackr</t>
        </is>
      </c>
      <c r="D1863" s="17" t="n">
        <v>45924</v>
      </c>
      <c r="E1863" t="inlineStr">
        <is>
          <t>Gullak</t>
        </is>
      </c>
      <c r="F1863" t="inlineStr">
        <is>
          <t>$7.5 million</t>
        </is>
      </c>
      <c r="G1863" s="19" t="n"/>
      <c r="H1863" s="19" t="n">
        <v>7.5</v>
      </c>
      <c r="I1863" t="inlineStr">
        <is>
          <t>Undisclosed</t>
        </is>
      </c>
      <c r="J1863" t="inlineStr">
        <is>
          <t>Chiratae Ventures</t>
        </is>
      </c>
      <c r="K1863" t="inlineStr">
        <is>
          <t>https://entrackr.com/news/gold-savings-app-gullak-raises-75-mn-led-by-chiratae-10495967</t>
        </is>
      </c>
    </row>
    <row r="1864">
      <c r="A1864" t="inlineStr">
        <is>
          <t>ET-124074716</t>
        </is>
      </c>
      <c r="B1864" t="inlineStr">
        <is>
          <t>R250924-gullak</t>
        </is>
      </c>
      <c r="C1864" t="inlineStr">
        <is>
          <t>The Economic Times</t>
        </is>
      </c>
      <c r="D1864" s="17" t="n">
        <v>45924</v>
      </c>
      <c r="E1864" t="inlineStr">
        <is>
          <t>Gullak</t>
        </is>
      </c>
      <c r="F1864" t="inlineStr">
        <is>
          <t>$7.5 million</t>
        </is>
      </c>
      <c r="G1864" s="19" t="n"/>
      <c r="H1864" s="19" t="n">
        <v>7.5</v>
      </c>
      <c r="I1864" t="inlineStr">
        <is>
          <t>Undisclosed</t>
        </is>
      </c>
      <c r="J1864" t="inlineStr">
        <is>
          <t>Chiratae Ventures</t>
        </is>
      </c>
      <c r="K1864" t="inlineStr">
        <is>
          <t>https://economictimes.indiatimes.com/tech/funding/gold-savings-platform-gullak-raises-7-5-million-led-by-chiratae-ventures/articleshow/124074716.cms</t>
        </is>
      </c>
    </row>
    <row r="1865">
      <c r="A1865" t="inlineStr">
        <is>
          <t>INC-20250927-11</t>
        </is>
      </c>
      <c r="B1865" t="inlineStr">
        <is>
          <t>R250924-gullak</t>
        </is>
      </c>
      <c r="C1865" t="inlineStr">
        <is>
          <t>Inc42</t>
        </is>
      </c>
      <c r="D1865" s="17" t="n">
        <v>45924</v>
      </c>
      <c r="E1865" t="inlineStr">
        <is>
          <t>Gullak</t>
        </is>
      </c>
      <c r="F1865" t="inlineStr">
        <is>
          <t>$7.5 Mn</t>
        </is>
      </c>
      <c r="G1865" s="19" t="n"/>
      <c r="H1865" s="19" t="n">
        <v>7.5</v>
      </c>
      <c r="I1865" t="inlineStr">
        <is>
          <t>Series A</t>
        </is>
      </c>
      <c r="J1865" t="inlineStr">
        <is>
          <t>Chiratae Ventures</t>
        </is>
      </c>
      <c r="K1865" t="inlineStr">
        <is>
          <t>https://inc42.com/buzz/from-pharmeasy-to-curefoods-indian-startups-raised-377-mn-this-week/</t>
        </is>
      </c>
    </row>
    <row r="1866">
      <c r="A1866" t="inlineStr">
        <is>
          <t>ENT-10497497</t>
        </is>
      </c>
      <c r="B1866" t="inlineStr">
        <is>
          <t>R250924-oolka</t>
        </is>
      </c>
      <c r="C1866" t="inlineStr">
        <is>
          <t>Entrackr</t>
        </is>
      </c>
      <c r="D1866" s="17" t="n">
        <v>45924</v>
      </c>
      <c r="E1866" t="inlineStr">
        <is>
          <t>Oolka</t>
        </is>
      </c>
      <c r="F1866" t="inlineStr">
        <is>
          <t>$7 million</t>
        </is>
      </c>
      <c r="G1866" s="19" t="n"/>
      <c r="H1866" s="19" t="n">
        <v>7</v>
      </c>
      <c r="I1866" t="inlineStr">
        <is>
          <t>Seed</t>
        </is>
      </c>
      <c r="J1866" t="inlineStr">
        <is>
          <t>Lightspeed India Partners; Z47</t>
        </is>
      </c>
      <c r="K1866" t="inlineStr">
        <is>
          <t>https://entrackr.com/snippets/oolka-raises-7-mn-in-seed-round-led-by-lightspeed-and-z47-10497497</t>
        </is>
      </c>
    </row>
    <row r="1867">
      <c r="A1867" t="inlineStr">
        <is>
          <t>ET-124086960</t>
        </is>
      </c>
      <c r="B1867" t="inlineStr">
        <is>
          <t>R250924-oolka</t>
        </is>
      </c>
      <c r="C1867" t="inlineStr">
        <is>
          <t>The Economic Times</t>
        </is>
      </c>
      <c r="D1867" s="17" t="n">
        <v>45924</v>
      </c>
      <c r="E1867" t="inlineStr">
        <is>
          <t>Oolka</t>
        </is>
      </c>
      <c r="F1867" t="inlineStr">
        <is>
          <t>$7 million</t>
        </is>
      </c>
      <c r="G1867" s="19" t="n"/>
      <c r="H1867" s="19" t="n">
        <v>7</v>
      </c>
      <c r="I1867" t="inlineStr">
        <is>
          <t>Seed</t>
        </is>
      </c>
      <c r="J1867" t="inlineStr">
        <is>
          <t>Lightspeed India Partners; Z47</t>
        </is>
      </c>
      <c r="K1867" t="inlineStr">
        <is>
          <t>https://economictimes.indiatimes.com/tech/funding/ai-powered-fintech-oolka-raises-7-million-from-lightspeed-india-z47-others/articleshow/124086960.cms</t>
        </is>
      </c>
    </row>
    <row r="1868">
      <c r="A1868" t="inlineStr">
        <is>
          <t>INC-20250927-12</t>
        </is>
      </c>
      <c r="B1868" t="inlineStr">
        <is>
          <t>R250924-oolka</t>
        </is>
      </c>
      <c r="C1868" t="inlineStr">
        <is>
          <t>Inc42</t>
        </is>
      </c>
      <c r="D1868" s="17" t="n">
        <v>45924</v>
      </c>
      <c r="E1868" t="inlineStr">
        <is>
          <t>Oolka</t>
        </is>
      </c>
      <c r="F1868" t="inlineStr">
        <is>
          <t>$7 Mn</t>
        </is>
      </c>
      <c r="G1868" s="19" t="n"/>
      <c r="H1868" s="19" t="n">
        <v>7</v>
      </c>
      <c r="I1868" t="inlineStr">
        <is>
          <t>Seed</t>
        </is>
      </c>
      <c r="J1868" t="inlineStr">
        <is>
          <t>Lightspeed India; Z47</t>
        </is>
      </c>
      <c r="K1868" t="inlineStr">
        <is>
          <t>https://inc42.com/buzz/from-pharmeasy-to-curefoods-indian-startups-raised-377-mn-this-week/</t>
        </is>
      </c>
    </row>
    <row r="1869">
      <c r="A1869" t="inlineStr">
        <is>
          <t>ENT-10495972</t>
        </is>
      </c>
      <c r="B1869" t="inlineStr">
        <is>
          <t>R250924-ptal</t>
        </is>
      </c>
      <c r="C1869" t="inlineStr">
        <is>
          <t>Entrackr</t>
        </is>
      </c>
      <c r="D1869" s="17" t="n">
        <v>45924</v>
      </c>
      <c r="E1869" t="inlineStr">
        <is>
          <t>P-Tal</t>
        </is>
      </c>
      <c r="F1869" t="inlineStr">
        <is>
          <t>$3 million</t>
        </is>
      </c>
      <c r="G1869" s="19" t="n"/>
      <c r="H1869" s="19" t="n">
        <v>3</v>
      </c>
      <c r="I1869" t="inlineStr">
        <is>
          <t>Undisclosed</t>
        </is>
      </c>
      <c r="J1869" t="inlineStr">
        <is>
          <t>VC Grid; Rainmatter</t>
        </is>
      </c>
      <c r="K1869" t="inlineStr">
        <is>
          <t>https://entrackr.com/snippets/kitchenware-brand-p-tal-raises-3-mn-led-by-vc-grid-and-rainmatter-10495972</t>
        </is>
      </c>
    </row>
    <row r="1870">
      <c r="A1870" t="inlineStr">
        <is>
          <t>ET-124076591</t>
        </is>
      </c>
      <c r="B1870" t="inlineStr">
        <is>
          <t>R250924-ptal</t>
        </is>
      </c>
      <c r="C1870" t="inlineStr">
        <is>
          <t>The Economic Times</t>
        </is>
      </c>
      <c r="D1870" s="17" t="n">
        <v>45924</v>
      </c>
      <c r="E1870" t="inlineStr">
        <is>
          <t>P-Tal</t>
        </is>
      </c>
      <c r="F1870" t="inlineStr">
        <is>
          <t>$3 million</t>
        </is>
      </c>
      <c r="G1870" s="19" t="n"/>
      <c r="H1870" s="19" t="n">
        <v>3</v>
      </c>
      <c r="I1870" t="inlineStr">
        <is>
          <t>Undisclosed</t>
        </is>
      </c>
      <c r="J1870" t="inlineStr">
        <is>
          <t>VC Grid; Rainmatter</t>
        </is>
      </c>
      <c r="K1870" t="inlineStr">
        <is>
          <t>https://economictimes.indiatimes.com/tech/funding/kitchenware-brand-p-tal-raises-3-million-led-by-vc-grid-rainmatter/articleshow/124076591.cms</t>
        </is>
      </c>
    </row>
    <row r="1871">
      <c r="A1871" t="inlineStr">
        <is>
          <t>INC-20250927-17</t>
        </is>
      </c>
      <c r="B1871" t="inlineStr">
        <is>
          <t>R250924-ptal</t>
        </is>
      </c>
      <c r="C1871" t="inlineStr">
        <is>
          <t>Inc42</t>
        </is>
      </c>
      <c r="D1871" s="17" t="n">
        <v>45924</v>
      </c>
      <c r="E1871" t="inlineStr">
        <is>
          <t>P-TAL</t>
        </is>
      </c>
      <c r="F1871" t="inlineStr">
        <is>
          <t>$3 Mn</t>
        </is>
      </c>
      <c r="G1871" s="19" t="n"/>
      <c r="H1871" s="19" t="n">
        <v>3</v>
      </c>
      <c r="I1871" t="inlineStr">
        <is>
          <t>Series A</t>
        </is>
      </c>
      <c r="J1871" t="inlineStr">
        <is>
          <t>Venture Catalysts; Rainmatter</t>
        </is>
      </c>
      <c r="K1871" t="inlineStr">
        <is>
          <t>https://inc42.com/buzz/from-pharmeasy-to-curefoods-indian-startups-raised-377-mn-this-week/</t>
        </is>
      </c>
    </row>
    <row r="1872">
      <c r="A1872" t="inlineStr">
        <is>
          <t>ENT-10496834</t>
        </is>
      </c>
      <c r="B1872" t="inlineStr">
        <is>
          <t>R250924-xbattery</t>
        </is>
      </c>
      <c r="C1872" t="inlineStr">
        <is>
          <t>Entrackr</t>
        </is>
      </c>
      <c r="D1872" s="17" t="n">
        <v>45924</v>
      </c>
      <c r="E1872" t="inlineStr">
        <is>
          <t>Xbattery</t>
        </is>
      </c>
      <c r="F1872" t="inlineStr">
        <is>
          <t>$2.3 million</t>
        </is>
      </c>
      <c r="G1872" s="19" t="n"/>
      <c r="H1872" s="19" t="n">
        <v>2.3</v>
      </c>
      <c r="I1872" t="inlineStr">
        <is>
          <t>Seed</t>
        </is>
      </c>
      <c r="J1872" t="inlineStr">
        <is>
          <t>Bipin Patel Family Office</t>
        </is>
      </c>
      <c r="K1872" t="inlineStr">
        <is>
          <t>https://entrackr.com/snippets/deep-tech-startup-xbattery-raises-23-mn-in-seed-round-10496834</t>
        </is>
      </c>
    </row>
    <row r="1873">
      <c r="A1873" t="inlineStr">
        <is>
          <t>ET-124088432</t>
        </is>
      </c>
      <c r="B1873" t="inlineStr">
        <is>
          <t>R250924-xbattery</t>
        </is>
      </c>
      <c r="C1873" t="inlineStr">
        <is>
          <t>The Economic Times</t>
        </is>
      </c>
      <c r="D1873" s="17" t="n">
        <v>45924</v>
      </c>
      <c r="E1873" t="inlineStr">
        <is>
          <t>Xbattery</t>
        </is>
      </c>
      <c r="F1873" t="inlineStr">
        <is>
          <t>$2.3 million</t>
        </is>
      </c>
      <c r="G1873" s="19" t="n"/>
      <c r="H1873" s="19" t="n">
        <v>2.3</v>
      </c>
      <c r="I1873" t="inlineStr">
        <is>
          <t>Undisclosed</t>
        </is>
      </c>
      <c r="J1873" t="inlineStr">
        <is>
          <t>Bipin Patel Family Office</t>
        </is>
      </c>
      <c r="K1873" t="inlineStr">
        <is>
          <t>https://economictimes.indiatimes.com/tech/funding/xbattery-raises-2-3-million-to-fuel-battery-innovation/articleshow/124088432.cms</t>
        </is>
      </c>
    </row>
    <row r="1874">
      <c r="A1874" t="inlineStr">
        <is>
          <t>INC-20250927-18</t>
        </is>
      </c>
      <c r="B1874" t="inlineStr">
        <is>
          <t>R250924-xbattery</t>
        </is>
      </c>
      <c r="C1874" t="inlineStr">
        <is>
          <t>Inc42</t>
        </is>
      </c>
      <c r="D1874" s="17" t="n">
        <v>45924</v>
      </c>
      <c r="E1874" t="inlineStr">
        <is>
          <t>Xbattery</t>
        </is>
      </c>
      <c r="F1874" t="inlineStr">
        <is>
          <t>$2.3 Mn</t>
        </is>
      </c>
      <c r="G1874" s="19" t="n"/>
      <c r="H1874" s="19" t="n">
        <v>2.3</v>
      </c>
      <c r="I1874" t="inlineStr">
        <is>
          <t>Seed</t>
        </is>
      </c>
      <c r="J1874" t="inlineStr">
        <is>
          <t>Bipin Patel Family Office</t>
        </is>
      </c>
      <c r="K1874" t="inlineStr">
        <is>
          <t>https://inc42.com/buzz/from-pharmeasy-to-curefoods-indian-startups-raised-377-mn-this-week/</t>
        </is>
      </c>
    </row>
    <row r="1875">
      <c r="A1875" t="inlineStr">
        <is>
          <t>ENT-10501032</t>
        </is>
      </c>
      <c r="B1875" t="inlineStr">
        <is>
          <t>R250925-akashalabdhi</t>
        </is>
      </c>
      <c r="C1875" t="inlineStr">
        <is>
          <t>Entrackr</t>
        </is>
      </c>
      <c r="D1875" s="17" t="n">
        <v>45925</v>
      </c>
      <c r="E1875" t="inlineStr">
        <is>
          <t>Akashalabdhi</t>
        </is>
      </c>
      <c r="F1875" t="inlineStr">
        <is>
          <t>$1.2 million</t>
        </is>
      </c>
      <c r="G1875" s="19" t="n"/>
      <c r="H1875" s="19" t="n">
        <v>1.2</v>
      </c>
      <c r="I1875" t="inlineStr">
        <is>
          <t>Pre-Seed</t>
        </is>
      </c>
      <c r="J1875" t="inlineStr"/>
      <c r="K1875" t="inlineStr">
        <is>
          <t>https://entrackr.com/snippets/space-tech-startup-akashalabdhi-raises-12-mn-in-pre-seed-round-10501032</t>
        </is>
      </c>
    </row>
    <row r="1876">
      <c r="A1876" t="inlineStr">
        <is>
          <t>INC-20250927-21</t>
        </is>
      </c>
      <c r="B1876" t="inlineStr">
        <is>
          <t>R250925-akashalabdhi</t>
        </is>
      </c>
      <c r="C1876" t="inlineStr">
        <is>
          <t>Inc42</t>
        </is>
      </c>
      <c r="D1876" s="17" t="n">
        <v>45926</v>
      </c>
      <c r="E1876" t="inlineStr">
        <is>
          <t>Akashalabdhi</t>
        </is>
      </c>
      <c r="F1876" t="inlineStr">
        <is>
          <t>$1.2 Mn</t>
        </is>
      </c>
      <c r="G1876" s="19" t="n"/>
      <c r="H1876" s="19" t="n">
        <v>1.2</v>
      </c>
      <c r="I1876" t="inlineStr">
        <is>
          <t>Pre-Seed</t>
        </is>
      </c>
      <c r="J1876" t="inlineStr"/>
      <c r="K1876" t="inlineStr">
        <is>
          <t>https://inc42.com/buzz/from-pharmeasy-to-curefoods-indian-startups-raised-377-mn-this-week/</t>
        </is>
      </c>
    </row>
    <row r="1877">
      <c r="A1877" t="inlineStr">
        <is>
          <t>ET-124215735</t>
        </is>
      </c>
      <c r="B1877" t="inlineStr">
        <is>
          <t>R250925-akashalabdhi</t>
        </is>
      </c>
      <c r="C1877" t="inlineStr">
        <is>
          <t>The Economic Times</t>
        </is>
      </c>
      <c r="D1877" s="17" t="n">
        <v>45929</v>
      </c>
      <c r="E1877" t="inlineStr">
        <is>
          <t>Akashalabdhi</t>
        </is>
      </c>
      <c r="F1877" t="inlineStr">
        <is>
          <t>$1.2 million</t>
        </is>
      </c>
      <c r="G1877" s="19" t="n"/>
      <c r="H1877" s="19" t="n">
        <v>1.2</v>
      </c>
      <c r="I1877" t="inlineStr">
        <is>
          <t>Pre-Seed</t>
        </is>
      </c>
      <c r="J1877" t="inlineStr"/>
      <c r="K1877" t="inlineStr">
        <is>
          <t>https://economictimes.indiatimes.com/tech/funding/spacetech-startup-akashalabdhi-raises-1-2-million-in-pre-seed-round/articleshow/124215735.cms</t>
        </is>
      </c>
    </row>
    <row r="1878">
      <c r="A1878" t="inlineStr">
        <is>
          <t>ENT-10500153</t>
        </is>
      </c>
      <c r="B1878" t="inlineStr">
        <is>
          <t>R250925-bharatintellig</t>
        </is>
      </c>
      <c r="C1878" t="inlineStr">
        <is>
          <t>Entrackr</t>
        </is>
      </c>
      <c r="D1878" s="17" t="n">
        <v>45925</v>
      </c>
      <c r="E1878" t="inlineStr">
        <is>
          <t>Bharat Intelligence</t>
        </is>
      </c>
      <c r="F1878" t="inlineStr">
        <is>
          <t>Rs 7 crore</t>
        </is>
      </c>
      <c r="G1878" s="19" t="n">
        <v>7</v>
      </c>
      <c r="H1878" s="19" t="n"/>
      <c r="I1878" t="inlineStr">
        <is>
          <t>Pre-Seed</t>
        </is>
      </c>
      <c r="J1878" t="inlineStr">
        <is>
          <t>Sahyadri Farms</t>
        </is>
      </c>
      <c r="K1878" t="inlineStr">
        <is>
          <t>https://entrackr.com/snippets/agritech-startup-bharat-intelligence-raises-funding-led-by-sahyadri-farms-10500153</t>
        </is>
      </c>
    </row>
    <row r="1879">
      <c r="A1879" t="inlineStr">
        <is>
          <t>INC-20250927-23</t>
        </is>
      </c>
      <c r="B1879" t="inlineStr">
        <is>
          <t>R250925-bharatintellig</t>
        </is>
      </c>
      <c r="C1879" t="inlineStr">
        <is>
          <t>Inc42</t>
        </is>
      </c>
      <c r="D1879" s="17" t="n">
        <v>45925</v>
      </c>
      <c r="E1879" t="inlineStr">
        <is>
          <t>Bharat Intelligence</t>
        </is>
      </c>
      <c r="F1879" t="inlineStr">
        <is>
          <t>$790K</t>
        </is>
      </c>
      <c r="G1879" s="19" t="n"/>
      <c r="H1879" s="19" t="n">
        <v>0.79</v>
      </c>
      <c r="I1879" t="inlineStr">
        <is>
          <t>Pre-Seed</t>
        </is>
      </c>
      <c r="J1879" t="inlineStr">
        <is>
          <t>Sahyadri Farms</t>
        </is>
      </c>
      <c r="K1879" t="inlineStr">
        <is>
          <t>https://inc42.com/buzz/from-pharmeasy-to-curefoods-indian-startups-raised-377-mn-this-week/</t>
        </is>
      </c>
    </row>
    <row r="1880">
      <c r="A1880" t="inlineStr">
        <is>
          <t>ENT-10500126</t>
        </is>
      </c>
      <c r="B1880" t="inlineStr">
        <is>
          <t>R250925-cosmoservespac</t>
        </is>
      </c>
      <c r="C1880" t="inlineStr">
        <is>
          <t>Entrackr</t>
        </is>
      </c>
      <c r="D1880" s="17" t="n">
        <v>45925</v>
      </c>
      <c r="E1880" t="inlineStr">
        <is>
          <t>Cosmoserve Space</t>
        </is>
      </c>
      <c r="F1880" t="inlineStr">
        <is>
          <t>$3.17 million</t>
        </is>
      </c>
      <c r="G1880" s="19" t="n"/>
      <c r="H1880" s="19" t="n">
        <v>3.17</v>
      </c>
      <c r="I1880" t="inlineStr">
        <is>
          <t>Pre-Seed</t>
        </is>
      </c>
      <c r="J1880" t="inlineStr">
        <is>
          <t>Alan Rutledge</t>
        </is>
      </c>
      <c r="K1880" t="inlineStr">
        <is>
          <t>https://entrackr.com/snippets/cosmoserve-space-raises-317-mn-in-pre-seed-round-10500126</t>
        </is>
      </c>
    </row>
    <row r="1881">
      <c r="A1881" t="inlineStr">
        <is>
          <t>INC-20250927-16</t>
        </is>
      </c>
      <c r="B1881" t="inlineStr">
        <is>
          <t>R250925-cosmoservespac</t>
        </is>
      </c>
      <c r="C1881" t="inlineStr">
        <is>
          <t>Inc42</t>
        </is>
      </c>
      <c r="D1881" s="17" t="n">
        <v>45925</v>
      </c>
      <c r="E1881" t="inlineStr">
        <is>
          <t>Cosmoserve Space</t>
        </is>
      </c>
      <c r="F1881" t="inlineStr">
        <is>
          <t>$3.2 Mn</t>
        </is>
      </c>
      <c r="G1881" s="19" t="n"/>
      <c r="H1881" s="19" t="n">
        <v>3.2</v>
      </c>
      <c r="I1881" t="inlineStr">
        <is>
          <t>Pre-Seed</t>
        </is>
      </c>
      <c r="J1881" t="inlineStr">
        <is>
          <t>AVCF</t>
        </is>
      </c>
      <c r="K1881" t="inlineStr">
        <is>
          <t>https://inc42.com/buzz/from-pharmeasy-to-curefoods-indian-startups-raised-377-mn-this-week/</t>
        </is>
      </c>
    </row>
    <row r="1882">
      <c r="A1882" t="inlineStr">
        <is>
          <t>ENT-10499839</t>
        </is>
      </c>
      <c r="B1882" t="inlineStr">
        <is>
          <t>R250925-handpickd</t>
        </is>
      </c>
      <c r="C1882" t="inlineStr">
        <is>
          <t>Entrackr</t>
        </is>
      </c>
      <c r="D1882" s="17" t="n">
        <v>45925</v>
      </c>
      <c r="E1882" t="inlineStr">
        <is>
          <t>Handpickd</t>
        </is>
      </c>
      <c r="F1882" t="inlineStr">
        <is>
          <t>$15 million</t>
        </is>
      </c>
      <c r="G1882" s="19" t="n"/>
      <c r="H1882" s="19" t="n">
        <v>15</v>
      </c>
      <c r="I1882" t="inlineStr">
        <is>
          <t>Series A</t>
        </is>
      </c>
      <c r="J1882" t="inlineStr">
        <is>
          <t>Bertelsmann India Investments</t>
        </is>
      </c>
      <c r="K1882" t="inlineStr">
        <is>
          <t>https://entrackr.com/news/handpickd-raises-15-mn-from-bertelsmann-and-titan-capital-winners-fund-10499839</t>
        </is>
      </c>
    </row>
    <row r="1883">
      <c r="A1883" t="inlineStr">
        <is>
          <t>ET-124106234</t>
        </is>
      </c>
      <c r="B1883" t="inlineStr">
        <is>
          <t>R250925-handpickd</t>
        </is>
      </c>
      <c r="C1883" t="inlineStr">
        <is>
          <t>The Economic Times</t>
        </is>
      </c>
      <c r="D1883" s="17" t="n">
        <v>45925</v>
      </c>
      <c r="E1883" t="inlineStr">
        <is>
          <t>Handpickd</t>
        </is>
      </c>
      <c r="F1883" t="inlineStr">
        <is>
          <t>$15 million</t>
        </is>
      </c>
      <c r="G1883" s="19" t="n"/>
      <c r="H1883" s="19" t="n">
        <v>15</v>
      </c>
      <c r="I1883" t="inlineStr">
        <is>
          <t>Undisclosed</t>
        </is>
      </c>
      <c r="J1883" t="inlineStr">
        <is>
          <t>Bertelsmann India Investments</t>
        </is>
      </c>
      <c r="K1883" t="inlineStr">
        <is>
          <t>https://economictimes.indiatimes.com/tech/funding/fresh-commerce-startup-handpickd-raises-15-million-from-bertelsmann-india-investments-others/articleshow/124106234.cms</t>
        </is>
      </c>
    </row>
    <row r="1884">
      <c r="A1884" t="inlineStr">
        <is>
          <t>INC-20250927-05</t>
        </is>
      </c>
      <c r="B1884" t="inlineStr">
        <is>
          <t>R250925-handpickd</t>
        </is>
      </c>
      <c r="C1884" t="inlineStr">
        <is>
          <t>Inc42</t>
        </is>
      </c>
      <c r="D1884" s="17" t="n">
        <v>45925</v>
      </c>
      <c r="E1884" t="inlineStr">
        <is>
          <t>Handpickd</t>
        </is>
      </c>
      <c r="F1884" t="inlineStr">
        <is>
          <t>$15 Mn</t>
        </is>
      </c>
      <c r="G1884" s="19" t="n"/>
      <c r="H1884" s="19" t="n">
        <v>15</v>
      </c>
      <c r="I1884" t="inlineStr">
        <is>
          <t>Series A</t>
        </is>
      </c>
      <c r="J1884" t="inlineStr">
        <is>
          <t>Bertelsmann India Investments</t>
        </is>
      </c>
      <c r="K1884" t="inlineStr">
        <is>
          <t>https://inc42.com/buzz/from-pharmeasy-to-curefoods-indian-startups-raised-377-mn-this-week/</t>
        </is>
      </c>
    </row>
    <row r="1885">
      <c r="A1885" t="inlineStr">
        <is>
          <t>ENT-10502036</t>
        </is>
      </c>
      <c r="B1885" t="inlineStr">
        <is>
          <t>R250925-kisankonnect</t>
        </is>
      </c>
      <c r="C1885" t="inlineStr">
        <is>
          <t>Entrackr</t>
        </is>
      </c>
      <c r="D1885" s="17" t="n">
        <v>45925</v>
      </c>
      <c r="E1885" t="inlineStr">
        <is>
          <t>KisanKonnect</t>
        </is>
      </c>
      <c r="F1885" t="inlineStr">
        <is>
          <t>Rs 72 crore</t>
        </is>
      </c>
      <c r="G1885" s="19" t="n">
        <v>72</v>
      </c>
      <c r="H1885" s="19" t="n">
        <v>8</v>
      </c>
      <c r="I1885" t="inlineStr">
        <is>
          <t>Pre-Series B</t>
        </is>
      </c>
      <c r="J1885" t="inlineStr">
        <is>
          <t>Bajaj Finserv Group</t>
        </is>
      </c>
      <c r="K1885" t="inlineStr">
        <is>
          <t>https://entrackr.com/snippets/kisankonnect-raises-rs-72-cr-led-by-bajaj-finserv-ventures-10502036</t>
        </is>
      </c>
    </row>
    <row r="1886">
      <c r="A1886" t="inlineStr">
        <is>
          <t>INC-20250927-09</t>
        </is>
      </c>
      <c r="B1886" t="inlineStr">
        <is>
          <t>R250925-kisankonnect</t>
        </is>
      </c>
      <c r="C1886" t="inlineStr">
        <is>
          <t>Inc42</t>
        </is>
      </c>
      <c r="D1886" s="17" t="n">
        <v>45926</v>
      </c>
      <c r="E1886" t="inlineStr">
        <is>
          <t>KisanKonnect</t>
        </is>
      </c>
      <c r="F1886" t="inlineStr">
        <is>
          <t>$8.1 Mn</t>
        </is>
      </c>
      <c r="G1886" s="19" t="n"/>
      <c r="H1886" s="19" t="n">
        <v>8.1</v>
      </c>
      <c r="I1886" t="inlineStr">
        <is>
          <t>Pre-Series A</t>
        </is>
      </c>
      <c r="J1886" t="inlineStr">
        <is>
          <t>Bajaj Finserv Group</t>
        </is>
      </c>
      <c r="K1886" t="inlineStr">
        <is>
          <t>https://inc42.com/buzz/from-pharmeasy-to-curefoods-indian-startups-raised-377-mn-this-week/</t>
        </is>
      </c>
    </row>
    <row r="1887">
      <c r="A1887" t="inlineStr">
        <is>
          <t>ENT-10500656</t>
        </is>
      </c>
      <c r="B1887" t="inlineStr">
        <is>
          <t>R250925-kiwirecently</t>
        </is>
      </c>
      <c r="C1887" t="inlineStr">
        <is>
          <t>Entrackr</t>
        </is>
      </c>
      <c r="D1887" s="17" t="n">
        <v>45925</v>
      </c>
      <c r="E1887" t="inlineStr">
        <is>
          <t>Kiwi recently</t>
        </is>
      </c>
      <c r="F1887" t="inlineStr">
        <is>
          <t>$24 million</t>
        </is>
      </c>
      <c r="G1887" s="19" t="n">
        <v>208.5</v>
      </c>
      <c r="H1887" s="19" t="n">
        <v>24</v>
      </c>
      <c r="I1887" t="inlineStr">
        <is>
          <t>Series B</t>
        </is>
      </c>
      <c r="J1887" t="inlineStr"/>
      <c r="K1887" t="inlineStr">
        <is>
          <t>https://entrackr.com/decoding/virtual-credit-card-app-kiwis-valuation-jumps-to-100-mn-in-series-b-round-10500656</t>
        </is>
      </c>
    </row>
    <row r="1888">
      <c r="A1888" t="inlineStr">
        <is>
          <t>ENT-10499569</t>
        </is>
      </c>
      <c r="B1888" t="inlineStr">
        <is>
          <t>R250925-recove</t>
        </is>
      </c>
      <c r="C1888" t="inlineStr">
        <is>
          <t>Entrackr</t>
        </is>
      </c>
      <c r="D1888" s="17" t="n">
        <v>45925</v>
      </c>
      <c r="E1888" t="inlineStr">
        <is>
          <t>Recove</t>
        </is>
      </c>
      <c r="F1888" t="inlineStr">
        <is>
          <t>Rs 5.3 crore</t>
        </is>
      </c>
      <c r="G1888" s="19" t="n">
        <v>5.3</v>
      </c>
      <c r="H1888" s="19" t="n"/>
      <c r="I1888" t="inlineStr">
        <is>
          <t>Pre-Seed</t>
        </is>
      </c>
      <c r="J1888" t="inlineStr">
        <is>
          <t>Momentum Capital</t>
        </is>
      </c>
      <c r="K1888" t="inlineStr">
        <is>
          <t>https://entrackr.com/snippets/recove-raises-rs-53-cr-in-pre-seed-round-led-by-momentum-capital-10499569</t>
        </is>
      </c>
    </row>
    <row r="1889">
      <c r="A1889" t="inlineStr">
        <is>
          <t>ET-124125110</t>
        </is>
      </c>
      <c r="B1889" t="inlineStr">
        <is>
          <t>R250925-recove</t>
        </is>
      </c>
      <c r="C1889" t="inlineStr">
        <is>
          <t>The Economic Times</t>
        </is>
      </c>
      <c r="D1889" s="17" t="n">
        <v>45925</v>
      </c>
      <c r="E1889" t="inlineStr">
        <is>
          <t>Recove</t>
        </is>
      </c>
      <c r="F1889" t="inlineStr">
        <is>
          <t>Rs 5.3 crore</t>
        </is>
      </c>
      <c r="G1889" s="19" t="n">
        <v>5.3</v>
      </c>
      <c r="H1889" s="19" t="n"/>
      <c r="I1889" t="inlineStr">
        <is>
          <t>Pre-Seed</t>
        </is>
      </c>
      <c r="J1889" t="inlineStr">
        <is>
          <t>Momentum Capital</t>
        </is>
      </c>
      <c r="K1889" t="inlineStr">
        <is>
          <t>https://economictimes.indiatimes.com/tech/funding/b2b-plastic-recycling-startup-recove-raises-rs-5-3-crore-in-pre-seed-round-led-by-momentum-capital/articleshow/124125110.cms</t>
        </is>
      </c>
    </row>
    <row r="1890">
      <c r="A1890" t="inlineStr">
        <is>
          <t>INC-20250927-24</t>
        </is>
      </c>
      <c r="B1890" t="inlineStr">
        <is>
          <t>R250925-recove</t>
        </is>
      </c>
      <c r="C1890" t="inlineStr">
        <is>
          <t>Inc42</t>
        </is>
      </c>
      <c r="D1890" s="17" t="n">
        <v>45925</v>
      </c>
      <c r="E1890" t="inlineStr">
        <is>
          <t>Recove</t>
        </is>
      </c>
      <c r="F1890" t="inlineStr">
        <is>
          <t>$598K</t>
        </is>
      </c>
      <c r="G1890" s="19" t="n"/>
      <c r="H1890" s="19" t="n">
        <v>0.598</v>
      </c>
      <c r="I1890" t="inlineStr">
        <is>
          <t>Undisclosed</t>
        </is>
      </c>
      <c r="J1890" t="inlineStr">
        <is>
          <t>Momentum Capital</t>
        </is>
      </c>
      <c r="K1890" t="inlineStr">
        <is>
          <t>https://inc42.com/buzz/from-pharmeasy-to-curefoods-indian-startups-raised-377-mn-this-week/</t>
        </is>
      </c>
    </row>
    <row r="1891">
      <c r="A1891" t="inlineStr">
        <is>
          <t>ENT-10499926</t>
        </is>
      </c>
      <c r="B1891" t="inlineStr">
        <is>
          <t>R250925-samaaro</t>
        </is>
      </c>
      <c r="C1891" t="inlineStr">
        <is>
          <t>Entrackr</t>
        </is>
      </c>
      <c r="D1891" s="17" t="n">
        <v>45925</v>
      </c>
      <c r="E1891" t="inlineStr">
        <is>
          <t>Samaaro</t>
        </is>
      </c>
      <c r="F1891" t="inlineStr">
        <is>
          <t>$500K</t>
        </is>
      </c>
      <c r="G1891" s="19" t="n"/>
      <c r="H1891" s="19" t="n">
        <v>0.5</v>
      </c>
      <c r="I1891" t="inlineStr">
        <is>
          <t>Pre-Series A</t>
        </is>
      </c>
      <c r="J1891" t="inlineStr">
        <is>
          <t>Inflection Point Ventures</t>
        </is>
      </c>
      <c r="K1891" t="inlineStr">
        <is>
          <t>https://entrackr.com/snippets/event-marketing-platform-samaaro-raises-500k-in-pre-series-a-round-10499926</t>
        </is>
      </c>
    </row>
    <row r="1892">
      <c r="A1892" t="inlineStr">
        <is>
          <t>INC-20250927-26</t>
        </is>
      </c>
      <c r="B1892" t="inlineStr">
        <is>
          <t>R250925-samaaro</t>
        </is>
      </c>
      <c r="C1892" t="inlineStr">
        <is>
          <t>Inc42</t>
        </is>
      </c>
      <c r="D1892" s="17" t="n">
        <v>45925</v>
      </c>
      <c r="E1892" t="inlineStr">
        <is>
          <t>Samaaro</t>
        </is>
      </c>
      <c r="F1892" t="inlineStr">
        <is>
          <t>$500K</t>
        </is>
      </c>
      <c r="G1892" s="19" t="n"/>
      <c r="H1892" s="19" t="n">
        <v>0.5</v>
      </c>
      <c r="I1892" t="inlineStr">
        <is>
          <t>Pre-Series A</t>
        </is>
      </c>
      <c r="J1892" t="inlineStr">
        <is>
          <t>Inflection Point Ventures</t>
        </is>
      </c>
      <c r="K1892" t="inlineStr">
        <is>
          <t>https://inc42.com/buzz/from-pharmeasy-to-curefoods-indian-startups-raised-377-mn-this-week/</t>
        </is>
      </c>
    </row>
    <row r="1893">
      <c r="A1893" t="inlineStr">
        <is>
          <t>ENT-10499888</t>
        </is>
      </c>
      <c r="B1893" t="inlineStr">
        <is>
          <t>R250925-simpleenergy</t>
        </is>
      </c>
      <c r="C1893" t="inlineStr">
        <is>
          <t>Entrackr</t>
        </is>
      </c>
      <c r="D1893" s="17" t="n">
        <v>45925</v>
      </c>
      <c r="E1893" t="inlineStr">
        <is>
          <t>Simple Energy</t>
        </is>
      </c>
      <c r="F1893" t="inlineStr">
        <is>
          <t>$10 million</t>
        </is>
      </c>
      <c r="G1893" s="19" t="n"/>
      <c r="H1893" s="19" t="n">
        <v>10</v>
      </c>
      <c r="I1893" t="inlineStr">
        <is>
          <t>Bridge</t>
        </is>
      </c>
      <c r="J1893" t="inlineStr">
        <is>
          <t>Dr</t>
        </is>
      </c>
      <c r="K1893" t="inlineStr">
        <is>
          <t>https://entrackr.com/snippets/simple-energy-raises-10-mn-in-bridge-round-10499888</t>
        </is>
      </c>
    </row>
    <row r="1894">
      <c r="A1894" t="inlineStr">
        <is>
          <t>ET-124108554</t>
        </is>
      </c>
      <c r="B1894" t="inlineStr">
        <is>
          <t>R250925-simpleenergy</t>
        </is>
      </c>
      <c r="C1894" t="inlineStr">
        <is>
          <t>The Economic Times</t>
        </is>
      </c>
      <c r="D1894" s="17" t="n">
        <v>45925</v>
      </c>
      <c r="E1894" t="inlineStr">
        <is>
          <t>Simple Energy</t>
        </is>
      </c>
      <c r="F1894" t="inlineStr">
        <is>
          <t>$10 million</t>
        </is>
      </c>
      <c r="G1894" s="19" t="n"/>
      <c r="H1894" s="19" t="n">
        <v>10</v>
      </c>
      <c r="I1894" t="inlineStr">
        <is>
          <t>Undisclosed</t>
        </is>
      </c>
      <c r="J1894" t="inlineStr"/>
      <c r="K1894" t="inlineStr">
        <is>
          <t>https://economictimes.indiatimes.com/tech/funding/simple-energy-raises-10-million-for-pan-india-network-expansion-rd-activities/articleshow/124108554.cms</t>
        </is>
      </c>
    </row>
    <row r="1895">
      <c r="A1895" t="inlineStr">
        <is>
          <t>INC-20250927-08</t>
        </is>
      </c>
      <c r="B1895" t="inlineStr">
        <is>
          <t>R250925-simpleenergy</t>
        </is>
      </c>
      <c r="C1895" t="inlineStr">
        <is>
          <t>Inc42</t>
        </is>
      </c>
      <c r="D1895" s="17" t="n">
        <v>45925</v>
      </c>
      <c r="E1895" t="inlineStr">
        <is>
          <t>Simple Energy</t>
        </is>
      </c>
      <c r="F1895" t="inlineStr">
        <is>
          <t>$10 Mn</t>
        </is>
      </c>
      <c r="G1895" s="19" t="n"/>
      <c r="H1895" s="19" t="n">
        <v>10</v>
      </c>
      <c r="I1895" t="inlineStr">
        <is>
          <t>Undisclosed</t>
        </is>
      </c>
      <c r="J1895" t="inlineStr">
        <is>
          <t>Dr Arokiaswamy Velumani (founder; Thyrocare)</t>
        </is>
      </c>
      <c r="K1895" t="inlineStr">
        <is>
          <t>https://inc42.com/buzz/from-pharmeasy-to-curefoods-indian-startups-raised-377-mn-this-week/</t>
        </is>
      </c>
    </row>
    <row r="1896">
      <c r="A1896" t="inlineStr">
        <is>
          <t>VCC-b8e25024f3</t>
        </is>
      </c>
      <c r="B1896" t="inlineStr">
        <is>
          <t>R250925-simpleenergy</t>
        </is>
      </c>
      <c r="C1896" t="inlineStr">
        <is>
          <t>VCCircle</t>
        </is>
      </c>
      <c r="D1896" s="17" t="n">
        <v>45925</v>
      </c>
      <c r="E1896" t="inlineStr">
        <is>
          <t>simpleenergy</t>
        </is>
      </c>
      <c r="F1896" t="inlineStr">
        <is>
          <t>$ 10 million</t>
        </is>
      </c>
      <c r="G1896" s="19" t="n"/>
      <c r="H1896" s="19" t="n">
        <v>10</v>
      </c>
      <c r="I1896" t="inlineStr">
        <is>
          <t>Undisclosed</t>
        </is>
      </c>
      <c r="J1896" t="inlineStr"/>
      <c r="K1896" t="inlineStr">
        <is>
          <t>https://www.vccircle.com/simpleenergy-raises-10-mn-from-existing-investors-to-boost-retail-expansion</t>
        </is>
      </c>
    </row>
    <row r="1897">
      <c r="A1897" t="inlineStr">
        <is>
          <t>ENT-10503307</t>
        </is>
      </c>
      <c r="B1897" t="inlineStr">
        <is>
          <t>R250926-curefoods</t>
        </is>
      </c>
      <c r="C1897" t="inlineStr">
        <is>
          <t>Entrackr</t>
        </is>
      </c>
      <c r="D1897" s="17" t="n">
        <v>45926</v>
      </c>
      <c r="E1897" t="inlineStr">
        <is>
          <t>Curefoods</t>
        </is>
      </c>
      <c r="F1897" t="inlineStr">
        <is>
          <t>Rs 160 crore</t>
        </is>
      </c>
      <c r="G1897" s="19" t="n">
        <v>160</v>
      </c>
      <c r="H1897" s="19" t="n">
        <v>18</v>
      </c>
      <c r="I1897" t="inlineStr">
        <is>
          <t>Pre-IPO</t>
        </is>
      </c>
      <c r="J1897" t="inlineStr"/>
      <c r="K1897" t="inlineStr">
        <is>
          <t>https://entrackr.com/news/curefoods-raises-rs-160-cr-in-pre-ipo-placement-from-binny-bansals-3state-ventures-10503307</t>
        </is>
      </c>
    </row>
    <row r="1898">
      <c r="A1898" t="inlineStr">
        <is>
          <t>ET-124146159</t>
        </is>
      </c>
      <c r="B1898" t="inlineStr">
        <is>
          <t>R250926-curefoods</t>
        </is>
      </c>
      <c r="C1898" t="inlineStr">
        <is>
          <t>The Economic Times</t>
        </is>
      </c>
      <c r="D1898" s="17" t="n">
        <v>45926</v>
      </c>
      <c r="E1898" t="inlineStr">
        <is>
          <t>Curefoods</t>
        </is>
      </c>
      <c r="F1898" t="inlineStr">
        <is>
          <t>Rs 160 crore</t>
        </is>
      </c>
      <c r="G1898" s="19" t="n">
        <v>160</v>
      </c>
      <c r="H1898" s="19" t="n">
        <v>18</v>
      </c>
      <c r="I1898" t="inlineStr">
        <is>
          <t>Pre-IPO</t>
        </is>
      </c>
      <c r="J1898" t="inlineStr"/>
      <c r="K1898" t="inlineStr">
        <is>
          <t>https://economictimes.indiatimes.com/tech/funding/binny-bansals-3state-ventures-invests-rs-160-crore-in-curefoods-pre-ipo-round/articleshow/124146159.cms</t>
        </is>
      </c>
    </row>
    <row r="1899">
      <c r="A1899" t="inlineStr">
        <is>
          <t>INC-20250927-04</t>
        </is>
      </c>
      <c r="B1899" t="inlineStr">
        <is>
          <t>R250926-curefoods</t>
        </is>
      </c>
      <c r="C1899" t="inlineStr">
        <is>
          <t>Inc42</t>
        </is>
      </c>
      <c r="D1899" s="17" t="n">
        <v>45926</v>
      </c>
      <c r="E1899" t="inlineStr">
        <is>
          <t>Curefoods</t>
        </is>
      </c>
      <c r="F1899" t="inlineStr">
        <is>
          <t>$18 Mn</t>
        </is>
      </c>
      <c r="G1899" s="19" t="n"/>
      <c r="H1899" s="19" t="n">
        <v>18</v>
      </c>
      <c r="I1899" t="inlineStr">
        <is>
          <t>Undisclosed</t>
        </is>
      </c>
      <c r="J1899" t="inlineStr">
        <is>
          <t>3State Ventures</t>
        </is>
      </c>
      <c r="K1899" t="inlineStr">
        <is>
          <t>https://inc42.com/buzz/from-pharmeasy-to-curefoods-indian-startups-raised-377-mn-this-week/</t>
        </is>
      </c>
    </row>
    <row r="1900">
      <c r="A1900" t="inlineStr">
        <is>
          <t>VCC-112267207a</t>
        </is>
      </c>
      <c r="B1900" t="inlineStr">
        <is>
          <t>R250926-curefoods</t>
        </is>
      </c>
      <c r="C1900" t="inlineStr">
        <is>
          <t>VCCircle</t>
        </is>
      </c>
      <c r="D1900" s="17" t="n">
        <v>45926</v>
      </c>
      <c r="E1900" t="inlineStr">
        <is>
          <t>vcbacked curefoods</t>
        </is>
      </c>
      <c r="F1900" t="inlineStr">
        <is>
          <t>$ 450 million</t>
        </is>
      </c>
      <c r="G1900" s="19" t="n"/>
      <c r="H1900" s="19" t="n">
        <v>450</v>
      </c>
      <c r="I1900" t="inlineStr">
        <is>
          <t>Pre-IPO</t>
        </is>
      </c>
      <c r="J1900" t="inlineStr"/>
      <c r="K1900" t="inlineStr">
        <is>
          <t>https://www.vccircle.com/vcbacked-curefoods-gets-450-mn-tag-in-pre-ipo-deal</t>
        </is>
      </c>
    </row>
    <row r="1901">
      <c r="A1901" t="inlineStr">
        <is>
          <t>ENT-10504385</t>
        </is>
      </c>
      <c r="B1901" t="inlineStr">
        <is>
          <t>R250926-gaadimech</t>
        </is>
      </c>
      <c r="C1901" t="inlineStr">
        <is>
          <t>Entrackr</t>
        </is>
      </c>
      <c r="D1901" s="17" t="n">
        <v>45926</v>
      </c>
      <c r="E1901" t="inlineStr">
        <is>
          <t>GaadiMech</t>
        </is>
      </c>
      <c r="F1901" t="inlineStr">
        <is>
          <t>Rs 1.5 crore</t>
        </is>
      </c>
      <c r="G1901" s="19" t="n">
        <v>1.5</v>
      </c>
      <c r="H1901" s="19" t="n"/>
      <c r="I1901" t="inlineStr">
        <is>
          <t>Pre-Seed</t>
        </is>
      </c>
      <c r="J1901" t="inlineStr">
        <is>
          <t>AJVC</t>
        </is>
      </c>
      <c r="K1901" t="inlineStr">
        <is>
          <t>https://entrackr.com/snippets/car-servicing-startup-gaadimech-raises-pre-seed-round-led-by-ajvc-10504385</t>
        </is>
      </c>
    </row>
    <row r="1902">
      <c r="A1902" t="inlineStr">
        <is>
          <t>INC-20250927-27</t>
        </is>
      </c>
      <c r="B1902" t="inlineStr">
        <is>
          <t>R250926-gaadimech</t>
        </is>
      </c>
      <c r="C1902" t="inlineStr">
        <is>
          <t>Inc42</t>
        </is>
      </c>
      <c r="D1902" s="17" t="n">
        <v>45926</v>
      </c>
      <c r="E1902" t="inlineStr">
        <is>
          <t>Gaadimech</t>
        </is>
      </c>
      <c r="F1902" t="inlineStr">
        <is>
          <t>$169K</t>
        </is>
      </c>
      <c r="G1902" s="19" t="n"/>
      <c r="H1902" s="19" t="n">
        <v>0.169</v>
      </c>
      <c r="I1902" t="inlineStr">
        <is>
          <t>Undisclosed</t>
        </is>
      </c>
      <c r="J1902" t="inlineStr">
        <is>
          <t>AJVC</t>
        </is>
      </c>
      <c r="K1902" t="inlineStr">
        <is>
          <t>https://inc42.com/buzz/from-pharmeasy-to-curefoods-indian-startups-raised-377-mn-this-week/</t>
        </is>
      </c>
    </row>
    <row r="1903">
      <c r="A1903" t="inlineStr">
        <is>
          <t>ENT-10503228</t>
        </is>
      </c>
      <c r="B1903" t="inlineStr">
        <is>
          <t>R250926-vedantu</t>
        </is>
      </c>
      <c r="C1903" t="inlineStr">
        <is>
          <t>Entrackr</t>
        </is>
      </c>
      <c r="D1903" s="17" t="n">
        <v>45926</v>
      </c>
      <c r="E1903" t="inlineStr">
        <is>
          <t>Vedantu</t>
        </is>
      </c>
      <c r="F1903" t="inlineStr">
        <is>
          <t>$11 million</t>
        </is>
      </c>
      <c r="G1903" s="19" t="n"/>
      <c r="H1903" s="19" t="n">
        <v>11</v>
      </c>
      <c r="I1903" t="inlineStr">
        <is>
          <t>Undisclosed</t>
        </is>
      </c>
      <c r="J1903" t="inlineStr">
        <is>
          <t>ABC World Asia</t>
        </is>
      </c>
      <c r="K1903" t="inlineStr">
        <is>
          <t>https://entrackr.com/news/vedantu-raises-11-mn-from-internal-investors-in-ongoing-round-10503228</t>
        </is>
      </c>
    </row>
    <row r="1904">
      <c r="A1904" t="inlineStr">
        <is>
          <t>ET-124143854</t>
        </is>
      </c>
      <c r="B1904" t="inlineStr">
        <is>
          <t>R250926-vedantu</t>
        </is>
      </c>
      <c r="C1904" t="inlineStr">
        <is>
          <t>The Economic Times</t>
        </is>
      </c>
      <c r="D1904" s="17" t="n">
        <v>45926</v>
      </c>
      <c r="E1904" t="inlineStr">
        <is>
          <t>Vedantu</t>
        </is>
      </c>
      <c r="F1904" t="inlineStr">
        <is>
          <t>$11 million</t>
        </is>
      </c>
      <c r="G1904" s="19" t="n"/>
      <c r="H1904" s="19" t="n">
        <v>11</v>
      </c>
      <c r="I1904" t="inlineStr">
        <is>
          <t>Undisclosed</t>
        </is>
      </c>
      <c r="J1904" t="inlineStr">
        <is>
          <t>ABC World Asia</t>
        </is>
      </c>
      <c r="K1904" t="inlineStr">
        <is>
          <t>https://economictimes.indiatimes.com/tech/funding/edtech-startup-vedantu-raises-11-million-from-existing-investor-accel-others/articleshow/124143854.cms</t>
        </is>
      </c>
    </row>
    <row r="1905">
      <c r="A1905" t="inlineStr">
        <is>
          <t>INC-20250927-07</t>
        </is>
      </c>
      <c r="B1905" t="inlineStr">
        <is>
          <t>R250926-vedantu</t>
        </is>
      </c>
      <c r="C1905" t="inlineStr">
        <is>
          <t>Inc42</t>
        </is>
      </c>
      <c r="D1905" s="17" t="n">
        <v>45926</v>
      </c>
      <c r="E1905" t="inlineStr">
        <is>
          <t>Vedantu</t>
        </is>
      </c>
      <c r="F1905" t="inlineStr">
        <is>
          <t>$11 Mn</t>
        </is>
      </c>
      <c r="G1905" s="19" t="n"/>
      <c r="H1905" s="19" t="n">
        <v>11</v>
      </c>
      <c r="I1905" t="inlineStr">
        <is>
          <t>Undisclosed</t>
        </is>
      </c>
      <c r="J1905" t="inlineStr"/>
      <c r="K1905" t="inlineStr">
        <is>
          <t>https://inc42.com/buzz/from-pharmeasy-to-curefoods-indian-startups-raised-377-mn-this-week/</t>
        </is>
      </c>
    </row>
    <row r="1906">
      <c r="A1906" t="inlineStr">
        <is>
          <t>ENT-10507362</t>
        </is>
      </c>
      <c r="B1906" t="inlineStr">
        <is>
          <t>R250927-plazza</t>
        </is>
      </c>
      <c r="C1906" t="inlineStr">
        <is>
          <t>Entrackr</t>
        </is>
      </c>
      <c r="D1906" s="17" t="n">
        <v>45927</v>
      </c>
      <c r="E1906" t="inlineStr">
        <is>
          <t>Plazza</t>
        </is>
      </c>
      <c r="F1906" t="inlineStr">
        <is>
          <t>$1.4 million</t>
        </is>
      </c>
      <c r="G1906" s="19" t="n"/>
      <c r="H1906" s="19" t="n">
        <v>1.4</v>
      </c>
      <c r="I1906" t="inlineStr">
        <is>
          <t>Undisclosed</t>
        </is>
      </c>
      <c r="J1906" t="inlineStr">
        <is>
          <t>All In Capital</t>
        </is>
      </c>
      <c r="K1906" t="inlineStr">
        <is>
          <t>https://entrackr.com/snippets/quick-medicine-delivery-startup-plazza-raises-14-mn-led-by-all-in-capital-10507362</t>
        </is>
      </c>
    </row>
    <row r="1907">
      <c r="A1907" t="inlineStr">
        <is>
          <t>ET-124167266</t>
        </is>
      </c>
      <c r="B1907" t="inlineStr">
        <is>
          <t>R250927-plazza</t>
        </is>
      </c>
      <c r="C1907" t="inlineStr">
        <is>
          <t>The Economic Times</t>
        </is>
      </c>
      <c r="D1907" s="17" t="n">
        <v>45927</v>
      </c>
      <c r="E1907" t="inlineStr">
        <is>
          <t>Plazza</t>
        </is>
      </c>
      <c r="F1907" t="inlineStr">
        <is>
          <t>$1.4 million</t>
        </is>
      </c>
      <c r="G1907" s="19" t="n"/>
      <c r="H1907" s="19" t="n">
        <v>1.4</v>
      </c>
      <c r="I1907" t="inlineStr">
        <is>
          <t>Undisclosed</t>
        </is>
      </c>
      <c r="J1907" t="inlineStr">
        <is>
          <t>All In Capital</t>
        </is>
      </c>
      <c r="K1907" t="inlineStr">
        <is>
          <t>https://economictimes.indiatimes.com/tech/funding/quick-medicine-delivery-platform-plazza-raises-1-4-million-funding-led-by-all-in-capital/articleshow/124167266.cms</t>
        </is>
      </c>
    </row>
    <row r="1908">
      <c r="A1908" t="inlineStr">
        <is>
          <t>INC-20251004-11</t>
        </is>
      </c>
      <c r="B1908" t="inlineStr">
        <is>
          <t>R250927-plazza</t>
        </is>
      </c>
      <c r="C1908" t="inlineStr">
        <is>
          <t>Inc42</t>
        </is>
      </c>
      <c r="D1908" s="17" t="n">
        <v>45930</v>
      </c>
      <c r="E1908" t="inlineStr">
        <is>
          <t>Plazza</t>
        </is>
      </c>
      <c r="F1908" t="inlineStr">
        <is>
          <t>$1.4 Mn</t>
        </is>
      </c>
      <c r="G1908" s="19" t="n"/>
      <c r="H1908" s="19" t="n">
        <v>1.4</v>
      </c>
      <c r="I1908" t="inlineStr">
        <is>
          <t>Undisclosed</t>
        </is>
      </c>
      <c r="J1908" t="inlineStr">
        <is>
          <t>All In Capital; Better Capital</t>
        </is>
      </c>
      <c r="K1908" t="inlineStr">
        <is>
          <t>https://inc42.com/buzz/from-kapiva-to-petpooja-indian-startups-raised-160-mn-this-week/</t>
        </is>
      </c>
    </row>
    <row r="1909">
      <c r="A1909" t="inlineStr">
        <is>
          <t>ENT-10511951</t>
        </is>
      </c>
      <c r="B1909" t="inlineStr">
        <is>
          <t>R250929-hocco</t>
        </is>
      </c>
      <c r="C1909" t="inlineStr">
        <is>
          <t>Entrackr</t>
        </is>
      </c>
      <c r="D1909" s="17" t="n">
        <v>45929</v>
      </c>
      <c r="E1909" t="inlineStr">
        <is>
          <t>Hocco</t>
        </is>
      </c>
      <c r="F1909" t="inlineStr">
        <is>
          <t>Rs 115 crore</t>
        </is>
      </c>
      <c r="G1909" s="19" t="n">
        <v>115</v>
      </c>
      <c r="H1909" s="19" t="n">
        <v>13</v>
      </c>
      <c r="I1909" t="inlineStr">
        <is>
          <t>Undisclosed</t>
        </is>
      </c>
      <c r="J1909" t="inlineStr">
        <is>
          <t>Sauce.vc</t>
        </is>
      </c>
      <c r="K1909" t="inlineStr">
        <is>
          <t>https://entrackr.com/news/ice-cream-brand-hocco-raises-rs-115-cr-at-rs-2000-cr-valuation-10511951</t>
        </is>
      </c>
    </row>
    <row r="1910">
      <c r="A1910" t="inlineStr">
        <is>
          <t>INC-20251004-04</t>
        </is>
      </c>
      <c r="B1910" t="inlineStr">
        <is>
          <t>R250929-hocco</t>
        </is>
      </c>
      <c r="C1910" t="inlineStr">
        <is>
          <t>Inc42</t>
        </is>
      </c>
      <c r="D1910" s="17" t="n">
        <v>45929</v>
      </c>
      <c r="E1910" t="inlineStr">
        <is>
          <t>Hocco</t>
        </is>
      </c>
      <c r="F1910" t="inlineStr">
        <is>
          <t>$12.9 Mn</t>
        </is>
      </c>
      <c r="G1910" s="19" t="n"/>
      <c r="H1910" s="19" t="n">
        <v>12.9</v>
      </c>
      <c r="I1910" t="inlineStr">
        <is>
          <t>Undisclosed</t>
        </is>
      </c>
      <c r="J1910" t="inlineStr">
        <is>
          <t>Sauce.VC</t>
        </is>
      </c>
      <c r="K1910" t="inlineStr">
        <is>
          <t>https://inc42.com/buzz/from-kapiva-to-petpooja-indian-startups-raised-160-mn-this-week/</t>
        </is>
      </c>
    </row>
    <row r="1911">
      <c r="A1911" t="inlineStr">
        <is>
          <t>VCC-388eb85be0</t>
        </is>
      </c>
      <c r="B1911" t="inlineStr">
        <is>
          <t>R250929-hocco</t>
        </is>
      </c>
      <c r="C1911" t="inlineStr">
        <is>
          <t>VCCircle</t>
        </is>
      </c>
      <c r="D1911" s="17" t="n">
        <v>45929</v>
      </c>
      <c r="E1911" t="inlineStr">
        <is>
          <t>hocco</t>
        </is>
      </c>
      <c r="F1911" t="inlineStr">
        <is>
          <t>$ 13 million</t>
        </is>
      </c>
      <c r="G1911" s="19" t="n"/>
      <c r="H1911" s="19" t="n">
        <v>13</v>
      </c>
      <c r="I1911" t="inlineStr">
        <is>
          <t>Undisclosed</t>
        </is>
      </c>
      <c r="J1911" t="inlineStr"/>
      <c r="K1911" t="inlineStr">
        <is>
          <t>https://www.vccircle.com/icecream-brand-hocco-raises-13-mn-in-fresh-funding</t>
        </is>
      </c>
    </row>
    <row r="1912">
      <c r="A1912" t="inlineStr">
        <is>
          <t>ENT-10513050</t>
        </is>
      </c>
      <c r="B1912" t="inlineStr">
        <is>
          <t>R250929-igowisemobilit</t>
        </is>
      </c>
      <c r="C1912" t="inlineStr">
        <is>
          <t>Entrackr</t>
        </is>
      </c>
      <c r="D1912" s="17" t="n">
        <v>45929</v>
      </c>
      <c r="E1912" t="inlineStr">
        <is>
          <t>iGoWise Mobility</t>
        </is>
      </c>
      <c r="F1912" t="inlineStr">
        <is>
          <t>Rs 8.2 crore</t>
        </is>
      </c>
      <c r="G1912" s="19" t="n">
        <v>8.199999999999999</v>
      </c>
      <c r="H1912" s="19" t="n"/>
      <c r="I1912" t="inlineStr">
        <is>
          <t>Pre-Seed</t>
        </is>
      </c>
      <c r="J1912" t="inlineStr"/>
      <c r="K1912" t="inlineStr">
        <is>
          <t>https://entrackr.com/snippets/igowise-mobility-raises-rs-82-cr-in-pre-seed-round-10513050</t>
        </is>
      </c>
    </row>
    <row r="1913">
      <c r="A1913" t="inlineStr">
        <is>
          <t>ENT-10511610</t>
        </is>
      </c>
      <c r="B1913" t="inlineStr">
        <is>
          <t>R250929-kapiva</t>
        </is>
      </c>
      <c r="C1913" t="inlineStr">
        <is>
          <t>Entrackr</t>
        </is>
      </c>
      <c r="D1913" s="17" t="n">
        <v>45929</v>
      </c>
      <c r="E1913" t="inlineStr">
        <is>
          <t>Kapiva</t>
        </is>
      </c>
      <c r="F1913" t="inlineStr">
        <is>
          <t>$60 million</t>
        </is>
      </c>
      <c r="G1913" s="19" t="n"/>
      <c r="H1913" s="19" t="n">
        <v>60</v>
      </c>
      <c r="I1913" t="inlineStr">
        <is>
          <t>Series D</t>
        </is>
      </c>
      <c r="J1913" t="inlineStr">
        <is>
          <t>360 ONE Asset; Vertex Growth</t>
        </is>
      </c>
      <c r="K1913" t="inlineStr">
        <is>
          <t>https://entrackr.com/news/d2c-brand-kapiva-raises-60-mn-in-series-d-fireside-ventures-exits-10511610</t>
        </is>
      </c>
    </row>
    <row r="1914">
      <c r="A1914" t="inlineStr">
        <is>
          <t>INC-20251004-01</t>
        </is>
      </c>
      <c r="B1914" t="inlineStr">
        <is>
          <t>R250929-kapiva</t>
        </is>
      </c>
      <c r="C1914" t="inlineStr">
        <is>
          <t>Inc42</t>
        </is>
      </c>
      <c r="D1914" s="17" t="n">
        <v>45929</v>
      </c>
      <c r="E1914" t="inlineStr">
        <is>
          <t>Kapiva</t>
        </is>
      </c>
      <c r="F1914" t="inlineStr">
        <is>
          <t>$60 Mn</t>
        </is>
      </c>
      <c r="G1914" s="19" t="n"/>
      <c r="H1914" s="19" t="n">
        <v>60</v>
      </c>
      <c r="I1914" t="inlineStr">
        <is>
          <t>Series D</t>
        </is>
      </c>
      <c r="J1914" t="inlineStr">
        <is>
          <t>360 ONE Asset; Vertex Growth</t>
        </is>
      </c>
      <c r="K1914" t="inlineStr">
        <is>
          <t>https://inc42.com/buzz/from-kapiva-to-petpooja-indian-startups-raised-160-mn-this-week/</t>
        </is>
      </c>
    </row>
    <row r="1915">
      <c r="A1915" t="inlineStr">
        <is>
          <t>VCC-45e4fd6485</t>
        </is>
      </c>
      <c r="B1915" t="inlineStr">
        <is>
          <t>R250929-kapiva</t>
        </is>
      </c>
      <c r="C1915" t="inlineStr">
        <is>
          <t>VCCircle</t>
        </is>
      </c>
      <c r="D1915" s="17" t="n">
        <v>45929</v>
      </c>
      <c r="E1915" t="inlineStr">
        <is>
          <t>kapiva</t>
        </is>
      </c>
      <c r="F1915" t="inlineStr"/>
      <c r="G1915" s="19" t="n"/>
      <c r="H1915" s="19" t="n"/>
      <c r="I1915" t="inlineStr">
        <is>
          <t>Series D</t>
        </is>
      </c>
      <c r="J1915" t="inlineStr"/>
      <c r="K1915" t="inlineStr">
        <is>
          <t>https://www.vccircle.com/ayurvedicwellness-brand-kapiva-raises-series-d-funding</t>
        </is>
      </c>
    </row>
    <row r="1916">
      <c r="A1916" t="inlineStr">
        <is>
          <t>ENT-10512396</t>
        </is>
      </c>
      <c r="B1916" t="inlineStr">
        <is>
          <t>R250929-petpooja</t>
        </is>
      </c>
      <c r="C1916" t="inlineStr">
        <is>
          <t>Entrackr</t>
        </is>
      </c>
      <c r="D1916" s="17" t="n">
        <v>45929</v>
      </c>
      <c r="E1916" t="inlineStr">
        <is>
          <t>Petpooja</t>
        </is>
      </c>
      <c r="F1916" t="inlineStr">
        <is>
          <t>Rs 137 crore</t>
        </is>
      </c>
      <c r="G1916" s="19" t="n">
        <v>137</v>
      </c>
      <c r="H1916" s="19" t="n">
        <v>15.5</v>
      </c>
      <c r="I1916" t="inlineStr">
        <is>
          <t>Series C</t>
        </is>
      </c>
      <c r="J1916" t="inlineStr">
        <is>
          <t>Dharana Capital</t>
        </is>
      </c>
      <c r="K1916" t="inlineStr">
        <is>
          <t>https://entrackr.com/news/petpooja-raises-155-mn-series-c-at-over-3x-valuation-premium-10512396</t>
        </is>
      </c>
    </row>
    <row r="1917">
      <c r="A1917" t="inlineStr">
        <is>
          <t>INC-20251004-03</t>
        </is>
      </c>
      <c r="B1917" t="inlineStr">
        <is>
          <t>R250929-petpooja</t>
        </is>
      </c>
      <c r="C1917" t="inlineStr">
        <is>
          <t>Inc42</t>
        </is>
      </c>
      <c r="D1917" s="17" t="n">
        <v>45929</v>
      </c>
      <c r="E1917" t="inlineStr">
        <is>
          <t>Petpooja</t>
        </is>
      </c>
      <c r="F1917" t="inlineStr">
        <is>
          <t>$15.4 Mn</t>
        </is>
      </c>
      <c r="G1917" s="19" t="n"/>
      <c r="H1917" s="19" t="n">
        <v>15.4</v>
      </c>
      <c r="I1917" t="inlineStr">
        <is>
          <t>Undisclosed</t>
        </is>
      </c>
      <c r="J1917" t="inlineStr">
        <is>
          <t>Dharana Capital</t>
        </is>
      </c>
      <c r="K1917" t="inlineStr">
        <is>
          <t>https://inc42.com/buzz/from-kapiva-to-petpooja-indian-startups-raised-160-mn-this-week/</t>
        </is>
      </c>
    </row>
    <row r="1918">
      <c r="A1918" t="inlineStr">
        <is>
          <t>VCC-e2c30b75a8</t>
        </is>
      </c>
      <c r="B1918" t="inlineStr">
        <is>
          <t>R250929-petpooja</t>
        </is>
      </c>
      <c r="C1918" t="inlineStr">
        <is>
          <t>VCCircle</t>
        </is>
      </c>
      <c r="D1918" s="17" t="n">
        <v>45929</v>
      </c>
      <c r="E1918" t="inlineStr">
        <is>
          <t>petpooja</t>
        </is>
      </c>
      <c r="F1918" t="inlineStr"/>
      <c r="G1918" s="19" t="n"/>
      <c r="H1918" s="19" t="n"/>
      <c r="I1918" t="inlineStr">
        <is>
          <t>Undisclosed</t>
        </is>
      </c>
      <c r="J1918" t="inlineStr"/>
      <c r="K1918" t="inlineStr">
        <is>
          <t>https://www.vccircle.com/dharanacapital-urban-company-founders-invest-in-petpooja</t>
        </is>
      </c>
    </row>
    <row r="1919">
      <c r="A1919" t="inlineStr">
        <is>
          <t>ET-124213970</t>
        </is>
      </c>
      <c r="B1919" t="inlineStr">
        <is>
          <t>R250929-recurclub</t>
        </is>
      </c>
      <c r="C1919" t="inlineStr">
        <is>
          <t>The Economic Times</t>
        </is>
      </c>
      <c r="D1919" s="17" t="n">
        <v>45929</v>
      </c>
      <c r="E1919" t="inlineStr">
        <is>
          <t>Recur Club</t>
        </is>
      </c>
      <c r="F1919" t="inlineStr">
        <is>
          <t>$50 million</t>
        </is>
      </c>
      <c r="G1919" s="19" t="n"/>
      <c r="H1919" s="19" t="n">
        <v>50</v>
      </c>
      <c r="I1919" t="inlineStr">
        <is>
          <t>Debt</t>
        </is>
      </c>
      <c r="J1919" t="inlineStr"/>
      <c r="K1919" t="inlineStr">
        <is>
          <t>https://economictimes.indiatimes.com/tech/funding/debt-marketplace-recur-club-raises-50-million-from-infoedge-ventures-others/articleshow/124213970.cms</t>
        </is>
      </c>
    </row>
    <row r="1920">
      <c r="A1920" t="inlineStr">
        <is>
          <t>INC-20251004-02</t>
        </is>
      </c>
      <c r="B1920" t="inlineStr">
        <is>
          <t>R250929-recurclub</t>
        </is>
      </c>
      <c r="C1920" t="inlineStr">
        <is>
          <t>Inc42</t>
        </is>
      </c>
      <c r="D1920" s="17" t="n">
        <v>45929</v>
      </c>
      <c r="E1920" t="inlineStr">
        <is>
          <t>Recur Club</t>
        </is>
      </c>
      <c r="F1920" t="inlineStr">
        <is>
          <t>$50 Mn</t>
        </is>
      </c>
      <c r="G1920" s="19" t="n"/>
      <c r="H1920" s="19" t="n">
        <v>50</v>
      </c>
      <c r="I1920" t="inlineStr">
        <is>
          <t>Undisclosed</t>
        </is>
      </c>
      <c r="J1920" t="inlineStr"/>
      <c r="K1920" t="inlineStr">
        <is>
          <t>https://inc42.com/buzz/from-kapiva-to-petpooja-indian-startups-raised-160-mn-this-week/</t>
        </is>
      </c>
    </row>
    <row r="1921">
      <c r="A1921" t="inlineStr">
        <is>
          <t>ENT-10513861</t>
        </is>
      </c>
      <c r="B1921" t="inlineStr">
        <is>
          <t>R250929-rugrfintech</t>
        </is>
      </c>
      <c r="C1921" t="inlineStr">
        <is>
          <t>Entrackr</t>
        </is>
      </c>
      <c r="D1921" s="17" t="n">
        <v>45929</v>
      </c>
      <c r="E1921" t="inlineStr">
        <is>
          <t>RUGR Fintech</t>
        </is>
      </c>
      <c r="F1921" t="inlineStr">
        <is>
          <t>$5 million</t>
        </is>
      </c>
      <c r="G1921" s="19" t="n"/>
      <c r="H1921" s="19" t="n">
        <v>5</v>
      </c>
      <c r="I1921" t="inlineStr">
        <is>
          <t>Pre-Series A</t>
        </is>
      </c>
      <c r="J1921" t="inlineStr"/>
      <c r="K1921" t="inlineStr">
        <is>
          <t>https://entrackr.com/snippets/rugr-fintech-raises-5-mn-in-pre-series-a-round-led-by-vikasa-india-eif-i-fund-10513861</t>
        </is>
      </c>
    </row>
    <row r="1922">
      <c r="A1922" t="inlineStr">
        <is>
          <t>ENT-10512994</t>
        </is>
      </c>
      <c r="B1922" t="inlineStr">
        <is>
          <t>R250929-vaaniairesearc</t>
        </is>
      </c>
      <c r="C1922" t="inlineStr">
        <is>
          <t>Entrackr</t>
        </is>
      </c>
      <c r="D1922" s="17" t="n">
        <v>45929</v>
      </c>
      <c r="E1922" t="inlineStr">
        <is>
          <t>Vaani AI Research</t>
        </is>
      </c>
      <c r="F1922" t="inlineStr">
        <is>
          <t>$400,000</t>
        </is>
      </c>
      <c r="G1922" s="19" t="n"/>
      <c r="H1922" s="19" t="n">
        <v>0.4</v>
      </c>
      <c r="I1922" t="inlineStr">
        <is>
          <t>Pre-Seed</t>
        </is>
      </c>
      <c r="J1922" t="inlineStr">
        <is>
          <t>Venture Catalysts</t>
        </is>
      </c>
      <c r="K1922" t="inlineStr">
        <is>
          <t>https://entrackr.com/snippets/vaani-ai-research-raises-400k-pre-seed-round-led-by-venture-catalysts-10512994</t>
        </is>
      </c>
    </row>
    <row r="1923">
      <c r="A1923" t="inlineStr">
        <is>
          <t>INC-20251004-12</t>
        </is>
      </c>
      <c r="B1923" t="inlineStr">
        <is>
          <t>R250929-vaaniairesearc</t>
        </is>
      </c>
      <c r="C1923" t="inlineStr">
        <is>
          <t>Inc42</t>
        </is>
      </c>
      <c r="D1923" s="17" t="n">
        <v>45929</v>
      </c>
      <c r="E1923" t="inlineStr">
        <is>
          <t>Vaani AI</t>
        </is>
      </c>
      <c r="F1923" t="inlineStr">
        <is>
          <t>$400K</t>
        </is>
      </c>
      <c r="G1923" s="19" t="n"/>
      <c r="H1923" s="19" t="n">
        <v>0.4</v>
      </c>
      <c r="I1923" t="inlineStr">
        <is>
          <t>Pre-Seed</t>
        </is>
      </c>
      <c r="J1923" t="inlineStr">
        <is>
          <t>Venture Catalysts</t>
        </is>
      </c>
      <c r="K1923" t="inlineStr">
        <is>
          <t>https://inc42.com/buzz/from-kapiva-to-petpooja-indian-startups-raised-160-mn-this-week/</t>
        </is>
      </c>
    </row>
    <row r="1924">
      <c r="A1924" t="inlineStr">
        <is>
          <t>INC-20251004-05</t>
        </is>
      </c>
      <c r="B1924" t="inlineStr">
        <is>
          <t>R250930-assessli</t>
        </is>
      </c>
      <c r="C1924" t="inlineStr">
        <is>
          <t>Inc42</t>
        </is>
      </c>
      <c r="D1924" s="17" t="n">
        <v>45930</v>
      </c>
      <c r="E1924" t="inlineStr">
        <is>
          <t>Assessli</t>
        </is>
      </c>
      <c r="F1924" t="inlineStr">
        <is>
          <t>$5 Mn</t>
        </is>
      </c>
      <c r="G1924" s="19" t="n"/>
      <c r="H1924" s="19" t="n">
        <v>5</v>
      </c>
      <c r="I1924" t="inlineStr">
        <is>
          <t>Undisclosed</t>
        </is>
      </c>
      <c r="J1924" t="inlineStr">
        <is>
          <t>Foxhog Ventures</t>
        </is>
      </c>
      <c r="K1924" t="inlineStr">
        <is>
          <t>https://inc42.com/buzz/from-kapiva-to-petpooja-indian-startups-raised-160-mn-this-week/</t>
        </is>
      </c>
    </row>
    <row r="1925">
      <c r="A1925" t="inlineStr">
        <is>
          <t>ENT-10515528</t>
        </is>
      </c>
      <c r="B1925" t="inlineStr">
        <is>
          <t>R250930-climatyai</t>
        </is>
      </c>
      <c r="C1925" t="inlineStr">
        <is>
          <t>Entrackr</t>
        </is>
      </c>
      <c r="D1925" s="17" t="n">
        <v>45930</v>
      </c>
      <c r="E1925" t="inlineStr">
        <is>
          <t>Climaty AI</t>
        </is>
      </c>
      <c r="F1925" t="inlineStr">
        <is>
          <t>$2 million</t>
        </is>
      </c>
      <c r="G1925" s="19" t="n"/>
      <c r="H1925" s="19" t="n">
        <v>2</v>
      </c>
      <c r="I1925" t="inlineStr">
        <is>
          <t>Undisclosed</t>
        </is>
      </c>
      <c r="J1925" t="inlineStr">
        <is>
          <t>Turbostart</t>
        </is>
      </c>
      <c r="K1925" t="inlineStr">
        <is>
          <t>https://entrackr.com/snippets/climaty-ai-raises-2-mn-led-by-turbostart-10515528</t>
        </is>
      </c>
    </row>
    <row r="1926">
      <c r="A1926" t="inlineStr">
        <is>
          <t>INC-20251004-09</t>
        </is>
      </c>
      <c r="B1926" t="inlineStr">
        <is>
          <t>R250930-climatyai</t>
        </is>
      </c>
      <c r="C1926" t="inlineStr">
        <is>
          <t>Inc42</t>
        </is>
      </c>
      <c r="D1926" s="17" t="n">
        <v>45930</v>
      </c>
      <c r="E1926" t="inlineStr">
        <is>
          <t>Climaty AI</t>
        </is>
      </c>
      <c r="F1926" t="inlineStr">
        <is>
          <t>$2 Mn</t>
        </is>
      </c>
      <c r="G1926" s="19" t="n"/>
      <c r="H1926" s="19" t="n">
        <v>2</v>
      </c>
      <c r="I1926" t="inlineStr">
        <is>
          <t>Undisclosed</t>
        </is>
      </c>
      <c r="J1926" t="inlineStr">
        <is>
          <t>Turbostart</t>
        </is>
      </c>
      <c r="K1926" t="inlineStr">
        <is>
          <t>https://inc42.com/buzz/from-kapiva-to-petpooja-indian-startups-raised-160-mn-this-week/</t>
        </is>
      </c>
    </row>
    <row r="1927">
      <c r="A1927" t="inlineStr">
        <is>
          <t>ENT-10516360</t>
        </is>
      </c>
      <c r="B1927" t="inlineStr">
        <is>
          <t>R250930-fyno</t>
        </is>
      </c>
      <c r="C1927" t="inlineStr">
        <is>
          <t>Entrackr</t>
        </is>
      </c>
      <c r="D1927" s="17" t="n">
        <v>45930</v>
      </c>
      <c r="E1927" t="inlineStr">
        <is>
          <t>Fyno</t>
        </is>
      </c>
      <c r="F1927" t="inlineStr">
        <is>
          <t>$4 million</t>
        </is>
      </c>
      <c r="G1927" s="19" t="n"/>
      <c r="H1927" s="19" t="n">
        <v>4</v>
      </c>
      <c r="I1927" t="inlineStr">
        <is>
          <t>Seed</t>
        </is>
      </c>
      <c r="J1927" t="inlineStr">
        <is>
          <t>Arkam Ventures; 3one4 Capital</t>
        </is>
      </c>
      <c r="K1927" t="inlineStr">
        <is>
          <t>https://entrackr.com/snippets/enterprise-messaging-startup-fyno-bags-4-mn-in-seed-round-10516360</t>
        </is>
      </c>
    </row>
    <row r="1928">
      <c r="A1928" t="inlineStr">
        <is>
          <t>INC-20251004-07</t>
        </is>
      </c>
      <c r="B1928" t="inlineStr">
        <is>
          <t>R250930-fyno</t>
        </is>
      </c>
      <c r="C1928" t="inlineStr">
        <is>
          <t>Inc42</t>
        </is>
      </c>
      <c r="D1928" s="17" t="n">
        <v>45930</v>
      </c>
      <c r="E1928" t="inlineStr">
        <is>
          <t>Fyno</t>
        </is>
      </c>
      <c r="F1928" t="inlineStr">
        <is>
          <t>$4 Mn</t>
        </is>
      </c>
      <c r="G1928" s="19" t="n"/>
      <c r="H1928" s="19" t="n">
        <v>4</v>
      </c>
      <c r="I1928" t="inlineStr">
        <is>
          <t>Undisclosed</t>
        </is>
      </c>
      <c r="J1928" t="inlineStr">
        <is>
          <t>Arkam Ventures; 3one4 Capital</t>
        </is>
      </c>
      <c r="K1928" t="inlineStr">
        <is>
          <t>https://inc42.com/buzz/from-kapiva-to-petpooja-indian-startups-raised-160-mn-this-week/</t>
        </is>
      </c>
    </row>
    <row r="1929">
      <c r="A1929" t="inlineStr">
        <is>
          <t>ENT-10515879</t>
        </is>
      </c>
      <c r="B1929" t="inlineStr">
        <is>
          <t>R250930-ignosis</t>
        </is>
      </c>
      <c r="C1929" t="inlineStr">
        <is>
          <t>Entrackr</t>
        </is>
      </c>
      <c r="D1929" s="17" t="n">
        <v>45930</v>
      </c>
      <c r="E1929" t="inlineStr">
        <is>
          <t>Ignosis</t>
        </is>
      </c>
      <c r="F1929" t="inlineStr">
        <is>
          <t>$4 million</t>
        </is>
      </c>
      <c r="G1929" s="19" t="n"/>
      <c r="H1929" s="19" t="n">
        <v>4</v>
      </c>
      <c r="I1929" t="inlineStr">
        <is>
          <t>Pre-Series A</t>
        </is>
      </c>
      <c r="J1929" t="inlineStr">
        <is>
          <t>Surge; Razorpay Ventures; Kunal Shah of Cred</t>
        </is>
      </c>
      <c r="K1929" t="inlineStr">
        <is>
          <t>https://entrackr.com/snippets/ignosis-raises-4-mn-in-pre-series-a-led-by-peak-xvs-surge-10515879</t>
        </is>
      </c>
    </row>
    <row r="1930">
      <c r="A1930" t="inlineStr">
        <is>
          <t>ET-124229600</t>
        </is>
      </c>
      <c r="B1930" t="inlineStr">
        <is>
          <t>R250930-ignosis</t>
        </is>
      </c>
      <c r="C1930" t="inlineStr">
        <is>
          <t>The Economic Times</t>
        </is>
      </c>
      <c r="D1930" s="17" t="n">
        <v>45930</v>
      </c>
      <c r="E1930" t="inlineStr">
        <is>
          <t>Ignosis</t>
        </is>
      </c>
      <c r="F1930" t="inlineStr">
        <is>
          <t>$4 million</t>
        </is>
      </c>
      <c r="G1930" s="19" t="n"/>
      <c r="H1930" s="19" t="n">
        <v>4</v>
      </c>
      <c r="I1930" t="inlineStr">
        <is>
          <t>Undisclosed</t>
        </is>
      </c>
      <c r="J1930" t="inlineStr">
        <is>
          <t>Peak XV Partners’ Surge programme</t>
        </is>
      </c>
      <c r="K1930" t="inlineStr">
        <is>
          <t>https://economictimes.indiatimes.com/tech/funding/fintech-startup-ignosis-raises-4-million-from-peakxvs-surge-others/articleshow/124229600.cms</t>
        </is>
      </c>
    </row>
    <row r="1931">
      <c r="A1931" t="inlineStr">
        <is>
          <t>INC-20251004-06</t>
        </is>
      </c>
      <c r="B1931" t="inlineStr">
        <is>
          <t>R250930-ignosis</t>
        </is>
      </c>
      <c r="C1931" t="inlineStr">
        <is>
          <t>Inc42</t>
        </is>
      </c>
      <c r="D1931" s="17" t="n">
        <v>45930</v>
      </c>
      <c r="E1931" t="inlineStr">
        <is>
          <t>Ignosis</t>
        </is>
      </c>
      <c r="F1931" t="inlineStr">
        <is>
          <t>$4 Mn</t>
        </is>
      </c>
      <c r="G1931" s="19" t="n"/>
      <c r="H1931" s="19" t="n">
        <v>4</v>
      </c>
      <c r="I1931" t="inlineStr">
        <is>
          <t>Pre-Series A</t>
        </is>
      </c>
      <c r="J1931" t="inlineStr">
        <is>
          <t>Peak XV Partners ]</t>
        </is>
      </c>
      <c r="K1931" t="inlineStr">
        <is>
          <t>https://inc42.com/buzz/from-kapiva-to-petpooja-indian-startups-raised-160-mn-this-week/</t>
        </is>
      </c>
    </row>
    <row r="1932">
      <c r="A1932" t="inlineStr">
        <is>
          <t>ENT-10515666</t>
        </is>
      </c>
      <c r="B1932" t="inlineStr">
        <is>
          <t>R250930-superfam</t>
        </is>
      </c>
      <c r="C1932" t="inlineStr">
        <is>
          <t>Entrackr</t>
        </is>
      </c>
      <c r="D1932" s="17" t="n">
        <v>45930</v>
      </c>
      <c r="E1932" t="inlineStr">
        <is>
          <t>SuperFam</t>
        </is>
      </c>
      <c r="F1932" t="inlineStr">
        <is>
          <t>$400K</t>
        </is>
      </c>
      <c r="G1932" s="19" t="n"/>
      <c r="H1932" s="19" t="n">
        <v>0.4</v>
      </c>
      <c r="I1932" t="inlineStr">
        <is>
          <t>Pre-Seed</t>
        </is>
      </c>
      <c r="J1932" t="inlineStr">
        <is>
          <t>Fundamental VC; SSV Fund</t>
        </is>
      </c>
      <c r="K1932" t="inlineStr">
        <is>
          <t>https://entrackr.com/snippets/superfam-raises-pre-seed-round-led-by-fundamental-vc-10515666</t>
        </is>
      </c>
    </row>
    <row r="1933">
      <c r="A1933" t="inlineStr">
        <is>
          <t>INC-20251004-13</t>
        </is>
      </c>
      <c r="B1933" t="inlineStr">
        <is>
          <t>R250930-superfam</t>
        </is>
      </c>
      <c r="C1933" t="inlineStr">
        <is>
          <t>Inc42</t>
        </is>
      </c>
      <c r="D1933" s="17" t="n">
        <v>45930</v>
      </c>
      <c r="E1933" t="inlineStr">
        <is>
          <t>SuperFam</t>
        </is>
      </c>
      <c r="F1933" t="inlineStr">
        <is>
          <t>$400K</t>
        </is>
      </c>
      <c r="G1933" s="19" t="n"/>
      <c r="H1933" s="19" t="n">
        <v>0.4</v>
      </c>
      <c r="I1933" t="inlineStr">
        <is>
          <t>Pre-Seed</t>
        </is>
      </c>
      <c r="J1933" t="inlineStr">
        <is>
          <t>Fundamental VC</t>
        </is>
      </c>
      <c r="K1933" t="inlineStr">
        <is>
          <t>https://inc42.com/buzz/from-kapiva-to-petpooja-indian-startups-raised-160-mn-this-week/</t>
        </is>
      </c>
    </row>
    <row r="1934">
      <c r="A1934" t="inlineStr">
        <is>
          <t>ENT-10515234</t>
        </is>
      </c>
      <c r="B1934" t="inlineStr">
        <is>
          <t>R250930-unmannd</t>
        </is>
      </c>
      <c r="C1934" t="inlineStr">
        <is>
          <t>Entrackr</t>
        </is>
      </c>
      <c r="D1934" s="17" t="n">
        <v>45930</v>
      </c>
      <c r="E1934" t="inlineStr">
        <is>
          <t>Unmannd</t>
        </is>
      </c>
      <c r="F1934" t="inlineStr">
        <is>
          <t>$2 million</t>
        </is>
      </c>
      <c r="G1934" s="19" t="n"/>
      <c r="H1934" s="19" t="n">
        <v>2</v>
      </c>
      <c r="I1934" t="inlineStr">
        <is>
          <t>Pre-Seed</t>
        </is>
      </c>
      <c r="J1934" t="inlineStr">
        <is>
          <t>Speciale Invest; Accel</t>
        </is>
      </c>
      <c r="K1934" t="inlineStr">
        <is>
          <t>https://entrackr.com/snippets/unmannd-raises-2-mn-in-pre-seed-round-led-by-speciale-invest-and-accel-10515234</t>
        </is>
      </c>
    </row>
    <row r="1935">
      <c r="A1935" t="inlineStr">
        <is>
          <t>ET-124218584</t>
        </is>
      </c>
      <c r="B1935" t="inlineStr">
        <is>
          <t>R250930-unmannd</t>
        </is>
      </c>
      <c r="C1935" t="inlineStr">
        <is>
          <t>The Economic Times</t>
        </is>
      </c>
      <c r="D1935" s="17" t="n">
        <v>45930</v>
      </c>
      <c r="E1935" t="inlineStr">
        <is>
          <t>Unmannd</t>
        </is>
      </c>
      <c r="F1935" t="inlineStr">
        <is>
          <t>$2 million</t>
        </is>
      </c>
      <c r="G1935" s="19" t="n"/>
      <c r="H1935" s="19" t="n">
        <v>2</v>
      </c>
      <c r="I1935" t="inlineStr">
        <is>
          <t>Pre-Seed</t>
        </is>
      </c>
      <c r="J1935" t="inlineStr">
        <is>
          <t>Speciale Invest; Accel</t>
        </is>
      </c>
      <c r="K1935" t="inlineStr">
        <is>
          <t>https://economictimes.indiatimes.com/tech/funding/defence-tech-startup-unmannd-raises-2-million-in-round-led-by-speciale-invest-accel/articleshow/124218584.cms</t>
        </is>
      </c>
    </row>
    <row r="1936">
      <c r="A1936" t="inlineStr">
        <is>
          <t>INC-20251004-10</t>
        </is>
      </c>
      <c r="B1936" t="inlineStr">
        <is>
          <t>R250930-unmannd</t>
        </is>
      </c>
      <c r="C1936" t="inlineStr">
        <is>
          <t>Inc42</t>
        </is>
      </c>
      <c r="D1936" s="17" t="n">
        <v>45930</v>
      </c>
      <c r="E1936" t="inlineStr">
        <is>
          <t>Unmannd</t>
        </is>
      </c>
      <c r="F1936" t="inlineStr">
        <is>
          <t>$2 Mn</t>
        </is>
      </c>
      <c r="G1936" s="19" t="n"/>
      <c r="H1936" s="19" t="n">
        <v>2</v>
      </c>
      <c r="I1936" t="inlineStr">
        <is>
          <t>Pre-Seed</t>
        </is>
      </c>
      <c r="J1936" t="inlineStr">
        <is>
          <t>Speciale Invest; Accel</t>
        </is>
      </c>
      <c r="K1936" t="inlineStr">
        <is>
          <t>https://inc42.com/buzz/from-kapiva-to-petpooja-indian-startups-raised-160-mn-this-week/</t>
        </is>
      </c>
    </row>
    <row r="1937">
      <c r="A1937" t="inlineStr">
        <is>
          <t>ENT-10515347</t>
        </is>
      </c>
      <c r="B1937" t="inlineStr">
        <is>
          <t>R250930-vama</t>
        </is>
      </c>
      <c r="C1937" t="inlineStr">
        <is>
          <t>Entrackr</t>
        </is>
      </c>
      <c r="D1937" s="17" t="n">
        <v>45930</v>
      </c>
      <c r="E1937" t="inlineStr">
        <is>
          <t>Vama</t>
        </is>
      </c>
      <c r="F1937" t="inlineStr">
        <is>
          <t>Rs 22 crore</t>
        </is>
      </c>
      <c r="G1937" s="19" t="n">
        <v>22</v>
      </c>
      <c r="H1937" s="19" t="n">
        <v>2.47</v>
      </c>
      <c r="I1937" t="inlineStr">
        <is>
          <t>Pre-Series A</t>
        </is>
      </c>
      <c r="J1937" t="inlineStr">
        <is>
          <t>Wavemaker Partners</t>
        </is>
      </c>
      <c r="K1937" t="inlineStr">
        <is>
          <t>https://entrackr.com/snippets/vama-raises-rs-22-cr-in-pre-series-a-round-led-by-wavemaker-partners-10515347</t>
        </is>
      </c>
    </row>
    <row r="1938">
      <c r="A1938" t="inlineStr">
        <is>
          <t>INC-20251004-08</t>
        </is>
      </c>
      <c r="B1938" t="inlineStr">
        <is>
          <t>R250930-vama</t>
        </is>
      </c>
      <c r="C1938" t="inlineStr">
        <is>
          <t>Inc42</t>
        </is>
      </c>
      <c r="D1938" s="17" t="n">
        <v>45930</v>
      </c>
      <c r="E1938" t="inlineStr">
        <is>
          <t>VAMA</t>
        </is>
      </c>
      <c r="F1938" t="inlineStr">
        <is>
          <t>$2.5 Mn</t>
        </is>
      </c>
      <c r="G1938" s="19" t="n"/>
      <c r="H1938" s="19" t="n">
        <v>2.5</v>
      </c>
      <c r="I1938" t="inlineStr">
        <is>
          <t>Pre-Series A</t>
        </is>
      </c>
      <c r="J1938" t="inlineStr">
        <is>
          <t>Wavemaker Partners</t>
        </is>
      </c>
      <c r="K1938" t="inlineStr">
        <is>
          <t>https://inc42.com/buzz/from-kapiva-to-petpooja-indian-startups-raised-160-mn-this-week/</t>
        </is>
      </c>
    </row>
    <row r="1939">
      <c r="A1939" t="inlineStr">
        <is>
          <t>ENT-10518886</t>
        </is>
      </c>
      <c r="B1939" t="inlineStr">
        <is>
          <t>R251001-growxcdfinance</t>
        </is>
      </c>
      <c r="C1939" t="inlineStr">
        <is>
          <t>Entrackr</t>
        </is>
      </c>
      <c r="D1939" s="17" t="n">
        <v>45931</v>
      </c>
      <c r="E1939" t="inlineStr">
        <is>
          <t>GrowXCD Finance</t>
        </is>
      </c>
      <c r="F1939" t="inlineStr">
        <is>
          <t>Rs 200 crore</t>
        </is>
      </c>
      <c r="G1939" s="19" t="n">
        <v>200</v>
      </c>
      <c r="H1939" s="19" t="n"/>
      <c r="I1939" t="inlineStr">
        <is>
          <t>Undisclosed</t>
        </is>
      </c>
      <c r="J1939" t="inlineStr"/>
      <c r="K1939" t="inlineStr">
        <is>
          <t>https://entrackr.com/snippets/growxcd-finance-raises-rs-200-cr-led-by-blue-earth-capital-10518886</t>
        </is>
      </c>
    </row>
    <row r="1940">
      <c r="A1940" t="inlineStr">
        <is>
          <t>VCC-30556b2034</t>
        </is>
      </c>
      <c r="B1940" t="inlineStr">
        <is>
          <t>R251001-growxcdfinance</t>
        </is>
      </c>
      <c r="C1940" t="inlineStr">
        <is>
          <t>VCCircle</t>
        </is>
      </c>
      <c r="D1940" s="17" t="n">
        <v>45931</v>
      </c>
      <c r="E1940" t="inlineStr">
        <is>
          <t>growxcd finance</t>
        </is>
      </c>
      <c r="F1940" t="inlineStr"/>
      <c r="G1940" s="19" t="n"/>
      <c r="H1940" s="19" t="n"/>
      <c r="I1940" t="inlineStr">
        <is>
          <t>Undisclosed</t>
        </is>
      </c>
      <c r="J1940" t="inlineStr"/>
      <c r="K1940" t="inlineStr">
        <is>
          <t>https://www.vccircle.com/blueearth-capital-prosus-others-invest-in-sme-lender-growxcd-finance</t>
        </is>
      </c>
    </row>
    <row r="1941">
      <c r="A1941" t="inlineStr">
        <is>
          <t>INC-20251004-14</t>
        </is>
      </c>
      <c r="B1941" t="inlineStr">
        <is>
          <t>R251001-mishmashnatura</t>
        </is>
      </c>
      <c r="C1941" t="inlineStr">
        <is>
          <t>Inc42</t>
        </is>
      </c>
      <c r="D1941" s="17" t="n">
        <v>45931</v>
      </c>
      <c r="E1941" t="inlineStr">
        <is>
          <t>Mishmash Naturals</t>
        </is>
      </c>
      <c r="F1941" t="inlineStr">
        <is>
          <t>$270K</t>
        </is>
      </c>
      <c r="G1941" s="19" t="n"/>
      <c r="H1941" s="19" t="n">
        <v>0.27</v>
      </c>
      <c r="I1941" t="inlineStr">
        <is>
          <t>Pre-Seed</t>
        </is>
      </c>
      <c r="J1941" t="inlineStr">
        <is>
          <t>Inflection Point Ventures</t>
        </is>
      </c>
      <c r="K1941" t="inlineStr">
        <is>
          <t>https://inc42.com/buzz/from-kapiva-to-petpooja-indian-startups-raised-160-mn-this-week/</t>
        </is>
      </c>
    </row>
    <row r="1942">
      <c r="A1942" t="inlineStr">
        <is>
          <t>ENT-10524495</t>
        </is>
      </c>
      <c r="B1942" t="inlineStr">
        <is>
          <t>R251003-artoftime</t>
        </is>
      </c>
      <c r="C1942" t="inlineStr">
        <is>
          <t>Entrackr</t>
        </is>
      </c>
      <c r="D1942" s="17" t="n">
        <v>45933</v>
      </c>
      <c r="E1942" t="inlineStr">
        <is>
          <t>Art of Time</t>
        </is>
      </c>
      <c r="F1942" t="inlineStr">
        <is>
          <t>Rs 175 crore</t>
        </is>
      </c>
      <c r="G1942" s="19" t="n">
        <v>175</v>
      </c>
      <c r="H1942" s="19" t="n"/>
      <c r="I1942" t="inlineStr">
        <is>
          <t>Undisclosed</t>
        </is>
      </c>
      <c r="J1942" t="inlineStr"/>
      <c r="K1942" t="inlineStr">
        <is>
          <t>https://entrackr.com/snippets/luxury-watch-retailer-art-of-time-raises-rs-175-cr-in-fresh-round-10524495</t>
        </is>
      </c>
    </row>
    <row r="1943">
      <c r="A1943" t="inlineStr">
        <is>
          <t>ET-124278583</t>
        </is>
      </c>
      <c r="B1943" t="inlineStr">
        <is>
          <t>R251003-artoftime</t>
        </is>
      </c>
      <c r="C1943" t="inlineStr">
        <is>
          <t>The Economic Times</t>
        </is>
      </c>
      <c r="D1943" s="17" t="n">
        <v>45933</v>
      </c>
      <c r="E1943" t="inlineStr">
        <is>
          <t>Art of Time</t>
        </is>
      </c>
      <c r="F1943" t="inlineStr">
        <is>
          <t>Rs 175 crore</t>
        </is>
      </c>
      <c r="G1943" s="19" t="n">
        <v>175</v>
      </c>
      <c r="H1943" s="19" t="n"/>
      <c r="I1943" t="inlineStr">
        <is>
          <t>Undisclosed</t>
        </is>
      </c>
      <c r="J1943" t="inlineStr"/>
      <c r="K1943" t="inlineStr">
        <is>
          <t>https://economictimes.indiatimes.com/tech/funding/watch-retailer-art-of-time-raises-rs-175-crore/articleshow/124278583.cms</t>
        </is>
      </c>
    </row>
    <row r="1944">
      <c r="A1944" t="inlineStr">
        <is>
          <t>VCC-ca16fd134c</t>
        </is>
      </c>
      <c r="B1944" t="inlineStr">
        <is>
          <t>R251003-artoftime</t>
        </is>
      </c>
      <c r="C1944" t="inlineStr">
        <is>
          <t>VCCircle</t>
        </is>
      </c>
      <c r="D1944" s="17" t="n">
        <v>45933</v>
      </c>
      <c r="E1944" t="inlineStr">
        <is>
          <t>art of time</t>
        </is>
      </c>
      <c r="F1944" t="inlineStr">
        <is>
          <t>$ 19.5 million</t>
        </is>
      </c>
      <c r="G1944" s="19" t="n"/>
      <c r="H1944" s="19" t="n">
        <v>19.5</v>
      </c>
      <c r="I1944" t="inlineStr">
        <is>
          <t>Series B</t>
        </is>
      </c>
      <c r="J1944" t="inlineStr"/>
      <c r="K1944" t="inlineStr">
        <is>
          <t>https://www.vccircle.com/luxurywatch-retailer-art-of-time-raises-19-5-mn-series-b</t>
        </is>
      </c>
    </row>
    <row r="1945">
      <c r="A1945" t="inlineStr">
        <is>
          <t>ENT-10533601</t>
        </is>
      </c>
      <c r="B1945" t="inlineStr">
        <is>
          <t>R251006-affluenseai</t>
        </is>
      </c>
      <c r="C1945" t="inlineStr">
        <is>
          <t>Entrackr</t>
        </is>
      </c>
      <c r="D1945" s="17" t="n">
        <v>45936</v>
      </c>
      <c r="E1945" t="inlineStr">
        <is>
          <t>Affluense AI</t>
        </is>
      </c>
      <c r="F1945" t="inlineStr">
        <is>
          <t>Rs 3 crore</t>
        </is>
      </c>
      <c r="G1945" s="19" t="n">
        <v>3</v>
      </c>
      <c r="H1945" s="19" t="n"/>
      <c r="I1945" t="inlineStr">
        <is>
          <t>Pre-Seed</t>
        </is>
      </c>
      <c r="J1945" t="inlineStr">
        <is>
          <t>Zeropearl VC; Pravin Jadhav</t>
        </is>
      </c>
      <c r="K1945" t="inlineStr">
        <is>
          <t>https://entrackr.com/snippets/affluense-ai-raises-pre-seed-round-led-by-zeropearl-vc-10533601</t>
        </is>
      </c>
    </row>
    <row r="1946">
      <c r="A1946" t="inlineStr">
        <is>
          <t>ENT-10533888</t>
        </is>
      </c>
      <c r="B1946" t="inlineStr">
        <is>
          <t>R251006-decortwist</t>
        </is>
      </c>
      <c r="C1946" t="inlineStr">
        <is>
          <t>Entrackr</t>
        </is>
      </c>
      <c r="D1946" s="17" t="n">
        <v>45936</v>
      </c>
      <c r="E1946" t="inlineStr">
        <is>
          <t>DecorTwist</t>
        </is>
      </c>
      <c r="F1946" t="inlineStr">
        <is>
          <t>$200K</t>
        </is>
      </c>
      <c r="G1946" s="19" t="n"/>
      <c r="H1946" s="19" t="n">
        <v>0.2</v>
      </c>
      <c r="I1946" t="inlineStr">
        <is>
          <t>Pre-Series A</t>
        </is>
      </c>
      <c r="J1946" t="inlineStr">
        <is>
          <t>Tejas Paresh Lodaya</t>
        </is>
      </c>
      <c r="K1946" t="inlineStr">
        <is>
          <t>https://entrackr.com/snippets/d2c-home-decor-brand-decortwist-raises-200k-10533888</t>
        </is>
      </c>
    </row>
    <row r="1947">
      <c r="A1947" t="inlineStr">
        <is>
          <t>ENT-10532947</t>
        </is>
      </c>
      <c r="B1947" t="inlineStr">
        <is>
          <t>R251006-dhan</t>
        </is>
      </c>
      <c r="C1947" t="inlineStr">
        <is>
          <t>Entrackr</t>
        </is>
      </c>
      <c r="D1947" s="17" t="n">
        <v>45936</v>
      </c>
      <c r="E1947" t="inlineStr">
        <is>
          <t>Dhan</t>
        </is>
      </c>
      <c r="F1947" t="inlineStr">
        <is>
          <t>$120 million</t>
        </is>
      </c>
      <c r="G1947" s="19" t="n"/>
      <c r="H1947" s="19" t="n">
        <v>120</v>
      </c>
      <c r="I1947" t="inlineStr">
        <is>
          <t>Undisclosed</t>
        </is>
      </c>
      <c r="J1947" t="inlineStr">
        <is>
          <t>Hornbill Capital</t>
        </is>
      </c>
      <c r="K1947" t="inlineStr">
        <is>
          <t>https://entrackr.com/news/dhan-turns-unicorn-after-120-mn-fundraise-led-by-hornbill-capital-10532947</t>
        </is>
      </c>
    </row>
    <row r="1948">
      <c r="A1948" t="inlineStr">
        <is>
          <t>INC-20251011-01</t>
        </is>
      </c>
      <c r="B1948" t="inlineStr">
        <is>
          <t>R251006-dhan</t>
        </is>
      </c>
      <c r="C1948" t="inlineStr">
        <is>
          <t>Inc42</t>
        </is>
      </c>
      <c r="D1948" s="17" t="n">
        <v>45936</v>
      </c>
      <c r="E1948" t="inlineStr">
        <is>
          <t>Dhan</t>
        </is>
      </c>
      <c r="F1948" t="inlineStr">
        <is>
          <t>$120 Mn</t>
        </is>
      </c>
      <c r="G1948" s="19" t="n"/>
      <c r="H1948" s="19" t="n">
        <v>120</v>
      </c>
      <c r="I1948" t="inlineStr">
        <is>
          <t>Series B</t>
        </is>
      </c>
      <c r="J1948" t="inlineStr">
        <is>
          <t>Hornbill Capital; MUFG</t>
        </is>
      </c>
      <c r="K1948" t="inlineStr">
        <is>
          <t>https://inc42.com/buzz/from-dhan-to-intangles-indian-startups-raised-285-mn-this-week/</t>
        </is>
      </c>
    </row>
    <row r="1949">
      <c r="A1949" t="inlineStr">
        <is>
          <t>ENT-10533403</t>
        </is>
      </c>
      <c r="B1949" t="inlineStr">
        <is>
          <t>R251006-ecoex</t>
        </is>
      </c>
      <c r="C1949" t="inlineStr">
        <is>
          <t>Entrackr</t>
        </is>
      </c>
      <c r="D1949" s="17" t="n">
        <v>45936</v>
      </c>
      <c r="E1949" t="inlineStr">
        <is>
          <t>EcoEx</t>
        </is>
      </c>
      <c r="F1949" t="inlineStr">
        <is>
          <t>$4 million</t>
        </is>
      </c>
      <c r="G1949" s="19" t="n"/>
      <c r="H1949" s="19" t="n">
        <v>4</v>
      </c>
      <c r="I1949" t="inlineStr">
        <is>
          <t>Seed</t>
        </is>
      </c>
      <c r="J1949" t="inlineStr">
        <is>
          <t>Dovetail Global Fund PCC; Navbharat Investment Fund; Narnolia Velox Fund</t>
        </is>
      </c>
      <c r="K1949" t="inlineStr">
        <is>
          <t>https://entrackr.com/snippets/ecoex-raises-4-mn-in-seed-funding-round-10533403</t>
        </is>
      </c>
    </row>
    <row r="1950">
      <c r="A1950" t="inlineStr">
        <is>
          <t>ET-124339107</t>
        </is>
      </c>
      <c r="B1950" t="inlineStr">
        <is>
          <t>R251006-ecoex</t>
        </is>
      </c>
      <c r="C1950" t="inlineStr">
        <is>
          <t>The Economic Times</t>
        </is>
      </c>
      <c r="D1950" s="17" t="n">
        <v>45936</v>
      </c>
      <c r="E1950" t="inlineStr">
        <is>
          <t>EcoEx</t>
        </is>
      </c>
      <c r="F1950" t="inlineStr">
        <is>
          <t>$4 million</t>
        </is>
      </c>
      <c r="G1950" s="19" t="n"/>
      <c r="H1950" s="19" t="n">
        <v>4</v>
      </c>
      <c r="I1950" t="inlineStr">
        <is>
          <t>Undisclosed</t>
        </is>
      </c>
      <c r="J1950" t="inlineStr">
        <is>
          <t>Dovetail Global Fund PCC; Navbharat Investment Fund; Narnolia Velox Fund</t>
        </is>
      </c>
      <c r="K1950" t="inlineStr">
        <is>
          <t>https://economictimes.indiatimes.com/tech/funding/cleantech-startup-ecoex-secures-4-million-led-by-dovetail-global/articleshow/124339107.cms</t>
        </is>
      </c>
    </row>
    <row r="1951">
      <c r="A1951" t="inlineStr">
        <is>
          <t>INC-20251011-14</t>
        </is>
      </c>
      <c r="B1951" t="inlineStr">
        <is>
          <t>R251006-ecoex</t>
        </is>
      </c>
      <c r="C1951" t="inlineStr">
        <is>
          <t>Inc42</t>
        </is>
      </c>
      <c r="D1951" s="17" t="n">
        <v>45936</v>
      </c>
      <c r="E1951" t="inlineStr">
        <is>
          <t>EcoEx</t>
        </is>
      </c>
      <c r="F1951" t="inlineStr">
        <is>
          <t>$4 Mn</t>
        </is>
      </c>
      <c r="G1951" s="19" t="n"/>
      <c r="H1951" s="19" t="n">
        <v>4</v>
      </c>
      <c r="I1951" t="inlineStr">
        <is>
          <t>Undisclosed</t>
        </is>
      </c>
      <c r="J1951" t="inlineStr">
        <is>
          <t>Dovetail Global Fund PCC</t>
        </is>
      </c>
      <c r="K1951" t="inlineStr">
        <is>
          <t>https://inc42.com/buzz/from-dhan-to-intangles-indian-startups-raised-285-mn-this-week/</t>
        </is>
      </c>
    </row>
    <row r="1952">
      <c r="A1952" t="inlineStr">
        <is>
          <t>ENT-10534094</t>
        </is>
      </c>
      <c r="B1952" t="inlineStr">
        <is>
          <t>R251006-finarkein</t>
        </is>
      </c>
      <c r="C1952" t="inlineStr">
        <is>
          <t>Entrackr</t>
        </is>
      </c>
      <c r="D1952" s="17" t="n">
        <v>45936</v>
      </c>
      <c r="E1952" t="inlineStr">
        <is>
          <t>Finarkein</t>
        </is>
      </c>
      <c r="F1952" t="inlineStr">
        <is>
          <t>$1.5 million</t>
        </is>
      </c>
      <c r="G1952" s="19" t="n"/>
      <c r="H1952" s="19" t="n">
        <v>1.5</v>
      </c>
      <c r="I1952" t="inlineStr">
        <is>
          <t>Pre-Series A</t>
        </is>
      </c>
      <c r="J1952" t="inlineStr">
        <is>
          <t>DSP Group Family Office</t>
        </is>
      </c>
      <c r="K1952" t="inlineStr">
        <is>
          <t>https://entrackr.com/snippets/finarkein-raises-15-mn-in-pre-series-a-round-led-by-dsp-group-family-office-10534094</t>
        </is>
      </c>
    </row>
    <row r="1953">
      <c r="A1953" t="inlineStr">
        <is>
          <t>INC-20251011-18</t>
        </is>
      </c>
      <c r="B1953" t="inlineStr">
        <is>
          <t>R251006-finarkein</t>
        </is>
      </c>
      <c r="C1953" t="inlineStr">
        <is>
          <t>Inc42</t>
        </is>
      </c>
      <c r="D1953" s="17" t="n">
        <v>45936</v>
      </c>
      <c r="E1953" t="inlineStr">
        <is>
          <t>Finarkein Analytics</t>
        </is>
      </c>
      <c r="F1953" t="inlineStr">
        <is>
          <t>$1.5 Mn</t>
        </is>
      </c>
      <c r="G1953" s="19" t="n"/>
      <c r="H1953" s="19" t="n">
        <v>1.5</v>
      </c>
      <c r="I1953" t="inlineStr">
        <is>
          <t>Pre-Series A</t>
        </is>
      </c>
      <c r="J1953" t="inlineStr">
        <is>
          <t>DSP Group Family Office</t>
        </is>
      </c>
      <c r="K1953" t="inlineStr">
        <is>
          <t>https://inc42.com/buzz/from-dhan-to-intangles-indian-startups-raised-285-mn-this-week/</t>
        </is>
      </c>
    </row>
    <row r="1954">
      <c r="A1954" t="inlineStr">
        <is>
          <t>ENT-10532249</t>
        </is>
      </c>
      <c r="B1954" t="inlineStr">
        <is>
          <t>R251006-greylabsai</t>
        </is>
      </c>
      <c r="C1954" t="inlineStr">
        <is>
          <t>Entrackr</t>
        </is>
      </c>
      <c r="D1954" s="17" t="n">
        <v>45936</v>
      </c>
      <c r="E1954" t="inlineStr">
        <is>
          <t>GreyLabs AI</t>
        </is>
      </c>
      <c r="F1954" t="inlineStr">
        <is>
          <t>Rs 85 crore</t>
        </is>
      </c>
      <c r="G1954" s="19" t="n">
        <v>85</v>
      </c>
      <c r="H1954" s="19" t="n">
        <v>9.6</v>
      </c>
      <c r="I1954" t="inlineStr">
        <is>
          <t>Series A</t>
        </is>
      </c>
      <c r="J1954" t="inlineStr">
        <is>
          <t>Elevation Capital</t>
        </is>
      </c>
      <c r="K1954" t="inlineStr">
        <is>
          <t>https://entrackr.com/news/greylabs-ai-raises-rs-85-cr-led-by-elevation-to-launch-voice-ai-agents-for-bfsi-10532249</t>
        </is>
      </c>
    </row>
    <row r="1955">
      <c r="A1955" t="inlineStr">
        <is>
          <t>ET-124323861</t>
        </is>
      </c>
      <c r="B1955" t="inlineStr">
        <is>
          <t>R251006-greylabsai</t>
        </is>
      </c>
      <c r="C1955" t="inlineStr">
        <is>
          <t>The Economic Times</t>
        </is>
      </c>
      <c r="D1955" s="17" t="n">
        <v>45936</v>
      </c>
      <c r="E1955" t="inlineStr">
        <is>
          <t>GreyLabs AI</t>
        </is>
      </c>
      <c r="F1955" t="inlineStr">
        <is>
          <t>Rs 85 crore</t>
        </is>
      </c>
      <c r="G1955" s="19" t="n">
        <v>85</v>
      </c>
      <c r="H1955" s="19" t="n">
        <v>10</v>
      </c>
      <c r="I1955" t="inlineStr">
        <is>
          <t>Undisclosed</t>
        </is>
      </c>
      <c r="J1955" t="inlineStr">
        <is>
          <t>Elevation Capital</t>
        </is>
      </c>
      <c r="K1955" t="inlineStr">
        <is>
          <t>https://economictimes.indiatimes.com/tech/funding/greylabs-ai-raises-rs-85-crore-from-elevation-capital-z47/articleshow/124323861.cms</t>
        </is>
      </c>
    </row>
    <row r="1956">
      <c r="A1956" t="inlineStr">
        <is>
          <t>INC-20251011-07</t>
        </is>
      </c>
      <c r="B1956" t="inlineStr">
        <is>
          <t>R251006-greylabsai</t>
        </is>
      </c>
      <c r="C1956" t="inlineStr">
        <is>
          <t>Inc42</t>
        </is>
      </c>
      <c r="D1956" s="17" t="n">
        <v>45936</v>
      </c>
      <c r="E1956" t="inlineStr">
        <is>
          <t>GreyLabs AI</t>
        </is>
      </c>
      <c r="F1956" t="inlineStr">
        <is>
          <t>$10 Mn</t>
        </is>
      </c>
      <c r="G1956" s="19" t="n"/>
      <c r="H1956" s="19" t="n">
        <v>10</v>
      </c>
      <c r="I1956" t="inlineStr">
        <is>
          <t>Series A</t>
        </is>
      </c>
      <c r="J1956" t="inlineStr">
        <is>
          <t>Elevation Capital</t>
        </is>
      </c>
      <c r="K1956" t="inlineStr">
        <is>
          <t>https://inc42.com/buzz/from-dhan-to-intangles-indian-startups-raised-285-mn-this-week/</t>
        </is>
      </c>
    </row>
    <row r="1957">
      <c r="A1957" t="inlineStr">
        <is>
          <t>ENT-10533736</t>
        </is>
      </c>
      <c r="B1957" t="inlineStr">
        <is>
          <t>R251006-iifl</t>
        </is>
      </c>
      <c r="C1957" t="inlineStr">
        <is>
          <t>Entrackr</t>
        </is>
      </c>
      <c r="D1957" s="17" t="n">
        <v>45936</v>
      </c>
      <c r="E1957" t="inlineStr">
        <is>
          <t>IIFL</t>
        </is>
      </c>
      <c r="F1957" t="inlineStr"/>
      <c r="G1957" s="19" t="n"/>
      <c r="H1957" s="19" t="n"/>
      <c r="I1957" t="inlineStr">
        <is>
          <t>Undisclosed</t>
        </is>
      </c>
      <c r="J1957" t="inlineStr"/>
      <c r="K1957" t="inlineStr">
        <is>
          <t>https://entrackr.com/snippets/iifl-fintech-fund-partially-exits-finbox-achieving-5x-returns-on-initial-tranche-10533736</t>
        </is>
      </c>
    </row>
    <row r="1958">
      <c r="A1958" t="inlineStr">
        <is>
          <t>ET-124323976</t>
        </is>
      </c>
      <c r="B1958" t="inlineStr">
        <is>
          <t>R251006-jswoneplatform</t>
        </is>
      </c>
      <c r="C1958" t="inlineStr">
        <is>
          <t>The Economic Times</t>
        </is>
      </c>
      <c r="D1958" s="17" t="n">
        <v>45936</v>
      </c>
      <c r="E1958" t="inlineStr">
        <is>
          <t>JSW One Platforms</t>
        </is>
      </c>
      <c r="F1958" t="inlineStr">
        <is>
          <t>Rs 575 crore</t>
        </is>
      </c>
      <c r="G1958" s="19" t="n">
        <v>575</v>
      </c>
      <c r="H1958" s="19" t="n"/>
      <c r="I1958" t="inlineStr">
        <is>
          <t>Undisclosed</t>
        </is>
      </c>
      <c r="J1958" t="inlineStr"/>
      <c r="K1958" t="inlineStr">
        <is>
          <t>https://economictimes.indiatimes.com/tech/funding/jsw-one-platforms-raises-rs-575-crore-from-sbi-jsw-steel-principal-asset-management-others/articleshow/124323976.cms</t>
        </is>
      </c>
    </row>
    <row r="1959">
      <c r="A1959" t="inlineStr">
        <is>
          <t>ENT-10533760</t>
        </is>
      </c>
      <c r="B1959" t="inlineStr">
        <is>
          <t>R251006-morphingmachin</t>
        </is>
      </c>
      <c r="C1959" t="inlineStr">
        <is>
          <t>Entrackr</t>
        </is>
      </c>
      <c r="D1959" s="17" t="n">
        <v>45936</v>
      </c>
      <c r="E1959" t="inlineStr">
        <is>
          <t>Morphing Machines</t>
        </is>
      </c>
      <c r="F1959" t="inlineStr">
        <is>
          <t>Rs 38.36 crore</t>
        </is>
      </c>
      <c r="G1959" s="19" t="n">
        <v>38.36</v>
      </c>
      <c r="H1959" s="19" t="n">
        <v>4.32</v>
      </c>
      <c r="I1959" t="inlineStr">
        <is>
          <t>Series A</t>
        </is>
      </c>
      <c r="J1959" t="inlineStr">
        <is>
          <t>IAN Alpha Fund</t>
        </is>
      </c>
      <c r="K1959" t="inlineStr">
        <is>
          <t>https://entrackr.com/snippets/morphing-machines-raises-rs-3836-cr-in-series-a-round-led-by-ian-alpha-fund-10533760</t>
        </is>
      </c>
    </row>
    <row r="1960">
      <c r="A1960" t="inlineStr">
        <is>
          <t>INC-20251011-12</t>
        </is>
      </c>
      <c r="B1960" t="inlineStr">
        <is>
          <t>R251006-morphingmachin</t>
        </is>
      </c>
      <c r="C1960" t="inlineStr">
        <is>
          <t>Inc42</t>
        </is>
      </c>
      <c r="D1960" s="17" t="n">
        <v>45936</v>
      </c>
      <c r="E1960" t="inlineStr">
        <is>
          <t>Morphing Machines</t>
        </is>
      </c>
      <c r="F1960" t="inlineStr">
        <is>
          <t>$4.3 Mn</t>
        </is>
      </c>
      <c r="G1960" s="19" t="n"/>
      <c r="H1960" s="19" t="n">
        <v>4.3</v>
      </c>
      <c r="I1960" t="inlineStr">
        <is>
          <t>Series A</t>
        </is>
      </c>
      <c r="J1960" t="inlineStr">
        <is>
          <t>IAN Alpha Fund</t>
        </is>
      </c>
      <c r="K1960" t="inlineStr">
        <is>
          <t>https://inc42.com/buzz/from-dhan-to-intangles-indian-startups-raised-285-mn-this-week/</t>
        </is>
      </c>
    </row>
    <row r="1961">
      <c r="A1961" t="inlineStr">
        <is>
          <t>ENT-10533000</t>
        </is>
      </c>
      <c r="B1961" t="inlineStr">
        <is>
          <t>R251006-navatasupplych</t>
        </is>
      </c>
      <c r="C1961" t="inlineStr">
        <is>
          <t>Entrackr</t>
        </is>
      </c>
      <c r="D1961" s="17" t="n">
        <v>45936</v>
      </c>
      <c r="E1961" t="inlineStr">
        <is>
          <t>Navata Supply Chain Solutions</t>
        </is>
      </c>
      <c r="F1961" t="inlineStr">
        <is>
          <t>Rs 13.5 crore</t>
        </is>
      </c>
      <c r="G1961" s="19" t="n">
        <v>13.5</v>
      </c>
      <c r="H1961" s="19" t="n">
        <v>1.52</v>
      </c>
      <c r="I1961" t="inlineStr">
        <is>
          <t>Undisclosed</t>
        </is>
      </c>
      <c r="J1961" t="inlineStr">
        <is>
          <t>Abyro Capital</t>
        </is>
      </c>
      <c r="K1961" t="inlineStr">
        <is>
          <t>https://entrackr.com/snippets/navata-supply-chain-solutions-raises-rs-135-cr-led-by-abyro-capital-10533000</t>
        </is>
      </c>
    </row>
    <row r="1962">
      <c r="A1962" t="inlineStr">
        <is>
          <t>INC-20251011-17</t>
        </is>
      </c>
      <c r="B1962" t="inlineStr">
        <is>
          <t>R251006-navatasupplych</t>
        </is>
      </c>
      <c r="C1962" t="inlineStr">
        <is>
          <t>Inc42</t>
        </is>
      </c>
      <c r="D1962" s="17" t="n">
        <v>45936</v>
      </c>
      <c r="E1962" t="inlineStr">
        <is>
          <t>Navata Supply Chain Solution</t>
        </is>
      </c>
      <c r="F1962" t="inlineStr">
        <is>
          <t>$1.5 Mn</t>
        </is>
      </c>
      <c r="G1962" s="19" t="n"/>
      <c r="H1962" s="19" t="n">
        <v>1.5</v>
      </c>
      <c r="I1962" t="inlineStr">
        <is>
          <t>Undisclosed</t>
        </is>
      </c>
      <c r="J1962" t="inlineStr">
        <is>
          <t>Abyro Capital</t>
        </is>
      </c>
      <c r="K1962" t="inlineStr">
        <is>
          <t>https://inc42.com/buzz/from-dhan-to-intangles-indian-startups-raised-285-mn-this-week/</t>
        </is>
      </c>
    </row>
    <row r="1963">
      <c r="A1963" t="inlineStr">
        <is>
          <t>INC-20251011-15</t>
        </is>
      </c>
      <c r="B1963" t="inlineStr">
        <is>
          <t>R251006-ozi</t>
        </is>
      </c>
      <c r="C1963" t="inlineStr">
        <is>
          <t>Inc42</t>
        </is>
      </c>
      <c r="D1963" s="17" t="n">
        <v>45936</v>
      </c>
      <c r="E1963" t="inlineStr">
        <is>
          <t>OZi</t>
        </is>
      </c>
      <c r="F1963" t="inlineStr">
        <is>
          <t>$3.3 Mn</t>
        </is>
      </c>
      <c r="G1963" s="19" t="n"/>
      <c r="H1963" s="19" t="n">
        <v>3.3</v>
      </c>
      <c r="I1963" t="inlineStr">
        <is>
          <t>Seed</t>
        </is>
      </c>
      <c r="J1963" t="inlineStr">
        <is>
          <t>Blume Ventures</t>
        </is>
      </c>
      <c r="K1963" t="inlineStr">
        <is>
          <t>https://inc42.com/buzz/from-dhan-to-intangles-indian-startups-raised-285-mn-this-week/</t>
        </is>
      </c>
    </row>
    <row r="1964">
      <c r="A1964" t="inlineStr">
        <is>
          <t>ENT-10536084</t>
        </is>
      </c>
      <c r="B1964" t="inlineStr">
        <is>
          <t>R251007-augustai</t>
        </is>
      </c>
      <c r="C1964" t="inlineStr">
        <is>
          <t>Entrackr</t>
        </is>
      </c>
      <c r="D1964" s="17" t="n">
        <v>45937</v>
      </c>
      <c r="E1964" t="inlineStr">
        <is>
          <t>August AI</t>
        </is>
      </c>
      <c r="F1964" t="inlineStr">
        <is>
          <t>$3 million</t>
        </is>
      </c>
      <c r="G1964" s="19" t="n"/>
      <c r="H1964" s="19" t="n">
        <v>3</v>
      </c>
      <c r="I1964" t="inlineStr">
        <is>
          <t>Undisclosed</t>
        </is>
      </c>
      <c r="J1964" t="inlineStr"/>
      <c r="K1964" t="inlineStr">
        <is>
          <t>https://entrackr.com/snippets/august-ai-raises-3-mn-from-accel-and-claypond-capital-10536084</t>
        </is>
      </c>
    </row>
    <row r="1965">
      <c r="A1965" t="inlineStr">
        <is>
          <t>ET-124351248</t>
        </is>
      </c>
      <c r="B1965" t="inlineStr">
        <is>
          <t>R251007-augustai</t>
        </is>
      </c>
      <c r="C1965" t="inlineStr">
        <is>
          <t>The Economic Times</t>
        </is>
      </c>
      <c r="D1965" s="17" t="n">
        <v>45937</v>
      </c>
      <c r="E1965" t="inlineStr">
        <is>
          <t>August AI</t>
        </is>
      </c>
      <c r="F1965" t="inlineStr">
        <is>
          <t>$3 million</t>
        </is>
      </c>
      <c r="G1965" s="19" t="n"/>
      <c r="H1965" s="19" t="n">
        <v>3</v>
      </c>
      <c r="I1965" t="inlineStr">
        <is>
          <t>Undisclosed</t>
        </is>
      </c>
      <c r="J1965" t="inlineStr"/>
      <c r="K1965" t="inlineStr">
        <is>
          <t>https://economictimes.indiatimes.com/tech/funding/august-ai-raises-3-million-funding-from-accel-claypond-capital/articleshow/124351248.cms</t>
        </is>
      </c>
    </row>
    <row r="1966">
      <c r="A1966" t="inlineStr">
        <is>
          <t>INC-20251011-16</t>
        </is>
      </c>
      <c r="B1966" t="inlineStr">
        <is>
          <t>R251007-augustai</t>
        </is>
      </c>
      <c r="C1966" t="inlineStr">
        <is>
          <t>Inc42</t>
        </is>
      </c>
      <c r="D1966" s="17" t="n">
        <v>45937</v>
      </c>
      <c r="E1966" t="inlineStr">
        <is>
          <t>August AI</t>
        </is>
      </c>
      <c r="F1966" t="inlineStr">
        <is>
          <t>$3 Mn</t>
        </is>
      </c>
      <c r="G1966" s="19" t="n"/>
      <c r="H1966" s="19" t="n">
        <v>3</v>
      </c>
      <c r="I1966" t="inlineStr">
        <is>
          <t>Seed</t>
        </is>
      </c>
      <c r="J1966" t="inlineStr"/>
      <c r="K1966" t="inlineStr">
        <is>
          <t>https://inc42.com/buzz/from-dhan-to-intangles-indian-startups-raised-285-mn-this-week/</t>
        </is>
      </c>
    </row>
    <row r="1967">
      <c r="A1967" t="inlineStr">
        <is>
          <t>ENT-10537705</t>
        </is>
      </c>
      <c r="B1967" t="inlineStr">
        <is>
          <t>R251007-contrailsai</t>
        </is>
      </c>
      <c r="C1967" t="inlineStr">
        <is>
          <t>Entrackr</t>
        </is>
      </c>
      <c r="D1967" s="17" t="n">
        <v>45937</v>
      </c>
      <c r="E1967" t="inlineStr">
        <is>
          <t>Contrails AI</t>
        </is>
      </c>
      <c r="F1967" t="inlineStr">
        <is>
          <t>$1 million</t>
        </is>
      </c>
      <c r="G1967" s="19" t="n"/>
      <c r="H1967" s="19" t="n">
        <v>1</v>
      </c>
      <c r="I1967" t="inlineStr">
        <is>
          <t>Pre-Seed</t>
        </is>
      </c>
      <c r="J1967" t="inlineStr">
        <is>
          <t>Huddle Ventures; IAN Group</t>
        </is>
      </c>
      <c r="K1967" t="inlineStr">
        <is>
          <t>https://entrackr.com/snippets/contrails-ai-raises-1-mn-in-pre-seed-round-from-huddle-ventures-and-ian-group-10537705</t>
        </is>
      </c>
    </row>
    <row r="1968">
      <c r="A1968" t="inlineStr">
        <is>
          <t>INC-20251011-20</t>
        </is>
      </c>
      <c r="B1968" t="inlineStr">
        <is>
          <t>R251007-contrailsai</t>
        </is>
      </c>
      <c r="C1968" t="inlineStr">
        <is>
          <t>Inc42</t>
        </is>
      </c>
      <c r="D1968" s="17" t="n">
        <v>45937</v>
      </c>
      <c r="E1968" t="inlineStr">
        <is>
          <t>Contrails AI</t>
        </is>
      </c>
      <c r="F1968" t="inlineStr">
        <is>
          <t>$1 Mn</t>
        </is>
      </c>
      <c r="G1968" s="19" t="n"/>
      <c r="H1968" s="19" t="n">
        <v>1</v>
      </c>
      <c r="I1968" t="inlineStr">
        <is>
          <t>Pre-Seed</t>
        </is>
      </c>
      <c r="J1968" t="inlineStr">
        <is>
          <t>Huddle Ventures; IAN Group</t>
        </is>
      </c>
      <c r="K1968" t="inlineStr">
        <is>
          <t>https://inc42.com/buzz/from-dhan-to-intangles-indian-startups-raised-285-mn-this-week/</t>
        </is>
      </c>
    </row>
    <row r="1969">
      <c r="A1969" t="inlineStr">
        <is>
          <t>INC-20251011-21</t>
        </is>
      </c>
      <c r="B1969" t="inlineStr">
        <is>
          <t>R251007-h2carbonzero</t>
        </is>
      </c>
      <c r="C1969" t="inlineStr">
        <is>
          <t>Inc42</t>
        </is>
      </c>
      <c r="D1969" s="17" t="n">
        <v>45937</v>
      </c>
      <c r="E1969" t="inlineStr">
        <is>
          <t>H2 Carbon Zero</t>
        </is>
      </c>
      <c r="F1969" t="inlineStr">
        <is>
          <t>$850K</t>
        </is>
      </c>
      <c r="G1969" s="19" t="n"/>
      <c r="H1969" s="19" t="n">
        <v>0.85</v>
      </c>
      <c r="I1969" t="inlineStr">
        <is>
          <t>Seed</t>
        </is>
      </c>
      <c r="J1969" t="inlineStr">
        <is>
          <t>Venture Catalysts</t>
        </is>
      </c>
      <c r="K1969" t="inlineStr">
        <is>
          <t>https://inc42.com/buzz/from-dhan-to-intangles-indian-startups-raised-285-mn-this-week/</t>
        </is>
      </c>
    </row>
    <row r="1970">
      <c r="A1970" t="inlineStr">
        <is>
          <t>ENT-10537356</t>
        </is>
      </c>
      <c r="B1970" t="inlineStr">
        <is>
          <t>R251007-intangles</t>
        </is>
      </c>
      <c r="C1970" t="inlineStr">
        <is>
          <t>Entrackr</t>
        </is>
      </c>
      <c r="D1970" s="17" t="n">
        <v>45937</v>
      </c>
      <c r="E1970" t="inlineStr">
        <is>
          <t>Intangles</t>
        </is>
      </c>
      <c r="F1970" t="inlineStr">
        <is>
          <t>$30 million</t>
        </is>
      </c>
      <c r="G1970" s="19" t="n"/>
      <c r="H1970" s="19" t="n">
        <v>30</v>
      </c>
      <c r="I1970" t="inlineStr">
        <is>
          <t>Series B</t>
        </is>
      </c>
      <c r="J1970" t="inlineStr">
        <is>
          <t>Avataar Venture Partners</t>
        </is>
      </c>
      <c r="K1970" t="inlineStr">
        <is>
          <t>https://entrackr.com/snippets/intangles-raises-30-mn-in-series-b-round-led-by-avataar-venture-10537356</t>
        </is>
      </c>
    </row>
    <row r="1971">
      <c r="A1971" t="inlineStr">
        <is>
          <t>INC-20251011-02</t>
        </is>
      </c>
      <c r="B1971" t="inlineStr">
        <is>
          <t>R251007-intangles</t>
        </is>
      </c>
      <c r="C1971" t="inlineStr">
        <is>
          <t>Inc42</t>
        </is>
      </c>
      <c r="D1971" s="17" t="n">
        <v>45937</v>
      </c>
      <c r="E1971" t="inlineStr">
        <is>
          <t>Intangles</t>
        </is>
      </c>
      <c r="F1971" t="inlineStr">
        <is>
          <t>$30 Mn</t>
        </is>
      </c>
      <c r="G1971" s="19" t="n"/>
      <c r="H1971" s="19" t="n">
        <v>30</v>
      </c>
      <c r="I1971" t="inlineStr">
        <is>
          <t>Series B</t>
        </is>
      </c>
      <c r="J1971" t="inlineStr">
        <is>
          <t>Avataar Venture Partners</t>
        </is>
      </c>
      <c r="K1971" t="inlineStr">
        <is>
          <t>https://inc42.com/buzz/from-dhan-to-intangles-indian-startups-raised-285-mn-this-week/</t>
        </is>
      </c>
    </row>
    <row r="1972">
      <c r="A1972" t="inlineStr">
        <is>
          <t>INC-20251011-26</t>
        </is>
      </c>
      <c r="B1972" t="inlineStr">
        <is>
          <t>R251007-jaagrukbharat</t>
        </is>
      </c>
      <c r="C1972" t="inlineStr">
        <is>
          <t>Inc42</t>
        </is>
      </c>
      <c r="D1972" s="17" t="n">
        <v>45937</v>
      </c>
      <c r="E1972" t="inlineStr">
        <is>
          <t>Jaagruk Bharat</t>
        </is>
      </c>
      <c r="F1972" t="inlineStr">
        <is>
          <t>$169K</t>
        </is>
      </c>
      <c r="G1972" s="19" t="n"/>
      <c r="H1972" s="19" t="n">
        <v>0.169</v>
      </c>
      <c r="I1972" t="inlineStr">
        <is>
          <t>Pre-Seed</t>
        </is>
      </c>
      <c r="J1972" t="inlineStr">
        <is>
          <t>AJVC</t>
        </is>
      </c>
      <c r="K1972" t="inlineStr">
        <is>
          <t>https://inc42.com/buzz/from-dhan-to-intangles-indian-startups-raised-285-mn-this-week/</t>
        </is>
      </c>
    </row>
    <row r="1973">
      <c r="A1973" t="inlineStr">
        <is>
          <t>ENT-10540026</t>
        </is>
      </c>
      <c r="B1973" t="inlineStr">
        <is>
          <t>R251007-jaagrukbharat</t>
        </is>
      </c>
      <c r="C1973" t="inlineStr">
        <is>
          <t>Entrackr</t>
        </is>
      </c>
      <c r="D1973" s="17" t="n">
        <v>45938</v>
      </c>
      <c r="E1973" t="inlineStr">
        <is>
          <t>Jaagruk Bharat</t>
        </is>
      </c>
      <c r="F1973" t="inlineStr">
        <is>
          <t>Rs 1.5 crore</t>
        </is>
      </c>
      <c r="G1973" s="19" t="n">
        <v>1.5</v>
      </c>
      <c r="H1973" s="19" t="n"/>
      <c r="I1973" t="inlineStr">
        <is>
          <t>Pre-Seed</t>
        </is>
      </c>
      <c r="J1973" t="inlineStr">
        <is>
          <t>AJVC</t>
        </is>
      </c>
      <c r="K1973" t="inlineStr">
        <is>
          <t>https://entrackr.com/snippets/jaagruk-bharat-raises-rs-15-cr-in-pre-seed-round-led-by-ajvc-10540026</t>
        </is>
      </c>
    </row>
    <row r="1974">
      <c r="A1974" t="inlineStr">
        <is>
          <t>ET-124294056</t>
        </is>
      </c>
      <c r="B1974" t="inlineStr">
        <is>
          <t>R251007-kgen</t>
        </is>
      </c>
      <c r="C1974" t="inlineStr">
        <is>
          <t>The Economic Times</t>
        </is>
      </c>
      <c r="D1974" s="17" t="n">
        <v>45933</v>
      </c>
      <c r="E1974" t="inlineStr">
        <is>
          <t>KGeN</t>
        </is>
      </c>
      <c r="F1974" t="inlineStr">
        <is>
          <t>$13.5 million</t>
        </is>
      </c>
      <c r="G1974" s="19" t="n"/>
      <c r="H1974" s="19" t="n">
        <v>13.5</v>
      </c>
      <c r="I1974" t="inlineStr">
        <is>
          <t>Undisclosed</t>
        </is>
      </c>
      <c r="J1974" t="inlineStr"/>
      <c r="K1974" t="inlineStr">
        <is>
          <t>https://economictimes.indiatimes.com/tech/funding/kgen-raises-13-5-million-from-prosus-jump-crypto-accel/articleshow/124294056.cms</t>
        </is>
      </c>
    </row>
    <row r="1975">
      <c r="A1975" t="inlineStr">
        <is>
          <t>INC-20251011-05</t>
        </is>
      </c>
      <c r="B1975" t="inlineStr">
        <is>
          <t>R251007-kgen</t>
        </is>
      </c>
      <c r="C1975" t="inlineStr">
        <is>
          <t>Inc42</t>
        </is>
      </c>
      <c r="D1975" s="17" t="n">
        <v>45937</v>
      </c>
      <c r="E1975" t="inlineStr">
        <is>
          <t>KGen</t>
        </is>
      </c>
      <c r="F1975" t="inlineStr">
        <is>
          <t>$13.5 Mn</t>
        </is>
      </c>
      <c r="G1975" s="19" t="n"/>
      <c r="H1975" s="19" t="n">
        <v>13.5</v>
      </c>
      <c r="I1975" t="inlineStr">
        <is>
          <t>Undisclosed</t>
        </is>
      </c>
      <c r="J1975" t="inlineStr"/>
      <c r="K1975" t="inlineStr">
        <is>
          <t>https://inc42.com/buzz/from-dhan-to-intangles-indian-startups-raised-285-mn-this-week/</t>
        </is>
      </c>
    </row>
    <row r="1976">
      <c r="A1976" t="inlineStr">
        <is>
          <t>ENT-10536460</t>
        </is>
      </c>
      <c r="B1976" t="inlineStr">
        <is>
          <t>R251007-lucio</t>
        </is>
      </c>
      <c r="C1976" t="inlineStr">
        <is>
          <t>Entrackr</t>
        </is>
      </c>
      <c r="D1976" s="17" t="n">
        <v>45937</v>
      </c>
      <c r="E1976" t="inlineStr">
        <is>
          <t>Lucio</t>
        </is>
      </c>
      <c r="F1976" t="inlineStr">
        <is>
          <t>$5 million</t>
        </is>
      </c>
      <c r="G1976" s="19" t="n"/>
      <c r="H1976" s="19" t="n">
        <v>5</v>
      </c>
      <c r="I1976" t="inlineStr">
        <is>
          <t>Undisclosed</t>
        </is>
      </c>
      <c r="J1976" t="inlineStr">
        <is>
          <t>DeVC</t>
        </is>
      </c>
      <c r="K1976" t="inlineStr">
        <is>
          <t>https://entrackr.com/snippets/legal-tech-startup-lucio-raises-5-mn-led-by-devc-10536460</t>
        </is>
      </c>
    </row>
    <row r="1977">
      <c r="A1977" t="inlineStr">
        <is>
          <t>INC-20251011-10</t>
        </is>
      </c>
      <c r="B1977" t="inlineStr">
        <is>
          <t>R251007-lucio</t>
        </is>
      </c>
      <c r="C1977" t="inlineStr">
        <is>
          <t>Inc42</t>
        </is>
      </c>
      <c r="D1977" s="17" t="n">
        <v>45937</v>
      </c>
      <c r="E1977" t="inlineStr">
        <is>
          <t>Lucio</t>
        </is>
      </c>
      <c r="F1977" t="inlineStr">
        <is>
          <t>$5 Mn</t>
        </is>
      </c>
      <c r="G1977" s="19" t="n"/>
      <c r="H1977" s="19" t="n">
        <v>5</v>
      </c>
      <c r="I1977" t="inlineStr">
        <is>
          <t>Seed</t>
        </is>
      </c>
      <c r="J1977" t="inlineStr">
        <is>
          <t>DeVC</t>
        </is>
      </c>
      <c r="K1977" t="inlineStr">
        <is>
          <t>https://inc42.com/buzz/from-dhan-to-intangles-indian-startups-raised-285-mn-this-week/</t>
        </is>
      </c>
    </row>
    <row r="1978">
      <c r="A1978" t="inlineStr">
        <is>
          <t>INC-20251011-11</t>
        </is>
      </c>
      <c r="B1978" t="inlineStr">
        <is>
          <t>R251007-themedicaltrav</t>
        </is>
      </c>
      <c r="C1978" t="inlineStr">
        <is>
          <t>Inc42</t>
        </is>
      </c>
      <c r="D1978" s="17" t="n">
        <v>45937</v>
      </c>
      <c r="E1978" t="inlineStr">
        <is>
          <t>The Medical Travel Company</t>
        </is>
      </c>
      <c r="F1978" t="inlineStr">
        <is>
          <t>$4.5 Mn</t>
        </is>
      </c>
      <c r="G1978" s="19" t="n"/>
      <c r="H1978" s="19" t="n">
        <v>4.5</v>
      </c>
      <c r="I1978" t="inlineStr">
        <is>
          <t>Seed</t>
        </is>
      </c>
      <c r="J1978" t="inlineStr">
        <is>
          <t>Nexus Venture Partners</t>
        </is>
      </c>
      <c r="K1978" t="inlineStr">
        <is>
          <t>https://inc42.com/buzz/from-dhan-to-intangles-indian-startups-raised-285-mn-this-week/</t>
        </is>
      </c>
    </row>
    <row r="1979">
      <c r="A1979" t="inlineStr">
        <is>
          <t>ENT-10536990</t>
        </is>
      </c>
      <c r="B1979" t="inlineStr">
        <is>
          <t>R251007-thrustworksdyn</t>
        </is>
      </c>
      <c r="C1979" t="inlineStr">
        <is>
          <t>Entrackr</t>
        </is>
      </c>
      <c r="D1979" s="17" t="n">
        <v>45937</v>
      </c>
      <c r="E1979" t="inlineStr">
        <is>
          <t>Thrustworks Dynetics</t>
        </is>
      </c>
      <c r="F1979" t="inlineStr">
        <is>
          <t>Rs 7 crore</t>
        </is>
      </c>
      <c r="G1979" s="19" t="n">
        <v>7</v>
      </c>
      <c r="H1979" s="19" t="n"/>
      <c r="I1979" t="inlineStr">
        <is>
          <t>Seed</t>
        </is>
      </c>
      <c r="J1979" t="inlineStr">
        <is>
          <t>Jamwant Ventures; SINE-IIT Bombay</t>
        </is>
      </c>
      <c r="K1979" t="inlineStr">
        <is>
          <t>https://entrackr.com/snippets/thrustworks-dynetics-raises-seed-round-led-by-jamwant-ventures-10536990</t>
        </is>
      </c>
    </row>
    <row r="1980">
      <c r="A1980" t="inlineStr">
        <is>
          <t>INC-20251011-22</t>
        </is>
      </c>
      <c r="B1980" t="inlineStr">
        <is>
          <t>R251007-thrustworksdyn</t>
        </is>
      </c>
      <c r="C1980" t="inlineStr">
        <is>
          <t>Inc42</t>
        </is>
      </c>
      <c r="D1980" s="17" t="n">
        <v>45937</v>
      </c>
      <c r="E1980" t="inlineStr">
        <is>
          <t>Thrustworks Dynetics</t>
        </is>
      </c>
      <c r="F1980" t="inlineStr">
        <is>
          <t>$790K</t>
        </is>
      </c>
      <c r="G1980" s="19" t="n"/>
      <c r="H1980" s="19" t="n">
        <v>0.79</v>
      </c>
      <c r="I1980" t="inlineStr">
        <is>
          <t>Seed</t>
        </is>
      </c>
      <c r="J1980" t="inlineStr">
        <is>
          <t>Jamwant Venture</t>
        </is>
      </c>
      <c r="K1980" t="inlineStr">
        <is>
          <t>https://inc42.com/buzz/from-dhan-to-intangles-indian-startups-raised-285-mn-this-week/</t>
        </is>
      </c>
    </row>
    <row r="1981">
      <c r="A1981" t="inlineStr">
        <is>
          <t>ENT-10537428</t>
        </is>
      </c>
      <c r="B1981" t="inlineStr">
        <is>
          <t>R251007-trusterra</t>
        </is>
      </c>
      <c r="C1981" t="inlineStr">
        <is>
          <t>Entrackr</t>
        </is>
      </c>
      <c r="D1981" s="17" t="n">
        <v>45937</v>
      </c>
      <c r="E1981" t="inlineStr">
        <is>
          <t>TrusTerra</t>
        </is>
      </c>
      <c r="F1981" t="inlineStr">
        <is>
          <t>Rs 9 crore</t>
        </is>
      </c>
      <c r="G1981" s="19" t="n">
        <v>9</v>
      </c>
      <c r="H1981" s="19" t="n"/>
      <c r="I1981" t="inlineStr">
        <is>
          <t>Pre-Seed</t>
        </is>
      </c>
      <c r="J1981" t="inlineStr">
        <is>
          <t>Finvolve; India Accelerator</t>
        </is>
      </c>
      <c r="K1981" t="inlineStr">
        <is>
          <t>https://entrackr.com/snippets/trusterra-bags-1-mn-in-pre-seed-round-co-led-by-finvolve-india-accelerator-10537428</t>
        </is>
      </c>
    </row>
    <row r="1982">
      <c r="A1982" t="inlineStr">
        <is>
          <t>INC-20251011-19</t>
        </is>
      </c>
      <c r="B1982" t="inlineStr">
        <is>
          <t>R251007-trusterra</t>
        </is>
      </c>
      <c r="C1982" t="inlineStr">
        <is>
          <t>Inc42</t>
        </is>
      </c>
      <c r="D1982" s="17" t="n">
        <v>45937</v>
      </c>
      <c r="E1982" t="inlineStr">
        <is>
          <t>TrusTerra</t>
        </is>
      </c>
      <c r="F1982" t="inlineStr">
        <is>
          <t>$1 Mn</t>
        </is>
      </c>
      <c r="G1982" s="19" t="n"/>
      <c r="H1982" s="19" t="n">
        <v>1</v>
      </c>
      <c r="I1982" t="inlineStr">
        <is>
          <t>Pre-Seed</t>
        </is>
      </c>
      <c r="J1982" t="inlineStr">
        <is>
          <t>Finvolve; India Accelerator</t>
        </is>
      </c>
      <c r="K1982" t="inlineStr">
        <is>
          <t>https://inc42.com/buzz/from-dhan-to-intangles-indian-startups-raised-285-mn-this-week/</t>
        </is>
      </c>
    </row>
    <row r="1983">
      <c r="A1983" t="inlineStr">
        <is>
          <t>ENT-10537272</t>
        </is>
      </c>
      <c r="B1983" t="inlineStr">
        <is>
          <t>R251007-zillout</t>
        </is>
      </c>
      <c r="C1983" t="inlineStr">
        <is>
          <t>Entrackr</t>
        </is>
      </c>
      <c r="D1983" s="17" t="n">
        <v>45937</v>
      </c>
      <c r="E1983" t="inlineStr">
        <is>
          <t>ZillOut</t>
        </is>
      </c>
      <c r="F1983" t="inlineStr">
        <is>
          <t>Rs 2.75 crores</t>
        </is>
      </c>
      <c r="G1983" s="19" t="n">
        <v>2.75</v>
      </c>
      <c r="H1983" s="19" t="n"/>
      <c r="I1983" t="inlineStr">
        <is>
          <t>Seed</t>
        </is>
      </c>
      <c r="J1983" t="inlineStr"/>
      <c r="K1983" t="inlineStr">
        <is>
          <t>https://entrackr.com/snippets/zillout-raises-seed-funding-round-10537272</t>
        </is>
      </c>
    </row>
    <row r="1984">
      <c r="A1984" t="inlineStr">
        <is>
          <t>INC-20251011-25</t>
        </is>
      </c>
      <c r="B1984" t="inlineStr">
        <is>
          <t>R251007-zillout</t>
        </is>
      </c>
      <c r="C1984" t="inlineStr">
        <is>
          <t>Inc42</t>
        </is>
      </c>
      <c r="D1984" s="17" t="n">
        <v>45937</v>
      </c>
      <c r="E1984" t="inlineStr">
        <is>
          <t>ZillOut</t>
        </is>
      </c>
      <c r="F1984" t="inlineStr">
        <is>
          <t>$310K</t>
        </is>
      </c>
      <c r="G1984" s="19" t="n"/>
      <c r="H1984" s="19" t="n">
        <v>0.31</v>
      </c>
      <c r="I1984" t="inlineStr">
        <is>
          <t>Seed</t>
        </is>
      </c>
      <c r="J1984" t="inlineStr"/>
      <c r="K1984" t="inlineStr">
        <is>
          <t>https://inc42.com/buzz/from-dhan-to-intangles-indian-startups-raised-285-mn-this-week/</t>
        </is>
      </c>
    </row>
    <row r="1985">
      <c r="A1985" t="inlineStr">
        <is>
          <t>ENT-10540872</t>
        </is>
      </c>
      <c r="B1985" t="inlineStr">
        <is>
          <t>R251008-meolaa</t>
        </is>
      </c>
      <c r="C1985" t="inlineStr">
        <is>
          <t>Entrackr</t>
        </is>
      </c>
      <c r="D1985" s="17" t="n">
        <v>45938</v>
      </c>
      <c r="E1985" t="inlineStr">
        <is>
          <t>Meolaa</t>
        </is>
      </c>
      <c r="F1985" t="inlineStr">
        <is>
          <t>$6 million</t>
        </is>
      </c>
      <c r="G1985" s="19" t="n"/>
      <c r="H1985" s="19" t="n">
        <v>6</v>
      </c>
      <c r="I1985" t="inlineStr">
        <is>
          <t>Pre-Series A</t>
        </is>
      </c>
      <c r="J1985" t="inlineStr">
        <is>
          <t>General Catalyst; Colossa Ventures; Kunal Shah; Turbostart Global</t>
        </is>
      </c>
      <c r="K1985" t="inlineStr">
        <is>
          <t>https://entrackr.com/snippets/fmcg-company-meolaa-raises-6-mn-led-by-general-catalyst-10540872</t>
        </is>
      </c>
    </row>
    <row r="1986">
      <c r="A1986" t="inlineStr">
        <is>
          <t>INC-20251011-08</t>
        </is>
      </c>
      <c r="B1986" t="inlineStr">
        <is>
          <t>R251008-meolaa</t>
        </is>
      </c>
      <c r="C1986" t="inlineStr">
        <is>
          <t>Inc42</t>
        </is>
      </c>
      <c r="D1986" s="17" t="n">
        <v>45938</v>
      </c>
      <c r="E1986" t="inlineStr">
        <is>
          <t>Meolaa</t>
        </is>
      </c>
      <c r="F1986" t="inlineStr">
        <is>
          <t>$6 Mn</t>
        </is>
      </c>
      <c r="G1986" s="19" t="n"/>
      <c r="H1986" s="19" t="n">
        <v>6</v>
      </c>
      <c r="I1986" t="inlineStr">
        <is>
          <t>Pre-Series A</t>
        </is>
      </c>
      <c r="J1986" t="inlineStr">
        <is>
          <t>General Catalyst</t>
        </is>
      </c>
      <c r="K1986" t="inlineStr">
        <is>
          <t>https://inc42.com/buzz/from-dhan-to-intangles-indian-startups-raised-285-mn-this-week/</t>
        </is>
      </c>
    </row>
    <row r="1987">
      <c r="A1987" t="inlineStr">
        <is>
          <t>ENT-10540860</t>
        </is>
      </c>
      <c r="B1987" t="inlineStr">
        <is>
          <t>R251008-newtral</t>
        </is>
      </c>
      <c r="C1987" t="inlineStr">
        <is>
          <t>Entrackr</t>
        </is>
      </c>
      <c r="D1987" s="17" t="n">
        <v>45938</v>
      </c>
      <c r="E1987" t="inlineStr">
        <is>
          <t>Newtral</t>
        </is>
      </c>
      <c r="F1987" t="inlineStr">
        <is>
          <t>$600K</t>
        </is>
      </c>
      <c r="G1987" s="19" t="n"/>
      <c r="H1987" s="19" t="n">
        <v>0.6</v>
      </c>
      <c r="I1987" t="inlineStr">
        <is>
          <t>Undisclosed</t>
        </is>
      </c>
      <c r="J1987" t="inlineStr"/>
      <c r="K1987" t="inlineStr">
        <is>
          <t>https://entrackr.com/snippets/climate-tech-startup-newtral-raises-600k-from-now-accelerate-10540860</t>
        </is>
      </c>
    </row>
    <row r="1988">
      <c r="A1988" t="inlineStr">
        <is>
          <t>INC-20251011-23</t>
        </is>
      </c>
      <c r="B1988" t="inlineStr">
        <is>
          <t>R251008-newtral</t>
        </is>
      </c>
      <c r="C1988" t="inlineStr">
        <is>
          <t>Inc42</t>
        </is>
      </c>
      <c r="D1988" s="17" t="n">
        <v>45938</v>
      </c>
      <c r="E1988" t="inlineStr">
        <is>
          <t>Newtral</t>
        </is>
      </c>
      <c r="F1988" t="inlineStr">
        <is>
          <t>$600K</t>
        </is>
      </c>
      <c r="G1988" s="19" t="n"/>
      <c r="H1988" s="19" t="n">
        <v>0.6</v>
      </c>
      <c r="I1988" t="inlineStr">
        <is>
          <t>Seed</t>
        </is>
      </c>
      <c r="J1988" t="inlineStr">
        <is>
          <t>NOW Venture Studios</t>
        </is>
      </c>
      <c r="K1988" t="inlineStr">
        <is>
          <t>https://inc42.com/buzz/from-dhan-to-intangles-indian-startups-raised-285-mn-this-week/</t>
        </is>
      </c>
    </row>
    <row r="1989">
      <c r="A1989" t="inlineStr">
        <is>
          <t>ENT-10542364</t>
        </is>
      </c>
      <c r="B1989" t="inlineStr">
        <is>
          <t>R251008-qapita</t>
        </is>
      </c>
      <c r="C1989" t="inlineStr">
        <is>
          <t>Entrackr</t>
        </is>
      </c>
      <c r="D1989" s="17" t="n">
        <v>45938</v>
      </c>
      <c r="E1989" t="inlineStr">
        <is>
          <t>Qapita</t>
        </is>
      </c>
      <c r="F1989" t="inlineStr">
        <is>
          <t>$26.5 million</t>
        </is>
      </c>
      <c r="G1989" s="19" t="n"/>
      <c r="H1989" s="19" t="n">
        <v>26.5</v>
      </c>
      <c r="I1989" t="inlineStr">
        <is>
          <t>Series B</t>
        </is>
      </c>
      <c r="J1989" t="inlineStr">
        <is>
          <t>Charles Schwab Corporation</t>
        </is>
      </c>
      <c r="K1989" t="inlineStr">
        <is>
          <t>https://entrackr.com/news/equity-management-platform-qapita-raises-265-mn-in-series-b-round-10542364</t>
        </is>
      </c>
    </row>
    <row r="1990">
      <c r="A1990" t="inlineStr">
        <is>
          <t>INC-20251011-03</t>
        </is>
      </c>
      <c r="B1990" t="inlineStr">
        <is>
          <t>R251008-qapita</t>
        </is>
      </c>
      <c r="C1990" t="inlineStr">
        <is>
          <t>Inc42</t>
        </is>
      </c>
      <c r="D1990" s="17" t="n">
        <v>45939</v>
      </c>
      <c r="E1990" t="inlineStr">
        <is>
          <t>Qapita</t>
        </is>
      </c>
      <c r="F1990" t="inlineStr">
        <is>
          <t>$26.5 Mn</t>
        </is>
      </c>
      <c r="G1990" s="19" t="n"/>
      <c r="H1990" s="19" t="n">
        <v>26.5</v>
      </c>
      <c r="I1990" t="inlineStr">
        <is>
          <t>Series B</t>
        </is>
      </c>
      <c r="J1990" t="inlineStr">
        <is>
          <t>Charles Schwab Corporation</t>
        </is>
      </c>
      <c r="K1990" t="inlineStr">
        <is>
          <t>https://inc42.com/buzz/from-dhan-to-intangles-indian-startups-raised-285-mn-this-week/</t>
        </is>
      </c>
    </row>
    <row r="1991">
      <c r="A1991" t="inlineStr">
        <is>
          <t>ENT-10544886</t>
        </is>
      </c>
      <c r="B1991" t="inlineStr">
        <is>
          <t>R251009-askmyguru</t>
        </is>
      </c>
      <c r="C1991" t="inlineStr">
        <is>
          <t>Entrackr</t>
        </is>
      </c>
      <c r="D1991" s="17" t="n">
        <v>45939</v>
      </c>
      <c r="E1991" t="inlineStr">
        <is>
          <t>Ask My Guru</t>
        </is>
      </c>
      <c r="F1991" t="inlineStr">
        <is>
          <t>$500,000</t>
        </is>
      </c>
      <c r="G1991" s="19" t="n"/>
      <c r="H1991" s="19" t="n">
        <v>0.5</v>
      </c>
      <c r="I1991" t="inlineStr">
        <is>
          <t>Seed</t>
        </is>
      </c>
      <c r="J1991" t="inlineStr"/>
      <c r="K1991" t="inlineStr">
        <is>
          <t>https://entrackr.com/snippets/bharat-matrimony-invests-500k-in-ask-my-guru-10544886</t>
        </is>
      </c>
    </row>
    <row r="1992">
      <c r="A1992" t="inlineStr">
        <is>
          <t>INC-20251011-24</t>
        </is>
      </c>
      <c r="B1992" t="inlineStr">
        <is>
          <t>R251009-askmyguru</t>
        </is>
      </c>
      <c r="C1992" t="inlineStr">
        <is>
          <t>Inc42</t>
        </is>
      </c>
      <c r="D1992" s="17" t="n">
        <v>45940</v>
      </c>
      <c r="E1992" t="inlineStr">
        <is>
          <t>Ask My Guru</t>
        </is>
      </c>
      <c r="F1992" t="inlineStr">
        <is>
          <t>$500K</t>
        </is>
      </c>
      <c r="G1992" s="19" t="n"/>
      <c r="H1992" s="19" t="n">
        <v>0.5</v>
      </c>
      <c r="I1992" t="inlineStr">
        <is>
          <t>Undisclosed</t>
        </is>
      </c>
      <c r="J1992" t="inlineStr">
        <is>
          <t>Matrimony.com</t>
        </is>
      </c>
      <c r="K1992" t="inlineStr">
        <is>
          <t>https://inc42.com/buzz/from-dhan-to-intangles-indian-startups-raised-285-mn-this-week/</t>
        </is>
      </c>
    </row>
    <row r="1993">
      <c r="A1993" t="inlineStr">
        <is>
          <t>ENT-10543976</t>
        </is>
      </c>
      <c r="B1993" t="inlineStr">
        <is>
          <t>R251009-reodev</t>
        </is>
      </c>
      <c r="C1993" t="inlineStr">
        <is>
          <t>Entrackr</t>
        </is>
      </c>
      <c r="D1993" s="17" t="n">
        <v>45939</v>
      </c>
      <c r="E1993" t="inlineStr">
        <is>
          <t>Reo.Dev</t>
        </is>
      </c>
      <c r="F1993" t="inlineStr">
        <is>
          <t>$4 million</t>
        </is>
      </c>
      <c r="G1993" s="19" t="n"/>
      <c r="H1993" s="19" t="n">
        <v>4</v>
      </c>
      <c r="I1993" t="inlineStr">
        <is>
          <t>Seed</t>
        </is>
      </c>
      <c r="J1993" t="inlineStr">
        <is>
          <t>Heavybit</t>
        </is>
      </c>
      <c r="K1993" t="inlineStr">
        <is>
          <t>https://entrackr.com/snippets/reodev-raises-4-mn-in-seed-round-led-by-heavybit-10543976</t>
        </is>
      </c>
    </row>
    <row r="1994">
      <c r="A1994" t="inlineStr">
        <is>
          <t>INC-20251011-13</t>
        </is>
      </c>
      <c r="B1994" t="inlineStr">
        <is>
          <t>R251009-reodev</t>
        </is>
      </c>
      <c r="C1994" t="inlineStr">
        <is>
          <t>Inc42</t>
        </is>
      </c>
      <c r="D1994" s="17" t="n">
        <v>45939</v>
      </c>
      <c r="E1994" t="inlineStr">
        <is>
          <t>Reo.Dev</t>
        </is>
      </c>
      <c r="F1994" t="inlineStr">
        <is>
          <t>$4 Mn</t>
        </is>
      </c>
      <c r="G1994" s="19" t="n"/>
      <c r="H1994" s="19" t="n">
        <v>4</v>
      </c>
      <c r="I1994" t="inlineStr">
        <is>
          <t>Seed</t>
        </is>
      </c>
      <c r="J1994" t="inlineStr">
        <is>
          <t>Heavybit</t>
        </is>
      </c>
      <c r="K1994" t="inlineStr">
        <is>
          <t>https://inc42.com/buzz/from-dhan-to-intangles-indian-startups-raised-285-mn-this-week/</t>
        </is>
      </c>
    </row>
    <row r="1995">
      <c r="A1995" t="inlineStr">
        <is>
          <t>ENT-10544942</t>
        </is>
      </c>
      <c r="B1995" t="inlineStr">
        <is>
          <t>R251009-ruskmedia</t>
        </is>
      </c>
      <c r="C1995" t="inlineStr">
        <is>
          <t>Entrackr</t>
        </is>
      </c>
      <c r="D1995" s="17" t="n">
        <v>45939</v>
      </c>
      <c r="E1995" t="inlineStr">
        <is>
          <t>Rusk Media</t>
        </is>
      </c>
      <c r="F1995" t="inlineStr">
        <is>
          <t>Rs 103 crore</t>
        </is>
      </c>
      <c r="G1995" s="19" t="n">
        <v>103</v>
      </c>
      <c r="H1995" s="19" t="n">
        <v>12</v>
      </c>
      <c r="I1995" t="inlineStr">
        <is>
          <t>Series B</t>
        </is>
      </c>
      <c r="J1995" t="inlineStr">
        <is>
          <t>IvyCap Ventures</t>
        </is>
      </c>
      <c r="K1995" t="inlineStr">
        <is>
          <t>https://entrackr.com/news/rusk-media-raises-rs-103-cr-in-series-b-round-10544942</t>
        </is>
      </c>
    </row>
    <row r="1996">
      <c r="A1996" t="inlineStr">
        <is>
          <t>ET-124414297</t>
        </is>
      </c>
      <c r="B1996" t="inlineStr">
        <is>
          <t>R251009-ruskmedia</t>
        </is>
      </c>
      <c r="C1996" t="inlineStr">
        <is>
          <t>The Economic Times</t>
        </is>
      </c>
      <c r="D1996" s="17" t="n">
        <v>45939</v>
      </c>
      <c r="E1996" t="inlineStr">
        <is>
          <t>Rusk Media</t>
        </is>
      </c>
      <c r="F1996" t="inlineStr">
        <is>
          <t>Rs 103 crore</t>
        </is>
      </c>
      <c r="G1996" s="19" t="n">
        <v>103</v>
      </c>
      <c r="H1996" s="19" t="n"/>
      <c r="I1996" t="inlineStr">
        <is>
          <t>Undisclosed</t>
        </is>
      </c>
      <c r="J1996" t="inlineStr">
        <is>
          <t>IvyCap Ventures</t>
        </is>
      </c>
      <c r="K1996" t="inlineStr">
        <is>
          <t>https://economictimes.indiatimes.com/tech/funding/rusk-media-closes-a-rs-103-crore-funding-round-led-by-ivycap-ventures/articleshow/124414297.cms</t>
        </is>
      </c>
    </row>
    <row r="1997">
      <c r="A1997" t="inlineStr">
        <is>
          <t>INC-20251011-06</t>
        </is>
      </c>
      <c r="B1997" t="inlineStr">
        <is>
          <t>R251009-ruskmedia</t>
        </is>
      </c>
      <c r="C1997" t="inlineStr">
        <is>
          <t>Inc42</t>
        </is>
      </c>
      <c r="D1997" s="17" t="n">
        <v>45939</v>
      </c>
      <c r="E1997" t="inlineStr">
        <is>
          <t>Rusk Media</t>
        </is>
      </c>
      <c r="F1997" t="inlineStr">
        <is>
          <t>$11.6 Mn</t>
        </is>
      </c>
      <c r="G1997" s="19" t="n"/>
      <c r="H1997" s="19" t="n">
        <v>11.6</v>
      </c>
      <c r="I1997" t="inlineStr">
        <is>
          <t>Series B</t>
        </is>
      </c>
      <c r="J1997" t="inlineStr">
        <is>
          <t>IvyCap Ventures</t>
        </is>
      </c>
      <c r="K1997" t="inlineStr">
        <is>
          <t>https://inc42.com/buzz/from-dhan-to-intangles-indian-startups-raised-285-mn-this-week/</t>
        </is>
      </c>
    </row>
    <row r="1998">
      <c r="A1998" t="inlineStr">
        <is>
          <t>VCC-090d9cd9b3</t>
        </is>
      </c>
      <c r="B1998" t="inlineStr">
        <is>
          <t>R251009-ruskmedia</t>
        </is>
      </c>
      <c r="C1998" t="inlineStr">
        <is>
          <t>VCCircle</t>
        </is>
      </c>
      <c r="D1998" s="17" t="n">
        <v>45939</v>
      </c>
      <c r="E1998" t="inlineStr">
        <is>
          <t>rusk media</t>
        </is>
      </c>
      <c r="F1998" t="inlineStr"/>
      <c r="G1998" s="19" t="n"/>
      <c r="H1998" s="19" t="n"/>
      <c r="I1998" t="inlineStr">
        <is>
          <t>Series B</t>
        </is>
      </c>
      <c r="J1998" t="inlineStr"/>
      <c r="K1998" t="inlineStr">
        <is>
          <t>https://www.vccircle.com/ivycapventures-leads-rusk-media-s-series-b-round</t>
        </is>
      </c>
    </row>
    <row r="1999">
      <c r="A1999" t="inlineStr">
        <is>
          <t>ENT-10547455</t>
        </is>
      </c>
      <c r="B1999" t="inlineStr">
        <is>
          <t>R251010-fslife</t>
        </is>
      </c>
      <c r="C1999" t="inlineStr">
        <is>
          <t>Entrackr</t>
        </is>
      </c>
      <c r="D1999" s="17" t="n">
        <v>45940</v>
      </c>
      <c r="E1999" t="inlineStr">
        <is>
          <t>FS Life</t>
        </is>
      </c>
      <c r="F1999" t="inlineStr">
        <is>
          <t>Rs 50 crore</t>
        </is>
      </c>
      <c r="G1999" s="19" t="n">
        <v>50</v>
      </c>
      <c r="H1999" s="19" t="n">
        <v>5.6</v>
      </c>
      <c r="I1999" t="inlineStr">
        <is>
          <t>Series B</t>
        </is>
      </c>
      <c r="J1999" t="inlineStr">
        <is>
          <t>Colossa Ventures; Rahul Garg</t>
        </is>
      </c>
      <c r="K1999" t="inlineStr">
        <is>
          <t>https://entrackr.com/exclusive/exclusive-fablestreet-parent-fs-life-to-raise-4-mn-in-series-b-10547455</t>
        </is>
      </c>
    </row>
    <row r="2000">
      <c r="A2000" t="inlineStr">
        <is>
          <t>INC-20251011-09</t>
        </is>
      </c>
      <c r="B2000" t="inlineStr">
        <is>
          <t>R251010-fslife</t>
        </is>
      </c>
      <c r="C2000" t="inlineStr">
        <is>
          <t>Inc42</t>
        </is>
      </c>
      <c r="D2000" s="17" t="n">
        <v>45940</v>
      </c>
      <c r="E2000" t="inlineStr">
        <is>
          <t>FS Life</t>
        </is>
      </c>
      <c r="F2000" t="inlineStr">
        <is>
          <t>$5.6 Mn</t>
        </is>
      </c>
      <c r="G2000" s="19" t="n"/>
      <c r="H2000" s="19" t="n">
        <v>5.6</v>
      </c>
      <c r="I2000" t="inlineStr">
        <is>
          <t>Undisclosed</t>
        </is>
      </c>
      <c r="J2000" t="inlineStr">
        <is>
          <t>Colossa Ventures</t>
        </is>
      </c>
      <c r="K2000" t="inlineStr">
        <is>
          <t>https://inc42.com/buzz/from-dhan-to-intangles-indian-startups-raised-285-mn-this-week/</t>
        </is>
      </c>
    </row>
    <row r="2001">
      <c r="A2001" t="inlineStr">
        <is>
          <t>INC-20251011-04</t>
        </is>
      </c>
      <c r="B2001" t="inlineStr">
        <is>
          <t>R251010-hunger</t>
        </is>
      </c>
      <c r="C2001" t="inlineStr">
        <is>
          <t>Inc42</t>
        </is>
      </c>
      <c r="D2001" s="17" t="n">
        <v>45940</v>
      </c>
      <c r="E2001" t="inlineStr">
        <is>
          <t>Hunger Inc</t>
        </is>
      </c>
      <c r="F2001" t="inlineStr">
        <is>
          <t>$25 Mn</t>
        </is>
      </c>
      <c r="G2001" s="19" t="n"/>
      <c r="H2001" s="19" t="n">
        <v>25</v>
      </c>
      <c r="I2001" t="inlineStr">
        <is>
          <t>Undisclosed</t>
        </is>
      </c>
      <c r="J2001" t="inlineStr"/>
      <c r="K2001" t="inlineStr">
        <is>
          <t>https://inc42.com/buzz/from-dhan-to-intangles-indian-startups-raised-285-mn-this-week/</t>
        </is>
      </c>
    </row>
    <row r="2002">
      <c r="A2002" t="inlineStr">
        <is>
          <t>INC-20251018-30</t>
        </is>
      </c>
      <c r="B2002" t="inlineStr">
        <is>
          <t>R251013-aiensured</t>
        </is>
      </c>
      <c r="C2002" t="inlineStr">
        <is>
          <t>Inc42</t>
        </is>
      </c>
      <c r="D2002" s="17" t="n">
        <v>45943</v>
      </c>
      <c r="E2002" t="inlineStr">
        <is>
          <t>AIensured</t>
        </is>
      </c>
      <c r="F2002" t="inlineStr"/>
      <c r="G2002" s="19" t="n"/>
      <c r="H2002" s="19" t="n"/>
      <c r="I2002" t="inlineStr">
        <is>
          <t>Undisclosed</t>
        </is>
      </c>
      <c r="J2002" t="inlineStr">
        <is>
          <t>Software Technology Parks of India; Pontaq</t>
        </is>
      </c>
      <c r="K2002" t="inlineStr">
        <is>
          <t>https://inc42.com/buzz/from-zepto-to-kuku-fm-indian-startups-raised-737-mn-this-week/</t>
        </is>
      </c>
    </row>
    <row r="2003">
      <c r="A2003" t="inlineStr">
        <is>
          <t>ENT-10556040</t>
        </is>
      </c>
      <c r="B2003" t="inlineStr">
        <is>
          <t>R251013-charatechnolog</t>
        </is>
      </c>
      <c r="C2003" t="inlineStr">
        <is>
          <t>Entrackr</t>
        </is>
      </c>
      <c r="D2003" s="17" t="n">
        <v>45943</v>
      </c>
      <c r="E2003" t="inlineStr">
        <is>
          <t>Chara Technologies</t>
        </is>
      </c>
      <c r="F2003" t="inlineStr">
        <is>
          <t>Rs 52 crore</t>
        </is>
      </c>
      <c r="G2003" s="19" t="n">
        <v>52</v>
      </c>
      <c r="H2003" s="19" t="n">
        <v>6</v>
      </c>
      <c r="I2003" t="inlineStr">
        <is>
          <t>Series A</t>
        </is>
      </c>
      <c r="J2003" t="inlineStr">
        <is>
          <t>Arkam Ventures; Kalaari Capital; IIMA Ventures</t>
        </is>
      </c>
      <c r="K2003" t="inlineStr">
        <is>
          <t>https://entrackr.com/snippets/chara-technologies-raises-6-mn-in-series-a-led-by-arkam-ventures-10556040</t>
        </is>
      </c>
    </row>
    <row r="2004">
      <c r="A2004" t="inlineStr">
        <is>
          <t>ET-124521986</t>
        </is>
      </c>
      <c r="B2004" t="inlineStr">
        <is>
          <t>R251013-charatechnolog</t>
        </is>
      </c>
      <c r="C2004" t="inlineStr">
        <is>
          <t>The Economic Times</t>
        </is>
      </c>
      <c r="D2004" s="17" t="n">
        <v>45943</v>
      </c>
      <c r="E2004" t="inlineStr">
        <is>
          <t>Chara Technologies</t>
        </is>
      </c>
      <c r="F2004" t="inlineStr">
        <is>
          <t>$6.2 million</t>
        </is>
      </c>
      <c r="G2004" s="19" t="n"/>
      <c r="H2004" s="19" t="n">
        <v>6.2</v>
      </c>
      <c r="I2004" t="inlineStr">
        <is>
          <t>Undisclosed</t>
        </is>
      </c>
      <c r="J2004" t="inlineStr">
        <is>
          <t>Arkam Ventures</t>
        </is>
      </c>
      <c r="K2004" t="inlineStr">
        <is>
          <t>https://economictimes.indiatimes.com/tech/funding/deeptech-startup-chara-technologies-raises-6-2-million-in-round-led-by-arkam-ventures/articleshow/124521986.cms</t>
        </is>
      </c>
    </row>
    <row r="2005">
      <c r="A2005" t="inlineStr">
        <is>
          <t>INC-20251018-11</t>
        </is>
      </c>
      <c r="B2005" t="inlineStr">
        <is>
          <t>R251013-charatechnolog</t>
        </is>
      </c>
      <c r="C2005" t="inlineStr">
        <is>
          <t>Inc42</t>
        </is>
      </c>
      <c r="D2005" s="17" t="n">
        <v>45943</v>
      </c>
      <c r="E2005" t="inlineStr">
        <is>
          <t>Chara Technologies</t>
        </is>
      </c>
      <c r="F2005" t="inlineStr">
        <is>
          <t>$5.8 Mn</t>
        </is>
      </c>
      <c r="G2005" s="19" t="n"/>
      <c r="H2005" s="19" t="n">
        <v>5.8</v>
      </c>
      <c r="I2005" t="inlineStr">
        <is>
          <t>Series A</t>
        </is>
      </c>
      <c r="J2005" t="inlineStr">
        <is>
          <t>Arkam Ventures</t>
        </is>
      </c>
      <c r="K2005" t="inlineStr">
        <is>
          <t>https://inc42.com/buzz/from-zepto-to-kuku-fm-indian-startups-raised-737-mn-this-week/</t>
        </is>
      </c>
    </row>
    <row r="2006">
      <c r="A2006" t="inlineStr">
        <is>
          <t>ENT-10555803</t>
        </is>
      </c>
      <c r="B2006" t="inlineStr">
        <is>
          <t>R251013-dezerv</t>
        </is>
      </c>
      <c r="C2006" t="inlineStr">
        <is>
          <t>Entrackr</t>
        </is>
      </c>
      <c r="D2006" s="17" t="n">
        <v>45943</v>
      </c>
      <c r="E2006" t="inlineStr">
        <is>
          <t>Dezerv</t>
        </is>
      </c>
      <c r="F2006" t="inlineStr">
        <is>
          <t>Rs 350 crore</t>
        </is>
      </c>
      <c r="G2006" s="19" t="n">
        <v>350</v>
      </c>
      <c r="H2006" s="19" t="n">
        <v>40</v>
      </c>
      <c r="I2006" t="inlineStr">
        <is>
          <t>Series C</t>
        </is>
      </c>
      <c r="J2006" t="inlineStr">
        <is>
          <t>Premji Invest; Global Growth Fund</t>
        </is>
      </c>
      <c r="K2006" t="inlineStr">
        <is>
          <t>https://entrackr.com/news/wealthtech-firm-dezerv-raises-40-mn-led-by-premji-invest-and-accel-10555803</t>
        </is>
      </c>
    </row>
    <row r="2007">
      <c r="A2007" t="inlineStr">
        <is>
          <t>ET-124521195</t>
        </is>
      </c>
      <c r="B2007" t="inlineStr">
        <is>
          <t>R251013-dezerv</t>
        </is>
      </c>
      <c r="C2007" t="inlineStr">
        <is>
          <t>The Economic Times</t>
        </is>
      </c>
      <c r="D2007" s="17" t="n">
        <v>45943</v>
      </c>
      <c r="E2007" t="inlineStr">
        <is>
          <t>Dezerv</t>
        </is>
      </c>
      <c r="F2007" t="inlineStr">
        <is>
          <t>Rs 350 crore</t>
        </is>
      </c>
      <c r="G2007" s="19" t="n">
        <v>350</v>
      </c>
      <c r="H2007" s="19" t="n"/>
      <c r="I2007" t="inlineStr">
        <is>
          <t>Undisclosed</t>
        </is>
      </c>
      <c r="J2007" t="inlineStr">
        <is>
          <t>Premji Invest; Global Growth Fund</t>
        </is>
      </c>
      <c r="K2007" t="inlineStr">
        <is>
          <t>https://economictimes.indiatimes.com/tech/funding/wealth-management-startup-dezerv-raises-rs-350-crore-from-premji-invest-accel-others/articleshow/124521195.cms</t>
        </is>
      </c>
    </row>
    <row r="2008">
      <c r="A2008" t="inlineStr">
        <is>
          <t>INC-20251018-04</t>
        </is>
      </c>
      <c r="B2008" t="inlineStr">
        <is>
          <t>R251013-dezerv</t>
        </is>
      </c>
      <c r="C2008" t="inlineStr">
        <is>
          <t>Inc42</t>
        </is>
      </c>
      <c r="D2008" s="17" t="n">
        <v>45943</v>
      </c>
      <c r="E2008" t="inlineStr">
        <is>
          <t>Dezerv</t>
        </is>
      </c>
      <c r="F2008" t="inlineStr">
        <is>
          <t>$39.4 Mn</t>
        </is>
      </c>
      <c r="G2008" s="19" t="n"/>
      <c r="H2008" s="19" t="n">
        <v>39.4</v>
      </c>
      <c r="I2008" t="inlineStr">
        <is>
          <t>Series C</t>
        </is>
      </c>
      <c r="J2008" t="inlineStr">
        <is>
          <t>Premji Invest; Accel</t>
        </is>
      </c>
      <c r="K2008" t="inlineStr">
        <is>
          <t>https://inc42.com/buzz/from-zepto-to-kuku-fm-indian-startups-raised-737-mn-this-week/</t>
        </is>
      </c>
    </row>
    <row r="2009">
      <c r="A2009" t="inlineStr">
        <is>
          <t>ENT-10556674</t>
        </is>
      </c>
      <c r="B2009" t="inlineStr">
        <is>
          <t>R251013-goodscore</t>
        </is>
      </c>
      <c r="C2009" t="inlineStr">
        <is>
          <t>Entrackr</t>
        </is>
      </c>
      <c r="D2009" s="17" t="n">
        <v>45943</v>
      </c>
      <c r="E2009" t="inlineStr">
        <is>
          <t>GoodScore</t>
        </is>
      </c>
      <c r="F2009" t="inlineStr">
        <is>
          <t>$13 million</t>
        </is>
      </c>
      <c r="G2009" s="19" t="n"/>
      <c r="H2009" s="19" t="n">
        <v>13</v>
      </c>
      <c r="I2009" t="inlineStr">
        <is>
          <t>Series A</t>
        </is>
      </c>
      <c r="J2009" t="inlineStr">
        <is>
          <t>Peak XV Partners</t>
        </is>
      </c>
      <c r="K2009" t="inlineStr">
        <is>
          <t>https://entrackr.com/news/goodscore-raises-13-mn-in-series-a-round-led-by-peak-xv-10556674</t>
        </is>
      </c>
    </row>
    <row r="2010">
      <c r="A2010" t="inlineStr">
        <is>
          <t>ET-124521798</t>
        </is>
      </c>
      <c r="B2010" t="inlineStr">
        <is>
          <t>R251013-goodscore</t>
        </is>
      </c>
      <c r="C2010" t="inlineStr">
        <is>
          <t>The Economic Times</t>
        </is>
      </c>
      <c r="D2010" s="17" t="n">
        <v>45943</v>
      </c>
      <c r="E2010" t="inlineStr">
        <is>
          <t>GoodScore</t>
        </is>
      </c>
      <c r="F2010" t="inlineStr">
        <is>
          <t>$13 million</t>
        </is>
      </c>
      <c r="G2010" s="19" t="n"/>
      <c r="H2010" s="19" t="n">
        <v>13</v>
      </c>
      <c r="I2010" t="inlineStr">
        <is>
          <t>Undisclosed</t>
        </is>
      </c>
      <c r="J2010" t="inlineStr">
        <is>
          <t>Peak XV Partners</t>
        </is>
      </c>
      <c r="K2010" t="inlineStr">
        <is>
          <t>https://economictimes.indiatimes.com/tech/funding/fintech-startup-goodscore-raises-13-million-in-funding-round-led-by-peak-xv-partners/articleshow/124521798.cms</t>
        </is>
      </c>
    </row>
    <row r="2011">
      <c r="A2011" t="inlineStr">
        <is>
          <t>INC-20251018-07</t>
        </is>
      </c>
      <c r="B2011" t="inlineStr">
        <is>
          <t>R251013-goodscore</t>
        </is>
      </c>
      <c r="C2011" t="inlineStr">
        <is>
          <t>Inc42</t>
        </is>
      </c>
      <c r="D2011" s="17" t="n">
        <v>45943</v>
      </c>
      <c r="E2011" t="inlineStr">
        <is>
          <t>GoodScore</t>
        </is>
      </c>
      <c r="F2011" t="inlineStr">
        <is>
          <t>$13 Mn</t>
        </is>
      </c>
      <c r="G2011" s="19" t="n"/>
      <c r="H2011" s="19" t="n">
        <v>13</v>
      </c>
      <c r="I2011" t="inlineStr">
        <is>
          <t>Series A</t>
        </is>
      </c>
      <c r="J2011" t="inlineStr">
        <is>
          <t>Peak XV Partners</t>
        </is>
      </c>
      <c r="K2011" t="inlineStr">
        <is>
          <t>https://inc42.com/buzz/from-zepto-to-kuku-fm-indian-startups-raised-737-mn-this-week/</t>
        </is>
      </c>
    </row>
    <row r="2012">
      <c r="A2012" t="inlineStr">
        <is>
          <t>INC-20251018-28</t>
        </is>
      </c>
      <c r="B2012" t="inlineStr">
        <is>
          <t>R251013-reiadiamonds</t>
        </is>
      </c>
      <c r="C2012" t="inlineStr">
        <is>
          <t>Inc42</t>
        </is>
      </c>
      <c r="D2012" s="17" t="n">
        <v>45943</v>
      </c>
      <c r="E2012" t="inlineStr">
        <is>
          <t>Réia Diamonds</t>
        </is>
      </c>
      <c r="F2012" t="inlineStr">
        <is>
          <t>$227K</t>
        </is>
      </c>
      <c r="G2012" s="19" t="n"/>
      <c r="H2012" s="19" t="n">
        <v>0.227</v>
      </c>
      <c r="I2012" t="inlineStr">
        <is>
          <t>Pre-Seed</t>
        </is>
      </c>
      <c r="J2012" t="inlineStr">
        <is>
          <t>Dinesh Talera</t>
        </is>
      </c>
      <c r="K2012" t="inlineStr">
        <is>
          <t>https://inc42.com/buzz/from-zepto-to-kuku-fm-indian-startups-raised-737-mn-this-week/</t>
        </is>
      </c>
    </row>
    <row r="2013">
      <c r="A2013" t="inlineStr">
        <is>
          <t>ENT-10559834</t>
        </is>
      </c>
      <c r="B2013" t="inlineStr">
        <is>
          <t>R251013-reiadiamonds</t>
        </is>
      </c>
      <c r="C2013" t="inlineStr">
        <is>
          <t>Entrackr</t>
        </is>
      </c>
      <c r="D2013" s="17" t="n">
        <v>45944</v>
      </c>
      <c r="E2013" t="inlineStr">
        <is>
          <t>Reia Diamonds</t>
        </is>
      </c>
      <c r="F2013" t="inlineStr">
        <is>
          <t>Rs 2 crore</t>
        </is>
      </c>
      <c r="G2013" s="19" t="n">
        <v>2</v>
      </c>
      <c r="H2013" s="19" t="n"/>
      <c r="I2013" t="inlineStr">
        <is>
          <t>Pre-Seed</t>
        </is>
      </c>
      <c r="J2013" t="inlineStr">
        <is>
          <t>Dinesh Talera</t>
        </is>
      </c>
      <c r="K2013" t="inlineStr">
        <is>
          <t>https://entrackr.com/snippets/lab-grown-diamond-jewellery-brand-reia-diamonds-raises-pre-seed-round-10559834</t>
        </is>
      </c>
    </row>
    <row r="2014">
      <c r="A2014" t="inlineStr">
        <is>
          <t>INC-20251018-10</t>
        </is>
      </c>
      <c r="B2014" t="inlineStr">
        <is>
          <t>R251013-smallestai</t>
        </is>
      </c>
      <c r="C2014" t="inlineStr">
        <is>
          <t>Inc42</t>
        </is>
      </c>
      <c r="D2014" s="17" t="n">
        <v>45943</v>
      </c>
      <c r="E2014" t="inlineStr">
        <is>
          <t>smallest.ai</t>
        </is>
      </c>
      <c r="F2014" t="inlineStr">
        <is>
          <t>$8 Mn</t>
        </is>
      </c>
      <c r="G2014" s="19" t="n"/>
      <c r="H2014" s="19" t="n">
        <v>8</v>
      </c>
      <c r="I2014" t="inlineStr">
        <is>
          <t>Seed</t>
        </is>
      </c>
      <c r="J2014" t="inlineStr">
        <is>
          <t>Sierra Ventures</t>
        </is>
      </c>
      <c r="K2014" t="inlineStr">
        <is>
          <t>https://inc42.com/buzz/from-zepto-to-kuku-fm-indian-startups-raised-737-mn-this-week/</t>
        </is>
      </c>
    </row>
    <row r="2015">
      <c r="A2015" t="inlineStr">
        <is>
          <t>ENT-10600511</t>
        </is>
      </c>
      <c r="B2015" t="inlineStr">
        <is>
          <t>R251013-smallestai</t>
        </is>
      </c>
      <c r="C2015" t="inlineStr">
        <is>
          <t>Entrackr</t>
        </is>
      </c>
      <c r="D2015" s="17" t="n">
        <v>45958</v>
      </c>
      <c r="E2015" t="inlineStr">
        <is>
          <t>Smallest.ai</t>
        </is>
      </c>
      <c r="F2015" t="inlineStr">
        <is>
          <t>$8 million</t>
        </is>
      </c>
      <c r="G2015" s="19" t="n"/>
      <c r="H2015" s="19" t="n">
        <v>8</v>
      </c>
      <c r="I2015" t="inlineStr">
        <is>
          <t>Seed</t>
        </is>
      </c>
      <c r="J2015" t="inlineStr">
        <is>
          <t>Sierra Ventures</t>
        </is>
      </c>
      <c r="K2015" t="inlineStr">
        <is>
          <t>https://entrackr.com/snippets/smallestai-raises-8-mn-in-seed-funding-led-by-sierra-ventures-10600511</t>
        </is>
      </c>
    </row>
    <row r="2016">
      <c r="A2016" t="inlineStr">
        <is>
          <t>INC-20251018-08</t>
        </is>
      </c>
      <c r="B2016" t="inlineStr">
        <is>
          <t>R251013-twobrothersorg</t>
        </is>
      </c>
      <c r="C2016" t="inlineStr">
        <is>
          <t>Inc42</t>
        </is>
      </c>
      <c r="D2016" s="17" t="n">
        <v>45943</v>
      </c>
      <c r="E2016" t="inlineStr">
        <is>
          <t>Two Brothers Organic Farms</t>
        </is>
      </c>
      <c r="F2016" t="inlineStr">
        <is>
          <t>$12.4 Mn</t>
        </is>
      </c>
      <c r="G2016" s="19" t="n"/>
      <c r="H2016" s="19" t="n">
        <v>12.4</v>
      </c>
      <c r="I2016" t="inlineStr">
        <is>
          <t>Series B</t>
        </is>
      </c>
      <c r="J2016" t="inlineStr">
        <is>
          <t>360 ONE Asset</t>
        </is>
      </c>
      <c r="K2016" t="inlineStr">
        <is>
          <t>https://inc42.com/buzz/from-zepto-to-kuku-fm-indian-startups-raised-737-mn-this-week/</t>
        </is>
      </c>
    </row>
    <row r="2017">
      <c r="A2017" t="inlineStr">
        <is>
          <t>ENT-10559580</t>
        </is>
      </c>
      <c r="B2017" t="inlineStr">
        <is>
          <t>R251013-twobrothersorg</t>
        </is>
      </c>
      <c r="C2017" t="inlineStr">
        <is>
          <t>Entrackr</t>
        </is>
      </c>
      <c r="D2017" s="17" t="n">
        <v>45944</v>
      </c>
      <c r="E2017" t="inlineStr">
        <is>
          <t>Two Brothers Organic Farms</t>
        </is>
      </c>
      <c r="F2017" t="inlineStr">
        <is>
          <t>Rs 110 crore</t>
        </is>
      </c>
      <c r="G2017" s="19" t="n">
        <v>110</v>
      </c>
      <c r="H2017" s="19" t="n">
        <v>12.5</v>
      </c>
      <c r="I2017" t="inlineStr">
        <is>
          <t>Series B</t>
        </is>
      </c>
      <c r="J2017" t="inlineStr"/>
      <c r="K2017" t="inlineStr">
        <is>
          <t>https://entrackr.com/news/two-brothers-organic-farms-raises-rs-110-cr-in-series-b-round-10559580</t>
        </is>
      </c>
    </row>
    <row r="2018">
      <c r="A2018" t="inlineStr">
        <is>
          <t>ET-124531739</t>
        </is>
      </c>
      <c r="B2018" t="inlineStr">
        <is>
          <t>R251013-twobrothersorg</t>
        </is>
      </c>
      <c r="C2018" t="inlineStr">
        <is>
          <t>The Economic Times</t>
        </is>
      </c>
      <c r="D2018" s="17" t="n">
        <v>45944</v>
      </c>
      <c r="E2018" t="inlineStr">
        <is>
          <t>Two Brothers Organic Farms</t>
        </is>
      </c>
      <c r="F2018" t="inlineStr">
        <is>
          <t>Rs 110 crore</t>
        </is>
      </c>
      <c r="G2018" s="19" t="n">
        <v>110</v>
      </c>
      <c r="H2018" s="19" t="n"/>
      <c r="I2018" t="inlineStr">
        <is>
          <t>Undisclosed</t>
        </is>
      </c>
      <c r="J2018" t="inlineStr"/>
      <c r="K2018" t="inlineStr">
        <is>
          <t>https://economictimes.indiatimes.com/tech/funding/d2c-brand-two-brothers-farms-raises-rs-110-crore-from-rainmatter-others/articleshow/124531739.cms</t>
        </is>
      </c>
    </row>
    <row r="2019">
      <c r="A2019" t="inlineStr">
        <is>
          <t>VCC-524390502e</t>
        </is>
      </c>
      <c r="B2019" t="inlineStr">
        <is>
          <t>R251013-twobrothersorg</t>
        </is>
      </c>
      <c r="C2019" t="inlineStr">
        <is>
          <t>VCCircle</t>
        </is>
      </c>
      <c r="D2019" s="17" t="n">
        <v>45944</v>
      </c>
      <c r="E2019" t="inlineStr">
        <is>
          <t>two brothers organic farms</t>
        </is>
      </c>
      <c r="F2019" t="inlineStr"/>
      <c r="G2019" s="19" t="n"/>
      <c r="H2019" s="19" t="n"/>
      <c r="I2019" t="inlineStr">
        <is>
          <t>Series B</t>
        </is>
      </c>
      <c r="J2019" t="inlineStr"/>
      <c r="K2019" t="inlineStr">
        <is>
          <t>https://www.vccircle.com/360one-leads-series-b-funding-in-two-brothers-organic-farms</t>
        </is>
      </c>
    </row>
    <row r="2020">
      <c r="A2020" t="inlineStr">
        <is>
          <t>INC-20251018-18</t>
        </is>
      </c>
      <c r="B2020" t="inlineStr">
        <is>
          <t>R251013-without</t>
        </is>
      </c>
      <c r="C2020" t="inlineStr">
        <is>
          <t>Inc42</t>
        </is>
      </c>
      <c r="D2020" s="17" t="n">
        <v>45943</v>
      </c>
      <c r="E2020" t="inlineStr">
        <is>
          <t>Without</t>
        </is>
      </c>
      <c r="F2020" t="inlineStr">
        <is>
          <t>$1.9 Mn</t>
        </is>
      </c>
      <c r="G2020" s="19" t="n"/>
      <c r="H2020" s="19" t="n">
        <v>1.9</v>
      </c>
      <c r="I2020" t="inlineStr">
        <is>
          <t>Seed</t>
        </is>
      </c>
      <c r="J2020" t="inlineStr">
        <is>
          <t>Rewilding Wealth</t>
        </is>
      </c>
      <c r="K2020" t="inlineStr">
        <is>
          <t>https://inc42.com/buzz/from-zepto-to-kuku-fm-indian-startups-raised-737-mn-this-week/</t>
        </is>
      </c>
    </row>
    <row r="2021">
      <c r="A2021" t="inlineStr">
        <is>
          <t>ENT-10561322</t>
        </is>
      </c>
      <c r="B2021" t="inlineStr">
        <is>
          <t>R251014-airbound</t>
        </is>
      </c>
      <c r="C2021" t="inlineStr">
        <is>
          <t>Entrackr</t>
        </is>
      </c>
      <c r="D2021" s="17" t="n">
        <v>45944</v>
      </c>
      <c r="E2021" t="inlineStr">
        <is>
          <t>Airbound</t>
        </is>
      </c>
      <c r="F2021" t="inlineStr">
        <is>
          <t>$8.65 million</t>
        </is>
      </c>
      <c r="G2021" s="19" t="n"/>
      <c r="H2021" s="19" t="n">
        <v>8.65</v>
      </c>
      <c r="I2021" t="inlineStr">
        <is>
          <t>Seed</t>
        </is>
      </c>
      <c r="J2021" t="inlineStr">
        <is>
          <t>Lachy Groom</t>
        </is>
      </c>
      <c r="K2021" t="inlineStr">
        <is>
          <t>https://entrackr.com/snippets/airbound-raises-865-mn-in-seed-funding-round-10561322</t>
        </is>
      </c>
    </row>
    <row r="2022">
      <c r="A2022" t="inlineStr">
        <is>
          <t>ET-124556313</t>
        </is>
      </c>
      <c r="B2022" t="inlineStr">
        <is>
          <t>R251014-airbound</t>
        </is>
      </c>
      <c r="C2022" t="inlineStr">
        <is>
          <t>The Economic Times</t>
        </is>
      </c>
      <c r="D2022" s="17" t="n">
        <v>45944</v>
      </c>
      <c r="E2022" t="inlineStr">
        <is>
          <t>Airbound</t>
        </is>
      </c>
      <c r="F2022" t="inlineStr">
        <is>
          <t>$8.65 million</t>
        </is>
      </c>
      <c r="G2022" s="19" t="n"/>
      <c r="H2022" s="19" t="n">
        <v>8.65</v>
      </c>
      <c r="I2022" t="inlineStr">
        <is>
          <t>Seed</t>
        </is>
      </c>
      <c r="J2022" t="inlineStr">
        <is>
          <t>Lachy Groom</t>
        </is>
      </c>
      <c r="K2022" t="inlineStr">
        <is>
          <t>https://economictimes.indiatimes.com/tech/funding/drone-startup-airbound-raises-8-65-million-in-seed-funding-aims-to-cut-delivery-cost-to-one-rupee/articleshow/124556313.cms</t>
        </is>
      </c>
    </row>
    <row r="2023">
      <c r="A2023" t="inlineStr">
        <is>
          <t>INC-20251018-09</t>
        </is>
      </c>
      <c r="B2023" t="inlineStr">
        <is>
          <t>R251014-airbound</t>
        </is>
      </c>
      <c r="C2023" t="inlineStr">
        <is>
          <t>Inc42</t>
        </is>
      </c>
      <c r="D2023" s="17" t="n">
        <v>45944</v>
      </c>
      <c r="E2023" t="inlineStr">
        <is>
          <t>Airbound</t>
        </is>
      </c>
      <c r="F2023" t="inlineStr">
        <is>
          <t>$8.7 Mn</t>
        </is>
      </c>
      <c r="G2023" s="19" t="n"/>
      <c r="H2023" s="19" t="n">
        <v>8.699999999999999</v>
      </c>
      <c r="I2023" t="inlineStr">
        <is>
          <t>Seed</t>
        </is>
      </c>
      <c r="J2023" t="inlineStr">
        <is>
          <t>Lachy Groom</t>
        </is>
      </c>
      <c r="K2023" t="inlineStr">
        <is>
          <t>https://inc42.com/buzz/from-zepto-to-kuku-fm-indian-startups-raised-737-mn-this-week/</t>
        </is>
      </c>
    </row>
    <row r="2024">
      <c r="A2024" t="inlineStr">
        <is>
          <t>ENT-10560589</t>
        </is>
      </c>
      <c r="B2024" t="inlineStr">
        <is>
          <t>R251014-airoclip</t>
        </is>
      </c>
      <c r="C2024" t="inlineStr">
        <is>
          <t>Entrackr</t>
        </is>
      </c>
      <c r="D2024" s="17" t="n">
        <v>45944</v>
      </c>
      <c r="E2024" t="inlineStr">
        <is>
          <t>Airoclip</t>
        </is>
      </c>
      <c r="F2024" t="inlineStr">
        <is>
          <t>$2.75 million</t>
        </is>
      </c>
      <c r="G2024" s="19" t="n"/>
      <c r="H2024" s="19" t="n">
        <v>2.75</v>
      </c>
      <c r="I2024" t="inlineStr">
        <is>
          <t>Seed</t>
        </is>
      </c>
      <c r="J2024" t="inlineStr">
        <is>
          <t>T-Accelerate Capital</t>
        </is>
      </c>
      <c r="K2024" t="inlineStr">
        <is>
          <t>https://entrackr.com/snippets/airoclip-raises-275-mn-in-seed-round-led-by-t-accelerate-capital-10560589</t>
        </is>
      </c>
    </row>
    <row r="2025">
      <c r="A2025" t="inlineStr">
        <is>
          <t>INC-20251018-14</t>
        </is>
      </c>
      <c r="B2025" t="inlineStr">
        <is>
          <t>R251014-airoclip</t>
        </is>
      </c>
      <c r="C2025" t="inlineStr">
        <is>
          <t>Inc42</t>
        </is>
      </c>
      <c r="D2025" s="17" t="n">
        <v>45944</v>
      </c>
      <c r="E2025" t="inlineStr">
        <is>
          <t>Airoclip</t>
        </is>
      </c>
      <c r="F2025" t="inlineStr">
        <is>
          <t>$2.8 Mn</t>
        </is>
      </c>
      <c r="G2025" s="19" t="n"/>
      <c r="H2025" s="19" t="n">
        <v>2.8</v>
      </c>
      <c r="I2025" t="inlineStr">
        <is>
          <t>Seed</t>
        </is>
      </c>
      <c r="J2025" t="inlineStr">
        <is>
          <t>T-Accelerate Capital; Centre Court Capital; BITKRAFT Ventures</t>
        </is>
      </c>
      <c r="K2025" t="inlineStr">
        <is>
          <t>https://inc42.com/buzz/from-zepto-to-kuku-fm-indian-startups-raised-737-mn-this-week/</t>
        </is>
      </c>
    </row>
    <row r="2026">
      <c r="A2026" t="inlineStr">
        <is>
          <t>ENT-10560015</t>
        </is>
      </c>
      <c r="B2026" t="inlineStr">
        <is>
          <t>R251014-currently</t>
        </is>
      </c>
      <c r="C2026" t="inlineStr">
        <is>
          <t>Entrackr</t>
        </is>
      </c>
      <c r="D2026" s="17" t="n">
        <v>45944</v>
      </c>
      <c r="E2026" t="inlineStr">
        <is>
          <t>Currently</t>
        </is>
      </c>
      <c r="F2026" t="inlineStr">
        <is>
          <t>$1 million</t>
        </is>
      </c>
      <c r="G2026" s="19" t="n"/>
      <c r="H2026" s="19" t="n">
        <v>1</v>
      </c>
      <c r="I2026" t="inlineStr">
        <is>
          <t>Undisclosed</t>
        </is>
      </c>
      <c r="J2026" t="inlineStr">
        <is>
          <t>Aarvi Family Office LLP; Dhruv Patel; Pratik Patel; Neerav Dad; Arpit Patel; Priyank Parmar</t>
        </is>
      </c>
      <c r="K2026" t="inlineStr">
        <is>
          <t>https://entrackr.com/snippets/social-network-app-currently-raises-1-mn-led-by-aarvi-family-office-10560015</t>
        </is>
      </c>
    </row>
    <row r="2027">
      <c r="A2027" t="inlineStr">
        <is>
          <t>INC-20251018-21</t>
        </is>
      </c>
      <c r="B2027" t="inlineStr">
        <is>
          <t>R251014-currently</t>
        </is>
      </c>
      <c r="C2027" t="inlineStr">
        <is>
          <t>Inc42</t>
        </is>
      </c>
      <c r="D2027" s="17" t="n">
        <v>45945</v>
      </c>
      <c r="E2027" t="inlineStr">
        <is>
          <t>Currently</t>
        </is>
      </c>
      <c r="F2027" t="inlineStr">
        <is>
          <t>$1 Mn</t>
        </is>
      </c>
      <c r="G2027" s="19" t="n"/>
      <c r="H2027" s="19" t="n">
        <v>1</v>
      </c>
      <c r="I2027" t="inlineStr">
        <is>
          <t>Undisclosed</t>
        </is>
      </c>
      <c r="J2027" t="inlineStr">
        <is>
          <t>Aarvi Family Office LLP</t>
        </is>
      </c>
      <c r="K2027" t="inlineStr">
        <is>
          <t>https://inc42.com/buzz/from-zepto-to-kuku-fm-indian-startups-raised-737-mn-this-week/</t>
        </is>
      </c>
    </row>
    <row r="2028">
      <c r="A2028" t="inlineStr">
        <is>
          <t>INC-20251018-27</t>
        </is>
      </c>
      <c r="B2028" t="inlineStr">
        <is>
          <t>R251014-feryrides</t>
        </is>
      </c>
      <c r="C2028" t="inlineStr">
        <is>
          <t>Inc42</t>
        </is>
      </c>
      <c r="D2028" s="17" t="n">
        <v>45944</v>
      </c>
      <c r="E2028" t="inlineStr">
        <is>
          <t>Fery Rides</t>
        </is>
      </c>
      <c r="F2028" t="inlineStr">
        <is>
          <t>$236K</t>
        </is>
      </c>
      <c r="G2028" s="19" t="n"/>
      <c r="H2028" s="19" t="n">
        <v>0.236</v>
      </c>
      <c r="I2028" t="inlineStr">
        <is>
          <t>Seed</t>
        </is>
      </c>
      <c r="J2028" t="inlineStr">
        <is>
          <t>IAN Group</t>
        </is>
      </c>
      <c r="K2028" t="inlineStr">
        <is>
          <t>https://inc42.com/buzz/from-zepto-to-kuku-fm-indian-startups-raised-737-mn-this-week/</t>
        </is>
      </c>
    </row>
    <row r="2029">
      <c r="A2029" t="inlineStr">
        <is>
          <t>ENT-10560758</t>
        </is>
      </c>
      <c r="B2029" t="inlineStr">
        <is>
          <t>R251014-houseeazy</t>
        </is>
      </c>
      <c r="C2029" t="inlineStr">
        <is>
          <t>Entrackr</t>
        </is>
      </c>
      <c r="D2029" s="17" t="n">
        <v>45944</v>
      </c>
      <c r="E2029" t="inlineStr">
        <is>
          <t>HouseEazy</t>
        </is>
      </c>
      <c r="F2029" t="inlineStr">
        <is>
          <t>Rs 150 crore</t>
        </is>
      </c>
      <c r="G2029" s="19" t="n">
        <v>150</v>
      </c>
      <c r="H2029" s="19" t="n">
        <v>18</v>
      </c>
      <c r="I2029" t="inlineStr">
        <is>
          <t>Series B</t>
        </is>
      </c>
      <c r="J2029" t="inlineStr">
        <is>
          <t>Accel</t>
        </is>
      </c>
      <c r="K2029" t="inlineStr">
        <is>
          <t>https://entrackr.com/news/houseeazy-raises-rs-150-cr-in-series-b-round-led-by-accel-10560758</t>
        </is>
      </c>
    </row>
    <row r="2030">
      <c r="A2030" t="inlineStr">
        <is>
          <t>ET-124548990</t>
        </is>
      </c>
      <c r="B2030" t="inlineStr">
        <is>
          <t>R251014-houseeazy</t>
        </is>
      </c>
      <c r="C2030" t="inlineStr">
        <is>
          <t>The Economic Times</t>
        </is>
      </c>
      <c r="D2030" s="17" t="n">
        <v>45944</v>
      </c>
      <c r="E2030" t="inlineStr">
        <is>
          <t>HouseEazy</t>
        </is>
      </c>
      <c r="F2030" t="inlineStr">
        <is>
          <t>$16.8 million</t>
        </is>
      </c>
      <c r="G2030" s="19" t="n">
        <v>150</v>
      </c>
      <c r="H2030" s="19" t="n">
        <v>16.8</v>
      </c>
      <c r="I2030" t="inlineStr">
        <is>
          <t>Debt</t>
        </is>
      </c>
      <c r="J2030" t="inlineStr">
        <is>
          <t>Accel</t>
        </is>
      </c>
      <c r="K2030" t="inlineStr">
        <is>
          <t>https://economictimes.indiatimes.com/tech/funding/resale-home-marketplace-houseeazy-raises-16-8-million-in-round-led-by-accel/articleshow/124548990.cms</t>
        </is>
      </c>
    </row>
    <row r="2031">
      <c r="A2031" t="inlineStr">
        <is>
          <t>INC-20251018-05</t>
        </is>
      </c>
      <c r="B2031" t="inlineStr">
        <is>
          <t>R251014-houseeazy</t>
        </is>
      </c>
      <c r="C2031" t="inlineStr">
        <is>
          <t>Inc42</t>
        </is>
      </c>
      <c r="D2031" s="17" t="n">
        <v>45944</v>
      </c>
      <c r="E2031" t="inlineStr">
        <is>
          <t>HouseEazy</t>
        </is>
      </c>
      <c r="F2031" t="inlineStr">
        <is>
          <t>$16.9 Mn</t>
        </is>
      </c>
      <c r="G2031" s="19" t="n"/>
      <c r="H2031" s="19" t="n">
        <v>16.9</v>
      </c>
      <c r="I2031" t="inlineStr">
        <is>
          <t>Series B</t>
        </is>
      </c>
      <c r="J2031" t="inlineStr">
        <is>
          <t>Accel</t>
        </is>
      </c>
      <c r="K2031" t="inlineStr">
        <is>
          <t>https://inc42.com/buzz/from-zepto-to-kuku-fm-indian-startups-raised-737-mn-this-week/</t>
        </is>
      </c>
    </row>
    <row r="2032">
      <c r="A2032" t="inlineStr">
        <is>
          <t>INC-20251018-25</t>
        </is>
      </c>
      <c r="B2032" t="inlineStr">
        <is>
          <t>R251014-muttleycrew</t>
        </is>
      </c>
      <c r="C2032" t="inlineStr">
        <is>
          <t>Inc42</t>
        </is>
      </c>
      <c r="D2032" s="17" t="n">
        <v>45944</v>
      </c>
      <c r="E2032" t="inlineStr">
        <is>
          <t>Muttley Crew</t>
        </is>
      </c>
      <c r="F2032" t="inlineStr">
        <is>
          <t>$425K</t>
        </is>
      </c>
      <c r="G2032" s="19" t="n"/>
      <c r="H2032" s="19" t="n">
        <v>0.425</v>
      </c>
      <c r="I2032" t="inlineStr">
        <is>
          <t>Seed</t>
        </is>
      </c>
      <c r="J2032" t="inlineStr"/>
      <c r="K2032" t="inlineStr">
        <is>
          <t>https://inc42.com/buzz/from-zepto-to-kuku-fm-indian-startups-raised-737-mn-this-week/</t>
        </is>
      </c>
    </row>
    <row r="2033">
      <c r="A2033" t="inlineStr">
        <is>
          <t>ENT-10560853</t>
        </is>
      </c>
      <c r="B2033" t="inlineStr">
        <is>
          <t>R251014-orangesugar</t>
        </is>
      </c>
      <c r="C2033" t="inlineStr">
        <is>
          <t>Entrackr</t>
        </is>
      </c>
      <c r="D2033" s="17" t="n">
        <v>45944</v>
      </c>
      <c r="E2033" t="inlineStr">
        <is>
          <t>Orange Sugar</t>
        </is>
      </c>
      <c r="F2033" t="inlineStr">
        <is>
          <t>Rs 4 crore</t>
        </is>
      </c>
      <c r="G2033" s="19" t="n">
        <v>4</v>
      </c>
      <c r="H2033" s="19" t="n"/>
      <c r="I2033" t="inlineStr">
        <is>
          <t>Pre-Seed</t>
        </is>
      </c>
      <c r="J2033" t="inlineStr"/>
      <c r="K2033" t="inlineStr">
        <is>
          <t>https://entrackr.com/snippets/kidswear-brand-orange-sugar-raises-pre-seed-round-10560853</t>
        </is>
      </c>
    </row>
    <row r="2034">
      <c r="A2034" t="inlineStr">
        <is>
          <t>INC-20251018-23</t>
        </is>
      </c>
      <c r="B2034" t="inlineStr">
        <is>
          <t>R251014-orangesugar</t>
        </is>
      </c>
      <c r="C2034" t="inlineStr">
        <is>
          <t>Inc42</t>
        </is>
      </c>
      <c r="D2034" s="17" t="n">
        <v>45944</v>
      </c>
      <c r="E2034" t="inlineStr">
        <is>
          <t>Orange Sugar</t>
        </is>
      </c>
      <c r="F2034" t="inlineStr">
        <is>
          <t>$455K</t>
        </is>
      </c>
      <c r="G2034" s="19" t="n"/>
      <c r="H2034" s="19" t="n">
        <v>0.455</v>
      </c>
      <c r="I2034" t="inlineStr">
        <is>
          <t>Pre-Seed</t>
        </is>
      </c>
      <c r="J2034" t="inlineStr">
        <is>
          <t>Ramakant Sharma (cofounder; Livspace); Saurabh Jain (cofounder; Srivatsan Chari (cofounder; Cleartax); Kunal Mahipal (cofounder; Onsitego) Meghana Agarwal (cofounder; Goldman Sachs)</t>
        </is>
      </c>
      <c r="K2034" t="inlineStr">
        <is>
          <t>https://inc42.com/buzz/from-zepto-to-kuku-fm-indian-startups-raised-737-mn-this-week/</t>
        </is>
      </c>
    </row>
    <row r="2035">
      <c r="A2035" t="inlineStr">
        <is>
          <t>ENT-10559891</t>
        </is>
      </c>
      <c r="B2035" t="inlineStr">
        <is>
          <t>R251014-speakx</t>
        </is>
      </c>
      <c r="C2035" t="inlineStr">
        <is>
          <t>Entrackr</t>
        </is>
      </c>
      <c r="D2035" s="17" t="n">
        <v>45944</v>
      </c>
      <c r="E2035" t="inlineStr">
        <is>
          <t>SpeakX</t>
        </is>
      </c>
      <c r="F2035" t="inlineStr">
        <is>
          <t>$16 million</t>
        </is>
      </c>
      <c r="G2035" s="19" t="n"/>
      <c r="H2035" s="19" t="n">
        <v>16</v>
      </c>
      <c r="I2035" t="inlineStr">
        <is>
          <t>Undisclosed</t>
        </is>
      </c>
      <c r="J2035" t="inlineStr">
        <is>
          <t>WestBridge Capital</t>
        </is>
      </c>
      <c r="K2035" t="inlineStr">
        <is>
          <t>https://entrackr.com/news/edtech-startup-speakx-raises-16-mn-led-by-westbridge-10559891</t>
        </is>
      </c>
    </row>
    <row r="2036">
      <c r="A2036" t="inlineStr">
        <is>
          <t>ET-124531927</t>
        </is>
      </c>
      <c r="B2036" t="inlineStr">
        <is>
          <t>R251014-speakx</t>
        </is>
      </c>
      <c r="C2036" t="inlineStr">
        <is>
          <t>The Economic Times</t>
        </is>
      </c>
      <c r="D2036" s="17" t="n">
        <v>45944</v>
      </c>
      <c r="E2036" t="inlineStr">
        <is>
          <t>SpeakX</t>
        </is>
      </c>
      <c r="F2036" t="inlineStr">
        <is>
          <t>$16 million</t>
        </is>
      </c>
      <c r="G2036" s="19" t="n"/>
      <c r="H2036" s="19" t="n">
        <v>16</v>
      </c>
      <c r="I2036" t="inlineStr">
        <is>
          <t>Undisclosed</t>
        </is>
      </c>
      <c r="J2036" t="inlineStr">
        <is>
          <t>WestBridge Capital; Arpit Mittal told ET</t>
        </is>
      </c>
      <c r="K2036" t="inlineStr">
        <is>
          <t>https://economictimes.indiatimes.com/tech/funding/speakx-raises-16-million-from-westbridge-others-pivots-to-an-english-learning-app/articleshow/124531927.cms</t>
        </is>
      </c>
    </row>
    <row r="2037">
      <c r="A2037" t="inlineStr">
        <is>
          <t>INC-20251018-06</t>
        </is>
      </c>
      <c r="B2037" t="inlineStr">
        <is>
          <t>R251014-speakx</t>
        </is>
      </c>
      <c r="C2037" t="inlineStr">
        <is>
          <t>Inc42</t>
        </is>
      </c>
      <c r="D2037" s="17" t="n">
        <v>45944</v>
      </c>
      <c r="E2037" t="inlineStr">
        <is>
          <t>SpeakX</t>
        </is>
      </c>
      <c r="F2037" t="inlineStr">
        <is>
          <t>$16 Mn</t>
        </is>
      </c>
      <c r="G2037" s="19" t="n"/>
      <c r="H2037" s="19" t="n">
        <v>16</v>
      </c>
      <c r="I2037" t="inlineStr">
        <is>
          <t>Pre-Series B</t>
        </is>
      </c>
      <c r="J2037" t="inlineStr">
        <is>
          <t>WestBridge Capital</t>
        </is>
      </c>
      <c r="K2037" t="inlineStr">
        <is>
          <t>https://inc42.com/buzz/from-zepto-to-kuku-fm-indian-startups-raised-737-mn-this-week/</t>
        </is>
      </c>
    </row>
    <row r="2038">
      <c r="A2038" t="inlineStr">
        <is>
          <t>INC-20251018-29</t>
        </is>
      </c>
      <c r="B2038" t="inlineStr">
        <is>
          <t>R251015-coindcx</t>
        </is>
      </c>
      <c r="C2038" t="inlineStr">
        <is>
          <t>Inc42</t>
        </is>
      </c>
      <c r="D2038" s="17" t="n">
        <v>45945</v>
      </c>
      <c r="E2038" t="inlineStr">
        <is>
          <t>CoinDCX</t>
        </is>
      </c>
      <c r="F2038" t="inlineStr"/>
      <c r="G2038" s="19" t="n"/>
      <c r="H2038" s="19" t="n"/>
      <c r="I2038" t="inlineStr">
        <is>
          <t>Undisclosed</t>
        </is>
      </c>
      <c r="J2038" t="inlineStr">
        <is>
          <t>Coinbase</t>
        </is>
      </c>
      <c r="K2038" t="inlineStr">
        <is>
          <t>https://inc42.com/buzz/from-zepto-to-kuku-fm-indian-startups-raised-737-mn-this-week/</t>
        </is>
      </c>
    </row>
    <row r="2039">
      <c r="A2039" t="inlineStr">
        <is>
          <t>ENT-10564332</t>
        </is>
      </c>
      <c r="B2039" t="inlineStr">
        <is>
          <t>R251015-consuma</t>
        </is>
      </c>
      <c r="C2039" t="inlineStr">
        <is>
          <t>Entrackr</t>
        </is>
      </c>
      <c r="D2039" s="17" t="n">
        <v>45945</v>
      </c>
      <c r="E2039" t="inlineStr">
        <is>
          <t>Consuma</t>
        </is>
      </c>
      <c r="F2039" t="inlineStr">
        <is>
          <t>$1.3 million</t>
        </is>
      </c>
      <c r="G2039" s="19" t="n">
        <v>11.16</v>
      </c>
      <c r="H2039" s="19" t="n">
        <v>1.3</v>
      </c>
      <c r="I2039" t="inlineStr">
        <is>
          <t>Seed</t>
        </is>
      </c>
      <c r="J2039" t="inlineStr">
        <is>
          <t>Equirus InnovateX Fund; Abhishek Goyal; Mekin Maheshwari; Bhavik Dholakia; Harsh Shah; Arnav Kumar; Biswa Kalyan Rath</t>
        </is>
      </c>
      <c r="K2039" t="inlineStr">
        <is>
          <t>https://entrackr.com/snippets/consuma-raises-13-mn-in-seed-round-led-by-equirus-innovatex-fund-10564332</t>
        </is>
      </c>
    </row>
    <row r="2040">
      <c r="A2040" t="inlineStr">
        <is>
          <t>ET-124584833</t>
        </is>
      </c>
      <c r="B2040" t="inlineStr">
        <is>
          <t>R251015-consuma</t>
        </is>
      </c>
      <c r="C2040" t="inlineStr">
        <is>
          <t>The Economic Times</t>
        </is>
      </c>
      <c r="D2040" s="17" t="n">
        <v>45945</v>
      </c>
      <c r="E2040" t="inlineStr">
        <is>
          <t>Consuma AI</t>
        </is>
      </c>
      <c r="F2040" t="inlineStr">
        <is>
          <t>Rs 12 crore</t>
        </is>
      </c>
      <c r="G2040" s="19" t="n">
        <v>12</v>
      </c>
      <c r="H2040" s="19" t="n"/>
      <c r="I2040" t="inlineStr">
        <is>
          <t>Undisclosed</t>
        </is>
      </c>
      <c r="J2040" t="inlineStr">
        <is>
          <t>InnovateX Fund</t>
        </is>
      </c>
      <c r="K2040" t="inlineStr">
        <is>
          <t>https://economictimes.indiatimes.com/tech/funding/market-research-startup-consuma-ai-raises-rs-12-crore-from-equirus-others/articleshow/124584833.cms</t>
        </is>
      </c>
    </row>
    <row r="2041">
      <c r="A2041" t="inlineStr">
        <is>
          <t>INC-20251018-20</t>
        </is>
      </c>
      <c r="B2041" t="inlineStr">
        <is>
          <t>R251015-consuma</t>
        </is>
      </c>
      <c r="C2041" t="inlineStr">
        <is>
          <t>Inc42</t>
        </is>
      </c>
      <c r="D2041" s="17" t="n">
        <v>45945</v>
      </c>
      <c r="E2041" t="inlineStr">
        <is>
          <t>Consuma</t>
        </is>
      </c>
      <c r="F2041" t="inlineStr">
        <is>
          <t>$1.3 Mn</t>
        </is>
      </c>
      <c r="G2041" s="19" t="n"/>
      <c r="H2041" s="19" t="n">
        <v>1.3</v>
      </c>
      <c r="I2041" t="inlineStr">
        <is>
          <t>Seed</t>
        </is>
      </c>
      <c r="J2041" t="inlineStr">
        <is>
          <t>Equirus InnovateX</t>
        </is>
      </c>
      <c r="K2041" t="inlineStr">
        <is>
          <t>https://inc42.com/buzz/from-zepto-to-kuku-fm-indian-startups-raised-737-mn-this-week/</t>
        </is>
      </c>
    </row>
    <row r="2042">
      <c r="A2042" t="inlineStr">
        <is>
          <t>ENT-10564665</t>
        </is>
      </c>
      <c r="B2042" t="inlineStr">
        <is>
          <t>R251015-everbrightheal</t>
        </is>
      </c>
      <c r="C2042" t="inlineStr">
        <is>
          <t>Entrackr</t>
        </is>
      </c>
      <c r="D2042" s="17" t="n">
        <v>45945</v>
      </c>
      <c r="E2042" t="inlineStr">
        <is>
          <t>Everbright Health</t>
        </is>
      </c>
      <c r="F2042" t="inlineStr">
        <is>
          <t>$7 million</t>
        </is>
      </c>
      <c r="G2042" s="19" t="n"/>
      <c r="H2042" s="19" t="n">
        <v>7</v>
      </c>
      <c r="I2042" t="inlineStr">
        <is>
          <t>Seed</t>
        </is>
      </c>
      <c r="J2042" t="inlineStr">
        <is>
          <t>W Health Ventures; Sanos Capital</t>
        </is>
      </c>
      <c r="K2042" t="inlineStr">
        <is>
          <t>https://entrackr.com/snippets/everbright-health-raises-7-mn-in-seed-round-led-by-w-health-ventures-10564665</t>
        </is>
      </c>
    </row>
    <row r="2043">
      <c r="A2043" t="inlineStr">
        <is>
          <t>ENT-10564782</t>
        </is>
      </c>
      <c r="B2043" t="inlineStr">
        <is>
          <t>R251015-flowatt</t>
        </is>
      </c>
      <c r="C2043" t="inlineStr">
        <is>
          <t>Entrackr</t>
        </is>
      </c>
      <c r="D2043" s="17" t="n">
        <v>45945</v>
      </c>
      <c r="E2043" t="inlineStr">
        <is>
          <t>Flowatt</t>
        </is>
      </c>
      <c r="F2043" t="inlineStr">
        <is>
          <t>Rs 2.2 crore</t>
        </is>
      </c>
      <c r="G2043" s="19" t="n">
        <v>2.2</v>
      </c>
      <c r="H2043" s="19" t="n"/>
      <c r="I2043" t="inlineStr">
        <is>
          <t>Pre-Seed</t>
        </is>
      </c>
      <c r="J2043" t="inlineStr">
        <is>
          <t>PedalStart</t>
        </is>
      </c>
      <c r="K2043" t="inlineStr">
        <is>
          <t>https://entrackr.com/snippets/flowatt-raises-pre-seed-round-led-by-pedalstart-10564782</t>
        </is>
      </c>
    </row>
    <row r="2044">
      <c r="A2044" t="inlineStr">
        <is>
          <t>INC-20251018-26</t>
        </is>
      </c>
      <c r="B2044" t="inlineStr">
        <is>
          <t>R251015-flowatt</t>
        </is>
      </c>
      <c r="C2044" t="inlineStr">
        <is>
          <t>Inc42</t>
        </is>
      </c>
      <c r="D2044" s="17" t="n">
        <v>45945</v>
      </c>
      <c r="E2044" t="inlineStr">
        <is>
          <t>Flowatt Battery Science</t>
        </is>
      </c>
      <c r="F2044" t="inlineStr">
        <is>
          <t>$249K</t>
        </is>
      </c>
      <c r="G2044" s="19" t="n"/>
      <c r="H2044" s="19" t="n">
        <v>0.249</v>
      </c>
      <c r="I2044" t="inlineStr">
        <is>
          <t>Pre-Seed</t>
        </is>
      </c>
      <c r="J2044" t="inlineStr">
        <is>
          <t>PedalStart</t>
        </is>
      </c>
      <c r="K2044" t="inlineStr">
        <is>
          <t>https://inc42.com/buzz/from-zepto-to-kuku-fm-indian-startups-raised-737-mn-this-week/</t>
        </is>
      </c>
    </row>
    <row r="2045">
      <c r="A2045" t="inlineStr">
        <is>
          <t>ENT-10564047</t>
        </is>
      </c>
      <c r="B2045" t="inlineStr">
        <is>
          <t>R251015-fragariafruits</t>
        </is>
      </c>
      <c r="C2045" t="inlineStr">
        <is>
          <t>Entrackr</t>
        </is>
      </c>
      <c r="D2045" s="17" t="n">
        <v>45945</v>
      </c>
      <c r="E2045" t="inlineStr">
        <is>
          <t>Fragaria Fruits</t>
        </is>
      </c>
      <c r="F2045" t="inlineStr">
        <is>
          <t>$2 million</t>
        </is>
      </c>
      <c r="G2045" s="19" t="n"/>
      <c r="H2045" s="19" t="n">
        <v>2</v>
      </c>
      <c r="I2045" t="inlineStr">
        <is>
          <t>Seed</t>
        </is>
      </c>
      <c r="J2045" t="inlineStr">
        <is>
          <t>WEH Ventures; Spiral Ventures; Sashi Kumar</t>
        </is>
      </c>
      <c r="K2045" t="inlineStr">
        <is>
          <t>https://entrackr.com/snippets/fragaria-fruits-raises-2-mn-in-seed-round-led-by-weh-ventures-10564047</t>
        </is>
      </c>
    </row>
    <row r="2046">
      <c r="A2046" t="inlineStr">
        <is>
          <t>INC-20251018-16</t>
        </is>
      </c>
      <c r="B2046" t="inlineStr">
        <is>
          <t>R251015-fragariafruits</t>
        </is>
      </c>
      <c r="C2046" t="inlineStr">
        <is>
          <t>Inc42</t>
        </is>
      </c>
      <c r="D2046" s="17" t="n">
        <v>45945</v>
      </c>
      <c r="E2046" t="inlineStr">
        <is>
          <t>Fragaria</t>
        </is>
      </c>
      <c r="F2046" t="inlineStr">
        <is>
          <t>$2 Mn</t>
        </is>
      </c>
      <c r="G2046" s="19" t="n"/>
      <c r="H2046" s="19" t="n">
        <v>2</v>
      </c>
      <c r="I2046" t="inlineStr">
        <is>
          <t>Seed</t>
        </is>
      </c>
      <c r="J2046" t="inlineStr">
        <is>
          <t>WEH Ventures</t>
        </is>
      </c>
      <c r="K2046" t="inlineStr">
        <is>
          <t>https://inc42.com/buzz/from-zepto-to-kuku-fm-indian-startups-raised-737-mn-this-week/</t>
        </is>
      </c>
    </row>
    <row r="2047">
      <c r="A2047" t="inlineStr">
        <is>
          <t>ENT-10563796</t>
        </is>
      </c>
      <c r="B2047" t="inlineStr">
        <is>
          <t>R251015-mattersai</t>
        </is>
      </c>
      <c r="C2047" t="inlineStr">
        <is>
          <t>Entrackr</t>
        </is>
      </c>
      <c r="D2047" s="17" t="n">
        <v>45945</v>
      </c>
      <c r="E2047" t="inlineStr">
        <is>
          <t>Matters.AI</t>
        </is>
      </c>
      <c r="F2047" t="inlineStr">
        <is>
          <t>Rs 55 crore</t>
        </is>
      </c>
      <c r="G2047" s="19" t="n">
        <v>55</v>
      </c>
      <c r="H2047" s="19" t="n"/>
      <c r="I2047" t="inlineStr">
        <is>
          <t>Seed</t>
        </is>
      </c>
      <c r="J2047" t="inlineStr">
        <is>
          <t>Kalaari Capital; Endiya Partners; Carya Venture Partners</t>
        </is>
      </c>
      <c r="K2047" t="inlineStr">
        <is>
          <t>https://entrackr.com/snippets/mattersai-raises-rs-55-cr-led-by-kalaari-and-endia-partners-10563796</t>
        </is>
      </c>
    </row>
    <row r="2048">
      <c r="A2048" t="inlineStr">
        <is>
          <t>ET-124579395</t>
        </is>
      </c>
      <c r="B2048" t="inlineStr">
        <is>
          <t>R251015-mattersai</t>
        </is>
      </c>
      <c r="C2048" t="inlineStr">
        <is>
          <t>The Economic Times</t>
        </is>
      </c>
      <c r="D2048" s="17" t="n">
        <v>45945</v>
      </c>
      <c r="E2048" t="inlineStr">
        <is>
          <t>Matters.AI</t>
        </is>
      </c>
      <c r="F2048" t="inlineStr">
        <is>
          <t>Rs 55 crore</t>
        </is>
      </c>
      <c r="G2048" s="19" t="n">
        <v>55</v>
      </c>
      <c r="H2048" s="19" t="n"/>
      <c r="I2048" t="inlineStr">
        <is>
          <t>Seed</t>
        </is>
      </c>
      <c r="J2048" t="inlineStr">
        <is>
          <t>Kalaari Capital; Endiya Partners</t>
        </is>
      </c>
      <c r="K2048" t="inlineStr">
        <is>
          <t>https://economictimes.indiatimes.com/tech/funding/matters-ai-raises-rs-55-crore-seed-funding-co-led-by-kalaari-capital-endiya-partners/articleshow/124579395.cms</t>
        </is>
      </c>
    </row>
    <row r="2049">
      <c r="A2049" t="inlineStr">
        <is>
          <t>INC-20251018-12</t>
        </is>
      </c>
      <c r="B2049" t="inlineStr">
        <is>
          <t>R251015-mattersai</t>
        </is>
      </c>
      <c r="C2049" t="inlineStr">
        <is>
          <t>Inc42</t>
        </is>
      </c>
      <c r="D2049" s="17" t="n">
        <v>45945</v>
      </c>
      <c r="E2049" t="inlineStr">
        <is>
          <t>Matters.AI</t>
        </is>
      </c>
      <c r="F2049" t="inlineStr">
        <is>
          <t>$4.7 Mn</t>
        </is>
      </c>
      <c r="G2049" s="19" t="n"/>
      <c r="H2049" s="19" t="n">
        <v>4.7</v>
      </c>
      <c r="I2049" t="inlineStr">
        <is>
          <t>Seed</t>
        </is>
      </c>
      <c r="J2049" t="inlineStr">
        <is>
          <t>Kalaari Capital; Endiya Partners</t>
        </is>
      </c>
      <c r="K2049" t="inlineStr">
        <is>
          <t>https://inc42.com/buzz/from-zepto-to-kuku-fm-indian-startups-raised-737-mn-this-week/</t>
        </is>
      </c>
    </row>
    <row r="2050">
      <c r="A2050" t="inlineStr">
        <is>
          <t>ENT-10565365</t>
        </is>
      </c>
      <c r="B2050" t="inlineStr">
        <is>
          <t>R251015-rarabarefoot</t>
        </is>
      </c>
      <c r="C2050" t="inlineStr">
        <is>
          <t>Entrackr</t>
        </is>
      </c>
      <c r="D2050" s="17" t="n">
        <v>45945</v>
      </c>
      <c r="E2050" t="inlineStr">
        <is>
          <t>RARA Barefoot</t>
        </is>
      </c>
      <c r="F2050" t="inlineStr">
        <is>
          <t>$500K</t>
        </is>
      </c>
      <c r="G2050" s="19" t="n"/>
      <c r="H2050" s="19" t="n">
        <v>0.5</v>
      </c>
      <c r="I2050" t="inlineStr">
        <is>
          <t>Pre-Seed</t>
        </is>
      </c>
      <c r="J2050" t="inlineStr">
        <is>
          <t>Urban Company; Tata 1mg; Shyft; HexaHealth; Managing Directors; Partners from ChrysCapital; BCG</t>
        </is>
      </c>
      <c r="K2050" t="inlineStr">
        <is>
          <t>https://entrackr.com/snippets/footwear-startup-rara-barefoot-raises-500k-in-seed-round-10565365</t>
        </is>
      </c>
    </row>
    <row r="2051">
      <c r="A2051" t="inlineStr">
        <is>
          <t>INC-20251018-22</t>
        </is>
      </c>
      <c r="B2051" t="inlineStr">
        <is>
          <t>R251015-rarabarefoot</t>
        </is>
      </c>
      <c r="C2051" t="inlineStr">
        <is>
          <t>Inc42</t>
        </is>
      </c>
      <c r="D2051" s="17" t="n">
        <v>45945</v>
      </c>
      <c r="E2051" t="inlineStr">
        <is>
          <t>RARA Barefoot</t>
        </is>
      </c>
      <c r="F2051" t="inlineStr">
        <is>
          <t>$500K</t>
        </is>
      </c>
      <c r="G2051" s="19" t="n"/>
      <c r="H2051" s="19" t="n">
        <v>0.5</v>
      </c>
      <c r="I2051" t="inlineStr">
        <is>
          <t>Pre-Seed</t>
        </is>
      </c>
      <c r="J2051" t="inlineStr"/>
      <c r="K2051" t="inlineStr">
        <is>
          <t>https://inc42.com/buzz/from-zepto-to-kuku-fm-indian-startups-raised-737-mn-this-week/</t>
        </is>
      </c>
    </row>
    <row r="2052">
      <c r="A2052" t="inlineStr">
        <is>
          <t>ENT-10568073</t>
        </is>
      </c>
      <c r="B2052" t="inlineStr">
        <is>
          <t>R251016-dashamlabs</t>
        </is>
      </c>
      <c r="C2052" t="inlineStr">
        <is>
          <t>Entrackr</t>
        </is>
      </c>
      <c r="D2052" s="17" t="n">
        <v>45946</v>
      </c>
      <c r="E2052" t="inlineStr">
        <is>
          <t>Dashamlabs</t>
        </is>
      </c>
      <c r="F2052" t="inlineStr">
        <is>
          <t>Rs 12 crore</t>
        </is>
      </c>
      <c r="G2052" s="19" t="n">
        <v>12</v>
      </c>
      <c r="H2052" s="19" t="n"/>
      <c r="I2052" t="inlineStr">
        <is>
          <t>Seed</t>
        </is>
      </c>
      <c r="J2052" t="inlineStr">
        <is>
          <t>Speciale Invest</t>
        </is>
      </c>
      <c r="K2052" t="inlineStr">
        <is>
          <t>https://entrackr.com/snippets/dashamlabs-raises-rs-12-cr-in-seed-round-led-by-speciale-invest-10568073</t>
        </is>
      </c>
    </row>
    <row r="2053">
      <c r="A2053" t="inlineStr">
        <is>
          <t>INC-20251018-19</t>
        </is>
      </c>
      <c r="B2053" t="inlineStr">
        <is>
          <t>R251016-dashamlabs</t>
        </is>
      </c>
      <c r="C2053" t="inlineStr">
        <is>
          <t>Inc42</t>
        </is>
      </c>
      <c r="D2053" s="17" t="n">
        <v>45946</v>
      </c>
      <c r="E2053" t="inlineStr">
        <is>
          <t>Dashamlabs</t>
        </is>
      </c>
      <c r="F2053" t="inlineStr">
        <is>
          <t>$1.4 Mn</t>
        </is>
      </c>
      <c r="G2053" s="19" t="n"/>
      <c r="H2053" s="19" t="n">
        <v>1.4</v>
      </c>
      <c r="I2053" t="inlineStr">
        <is>
          <t>Seed</t>
        </is>
      </c>
      <c r="J2053" t="inlineStr">
        <is>
          <t>Speciale Invest</t>
        </is>
      </c>
      <c r="K2053" t="inlineStr">
        <is>
          <t>https://inc42.com/buzz/from-zepto-to-kuku-fm-indian-startups-raised-737-mn-this-week/</t>
        </is>
      </c>
    </row>
    <row r="2054">
      <c r="A2054" t="inlineStr">
        <is>
          <t>ENT-10567350</t>
        </is>
      </c>
      <c r="B2054" t="inlineStr">
        <is>
          <t>R251016-fireai</t>
        </is>
      </c>
      <c r="C2054" t="inlineStr">
        <is>
          <t>Entrackr</t>
        </is>
      </c>
      <c r="D2054" s="17" t="n">
        <v>45946</v>
      </c>
      <c r="E2054" t="inlineStr">
        <is>
          <t>FireAI</t>
        </is>
      </c>
      <c r="F2054" t="inlineStr">
        <is>
          <t>Rs 4 crore</t>
        </is>
      </c>
      <c r="G2054" s="19" t="n">
        <v>4</v>
      </c>
      <c r="H2054" s="19" t="n">
        <v>0.48</v>
      </c>
      <c r="I2054" t="inlineStr">
        <is>
          <t>Seed</t>
        </is>
      </c>
      <c r="J2054" t="inlineStr">
        <is>
          <t>Inflection Point Ventures</t>
        </is>
      </c>
      <c r="K2054" t="inlineStr">
        <is>
          <t>https://entrackr.com/snippets/fireai-raises-rs-4-cr-in-seed-round-led-by-ipv-10567350</t>
        </is>
      </c>
    </row>
    <row r="2055">
      <c r="A2055" t="inlineStr">
        <is>
          <t>INC-20251018-24</t>
        </is>
      </c>
      <c r="B2055" t="inlineStr">
        <is>
          <t>R251016-fireai</t>
        </is>
      </c>
      <c r="C2055" t="inlineStr">
        <is>
          <t>Inc42</t>
        </is>
      </c>
      <c r="D2055" s="17" t="n">
        <v>45946</v>
      </c>
      <c r="E2055" t="inlineStr">
        <is>
          <t>FireAI</t>
        </is>
      </c>
      <c r="F2055" t="inlineStr">
        <is>
          <t>$455K</t>
        </is>
      </c>
      <c r="G2055" s="19" t="n"/>
      <c r="H2055" s="19" t="n">
        <v>0.455</v>
      </c>
      <c r="I2055" t="inlineStr">
        <is>
          <t>Seed</t>
        </is>
      </c>
      <c r="J2055" t="inlineStr">
        <is>
          <t>Inflection Point Ventures</t>
        </is>
      </c>
      <c r="K2055" t="inlineStr">
        <is>
          <t>https://inc42.com/buzz/from-zepto-to-kuku-fm-indian-startups-raised-737-mn-this-week/</t>
        </is>
      </c>
    </row>
    <row r="2056">
      <c r="A2056" t="inlineStr">
        <is>
          <t>ENT-10566895</t>
        </is>
      </c>
      <c r="B2056" t="inlineStr">
        <is>
          <t>R251016-graphai</t>
        </is>
      </c>
      <c r="C2056" t="inlineStr">
        <is>
          <t>Entrackr</t>
        </is>
      </c>
      <c r="D2056" s="17" t="n">
        <v>45946</v>
      </c>
      <c r="E2056" t="inlineStr">
        <is>
          <t>Graph AI</t>
        </is>
      </c>
      <c r="F2056" t="inlineStr">
        <is>
          <t>$3 million</t>
        </is>
      </c>
      <c r="G2056" s="19" t="n"/>
      <c r="H2056" s="19" t="n">
        <v>3</v>
      </c>
      <c r="I2056" t="inlineStr">
        <is>
          <t>Seed</t>
        </is>
      </c>
      <c r="J2056" t="inlineStr">
        <is>
          <t>Bessemer Venture Partners</t>
        </is>
      </c>
      <c r="K2056" t="inlineStr">
        <is>
          <t>https://entrackr.com/snippets/graph-ai-raises-3-mn-in-seed-round-from-bessemer-venture-partners-10566895</t>
        </is>
      </c>
    </row>
    <row r="2057">
      <c r="A2057" t="inlineStr">
        <is>
          <t>ET-124593239</t>
        </is>
      </c>
      <c r="B2057" t="inlineStr">
        <is>
          <t>R251016-graphai</t>
        </is>
      </c>
      <c r="C2057" t="inlineStr">
        <is>
          <t>The Economic Times</t>
        </is>
      </c>
      <c r="D2057" s="17" t="n">
        <v>45946</v>
      </c>
      <c r="E2057" t="inlineStr">
        <is>
          <t>Graph AI</t>
        </is>
      </c>
      <c r="F2057" t="inlineStr">
        <is>
          <t>$3 million</t>
        </is>
      </c>
      <c r="G2057" s="19" t="n"/>
      <c r="H2057" s="19" t="n">
        <v>3</v>
      </c>
      <c r="I2057" t="inlineStr">
        <is>
          <t>Seed</t>
        </is>
      </c>
      <c r="J2057" t="inlineStr">
        <is>
          <t>Bessemer Venture Partners</t>
        </is>
      </c>
      <c r="K2057" t="inlineStr">
        <is>
          <t>https://economictimes.indiatimes.com/tech/funding/graph-ai-raises-3-million-seed-funding-to-transform-pharmacovigilance-market/articleshow/124593239.cms</t>
        </is>
      </c>
    </row>
    <row r="2058">
      <c r="A2058" t="inlineStr">
        <is>
          <t>INC-20251018-13</t>
        </is>
      </c>
      <c r="B2058" t="inlineStr">
        <is>
          <t>R251016-graphai</t>
        </is>
      </c>
      <c r="C2058" t="inlineStr">
        <is>
          <t>Inc42</t>
        </is>
      </c>
      <c r="D2058" s="17" t="n">
        <v>45946</v>
      </c>
      <c r="E2058" t="inlineStr">
        <is>
          <t>Graph AI</t>
        </is>
      </c>
      <c r="F2058" t="inlineStr">
        <is>
          <t>$3 Mn</t>
        </is>
      </c>
      <c r="G2058" s="19" t="n"/>
      <c r="H2058" s="19" t="n">
        <v>3</v>
      </c>
      <c r="I2058" t="inlineStr">
        <is>
          <t>Seed</t>
        </is>
      </c>
      <c r="J2058" t="inlineStr">
        <is>
          <t>Bessemer Venture Partners</t>
        </is>
      </c>
      <c r="K2058" t="inlineStr">
        <is>
          <t>https://inc42.com/buzz/from-zepto-to-kuku-fm-indian-startups-raised-737-mn-this-week/</t>
        </is>
      </c>
    </row>
    <row r="2059">
      <c r="A2059" t="inlineStr">
        <is>
          <t>ENT-10567713</t>
        </is>
      </c>
      <c r="B2059" t="inlineStr">
        <is>
          <t>R251016-kukufm</t>
        </is>
      </c>
      <c r="C2059" t="inlineStr">
        <is>
          <t>Entrackr</t>
        </is>
      </c>
      <c r="D2059" s="17" t="n">
        <v>45946</v>
      </c>
      <c r="E2059" t="inlineStr">
        <is>
          <t>Kuku FM</t>
        </is>
      </c>
      <c r="F2059" t="inlineStr">
        <is>
          <t>$85 million</t>
        </is>
      </c>
      <c r="G2059" s="19" t="n"/>
      <c r="H2059" s="19" t="n">
        <v>85</v>
      </c>
      <c r="I2059" t="inlineStr">
        <is>
          <t>Series D</t>
        </is>
      </c>
      <c r="J2059" t="inlineStr">
        <is>
          <t>Granite Asia</t>
        </is>
      </c>
      <c r="K2059" t="inlineStr">
        <is>
          <t>https://entrackr.com/news/kuku-fm-raises-85-mn-from-granite-asia-and-others-10567713</t>
        </is>
      </c>
    </row>
    <row r="2060">
      <c r="A2060" t="inlineStr">
        <is>
          <t>ET-124597321</t>
        </is>
      </c>
      <c r="B2060" t="inlineStr">
        <is>
          <t>R251016-kukufm</t>
        </is>
      </c>
      <c r="C2060" t="inlineStr">
        <is>
          <t>The Economic Times</t>
        </is>
      </c>
      <c r="D2060" s="17" t="n">
        <v>45946</v>
      </c>
      <c r="E2060" t="inlineStr">
        <is>
          <t>Kuku FM</t>
        </is>
      </c>
      <c r="F2060" t="inlineStr">
        <is>
          <t>$85 million</t>
        </is>
      </c>
      <c r="G2060" s="19" t="n"/>
      <c r="H2060" s="19" t="n">
        <v>85</v>
      </c>
      <c r="I2060" t="inlineStr">
        <is>
          <t>Undisclosed</t>
        </is>
      </c>
      <c r="J2060" t="inlineStr">
        <is>
          <t>Granite Asia</t>
        </is>
      </c>
      <c r="K2060" t="inlineStr">
        <is>
          <t>https://economictimes.indiatimes.com/tech/funding/kuku-fm-raises-85-million-in-funding-from-granite-asia-others/articleshow/124597321.cms</t>
        </is>
      </c>
    </row>
    <row r="2061">
      <c r="A2061" t="inlineStr">
        <is>
          <t>INC-20251018-02</t>
        </is>
      </c>
      <c r="B2061" t="inlineStr">
        <is>
          <t>R251016-kukufm</t>
        </is>
      </c>
      <c r="C2061" t="inlineStr">
        <is>
          <t>Inc42</t>
        </is>
      </c>
      <c r="D2061" s="17" t="n">
        <v>45946</v>
      </c>
      <c r="E2061" t="inlineStr">
        <is>
          <t>Kuku FM</t>
        </is>
      </c>
      <c r="F2061" t="inlineStr">
        <is>
          <t>$85 Mn</t>
        </is>
      </c>
      <c r="G2061" s="19" t="n"/>
      <c r="H2061" s="19" t="n">
        <v>85</v>
      </c>
      <c r="I2061" t="inlineStr">
        <is>
          <t>Series C</t>
        </is>
      </c>
      <c r="J2061" t="inlineStr">
        <is>
          <t>Granite Asia</t>
        </is>
      </c>
      <c r="K2061" t="inlineStr">
        <is>
          <t>https://inc42.com/buzz/from-zepto-to-kuku-fm-indian-startups-raised-737-mn-this-week/</t>
        </is>
      </c>
    </row>
    <row r="2062">
      <c r="A2062" t="inlineStr">
        <is>
          <t>ENT-10568597</t>
        </is>
      </c>
      <c r="B2062" t="inlineStr">
        <is>
          <t>R251016-zepto</t>
        </is>
      </c>
      <c r="C2062" t="inlineStr">
        <is>
          <t>Entrackr</t>
        </is>
      </c>
      <c r="D2062" s="17" t="n">
        <v>45946</v>
      </c>
      <c r="E2062" t="inlineStr">
        <is>
          <t>Zepto</t>
        </is>
      </c>
      <c r="F2062" t="inlineStr">
        <is>
          <t>$450 million</t>
        </is>
      </c>
      <c r="G2062" s="19" t="n"/>
      <c r="H2062" s="19" t="n">
        <v>450</v>
      </c>
      <c r="I2062" t="inlineStr">
        <is>
          <t>Undisclosed</t>
        </is>
      </c>
      <c r="J2062" t="inlineStr">
        <is>
          <t>California Public Employees’ Retirement System</t>
        </is>
      </c>
      <c r="K2062" t="inlineStr">
        <is>
          <t>https://entrackr.com/news/zepto-raises-450-mn-led-by-calpers-plans-ipo-next-year-10568597</t>
        </is>
      </c>
    </row>
    <row r="2063">
      <c r="A2063" t="inlineStr">
        <is>
          <t>INC-20251018-01</t>
        </is>
      </c>
      <c r="B2063" t="inlineStr">
        <is>
          <t>R251016-zepto</t>
        </is>
      </c>
      <c r="C2063" t="inlineStr">
        <is>
          <t>Inc42</t>
        </is>
      </c>
      <c r="D2063" s="17" t="n">
        <v>45946</v>
      </c>
      <c r="E2063" t="inlineStr">
        <is>
          <t>Zepto</t>
        </is>
      </c>
      <c r="F2063" t="inlineStr">
        <is>
          <t>$450 Mn</t>
        </is>
      </c>
      <c r="G2063" s="19" t="n"/>
      <c r="H2063" s="19" t="n">
        <v>450</v>
      </c>
      <c r="I2063" t="inlineStr">
        <is>
          <t>Undisclosed</t>
        </is>
      </c>
      <c r="J2063" t="inlineStr">
        <is>
          <t>California Public Employees Retirement System</t>
        </is>
      </c>
      <c r="K2063" t="inlineStr">
        <is>
          <t>https://inc42.com/buzz/from-zepto-to-kuku-fm-indian-startups-raised-737-mn-this-week/</t>
        </is>
      </c>
    </row>
    <row r="2064">
      <c r="A2064" t="inlineStr">
        <is>
          <t>INC-20251018-03</t>
        </is>
      </c>
      <c r="B2064" t="inlineStr">
        <is>
          <t>R251017-ekamobility</t>
        </is>
      </c>
      <c r="C2064" t="inlineStr">
        <is>
          <t>Inc42</t>
        </is>
      </c>
      <c r="D2064" s="17" t="n">
        <v>45947</v>
      </c>
      <c r="E2064" t="inlineStr">
        <is>
          <t>EKA Mobility</t>
        </is>
      </c>
      <c r="F2064" t="inlineStr">
        <is>
          <t>$56.9 Mn</t>
        </is>
      </c>
      <c r="G2064" s="19" t="n"/>
      <c r="H2064" s="19" t="n">
        <v>56.9</v>
      </c>
      <c r="I2064" t="inlineStr">
        <is>
          <t>Undisclosed</t>
        </is>
      </c>
      <c r="J2064" t="inlineStr">
        <is>
          <t>National Investment; Infrastructure Fund</t>
        </is>
      </c>
      <c r="K2064" t="inlineStr">
        <is>
          <t>https://inc42.com/buzz/from-zepto-to-kuku-fm-indian-startups-raised-737-mn-this-week/</t>
        </is>
      </c>
    </row>
    <row r="2065">
      <c r="A2065" t="inlineStr">
        <is>
          <t>VCC-e3bc74582d</t>
        </is>
      </c>
      <c r="B2065" t="inlineStr">
        <is>
          <t>R251017-ekamobility</t>
        </is>
      </c>
      <c r="C2065" t="inlineStr">
        <is>
          <t>VCCircle</t>
        </is>
      </c>
      <c r="D2065" s="17" t="n">
        <v>45947</v>
      </c>
      <c r="E2065" t="inlineStr">
        <is>
          <t>eka mobility</t>
        </is>
      </c>
      <c r="F2065" t="inlineStr"/>
      <c r="G2065" s="19" t="n"/>
      <c r="H2065" s="19" t="n"/>
      <c r="I2065" t="inlineStr">
        <is>
          <t>Undisclosed</t>
        </is>
      </c>
      <c r="J2065" t="inlineStr"/>
      <c r="K2065" t="inlineStr">
        <is>
          <t>https://www.vccircle.com/niifs-india-japan-fund-invests-in-eka-mobility</t>
        </is>
      </c>
    </row>
    <row r="2066">
      <c r="A2066" t="inlineStr">
        <is>
          <t>ENT-10571190</t>
        </is>
      </c>
      <c r="B2066" t="inlineStr">
        <is>
          <t>R251017-hooliv</t>
        </is>
      </c>
      <c r="C2066" t="inlineStr">
        <is>
          <t>Entrackr</t>
        </is>
      </c>
      <c r="D2066" s="17" t="n">
        <v>45947</v>
      </c>
      <c r="E2066" t="inlineStr">
        <is>
          <t>HooLiv</t>
        </is>
      </c>
      <c r="F2066" t="inlineStr">
        <is>
          <t>Rs 24 crore</t>
        </is>
      </c>
      <c r="G2066" s="19" t="n">
        <v>24</v>
      </c>
      <c r="H2066" s="19" t="n">
        <v>2.73</v>
      </c>
      <c r="I2066" t="inlineStr">
        <is>
          <t>Pre-Series A</t>
        </is>
      </c>
      <c r="J2066" t="inlineStr">
        <is>
          <t>Negen Capital</t>
        </is>
      </c>
      <c r="K2066" t="inlineStr">
        <is>
          <t>https://entrackr.com/snippets/hooliv-raises-rs-24-cr-in-pre-series-a-round-led-by-negen-capital-10571190</t>
        </is>
      </c>
    </row>
    <row r="2067">
      <c r="A2067" t="inlineStr">
        <is>
          <t>ET-124627293</t>
        </is>
      </c>
      <c r="B2067" t="inlineStr">
        <is>
          <t>R251017-hooliv</t>
        </is>
      </c>
      <c r="C2067" t="inlineStr">
        <is>
          <t>The Economic Times</t>
        </is>
      </c>
      <c r="D2067" s="17" t="n">
        <v>45947</v>
      </c>
      <c r="E2067" t="inlineStr">
        <is>
          <t>HooLiv</t>
        </is>
      </c>
      <c r="F2067" t="inlineStr">
        <is>
          <t>Rs 24 crore</t>
        </is>
      </c>
      <c r="G2067" s="19" t="n">
        <v>24</v>
      </c>
      <c r="H2067" s="19" t="n"/>
      <c r="I2067" t="inlineStr">
        <is>
          <t>Undisclosed</t>
        </is>
      </c>
      <c r="J2067" t="inlineStr"/>
      <c r="K2067" t="inlineStr">
        <is>
          <t>https://economictimes.indiatimes.com/tech/funding/hooliv-raises-rs-24-crore-to-expand-co-living-student-housing-business/articleshow/124627293.cms</t>
        </is>
      </c>
    </row>
    <row r="2068">
      <c r="A2068" t="inlineStr">
        <is>
          <t>INC-20251018-15</t>
        </is>
      </c>
      <c r="B2068" t="inlineStr">
        <is>
          <t>R251017-hooliv</t>
        </is>
      </c>
      <c r="C2068" t="inlineStr">
        <is>
          <t>Inc42</t>
        </is>
      </c>
      <c r="D2068" s="17" t="n">
        <v>45947</v>
      </c>
      <c r="E2068" t="inlineStr">
        <is>
          <t>HooLiv</t>
        </is>
      </c>
      <c r="F2068" t="inlineStr">
        <is>
          <t>$2.7 Mn</t>
        </is>
      </c>
      <c r="G2068" s="19" t="n"/>
      <c r="H2068" s="19" t="n">
        <v>2.7</v>
      </c>
      <c r="I2068" t="inlineStr">
        <is>
          <t>Pre-Series A</t>
        </is>
      </c>
      <c r="J2068" t="inlineStr">
        <is>
          <t>Negen Capital</t>
        </is>
      </c>
      <c r="K2068" t="inlineStr">
        <is>
          <t>https://inc42.com/buzz/from-zepto-to-kuku-fm-indian-startups-raised-737-mn-this-week/</t>
        </is>
      </c>
    </row>
    <row r="2069">
      <c r="A2069" t="inlineStr">
        <is>
          <t>ET-124635440</t>
        </is>
      </c>
      <c r="B2069" t="inlineStr">
        <is>
          <t>R251018-fundamento</t>
        </is>
      </c>
      <c r="C2069" t="inlineStr">
        <is>
          <t>The Economic Times</t>
        </is>
      </c>
      <c r="D2069" s="17" t="n">
        <v>45947</v>
      </c>
      <c r="E2069" t="inlineStr">
        <is>
          <t>Fundamento</t>
        </is>
      </c>
      <c r="F2069" t="inlineStr">
        <is>
          <t>$1.9 million</t>
        </is>
      </c>
      <c r="G2069" s="19" t="n"/>
      <c r="H2069" s="19" t="n">
        <v>1.9</v>
      </c>
      <c r="I2069" t="inlineStr">
        <is>
          <t>Undisclosed</t>
        </is>
      </c>
      <c r="J2069" t="inlineStr">
        <is>
          <t>IIFL Fintech Fund</t>
        </is>
      </c>
      <c r="K2069" t="inlineStr">
        <is>
          <t>https://economictimes.indiatimes.com/tech/funding/voice-ai-startup-fundamento-raises-1-9-million-led-by-iifl-fintech-fund/articleshow/124635440.cms</t>
        </is>
      </c>
    </row>
    <row r="2070">
      <c r="A2070" t="inlineStr">
        <is>
          <t>ENT-10574244</t>
        </is>
      </c>
      <c r="B2070" t="inlineStr">
        <is>
          <t>R251018-fundamento</t>
        </is>
      </c>
      <c r="C2070" t="inlineStr">
        <is>
          <t>Entrackr</t>
        </is>
      </c>
      <c r="D2070" s="17" t="n">
        <v>45948</v>
      </c>
      <c r="E2070" t="inlineStr">
        <is>
          <t>Fundamento</t>
        </is>
      </c>
      <c r="F2070" t="inlineStr">
        <is>
          <t>$1.9 million</t>
        </is>
      </c>
      <c r="G2070" s="19" t="n">
        <v>16</v>
      </c>
      <c r="H2070" s="19" t="n">
        <v>1.9</v>
      </c>
      <c r="I2070" t="inlineStr">
        <is>
          <t>Pre-Series A</t>
        </is>
      </c>
      <c r="J2070" t="inlineStr">
        <is>
          <t>IIFL Fintech Fund</t>
        </is>
      </c>
      <c r="K2070" t="inlineStr">
        <is>
          <t>https://entrackr.com/snippets/fundamento-raises-19-mn-led-by-iifl-fintech-fund-10574244</t>
        </is>
      </c>
    </row>
    <row r="2071">
      <c r="A2071" t="inlineStr">
        <is>
          <t>INC-20251018-17</t>
        </is>
      </c>
      <c r="B2071" t="inlineStr">
        <is>
          <t>R251018-fundamento</t>
        </is>
      </c>
      <c r="C2071" t="inlineStr">
        <is>
          <t>Inc42</t>
        </is>
      </c>
      <c r="D2071" s="17" t="n">
        <v>45949</v>
      </c>
      <c r="E2071" t="inlineStr">
        <is>
          <t>Fundamento</t>
        </is>
      </c>
      <c r="F2071" t="inlineStr">
        <is>
          <t>$1.9 Mn</t>
        </is>
      </c>
      <c r="G2071" s="19" t="n"/>
      <c r="H2071" s="19" t="n">
        <v>1.9</v>
      </c>
      <c r="I2071" t="inlineStr">
        <is>
          <t>Pre-Series A</t>
        </is>
      </c>
      <c r="J2071" t="inlineStr"/>
      <c r="K2071" t="inlineStr">
        <is>
          <t>https://inc42.com/buzz/from-zepto-to-kuku-fm-indian-startups-raised-737-mn-this-week/</t>
        </is>
      </c>
    </row>
    <row r="2072">
      <c r="A2072" t="inlineStr">
        <is>
          <t>ENT-10584514</t>
        </is>
      </c>
      <c r="B2072" t="inlineStr">
        <is>
          <t>R251022-unifyapps</t>
        </is>
      </c>
      <c r="C2072" t="inlineStr">
        <is>
          <t>Entrackr</t>
        </is>
      </c>
      <c r="D2072" s="17" t="n">
        <v>45952</v>
      </c>
      <c r="E2072" t="inlineStr">
        <is>
          <t>UnifyApps</t>
        </is>
      </c>
      <c r="F2072" t="inlineStr">
        <is>
          <t>$50 million</t>
        </is>
      </c>
      <c r="G2072" s="19" t="n"/>
      <c r="H2072" s="19" t="n">
        <v>50</v>
      </c>
      <c r="I2072" t="inlineStr">
        <is>
          <t>Series B</t>
        </is>
      </c>
      <c r="J2072" t="inlineStr">
        <is>
          <t>WestBridge Capital</t>
        </is>
      </c>
      <c r="K2072" t="inlineStr">
        <is>
          <t>https://entrackr.com/news/unifyapps-raises-50-mn-in-series-b-led-by-westbridge-10584514</t>
        </is>
      </c>
    </row>
    <row r="2073">
      <c r="A2073" t="inlineStr">
        <is>
          <t>ET-124740188</t>
        </is>
      </c>
      <c r="B2073" t="inlineStr">
        <is>
          <t>R251022-unifyapps</t>
        </is>
      </c>
      <c r="C2073" t="inlineStr">
        <is>
          <t>The Economic Times</t>
        </is>
      </c>
      <c r="D2073" s="17" t="n">
        <v>45952</v>
      </c>
      <c r="E2073" t="inlineStr">
        <is>
          <t>UnifyApps</t>
        </is>
      </c>
      <c r="F2073" t="inlineStr">
        <is>
          <t>$50 million</t>
        </is>
      </c>
      <c r="G2073" s="19" t="n">
        <v>439</v>
      </c>
      <c r="H2073" s="19" t="n">
        <v>50</v>
      </c>
      <c r="I2073" t="inlineStr">
        <is>
          <t>Undisclosed</t>
        </is>
      </c>
      <c r="J2073" t="inlineStr">
        <is>
          <t>WestBridge Capital</t>
        </is>
      </c>
      <c r="K2073" t="inlineStr">
        <is>
          <t>https://economictimes.indiatimes.com/tech/funding/unifyapps-raises-50-million-led-by-westbridge-capital-names-ragy-thomas-co-ceo/articleshow/124740188.cms</t>
        </is>
      </c>
    </row>
    <row r="2074">
      <c r="A2074" t="inlineStr">
        <is>
          <t>INC-20251025-02</t>
        </is>
      </c>
      <c r="B2074" t="inlineStr">
        <is>
          <t>R251022-unifyapps</t>
        </is>
      </c>
      <c r="C2074" t="inlineStr">
        <is>
          <t>Inc42</t>
        </is>
      </c>
      <c r="D2074" s="17" t="n">
        <v>45952</v>
      </c>
      <c r="E2074" t="inlineStr">
        <is>
          <t>UnifyApps</t>
        </is>
      </c>
      <c r="F2074" t="inlineStr">
        <is>
          <t>$50 Mn</t>
        </is>
      </c>
      <c r="G2074" s="19" t="n"/>
      <c r="H2074" s="19" t="n">
        <v>50</v>
      </c>
      <c r="I2074" t="inlineStr">
        <is>
          <t>Series B</t>
        </is>
      </c>
      <c r="J2074" t="inlineStr">
        <is>
          <t>WestBridge Capital</t>
        </is>
      </c>
      <c r="K2074" t="inlineStr">
        <is>
          <t>https://inc42.com/buzz/from-uniphore-to-unifyapps-indian-startups-raised-312-mn-this-week/</t>
        </is>
      </c>
    </row>
    <row r="2075">
      <c r="A2075" t="inlineStr">
        <is>
          <t>INC-20251025-01</t>
        </is>
      </c>
      <c r="B2075" t="inlineStr">
        <is>
          <t>R251022-uniphore</t>
        </is>
      </c>
      <c r="C2075" t="inlineStr">
        <is>
          <t>Inc42</t>
        </is>
      </c>
      <c r="D2075" s="17" t="n">
        <v>45952</v>
      </c>
      <c r="E2075" t="inlineStr">
        <is>
          <t>Uniphore</t>
        </is>
      </c>
      <c r="F2075" t="inlineStr">
        <is>
          <t>$260 Mn</t>
        </is>
      </c>
      <c r="G2075" s="19" t="n"/>
      <c r="H2075" s="19" t="n">
        <v>260</v>
      </c>
      <c r="I2075" t="inlineStr">
        <is>
          <t>Series F</t>
        </is>
      </c>
      <c r="J2075" t="inlineStr"/>
      <c r="K2075" t="inlineStr">
        <is>
          <t>https://inc42.com/buzz/from-uniphore-to-unifyapps-indian-startups-raised-312-mn-this-week/</t>
        </is>
      </c>
    </row>
    <row r="2076">
      <c r="A2076" t="inlineStr">
        <is>
          <t>ENT-10585707</t>
        </is>
      </c>
      <c r="B2076" t="inlineStr">
        <is>
          <t>R251022-uniphore</t>
        </is>
      </c>
      <c r="C2076" t="inlineStr">
        <is>
          <t>Entrackr</t>
        </is>
      </c>
      <c r="D2076" s="17" t="n">
        <v>45953</v>
      </c>
      <c r="E2076" t="inlineStr">
        <is>
          <t>Uniphore</t>
        </is>
      </c>
      <c r="F2076" t="inlineStr">
        <is>
          <t>$260 million</t>
        </is>
      </c>
      <c r="G2076" s="19" t="n"/>
      <c r="H2076" s="19" t="n">
        <v>260</v>
      </c>
      <c r="I2076" t="inlineStr">
        <is>
          <t>Series F</t>
        </is>
      </c>
      <c r="J2076" t="inlineStr"/>
      <c r="K2076" t="inlineStr">
        <is>
          <t>https://entrackr.com/news/uniphore-raises-260-mn-led-by-nvidia-and-others-10585707</t>
        </is>
      </c>
    </row>
    <row r="2077">
      <c r="A2077" t="inlineStr">
        <is>
          <t>ET-124755350</t>
        </is>
      </c>
      <c r="B2077" t="inlineStr">
        <is>
          <t>R251022-uniphore</t>
        </is>
      </c>
      <c r="C2077" t="inlineStr">
        <is>
          <t>The Economic Times</t>
        </is>
      </c>
      <c r="D2077" s="17" t="n">
        <v>45953</v>
      </c>
      <c r="E2077" t="inlineStr">
        <is>
          <t>Uniphore</t>
        </is>
      </c>
      <c r="F2077" t="inlineStr">
        <is>
          <t>$260 million</t>
        </is>
      </c>
      <c r="G2077" s="19" t="n"/>
      <c r="H2077" s="19" t="n">
        <v>260</v>
      </c>
      <c r="I2077" t="inlineStr">
        <is>
          <t>Undisclosed</t>
        </is>
      </c>
      <c r="J2077" t="inlineStr"/>
      <c r="K2077" t="inlineStr">
        <is>
          <t>https://economictimes.indiatimes.com/tech/funding/uniphore-closes-260-million-in-funding-from-nvidia-amd-others/articleshow/124755350.cms</t>
        </is>
      </c>
    </row>
    <row r="2078">
      <c r="A2078" t="inlineStr">
        <is>
          <t>INC-20251025-03</t>
        </is>
      </c>
      <c r="B2078" t="inlineStr">
        <is>
          <t>R251023-michezosports</t>
        </is>
      </c>
      <c r="C2078" t="inlineStr">
        <is>
          <t>Inc42</t>
        </is>
      </c>
      <c r="D2078" s="17" t="n">
        <v>45953</v>
      </c>
      <c r="E2078" t="inlineStr">
        <is>
          <t>Michezo Sports</t>
        </is>
      </c>
      <c r="F2078" t="inlineStr">
        <is>
          <t>$2.5 Mn</t>
        </is>
      </c>
      <c r="G2078" s="19" t="n"/>
      <c r="H2078" s="19" t="n">
        <v>2.5</v>
      </c>
      <c r="I2078" t="inlineStr">
        <is>
          <t>Undisclosed</t>
        </is>
      </c>
      <c r="J2078" t="inlineStr">
        <is>
          <t>Centre Court Capital</t>
        </is>
      </c>
      <c r="K2078" t="inlineStr">
        <is>
          <t>https://inc42.com/buzz/from-uniphore-to-unifyapps-indian-startups-raised-312-mn-this-week/</t>
        </is>
      </c>
    </row>
    <row r="2079">
      <c r="A2079" t="inlineStr">
        <is>
          <t>ENT-10589927</t>
        </is>
      </c>
      <c r="B2079" t="inlineStr">
        <is>
          <t>R251023-michezosports</t>
        </is>
      </c>
      <c r="C2079" t="inlineStr">
        <is>
          <t>Entrackr</t>
        </is>
      </c>
      <c r="D2079" s="17" t="n">
        <v>45954</v>
      </c>
      <c r="E2079" t="inlineStr">
        <is>
          <t>Michezo Sports</t>
        </is>
      </c>
      <c r="F2079" t="inlineStr">
        <is>
          <t>$2.5 million</t>
        </is>
      </c>
      <c r="G2079" s="19" t="n"/>
      <c r="H2079" s="19" t="n">
        <v>2.5</v>
      </c>
      <c r="I2079" t="inlineStr">
        <is>
          <t>Pre-Series A</t>
        </is>
      </c>
      <c r="J2079" t="inlineStr">
        <is>
          <t>Centre Court Capital</t>
        </is>
      </c>
      <c r="K2079" t="inlineStr">
        <is>
          <t>https://entrackr.com/snippets/michezo-sports-raises-25-mn-in-pre-series-a-funding-10589927</t>
        </is>
      </c>
    </row>
    <row r="2080">
      <c r="A2080" t="inlineStr">
        <is>
          <t>ET-124761864</t>
        </is>
      </c>
      <c r="B2080" t="inlineStr">
        <is>
          <t>R251023-pavebank</t>
        </is>
      </c>
      <c r="C2080" t="inlineStr">
        <is>
          <t>The Economic Times</t>
        </is>
      </c>
      <c r="D2080" s="17" t="n">
        <v>45953</v>
      </c>
      <c r="E2080" t="inlineStr">
        <is>
          <t>Pave Bank</t>
        </is>
      </c>
      <c r="F2080" t="inlineStr">
        <is>
          <t>$39 million</t>
        </is>
      </c>
      <c r="G2080" s="19" t="n">
        <v>343</v>
      </c>
      <c r="H2080" s="19" t="n">
        <v>39</v>
      </c>
      <c r="I2080" t="inlineStr">
        <is>
          <t>Undisclosed</t>
        </is>
      </c>
      <c r="J2080" t="inlineStr">
        <is>
          <t>Accel</t>
        </is>
      </c>
      <c r="K2080" t="inlineStr">
        <is>
          <t>https://economictimes.indiatimes.com/tech/funding/pave-bank-raises-39-million-in-funding-round-led-by-accel/articleshow/124761864.cms</t>
        </is>
      </c>
    </row>
    <row r="2081">
      <c r="A2081" t="inlineStr">
        <is>
          <t>ET-124784168</t>
        </is>
      </c>
      <c r="B2081" t="inlineStr">
        <is>
          <t>R251024-lenskart</t>
        </is>
      </c>
      <c r="C2081" t="inlineStr">
        <is>
          <t>The Economic Times</t>
        </is>
      </c>
      <c r="D2081" s="17" t="n">
        <v>45954</v>
      </c>
      <c r="E2081" t="inlineStr">
        <is>
          <t>Lenskart</t>
        </is>
      </c>
      <c r="F2081" t="inlineStr">
        <is>
          <t>Rs 90 crore</t>
        </is>
      </c>
      <c r="G2081" s="19" t="n">
        <v>90</v>
      </c>
      <c r="H2081" s="19" t="n"/>
      <c r="I2081" t="inlineStr">
        <is>
          <t>Pre-IPO</t>
        </is>
      </c>
      <c r="J2081" t="inlineStr"/>
      <c r="K2081" t="inlineStr">
        <is>
          <t>https://economictimes.indiatimes.com/tech/startups/dmarts-radhakishan-damani-invests-rs-90-crore-in-lenskart-ahead-of-ipo/articleshow/124784168.cms</t>
        </is>
      </c>
    </row>
    <row r="2082">
      <c r="A2082" t="inlineStr">
        <is>
          <t>ENT-10592396</t>
        </is>
      </c>
      <c r="B2082" t="inlineStr">
        <is>
          <t>R251025-relianceintell</t>
        </is>
      </c>
      <c r="C2082" t="inlineStr">
        <is>
          <t>Entrackr</t>
        </is>
      </c>
      <c r="D2082" s="17" t="n">
        <v>45955</v>
      </c>
      <c r="E2082" t="inlineStr">
        <is>
          <t>Reliance Intelligence Limited (RIL)</t>
        </is>
      </c>
      <c r="F2082" t="inlineStr">
        <is>
          <t>Rs 855 Cr</t>
        </is>
      </c>
      <c r="G2082" s="19" t="n">
        <v>855</v>
      </c>
      <c r="H2082" s="19" t="n"/>
      <c r="I2082" t="inlineStr">
        <is>
          <t>Undisclosed</t>
        </is>
      </c>
      <c r="J2082" t="inlineStr"/>
      <c r="K2082" t="inlineStr">
        <is>
          <t>https://entrackr.com/news/reliance-and-facebook-form-joint-venture-to-launch-ai-firm-invest-rs-855-cr-10592396</t>
        </is>
      </c>
    </row>
    <row r="2083">
      <c r="A2083" t="inlineStr">
        <is>
          <t>ENT-10597654</t>
        </is>
      </c>
      <c r="B2083" t="inlineStr">
        <is>
          <t>R251027-bananaclub</t>
        </is>
      </c>
      <c r="C2083" t="inlineStr">
        <is>
          <t>Entrackr</t>
        </is>
      </c>
      <c r="D2083" s="17" t="n">
        <v>45957</v>
      </c>
      <c r="E2083" t="inlineStr">
        <is>
          <t>Banana Club</t>
        </is>
      </c>
      <c r="F2083" t="inlineStr">
        <is>
          <t>Rs 12.25 crore</t>
        </is>
      </c>
      <c r="G2083" s="19" t="n">
        <v>12.25</v>
      </c>
      <c r="H2083" s="19" t="n"/>
      <c r="I2083" t="inlineStr">
        <is>
          <t>Seed</t>
        </is>
      </c>
      <c r="J2083" t="inlineStr"/>
      <c r="K2083" t="inlineStr">
        <is>
          <t>https://entrackr.com/snippets/clothing-brand-banana-club-raises-rs-1225-cr-at-rs-245-cr-valuation-10597654</t>
        </is>
      </c>
    </row>
    <row r="2084">
      <c r="A2084" t="inlineStr">
        <is>
          <t>INC-20251101-27</t>
        </is>
      </c>
      <c r="B2084" t="inlineStr">
        <is>
          <t>R251027-finallayer</t>
        </is>
      </c>
      <c r="C2084" t="inlineStr">
        <is>
          <t>Inc42</t>
        </is>
      </c>
      <c r="D2084" s="17" t="n">
        <v>45957</v>
      </c>
      <c r="E2084" t="inlineStr">
        <is>
          <t>FinalLayer</t>
        </is>
      </c>
      <c r="F2084" t="inlineStr"/>
      <c r="G2084" s="19" t="n"/>
      <c r="H2084" s="19" t="n"/>
      <c r="I2084" t="inlineStr">
        <is>
          <t>Undisclosed</t>
        </is>
      </c>
      <c r="J2084" t="inlineStr">
        <is>
          <t>Beyond Next Ventures</t>
        </is>
      </c>
      <c r="K2084" t="inlineStr">
        <is>
          <t>https://inc42.com/buzz/from-snapmint-to-snabbit-indian-startups-raised-371-mn-this-week/</t>
        </is>
      </c>
    </row>
    <row r="2085">
      <c r="A2085" t="inlineStr">
        <is>
          <t>ENT-10596575</t>
        </is>
      </c>
      <c r="B2085" t="inlineStr">
        <is>
          <t>R251027-hydgen</t>
        </is>
      </c>
      <c r="C2085" t="inlineStr">
        <is>
          <t>Entrackr</t>
        </is>
      </c>
      <c r="D2085" s="17" t="n">
        <v>45957</v>
      </c>
      <c r="E2085" t="inlineStr">
        <is>
          <t>HYDGEN</t>
        </is>
      </c>
      <c r="F2085" t="inlineStr">
        <is>
          <t>$5 million</t>
        </is>
      </c>
      <c r="G2085" s="19" t="n"/>
      <c r="H2085" s="19" t="n">
        <v>5</v>
      </c>
      <c r="I2085" t="inlineStr">
        <is>
          <t>Undisclosed</t>
        </is>
      </c>
      <c r="J2085" t="inlineStr">
        <is>
          <t>Transition VC</t>
        </is>
      </c>
      <c r="K2085" t="inlineStr">
        <is>
          <t>https://entrackr.com/snippets/hydgen-raises-5-mn-led-by-transition-vc-10596575</t>
        </is>
      </c>
    </row>
    <row r="2086">
      <c r="A2086" t="inlineStr">
        <is>
          <t>ET-124840361</t>
        </is>
      </c>
      <c r="B2086" t="inlineStr">
        <is>
          <t>R251027-hydgen</t>
        </is>
      </c>
      <c r="C2086" t="inlineStr">
        <is>
          <t>The Economic Times</t>
        </is>
      </c>
      <c r="D2086" s="17" t="n">
        <v>45957</v>
      </c>
      <c r="E2086" t="inlineStr">
        <is>
          <t>Hydgen</t>
        </is>
      </c>
      <c r="F2086" t="inlineStr">
        <is>
          <t>$5 million</t>
        </is>
      </c>
      <c r="G2086" s="19" t="n"/>
      <c r="H2086" s="19" t="n">
        <v>5</v>
      </c>
      <c r="I2086" t="inlineStr">
        <is>
          <t>Pre-Series A</t>
        </is>
      </c>
      <c r="J2086" t="inlineStr">
        <is>
          <t>Transition Venture capital</t>
        </is>
      </c>
      <c r="K2086" t="inlineStr">
        <is>
          <t>https://economictimes.indiatimes.com/tech/funding/green-hydrogen-startup-hydgen-raises-5-million-from-transition-venture-capital-others/articleshow/124840361.cms</t>
        </is>
      </c>
    </row>
    <row r="2087">
      <c r="A2087" t="inlineStr">
        <is>
          <t>INC-20251101-13</t>
        </is>
      </c>
      <c r="B2087" t="inlineStr">
        <is>
          <t>R251027-hydgen</t>
        </is>
      </c>
      <c r="C2087" t="inlineStr">
        <is>
          <t>Inc42</t>
        </is>
      </c>
      <c r="D2087" s="17" t="n">
        <v>45957</v>
      </c>
      <c r="E2087" t="inlineStr">
        <is>
          <t>HYDGEN</t>
        </is>
      </c>
      <c r="F2087" t="inlineStr">
        <is>
          <t>$5 Mn</t>
        </is>
      </c>
      <c r="G2087" s="19" t="n"/>
      <c r="H2087" s="19" t="n">
        <v>5</v>
      </c>
      <c r="I2087" t="inlineStr">
        <is>
          <t>Undisclosed</t>
        </is>
      </c>
      <c r="J2087" t="inlineStr">
        <is>
          <t>Transition VC</t>
        </is>
      </c>
      <c r="K2087" t="inlineStr">
        <is>
          <t>https://inc42.com/buzz/from-snapmint-to-snabbit-indian-startups-raised-371-mn-this-week/</t>
        </is>
      </c>
    </row>
    <row r="2088">
      <c r="A2088" t="inlineStr">
        <is>
          <t>ENT-10597182</t>
        </is>
      </c>
      <c r="B2088" t="inlineStr">
        <is>
          <t>R251027-neulife</t>
        </is>
      </c>
      <c r="C2088" t="inlineStr">
        <is>
          <t>Entrackr</t>
        </is>
      </c>
      <c r="D2088" s="17" t="n">
        <v>45957</v>
      </c>
      <c r="E2088" t="inlineStr">
        <is>
          <t>Neulife</t>
        </is>
      </c>
      <c r="F2088" t="inlineStr">
        <is>
          <t>$1 million</t>
        </is>
      </c>
      <c r="G2088" s="19" t="n"/>
      <c r="H2088" s="19" t="n">
        <v>1</v>
      </c>
      <c r="I2088" t="inlineStr">
        <is>
          <t>Seed</t>
        </is>
      </c>
      <c r="J2088" t="inlineStr">
        <is>
          <t>Subhkam Ventures; Singularity Ventures</t>
        </is>
      </c>
      <c r="K2088" t="inlineStr">
        <is>
          <t>https://entrackr.com/snippets/performance-nutrition-brand-neulife-raises-1-mn-in-seed-round-10597182</t>
        </is>
      </c>
    </row>
    <row r="2089">
      <c r="A2089" t="inlineStr">
        <is>
          <t>INC-20251101-22</t>
        </is>
      </c>
      <c r="B2089" t="inlineStr">
        <is>
          <t>R251027-neulife</t>
        </is>
      </c>
      <c r="C2089" t="inlineStr">
        <is>
          <t>Inc42</t>
        </is>
      </c>
      <c r="D2089" s="17" t="n">
        <v>45957</v>
      </c>
      <c r="E2089" t="inlineStr">
        <is>
          <t>Neulife</t>
        </is>
      </c>
      <c r="F2089" t="inlineStr">
        <is>
          <t>$1 Mn</t>
        </is>
      </c>
      <c r="G2089" s="19" t="n"/>
      <c r="H2089" s="19" t="n">
        <v>1</v>
      </c>
      <c r="I2089" t="inlineStr">
        <is>
          <t>Seed</t>
        </is>
      </c>
      <c r="J2089" t="inlineStr">
        <is>
          <t>Subhkam Ventures; Singularity Ventures</t>
        </is>
      </c>
      <c r="K2089" t="inlineStr">
        <is>
          <t>https://inc42.com/buzz/from-snapmint-to-snabbit-indian-startups-raised-371-mn-this-week/</t>
        </is>
      </c>
    </row>
    <row r="2090">
      <c r="A2090" t="inlineStr">
        <is>
          <t>ENT-10596885</t>
        </is>
      </c>
      <c r="B2090" t="inlineStr">
        <is>
          <t>R251027-versabytedatas</t>
        </is>
      </c>
      <c r="C2090" t="inlineStr">
        <is>
          <t>Entrackr</t>
        </is>
      </c>
      <c r="D2090" s="17" t="n">
        <v>45957</v>
      </c>
      <c r="E2090" t="inlineStr">
        <is>
          <t>Versabyte Data Systems</t>
        </is>
      </c>
      <c r="F2090" t="inlineStr"/>
      <c r="G2090" s="19" t="n"/>
      <c r="H2090" s="19" t="n"/>
      <c r="I2090" t="inlineStr">
        <is>
          <t>Undisclosed</t>
        </is>
      </c>
      <c r="J2090" t="inlineStr"/>
      <c r="K2090" t="inlineStr">
        <is>
          <t>https://entrackr.com/snippets/sanlayan-technologies-invests-in-versabyte-data-systems-10596885</t>
        </is>
      </c>
    </row>
    <row r="2091">
      <c r="A2091" t="inlineStr">
        <is>
          <t>ENT-10600054</t>
        </is>
      </c>
      <c r="B2091" t="inlineStr">
        <is>
          <t>R251028-cybrilla</t>
        </is>
      </c>
      <c r="C2091" t="inlineStr">
        <is>
          <t>Entrackr</t>
        </is>
      </c>
      <c r="D2091" s="17" t="n">
        <v>45958</v>
      </c>
      <c r="E2091" t="inlineStr">
        <is>
          <t>Cybrilla</t>
        </is>
      </c>
      <c r="F2091" t="inlineStr"/>
      <c r="G2091" s="19" t="n"/>
      <c r="H2091" s="19" t="n"/>
      <c r="I2091" t="inlineStr">
        <is>
          <t>Pre-Series A</t>
        </is>
      </c>
      <c r="J2091" t="inlineStr"/>
      <c r="K2091" t="inlineStr">
        <is>
          <t>https://entrackr.com/snippets/360-one-asset-invests-in-cybrillas-pre-series-a-round-10600054</t>
        </is>
      </c>
    </row>
    <row r="2092">
      <c r="A2092" t="inlineStr">
        <is>
          <t>INC-20251101-29</t>
        </is>
      </c>
      <c r="B2092" t="inlineStr">
        <is>
          <t>R251028-cybrilla</t>
        </is>
      </c>
      <c r="C2092" t="inlineStr">
        <is>
          <t>Inc42</t>
        </is>
      </c>
      <c r="D2092" s="17" t="n">
        <v>45958</v>
      </c>
      <c r="E2092" t="inlineStr">
        <is>
          <t>Cybrilla</t>
        </is>
      </c>
      <c r="F2092" t="inlineStr"/>
      <c r="G2092" s="19" t="n"/>
      <c r="H2092" s="19" t="n"/>
      <c r="I2092" t="inlineStr">
        <is>
          <t>Pre-Series A</t>
        </is>
      </c>
      <c r="J2092" t="inlineStr">
        <is>
          <t>360 ONE WAM</t>
        </is>
      </c>
      <c r="K2092" t="inlineStr">
        <is>
          <t>https://inc42.com/buzz/from-snapmint-to-snabbit-indian-startups-raised-371-mn-this-week/</t>
        </is>
      </c>
    </row>
    <row r="2093">
      <c r="A2093" t="inlineStr">
        <is>
          <t>ENT-10598883</t>
        </is>
      </c>
      <c r="B2093" t="inlineStr">
        <is>
          <t>R251028-gubbachhi</t>
        </is>
      </c>
      <c r="C2093" t="inlineStr">
        <is>
          <t>Entrackr</t>
        </is>
      </c>
      <c r="D2093" s="17" t="n">
        <v>45958</v>
      </c>
      <c r="E2093" t="inlineStr">
        <is>
          <t>Gubbachhi</t>
        </is>
      </c>
      <c r="F2093" t="inlineStr"/>
      <c r="G2093" s="19" t="n"/>
      <c r="H2093" s="19" t="n"/>
      <c r="I2093" t="inlineStr">
        <is>
          <t>Pre-Seed</t>
        </is>
      </c>
      <c r="J2093" t="inlineStr"/>
      <c r="K2093" t="inlineStr">
        <is>
          <t>https://entrackr.com/snippets/gubbachhi-raises-pre-seed-round-from-d2c-insider-super-angels-fund-10598883</t>
        </is>
      </c>
    </row>
    <row r="2094">
      <c r="A2094" t="inlineStr">
        <is>
          <t>ENT-10600487</t>
        </is>
      </c>
      <c r="B2094" t="inlineStr">
        <is>
          <t>R251028-optimocapital</t>
        </is>
      </c>
      <c r="C2094" t="inlineStr">
        <is>
          <t>Entrackr</t>
        </is>
      </c>
      <c r="D2094" s="17" t="n">
        <v>45958</v>
      </c>
      <c r="E2094" t="inlineStr">
        <is>
          <t>Optimo Capital</t>
        </is>
      </c>
      <c r="F2094" t="inlineStr">
        <is>
          <t>Rs 150 crore</t>
        </is>
      </c>
      <c r="G2094" s="19" t="n">
        <v>150</v>
      </c>
      <c r="H2094" s="19" t="n">
        <v>17.5</v>
      </c>
      <c r="I2094" t="inlineStr">
        <is>
          <t>Series A</t>
        </is>
      </c>
      <c r="J2094" t="inlineStr">
        <is>
          <t>Pitti</t>
        </is>
      </c>
      <c r="K2094" t="inlineStr">
        <is>
          <t>https://entrackr.com/news/prashant-pittis-optimo-capital-raises-rs-150-cr-in-series-a-round-10600487</t>
        </is>
      </c>
    </row>
    <row r="2095">
      <c r="A2095" t="inlineStr">
        <is>
          <t>ET-124868790</t>
        </is>
      </c>
      <c r="B2095" t="inlineStr">
        <is>
          <t>R251028-optimocapital</t>
        </is>
      </c>
      <c r="C2095" t="inlineStr">
        <is>
          <t>The Economic Times</t>
        </is>
      </c>
      <c r="D2095" s="17" t="n">
        <v>45958</v>
      </c>
      <c r="E2095" t="inlineStr">
        <is>
          <t>Optimo Capital</t>
        </is>
      </c>
      <c r="F2095" t="inlineStr">
        <is>
          <t>Rs 150 crore</t>
        </is>
      </c>
      <c r="G2095" s="19" t="n">
        <v>150</v>
      </c>
      <c r="H2095" s="19" t="n">
        <v>17.5</v>
      </c>
      <c r="I2095" t="inlineStr">
        <is>
          <t>Undisclosed</t>
        </is>
      </c>
      <c r="J2095" t="inlineStr">
        <is>
          <t>Pitti</t>
        </is>
      </c>
      <c r="K2095" t="inlineStr">
        <is>
          <t>https://economictimes.indiatimes.com/tech/funding/easemytrip-cofounder-prashant-pittis-nbfc-optimo-capital-raises-rs-150-crore-in-equity-funding/articleshow/124868790.cms</t>
        </is>
      </c>
    </row>
    <row r="2096">
      <c r="A2096" t="inlineStr">
        <is>
          <t>INC-20251101-06</t>
        </is>
      </c>
      <c r="B2096" t="inlineStr">
        <is>
          <t>R251028-optimocapital</t>
        </is>
      </c>
      <c r="C2096" t="inlineStr">
        <is>
          <t>Inc42</t>
        </is>
      </c>
      <c r="D2096" s="17" t="n">
        <v>45958</v>
      </c>
      <c r="E2096" t="inlineStr">
        <is>
          <t>Optimo Capital</t>
        </is>
      </c>
      <c r="F2096" t="inlineStr">
        <is>
          <t>$17.5 Mn</t>
        </is>
      </c>
      <c r="G2096" s="19" t="n"/>
      <c r="H2096" s="19" t="n">
        <v>17.5</v>
      </c>
      <c r="I2096" t="inlineStr">
        <is>
          <t>Series A</t>
        </is>
      </c>
      <c r="J2096" t="inlineStr">
        <is>
          <t>Prashant Pitti</t>
        </is>
      </c>
      <c r="K2096" t="inlineStr">
        <is>
          <t>https://inc42.com/buzz/from-snapmint-to-snabbit-indian-startups-raised-371-mn-this-week/</t>
        </is>
      </c>
    </row>
    <row r="2097">
      <c r="A2097" t="inlineStr">
        <is>
          <t>ENT-10600228</t>
        </is>
      </c>
      <c r="B2097" t="inlineStr">
        <is>
          <t>R251028-satarkai</t>
        </is>
      </c>
      <c r="C2097" t="inlineStr">
        <is>
          <t>Entrackr</t>
        </is>
      </c>
      <c r="D2097" s="17" t="n">
        <v>45958</v>
      </c>
      <c r="E2097" t="inlineStr">
        <is>
          <t>Satark AI</t>
        </is>
      </c>
      <c r="F2097" t="inlineStr">
        <is>
          <t>$3 million</t>
        </is>
      </c>
      <c r="G2097" s="19" t="n"/>
      <c r="H2097" s="19" t="n">
        <v>3</v>
      </c>
      <c r="I2097" t="inlineStr">
        <is>
          <t>Pre-Seed</t>
        </is>
      </c>
      <c r="J2097" t="inlineStr"/>
      <c r="K2097" t="inlineStr">
        <is>
          <t>https://entrackr.com/snippets/cyber-security-startup-satark-ai-raises-pre-seed-round-10600228</t>
        </is>
      </c>
    </row>
    <row r="2098">
      <c r="A2098" t="inlineStr">
        <is>
          <t>INC-20251101-28</t>
        </is>
      </c>
      <c r="B2098" t="inlineStr">
        <is>
          <t>R251028-satarkai</t>
        </is>
      </c>
      <c r="C2098" t="inlineStr">
        <is>
          <t>Inc42</t>
        </is>
      </c>
      <c r="D2098" s="17" t="n">
        <v>45959</v>
      </c>
      <c r="E2098" t="inlineStr">
        <is>
          <t>Satark AI</t>
        </is>
      </c>
      <c r="F2098" t="inlineStr"/>
      <c r="G2098" s="19" t="n"/>
      <c r="H2098" s="19" t="n"/>
      <c r="I2098" t="inlineStr">
        <is>
          <t>Pre-Seed</t>
        </is>
      </c>
      <c r="J2098" t="inlineStr">
        <is>
          <t>Infynno Solutions</t>
        </is>
      </c>
      <c r="K2098" t="inlineStr">
        <is>
          <t>https://inc42.com/buzz/from-snapmint-to-snabbit-indian-startups-raised-371-mn-this-week/</t>
        </is>
      </c>
    </row>
    <row r="2099">
      <c r="A2099" t="inlineStr">
        <is>
          <t>ENT-10600064</t>
        </is>
      </c>
      <c r="B2099" t="inlineStr">
        <is>
          <t>R251028-ticket9</t>
        </is>
      </c>
      <c r="C2099" t="inlineStr">
        <is>
          <t>Entrackr</t>
        </is>
      </c>
      <c r="D2099" s="17" t="n">
        <v>45958</v>
      </c>
      <c r="E2099" t="inlineStr">
        <is>
          <t>Ticket9</t>
        </is>
      </c>
      <c r="F2099" t="inlineStr"/>
      <c r="G2099" s="19" t="n"/>
      <c r="H2099" s="19" t="n"/>
      <c r="I2099" t="inlineStr">
        <is>
          <t>Undisclosed</t>
        </is>
      </c>
      <c r="J2099" t="inlineStr"/>
      <c r="K2099" t="inlineStr">
        <is>
          <t>https://entrackr.com/snippets/event-tech-startup-ticket9-raises-fresh-funds-10600064</t>
        </is>
      </c>
    </row>
    <row r="2100">
      <c r="A2100" t="inlineStr">
        <is>
          <t>ENT-10602888</t>
        </is>
      </c>
      <c r="B2100" t="inlineStr">
        <is>
          <t>R251029-fambo</t>
        </is>
      </c>
      <c r="C2100" t="inlineStr">
        <is>
          <t>Entrackr</t>
        </is>
      </c>
      <c r="D2100" s="17" t="n">
        <v>45959</v>
      </c>
      <c r="E2100" t="inlineStr">
        <is>
          <t>Fambo</t>
        </is>
      </c>
      <c r="F2100" t="inlineStr">
        <is>
          <t>Rs 21.55 crore</t>
        </is>
      </c>
      <c r="G2100" s="19" t="n">
        <v>21.55</v>
      </c>
      <c r="H2100" s="19" t="n"/>
      <c r="I2100" t="inlineStr">
        <is>
          <t>Series A</t>
        </is>
      </c>
      <c r="J2100" t="inlineStr">
        <is>
          <t>AgriSURE Fund</t>
        </is>
      </c>
      <c r="K2100" t="inlineStr">
        <is>
          <t>https://entrackr.com/snippets/fambo-raises-rs-2155-cr-series-a-round-led-by-agrisure-fund-10602888</t>
        </is>
      </c>
    </row>
    <row r="2101">
      <c r="A2101" t="inlineStr">
        <is>
          <t>INC-20251101-16</t>
        </is>
      </c>
      <c r="B2101" t="inlineStr">
        <is>
          <t>R251029-fambo</t>
        </is>
      </c>
      <c r="C2101" t="inlineStr">
        <is>
          <t>Inc42</t>
        </is>
      </c>
      <c r="D2101" s="17" t="n">
        <v>45959</v>
      </c>
      <c r="E2101" t="inlineStr">
        <is>
          <t>Fambo</t>
        </is>
      </c>
      <c r="F2101" t="inlineStr">
        <is>
          <t>$2.4 Mn</t>
        </is>
      </c>
      <c r="G2101" s="19" t="n"/>
      <c r="H2101" s="19" t="n">
        <v>2.4</v>
      </c>
      <c r="I2101" t="inlineStr">
        <is>
          <t>Undisclosed</t>
        </is>
      </c>
      <c r="J2101" t="inlineStr">
        <is>
          <t>AgriSURE Fund</t>
        </is>
      </c>
      <c r="K2101" t="inlineStr">
        <is>
          <t>https://inc42.com/buzz/from-snapmint-to-snabbit-indian-startups-raised-371-mn-this-week/</t>
        </is>
      </c>
    </row>
    <row r="2102">
      <c r="A2102" t="inlineStr">
        <is>
          <t>ENT-10602925</t>
        </is>
      </c>
      <c r="B2102" t="inlineStr">
        <is>
          <t>R251029-happiplanet</t>
        </is>
      </c>
      <c r="C2102" t="inlineStr">
        <is>
          <t>Entrackr</t>
        </is>
      </c>
      <c r="D2102" s="17" t="n">
        <v>45959</v>
      </c>
      <c r="E2102" t="inlineStr">
        <is>
          <t>Happi Planet</t>
        </is>
      </c>
      <c r="F2102" t="inlineStr">
        <is>
          <t>$2 million</t>
        </is>
      </c>
      <c r="G2102" s="19" t="n">
        <v>18</v>
      </c>
      <c r="H2102" s="19" t="n">
        <v>2</v>
      </c>
      <c r="I2102" t="inlineStr">
        <is>
          <t>Undisclosed</t>
        </is>
      </c>
      <c r="J2102" t="inlineStr">
        <is>
          <t>Fireside Ventures; Prath Ventures</t>
        </is>
      </c>
      <c r="K2102" t="inlineStr">
        <is>
          <t>https://entrackr.com/snippets/home-care-products-maker-happi-planet-raises-2-mn-10602925</t>
        </is>
      </c>
    </row>
    <row r="2103">
      <c r="A2103" t="inlineStr">
        <is>
          <t>ET-124880881</t>
        </is>
      </c>
      <c r="B2103" t="inlineStr">
        <is>
          <t>R251029-happiplanet</t>
        </is>
      </c>
      <c r="C2103" t="inlineStr">
        <is>
          <t>The Economic Times</t>
        </is>
      </c>
      <c r="D2103" s="17" t="n">
        <v>45959</v>
      </c>
      <c r="E2103" t="inlineStr">
        <is>
          <t>Happi Planet</t>
        </is>
      </c>
      <c r="F2103" t="inlineStr">
        <is>
          <t>Rs 18 crore</t>
        </is>
      </c>
      <c r="G2103" s="19" t="n">
        <v>18</v>
      </c>
      <c r="H2103" s="19" t="n">
        <v>2</v>
      </c>
      <c r="I2103" t="inlineStr">
        <is>
          <t>Undisclosed</t>
        </is>
      </c>
      <c r="J2103" t="inlineStr">
        <is>
          <t>Fireside Ventures; Prath Ventures</t>
        </is>
      </c>
      <c r="K2103" t="inlineStr">
        <is>
          <t>https://economictimes.indiatimes.com/tech/funding/home-care-startup-happi-planet-raises-2-million-from-fireside-prath-ventures/articleshow/124880881.cms</t>
        </is>
      </c>
    </row>
    <row r="2104">
      <c r="A2104" t="inlineStr">
        <is>
          <t>INC-20251101-18</t>
        </is>
      </c>
      <c r="B2104" t="inlineStr">
        <is>
          <t>R251029-happiplanet</t>
        </is>
      </c>
      <c r="C2104" t="inlineStr">
        <is>
          <t>Inc42</t>
        </is>
      </c>
      <c r="D2104" s="17" t="n">
        <v>45959</v>
      </c>
      <c r="E2104" t="inlineStr">
        <is>
          <t>Happi Planet</t>
        </is>
      </c>
      <c r="F2104" t="inlineStr">
        <is>
          <t>$2 Mn</t>
        </is>
      </c>
      <c r="G2104" s="19" t="n"/>
      <c r="H2104" s="19" t="n">
        <v>2</v>
      </c>
      <c r="I2104" t="inlineStr">
        <is>
          <t>Undisclosed</t>
        </is>
      </c>
      <c r="J2104" t="inlineStr">
        <is>
          <t>Fireside Ventures</t>
        </is>
      </c>
      <c r="K2104" t="inlineStr">
        <is>
          <t>https://inc42.com/buzz/from-snapmint-to-snabbit-indian-startups-raised-371-mn-this-week/</t>
        </is>
      </c>
    </row>
    <row r="2105">
      <c r="A2105" t="inlineStr">
        <is>
          <t>ET-124908900</t>
        </is>
      </c>
      <c r="B2105" t="inlineStr">
        <is>
          <t>R251029-jupiter</t>
        </is>
      </c>
      <c r="C2105" t="inlineStr">
        <is>
          <t>The Economic Times</t>
        </is>
      </c>
      <c r="D2105" s="17" t="n">
        <v>45959</v>
      </c>
      <c r="E2105" t="inlineStr">
        <is>
          <t>Jupiter</t>
        </is>
      </c>
      <c r="F2105" t="inlineStr">
        <is>
          <t>$15 million</t>
        </is>
      </c>
      <c r="G2105" s="19" t="n">
        <v>115</v>
      </c>
      <c r="H2105" s="19" t="n">
        <v>15</v>
      </c>
      <c r="I2105" t="inlineStr">
        <is>
          <t>Undisclosed</t>
        </is>
      </c>
      <c r="J2105" t="inlineStr"/>
      <c r="K2105" t="inlineStr">
        <is>
          <t>https://economictimes.indiatimes.com/tech/funding/jupiter-secures-15-million-from-existing-investors-valuation-remains-flat-at-600-million/articleshow/124908900.cms</t>
        </is>
      </c>
    </row>
    <row r="2106">
      <c r="A2106" t="inlineStr">
        <is>
          <t>ENT-10606028</t>
        </is>
      </c>
      <c r="B2106" t="inlineStr">
        <is>
          <t>R251029-jupiter</t>
        </is>
      </c>
      <c r="C2106" t="inlineStr">
        <is>
          <t>Entrackr</t>
        </is>
      </c>
      <c r="D2106" s="17" t="n">
        <v>45960</v>
      </c>
      <c r="E2106" t="inlineStr">
        <is>
          <t>Jupiter Money</t>
        </is>
      </c>
      <c r="F2106" t="inlineStr">
        <is>
          <t>$15 million</t>
        </is>
      </c>
      <c r="G2106" s="19" t="n">
        <v>115</v>
      </c>
      <c r="H2106" s="19" t="n">
        <v>15</v>
      </c>
      <c r="I2106" t="inlineStr">
        <is>
          <t>Undisclosed</t>
        </is>
      </c>
      <c r="J2106" t="inlineStr"/>
      <c r="K2106" t="inlineStr">
        <is>
          <t>https://entrackr.com/news/jupiter-money-raises-15-mn-from-mirae-asset-beenext-and-3one4-capital-10606028</t>
        </is>
      </c>
    </row>
    <row r="2107">
      <c r="A2107" t="inlineStr">
        <is>
          <t>INC-20251101-07</t>
        </is>
      </c>
      <c r="B2107" t="inlineStr">
        <is>
          <t>R251029-jupiter</t>
        </is>
      </c>
      <c r="C2107" t="inlineStr">
        <is>
          <t>Inc42</t>
        </is>
      </c>
      <c r="D2107" s="17" t="n">
        <v>45960</v>
      </c>
      <c r="E2107" t="inlineStr">
        <is>
          <t>Jupiter</t>
        </is>
      </c>
      <c r="F2107" t="inlineStr">
        <is>
          <t>$15 Mn</t>
        </is>
      </c>
      <c r="G2107" s="19" t="n"/>
      <c r="H2107" s="19" t="n">
        <v>15</v>
      </c>
      <c r="I2107" t="inlineStr">
        <is>
          <t>Undisclosed</t>
        </is>
      </c>
      <c r="J2107" t="inlineStr"/>
      <c r="K2107" t="inlineStr">
        <is>
          <t>https://inc42.com/buzz/from-snapmint-to-snabbit-indian-startups-raised-371-mn-this-week/</t>
        </is>
      </c>
    </row>
    <row r="2108">
      <c r="A2108" t="inlineStr">
        <is>
          <t>VCC-f66b9eec16</t>
        </is>
      </c>
      <c r="B2108" t="inlineStr">
        <is>
          <t>R251029-jupiter</t>
        </is>
      </c>
      <c r="C2108" t="inlineStr">
        <is>
          <t>VCCircle</t>
        </is>
      </c>
      <c r="D2108" s="17" t="n">
        <v>45960</v>
      </c>
      <c r="E2108" t="inlineStr">
        <is>
          <t>vcbacked jupiter</t>
        </is>
      </c>
      <c r="F2108" t="inlineStr">
        <is>
          <t>$ 13 million</t>
        </is>
      </c>
      <c r="G2108" s="19" t="n"/>
      <c r="H2108" s="19" t="n">
        <v>13</v>
      </c>
      <c r="I2108" t="inlineStr">
        <is>
          <t>Undisclosed</t>
        </is>
      </c>
      <c r="J2108" t="inlineStr"/>
      <c r="K2108" t="inlineStr">
        <is>
          <t>https://www.vccircle.com/vcbacked-jupiter-raises-13-mn-from-existing-investors</t>
        </is>
      </c>
    </row>
    <row r="2109">
      <c r="A2109" t="inlineStr">
        <is>
          <t>INC-20251101-11</t>
        </is>
      </c>
      <c r="B2109" t="inlineStr">
        <is>
          <t>R251029-lyzr</t>
        </is>
      </c>
      <c r="C2109" t="inlineStr">
        <is>
          <t>Inc42</t>
        </is>
      </c>
      <c r="D2109" s="17" t="n">
        <v>45959</v>
      </c>
      <c r="E2109" t="inlineStr">
        <is>
          <t>Lyzr</t>
        </is>
      </c>
      <c r="F2109" t="inlineStr">
        <is>
          <t>$8 Mn</t>
        </is>
      </c>
      <c r="G2109" s="19" t="n"/>
      <c r="H2109" s="19" t="n">
        <v>8</v>
      </c>
      <c r="I2109" t="inlineStr">
        <is>
          <t>Series A</t>
        </is>
      </c>
      <c r="J2109" t="inlineStr">
        <is>
          <t>Rocketship.vc</t>
        </is>
      </c>
      <c r="K2109" t="inlineStr">
        <is>
          <t>https://inc42.com/buzz/from-snapmint-to-snabbit-indian-startups-raised-371-mn-this-week/</t>
        </is>
      </c>
    </row>
    <row r="2110">
      <c r="A2110" t="inlineStr">
        <is>
          <t>ENT-10602602</t>
        </is>
      </c>
      <c r="B2110" t="inlineStr">
        <is>
          <t>R251029-mem0</t>
        </is>
      </c>
      <c r="C2110" t="inlineStr">
        <is>
          <t>Entrackr</t>
        </is>
      </c>
      <c r="D2110" s="17" t="n">
        <v>45959</v>
      </c>
      <c r="E2110" t="inlineStr">
        <is>
          <t>Mem0</t>
        </is>
      </c>
      <c r="F2110" t="inlineStr">
        <is>
          <t>$24 million</t>
        </is>
      </c>
      <c r="G2110" s="19" t="n"/>
      <c r="H2110" s="19" t="n">
        <v>24</v>
      </c>
      <c r="I2110" t="inlineStr">
        <is>
          <t>Series A</t>
        </is>
      </c>
      <c r="J2110" t="inlineStr">
        <is>
          <t>Basis Set Ventures</t>
        </is>
      </c>
      <c r="K2110" t="inlineStr">
        <is>
          <t>https://entrackr.com/snippets/mem0-raises-24-mn-in-series-a-round-10602602</t>
        </is>
      </c>
    </row>
    <row r="2111">
      <c r="A2111" t="inlineStr">
        <is>
          <t>ET-124896884</t>
        </is>
      </c>
      <c r="B2111" t="inlineStr">
        <is>
          <t>R251029-mem0</t>
        </is>
      </c>
      <c r="C2111" t="inlineStr">
        <is>
          <t>The Economic Times</t>
        </is>
      </c>
      <c r="D2111" s="17" t="n">
        <v>45959</v>
      </c>
      <c r="E2111" t="inlineStr">
        <is>
          <t>Mem0</t>
        </is>
      </c>
      <c r="F2111" t="inlineStr">
        <is>
          <t>$24 million</t>
        </is>
      </c>
      <c r="G2111" s="19" t="n"/>
      <c r="H2111" s="19" t="n">
        <v>24</v>
      </c>
      <c r="I2111" t="inlineStr">
        <is>
          <t>Undisclosed</t>
        </is>
      </c>
      <c r="J2111" t="inlineStr">
        <is>
          <t>Basis Set Ventures</t>
        </is>
      </c>
      <c r="K2111" t="inlineStr">
        <is>
          <t>https://economictimes.indiatimes.com/tech/funding/mem0-raises-24-million-from-basis-set-ventures-peak-xv-ventures-others/articleshow/124896884.cms</t>
        </is>
      </c>
    </row>
    <row r="2112">
      <c r="A2112" t="inlineStr">
        <is>
          <t>INC-20251101-05</t>
        </is>
      </c>
      <c r="B2112" t="inlineStr">
        <is>
          <t>R251029-mem0</t>
        </is>
      </c>
      <c r="C2112" t="inlineStr">
        <is>
          <t>Inc42</t>
        </is>
      </c>
      <c r="D2112" s="17" t="n">
        <v>45959</v>
      </c>
      <c r="E2112" t="inlineStr">
        <is>
          <t>Mem0</t>
        </is>
      </c>
      <c r="F2112" t="inlineStr">
        <is>
          <t>$24 Mn</t>
        </is>
      </c>
      <c r="G2112" s="19" t="n"/>
      <c r="H2112" s="19" t="n">
        <v>24</v>
      </c>
      <c r="I2112" t="inlineStr">
        <is>
          <t>Series A</t>
        </is>
      </c>
      <c r="J2112" t="inlineStr">
        <is>
          <t>Basis Set Ventures</t>
        </is>
      </c>
      <c r="K2112" t="inlineStr">
        <is>
          <t>https://inc42.com/buzz/from-snapmint-to-snabbit-indian-startups-raised-371-mn-this-week/</t>
        </is>
      </c>
    </row>
    <row r="2113">
      <c r="A2113" t="inlineStr">
        <is>
          <t>INC-20251101-30</t>
        </is>
      </c>
      <c r="B2113" t="inlineStr">
        <is>
          <t>R251029-novanova</t>
        </is>
      </c>
      <c r="C2113" t="inlineStr">
        <is>
          <t>Inc42</t>
        </is>
      </c>
      <c r="D2113" s="17" t="n">
        <v>45959</v>
      </c>
      <c r="E2113" t="inlineStr">
        <is>
          <t>Nova Nova</t>
        </is>
      </c>
      <c r="F2113" t="inlineStr"/>
      <c r="G2113" s="19" t="n"/>
      <c r="H2113" s="19" t="n"/>
      <c r="I2113" t="inlineStr">
        <is>
          <t>Pre-Series A</t>
        </is>
      </c>
      <c r="J2113" t="inlineStr">
        <is>
          <t>Enrission India Capital</t>
        </is>
      </c>
      <c r="K2113" t="inlineStr">
        <is>
          <t>https://inc42.com/buzz/from-snapmint-to-snabbit-indian-startups-raised-371-mn-this-week/</t>
        </is>
      </c>
    </row>
    <row r="2114">
      <c r="A2114" t="inlineStr">
        <is>
          <t>ENT-10603381</t>
        </is>
      </c>
      <c r="B2114" t="inlineStr">
        <is>
          <t>R251029-oroos</t>
        </is>
      </c>
      <c r="C2114" t="inlineStr">
        <is>
          <t>Entrackr</t>
        </is>
      </c>
      <c r="D2114" s="17" t="n">
        <v>45959</v>
      </c>
      <c r="E2114" t="inlineStr">
        <is>
          <t>Oroos</t>
        </is>
      </c>
      <c r="F2114" t="inlineStr">
        <is>
          <t>Rs 20 crore</t>
        </is>
      </c>
      <c r="G2114" s="19" t="n">
        <v>20</v>
      </c>
      <c r="H2114" s="19" t="n">
        <v>2.26</v>
      </c>
      <c r="I2114" t="inlineStr">
        <is>
          <t>Undisclosed</t>
        </is>
      </c>
      <c r="J2114" t="inlineStr">
        <is>
          <t>Fireside Ventures</t>
        </is>
      </c>
      <c r="K2114" t="inlineStr">
        <is>
          <t>https://entrackr.com/snippets/confectionery-brand-oroos-raises-rs-20-cr-from-fireside-sbi-others-10603381</t>
        </is>
      </c>
    </row>
    <row r="2115">
      <c r="A2115" t="inlineStr">
        <is>
          <t>INC-20251101-17</t>
        </is>
      </c>
      <c r="B2115" t="inlineStr">
        <is>
          <t>R251029-oroos</t>
        </is>
      </c>
      <c r="C2115" t="inlineStr">
        <is>
          <t>Inc42</t>
        </is>
      </c>
      <c r="D2115" s="17" t="n">
        <v>45959</v>
      </c>
      <c r="E2115" t="inlineStr">
        <is>
          <t>Oroos</t>
        </is>
      </c>
      <c r="F2115" t="inlineStr">
        <is>
          <t>$2.3 Mn</t>
        </is>
      </c>
      <c r="G2115" s="19" t="n"/>
      <c r="H2115" s="19" t="n">
        <v>2.3</v>
      </c>
      <c r="I2115" t="inlineStr">
        <is>
          <t>Undisclosed</t>
        </is>
      </c>
      <c r="J2115" t="inlineStr">
        <is>
          <t>Fireside Ventures</t>
        </is>
      </c>
      <c r="K2115" t="inlineStr">
        <is>
          <t>https://inc42.com/buzz/from-snapmint-to-snabbit-indian-startups-raised-371-mn-this-week/</t>
        </is>
      </c>
    </row>
    <row r="2116">
      <c r="A2116" t="inlineStr">
        <is>
          <t>ENT-10604410</t>
        </is>
      </c>
      <c r="B2116" t="inlineStr">
        <is>
          <t>R251029-savesage</t>
        </is>
      </c>
      <c r="C2116" t="inlineStr">
        <is>
          <t>Entrackr</t>
        </is>
      </c>
      <c r="D2116" s="17" t="n">
        <v>45959</v>
      </c>
      <c r="E2116" t="inlineStr">
        <is>
          <t>SaveSage</t>
        </is>
      </c>
      <c r="F2116" t="inlineStr">
        <is>
          <t>$1 million</t>
        </is>
      </c>
      <c r="G2116" s="19" t="n"/>
      <c r="H2116" s="19" t="n">
        <v>1</v>
      </c>
      <c r="I2116" t="inlineStr">
        <is>
          <t>Pre-Seed</t>
        </is>
      </c>
      <c r="J2116" t="inlineStr">
        <is>
          <t>Bhavesh Gupta; N.R. Narayanan; Lalit Wadhwa; DSP Family Office; Venture Catalysts; Suvrat Sehgal</t>
        </is>
      </c>
      <c r="K2116" t="inlineStr">
        <is>
          <t>https://entrackr.com/snippets/savesage-raises-1-mn-in-pre-seed-round-10604410</t>
        </is>
      </c>
    </row>
    <row r="2117">
      <c r="A2117" t="inlineStr">
        <is>
          <t>INC-20251101-23</t>
        </is>
      </c>
      <c r="B2117" t="inlineStr">
        <is>
          <t>R251029-savesage</t>
        </is>
      </c>
      <c r="C2117" t="inlineStr">
        <is>
          <t>Inc42</t>
        </is>
      </c>
      <c r="D2117" s="17" t="n">
        <v>45959</v>
      </c>
      <c r="E2117" t="inlineStr">
        <is>
          <t>SaveSage</t>
        </is>
      </c>
      <c r="F2117" t="inlineStr">
        <is>
          <t>$1 Mn</t>
        </is>
      </c>
      <c r="G2117" s="19" t="n"/>
      <c r="H2117" s="19" t="n">
        <v>1</v>
      </c>
      <c r="I2117" t="inlineStr">
        <is>
          <t>Pre-Seed</t>
        </is>
      </c>
      <c r="J2117" t="inlineStr"/>
      <c r="K2117" t="inlineStr">
        <is>
          <t>https://inc42.com/buzz/from-snapmint-to-snabbit-indian-startups-raised-371-mn-this-week/</t>
        </is>
      </c>
    </row>
    <row r="2118">
      <c r="A2118" t="inlineStr">
        <is>
          <t>ENT-10602971</t>
        </is>
      </c>
      <c r="B2118" t="inlineStr">
        <is>
          <t>R251029-stampmyvisa</t>
        </is>
      </c>
      <c r="C2118" t="inlineStr">
        <is>
          <t>Entrackr</t>
        </is>
      </c>
      <c r="D2118" s="17" t="n">
        <v>45959</v>
      </c>
      <c r="E2118" t="inlineStr">
        <is>
          <t>StampMyVisa</t>
        </is>
      </c>
      <c r="F2118" t="inlineStr">
        <is>
          <t>Rs 4 crore</t>
        </is>
      </c>
      <c r="G2118" s="19" t="n">
        <v>4</v>
      </c>
      <c r="H2118" s="19" t="n"/>
      <c r="I2118" t="inlineStr">
        <is>
          <t>Bridge</t>
        </is>
      </c>
      <c r="J2118" t="inlineStr">
        <is>
          <t>Unicorn India Ventures</t>
        </is>
      </c>
      <c r="K2118" t="inlineStr">
        <is>
          <t>https://entrackr.com/snippets/stampmyvisa-raises-rs-4-cr-in-bridge-round-led-by-unicorn-india-ventures-10602971</t>
        </is>
      </c>
    </row>
    <row r="2119">
      <c r="A2119" t="inlineStr">
        <is>
          <t>ET-124893392</t>
        </is>
      </c>
      <c r="B2119" t="inlineStr">
        <is>
          <t>R251029-stampmyvisa</t>
        </is>
      </c>
      <c r="C2119" t="inlineStr">
        <is>
          <t>The Economic Times</t>
        </is>
      </c>
      <c r="D2119" s="17" t="n">
        <v>45959</v>
      </c>
      <c r="E2119" t="inlineStr">
        <is>
          <t>StampMyVisa</t>
        </is>
      </c>
      <c r="F2119" t="inlineStr">
        <is>
          <t>Rs 4 crore</t>
        </is>
      </c>
      <c r="G2119" s="19" t="n">
        <v>4</v>
      </c>
      <c r="H2119" s="19" t="n"/>
      <c r="I2119" t="inlineStr">
        <is>
          <t>Undisclosed</t>
        </is>
      </c>
      <c r="J2119" t="inlineStr">
        <is>
          <t>Unicorn India Ventures</t>
        </is>
      </c>
      <c r="K2119" t="inlineStr">
        <is>
          <t>https://economictimes.indiatimes.com/tech/funding/b2b-visa-processing-startup-stampmyvisa-raises-rs-4-crore-from-unicorn-india-ventures/articleshow/124893392.cms</t>
        </is>
      </c>
    </row>
    <row r="2120">
      <c r="A2120" t="inlineStr">
        <is>
          <t>INC-20251101-25</t>
        </is>
      </c>
      <c r="B2120" t="inlineStr">
        <is>
          <t>R251029-stampmyvisa</t>
        </is>
      </c>
      <c r="C2120" t="inlineStr">
        <is>
          <t>Inc42</t>
        </is>
      </c>
      <c r="D2120" s="17" t="n">
        <v>45959</v>
      </c>
      <c r="E2120" t="inlineStr">
        <is>
          <t>StampMyVista</t>
        </is>
      </c>
      <c r="F2120" t="inlineStr">
        <is>
          <t>$451K</t>
        </is>
      </c>
      <c r="G2120" s="19" t="n"/>
      <c r="H2120" s="19" t="n">
        <v>0.451</v>
      </c>
      <c r="I2120" t="inlineStr">
        <is>
          <t>Undisclosed</t>
        </is>
      </c>
      <c r="J2120" t="inlineStr">
        <is>
          <t>Unicorn India Ventures</t>
        </is>
      </c>
      <c r="K2120" t="inlineStr">
        <is>
          <t>https://inc42.com/buzz/from-snapmint-to-snabbit-indian-startups-raised-371-mn-this-week/</t>
        </is>
      </c>
    </row>
    <row r="2121">
      <c r="A2121" t="inlineStr">
        <is>
          <t>ENT-10602912</t>
        </is>
      </c>
      <c r="B2121" t="inlineStr">
        <is>
          <t>R251029-tsuyomanufactu</t>
        </is>
      </c>
      <c r="C2121" t="inlineStr">
        <is>
          <t>Entrackr</t>
        </is>
      </c>
      <c r="D2121" s="17" t="n">
        <v>45959</v>
      </c>
      <c r="E2121" t="inlineStr">
        <is>
          <t>Tsuyo Manufacturing</t>
        </is>
      </c>
      <c r="F2121" t="inlineStr">
        <is>
          <t>$4.5 million</t>
        </is>
      </c>
      <c r="G2121" s="19" t="n"/>
      <c r="H2121" s="19" t="n">
        <v>4.5</v>
      </c>
      <c r="I2121" t="inlineStr">
        <is>
          <t>Undisclosed</t>
        </is>
      </c>
      <c r="J2121" t="inlineStr">
        <is>
          <t>Avaana Capital</t>
        </is>
      </c>
      <c r="K2121" t="inlineStr">
        <is>
          <t>https://entrackr.com/snippets/tsuyo-manufacturing-raises-45-mn-round-led-by-avaana-capital-10602912</t>
        </is>
      </c>
    </row>
    <row r="2122">
      <c r="A2122" t="inlineStr">
        <is>
          <t>ET-124880745</t>
        </is>
      </c>
      <c r="B2122" t="inlineStr">
        <is>
          <t>R251029-tsuyomanufactu</t>
        </is>
      </c>
      <c r="C2122" t="inlineStr">
        <is>
          <t>The Economic Times</t>
        </is>
      </c>
      <c r="D2122" s="17" t="n">
        <v>45959</v>
      </c>
      <c r="E2122" t="inlineStr">
        <is>
          <t>Tsuyo Manufacturing</t>
        </is>
      </c>
      <c r="F2122" t="inlineStr">
        <is>
          <t>$4.5 million</t>
        </is>
      </c>
      <c r="G2122" s="19" t="n"/>
      <c r="H2122" s="19" t="n">
        <v>4.5</v>
      </c>
      <c r="I2122" t="inlineStr">
        <is>
          <t>Undisclosed</t>
        </is>
      </c>
      <c r="J2122" t="inlineStr">
        <is>
          <t>Avaana Capital</t>
        </is>
      </c>
      <c r="K2122" t="inlineStr">
        <is>
          <t>https://economictimes.indiatimes.com/tech/funding/mobility-startup-tsuyo-manufacturing-raises-4-5-million-in-round-led-by-avaana-capital/articleshow/124880745.cms</t>
        </is>
      </c>
    </row>
    <row r="2123">
      <c r="A2123" t="inlineStr">
        <is>
          <t>INC-20251101-14</t>
        </is>
      </c>
      <c r="B2123" t="inlineStr">
        <is>
          <t>R251029-tsuyomanufactu</t>
        </is>
      </c>
      <c r="C2123" t="inlineStr">
        <is>
          <t>Inc42</t>
        </is>
      </c>
      <c r="D2123" s="17" t="n">
        <v>45959</v>
      </c>
      <c r="E2123" t="inlineStr">
        <is>
          <t>TSUYO Manufacturing</t>
        </is>
      </c>
      <c r="F2123" t="inlineStr">
        <is>
          <t>$4.5 Mn</t>
        </is>
      </c>
      <c r="G2123" s="19" t="n"/>
      <c r="H2123" s="19" t="n">
        <v>4.5</v>
      </c>
      <c r="I2123" t="inlineStr">
        <is>
          <t>Pre-Series A</t>
        </is>
      </c>
      <c r="J2123" t="inlineStr">
        <is>
          <t>Avaana Capital</t>
        </is>
      </c>
      <c r="K2123" t="inlineStr">
        <is>
          <t>https://inc42.com/buzz/from-snapmint-to-snabbit-indian-startups-raised-371-mn-this-week/</t>
        </is>
      </c>
    </row>
    <row r="2124">
      <c r="A2124" t="inlineStr">
        <is>
          <t>ENT-10606880</t>
        </is>
      </c>
      <c r="B2124" t="inlineStr">
        <is>
          <t>R251030-beyondrenewabl</t>
        </is>
      </c>
      <c r="C2124" t="inlineStr">
        <is>
          <t>Entrackr</t>
        </is>
      </c>
      <c r="D2124" s="17" t="n">
        <v>45960</v>
      </c>
      <c r="E2124" t="inlineStr">
        <is>
          <t>Beyond Renewables &amp; Recycling</t>
        </is>
      </c>
      <c r="F2124" t="inlineStr">
        <is>
          <t>Rs 5 crore</t>
        </is>
      </c>
      <c r="G2124" s="19" t="n">
        <v>5</v>
      </c>
      <c r="H2124" s="19" t="n"/>
      <c r="I2124" t="inlineStr">
        <is>
          <t>Pre-Seed</t>
        </is>
      </c>
      <c r="J2124" t="inlineStr">
        <is>
          <t>Momentum Capital; IIMA Ventures; Oorjan Cleantech; Gautam Das</t>
        </is>
      </c>
      <c r="K2124" t="inlineStr">
        <is>
          <t>https://entrackr.com/snippets/beyond-renewables-recycling-raises-pre-seed-round-led-by-momentum-capital-10606880</t>
        </is>
      </c>
    </row>
    <row r="2125">
      <c r="A2125" t="inlineStr">
        <is>
          <t>INC-20251101-24</t>
        </is>
      </c>
      <c r="B2125" t="inlineStr">
        <is>
          <t>R251030-beyondrenewabl</t>
        </is>
      </c>
      <c r="C2125" t="inlineStr">
        <is>
          <t>Inc42</t>
        </is>
      </c>
      <c r="D2125" s="17" t="n">
        <v>45960</v>
      </c>
      <c r="E2125" t="inlineStr">
        <is>
          <t>Beyond Renewables &amp; Recycling</t>
        </is>
      </c>
      <c r="F2125" t="inlineStr">
        <is>
          <t>$563K</t>
        </is>
      </c>
      <c r="G2125" s="19" t="n"/>
      <c r="H2125" s="19" t="n">
        <v>0.5629999999999999</v>
      </c>
      <c r="I2125" t="inlineStr">
        <is>
          <t>Pre-Seed</t>
        </is>
      </c>
      <c r="J2125" t="inlineStr">
        <is>
          <t>Momentum Capital</t>
        </is>
      </c>
      <c r="K2125" t="inlineStr">
        <is>
          <t>https://inc42.com/buzz/from-snapmint-to-snabbit-indian-startups-raised-371-mn-this-week/</t>
        </is>
      </c>
    </row>
    <row r="2126">
      <c r="A2126" t="inlineStr">
        <is>
          <t>INC-20251101-02</t>
        </is>
      </c>
      <c r="B2126" t="inlineStr">
        <is>
          <t>R251030-dripcapital</t>
        </is>
      </c>
      <c r="C2126" t="inlineStr">
        <is>
          <t>Inc42</t>
        </is>
      </c>
      <c r="D2126" s="17" t="n">
        <v>45960</v>
      </c>
      <c r="E2126" t="inlineStr">
        <is>
          <t>Drip Capital</t>
        </is>
      </c>
      <c r="F2126" t="inlineStr">
        <is>
          <t>$50 Mn</t>
        </is>
      </c>
      <c r="G2126" s="19" t="n"/>
      <c r="H2126" s="19" t="n">
        <v>50</v>
      </c>
      <c r="I2126" t="inlineStr">
        <is>
          <t>Debt</t>
        </is>
      </c>
      <c r="J2126" t="inlineStr">
        <is>
          <t>Toronto-Dominion Bank</t>
        </is>
      </c>
      <c r="K2126" t="inlineStr">
        <is>
          <t>https://inc42.com/buzz/from-snapmint-to-snabbit-indian-startups-raised-371-mn-this-week/</t>
        </is>
      </c>
    </row>
    <row r="2127">
      <c r="A2127" t="inlineStr">
        <is>
          <t>ENT-10606500</t>
        </is>
      </c>
      <c r="B2127" t="inlineStr">
        <is>
          <t>R251030-exilesinteract</t>
        </is>
      </c>
      <c r="C2127" t="inlineStr">
        <is>
          <t>Entrackr</t>
        </is>
      </c>
      <c r="D2127" s="17" t="n">
        <v>45960</v>
      </c>
      <c r="E2127" t="inlineStr">
        <is>
          <t>Exiles Interactives</t>
        </is>
      </c>
      <c r="F2127" t="inlineStr">
        <is>
          <t>$355,000</t>
        </is>
      </c>
      <c r="G2127" s="19" t="n"/>
      <c r="H2127" s="19" t="n">
        <v>0.355</v>
      </c>
      <c r="I2127" t="inlineStr">
        <is>
          <t>Pre-Seed</t>
        </is>
      </c>
      <c r="J2127" t="inlineStr">
        <is>
          <t>Chimera VC</t>
        </is>
      </c>
      <c r="K2127" t="inlineStr">
        <is>
          <t>https://entrackr.com/snippets/gaming-startup-exiles-interactives-raises-355k-in-pre-seed-round-10606500</t>
        </is>
      </c>
    </row>
    <row r="2128">
      <c r="A2128" t="inlineStr">
        <is>
          <t>INC-20251101-26</t>
        </is>
      </c>
      <c r="B2128" t="inlineStr">
        <is>
          <t>R251030-exilesinteract</t>
        </is>
      </c>
      <c r="C2128" t="inlineStr">
        <is>
          <t>Inc42</t>
        </is>
      </c>
      <c r="D2128" s="17" t="n">
        <v>45960</v>
      </c>
      <c r="E2128" t="inlineStr">
        <is>
          <t>Exiles Interactives</t>
        </is>
      </c>
      <c r="F2128" t="inlineStr">
        <is>
          <t>$355K</t>
        </is>
      </c>
      <c r="G2128" s="19" t="n"/>
      <c r="H2128" s="19" t="n">
        <v>0.355</v>
      </c>
      <c r="I2128" t="inlineStr">
        <is>
          <t>Pre-Seed</t>
        </is>
      </c>
      <c r="J2128" t="inlineStr">
        <is>
          <t>Chimera VC</t>
        </is>
      </c>
      <c r="K2128" t="inlineStr">
        <is>
          <t>https://inc42.com/buzz/from-snapmint-to-snabbit-indian-startups-raised-371-mn-this-week/</t>
        </is>
      </c>
    </row>
    <row r="2129">
      <c r="A2129" t="inlineStr">
        <is>
          <t>ENT-10608261</t>
        </is>
      </c>
      <c r="B2129" t="inlineStr">
        <is>
          <t>R251030-helex</t>
        </is>
      </c>
      <c r="C2129" t="inlineStr">
        <is>
          <t>Entrackr</t>
        </is>
      </c>
      <c r="D2129" s="17" t="n">
        <v>45960</v>
      </c>
      <c r="E2129" t="inlineStr">
        <is>
          <t>Helex</t>
        </is>
      </c>
      <c r="F2129" t="inlineStr">
        <is>
          <t>$3.5 million</t>
        </is>
      </c>
      <c r="G2129" s="19" t="n"/>
      <c r="H2129" s="19" t="n">
        <v>3.5</v>
      </c>
      <c r="I2129" t="inlineStr">
        <is>
          <t>Seed</t>
        </is>
      </c>
      <c r="J2129" t="inlineStr">
        <is>
          <t>SOSV</t>
        </is>
      </c>
      <c r="K2129" t="inlineStr">
        <is>
          <t>https://entrackr.com/snippets/helex-raises-35-mn-in-seed-round-led-by-pi-ventures-10608261</t>
        </is>
      </c>
    </row>
    <row r="2130">
      <c r="A2130" t="inlineStr">
        <is>
          <t>ET-124912263</t>
        </is>
      </c>
      <c r="B2130" t="inlineStr">
        <is>
          <t>R251030-helex</t>
        </is>
      </c>
      <c r="C2130" t="inlineStr">
        <is>
          <t>The Economic Times</t>
        </is>
      </c>
      <c r="D2130" s="17" t="n">
        <v>45960</v>
      </c>
      <c r="E2130" t="inlineStr">
        <is>
          <t>Helex</t>
        </is>
      </c>
      <c r="F2130" t="inlineStr">
        <is>
          <t>$3.5 million</t>
        </is>
      </c>
      <c r="G2130" s="19" t="n"/>
      <c r="H2130" s="19" t="n">
        <v>3.5</v>
      </c>
      <c r="I2130" t="inlineStr">
        <is>
          <t>Seed</t>
        </is>
      </c>
      <c r="J2130" t="inlineStr"/>
      <c r="K2130" t="inlineStr">
        <is>
          <t>https://economictimes.indiatimes.com/tech/funding/biotech-startup-helex-raises-3-5-million-in-round-led-by-pi-ventures/articleshow/124912263.cms</t>
        </is>
      </c>
    </row>
    <row r="2131">
      <c r="A2131" t="inlineStr">
        <is>
          <t>INC-20251101-15</t>
        </is>
      </c>
      <c r="B2131" t="inlineStr">
        <is>
          <t>R251030-helex</t>
        </is>
      </c>
      <c r="C2131" t="inlineStr">
        <is>
          <t>Inc42</t>
        </is>
      </c>
      <c r="D2131" s="17" t="n">
        <v>45960</v>
      </c>
      <c r="E2131" t="inlineStr">
        <is>
          <t>Helex</t>
        </is>
      </c>
      <c r="F2131" t="inlineStr">
        <is>
          <t>$3.5 Mn</t>
        </is>
      </c>
      <c r="G2131" s="19" t="n"/>
      <c r="H2131" s="19" t="n">
        <v>3.5</v>
      </c>
      <c r="I2131" t="inlineStr">
        <is>
          <t>Seed</t>
        </is>
      </c>
      <c r="J2131" t="inlineStr"/>
      <c r="K2131" t="inlineStr">
        <is>
          <t>https://inc42.com/buzz/from-snapmint-to-snabbit-indian-startups-raised-371-mn-this-week/</t>
        </is>
      </c>
    </row>
    <row r="2132">
      <c r="A2132" t="inlineStr">
        <is>
          <t>ENT-10606649</t>
        </is>
      </c>
      <c r="B2132" t="inlineStr">
        <is>
          <t>R251030-intrcitysmartb</t>
        </is>
      </c>
      <c r="C2132" t="inlineStr">
        <is>
          <t>Entrackr</t>
        </is>
      </c>
      <c r="D2132" s="17" t="n">
        <v>45960</v>
      </c>
      <c r="E2132" t="inlineStr">
        <is>
          <t>IntrCity SmartBus</t>
        </is>
      </c>
      <c r="F2132" t="inlineStr">
        <is>
          <t>Rs 250 crore</t>
        </is>
      </c>
      <c r="G2132" s="19" t="n">
        <v>250</v>
      </c>
      <c r="H2132" s="19" t="n">
        <v>28</v>
      </c>
      <c r="I2132" t="inlineStr">
        <is>
          <t>Series D</t>
        </is>
      </c>
      <c r="J2132" t="inlineStr">
        <is>
          <t>A91 Partners</t>
        </is>
      </c>
      <c r="K2132" t="inlineStr">
        <is>
          <t>https://entrackr.com/news/intrcity-smartbus-raises-rs-250-cr-in-series-d-led-by-a91-partners-10606649</t>
        </is>
      </c>
    </row>
    <row r="2133">
      <c r="A2133" t="inlineStr">
        <is>
          <t>ET-124953428</t>
        </is>
      </c>
      <c r="B2133" t="inlineStr">
        <is>
          <t>R251030-intrcitysmartb</t>
        </is>
      </c>
      <c r="C2133" t="inlineStr">
        <is>
          <t>The Economic Times</t>
        </is>
      </c>
      <c r="D2133" s="17" t="n">
        <v>45960</v>
      </c>
      <c r="E2133" t="inlineStr">
        <is>
          <t>IntrCity SmartBus</t>
        </is>
      </c>
      <c r="F2133" t="inlineStr">
        <is>
          <t>Rs 250 crore</t>
        </is>
      </c>
      <c r="G2133" s="19" t="n">
        <v>250</v>
      </c>
      <c r="H2133" s="19" t="n"/>
      <c r="I2133" t="inlineStr">
        <is>
          <t>Undisclosed</t>
        </is>
      </c>
      <c r="J2133" t="inlineStr">
        <is>
          <t>A91 Partners</t>
        </is>
      </c>
      <c r="K2133" t="inlineStr">
        <is>
          <t>https://economictimes.indiatimes.com/tech/funding/intrcity-smartbus-raises-rs-250-crore-in-funding-led-by-a91-partners/articleshow/124953428.cms</t>
        </is>
      </c>
    </row>
    <row r="2134">
      <c r="A2134" t="inlineStr">
        <is>
          <t>INC-20251101-04</t>
        </is>
      </c>
      <c r="B2134" t="inlineStr">
        <is>
          <t>R251030-intrcitysmartb</t>
        </is>
      </c>
      <c r="C2134" t="inlineStr">
        <is>
          <t>Inc42</t>
        </is>
      </c>
      <c r="D2134" s="17" t="n">
        <v>45960</v>
      </c>
      <c r="E2134" t="inlineStr">
        <is>
          <t>IntrCity SmartBus</t>
        </is>
      </c>
      <c r="F2134" t="inlineStr">
        <is>
          <t>$28.2 Mn</t>
        </is>
      </c>
      <c r="G2134" s="19" t="n"/>
      <c r="H2134" s="19" t="n">
        <v>28.2</v>
      </c>
      <c r="I2134" t="inlineStr">
        <is>
          <t>Series D</t>
        </is>
      </c>
      <c r="J2134" t="inlineStr">
        <is>
          <t>A91 Partners</t>
        </is>
      </c>
      <c r="K2134" t="inlineStr">
        <is>
          <t>https://inc42.com/buzz/from-snapmint-to-snabbit-indian-startups-raised-371-mn-this-week/</t>
        </is>
      </c>
    </row>
    <row r="2135">
      <c r="A2135" t="inlineStr">
        <is>
          <t>ENT-10606190</t>
        </is>
      </c>
      <c r="B2135" t="inlineStr">
        <is>
          <t>R251030-openhouse</t>
        </is>
      </c>
      <c r="C2135" t="inlineStr">
        <is>
          <t>Entrackr</t>
        </is>
      </c>
      <c r="D2135" s="17" t="n">
        <v>45960</v>
      </c>
      <c r="E2135" t="inlineStr">
        <is>
          <t>Openhouse</t>
        </is>
      </c>
      <c r="F2135" t="inlineStr">
        <is>
          <t>$2 million</t>
        </is>
      </c>
      <c r="G2135" s="19" t="n"/>
      <c r="H2135" s="19" t="n">
        <v>2</v>
      </c>
      <c r="I2135" t="inlineStr">
        <is>
          <t>Seed</t>
        </is>
      </c>
      <c r="J2135" t="inlineStr">
        <is>
          <t>India Quotient Ventures</t>
        </is>
      </c>
      <c r="K2135" t="inlineStr">
        <is>
          <t>https://entrackr.com/snippets/proptech-startup-openhouse-raises-2-mn-in-seed-round-10606190</t>
        </is>
      </c>
    </row>
    <row r="2136">
      <c r="A2136" t="inlineStr">
        <is>
          <t>INC-20251101-19</t>
        </is>
      </c>
      <c r="B2136" t="inlineStr">
        <is>
          <t>R251030-openhouse</t>
        </is>
      </c>
      <c r="C2136" t="inlineStr">
        <is>
          <t>Inc42</t>
        </is>
      </c>
      <c r="D2136" s="17" t="n">
        <v>45960</v>
      </c>
      <c r="E2136" t="inlineStr">
        <is>
          <t>Openhouse</t>
        </is>
      </c>
      <c r="F2136" t="inlineStr">
        <is>
          <t>$2 Mn</t>
        </is>
      </c>
      <c r="G2136" s="19" t="n"/>
      <c r="H2136" s="19" t="n">
        <v>2</v>
      </c>
      <c r="I2136" t="inlineStr">
        <is>
          <t>Seed</t>
        </is>
      </c>
      <c r="J2136" t="inlineStr">
        <is>
          <t>IndiaQuotient</t>
        </is>
      </c>
      <c r="K2136" t="inlineStr">
        <is>
          <t>https://inc42.com/buzz/from-snapmint-to-snabbit-indian-startups-raised-371-mn-this-week/</t>
        </is>
      </c>
    </row>
    <row r="2137">
      <c r="A2137" t="inlineStr">
        <is>
          <t>ENT-10605801</t>
        </is>
      </c>
      <c r="B2137" t="inlineStr">
        <is>
          <t>R251030-pointai</t>
        </is>
      </c>
      <c r="C2137" t="inlineStr">
        <is>
          <t>Entrackr</t>
        </is>
      </c>
      <c r="D2137" s="17" t="n">
        <v>45960</v>
      </c>
      <c r="E2137" t="inlineStr">
        <is>
          <t>Point AI</t>
        </is>
      </c>
      <c r="F2137" t="inlineStr">
        <is>
          <t>$5.3 million</t>
        </is>
      </c>
      <c r="G2137" s="19" t="n"/>
      <c r="H2137" s="19" t="n">
        <v>5.3</v>
      </c>
      <c r="I2137" t="inlineStr">
        <is>
          <t>Undisclosed</t>
        </is>
      </c>
      <c r="J2137" t="inlineStr">
        <is>
          <t>Yali Capital</t>
        </is>
      </c>
      <c r="K2137" t="inlineStr">
        <is>
          <t>https://entrackr.com/snippets/point-ai-raises-53-mn-led-by-yali-capital-10605801</t>
        </is>
      </c>
    </row>
    <row r="2138">
      <c r="A2138" t="inlineStr">
        <is>
          <t>ET-124911223</t>
        </is>
      </c>
      <c r="B2138" t="inlineStr">
        <is>
          <t>R251030-pointai</t>
        </is>
      </c>
      <c r="C2138" t="inlineStr">
        <is>
          <t>The Economic Times</t>
        </is>
      </c>
      <c r="D2138" s="17" t="n">
        <v>45960</v>
      </c>
      <c r="E2138" t="inlineStr">
        <is>
          <t>Point AI</t>
        </is>
      </c>
      <c r="F2138" t="inlineStr">
        <is>
          <t>$5.3 million</t>
        </is>
      </c>
      <c r="G2138" s="19" t="n"/>
      <c r="H2138" s="19" t="n">
        <v>5.3</v>
      </c>
      <c r="I2138" t="inlineStr">
        <is>
          <t>Undisclosed</t>
        </is>
      </c>
      <c r="J2138" t="inlineStr">
        <is>
          <t>Yali Capital; Nitin Vats told ET.Lip-Bu Tan; Tremis Capital</t>
        </is>
      </c>
      <c r="K2138" t="inlineStr">
        <is>
          <t>https://economictimes.indiatimes.com/tech/funding/ecommerce-tech-startup-point-ai-raises-5-3-million-in-round-led-by-yali-capital/articleshow/124911223.cms</t>
        </is>
      </c>
    </row>
    <row r="2139">
      <c r="A2139" t="inlineStr">
        <is>
          <t>INC-20251101-12</t>
        </is>
      </c>
      <c r="B2139" t="inlineStr">
        <is>
          <t>R251030-pointai</t>
        </is>
      </c>
      <c r="C2139" t="inlineStr">
        <is>
          <t>Inc42</t>
        </is>
      </c>
      <c r="D2139" s="17" t="n">
        <v>45960</v>
      </c>
      <c r="E2139" t="inlineStr">
        <is>
          <t>PointAI</t>
        </is>
      </c>
      <c r="F2139" t="inlineStr">
        <is>
          <t>$5.3 Mn</t>
        </is>
      </c>
      <c r="G2139" s="19" t="n"/>
      <c r="H2139" s="19" t="n">
        <v>5.3</v>
      </c>
      <c r="I2139" t="inlineStr">
        <is>
          <t>Pre-Series A</t>
        </is>
      </c>
      <c r="J2139" t="inlineStr">
        <is>
          <t>Yali Capital</t>
        </is>
      </c>
      <c r="K2139" t="inlineStr">
        <is>
          <t>https://inc42.com/buzz/from-snapmint-to-snabbit-indian-startups-raised-371-mn-this-week/</t>
        </is>
      </c>
    </row>
    <row r="2140">
      <c r="A2140" t="inlineStr">
        <is>
          <t>ENT-10606066</t>
        </is>
      </c>
      <c r="B2140" t="inlineStr">
        <is>
          <t>R251030-redacto</t>
        </is>
      </c>
      <c r="C2140" t="inlineStr">
        <is>
          <t>Entrackr</t>
        </is>
      </c>
      <c r="D2140" s="17" t="n">
        <v>45960</v>
      </c>
      <c r="E2140" t="inlineStr">
        <is>
          <t>Redacto</t>
        </is>
      </c>
      <c r="F2140" t="inlineStr">
        <is>
          <t>Rs 12 crore</t>
        </is>
      </c>
      <c r="G2140" s="19" t="n">
        <v>12</v>
      </c>
      <c r="H2140" s="19" t="n">
        <v>1.4</v>
      </c>
      <c r="I2140" t="inlineStr">
        <is>
          <t>Seed</t>
        </is>
      </c>
      <c r="J2140" t="inlineStr">
        <is>
          <t>PeerCapital; Antler India</t>
        </is>
      </c>
      <c r="K2140" t="inlineStr">
        <is>
          <t>https://entrackr.com/snippets/redacto-raises-rs-12-cr-in-seed-round-led-by-peercapital-10606066</t>
        </is>
      </c>
    </row>
    <row r="2141">
      <c r="A2141" t="inlineStr">
        <is>
          <t>INC-20251101-20</t>
        </is>
      </c>
      <c r="B2141" t="inlineStr">
        <is>
          <t>R251030-redacto</t>
        </is>
      </c>
      <c r="C2141" t="inlineStr">
        <is>
          <t>Inc42</t>
        </is>
      </c>
      <c r="D2141" s="17" t="n">
        <v>45960</v>
      </c>
      <c r="E2141" t="inlineStr">
        <is>
          <t>Redacto</t>
        </is>
      </c>
      <c r="F2141" t="inlineStr">
        <is>
          <t>$1.4 Mn</t>
        </is>
      </c>
      <c r="G2141" s="19" t="n"/>
      <c r="H2141" s="19" t="n">
        <v>1.4</v>
      </c>
      <c r="I2141" t="inlineStr">
        <is>
          <t>Seed</t>
        </is>
      </c>
      <c r="J2141" t="inlineStr">
        <is>
          <t>PeerCapital; Antler India</t>
        </is>
      </c>
      <c r="K2141" t="inlineStr">
        <is>
          <t>https://inc42.com/buzz/from-snapmint-to-snabbit-indian-startups-raised-371-mn-this-week/</t>
        </is>
      </c>
    </row>
    <row r="2142">
      <c r="A2142" t="inlineStr">
        <is>
          <t>ENT-10605825</t>
        </is>
      </c>
      <c r="B2142" t="inlineStr">
        <is>
          <t>R251030-salaryse</t>
        </is>
      </c>
      <c r="C2142" t="inlineStr">
        <is>
          <t>Entrackr</t>
        </is>
      </c>
      <c r="D2142" s="17" t="n">
        <v>45960</v>
      </c>
      <c r="E2142" t="inlineStr">
        <is>
          <t>SalarySe</t>
        </is>
      </c>
      <c r="F2142" t="inlineStr">
        <is>
          <t>$11.3 million</t>
        </is>
      </c>
      <c r="G2142" s="19" t="n"/>
      <c r="H2142" s="19" t="n">
        <v>11.3</v>
      </c>
      <c r="I2142" t="inlineStr">
        <is>
          <t>Undisclosed</t>
        </is>
      </c>
      <c r="J2142" t="inlineStr">
        <is>
          <t>Flourish Ventures; SIG Venture Capital</t>
        </is>
      </c>
      <c r="K2142" t="inlineStr">
        <is>
          <t>https://entrackr.com/news/salaryse-raises-113-mn-led-by-flourish-ventures-10605825</t>
        </is>
      </c>
    </row>
    <row r="2143">
      <c r="A2143" t="inlineStr">
        <is>
          <t>ET-124917688</t>
        </is>
      </c>
      <c r="B2143" t="inlineStr">
        <is>
          <t>R251030-salaryse</t>
        </is>
      </c>
      <c r="C2143" t="inlineStr">
        <is>
          <t>The Economic Times</t>
        </is>
      </c>
      <c r="D2143" s="17" t="n">
        <v>45960</v>
      </c>
      <c r="E2143" t="inlineStr">
        <is>
          <t>SalarySe</t>
        </is>
      </c>
      <c r="F2143" t="inlineStr">
        <is>
          <t>$11.3 million</t>
        </is>
      </c>
      <c r="G2143" s="19" t="n"/>
      <c r="H2143" s="19" t="n">
        <v>11.3</v>
      </c>
      <c r="I2143" t="inlineStr">
        <is>
          <t>Undisclosed</t>
        </is>
      </c>
      <c r="J2143" t="inlineStr">
        <is>
          <t>Flourish Ventures</t>
        </is>
      </c>
      <c r="K2143" t="inlineStr">
        <is>
          <t>https://economictimes.indiatimes.com/tech/funding/salaryse-secures-11-3-million-in-round-led-by-flourish-ventures-sig-ventures/articleshow/124917688.cms</t>
        </is>
      </c>
    </row>
    <row r="2144">
      <c r="A2144" t="inlineStr">
        <is>
          <t>INC-20251101-10</t>
        </is>
      </c>
      <c r="B2144" t="inlineStr">
        <is>
          <t>R251030-salaryse</t>
        </is>
      </c>
      <c r="C2144" t="inlineStr">
        <is>
          <t>Inc42</t>
        </is>
      </c>
      <c r="D2144" s="17" t="n">
        <v>45960</v>
      </c>
      <c r="E2144" t="inlineStr">
        <is>
          <t>SalarySe</t>
        </is>
      </c>
      <c r="F2144" t="inlineStr">
        <is>
          <t>$11.3 Mn</t>
        </is>
      </c>
      <c r="G2144" s="19" t="n"/>
      <c r="H2144" s="19" t="n">
        <v>11.3</v>
      </c>
      <c r="I2144" t="inlineStr">
        <is>
          <t>Series A</t>
        </is>
      </c>
      <c r="J2144" t="inlineStr">
        <is>
          <t>Flourish Ventures</t>
        </is>
      </c>
      <c r="K2144" t="inlineStr">
        <is>
          <t>https://inc42.com/buzz/from-snapmint-to-snabbit-indian-startups-raised-371-mn-this-week/</t>
        </is>
      </c>
    </row>
    <row r="2145">
      <c r="A2145" t="inlineStr">
        <is>
          <t>ENT-10627678</t>
        </is>
      </c>
      <c r="B2145" t="inlineStr">
        <is>
          <t>R251030-salaryse</t>
        </is>
      </c>
      <c r="C2145" t="inlineStr">
        <is>
          <t>Entrackr</t>
        </is>
      </c>
      <c r="D2145" s="17" t="n">
        <v>45967</v>
      </c>
      <c r="E2145" t="inlineStr">
        <is>
          <t>SalarySe</t>
        </is>
      </c>
      <c r="F2145" t="inlineStr">
        <is>
          <t>$11.3 million</t>
        </is>
      </c>
      <c r="G2145" s="19" t="n"/>
      <c r="H2145" s="19" t="n">
        <v>11.3</v>
      </c>
      <c r="I2145" t="inlineStr">
        <is>
          <t>Series A</t>
        </is>
      </c>
      <c r="J2145" t="inlineStr">
        <is>
          <t>Flourish Ventures; SIG Venture Capital</t>
        </is>
      </c>
      <c r="K2145" t="inlineStr">
        <is>
          <t>https://entrackr.com/decoding/salaryses-valuation-jumps-3x-in-series-a-round-10627678</t>
        </is>
      </c>
    </row>
    <row r="2146">
      <c r="A2146" t="inlineStr">
        <is>
          <t>INC-20251101-03</t>
        </is>
      </c>
      <c r="B2146" t="inlineStr">
        <is>
          <t>R251030-snabbit</t>
        </is>
      </c>
      <c r="C2146" t="inlineStr">
        <is>
          <t>Inc42</t>
        </is>
      </c>
      <c r="D2146" s="17" t="n">
        <v>45960</v>
      </c>
      <c r="E2146" t="inlineStr">
        <is>
          <t>Snabbit</t>
        </is>
      </c>
      <c r="F2146" t="inlineStr">
        <is>
          <t>$30 Mn</t>
        </is>
      </c>
      <c r="G2146" s="19" t="n"/>
      <c r="H2146" s="19" t="n">
        <v>30</v>
      </c>
      <c r="I2146" t="inlineStr">
        <is>
          <t>Series C</t>
        </is>
      </c>
      <c r="J2146" t="inlineStr">
        <is>
          <t>Bertelsmann India Investments</t>
        </is>
      </c>
      <c r="K2146" t="inlineStr">
        <is>
          <t>https://inc42.com/buzz/from-snapmint-to-snabbit-indian-startups-raised-371-mn-this-week/</t>
        </is>
      </c>
    </row>
    <row r="2147">
      <c r="A2147" t="inlineStr">
        <is>
          <t>VCC-445e4af8c9</t>
        </is>
      </c>
      <c r="B2147" t="inlineStr">
        <is>
          <t>R251030-snabbit</t>
        </is>
      </c>
      <c r="C2147" t="inlineStr">
        <is>
          <t>VCCircle</t>
        </is>
      </c>
      <c r="D2147" s="17" t="n">
        <v>45960</v>
      </c>
      <c r="E2147" t="inlineStr">
        <is>
          <t>snabbit</t>
        </is>
      </c>
      <c r="F2147" t="inlineStr"/>
      <c r="G2147" s="19" t="n"/>
      <c r="H2147" s="19" t="n"/>
      <c r="I2147" t="inlineStr">
        <is>
          <t>Series C</t>
        </is>
      </c>
      <c r="J2147" t="inlineStr"/>
      <c r="K2147" t="inlineStr">
        <is>
          <t>https://www.vccircle.com/bertelsmannindia-investments-leads-snabbit-s-series-c-round</t>
        </is>
      </c>
    </row>
    <row r="2148">
      <c r="A2148" t="inlineStr">
        <is>
          <t>INC-20251101-21</t>
        </is>
      </c>
      <c r="B2148" t="inlineStr">
        <is>
          <t>R251030-vijyafintech</t>
        </is>
      </c>
      <c r="C2148" t="inlineStr">
        <is>
          <t>Inc42</t>
        </is>
      </c>
      <c r="D2148" s="17" t="n">
        <v>45960</v>
      </c>
      <c r="E2148" t="inlineStr">
        <is>
          <t>Vijya Fintech</t>
        </is>
      </c>
      <c r="F2148" t="inlineStr">
        <is>
          <t>$1.4 Mn</t>
        </is>
      </c>
      <c r="G2148" s="19" t="n"/>
      <c r="H2148" s="19" t="n">
        <v>1.4</v>
      </c>
      <c r="I2148" t="inlineStr">
        <is>
          <t>Seed</t>
        </is>
      </c>
      <c r="J2148" t="inlineStr"/>
      <c r="K2148" t="inlineStr">
        <is>
          <t>https://inc42.com/buzz/from-snapmint-to-snabbit-indian-startups-raised-371-mn-this-week/</t>
        </is>
      </c>
    </row>
    <row r="2149">
      <c r="A2149" t="inlineStr">
        <is>
          <t>ENT-10610308</t>
        </is>
      </c>
      <c r="B2149" t="inlineStr">
        <is>
          <t>R251031-goyaz</t>
        </is>
      </c>
      <c r="C2149" t="inlineStr">
        <is>
          <t>Entrackr</t>
        </is>
      </c>
      <c r="D2149" s="17" t="n">
        <v>45961</v>
      </c>
      <c r="E2149" t="inlineStr">
        <is>
          <t>Goyaz</t>
        </is>
      </c>
      <c r="F2149" t="inlineStr">
        <is>
          <t>Rs 130 crore</t>
        </is>
      </c>
      <c r="G2149" s="19" t="n">
        <v>130</v>
      </c>
      <c r="H2149" s="19" t="n">
        <v>14.6</v>
      </c>
      <c r="I2149" t="inlineStr">
        <is>
          <t>Series A</t>
        </is>
      </c>
      <c r="J2149" t="inlineStr">
        <is>
          <t>Norwest</t>
        </is>
      </c>
      <c r="K2149" t="inlineStr">
        <is>
          <t>https://entrackr.com/snippets/gold-plated-silver-jewellery-brand-goyaz-raises-rs-130-cr-led-by-norwest-10610308</t>
        </is>
      </c>
    </row>
    <row r="2150">
      <c r="A2150" t="inlineStr">
        <is>
          <t>INC-20251101-08</t>
        </is>
      </c>
      <c r="B2150" t="inlineStr">
        <is>
          <t>R251031-goyaz</t>
        </is>
      </c>
      <c r="C2150" t="inlineStr">
        <is>
          <t>Inc42</t>
        </is>
      </c>
      <c r="D2150" s="17" t="n">
        <v>45961</v>
      </c>
      <c r="E2150" t="inlineStr">
        <is>
          <t>GOYAZ</t>
        </is>
      </c>
      <c r="F2150" t="inlineStr">
        <is>
          <t>$14.7 Mn</t>
        </is>
      </c>
      <c r="G2150" s="19" t="n"/>
      <c r="H2150" s="19" t="n">
        <v>14.7</v>
      </c>
      <c r="I2150" t="inlineStr">
        <is>
          <t>Series A</t>
        </is>
      </c>
      <c r="J2150" t="inlineStr">
        <is>
          <t>Norwest</t>
        </is>
      </c>
      <c r="K2150" t="inlineStr">
        <is>
          <t>https://inc42.com/buzz/from-snapmint-to-snabbit-indian-startups-raised-371-mn-this-week/</t>
        </is>
      </c>
    </row>
    <row r="2151">
      <c r="A2151" t="inlineStr">
        <is>
          <t>ENT-10610026</t>
        </is>
      </c>
      <c r="B2151" t="inlineStr">
        <is>
          <t>R251031-madoverbuildin</t>
        </is>
      </c>
      <c r="C2151" t="inlineStr">
        <is>
          <t>Entrackr</t>
        </is>
      </c>
      <c r="D2151" s="17" t="n">
        <v>45961</v>
      </c>
      <c r="E2151" t="inlineStr">
        <is>
          <t>Mad Over Buildings</t>
        </is>
      </c>
      <c r="F2151" t="inlineStr">
        <is>
          <t>Rs 6 crore</t>
        </is>
      </c>
      <c r="G2151" s="19" t="n">
        <v>6</v>
      </c>
      <c r="H2151" s="19" t="n"/>
      <c r="I2151" t="inlineStr">
        <is>
          <t>Seed</t>
        </is>
      </c>
      <c r="J2151" t="inlineStr">
        <is>
          <t>SIG Tattva</t>
        </is>
      </c>
      <c r="K2151" t="inlineStr">
        <is>
          <t>https://entrackr.com/snippets/mad-over-buildings-raises-seed-round-led-by-sig-tattva-10610026</t>
        </is>
      </c>
    </row>
    <row r="2152">
      <c r="A2152" t="inlineStr">
        <is>
          <t>ENT-10609211</t>
        </is>
      </c>
      <c r="B2152" t="inlineStr">
        <is>
          <t>R251031-plurofertility</t>
        </is>
      </c>
      <c r="C2152" t="inlineStr">
        <is>
          <t>Entrackr</t>
        </is>
      </c>
      <c r="D2152" s="17" t="n">
        <v>45961</v>
      </c>
      <c r="E2152" t="inlineStr">
        <is>
          <t>Pluro Fertility</t>
        </is>
      </c>
      <c r="F2152" t="inlineStr">
        <is>
          <t>Rs 125 crore</t>
        </is>
      </c>
      <c r="G2152" s="19" t="n">
        <v>125</v>
      </c>
      <c r="H2152" s="19" t="n">
        <v>14</v>
      </c>
      <c r="I2152" t="inlineStr">
        <is>
          <t>Series A</t>
        </is>
      </c>
      <c r="J2152" t="inlineStr">
        <is>
          <t>Bessemer Venture Partners</t>
        </is>
      </c>
      <c r="K2152" t="inlineStr">
        <is>
          <t>https://entrackr.com/news/pluro-fertility-raises-rs-125-cr-at-rs-1000-cr-valuation-10609211</t>
        </is>
      </c>
    </row>
    <row r="2153">
      <c r="A2153" t="inlineStr">
        <is>
          <t>INC-20251101-09</t>
        </is>
      </c>
      <c r="B2153" t="inlineStr">
        <is>
          <t>R251031-plurofertility</t>
        </is>
      </c>
      <c r="C2153" t="inlineStr">
        <is>
          <t>Inc42</t>
        </is>
      </c>
      <c r="D2153" s="17" t="n">
        <v>45961</v>
      </c>
      <c r="E2153" t="inlineStr">
        <is>
          <t>Pluro Fertility</t>
        </is>
      </c>
      <c r="F2153" t="inlineStr">
        <is>
          <t>$14.1 Mn</t>
        </is>
      </c>
      <c r="G2153" s="19" t="n"/>
      <c r="H2153" s="19" t="n">
        <v>14.1</v>
      </c>
      <c r="I2153" t="inlineStr">
        <is>
          <t>Series A</t>
        </is>
      </c>
      <c r="J2153" t="inlineStr">
        <is>
          <t>Bessemer Venture Partners</t>
        </is>
      </c>
      <c r="K2153" t="inlineStr">
        <is>
          <t>https://inc42.com/buzz/from-snapmint-to-snabbit-indian-startups-raised-371-mn-this-week/</t>
        </is>
      </c>
    </row>
    <row r="2154">
      <c r="A2154" t="inlineStr">
        <is>
          <t>ENT-10609243</t>
        </is>
      </c>
      <c r="B2154" t="inlineStr">
        <is>
          <t>R251031-snapmint</t>
        </is>
      </c>
      <c r="C2154" t="inlineStr">
        <is>
          <t>Entrackr</t>
        </is>
      </c>
      <c r="D2154" s="17" t="n">
        <v>45961</v>
      </c>
      <c r="E2154" t="inlineStr">
        <is>
          <t>Snapmint</t>
        </is>
      </c>
      <c r="F2154" t="inlineStr">
        <is>
          <t>$125 million</t>
        </is>
      </c>
      <c r="G2154" s="19" t="n"/>
      <c r="H2154" s="19" t="n">
        <v>125</v>
      </c>
      <c r="I2154" t="inlineStr">
        <is>
          <t>Series B</t>
        </is>
      </c>
      <c r="J2154" t="inlineStr">
        <is>
          <t>General Atlantic</t>
        </is>
      </c>
      <c r="K2154" t="inlineStr">
        <is>
          <t>https://entrackr.com/news/bnpl-startup-snapmint-raises-125-mn-led-by-general-atlantic-10609243</t>
        </is>
      </c>
    </row>
    <row r="2155">
      <c r="A2155" t="inlineStr">
        <is>
          <t>ET-124965109</t>
        </is>
      </c>
      <c r="B2155" t="inlineStr">
        <is>
          <t>R251031-snapmint</t>
        </is>
      </c>
      <c r="C2155" t="inlineStr">
        <is>
          <t>The Economic Times</t>
        </is>
      </c>
      <c r="D2155" s="17" t="n">
        <v>45961</v>
      </c>
      <c r="E2155" t="inlineStr">
        <is>
          <t>Snapmint</t>
        </is>
      </c>
      <c r="F2155" t="inlineStr">
        <is>
          <t>$125 million</t>
        </is>
      </c>
      <c r="G2155" s="19" t="n"/>
      <c r="H2155" s="19" t="n">
        <v>125</v>
      </c>
      <c r="I2155" t="inlineStr">
        <is>
          <t>Undisclosed</t>
        </is>
      </c>
      <c r="J2155" t="inlineStr"/>
      <c r="K2155" t="inlineStr">
        <is>
          <t>https://economictimes.indiatimes.com/tech/funding/snapmint-raises-125-million-from-ga-others/articleshow/124965109.cms</t>
        </is>
      </c>
    </row>
    <row r="2156">
      <c r="A2156" t="inlineStr">
        <is>
          <t>INC-20251101-01</t>
        </is>
      </c>
      <c r="B2156" t="inlineStr">
        <is>
          <t>R251031-snapmint</t>
        </is>
      </c>
      <c r="C2156" t="inlineStr">
        <is>
          <t>Inc42</t>
        </is>
      </c>
      <c r="D2156" s="17" t="n">
        <v>45961</v>
      </c>
      <c r="E2156" t="inlineStr">
        <is>
          <t>Snapmint</t>
        </is>
      </c>
      <c r="F2156" t="inlineStr">
        <is>
          <t>$125 Mn</t>
        </is>
      </c>
      <c r="G2156" s="19" t="n"/>
      <c r="H2156" s="19" t="n">
        <v>125</v>
      </c>
      <c r="I2156" t="inlineStr">
        <is>
          <t>Series B</t>
        </is>
      </c>
      <c r="J2156" t="inlineStr">
        <is>
          <t>General Atlantic</t>
        </is>
      </c>
      <c r="K2156" t="inlineStr">
        <is>
          <t>https://inc42.com/buzz/from-snapmint-to-snabbit-indian-startups-raised-371-mn-this-week/</t>
        </is>
      </c>
    </row>
    <row r="2157">
      <c r="A2157" t="inlineStr">
        <is>
          <t>VCC-0109c1d1a2</t>
        </is>
      </c>
      <c r="B2157" t="inlineStr">
        <is>
          <t>R251031-snapmint</t>
        </is>
      </c>
      <c r="C2157" t="inlineStr">
        <is>
          <t>VCCircle</t>
        </is>
      </c>
      <c r="D2157" s="17" t="n">
        <v>45961</v>
      </c>
      <c r="E2157" t="inlineStr">
        <is>
          <t>snapmint</t>
        </is>
      </c>
      <c r="F2157" t="inlineStr"/>
      <c r="G2157" s="19" t="n"/>
      <c r="H2157" s="19" t="n"/>
      <c r="I2157" t="inlineStr">
        <is>
          <t>Undisclosed</t>
        </is>
      </c>
      <c r="J2157" t="inlineStr"/>
      <c r="K2157" t="inlineStr">
        <is>
          <t>https://www.vccircle.com/generalatlantic-invests-in-fintech-startup-snapmint</t>
        </is>
      </c>
    </row>
    <row r="2158">
      <c r="A2158" t="inlineStr">
        <is>
          <t>ENT-10620794</t>
        </is>
      </c>
      <c r="B2158" t="inlineStr">
        <is>
          <t>R251104-blyp</t>
        </is>
      </c>
      <c r="C2158" t="inlineStr">
        <is>
          <t>Entrackr</t>
        </is>
      </c>
      <c r="D2158" s="17" t="n">
        <v>45965</v>
      </c>
      <c r="E2158" t="inlineStr">
        <is>
          <t>Blyp</t>
        </is>
      </c>
      <c r="F2158" t="inlineStr">
        <is>
          <t>Rs 50 lakh</t>
        </is>
      </c>
      <c r="G2158" s="19" t="n">
        <v>0.5</v>
      </c>
      <c r="H2158" s="19" t="n"/>
      <c r="I2158" t="inlineStr">
        <is>
          <t>Pre-Series A</t>
        </is>
      </c>
      <c r="J2158" t="inlineStr"/>
      <c r="K2158" t="inlineStr">
        <is>
          <t>https://entrackr.com/snippets/parking-solutions-startup-blyp-raises-bridge-round-10620794</t>
        </is>
      </c>
    </row>
    <row r="2159">
      <c r="A2159" t="inlineStr">
        <is>
          <t>INC-20251108-20</t>
        </is>
      </c>
      <c r="B2159" t="inlineStr">
        <is>
          <t>R251104-blyp</t>
        </is>
      </c>
      <c r="C2159" t="inlineStr">
        <is>
          <t>Inc42</t>
        </is>
      </c>
      <c r="D2159" s="17" t="n">
        <v>45965</v>
      </c>
      <c r="E2159" t="inlineStr">
        <is>
          <t>Blyp</t>
        </is>
      </c>
      <c r="F2159" t="inlineStr">
        <is>
          <t>$56K</t>
        </is>
      </c>
      <c r="G2159" s="19" t="n"/>
      <c r="H2159" s="19" t="n">
        <v>0.056</v>
      </c>
      <c r="I2159" t="inlineStr">
        <is>
          <t>Pre-Series A</t>
        </is>
      </c>
      <c r="J2159" t="inlineStr">
        <is>
          <t>Sandesh Sharda</t>
        </is>
      </c>
      <c r="K2159" t="inlineStr">
        <is>
          <t>https://inc42.com/buzz/from-moengage-to-agnikul-indian-startups-raised-238-mn-this-week/</t>
        </is>
      </c>
    </row>
    <row r="2160">
      <c r="A2160" t="inlineStr">
        <is>
          <t>ENT-10621080</t>
        </is>
      </c>
      <c r="B2160" t="inlineStr">
        <is>
          <t>R251104-protouch</t>
        </is>
      </c>
      <c r="C2160" t="inlineStr">
        <is>
          <t>Entrackr</t>
        </is>
      </c>
      <c r="D2160" s="17" t="n">
        <v>45965</v>
      </c>
      <c r="E2160" t="inlineStr">
        <is>
          <t>Protouch</t>
        </is>
      </c>
      <c r="F2160" t="inlineStr">
        <is>
          <t>$2 million</t>
        </is>
      </c>
      <c r="G2160" s="19" t="n"/>
      <c r="H2160" s="19" t="n">
        <v>2</v>
      </c>
      <c r="I2160" t="inlineStr">
        <is>
          <t>Pre-Series A</t>
        </is>
      </c>
      <c r="J2160" t="inlineStr">
        <is>
          <t>GVFL</t>
        </is>
      </c>
      <c r="K2160" t="inlineStr">
        <is>
          <t>https://entrackr.com/snippets/gvfl-leads-2-mn-pre-series-a-round-in-protouch-10621080</t>
        </is>
      </c>
    </row>
    <row r="2161">
      <c r="A2161" t="inlineStr">
        <is>
          <t>INC-20251108-12</t>
        </is>
      </c>
      <c r="B2161" t="inlineStr">
        <is>
          <t>R251104-protouch</t>
        </is>
      </c>
      <c r="C2161" t="inlineStr">
        <is>
          <t>Inc42</t>
        </is>
      </c>
      <c r="D2161" s="17" t="n">
        <v>45965</v>
      </c>
      <c r="E2161" t="inlineStr">
        <is>
          <t>Protouch</t>
        </is>
      </c>
      <c r="F2161" t="inlineStr">
        <is>
          <t>$2 Mn</t>
        </is>
      </c>
      <c r="G2161" s="19" t="n"/>
      <c r="H2161" s="19" t="n">
        <v>2</v>
      </c>
      <c r="I2161" t="inlineStr">
        <is>
          <t>Pre-Series A</t>
        </is>
      </c>
      <c r="J2161" t="inlineStr">
        <is>
          <t>GVFL</t>
        </is>
      </c>
      <c r="K2161" t="inlineStr">
        <is>
          <t>https://inc42.com/buzz/from-moengage-to-agnikul-indian-startups-raised-238-mn-this-week/</t>
        </is>
      </c>
    </row>
    <row r="2162">
      <c r="A2162" t="inlineStr">
        <is>
          <t>ET-125081123</t>
        </is>
      </c>
      <c r="B2162" t="inlineStr">
        <is>
          <t>R251104-quickads</t>
        </is>
      </c>
      <c r="C2162" t="inlineStr">
        <is>
          <t>The Economic Times</t>
        </is>
      </c>
      <c r="D2162" s="17" t="n">
        <v>45965</v>
      </c>
      <c r="E2162" t="inlineStr">
        <is>
          <t>Quickads</t>
        </is>
      </c>
      <c r="F2162" t="inlineStr">
        <is>
          <t>$1.7 million</t>
        </is>
      </c>
      <c r="G2162" s="19" t="n"/>
      <c r="H2162" s="19" t="n">
        <v>1.7</v>
      </c>
      <c r="I2162" t="inlineStr">
        <is>
          <t>Undisclosed</t>
        </is>
      </c>
      <c r="J2162" t="inlineStr">
        <is>
          <t>Kae Capital</t>
        </is>
      </c>
      <c r="K2162" t="inlineStr">
        <is>
          <t>https://economictimes.indiatimes.com/tech/funding/genai-led-content-creation-platform-quickads-raises-1-7-million-from-kae-capital-others/articleshow/125081123.cms</t>
        </is>
      </c>
    </row>
    <row r="2163">
      <c r="A2163" t="inlineStr">
        <is>
          <t>INC-20251108-13</t>
        </is>
      </c>
      <c r="B2163" t="inlineStr">
        <is>
          <t>R251104-quickads</t>
        </is>
      </c>
      <c r="C2163" t="inlineStr">
        <is>
          <t>Inc42</t>
        </is>
      </c>
      <c r="D2163" s="17" t="n">
        <v>45965</v>
      </c>
      <c r="E2163" t="inlineStr">
        <is>
          <t>QuickAds</t>
        </is>
      </c>
      <c r="F2163" t="inlineStr">
        <is>
          <t>$1.7 Mn</t>
        </is>
      </c>
      <c r="G2163" s="19" t="n"/>
      <c r="H2163" s="19" t="n">
        <v>1.7</v>
      </c>
      <c r="I2163" t="inlineStr">
        <is>
          <t>Undisclosed</t>
        </is>
      </c>
      <c r="J2163" t="inlineStr">
        <is>
          <t>Kae Capital</t>
        </is>
      </c>
      <c r="K2163" t="inlineStr">
        <is>
          <t>https://inc42.com/buzz/from-moengage-to-agnikul-indian-startups-raised-238-mn-this-week/</t>
        </is>
      </c>
    </row>
    <row r="2164">
      <c r="A2164" t="inlineStr">
        <is>
          <t>ENT-10620487</t>
        </is>
      </c>
      <c r="B2164" t="inlineStr">
        <is>
          <t>R251104-tabpsnacksandb</t>
        </is>
      </c>
      <c r="C2164" t="inlineStr">
        <is>
          <t>Entrackr</t>
        </is>
      </c>
      <c r="D2164" s="17" t="n">
        <v>45965</v>
      </c>
      <c r="E2164" t="inlineStr">
        <is>
          <t>TABP Snacks and Beverages</t>
        </is>
      </c>
      <c r="F2164" t="inlineStr">
        <is>
          <t>$3 million</t>
        </is>
      </c>
      <c r="G2164" s="19" t="n">
        <v>26</v>
      </c>
      <c r="H2164" s="19" t="n">
        <v>3</v>
      </c>
      <c r="I2164" t="inlineStr">
        <is>
          <t>Undisclosed</t>
        </is>
      </c>
      <c r="J2164" t="inlineStr">
        <is>
          <t>LC Nueva</t>
        </is>
      </c>
      <c r="K2164" t="inlineStr">
        <is>
          <t>https://entrackr.com/snippets/tabp-snacks-and-beverages-raises-3-mn-led-by-lc-nueva-10620487</t>
        </is>
      </c>
    </row>
    <row r="2165">
      <c r="A2165" t="inlineStr">
        <is>
          <t>INC-20251108-15</t>
        </is>
      </c>
      <c r="B2165" t="inlineStr">
        <is>
          <t>R251104-tsallaaerospac</t>
        </is>
      </c>
      <c r="C2165" t="inlineStr">
        <is>
          <t>Inc42</t>
        </is>
      </c>
      <c r="D2165" s="17" t="n">
        <v>45965</v>
      </c>
      <c r="E2165" t="inlineStr">
        <is>
          <t>Tsalla Aerospace</t>
        </is>
      </c>
      <c r="F2165" t="inlineStr">
        <is>
          <t>$1 Mn</t>
        </is>
      </c>
      <c r="G2165" s="19" t="n"/>
      <c r="H2165" s="19" t="n">
        <v>1</v>
      </c>
      <c r="I2165" t="inlineStr">
        <is>
          <t>Undisclosed</t>
        </is>
      </c>
      <c r="J2165" t="inlineStr">
        <is>
          <t>Sunny Stalnaker</t>
        </is>
      </c>
      <c r="K2165" t="inlineStr">
        <is>
          <t>https://inc42.com/buzz/from-moengage-to-agnikul-indian-startups-raised-238-mn-this-week/</t>
        </is>
      </c>
    </row>
    <row r="2166">
      <c r="A2166" t="inlineStr">
        <is>
          <t>ENT-10622400</t>
        </is>
      </c>
      <c r="B2166" t="inlineStr">
        <is>
          <t>R251104-zynk</t>
        </is>
      </c>
      <c r="C2166" t="inlineStr">
        <is>
          <t>Entrackr</t>
        </is>
      </c>
      <c r="D2166" s="17" t="n">
        <v>45965</v>
      </c>
      <c r="E2166" t="inlineStr">
        <is>
          <t>Zynk</t>
        </is>
      </c>
      <c r="F2166" t="inlineStr">
        <is>
          <t>$5 million</t>
        </is>
      </c>
      <c r="G2166" s="19" t="n"/>
      <c r="H2166" s="19" t="n">
        <v>5</v>
      </c>
      <c r="I2166" t="inlineStr">
        <is>
          <t>Seed</t>
        </is>
      </c>
      <c r="J2166" t="inlineStr">
        <is>
          <t>Hivemind Capital</t>
        </is>
      </c>
      <c r="K2166" t="inlineStr">
        <is>
          <t>https://entrackr.com/snippets/cross-border-fintech-startup-zynk-raises-5-mn-in-seed-round-10622400</t>
        </is>
      </c>
    </row>
    <row r="2167">
      <c r="A2167" t="inlineStr">
        <is>
          <t>ET-125087736</t>
        </is>
      </c>
      <c r="B2167" t="inlineStr">
        <is>
          <t>R251104-zynk</t>
        </is>
      </c>
      <c r="C2167" t="inlineStr">
        <is>
          <t>The Economic Times</t>
        </is>
      </c>
      <c r="D2167" s="17" t="n">
        <v>45965</v>
      </c>
      <c r="E2167" t="inlineStr">
        <is>
          <t>Zynk</t>
        </is>
      </c>
      <c r="F2167" t="inlineStr">
        <is>
          <t>$5 million</t>
        </is>
      </c>
      <c r="G2167" s="19" t="n"/>
      <c r="H2167" s="19" t="n">
        <v>5</v>
      </c>
      <c r="I2167" t="inlineStr">
        <is>
          <t>Undisclosed</t>
        </is>
      </c>
      <c r="J2167" t="inlineStr">
        <is>
          <t>Hivemind Capital</t>
        </is>
      </c>
      <c r="K2167" t="inlineStr">
        <is>
          <t>https://economictimes.indiatimes.com/tech/funding/fintech-startup-zynk-raises-5-million-from-hivemind-capital-others/articleshow/125087736.cms</t>
        </is>
      </c>
    </row>
    <row r="2168">
      <c r="A2168" t="inlineStr">
        <is>
          <t>INC-20251108-06</t>
        </is>
      </c>
      <c r="B2168" t="inlineStr">
        <is>
          <t>R251104-zynk</t>
        </is>
      </c>
      <c r="C2168" t="inlineStr">
        <is>
          <t>Inc42</t>
        </is>
      </c>
      <c r="D2168" s="17" t="n">
        <v>45965</v>
      </c>
      <c r="E2168" t="inlineStr">
        <is>
          <t>Zynk</t>
        </is>
      </c>
      <c r="F2168" t="inlineStr">
        <is>
          <t>$5 Mn</t>
        </is>
      </c>
      <c r="G2168" s="19" t="n"/>
      <c r="H2168" s="19" t="n">
        <v>5</v>
      </c>
      <c r="I2168" t="inlineStr">
        <is>
          <t>Seed</t>
        </is>
      </c>
      <c r="J2168" t="inlineStr">
        <is>
          <t>Hivemind Capital</t>
        </is>
      </c>
      <c r="K2168" t="inlineStr">
        <is>
          <t>https://inc42.com/buzz/from-moengage-to-agnikul-indian-startups-raised-238-mn-this-week/</t>
        </is>
      </c>
    </row>
    <row r="2169">
      <c r="A2169" t="inlineStr">
        <is>
          <t>ENT-10624239</t>
        </is>
      </c>
      <c r="B2169" t="inlineStr">
        <is>
          <t>R251105-babyorgano</t>
        </is>
      </c>
      <c r="C2169" t="inlineStr">
        <is>
          <t>Entrackr</t>
        </is>
      </c>
      <c r="D2169" s="17" t="n">
        <v>45966</v>
      </c>
      <c r="E2169" t="inlineStr">
        <is>
          <t>BabyOrgano</t>
        </is>
      </c>
      <c r="F2169" t="inlineStr">
        <is>
          <t>Rs 20 crore</t>
        </is>
      </c>
      <c r="G2169" s="19" t="n">
        <v>20</v>
      </c>
      <c r="H2169" s="19" t="n">
        <v>2.4</v>
      </c>
      <c r="I2169" t="inlineStr">
        <is>
          <t>Pre-Series A</t>
        </is>
      </c>
      <c r="J2169" t="inlineStr">
        <is>
          <t>RPSG Capital Ventures</t>
        </is>
      </c>
      <c r="K2169" t="inlineStr">
        <is>
          <t>https://entrackr.com/snippets/babyorgano-raises-rs-20-cr-led-by-rpsg-capital-ventures-10624239</t>
        </is>
      </c>
    </row>
    <row r="2170">
      <c r="A2170" t="inlineStr">
        <is>
          <t>ET-125105881</t>
        </is>
      </c>
      <c r="B2170" t="inlineStr">
        <is>
          <t>R251105-babyorgano</t>
        </is>
      </c>
      <c r="C2170" t="inlineStr">
        <is>
          <t>The Economic Times</t>
        </is>
      </c>
      <c r="D2170" s="17" t="n">
        <v>45966</v>
      </c>
      <c r="E2170" t="inlineStr">
        <is>
          <t>Babyorgano</t>
        </is>
      </c>
      <c r="F2170" t="inlineStr">
        <is>
          <t>$2.2 million</t>
        </is>
      </c>
      <c r="G2170" s="19" t="n">
        <v>20</v>
      </c>
      <c r="H2170" s="19" t="n">
        <v>2.2</v>
      </c>
      <c r="I2170" t="inlineStr">
        <is>
          <t>Undisclosed</t>
        </is>
      </c>
      <c r="J2170" t="inlineStr">
        <is>
          <t>RPSG Capital Ventures</t>
        </is>
      </c>
      <c r="K2170" t="inlineStr">
        <is>
          <t>https://economictimes.indiatimes.com/tech/funding/ayurvedic-babycare-brand-babyorgano-raises-2-2-million-from-rpsg-capital-sauce-vc/articleshow/125105881.cms</t>
        </is>
      </c>
    </row>
    <row r="2171">
      <c r="A2171" t="inlineStr">
        <is>
          <t>INC-20251108-08</t>
        </is>
      </c>
      <c r="B2171" t="inlineStr">
        <is>
          <t>R251105-babyorgano</t>
        </is>
      </c>
      <c r="C2171" t="inlineStr">
        <is>
          <t>Inc42</t>
        </is>
      </c>
      <c r="D2171" s="17" t="n">
        <v>45966</v>
      </c>
      <c r="E2171" t="inlineStr">
        <is>
          <t>BabyOrgano</t>
        </is>
      </c>
      <c r="F2171" t="inlineStr">
        <is>
          <t>$2.3 Mn</t>
        </is>
      </c>
      <c r="G2171" s="19" t="n"/>
      <c r="H2171" s="19" t="n">
        <v>2.3</v>
      </c>
      <c r="I2171" t="inlineStr">
        <is>
          <t>Pre-Series A</t>
        </is>
      </c>
      <c r="J2171" t="inlineStr">
        <is>
          <t>RPSG Capital Ventures</t>
        </is>
      </c>
      <c r="K2171" t="inlineStr">
        <is>
          <t>https://inc42.com/buzz/from-moengage-to-agnikul-indian-startups-raised-238-mn-this-week/</t>
        </is>
      </c>
    </row>
    <row r="2172">
      <c r="A2172" t="inlineStr">
        <is>
          <t>ENT-10624147</t>
        </is>
      </c>
      <c r="B2172" t="inlineStr">
        <is>
          <t>R251105-krieya</t>
        </is>
      </c>
      <c r="C2172" t="inlineStr">
        <is>
          <t>Entrackr</t>
        </is>
      </c>
      <c r="D2172" s="17" t="n">
        <v>45966</v>
      </c>
      <c r="E2172" t="inlineStr">
        <is>
          <t>Krieya</t>
        </is>
      </c>
      <c r="F2172" t="inlineStr">
        <is>
          <t>Rs 7 crore</t>
        </is>
      </c>
      <c r="G2172" s="19" t="n">
        <v>7</v>
      </c>
      <c r="H2172" s="19" t="n">
        <v>0.788</v>
      </c>
      <c r="I2172" t="inlineStr">
        <is>
          <t>Undisclosed</t>
        </is>
      </c>
      <c r="J2172" t="inlineStr">
        <is>
          <t>Sauce</t>
        </is>
      </c>
      <c r="K2172" t="inlineStr">
        <is>
          <t>https://entrackr.com/snippets/krieya-raises-rs-7-cr-led-by-sauce-and-riverwalk-holdings-10624147</t>
        </is>
      </c>
    </row>
    <row r="2173">
      <c r="A2173" t="inlineStr">
        <is>
          <t>INC-20251108-16</t>
        </is>
      </c>
      <c r="B2173" t="inlineStr">
        <is>
          <t>R251105-krieya</t>
        </is>
      </c>
      <c r="C2173" t="inlineStr">
        <is>
          <t>Inc42</t>
        </is>
      </c>
      <c r="D2173" s="17" t="n">
        <v>45966</v>
      </c>
      <c r="E2173" t="inlineStr">
        <is>
          <t>Krieya Beauty &amp; Wellness</t>
        </is>
      </c>
      <c r="F2173" t="inlineStr">
        <is>
          <t>$789K</t>
        </is>
      </c>
      <c r="G2173" s="19" t="n"/>
      <c r="H2173" s="19" t="n">
        <v>0.789</v>
      </c>
      <c r="I2173" t="inlineStr">
        <is>
          <t>Undisclosed</t>
        </is>
      </c>
      <c r="J2173" t="inlineStr">
        <is>
          <t>Sauce.vc; Riverwalk Holdings</t>
        </is>
      </c>
      <c r="K2173" t="inlineStr">
        <is>
          <t>https://inc42.com/buzz/from-moengage-to-agnikul-indian-startups-raised-238-mn-this-week/</t>
        </is>
      </c>
    </row>
    <row r="2174">
      <c r="A2174" t="inlineStr">
        <is>
          <t>ENT-10623898</t>
        </is>
      </c>
      <c r="B2174" t="inlineStr">
        <is>
          <t>R251105-lighthousecant</t>
        </is>
      </c>
      <c r="C2174" t="inlineStr">
        <is>
          <t>Entrackr</t>
        </is>
      </c>
      <c r="D2174" s="17" t="n">
        <v>45966</v>
      </c>
      <c r="E2174" t="inlineStr">
        <is>
          <t>Lighthouse Canton</t>
        </is>
      </c>
      <c r="F2174" t="inlineStr">
        <is>
          <t>$40 million</t>
        </is>
      </c>
      <c r="G2174" s="19" t="n"/>
      <c r="H2174" s="19" t="n">
        <v>40</v>
      </c>
      <c r="I2174" t="inlineStr">
        <is>
          <t>Undisclosed</t>
        </is>
      </c>
      <c r="J2174" t="inlineStr">
        <is>
          <t>Peak XV Partners</t>
        </is>
      </c>
      <c r="K2174" t="inlineStr">
        <is>
          <t>https://entrackr.com/snippets/lighthouse-canton-raises-40-mn-led-by-peak-xv-partners-10623898</t>
        </is>
      </c>
    </row>
    <row r="2175">
      <c r="A2175" t="inlineStr">
        <is>
          <t>ET-125109261</t>
        </is>
      </c>
      <c r="B2175" t="inlineStr">
        <is>
          <t>R251105-lighthousecant</t>
        </is>
      </c>
      <c r="C2175" t="inlineStr">
        <is>
          <t>The Economic Times</t>
        </is>
      </c>
      <c r="D2175" s="17" t="n">
        <v>45966</v>
      </c>
      <c r="E2175" t="inlineStr">
        <is>
          <t>Lighthouse Canton</t>
        </is>
      </c>
      <c r="F2175" t="inlineStr">
        <is>
          <t>$40 million</t>
        </is>
      </c>
      <c r="G2175" s="19" t="n"/>
      <c r="H2175" s="19" t="n">
        <v>40</v>
      </c>
      <c r="I2175" t="inlineStr">
        <is>
          <t>Undisclosed</t>
        </is>
      </c>
      <c r="J2175" t="inlineStr">
        <is>
          <t>Peak XV Partners</t>
        </is>
      </c>
      <c r="K2175" t="inlineStr">
        <is>
          <t>https://economictimes.indiatimes.com/tech/funding/lighthouse-canton-secures-40-million-in-funding-led-by-peak-xv-partners/articleshow/125109261.cms</t>
        </is>
      </c>
    </row>
    <row r="2176">
      <c r="A2176" t="inlineStr">
        <is>
          <t>VCC-bd29ddd568</t>
        </is>
      </c>
      <c r="B2176" t="inlineStr">
        <is>
          <t>R251105-lighthousecant</t>
        </is>
      </c>
      <c r="C2176" t="inlineStr">
        <is>
          <t>VCCircle</t>
        </is>
      </c>
      <c r="D2176" s="17" t="n">
        <v>45967</v>
      </c>
      <c r="E2176" t="inlineStr">
        <is>
          <t>lighthousecanton</t>
        </is>
      </c>
      <c r="F2176" t="inlineStr">
        <is>
          <t>$ 40 million</t>
        </is>
      </c>
      <c r="G2176" s="19" t="n"/>
      <c r="H2176" s="19" t="n">
        <v>40</v>
      </c>
      <c r="I2176" t="inlineStr">
        <is>
          <t>Undisclosed</t>
        </is>
      </c>
      <c r="J2176" t="inlineStr">
        <is>
          <t>peak xv partners</t>
        </is>
      </c>
      <c r="K2176" t="inlineStr">
        <is>
          <t>https://www.vccircle.com/lighthousecanton-bags-40-mn-in-first-external-fundraise-led-by-peak-xv-partners</t>
        </is>
      </c>
    </row>
    <row r="2177">
      <c r="A2177" t="inlineStr">
        <is>
          <t>ENT-10623932</t>
        </is>
      </c>
      <c r="B2177" t="inlineStr">
        <is>
          <t>R251105-medyseva</t>
        </is>
      </c>
      <c r="C2177" t="inlineStr">
        <is>
          <t>Entrackr</t>
        </is>
      </c>
      <c r="D2177" s="17" t="n">
        <v>45966</v>
      </c>
      <c r="E2177" t="inlineStr">
        <is>
          <t>MedySeva</t>
        </is>
      </c>
      <c r="F2177" t="inlineStr">
        <is>
          <t>Rs 4 crore</t>
        </is>
      </c>
      <c r="G2177" s="19" t="n">
        <v>4</v>
      </c>
      <c r="H2177" s="19" t="n"/>
      <c r="I2177" t="inlineStr">
        <is>
          <t>Seed</t>
        </is>
      </c>
      <c r="J2177" t="inlineStr">
        <is>
          <t>Unicorn India Ventures</t>
        </is>
      </c>
      <c r="K2177" t="inlineStr">
        <is>
          <t>https://entrackr.com/snippets/medyseva-raises-rs-4-cr-led-by-unicorn-india-ventures-10623932</t>
        </is>
      </c>
    </row>
    <row r="2178">
      <c r="A2178" t="inlineStr">
        <is>
          <t>INC-20251108-18</t>
        </is>
      </c>
      <c r="B2178" t="inlineStr">
        <is>
          <t>R251105-medyseva</t>
        </is>
      </c>
      <c r="C2178" t="inlineStr">
        <is>
          <t>Inc42</t>
        </is>
      </c>
      <c r="D2178" s="17" t="n">
        <v>45966</v>
      </c>
      <c r="E2178" t="inlineStr">
        <is>
          <t>MedySeva</t>
        </is>
      </c>
      <c r="F2178" t="inlineStr">
        <is>
          <t>$451K</t>
        </is>
      </c>
      <c r="G2178" s="19" t="n"/>
      <c r="H2178" s="19" t="n">
        <v>0.451</v>
      </c>
      <c r="I2178" t="inlineStr">
        <is>
          <t>Seed</t>
        </is>
      </c>
      <c r="J2178" t="inlineStr">
        <is>
          <t>Unicorn India Ventures</t>
        </is>
      </c>
      <c r="K2178" t="inlineStr">
        <is>
          <t>https://inc42.com/buzz/from-moengage-to-agnikul-indian-startups-raised-238-mn-this-week/</t>
        </is>
      </c>
    </row>
    <row r="2179">
      <c r="A2179" t="inlineStr">
        <is>
          <t>ENT-10623758</t>
        </is>
      </c>
      <c r="B2179" t="inlineStr">
        <is>
          <t>R251105-moengage</t>
        </is>
      </c>
      <c r="C2179" t="inlineStr">
        <is>
          <t>Entrackr</t>
        </is>
      </c>
      <c r="D2179" s="17" t="n">
        <v>45966</v>
      </c>
      <c r="E2179" t="inlineStr">
        <is>
          <t>MoEngage</t>
        </is>
      </c>
      <c r="F2179" t="inlineStr">
        <is>
          <t>$100 million</t>
        </is>
      </c>
      <c r="G2179" s="19" t="n"/>
      <c r="H2179" s="19" t="n">
        <v>100</v>
      </c>
      <c r="I2179" t="inlineStr">
        <is>
          <t>Series F</t>
        </is>
      </c>
      <c r="J2179" t="inlineStr"/>
      <c r="K2179" t="inlineStr">
        <is>
          <t>https://entrackr.com/news/moengage-raises-100-mn-from-goldman-sachs-and-a91-partners-10623758</t>
        </is>
      </c>
    </row>
    <row r="2180">
      <c r="A2180" t="inlineStr">
        <is>
          <t>ET-125108263</t>
        </is>
      </c>
      <c r="B2180" t="inlineStr">
        <is>
          <t>R251105-moengage</t>
        </is>
      </c>
      <c r="C2180" t="inlineStr">
        <is>
          <t>The Economic Times</t>
        </is>
      </c>
      <c r="D2180" s="17" t="n">
        <v>45966</v>
      </c>
      <c r="E2180" t="inlineStr">
        <is>
          <t>MoEngage</t>
        </is>
      </c>
      <c r="F2180" t="inlineStr">
        <is>
          <t>$100 million</t>
        </is>
      </c>
      <c r="G2180" s="19" t="n"/>
      <c r="H2180" s="19" t="n">
        <v>100</v>
      </c>
      <c r="I2180" t="inlineStr">
        <is>
          <t>Undisclosed</t>
        </is>
      </c>
      <c r="J2180" t="inlineStr">
        <is>
          <t>A91 Partners; Goldman Sachs Alternatives</t>
        </is>
      </c>
      <c r="K2180" t="inlineStr">
        <is>
          <t>https://economictimes.indiatimes.com/tech/funding/saas-firm-moengage-raises-100-million-from-a91-partners-goldman-sachs-alternatives-valued-at-700-million/articleshow/125108263.cms</t>
        </is>
      </c>
    </row>
    <row r="2181">
      <c r="A2181" t="inlineStr">
        <is>
          <t>INC-20251108-01</t>
        </is>
      </c>
      <c r="B2181" t="inlineStr">
        <is>
          <t>R251105-moengage</t>
        </is>
      </c>
      <c r="C2181" t="inlineStr">
        <is>
          <t>Inc42</t>
        </is>
      </c>
      <c r="D2181" s="17" t="n">
        <v>45966</v>
      </c>
      <c r="E2181" t="inlineStr">
        <is>
          <t>MoEngage</t>
        </is>
      </c>
      <c r="F2181" t="inlineStr">
        <is>
          <t>$100 Mn</t>
        </is>
      </c>
      <c r="G2181" s="19" t="n"/>
      <c r="H2181" s="19" t="n">
        <v>100</v>
      </c>
      <c r="I2181" t="inlineStr">
        <is>
          <t>Undisclosed</t>
        </is>
      </c>
      <c r="J2181" t="inlineStr">
        <is>
          <t>Goldman Sachs Alternatives; A91 Partners</t>
        </is>
      </c>
      <c r="K2181" t="inlineStr">
        <is>
          <t>https://inc42.com/buzz/from-moengage-to-agnikul-indian-startups-raised-238-mn-this-week/</t>
        </is>
      </c>
    </row>
    <row r="2182">
      <c r="A2182" t="inlineStr">
        <is>
          <t>ENT-10624897</t>
        </is>
      </c>
      <c r="B2182" t="inlineStr">
        <is>
          <t>R251105-spacewood</t>
        </is>
      </c>
      <c r="C2182" t="inlineStr">
        <is>
          <t>Entrackr</t>
        </is>
      </c>
      <c r="D2182" s="17" t="n">
        <v>45966</v>
      </c>
      <c r="E2182" t="inlineStr">
        <is>
          <t>Spacewood</t>
        </is>
      </c>
      <c r="F2182" t="inlineStr">
        <is>
          <t>Rs 300 crore</t>
        </is>
      </c>
      <c r="G2182" s="19" t="n">
        <v>300</v>
      </c>
      <c r="H2182" s="19" t="n">
        <v>36</v>
      </c>
      <c r="I2182" t="inlineStr">
        <is>
          <t>Undisclosed</t>
        </is>
      </c>
      <c r="J2182" t="inlineStr"/>
      <c r="K2182" t="inlineStr">
        <is>
          <t>https://entrackr.com/news/spacewood-raises-rs-300-cr-at-rs-1200-cr-valuation-10624897</t>
        </is>
      </c>
    </row>
    <row r="2183">
      <c r="A2183" t="inlineStr">
        <is>
          <t>ET-125110993</t>
        </is>
      </c>
      <c r="B2183" t="inlineStr">
        <is>
          <t>R251105-spacewood</t>
        </is>
      </c>
      <c r="C2183" t="inlineStr">
        <is>
          <t>The Economic Times</t>
        </is>
      </c>
      <c r="D2183" s="17" t="n">
        <v>45966</v>
      </c>
      <c r="E2183" t="inlineStr">
        <is>
          <t>Spacewood Furnishers</t>
        </is>
      </c>
      <c r="F2183" t="inlineStr">
        <is>
          <t>Rs 300-crore</t>
        </is>
      </c>
      <c r="G2183" s="19" t="n">
        <v>300</v>
      </c>
      <c r="H2183" s="19" t="n"/>
      <c r="I2183" t="inlineStr">
        <is>
          <t>Undisclosed</t>
        </is>
      </c>
      <c r="J2183" t="inlineStr"/>
      <c r="K2183" t="inlineStr">
        <is>
          <t>https://economictimes.indiatimes.com/tech/funding/spacewood-furnishers-raises-rs-300-crore-from-a91-partners-to-enhance-manufacturing-retail-presence/articleshow/125110993.cms</t>
        </is>
      </c>
    </row>
    <row r="2184">
      <c r="A2184" t="inlineStr">
        <is>
          <t>INC-20251108-03</t>
        </is>
      </c>
      <c r="B2184" t="inlineStr">
        <is>
          <t>R251105-spacewood</t>
        </is>
      </c>
      <c r="C2184" t="inlineStr">
        <is>
          <t>Inc42</t>
        </is>
      </c>
      <c r="D2184" s="17" t="n">
        <v>45966</v>
      </c>
      <c r="E2184" t="inlineStr">
        <is>
          <t>Spacewood Furnishers</t>
        </is>
      </c>
      <c r="F2184" t="inlineStr">
        <is>
          <t>$33.8 Mn</t>
        </is>
      </c>
      <c r="G2184" s="19" t="n"/>
      <c r="H2184" s="19" t="n">
        <v>33.8</v>
      </c>
      <c r="I2184" t="inlineStr">
        <is>
          <t>Undisclosed</t>
        </is>
      </c>
      <c r="J2184" t="inlineStr">
        <is>
          <t>A91 Partners</t>
        </is>
      </c>
      <c r="K2184" t="inlineStr">
        <is>
          <t>https://inc42.com/buzz/from-moengage-to-agnikul-indian-startups-raised-238-mn-this-week/</t>
        </is>
      </c>
    </row>
    <row r="2185">
      <c r="A2185" t="inlineStr">
        <is>
          <t>VCC-9d694d0881</t>
        </is>
      </c>
      <c r="B2185" t="inlineStr">
        <is>
          <t>R251105-spacewood</t>
        </is>
      </c>
      <c r="C2185" t="inlineStr">
        <is>
          <t>VCCircle</t>
        </is>
      </c>
      <c r="D2185" s="17" t="n">
        <v>45967</v>
      </c>
      <c r="E2185" t="inlineStr">
        <is>
          <t>furnituremaker spacewood</t>
        </is>
      </c>
      <c r="F2185" t="inlineStr"/>
      <c r="G2185" s="19" t="n"/>
      <c r="H2185" s="19" t="n"/>
      <c r="I2185" t="inlineStr">
        <is>
          <t>Undisclosed</t>
        </is>
      </c>
      <c r="J2185" t="inlineStr"/>
      <c r="K2185" t="inlineStr">
        <is>
          <t>https://www.vccircle.com/furnituremaker-spacewood-snags-fresh-capital-from-a91-partners</t>
        </is>
      </c>
    </row>
    <row r="2186">
      <c r="A2186" t="inlineStr">
        <is>
          <t>ENT-10624945</t>
        </is>
      </c>
      <c r="B2186" t="inlineStr">
        <is>
          <t>R251105-stackbox</t>
        </is>
      </c>
      <c r="C2186" t="inlineStr">
        <is>
          <t>Entrackr</t>
        </is>
      </c>
      <c r="D2186" s="17" t="n">
        <v>45966</v>
      </c>
      <c r="E2186" t="inlineStr">
        <is>
          <t>Stackbox</t>
        </is>
      </c>
      <c r="F2186" t="inlineStr">
        <is>
          <t>$4 million</t>
        </is>
      </c>
      <c r="G2186" s="19" t="n"/>
      <c r="H2186" s="19" t="n">
        <v>4</v>
      </c>
      <c r="I2186" t="inlineStr">
        <is>
          <t>Undisclosed</t>
        </is>
      </c>
      <c r="J2186" t="inlineStr">
        <is>
          <t>Enrission India Capital</t>
        </is>
      </c>
      <c r="K2186" t="inlineStr">
        <is>
          <t>https://entrackr.com/snippets/stackbox-raises-4-mn-led-by-enrission-india-capital-10624945</t>
        </is>
      </c>
    </row>
    <row r="2187">
      <c r="A2187" t="inlineStr">
        <is>
          <t>INC-20251108-07</t>
        </is>
      </c>
      <c r="B2187" t="inlineStr">
        <is>
          <t>R251105-stackbox</t>
        </is>
      </c>
      <c r="C2187" t="inlineStr">
        <is>
          <t>Inc42</t>
        </is>
      </c>
      <c r="D2187" s="17" t="n">
        <v>45966</v>
      </c>
      <c r="E2187" t="inlineStr">
        <is>
          <t>StackBOX</t>
        </is>
      </c>
      <c r="F2187" t="inlineStr">
        <is>
          <t>$4 Mn</t>
        </is>
      </c>
      <c r="G2187" s="19" t="n"/>
      <c r="H2187" s="19" t="n">
        <v>4</v>
      </c>
      <c r="I2187" t="inlineStr">
        <is>
          <t>Undisclosed</t>
        </is>
      </c>
      <c r="J2187" t="inlineStr">
        <is>
          <t>Enrission India Capital</t>
        </is>
      </c>
      <c r="K2187" t="inlineStr">
        <is>
          <t>https://inc42.com/buzz/from-moengage-to-agnikul-indian-startups-raised-238-mn-this-week/</t>
        </is>
      </c>
    </row>
    <row r="2188">
      <c r="A2188" t="inlineStr">
        <is>
          <t>ENT-10623728</t>
        </is>
      </c>
      <c r="B2188" t="inlineStr">
        <is>
          <t>R251105-wyzardai</t>
        </is>
      </c>
      <c r="C2188" t="inlineStr">
        <is>
          <t>Entrackr</t>
        </is>
      </c>
      <c r="D2188" s="17" t="n">
        <v>45966</v>
      </c>
      <c r="E2188" t="inlineStr">
        <is>
          <t>Wyzard.ai</t>
        </is>
      </c>
      <c r="F2188" t="inlineStr">
        <is>
          <t>$500,000</t>
        </is>
      </c>
      <c r="G2188" s="19" t="n"/>
      <c r="H2188" s="19" t="n">
        <v>0.5</v>
      </c>
      <c r="I2188" t="inlineStr">
        <is>
          <t>Angel</t>
        </is>
      </c>
      <c r="J2188" t="inlineStr"/>
      <c r="K2188" t="inlineStr">
        <is>
          <t>https://entrackr.com/snippets/wyzardai-raises-500k-in-angel-round-10623728</t>
        </is>
      </c>
    </row>
    <row r="2189">
      <c r="A2189" t="inlineStr">
        <is>
          <t>INC-20251108-17</t>
        </is>
      </c>
      <c r="B2189" t="inlineStr">
        <is>
          <t>R251105-wyzardai</t>
        </is>
      </c>
      <c r="C2189" t="inlineStr">
        <is>
          <t>Inc42</t>
        </is>
      </c>
      <c r="D2189" s="17" t="n">
        <v>45966</v>
      </c>
      <c r="E2189" t="inlineStr">
        <is>
          <t>WYZARD.AI</t>
        </is>
      </c>
      <c r="F2189" t="inlineStr">
        <is>
          <t>$500K</t>
        </is>
      </c>
      <c r="G2189" s="19" t="n"/>
      <c r="H2189" s="19" t="n">
        <v>0.5</v>
      </c>
      <c r="I2189" t="inlineStr">
        <is>
          <t>Undisclosed</t>
        </is>
      </c>
      <c r="J2189" t="inlineStr"/>
      <c r="K2189" t="inlineStr">
        <is>
          <t>https://inc42.com/buzz/from-moengage-to-agnikul-indian-startups-raised-238-mn-this-week/</t>
        </is>
      </c>
    </row>
    <row r="2190">
      <c r="A2190" t="inlineStr">
        <is>
          <t>ENT-10626752</t>
        </is>
      </c>
      <c r="B2190" t="inlineStr">
        <is>
          <t>R251106-gamestatelabs</t>
        </is>
      </c>
      <c r="C2190" t="inlineStr">
        <is>
          <t>Entrackr</t>
        </is>
      </c>
      <c r="D2190" s="17" t="n">
        <v>45967</v>
      </c>
      <c r="E2190" t="inlineStr">
        <is>
          <t>Game State Labs</t>
        </is>
      </c>
      <c r="F2190" t="inlineStr">
        <is>
          <t>$2 million</t>
        </is>
      </c>
      <c r="G2190" s="19" t="n"/>
      <c r="H2190" s="19" t="n">
        <v>2</v>
      </c>
      <c r="I2190" t="inlineStr">
        <is>
          <t>Seed</t>
        </is>
      </c>
      <c r="J2190" t="inlineStr">
        <is>
          <t>PeerCapital; Neon Fund</t>
        </is>
      </c>
      <c r="K2190" t="inlineStr">
        <is>
          <t>https://entrackr.com/snippets/game-state-labs-raises-2-mn-in-seed-round-10626752</t>
        </is>
      </c>
    </row>
    <row r="2191">
      <c r="A2191" t="inlineStr">
        <is>
          <t>INC-20251108-11</t>
        </is>
      </c>
      <c r="B2191" t="inlineStr">
        <is>
          <t>R251106-gamestatelabs</t>
        </is>
      </c>
      <c r="C2191" t="inlineStr">
        <is>
          <t>Inc42</t>
        </is>
      </c>
      <c r="D2191" s="17" t="n">
        <v>45967</v>
      </c>
      <c r="E2191" t="inlineStr">
        <is>
          <t>Game State Labs</t>
        </is>
      </c>
      <c r="F2191" t="inlineStr">
        <is>
          <t>$2 Mn</t>
        </is>
      </c>
      <c r="G2191" s="19" t="n"/>
      <c r="H2191" s="19" t="n">
        <v>2</v>
      </c>
      <c r="I2191" t="inlineStr">
        <is>
          <t>Seed</t>
        </is>
      </c>
      <c r="J2191" t="inlineStr">
        <is>
          <t>PeerCapital; Neon Fund</t>
        </is>
      </c>
      <c r="K2191" t="inlineStr">
        <is>
          <t>https://inc42.com/buzz/from-moengage-to-agnikul-indian-startups-raised-238-mn-this-week/</t>
        </is>
      </c>
    </row>
    <row r="2192">
      <c r="A2192" t="inlineStr">
        <is>
          <t>INC-20251108-02</t>
        </is>
      </c>
      <c r="B2192" t="inlineStr">
        <is>
          <t>R251106-giga</t>
        </is>
      </c>
      <c r="C2192" t="inlineStr">
        <is>
          <t>Inc42</t>
        </is>
      </c>
      <c r="D2192" s="17" t="n">
        <v>45967</v>
      </c>
      <c r="E2192" t="inlineStr">
        <is>
          <t>Giga</t>
        </is>
      </c>
      <c r="F2192" t="inlineStr">
        <is>
          <t>$61 Mn</t>
        </is>
      </c>
      <c r="G2192" s="19" t="n"/>
      <c r="H2192" s="19" t="n">
        <v>61</v>
      </c>
      <c r="I2192" t="inlineStr">
        <is>
          <t>Series A</t>
        </is>
      </c>
      <c r="J2192" t="inlineStr">
        <is>
          <t>Redpoint Ventures</t>
        </is>
      </c>
      <c r="K2192" t="inlineStr">
        <is>
          <t>https://inc42.com/buzz/from-moengage-to-agnikul-indian-startups-raised-238-mn-this-week/</t>
        </is>
      </c>
    </row>
    <row r="2193">
      <c r="A2193" t="inlineStr">
        <is>
          <t>INC-20251108-19</t>
        </is>
      </c>
      <c r="B2193" t="inlineStr">
        <is>
          <t>R251106-insightai</t>
        </is>
      </c>
      <c r="C2193" t="inlineStr">
        <is>
          <t>Inc42</t>
        </is>
      </c>
      <c r="D2193" s="17" t="n">
        <v>45967</v>
      </c>
      <c r="E2193" t="inlineStr">
        <is>
          <t>InsightAI</t>
        </is>
      </c>
      <c r="F2193" t="inlineStr">
        <is>
          <t>$124K</t>
        </is>
      </c>
      <c r="G2193" s="19" t="n"/>
      <c r="H2193" s="19" t="n">
        <v>0.124</v>
      </c>
      <c r="I2193" t="inlineStr">
        <is>
          <t>Pre-Seed</t>
        </is>
      </c>
      <c r="J2193" t="inlineStr">
        <is>
          <t>PedalStart</t>
        </is>
      </c>
      <c r="K2193" t="inlineStr">
        <is>
          <t>https://inc42.com/buzz/from-moengage-to-agnikul-indian-startups-raised-238-mn-this-week/</t>
        </is>
      </c>
    </row>
    <row r="2194">
      <c r="A2194" t="inlineStr">
        <is>
          <t>ENT-10626621</t>
        </is>
      </c>
      <c r="B2194" t="inlineStr">
        <is>
          <t>R251106-meshdefend</t>
        </is>
      </c>
      <c r="C2194" t="inlineStr">
        <is>
          <t>Entrackr</t>
        </is>
      </c>
      <c r="D2194" s="17" t="n">
        <v>45967</v>
      </c>
      <c r="E2194" t="inlineStr">
        <is>
          <t>MeshDefend</t>
        </is>
      </c>
      <c r="F2194" t="inlineStr">
        <is>
          <t>$2.3 million</t>
        </is>
      </c>
      <c r="G2194" s="19" t="n"/>
      <c r="H2194" s="19" t="n">
        <v>2.3</v>
      </c>
      <c r="I2194" t="inlineStr">
        <is>
          <t>Pre-Seed</t>
        </is>
      </c>
      <c r="J2194" t="inlineStr">
        <is>
          <t>Kalaari Capital</t>
        </is>
      </c>
      <c r="K2194" t="inlineStr">
        <is>
          <t>https://entrackr.com/snippets/meshdefend-raises-23-mn-in-pre-seed-round-led-by-kalaari-capital-10626621</t>
        </is>
      </c>
    </row>
    <row r="2195">
      <c r="A2195" t="inlineStr">
        <is>
          <t>ET-125111852</t>
        </is>
      </c>
      <c r="B2195" t="inlineStr">
        <is>
          <t>R251106-meshdefend</t>
        </is>
      </c>
      <c r="C2195" t="inlineStr">
        <is>
          <t>The Economic Times</t>
        </is>
      </c>
      <c r="D2195" s="17" t="n">
        <v>45967</v>
      </c>
      <c r="E2195" t="inlineStr">
        <is>
          <t>MeshDefend</t>
        </is>
      </c>
      <c r="F2195" t="inlineStr">
        <is>
          <t>$2.3 million</t>
        </is>
      </c>
      <c r="G2195" s="19" t="n"/>
      <c r="H2195" s="19" t="n">
        <v>2.3</v>
      </c>
      <c r="I2195" t="inlineStr">
        <is>
          <t>Undisclosed</t>
        </is>
      </c>
      <c r="J2195" t="inlineStr">
        <is>
          <t>Kalaari Capital</t>
        </is>
      </c>
      <c r="K2195" t="inlineStr">
        <is>
          <t>https://economictimes.indiatimes.com/tech/funding/ai-enterprise-ops-startup-meshdefend-raises-2-3-million-in-round-led-by-kalaari-capital/articleshow/125111852.cms</t>
        </is>
      </c>
    </row>
    <row r="2196">
      <c r="A2196" t="inlineStr">
        <is>
          <t>INC-20251108-09</t>
        </is>
      </c>
      <c r="B2196" t="inlineStr">
        <is>
          <t>R251106-meshdefend</t>
        </is>
      </c>
      <c r="C2196" t="inlineStr">
        <is>
          <t>Inc42</t>
        </is>
      </c>
      <c r="D2196" s="17" t="n">
        <v>45967</v>
      </c>
      <c r="E2196" t="inlineStr">
        <is>
          <t>MeshDefend</t>
        </is>
      </c>
      <c r="F2196" t="inlineStr">
        <is>
          <t>$2.3 Mn</t>
        </is>
      </c>
      <c r="G2196" s="19" t="n"/>
      <c r="H2196" s="19" t="n">
        <v>2.3</v>
      </c>
      <c r="I2196" t="inlineStr">
        <is>
          <t>Pre-Seed</t>
        </is>
      </c>
      <c r="J2196" t="inlineStr">
        <is>
          <t>Kalaari Capital</t>
        </is>
      </c>
      <c r="K2196" t="inlineStr">
        <is>
          <t>https://inc42.com/buzz/from-moengage-to-agnikul-indian-startups-raised-238-mn-this-week/</t>
        </is>
      </c>
    </row>
    <row r="2197">
      <c r="A2197" t="inlineStr">
        <is>
          <t>ENT-10627232</t>
        </is>
      </c>
      <c r="B2197" t="inlineStr">
        <is>
          <t>R251106-theartment</t>
        </is>
      </c>
      <c r="C2197" t="inlineStr">
        <is>
          <t>Entrackr</t>
        </is>
      </c>
      <c r="D2197" s="17" t="n">
        <v>45967</v>
      </c>
      <c r="E2197" t="inlineStr">
        <is>
          <t>The Artment</t>
        </is>
      </c>
      <c r="F2197" t="inlineStr">
        <is>
          <t>Rs 10 crore</t>
        </is>
      </c>
      <c r="G2197" s="19" t="n">
        <v>10</v>
      </c>
      <c r="H2197" s="19" t="n"/>
      <c r="I2197" t="inlineStr">
        <is>
          <t>Pre-Series A</t>
        </is>
      </c>
      <c r="J2197" t="inlineStr">
        <is>
          <t>Inflection Point Ventures</t>
        </is>
      </c>
      <c r="K2197" t="inlineStr">
        <is>
          <t>https://entrackr.com/snippets/the-artment-raises-rs-10-cr-in-pre-series-a-round-led-by-ipv-10627232</t>
        </is>
      </c>
    </row>
    <row r="2198">
      <c r="A2198" t="inlineStr">
        <is>
          <t>INC-20251108-14</t>
        </is>
      </c>
      <c r="B2198" t="inlineStr">
        <is>
          <t>R251106-theartment</t>
        </is>
      </c>
      <c r="C2198" t="inlineStr">
        <is>
          <t>Inc42</t>
        </is>
      </c>
      <c r="D2198" s="17" t="n">
        <v>45967</v>
      </c>
      <c r="E2198" t="inlineStr">
        <is>
          <t>The Artment</t>
        </is>
      </c>
      <c r="F2198" t="inlineStr">
        <is>
          <t>$1.1 Mn</t>
        </is>
      </c>
      <c r="G2198" s="19" t="n"/>
      <c r="H2198" s="19" t="n">
        <v>1.1</v>
      </c>
      <c r="I2198" t="inlineStr">
        <is>
          <t>Pre-Series A</t>
        </is>
      </c>
      <c r="J2198" t="inlineStr">
        <is>
          <t>Inflection Point Ventures</t>
        </is>
      </c>
      <c r="K2198" t="inlineStr">
        <is>
          <t>https://inc42.com/buzz/from-moengage-to-agnikul-indian-startups-raised-238-mn-this-week/</t>
        </is>
      </c>
    </row>
    <row r="2199">
      <c r="A2199" t="inlineStr">
        <is>
          <t>ENT-10626626</t>
        </is>
      </c>
      <c r="B2199" t="inlineStr">
        <is>
          <t>R251106-ulook</t>
        </is>
      </c>
      <c r="C2199" t="inlineStr">
        <is>
          <t>Entrackr</t>
        </is>
      </c>
      <c r="D2199" s="17" t="n">
        <v>45967</v>
      </c>
      <c r="E2199" t="inlineStr">
        <is>
          <t>Ulook</t>
        </is>
      </c>
      <c r="F2199" t="inlineStr">
        <is>
          <t>Rs 19 crore</t>
        </is>
      </c>
      <c r="G2199" s="19" t="n">
        <v>19</v>
      </c>
      <c r="H2199" s="19" t="n">
        <v>2.3</v>
      </c>
      <c r="I2199" t="inlineStr">
        <is>
          <t>Undisclosed</t>
        </is>
      </c>
      <c r="J2199" t="inlineStr">
        <is>
          <t>GrowX Ventures; InfoEdge Ventures</t>
        </is>
      </c>
      <c r="K2199" t="inlineStr">
        <is>
          <t>https://entrackr.com/snippets/space-tech-startup-ulook-raises-rs-19-cr-led-by-growx-and-infoedge-ventures-10626626</t>
        </is>
      </c>
    </row>
    <row r="2200">
      <c r="A2200" t="inlineStr">
        <is>
          <t>ET-125111938</t>
        </is>
      </c>
      <c r="B2200" t="inlineStr">
        <is>
          <t>R251106-ulook</t>
        </is>
      </c>
      <c r="C2200" t="inlineStr">
        <is>
          <t>The Economic Times</t>
        </is>
      </c>
      <c r="D2200" s="17" t="n">
        <v>45967</v>
      </c>
      <c r="E2200" t="inlineStr">
        <is>
          <t>Ulook</t>
        </is>
      </c>
      <c r="F2200" t="inlineStr">
        <is>
          <t>Rs 19 crore</t>
        </is>
      </c>
      <c r="G2200" s="19" t="n">
        <v>19</v>
      </c>
      <c r="H2200" s="19" t="n"/>
      <c r="I2200" t="inlineStr">
        <is>
          <t>Undisclosed</t>
        </is>
      </c>
      <c r="J2200" t="inlineStr">
        <is>
          <t>InfoEdge Ventures</t>
        </is>
      </c>
      <c r="K2200" t="inlineStr">
        <is>
          <t>https://economictimes.indiatimes.com/tech/funding/space-tech-startup-ulook-raises-rs-19-crore-in-round-co-led-by-growx-ventures-infoedge-ventures/articleshow/125111938.cms</t>
        </is>
      </c>
    </row>
    <row r="2201">
      <c r="A2201" t="inlineStr">
        <is>
          <t>INC-20251108-10</t>
        </is>
      </c>
      <c r="B2201" t="inlineStr">
        <is>
          <t>R251106-ulook</t>
        </is>
      </c>
      <c r="C2201" t="inlineStr">
        <is>
          <t>Inc42</t>
        </is>
      </c>
      <c r="D2201" s="17" t="n">
        <v>45967</v>
      </c>
      <c r="E2201" t="inlineStr">
        <is>
          <t>ULOOK</t>
        </is>
      </c>
      <c r="F2201" t="inlineStr">
        <is>
          <t>$2.1 Mn</t>
        </is>
      </c>
      <c r="G2201" s="19" t="n"/>
      <c r="H2201" s="19" t="n">
        <v>2.1</v>
      </c>
      <c r="I2201" t="inlineStr">
        <is>
          <t>Seed</t>
        </is>
      </c>
      <c r="J2201" t="inlineStr">
        <is>
          <t>Info Edge Ventures</t>
        </is>
      </c>
      <c r="K2201" t="inlineStr">
        <is>
          <t>https://inc42.com/buzz/from-moengage-to-agnikul-indian-startups-raised-238-mn-this-week/</t>
        </is>
      </c>
    </row>
    <row r="2202">
      <c r="A2202" t="inlineStr">
        <is>
          <t>ENT-10635844</t>
        </is>
      </c>
      <c r="B2202" t="inlineStr">
        <is>
          <t>R251107-agnikul</t>
        </is>
      </c>
      <c r="C2202" t="inlineStr">
        <is>
          <t>Entrackr</t>
        </is>
      </c>
      <c r="D2202" s="17" t="n">
        <v>45968</v>
      </c>
      <c r="E2202" t="inlineStr">
        <is>
          <t>Agnikul</t>
        </is>
      </c>
      <c r="F2202" t="inlineStr">
        <is>
          <t>Rs 60 crore</t>
        </is>
      </c>
      <c r="G2202" s="19" t="n">
        <v>60</v>
      </c>
      <c r="H2202" s="19" t="n">
        <v>6.7</v>
      </c>
      <c r="I2202" t="inlineStr">
        <is>
          <t>Undisclosed</t>
        </is>
      </c>
      <c r="J2202" t="inlineStr"/>
      <c r="K2202" t="inlineStr">
        <is>
          <t>https://entrackr.com/exclusive/exclusive-agnikul-raises-rs-60-cr-in-series-new-round-10635844</t>
        </is>
      </c>
    </row>
    <row r="2203">
      <c r="A2203" t="inlineStr">
        <is>
          <t>INC-20251108-05</t>
        </is>
      </c>
      <c r="B2203" t="inlineStr">
        <is>
          <t>R251107-agnikul</t>
        </is>
      </c>
      <c r="C2203" t="inlineStr">
        <is>
          <t>Inc42</t>
        </is>
      </c>
      <c r="D2203" s="17" t="n">
        <v>45968</v>
      </c>
      <c r="E2203" t="inlineStr">
        <is>
          <t>Agnikul Cosmos</t>
        </is>
      </c>
      <c r="F2203" t="inlineStr">
        <is>
          <t>$7.6 Mn</t>
        </is>
      </c>
      <c r="G2203" s="19" t="n"/>
      <c r="H2203" s="19" t="n">
        <v>7.6</v>
      </c>
      <c r="I2203" t="inlineStr">
        <is>
          <t>Undisclosed</t>
        </is>
      </c>
      <c r="J2203" t="inlineStr">
        <is>
          <t>Advenza Global Limited</t>
        </is>
      </c>
      <c r="K2203" t="inlineStr">
        <is>
          <t>https://inc42.com/buzz/from-moengage-to-agnikul-indian-startups-raised-238-mn-this-week/</t>
        </is>
      </c>
    </row>
    <row r="2204">
      <c r="A2204" t="inlineStr">
        <is>
          <t>ENT-10636274</t>
        </is>
      </c>
      <c r="B2204" t="inlineStr">
        <is>
          <t>R251107-miko</t>
        </is>
      </c>
      <c r="C2204" t="inlineStr">
        <is>
          <t>Entrackr</t>
        </is>
      </c>
      <c r="D2204" s="17" t="n">
        <v>45968</v>
      </c>
      <c r="E2204" t="inlineStr">
        <is>
          <t>Miko</t>
        </is>
      </c>
      <c r="F2204" t="inlineStr">
        <is>
          <t>$10.5 million</t>
        </is>
      </c>
      <c r="G2204" s="19" t="n">
        <v>93.5</v>
      </c>
      <c r="H2204" s="19" t="n">
        <v>10.5</v>
      </c>
      <c r="I2204" t="inlineStr">
        <is>
          <t>Undisclosed</t>
        </is>
      </c>
      <c r="J2204" t="inlineStr">
        <is>
          <t>iHeartMedia</t>
        </is>
      </c>
      <c r="K2204" t="inlineStr">
        <is>
          <t>https://entrackr.com/snippets/robotics-startup-miko-raises-105-mn-led-by-iheartmedia-10636274</t>
        </is>
      </c>
    </row>
    <row r="2205">
      <c r="A2205" t="inlineStr">
        <is>
          <t>ET-125153879</t>
        </is>
      </c>
      <c r="B2205" t="inlineStr">
        <is>
          <t>R251107-miko</t>
        </is>
      </c>
      <c r="C2205" t="inlineStr">
        <is>
          <t>The Economic Times</t>
        </is>
      </c>
      <c r="D2205" s="17" t="n">
        <v>45968</v>
      </c>
      <c r="E2205" t="inlineStr">
        <is>
          <t>Miko</t>
        </is>
      </c>
      <c r="F2205" t="inlineStr">
        <is>
          <t>$10.5 million</t>
        </is>
      </c>
      <c r="G2205" s="19" t="n">
        <v>93.5</v>
      </c>
      <c r="H2205" s="19" t="n">
        <v>10.5</v>
      </c>
      <c r="I2205" t="inlineStr">
        <is>
          <t>Undisclosed</t>
        </is>
      </c>
      <c r="J2205" t="inlineStr"/>
      <c r="K2205" t="inlineStr">
        <is>
          <t>https://economictimes.indiatimes.com/tech/funding/robotics-startup-miko-raises-10-5-million-from-iheartmedia-to-integrate-us-firms-audio-content-in-devices/articleshow/125153879.cms</t>
        </is>
      </c>
    </row>
    <row r="2206">
      <c r="A2206" t="inlineStr">
        <is>
          <t>INC-20251108-04</t>
        </is>
      </c>
      <c r="B2206" t="inlineStr">
        <is>
          <t>R251107-miko</t>
        </is>
      </c>
      <c r="C2206" t="inlineStr">
        <is>
          <t>Inc42</t>
        </is>
      </c>
      <c r="D2206" s="17" t="n">
        <v>45968</v>
      </c>
      <c r="E2206" t="inlineStr">
        <is>
          <t>Miko Robotics</t>
        </is>
      </c>
      <c r="F2206" t="inlineStr">
        <is>
          <t>$10 Mn</t>
        </is>
      </c>
      <c r="G2206" s="19" t="n"/>
      <c r="H2206" s="19" t="n">
        <v>10</v>
      </c>
      <c r="I2206" t="inlineStr">
        <is>
          <t>Undisclosed</t>
        </is>
      </c>
      <c r="J2206" t="inlineStr">
        <is>
          <t>iHeartMedia</t>
        </is>
      </c>
      <c r="K2206" t="inlineStr">
        <is>
          <t>https://inc42.com/buzz/from-moengage-to-agnikul-indian-startups-raised-238-mn-this-week/</t>
        </is>
      </c>
    </row>
    <row r="2207">
      <c r="A2207" t="inlineStr">
        <is>
          <t>INC-20251115-21</t>
        </is>
      </c>
      <c r="B2207" t="inlineStr">
        <is>
          <t>R251110-trishulspace</t>
        </is>
      </c>
      <c r="C2207" t="inlineStr">
        <is>
          <t>Inc42</t>
        </is>
      </c>
      <c r="D2207" s="17" t="n">
        <v>45971</v>
      </c>
      <c r="E2207" t="inlineStr">
        <is>
          <t>Trishul Space</t>
        </is>
      </c>
      <c r="F2207" t="inlineStr">
        <is>
          <t>$451K</t>
        </is>
      </c>
      <c r="G2207" s="19" t="n"/>
      <c r="H2207" s="19" t="n">
        <v>0.451</v>
      </c>
      <c r="I2207" t="inlineStr">
        <is>
          <t>Pre-Seed</t>
        </is>
      </c>
      <c r="J2207" t="inlineStr">
        <is>
          <t>IAN Angel Fund</t>
        </is>
      </c>
      <c r="K2207" t="inlineStr">
        <is>
          <t>https://inc42.com/buzz/from-finnable-to-bombay-shaving-company-indian-startups-raised-163-mn-this-week/</t>
        </is>
      </c>
    </row>
    <row r="2208">
      <c r="A2208" t="inlineStr">
        <is>
          <t>ENT-10653494</t>
        </is>
      </c>
      <c r="B2208" t="inlineStr">
        <is>
          <t>R251110-trishulspace</t>
        </is>
      </c>
      <c r="C2208" t="inlineStr">
        <is>
          <t>Entrackr</t>
        </is>
      </c>
      <c r="D2208" s="17" t="n">
        <v>45974</v>
      </c>
      <c r="E2208" t="inlineStr">
        <is>
          <t>Trishul Space</t>
        </is>
      </c>
      <c r="F2208" t="inlineStr">
        <is>
          <t>Rs 4 crore</t>
        </is>
      </c>
      <c r="G2208" s="19" t="n">
        <v>4</v>
      </c>
      <c r="H2208" s="19" t="n">
        <v>0.48</v>
      </c>
      <c r="I2208" t="inlineStr">
        <is>
          <t>Pre-Seed</t>
        </is>
      </c>
      <c r="J2208" t="inlineStr">
        <is>
          <t>IAN Angel Fund</t>
        </is>
      </c>
      <c r="K2208" t="inlineStr">
        <is>
          <t>https://entrackr.com/snippets/trishul-space-raises-rs-4-cr-in-pre-seed-round-led-by-ian-angel-fund-10653494</t>
        </is>
      </c>
    </row>
    <row r="2209">
      <c r="A2209" t="inlineStr">
        <is>
          <t>ET-125302683</t>
        </is>
      </c>
      <c r="B2209" t="inlineStr">
        <is>
          <t>R251110-trishulspace</t>
        </is>
      </c>
      <c r="C2209" t="inlineStr">
        <is>
          <t>The Economic Times</t>
        </is>
      </c>
      <c r="D2209" s="17" t="n">
        <v>45974</v>
      </c>
      <c r="E2209" t="inlineStr">
        <is>
          <t>Trishul Space</t>
        </is>
      </c>
      <c r="F2209" t="inlineStr">
        <is>
          <t>Rs 4 crore</t>
        </is>
      </c>
      <c r="G2209" s="19" t="n">
        <v>4</v>
      </c>
      <c r="H2209" s="19" t="n"/>
      <c r="I2209" t="inlineStr">
        <is>
          <t>Undisclosed</t>
        </is>
      </c>
      <c r="J2209" t="inlineStr"/>
      <c r="K2209" t="inlineStr">
        <is>
          <t>https://economictimes.indiatimes.com/tech/funding/spacetech-startup-trishul-space-raises-rs-4-crore-in-round-led-by-ian-angel-fund/articleshow/125302683.cms</t>
        </is>
      </c>
    </row>
    <row r="2210">
      <c r="A2210" t="inlineStr">
        <is>
          <t>ENT-10646294</t>
        </is>
      </c>
      <c r="B2210" t="inlineStr">
        <is>
          <t>R251111-finnable</t>
        </is>
      </c>
      <c r="C2210" t="inlineStr">
        <is>
          <t>Entrackr</t>
        </is>
      </c>
      <c r="D2210" s="17" t="n">
        <v>45972</v>
      </c>
      <c r="E2210" t="inlineStr">
        <is>
          <t>Finnable</t>
        </is>
      </c>
      <c r="F2210" t="inlineStr">
        <is>
          <t>Rs 500 crore</t>
        </is>
      </c>
      <c r="G2210" s="19" t="n">
        <v>500</v>
      </c>
      <c r="H2210" s="19" t="n">
        <v>60</v>
      </c>
      <c r="I2210" t="inlineStr">
        <is>
          <t>Undisclosed</t>
        </is>
      </c>
      <c r="J2210" t="inlineStr">
        <is>
          <t>Z47; TVS Capital; Ranjan Pai</t>
        </is>
      </c>
      <c r="K2210" t="inlineStr">
        <is>
          <t>https://entrackr.com/news/finnable-raises-rs-250-cr-led-by-z47-and-tvs-capital-10646294</t>
        </is>
      </c>
    </row>
    <row r="2211">
      <c r="A2211" t="inlineStr">
        <is>
          <t>ET-125227327</t>
        </is>
      </c>
      <c r="B2211" t="inlineStr">
        <is>
          <t>R251111-finnable</t>
        </is>
      </c>
      <c r="C2211" t="inlineStr">
        <is>
          <t>The Economic Times</t>
        </is>
      </c>
      <c r="D2211" s="17" t="n">
        <v>45972</v>
      </c>
      <c r="E2211" t="inlineStr">
        <is>
          <t>Finnable</t>
        </is>
      </c>
      <c r="F2211" t="inlineStr">
        <is>
          <t>Rs 250 crore</t>
        </is>
      </c>
      <c r="G2211" s="19" t="n">
        <v>250</v>
      </c>
      <c r="H2211" s="19" t="n"/>
      <c r="I2211" t="inlineStr">
        <is>
          <t>Undisclosed</t>
        </is>
      </c>
      <c r="J2211" t="inlineStr">
        <is>
          <t>Z47</t>
        </is>
      </c>
      <c r="K2211" t="inlineStr">
        <is>
          <t>https://economictimes.indiatimes.com/tech/funding/digital-lending-fintech-finnable-raises-rs-250-crore-from-z47-tvs-capital/articleshow/125227327.cms</t>
        </is>
      </c>
    </row>
    <row r="2212">
      <c r="A2212" t="inlineStr">
        <is>
          <t>INC-20251115-01</t>
        </is>
      </c>
      <c r="B2212" t="inlineStr">
        <is>
          <t>R251111-finnable</t>
        </is>
      </c>
      <c r="C2212" t="inlineStr">
        <is>
          <t>Inc42</t>
        </is>
      </c>
      <c r="D2212" s="17" t="n">
        <v>45972</v>
      </c>
      <c r="E2212" t="inlineStr">
        <is>
          <t>Finnable</t>
        </is>
      </c>
      <c r="F2212" t="inlineStr">
        <is>
          <t>$56.5 Mn</t>
        </is>
      </c>
      <c r="G2212" s="19" t="n"/>
      <c r="H2212" s="19" t="n">
        <v>56.5</v>
      </c>
      <c r="I2212" t="inlineStr">
        <is>
          <t>Undisclosed</t>
        </is>
      </c>
      <c r="J2212" t="inlineStr">
        <is>
          <t>Z47; TVS Capital</t>
        </is>
      </c>
      <c r="K2212" t="inlineStr">
        <is>
          <t>https://inc42.com/buzz/from-finnable-to-bombay-shaving-company-indian-startups-raised-163-mn-this-week/</t>
        </is>
      </c>
    </row>
    <row r="2213">
      <c r="A2213" t="inlineStr">
        <is>
          <t>VCC-4f30596623</t>
        </is>
      </c>
      <c r="B2213" t="inlineStr">
        <is>
          <t>R251111-finnable</t>
        </is>
      </c>
      <c r="C2213" t="inlineStr">
        <is>
          <t>VCCircle</t>
        </is>
      </c>
      <c r="D2213" s="17" t="n">
        <v>45972</v>
      </c>
      <c r="E2213" t="inlineStr">
        <is>
          <t>finnable</t>
        </is>
      </c>
      <c r="F2213" t="inlineStr"/>
      <c r="G2213" s="19" t="n"/>
      <c r="H2213" s="19" t="n"/>
      <c r="I2213" t="inlineStr">
        <is>
          <t>Undisclosed</t>
        </is>
      </c>
      <c r="J2213" t="inlineStr"/>
      <c r="K2213" t="inlineStr">
        <is>
          <t>https://www.vccircle.com/tvscapital-z47-invest-in-digital-lender-finnable</t>
        </is>
      </c>
    </row>
    <row r="2214">
      <c r="A2214" t="inlineStr">
        <is>
          <t>ENT-10646474</t>
        </is>
      </c>
      <c r="B2214" t="inlineStr">
        <is>
          <t>R251111-greenfi</t>
        </is>
      </c>
      <c r="C2214" t="inlineStr">
        <is>
          <t>Entrackr</t>
        </is>
      </c>
      <c r="D2214" s="17" t="n">
        <v>45972</v>
      </c>
      <c r="E2214" t="inlineStr">
        <is>
          <t>Greenfi</t>
        </is>
      </c>
      <c r="F2214" t="inlineStr">
        <is>
          <t>$2 million</t>
        </is>
      </c>
      <c r="G2214" s="19" t="n"/>
      <c r="H2214" s="19" t="n">
        <v>2</v>
      </c>
      <c r="I2214" t="inlineStr">
        <is>
          <t>Undisclosed</t>
        </is>
      </c>
      <c r="J2214" t="inlineStr">
        <is>
          <t>Transition VC</t>
        </is>
      </c>
      <c r="K2214" t="inlineStr">
        <is>
          <t>https://entrackr.com/snippets/greenfi-raises-2-mn-led-by-transition-vc-10646474</t>
        </is>
      </c>
    </row>
    <row r="2215">
      <c r="A2215" t="inlineStr">
        <is>
          <t>ET-125228667</t>
        </is>
      </c>
      <c r="B2215" t="inlineStr">
        <is>
          <t>R251111-greenfi</t>
        </is>
      </c>
      <c r="C2215" t="inlineStr">
        <is>
          <t>The Economic Times</t>
        </is>
      </c>
      <c r="D2215" s="17" t="n">
        <v>45972</v>
      </c>
      <c r="E2215" t="inlineStr">
        <is>
          <t>GreenFi</t>
        </is>
      </c>
      <c r="F2215" t="inlineStr">
        <is>
          <t>$2 million</t>
        </is>
      </c>
      <c r="G2215" s="19" t="n"/>
      <c r="H2215" s="19" t="n">
        <v>2</v>
      </c>
      <c r="I2215" t="inlineStr">
        <is>
          <t>Undisclosed</t>
        </is>
      </c>
      <c r="J2215" t="inlineStr">
        <is>
          <t>Transition VC</t>
        </is>
      </c>
      <c r="K2215" t="inlineStr">
        <is>
          <t>https://economictimes.indiatimes.com/tech/funding/ai-risk-management-platform-greenfi-raises-2-million-in-round-led-by-transition-vc/articleshow/125228667.cms</t>
        </is>
      </c>
    </row>
    <row r="2216">
      <c r="A2216" t="inlineStr">
        <is>
          <t>INC-20251115-12</t>
        </is>
      </c>
      <c r="B2216" t="inlineStr">
        <is>
          <t>R251111-greenfi</t>
        </is>
      </c>
      <c r="C2216" t="inlineStr">
        <is>
          <t>Inc42</t>
        </is>
      </c>
      <c r="D2216" s="17" t="n">
        <v>45972</v>
      </c>
      <c r="E2216" t="inlineStr">
        <is>
          <t>GreenFi</t>
        </is>
      </c>
      <c r="F2216" t="inlineStr">
        <is>
          <t>$2 Mn</t>
        </is>
      </c>
      <c r="G2216" s="19" t="n"/>
      <c r="H2216" s="19" t="n">
        <v>2</v>
      </c>
      <c r="I2216" t="inlineStr">
        <is>
          <t>Seed</t>
        </is>
      </c>
      <c r="J2216" t="inlineStr">
        <is>
          <t>Transition VC</t>
        </is>
      </c>
      <c r="K2216" t="inlineStr">
        <is>
          <t>https://inc42.com/buzz/from-finnable-to-bombay-shaving-company-indian-startups-raised-163-mn-this-week/</t>
        </is>
      </c>
    </row>
    <row r="2217">
      <c r="A2217" t="inlineStr">
        <is>
          <t>ET-125252266</t>
        </is>
      </c>
      <c r="B2217" t="inlineStr">
        <is>
          <t>R251111-hausandkinder</t>
        </is>
      </c>
      <c r="C2217" t="inlineStr">
        <is>
          <t>The Economic Times</t>
        </is>
      </c>
      <c r="D2217" s="17" t="n">
        <v>45972</v>
      </c>
      <c r="E2217" t="inlineStr">
        <is>
          <t>Haus &amp; Kinder</t>
        </is>
      </c>
      <c r="F2217" t="inlineStr">
        <is>
          <t>$3.3 million</t>
        </is>
      </c>
      <c r="G2217" s="19" t="n">
        <v>30</v>
      </c>
      <c r="H2217" s="19" t="n">
        <v>3.3</v>
      </c>
      <c r="I2217" t="inlineStr">
        <is>
          <t>Undisclosed</t>
        </is>
      </c>
      <c r="J2217" t="inlineStr">
        <is>
          <t>Sauce VC</t>
        </is>
      </c>
      <c r="K2217" t="inlineStr">
        <is>
          <t>https://economictimes.indiatimes.com/tech/funding/home-and-lifestyle-brand-haus-kinder-raises-3-3-million-in-round-led-by-sauce-vc/articleshow/125252266.cms</t>
        </is>
      </c>
    </row>
    <row r="2218">
      <c r="A2218" t="inlineStr">
        <is>
          <t>ENT-10650554</t>
        </is>
      </c>
      <c r="B2218" t="inlineStr">
        <is>
          <t>R251111-hausandkinder</t>
        </is>
      </c>
      <c r="C2218" t="inlineStr">
        <is>
          <t>Entrackr</t>
        </is>
      </c>
      <c r="D2218" s="17" t="n">
        <v>45973</v>
      </c>
      <c r="E2218" t="inlineStr">
        <is>
          <t>Haus &amp; Kinder</t>
        </is>
      </c>
      <c r="F2218" t="inlineStr">
        <is>
          <t>Rs 30 crore</t>
        </is>
      </c>
      <c r="G2218" s="19" t="n">
        <v>30</v>
      </c>
      <c r="H2218" s="19" t="n"/>
      <c r="I2218" t="inlineStr">
        <is>
          <t>Undisclosed</t>
        </is>
      </c>
      <c r="J2218" t="inlineStr">
        <is>
          <t>Sauce VC; Yogesh Kabra; Sangeet Agrawal; Navin Parwal; Chona Family</t>
        </is>
      </c>
      <c r="K2218" t="inlineStr">
        <is>
          <t>https://entrackr.com/snippets/d2c-brand-haus-kinder-raises-33-mn-led-by-sauce-vc-10650554</t>
        </is>
      </c>
    </row>
    <row r="2219">
      <c r="A2219" t="inlineStr">
        <is>
          <t>INC-20251115-08</t>
        </is>
      </c>
      <c r="B2219" t="inlineStr">
        <is>
          <t>R251111-hausandkinder</t>
        </is>
      </c>
      <c r="C2219" t="inlineStr">
        <is>
          <t>Inc42</t>
        </is>
      </c>
      <c r="D2219" s="17" t="n">
        <v>45973</v>
      </c>
      <c r="E2219" t="inlineStr">
        <is>
          <t>Haus &amp; Kinder</t>
        </is>
      </c>
      <c r="F2219" t="inlineStr">
        <is>
          <t>$3.4 Mn</t>
        </is>
      </c>
      <c r="G2219" s="19" t="n"/>
      <c r="H2219" s="19" t="n">
        <v>3.4</v>
      </c>
      <c r="I2219" t="inlineStr">
        <is>
          <t>Undisclosed</t>
        </is>
      </c>
      <c r="J2219" t="inlineStr">
        <is>
          <t>Sauce.vc</t>
        </is>
      </c>
      <c r="K2219" t="inlineStr">
        <is>
          <t>https://inc42.com/buzz/from-finnable-to-bombay-shaving-company-indian-startups-raised-163-mn-this-week/</t>
        </is>
      </c>
    </row>
    <row r="2220">
      <c r="A2220" t="inlineStr">
        <is>
          <t>ENT-10647850</t>
        </is>
      </c>
      <c r="B2220" t="inlineStr">
        <is>
          <t>R251111-mindtalk</t>
        </is>
      </c>
      <c r="C2220" t="inlineStr">
        <is>
          <t>Entrackr</t>
        </is>
      </c>
      <c r="D2220" s="17" t="n">
        <v>45972</v>
      </c>
      <c r="E2220" t="inlineStr">
        <is>
          <t>MindTalk</t>
        </is>
      </c>
      <c r="F2220" t="inlineStr">
        <is>
          <t>$7.3 million</t>
        </is>
      </c>
      <c r="G2220" s="19" t="n">
        <v>65</v>
      </c>
      <c r="H2220" s="19" t="n">
        <v>7.3</v>
      </c>
      <c r="I2220" t="inlineStr">
        <is>
          <t>Undisclosed</t>
        </is>
      </c>
      <c r="J2220" t="inlineStr"/>
      <c r="K2220" t="inlineStr">
        <is>
          <t>https://entrackr.com/snippets/digital-mental-health-platform-mindtalk-raises-73-mn-from-cadabams-group-10647850</t>
        </is>
      </c>
    </row>
    <row r="2221">
      <c r="A2221" t="inlineStr">
        <is>
          <t>ENT-10646601</t>
        </is>
      </c>
      <c r="B2221" t="inlineStr">
        <is>
          <t>R251111-praanhealth</t>
        </is>
      </c>
      <c r="C2221" t="inlineStr">
        <is>
          <t>Entrackr</t>
        </is>
      </c>
      <c r="D2221" s="17" t="n">
        <v>45972</v>
      </c>
      <c r="E2221" t="inlineStr">
        <is>
          <t>Praan Health</t>
        </is>
      </c>
      <c r="F2221" t="inlineStr">
        <is>
          <t>Rs 8.5 crore</t>
        </is>
      </c>
      <c r="G2221" s="19" t="n">
        <v>8.5</v>
      </c>
      <c r="H2221" s="19" t="n"/>
      <c r="I2221" t="inlineStr">
        <is>
          <t>Seed</t>
        </is>
      </c>
      <c r="J2221" t="inlineStr">
        <is>
          <t>Rainmatter Investments</t>
        </is>
      </c>
      <c r="K2221" t="inlineStr">
        <is>
          <t>https://entrackr.com/snippets/praan-health-raises-85-cr-in-seed-round-led-by-rainmatter-investments-10646601</t>
        </is>
      </c>
    </row>
    <row r="2222">
      <c r="A2222" t="inlineStr">
        <is>
          <t>INC-20251115-15</t>
        </is>
      </c>
      <c r="B2222" t="inlineStr">
        <is>
          <t>R251111-praanhealth</t>
        </is>
      </c>
      <c r="C2222" t="inlineStr">
        <is>
          <t>Inc42</t>
        </is>
      </c>
      <c r="D2222" s="17" t="n">
        <v>45972</v>
      </c>
      <c r="E2222" t="inlineStr">
        <is>
          <t>Praan Health</t>
        </is>
      </c>
      <c r="F2222" t="inlineStr">
        <is>
          <t>$958K</t>
        </is>
      </c>
      <c r="G2222" s="19" t="n"/>
      <c r="H2222" s="19" t="n">
        <v>0.958</v>
      </c>
      <c r="I2222" t="inlineStr">
        <is>
          <t>Seed</t>
        </is>
      </c>
      <c r="J2222" t="inlineStr">
        <is>
          <t>Rainmatter Investments</t>
        </is>
      </c>
      <c r="K2222" t="inlineStr">
        <is>
          <t>https://inc42.com/buzz/from-finnable-to-bombay-shaving-company-indian-startups-raised-163-mn-this-week/</t>
        </is>
      </c>
    </row>
    <row r="2223">
      <c r="A2223" t="inlineStr">
        <is>
          <t>ENT-10646544</t>
        </is>
      </c>
      <c r="B2223" t="inlineStr">
        <is>
          <t>R251111-quickshift</t>
        </is>
      </c>
      <c r="C2223" t="inlineStr">
        <is>
          <t>Entrackr</t>
        </is>
      </c>
      <c r="D2223" s="17" t="n">
        <v>45972</v>
      </c>
      <c r="E2223" t="inlineStr">
        <is>
          <t>QuickShift</t>
        </is>
      </c>
      <c r="F2223" t="inlineStr">
        <is>
          <t>Rs 22 crore</t>
        </is>
      </c>
      <c r="G2223" s="19" t="n">
        <v>22</v>
      </c>
      <c r="H2223" s="19" t="n">
        <v>2.6</v>
      </c>
      <c r="I2223" t="inlineStr">
        <is>
          <t>Pre-Series A</t>
        </is>
      </c>
      <c r="J2223" t="inlineStr">
        <is>
          <t>Atomic Capital</t>
        </is>
      </c>
      <c r="K2223" t="inlineStr">
        <is>
          <t>https://entrackr.com/snippets/quickshift-raises-rs-22-cr-in-pre-series-a-round-led-by-atomic-capital-10646544</t>
        </is>
      </c>
    </row>
    <row r="2224">
      <c r="A2224" t="inlineStr">
        <is>
          <t>ET-125248271</t>
        </is>
      </c>
      <c r="B2224" t="inlineStr">
        <is>
          <t>R251111-quickshift</t>
        </is>
      </c>
      <c r="C2224" t="inlineStr">
        <is>
          <t>The Economic Times</t>
        </is>
      </c>
      <c r="D2224" s="17" t="n">
        <v>45972</v>
      </c>
      <c r="E2224" t="inlineStr">
        <is>
          <t>Quickshift</t>
        </is>
      </c>
      <c r="F2224" t="inlineStr">
        <is>
          <t>$2.4 million</t>
        </is>
      </c>
      <c r="G2224" s="19" t="n">
        <v>22</v>
      </c>
      <c r="H2224" s="19" t="n">
        <v>2.4</v>
      </c>
      <c r="I2224" t="inlineStr">
        <is>
          <t>Undisclosed</t>
        </is>
      </c>
      <c r="J2224" t="inlineStr">
        <is>
          <t>Atomic Capital</t>
        </is>
      </c>
      <c r="K2224" t="inlineStr">
        <is>
          <t>https://economictimes.indiatimes.com/tech/funding/logistics-platform-quickshift-raises-2-4-million-from-atomic-capital-others/articleshow/125248271.cms</t>
        </is>
      </c>
    </row>
    <row r="2225">
      <c r="A2225" t="inlineStr">
        <is>
          <t>INC-20251115-10</t>
        </is>
      </c>
      <c r="B2225" t="inlineStr">
        <is>
          <t>R251111-quickshift</t>
        </is>
      </c>
      <c r="C2225" t="inlineStr">
        <is>
          <t>Inc42</t>
        </is>
      </c>
      <c r="D2225" s="17" t="n">
        <v>45972</v>
      </c>
      <c r="E2225" t="inlineStr">
        <is>
          <t>QuickShift</t>
        </is>
      </c>
      <c r="F2225" t="inlineStr">
        <is>
          <t>$2.5 Mn</t>
        </is>
      </c>
      <c r="G2225" s="19" t="n"/>
      <c r="H2225" s="19" t="n">
        <v>2.5</v>
      </c>
      <c r="I2225" t="inlineStr">
        <is>
          <t>Pre-Series A</t>
        </is>
      </c>
      <c r="J2225" t="inlineStr">
        <is>
          <t>Atomic Capital</t>
        </is>
      </c>
      <c r="K2225" t="inlineStr">
        <is>
          <t>https://inc42.com/buzz/from-finnable-to-bombay-shaving-company-indian-startups-raised-163-mn-this-week/</t>
        </is>
      </c>
    </row>
    <row r="2226">
      <c r="A2226" t="inlineStr">
        <is>
          <t>INC-20251115-09</t>
        </is>
      </c>
      <c r="B2226" t="inlineStr">
        <is>
          <t>R251111-shoppin</t>
        </is>
      </c>
      <c r="C2226" t="inlineStr">
        <is>
          <t>Inc42</t>
        </is>
      </c>
      <c r="D2226" s="17" t="n">
        <v>45972</v>
      </c>
      <c r="E2226" t="inlineStr">
        <is>
          <t>shoppin’</t>
        </is>
      </c>
      <c r="F2226" t="inlineStr">
        <is>
          <t>$3 Mn</t>
        </is>
      </c>
      <c r="G2226" s="19" t="n"/>
      <c r="H2226" s="19" t="n">
        <v>3</v>
      </c>
      <c r="I2226" t="inlineStr">
        <is>
          <t>Seed</t>
        </is>
      </c>
      <c r="J2226" t="inlineStr">
        <is>
          <t>Mixi Global Investments</t>
        </is>
      </c>
      <c r="K2226" t="inlineStr">
        <is>
          <t>https://inc42.com/buzz/from-finnable-to-bombay-shaving-company-indian-startups-raised-163-mn-this-week/</t>
        </is>
      </c>
    </row>
    <row r="2227">
      <c r="A2227" t="inlineStr">
        <is>
          <t>INC-20251115-17</t>
        </is>
      </c>
      <c r="B2227" t="inlineStr">
        <is>
          <t>R251112-alive</t>
        </is>
      </c>
      <c r="C2227" t="inlineStr">
        <is>
          <t>Inc42</t>
        </is>
      </c>
      <c r="D2227" s="17" t="n">
        <v>45973</v>
      </c>
      <c r="E2227" t="inlineStr">
        <is>
          <t>Alive</t>
        </is>
      </c>
      <c r="F2227" t="inlineStr">
        <is>
          <t>$676K</t>
        </is>
      </c>
      <c r="G2227" s="19" t="n"/>
      <c r="H2227" s="19" t="n">
        <v>0.676</v>
      </c>
      <c r="I2227" t="inlineStr">
        <is>
          <t>Undisclosed</t>
        </is>
      </c>
      <c r="J2227" t="inlineStr">
        <is>
          <t>Powerhouse Ventures</t>
        </is>
      </c>
      <c r="K2227" t="inlineStr">
        <is>
          <t>https://inc42.com/buzz/from-finnable-to-bombay-shaving-company-indian-startups-raised-163-mn-this-week/</t>
        </is>
      </c>
    </row>
    <row r="2228">
      <c r="A2228" t="inlineStr">
        <is>
          <t>ENT-10653499</t>
        </is>
      </c>
      <c r="B2228" t="inlineStr">
        <is>
          <t>R251112-alive</t>
        </is>
      </c>
      <c r="C2228" t="inlineStr">
        <is>
          <t>Entrackr</t>
        </is>
      </c>
      <c r="D2228" s="17" t="n">
        <v>45974</v>
      </c>
      <c r="E2228" t="inlineStr">
        <is>
          <t>Alive</t>
        </is>
      </c>
      <c r="F2228" t="inlineStr">
        <is>
          <t>Rs 6 crore</t>
        </is>
      </c>
      <c r="G2228" s="19" t="n">
        <v>6</v>
      </c>
      <c r="H2228" s="19" t="n"/>
      <c r="I2228" t="inlineStr">
        <is>
          <t>Undisclosed</t>
        </is>
      </c>
      <c r="J2228" t="inlineStr"/>
      <c r="K2228" t="inlineStr">
        <is>
          <t>https://entrackr.com/snippets/experience-tech-startup-alive-raises-rs-6-cr-from-powerhouse-ventures-10653499</t>
        </is>
      </c>
    </row>
    <row r="2229">
      <c r="A2229" t="inlineStr">
        <is>
          <t>ENT-10649633</t>
        </is>
      </c>
      <c r="B2229" t="inlineStr">
        <is>
          <t>R251112-anddone</t>
        </is>
      </c>
      <c r="C2229" t="inlineStr">
        <is>
          <t>Entrackr</t>
        </is>
      </c>
      <c r="D2229" s="17" t="n">
        <v>45973</v>
      </c>
      <c r="E2229" t="inlineStr">
        <is>
          <t>&amp;Done</t>
        </is>
      </c>
      <c r="F2229" t="inlineStr">
        <is>
          <t>Rs 6.5 crore</t>
        </is>
      </c>
      <c r="G2229" s="19" t="n">
        <v>6.5</v>
      </c>
      <c r="H2229" s="19" t="n">
        <v>0.78</v>
      </c>
      <c r="I2229" t="inlineStr">
        <is>
          <t>Pre-Seed</t>
        </is>
      </c>
      <c r="J2229" t="inlineStr">
        <is>
          <t>All In Capital</t>
        </is>
      </c>
      <c r="K2229" t="inlineStr">
        <is>
          <t>https://entrackr.com/snippets/haircare-brand-done-raises-rs-65-cr-led-by-all-in-capital-10649633</t>
        </is>
      </c>
    </row>
    <row r="2230">
      <c r="A2230" t="inlineStr">
        <is>
          <t>INC-20251115-16</t>
        </is>
      </c>
      <c r="B2230" t="inlineStr">
        <is>
          <t>R251112-anddone</t>
        </is>
      </c>
      <c r="C2230" t="inlineStr">
        <is>
          <t>Inc42</t>
        </is>
      </c>
      <c r="D2230" s="17" t="n">
        <v>45973</v>
      </c>
      <c r="E2230" t="inlineStr">
        <is>
          <t>&amp;Done</t>
        </is>
      </c>
      <c r="F2230" t="inlineStr">
        <is>
          <t>$733K</t>
        </is>
      </c>
      <c r="G2230" s="19" t="n"/>
      <c r="H2230" s="19" t="n">
        <v>0.733</v>
      </c>
      <c r="I2230" t="inlineStr">
        <is>
          <t>Pre-Seed</t>
        </is>
      </c>
      <c r="J2230" t="inlineStr">
        <is>
          <t>All In Capital</t>
        </is>
      </c>
      <c r="K2230" t="inlineStr">
        <is>
          <t>https://inc42.com/buzz/from-finnable-to-bombay-shaving-company-indian-startups-raised-163-mn-this-week/</t>
        </is>
      </c>
    </row>
    <row r="2231">
      <c r="A2231" t="inlineStr">
        <is>
          <t>ENT-10650346</t>
        </is>
      </c>
      <c r="B2231" t="inlineStr">
        <is>
          <t>R251112-bombayshavingc</t>
        </is>
      </c>
      <c r="C2231" t="inlineStr">
        <is>
          <t>Entrackr</t>
        </is>
      </c>
      <c r="D2231" s="17" t="n">
        <v>45973</v>
      </c>
      <c r="E2231" t="inlineStr">
        <is>
          <t>Bombay Shaving Company</t>
        </is>
      </c>
      <c r="F2231" t="inlineStr">
        <is>
          <t>Rs 136 crore</t>
        </is>
      </c>
      <c r="G2231" s="19" t="n">
        <v>136</v>
      </c>
      <c r="H2231" s="19" t="n">
        <v>15.3</v>
      </c>
      <c r="I2231" t="inlineStr">
        <is>
          <t>Undisclosed</t>
        </is>
      </c>
      <c r="J2231" t="inlineStr">
        <is>
          <t>Sixth Sense Ventures</t>
        </is>
      </c>
      <c r="K2231" t="inlineStr">
        <is>
          <t>https://entrackr.com/news/bombay-shaving-company-raises-rs-136-cr-ahead-of-planned-ipo-10650346</t>
        </is>
      </c>
    </row>
    <row r="2232">
      <c r="A2232" t="inlineStr">
        <is>
          <t>ET-125272354</t>
        </is>
      </c>
      <c r="B2232" t="inlineStr">
        <is>
          <t>R251112-bombayshavingc</t>
        </is>
      </c>
      <c r="C2232" t="inlineStr">
        <is>
          <t>The Economic Times</t>
        </is>
      </c>
      <c r="D2232" s="17" t="n">
        <v>45973</v>
      </c>
      <c r="E2232" t="inlineStr">
        <is>
          <t>Bombay Shaving Company</t>
        </is>
      </c>
      <c r="F2232" t="inlineStr">
        <is>
          <t>Rs 136 crore</t>
        </is>
      </c>
      <c r="G2232" s="19" t="n">
        <v>136</v>
      </c>
      <c r="H2232" s="19" t="n"/>
      <c r="I2232" t="inlineStr">
        <is>
          <t>Undisclosed</t>
        </is>
      </c>
      <c r="J2232" t="inlineStr">
        <is>
          <t>Sixth Sense Ventures</t>
        </is>
      </c>
      <c r="K2232" t="inlineStr">
        <is>
          <t>https://economictimes.indiatimes.com/tech/funding/bombay-shaving-company-closes-rs-136-crore-funding-led-by-sixth-sense-ventures/articleshow/125272354.cms</t>
        </is>
      </c>
    </row>
    <row r="2233">
      <c r="A2233" t="inlineStr">
        <is>
          <t>INC-20251115-04</t>
        </is>
      </c>
      <c r="B2233" t="inlineStr">
        <is>
          <t>R251112-bombayshavingc</t>
        </is>
      </c>
      <c r="C2233" t="inlineStr">
        <is>
          <t>Inc42</t>
        </is>
      </c>
      <c r="D2233" s="17" t="n">
        <v>45973</v>
      </c>
      <c r="E2233" t="inlineStr">
        <is>
          <t>Bombay Shaving Company</t>
        </is>
      </c>
      <c r="F2233" t="inlineStr">
        <is>
          <t>$16.3 Mn</t>
        </is>
      </c>
      <c r="G2233" s="19" t="n"/>
      <c r="H2233" s="19" t="n">
        <v>16.3</v>
      </c>
      <c r="I2233" t="inlineStr">
        <is>
          <t>Undisclosed</t>
        </is>
      </c>
      <c r="J2233" t="inlineStr">
        <is>
          <t>Sixth Sense Ventures</t>
        </is>
      </c>
      <c r="K2233" t="inlineStr">
        <is>
          <t>https://inc42.com/buzz/from-finnable-to-bombay-shaving-company-indian-startups-raised-163-mn-this-week/</t>
        </is>
      </c>
    </row>
    <row r="2234">
      <c r="A2234" t="inlineStr">
        <is>
          <t>VCC-4ed85ab66d</t>
        </is>
      </c>
      <c r="B2234" t="inlineStr">
        <is>
          <t>R251112-bombayshavingc</t>
        </is>
      </c>
      <c r="C2234" t="inlineStr">
        <is>
          <t>VCCircle</t>
        </is>
      </c>
      <c r="D2234" s="17" t="n">
        <v>45973</v>
      </c>
      <c r="E2234" t="inlineStr">
        <is>
          <t>bombay shaving company</t>
        </is>
      </c>
      <c r="F2234" t="inlineStr"/>
      <c r="G2234" s="19" t="n"/>
      <c r="H2234" s="19" t="n"/>
      <c r="I2234" t="inlineStr">
        <is>
          <t>Undisclosed</t>
        </is>
      </c>
      <c r="J2234" t="inlineStr"/>
      <c r="K2234" t="inlineStr">
        <is>
          <t>https://www.vccircle.com/sixthsense-ventures-leads-funding-in-bombay-shaving-company</t>
        </is>
      </c>
    </row>
    <row r="2235">
      <c r="A2235" t="inlineStr">
        <is>
          <t>ENT-10650913</t>
        </is>
      </c>
      <c r="B2235" t="inlineStr">
        <is>
          <t>R251112-coratiatechnol</t>
        </is>
      </c>
      <c r="C2235" t="inlineStr">
        <is>
          <t>Entrackr</t>
        </is>
      </c>
      <c r="D2235" s="17" t="n">
        <v>45973</v>
      </c>
      <c r="E2235" t="inlineStr">
        <is>
          <t>Coratia Technologies</t>
        </is>
      </c>
      <c r="F2235" t="inlineStr">
        <is>
          <t>Rs 5 crore</t>
        </is>
      </c>
      <c r="G2235" s="19" t="n">
        <v>5</v>
      </c>
      <c r="H2235" s="19" t="n">
        <v>0.5629999999999999</v>
      </c>
      <c r="I2235" t="inlineStr">
        <is>
          <t>Undisclosed</t>
        </is>
      </c>
      <c r="J2235" t="inlineStr">
        <is>
          <t>Piper Serica Angel Fund</t>
        </is>
      </c>
      <c r="K2235" t="inlineStr">
        <is>
          <t>https://entrackr.com/snippets/coratia-technologies-raises-rs-5-cr-led-by-piper-serica-angel-fund-10650913</t>
        </is>
      </c>
    </row>
    <row r="2236">
      <c r="A2236" t="inlineStr">
        <is>
          <t>INC-20251115-18</t>
        </is>
      </c>
      <c r="B2236" t="inlineStr">
        <is>
          <t>R251112-coratiatechnol</t>
        </is>
      </c>
      <c r="C2236" t="inlineStr">
        <is>
          <t>Inc42</t>
        </is>
      </c>
      <c r="D2236" s="17" t="n">
        <v>45974</v>
      </c>
      <c r="E2236" t="inlineStr">
        <is>
          <t>Coratia Technologies</t>
        </is>
      </c>
      <c r="F2236" t="inlineStr">
        <is>
          <t>$565K</t>
        </is>
      </c>
      <c r="G2236" s="19" t="n"/>
      <c r="H2236" s="19" t="n">
        <v>0.5649999999999999</v>
      </c>
      <c r="I2236" t="inlineStr">
        <is>
          <t>Undisclosed</t>
        </is>
      </c>
      <c r="J2236" t="inlineStr">
        <is>
          <t>Piper Serica</t>
        </is>
      </c>
      <c r="K2236" t="inlineStr">
        <is>
          <t>https://inc42.com/buzz/from-finnable-to-bombay-shaving-company-indian-startups-raised-163-mn-this-week/</t>
        </is>
      </c>
    </row>
    <row r="2237">
      <c r="A2237" t="inlineStr">
        <is>
          <t>ET-125277892</t>
        </is>
      </c>
      <c r="B2237" t="inlineStr">
        <is>
          <t>R251112-couchcommerce</t>
        </is>
      </c>
      <c r="C2237" t="inlineStr">
        <is>
          <t>The Economic Times</t>
        </is>
      </c>
      <c r="D2237" s="17" t="n">
        <v>45973</v>
      </c>
      <c r="E2237" t="inlineStr">
        <is>
          <t>Couch Commerce</t>
        </is>
      </c>
      <c r="F2237" t="inlineStr">
        <is>
          <t>Rs 10 crore</t>
        </is>
      </c>
      <c r="G2237" s="19" t="n">
        <v>10</v>
      </c>
      <c r="H2237" s="19" t="n"/>
      <c r="I2237" t="inlineStr">
        <is>
          <t>Undisclosed</t>
        </is>
      </c>
      <c r="J2237" t="inlineStr"/>
      <c r="K2237" t="inlineStr">
        <is>
          <t>https://economictimes.indiatimes.com/tech/startups/mamaearth-parent-invests-in-couch-commerce-to-boost-oral-care-play/articleshow/125277892.cms</t>
        </is>
      </c>
    </row>
    <row r="2238">
      <c r="A2238" t="inlineStr">
        <is>
          <t>ENT-10650190</t>
        </is>
      </c>
      <c r="B2238" t="inlineStr">
        <is>
          <t>R251112-doco</t>
        </is>
      </c>
      <c r="C2238" t="inlineStr">
        <is>
          <t>Entrackr</t>
        </is>
      </c>
      <c r="D2238" s="17" t="n">
        <v>45973</v>
      </c>
      <c r="E2238" t="inlineStr">
        <is>
          <t>DOCO</t>
        </is>
      </c>
      <c r="F2238" t="inlineStr">
        <is>
          <t>Rs 4.5 crore</t>
        </is>
      </c>
      <c r="G2238" s="19" t="n">
        <v>4.5</v>
      </c>
      <c r="H2238" s="19" t="n">
        <v>0.54</v>
      </c>
      <c r="I2238" t="inlineStr">
        <is>
          <t>Pre-Seed</t>
        </is>
      </c>
      <c r="J2238" t="inlineStr">
        <is>
          <t>GVFL</t>
        </is>
      </c>
      <c r="K2238" t="inlineStr">
        <is>
          <t>https://entrackr.com/snippets/gvfl-and-malpani-ventures-lead-pre-seed-round-in-doco-10650190</t>
        </is>
      </c>
    </row>
    <row r="2239">
      <c r="A2239" t="inlineStr">
        <is>
          <t>INC-20251115-19</t>
        </is>
      </c>
      <c r="B2239" t="inlineStr">
        <is>
          <t>R251112-doco</t>
        </is>
      </c>
      <c r="C2239" t="inlineStr">
        <is>
          <t>Inc42</t>
        </is>
      </c>
      <c r="D2239" s="17" t="n">
        <v>45973</v>
      </c>
      <c r="E2239" t="inlineStr">
        <is>
          <t>DOCO</t>
        </is>
      </c>
      <c r="F2239" t="inlineStr">
        <is>
          <t>$507K</t>
        </is>
      </c>
      <c r="G2239" s="19" t="n"/>
      <c r="H2239" s="19" t="n">
        <v>0.507</v>
      </c>
      <c r="I2239" t="inlineStr">
        <is>
          <t>Pre-Seed</t>
        </is>
      </c>
      <c r="J2239" t="inlineStr">
        <is>
          <t>GVFL</t>
        </is>
      </c>
      <c r="K2239" t="inlineStr">
        <is>
          <t>https://inc42.com/buzz/from-finnable-to-bombay-shaving-company-indian-startups-raised-163-mn-this-week/</t>
        </is>
      </c>
    </row>
    <row r="2240">
      <c r="A2240" t="inlineStr">
        <is>
          <t>ENT-10650706</t>
        </is>
      </c>
      <c r="B2240" t="inlineStr">
        <is>
          <t>R251112-fescafe</t>
        </is>
      </c>
      <c r="C2240" t="inlineStr">
        <is>
          <t>Entrackr</t>
        </is>
      </c>
      <c r="D2240" s="17" t="n">
        <v>45973</v>
      </c>
      <c r="E2240" t="inlineStr">
        <is>
          <t>FES Cafe</t>
        </is>
      </c>
      <c r="F2240" t="inlineStr">
        <is>
          <t>$1 million</t>
        </is>
      </c>
      <c r="G2240" s="19" t="n"/>
      <c r="H2240" s="19" t="n">
        <v>1</v>
      </c>
      <c r="I2240" t="inlineStr">
        <is>
          <t>Pre-Series A</t>
        </is>
      </c>
      <c r="J2240" t="inlineStr">
        <is>
          <t>12 Flags</t>
        </is>
      </c>
      <c r="K2240" t="inlineStr">
        <is>
          <t>https://entrackr.com/snippets/fes-cafe-raises-pre-series-a-round-led-by-12-flags-10650706</t>
        </is>
      </c>
    </row>
    <row r="2241">
      <c r="A2241" t="inlineStr">
        <is>
          <t>INC-20251115-14</t>
        </is>
      </c>
      <c r="B2241" t="inlineStr">
        <is>
          <t>R251112-fescafe</t>
        </is>
      </c>
      <c r="C2241" t="inlineStr">
        <is>
          <t>Inc42</t>
        </is>
      </c>
      <c r="D2241" s="17" t="n">
        <v>45973</v>
      </c>
      <c r="E2241" t="inlineStr">
        <is>
          <t>FES Café</t>
        </is>
      </c>
      <c r="F2241" t="inlineStr">
        <is>
          <t>$1 Mn</t>
        </is>
      </c>
      <c r="G2241" s="19" t="n"/>
      <c r="H2241" s="19" t="n">
        <v>1</v>
      </c>
      <c r="I2241" t="inlineStr">
        <is>
          <t>Pre-Series A</t>
        </is>
      </c>
      <c r="J2241" t="inlineStr">
        <is>
          <t>12 Flags</t>
        </is>
      </c>
      <c r="K2241" t="inlineStr">
        <is>
          <t>https://inc42.com/buzz/from-finnable-to-bombay-shaving-company-indian-startups-raised-163-mn-this-week/</t>
        </is>
      </c>
    </row>
    <row r="2242">
      <c r="A2242" t="inlineStr">
        <is>
          <t>ENT-10650219</t>
        </is>
      </c>
      <c r="B2242" t="inlineStr">
        <is>
          <t>R251112-hrsnavigation</t>
        </is>
      </c>
      <c r="C2242" t="inlineStr">
        <is>
          <t>Entrackr</t>
        </is>
      </c>
      <c r="D2242" s="17" t="n">
        <v>45973</v>
      </c>
      <c r="E2242" t="inlineStr">
        <is>
          <t>HRS Navigation</t>
        </is>
      </c>
      <c r="F2242" t="inlineStr">
        <is>
          <t>$5 Mn</t>
        </is>
      </c>
      <c r="G2242" s="19" t="n"/>
      <c r="H2242" s="19" t="n">
        <v>5</v>
      </c>
      <c r="I2242" t="inlineStr">
        <is>
          <t>Pre-Series A</t>
        </is>
      </c>
      <c r="J2242" t="inlineStr"/>
      <c r="K2242" t="inlineStr">
        <is>
          <t>https://entrackr.com/snippets/med-tech-company-hrs-navigation-raises-5-mn-in-pre-series-a-round-10650219</t>
        </is>
      </c>
    </row>
    <row r="2243">
      <c r="A2243" t="inlineStr">
        <is>
          <t>INC-20251115-06</t>
        </is>
      </c>
      <c r="B2243" t="inlineStr">
        <is>
          <t>R251112-hrsnavigation</t>
        </is>
      </c>
      <c r="C2243" t="inlineStr">
        <is>
          <t>Inc42</t>
        </is>
      </c>
      <c r="D2243" s="17" t="n">
        <v>45973</v>
      </c>
      <c r="E2243" t="inlineStr">
        <is>
          <t>HRS Navigation</t>
        </is>
      </c>
      <c r="F2243" t="inlineStr">
        <is>
          <t>$5 Mn</t>
        </is>
      </c>
      <c r="G2243" s="19" t="n"/>
      <c r="H2243" s="19" t="n">
        <v>5</v>
      </c>
      <c r="I2243" t="inlineStr">
        <is>
          <t>Pre-Series A</t>
        </is>
      </c>
      <c r="J2243" t="inlineStr">
        <is>
          <t>GVFL; Physis Capital; Sathguru Catalysers</t>
        </is>
      </c>
      <c r="K2243" t="inlineStr">
        <is>
          <t>https://inc42.com/buzz/from-finnable-to-bombay-shaving-company-indian-startups-raised-163-mn-this-week/</t>
        </is>
      </c>
    </row>
    <row r="2244">
      <c r="A2244" t="inlineStr">
        <is>
          <t>ENT-10650103</t>
        </is>
      </c>
      <c r="B2244" t="inlineStr">
        <is>
          <t>R251112-nyayanidhi</t>
        </is>
      </c>
      <c r="C2244" t="inlineStr">
        <is>
          <t>Entrackr</t>
        </is>
      </c>
      <c r="D2244" s="17" t="n">
        <v>45973</v>
      </c>
      <c r="E2244" t="inlineStr">
        <is>
          <t>Nyayanidhi</t>
        </is>
      </c>
      <c r="F2244" t="inlineStr">
        <is>
          <t>$2 million</t>
        </is>
      </c>
      <c r="G2244" s="19" t="n"/>
      <c r="H2244" s="19" t="n">
        <v>2</v>
      </c>
      <c r="I2244" t="inlineStr">
        <is>
          <t>Seed</t>
        </is>
      </c>
      <c r="J2244" t="inlineStr">
        <is>
          <t>3one4 Capital</t>
        </is>
      </c>
      <c r="K2244" t="inlineStr">
        <is>
          <t>https://entrackr.com/snippets/legal-tech-startup-nyayanidhi-raises-2-mn-led-by-3one4-capital-10650103</t>
        </is>
      </c>
    </row>
    <row r="2245">
      <c r="A2245" t="inlineStr">
        <is>
          <t>INC-20251115-13</t>
        </is>
      </c>
      <c r="B2245" t="inlineStr">
        <is>
          <t>R251112-nyayanidhi</t>
        </is>
      </c>
      <c r="C2245" t="inlineStr">
        <is>
          <t>Inc42</t>
        </is>
      </c>
      <c r="D2245" s="17" t="n">
        <v>45973</v>
      </c>
      <c r="E2245" t="inlineStr">
        <is>
          <t>Nyayanidhi</t>
        </is>
      </c>
      <c r="F2245" t="inlineStr">
        <is>
          <t>$2 Mn</t>
        </is>
      </c>
      <c r="G2245" s="19" t="n"/>
      <c r="H2245" s="19" t="n">
        <v>2</v>
      </c>
      <c r="I2245" t="inlineStr">
        <is>
          <t>Seed</t>
        </is>
      </c>
      <c r="J2245" t="inlineStr">
        <is>
          <t>3one4 Capital</t>
        </is>
      </c>
      <c r="K2245" t="inlineStr">
        <is>
          <t>https://inc42.com/buzz/from-finnable-to-bombay-shaving-company-indian-startups-raised-163-mn-this-week/</t>
        </is>
      </c>
    </row>
    <row r="2246">
      <c r="A2246" t="inlineStr">
        <is>
          <t>ET-125346154</t>
        </is>
      </c>
      <c r="B2246" t="inlineStr">
        <is>
          <t>R251112-nyayanidhi</t>
        </is>
      </c>
      <c r="C2246" t="inlineStr">
        <is>
          <t>The Economic Times</t>
        </is>
      </c>
      <c r="D2246" s="17" t="n">
        <v>45976</v>
      </c>
      <c r="E2246" t="inlineStr">
        <is>
          <t>Nyayanidhi</t>
        </is>
      </c>
      <c r="F2246" t="inlineStr">
        <is>
          <t>$2 million</t>
        </is>
      </c>
      <c r="G2246" s="19" t="n"/>
      <c r="H2246" s="19" t="n">
        <v>2</v>
      </c>
      <c r="I2246" t="inlineStr">
        <is>
          <t>Seed</t>
        </is>
      </c>
      <c r="J2246" t="inlineStr">
        <is>
          <t>3one4 Capital</t>
        </is>
      </c>
      <c r="K2246" t="inlineStr">
        <is>
          <t>https://economictimes.indiatimes.com/tech/funding/bengaluru-based-nyayanidhi-raises-2-million-to-build-ai-led-litigation-operating-system/articleshow/125346154.cms</t>
        </is>
      </c>
    </row>
    <row r="2247">
      <c r="A2247" t="inlineStr">
        <is>
          <t>INC-20251115-03</t>
        </is>
      </c>
      <c r="B2247" t="inlineStr">
        <is>
          <t>R251112-tetrcollege</t>
        </is>
      </c>
      <c r="C2247" t="inlineStr">
        <is>
          <t>Inc42</t>
        </is>
      </c>
      <c r="D2247" s="17" t="n">
        <v>45973</v>
      </c>
      <c r="E2247" t="inlineStr">
        <is>
          <t>Tetr College</t>
        </is>
      </c>
      <c r="F2247" t="inlineStr">
        <is>
          <t>$18 Mn</t>
        </is>
      </c>
      <c r="G2247" s="19" t="n"/>
      <c r="H2247" s="19" t="n">
        <v>18</v>
      </c>
      <c r="I2247" t="inlineStr">
        <is>
          <t>Undisclosed</t>
        </is>
      </c>
      <c r="J2247" t="inlineStr">
        <is>
          <t>Owl Ventures; Bertelsmann India Investments</t>
        </is>
      </c>
      <c r="K2247" t="inlineStr">
        <is>
          <t>https://inc42.com/buzz/from-finnable-to-bombay-shaving-company-indian-startups-raised-163-mn-this-week/</t>
        </is>
      </c>
    </row>
    <row r="2248">
      <c r="A2248" t="inlineStr">
        <is>
          <t>ENT-10653164</t>
        </is>
      </c>
      <c r="B2248" t="inlineStr">
        <is>
          <t>R251113-acsenergy</t>
        </is>
      </c>
      <c r="C2248" t="inlineStr">
        <is>
          <t>Entrackr</t>
        </is>
      </c>
      <c r="D2248" s="17" t="n">
        <v>45974</v>
      </c>
      <c r="E2248" t="inlineStr">
        <is>
          <t>ACS Energy</t>
        </is>
      </c>
      <c r="F2248" t="inlineStr">
        <is>
          <t>Rs 1.1 crore</t>
        </is>
      </c>
      <c r="G2248" s="19" t="n">
        <v>1.1</v>
      </c>
      <c r="H2248" s="19" t="n">
        <v>0.132</v>
      </c>
      <c r="I2248" t="inlineStr">
        <is>
          <t>Pre-Seed</t>
        </is>
      </c>
      <c r="J2248" t="inlineStr">
        <is>
          <t>Inflection Point Ventures</t>
        </is>
      </c>
      <c r="K2248" t="inlineStr">
        <is>
          <t>https://entrackr.com/snippets/acs-energy-raises-rs-11-cr-in-pre-seed-round-led-by-ipv-10653164</t>
        </is>
      </c>
    </row>
    <row r="2249">
      <c r="A2249" t="inlineStr">
        <is>
          <t>INC-20251115-22</t>
        </is>
      </c>
      <c r="B2249" t="inlineStr">
        <is>
          <t>R251113-acsenergy</t>
        </is>
      </c>
      <c r="C2249" t="inlineStr">
        <is>
          <t>Inc42</t>
        </is>
      </c>
      <c r="D2249" s="17" t="n">
        <v>45974</v>
      </c>
      <c r="E2249" t="inlineStr">
        <is>
          <t>ACS Energy</t>
        </is>
      </c>
      <c r="F2249" t="inlineStr">
        <is>
          <t>$124K</t>
        </is>
      </c>
      <c r="G2249" s="19" t="n"/>
      <c r="H2249" s="19" t="n">
        <v>0.124</v>
      </c>
      <c r="I2249" t="inlineStr">
        <is>
          <t>Pre-Seed</t>
        </is>
      </c>
      <c r="J2249" t="inlineStr">
        <is>
          <t>Inflection Point Ventures</t>
        </is>
      </c>
      <c r="K2249" t="inlineStr">
        <is>
          <t>https://inc42.com/buzz/from-finnable-to-bombay-shaving-company-indian-startups-raised-163-mn-this-week/</t>
        </is>
      </c>
    </row>
    <row r="2250">
      <c r="A2250" t="inlineStr">
        <is>
          <t>INC-20251115-02</t>
        </is>
      </c>
      <c r="B2250" t="inlineStr">
        <is>
          <t>R251113-attentiveai</t>
        </is>
      </c>
      <c r="C2250" t="inlineStr">
        <is>
          <t>Inc42</t>
        </is>
      </c>
      <c r="D2250" s="17" t="n">
        <v>45974</v>
      </c>
      <c r="E2250" t="inlineStr">
        <is>
          <t>Attentive AI</t>
        </is>
      </c>
      <c r="F2250" t="inlineStr">
        <is>
          <t>$30.5 Mn</t>
        </is>
      </c>
      <c r="G2250" s="19" t="n"/>
      <c r="H2250" s="19" t="n">
        <v>30.5</v>
      </c>
      <c r="I2250" t="inlineStr">
        <is>
          <t>Series B</t>
        </is>
      </c>
      <c r="J2250" t="inlineStr">
        <is>
          <t>Insight Partners</t>
        </is>
      </c>
      <c r="K2250" t="inlineStr">
        <is>
          <t>https://inc42.com/buzz/from-finnable-to-bombay-shaving-company-indian-startups-raised-163-mn-this-week/</t>
        </is>
      </c>
    </row>
    <row r="2251">
      <c r="A2251" t="inlineStr">
        <is>
          <t>ENT-10652969</t>
        </is>
      </c>
      <c r="B2251" t="inlineStr">
        <is>
          <t>R251113-brandworkstech</t>
        </is>
      </c>
      <c r="C2251" t="inlineStr">
        <is>
          <t>Entrackr</t>
        </is>
      </c>
      <c r="D2251" s="17" t="n">
        <v>45974</v>
      </c>
      <c r="E2251" t="inlineStr">
        <is>
          <t>Brandworks Technologies</t>
        </is>
      </c>
      <c r="F2251" t="inlineStr">
        <is>
          <t>$11 million</t>
        </is>
      </c>
      <c r="G2251" s="19" t="n">
        <v>100</v>
      </c>
      <c r="H2251" s="19" t="n">
        <v>11</v>
      </c>
      <c r="I2251" t="inlineStr">
        <is>
          <t>Series A</t>
        </is>
      </c>
      <c r="J2251" t="inlineStr"/>
      <c r="K2251" t="inlineStr">
        <is>
          <t>https://entrackr.com/snippets/brandworks-technologies-closes-11-mn-series-a-round-10652969</t>
        </is>
      </c>
    </row>
    <row r="2252">
      <c r="A2252" t="inlineStr">
        <is>
          <t>ET-125292964</t>
        </is>
      </c>
      <c r="B2252" t="inlineStr">
        <is>
          <t>R251113-brandworkstech</t>
        </is>
      </c>
      <c r="C2252" t="inlineStr">
        <is>
          <t>The Economic Times</t>
        </is>
      </c>
      <c r="D2252" s="17" t="n">
        <v>45974</v>
      </c>
      <c r="E2252" t="inlineStr">
        <is>
          <t>Brandworks Technologies</t>
        </is>
      </c>
      <c r="F2252" t="inlineStr">
        <is>
          <t>$4 million</t>
        </is>
      </c>
      <c r="G2252" s="19" t="n"/>
      <c r="H2252" s="19" t="n">
        <v>4</v>
      </c>
      <c r="I2252" t="inlineStr">
        <is>
          <t>Undisclosed</t>
        </is>
      </c>
      <c r="J2252" t="inlineStr"/>
      <c r="K2252" t="inlineStr">
        <is>
          <t>https://economictimes.indiatimes.com/tech/funding/manufacturing-startup-brandworks-technologies-raises-4-million-from-roha-family-office/articleshow/125292964.cms</t>
        </is>
      </c>
    </row>
    <row r="2253">
      <c r="A2253" t="inlineStr">
        <is>
          <t>INC-20251115-05</t>
        </is>
      </c>
      <c r="B2253" t="inlineStr">
        <is>
          <t>R251113-brandworkstech</t>
        </is>
      </c>
      <c r="C2253" t="inlineStr">
        <is>
          <t>Inc42</t>
        </is>
      </c>
      <c r="D2253" s="17" t="n">
        <v>45974</v>
      </c>
      <c r="E2253" t="inlineStr">
        <is>
          <t>Brandworks Technologies</t>
        </is>
      </c>
      <c r="F2253" t="inlineStr">
        <is>
          <t>$11 Mn</t>
        </is>
      </c>
      <c r="G2253" s="19" t="n"/>
      <c r="H2253" s="19" t="n">
        <v>11</v>
      </c>
      <c r="I2253" t="inlineStr">
        <is>
          <t>Series A</t>
        </is>
      </c>
      <c r="J2253" t="inlineStr"/>
      <c r="K2253" t="inlineStr">
        <is>
          <t>https://inc42.com/buzz/from-finnable-to-bombay-shaving-company-indian-startups-raised-163-mn-this-week/</t>
        </is>
      </c>
    </row>
    <row r="2254">
      <c r="A2254" t="inlineStr">
        <is>
          <t>VCC-62de4be26e</t>
        </is>
      </c>
      <c r="B2254" t="inlineStr">
        <is>
          <t>R251113-brandworkstech</t>
        </is>
      </c>
      <c r="C2254" t="inlineStr">
        <is>
          <t>VCCircle</t>
        </is>
      </c>
      <c r="D2254" s="17" t="n">
        <v>45975</v>
      </c>
      <c r="E2254" t="inlineStr">
        <is>
          <t>brandworkstechnologies</t>
        </is>
      </c>
      <c r="F2254" t="inlineStr">
        <is>
          <t>$ 11 million</t>
        </is>
      </c>
      <c r="G2254" s="19" t="n"/>
      <c r="H2254" s="19" t="n">
        <v>11</v>
      </c>
      <c r="I2254" t="inlineStr">
        <is>
          <t>Series A</t>
        </is>
      </c>
      <c r="J2254" t="inlineStr"/>
      <c r="K2254" t="inlineStr">
        <is>
          <t>https://www.vccircle.com/brandworkstechnologies-closes-series-a-round-at-11-million</t>
        </is>
      </c>
    </row>
    <row r="2255">
      <c r="A2255" t="inlineStr">
        <is>
          <t>ENT-10653489</t>
        </is>
      </c>
      <c r="B2255" t="inlineStr">
        <is>
          <t>R251113-eventplanettec</t>
        </is>
      </c>
      <c r="C2255" t="inlineStr">
        <is>
          <t>Entrackr</t>
        </is>
      </c>
      <c r="D2255" s="17" t="n">
        <v>45974</v>
      </c>
      <c r="E2255" t="inlineStr">
        <is>
          <t>Event Planet Technologies</t>
        </is>
      </c>
      <c r="F2255" t="inlineStr">
        <is>
          <t>$250,000</t>
        </is>
      </c>
      <c r="G2255" s="19" t="n"/>
      <c r="H2255" s="19" t="n">
        <v>0.25</v>
      </c>
      <c r="I2255" t="inlineStr">
        <is>
          <t>Angel</t>
        </is>
      </c>
      <c r="J2255" t="inlineStr"/>
      <c r="K2255" t="inlineStr">
        <is>
          <t>https://entrackr.com/snippets/event-planet-technologies-raises-250k-in-angel-round-10653489</t>
        </is>
      </c>
    </row>
    <row r="2256">
      <c r="A2256" t="inlineStr">
        <is>
          <t>INC-20251115-11</t>
        </is>
      </c>
      <c r="B2256" t="inlineStr">
        <is>
          <t>R251113-niaone</t>
        </is>
      </c>
      <c r="C2256" t="inlineStr">
        <is>
          <t>Inc42</t>
        </is>
      </c>
      <c r="D2256" s="17" t="n">
        <v>45974</v>
      </c>
      <c r="E2256" t="inlineStr">
        <is>
          <t>Nia.one</t>
        </is>
      </c>
      <c r="F2256" t="inlineStr">
        <is>
          <t>$2.4 Mn</t>
        </is>
      </c>
      <c r="G2256" s="19" t="n"/>
      <c r="H2256" s="19" t="n">
        <v>2.4</v>
      </c>
      <c r="I2256" t="inlineStr">
        <is>
          <t>Seed</t>
        </is>
      </c>
      <c r="J2256" t="inlineStr">
        <is>
          <t>Elevar Equity</t>
        </is>
      </c>
      <c r="K2256" t="inlineStr">
        <is>
          <t>https://inc42.com/buzz/from-finnable-to-bombay-shaving-company-indian-startups-raised-163-mn-this-week/</t>
        </is>
      </c>
    </row>
    <row r="2257">
      <c r="A2257" t="inlineStr">
        <is>
          <t>ENT-10698248</t>
        </is>
      </c>
      <c r="B2257" t="inlineStr">
        <is>
          <t>R251113-niaone</t>
        </is>
      </c>
      <c r="C2257" t="inlineStr">
        <is>
          <t>Entrackr</t>
        </is>
      </c>
      <c r="D2257" s="17" t="n">
        <v>45975</v>
      </c>
      <c r="E2257" t="inlineStr">
        <is>
          <t>Nia.one</t>
        </is>
      </c>
      <c r="F2257" t="inlineStr">
        <is>
          <t>$2.4 million</t>
        </is>
      </c>
      <c r="G2257" s="19" t="n"/>
      <c r="H2257" s="19" t="n">
        <v>2.4</v>
      </c>
      <c r="I2257" t="inlineStr">
        <is>
          <t>Seed</t>
        </is>
      </c>
      <c r="J2257" t="inlineStr"/>
      <c r="K2257" t="inlineStr">
        <is>
          <t>https://entrackr.com/snippets/niaone-raises-24-mn-in-seed-round-from-elevar-equity-10698248</t>
        </is>
      </c>
    </row>
    <row r="2258">
      <c r="A2258" t="inlineStr">
        <is>
          <t>ENT-10653183</t>
        </is>
      </c>
      <c r="B2258" t="inlineStr">
        <is>
          <t>R251113-parallelwebsys</t>
        </is>
      </c>
      <c r="C2258" t="inlineStr">
        <is>
          <t>Entrackr</t>
        </is>
      </c>
      <c r="D2258" s="17" t="n">
        <v>45974</v>
      </c>
      <c r="E2258" t="inlineStr">
        <is>
          <t>Parallel Web Systems</t>
        </is>
      </c>
      <c r="F2258" t="inlineStr">
        <is>
          <t>$100 million</t>
        </is>
      </c>
      <c r="G2258" s="19" t="n"/>
      <c r="H2258" s="19" t="n">
        <v>100</v>
      </c>
      <c r="I2258" t="inlineStr">
        <is>
          <t>Series A</t>
        </is>
      </c>
      <c r="J2258" t="inlineStr">
        <is>
          <t>Kleiner Perkins; Index Ventures</t>
        </is>
      </c>
      <c r="K2258" t="inlineStr">
        <is>
          <t>https://entrackr.com/snippets/parag-agrawals-parallel-web-systems-raises-100-mn-in-series-a-round-10653183</t>
        </is>
      </c>
    </row>
    <row r="2259">
      <c r="A2259" t="inlineStr">
        <is>
          <t>ET-125303536</t>
        </is>
      </c>
      <c r="B2259" t="inlineStr">
        <is>
          <t>R251113-varaha</t>
        </is>
      </c>
      <c r="C2259" t="inlineStr">
        <is>
          <t>The Economic Times</t>
        </is>
      </c>
      <c r="D2259" s="17" t="n">
        <v>45974</v>
      </c>
      <c r="E2259" t="inlineStr">
        <is>
          <t>Varaha</t>
        </is>
      </c>
      <c r="F2259" t="inlineStr">
        <is>
          <t>$30 million</t>
        </is>
      </c>
      <c r="G2259" s="19" t="n"/>
      <c r="H2259" s="19" t="n">
        <v>30</v>
      </c>
      <c r="I2259" t="inlineStr">
        <is>
          <t>Undisclosed</t>
        </is>
      </c>
      <c r="J2259" t="inlineStr"/>
      <c r="K2259" t="inlineStr">
        <is>
          <t>https://economictimes.indiatimes.com/tech/startups/paris-based-mirova-invests-30-million-in-varahas-regenerative-agriculture-project/articleshow/125303536.cms</t>
        </is>
      </c>
    </row>
    <row r="2260">
      <c r="A2260" t="inlineStr">
        <is>
          <t>ENT-10759413</t>
        </is>
      </c>
      <c r="B2260" t="inlineStr">
        <is>
          <t>R251114-codeyoung</t>
        </is>
      </c>
      <c r="C2260" t="inlineStr">
        <is>
          <t>Entrackr</t>
        </is>
      </c>
      <c r="D2260" s="17" t="n">
        <v>45975</v>
      </c>
      <c r="E2260" t="inlineStr">
        <is>
          <t>Codeyoung</t>
        </is>
      </c>
      <c r="F2260" t="inlineStr">
        <is>
          <t>$5 million</t>
        </is>
      </c>
      <c r="G2260" s="19" t="n"/>
      <c r="H2260" s="19" t="n">
        <v>5</v>
      </c>
      <c r="I2260" t="inlineStr">
        <is>
          <t>Series A</t>
        </is>
      </c>
      <c r="J2260" t="inlineStr">
        <is>
          <t>12 Flags Group; Enzia Ventures</t>
        </is>
      </c>
      <c r="K2260" t="inlineStr">
        <is>
          <t>https://entrackr.com/snippets/codeyoung-raises-5-mn-in-series-a-round-from-12-flags-and-enzia-ventures-10759413</t>
        </is>
      </c>
    </row>
    <row r="2261">
      <c r="A2261" t="inlineStr">
        <is>
          <t>INC-20251115-07</t>
        </is>
      </c>
      <c r="B2261" t="inlineStr">
        <is>
          <t>R251114-codeyoung</t>
        </is>
      </c>
      <c r="C2261" t="inlineStr">
        <is>
          <t>Inc42</t>
        </is>
      </c>
      <c r="D2261" s="17" t="n">
        <v>45975</v>
      </c>
      <c r="E2261" t="inlineStr">
        <is>
          <t>Codeyoung</t>
        </is>
      </c>
      <c r="F2261" t="inlineStr">
        <is>
          <t>$5 Mn</t>
        </is>
      </c>
      <c r="G2261" s="19" t="n"/>
      <c r="H2261" s="19" t="n">
        <v>5</v>
      </c>
      <c r="I2261" t="inlineStr">
        <is>
          <t>Series A</t>
        </is>
      </c>
      <c r="J2261" t="inlineStr">
        <is>
          <t>12 Flags Group; Enzia Ventures</t>
        </is>
      </c>
      <c r="K2261" t="inlineStr">
        <is>
          <t>https://inc42.com/buzz/from-finnable-to-bombay-shaving-company-indian-startups-raised-163-mn-this-week/</t>
        </is>
      </c>
    </row>
    <row r="2262">
      <c r="A2262" t="inlineStr">
        <is>
          <t>ENT-10691021</t>
        </is>
      </c>
      <c r="B2262" t="inlineStr">
        <is>
          <t>R251114-extramileplay</t>
        </is>
      </c>
      <c r="C2262" t="inlineStr">
        <is>
          <t>Entrackr</t>
        </is>
      </c>
      <c r="D2262" s="17" t="n">
        <v>45975</v>
      </c>
      <c r="E2262" t="inlineStr">
        <is>
          <t>ExtraMile Play</t>
        </is>
      </c>
      <c r="F2262" t="inlineStr">
        <is>
          <t>$500K</t>
        </is>
      </c>
      <c r="G2262" s="19" t="n"/>
      <c r="H2262" s="19" t="n">
        <v>0.5</v>
      </c>
      <c r="I2262" t="inlineStr">
        <is>
          <t>Seed</t>
        </is>
      </c>
      <c r="J2262" t="inlineStr">
        <is>
          <t>GSF; GrowthSense; Growth91</t>
        </is>
      </c>
      <c r="K2262" t="inlineStr">
        <is>
          <t>https://entrackr.com/snippets/extramile-play-raises-500k-in-seed-round-led-by-gsf-10691021</t>
        </is>
      </c>
    </row>
    <row r="2263">
      <c r="A2263" t="inlineStr">
        <is>
          <t>INC-20251115-20</t>
        </is>
      </c>
      <c r="B2263" t="inlineStr">
        <is>
          <t>R251114-extramileplay</t>
        </is>
      </c>
      <c r="C2263" t="inlineStr">
        <is>
          <t>Inc42</t>
        </is>
      </c>
      <c r="D2263" s="17" t="n">
        <v>45975</v>
      </c>
      <c r="E2263" t="inlineStr">
        <is>
          <t>ExtraMile Play</t>
        </is>
      </c>
      <c r="F2263" t="inlineStr">
        <is>
          <t>$500K</t>
        </is>
      </c>
      <c r="G2263" s="19" t="n"/>
      <c r="H2263" s="19" t="n">
        <v>0.5</v>
      </c>
      <c r="I2263" t="inlineStr">
        <is>
          <t>Seed</t>
        </is>
      </c>
      <c r="J2263" t="inlineStr">
        <is>
          <t>GSF</t>
        </is>
      </c>
      <c r="K2263" t="inlineStr">
        <is>
          <t>https://inc42.com/buzz/from-finnable-to-bombay-shaving-company-indian-startups-raised-163-mn-this-week/</t>
        </is>
      </c>
    </row>
    <row r="2264">
      <c r="A2264" t="inlineStr">
        <is>
          <t>ENT-10681506</t>
        </is>
      </c>
      <c r="B2264" t="inlineStr">
        <is>
          <t>R251114-isprava</t>
        </is>
      </c>
      <c r="C2264" t="inlineStr">
        <is>
          <t>Entrackr</t>
        </is>
      </c>
      <c r="D2264" s="17" t="n">
        <v>45975</v>
      </c>
      <c r="E2264" t="inlineStr">
        <is>
          <t>Isprava</t>
        </is>
      </c>
      <c r="F2264" t="inlineStr">
        <is>
          <t>Rs 250 crore</t>
        </is>
      </c>
      <c r="G2264" s="19" t="n">
        <v>250</v>
      </c>
      <c r="H2264" s="19" t="n">
        <v>28.4</v>
      </c>
      <c r="I2264" t="inlineStr">
        <is>
          <t>Debt</t>
        </is>
      </c>
      <c r="J2264" t="inlineStr"/>
      <c r="K2264" t="inlineStr">
        <is>
          <t>https://entrackr.com/exclusive/exclusive-isprava-raises-rs-250-cr-debt-10681506</t>
        </is>
      </c>
    </row>
    <row r="2265">
      <c r="A2265" t="inlineStr">
        <is>
          <t>ENT-10782011</t>
        </is>
      </c>
      <c r="B2265" t="inlineStr">
        <is>
          <t>R251117-hoopr</t>
        </is>
      </c>
      <c r="C2265" t="inlineStr">
        <is>
          <t>Entrackr</t>
        </is>
      </c>
      <c r="D2265" s="17" t="n">
        <v>45978</v>
      </c>
      <c r="E2265" t="inlineStr">
        <is>
          <t>Hoopr</t>
        </is>
      </c>
      <c r="F2265" t="inlineStr">
        <is>
          <t>Rs 4 crore</t>
        </is>
      </c>
      <c r="G2265" s="19" t="n">
        <v>4</v>
      </c>
      <c r="H2265" s="19" t="n"/>
      <c r="I2265" t="inlineStr">
        <is>
          <t>Pre-Series A</t>
        </is>
      </c>
      <c r="J2265" t="inlineStr">
        <is>
          <t>Inflection Point Ventures</t>
        </is>
      </c>
      <c r="K2265" t="inlineStr">
        <is>
          <t>https://entrackr.com/snippets/music-licensing-platform-hoopr-raises-funds-in-extended-pre-series-a-round-10782011</t>
        </is>
      </c>
    </row>
    <row r="2266">
      <c r="A2266" t="inlineStr">
        <is>
          <t>INC-20251122-19</t>
        </is>
      </c>
      <c r="B2266" t="inlineStr">
        <is>
          <t>R251117-hoopr</t>
        </is>
      </c>
      <c r="C2266" t="inlineStr">
        <is>
          <t>Inc42</t>
        </is>
      </c>
      <c r="D2266" s="17" t="n">
        <v>45979</v>
      </c>
      <c r="E2266" t="inlineStr">
        <is>
          <t>Hoopr</t>
        </is>
      </c>
      <c r="F2266" t="inlineStr">
        <is>
          <t>$451K</t>
        </is>
      </c>
      <c r="G2266" s="19" t="n"/>
      <c r="H2266" s="19" t="n">
        <v>0.451</v>
      </c>
      <c r="I2266" t="inlineStr">
        <is>
          <t>Pre-Series A</t>
        </is>
      </c>
      <c r="J2266" t="inlineStr">
        <is>
          <t>Inflection Point Ventures</t>
        </is>
      </c>
      <c r="K2266" t="inlineStr">
        <is>
          <t>https://inc42.com/buzz/from-yubi-to-agrostar-indian-startups-raised-171-mn-funding-this-week/</t>
        </is>
      </c>
    </row>
    <row r="2267">
      <c r="A2267" t="inlineStr">
        <is>
          <t>ENT-10780904</t>
        </is>
      </c>
      <c r="B2267" t="inlineStr">
        <is>
          <t>R251117-tribestays</t>
        </is>
      </c>
      <c r="C2267" t="inlineStr">
        <is>
          <t>Entrackr</t>
        </is>
      </c>
      <c r="D2267" s="17" t="n">
        <v>45978</v>
      </c>
      <c r="E2267" t="inlineStr">
        <is>
          <t>Tribe Stays</t>
        </is>
      </c>
      <c r="F2267" t="inlineStr">
        <is>
          <t>$2.8 million</t>
        </is>
      </c>
      <c r="G2267" s="19" t="n">
        <v>24</v>
      </c>
      <c r="H2267" s="19" t="n">
        <v>2.8</v>
      </c>
      <c r="I2267" t="inlineStr">
        <is>
          <t>Seed</t>
        </is>
      </c>
      <c r="J2267" t="inlineStr">
        <is>
          <t>Artha Venture Fund; Riverwalk Holdings</t>
        </is>
      </c>
      <c r="K2267" t="inlineStr">
        <is>
          <t>https://entrackr.com/snippets/tribe-stays-raises-28-mn-led-by-artha-venture-and-riverwalk-10780904</t>
        </is>
      </c>
    </row>
    <row r="2268">
      <c r="A2268" t="inlineStr">
        <is>
          <t>INC-20251122-12</t>
        </is>
      </c>
      <c r="B2268" t="inlineStr">
        <is>
          <t>R251117-tribestays</t>
        </is>
      </c>
      <c r="C2268" t="inlineStr">
        <is>
          <t>Inc42</t>
        </is>
      </c>
      <c r="D2268" s="17" t="n">
        <v>45978</v>
      </c>
      <c r="E2268" t="inlineStr">
        <is>
          <t>Tribe Stays</t>
        </is>
      </c>
      <c r="F2268" t="inlineStr">
        <is>
          <t>$2.8 Mn</t>
        </is>
      </c>
      <c r="G2268" s="19" t="n"/>
      <c r="H2268" s="19" t="n">
        <v>2.8</v>
      </c>
      <c r="I2268" t="inlineStr">
        <is>
          <t>Seed</t>
        </is>
      </c>
      <c r="J2268" t="inlineStr">
        <is>
          <t>Artha Venture Fund; Riverwalk Holdings</t>
        </is>
      </c>
      <c r="K2268" t="inlineStr">
        <is>
          <t>https://inc42.com/buzz/from-yubi-to-agrostar-indian-startups-raised-171-mn-funding-this-week/</t>
        </is>
      </c>
    </row>
    <row r="2269">
      <c r="A2269" t="inlineStr">
        <is>
          <t>VCC-0856820f06</t>
        </is>
      </c>
      <c r="B2269" t="inlineStr">
        <is>
          <t>R251117-tribestays</t>
        </is>
      </c>
      <c r="C2269" t="inlineStr">
        <is>
          <t>VCCircle</t>
        </is>
      </c>
      <c r="D2269" s="17" t="n">
        <v>45978</v>
      </c>
      <c r="E2269" t="inlineStr">
        <is>
          <t>tribestays</t>
        </is>
      </c>
      <c r="F2269" t="inlineStr"/>
      <c r="G2269" s="19" t="n"/>
      <c r="H2269" s="19" t="n"/>
      <c r="I2269" t="inlineStr">
        <is>
          <t>Undisclosed</t>
        </is>
      </c>
      <c r="J2269" t="inlineStr"/>
      <c r="K2269" t="inlineStr">
        <is>
          <t>https://www.vccircle.com/tribestays-raises-funding-amber-group-finalises-an-acquisition</t>
        </is>
      </c>
    </row>
    <row r="2270">
      <c r="A2270" t="inlineStr">
        <is>
          <t>ENT-10782932</t>
        </is>
      </c>
      <c r="B2270" t="inlineStr">
        <is>
          <t>R251117-unlimitr</t>
        </is>
      </c>
      <c r="C2270" t="inlineStr">
        <is>
          <t>Entrackr</t>
        </is>
      </c>
      <c r="D2270" s="17" t="n">
        <v>45978</v>
      </c>
      <c r="E2270" t="inlineStr">
        <is>
          <t>Unlimitr</t>
        </is>
      </c>
      <c r="F2270" t="inlineStr">
        <is>
          <t>$1.1 million</t>
        </is>
      </c>
      <c r="G2270" s="19" t="n"/>
      <c r="H2270" s="19" t="n">
        <v>1.1</v>
      </c>
      <c r="I2270" t="inlineStr">
        <is>
          <t>Seed</t>
        </is>
      </c>
      <c r="J2270" t="inlineStr"/>
      <c r="K2270" t="inlineStr">
        <is>
          <t>https://entrackr.com/snippets/wellness-platform-unlimitr-raises-11-mn-in-seed-round-10782932</t>
        </is>
      </c>
    </row>
    <row r="2271">
      <c r="A2271" t="inlineStr">
        <is>
          <t>ENT-10785238</t>
        </is>
      </c>
      <c r="B2271" t="inlineStr">
        <is>
          <t>R251118-axiriumaerospa</t>
        </is>
      </c>
      <c r="C2271" t="inlineStr">
        <is>
          <t>Entrackr</t>
        </is>
      </c>
      <c r="D2271" s="17" t="n">
        <v>45979</v>
      </c>
      <c r="E2271" t="inlineStr">
        <is>
          <t>Axirium Aerospace</t>
        </is>
      </c>
      <c r="F2271" t="inlineStr">
        <is>
          <t>$3.5 million</t>
        </is>
      </c>
      <c r="G2271" s="19" t="n"/>
      <c r="H2271" s="19" t="n">
        <v>3.5</v>
      </c>
      <c r="I2271" t="inlineStr">
        <is>
          <t>Seed</t>
        </is>
      </c>
      <c r="J2271" t="inlineStr">
        <is>
          <t>Shastra VC; BEENEXT</t>
        </is>
      </c>
      <c r="K2271" t="inlineStr">
        <is>
          <t>https://entrackr.com/snippets/axirium-aerospace-raises-35-mn-in-seed-round-10785238</t>
        </is>
      </c>
    </row>
    <row r="2272">
      <c r="A2272" t="inlineStr">
        <is>
          <t>INC-20251122-10</t>
        </is>
      </c>
      <c r="B2272" t="inlineStr">
        <is>
          <t>R251118-axiriumaerospa</t>
        </is>
      </c>
      <c r="C2272" t="inlineStr">
        <is>
          <t>Inc42</t>
        </is>
      </c>
      <c r="D2272" s="17" t="n">
        <v>45979</v>
      </c>
      <c r="E2272" t="inlineStr">
        <is>
          <t>Axirium Aerospace</t>
        </is>
      </c>
      <c r="F2272" t="inlineStr">
        <is>
          <t>$3.5 Mn</t>
        </is>
      </c>
      <c r="G2272" s="19" t="n"/>
      <c r="H2272" s="19" t="n">
        <v>3.5</v>
      </c>
      <c r="I2272" t="inlineStr">
        <is>
          <t>Seed</t>
        </is>
      </c>
      <c r="J2272" t="inlineStr">
        <is>
          <t>Shastra VC; BEENEXT</t>
        </is>
      </c>
      <c r="K2272" t="inlineStr">
        <is>
          <t>https://inc42.com/buzz/from-yubi-to-agrostar-indian-startups-raised-171-mn-funding-this-week/</t>
        </is>
      </c>
    </row>
    <row r="2273">
      <c r="A2273" t="inlineStr">
        <is>
          <t>ENT-10783582</t>
        </is>
      </c>
      <c r="B2273" t="inlineStr">
        <is>
          <t>R251118-pypeai</t>
        </is>
      </c>
      <c r="C2273" t="inlineStr">
        <is>
          <t>Entrackr</t>
        </is>
      </c>
      <c r="D2273" s="17" t="n">
        <v>45979</v>
      </c>
      <c r="E2273" t="inlineStr">
        <is>
          <t>Pype AI</t>
        </is>
      </c>
      <c r="F2273" t="inlineStr">
        <is>
          <t>$1.2 million</t>
        </is>
      </c>
      <c r="G2273" s="19" t="n"/>
      <c r="H2273" s="19" t="n">
        <v>1.2</v>
      </c>
      <c r="I2273" t="inlineStr">
        <is>
          <t>Pre-Seed</t>
        </is>
      </c>
      <c r="J2273" t="inlineStr">
        <is>
          <t>Kalaari Capital</t>
        </is>
      </c>
      <c r="K2273" t="inlineStr">
        <is>
          <t>https://entrackr.com/snippets/pype-ai-raises-12-mn-in-pre-seed-round-led-by-kalaari-capital-10783582</t>
        </is>
      </c>
    </row>
    <row r="2274">
      <c r="A2274" t="inlineStr">
        <is>
          <t>ET-125400756</t>
        </is>
      </c>
      <c r="B2274" t="inlineStr">
        <is>
          <t>R251118-pypeai</t>
        </is>
      </c>
      <c r="C2274" t="inlineStr">
        <is>
          <t>The Economic Times</t>
        </is>
      </c>
      <c r="D2274" s="17" t="n">
        <v>45979</v>
      </c>
      <c r="E2274" t="inlineStr">
        <is>
          <t>Pype AI</t>
        </is>
      </c>
      <c r="F2274" t="inlineStr">
        <is>
          <t>$1.2 million</t>
        </is>
      </c>
      <c r="G2274" s="19" t="n"/>
      <c r="H2274" s="19" t="n">
        <v>1.2</v>
      </c>
      <c r="I2274" t="inlineStr">
        <is>
          <t>Pre-Seed</t>
        </is>
      </c>
      <c r="J2274" t="inlineStr">
        <is>
          <t>Kalaari Capital</t>
        </is>
      </c>
      <c r="K2274" t="inlineStr">
        <is>
          <t>https://economictimes.indiatimes.com/tech/funding/agentic-ai-startup-pype-ai-raises-1-2-million-from-kalaari-capital-others/articleshow/125400756.cms</t>
        </is>
      </c>
    </row>
    <row r="2275">
      <c r="A2275" t="inlineStr">
        <is>
          <t>INC-20251122-17</t>
        </is>
      </c>
      <c r="B2275" t="inlineStr">
        <is>
          <t>R251118-pypeai</t>
        </is>
      </c>
      <c r="C2275" t="inlineStr">
        <is>
          <t>Inc42</t>
        </is>
      </c>
      <c r="D2275" s="17" t="n">
        <v>45979</v>
      </c>
      <c r="E2275" t="inlineStr">
        <is>
          <t>Pype AI</t>
        </is>
      </c>
      <c r="F2275" t="inlineStr">
        <is>
          <t>$1.2 Mn</t>
        </is>
      </c>
      <c r="G2275" s="19" t="n"/>
      <c r="H2275" s="19" t="n">
        <v>1.2</v>
      </c>
      <c r="I2275" t="inlineStr">
        <is>
          <t>Pre-Seed</t>
        </is>
      </c>
      <c r="J2275" t="inlineStr">
        <is>
          <t>Kalaari Capital</t>
        </is>
      </c>
      <c r="K2275" t="inlineStr">
        <is>
          <t>https://inc42.com/buzz/from-yubi-to-agrostar-indian-startups-raised-171-mn-funding-this-week/</t>
        </is>
      </c>
    </row>
    <row r="2276">
      <c r="A2276" t="inlineStr">
        <is>
          <t>ENT-10784431</t>
        </is>
      </c>
      <c r="B2276" t="inlineStr">
        <is>
          <t>R251118-yubigroup</t>
        </is>
      </c>
      <c r="C2276" t="inlineStr">
        <is>
          <t>Entrackr</t>
        </is>
      </c>
      <c r="D2276" s="17" t="n">
        <v>45979</v>
      </c>
      <c r="E2276" t="inlineStr">
        <is>
          <t>Yubi Group</t>
        </is>
      </c>
      <c r="F2276" t="inlineStr">
        <is>
          <t>Rs 411 crore</t>
        </is>
      </c>
      <c r="G2276" s="19" t="n">
        <v>411</v>
      </c>
      <c r="H2276" s="19" t="n">
        <v>46.3</v>
      </c>
      <c r="I2276" t="inlineStr">
        <is>
          <t>Undisclosed</t>
        </is>
      </c>
      <c r="J2276" t="inlineStr"/>
      <c r="K2276" t="inlineStr">
        <is>
          <t>https://entrackr.com/news/yubi-group-raises-rs-411-cr-in-new-round-10784431</t>
        </is>
      </c>
    </row>
    <row r="2277">
      <c r="A2277" t="inlineStr">
        <is>
          <t>ET-125407903</t>
        </is>
      </c>
      <c r="B2277" t="inlineStr">
        <is>
          <t>R251118-yubigroup</t>
        </is>
      </c>
      <c r="C2277" t="inlineStr">
        <is>
          <t>The Economic Times</t>
        </is>
      </c>
      <c r="D2277" s="17" t="n">
        <v>45979</v>
      </c>
      <c r="E2277" t="inlineStr">
        <is>
          <t>Yubi</t>
        </is>
      </c>
      <c r="F2277" t="inlineStr">
        <is>
          <t>Rs 75 crore</t>
        </is>
      </c>
      <c r="G2277" s="19" t="n">
        <v>75</v>
      </c>
      <c r="H2277" s="19" t="n"/>
      <c r="I2277" t="inlineStr">
        <is>
          <t>Undisclosed</t>
        </is>
      </c>
      <c r="J2277" t="inlineStr"/>
      <c r="K2277" t="inlineStr">
        <is>
          <t>https://economictimes.indiatimes.com/tech/funding/yubi-secures-rs-75-crore-from-founder-gaurav-kumar/articleshow/125407903.cms</t>
        </is>
      </c>
    </row>
    <row r="2278">
      <c r="A2278" t="inlineStr">
        <is>
          <t>VCC-f787f069ff</t>
        </is>
      </c>
      <c r="B2278" t="inlineStr">
        <is>
          <t>R251118-yubigroup</t>
        </is>
      </c>
      <c r="C2278" t="inlineStr">
        <is>
          <t>VCCircle</t>
        </is>
      </c>
      <c r="D2278" s="17" t="n">
        <v>45979</v>
      </c>
      <c r="E2278" t="inlineStr">
        <is>
          <t>yubi</t>
        </is>
      </c>
      <c r="F2278" t="inlineStr"/>
      <c r="G2278" s="19" t="n"/>
      <c r="H2278" s="19" t="n"/>
      <c r="I2278" t="inlineStr">
        <is>
          <t>Undisclosed</t>
        </is>
      </c>
      <c r="J2278" t="inlineStr"/>
      <c r="K2278" t="inlineStr">
        <is>
          <t>https://www.vccircle.com/loanmanagement-platform-yubi-raises-fresh-capital-from-evolutionx-founder</t>
        </is>
      </c>
    </row>
    <row r="2279">
      <c r="A2279" t="inlineStr">
        <is>
          <t>INC-20251122-01</t>
        </is>
      </c>
      <c r="B2279" t="inlineStr">
        <is>
          <t>R251118-yubigroup</t>
        </is>
      </c>
      <c r="C2279" t="inlineStr">
        <is>
          <t>Inc42</t>
        </is>
      </c>
      <c r="D2279" s="17" t="n">
        <v>45982</v>
      </c>
      <c r="E2279" t="inlineStr">
        <is>
          <t>Yubi</t>
        </is>
      </c>
      <c r="F2279" t="inlineStr">
        <is>
          <t>$46.4 Mn</t>
        </is>
      </c>
      <c r="G2279" s="19" t="n"/>
      <c r="H2279" s="19" t="n">
        <v>46.4</v>
      </c>
      <c r="I2279" t="inlineStr">
        <is>
          <t>Undisclosed</t>
        </is>
      </c>
      <c r="J2279" t="inlineStr"/>
      <c r="K2279" t="inlineStr">
        <is>
          <t>https://inc42.com/buzz/from-yubi-to-agrostar-indian-startups-raised-171-mn-funding-this-week/</t>
        </is>
      </c>
    </row>
    <row r="2280">
      <c r="A2280" t="inlineStr">
        <is>
          <t>ENT-10788591</t>
        </is>
      </c>
      <c r="B2280" t="inlineStr">
        <is>
          <t>R251119-homerun</t>
        </is>
      </c>
      <c r="C2280" t="inlineStr">
        <is>
          <t>Entrackr</t>
        </is>
      </c>
      <c r="D2280" s="17" t="n">
        <v>45980</v>
      </c>
      <c r="E2280" t="inlineStr">
        <is>
          <t>HomeRun</t>
        </is>
      </c>
      <c r="F2280" t="inlineStr">
        <is>
          <t>Rs 9 crore</t>
        </is>
      </c>
      <c r="G2280" s="19" t="n">
        <v>9</v>
      </c>
      <c r="H2280" s="19" t="n"/>
      <c r="I2280" t="inlineStr">
        <is>
          <t>Seed</t>
        </is>
      </c>
      <c r="J2280" t="inlineStr">
        <is>
          <t>Titan Capital; Sparrow Capital; Anupam Mittal; Abhishek Goyal of Tracxn; Suraj Nalin; Raj Sheth; Gautam Shewakramanil</t>
        </is>
      </c>
      <c r="K2280" t="inlineStr">
        <is>
          <t>https://entrackr.com/snippets/homerun-raises-rs-9-cr-in-seed-round-led-by-titan-and-sparrow-capital-10788591</t>
        </is>
      </c>
    </row>
    <row r="2281">
      <c r="A2281" t="inlineStr">
        <is>
          <t>INC-20251122-18</t>
        </is>
      </c>
      <c r="B2281" t="inlineStr">
        <is>
          <t>R251119-homerun</t>
        </is>
      </c>
      <c r="C2281" t="inlineStr">
        <is>
          <t>Inc42</t>
        </is>
      </c>
      <c r="D2281" s="17" t="n">
        <v>45980</v>
      </c>
      <c r="E2281" t="inlineStr">
        <is>
          <t>HomeRun</t>
        </is>
      </c>
      <c r="F2281" t="inlineStr">
        <is>
          <t>$1 Mn</t>
        </is>
      </c>
      <c r="G2281" s="19" t="n"/>
      <c r="H2281" s="19" t="n">
        <v>1</v>
      </c>
      <c r="I2281" t="inlineStr">
        <is>
          <t>Seed</t>
        </is>
      </c>
      <c r="J2281" t="inlineStr">
        <is>
          <t>Titan Capital; Sparrow Capital</t>
        </is>
      </c>
      <c r="K2281" t="inlineStr">
        <is>
          <t>https://inc42.com/buzz/from-yubi-to-agrostar-indian-startups-raised-171-mn-funding-this-week/</t>
        </is>
      </c>
    </row>
    <row r="2282">
      <c r="A2282" t="inlineStr">
        <is>
          <t>ENT-10788193</t>
        </is>
      </c>
      <c r="B2282" t="inlineStr">
        <is>
          <t>R251119-pidge</t>
        </is>
      </c>
      <c r="C2282" t="inlineStr">
        <is>
          <t>Entrackr</t>
        </is>
      </c>
      <c r="D2282" s="17" t="n">
        <v>45980</v>
      </c>
      <c r="E2282" t="inlineStr">
        <is>
          <t>Pidge</t>
        </is>
      </c>
      <c r="F2282" t="inlineStr">
        <is>
          <t>Rs 120 crore</t>
        </is>
      </c>
      <c r="G2282" s="19" t="n">
        <v>120</v>
      </c>
      <c r="H2282" s="19" t="n">
        <v>13.6</v>
      </c>
      <c r="I2282" t="inlineStr">
        <is>
          <t>Undisclosed</t>
        </is>
      </c>
      <c r="J2282" t="inlineStr">
        <is>
          <t>La Vida es Chula</t>
        </is>
      </c>
      <c r="K2282" t="inlineStr">
        <is>
          <t>https://entrackr.com/snippets/pidge-raises-rs-120-cr-in-growth-capital-led-by-lvec-10788193</t>
        </is>
      </c>
    </row>
    <row r="2283">
      <c r="A2283" t="inlineStr">
        <is>
          <t>INC-20251122-04</t>
        </is>
      </c>
      <c r="B2283" t="inlineStr">
        <is>
          <t>R251119-pidge</t>
        </is>
      </c>
      <c r="C2283" t="inlineStr">
        <is>
          <t>Inc42</t>
        </is>
      </c>
      <c r="D2283" s="17" t="n">
        <v>45980</v>
      </c>
      <c r="E2283" t="inlineStr">
        <is>
          <t>Pidge</t>
        </is>
      </c>
      <c r="F2283" t="inlineStr">
        <is>
          <t>$13.6 Mn</t>
        </is>
      </c>
      <c r="G2283" s="19" t="n"/>
      <c r="H2283" s="19" t="n">
        <v>13.6</v>
      </c>
      <c r="I2283" t="inlineStr">
        <is>
          <t>Series A</t>
        </is>
      </c>
      <c r="J2283" t="inlineStr">
        <is>
          <t>La Vida es Chula</t>
        </is>
      </c>
      <c r="K2283" t="inlineStr">
        <is>
          <t>https://inc42.com/buzz/from-yubi-to-agrostar-indian-startups-raised-171-mn-funding-this-week/</t>
        </is>
      </c>
    </row>
    <row r="2284">
      <c r="A2284" t="inlineStr">
        <is>
          <t>INC-20251122-14</t>
        </is>
      </c>
      <c r="B2284" t="inlineStr">
        <is>
          <t>R251119-stan</t>
        </is>
      </c>
      <c r="C2284" t="inlineStr">
        <is>
          <t>Inc42</t>
        </is>
      </c>
      <c r="D2284" s="17" t="n">
        <v>45980</v>
      </c>
      <c r="E2284" t="inlineStr">
        <is>
          <t>STAN</t>
        </is>
      </c>
      <c r="F2284" t="inlineStr">
        <is>
          <t>$2 Mn</t>
        </is>
      </c>
      <c r="G2284" s="19" t="n"/>
      <c r="H2284" s="19" t="n">
        <v>2</v>
      </c>
      <c r="I2284" t="inlineStr">
        <is>
          <t>Series A</t>
        </is>
      </c>
      <c r="J2284" t="inlineStr"/>
      <c r="K2284" t="inlineStr">
        <is>
          <t>https://inc42.com/buzz/from-yubi-to-agrostar-indian-startups-raised-171-mn-funding-this-week/</t>
        </is>
      </c>
    </row>
    <row r="2285">
      <c r="A2285" t="inlineStr">
        <is>
          <t>ENT-10790194</t>
        </is>
      </c>
      <c r="B2285" t="inlineStr">
        <is>
          <t>R251119-stylework</t>
        </is>
      </c>
      <c r="C2285" t="inlineStr">
        <is>
          <t>Entrackr</t>
        </is>
      </c>
      <c r="D2285" s="17" t="n">
        <v>45980</v>
      </c>
      <c r="E2285" t="inlineStr">
        <is>
          <t>Stylework</t>
        </is>
      </c>
      <c r="F2285" t="inlineStr">
        <is>
          <t>Rs 30 crore</t>
        </is>
      </c>
      <c r="G2285" s="19" t="n">
        <v>30</v>
      </c>
      <c r="H2285" s="19" t="n">
        <v>3.39</v>
      </c>
      <c r="I2285" t="inlineStr">
        <is>
          <t>Pre-Series B</t>
        </is>
      </c>
      <c r="J2285" t="inlineStr">
        <is>
          <t>Equentis Angel Fund</t>
        </is>
      </c>
      <c r="K2285" t="inlineStr">
        <is>
          <t>https://entrackr.com/snippets/stylework-raises-rs-30-cr-in-pre-series-b-led-by-equentis-10790194</t>
        </is>
      </c>
    </row>
    <row r="2286">
      <c r="A2286" t="inlineStr">
        <is>
          <t>INC-20251122-11</t>
        </is>
      </c>
      <c r="B2286" t="inlineStr">
        <is>
          <t>R251119-stylework</t>
        </is>
      </c>
      <c r="C2286" t="inlineStr">
        <is>
          <t>Inc42</t>
        </is>
      </c>
      <c r="D2286" s="17" t="n">
        <v>45980</v>
      </c>
      <c r="E2286" t="inlineStr">
        <is>
          <t>Stylework</t>
        </is>
      </c>
      <c r="F2286" t="inlineStr">
        <is>
          <t>$3.4 Mn</t>
        </is>
      </c>
      <c r="G2286" s="19" t="n"/>
      <c r="H2286" s="19" t="n">
        <v>3.4</v>
      </c>
      <c r="I2286" t="inlineStr">
        <is>
          <t>Pre-Series B</t>
        </is>
      </c>
      <c r="J2286" t="inlineStr">
        <is>
          <t>Equentis Angel Fund</t>
        </is>
      </c>
      <c r="K2286" t="inlineStr">
        <is>
          <t>https://inc42.com/buzz/from-yubi-to-agrostar-indian-startups-raised-171-mn-funding-this-week/</t>
        </is>
      </c>
    </row>
    <row r="2287">
      <c r="A2287" t="inlineStr">
        <is>
          <t>ENT-10787826</t>
        </is>
      </c>
      <c r="B2287" t="inlineStr">
        <is>
          <t>R251119-synthiolabs</t>
        </is>
      </c>
      <c r="C2287" t="inlineStr">
        <is>
          <t>Entrackr</t>
        </is>
      </c>
      <c r="D2287" s="17" t="n">
        <v>45980</v>
      </c>
      <c r="E2287" t="inlineStr">
        <is>
          <t>Synthio Labs</t>
        </is>
      </c>
      <c r="F2287" t="inlineStr">
        <is>
          <t>$5 million</t>
        </is>
      </c>
      <c r="G2287" s="19" t="n"/>
      <c r="H2287" s="19" t="n">
        <v>5</v>
      </c>
      <c r="I2287" t="inlineStr">
        <is>
          <t>Seed</t>
        </is>
      </c>
      <c r="J2287" t="inlineStr">
        <is>
          <t>Elevation Capital</t>
        </is>
      </c>
      <c r="K2287" t="inlineStr">
        <is>
          <t>https://entrackr.com/snippets/synthio-labs-raises-5-mn-in-seed-round-led-by-elevation-capital-10787826</t>
        </is>
      </c>
    </row>
    <row r="2288">
      <c r="A2288" t="inlineStr">
        <is>
          <t>ET-125429460</t>
        </is>
      </c>
      <c r="B2288" t="inlineStr">
        <is>
          <t>R251119-synthiolabs</t>
        </is>
      </c>
      <c r="C2288" t="inlineStr">
        <is>
          <t>The Economic Times</t>
        </is>
      </c>
      <c r="D2288" s="17" t="n">
        <v>45980</v>
      </c>
      <c r="E2288" t="inlineStr">
        <is>
          <t>Synthio Labs</t>
        </is>
      </c>
      <c r="F2288" t="inlineStr">
        <is>
          <t>$5 million</t>
        </is>
      </c>
      <c r="G2288" s="19" t="n"/>
      <c r="H2288" s="19" t="n">
        <v>5</v>
      </c>
      <c r="I2288" t="inlineStr">
        <is>
          <t>Undisclosed</t>
        </is>
      </c>
      <c r="J2288" t="inlineStr">
        <is>
          <t>Elevation Capital</t>
        </is>
      </c>
      <c r="K2288" t="inlineStr">
        <is>
          <t>https://economictimes.indiatimes.com/tech/funding/voice-ai-startup-synthio-labs-raises-5-million-from-elevation-capital-others/articleshow/125429460.cms</t>
        </is>
      </c>
    </row>
    <row r="2289">
      <c r="A2289" t="inlineStr">
        <is>
          <t>INC-20251122-08</t>
        </is>
      </c>
      <c r="B2289" t="inlineStr">
        <is>
          <t>R251119-synthiolabs</t>
        </is>
      </c>
      <c r="C2289" t="inlineStr">
        <is>
          <t>Inc42</t>
        </is>
      </c>
      <c r="D2289" s="17" t="n">
        <v>45980</v>
      </c>
      <c r="E2289" t="inlineStr">
        <is>
          <t>Synthio Labs</t>
        </is>
      </c>
      <c r="F2289" t="inlineStr">
        <is>
          <t>$5 Mn</t>
        </is>
      </c>
      <c r="G2289" s="19" t="n"/>
      <c r="H2289" s="19" t="n">
        <v>5</v>
      </c>
      <c r="I2289" t="inlineStr">
        <is>
          <t>Seed</t>
        </is>
      </c>
      <c r="J2289" t="inlineStr">
        <is>
          <t>Elevation Capital</t>
        </is>
      </c>
      <c r="K2289" t="inlineStr">
        <is>
          <t>https://inc42.com/buzz/from-yubi-to-agrostar-indian-startups-raised-171-mn-funding-this-week/</t>
        </is>
      </c>
    </row>
    <row r="2290">
      <c r="A2290" t="inlineStr">
        <is>
          <t>ENT-10787648</t>
        </is>
      </c>
      <c r="B2290" t="inlineStr">
        <is>
          <t>R251119-tractorjunctio</t>
        </is>
      </c>
      <c r="C2290" t="inlineStr">
        <is>
          <t>Entrackr</t>
        </is>
      </c>
      <c r="D2290" s="17" t="n">
        <v>45980</v>
      </c>
      <c r="E2290" t="inlineStr">
        <is>
          <t>Tractor Junction</t>
        </is>
      </c>
      <c r="F2290" t="inlineStr">
        <is>
          <t>$22 million</t>
        </is>
      </c>
      <c r="G2290" s="19" t="n"/>
      <c r="H2290" s="19" t="n">
        <v>22</v>
      </c>
      <c r="I2290" t="inlineStr">
        <is>
          <t>Undisclosed</t>
        </is>
      </c>
      <c r="J2290" t="inlineStr">
        <is>
          <t>Astanor</t>
        </is>
      </c>
      <c r="K2290" t="inlineStr">
        <is>
          <t>https://entrackr.com/news/tractor-junction-raises-22-mn-led-by-astanor-10787648</t>
        </is>
      </c>
    </row>
    <row r="2291">
      <c r="A2291" t="inlineStr">
        <is>
          <t>ET-125418928</t>
        </is>
      </c>
      <c r="B2291" t="inlineStr">
        <is>
          <t>R251119-tractorjunctio</t>
        </is>
      </c>
      <c r="C2291" t="inlineStr">
        <is>
          <t>The Economic Times</t>
        </is>
      </c>
      <c r="D2291" s="17" t="n">
        <v>45980</v>
      </c>
      <c r="E2291" t="inlineStr">
        <is>
          <t>Tractor Junction</t>
        </is>
      </c>
      <c r="F2291" t="inlineStr">
        <is>
          <t>$22 million</t>
        </is>
      </c>
      <c r="G2291" s="19" t="n"/>
      <c r="H2291" s="19" t="n">
        <v>22</v>
      </c>
      <c r="I2291" t="inlineStr">
        <is>
          <t>Undisclosed</t>
        </is>
      </c>
      <c r="J2291" t="inlineStr">
        <is>
          <t>Astanor</t>
        </is>
      </c>
      <c r="K2291" t="inlineStr">
        <is>
          <t>https://economictimes.indiatimes.com/tech/funding/rural-focused-digital-marketplace-tractor-junction-raises-22-million-from-astanor-others/articleshow/125418928.cms</t>
        </is>
      </c>
    </row>
    <row r="2292">
      <c r="A2292" t="inlineStr">
        <is>
          <t>INC-20251122-03</t>
        </is>
      </c>
      <c r="B2292" t="inlineStr">
        <is>
          <t>R251119-tractorjunctio</t>
        </is>
      </c>
      <c r="C2292" t="inlineStr">
        <is>
          <t>Inc42</t>
        </is>
      </c>
      <c r="D2292" s="17" t="n">
        <v>45980</v>
      </c>
      <c r="E2292" t="inlineStr">
        <is>
          <t>Tractor Junction</t>
        </is>
      </c>
      <c r="F2292" t="inlineStr">
        <is>
          <t>$22.5 Mn</t>
        </is>
      </c>
      <c r="G2292" s="19" t="n"/>
      <c r="H2292" s="19" t="n">
        <v>22.5</v>
      </c>
      <c r="I2292" t="inlineStr">
        <is>
          <t>Series A</t>
        </is>
      </c>
      <c r="J2292" t="inlineStr">
        <is>
          <t>Astanor</t>
        </is>
      </c>
      <c r="K2292" t="inlineStr">
        <is>
          <t>https://inc42.com/buzz/from-yubi-to-agrostar-indian-startups-raised-171-mn-funding-this-week/</t>
        </is>
      </c>
    </row>
    <row r="2293">
      <c r="A2293" t="inlineStr">
        <is>
          <t>ENT-10791728</t>
        </is>
      </c>
      <c r="B2293" t="inlineStr">
        <is>
          <t>R251120-agraga</t>
        </is>
      </c>
      <c r="C2293" t="inlineStr">
        <is>
          <t>Entrackr</t>
        </is>
      </c>
      <c r="D2293" s="17" t="n">
        <v>45981</v>
      </c>
      <c r="E2293" t="inlineStr">
        <is>
          <t>Agraga</t>
        </is>
      </c>
      <c r="F2293" t="inlineStr">
        <is>
          <t>Rs 100 crore</t>
        </is>
      </c>
      <c r="G2293" s="19" t="n">
        <v>100</v>
      </c>
      <c r="H2293" s="19" t="n">
        <v>12</v>
      </c>
      <c r="I2293" t="inlineStr">
        <is>
          <t>Pre-Series B</t>
        </is>
      </c>
      <c r="J2293" t="inlineStr">
        <is>
          <t>Bajaj Finserv Group</t>
        </is>
      </c>
      <c r="K2293" t="inlineStr">
        <is>
          <t>https://entrackr.com/news/agraga-raises-rs-100-cr-in-pre-series-b-led-by-bajaj-finserv-group-10791728</t>
        </is>
      </c>
    </row>
    <row r="2294">
      <c r="A2294" t="inlineStr">
        <is>
          <t>INC-20251122-05</t>
        </is>
      </c>
      <c r="B2294" t="inlineStr">
        <is>
          <t>R251120-agraga</t>
        </is>
      </c>
      <c r="C2294" t="inlineStr">
        <is>
          <t>Inc42</t>
        </is>
      </c>
      <c r="D2294" s="17" t="n">
        <v>45981</v>
      </c>
      <c r="E2294" t="inlineStr">
        <is>
          <t>Agraga</t>
        </is>
      </c>
      <c r="F2294" t="inlineStr">
        <is>
          <t>$11.3 Mn</t>
        </is>
      </c>
      <c r="G2294" s="19" t="n"/>
      <c r="H2294" s="19" t="n">
        <v>11.3</v>
      </c>
      <c r="I2294" t="inlineStr">
        <is>
          <t>Pre-Series B</t>
        </is>
      </c>
      <c r="J2294" t="inlineStr">
        <is>
          <t>Bajaj Finserv Group</t>
        </is>
      </c>
      <c r="K2294" t="inlineStr">
        <is>
          <t>https://inc42.com/buzz/from-yubi-to-agrostar-indian-startups-raised-171-mn-funding-this-week/</t>
        </is>
      </c>
    </row>
    <row r="2295">
      <c r="A2295" t="inlineStr">
        <is>
          <t>ENT-10791229</t>
        </is>
      </c>
      <c r="B2295" t="inlineStr">
        <is>
          <t>R251120-agrostar</t>
        </is>
      </c>
      <c r="C2295" t="inlineStr">
        <is>
          <t>Entrackr</t>
        </is>
      </c>
      <c r="D2295" s="17" t="n">
        <v>45981</v>
      </c>
      <c r="E2295" t="inlineStr">
        <is>
          <t>AgroStar</t>
        </is>
      </c>
      <c r="F2295" t="inlineStr">
        <is>
          <t>$30 million</t>
        </is>
      </c>
      <c r="G2295" s="19" t="n"/>
      <c r="H2295" s="19" t="n">
        <v>30</v>
      </c>
      <c r="I2295" t="inlineStr">
        <is>
          <t>Undisclosed</t>
        </is>
      </c>
      <c r="J2295" t="inlineStr">
        <is>
          <t>Just Climate</t>
        </is>
      </c>
      <c r="K2295" t="inlineStr">
        <is>
          <t>https://entrackr.com/news/agrostar-raises-30-mn-led-by-just-climate-10791229</t>
        </is>
      </c>
    </row>
    <row r="2296">
      <c r="A2296" t="inlineStr">
        <is>
          <t>ET-125443914</t>
        </is>
      </c>
      <c r="B2296" t="inlineStr">
        <is>
          <t>R251120-agrostar</t>
        </is>
      </c>
      <c r="C2296" t="inlineStr">
        <is>
          <t>The Economic Times</t>
        </is>
      </c>
      <c r="D2296" s="17" t="n">
        <v>45981</v>
      </c>
      <c r="E2296" t="inlineStr">
        <is>
          <t>AgroStar</t>
        </is>
      </c>
      <c r="F2296" t="inlineStr">
        <is>
          <t>$30 million</t>
        </is>
      </c>
      <c r="G2296" s="19" t="n"/>
      <c r="H2296" s="19" t="n">
        <v>30</v>
      </c>
      <c r="I2296" t="inlineStr">
        <is>
          <t>Undisclosed</t>
        </is>
      </c>
      <c r="J2296" t="inlineStr">
        <is>
          <t>Just Climate</t>
        </is>
      </c>
      <c r="K2296" t="inlineStr">
        <is>
          <t>https://economictimes.indiatimes.com/tech/funding/agritech-startup-agrostar-raises-30-million-from-just-climate-others/articleshow/125443914.cms</t>
        </is>
      </c>
    </row>
    <row r="2297">
      <c r="A2297" t="inlineStr">
        <is>
          <t>INC-20251122-02</t>
        </is>
      </c>
      <c r="B2297" t="inlineStr">
        <is>
          <t>R251120-agrostar</t>
        </is>
      </c>
      <c r="C2297" t="inlineStr">
        <is>
          <t>Inc42</t>
        </is>
      </c>
      <c r="D2297" s="17" t="n">
        <v>45981</v>
      </c>
      <c r="E2297" t="inlineStr">
        <is>
          <t>AgroStar</t>
        </is>
      </c>
      <c r="F2297" t="inlineStr">
        <is>
          <t>$30 Mn</t>
        </is>
      </c>
      <c r="G2297" s="19" t="n"/>
      <c r="H2297" s="19" t="n">
        <v>30</v>
      </c>
      <c r="I2297" t="inlineStr">
        <is>
          <t>Undisclosed</t>
        </is>
      </c>
      <c r="J2297" t="inlineStr">
        <is>
          <t>Just Climate</t>
        </is>
      </c>
      <c r="K2297" t="inlineStr">
        <is>
          <t>https://inc42.com/buzz/from-yubi-to-agrostar-indian-startups-raised-171-mn-funding-this-week/</t>
        </is>
      </c>
    </row>
    <row r="2298">
      <c r="A2298" t="inlineStr">
        <is>
          <t>ENT-10791340</t>
        </is>
      </c>
      <c r="B2298" t="inlineStr">
        <is>
          <t>R251120-bigbasket</t>
        </is>
      </c>
      <c r="C2298" t="inlineStr">
        <is>
          <t>Entrackr</t>
        </is>
      </c>
      <c r="D2298" s="17" t="n">
        <v>45981</v>
      </c>
      <c r="E2298" t="inlineStr">
        <is>
          <t>BigBasket</t>
        </is>
      </c>
      <c r="F2298" t="inlineStr">
        <is>
          <t>Rs 200 crore</t>
        </is>
      </c>
      <c r="G2298" s="19" t="n">
        <v>200</v>
      </c>
      <c r="H2298" s="19" t="n">
        <v>22.7</v>
      </c>
      <c r="I2298" t="inlineStr">
        <is>
          <t>Debt</t>
        </is>
      </c>
      <c r="J2298" t="inlineStr">
        <is>
          <t>Tata Digital in December 2022</t>
        </is>
      </c>
      <c r="K2298" t="inlineStr">
        <is>
          <t>https://entrackr.com/exclusive/exclusive-bigbasket-secures-rs-200-cr-debt-10791340</t>
        </is>
      </c>
    </row>
    <row r="2299">
      <c r="A2299" t="inlineStr">
        <is>
          <t>ET-125464692</t>
        </is>
      </c>
      <c r="B2299" t="inlineStr">
        <is>
          <t>R251120-bigbasket</t>
        </is>
      </c>
      <c r="C2299" t="inlineStr">
        <is>
          <t>The Economic Times</t>
        </is>
      </c>
      <c r="D2299" s="17" t="n">
        <v>45981</v>
      </c>
      <c r="E2299" t="inlineStr">
        <is>
          <t>BigBasket</t>
        </is>
      </c>
      <c r="F2299" t="inlineStr">
        <is>
          <t>Rs 200 crore</t>
        </is>
      </c>
      <c r="G2299" s="19" t="n">
        <v>200</v>
      </c>
      <c r="H2299" s="19" t="n"/>
      <c r="I2299" t="inlineStr">
        <is>
          <t>Debt</t>
        </is>
      </c>
      <c r="J2299" t="inlineStr"/>
      <c r="K2299" t="inlineStr">
        <is>
          <t>https://economictimes.indiatimes.com/tech/startups/bigbasket-raises-rs-200-crore-via-debt/articleshow/125464692.cms</t>
        </is>
      </c>
    </row>
    <row r="2300">
      <c r="A2300" t="inlineStr">
        <is>
          <t>ENT-10791356</t>
        </is>
      </c>
      <c r="B2300" t="inlineStr">
        <is>
          <t>R251120-ctrlb</t>
        </is>
      </c>
      <c r="C2300" t="inlineStr">
        <is>
          <t>Entrackr</t>
        </is>
      </c>
      <c r="D2300" s="17" t="n">
        <v>45981</v>
      </c>
      <c r="E2300" t="inlineStr">
        <is>
          <t>CtrlB</t>
        </is>
      </c>
      <c r="F2300" t="inlineStr">
        <is>
          <t>$2.5 million</t>
        </is>
      </c>
      <c r="G2300" s="19" t="n"/>
      <c r="H2300" s="19" t="n">
        <v>2.5</v>
      </c>
      <c r="I2300" t="inlineStr">
        <is>
          <t>Seed</t>
        </is>
      </c>
      <c r="J2300" t="inlineStr">
        <is>
          <t>Chiratae Ventures</t>
        </is>
      </c>
      <c r="K2300" t="inlineStr">
        <is>
          <t>https://entrackr.com/snippets/ctrlb-raises-25-mn-in-seed-round-led-by-chiratae-ventures-10791356</t>
        </is>
      </c>
    </row>
    <row r="2301">
      <c r="A2301" t="inlineStr">
        <is>
          <t>ET-125451984</t>
        </is>
      </c>
      <c r="B2301" t="inlineStr">
        <is>
          <t>R251120-ctrlb</t>
        </is>
      </c>
      <c r="C2301" t="inlineStr">
        <is>
          <t>The Economic Times</t>
        </is>
      </c>
      <c r="D2301" s="17" t="n">
        <v>45981</v>
      </c>
      <c r="E2301" t="inlineStr">
        <is>
          <t>CtrlB</t>
        </is>
      </c>
      <c r="F2301" t="inlineStr">
        <is>
          <t>$2.5 million</t>
        </is>
      </c>
      <c r="G2301" s="19" t="n"/>
      <c r="H2301" s="19" t="n">
        <v>2.5</v>
      </c>
      <c r="I2301" t="inlineStr">
        <is>
          <t>Seed</t>
        </is>
      </c>
      <c r="J2301" t="inlineStr">
        <is>
          <t>Chiratae Ventures</t>
        </is>
      </c>
      <c r="K2301" t="inlineStr">
        <is>
          <t>https://economictimes.indiatimes.com/tech/funding/unified-data-platform-ctrlb-raises-2-5-million-seed-funding-from-chiratae-ventures/articleshow/125451984.cms</t>
        </is>
      </c>
    </row>
    <row r="2302">
      <c r="A2302" t="inlineStr">
        <is>
          <t>INC-20251122-13</t>
        </is>
      </c>
      <c r="B2302" t="inlineStr">
        <is>
          <t>R251120-ctrlb</t>
        </is>
      </c>
      <c r="C2302" t="inlineStr">
        <is>
          <t>Inc42</t>
        </is>
      </c>
      <c r="D2302" s="17" t="n">
        <v>45981</v>
      </c>
      <c r="E2302" t="inlineStr">
        <is>
          <t>CtrlB</t>
        </is>
      </c>
      <c r="F2302" t="inlineStr">
        <is>
          <t>$2.5 Mn</t>
        </is>
      </c>
      <c r="G2302" s="19" t="n"/>
      <c r="H2302" s="19" t="n">
        <v>2.5</v>
      </c>
      <c r="I2302" t="inlineStr">
        <is>
          <t>Seed</t>
        </is>
      </c>
      <c r="J2302" t="inlineStr">
        <is>
          <t>Chiratae Ventures</t>
        </is>
      </c>
      <c r="K2302" t="inlineStr">
        <is>
          <t>https://inc42.com/buzz/from-yubi-to-agrostar-indian-startups-raised-171-mn-funding-this-week/</t>
        </is>
      </c>
    </row>
    <row r="2303">
      <c r="A2303" t="inlineStr">
        <is>
          <t>ENT-10791234</t>
        </is>
      </c>
      <c r="B2303" t="inlineStr">
        <is>
          <t>R251120-kaaj</t>
        </is>
      </c>
      <c r="C2303" t="inlineStr">
        <is>
          <t>Entrackr</t>
        </is>
      </c>
      <c r="D2303" s="17" t="n">
        <v>45981</v>
      </c>
      <c r="E2303" t="inlineStr">
        <is>
          <t>Kaaj</t>
        </is>
      </c>
      <c r="F2303" t="inlineStr">
        <is>
          <t>$3.8 million</t>
        </is>
      </c>
      <c r="G2303" s="19" t="n"/>
      <c r="H2303" s="19" t="n">
        <v>3.8</v>
      </c>
      <c r="I2303" t="inlineStr">
        <is>
          <t>Seed</t>
        </is>
      </c>
      <c r="J2303" t="inlineStr">
        <is>
          <t>Kindred Ventures</t>
        </is>
      </c>
      <c r="K2303" t="inlineStr">
        <is>
          <t>https://entrackr.com/snippets/fintech-startup-kaaj-raises-38-mn-led-by-kindred-ventures-10791234</t>
        </is>
      </c>
    </row>
    <row r="2304">
      <c r="A2304" t="inlineStr">
        <is>
          <t>ET-125452727</t>
        </is>
      </c>
      <c r="B2304" t="inlineStr">
        <is>
          <t>R251120-kaaj</t>
        </is>
      </c>
      <c r="C2304" t="inlineStr">
        <is>
          <t>The Economic Times</t>
        </is>
      </c>
      <c r="D2304" s="17" t="n">
        <v>45981</v>
      </c>
      <c r="E2304" t="inlineStr">
        <is>
          <t>Kaaj</t>
        </is>
      </c>
      <c r="F2304" t="inlineStr">
        <is>
          <t>$3.8 million</t>
        </is>
      </c>
      <c r="G2304" s="19" t="n"/>
      <c r="H2304" s="19" t="n">
        <v>3.8</v>
      </c>
      <c r="I2304" t="inlineStr">
        <is>
          <t>Seed</t>
        </is>
      </c>
      <c r="J2304" t="inlineStr">
        <is>
          <t>Kindred Ventures</t>
        </is>
      </c>
      <c r="K2304" t="inlineStr">
        <is>
          <t>https://economictimes.indiatimes.com/tech/funding/ai-fintech-startup-kaaj-raises-3-8-million-from-kindred-ventures-others/articleshow/125452727.cms</t>
        </is>
      </c>
    </row>
    <row r="2305">
      <c r="A2305" t="inlineStr">
        <is>
          <t>INC-20251122-09</t>
        </is>
      </c>
      <c r="B2305" t="inlineStr">
        <is>
          <t>R251120-kaaj</t>
        </is>
      </c>
      <c r="C2305" t="inlineStr">
        <is>
          <t>Inc42</t>
        </is>
      </c>
      <c r="D2305" s="17" t="n">
        <v>45981</v>
      </c>
      <c r="E2305" t="inlineStr">
        <is>
          <t>Kaaj</t>
        </is>
      </c>
      <c r="F2305" t="inlineStr">
        <is>
          <t>$3.8 Mn</t>
        </is>
      </c>
      <c r="G2305" s="19" t="n"/>
      <c r="H2305" s="19" t="n">
        <v>3.8</v>
      </c>
      <c r="I2305" t="inlineStr">
        <is>
          <t>Seed</t>
        </is>
      </c>
      <c r="J2305" t="inlineStr">
        <is>
          <t>Kindred Ventures</t>
        </is>
      </c>
      <c r="K2305" t="inlineStr">
        <is>
          <t>https://inc42.com/buzz/from-yubi-to-agrostar-indian-startups-raised-171-mn-funding-this-week/</t>
        </is>
      </c>
    </row>
    <row r="2306">
      <c r="A2306" t="inlineStr">
        <is>
          <t>ET-125465379</t>
        </is>
      </c>
      <c r="B2306" t="inlineStr">
        <is>
          <t>R251120-pibitai</t>
        </is>
      </c>
      <c r="C2306" t="inlineStr">
        <is>
          <t>The Economic Times</t>
        </is>
      </c>
      <c r="D2306" s="17" t="n">
        <v>45981</v>
      </c>
      <c r="E2306" t="inlineStr">
        <is>
          <t>Pibit.AI</t>
        </is>
      </c>
      <c r="F2306" t="inlineStr">
        <is>
          <t>$7 million</t>
        </is>
      </c>
      <c r="G2306" s="19" t="n"/>
      <c r="H2306" s="19" t="n">
        <v>7</v>
      </c>
      <c r="I2306" t="inlineStr">
        <is>
          <t>Undisclosed</t>
        </is>
      </c>
      <c r="J2306" t="inlineStr"/>
      <c r="K2306" t="inlineStr">
        <is>
          <t>https://economictimes.indiatimes.com/tech/funding/insurtech-startup-pibit-ai-raises-7-million-from-stellaris-others/articleshow/125465379.cms</t>
        </is>
      </c>
    </row>
    <row r="2307">
      <c r="A2307" t="inlineStr">
        <is>
          <t>INC-20251122-07</t>
        </is>
      </c>
      <c r="B2307" t="inlineStr">
        <is>
          <t>R251120-pibitai</t>
        </is>
      </c>
      <c r="C2307" t="inlineStr">
        <is>
          <t>Inc42</t>
        </is>
      </c>
      <c r="D2307" s="17" t="n">
        <v>45981</v>
      </c>
      <c r="E2307" t="inlineStr">
        <is>
          <t>Pibit.AI</t>
        </is>
      </c>
      <c r="F2307" t="inlineStr">
        <is>
          <t>$7 Mn</t>
        </is>
      </c>
      <c r="G2307" s="19" t="n"/>
      <c r="H2307" s="19" t="n">
        <v>7</v>
      </c>
      <c r="I2307" t="inlineStr">
        <is>
          <t>Series A</t>
        </is>
      </c>
      <c r="J2307" t="inlineStr">
        <is>
          <t>Stellaris Venture Partners</t>
        </is>
      </c>
      <c r="K2307" t="inlineStr">
        <is>
          <t>https://inc42.com/buzz/from-yubi-to-agrostar-indian-startups-raised-171-mn-funding-this-week/</t>
        </is>
      </c>
    </row>
    <row r="2308">
      <c r="A2308" t="inlineStr">
        <is>
          <t>ENT-10798138</t>
        </is>
      </c>
      <c r="B2308" t="inlineStr">
        <is>
          <t>R251120-pibitai</t>
        </is>
      </c>
      <c r="C2308" t="inlineStr">
        <is>
          <t>Entrackr</t>
        </is>
      </c>
      <c r="D2308" s="17" t="n">
        <v>45982</v>
      </c>
      <c r="E2308" t="inlineStr">
        <is>
          <t>Pibit.AI</t>
        </is>
      </c>
      <c r="F2308" t="inlineStr">
        <is>
          <t>$7 million</t>
        </is>
      </c>
      <c r="G2308" s="19" t="n"/>
      <c r="H2308" s="19" t="n">
        <v>7</v>
      </c>
      <c r="I2308" t="inlineStr">
        <is>
          <t>Series A</t>
        </is>
      </c>
      <c r="J2308" t="inlineStr">
        <is>
          <t>Stellaris Venture Partners</t>
        </is>
      </c>
      <c r="K2308" t="inlineStr">
        <is>
          <t>https://entrackr.com/snippets/pibitai-raises-7-mn-in-series-a-round-led-by-stellaris-10798138</t>
        </is>
      </c>
    </row>
    <row r="2309">
      <c r="A2309" t="inlineStr">
        <is>
          <t>ET-125466494</t>
        </is>
      </c>
      <c r="B2309" t="inlineStr">
        <is>
          <t>R251120-sophrosynetech</t>
        </is>
      </c>
      <c r="C2309" t="inlineStr">
        <is>
          <t>The Economic Times</t>
        </is>
      </c>
      <c r="D2309" s="17" t="n">
        <v>45981</v>
      </c>
      <c r="E2309" t="inlineStr">
        <is>
          <t>Sophrosyne Technologies</t>
        </is>
      </c>
      <c r="F2309" t="inlineStr">
        <is>
          <t>$2 million</t>
        </is>
      </c>
      <c r="G2309" s="19" t="n"/>
      <c r="H2309" s="19" t="n">
        <v>2</v>
      </c>
      <c r="I2309" t="inlineStr">
        <is>
          <t>Seed</t>
        </is>
      </c>
      <c r="J2309" t="inlineStr"/>
      <c r="K2309" t="inlineStr">
        <is>
          <t>https://economictimes.indiatimes.com/tech/funding/semiconductor-startup-sophrosyne-technologies-raises-2-million-from-bluehill-vc/articleshow/125466494.cms</t>
        </is>
      </c>
    </row>
    <row r="2310">
      <c r="A2310" t="inlineStr">
        <is>
          <t>ENT-10799138</t>
        </is>
      </c>
      <c r="B2310" t="inlineStr">
        <is>
          <t>R251120-sophrosynetech</t>
        </is>
      </c>
      <c r="C2310" t="inlineStr">
        <is>
          <t>Entrackr</t>
        </is>
      </c>
      <c r="D2310" s="17" t="n">
        <v>45982</v>
      </c>
      <c r="E2310" t="inlineStr">
        <is>
          <t>Sophrosyne Technologies</t>
        </is>
      </c>
      <c r="F2310" t="inlineStr">
        <is>
          <t>$2 million</t>
        </is>
      </c>
      <c r="G2310" s="19" t="n"/>
      <c r="H2310" s="19" t="n">
        <v>2</v>
      </c>
      <c r="I2310" t="inlineStr">
        <is>
          <t>Seed</t>
        </is>
      </c>
      <c r="J2310" t="inlineStr">
        <is>
          <t>Bluehill.VC</t>
        </is>
      </c>
      <c r="K2310" t="inlineStr">
        <is>
          <t>https://entrackr.com/snippets/semiconductor-startup-sophrosyne-technologies-raises-2-mn-led-by-bluehillvc-10799138</t>
        </is>
      </c>
    </row>
    <row r="2311">
      <c r="A2311" t="inlineStr">
        <is>
          <t>INC-20251122-15</t>
        </is>
      </c>
      <c r="B2311" t="inlineStr">
        <is>
          <t>R251120-sophrosynetech</t>
        </is>
      </c>
      <c r="C2311" t="inlineStr">
        <is>
          <t>Inc42</t>
        </is>
      </c>
      <c r="D2311" s="17" t="n">
        <v>45982</v>
      </c>
      <c r="E2311" t="inlineStr">
        <is>
          <t>Sophrosyne Technologies</t>
        </is>
      </c>
      <c r="F2311" t="inlineStr">
        <is>
          <t>$2 Mn</t>
        </is>
      </c>
      <c r="G2311" s="19" t="n"/>
      <c r="H2311" s="19" t="n">
        <v>2</v>
      </c>
      <c r="I2311" t="inlineStr">
        <is>
          <t>Seed</t>
        </is>
      </c>
      <c r="J2311" t="inlineStr">
        <is>
          <t>Bluehill Capital</t>
        </is>
      </c>
      <c r="K2311" t="inlineStr">
        <is>
          <t>https://inc42.com/buzz/from-yubi-to-agrostar-indian-startups-raised-171-mn-funding-this-week/</t>
        </is>
      </c>
    </row>
    <row r="2312">
      <c r="A2312" t="inlineStr">
        <is>
          <t>ENT-10791498</t>
        </is>
      </c>
      <c r="B2312" t="inlineStr">
        <is>
          <t>R251120-thimblerr</t>
        </is>
      </c>
      <c r="C2312" t="inlineStr">
        <is>
          <t>Entrackr</t>
        </is>
      </c>
      <c r="D2312" s="17" t="n">
        <v>45981</v>
      </c>
      <c r="E2312" t="inlineStr">
        <is>
          <t>Thimblerr</t>
        </is>
      </c>
      <c r="F2312" t="inlineStr">
        <is>
          <t>$1.4 million</t>
        </is>
      </c>
      <c r="G2312" s="19" t="n"/>
      <c r="H2312" s="19" t="n">
        <v>1.4</v>
      </c>
      <c r="I2312" t="inlineStr">
        <is>
          <t>Bridge</t>
        </is>
      </c>
      <c r="J2312" t="inlineStr">
        <is>
          <t>Inflection Point Ventures</t>
        </is>
      </c>
      <c r="K2312" t="inlineStr">
        <is>
          <t>https://entrackr.com/snippets/thimblerr-raises-14-mn-led-by-inflection-point-ventures-10791498</t>
        </is>
      </c>
    </row>
    <row r="2313">
      <c r="A2313" t="inlineStr">
        <is>
          <t>INC-20251122-16</t>
        </is>
      </c>
      <c r="B2313" t="inlineStr">
        <is>
          <t>R251120-thimblerr</t>
        </is>
      </c>
      <c r="C2313" t="inlineStr">
        <is>
          <t>Inc42</t>
        </is>
      </c>
      <c r="D2313" s="17" t="n">
        <v>45981</v>
      </c>
      <c r="E2313" t="inlineStr">
        <is>
          <t>Thimblerr</t>
        </is>
      </c>
      <c r="F2313" t="inlineStr">
        <is>
          <t>$1.4 Mn</t>
        </is>
      </c>
      <c r="G2313" s="19" t="n"/>
      <c r="H2313" s="19" t="n">
        <v>1.4</v>
      </c>
      <c r="I2313" t="inlineStr">
        <is>
          <t>Undisclosed</t>
        </is>
      </c>
      <c r="J2313" t="inlineStr">
        <is>
          <t>Inflection Point Ventures</t>
        </is>
      </c>
      <c r="K2313" t="inlineStr">
        <is>
          <t>https://inc42.com/buzz/from-yubi-to-agrostar-indian-startups-raised-171-mn-funding-this-week/</t>
        </is>
      </c>
    </row>
    <row r="2314">
      <c r="A2314" t="inlineStr">
        <is>
          <t>INC-20251122-06</t>
        </is>
      </c>
      <c r="B2314" t="inlineStr">
        <is>
          <t>R251120-ultrahuman</t>
        </is>
      </c>
      <c r="C2314" t="inlineStr">
        <is>
          <t>Inc42</t>
        </is>
      </c>
      <c r="D2314" s="17" t="n">
        <v>45981</v>
      </c>
      <c r="E2314" t="inlineStr">
        <is>
          <t>Ultrahuman</t>
        </is>
      </c>
      <c r="F2314" t="inlineStr">
        <is>
          <t>$11.2 Mn</t>
        </is>
      </c>
      <c r="G2314" s="19" t="n"/>
      <c r="H2314" s="19" t="n">
        <v>11.2</v>
      </c>
      <c r="I2314" t="inlineStr">
        <is>
          <t>Debt</t>
        </is>
      </c>
      <c r="J2314" t="inlineStr">
        <is>
          <t>Alteria Capital</t>
        </is>
      </c>
      <c r="K2314" t="inlineStr">
        <is>
          <t>https://inc42.com/buzz/from-yubi-to-agrostar-indian-startups-raised-171-mn-funding-this-week/</t>
        </is>
      </c>
    </row>
    <row r="2315">
      <c r="A2315" t="inlineStr">
        <is>
          <t>VCC-858c8f1f5f</t>
        </is>
      </c>
      <c r="B2315" t="inlineStr">
        <is>
          <t>R251120-ultrahuman</t>
        </is>
      </c>
      <c r="C2315" t="inlineStr">
        <is>
          <t>VCCircle</t>
        </is>
      </c>
      <c r="D2315" s="17" t="n">
        <v>45981</v>
      </c>
      <c r="E2315" t="inlineStr">
        <is>
          <t>ultrahuman</t>
        </is>
      </c>
      <c r="F2315" t="inlineStr"/>
      <c r="G2315" s="19" t="n"/>
      <c r="H2315" s="19" t="n"/>
      <c r="I2315" t="inlineStr">
        <is>
          <t>Debt</t>
        </is>
      </c>
      <c r="J2315" t="inlineStr"/>
      <c r="K2315" t="inlineStr">
        <is>
          <t>https://www.vccircle.com/blumeventures-backed-ultrahuman-raises-fresh-debt</t>
        </is>
      </c>
    </row>
    <row r="2316">
      <c r="A2316" t="inlineStr">
        <is>
          <t>ENT-10798549</t>
        </is>
      </c>
      <c r="B2316" t="inlineStr">
        <is>
          <t>R251120-ultrahuman</t>
        </is>
      </c>
      <c r="C2316" t="inlineStr">
        <is>
          <t>Entrackr</t>
        </is>
      </c>
      <c r="D2316" s="17" t="n">
        <v>45982</v>
      </c>
      <c r="E2316" t="inlineStr">
        <is>
          <t>Ultrahuman</t>
        </is>
      </c>
      <c r="F2316" t="inlineStr">
        <is>
          <t>Rs 100 crore</t>
        </is>
      </c>
      <c r="G2316" s="19" t="n">
        <v>100</v>
      </c>
      <c r="H2316" s="19" t="n">
        <v>11.2</v>
      </c>
      <c r="I2316" t="inlineStr">
        <is>
          <t>Debt</t>
        </is>
      </c>
      <c r="J2316" t="inlineStr"/>
      <c r="K2316" t="inlineStr">
        <is>
          <t>https://entrackr.com/news/ultrahuman-raises-rs-100-cr-in-debt-from-alteria-capital-10798549</t>
        </is>
      </c>
    </row>
    <row r="2317">
      <c r="A2317" t="inlineStr">
        <is>
          <t>ENT-10799367</t>
        </is>
      </c>
      <c r="B2317" t="inlineStr">
        <is>
          <t>R251121-redrob</t>
        </is>
      </c>
      <c r="C2317" t="inlineStr">
        <is>
          <t>Entrackr</t>
        </is>
      </c>
      <c r="D2317" s="17" t="n">
        <v>45982</v>
      </c>
      <c r="E2317" t="inlineStr">
        <is>
          <t>Redrob</t>
        </is>
      </c>
      <c r="F2317" t="inlineStr">
        <is>
          <t>$10 million</t>
        </is>
      </c>
      <c r="G2317" s="19" t="n"/>
      <c r="H2317" s="19" t="n">
        <v>10</v>
      </c>
      <c r="I2317" t="inlineStr">
        <is>
          <t>Series A</t>
        </is>
      </c>
      <c r="J2317" t="inlineStr">
        <is>
          <t>Korea Investment Partners</t>
        </is>
      </c>
      <c r="K2317" t="inlineStr">
        <is>
          <t>https://entrackr.com/snippets/ai-research-startup-redrob-secures-10-mn-in-series-a-round-10799367</t>
        </is>
      </c>
    </row>
    <row r="2318">
      <c r="A2318" t="inlineStr">
        <is>
          <t>ENT-10801995</t>
        </is>
      </c>
      <c r="B2318" t="inlineStr">
        <is>
          <t>R251122-agnikul</t>
        </is>
      </c>
      <c r="C2318" t="inlineStr">
        <is>
          <t>Entrackr</t>
        </is>
      </c>
      <c r="D2318" s="17" t="n">
        <v>45983</v>
      </c>
      <c r="E2318" t="inlineStr">
        <is>
          <t>Agnikul</t>
        </is>
      </c>
      <c r="F2318" t="inlineStr">
        <is>
          <t>Rs 150 crore</t>
        </is>
      </c>
      <c r="G2318" s="19" t="n">
        <v>150</v>
      </c>
      <c r="H2318" s="19" t="n">
        <v>17</v>
      </c>
      <c r="I2318" t="inlineStr">
        <is>
          <t>Undisclosed</t>
        </is>
      </c>
      <c r="J2318" t="inlineStr"/>
      <c r="K2318" t="inlineStr">
        <is>
          <t>https://entrackr.com/news/agnikul-raises-17-mn-at-500-mn-valuation-to-scale-launches-and-infra-10801995</t>
        </is>
      </c>
    </row>
    <row r="2319">
      <c r="A2319" t="inlineStr">
        <is>
          <t>ET-125502954</t>
        </is>
      </c>
      <c r="B2319" t="inlineStr">
        <is>
          <t>R251122-agnikul</t>
        </is>
      </c>
      <c r="C2319" t="inlineStr">
        <is>
          <t>The Economic Times</t>
        </is>
      </c>
      <c r="D2319" s="17" t="n">
        <v>45983</v>
      </c>
      <c r="E2319" t="inlineStr">
        <is>
          <t>Agnikul Cosmos</t>
        </is>
      </c>
      <c r="F2319" t="inlineStr">
        <is>
          <t>$17 million</t>
        </is>
      </c>
      <c r="G2319" s="19" t="n"/>
      <c r="H2319" s="19" t="n">
        <v>17</v>
      </c>
      <c r="I2319" t="inlineStr">
        <is>
          <t>Undisclosed</t>
        </is>
      </c>
      <c r="J2319" t="inlineStr"/>
      <c r="K2319" t="inlineStr">
        <is>
          <t>https://economictimes.indiatimes.com/tech/funding/spacetech-startup-agnikul-cosmos-raises-rs-150-crore-at-500-million-valuation/articleshow/125502954.cms</t>
        </is>
      </c>
    </row>
    <row r="2320">
      <c r="A2320" t="inlineStr">
        <is>
          <t>INC-20251129-04</t>
        </is>
      </c>
      <c r="B2320" t="inlineStr">
        <is>
          <t>R251122-agnikul</t>
        </is>
      </c>
      <c r="C2320" t="inlineStr">
        <is>
          <t>Inc42</t>
        </is>
      </c>
      <c r="D2320" s="17" t="n">
        <v>45983</v>
      </c>
      <c r="E2320" t="inlineStr">
        <is>
          <t>Agnikul</t>
        </is>
      </c>
      <c r="F2320" t="inlineStr">
        <is>
          <t>$17 Mn</t>
        </is>
      </c>
      <c r="G2320" s="19" t="n"/>
      <c r="H2320" s="19" t="n">
        <v>17</v>
      </c>
      <c r="I2320" t="inlineStr">
        <is>
          <t>Undisclosed</t>
        </is>
      </c>
      <c r="J2320" t="inlineStr"/>
      <c r="K2320" t="inlineStr">
        <is>
          <t>https://inc42.com/buzz/from-ripplr-to-neo-indian-startups-raised-195-mn-this-week/</t>
        </is>
      </c>
    </row>
    <row r="2321">
      <c r="A2321" t="inlineStr">
        <is>
          <t>VCC-a31bf917b4</t>
        </is>
      </c>
      <c r="B2321" t="inlineStr">
        <is>
          <t>R251122-agnikul</t>
        </is>
      </c>
      <c r="C2321" t="inlineStr">
        <is>
          <t>VCCircle</t>
        </is>
      </c>
      <c r="D2321" s="17" t="n">
        <v>45985</v>
      </c>
      <c r="E2321" t="inlineStr">
        <is>
          <t>agnikul cosmos</t>
        </is>
      </c>
      <c r="F2321" t="inlineStr"/>
      <c r="G2321" s="19" t="n"/>
      <c r="H2321" s="19" t="n"/>
      <c r="I2321" t="inlineStr">
        <is>
          <t>Undisclosed</t>
        </is>
      </c>
      <c r="J2321" t="inlineStr"/>
      <c r="K2321" t="inlineStr">
        <is>
          <t>https://www.vccircle.com/arthaadvenza-others-invest-in-agnikul-cosmos</t>
        </is>
      </c>
    </row>
    <row r="2322">
      <c r="A2322" t="inlineStr">
        <is>
          <t>ENT-10807007</t>
        </is>
      </c>
      <c r="B2322" t="inlineStr">
        <is>
          <t>R251124-dweepiandedgeh</t>
        </is>
      </c>
      <c r="C2322" t="inlineStr">
        <is>
          <t>Entrackr</t>
        </is>
      </c>
      <c r="D2322" s="17" t="n">
        <v>45985</v>
      </c>
      <c r="E2322" t="inlineStr">
        <is>
          <t>Dweepi and Edgehax</t>
        </is>
      </c>
      <c r="F2322" t="inlineStr">
        <is>
          <t>Rs 5.5 crore</t>
        </is>
      </c>
      <c r="G2322" s="19" t="n">
        <v>5.5</v>
      </c>
      <c r="H2322" s="19" t="n">
        <v>0.66</v>
      </c>
      <c r="I2322" t="inlineStr">
        <is>
          <t>Undisclosed</t>
        </is>
      </c>
      <c r="J2322" t="inlineStr"/>
      <c r="K2322" t="inlineStr">
        <is>
          <t>https://entrackr.com/snippets/pontaq-invests-rs-55-cr-in-dweepi-and-edgehax-10807007</t>
        </is>
      </c>
    </row>
    <row r="2323">
      <c r="A2323" t="inlineStr">
        <is>
          <t>ENT-10806635</t>
        </is>
      </c>
      <c r="B2323" t="inlineStr">
        <is>
          <t>R251124-faebeauty</t>
        </is>
      </c>
      <c r="C2323" t="inlineStr">
        <is>
          <t>Entrackr</t>
        </is>
      </c>
      <c r="D2323" s="17" t="n">
        <v>45985</v>
      </c>
      <c r="E2323" t="inlineStr">
        <is>
          <t>FAE Beauty</t>
        </is>
      </c>
      <c r="F2323" t="inlineStr">
        <is>
          <t>Rs 17 crore</t>
        </is>
      </c>
      <c r="G2323" s="19" t="n">
        <v>17</v>
      </c>
      <c r="H2323" s="19" t="n">
        <v>2</v>
      </c>
      <c r="I2323" t="inlineStr">
        <is>
          <t>Undisclosed</t>
        </is>
      </c>
      <c r="J2323" t="inlineStr">
        <is>
          <t>Spring Marketing Capital</t>
        </is>
      </c>
      <c r="K2323" t="inlineStr">
        <is>
          <t>https://entrackr.com/snippets/fae-beauty-raises-2-mn-led-by-spring-marketing-capital-10806635</t>
        </is>
      </c>
    </row>
    <row r="2324">
      <c r="A2324" t="inlineStr">
        <is>
          <t>INC-20251129-16</t>
        </is>
      </c>
      <c r="B2324" t="inlineStr">
        <is>
          <t>R251124-faebeauty</t>
        </is>
      </c>
      <c r="C2324" t="inlineStr">
        <is>
          <t>Inc42</t>
        </is>
      </c>
      <c r="D2324" s="17" t="n">
        <v>45985</v>
      </c>
      <c r="E2324" t="inlineStr">
        <is>
          <t>FAE Beauty</t>
        </is>
      </c>
      <c r="F2324" t="inlineStr">
        <is>
          <t>$2 Mn</t>
        </is>
      </c>
      <c r="G2324" s="19" t="n"/>
      <c r="H2324" s="19" t="n">
        <v>2</v>
      </c>
      <c r="I2324" t="inlineStr">
        <is>
          <t>Undisclosed</t>
        </is>
      </c>
      <c r="J2324" t="inlineStr">
        <is>
          <t>Spring Marketing Capital</t>
        </is>
      </c>
      <c r="K2324" t="inlineStr">
        <is>
          <t>https://inc42.com/buzz/from-ripplr-to-neo-indian-startups-raised-195-mn-this-week/</t>
        </is>
      </c>
    </row>
    <row r="2325">
      <c r="A2325" t="inlineStr">
        <is>
          <t>ENT-10806403</t>
        </is>
      </c>
      <c r="B2325" t="inlineStr">
        <is>
          <t>R251124-finreach</t>
        </is>
      </c>
      <c r="C2325" t="inlineStr">
        <is>
          <t>Entrackr</t>
        </is>
      </c>
      <c r="D2325" s="17" t="n">
        <v>45985</v>
      </c>
      <c r="E2325" t="inlineStr">
        <is>
          <t>FinReach</t>
        </is>
      </c>
      <c r="F2325" t="inlineStr">
        <is>
          <t>Rs 21.9 crore</t>
        </is>
      </c>
      <c r="G2325" s="19" t="n">
        <v>21.9</v>
      </c>
      <c r="H2325" s="19" t="n">
        <v>2.6</v>
      </c>
      <c r="I2325" t="inlineStr">
        <is>
          <t>Undisclosed</t>
        </is>
      </c>
      <c r="J2325" t="inlineStr">
        <is>
          <t>Colossa Ventures; Michael &amp; Susan Dell Foundation; Omidyar Network Fund Inc; Caspian SME Impact Fund IV</t>
        </is>
      </c>
      <c r="K2325" t="inlineStr">
        <is>
          <t>https://entrackr.com/snippets/finreach-raises-rs-219-cr-led-by-colossa-ventures-10806403</t>
        </is>
      </c>
    </row>
    <row r="2326">
      <c r="A2326" t="inlineStr">
        <is>
          <t>ET-125539066</t>
        </is>
      </c>
      <c r="B2326" t="inlineStr">
        <is>
          <t>R251124-finreach</t>
        </is>
      </c>
      <c r="C2326" t="inlineStr">
        <is>
          <t>The Economic Times</t>
        </is>
      </c>
      <c r="D2326" s="17" t="n">
        <v>45985</v>
      </c>
      <c r="E2326" t="inlineStr">
        <is>
          <t>FinReach</t>
        </is>
      </c>
      <c r="F2326" t="inlineStr">
        <is>
          <t>Rs 21.9 crore</t>
        </is>
      </c>
      <c r="G2326" s="19" t="n">
        <v>21.9</v>
      </c>
      <c r="H2326" s="19" t="n"/>
      <c r="I2326" t="inlineStr">
        <is>
          <t>Undisclosed</t>
        </is>
      </c>
      <c r="J2326" t="inlineStr">
        <is>
          <t>Colossa Ventures</t>
        </is>
      </c>
      <c r="K2326" t="inlineStr">
        <is>
          <t>https://economictimes.indiatimes.com/tech/funding/finreach-raises-rs-22-crore-from-colossa-ventures-others/articleshow/125539066.cms</t>
        </is>
      </c>
    </row>
    <row r="2327">
      <c r="A2327" t="inlineStr">
        <is>
          <t>ENT-10806350</t>
        </is>
      </c>
      <c r="B2327" t="inlineStr">
        <is>
          <t>R251124-wealthy</t>
        </is>
      </c>
      <c r="C2327" t="inlineStr">
        <is>
          <t>Entrackr</t>
        </is>
      </c>
      <c r="D2327" s="17" t="n">
        <v>45985</v>
      </c>
      <c r="E2327" t="inlineStr">
        <is>
          <t>Wealthy</t>
        </is>
      </c>
      <c r="F2327" t="inlineStr">
        <is>
          <t>Rs 130 crore</t>
        </is>
      </c>
      <c r="G2327" s="19" t="n">
        <v>130</v>
      </c>
      <c r="H2327" s="19" t="n">
        <v>14.5</v>
      </c>
      <c r="I2327" t="inlineStr">
        <is>
          <t>Series B</t>
        </is>
      </c>
      <c r="J2327" t="inlineStr">
        <is>
          <t>Bertelsmann India Investments</t>
        </is>
      </c>
      <c r="K2327" t="inlineStr">
        <is>
          <t>https://entrackr.com/news/wealthy-raises-rs-130-cr-led-by-bertelsmann-india-investments-10806350</t>
        </is>
      </c>
    </row>
    <row r="2328">
      <c r="A2328" t="inlineStr">
        <is>
          <t>ET-125523785</t>
        </is>
      </c>
      <c r="B2328" t="inlineStr">
        <is>
          <t>R251124-wealthy</t>
        </is>
      </c>
      <c r="C2328" t="inlineStr">
        <is>
          <t>The Economic Times</t>
        </is>
      </c>
      <c r="D2328" s="17" t="n">
        <v>45985</v>
      </c>
      <c r="E2328" t="inlineStr">
        <is>
          <t>Wealthy</t>
        </is>
      </c>
      <c r="F2328" t="inlineStr">
        <is>
          <t>Rs 130 crore</t>
        </is>
      </c>
      <c r="G2328" s="19" t="n">
        <v>130</v>
      </c>
      <c r="H2328" s="19" t="n">
        <v>14.5</v>
      </c>
      <c r="I2328" t="inlineStr">
        <is>
          <t>Undisclosed</t>
        </is>
      </c>
      <c r="J2328" t="inlineStr">
        <is>
          <t>Bertelsmann India Investments</t>
        </is>
      </c>
      <c r="K2328" t="inlineStr">
        <is>
          <t>https://economictimes.indiatimes.com/tech/funding/wealth-management-firm-wealthy-raises-14-5-million/articleshow/125523785.cms</t>
        </is>
      </c>
    </row>
    <row r="2329">
      <c r="A2329" t="inlineStr">
        <is>
          <t>INC-20251129-05</t>
        </is>
      </c>
      <c r="B2329" t="inlineStr">
        <is>
          <t>R251124-wealthy</t>
        </is>
      </c>
      <c r="C2329" t="inlineStr">
        <is>
          <t>Inc42</t>
        </is>
      </c>
      <c r="D2329" s="17" t="n">
        <v>45985</v>
      </c>
      <c r="E2329" t="inlineStr">
        <is>
          <t>Wealthy</t>
        </is>
      </c>
      <c r="F2329" t="inlineStr">
        <is>
          <t>$14.4 Mn</t>
        </is>
      </c>
      <c r="G2329" s="19" t="n"/>
      <c r="H2329" s="19" t="n">
        <v>14.4</v>
      </c>
      <c r="I2329" t="inlineStr">
        <is>
          <t>Series B</t>
        </is>
      </c>
      <c r="J2329" t="inlineStr">
        <is>
          <t>Bertelsmann India Investments</t>
        </is>
      </c>
      <c r="K2329" t="inlineStr">
        <is>
          <t>https://inc42.com/buzz/from-ripplr-to-neo-indian-startups-raised-195-mn-this-week/</t>
        </is>
      </c>
    </row>
    <row r="2330">
      <c r="A2330" t="inlineStr">
        <is>
          <t>VCC-69bbeeb24f</t>
        </is>
      </c>
      <c r="B2330" t="inlineStr">
        <is>
          <t>R251124-wealthy</t>
        </is>
      </c>
      <c r="C2330" t="inlineStr">
        <is>
          <t>VCCircle</t>
        </is>
      </c>
      <c r="D2330" s="17" t="n">
        <v>45985</v>
      </c>
      <c r="E2330" t="inlineStr">
        <is>
          <t>wealthy in</t>
        </is>
      </c>
      <c r="F2330" t="inlineStr">
        <is>
          <t>$ 14.5 million</t>
        </is>
      </c>
      <c r="G2330" s="19" t="n"/>
      <c r="H2330" s="19" t="n">
        <v>14.5</v>
      </c>
      <c r="I2330" t="inlineStr">
        <is>
          <t>Series B</t>
        </is>
      </c>
      <c r="J2330" t="inlineStr"/>
      <c r="K2330" t="inlineStr">
        <is>
          <t>https://www.vccircle.com/wealthtech-platform-wealthy-in-secures-14-5-mn-series-b-funding</t>
        </is>
      </c>
    </row>
    <row r="2331">
      <c r="A2331" t="inlineStr">
        <is>
          <t>INC-20251129-24</t>
        </is>
      </c>
      <c r="B2331" t="inlineStr">
        <is>
          <t>R251125-blostem</t>
        </is>
      </c>
      <c r="C2331" t="inlineStr">
        <is>
          <t>Inc42</t>
        </is>
      </c>
      <c r="D2331" s="17" t="n">
        <v>45986</v>
      </c>
      <c r="E2331" t="inlineStr">
        <is>
          <t>Blostem</t>
        </is>
      </c>
      <c r="F2331" t="inlineStr"/>
      <c r="G2331" s="19" t="n"/>
      <c r="H2331" s="19" t="n"/>
      <c r="I2331" t="inlineStr">
        <is>
          <t>Pre-Series A</t>
        </is>
      </c>
      <c r="J2331" t="inlineStr"/>
      <c r="K2331" t="inlineStr">
        <is>
          <t>https://inc42.com/buzz/from-ripplr-to-neo-indian-startups-raised-195-mn-this-week/</t>
        </is>
      </c>
    </row>
    <row r="2332">
      <c r="A2332" t="inlineStr">
        <is>
          <t>ENT-10810189</t>
        </is>
      </c>
      <c r="B2332" t="inlineStr">
        <is>
          <t>R251125-crisprbits</t>
        </is>
      </c>
      <c r="C2332" t="inlineStr">
        <is>
          <t>Entrackr</t>
        </is>
      </c>
      <c r="D2332" s="17" t="n">
        <v>45986</v>
      </c>
      <c r="E2332" t="inlineStr">
        <is>
          <t>CrisprBits</t>
        </is>
      </c>
      <c r="F2332" t="inlineStr">
        <is>
          <t>$3 million</t>
        </is>
      </c>
      <c r="G2332" s="19" t="n"/>
      <c r="H2332" s="19" t="n">
        <v>3</v>
      </c>
      <c r="I2332" t="inlineStr">
        <is>
          <t>Pre-Series A</t>
        </is>
      </c>
      <c r="J2332" t="inlineStr">
        <is>
          <t>Spectrum Impact; Managing Director of Aarti Industries</t>
        </is>
      </c>
      <c r="K2332" t="inlineStr">
        <is>
          <t>https://entrackr.com/snippets/crisprbits-raises-3-mn-led-by-spectrum-impact-10810189</t>
        </is>
      </c>
    </row>
    <row r="2333">
      <c r="A2333" t="inlineStr">
        <is>
          <t>INC-20251129-12</t>
        </is>
      </c>
      <c r="B2333" t="inlineStr">
        <is>
          <t>R251125-crisprbits</t>
        </is>
      </c>
      <c r="C2333" t="inlineStr">
        <is>
          <t>Inc42</t>
        </is>
      </c>
      <c r="D2333" s="17" t="n">
        <v>45986</v>
      </c>
      <c r="E2333" t="inlineStr">
        <is>
          <t>CrisprBits</t>
        </is>
      </c>
      <c r="F2333" t="inlineStr">
        <is>
          <t>$3 Mn</t>
        </is>
      </c>
      <c r="G2333" s="19" t="n"/>
      <c r="H2333" s="19" t="n">
        <v>3</v>
      </c>
      <c r="I2333" t="inlineStr">
        <is>
          <t>Pre-Series A</t>
        </is>
      </c>
      <c r="J2333" t="inlineStr">
        <is>
          <t>Spectrum Impact</t>
        </is>
      </c>
      <c r="K2333" t="inlineStr">
        <is>
          <t>https://inc42.com/buzz/from-ripplr-to-neo-indian-startups-raised-195-mn-this-week/</t>
        </is>
      </c>
    </row>
    <row r="2334">
      <c r="A2334" t="inlineStr">
        <is>
          <t>INC-20251129-08</t>
        </is>
      </c>
      <c r="B2334" t="inlineStr">
        <is>
          <t>R251125-immunitoai</t>
        </is>
      </c>
      <c r="C2334" t="inlineStr">
        <is>
          <t>Inc42</t>
        </is>
      </c>
      <c r="D2334" s="17" t="n">
        <v>45986</v>
      </c>
      <c r="E2334" t="inlineStr">
        <is>
          <t>immunitoAI</t>
        </is>
      </c>
      <c r="F2334" t="inlineStr">
        <is>
          <t>$6.1 Mn</t>
        </is>
      </c>
      <c r="G2334" s="19" t="n"/>
      <c r="H2334" s="19" t="n">
        <v>6.1</v>
      </c>
      <c r="I2334" t="inlineStr">
        <is>
          <t>Series A</t>
        </is>
      </c>
      <c r="J2334" t="inlineStr">
        <is>
          <t>Ashish Kacholia</t>
        </is>
      </c>
      <c r="K2334" t="inlineStr">
        <is>
          <t>https://inc42.com/buzz/from-ripplr-to-neo-indian-startups-raised-195-mn-this-week/</t>
        </is>
      </c>
    </row>
    <row r="2335">
      <c r="A2335" t="inlineStr">
        <is>
          <t>INC-20251129-10</t>
        </is>
      </c>
      <c r="B2335" t="inlineStr">
        <is>
          <t>R251125-morphlelabs</t>
        </is>
      </c>
      <c r="C2335" t="inlineStr">
        <is>
          <t>Inc42</t>
        </is>
      </c>
      <c r="D2335" s="17" t="n">
        <v>45986</v>
      </c>
      <c r="E2335" t="inlineStr">
        <is>
          <t>Morphle Labs</t>
        </is>
      </c>
      <c r="F2335" t="inlineStr">
        <is>
          <t>$5 Mn</t>
        </is>
      </c>
      <c r="G2335" s="19" t="n"/>
      <c r="H2335" s="19" t="n">
        <v>5</v>
      </c>
      <c r="I2335" t="inlineStr">
        <is>
          <t>Series A</t>
        </is>
      </c>
      <c r="J2335" t="inlineStr">
        <is>
          <t>Inflexor Ventures</t>
        </is>
      </c>
      <c r="K2335" t="inlineStr">
        <is>
          <t>https://inc42.com/buzz/from-ripplr-to-neo-indian-startups-raised-195-mn-this-week/</t>
        </is>
      </c>
    </row>
    <row r="2336">
      <c r="A2336" t="inlineStr">
        <is>
          <t>INC-20251129-21</t>
        </is>
      </c>
      <c r="B2336" t="inlineStr">
        <is>
          <t>R251125-navanc</t>
        </is>
      </c>
      <c r="C2336" t="inlineStr">
        <is>
          <t>Inc42</t>
        </is>
      </c>
      <c r="D2336" s="17" t="n">
        <v>45986</v>
      </c>
      <c r="E2336" t="inlineStr">
        <is>
          <t>Navanc</t>
        </is>
      </c>
      <c r="F2336" t="inlineStr">
        <is>
          <t>$670K</t>
        </is>
      </c>
      <c r="G2336" s="19" t="n"/>
      <c r="H2336" s="19" t="n">
        <v>0.67</v>
      </c>
      <c r="I2336" t="inlineStr">
        <is>
          <t>Pre-Series A</t>
        </is>
      </c>
      <c r="J2336" t="inlineStr">
        <is>
          <t>GrowthCap Ventures</t>
        </is>
      </c>
      <c r="K2336" t="inlineStr">
        <is>
          <t>https://inc42.com/buzz/from-ripplr-to-neo-indian-startups-raised-195-mn-this-week/</t>
        </is>
      </c>
    </row>
    <row r="2337">
      <c r="A2337" t="inlineStr">
        <is>
          <t>ENT-10810092</t>
        </is>
      </c>
      <c r="B2337" t="inlineStr">
        <is>
          <t>R251125-riverlineai</t>
        </is>
      </c>
      <c r="C2337" t="inlineStr">
        <is>
          <t>Entrackr</t>
        </is>
      </c>
      <c r="D2337" s="17" t="n">
        <v>45986</v>
      </c>
      <c r="E2337" t="inlineStr">
        <is>
          <t>Riverline AI</t>
        </is>
      </c>
      <c r="F2337" t="inlineStr">
        <is>
          <t>$825K</t>
        </is>
      </c>
      <c r="G2337" s="19" t="n"/>
      <c r="H2337" s="19" t="n">
        <v>0.825</v>
      </c>
      <c r="I2337" t="inlineStr">
        <is>
          <t>Pre-Seed</t>
        </is>
      </c>
      <c r="J2337" t="inlineStr">
        <is>
          <t>South Park Commons</t>
        </is>
      </c>
      <c r="K2337" t="inlineStr">
        <is>
          <t>https://entrackr.com/snippets/riverline-ai-raises-825k-in-pre-seed-round-led-by-south-park-commons-10810092</t>
        </is>
      </c>
    </row>
    <row r="2338">
      <c r="A2338" t="inlineStr">
        <is>
          <t>INC-20251129-19</t>
        </is>
      </c>
      <c r="B2338" t="inlineStr">
        <is>
          <t>R251125-riverlineai</t>
        </is>
      </c>
      <c r="C2338" t="inlineStr">
        <is>
          <t>Inc42</t>
        </is>
      </c>
      <c r="D2338" s="17" t="n">
        <v>45986</v>
      </c>
      <c r="E2338" t="inlineStr">
        <is>
          <t>Riverline AI</t>
        </is>
      </c>
      <c r="F2338" t="inlineStr">
        <is>
          <t>$825K</t>
        </is>
      </c>
      <c r="G2338" s="19" t="n"/>
      <c r="H2338" s="19" t="n">
        <v>0.825</v>
      </c>
      <c r="I2338" t="inlineStr">
        <is>
          <t>Pre-Seed</t>
        </is>
      </c>
      <c r="J2338" t="inlineStr">
        <is>
          <t>South Park Commons</t>
        </is>
      </c>
      <c r="K2338" t="inlineStr">
        <is>
          <t>https://inc42.com/buzz/from-ripplr-to-neo-indian-startups-raised-195-mn-this-week/</t>
        </is>
      </c>
    </row>
    <row r="2339">
      <c r="A2339" t="inlineStr">
        <is>
          <t>ENT-10810220</t>
        </is>
      </c>
      <c r="B2339" t="inlineStr">
        <is>
          <t>R251125-zinit</t>
        </is>
      </c>
      <c r="C2339" t="inlineStr">
        <is>
          <t>Entrackr</t>
        </is>
      </c>
      <c r="D2339" s="17" t="n">
        <v>45986</v>
      </c>
      <c r="E2339" t="inlineStr">
        <is>
          <t>Zinit</t>
        </is>
      </c>
      <c r="F2339" t="inlineStr">
        <is>
          <t>$8 million</t>
        </is>
      </c>
      <c r="G2339" s="19" t="n"/>
      <c r="H2339" s="19" t="n">
        <v>8</v>
      </c>
      <c r="I2339" t="inlineStr">
        <is>
          <t>Seed</t>
        </is>
      </c>
      <c r="J2339" t="inlineStr">
        <is>
          <t>AltaIR Capital</t>
        </is>
      </c>
      <c r="K2339" t="inlineStr">
        <is>
          <t>https://entrackr.com/snippets/zinit-raises-8-mn-in-seed-round-led-by-altair-capital-10810220</t>
        </is>
      </c>
    </row>
    <row r="2340">
      <c r="A2340" t="inlineStr">
        <is>
          <t>INC-20251129-06</t>
        </is>
      </c>
      <c r="B2340" t="inlineStr">
        <is>
          <t>R251126-3ev</t>
        </is>
      </c>
      <c r="C2340" t="inlineStr">
        <is>
          <t>Inc42</t>
        </is>
      </c>
      <c r="D2340" s="17" t="n">
        <v>45987</v>
      </c>
      <c r="E2340" t="inlineStr">
        <is>
          <t>3ev</t>
        </is>
      </c>
      <c r="F2340" t="inlineStr">
        <is>
          <t>$14.4 Mn</t>
        </is>
      </c>
      <c r="G2340" s="19" t="n"/>
      <c r="H2340" s="19" t="n">
        <v>14.4</v>
      </c>
      <c r="I2340" t="inlineStr">
        <is>
          <t>Series A</t>
        </is>
      </c>
      <c r="J2340" t="inlineStr">
        <is>
          <t>Mahanagar Gas Limited</t>
        </is>
      </c>
      <c r="K2340" t="inlineStr">
        <is>
          <t>https://inc42.com/buzz/from-ripplr-to-neo-indian-startups-raised-195-mn-this-week/</t>
        </is>
      </c>
    </row>
    <row r="2341">
      <c r="A2341" t="inlineStr">
        <is>
          <t>ENT-10813666</t>
        </is>
      </c>
      <c r="B2341" t="inlineStr">
        <is>
          <t>R251126-3evindustries</t>
        </is>
      </c>
      <c r="C2341" t="inlineStr">
        <is>
          <t>Entrackr</t>
        </is>
      </c>
      <c r="D2341" s="17" t="n">
        <v>45987</v>
      </c>
      <c r="E2341" t="inlineStr">
        <is>
          <t>3ev Industries</t>
        </is>
      </c>
      <c r="F2341" t="inlineStr">
        <is>
          <t>Rs 120 crore</t>
        </is>
      </c>
      <c r="G2341" s="19" t="n">
        <v>120</v>
      </c>
      <c r="H2341" s="19" t="n"/>
      <c r="I2341" t="inlineStr">
        <is>
          <t>Series A</t>
        </is>
      </c>
      <c r="J2341" t="inlineStr">
        <is>
          <t>Mahanagar Gas</t>
        </is>
      </c>
      <c r="K2341" t="inlineStr">
        <is>
          <t>https://entrackr.com/snippets/3ev-industries-raises-rs-120-cr-in-series-a-led-by-mahanagar-gas-10813666</t>
        </is>
      </c>
    </row>
    <row r="2342">
      <c r="A2342" t="inlineStr">
        <is>
          <t>ENT-10813830</t>
        </is>
      </c>
      <c r="B2342" t="inlineStr">
        <is>
          <t>R251126-arctusaerospac</t>
        </is>
      </c>
      <c r="C2342" t="inlineStr">
        <is>
          <t>Entrackr</t>
        </is>
      </c>
      <c r="D2342" s="17" t="n">
        <v>45987</v>
      </c>
      <c r="E2342" t="inlineStr">
        <is>
          <t>Arctus Aerospace</t>
        </is>
      </c>
      <c r="F2342" t="inlineStr">
        <is>
          <t>$2.6 million</t>
        </is>
      </c>
      <c r="G2342" s="19" t="n"/>
      <c r="H2342" s="19" t="n">
        <v>2.6</v>
      </c>
      <c r="I2342" t="inlineStr">
        <is>
          <t>Pre-Seed</t>
        </is>
      </c>
      <c r="J2342" t="inlineStr"/>
      <c r="K2342" t="inlineStr">
        <is>
          <t>https://entrackr.com/snippets/arctus-aerospace-raises-26-mn-in-pre-seed-round-10813830</t>
        </is>
      </c>
    </row>
    <row r="2343">
      <c r="A2343" t="inlineStr">
        <is>
          <t>ET-125590720</t>
        </is>
      </c>
      <c r="B2343" t="inlineStr">
        <is>
          <t>R251126-arctusaerospac</t>
        </is>
      </c>
      <c r="C2343" t="inlineStr">
        <is>
          <t>The Economic Times</t>
        </is>
      </c>
      <c r="D2343" s="17" t="n">
        <v>45987</v>
      </c>
      <c r="E2343" t="inlineStr">
        <is>
          <t>Arctus Aerospace</t>
        </is>
      </c>
      <c r="F2343" t="inlineStr">
        <is>
          <t>$2.6 million</t>
        </is>
      </c>
      <c r="G2343" s="19" t="n"/>
      <c r="H2343" s="19" t="n">
        <v>2.6</v>
      </c>
      <c r="I2343" t="inlineStr">
        <is>
          <t>Undisclosed</t>
        </is>
      </c>
      <c r="J2343" t="inlineStr"/>
      <c r="K2343" t="inlineStr">
        <is>
          <t>https://economictimes.indiatimes.com/tech/funding/arctus-aerospace-secures-2-6-million-from-version-one-ventures-others/articleshow/125590720.cms</t>
        </is>
      </c>
    </row>
    <row r="2344">
      <c r="A2344" t="inlineStr">
        <is>
          <t>INC-20251129-14</t>
        </is>
      </c>
      <c r="B2344" t="inlineStr">
        <is>
          <t>R251126-arctusaerospac</t>
        </is>
      </c>
      <c r="C2344" t="inlineStr">
        <is>
          <t>Inc42</t>
        </is>
      </c>
      <c r="D2344" s="17" t="n">
        <v>45987</v>
      </c>
      <c r="E2344" t="inlineStr">
        <is>
          <t>Arctus Aerospace</t>
        </is>
      </c>
      <c r="F2344" t="inlineStr">
        <is>
          <t>$2.6 Mn</t>
        </is>
      </c>
      <c r="G2344" s="19" t="n"/>
      <c r="H2344" s="19" t="n">
        <v>2.6</v>
      </c>
      <c r="I2344" t="inlineStr">
        <is>
          <t>Pre-Seed</t>
        </is>
      </c>
      <c r="J2344" t="inlineStr"/>
      <c r="K2344" t="inlineStr">
        <is>
          <t>https://inc42.com/buzz/from-ripplr-to-neo-indian-startups-raised-195-mn-this-week/</t>
        </is>
      </c>
    </row>
    <row r="2345">
      <c r="A2345" t="inlineStr">
        <is>
          <t>ENT-10813938</t>
        </is>
      </c>
      <c r="B2345" t="inlineStr">
        <is>
          <t>R251126-axitrust</t>
        </is>
      </c>
      <c r="C2345" t="inlineStr">
        <is>
          <t>Entrackr</t>
        </is>
      </c>
      <c r="D2345" s="17" t="n">
        <v>45987</v>
      </c>
      <c r="E2345" t="inlineStr">
        <is>
          <t>AxiTrust</t>
        </is>
      </c>
      <c r="F2345" t="inlineStr">
        <is>
          <t>Rs 23.5 crore</t>
        </is>
      </c>
      <c r="G2345" s="19" t="n">
        <v>23.5</v>
      </c>
      <c r="H2345" s="19" t="n"/>
      <c r="I2345" t="inlineStr">
        <is>
          <t>Seed</t>
        </is>
      </c>
      <c r="J2345" t="inlineStr">
        <is>
          <t>General Catalyst; YAN Network; Supermorpheous</t>
        </is>
      </c>
      <c r="K2345" t="inlineStr">
        <is>
          <t>https://entrackr.com/snippets/fintech-startup-axitrust-raises-rs-235-cr-in-seed-round-led-by-general-catalyst-10813938</t>
        </is>
      </c>
    </row>
    <row r="2346">
      <c r="A2346" t="inlineStr">
        <is>
          <t>ET-125570038</t>
        </is>
      </c>
      <c r="B2346" t="inlineStr">
        <is>
          <t>R251126-axitrust</t>
        </is>
      </c>
      <c r="C2346" t="inlineStr">
        <is>
          <t>The Economic Times</t>
        </is>
      </c>
      <c r="D2346" s="17" t="n">
        <v>45987</v>
      </c>
      <c r="E2346" t="inlineStr">
        <is>
          <t>AxiTrust</t>
        </is>
      </c>
      <c r="F2346" t="inlineStr">
        <is>
          <t>Rs 23.5 crore</t>
        </is>
      </c>
      <c r="G2346" s="19" t="n">
        <v>23.5</v>
      </c>
      <c r="H2346" s="19" t="n"/>
      <c r="I2346" t="inlineStr">
        <is>
          <t>Seed</t>
        </is>
      </c>
      <c r="J2346" t="inlineStr">
        <is>
          <t>General Catalyst</t>
        </is>
      </c>
      <c r="K2346" t="inlineStr">
        <is>
          <t>https://economictimes.indiatimes.com/tech/funding/axitrust-raises-rs-23-5-crore-in-seed-round-led-by-general-catalyst/articleshow/125570038.cms</t>
        </is>
      </c>
    </row>
    <row r="2347">
      <c r="A2347" t="inlineStr">
        <is>
          <t>INC-20251129-15</t>
        </is>
      </c>
      <c r="B2347" t="inlineStr">
        <is>
          <t>R251126-axitrust</t>
        </is>
      </c>
      <c r="C2347" t="inlineStr">
        <is>
          <t>Inc42</t>
        </is>
      </c>
      <c r="D2347" s="17" t="n">
        <v>45987</v>
      </c>
      <c r="E2347" t="inlineStr">
        <is>
          <t>axiTrust</t>
        </is>
      </c>
      <c r="F2347" t="inlineStr">
        <is>
          <t>$2.6 Mn</t>
        </is>
      </c>
      <c r="G2347" s="19" t="n"/>
      <c r="H2347" s="19" t="n">
        <v>2.6</v>
      </c>
      <c r="I2347" t="inlineStr">
        <is>
          <t>Seed</t>
        </is>
      </c>
      <c r="J2347" t="inlineStr">
        <is>
          <t>General Catalyst</t>
        </is>
      </c>
      <c r="K2347" t="inlineStr">
        <is>
          <t>https://inc42.com/buzz/from-ripplr-to-neo-indian-startups-raised-195-mn-this-week/</t>
        </is>
      </c>
    </row>
    <row r="2348">
      <c r="A2348" t="inlineStr">
        <is>
          <t>ENT-10814096</t>
        </is>
      </c>
      <c r="B2348" t="inlineStr">
        <is>
          <t>R251126-definedge</t>
        </is>
      </c>
      <c r="C2348" t="inlineStr">
        <is>
          <t>Entrackr</t>
        </is>
      </c>
      <c r="D2348" s="17" t="n">
        <v>45987</v>
      </c>
      <c r="E2348" t="inlineStr">
        <is>
          <t>Definedge</t>
        </is>
      </c>
      <c r="F2348" t="inlineStr"/>
      <c r="G2348" s="19" t="n"/>
      <c r="H2348" s="19" t="n"/>
      <c r="I2348" t="inlineStr">
        <is>
          <t>Angel</t>
        </is>
      </c>
      <c r="J2348" t="inlineStr">
        <is>
          <t>Hemant Luthra; Ajay Srivastava; D. Prasad; Nitin Agarwal; Madhusudan N. Sarda</t>
        </is>
      </c>
      <c r="K2348" t="inlineStr">
        <is>
          <t>https://entrackr.com/snippets/definedge-closes-first-institutional-and-angel-round-10814096</t>
        </is>
      </c>
    </row>
    <row r="2349">
      <c r="A2349" t="inlineStr">
        <is>
          <t>ENT-10813557</t>
        </is>
      </c>
      <c r="B2349" t="inlineStr">
        <is>
          <t>R251126-enerzi</t>
        </is>
      </c>
      <c r="C2349" t="inlineStr">
        <is>
          <t>Entrackr</t>
        </is>
      </c>
      <c r="D2349" s="17" t="n">
        <v>45987</v>
      </c>
      <c r="E2349" t="inlineStr">
        <is>
          <t>Enerzi</t>
        </is>
      </c>
      <c r="F2349" t="inlineStr">
        <is>
          <t>Rs 16.5 crore</t>
        </is>
      </c>
      <c r="G2349" s="19" t="n">
        <v>16.5</v>
      </c>
      <c r="H2349" s="19" t="n">
        <v>2</v>
      </c>
      <c r="I2349" t="inlineStr">
        <is>
          <t>Seed</t>
        </is>
      </c>
      <c r="J2349" t="inlineStr">
        <is>
          <t>Capital-A</t>
        </is>
      </c>
      <c r="K2349" t="inlineStr">
        <is>
          <t>https://entrackr.com/snippets/enerzi-raises-rs-165-cr-in-seed-round-led-by-capital-a-10813557</t>
        </is>
      </c>
    </row>
    <row r="2350">
      <c r="A2350" t="inlineStr">
        <is>
          <t>INC-20251129-17</t>
        </is>
      </c>
      <c r="B2350" t="inlineStr">
        <is>
          <t>R251126-enerzi</t>
        </is>
      </c>
      <c r="C2350" t="inlineStr">
        <is>
          <t>Inc42</t>
        </is>
      </c>
      <c r="D2350" s="17" t="n">
        <v>45987</v>
      </c>
      <c r="E2350" t="inlineStr">
        <is>
          <t>Enerzi</t>
        </is>
      </c>
      <c r="F2350" t="inlineStr">
        <is>
          <t>$1.8Mn</t>
        </is>
      </c>
      <c r="G2350" s="19" t="n"/>
      <c r="H2350" s="19" t="n">
        <v>1.8</v>
      </c>
      <c r="I2350" t="inlineStr">
        <is>
          <t>Seed</t>
        </is>
      </c>
      <c r="J2350" t="inlineStr">
        <is>
          <t>Capital A</t>
        </is>
      </c>
      <c r="K2350" t="inlineStr">
        <is>
          <t>https://inc42.com/buzz/from-ripplr-to-neo-indian-startups-raised-195-mn-this-week/</t>
        </is>
      </c>
    </row>
    <row r="2351">
      <c r="A2351" t="inlineStr">
        <is>
          <t>ENT-10812957</t>
        </is>
      </c>
      <c r="B2351" t="inlineStr">
        <is>
          <t>R251126-lightspeedphot</t>
        </is>
      </c>
      <c r="C2351" t="inlineStr">
        <is>
          <t>Entrackr</t>
        </is>
      </c>
      <c r="D2351" s="17" t="n">
        <v>45987</v>
      </c>
      <c r="E2351" t="inlineStr">
        <is>
          <t>LightSpeed Photonics</t>
        </is>
      </c>
      <c r="F2351" t="inlineStr">
        <is>
          <t>$6.5 million</t>
        </is>
      </c>
      <c r="G2351" s="19" t="n"/>
      <c r="H2351" s="19" t="n">
        <v>6.5</v>
      </c>
      <c r="I2351" t="inlineStr">
        <is>
          <t>Pre-Series A</t>
        </is>
      </c>
      <c r="J2351" t="inlineStr"/>
      <c r="K2351" t="inlineStr">
        <is>
          <t>https://entrackr.com/snippets/lightspeed-photonics-raises-65-mn-led-by-pi-ventures-10812957</t>
        </is>
      </c>
    </row>
    <row r="2352">
      <c r="A2352" t="inlineStr">
        <is>
          <t>ET-125583130</t>
        </is>
      </c>
      <c r="B2352" t="inlineStr">
        <is>
          <t>R251126-lightspeedphot</t>
        </is>
      </c>
      <c r="C2352" t="inlineStr">
        <is>
          <t>The Economic Times</t>
        </is>
      </c>
      <c r="D2352" s="17" t="n">
        <v>45987</v>
      </c>
      <c r="E2352" t="inlineStr">
        <is>
          <t>LightSpeed Photonics</t>
        </is>
      </c>
      <c r="F2352" t="inlineStr">
        <is>
          <t>$6.5 million</t>
        </is>
      </c>
      <c r="G2352" s="19" t="n"/>
      <c r="H2352" s="19" t="n">
        <v>6.5</v>
      </c>
      <c r="I2352" t="inlineStr">
        <is>
          <t>Undisclosed</t>
        </is>
      </c>
      <c r="J2352" t="inlineStr"/>
      <c r="K2352" t="inlineStr">
        <is>
          <t>https://economictimes.indiatimes.com/tech/funding/deeptech-startup-lightspeed-photonics-raises-6-5-million-from-pi-ventures-others/articleshow/125583130.cms</t>
        </is>
      </c>
    </row>
    <row r="2353">
      <c r="A2353" t="inlineStr">
        <is>
          <t>ENT-10812979</t>
        </is>
      </c>
      <c r="B2353" t="inlineStr">
        <is>
          <t>R251126-miranatoys</t>
        </is>
      </c>
      <c r="C2353" t="inlineStr">
        <is>
          <t>Entrackr</t>
        </is>
      </c>
      <c r="D2353" s="17" t="n">
        <v>45987</v>
      </c>
      <c r="E2353" t="inlineStr">
        <is>
          <t>Mirana Toys</t>
        </is>
      </c>
      <c r="F2353" t="inlineStr">
        <is>
          <t>Rs 57.5 crore</t>
        </is>
      </c>
      <c r="G2353" s="19" t="n">
        <v>57.5</v>
      </c>
      <c r="H2353" s="19" t="n">
        <v>6.9</v>
      </c>
      <c r="I2353" t="inlineStr">
        <is>
          <t>Series A</t>
        </is>
      </c>
      <c r="J2353" t="inlineStr">
        <is>
          <t>Arkam Ventures</t>
        </is>
      </c>
      <c r="K2353" t="inlineStr">
        <is>
          <t>https://entrackr.com/snippets/arkam-leads-rs-575-cr-series-a-round-in-mirana-toys-10812979</t>
        </is>
      </c>
    </row>
    <row r="2354">
      <c r="A2354" t="inlineStr">
        <is>
          <t>ET-125579622</t>
        </is>
      </c>
      <c r="B2354" t="inlineStr">
        <is>
          <t>R251126-miranatoys</t>
        </is>
      </c>
      <c r="C2354" t="inlineStr">
        <is>
          <t>The Economic Times</t>
        </is>
      </c>
      <c r="D2354" s="17" t="n">
        <v>45987</v>
      </c>
      <c r="E2354" t="inlineStr">
        <is>
          <t>Mirana Toys</t>
        </is>
      </c>
      <c r="F2354" t="inlineStr">
        <is>
          <t>Rs 57.5 crore</t>
        </is>
      </c>
      <c r="G2354" s="19" t="n">
        <v>57.5</v>
      </c>
      <c r="H2354" s="19" t="n"/>
      <c r="I2354" t="inlineStr">
        <is>
          <t>Undisclosed</t>
        </is>
      </c>
      <c r="J2354" t="inlineStr">
        <is>
          <t>Arkam Ventures</t>
        </is>
      </c>
      <c r="K2354" t="inlineStr">
        <is>
          <t>https://economictimes.indiatimes.com/tech/funding/mirana-toys-raises-rs-57-5-crore-from-arkam-ventures-others/articleshow/125579622.cms</t>
        </is>
      </c>
    </row>
    <row r="2355">
      <c r="A2355" t="inlineStr">
        <is>
          <t>INC-20251129-07</t>
        </is>
      </c>
      <c r="B2355" t="inlineStr">
        <is>
          <t>R251126-miranatoys</t>
        </is>
      </c>
      <c r="C2355" t="inlineStr">
        <is>
          <t>Inc42</t>
        </is>
      </c>
      <c r="D2355" s="17" t="n">
        <v>45987</v>
      </c>
      <c r="E2355" t="inlineStr">
        <is>
          <t>Mirana Toys</t>
        </is>
      </c>
      <c r="F2355" t="inlineStr">
        <is>
          <t>$6.4 Mn</t>
        </is>
      </c>
      <c r="G2355" s="19" t="n"/>
      <c r="H2355" s="19" t="n">
        <v>6.4</v>
      </c>
      <c r="I2355" t="inlineStr">
        <is>
          <t>Series A</t>
        </is>
      </c>
      <c r="J2355" t="inlineStr">
        <is>
          <t>Arkam Ventures</t>
        </is>
      </c>
      <c r="K2355" t="inlineStr">
        <is>
          <t>https://inc42.com/buzz/from-ripplr-to-neo-indian-startups-raised-195-mn-this-week/</t>
        </is>
      </c>
    </row>
    <row r="2356">
      <c r="A2356" t="inlineStr">
        <is>
          <t>ENT-10813520</t>
        </is>
      </c>
      <c r="B2356" t="inlineStr">
        <is>
          <t>R251126-onya</t>
        </is>
      </c>
      <c r="C2356" t="inlineStr">
        <is>
          <t>Entrackr</t>
        </is>
      </c>
      <c r="D2356" s="17" t="n">
        <v>45987</v>
      </c>
      <c r="E2356" t="inlineStr">
        <is>
          <t>ONYA</t>
        </is>
      </c>
      <c r="F2356" t="inlineStr">
        <is>
          <t>Rs 5.5 crore</t>
        </is>
      </c>
      <c r="G2356" s="19" t="n">
        <v>5.5</v>
      </c>
      <c r="H2356" s="19" t="n"/>
      <c r="I2356" t="inlineStr">
        <is>
          <t>Pre-Seed</t>
        </is>
      </c>
      <c r="J2356" t="inlineStr">
        <is>
          <t>Zeropearl VC; MyGate founders Vijay Arishetty; Abhishek Kumar; Shreyans Daga; Rohit Jindal; Amal Mishra; Alkendra Pratap Singh</t>
        </is>
      </c>
      <c r="K2356" t="inlineStr">
        <is>
          <t>https://entrackr.com/snippets/onya-raises-pre-seed-round-led-by-zeropearl-vc-10813520</t>
        </is>
      </c>
    </row>
    <row r="2357">
      <c r="A2357" t="inlineStr">
        <is>
          <t>INC-20251129-22</t>
        </is>
      </c>
      <c r="B2357" t="inlineStr">
        <is>
          <t>R251126-onya</t>
        </is>
      </c>
      <c r="C2357" t="inlineStr">
        <is>
          <t>Inc42</t>
        </is>
      </c>
      <c r="D2357" s="17" t="n">
        <v>45987</v>
      </c>
      <c r="E2357" t="inlineStr">
        <is>
          <t>ONYA</t>
        </is>
      </c>
      <c r="F2357" t="inlineStr">
        <is>
          <t>$614K</t>
        </is>
      </c>
      <c r="G2357" s="19" t="n"/>
      <c r="H2357" s="19" t="n">
        <v>0.614</v>
      </c>
      <c r="I2357" t="inlineStr">
        <is>
          <t>Pre-Seed</t>
        </is>
      </c>
      <c r="J2357" t="inlineStr">
        <is>
          <t>Zeropearl VC</t>
        </is>
      </c>
      <c r="K2357" t="inlineStr">
        <is>
          <t>https://inc42.com/buzz/from-ripplr-to-neo-indian-startups-raised-195-mn-this-week/</t>
        </is>
      </c>
    </row>
    <row r="2358">
      <c r="A2358" t="inlineStr">
        <is>
          <t>ENT-10814568</t>
        </is>
      </c>
      <c r="B2358" t="inlineStr">
        <is>
          <t>R251126-primebook</t>
        </is>
      </c>
      <c r="C2358" t="inlineStr">
        <is>
          <t>Entrackr</t>
        </is>
      </c>
      <c r="D2358" s="17" t="n">
        <v>45987</v>
      </c>
      <c r="E2358" t="inlineStr">
        <is>
          <t>Primebook</t>
        </is>
      </c>
      <c r="F2358" t="inlineStr">
        <is>
          <t>$250K</t>
        </is>
      </c>
      <c r="G2358" s="19" t="n"/>
      <c r="H2358" s="19" t="n">
        <v>0.25</v>
      </c>
      <c r="I2358" t="inlineStr">
        <is>
          <t>Pre-Series A</t>
        </is>
      </c>
      <c r="J2358" t="inlineStr"/>
      <c r="K2358" t="inlineStr">
        <is>
          <t>https://entrackr.com/snippets/primebook-raises-250k-extension-round-from-ekamya-capital-10814568</t>
        </is>
      </c>
    </row>
    <row r="2359">
      <c r="A2359" t="inlineStr">
        <is>
          <t>ENT-10816469</t>
        </is>
      </c>
      <c r="B2359" t="inlineStr">
        <is>
          <t>R251127-aceinternation</t>
        </is>
      </c>
      <c r="C2359" t="inlineStr">
        <is>
          <t>Entrackr</t>
        </is>
      </c>
      <c r="D2359" s="17" t="n">
        <v>45988</v>
      </c>
      <c r="E2359" t="inlineStr">
        <is>
          <t>Ace International</t>
        </is>
      </c>
      <c r="F2359" t="inlineStr">
        <is>
          <t>$35 million</t>
        </is>
      </c>
      <c r="G2359" s="19" t="n"/>
      <c r="H2359" s="19" t="n">
        <v>35</v>
      </c>
      <c r="I2359" t="inlineStr">
        <is>
          <t>Undisclosed</t>
        </is>
      </c>
      <c r="J2359" t="inlineStr">
        <is>
          <t>FMO</t>
        </is>
      </c>
      <c r="K2359" t="inlineStr">
        <is>
          <t>https://entrackr.com/news/ace-international-raises-35-mn-led-by-fmo-10816469</t>
        </is>
      </c>
    </row>
    <row r="2360">
      <c r="A2360" t="inlineStr">
        <is>
          <t>ET-125597715</t>
        </is>
      </c>
      <c r="B2360" t="inlineStr">
        <is>
          <t>R251127-aceinternation</t>
        </is>
      </c>
      <c r="C2360" t="inlineStr">
        <is>
          <t>The Economic Times</t>
        </is>
      </c>
      <c r="D2360" s="17" t="n">
        <v>45988</v>
      </c>
      <c r="E2360" t="inlineStr">
        <is>
          <t>Ace International</t>
        </is>
      </c>
      <c r="F2360" t="inlineStr">
        <is>
          <t>$35 million</t>
        </is>
      </c>
      <c r="G2360" s="19" t="n"/>
      <c r="H2360" s="19" t="n">
        <v>35</v>
      </c>
      <c r="I2360" t="inlineStr">
        <is>
          <t>Undisclosed</t>
        </is>
      </c>
      <c r="J2360" t="inlineStr">
        <is>
          <t>FMO</t>
        </is>
      </c>
      <c r="K2360" t="inlineStr">
        <is>
          <t>https://economictimes.indiatimes.com/tech/funding/dairy-product-manufacturer-ace-international-raises-35-million-funding/articleshow/125597715.cms</t>
        </is>
      </c>
    </row>
    <row r="2361">
      <c r="A2361" t="inlineStr">
        <is>
          <t>VCC-844ee2bc52</t>
        </is>
      </c>
      <c r="B2361" t="inlineStr">
        <is>
          <t>R251127-aceinternation</t>
        </is>
      </c>
      <c r="C2361" t="inlineStr">
        <is>
          <t>VCCircle</t>
        </is>
      </c>
      <c r="D2361" s="17" t="n">
        <v>45988</v>
      </c>
      <c r="E2361" t="inlineStr">
        <is>
          <t>aceinternational</t>
        </is>
      </c>
      <c r="F2361" t="inlineStr">
        <is>
          <t>$ 35 million</t>
        </is>
      </c>
      <c r="G2361" s="19" t="n"/>
      <c r="H2361" s="19" t="n">
        <v>35</v>
      </c>
      <c r="I2361" t="inlineStr">
        <is>
          <t>Undisclosed</t>
        </is>
      </c>
      <c r="J2361" t="inlineStr"/>
      <c r="K2361" t="inlineStr">
        <is>
          <t>https://www.vccircle.com/aceinternational-raises-35-mn-in-maiden-external-fundraise</t>
        </is>
      </c>
    </row>
    <row r="2362">
      <c r="A2362" t="inlineStr">
        <is>
          <t>ENT-10816685</t>
        </is>
      </c>
      <c r="B2362" t="inlineStr">
        <is>
          <t>R251127-auxilo</t>
        </is>
      </c>
      <c r="C2362" t="inlineStr">
        <is>
          <t>Entrackr</t>
        </is>
      </c>
      <c r="D2362" s="17" t="n">
        <v>45988</v>
      </c>
      <c r="E2362" t="inlineStr">
        <is>
          <t>Auxilo</t>
        </is>
      </c>
      <c r="F2362" t="inlineStr">
        <is>
          <t>Rs 225 crore</t>
        </is>
      </c>
      <c r="G2362" s="19" t="n">
        <v>225</v>
      </c>
      <c r="H2362" s="19" t="n">
        <v>25.5</v>
      </c>
      <c r="I2362" t="inlineStr">
        <is>
          <t>Debt</t>
        </is>
      </c>
      <c r="J2362" t="inlineStr"/>
      <c r="K2362" t="inlineStr">
        <is>
          <t>https://entrackr.com/exclusive/exclusive-edu-fintech-company-auxilo-raises-rs-225-cr-debt-10816685</t>
        </is>
      </c>
    </row>
    <row r="2363">
      <c r="A2363" t="inlineStr">
        <is>
          <t>ENT-10816753</t>
        </is>
      </c>
      <c r="B2363" t="inlineStr">
        <is>
          <t>R251127-batterypool</t>
        </is>
      </c>
      <c r="C2363" t="inlineStr">
        <is>
          <t>Entrackr</t>
        </is>
      </c>
      <c r="D2363" s="17" t="n">
        <v>45988</v>
      </c>
      <c r="E2363" t="inlineStr">
        <is>
          <t>BatteryPool</t>
        </is>
      </c>
      <c r="F2363" t="inlineStr">
        <is>
          <t>Rs 8 crore</t>
        </is>
      </c>
      <c r="G2363" s="19" t="n">
        <v>8</v>
      </c>
      <c r="H2363" s="19" t="n">
        <v>0.96</v>
      </c>
      <c r="I2363" t="inlineStr">
        <is>
          <t>Pre-Series A</t>
        </is>
      </c>
      <c r="J2363" t="inlineStr">
        <is>
          <t>Inflection Point Ventures</t>
        </is>
      </c>
      <c r="K2363" t="inlineStr">
        <is>
          <t>https://entrackr.com/snippets/batterypool-raises-rs-8-crore-led-by-ipv-10816753</t>
        </is>
      </c>
    </row>
    <row r="2364">
      <c r="A2364" t="inlineStr">
        <is>
          <t>INC-20251129-18</t>
        </is>
      </c>
      <c r="B2364" t="inlineStr">
        <is>
          <t>R251127-batterypool</t>
        </is>
      </c>
      <c r="C2364" t="inlineStr">
        <is>
          <t>Inc42</t>
        </is>
      </c>
      <c r="D2364" s="17" t="n">
        <v>45988</v>
      </c>
      <c r="E2364" t="inlineStr">
        <is>
          <t>BatteryPool</t>
        </is>
      </c>
      <c r="F2364" t="inlineStr">
        <is>
          <t>$894K</t>
        </is>
      </c>
      <c r="G2364" s="19" t="n"/>
      <c r="H2364" s="19" t="n">
        <v>0.894</v>
      </c>
      <c r="I2364" t="inlineStr">
        <is>
          <t>Pre-Series A</t>
        </is>
      </c>
      <c r="J2364" t="inlineStr">
        <is>
          <t>Inflection Point Ventures</t>
        </is>
      </c>
      <c r="K2364" t="inlineStr">
        <is>
          <t>https://inc42.com/buzz/from-ripplr-to-neo-indian-startups-raised-195-mn-this-week/</t>
        </is>
      </c>
    </row>
    <row r="2365">
      <c r="A2365" t="inlineStr">
        <is>
          <t>ET-125607217</t>
        </is>
      </c>
      <c r="B2365" t="inlineStr">
        <is>
          <t>R251127-cloudextel</t>
        </is>
      </c>
      <c r="C2365" t="inlineStr">
        <is>
          <t>The Economic Times</t>
        </is>
      </c>
      <c r="D2365" s="17" t="n">
        <v>45988</v>
      </c>
      <c r="E2365" t="inlineStr">
        <is>
          <t>CloudExtel</t>
        </is>
      </c>
      <c r="F2365" t="inlineStr">
        <is>
          <t>Rs 200 crore</t>
        </is>
      </c>
      <c r="G2365" s="19" t="n">
        <v>200</v>
      </c>
      <c r="H2365" s="19" t="n"/>
      <c r="I2365" t="inlineStr">
        <is>
          <t>Debt</t>
        </is>
      </c>
      <c r="J2365" t="inlineStr"/>
      <c r="K2365" t="inlineStr">
        <is>
          <t>https://economictimes.indiatimes.com/tech/funding/cloudextel-raises-rs-200-crore-in-debt-to-scale-ai-ready-digital-infrastructure-metro-fibre-network/articleshow/125607217.cms</t>
        </is>
      </c>
    </row>
    <row r="2366">
      <c r="A2366" t="inlineStr">
        <is>
          <t>INC-20251129-23</t>
        </is>
      </c>
      <c r="B2366" t="inlineStr">
        <is>
          <t>R251127-lemnisca</t>
        </is>
      </c>
      <c r="C2366" t="inlineStr">
        <is>
          <t>Inc42</t>
        </is>
      </c>
      <c r="D2366" s="17" t="n">
        <v>45988</v>
      </c>
      <c r="E2366" t="inlineStr">
        <is>
          <t>Lemnisca</t>
        </is>
      </c>
      <c r="F2366" t="inlineStr"/>
      <c r="G2366" s="19" t="n"/>
      <c r="H2366" s="19" t="n"/>
      <c r="I2366" t="inlineStr">
        <is>
          <t>Pre-Seed</t>
        </is>
      </c>
      <c r="J2366" t="inlineStr">
        <is>
          <t>Theia Ventures</t>
        </is>
      </c>
      <c r="K2366" t="inlineStr">
        <is>
          <t>https://inc42.com/buzz/from-ripplr-to-neo-indian-startups-raised-195-mn-this-week/</t>
        </is>
      </c>
    </row>
    <row r="2367">
      <c r="A2367" t="inlineStr">
        <is>
          <t>ENT-10817370</t>
        </is>
      </c>
      <c r="B2367" t="inlineStr">
        <is>
          <t>R251127-moneyview</t>
        </is>
      </c>
      <c r="C2367" t="inlineStr">
        <is>
          <t>Entrackr</t>
        </is>
      </c>
      <c r="D2367" s="17" t="n">
        <v>45988</v>
      </c>
      <c r="E2367" t="inlineStr">
        <is>
          <t>Moneyview</t>
        </is>
      </c>
      <c r="F2367" t="inlineStr">
        <is>
          <t>Rs 100 crore</t>
        </is>
      </c>
      <c r="G2367" s="19" t="n">
        <v>100</v>
      </c>
      <c r="H2367" s="19" t="n">
        <v>11.4</v>
      </c>
      <c r="I2367" t="inlineStr">
        <is>
          <t>Debt</t>
        </is>
      </c>
      <c r="J2367" t="inlineStr"/>
      <c r="K2367" t="inlineStr">
        <is>
          <t>https://entrackr.com/exclusive/exclusive-moneyview-secures-rs-100-cr-debt-appoints-independent-directors-10817370</t>
        </is>
      </c>
    </row>
    <row r="2368">
      <c r="A2368" t="inlineStr">
        <is>
          <t>ENT-10817307</t>
        </is>
      </c>
      <c r="B2368" t="inlineStr">
        <is>
          <t>R251127-neuronenergy</t>
        </is>
      </c>
      <c r="C2368" t="inlineStr">
        <is>
          <t>Entrackr</t>
        </is>
      </c>
      <c r="D2368" s="17" t="n">
        <v>45988</v>
      </c>
      <c r="E2368" t="inlineStr">
        <is>
          <t>Neuron Energy</t>
        </is>
      </c>
      <c r="F2368" t="inlineStr">
        <is>
          <t>Rs 31 crore</t>
        </is>
      </c>
      <c r="G2368" s="19" t="n">
        <v>31</v>
      </c>
      <c r="H2368" s="19" t="n">
        <v>3.5</v>
      </c>
      <c r="I2368" t="inlineStr">
        <is>
          <t>Pre-Series B</t>
        </is>
      </c>
      <c r="J2368" t="inlineStr">
        <is>
          <t>Equanimity Ventures; Rajiv Dadlani Group; Thackersay Family Office; Chona Family Office</t>
        </is>
      </c>
      <c r="K2368" t="inlineStr">
        <is>
          <t>https://entrackr.com/snippets/ev-battery-manufacturer-neuron-energy-raises-rs-31-cr-in-pre-series-b-round-10817307</t>
        </is>
      </c>
    </row>
    <row r="2369">
      <c r="A2369" t="inlineStr">
        <is>
          <t>INC-20251129-11</t>
        </is>
      </c>
      <c r="B2369" t="inlineStr">
        <is>
          <t>R251127-neuronenergy</t>
        </is>
      </c>
      <c r="C2369" t="inlineStr">
        <is>
          <t>Inc42</t>
        </is>
      </c>
      <c r="D2369" s="17" t="n">
        <v>45988</v>
      </c>
      <c r="E2369" t="inlineStr">
        <is>
          <t>Neuron Energy</t>
        </is>
      </c>
      <c r="F2369" t="inlineStr">
        <is>
          <t>$3.4 Mn</t>
        </is>
      </c>
      <c r="G2369" s="19" t="n"/>
      <c r="H2369" s="19" t="n">
        <v>3.4</v>
      </c>
      <c r="I2369" t="inlineStr">
        <is>
          <t>Pre-Series B</t>
        </is>
      </c>
      <c r="J2369" t="inlineStr">
        <is>
          <t>Equanimity Ventures</t>
        </is>
      </c>
      <c r="K2369" t="inlineStr">
        <is>
          <t>https://inc42.com/buzz/from-ripplr-to-neo-indian-startups-raised-195-mn-this-week/</t>
        </is>
      </c>
    </row>
    <row r="2370">
      <c r="A2370" t="inlineStr">
        <is>
          <t>ENT-10817397</t>
        </is>
      </c>
      <c r="B2370" t="inlineStr">
        <is>
          <t>R251127-sportsforlife</t>
        </is>
      </c>
      <c r="C2370" t="inlineStr">
        <is>
          <t>Entrackr</t>
        </is>
      </c>
      <c r="D2370" s="17" t="n">
        <v>45988</v>
      </c>
      <c r="E2370" t="inlineStr">
        <is>
          <t>Sports for Life</t>
        </is>
      </c>
      <c r="F2370" t="inlineStr">
        <is>
          <t>Rs 21.57 crore</t>
        </is>
      </c>
      <c r="G2370" s="19" t="n">
        <v>21.57</v>
      </c>
      <c r="H2370" s="19" t="n">
        <v>2.58</v>
      </c>
      <c r="I2370" t="inlineStr">
        <is>
          <t>Series A</t>
        </is>
      </c>
      <c r="J2370" t="inlineStr">
        <is>
          <t>Fireside Ventures; Genesia Ventures</t>
        </is>
      </c>
      <c r="K2370" t="inlineStr">
        <is>
          <t>https://entrackr.com/snippets/dealshare-co-founders-startup-sports-for-life-raises-rs-2157-cr-in-series-a-10817397</t>
        </is>
      </c>
    </row>
    <row r="2371">
      <c r="A2371" t="inlineStr">
        <is>
          <t>INC-20251129-13</t>
        </is>
      </c>
      <c r="B2371" t="inlineStr">
        <is>
          <t>R251127-sportsforlife</t>
        </is>
      </c>
      <c r="C2371" t="inlineStr">
        <is>
          <t>Inc42</t>
        </is>
      </c>
      <c r="D2371" s="17" t="n">
        <v>45988</v>
      </c>
      <c r="E2371" t="inlineStr">
        <is>
          <t>Sports For Life</t>
        </is>
      </c>
      <c r="F2371" t="inlineStr">
        <is>
          <t>$2.7 Mn</t>
        </is>
      </c>
      <c r="G2371" s="19" t="n"/>
      <c r="H2371" s="19" t="n">
        <v>2.7</v>
      </c>
      <c r="I2371" t="inlineStr">
        <is>
          <t>Series A</t>
        </is>
      </c>
      <c r="J2371" t="inlineStr">
        <is>
          <t>Fireside Ventures; Genesia Ventures</t>
        </is>
      </c>
      <c r="K2371" t="inlineStr">
        <is>
          <t>https://inc42.com/buzz/from-ripplr-to-neo-indian-startups-raised-195-mn-this-week/</t>
        </is>
      </c>
    </row>
    <row r="2372">
      <c r="A2372" t="inlineStr">
        <is>
          <t>VCC-4d22f3170c</t>
        </is>
      </c>
      <c r="B2372" t="inlineStr">
        <is>
          <t>R251127-squareyards</t>
        </is>
      </c>
      <c r="C2372" t="inlineStr">
        <is>
          <t>VCCircle</t>
        </is>
      </c>
      <c r="D2372" s="17" t="n">
        <v>45987</v>
      </c>
      <c r="E2372" t="inlineStr">
        <is>
          <t>squareyards</t>
        </is>
      </c>
      <c r="F2372" t="inlineStr">
        <is>
          <t>$ 900 million</t>
        </is>
      </c>
      <c r="G2372" s="19" t="n"/>
      <c r="H2372" s="19" t="n">
        <v>900</v>
      </c>
      <c r="I2372" t="inlineStr">
        <is>
          <t>Undisclosed</t>
        </is>
      </c>
      <c r="J2372" t="inlineStr"/>
      <c r="K2372" t="inlineStr">
        <is>
          <t>https://www.vccircle.com/squareyards-secures-offshore-vc-funding-at-900-mn-pre-money-valuation</t>
        </is>
      </c>
    </row>
    <row r="2373">
      <c r="A2373" t="inlineStr">
        <is>
          <t>ENT-10816391</t>
        </is>
      </c>
      <c r="B2373" t="inlineStr">
        <is>
          <t>R251127-squareyards</t>
        </is>
      </c>
      <c r="C2373" t="inlineStr">
        <is>
          <t>Entrackr</t>
        </is>
      </c>
      <c r="D2373" s="17" t="n">
        <v>45988</v>
      </c>
      <c r="E2373" t="inlineStr">
        <is>
          <t>Square Yards</t>
        </is>
      </c>
      <c r="F2373" t="inlineStr">
        <is>
          <t>$35 million</t>
        </is>
      </c>
      <c r="G2373" s="19" t="n"/>
      <c r="H2373" s="19" t="n">
        <v>35</v>
      </c>
      <c r="I2373" t="inlineStr">
        <is>
          <t>Undisclosed</t>
        </is>
      </c>
      <c r="J2373" t="inlineStr">
        <is>
          <t>South Korea–based Smile Gate Group</t>
        </is>
      </c>
      <c r="K2373" t="inlineStr">
        <is>
          <t>https://entrackr.com/news/square-yards-raises-35-mn-at-935-mn-valuation-unicorn-ipo-plans-ahead-10816391</t>
        </is>
      </c>
    </row>
    <row r="2374">
      <c r="A2374" t="inlineStr">
        <is>
          <t>INC-20251129-02</t>
        </is>
      </c>
      <c r="B2374" t="inlineStr">
        <is>
          <t>R251127-squareyards</t>
        </is>
      </c>
      <c r="C2374" t="inlineStr">
        <is>
          <t>Inc42</t>
        </is>
      </c>
      <c r="D2374" s="17" t="n">
        <v>45989</v>
      </c>
      <c r="E2374" t="inlineStr">
        <is>
          <t>Square Yards</t>
        </is>
      </c>
      <c r="F2374" t="inlineStr">
        <is>
          <t>$35 Mn</t>
        </is>
      </c>
      <c r="G2374" s="19" t="n"/>
      <c r="H2374" s="19" t="n">
        <v>35</v>
      </c>
      <c r="I2374" t="inlineStr">
        <is>
          <t>Undisclosed</t>
        </is>
      </c>
      <c r="J2374" t="inlineStr">
        <is>
          <t>Smilegate VC</t>
        </is>
      </c>
      <c r="K2374" t="inlineStr">
        <is>
          <t>https://inc42.com/buzz/from-ripplr-to-neo-indian-startups-raised-195-mn-this-week/</t>
        </is>
      </c>
    </row>
    <row r="2375">
      <c r="A2375" t="inlineStr">
        <is>
          <t>ENT-10817854</t>
        </is>
      </c>
      <c r="B2375" t="inlineStr">
        <is>
          <t>R251127-tijori</t>
        </is>
      </c>
      <c r="C2375" t="inlineStr">
        <is>
          <t>Entrackr</t>
        </is>
      </c>
      <c r="D2375" s="17" t="n">
        <v>45988</v>
      </c>
      <c r="E2375" t="inlineStr">
        <is>
          <t>Tijori</t>
        </is>
      </c>
      <c r="F2375" t="inlineStr">
        <is>
          <t>$5 million</t>
        </is>
      </c>
      <c r="G2375" s="19" t="n"/>
      <c r="H2375" s="19" t="n">
        <v>5</v>
      </c>
      <c r="I2375" t="inlineStr">
        <is>
          <t>Undisclosed</t>
        </is>
      </c>
      <c r="J2375" t="inlineStr"/>
      <c r="K2375" t="inlineStr">
        <is>
          <t>https://entrackr.com/news/zerodha-invests-5-mn-in-tijori-10817854</t>
        </is>
      </c>
    </row>
    <row r="2376">
      <c r="A2376" t="inlineStr">
        <is>
          <t>INC-20251129-09</t>
        </is>
      </c>
      <c r="B2376" t="inlineStr">
        <is>
          <t>R251127-tijori</t>
        </is>
      </c>
      <c r="C2376" t="inlineStr">
        <is>
          <t>Inc42</t>
        </is>
      </c>
      <c r="D2376" s="17" t="n">
        <v>45988</v>
      </c>
      <c r="E2376" t="inlineStr">
        <is>
          <t>Tijori</t>
        </is>
      </c>
      <c r="F2376" t="inlineStr">
        <is>
          <t>$5 Mn</t>
        </is>
      </c>
      <c r="G2376" s="19" t="n"/>
      <c r="H2376" s="19" t="n">
        <v>5</v>
      </c>
      <c r="I2376" t="inlineStr">
        <is>
          <t>Undisclosed</t>
        </is>
      </c>
      <c r="J2376" t="inlineStr">
        <is>
          <t>Zerodha</t>
        </is>
      </c>
      <c r="K2376" t="inlineStr">
        <is>
          <t>https://inc42.com/buzz/from-ripplr-to-neo-indian-startups-raised-195-mn-this-week/</t>
        </is>
      </c>
    </row>
    <row r="2377">
      <c r="A2377" t="inlineStr">
        <is>
          <t>ENT-10816883</t>
        </is>
      </c>
      <c r="B2377" t="inlineStr">
        <is>
          <t>R251127-yuvritayurveda</t>
        </is>
      </c>
      <c r="C2377" t="inlineStr">
        <is>
          <t>Entrackr</t>
        </is>
      </c>
      <c r="D2377" s="17" t="n">
        <v>45988</v>
      </c>
      <c r="E2377" t="inlineStr">
        <is>
          <t>Yuvrit Ayurveda</t>
        </is>
      </c>
      <c r="F2377" t="inlineStr">
        <is>
          <t>$800K</t>
        </is>
      </c>
      <c r="G2377" s="19" t="n"/>
      <c r="H2377" s="19" t="n">
        <v>0.8</v>
      </c>
      <c r="I2377" t="inlineStr">
        <is>
          <t>Seed</t>
        </is>
      </c>
      <c r="J2377" t="inlineStr">
        <is>
          <t>Incubate Fund Asia</t>
        </is>
      </c>
      <c r="K2377" t="inlineStr">
        <is>
          <t>https://entrackr.com/snippets/yuvrit-ayurveda-raises-800k-in-seed-round-led-by-incubate-fund-asia-10816883</t>
        </is>
      </c>
    </row>
    <row r="2378">
      <c r="A2378" t="inlineStr">
        <is>
          <t>INC-20251129-20</t>
        </is>
      </c>
      <c r="B2378" t="inlineStr">
        <is>
          <t>R251127-yuvritayurveda</t>
        </is>
      </c>
      <c r="C2378" t="inlineStr">
        <is>
          <t>Inc42</t>
        </is>
      </c>
      <c r="D2378" s="17" t="n">
        <v>45988</v>
      </c>
      <c r="E2378" t="inlineStr">
        <is>
          <t>Yuvrit Ayurveda</t>
        </is>
      </c>
      <c r="F2378" t="inlineStr">
        <is>
          <t>$800 K</t>
        </is>
      </c>
      <c r="G2378" s="19" t="n"/>
      <c r="H2378" s="19" t="n">
        <v>0.8</v>
      </c>
      <c r="I2378" t="inlineStr">
        <is>
          <t>Seed</t>
        </is>
      </c>
      <c r="J2378" t="inlineStr">
        <is>
          <t>Incubate Fund Asia</t>
        </is>
      </c>
      <c r="K2378" t="inlineStr">
        <is>
          <t>https://inc42.com/buzz/from-ripplr-to-neo-indian-startups-raised-195-mn-this-week/</t>
        </is>
      </c>
    </row>
    <row r="2379">
      <c r="A2379" t="inlineStr">
        <is>
          <t>ENT-10820043</t>
        </is>
      </c>
      <c r="B2379" t="inlineStr">
        <is>
          <t>R251128-candisolar</t>
        </is>
      </c>
      <c r="C2379" t="inlineStr">
        <is>
          <t>Entrackr</t>
        </is>
      </c>
      <c r="D2379" s="17" t="n">
        <v>45989</v>
      </c>
      <c r="E2379" t="inlineStr">
        <is>
          <t>Candi Solar</t>
        </is>
      </c>
      <c r="F2379" t="inlineStr">
        <is>
          <t>$58.5 million</t>
        </is>
      </c>
      <c r="G2379" s="19" t="n"/>
      <c r="H2379" s="19" t="n">
        <v>58.5</v>
      </c>
      <c r="I2379" t="inlineStr">
        <is>
          <t>Debt</t>
        </is>
      </c>
      <c r="J2379" t="inlineStr">
        <is>
          <t>International Finance Corporation</t>
        </is>
      </c>
      <c r="K2379" t="inlineStr">
        <is>
          <t>https://entrackr.com/snippets/clean-energy-company-candi-solar-raises-585-mn-led-by-ifc-10820043</t>
        </is>
      </c>
    </row>
    <row r="2380">
      <c r="A2380" t="inlineStr">
        <is>
          <t>VCC-7bc487ba74</t>
        </is>
      </c>
      <c r="B2380" t="inlineStr">
        <is>
          <t>R251128-candisolar</t>
        </is>
      </c>
      <c r="C2380" t="inlineStr">
        <is>
          <t>VCCircle</t>
        </is>
      </c>
      <c r="D2380" s="17" t="n">
        <v>45989</v>
      </c>
      <c r="E2380" t="inlineStr">
        <is>
          <t>candisolar</t>
        </is>
      </c>
      <c r="F2380" t="inlineStr"/>
      <c r="G2380" s="19" t="n"/>
      <c r="H2380" s="19" t="n"/>
      <c r="I2380" t="inlineStr">
        <is>
          <t>Undisclosed</t>
        </is>
      </c>
      <c r="J2380" t="inlineStr"/>
      <c r="K2380" t="inlineStr">
        <is>
          <t>https://www.vccircle.com/candisolar-gets-ifc-backing-for-india-south-africa-expansion</t>
        </is>
      </c>
    </row>
    <row r="2381">
      <c r="A2381" t="inlineStr">
        <is>
          <t>ENT-10820565</t>
        </is>
      </c>
      <c r="B2381" t="inlineStr">
        <is>
          <t>R251128-ripplr</t>
        </is>
      </c>
      <c r="C2381" t="inlineStr">
        <is>
          <t>Entrackr</t>
        </is>
      </c>
      <c r="D2381" s="17" t="n">
        <v>45989</v>
      </c>
      <c r="E2381" t="inlineStr">
        <is>
          <t>Ripplr</t>
        </is>
      </c>
      <c r="F2381" t="inlineStr">
        <is>
          <t>$45 million</t>
        </is>
      </c>
      <c r="G2381" s="19" t="n"/>
      <c r="H2381" s="19" t="n">
        <v>45</v>
      </c>
      <c r="I2381" t="inlineStr">
        <is>
          <t>Series C</t>
        </is>
      </c>
      <c r="J2381" t="inlineStr"/>
      <c r="K2381" t="inlineStr">
        <is>
          <t>https://entrackr.com/news/ripplr-raises-45-mn-from-sbi-and-existing-investors-10820565</t>
        </is>
      </c>
    </row>
    <row r="2382">
      <c r="A2382" t="inlineStr">
        <is>
          <t>INC-20251129-01</t>
        </is>
      </c>
      <c r="B2382" t="inlineStr">
        <is>
          <t>R251128-ripplr</t>
        </is>
      </c>
      <c r="C2382" t="inlineStr">
        <is>
          <t>Inc42</t>
        </is>
      </c>
      <c r="D2382" s="17" t="n">
        <v>45989</v>
      </c>
      <c r="E2382" t="inlineStr">
        <is>
          <t>Ripplr</t>
        </is>
      </c>
      <c r="F2382" t="inlineStr">
        <is>
          <t>$45 Mn</t>
        </is>
      </c>
      <c r="G2382" s="19" t="n"/>
      <c r="H2382" s="19" t="n">
        <v>45</v>
      </c>
      <c r="I2382" t="inlineStr">
        <is>
          <t>Series C</t>
        </is>
      </c>
      <c r="J2382" t="inlineStr"/>
      <c r="K2382" t="inlineStr">
        <is>
          <t>https://inc42.com/buzz/from-ripplr-to-neo-indian-startups-raised-195-mn-this-week/</t>
        </is>
      </c>
    </row>
    <row r="2383">
      <c r="A2383" t="inlineStr">
        <is>
          <t>ENT-10827254</t>
        </is>
      </c>
      <c r="B2383" t="inlineStr">
        <is>
          <t>R251129-iztri</t>
        </is>
      </c>
      <c r="C2383" t="inlineStr">
        <is>
          <t>Entrackr</t>
        </is>
      </c>
      <c r="D2383" s="17" t="n">
        <v>45990</v>
      </c>
      <c r="E2383" t="inlineStr">
        <is>
          <t>Iztri</t>
        </is>
      </c>
      <c r="F2383" t="inlineStr">
        <is>
          <t>Rs 1.5 crore</t>
        </is>
      </c>
      <c r="G2383" s="19" t="n">
        <v>1.5</v>
      </c>
      <c r="H2383" s="19" t="n">
        <v>0.18</v>
      </c>
      <c r="I2383" t="inlineStr">
        <is>
          <t>Pre-Seed</t>
        </is>
      </c>
      <c r="J2383" t="inlineStr">
        <is>
          <t>Aviral Bhatnagar</t>
        </is>
      </c>
      <c r="K2383" t="inlineStr">
        <is>
          <t>https://entrackr.com/snippets/iztri-raises-rs-15-cr-in-pre-seed-round-from-ajvc-10827254</t>
        </is>
      </c>
    </row>
    <row r="2384">
      <c r="A2384" t="inlineStr">
        <is>
          <t>INC-20251206-16</t>
        </is>
      </c>
      <c r="B2384" t="inlineStr">
        <is>
          <t>R251129-iztri</t>
        </is>
      </c>
      <c r="C2384" t="inlineStr">
        <is>
          <t>Inc42</t>
        </is>
      </c>
      <c r="D2384" s="17" t="n">
        <v>45997</v>
      </c>
      <c r="E2384" t="inlineStr">
        <is>
          <t>Iztri</t>
        </is>
      </c>
      <c r="F2384" t="inlineStr">
        <is>
          <t>$180K</t>
        </is>
      </c>
      <c r="G2384" s="19" t="n"/>
      <c r="H2384" s="19" t="n">
        <v>0.18</v>
      </c>
      <c r="I2384" t="inlineStr">
        <is>
          <t>Seed</t>
        </is>
      </c>
      <c r="J2384" t="inlineStr"/>
      <c r="K2384" t="inlineStr">
        <is>
          <t>https://inc42.com/buzz/from-ultraviolette-to-furlenco-indian-startups-raised-133-mn-this-week/</t>
        </is>
      </c>
    </row>
    <row r="2385">
      <c r="A2385" t="inlineStr">
        <is>
          <t>ENT-10827810</t>
        </is>
      </c>
      <c r="B2385" t="inlineStr">
        <is>
          <t>R251201-atomberg</t>
        </is>
      </c>
      <c r="C2385" t="inlineStr">
        <is>
          <t>Entrackr</t>
        </is>
      </c>
      <c r="D2385" s="17" t="n">
        <v>45992</v>
      </c>
      <c r="E2385" t="inlineStr">
        <is>
          <t>Atomberg</t>
        </is>
      </c>
      <c r="F2385" t="inlineStr">
        <is>
          <t>Rs 212 crore</t>
        </is>
      </c>
      <c r="G2385" s="19" t="n">
        <v>212</v>
      </c>
      <c r="H2385" s="19" t="n">
        <v>24</v>
      </c>
      <c r="I2385" t="inlineStr">
        <is>
          <t>Series C</t>
        </is>
      </c>
      <c r="J2385" t="inlineStr">
        <is>
          <t>Jongsong Investments</t>
        </is>
      </c>
      <c r="K2385" t="inlineStr">
        <is>
          <t>https://entrackr.com/exclusive/exclusive-atomberg-raises-rs-212-cr-in-series-c-extension-led-by-temasek-10827810</t>
        </is>
      </c>
    </row>
    <row r="2386">
      <c r="A2386" t="inlineStr">
        <is>
          <t>ENT-10828669</t>
        </is>
      </c>
      <c r="B2386" t="inlineStr">
        <is>
          <t>R251201-finfactor</t>
        </is>
      </c>
      <c r="C2386" t="inlineStr">
        <is>
          <t>Entrackr</t>
        </is>
      </c>
      <c r="D2386" s="17" t="n">
        <v>45992</v>
      </c>
      <c r="E2386" t="inlineStr">
        <is>
          <t>Finfactor</t>
        </is>
      </c>
      <c r="F2386" t="inlineStr">
        <is>
          <t>$15 million</t>
        </is>
      </c>
      <c r="G2386" s="19" t="n"/>
      <c r="H2386" s="19" t="n">
        <v>15</v>
      </c>
      <c r="I2386" t="inlineStr">
        <is>
          <t>Series A</t>
        </is>
      </c>
      <c r="J2386" t="inlineStr">
        <is>
          <t>WestBridge Capital</t>
        </is>
      </c>
      <c r="K2386" t="inlineStr">
        <is>
          <t>https://entrackr.com/news/finfactor-raises-15-mn-in-series-a-led-by-westbridge-10828669</t>
        </is>
      </c>
    </row>
    <row r="2387">
      <c r="A2387" t="inlineStr">
        <is>
          <t>INC-20251206-03</t>
        </is>
      </c>
      <c r="B2387" t="inlineStr">
        <is>
          <t>R251201-finfactor</t>
        </is>
      </c>
      <c r="C2387" t="inlineStr">
        <is>
          <t>Inc42</t>
        </is>
      </c>
      <c r="D2387" s="17" t="n">
        <v>45992</v>
      </c>
      <c r="E2387" t="inlineStr">
        <is>
          <t>Finfactor</t>
        </is>
      </c>
      <c r="F2387" t="inlineStr">
        <is>
          <t>$15 Mn</t>
        </is>
      </c>
      <c r="G2387" s="19" t="n"/>
      <c r="H2387" s="19" t="n">
        <v>15</v>
      </c>
      <c r="I2387" t="inlineStr">
        <is>
          <t>Series A</t>
        </is>
      </c>
      <c r="J2387" t="inlineStr">
        <is>
          <t>WestBridge Capital</t>
        </is>
      </c>
      <c r="K2387" t="inlineStr">
        <is>
          <t>https://inc42.com/buzz/from-ultraviolette-to-furlenco-indian-startups-raised-133-mn-this-week/</t>
        </is>
      </c>
    </row>
    <row r="2388">
      <c r="A2388" t="inlineStr">
        <is>
          <t>ET-125692723</t>
        </is>
      </c>
      <c r="B2388" t="inlineStr">
        <is>
          <t>R251201-finvu</t>
        </is>
      </c>
      <c r="C2388" t="inlineStr">
        <is>
          <t>The Economic Times</t>
        </is>
      </c>
      <c r="D2388" s="17" t="n">
        <v>45992</v>
      </c>
      <c r="E2388" t="inlineStr">
        <is>
          <t>Finvu</t>
        </is>
      </c>
      <c r="F2388" t="inlineStr">
        <is>
          <t>$15 million</t>
        </is>
      </c>
      <c r="G2388" s="19" t="n"/>
      <c r="H2388" s="19" t="n">
        <v>15</v>
      </c>
      <c r="I2388" t="inlineStr">
        <is>
          <t>Undisclosed</t>
        </is>
      </c>
      <c r="J2388" t="inlineStr">
        <is>
          <t>WestBridge Capital</t>
        </is>
      </c>
      <c r="K2388" t="inlineStr">
        <is>
          <t>https://economictimes.indiatimes.com/tech/funding/account-aggregator-finvu-secures-15-million-from-westbridge-capital-existing-investors/articleshow/125692723.cms</t>
        </is>
      </c>
    </row>
    <row r="2389">
      <c r="A2389" t="inlineStr">
        <is>
          <t>INC-20251206-12</t>
        </is>
      </c>
      <c r="B2389" t="inlineStr">
        <is>
          <t>R251202-getreplies</t>
        </is>
      </c>
      <c r="C2389" t="inlineStr">
        <is>
          <t>Inc42</t>
        </is>
      </c>
      <c r="D2389" s="17" t="n">
        <v>45993</v>
      </c>
      <c r="E2389" t="inlineStr">
        <is>
          <t>GetReplies</t>
        </is>
      </c>
      <c r="F2389" t="inlineStr">
        <is>
          <t>$1 Mn</t>
        </is>
      </c>
      <c r="G2389" s="19" t="n"/>
      <c r="H2389" s="19" t="n">
        <v>1</v>
      </c>
      <c r="I2389" t="inlineStr">
        <is>
          <t>Seed</t>
        </is>
      </c>
      <c r="J2389" t="inlineStr">
        <is>
          <t>Patni Family Office</t>
        </is>
      </c>
      <c r="K2389" t="inlineStr">
        <is>
          <t>https://inc42.com/buzz/from-ultraviolette-to-furlenco-indian-startups-raised-133-mn-this-week/</t>
        </is>
      </c>
    </row>
    <row r="2390">
      <c r="A2390" t="inlineStr">
        <is>
          <t>ENT-10830476</t>
        </is>
      </c>
      <c r="B2390" t="inlineStr">
        <is>
          <t>R251202-modulushousing</t>
        </is>
      </c>
      <c r="C2390" t="inlineStr">
        <is>
          <t>Entrackr</t>
        </is>
      </c>
      <c r="D2390" s="17" t="n">
        <v>45993</v>
      </c>
      <c r="E2390" t="inlineStr">
        <is>
          <t>Modulus Housing</t>
        </is>
      </c>
      <c r="F2390" t="inlineStr">
        <is>
          <t>Rs 70 crore</t>
        </is>
      </c>
      <c r="G2390" s="19" t="n">
        <v>70</v>
      </c>
      <c r="H2390" s="19" t="n">
        <v>7.83</v>
      </c>
      <c r="I2390" t="inlineStr">
        <is>
          <t>Series A</t>
        </is>
      </c>
      <c r="J2390" t="inlineStr">
        <is>
          <t>Kalaari Capital; Hero; Samarthya</t>
        </is>
      </c>
      <c r="K2390" t="inlineStr">
        <is>
          <t>https://entrackr.com/news/modulus-housing-raises-rs-70-cr-in-series-a-round-10830476</t>
        </is>
      </c>
    </row>
    <row r="2391">
      <c r="A2391" t="inlineStr">
        <is>
          <t>INC-20251206-06</t>
        </is>
      </c>
      <c r="B2391" t="inlineStr">
        <is>
          <t>R251202-modulushousing</t>
        </is>
      </c>
      <c r="C2391" t="inlineStr">
        <is>
          <t>Inc42</t>
        </is>
      </c>
      <c r="D2391" s="17" t="n">
        <v>45993</v>
      </c>
      <c r="E2391" t="inlineStr">
        <is>
          <t>Modulus Housing</t>
        </is>
      </c>
      <c r="F2391" t="inlineStr">
        <is>
          <t>$7.7 Mn</t>
        </is>
      </c>
      <c r="G2391" s="19" t="n"/>
      <c r="H2391" s="19" t="n">
        <v>7.7</v>
      </c>
      <c r="I2391" t="inlineStr">
        <is>
          <t>Seed</t>
        </is>
      </c>
      <c r="J2391" t="inlineStr">
        <is>
          <t>Kalaari Capital; Hero Group; Samarthya Investments</t>
        </is>
      </c>
      <c r="K2391" t="inlineStr">
        <is>
          <t>https://inc42.com/buzz/from-ultraviolette-to-furlenco-indian-startups-raised-133-mn-this-week/</t>
        </is>
      </c>
    </row>
    <row r="2392">
      <c r="A2392" t="inlineStr">
        <is>
          <t>VCC-a2e8d00dd4</t>
        </is>
      </c>
      <c r="B2392" t="inlineStr">
        <is>
          <t>R251202-modulushousing</t>
        </is>
      </c>
      <c r="C2392" t="inlineStr">
        <is>
          <t>VCCircle</t>
        </is>
      </c>
      <c r="D2392" s="17" t="n">
        <v>45993</v>
      </c>
      <c r="E2392" t="inlineStr">
        <is>
          <t>b2bplatform modulus housing</t>
        </is>
      </c>
      <c r="F2392" t="inlineStr"/>
      <c r="G2392" s="19" t="n"/>
      <c r="H2392" s="19" t="n"/>
      <c r="I2392" t="inlineStr">
        <is>
          <t>Undisclosed</t>
        </is>
      </c>
      <c r="J2392" t="inlineStr"/>
      <c r="K2392" t="inlineStr">
        <is>
          <t>https://www.vccircle.com/b2bplatform-modulus-housing-raises-maiden-round-og-media-buys-instagram-first-news-platform</t>
        </is>
      </c>
    </row>
    <row r="2393">
      <c r="A2393" t="inlineStr">
        <is>
          <t>INC-20251206-02</t>
        </is>
      </c>
      <c r="B2393" t="inlineStr">
        <is>
          <t>R251202-stockgro</t>
        </is>
      </c>
      <c r="C2393" t="inlineStr">
        <is>
          <t>Inc42</t>
        </is>
      </c>
      <c r="D2393" s="17" t="n">
        <v>45993</v>
      </c>
      <c r="E2393" t="inlineStr">
        <is>
          <t>StockGro</t>
        </is>
      </c>
      <c r="F2393" t="inlineStr">
        <is>
          <t>$16.7 Mn</t>
        </is>
      </c>
      <c r="G2393" s="19" t="n"/>
      <c r="H2393" s="19" t="n">
        <v>16.7</v>
      </c>
      <c r="I2393" t="inlineStr">
        <is>
          <t>Series B</t>
        </is>
      </c>
      <c r="J2393" t="inlineStr">
        <is>
          <t>Mukul Agrawal</t>
        </is>
      </c>
      <c r="K2393" t="inlineStr">
        <is>
          <t>https://inc42.com/buzz/from-ultraviolette-to-furlenco-indian-startups-raised-133-mn-this-week/</t>
        </is>
      </c>
    </row>
    <row r="2394">
      <c r="A2394" t="inlineStr">
        <is>
          <t>VCC-ff4181045b</t>
        </is>
      </c>
      <c r="B2394" t="inlineStr">
        <is>
          <t>R251202-stockgro</t>
        </is>
      </c>
      <c r="C2394" t="inlineStr">
        <is>
          <t>VCCircle</t>
        </is>
      </c>
      <c r="D2394" s="17" t="n">
        <v>45993</v>
      </c>
      <c r="E2394" t="inlineStr">
        <is>
          <t>stockgro</t>
        </is>
      </c>
      <c r="F2394" t="inlineStr"/>
      <c r="G2394" s="19" t="n"/>
      <c r="H2394" s="19" t="n"/>
      <c r="I2394" t="inlineStr">
        <is>
          <t>Series B</t>
        </is>
      </c>
      <c r="J2394" t="inlineStr"/>
      <c r="K2394" t="inlineStr">
        <is>
          <t>https://www.vccircle.com/aceinvestor-mukul-agrawal-leads-stockgro-s-series-b-round</t>
        </is>
      </c>
    </row>
    <row r="2395">
      <c r="A2395" t="inlineStr">
        <is>
          <t>INC-20251206-17</t>
        </is>
      </c>
      <c r="B2395" t="inlineStr">
        <is>
          <t>R251202-superhealth</t>
        </is>
      </c>
      <c r="C2395" t="inlineStr">
        <is>
          <t>Inc42</t>
        </is>
      </c>
      <c r="D2395" s="17" t="n">
        <v>45993</v>
      </c>
      <c r="E2395" t="inlineStr">
        <is>
          <t>Superhealth</t>
        </is>
      </c>
      <c r="F2395" t="inlineStr"/>
      <c r="G2395" s="19" t="n"/>
      <c r="H2395" s="19" t="n"/>
      <c r="I2395" t="inlineStr">
        <is>
          <t>Undisclosed</t>
        </is>
      </c>
      <c r="J2395" t="inlineStr"/>
      <c r="K2395" t="inlineStr">
        <is>
          <t>https://inc42.com/buzz/from-ultraviolette-to-furlenco-indian-startups-raised-133-mn-this-week/</t>
        </is>
      </c>
    </row>
    <row r="2396">
      <c r="A2396" t="inlineStr">
        <is>
          <t>ENT-10867252</t>
        </is>
      </c>
      <c r="B2396" t="inlineStr">
        <is>
          <t>R251203-furlenco</t>
        </is>
      </c>
      <c r="C2396" t="inlineStr">
        <is>
          <t>Entrackr</t>
        </is>
      </c>
      <c r="D2396" s="17" t="n">
        <v>45994</v>
      </c>
      <c r="E2396" t="inlineStr">
        <is>
          <t>Furlenco</t>
        </is>
      </c>
      <c r="F2396" t="inlineStr">
        <is>
          <t>Rs 125 crore</t>
        </is>
      </c>
      <c r="G2396" s="19" t="n">
        <v>125</v>
      </c>
      <c r="H2396" s="19" t="n">
        <v>15</v>
      </c>
      <c r="I2396" t="inlineStr">
        <is>
          <t>Undisclosed</t>
        </is>
      </c>
      <c r="J2396" t="inlineStr"/>
      <c r="K2396" t="inlineStr">
        <is>
          <t>https://entrackr.com/news/furlenco-raises-rs-125-cr-from-sheela-foam-and-others-10867252</t>
        </is>
      </c>
    </row>
    <row r="2397">
      <c r="A2397" t="inlineStr">
        <is>
          <t>INC-20251206-04</t>
        </is>
      </c>
      <c r="B2397" t="inlineStr">
        <is>
          <t>R251203-furlenco</t>
        </is>
      </c>
      <c r="C2397" t="inlineStr">
        <is>
          <t>Inc42</t>
        </is>
      </c>
      <c r="D2397" s="17" t="n">
        <v>45994</v>
      </c>
      <c r="E2397" t="inlineStr">
        <is>
          <t>Furlenco</t>
        </is>
      </c>
      <c r="F2397" t="inlineStr">
        <is>
          <t>$13.9 Mn</t>
        </is>
      </c>
      <c r="G2397" s="19" t="n"/>
      <c r="H2397" s="19" t="n">
        <v>13.9</v>
      </c>
      <c r="I2397" t="inlineStr">
        <is>
          <t>Undisclosed</t>
        </is>
      </c>
      <c r="J2397" t="inlineStr">
        <is>
          <t>Sheela Foam</t>
        </is>
      </c>
      <c r="K2397" t="inlineStr">
        <is>
          <t>https://inc42.com/buzz/from-ultraviolette-to-furlenco-indian-startups-raised-133-mn-this-week/</t>
        </is>
      </c>
    </row>
    <row r="2398">
      <c r="A2398" t="inlineStr">
        <is>
          <t>VCC-c5679eb8c2</t>
        </is>
      </c>
      <c r="B2398" t="inlineStr">
        <is>
          <t>R251203-furlenco</t>
        </is>
      </c>
      <c r="C2398" t="inlineStr">
        <is>
          <t>VCCircle</t>
        </is>
      </c>
      <c r="D2398" s="17" t="n">
        <v>45994</v>
      </c>
      <c r="E2398" t="inlineStr">
        <is>
          <t>vcbacked furlenco</t>
        </is>
      </c>
      <c r="F2398" t="inlineStr"/>
      <c r="G2398" s="19" t="n"/>
      <c r="H2398" s="19" t="n"/>
      <c r="I2398" t="inlineStr">
        <is>
          <t>Undisclosed</t>
        </is>
      </c>
      <c r="J2398" t="inlineStr"/>
      <c r="K2398" t="inlineStr">
        <is>
          <t>https://www.vccircle.com/vcbacked-furlenco-gets-fresh-capital-from-sheela-foam-others</t>
        </is>
      </c>
    </row>
    <row r="2399">
      <c r="A2399" t="inlineStr">
        <is>
          <t>ENT-10871729</t>
        </is>
      </c>
      <c r="B2399" t="inlineStr">
        <is>
          <t>R251203-mannjal</t>
        </is>
      </c>
      <c r="C2399" t="inlineStr">
        <is>
          <t>Entrackr</t>
        </is>
      </c>
      <c r="D2399" s="17" t="n">
        <v>45994</v>
      </c>
      <c r="E2399" t="inlineStr">
        <is>
          <t>Mannjal</t>
        </is>
      </c>
      <c r="F2399" t="inlineStr">
        <is>
          <t>Rs 17.5 crore</t>
        </is>
      </c>
      <c r="G2399" s="19" t="n">
        <v>17.5</v>
      </c>
      <c r="H2399" s="19" t="n">
        <v>2.1</v>
      </c>
      <c r="I2399" t="inlineStr">
        <is>
          <t>Seed</t>
        </is>
      </c>
      <c r="J2399" t="inlineStr">
        <is>
          <t>Arali Ventures; B Capital</t>
        </is>
      </c>
      <c r="K2399" t="inlineStr">
        <is>
          <t>https://entrackr.com/snippets/lending-platform-mannjal-raises-rs-175-cr-led-by-arali-ventures-10871729</t>
        </is>
      </c>
    </row>
    <row r="2400">
      <c r="A2400" t="inlineStr">
        <is>
          <t>ET-125745352</t>
        </is>
      </c>
      <c r="B2400" t="inlineStr">
        <is>
          <t>R251203-mannjal</t>
        </is>
      </c>
      <c r="C2400" t="inlineStr">
        <is>
          <t>The Economic Times</t>
        </is>
      </c>
      <c r="D2400" s="17" t="n">
        <v>45994</v>
      </c>
      <c r="E2400" t="inlineStr">
        <is>
          <t>Mannjal</t>
        </is>
      </c>
      <c r="F2400" t="inlineStr">
        <is>
          <t>Rs 17.5 crore</t>
        </is>
      </c>
      <c r="G2400" s="19" t="n">
        <v>17.5</v>
      </c>
      <c r="H2400" s="19" t="n"/>
      <c r="I2400" t="inlineStr">
        <is>
          <t>Seed</t>
        </is>
      </c>
      <c r="J2400" t="inlineStr">
        <is>
          <t>Arali Ventures; B Capital</t>
        </is>
      </c>
      <c r="K2400" t="inlineStr">
        <is>
          <t>https://economictimes.indiatimes.com/tech/funding/fintech-platform-mannjal-raises-rs-17-5-crore-in-a-seed-round-led-by-arali-ventures-b-capital/articleshow/125745352.cms</t>
        </is>
      </c>
    </row>
    <row r="2401">
      <c r="A2401" t="inlineStr">
        <is>
          <t>INC-20251206-11</t>
        </is>
      </c>
      <c r="B2401" t="inlineStr">
        <is>
          <t>R251203-mannjal</t>
        </is>
      </c>
      <c r="C2401" t="inlineStr">
        <is>
          <t>Inc42</t>
        </is>
      </c>
      <c r="D2401" s="17" t="n">
        <v>45994</v>
      </c>
      <c r="E2401" t="inlineStr">
        <is>
          <t>Mannjal</t>
        </is>
      </c>
      <c r="F2401" t="inlineStr">
        <is>
          <t>$2 Mn</t>
        </is>
      </c>
      <c r="G2401" s="19" t="n"/>
      <c r="H2401" s="19" t="n">
        <v>2</v>
      </c>
      <c r="I2401" t="inlineStr">
        <is>
          <t>Seed</t>
        </is>
      </c>
      <c r="J2401" t="inlineStr">
        <is>
          <t>Arali Ventures; B Capital</t>
        </is>
      </c>
      <c r="K2401" t="inlineStr">
        <is>
          <t>https://inc42.com/buzz/from-ultraviolette-to-furlenco-indian-startups-raised-133-mn-this-week/</t>
        </is>
      </c>
    </row>
    <row r="2402">
      <c r="A2402" t="inlineStr">
        <is>
          <t>ENT-10868401</t>
        </is>
      </c>
      <c r="B2402" t="inlineStr">
        <is>
          <t>R251203-mirrorsecurity</t>
        </is>
      </c>
      <c r="C2402" t="inlineStr">
        <is>
          <t>Entrackr</t>
        </is>
      </c>
      <c r="D2402" s="17" t="n">
        <v>45994</v>
      </c>
      <c r="E2402" t="inlineStr">
        <is>
          <t>Mirror Security</t>
        </is>
      </c>
      <c r="F2402" t="inlineStr">
        <is>
          <t>$2.5 million</t>
        </is>
      </c>
      <c r="G2402" s="19" t="n"/>
      <c r="H2402" s="19" t="n">
        <v>2.5</v>
      </c>
      <c r="I2402" t="inlineStr">
        <is>
          <t>Pre-Seed</t>
        </is>
      </c>
      <c r="J2402" t="inlineStr"/>
      <c r="K2402" t="inlineStr">
        <is>
          <t>https://entrackr.com/snippets/mirror-security-raises-25-mn-from-sure-valley-ventures-and-atlantic-bridge-10868401</t>
        </is>
      </c>
    </row>
    <row r="2403">
      <c r="A2403" t="inlineStr">
        <is>
          <t>INC-20251206-10</t>
        </is>
      </c>
      <c r="B2403" t="inlineStr">
        <is>
          <t>R251203-mirrorsecurity</t>
        </is>
      </c>
      <c r="C2403" t="inlineStr">
        <is>
          <t>Inc42</t>
        </is>
      </c>
      <c r="D2403" s="17" t="n">
        <v>45994</v>
      </c>
      <c r="E2403" t="inlineStr">
        <is>
          <t>Mirror Security</t>
        </is>
      </c>
      <c r="F2403" t="inlineStr">
        <is>
          <t>$2.5 Mn</t>
        </is>
      </c>
      <c r="G2403" s="19" t="n"/>
      <c r="H2403" s="19" t="n">
        <v>2.5</v>
      </c>
      <c r="I2403" t="inlineStr">
        <is>
          <t>Pre-Seed</t>
        </is>
      </c>
      <c r="J2403" t="inlineStr">
        <is>
          <t>Sure Valley Ventures; Atlantic Bridge</t>
        </is>
      </c>
      <c r="K2403" t="inlineStr">
        <is>
          <t>https://inc42.com/buzz/from-ultraviolette-to-furlenco-indian-startups-raised-133-mn-this-week/</t>
        </is>
      </c>
    </row>
    <row r="2404">
      <c r="A2404" t="inlineStr">
        <is>
          <t>ENT-10866866</t>
        </is>
      </c>
      <c r="B2404" t="inlineStr">
        <is>
          <t>R251203-moonrider</t>
        </is>
      </c>
      <c r="C2404" t="inlineStr">
        <is>
          <t>Entrackr</t>
        </is>
      </c>
      <c r="D2404" s="17" t="n">
        <v>45994</v>
      </c>
      <c r="E2404" t="inlineStr">
        <is>
          <t>Moonrider</t>
        </is>
      </c>
      <c r="F2404" t="inlineStr">
        <is>
          <t>$6 million</t>
        </is>
      </c>
      <c r="G2404" s="19" t="n"/>
      <c r="H2404" s="19" t="n">
        <v>6</v>
      </c>
      <c r="I2404" t="inlineStr">
        <is>
          <t>Series A</t>
        </is>
      </c>
      <c r="J2404" t="inlineStr"/>
      <c r="K2404" t="inlineStr">
        <is>
          <t>https://entrackr.com/snippets/moonrider-raises-6-mn-in-series-a-round-led-by-pi-ventures-10866866</t>
        </is>
      </c>
    </row>
    <row r="2405">
      <c r="A2405" t="inlineStr">
        <is>
          <t>ET-125737493</t>
        </is>
      </c>
      <c r="B2405" t="inlineStr">
        <is>
          <t>R251203-moonrider</t>
        </is>
      </c>
      <c r="C2405" t="inlineStr">
        <is>
          <t>The Economic Times</t>
        </is>
      </c>
      <c r="D2405" s="17" t="n">
        <v>45994</v>
      </c>
      <c r="E2405" t="inlineStr">
        <is>
          <t>Moonrider</t>
        </is>
      </c>
      <c r="F2405" t="inlineStr">
        <is>
          <t>$6 million</t>
        </is>
      </c>
      <c r="G2405" s="19" t="n"/>
      <c r="H2405" s="19" t="n">
        <v>6</v>
      </c>
      <c r="I2405" t="inlineStr">
        <is>
          <t>Undisclosed</t>
        </is>
      </c>
      <c r="J2405" t="inlineStr">
        <is>
          <t>Pi Ventures</t>
        </is>
      </c>
      <c r="K2405" t="inlineStr">
        <is>
          <t>https://economictimes.indiatimes.com/tech/startups/ev-tractor-startup-moonrider-raises-6-million-from-pi-ventures-singularity-amc/articleshow/125737493.cms</t>
        </is>
      </c>
    </row>
    <row r="2406">
      <c r="A2406" t="inlineStr">
        <is>
          <t>INC-20251206-08</t>
        </is>
      </c>
      <c r="B2406" t="inlineStr">
        <is>
          <t>R251203-moonrider</t>
        </is>
      </c>
      <c r="C2406" t="inlineStr">
        <is>
          <t>Inc42</t>
        </is>
      </c>
      <c r="D2406" s="17" t="n">
        <v>45994</v>
      </c>
      <c r="E2406" t="inlineStr">
        <is>
          <t>Moonrider</t>
        </is>
      </c>
      <c r="F2406" t="inlineStr">
        <is>
          <t>$6 Mn</t>
        </is>
      </c>
      <c r="G2406" s="19" t="n"/>
      <c r="H2406" s="19" t="n">
        <v>6</v>
      </c>
      <c r="I2406" t="inlineStr">
        <is>
          <t>Series A</t>
        </is>
      </c>
      <c r="J2406" t="inlineStr"/>
      <c r="K2406" t="inlineStr">
        <is>
          <t>https://inc42.com/buzz/from-ultraviolette-to-furlenco-indian-startups-raised-133-mn-this-week/</t>
        </is>
      </c>
    </row>
    <row r="2407">
      <c r="A2407" t="inlineStr">
        <is>
          <t>ENT-10867036</t>
        </is>
      </c>
      <c r="B2407" t="inlineStr">
        <is>
          <t>R251203-replyall</t>
        </is>
      </c>
      <c r="C2407" t="inlineStr">
        <is>
          <t>Entrackr</t>
        </is>
      </c>
      <c r="D2407" s="17" t="n">
        <v>45994</v>
      </c>
      <c r="E2407" t="inlineStr">
        <is>
          <t>ReplyAll</t>
        </is>
      </c>
      <c r="F2407" t="inlineStr">
        <is>
          <t>Rs 6.8 crore</t>
        </is>
      </c>
      <c r="G2407" s="19" t="n">
        <v>6.8</v>
      </c>
      <c r="H2407" s="19" t="n">
        <v>0.75</v>
      </c>
      <c r="I2407" t="inlineStr">
        <is>
          <t>Undisclosed</t>
        </is>
      </c>
      <c r="J2407" t="inlineStr">
        <is>
          <t>Sparrow Capital; Antler India</t>
        </is>
      </c>
      <c r="K2407" t="inlineStr">
        <is>
          <t>https://entrackr.com/snippets/apparel-brand-replyall-raises-rs-68-cr-led-by-sparrow-capital-10867036</t>
        </is>
      </c>
    </row>
    <row r="2408">
      <c r="A2408" t="inlineStr">
        <is>
          <t>INC-20251206-13</t>
        </is>
      </c>
      <c r="B2408" t="inlineStr">
        <is>
          <t>R251203-replyall</t>
        </is>
      </c>
      <c r="C2408" t="inlineStr">
        <is>
          <t>Inc42</t>
        </is>
      </c>
      <c r="D2408" s="17" t="n">
        <v>45994</v>
      </c>
      <c r="E2408" t="inlineStr">
        <is>
          <t>ReplyAll</t>
        </is>
      </c>
      <c r="F2408" t="inlineStr">
        <is>
          <t>$756K</t>
        </is>
      </c>
      <c r="G2408" s="19" t="n"/>
      <c r="H2408" s="19" t="n">
        <v>0.756</v>
      </c>
      <c r="I2408" t="inlineStr">
        <is>
          <t>Seed</t>
        </is>
      </c>
      <c r="J2408" t="inlineStr">
        <is>
          <t>Sparrow Capital; Antler India</t>
        </is>
      </c>
      <c r="K2408" t="inlineStr">
        <is>
          <t>https://inc42.com/buzz/from-ultraviolette-to-furlenco-indian-startups-raised-133-mn-this-week/</t>
        </is>
      </c>
    </row>
    <row r="2409">
      <c r="A2409" t="inlineStr">
        <is>
          <t>ET-125721978</t>
        </is>
      </c>
      <c r="B2409" t="inlineStr">
        <is>
          <t>R251203-yoodli</t>
        </is>
      </c>
      <c r="C2409" t="inlineStr">
        <is>
          <t>The Economic Times</t>
        </is>
      </c>
      <c r="D2409" s="17" t="n">
        <v>45993</v>
      </c>
      <c r="E2409" t="inlineStr">
        <is>
          <t>Yoodli</t>
        </is>
      </c>
      <c r="F2409" t="inlineStr">
        <is>
          <t>$40 million</t>
        </is>
      </c>
      <c r="G2409" s="19" t="n"/>
      <c r="H2409" s="19" t="n">
        <v>40</v>
      </c>
      <c r="I2409" t="inlineStr">
        <is>
          <t>Undisclosed</t>
        </is>
      </c>
      <c r="J2409" t="inlineStr">
        <is>
          <t>WestBridge Capital</t>
        </is>
      </c>
      <c r="K2409" t="inlineStr">
        <is>
          <t>https://economictimes.indiatimes.com/tech/funding/learning-platform-yoodli-raises-40-million-in-round-led-by-westbridge-capital/articleshow/125721978.cms</t>
        </is>
      </c>
    </row>
    <row r="2410">
      <c r="A2410" t="inlineStr">
        <is>
          <t>ENT-10867561</t>
        </is>
      </c>
      <c r="B2410" t="inlineStr">
        <is>
          <t>R251203-yoodli</t>
        </is>
      </c>
      <c r="C2410" t="inlineStr">
        <is>
          <t>Entrackr</t>
        </is>
      </c>
      <c r="D2410" s="17" t="n">
        <v>45994</v>
      </c>
      <c r="E2410" t="inlineStr">
        <is>
          <t>Yoodli</t>
        </is>
      </c>
      <c r="F2410" t="inlineStr">
        <is>
          <t>$40 million</t>
        </is>
      </c>
      <c r="G2410" s="19" t="n"/>
      <c r="H2410" s="19" t="n">
        <v>40</v>
      </c>
      <c r="I2410" t="inlineStr">
        <is>
          <t>Series B</t>
        </is>
      </c>
      <c r="J2410" t="inlineStr">
        <is>
          <t>WestBridge Capital</t>
        </is>
      </c>
      <c r="K2410" t="inlineStr">
        <is>
          <t>https://entrackr.com/news/yoodli-raises-40-mn-in-series-b-round-led-by-westbridge-10867561</t>
        </is>
      </c>
    </row>
    <row r="2411">
      <c r="A2411" t="inlineStr">
        <is>
          <t>INC-20251206-07</t>
        </is>
      </c>
      <c r="B2411" t="inlineStr">
        <is>
          <t>R251204-ayekart</t>
        </is>
      </c>
      <c r="C2411" t="inlineStr">
        <is>
          <t>Inc42</t>
        </is>
      </c>
      <c r="D2411" s="17" t="n">
        <v>45995</v>
      </c>
      <c r="E2411" t="inlineStr">
        <is>
          <t>Ayekart</t>
        </is>
      </c>
      <c r="F2411" t="inlineStr">
        <is>
          <t>$6.5 Mn</t>
        </is>
      </c>
      <c r="G2411" s="19" t="n"/>
      <c r="H2411" s="19" t="n">
        <v>6.5</v>
      </c>
      <c r="I2411" t="inlineStr">
        <is>
          <t>Debt</t>
        </is>
      </c>
      <c r="J2411" t="inlineStr">
        <is>
          <t>Symbiotics Investments</t>
        </is>
      </c>
      <c r="K2411" t="inlineStr">
        <is>
          <t>https://inc42.com/buzz/from-ultraviolette-to-furlenco-indian-startups-raised-133-mn-this-week/</t>
        </is>
      </c>
    </row>
    <row r="2412">
      <c r="A2412" t="inlineStr">
        <is>
          <t>ENT-10880078</t>
        </is>
      </c>
      <c r="B2412" t="inlineStr">
        <is>
          <t>R251204-coreopsai</t>
        </is>
      </c>
      <c r="C2412" t="inlineStr">
        <is>
          <t>Entrackr</t>
        </is>
      </c>
      <c r="D2412" s="17" t="n">
        <v>45995</v>
      </c>
      <c r="E2412" t="inlineStr">
        <is>
          <t>CoreOps.AI</t>
        </is>
      </c>
      <c r="F2412" t="inlineStr">
        <is>
          <t>$3.5 million</t>
        </is>
      </c>
      <c r="G2412" s="19" t="n"/>
      <c r="H2412" s="19" t="n">
        <v>3.5</v>
      </c>
      <c r="I2412" t="inlineStr">
        <is>
          <t>Pre-Series A</t>
        </is>
      </c>
      <c r="J2412" t="inlineStr">
        <is>
          <t>Siana Capital Management</t>
        </is>
      </c>
      <c r="K2412" t="inlineStr">
        <is>
          <t>https://entrackr.com/snippets/coreopsai-raises-35-mn-in-pre-series-a-round-led-by-siana-capital-10880078</t>
        </is>
      </c>
    </row>
    <row r="2413">
      <c r="A2413" t="inlineStr">
        <is>
          <t>ET-125752847</t>
        </is>
      </c>
      <c r="B2413" t="inlineStr">
        <is>
          <t>R251204-coreopsai</t>
        </is>
      </c>
      <c r="C2413" t="inlineStr">
        <is>
          <t>The Economic Times</t>
        </is>
      </c>
      <c r="D2413" s="17" t="n">
        <v>45995</v>
      </c>
      <c r="E2413" t="inlineStr">
        <is>
          <t>CoreOps.AI</t>
        </is>
      </c>
      <c r="F2413" t="inlineStr">
        <is>
          <t>$3.5 million</t>
        </is>
      </c>
      <c r="G2413" s="19" t="n"/>
      <c r="H2413" s="19" t="n">
        <v>3.5</v>
      </c>
      <c r="I2413" t="inlineStr">
        <is>
          <t>Undisclosed</t>
        </is>
      </c>
      <c r="J2413" t="inlineStr"/>
      <c r="K2413" t="inlineStr">
        <is>
          <t>https://economictimes.indiatimes.com/tech/funding/coreops-ai-raised-3-5-million-in-new-round/articleshow/125752847.cms</t>
        </is>
      </c>
    </row>
    <row r="2414">
      <c r="A2414" t="inlineStr">
        <is>
          <t>INC-20251206-09</t>
        </is>
      </c>
      <c r="B2414" t="inlineStr">
        <is>
          <t>R251204-coreopsai</t>
        </is>
      </c>
      <c r="C2414" t="inlineStr">
        <is>
          <t>Inc42</t>
        </is>
      </c>
      <c r="D2414" s="17" t="n">
        <v>45995</v>
      </c>
      <c r="E2414" t="inlineStr">
        <is>
          <t>CoreOps.AI</t>
        </is>
      </c>
      <c r="F2414" t="inlineStr">
        <is>
          <t>$3.5 Mn</t>
        </is>
      </c>
      <c r="G2414" s="19" t="n"/>
      <c r="H2414" s="19" t="n">
        <v>3.5</v>
      </c>
      <c r="I2414" t="inlineStr">
        <is>
          <t>Pre-Series A</t>
        </is>
      </c>
      <c r="J2414" t="inlineStr">
        <is>
          <t>Siana Capital Management</t>
        </is>
      </c>
      <c r="K2414" t="inlineStr">
        <is>
          <t>https://inc42.com/buzz/from-ultraviolette-to-furlenco-indian-startups-raised-133-mn-this-week/</t>
        </is>
      </c>
    </row>
    <row r="2415">
      <c r="A2415" t="inlineStr">
        <is>
          <t>ET-125751688</t>
        </is>
      </c>
      <c r="B2415" t="inlineStr">
        <is>
          <t>R251204-inmobi</t>
        </is>
      </c>
      <c r="C2415" t="inlineStr">
        <is>
          <t>The Economic Times</t>
        </is>
      </c>
      <c r="D2415" s="17" t="n">
        <v>45995</v>
      </c>
      <c r="E2415" t="inlineStr">
        <is>
          <t>InMobi</t>
        </is>
      </c>
      <c r="F2415" t="inlineStr">
        <is>
          <t>$350 million</t>
        </is>
      </c>
      <c r="G2415" s="19" t="n">
        <v>3150</v>
      </c>
      <c r="H2415" s="19" t="n">
        <v>350</v>
      </c>
      <c r="I2415" t="inlineStr">
        <is>
          <t>Undisclosed</t>
        </is>
      </c>
      <c r="J2415" t="inlineStr"/>
      <c r="K2415" t="inlineStr">
        <is>
          <t>https://economictimes.indiatimes.com/tech/funding/ipo-bound-inmobi-gets-350-million-from-varde-elham-seatown/articleshow/125751688.cms</t>
        </is>
      </c>
    </row>
    <row r="2416">
      <c r="A2416" t="inlineStr">
        <is>
          <t>INC-20251206-05</t>
        </is>
      </c>
      <c r="B2416" t="inlineStr">
        <is>
          <t>R251204-planystechnolo</t>
        </is>
      </c>
      <c r="C2416" t="inlineStr">
        <is>
          <t>Inc42</t>
        </is>
      </c>
      <c r="D2416" s="17" t="n">
        <v>45995</v>
      </c>
      <c r="E2416" t="inlineStr">
        <is>
          <t>Planys Technologies</t>
        </is>
      </c>
      <c r="F2416" t="inlineStr">
        <is>
          <t>$11.1 Mn</t>
        </is>
      </c>
      <c r="G2416" s="19" t="n"/>
      <c r="H2416" s="19" t="n">
        <v>11.1</v>
      </c>
      <c r="I2416" t="inlineStr">
        <is>
          <t>Undisclosed</t>
        </is>
      </c>
      <c r="J2416" t="inlineStr">
        <is>
          <t>Ashish Kacholia; Lashit Sanghvi</t>
        </is>
      </c>
      <c r="K2416" t="inlineStr">
        <is>
          <t>https://inc42.com/buzz/from-ultraviolette-to-furlenco-indian-startups-raised-133-mn-this-week/</t>
        </is>
      </c>
    </row>
    <row r="2417">
      <c r="A2417" t="inlineStr">
        <is>
          <t>ENT-10881092</t>
        </is>
      </c>
      <c r="B2417" t="inlineStr">
        <is>
          <t>R251204-tidasports</t>
        </is>
      </c>
      <c r="C2417" t="inlineStr">
        <is>
          <t>Entrackr</t>
        </is>
      </c>
      <c r="D2417" s="17" t="n">
        <v>45995</v>
      </c>
      <c r="E2417" t="inlineStr">
        <is>
          <t>TIDA Sports</t>
        </is>
      </c>
      <c r="F2417" t="inlineStr">
        <is>
          <t>Rs 3 crore</t>
        </is>
      </c>
      <c r="G2417" s="19" t="n">
        <v>3</v>
      </c>
      <c r="H2417" s="19" t="n"/>
      <c r="I2417" t="inlineStr">
        <is>
          <t>Seed</t>
        </is>
      </c>
      <c r="J2417" t="inlineStr">
        <is>
          <t>Inflection Point Ventures</t>
        </is>
      </c>
      <c r="K2417" t="inlineStr">
        <is>
          <t>https://entrackr.com/snippets/tida-sports-raises-seed-round-led-by-ipv-10881092</t>
        </is>
      </c>
    </row>
    <row r="2418">
      <c r="A2418" t="inlineStr">
        <is>
          <t>INC-20251206-15</t>
        </is>
      </c>
      <c r="B2418" t="inlineStr">
        <is>
          <t>R251204-tidasports</t>
        </is>
      </c>
      <c r="C2418" t="inlineStr">
        <is>
          <t>Inc42</t>
        </is>
      </c>
      <c r="D2418" s="17" t="n">
        <v>45995</v>
      </c>
      <c r="E2418" t="inlineStr">
        <is>
          <t>TIDA Sports</t>
        </is>
      </c>
      <c r="F2418" t="inlineStr">
        <is>
          <t>$333K</t>
        </is>
      </c>
      <c r="G2418" s="19" t="n"/>
      <c r="H2418" s="19" t="n">
        <v>0.333</v>
      </c>
      <c r="I2418" t="inlineStr">
        <is>
          <t>Seed</t>
        </is>
      </c>
      <c r="J2418" t="inlineStr">
        <is>
          <t>Inflection Point Ventures</t>
        </is>
      </c>
      <c r="K2418" t="inlineStr">
        <is>
          <t>https://inc42.com/buzz/from-ultraviolette-to-furlenco-indian-startups-raised-133-mn-this-week/</t>
        </is>
      </c>
    </row>
    <row r="2419">
      <c r="A2419" t="inlineStr">
        <is>
          <t>ENT-10880900</t>
        </is>
      </c>
      <c r="B2419" t="inlineStr">
        <is>
          <t>R251204-ultraviolette</t>
        </is>
      </c>
      <c r="C2419" t="inlineStr">
        <is>
          <t>Entrackr</t>
        </is>
      </c>
      <c r="D2419" s="17" t="n">
        <v>45995</v>
      </c>
      <c r="E2419" t="inlineStr">
        <is>
          <t>Ultraviolette</t>
        </is>
      </c>
      <c r="F2419" t="inlineStr">
        <is>
          <t>$45 million</t>
        </is>
      </c>
      <c r="G2419" s="19" t="n"/>
      <c r="H2419" s="19" t="n">
        <v>45</v>
      </c>
      <c r="I2419" t="inlineStr">
        <is>
          <t>Series E</t>
        </is>
      </c>
      <c r="J2419" t="inlineStr"/>
      <c r="K2419" t="inlineStr">
        <is>
          <t>https://entrackr.com/news/zoho-backed-ultraviolette-raises-45-mn-in-ongoing-series-e-round-10880900</t>
        </is>
      </c>
    </row>
    <row r="2420">
      <c r="A2420" t="inlineStr">
        <is>
          <t>ET-125761524</t>
        </is>
      </c>
      <c r="B2420" t="inlineStr">
        <is>
          <t>R251204-ultraviolette</t>
        </is>
      </c>
      <c r="C2420" t="inlineStr">
        <is>
          <t>The Economic Times</t>
        </is>
      </c>
      <c r="D2420" s="17" t="n">
        <v>45995</v>
      </c>
      <c r="E2420" t="inlineStr">
        <is>
          <t>Ultraviolette</t>
        </is>
      </c>
      <c r="F2420" t="inlineStr">
        <is>
          <t>$45 million</t>
        </is>
      </c>
      <c r="G2420" s="19" t="n"/>
      <c r="H2420" s="19" t="n">
        <v>45</v>
      </c>
      <c r="I2420" t="inlineStr">
        <is>
          <t>Undisclosed</t>
        </is>
      </c>
      <c r="J2420" t="inlineStr"/>
      <c r="K2420" t="inlineStr">
        <is>
          <t>https://economictimes.indiatimes.com/tech/funding/ev-bike-maker-ultraviolette-raises-45-million-from-zoho-ferrari-owner-exors-lingotto/articleshow/125761524.cms</t>
        </is>
      </c>
    </row>
    <row r="2421">
      <c r="A2421" t="inlineStr">
        <is>
          <t>INC-20251206-01</t>
        </is>
      </c>
      <c r="B2421" t="inlineStr">
        <is>
          <t>R251204-ultraviolette</t>
        </is>
      </c>
      <c r="C2421" t="inlineStr">
        <is>
          <t>Inc42</t>
        </is>
      </c>
      <c r="D2421" s="17" t="n">
        <v>45995</v>
      </c>
      <c r="E2421" t="inlineStr">
        <is>
          <t>Ultraviolette</t>
        </is>
      </c>
      <c r="F2421" t="inlineStr">
        <is>
          <t>$45 Mn</t>
        </is>
      </c>
      <c r="G2421" s="19" t="n"/>
      <c r="H2421" s="19" t="n">
        <v>45</v>
      </c>
      <c r="I2421" t="inlineStr">
        <is>
          <t>Series E</t>
        </is>
      </c>
      <c r="J2421" t="inlineStr"/>
      <c r="K2421" t="inlineStr">
        <is>
          <t>https://inc42.com/buzz/from-ultraviolette-to-furlenco-indian-startups-raised-133-mn-this-week/</t>
        </is>
      </c>
    </row>
    <row r="2422">
      <c r="A2422" t="inlineStr">
        <is>
          <t>ENT-10884132</t>
        </is>
      </c>
      <c r="B2422" t="inlineStr">
        <is>
          <t>R251205-redapto</t>
        </is>
      </c>
      <c r="C2422" t="inlineStr">
        <is>
          <t>Entrackr</t>
        </is>
      </c>
      <c r="D2422" s="17" t="n">
        <v>45996</v>
      </c>
      <c r="E2422" t="inlineStr">
        <is>
          <t>Redapto</t>
        </is>
      </c>
      <c r="F2422" t="inlineStr">
        <is>
          <t>$500K</t>
        </is>
      </c>
      <c r="G2422" s="19" t="n"/>
      <c r="H2422" s="19" t="n">
        <v>0.5</v>
      </c>
      <c r="I2422" t="inlineStr">
        <is>
          <t>Pre-Seed</t>
        </is>
      </c>
      <c r="J2422" t="inlineStr">
        <is>
          <t>Y Combinator</t>
        </is>
      </c>
      <c r="K2422" t="inlineStr">
        <is>
          <t>https://entrackr.com/snippets/redapto-raises-500k-in-seed-round-led-by-y-combinator-10884132</t>
        </is>
      </c>
    </row>
    <row r="2423">
      <c r="A2423" t="inlineStr">
        <is>
          <t>INC-20251206-14</t>
        </is>
      </c>
      <c r="B2423" t="inlineStr">
        <is>
          <t>R251205-redapto</t>
        </is>
      </c>
      <c r="C2423" t="inlineStr">
        <is>
          <t>Inc42</t>
        </is>
      </c>
      <c r="D2423" s="17" t="n">
        <v>45996</v>
      </c>
      <c r="E2423" t="inlineStr">
        <is>
          <t>Redapto</t>
        </is>
      </c>
      <c r="F2423" t="inlineStr">
        <is>
          <t>$500K</t>
        </is>
      </c>
      <c r="G2423" s="19" t="n"/>
      <c r="H2423" s="19" t="n">
        <v>0.5</v>
      </c>
      <c r="I2423" t="inlineStr">
        <is>
          <t>Pre-Seed</t>
        </is>
      </c>
      <c r="J2423" t="inlineStr">
        <is>
          <t>Y Combinator</t>
        </is>
      </c>
      <c r="K2423" t="inlineStr">
        <is>
          <t>https://inc42.com/buzz/from-ultraviolette-to-furlenco-indian-startups-raised-133-mn-this-week/</t>
        </is>
      </c>
    </row>
    <row r="2424">
      <c r="A2424" t="inlineStr">
        <is>
          <t>INC-20251213-09</t>
        </is>
      </c>
      <c r="B2424" t="inlineStr">
        <is>
          <t>R251208-agilitassports</t>
        </is>
      </c>
      <c r="C2424" t="inlineStr">
        <is>
          <t>Inc42</t>
        </is>
      </c>
      <c r="D2424" s="17" t="n">
        <v>45999</v>
      </c>
      <c r="E2424" t="inlineStr">
        <is>
          <t>Agilitas Sports</t>
        </is>
      </c>
      <c r="F2424" t="inlineStr">
        <is>
          <t>$4.4 Mn</t>
        </is>
      </c>
      <c r="G2424" s="19" t="n"/>
      <c r="H2424" s="19" t="n">
        <v>4.4</v>
      </c>
      <c r="I2424" t="inlineStr">
        <is>
          <t>Undisclosed</t>
        </is>
      </c>
      <c r="J2424" t="inlineStr">
        <is>
          <t>Virat Kohli</t>
        </is>
      </c>
      <c r="K2424" t="inlineStr">
        <is>
          <t>https://inc42.com/buzz/from-fibe-to-smart-joules-indian-startups-raised-127-mn-this-week/</t>
        </is>
      </c>
    </row>
    <row r="2425">
      <c r="A2425" t="inlineStr">
        <is>
          <t>ENT-10891759</t>
        </is>
      </c>
      <c r="B2425" t="inlineStr">
        <is>
          <t>R251208-consciouschemi</t>
        </is>
      </c>
      <c r="C2425" t="inlineStr">
        <is>
          <t>Entrackr</t>
        </is>
      </c>
      <c r="D2425" s="17" t="n">
        <v>45999</v>
      </c>
      <c r="E2425" t="inlineStr">
        <is>
          <t>Conscious Chemist</t>
        </is>
      </c>
      <c r="F2425" t="inlineStr">
        <is>
          <t>Rs 15 crore</t>
        </is>
      </c>
      <c r="G2425" s="19" t="n">
        <v>15</v>
      </c>
      <c r="H2425" s="19" t="n">
        <v>1.8</v>
      </c>
      <c r="I2425" t="inlineStr">
        <is>
          <t>Bridge</t>
        </is>
      </c>
      <c r="J2425" t="inlineStr">
        <is>
          <t>Atomic Capital</t>
        </is>
      </c>
      <c r="K2425" t="inlineStr">
        <is>
          <t>https://entrackr.com/snippets/conscious-chemist-raises-18-mn-in-bridge-round-led-by-atomic-capital-10891759</t>
        </is>
      </c>
    </row>
    <row r="2426">
      <c r="A2426" t="inlineStr">
        <is>
          <t>ET-125835778</t>
        </is>
      </c>
      <c r="B2426" t="inlineStr">
        <is>
          <t>R251208-consciouschemi</t>
        </is>
      </c>
      <c r="C2426" t="inlineStr">
        <is>
          <t>The Economic Times</t>
        </is>
      </c>
      <c r="D2426" s="17" t="n">
        <v>45999</v>
      </c>
      <c r="E2426" t="inlineStr">
        <is>
          <t>Conscious Chemist</t>
        </is>
      </c>
      <c r="F2426" t="inlineStr">
        <is>
          <t>Rs 15 crore</t>
        </is>
      </c>
      <c r="G2426" s="19" t="n">
        <v>15</v>
      </c>
      <c r="H2426" s="19" t="n"/>
      <c r="I2426" t="inlineStr">
        <is>
          <t>Bridge</t>
        </is>
      </c>
      <c r="J2426" t="inlineStr">
        <is>
          <t>Atomic Capital</t>
        </is>
      </c>
      <c r="K2426" t="inlineStr">
        <is>
          <t>https://economictimes.indiatimes.com/tech/funding/skincare-brand-conscious-chemist-raises-rs-15-crore-in-bridge-round-led-by-atomic-capital/articleshow/125835778.cms</t>
        </is>
      </c>
    </row>
    <row r="2427">
      <c r="A2427" t="inlineStr">
        <is>
          <t>INC-20251213-13</t>
        </is>
      </c>
      <c r="B2427" t="inlineStr">
        <is>
          <t>R251208-consciouschemi</t>
        </is>
      </c>
      <c r="C2427" t="inlineStr">
        <is>
          <t>Inc42</t>
        </is>
      </c>
      <c r="D2427" s="17" t="n">
        <v>45999</v>
      </c>
      <c r="E2427" t="inlineStr">
        <is>
          <t>Conscious Chemist</t>
        </is>
      </c>
      <c r="F2427" t="inlineStr">
        <is>
          <t>$1.6 Mn</t>
        </is>
      </c>
      <c r="G2427" s="19" t="n"/>
      <c r="H2427" s="19" t="n">
        <v>1.6</v>
      </c>
      <c r="I2427" t="inlineStr">
        <is>
          <t>Undisclosed</t>
        </is>
      </c>
      <c r="J2427" t="inlineStr">
        <is>
          <t>Atomic Capital</t>
        </is>
      </c>
      <c r="K2427" t="inlineStr">
        <is>
          <t>https://inc42.com/buzz/from-fibe-to-smart-joules-indian-startups-raised-127-mn-this-week/</t>
        </is>
      </c>
    </row>
    <row r="2428">
      <c r="A2428" t="inlineStr">
        <is>
          <t>ENT-10891996</t>
        </is>
      </c>
      <c r="B2428" t="inlineStr">
        <is>
          <t>R251208-frex</t>
        </is>
      </c>
      <c r="C2428" t="inlineStr">
        <is>
          <t>Entrackr</t>
        </is>
      </c>
      <c r="D2428" s="17" t="n">
        <v>45999</v>
      </c>
      <c r="E2428" t="inlineStr">
        <is>
          <t>Frex</t>
        </is>
      </c>
      <c r="F2428" t="inlineStr">
        <is>
          <t>Rs 9.5 crore</t>
        </is>
      </c>
      <c r="G2428" s="19" t="n">
        <v>9.5</v>
      </c>
      <c r="H2428" s="19" t="n"/>
      <c r="I2428" t="inlineStr">
        <is>
          <t>Pre-Seed</t>
        </is>
      </c>
      <c r="J2428" t="inlineStr">
        <is>
          <t>Zeropearl VC; White Venture Capital</t>
        </is>
      </c>
      <c r="K2428" t="inlineStr">
        <is>
          <t>https://entrackr.com/snippets/frex-raises-rs-95-cr-led-by-zeropearl-vc-and-white-venture-capital-10891996</t>
        </is>
      </c>
    </row>
    <row r="2429">
      <c r="A2429" t="inlineStr">
        <is>
          <t>INC-20251213-16</t>
        </is>
      </c>
      <c r="B2429" t="inlineStr">
        <is>
          <t>R251208-frex</t>
        </is>
      </c>
      <c r="C2429" t="inlineStr">
        <is>
          <t>Inc42</t>
        </is>
      </c>
      <c r="D2429" s="17" t="n">
        <v>45999</v>
      </c>
      <c r="E2429" t="inlineStr">
        <is>
          <t>Frex</t>
        </is>
      </c>
      <c r="F2429" t="inlineStr">
        <is>
          <t>$1.1 Mn</t>
        </is>
      </c>
      <c r="G2429" s="19" t="n"/>
      <c r="H2429" s="19" t="n">
        <v>1.1</v>
      </c>
      <c r="I2429" t="inlineStr">
        <is>
          <t>Pre-Seed</t>
        </is>
      </c>
      <c r="J2429" t="inlineStr">
        <is>
          <t>Zeropearl VC; White Venture Capital</t>
        </is>
      </c>
      <c r="K2429" t="inlineStr">
        <is>
          <t>https://inc42.com/buzz/from-fibe-to-smart-joules-indian-startups-raised-127-mn-this-week/</t>
        </is>
      </c>
    </row>
    <row r="2430">
      <c r="A2430" t="inlineStr">
        <is>
          <t>ENT-10892158</t>
        </is>
      </c>
      <c r="B2430" t="inlineStr">
        <is>
          <t>R251208-koriken</t>
        </is>
      </c>
      <c r="C2430" t="inlineStr">
        <is>
          <t>Entrackr</t>
        </is>
      </c>
      <c r="D2430" s="17" t="n">
        <v>45999</v>
      </c>
      <c r="E2430" t="inlineStr">
        <is>
          <t>Koriken</t>
        </is>
      </c>
      <c r="F2430" t="inlineStr">
        <is>
          <t>Rs 4 crore</t>
        </is>
      </c>
      <c r="G2430" s="19" t="n">
        <v>4</v>
      </c>
      <c r="H2430" s="19" t="n"/>
      <c r="I2430" t="inlineStr">
        <is>
          <t>Seed</t>
        </is>
      </c>
      <c r="J2430" t="inlineStr">
        <is>
          <t>Rukam Capital</t>
        </is>
      </c>
      <c r="K2430" t="inlineStr">
        <is>
          <t>https://entrackr.com/snippets/koriken-raises-seed-round-led-by-rukam-capital-10892158</t>
        </is>
      </c>
    </row>
    <row r="2431">
      <c r="A2431" t="inlineStr">
        <is>
          <t>INC-20251213-18</t>
        </is>
      </c>
      <c r="B2431" t="inlineStr">
        <is>
          <t>R251208-koriken</t>
        </is>
      </c>
      <c r="C2431" t="inlineStr">
        <is>
          <t>Inc42</t>
        </is>
      </c>
      <c r="D2431" s="17" t="n">
        <v>45999</v>
      </c>
      <c r="E2431" t="inlineStr">
        <is>
          <t>Koriken</t>
        </is>
      </c>
      <c r="F2431" t="inlineStr">
        <is>
          <t>$443K</t>
        </is>
      </c>
      <c r="G2431" s="19" t="n"/>
      <c r="H2431" s="19" t="n">
        <v>0.443</v>
      </c>
      <c r="I2431" t="inlineStr">
        <is>
          <t>Seed</t>
        </is>
      </c>
      <c r="J2431" t="inlineStr">
        <is>
          <t>Rukam Capital</t>
        </is>
      </c>
      <c r="K2431" t="inlineStr">
        <is>
          <t>https://inc42.com/buzz/from-fibe-to-smart-joules-indian-startups-raised-127-mn-this-week/</t>
        </is>
      </c>
    </row>
    <row r="2432">
      <c r="A2432" t="inlineStr">
        <is>
          <t>ENT-10891182</t>
        </is>
      </c>
      <c r="B2432" t="inlineStr">
        <is>
          <t>R251208-lumov</t>
        </is>
      </c>
      <c r="C2432" t="inlineStr">
        <is>
          <t>Entrackr</t>
        </is>
      </c>
      <c r="D2432" s="17" t="n">
        <v>45999</v>
      </c>
      <c r="E2432" t="inlineStr">
        <is>
          <t>Lumov</t>
        </is>
      </c>
      <c r="F2432" t="inlineStr">
        <is>
          <t>$1.2 million</t>
        </is>
      </c>
      <c r="G2432" s="19" t="n">
        <v>10</v>
      </c>
      <c r="H2432" s="19" t="n">
        <v>1.2</v>
      </c>
      <c r="I2432" t="inlineStr">
        <is>
          <t>Seed</t>
        </is>
      </c>
      <c r="J2432" t="inlineStr">
        <is>
          <t>Incubate Fund Asia</t>
        </is>
      </c>
      <c r="K2432" t="inlineStr">
        <is>
          <t>https://entrackr.com/snippets/orthopedic-recovery-startup-lumov-raises-12-mn-led-by-incubate-fund-10891182</t>
        </is>
      </c>
    </row>
    <row r="2433">
      <c r="A2433" t="inlineStr">
        <is>
          <t>INC-20251213-15</t>
        </is>
      </c>
      <c r="B2433" t="inlineStr">
        <is>
          <t>R251208-lumov</t>
        </is>
      </c>
      <c r="C2433" t="inlineStr">
        <is>
          <t>Inc42</t>
        </is>
      </c>
      <c r="D2433" s="17" t="n">
        <v>45999</v>
      </c>
      <c r="E2433" t="inlineStr">
        <is>
          <t>Lumov Health</t>
        </is>
      </c>
      <c r="F2433" t="inlineStr">
        <is>
          <t>$1.2 Mn</t>
        </is>
      </c>
      <c r="G2433" s="19" t="n"/>
      <c r="H2433" s="19" t="n">
        <v>1.2</v>
      </c>
      <c r="I2433" t="inlineStr">
        <is>
          <t>Seed</t>
        </is>
      </c>
      <c r="J2433" t="inlineStr">
        <is>
          <t>Incubate Fund Asia</t>
        </is>
      </c>
      <c r="K2433" t="inlineStr">
        <is>
          <t>https://inc42.com/buzz/from-fibe-to-smart-joules-indian-startups-raised-127-mn-this-week/</t>
        </is>
      </c>
    </row>
    <row r="2434">
      <c r="A2434" t="inlineStr">
        <is>
          <t>INC-20251220-26</t>
        </is>
      </c>
      <c r="B2434" t="inlineStr">
        <is>
          <t>R251209-clayworks</t>
        </is>
      </c>
      <c r="C2434" t="inlineStr">
        <is>
          <t>Inc42</t>
        </is>
      </c>
      <c r="D2434" s="17" t="n">
        <v>46000</v>
      </c>
      <c r="E2434" t="inlineStr">
        <is>
          <t>ClayWorks</t>
        </is>
      </c>
      <c r="F2434" t="inlineStr"/>
      <c r="G2434" s="19" t="n"/>
      <c r="H2434" s="19" t="n"/>
      <c r="I2434" t="inlineStr">
        <is>
          <t>Undisclosed</t>
        </is>
      </c>
      <c r="J2434" t="inlineStr">
        <is>
          <t>NuVentures</t>
        </is>
      </c>
      <c r="K2434" t="inlineStr">
        <is>
          <t>https://inc42.com/buzz/from-moengage-to-digantara-indian-startups-raised-347-mn-this-week/</t>
        </is>
      </c>
    </row>
    <row r="2435">
      <c r="A2435" t="inlineStr">
        <is>
          <t>ET-125861248</t>
        </is>
      </c>
      <c r="B2435" t="inlineStr">
        <is>
          <t>R251209-emergent</t>
        </is>
      </c>
      <c r="C2435" t="inlineStr">
        <is>
          <t>The Economic Times</t>
        </is>
      </c>
      <c r="D2435" s="17" t="n">
        <v>46000</v>
      </c>
      <c r="E2435" t="inlineStr">
        <is>
          <t>Emergent</t>
        </is>
      </c>
      <c r="F2435" t="inlineStr"/>
      <c r="G2435" s="19" t="n"/>
      <c r="H2435" s="19" t="n"/>
      <c r="I2435" t="inlineStr">
        <is>
          <t>Undisclosed</t>
        </is>
      </c>
      <c r="J2435" t="inlineStr"/>
      <c r="K2435" t="inlineStr">
        <is>
          <t>https://economictimes.indiatimes.com/tech/startups/emergent-gets-strategic-investment-from-googles-ai-futures-fund/articleshow/125861248.cms</t>
        </is>
      </c>
    </row>
    <row r="2436">
      <c r="A2436" t="inlineStr">
        <is>
          <t>INC-20251213-20</t>
        </is>
      </c>
      <c r="B2436" t="inlineStr">
        <is>
          <t>R251209-emergent</t>
        </is>
      </c>
      <c r="C2436" t="inlineStr">
        <is>
          <t>Inc42</t>
        </is>
      </c>
      <c r="D2436" s="17" t="n">
        <v>46000</v>
      </c>
      <c r="E2436" t="inlineStr">
        <is>
          <t>Emergent</t>
        </is>
      </c>
      <c r="F2436" t="inlineStr"/>
      <c r="G2436" s="19" t="n"/>
      <c r="H2436" s="19" t="n"/>
      <c r="I2436" t="inlineStr">
        <is>
          <t>Undisclosed</t>
        </is>
      </c>
      <c r="J2436" t="inlineStr">
        <is>
          <t>Google</t>
        </is>
      </c>
      <c r="K2436" t="inlineStr">
        <is>
          <t>https://inc42.com/buzz/from-fibe-to-smart-joules-indian-startups-raised-127-mn-this-week/</t>
        </is>
      </c>
    </row>
    <row r="2437">
      <c r="A2437" t="inlineStr">
        <is>
          <t>ENT-10895526</t>
        </is>
      </c>
      <c r="B2437" t="inlineStr">
        <is>
          <t>R251209-fibe</t>
        </is>
      </c>
      <c r="C2437" t="inlineStr">
        <is>
          <t>Entrackr</t>
        </is>
      </c>
      <c r="D2437" s="17" t="n">
        <v>46000</v>
      </c>
      <c r="E2437" t="inlineStr">
        <is>
          <t>Fibe</t>
        </is>
      </c>
      <c r="F2437" t="inlineStr">
        <is>
          <t>$35 million</t>
        </is>
      </c>
      <c r="G2437" s="19" t="n"/>
      <c r="H2437" s="19" t="n">
        <v>35</v>
      </c>
      <c r="I2437" t="inlineStr">
        <is>
          <t>Series F</t>
        </is>
      </c>
      <c r="J2437" t="inlineStr">
        <is>
          <t>International Finance Corporation</t>
        </is>
      </c>
      <c r="K2437" t="inlineStr">
        <is>
          <t>https://entrackr.com/news/fibe-raises-35-mn-in-series-f-round-led-by-ifc-10895526</t>
        </is>
      </c>
    </row>
    <row r="2438">
      <c r="A2438" t="inlineStr">
        <is>
          <t>ET-125869054</t>
        </is>
      </c>
      <c r="B2438" t="inlineStr">
        <is>
          <t>R251209-fibe</t>
        </is>
      </c>
      <c r="C2438" t="inlineStr">
        <is>
          <t>The Economic Times</t>
        </is>
      </c>
      <c r="D2438" s="17" t="n">
        <v>46000</v>
      </c>
      <c r="E2438" t="inlineStr">
        <is>
          <t>Fibe</t>
        </is>
      </c>
      <c r="F2438" t="inlineStr">
        <is>
          <t>$35 million</t>
        </is>
      </c>
      <c r="G2438" s="19" t="n"/>
      <c r="H2438" s="19" t="n">
        <v>35</v>
      </c>
      <c r="I2438" t="inlineStr">
        <is>
          <t>Series F</t>
        </is>
      </c>
      <c r="J2438" t="inlineStr"/>
      <c r="K2438" t="inlineStr">
        <is>
          <t>https://economictimes.indiatimes.com/tech/funding/fintech-startup-fibe-raises-35-million-from-ifc-in-series-f-round/articleshow/125869054.cms</t>
        </is>
      </c>
    </row>
    <row r="2439">
      <c r="A2439" t="inlineStr">
        <is>
          <t>INC-20251213-01</t>
        </is>
      </c>
      <c r="B2439" t="inlineStr">
        <is>
          <t>R251209-fibe</t>
        </is>
      </c>
      <c r="C2439" t="inlineStr">
        <is>
          <t>Inc42</t>
        </is>
      </c>
      <c r="D2439" s="17" t="n">
        <v>46000</v>
      </c>
      <c r="E2439" t="inlineStr">
        <is>
          <t>Fibe</t>
        </is>
      </c>
      <c r="F2439" t="inlineStr">
        <is>
          <t>$35 Mn</t>
        </is>
      </c>
      <c r="G2439" s="19" t="n"/>
      <c r="H2439" s="19" t="n">
        <v>35</v>
      </c>
      <c r="I2439" t="inlineStr">
        <is>
          <t>Series F</t>
        </is>
      </c>
      <c r="J2439" t="inlineStr">
        <is>
          <t>International Finance Corporation</t>
        </is>
      </c>
      <c r="K2439" t="inlineStr">
        <is>
          <t>https://inc42.com/buzz/from-fibe-to-smart-joules-indian-startups-raised-127-mn-this-week/</t>
        </is>
      </c>
    </row>
    <row r="2440">
      <c r="A2440" t="inlineStr">
        <is>
          <t>VCC-1b3fb20cf3</t>
        </is>
      </c>
      <c r="B2440" t="inlineStr">
        <is>
          <t>R251209-fibe</t>
        </is>
      </c>
      <c r="C2440" t="inlineStr">
        <is>
          <t>VCCircle</t>
        </is>
      </c>
      <c r="D2440" s="17" t="n">
        <v>46000</v>
      </c>
      <c r="E2440" t="inlineStr">
        <is>
          <t>fibe</t>
        </is>
      </c>
      <c r="F2440" t="inlineStr">
        <is>
          <t>$ 35 million</t>
        </is>
      </c>
      <c r="G2440" s="19" t="n"/>
      <c r="H2440" s="19" t="n">
        <v>35</v>
      </c>
      <c r="I2440" t="inlineStr">
        <is>
          <t>Undisclosed</t>
        </is>
      </c>
      <c r="J2440" t="inlineStr"/>
      <c r="K2440" t="inlineStr">
        <is>
          <t>https://www.vccircle.com/tpgbacked-fintech-platform-fibe-bags-35-mn-cheque-from-ifc</t>
        </is>
      </c>
    </row>
    <row r="2441">
      <c r="A2441" t="inlineStr">
        <is>
          <t>ENT-10894181</t>
        </is>
      </c>
      <c r="B2441" t="inlineStr">
        <is>
          <t>R251209-mukundjha</t>
        </is>
      </c>
      <c r="C2441" t="inlineStr">
        <is>
          <t>Entrackr</t>
        </is>
      </c>
      <c r="D2441" s="17" t="n">
        <v>46000</v>
      </c>
      <c r="E2441" t="inlineStr">
        <is>
          <t>Mukund Jha</t>
        </is>
      </c>
      <c r="F2441" t="inlineStr"/>
      <c r="G2441" s="19" t="n"/>
      <c r="H2441" s="19" t="n"/>
      <c r="I2441" t="inlineStr">
        <is>
          <t>Undisclosed</t>
        </is>
      </c>
      <c r="J2441" t="inlineStr"/>
      <c r="K2441" t="inlineStr">
        <is>
          <t>https://entrackr.com/snippets/googles-ai-futures-fund-backs-mukund-jhas-emergent-10894181</t>
        </is>
      </c>
    </row>
    <row r="2442">
      <c r="A2442" t="inlineStr">
        <is>
          <t>ENT-10897658</t>
        </is>
      </c>
      <c r="B2442" t="inlineStr">
        <is>
          <t>R251210-aiemailclientf</t>
        </is>
      </c>
      <c r="C2442" t="inlineStr">
        <is>
          <t>Entrackr</t>
        </is>
      </c>
      <c r="D2442" s="17" t="n">
        <v>46001</v>
      </c>
      <c r="E2442" t="inlineStr">
        <is>
          <t>AI email client Faraday</t>
        </is>
      </c>
      <c r="F2442" t="inlineStr">
        <is>
          <t>$0.2 million</t>
        </is>
      </c>
      <c r="G2442" s="19" t="n"/>
      <c r="H2442" s="19" t="n">
        <v>0.2</v>
      </c>
      <c r="I2442" t="inlineStr">
        <is>
          <t>Pre-Seed</t>
        </is>
      </c>
      <c r="J2442" t="inlineStr">
        <is>
          <t>AJVC</t>
        </is>
      </c>
      <c r="K2442" t="inlineStr">
        <is>
          <t>https://entrackr.com/snippets/ai-email-client-faraday-raises-02-mn-in-pre-seed-round-led-by-ajvc-10897658</t>
        </is>
      </c>
    </row>
    <row r="2443">
      <c r="A2443" t="inlineStr">
        <is>
          <t>ENT-10897458</t>
        </is>
      </c>
      <c r="B2443" t="inlineStr">
        <is>
          <t>R251210-drpaws</t>
        </is>
      </c>
      <c r="C2443" t="inlineStr">
        <is>
          <t>Entrackr</t>
        </is>
      </c>
      <c r="D2443" s="17" t="n">
        <v>46001</v>
      </c>
      <c r="E2443" t="inlineStr">
        <is>
          <t>Dr. Paws</t>
        </is>
      </c>
      <c r="F2443" t="inlineStr">
        <is>
          <t>Rs 29.3 crore</t>
        </is>
      </c>
      <c r="G2443" s="19" t="n">
        <v>29.3</v>
      </c>
      <c r="H2443" s="19" t="n">
        <v>3.5</v>
      </c>
      <c r="I2443" t="inlineStr">
        <is>
          <t>Pre-Series A</t>
        </is>
      </c>
      <c r="J2443" t="inlineStr">
        <is>
          <t>Chiratae Ventures</t>
        </is>
      </c>
      <c r="K2443" t="inlineStr">
        <is>
          <t>https://entrackr.com/snippets/dr-paws-raises-rs-293-cr-in-pre-series-a-led-by-chiratae-ventures-10897458</t>
        </is>
      </c>
    </row>
    <row r="2444">
      <c r="A2444" t="inlineStr">
        <is>
          <t>ET-125893844</t>
        </is>
      </c>
      <c r="B2444" t="inlineStr">
        <is>
          <t>R251210-drpaws</t>
        </is>
      </c>
      <c r="C2444" t="inlineStr">
        <is>
          <t>The Economic Times</t>
        </is>
      </c>
      <c r="D2444" s="17" t="n">
        <v>46001</v>
      </c>
      <c r="E2444" t="inlineStr">
        <is>
          <t>Dr Paws</t>
        </is>
      </c>
      <c r="F2444" t="inlineStr">
        <is>
          <t>Rs 29.3 crore</t>
        </is>
      </c>
      <c r="G2444" s="19" t="n">
        <v>29.3</v>
      </c>
      <c r="H2444" s="19" t="n">
        <v>3.2</v>
      </c>
      <c r="I2444" t="inlineStr">
        <is>
          <t>Undisclosed</t>
        </is>
      </c>
      <c r="J2444" t="inlineStr">
        <is>
          <t>Chiratae Ventures</t>
        </is>
      </c>
      <c r="K2444" t="inlineStr">
        <is>
          <t>https://economictimes.indiatimes.com/tech/funding/veterinary-chain-dr-paws-raises-3-2-million-led-by-chiratae-ventures/articleshow/125893844.cms</t>
        </is>
      </c>
    </row>
    <row r="2445">
      <c r="A2445" t="inlineStr">
        <is>
          <t>INC-20251213-10</t>
        </is>
      </c>
      <c r="B2445" t="inlineStr">
        <is>
          <t>R251210-drpaws</t>
        </is>
      </c>
      <c r="C2445" t="inlineStr">
        <is>
          <t>Inc42</t>
        </is>
      </c>
      <c r="D2445" s="17" t="n">
        <v>46002</v>
      </c>
      <c r="E2445" t="inlineStr">
        <is>
          <t>Dr. Paws</t>
        </is>
      </c>
      <c r="F2445" t="inlineStr">
        <is>
          <t>$3.3 Mn</t>
        </is>
      </c>
      <c r="G2445" s="19" t="n"/>
      <c r="H2445" s="19" t="n">
        <v>3.3</v>
      </c>
      <c r="I2445" t="inlineStr">
        <is>
          <t>Pre-Series A</t>
        </is>
      </c>
      <c r="J2445" t="inlineStr">
        <is>
          <t>Chiratae Ventures</t>
        </is>
      </c>
      <c r="K2445" t="inlineStr">
        <is>
          <t>https://inc42.com/buzz/from-fibe-to-smart-joules-indian-startups-raised-127-mn-this-week/</t>
        </is>
      </c>
    </row>
    <row r="2446">
      <c r="A2446" t="inlineStr">
        <is>
          <t>ENT-10897435</t>
        </is>
      </c>
      <c r="B2446" t="inlineStr">
        <is>
          <t>R251210-earthful</t>
        </is>
      </c>
      <c r="C2446" t="inlineStr">
        <is>
          <t>Entrackr</t>
        </is>
      </c>
      <c r="D2446" s="17" t="n">
        <v>46001</v>
      </c>
      <c r="E2446" t="inlineStr">
        <is>
          <t>Earthful</t>
        </is>
      </c>
      <c r="F2446" t="inlineStr">
        <is>
          <t>Rs 26 crore</t>
        </is>
      </c>
      <c r="G2446" s="19" t="n">
        <v>26</v>
      </c>
      <c r="H2446" s="19" t="n">
        <v>2.89</v>
      </c>
      <c r="I2446" t="inlineStr">
        <is>
          <t>Pre-Series A</t>
        </is>
      </c>
      <c r="J2446" t="inlineStr">
        <is>
          <t>Fireside Ventures; V3 Ventures</t>
        </is>
      </c>
      <c r="K2446" t="inlineStr">
        <is>
          <t>https://entrackr.com/snippets/earthful-raises-rs-26-cr-led-by-fireside-and-v3-ventures-10897435</t>
        </is>
      </c>
    </row>
    <row r="2447">
      <c r="A2447" t="inlineStr">
        <is>
          <t>ET-125889938</t>
        </is>
      </c>
      <c r="B2447" t="inlineStr">
        <is>
          <t>R251210-earthful</t>
        </is>
      </c>
      <c r="C2447" t="inlineStr">
        <is>
          <t>The Economic Times</t>
        </is>
      </c>
      <c r="D2447" s="17" t="n">
        <v>46001</v>
      </c>
      <c r="E2447" t="inlineStr">
        <is>
          <t>Earthful</t>
        </is>
      </c>
      <c r="F2447" t="inlineStr">
        <is>
          <t>Rs 26 crore</t>
        </is>
      </c>
      <c r="G2447" s="19" t="n">
        <v>26</v>
      </c>
      <c r="H2447" s="19" t="n">
        <v>2.8</v>
      </c>
      <c r="I2447" t="inlineStr">
        <is>
          <t>Undisclosed</t>
        </is>
      </c>
      <c r="J2447" t="inlineStr">
        <is>
          <t>Fireside Ventures; V3 Ventures</t>
        </is>
      </c>
      <c r="K2447" t="inlineStr">
        <is>
          <t>https://economictimes.indiatimes.com/tech/funding/plant-based-nutrition-brand-earthful-raises-2-8-million-from-fireside-ventures-others/articleshow/125889938.cms</t>
        </is>
      </c>
    </row>
    <row r="2448">
      <c r="A2448" t="inlineStr">
        <is>
          <t>INC-20251213-11</t>
        </is>
      </c>
      <c r="B2448" t="inlineStr">
        <is>
          <t>R251210-earthful</t>
        </is>
      </c>
      <c r="C2448" t="inlineStr">
        <is>
          <t>Inc42</t>
        </is>
      </c>
      <c r="D2448" s="17" t="n">
        <v>46001</v>
      </c>
      <c r="E2448" t="inlineStr">
        <is>
          <t>Earthful</t>
        </is>
      </c>
      <c r="F2448" t="inlineStr">
        <is>
          <t>$3.1 Mn</t>
        </is>
      </c>
      <c r="G2448" s="19" t="n"/>
      <c r="H2448" s="19" t="n">
        <v>3.1</v>
      </c>
      <c r="I2448" t="inlineStr">
        <is>
          <t>Pre-Series A</t>
        </is>
      </c>
      <c r="J2448" t="inlineStr">
        <is>
          <t>Fireside Ventures; V3 Ventures</t>
        </is>
      </c>
      <c r="K2448" t="inlineStr">
        <is>
          <t>https://inc42.com/buzz/from-fibe-to-smart-joules-indian-startups-raised-127-mn-this-week/</t>
        </is>
      </c>
    </row>
    <row r="2449">
      <c r="A2449" t="inlineStr">
        <is>
          <t>ET-125892435</t>
        </is>
      </c>
      <c r="B2449" t="inlineStr">
        <is>
          <t>R251210-elecbits</t>
        </is>
      </c>
      <c r="C2449" t="inlineStr">
        <is>
          <t>The Economic Times</t>
        </is>
      </c>
      <c r="D2449" s="17" t="n">
        <v>46001</v>
      </c>
      <c r="E2449" t="inlineStr">
        <is>
          <t>Elecbits</t>
        </is>
      </c>
      <c r="F2449" t="inlineStr">
        <is>
          <t>$5.5 million</t>
        </is>
      </c>
      <c r="G2449" s="19" t="n"/>
      <c r="H2449" s="19" t="n">
        <v>5.5</v>
      </c>
      <c r="I2449" t="inlineStr">
        <is>
          <t>Series A</t>
        </is>
      </c>
      <c r="J2449" t="inlineStr">
        <is>
          <t>Nexus Venture Partners</t>
        </is>
      </c>
      <c r="K2449" t="inlineStr">
        <is>
          <t>https://economictimes.indiatimes.com/tech/funding/electronic-design-startup-elecbits-raises-5-5-million-in-series-a-round-led-by-nexus-venture-partners/articleshow/125892435.cms</t>
        </is>
      </c>
    </row>
    <row r="2450">
      <c r="A2450" t="inlineStr">
        <is>
          <t>INC-20251213-07</t>
        </is>
      </c>
      <c r="B2450" t="inlineStr">
        <is>
          <t>R251210-elecbits</t>
        </is>
      </c>
      <c r="C2450" t="inlineStr">
        <is>
          <t>Inc42</t>
        </is>
      </c>
      <c r="D2450" s="17" t="n">
        <v>46001</v>
      </c>
      <c r="E2450" t="inlineStr">
        <is>
          <t>Elecbits</t>
        </is>
      </c>
      <c r="F2450" t="inlineStr">
        <is>
          <t>$5.5 Mn</t>
        </is>
      </c>
      <c r="G2450" s="19" t="n"/>
      <c r="H2450" s="19" t="n">
        <v>5.5</v>
      </c>
      <c r="I2450" t="inlineStr">
        <is>
          <t>Series A</t>
        </is>
      </c>
      <c r="J2450" t="inlineStr">
        <is>
          <t>Nexus Venture Partners</t>
        </is>
      </c>
      <c r="K2450" t="inlineStr">
        <is>
          <t>https://inc42.com/buzz/from-fibe-to-smart-joules-indian-startups-raised-127-mn-this-week/</t>
        </is>
      </c>
    </row>
    <row r="2451">
      <c r="A2451" t="inlineStr">
        <is>
          <t>INC-20251213-19</t>
        </is>
      </c>
      <c r="B2451" t="inlineStr">
        <is>
          <t>R251210-faraday</t>
        </is>
      </c>
      <c r="C2451" t="inlineStr">
        <is>
          <t>Inc42</t>
        </is>
      </c>
      <c r="D2451" s="17" t="n">
        <v>46001</v>
      </c>
      <c r="E2451" t="inlineStr">
        <is>
          <t>Faraday</t>
        </is>
      </c>
      <c r="F2451" t="inlineStr">
        <is>
          <t>$200K</t>
        </is>
      </c>
      <c r="G2451" s="19" t="n"/>
      <c r="H2451" s="19" t="n">
        <v>0.2</v>
      </c>
      <c r="I2451" t="inlineStr">
        <is>
          <t>Undisclosed</t>
        </is>
      </c>
      <c r="J2451" t="inlineStr"/>
      <c r="K2451" t="inlineStr">
        <is>
          <t>https://inc42.com/buzz/from-fibe-to-smart-joules-indian-startups-raised-127-mn-this-week/</t>
        </is>
      </c>
    </row>
    <row r="2452">
      <c r="A2452" t="inlineStr">
        <is>
          <t>ENT-10897062</t>
        </is>
      </c>
      <c r="B2452" t="inlineStr">
        <is>
          <t>R251210-knot</t>
        </is>
      </c>
      <c r="C2452" t="inlineStr">
        <is>
          <t>Entrackr</t>
        </is>
      </c>
      <c r="D2452" s="17" t="n">
        <v>46001</v>
      </c>
      <c r="E2452" t="inlineStr">
        <is>
          <t>KNOT</t>
        </is>
      </c>
      <c r="F2452" t="inlineStr">
        <is>
          <t>$5 million</t>
        </is>
      </c>
      <c r="G2452" s="19" t="n"/>
      <c r="H2452" s="19" t="n">
        <v>5</v>
      </c>
      <c r="I2452" t="inlineStr">
        <is>
          <t>Undisclosed</t>
        </is>
      </c>
      <c r="J2452" t="inlineStr">
        <is>
          <t>12 Flags</t>
        </is>
      </c>
      <c r="K2452" t="inlineStr">
        <is>
          <t>https://entrackr.com/snippets/quick-fashion-delivery-startup-knot-raises-5-mn-to-scale-60-min-delivery-10897062</t>
        </is>
      </c>
    </row>
    <row r="2453">
      <c r="A2453" t="inlineStr">
        <is>
          <t>INC-20251213-08</t>
        </is>
      </c>
      <c r="B2453" t="inlineStr">
        <is>
          <t>R251210-knot</t>
        </is>
      </c>
      <c r="C2453" t="inlineStr">
        <is>
          <t>Inc42</t>
        </is>
      </c>
      <c r="D2453" s="17" t="n">
        <v>46001</v>
      </c>
      <c r="E2453" t="inlineStr">
        <is>
          <t>KNOT</t>
        </is>
      </c>
      <c r="F2453" t="inlineStr">
        <is>
          <t>$5 Mn</t>
        </is>
      </c>
      <c r="G2453" s="19" t="n"/>
      <c r="H2453" s="19" t="n">
        <v>5</v>
      </c>
      <c r="I2453" t="inlineStr">
        <is>
          <t>Undisclosed</t>
        </is>
      </c>
      <c r="J2453" t="inlineStr">
        <is>
          <t>12 Flags</t>
        </is>
      </c>
      <c r="K2453" t="inlineStr">
        <is>
          <t>https://inc42.com/buzz/from-fibe-to-smart-joules-indian-startups-raised-127-mn-this-week/</t>
        </is>
      </c>
    </row>
    <row r="2454">
      <c r="A2454" t="inlineStr">
        <is>
          <t>ENT-10897099</t>
        </is>
      </c>
      <c r="B2454" t="inlineStr">
        <is>
          <t>R251210-skydo</t>
        </is>
      </c>
      <c r="C2454" t="inlineStr">
        <is>
          <t>Entrackr</t>
        </is>
      </c>
      <c r="D2454" s="17" t="n">
        <v>46001</v>
      </c>
      <c r="E2454" t="inlineStr">
        <is>
          <t>Skydo</t>
        </is>
      </c>
      <c r="F2454" t="inlineStr">
        <is>
          <t>$10 million</t>
        </is>
      </c>
      <c r="G2454" s="19" t="n"/>
      <c r="H2454" s="19" t="n">
        <v>10</v>
      </c>
      <c r="I2454" t="inlineStr">
        <is>
          <t>Series A</t>
        </is>
      </c>
      <c r="J2454" t="inlineStr">
        <is>
          <t>Susquehanna Asia Venture Capital</t>
        </is>
      </c>
      <c r="K2454" t="inlineStr">
        <is>
          <t>https://entrackr.com/news/skydo-raises-10-mn-in-series-a-led-by-susquehanna-asia-vc-10897099</t>
        </is>
      </c>
    </row>
    <row r="2455">
      <c r="A2455" t="inlineStr">
        <is>
          <t>ET-125877194</t>
        </is>
      </c>
      <c r="B2455" t="inlineStr">
        <is>
          <t>R251210-skydo</t>
        </is>
      </c>
      <c r="C2455" t="inlineStr">
        <is>
          <t>The Economic Times</t>
        </is>
      </c>
      <c r="D2455" s="17" t="n">
        <v>46001</v>
      </c>
      <c r="E2455" t="inlineStr">
        <is>
          <t>Skydo</t>
        </is>
      </c>
      <c r="F2455" t="inlineStr">
        <is>
          <t>$10 million</t>
        </is>
      </c>
      <c r="G2455" s="19" t="n">
        <v>90</v>
      </c>
      <c r="H2455" s="19" t="n">
        <v>10</v>
      </c>
      <c r="I2455" t="inlineStr">
        <is>
          <t>Undisclosed</t>
        </is>
      </c>
      <c r="J2455" t="inlineStr">
        <is>
          <t>Susquehanna Investment Group</t>
        </is>
      </c>
      <c r="K2455" t="inlineStr">
        <is>
          <t>https://economictimes.indiatimes.com/tech/funding/skydo-secures-rs-90-crore-in-fresh-funding/articleshow/125877194.cms</t>
        </is>
      </c>
    </row>
    <row r="2456">
      <c r="A2456" t="inlineStr">
        <is>
          <t>INC-20251213-03</t>
        </is>
      </c>
      <c r="B2456" t="inlineStr">
        <is>
          <t>R251210-skydo</t>
        </is>
      </c>
      <c r="C2456" t="inlineStr">
        <is>
          <t>Inc42</t>
        </is>
      </c>
      <c r="D2456" s="17" t="n">
        <v>46001</v>
      </c>
      <c r="E2456" t="inlineStr">
        <is>
          <t>Skydo</t>
        </is>
      </c>
      <c r="F2456" t="inlineStr">
        <is>
          <t>$10 Mn</t>
        </is>
      </c>
      <c r="G2456" s="19" t="n"/>
      <c r="H2456" s="19" t="n">
        <v>10</v>
      </c>
      <c r="I2456" t="inlineStr">
        <is>
          <t>Series A</t>
        </is>
      </c>
      <c r="J2456" t="inlineStr">
        <is>
          <t>Susquehanna Asia Venture Capital</t>
        </is>
      </c>
      <c r="K2456" t="inlineStr">
        <is>
          <t>https://inc42.com/buzz/from-fibe-to-smart-joules-indian-startups-raised-127-mn-this-week/</t>
        </is>
      </c>
    </row>
    <row r="2457">
      <c r="A2457" t="inlineStr">
        <is>
          <t>ENT-10898864</t>
        </is>
      </c>
      <c r="B2457" t="inlineStr">
        <is>
          <t>R251210-smartjoules</t>
        </is>
      </c>
      <c r="C2457" t="inlineStr">
        <is>
          <t>Entrackr</t>
        </is>
      </c>
      <c r="D2457" s="17" t="n">
        <v>46001</v>
      </c>
      <c r="E2457" t="inlineStr">
        <is>
          <t>Smart Joules</t>
        </is>
      </c>
      <c r="F2457" t="inlineStr">
        <is>
          <t>$10 million</t>
        </is>
      </c>
      <c r="G2457" s="19" t="n"/>
      <c r="H2457" s="19" t="n">
        <v>10</v>
      </c>
      <c r="I2457" t="inlineStr">
        <is>
          <t>Series B</t>
        </is>
      </c>
      <c r="J2457" t="inlineStr">
        <is>
          <t>Neev II Fund</t>
        </is>
      </c>
      <c r="K2457" t="inlineStr">
        <is>
          <t>https://entrackr.com/snippets/smart-joules-raises-10-mn-in-series-b-round-10898864</t>
        </is>
      </c>
    </row>
    <row r="2458">
      <c r="A2458" t="inlineStr">
        <is>
          <t>INC-20251213-04</t>
        </is>
      </c>
      <c r="B2458" t="inlineStr">
        <is>
          <t>R251210-smartjoules</t>
        </is>
      </c>
      <c r="C2458" t="inlineStr">
        <is>
          <t>Inc42</t>
        </is>
      </c>
      <c r="D2458" s="17" t="n">
        <v>46001</v>
      </c>
      <c r="E2458" t="inlineStr">
        <is>
          <t>Smart Joules</t>
        </is>
      </c>
      <c r="F2458" t="inlineStr">
        <is>
          <t>$10 Mn</t>
        </is>
      </c>
      <c r="G2458" s="19" t="n"/>
      <c r="H2458" s="19" t="n">
        <v>10</v>
      </c>
      <c r="I2458" t="inlineStr">
        <is>
          <t>Series B</t>
        </is>
      </c>
      <c r="J2458" t="inlineStr">
        <is>
          <t>SBI Ventures</t>
        </is>
      </c>
      <c r="K2458" t="inlineStr">
        <is>
          <t>https://inc42.com/buzz/from-fibe-to-smart-joules-indian-startups-raised-127-mn-this-week/</t>
        </is>
      </c>
    </row>
    <row r="2459">
      <c r="A2459" t="inlineStr">
        <is>
          <t>VCC-8d892bb386</t>
        </is>
      </c>
      <c r="B2459" t="inlineStr">
        <is>
          <t>R251210-smartjoules</t>
        </is>
      </c>
      <c r="C2459" t="inlineStr">
        <is>
          <t>VCCircle</t>
        </is>
      </c>
      <c r="D2459" s="17" t="n">
        <v>46001</v>
      </c>
      <c r="E2459" t="inlineStr">
        <is>
          <t>smart joules</t>
        </is>
      </c>
      <c r="F2459" t="inlineStr">
        <is>
          <t>$ 10 million</t>
        </is>
      </c>
      <c r="G2459" s="19" t="n"/>
      <c r="H2459" s="19" t="n">
        <v>10</v>
      </c>
      <c r="I2459" t="inlineStr">
        <is>
          <t>Series B</t>
        </is>
      </c>
      <c r="J2459" t="inlineStr"/>
      <c r="K2459" t="inlineStr">
        <is>
          <t>https://www.vccircle.com/energyefficiency-startup-smart-joules-raises-10mn-in-series-b</t>
        </is>
      </c>
    </row>
    <row r="2460">
      <c r="A2460" t="inlineStr">
        <is>
          <t>ENT-10895434</t>
        </is>
      </c>
      <c r="B2460" t="inlineStr">
        <is>
          <t>R251210-superbryn</t>
        </is>
      </c>
      <c r="C2460" t="inlineStr">
        <is>
          <t>Entrackr</t>
        </is>
      </c>
      <c r="D2460" s="17" t="n">
        <v>46001</v>
      </c>
      <c r="E2460" t="inlineStr">
        <is>
          <t>SuperBryn</t>
        </is>
      </c>
      <c r="F2460" t="inlineStr">
        <is>
          <t>$1.2 million</t>
        </is>
      </c>
      <c r="G2460" s="19" t="n"/>
      <c r="H2460" s="19" t="n">
        <v>1.2</v>
      </c>
      <c r="I2460" t="inlineStr">
        <is>
          <t>Pre-Seed</t>
        </is>
      </c>
      <c r="J2460" t="inlineStr">
        <is>
          <t>CXXO initiative</t>
        </is>
      </c>
      <c r="K2460" t="inlineStr">
        <is>
          <t>https://entrackr.com/snippets/superbryn-raises-12-mn-led-by-kalaari-capitals-cxxo-10895434</t>
        </is>
      </c>
    </row>
    <row r="2461">
      <c r="A2461" t="inlineStr">
        <is>
          <t>ET-125872445</t>
        </is>
      </c>
      <c r="B2461" t="inlineStr">
        <is>
          <t>R251210-superbryn</t>
        </is>
      </c>
      <c r="C2461" t="inlineStr">
        <is>
          <t>The Economic Times</t>
        </is>
      </c>
      <c r="D2461" s="17" t="n">
        <v>46001</v>
      </c>
      <c r="E2461" t="inlineStr">
        <is>
          <t>SuperBryn</t>
        </is>
      </c>
      <c r="F2461" t="inlineStr">
        <is>
          <t>$1.2 million</t>
        </is>
      </c>
      <c r="G2461" s="19" t="n"/>
      <c r="H2461" s="19" t="n">
        <v>1.2</v>
      </c>
      <c r="I2461" t="inlineStr">
        <is>
          <t>Pre-Seed</t>
        </is>
      </c>
      <c r="J2461" t="inlineStr">
        <is>
          <t>CXXO initiative</t>
        </is>
      </c>
      <c r="K2461" t="inlineStr">
        <is>
          <t>https://economictimes.indiatimes.com/tech/funding/voice-ai-startup-superbryn-raises-1-2-million-from-kalaari-capital-angels/articleshow/125872445.cms</t>
        </is>
      </c>
    </row>
    <row r="2462">
      <c r="A2462" t="inlineStr">
        <is>
          <t>INC-20251213-14</t>
        </is>
      </c>
      <c r="B2462" t="inlineStr">
        <is>
          <t>R251210-superbryn</t>
        </is>
      </c>
      <c r="C2462" t="inlineStr">
        <is>
          <t>Inc42</t>
        </is>
      </c>
      <c r="D2462" s="17" t="n">
        <v>46001</v>
      </c>
      <c r="E2462" t="inlineStr">
        <is>
          <t>SuperBryn</t>
        </is>
      </c>
      <c r="F2462" t="inlineStr">
        <is>
          <t>$1.2 Mn</t>
        </is>
      </c>
      <c r="G2462" s="19" t="n"/>
      <c r="H2462" s="19" t="n">
        <v>1.2</v>
      </c>
      <c r="I2462" t="inlineStr">
        <is>
          <t>Pre-Seed</t>
        </is>
      </c>
      <c r="J2462" t="inlineStr">
        <is>
          <t>Kalaari Capital</t>
        </is>
      </c>
      <c r="K2462" t="inlineStr">
        <is>
          <t>https://inc42.com/buzz/from-fibe-to-smart-joules-indian-startups-raised-127-mn-this-week/</t>
        </is>
      </c>
    </row>
    <row r="2463">
      <c r="A2463" t="inlineStr">
        <is>
          <t>ENT-10897310</t>
        </is>
      </c>
      <c r="B2463" t="inlineStr">
        <is>
          <t>R251210-uolo</t>
        </is>
      </c>
      <c r="C2463" t="inlineStr">
        <is>
          <t>Entrackr</t>
        </is>
      </c>
      <c r="D2463" s="17" t="n">
        <v>46001</v>
      </c>
      <c r="E2463" t="inlineStr">
        <is>
          <t>Uolo</t>
        </is>
      </c>
      <c r="F2463" t="inlineStr">
        <is>
          <t>$7 million</t>
        </is>
      </c>
      <c r="G2463" s="19" t="n"/>
      <c r="H2463" s="19" t="n">
        <v>7</v>
      </c>
      <c r="I2463" t="inlineStr">
        <is>
          <t>Undisclosed</t>
        </is>
      </c>
      <c r="J2463" t="inlineStr">
        <is>
          <t>Five Sigma</t>
        </is>
      </c>
      <c r="K2463" t="inlineStr">
        <is>
          <t>https://entrackr.com/snippets/edtech-startup-uolo-raises-7-mn-led-by-five-sigma-10897310</t>
        </is>
      </c>
    </row>
    <row r="2464">
      <c r="A2464" t="inlineStr">
        <is>
          <t>ET-125877095</t>
        </is>
      </c>
      <c r="B2464" t="inlineStr">
        <is>
          <t>R251210-uolo</t>
        </is>
      </c>
      <c r="C2464" t="inlineStr">
        <is>
          <t>The Economic Times</t>
        </is>
      </c>
      <c r="D2464" s="17" t="n">
        <v>46001</v>
      </c>
      <c r="E2464" t="inlineStr">
        <is>
          <t>Uolo</t>
        </is>
      </c>
      <c r="F2464" t="inlineStr">
        <is>
          <t>$7 million</t>
        </is>
      </c>
      <c r="G2464" s="19" t="n">
        <v>63</v>
      </c>
      <c r="H2464" s="19" t="n">
        <v>7</v>
      </c>
      <c r="I2464" t="inlineStr">
        <is>
          <t>Undisclosed</t>
        </is>
      </c>
      <c r="J2464" t="inlineStr">
        <is>
          <t>Five Sigma</t>
        </is>
      </c>
      <c r="K2464" t="inlineStr">
        <is>
          <t>https://economictimes.indiatimes.com/tech/funding/edtch-firm-uolo-raises-7-million/articleshow/125877095.cms</t>
        </is>
      </c>
    </row>
    <row r="2465">
      <c r="A2465" t="inlineStr">
        <is>
          <t>INC-20251213-05</t>
        </is>
      </c>
      <c r="B2465" t="inlineStr">
        <is>
          <t>R251210-uolo</t>
        </is>
      </c>
      <c r="C2465" t="inlineStr">
        <is>
          <t>Inc42</t>
        </is>
      </c>
      <c r="D2465" s="17" t="n">
        <v>46002</v>
      </c>
      <c r="E2465" t="inlineStr">
        <is>
          <t>Uolo</t>
        </is>
      </c>
      <c r="F2465" t="inlineStr">
        <is>
          <t>$7 Mn</t>
        </is>
      </c>
      <c r="G2465" s="19" t="n"/>
      <c r="H2465" s="19" t="n">
        <v>7</v>
      </c>
      <c r="I2465" t="inlineStr">
        <is>
          <t>Pre-Series B</t>
        </is>
      </c>
      <c r="J2465" t="inlineStr">
        <is>
          <t>Five Sigma</t>
        </is>
      </c>
      <c r="K2465" t="inlineStr">
        <is>
          <t>https://inc42.com/buzz/from-fibe-to-smart-joules-indian-startups-raised-127-mn-this-week/</t>
        </is>
      </c>
    </row>
    <row r="2466">
      <c r="A2466" t="inlineStr">
        <is>
          <t>ENT-10900583</t>
        </is>
      </c>
      <c r="B2466" t="inlineStr">
        <is>
          <t>R251211-inito</t>
        </is>
      </c>
      <c r="C2466" t="inlineStr">
        <is>
          <t>Entrackr</t>
        </is>
      </c>
      <c r="D2466" s="17" t="n">
        <v>46002</v>
      </c>
      <c r="E2466" t="inlineStr">
        <is>
          <t>Inito</t>
        </is>
      </c>
      <c r="F2466" t="inlineStr">
        <is>
          <t>$29 million</t>
        </is>
      </c>
      <c r="G2466" s="19" t="n"/>
      <c r="H2466" s="19" t="n">
        <v>29</v>
      </c>
      <c r="I2466" t="inlineStr">
        <is>
          <t>Series B</t>
        </is>
      </c>
      <c r="J2466" t="inlineStr">
        <is>
          <t>Bertelsmann India Investments</t>
        </is>
      </c>
      <c r="K2466" t="inlineStr">
        <is>
          <t>https://entrackr.com/news/inito-raises-29-mn-in-series-b-round-led-by-bertelsmann-india-10900583</t>
        </is>
      </c>
    </row>
    <row r="2467">
      <c r="A2467" t="inlineStr">
        <is>
          <t>INC-20251213-02</t>
        </is>
      </c>
      <c r="B2467" t="inlineStr">
        <is>
          <t>R251211-inito</t>
        </is>
      </c>
      <c r="C2467" t="inlineStr">
        <is>
          <t>Inc42</t>
        </is>
      </c>
      <c r="D2467" s="17" t="n">
        <v>46002</v>
      </c>
      <c r="E2467" t="inlineStr">
        <is>
          <t>Inito</t>
        </is>
      </c>
      <c r="F2467" t="inlineStr">
        <is>
          <t>$29 Mn</t>
        </is>
      </c>
      <c r="G2467" s="19" t="n"/>
      <c r="H2467" s="19" t="n">
        <v>29</v>
      </c>
      <c r="I2467" t="inlineStr">
        <is>
          <t>Series B</t>
        </is>
      </c>
      <c r="J2467" t="inlineStr">
        <is>
          <t>Bertelsmann India Investments; Fireside Ventures</t>
        </is>
      </c>
      <c r="K2467" t="inlineStr">
        <is>
          <t>https://inc42.com/buzz/from-fibe-to-smart-joules-indian-startups-raised-127-mn-this-week/</t>
        </is>
      </c>
    </row>
    <row r="2468">
      <c r="A2468" t="inlineStr">
        <is>
          <t>VCC-94314ac562</t>
        </is>
      </c>
      <c r="B2468" t="inlineStr">
        <is>
          <t>R251211-inito</t>
        </is>
      </c>
      <c r="C2468" t="inlineStr">
        <is>
          <t>VCCircle</t>
        </is>
      </c>
      <c r="D2468" s="17" t="n">
        <v>46002</v>
      </c>
      <c r="E2468" t="inlineStr">
        <is>
          <t>inito</t>
        </is>
      </c>
      <c r="F2468" t="inlineStr">
        <is>
          <t>$ 29 million</t>
        </is>
      </c>
      <c r="G2468" s="19" t="n"/>
      <c r="H2468" s="19" t="n">
        <v>29</v>
      </c>
      <c r="I2468" t="inlineStr">
        <is>
          <t>Series B</t>
        </is>
      </c>
      <c r="J2468" t="inlineStr"/>
      <c r="K2468" t="inlineStr">
        <is>
          <t>https://www.vccircle.com/firesideventures-backed-healthtech-firm-inito-bags-29-mn-in-series-b</t>
        </is>
      </c>
    </row>
    <row r="2469">
      <c r="A2469" t="inlineStr">
        <is>
          <t>INC-20251213-06</t>
        </is>
      </c>
      <c r="B2469" t="inlineStr">
        <is>
          <t>R251211-isprout</t>
        </is>
      </c>
      <c r="C2469" t="inlineStr">
        <is>
          <t>Inc42</t>
        </is>
      </c>
      <c r="D2469" s="17" t="n">
        <v>46002</v>
      </c>
      <c r="E2469" t="inlineStr">
        <is>
          <t>iSprout</t>
        </is>
      </c>
      <c r="F2469" t="inlineStr">
        <is>
          <t>$6.6 Mn</t>
        </is>
      </c>
      <c r="G2469" s="19" t="n"/>
      <c r="H2469" s="19" t="n">
        <v>6.6</v>
      </c>
      <c r="I2469" t="inlineStr">
        <is>
          <t>Debt</t>
        </is>
      </c>
      <c r="J2469" t="inlineStr">
        <is>
          <t>Tata Capital</t>
        </is>
      </c>
      <c r="K2469" t="inlineStr">
        <is>
          <t>https://inc42.com/buzz/from-fibe-to-smart-joules-indian-startups-raised-127-mn-this-week/</t>
        </is>
      </c>
    </row>
    <row r="2470">
      <c r="A2470" t="inlineStr">
        <is>
          <t>ENT-10901118</t>
        </is>
      </c>
      <c r="B2470" t="inlineStr">
        <is>
          <t>R251211-neosapien</t>
        </is>
      </c>
      <c r="C2470" t="inlineStr">
        <is>
          <t>Entrackr</t>
        </is>
      </c>
      <c r="D2470" s="17" t="n">
        <v>46002</v>
      </c>
      <c r="E2470" t="inlineStr">
        <is>
          <t>NeoSapien</t>
        </is>
      </c>
      <c r="F2470" t="inlineStr">
        <is>
          <t>Rs 18 crore</t>
        </is>
      </c>
      <c r="G2470" s="19" t="n">
        <v>18</v>
      </c>
      <c r="H2470" s="19" t="n"/>
      <c r="I2470" t="inlineStr">
        <is>
          <t>Seed</t>
        </is>
      </c>
      <c r="J2470" t="inlineStr">
        <is>
          <t>Merak Ventures</t>
        </is>
      </c>
      <c r="K2470" t="inlineStr">
        <is>
          <t>https://entrackr.com/snippets/wearable-startup-neosapien-raises-2-mn-in-seed-round-led-by-merak-ventures-10901118</t>
        </is>
      </c>
    </row>
    <row r="2471">
      <c r="A2471" t="inlineStr">
        <is>
          <t>INC-20251213-12</t>
        </is>
      </c>
      <c r="B2471" t="inlineStr">
        <is>
          <t>R251211-neosapien</t>
        </is>
      </c>
      <c r="C2471" t="inlineStr">
        <is>
          <t>Inc42</t>
        </is>
      </c>
      <c r="D2471" s="17" t="n">
        <v>46002</v>
      </c>
      <c r="E2471" t="inlineStr">
        <is>
          <t>NeoSapien</t>
        </is>
      </c>
      <c r="F2471" t="inlineStr">
        <is>
          <t>$2 Mn</t>
        </is>
      </c>
      <c r="G2471" s="19" t="n"/>
      <c r="H2471" s="19" t="n">
        <v>2</v>
      </c>
      <c r="I2471" t="inlineStr">
        <is>
          <t>Seed</t>
        </is>
      </c>
      <c r="J2471" t="inlineStr">
        <is>
          <t>Merak Ventures</t>
        </is>
      </c>
      <c r="K2471" t="inlineStr">
        <is>
          <t>https://inc42.com/buzz/from-fibe-to-smart-joules-indian-startups-raised-127-mn-this-week/</t>
        </is>
      </c>
    </row>
    <row r="2472">
      <c r="A2472" t="inlineStr">
        <is>
          <t>ENT-10900966</t>
        </is>
      </c>
      <c r="B2472" t="inlineStr">
        <is>
          <t>R251211-toffeecoffeero</t>
        </is>
      </c>
      <c r="C2472" t="inlineStr">
        <is>
          <t>Entrackr</t>
        </is>
      </c>
      <c r="D2472" s="17" t="n">
        <v>46002</v>
      </c>
      <c r="E2472" t="inlineStr">
        <is>
          <t>Toffee Coffee Roasters</t>
        </is>
      </c>
      <c r="F2472" t="inlineStr">
        <is>
          <t>Rs 5 crore</t>
        </is>
      </c>
      <c r="G2472" s="19" t="n">
        <v>5</v>
      </c>
      <c r="H2472" s="19" t="n"/>
      <c r="I2472" t="inlineStr">
        <is>
          <t>Pre-Series A</t>
        </is>
      </c>
      <c r="J2472" t="inlineStr">
        <is>
          <t>IPV; Abhijit Vemuganti; Invesst</t>
        </is>
      </c>
      <c r="K2472" t="inlineStr">
        <is>
          <t>https://entrackr.com/snippets/toffee-coffee-roasters-raises-pre-series-a-round-led-by-ipv-10900966</t>
        </is>
      </c>
    </row>
    <row r="2473">
      <c r="A2473" t="inlineStr">
        <is>
          <t>INC-20251213-17</t>
        </is>
      </c>
      <c r="B2473" t="inlineStr">
        <is>
          <t>R251211-toffeecoffeero</t>
        </is>
      </c>
      <c r="C2473" t="inlineStr">
        <is>
          <t>Inc42</t>
        </is>
      </c>
      <c r="D2473" s="17" t="n">
        <v>46002</v>
      </c>
      <c r="E2473" t="inlineStr">
        <is>
          <t>Toffee Coffee Roasters</t>
        </is>
      </c>
      <c r="F2473" t="inlineStr">
        <is>
          <t>$554K</t>
        </is>
      </c>
      <c r="G2473" s="19" t="n"/>
      <c r="H2473" s="19" t="n">
        <v>0.554</v>
      </c>
      <c r="I2473" t="inlineStr">
        <is>
          <t>Pre-Series A</t>
        </is>
      </c>
      <c r="J2473" t="inlineStr">
        <is>
          <t>Inflection Point Ventures</t>
        </is>
      </c>
      <c r="K2473" t="inlineStr">
        <is>
          <t>https://inc42.com/buzz/from-fibe-to-smart-joules-indian-startups-raised-127-mn-this-week/</t>
        </is>
      </c>
    </row>
    <row r="2474">
      <c r="A2474" t="inlineStr">
        <is>
          <t>INC-20251213-21</t>
        </is>
      </c>
      <c r="B2474" t="inlineStr">
        <is>
          <t>R251211-whilterai</t>
        </is>
      </c>
      <c r="C2474" t="inlineStr">
        <is>
          <t>Inc42</t>
        </is>
      </c>
      <c r="D2474" s="17" t="n">
        <v>46002</v>
      </c>
      <c r="E2474" t="inlineStr">
        <is>
          <t>Whilter AI</t>
        </is>
      </c>
      <c r="F2474" t="inlineStr"/>
      <c r="G2474" s="19" t="n"/>
      <c r="H2474" s="19" t="n"/>
      <c r="I2474" t="inlineStr">
        <is>
          <t>Undisclosed</t>
        </is>
      </c>
      <c r="J2474" t="inlineStr">
        <is>
          <t>AIONOS</t>
        </is>
      </c>
      <c r="K2474" t="inlineStr">
        <is>
          <t>https://inc42.com/buzz/from-fibe-to-smart-joules-indian-startups-raised-127-mn-this-week/</t>
        </is>
      </c>
    </row>
    <row r="2475">
      <c r="A2475" t="inlineStr">
        <is>
          <t>INC-20251220-13</t>
        </is>
      </c>
      <c r="B2475" t="inlineStr">
        <is>
          <t>R251215-atomberg</t>
        </is>
      </c>
      <c r="C2475" t="inlineStr">
        <is>
          <t>Inc42</t>
        </is>
      </c>
      <c r="D2475" s="17" t="n">
        <v>46006</v>
      </c>
      <c r="E2475" t="inlineStr">
        <is>
          <t>Atomberg</t>
        </is>
      </c>
      <c r="F2475" t="inlineStr">
        <is>
          <t>$4.8 Mn</t>
        </is>
      </c>
      <c r="G2475" s="19" t="n"/>
      <c r="H2475" s="19" t="n">
        <v>4.8</v>
      </c>
      <c r="I2475" t="inlineStr">
        <is>
          <t>Undisclosed</t>
        </is>
      </c>
      <c r="J2475" t="inlineStr">
        <is>
          <t>Forj Capital</t>
        </is>
      </c>
      <c r="K2475" t="inlineStr">
        <is>
          <t>https://inc42.com/buzz/from-moengage-to-digantara-indian-startups-raised-347-mn-this-week/</t>
        </is>
      </c>
    </row>
    <row r="2476">
      <c r="A2476" t="inlineStr">
        <is>
          <t>INC-20251220-19</t>
        </is>
      </c>
      <c r="B2476" t="inlineStr">
        <is>
          <t>R251215-cuepilotai</t>
        </is>
      </c>
      <c r="C2476" t="inlineStr">
        <is>
          <t>Inc42</t>
        </is>
      </c>
      <c r="D2476" s="17" t="n">
        <v>46006</v>
      </c>
      <c r="E2476" t="inlineStr">
        <is>
          <t>CuePilot AI</t>
        </is>
      </c>
      <c r="F2476" t="inlineStr">
        <is>
          <t>$1.8 Mn</t>
        </is>
      </c>
      <c r="G2476" s="19" t="n"/>
      <c r="H2476" s="19" t="n">
        <v>1.8</v>
      </c>
      <c r="I2476" t="inlineStr">
        <is>
          <t>Pre-Seed</t>
        </is>
      </c>
      <c r="J2476" t="inlineStr">
        <is>
          <t>Unilazer Ventures</t>
        </is>
      </c>
      <c r="K2476" t="inlineStr">
        <is>
          <t>https://inc42.com/buzz/from-moengage-to-digantara-indian-startups-raised-347-mn-this-week/</t>
        </is>
      </c>
    </row>
    <row r="2477">
      <c r="A2477" t="inlineStr">
        <is>
          <t>ENT-10920913</t>
        </is>
      </c>
      <c r="B2477" t="inlineStr">
        <is>
          <t>R251215-cuepilotai</t>
        </is>
      </c>
      <c r="C2477" t="inlineStr">
        <is>
          <t>Entrackr</t>
        </is>
      </c>
      <c r="D2477" s="17" t="n">
        <v>46009</v>
      </c>
      <c r="E2477" t="inlineStr">
        <is>
          <t>CuePilot AI</t>
        </is>
      </c>
      <c r="F2477" t="inlineStr">
        <is>
          <t>$1.8 million</t>
        </is>
      </c>
      <c r="G2477" s="19" t="n"/>
      <c r="H2477" s="19" t="n">
        <v>1.8</v>
      </c>
      <c r="I2477" t="inlineStr">
        <is>
          <t>Pre-Seed</t>
        </is>
      </c>
      <c r="J2477" t="inlineStr">
        <is>
          <t>Unilazer Ventures</t>
        </is>
      </c>
      <c r="K2477" t="inlineStr">
        <is>
          <t>https://entrackr.com/snippets/cuepilot-ai-raises-18-mn-in-pre-seed-round-led-by-unilazer-ventures-10920913</t>
        </is>
      </c>
    </row>
    <row r="2478">
      <c r="A2478" t="inlineStr">
        <is>
          <t>ENT-10911784</t>
        </is>
      </c>
      <c r="B2478" t="inlineStr">
        <is>
          <t>R251215-ipf</t>
        </is>
      </c>
      <c r="C2478" t="inlineStr">
        <is>
          <t>Entrackr</t>
        </is>
      </c>
      <c r="D2478" s="17" t="n">
        <v>46006</v>
      </c>
      <c r="E2478" t="inlineStr">
        <is>
          <t>IPF</t>
        </is>
      </c>
      <c r="F2478" t="inlineStr">
        <is>
          <t>Rs 3.2 crore</t>
        </is>
      </c>
      <c r="G2478" s="19" t="n">
        <v>3.2</v>
      </c>
      <c r="H2478" s="19" t="n">
        <v>0.375</v>
      </c>
      <c r="I2478" t="inlineStr">
        <is>
          <t>Seed</t>
        </is>
      </c>
      <c r="J2478" t="inlineStr">
        <is>
          <t>Titan Capital</t>
        </is>
      </c>
      <c r="K2478" t="inlineStr">
        <is>
          <t>https://entrackr.com/snippets/kids-focused-resale-platform-ipf-raises-seed-funding-led-by-titan-capital-10911784</t>
        </is>
      </c>
    </row>
    <row r="2479">
      <c r="A2479" t="inlineStr">
        <is>
          <t>INC-20251220-24</t>
        </is>
      </c>
      <c r="B2479" t="inlineStr">
        <is>
          <t>R251215-ipf</t>
        </is>
      </c>
      <c r="C2479" t="inlineStr">
        <is>
          <t>Inc42</t>
        </is>
      </c>
      <c r="D2479" s="17" t="n">
        <v>46011</v>
      </c>
      <c r="E2479" t="inlineStr">
        <is>
          <t>IPF</t>
        </is>
      </c>
      <c r="F2479" t="inlineStr">
        <is>
          <t>$385K</t>
        </is>
      </c>
      <c r="G2479" s="19" t="n"/>
      <c r="H2479" s="19" t="n">
        <v>0.385</v>
      </c>
      <c r="I2479" t="inlineStr">
        <is>
          <t>Seed</t>
        </is>
      </c>
      <c r="J2479" t="inlineStr">
        <is>
          <t>Titan Capital</t>
        </is>
      </c>
      <c r="K2479" t="inlineStr">
        <is>
          <t>https://inc42.com/buzz/from-moengage-to-digantara-indian-startups-raised-347-mn-this-week/</t>
        </is>
      </c>
    </row>
    <row r="2480">
      <c r="A2480" t="inlineStr">
        <is>
          <t>ENT-10911539</t>
        </is>
      </c>
      <c r="B2480" t="inlineStr">
        <is>
          <t>R251215-lawyered</t>
        </is>
      </c>
      <c r="C2480" t="inlineStr">
        <is>
          <t>Entrackr</t>
        </is>
      </c>
      <c r="D2480" s="17" t="n">
        <v>46006</v>
      </c>
      <c r="E2480" t="inlineStr">
        <is>
          <t>Lawyered</t>
        </is>
      </c>
      <c r="F2480" t="inlineStr">
        <is>
          <t>Rs 8.5 crore</t>
        </is>
      </c>
      <c r="G2480" s="19" t="n">
        <v>8.5</v>
      </c>
      <c r="H2480" s="19" t="n"/>
      <c r="I2480" t="inlineStr">
        <is>
          <t>Undisclosed</t>
        </is>
      </c>
      <c r="J2480" t="inlineStr"/>
      <c r="K2480" t="inlineStr">
        <is>
          <t>https://entrackr.com/snippets/legal-tech-startup-lawyered-raises-rs-85-cr-in-all-titans-deal-on-ideabaaz-10911539</t>
        </is>
      </c>
    </row>
    <row r="2481">
      <c r="A2481" t="inlineStr">
        <is>
          <t>ENT-10910880</t>
        </is>
      </c>
      <c r="B2481" t="inlineStr">
        <is>
          <t>R251215-rotoriswatches</t>
        </is>
      </c>
      <c r="C2481" t="inlineStr">
        <is>
          <t>Entrackr</t>
        </is>
      </c>
      <c r="D2481" s="17" t="n">
        <v>46006</v>
      </c>
      <c r="E2481" t="inlineStr">
        <is>
          <t>Rotoris Watches</t>
        </is>
      </c>
      <c r="F2481" t="inlineStr">
        <is>
          <t>$3 million</t>
        </is>
      </c>
      <c r="G2481" s="19" t="n"/>
      <c r="H2481" s="19" t="n">
        <v>3</v>
      </c>
      <c r="I2481" t="inlineStr">
        <is>
          <t>Seed</t>
        </is>
      </c>
      <c r="J2481" t="inlineStr">
        <is>
          <t>Nikhil Kamath; Venture Catalysts; 100 Unicorns; Tanmay Bhat</t>
        </is>
      </c>
      <c r="K2481" t="inlineStr">
        <is>
          <t>https://entrackr.com/snippets/rotoris-watches-raises-3-mn-from-nikhil-kamath-vivek-oberoi-others-10910880</t>
        </is>
      </c>
    </row>
    <row r="2482">
      <c r="A2482" t="inlineStr">
        <is>
          <t>INC-20251220-14</t>
        </is>
      </c>
      <c r="B2482" t="inlineStr">
        <is>
          <t>R251215-rotoriswatches</t>
        </is>
      </c>
      <c r="C2482" t="inlineStr">
        <is>
          <t>Inc42</t>
        </is>
      </c>
      <c r="D2482" s="17" t="n">
        <v>46006</v>
      </c>
      <c r="E2482" t="inlineStr">
        <is>
          <t>Rotoris</t>
        </is>
      </c>
      <c r="F2482" t="inlineStr">
        <is>
          <t>$3 Mn</t>
        </is>
      </c>
      <c r="G2482" s="19" t="n"/>
      <c r="H2482" s="19" t="n">
        <v>3</v>
      </c>
      <c r="I2482" t="inlineStr">
        <is>
          <t>Undisclosed</t>
        </is>
      </c>
      <c r="J2482" t="inlineStr">
        <is>
          <t>Nikhil Kamath; Venture Catalysts; 100Unicorns; Vivek Oberoi; Tanmay Bhatt</t>
        </is>
      </c>
      <c r="K2482" t="inlineStr">
        <is>
          <t>https://inc42.com/buzz/from-moengage-to-digantara-indian-startups-raised-347-mn-this-week/</t>
        </is>
      </c>
    </row>
    <row r="2483">
      <c r="A2483" t="inlineStr">
        <is>
          <t>INC-20251220-10</t>
        </is>
      </c>
      <c r="B2483" t="inlineStr">
        <is>
          <t>R251215-sisirradar</t>
        </is>
      </c>
      <c r="C2483" t="inlineStr">
        <is>
          <t>Inc42</t>
        </is>
      </c>
      <c r="D2483" s="17" t="n">
        <v>46006</v>
      </c>
      <c r="E2483" t="inlineStr">
        <is>
          <t>Sisir Radar</t>
        </is>
      </c>
      <c r="F2483" t="inlineStr">
        <is>
          <t>$7 Mn</t>
        </is>
      </c>
      <c r="G2483" s="19" t="n"/>
      <c r="H2483" s="19" t="n">
        <v>7</v>
      </c>
      <c r="I2483" t="inlineStr">
        <is>
          <t>Series A</t>
        </is>
      </c>
      <c r="J2483" t="inlineStr">
        <is>
          <t>360 ONE Asset</t>
        </is>
      </c>
      <c r="K2483" t="inlineStr">
        <is>
          <t>https://inc42.com/buzz/from-moengage-to-digantara-indian-startups-raised-347-mn-this-week/</t>
        </is>
      </c>
    </row>
    <row r="2484">
      <c r="A2484" t="inlineStr">
        <is>
          <t>ET-125983524</t>
        </is>
      </c>
      <c r="B2484" t="inlineStr">
        <is>
          <t>R251215-tagbin</t>
        </is>
      </c>
      <c r="C2484" t="inlineStr">
        <is>
          <t>The Economic Times</t>
        </is>
      </c>
      <c r="D2484" s="17" t="n">
        <v>46006</v>
      </c>
      <c r="E2484" t="inlineStr">
        <is>
          <t>Tagbin</t>
        </is>
      </c>
      <c r="F2484" t="inlineStr">
        <is>
          <t>$10 million</t>
        </is>
      </c>
      <c r="G2484" s="19" t="n"/>
      <c r="H2484" s="19" t="n">
        <v>10</v>
      </c>
      <c r="I2484" t="inlineStr">
        <is>
          <t>Undisclosed</t>
        </is>
      </c>
      <c r="J2484" t="inlineStr"/>
      <c r="K2484" t="inlineStr">
        <is>
          <t>https://economictimes.indiatimes.com/tech/funding/experiential-tech-startup-tagbin-raises-10-million-focusses-on-ai-led-govt-platforms/articleshow/125983524.cms</t>
        </is>
      </c>
    </row>
    <row r="2485">
      <c r="A2485" t="inlineStr">
        <is>
          <t>ENT-10917895</t>
        </is>
      </c>
      <c r="B2485" t="inlineStr">
        <is>
          <t>R251215-tagbin</t>
        </is>
      </c>
      <c r="C2485" t="inlineStr">
        <is>
          <t>Entrackr</t>
        </is>
      </c>
      <c r="D2485" s="17" t="n">
        <v>46008</v>
      </c>
      <c r="E2485" t="inlineStr">
        <is>
          <t>Tagbin</t>
        </is>
      </c>
      <c r="F2485" t="inlineStr">
        <is>
          <t>$10 million</t>
        </is>
      </c>
      <c r="G2485" s="19" t="n"/>
      <c r="H2485" s="19" t="n">
        <v>10</v>
      </c>
      <c r="I2485" t="inlineStr">
        <is>
          <t>Undisclosed</t>
        </is>
      </c>
      <c r="J2485" t="inlineStr"/>
      <c r="K2485" t="inlineStr">
        <is>
          <t>https://entrackr.com/snippets/tagbin-raises-10-mn-eyes-ipo-by-2027-10917895</t>
        </is>
      </c>
    </row>
    <row r="2486">
      <c r="A2486" t="inlineStr">
        <is>
          <t>INC-20251220-06</t>
        </is>
      </c>
      <c r="B2486" t="inlineStr">
        <is>
          <t>R251215-tagbin</t>
        </is>
      </c>
      <c r="C2486" t="inlineStr">
        <is>
          <t>Inc42</t>
        </is>
      </c>
      <c r="D2486" s="17" t="n">
        <v>46008</v>
      </c>
      <c r="E2486" t="inlineStr">
        <is>
          <t>Tagbin</t>
        </is>
      </c>
      <c r="F2486" t="inlineStr">
        <is>
          <t>$10 Mn</t>
        </is>
      </c>
      <c r="G2486" s="19" t="n"/>
      <c r="H2486" s="19" t="n">
        <v>10</v>
      </c>
      <c r="I2486" t="inlineStr">
        <is>
          <t>Undisclosed</t>
        </is>
      </c>
      <c r="J2486" t="inlineStr"/>
      <c r="K2486" t="inlineStr">
        <is>
          <t>https://inc42.com/buzz/from-moengage-to-digantara-indian-startups-raised-347-mn-this-week/</t>
        </is>
      </c>
    </row>
    <row r="2487">
      <c r="A2487" t="inlineStr">
        <is>
          <t>ET-126013965</t>
        </is>
      </c>
      <c r="B2487" t="inlineStr">
        <is>
          <t>R251216-aceturtle</t>
        </is>
      </c>
      <c r="C2487" t="inlineStr">
        <is>
          <t>The Economic Times</t>
        </is>
      </c>
      <c r="D2487" s="17" t="n">
        <v>46007</v>
      </c>
      <c r="E2487" t="inlineStr">
        <is>
          <t>Ace Turtle</t>
        </is>
      </c>
      <c r="F2487" t="inlineStr">
        <is>
          <t>$5 million</t>
        </is>
      </c>
      <c r="G2487" s="19" t="n"/>
      <c r="H2487" s="19" t="n">
        <v>5</v>
      </c>
      <c r="I2487" t="inlineStr">
        <is>
          <t>Undisclosed</t>
        </is>
      </c>
      <c r="J2487" t="inlineStr">
        <is>
          <t>Vertex Holdings</t>
        </is>
      </c>
      <c r="K2487" t="inlineStr">
        <is>
          <t>https://economictimes.indiatimes.com/tech/funding/tech-led-retailer-ace-turtle-raises-5-million-in-round-led-by-existing-investor-vertex-holdings/articleshow/126013965.cms</t>
        </is>
      </c>
    </row>
    <row r="2488">
      <c r="A2488" t="inlineStr">
        <is>
          <t>ENT-10916885</t>
        </is>
      </c>
      <c r="B2488" t="inlineStr">
        <is>
          <t>R251216-aceturtle</t>
        </is>
      </c>
      <c r="C2488" t="inlineStr">
        <is>
          <t>Entrackr</t>
        </is>
      </c>
      <c r="D2488" s="17" t="n">
        <v>46008</v>
      </c>
      <c r="E2488" t="inlineStr">
        <is>
          <t>Ace Turtle</t>
        </is>
      </c>
      <c r="F2488" t="inlineStr">
        <is>
          <t>$5 million</t>
        </is>
      </c>
      <c r="G2488" s="19" t="n"/>
      <c r="H2488" s="19" t="n">
        <v>5</v>
      </c>
      <c r="I2488" t="inlineStr">
        <is>
          <t>Bridge</t>
        </is>
      </c>
      <c r="J2488" t="inlineStr">
        <is>
          <t>Vertex Holdings</t>
        </is>
      </c>
      <c r="K2488" t="inlineStr">
        <is>
          <t>https://entrackr.com/news/ace-turtle-raises-5-mn-in-bridge-round-led-by-vertex-holdings-10916885</t>
        </is>
      </c>
    </row>
    <row r="2489">
      <c r="A2489" t="inlineStr">
        <is>
          <t>ENT-10913873</t>
        </is>
      </c>
      <c r="B2489" t="inlineStr">
        <is>
          <t>R251216-aurassure</t>
        </is>
      </c>
      <c r="C2489" t="inlineStr">
        <is>
          <t>Entrackr</t>
        </is>
      </c>
      <c r="D2489" s="17" t="n">
        <v>46007</v>
      </c>
      <c r="E2489" t="inlineStr">
        <is>
          <t>Aurassure</t>
        </is>
      </c>
      <c r="F2489" t="inlineStr">
        <is>
          <t>Rs 25 crore</t>
        </is>
      </c>
      <c r="G2489" s="19" t="n">
        <v>25</v>
      </c>
      <c r="H2489" s="19" t="n">
        <v>3</v>
      </c>
      <c r="I2489" t="inlineStr">
        <is>
          <t>Pre-Series A</t>
        </is>
      </c>
      <c r="J2489" t="inlineStr">
        <is>
          <t>Rainmatter; Unicorn India Ventures</t>
        </is>
      </c>
      <c r="K2489" t="inlineStr">
        <is>
          <t>https://entrackr.com/snippets/climate-tech-startup-aurassure-raises-rs-25-cr-in-pre-series-a-10913873</t>
        </is>
      </c>
    </row>
    <row r="2490">
      <c r="A2490" t="inlineStr">
        <is>
          <t>ET-126003016</t>
        </is>
      </c>
      <c r="B2490" t="inlineStr">
        <is>
          <t>R251216-aurassure</t>
        </is>
      </c>
      <c r="C2490" t="inlineStr">
        <is>
          <t>The Economic Times</t>
        </is>
      </c>
      <c r="D2490" s="17" t="n">
        <v>46007</v>
      </c>
      <c r="E2490" t="inlineStr">
        <is>
          <t>Aurassure</t>
        </is>
      </c>
      <c r="F2490" t="inlineStr">
        <is>
          <t>Rs 25 crore</t>
        </is>
      </c>
      <c r="G2490" s="19" t="n">
        <v>25</v>
      </c>
      <c r="H2490" s="19" t="n"/>
      <c r="I2490" t="inlineStr">
        <is>
          <t>Pre-Series A</t>
        </is>
      </c>
      <c r="J2490" t="inlineStr">
        <is>
          <t>Rainmatter Capital; Unicorn India Ventures</t>
        </is>
      </c>
      <c r="K2490" t="inlineStr">
        <is>
          <t>https://economictimes.indiatimes.com/tech/funding/climate-tech-startup-aurassure-raises-rs-25-crore-led-by-rainmatter-unicorn-india-ventures/articleshow/126003016.cms</t>
        </is>
      </c>
    </row>
    <row r="2491">
      <c r="A2491" t="inlineStr">
        <is>
          <t>INC-20251220-16</t>
        </is>
      </c>
      <c r="B2491" t="inlineStr">
        <is>
          <t>R251216-aurassure</t>
        </is>
      </c>
      <c r="C2491" t="inlineStr">
        <is>
          <t>Inc42</t>
        </is>
      </c>
      <c r="D2491" s="17" t="n">
        <v>46007</v>
      </c>
      <c r="E2491" t="inlineStr">
        <is>
          <t>Aurassure</t>
        </is>
      </c>
      <c r="F2491" t="inlineStr">
        <is>
          <t>$ 2.8 Mn</t>
        </is>
      </c>
      <c r="G2491" s="19" t="n"/>
      <c r="H2491" s="19" t="n">
        <v>2.8</v>
      </c>
      <c r="I2491" t="inlineStr">
        <is>
          <t>Pre-Series A</t>
        </is>
      </c>
      <c r="J2491" t="inlineStr">
        <is>
          <t>Rainmatter; Unicorn India Ventures</t>
        </is>
      </c>
      <c r="K2491" t="inlineStr">
        <is>
          <t>https://inc42.com/buzz/from-moengage-to-digantara-indian-startups-raised-347-mn-this-week/</t>
        </is>
      </c>
    </row>
    <row r="2492">
      <c r="A2492" t="inlineStr">
        <is>
          <t>ENT-10915992</t>
        </is>
      </c>
      <c r="B2492" t="inlineStr">
        <is>
          <t>R251216-digantara</t>
        </is>
      </c>
      <c r="C2492" t="inlineStr">
        <is>
          <t>Entrackr</t>
        </is>
      </c>
      <c r="D2492" s="17" t="n">
        <v>46007</v>
      </c>
      <c r="E2492" t="inlineStr">
        <is>
          <t>Digantara</t>
        </is>
      </c>
      <c r="F2492" t="inlineStr">
        <is>
          <t>$50 million</t>
        </is>
      </c>
      <c r="G2492" s="19" t="n"/>
      <c r="H2492" s="19" t="n">
        <v>50</v>
      </c>
      <c r="I2492" t="inlineStr">
        <is>
          <t>Series B</t>
        </is>
      </c>
      <c r="J2492" t="inlineStr"/>
      <c r="K2492" t="inlineStr">
        <is>
          <t>https://entrackr.com/news/spacetech-startup-digantara-raises-50-mn-in-series-b-round-10915992</t>
        </is>
      </c>
    </row>
    <row r="2493">
      <c r="A2493" t="inlineStr">
        <is>
          <t>ET-126003178</t>
        </is>
      </c>
      <c r="B2493" t="inlineStr">
        <is>
          <t>R251216-digantara</t>
        </is>
      </c>
      <c r="C2493" t="inlineStr">
        <is>
          <t>The Economic Times</t>
        </is>
      </c>
      <c r="D2493" s="17" t="n">
        <v>46007</v>
      </c>
      <c r="E2493" t="inlineStr">
        <is>
          <t>Digantara</t>
        </is>
      </c>
      <c r="F2493" t="inlineStr">
        <is>
          <t>$50 million</t>
        </is>
      </c>
      <c r="G2493" s="19" t="n"/>
      <c r="H2493" s="19" t="n">
        <v>50</v>
      </c>
      <c r="I2493" t="inlineStr">
        <is>
          <t>Undisclosed</t>
        </is>
      </c>
      <c r="J2493" t="inlineStr"/>
      <c r="K2493" t="inlineStr">
        <is>
          <t>https://economictimes.indiatimes.com/tech/startups/spacetech-startup-digantara-raises-50-million-to-boost-space-surveillance-push/articleshow/126003178.cms</t>
        </is>
      </c>
    </row>
    <row r="2494">
      <c r="A2494" t="inlineStr">
        <is>
          <t>INC-20251220-02</t>
        </is>
      </c>
      <c r="B2494" t="inlineStr">
        <is>
          <t>R251216-digantara</t>
        </is>
      </c>
      <c r="C2494" t="inlineStr">
        <is>
          <t>Inc42</t>
        </is>
      </c>
      <c r="D2494" s="17" t="n">
        <v>46007</v>
      </c>
      <c r="E2494" t="inlineStr">
        <is>
          <t>Digantara</t>
        </is>
      </c>
      <c r="F2494" t="inlineStr">
        <is>
          <t>$50 Mn</t>
        </is>
      </c>
      <c r="G2494" s="19" t="n"/>
      <c r="H2494" s="19" t="n">
        <v>50</v>
      </c>
      <c r="I2494" t="inlineStr">
        <is>
          <t>Series B</t>
        </is>
      </c>
      <c r="J2494" t="inlineStr"/>
      <c r="K2494" t="inlineStr">
        <is>
          <t>https://inc42.com/buzz/from-moengage-to-digantara-indian-startups-raised-347-mn-this-week/</t>
        </is>
      </c>
    </row>
    <row r="2495">
      <c r="A2495" t="inlineStr">
        <is>
          <t>VCC-1bade6ad53</t>
        </is>
      </c>
      <c r="B2495" t="inlineStr">
        <is>
          <t>R251216-digantara</t>
        </is>
      </c>
      <c r="C2495" t="inlineStr">
        <is>
          <t>VCCircle</t>
        </is>
      </c>
      <c r="D2495" s="17" t="n">
        <v>46008</v>
      </c>
      <c r="E2495" t="inlineStr">
        <is>
          <t>digantara</t>
        </is>
      </c>
      <c r="F2495" t="inlineStr">
        <is>
          <t>$ 50 million</t>
        </is>
      </c>
      <c r="G2495" s="19" t="n"/>
      <c r="H2495" s="19" t="n">
        <v>50</v>
      </c>
      <c r="I2495" t="inlineStr">
        <is>
          <t>Series B</t>
        </is>
      </c>
      <c r="J2495" t="inlineStr"/>
      <c r="K2495" t="inlineStr">
        <is>
          <t>https://www.vccircle.com/peakxv-kalaari-backed-spacetech-startup-digantara-secures-50-mn-in-series-b</t>
        </is>
      </c>
    </row>
    <row r="2496">
      <c r="A2496" t="inlineStr">
        <is>
          <t>ENT-10913470</t>
        </is>
      </c>
      <c r="B2496" t="inlineStr">
        <is>
          <t>R251216-edt</t>
        </is>
      </c>
      <c r="C2496" t="inlineStr">
        <is>
          <t>Entrackr</t>
        </is>
      </c>
      <c r="D2496" s="17" t="n">
        <v>46007</v>
      </c>
      <c r="E2496" t="inlineStr">
        <is>
          <t>EDT</t>
        </is>
      </c>
      <c r="F2496" t="inlineStr">
        <is>
          <t>$1.4 million</t>
        </is>
      </c>
      <c r="G2496" s="19" t="n"/>
      <c r="H2496" s="19" t="n">
        <v>1.4</v>
      </c>
      <c r="I2496" t="inlineStr">
        <is>
          <t>Pre-Seed</t>
        </is>
      </c>
      <c r="J2496" t="inlineStr">
        <is>
          <t>Sauce VC</t>
        </is>
      </c>
      <c r="K2496" t="inlineStr">
        <is>
          <t>https://entrackr.com/snippets/consumer-appliances-startup-edt-raises-14-mn-in-pre-seed-round-led-by-sauce-vc-10913470</t>
        </is>
      </c>
    </row>
    <row r="2497">
      <c r="A2497" t="inlineStr">
        <is>
          <t>ET-125983607</t>
        </is>
      </c>
      <c r="B2497" t="inlineStr">
        <is>
          <t>R251216-edt</t>
        </is>
      </c>
      <c r="C2497" t="inlineStr">
        <is>
          <t>The Economic Times</t>
        </is>
      </c>
      <c r="D2497" s="17" t="n">
        <v>46007</v>
      </c>
      <c r="E2497" t="inlineStr">
        <is>
          <t>EDT</t>
        </is>
      </c>
      <c r="F2497" t="inlineStr">
        <is>
          <t>$1.4 million</t>
        </is>
      </c>
      <c r="G2497" s="19" t="n"/>
      <c r="H2497" s="19" t="n">
        <v>1.4</v>
      </c>
      <c r="I2497" t="inlineStr">
        <is>
          <t>Pre-Seed</t>
        </is>
      </c>
      <c r="J2497" t="inlineStr">
        <is>
          <t>Sauce VC</t>
        </is>
      </c>
      <c r="K2497" t="inlineStr">
        <is>
          <t>https://economictimes.indiatimes.com/tech/funding/d2c-consumer-tech-startup-edt-raises-1-4-million-led-by-sauce-vc/articleshow/125983607.cms</t>
        </is>
      </c>
    </row>
    <row r="2498">
      <c r="A2498" t="inlineStr">
        <is>
          <t>INC-20251220-21</t>
        </is>
      </c>
      <c r="B2498" t="inlineStr">
        <is>
          <t>R251216-edt</t>
        </is>
      </c>
      <c r="C2498" t="inlineStr">
        <is>
          <t>Inc42</t>
        </is>
      </c>
      <c r="D2498" s="17" t="n">
        <v>46007</v>
      </c>
      <c r="E2498" t="inlineStr">
        <is>
          <t>EDT</t>
        </is>
      </c>
      <c r="F2498" t="inlineStr">
        <is>
          <t>$1.4 Mn</t>
        </is>
      </c>
      <c r="G2498" s="19" t="n"/>
      <c r="H2498" s="19" t="n">
        <v>1.4</v>
      </c>
      <c r="I2498" t="inlineStr">
        <is>
          <t>Pre-Seed</t>
        </is>
      </c>
      <c r="J2498" t="inlineStr">
        <is>
          <t>Sauce VC</t>
        </is>
      </c>
      <c r="K2498" t="inlineStr">
        <is>
          <t>https://inc42.com/buzz/from-moengage-to-digantara-indian-startups-raised-347-mn-this-week/</t>
        </is>
      </c>
    </row>
    <row r="2499">
      <c r="A2499" t="inlineStr">
        <is>
          <t>ENT-10913742</t>
        </is>
      </c>
      <c r="B2499" t="inlineStr">
        <is>
          <t>R251216-moxiebeauty</t>
        </is>
      </c>
      <c r="C2499" t="inlineStr">
        <is>
          <t>Entrackr</t>
        </is>
      </c>
      <c r="D2499" s="17" t="n">
        <v>46007</v>
      </c>
      <c r="E2499" t="inlineStr">
        <is>
          <t>Moxie Beauty</t>
        </is>
      </c>
      <c r="F2499" t="inlineStr">
        <is>
          <t>$15 million</t>
        </is>
      </c>
      <c r="G2499" s="19" t="n"/>
      <c r="H2499" s="19" t="n">
        <v>15</v>
      </c>
      <c r="I2499" t="inlineStr">
        <is>
          <t>Series A</t>
        </is>
      </c>
      <c r="J2499" t="inlineStr">
        <is>
          <t>Bessemer Venture Partners</t>
        </is>
      </c>
      <c r="K2499" t="inlineStr">
        <is>
          <t>https://entrackr.com/news/haircare-startup-moxie-beauty-raises-15-mn-in-series-a-led-by-bessemer-10913742</t>
        </is>
      </c>
    </row>
    <row r="2500">
      <c r="A2500" t="inlineStr">
        <is>
          <t>ET-125986586</t>
        </is>
      </c>
      <c r="B2500" t="inlineStr">
        <is>
          <t>R251216-moxiebeauty</t>
        </is>
      </c>
      <c r="C2500" t="inlineStr">
        <is>
          <t>The Economic Times</t>
        </is>
      </c>
      <c r="D2500" s="17" t="n">
        <v>46007</v>
      </c>
      <c r="E2500" t="inlineStr">
        <is>
          <t>Moxie Beauty</t>
        </is>
      </c>
      <c r="F2500" t="inlineStr">
        <is>
          <t>$15 million</t>
        </is>
      </c>
      <c r="G2500" s="19" t="n"/>
      <c r="H2500" s="19" t="n">
        <v>15</v>
      </c>
      <c r="I2500" t="inlineStr">
        <is>
          <t>Undisclosed</t>
        </is>
      </c>
      <c r="J2500" t="inlineStr">
        <is>
          <t>Bessemer Venture Partners</t>
        </is>
      </c>
      <c r="K2500" t="inlineStr">
        <is>
          <t>https://economictimes.indiatimes.com/tech/funding/haircare-brand-moxie-beauty-raises-15-million-in-round-led-by-bessemer-venture-partners/articleshow/125986586.cms</t>
        </is>
      </c>
    </row>
    <row r="2501">
      <c r="A2501" t="inlineStr">
        <is>
          <t>INC-20251220-03</t>
        </is>
      </c>
      <c r="B2501" t="inlineStr">
        <is>
          <t>R251216-moxiebeauty</t>
        </is>
      </c>
      <c r="C2501" t="inlineStr">
        <is>
          <t>Inc42</t>
        </is>
      </c>
      <c r="D2501" s="17" t="n">
        <v>46007</v>
      </c>
      <c r="E2501" t="inlineStr">
        <is>
          <t>Moxie Beauty</t>
        </is>
      </c>
      <c r="F2501" t="inlineStr">
        <is>
          <t>$15 Mn</t>
        </is>
      </c>
      <c r="G2501" s="19" t="n"/>
      <c r="H2501" s="19" t="n">
        <v>15</v>
      </c>
      <c r="I2501" t="inlineStr">
        <is>
          <t>Series A</t>
        </is>
      </c>
      <c r="J2501" t="inlineStr">
        <is>
          <t>Bessemer Venture Partners</t>
        </is>
      </c>
      <c r="K2501" t="inlineStr">
        <is>
          <t>https://inc42.com/buzz/from-moengage-to-digantara-indian-startups-raised-347-mn-this-week/</t>
        </is>
      </c>
    </row>
    <row r="2502">
      <c r="A2502" t="inlineStr">
        <is>
          <t>ENT-10914468</t>
        </is>
      </c>
      <c r="B2502" t="inlineStr">
        <is>
          <t>R251216-quintrans</t>
        </is>
      </c>
      <c r="C2502" t="inlineStr">
        <is>
          <t>Entrackr</t>
        </is>
      </c>
      <c r="D2502" s="17" t="n">
        <v>46007</v>
      </c>
      <c r="E2502" t="inlineStr">
        <is>
          <t>Quintrans</t>
        </is>
      </c>
      <c r="F2502" t="inlineStr">
        <is>
          <t>$750K</t>
        </is>
      </c>
      <c r="G2502" s="19" t="n"/>
      <c r="H2502" s="19" t="n">
        <v>0.75</v>
      </c>
      <c r="I2502" t="inlineStr">
        <is>
          <t>Pre-Seed</t>
        </is>
      </c>
      <c r="J2502" t="inlineStr">
        <is>
          <t>Capital-A; SanchiConnect; AIC-Pinnacle; IIMA Ventures</t>
        </is>
      </c>
      <c r="K2502" t="inlineStr">
        <is>
          <t>https://entrackr.com/snippets/quintrans-raises-750k-in-pre-seed-round-led-by-capital-a-10914468</t>
        </is>
      </c>
    </row>
    <row r="2503">
      <c r="A2503" t="inlineStr">
        <is>
          <t>INC-20251220-22</t>
        </is>
      </c>
      <c r="B2503" t="inlineStr">
        <is>
          <t>R251216-quintrans</t>
        </is>
      </c>
      <c r="C2503" t="inlineStr">
        <is>
          <t>Inc42</t>
        </is>
      </c>
      <c r="D2503" s="17" t="n">
        <v>46007</v>
      </c>
      <c r="E2503" t="inlineStr">
        <is>
          <t>Quintrans</t>
        </is>
      </c>
      <c r="F2503" t="inlineStr">
        <is>
          <t>$750 K</t>
        </is>
      </c>
      <c r="G2503" s="19" t="n"/>
      <c r="H2503" s="19" t="n">
        <v>0.75</v>
      </c>
      <c r="I2503" t="inlineStr">
        <is>
          <t>Pre-Seed</t>
        </is>
      </c>
      <c r="J2503" t="inlineStr">
        <is>
          <t>Capital-A</t>
        </is>
      </c>
      <c r="K2503" t="inlineStr">
        <is>
          <t>https://inc42.com/buzz/from-moengage-to-digantara-indian-startups-raised-347-mn-this-week/</t>
        </is>
      </c>
    </row>
    <row r="2504">
      <c r="A2504" t="inlineStr">
        <is>
          <t>INC-20251220-25</t>
        </is>
      </c>
      <c r="B2504" t="inlineStr">
        <is>
          <t>R251216-swizzle</t>
        </is>
      </c>
      <c r="C2504" t="inlineStr">
        <is>
          <t>Inc42</t>
        </is>
      </c>
      <c r="D2504" s="17" t="n">
        <v>46007</v>
      </c>
      <c r="E2504" t="inlineStr">
        <is>
          <t>Swizzle</t>
        </is>
      </c>
      <c r="F2504" t="inlineStr">
        <is>
          <t>$238K</t>
        </is>
      </c>
      <c r="G2504" s="19" t="n"/>
      <c r="H2504" s="19" t="n">
        <v>0.238</v>
      </c>
      <c r="I2504" t="inlineStr">
        <is>
          <t>Seed</t>
        </is>
      </c>
      <c r="J2504" t="inlineStr"/>
      <c r="K2504" t="inlineStr">
        <is>
          <t>https://inc42.com/buzz/from-moengage-to-digantara-indian-startups-raised-347-mn-this-week/</t>
        </is>
      </c>
    </row>
    <row r="2505">
      <c r="A2505" t="inlineStr">
        <is>
          <t>ENT-10914712</t>
        </is>
      </c>
      <c r="B2505" t="inlineStr">
        <is>
          <t>R251216-underneat</t>
        </is>
      </c>
      <c r="C2505" t="inlineStr">
        <is>
          <t>Entrackr</t>
        </is>
      </c>
      <c r="D2505" s="17" t="n">
        <v>46007</v>
      </c>
      <c r="E2505" t="inlineStr">
        <is>
          <t>Underneat</t>
        </is>
      </c>
      <c r="F2505" t="inlineStr">
        <is>
          <t>$6 million</t>
        </is>
      </c>
      <c r="G2505" s="19" t="n"/>
      <c r="H2505" s="19" t="n">
        <v>6</v>
      </c>
      <c r="I2505" t="inlineStr">
        <is>
          <t>Pre-Series A</t>
        </is>
      </c>
      <c r="J2505" t="inlineStr">
        <is>
          <t>Fireside Ventures</t>
        </is>
      </c>
      <c r="K2505" t="inlineStr">
        <is>
          <t>https://entrackr.com/snippets/shapewear-brand-underneat-raises-6-mn-in-pre-series-a-led-by-fireside-ventures-10914712</t>
        </is>
      </c>
    </row>
    <row r="2506">
      <c r="A2506" t="inlineStr">
        <is>
          <t>ET-125997363</t>
        </is>
      </c>
      <c r="B2506" t="inlineStr">
        <is>
          <t>R251216-underneat</t>
        </is>
      </c>
      <c r="C2506" t="inlineStr">
        <is>
          <t>The Economic Times</t>
        </is>
      </c>
      <c r="D2506" s="17" t="n">
        <v>46007</v>
      </c>
      <c r="E2506" t="inlineStr">
        <is>
          <t>Underneat</t>
        </is>
      </c>
      <c r="F2506" t="inlineStr">
        <is>
          <t>$6 million</t>
        </is>
      </c>
      <c r="G2506" s="19" t="n"/>
      <c r="H2506" s="19" t="n">
        <v>6</v>
      </c>
      <c r="I2506" t="inlineStr">
        <is>
          <t>Undisclosed</t>
        </is>
      </c>
      <c r="J2506" t="inlineStr"/>
      <c r="K2506" t="inlineStr">
        <is>
          <t>https://economictimes.indiatimes.com/tech/funding/shapewear-brand-underneat-raises-6-million-from-fireside-ventures/articleshow/125997363.cms</t>
        </is>
      </c>
    </row>
    <row r="2507">
      <c r="A2507" t="inlineStr">
        <is>
          <t>INC-20251220-11</t>
        </is>
      </c>
      <c r="B2507" t="inlineStr">
        <is>
          <t>R251216-underneat</t>
        </is>
      </c>
      <c r="C2507" t="inlineStr">
        <is>
          <t>Inc42</t>
        </is>
      </c>
      <c r="D2507" s="17" t="n">
        <v>46007</v>
      </c>
      <c r="E2507" t="inlineStr">
        <is>
          <t>Underneat</t>
        </is>
      </c>
      <c r="F2507" t="inlineStr">
        <is>
          <t>$6 Mn</t>
        </is>
      </c>
      <c r="G2507" s="19" t="n"/>
      <c r="H2507" s="19" t="n">
        <v>6</v>
      </c>
      <c r="I2507" t="inlineStr">
        <is>
          <t>Pre-Series A</t>
        </is>
      </c>
      <c r="J2507" t="inlineStr">
        <is>
          <t>Fireside Ventures</t>
        </is>
      </c>
      <c r="K2507" t="inlineStr">
        <is>
          <t>https://inc42.com/buzz/from-moengage-to-digantara-indian-startups-raised-347-mn-this-week/</t>
        </is>
      </c>
    </row>
    <row r="2508">
      <c r="A2508" t="inlineStr">
        <is>
          <t>ENT-10918040</t>
        </is>
      </c>
      <c r="B2508" t="inlineStr">
        <is>
          <t>R251217-cellarimlabs</t>
        </is>
      </c>
      <c r="C2508" t="inlineStr">
        <is>
          <t>Entrackr</t>
        </is>
      </c>
      <c r="D2508" s="17" t="n">
        <v>46008</v>
      </c>
      <c r="E2508" t="inlineStr">
        <is>
          <t>Cellarim Labs</t>
        </is>
      </c>
      <c r="F2508" t="inlineStr">
        <is>
          <t>Rs 6 crore</t>
        </is>
      </c>
      <c r="G2508" s="19" t="n">
        <v>6</v>
      </c>
      <c r="H2508" s="19" t="n"/>
      <c r="I2508" t="inlineStr">
        <is>
          <t>Seed</t>
        </is>
      </c>
      <c r="J2508" t="inlineStr">
        <is>
          <t>3i Partners; Venture Catalysts</t>
        </is>
      </c>
      <c r="K2508" t="inlineStr">
        <is>
          <t>https://entrackr.com/snippets/cellarim-labs-raises-seed-round-led-by-3i-partners-and-venture-catalysts-10918040</t>
        </is>
      </c>
    </row>
    <row r="2509">
      <c r="A2509" t="inlineStr">
        <is>
          <t>INC-20251220-23</t>
        </is>
      </c>
      <c r="B2509" t="inlineStr">
        <is>
          <t>R251217-cellarimlabs</t>
        </is>
      </c>
      <c r="C2509" t="inlineStr">
        <is>
          <t>Inc42</t>
        </is>
      </c>
      <c r="D2509" s="17" t="n">
        <v>46008</v>
      </c>
      <c r="E2509" t="inlineStr">
        <is>
          <t>Cellarim Labs</t>
        </is>
      </c>
      <c r="F2509" t="inlineStr">
        <is>
          <t>$714K</t>
        </is>
      </c>
      <c r="G2509" s="19" t="n"/>
      <c r="H2509" s="19" t="n">
        <v>0.714</v>
      </c>
      <c r="I2509" t="inlineStr">
        <is>
          <t>Seed</t>
        </is>
      </c>
      <c r="J2509" t="inlineStr">
        <is>
          <t>3i Partners; Venture Catalysts</t>
        </is>
      </c>
      <c r="K2509" t="inlineStr">
        <is>
          <t>https://inc42.com/buzz/from-moengage-to-digantara-indian-startups-raised-347-mn-this-week/</t>
        </is>
      </c>
    </row>
    <row r="2510">
      <c r="A2510" t="inlineStr">
        <is>
          <t>ENT-10917447</t>
        </is>
      </c>
      <c r="B2510" t="inlineStr">
        <is>
          <t>R251217-decodeage</t>
        </is>
      </c>
      <c r="C2510" t="inlineStr">
        <is>
          <t>Entrackr</t>
        </is>
      </c>
      <c r="D2510" s="17" t="n">
        <v>46008</v>
      </c>
      <c r="E2510" t="inlineStr">
        <is>
          <t>Decode Age</t>
        </is>
      </c>
      <c r="F2510" t="inlineStr">
        <is>
          <t>Rs 14.48 crore</t>
        </is>
      </c>
      <c r="G2510" s="19" t="n">
        <v>14.48</v>
      </c>
      <c r="H2510" s="19" t="n">
        <v>1.7</v>
      </c>
      <c r="I2510" t="inlineStr">
        <is>
          <t>Pre-Series A</t>
        </is>
      </c>
      <c r="J2510" t="inlineStr">
        <is>
          <t>Krishna Prasad Chigurupati</t>
        </is>
      </c>
      <c r="K2510" t="inlineStr">
        <is>
          <t>https://entrackr.com/snippets/decode-age-raises-17-mn-in-pre-series-a-round-10917447</t>
        </is>
      </c>
    </row>
    <row r="2511">
      <c r="A2511" t="inlineStr">
        <is>
          <t>INC-20251220-20</t>
        </is>
      </c>
      <c r="B2511" t="inlineStr">
        <is>
          <t>R251217-decodeage</t>
        </is>
      </c>
      <c r="C2511" t="inlineStr">
        <is>
          <t>Inc42</t>
        </is>
      </c>
      <c r="D2511" s="17" t="n">
        <v>46008</v>
      </c>
      <c r="E2511" t="inlineStr">
        <is>
          <t>Decode Age</t>
        </is>
      </c>
      <c r="F2511" t="inlineStr">
        <is>
          <t>$1.7 Mn</t>
        </is>
      </c>
      <c r="G2511" s="19" t="n"/>
      <c r="H2511" s="19" t="n">
        <v>1.7</v>
      </c>
      <c r="I2511" t="inlineStr">
        <is>
          <t>Pre-Series A</t>
        </is>
      </c>
      <c r="J2511" t="inlineStr">
        <is>
          <t>Krishna Prasad Chigurupati</t>
        </is>
      </c>
      <c r="K2511" t="inlineStr">
        <is>
          <t>https://inc42.com/buzz/from-moengage-to-digantara-indian-startups-raised-347-mn-this-week/</t>
        </is>
      </c>
    </row>
    <row r="2512">
      <c r="A2512" t="inlineStr">
        <is>
          <t>INC-20251220-01</t>
        </is>
      </c>
      <c r="B2512" t="inlineStr">
        <is>
          <t>R251217-moengage</t>
        </is>
      </c>
      <c r="C2512" t="inlineStr">
        <is>
          <t>Inc42</t>
        </is>
      </c>
      <c r="D2512" s="17" t="n">
        <v>46008</v>
      </c>
      <c r="E2512" t="inlineStr">
        <is>
          <t>MoEngage</t>
        </is>
      </c>
      <c r="F2512" t="inlineStr">
        <is>
          <t>$180 Mn</t>
        </is>
      </c>
      <c r="G2512" s="19" t="n"/>
      <c r="H2512" s="19" t="n">
        <v>180</v>
      </c>
      <c r="I2512" t="inlineStr">
        <is>
          <t>Series F</t>
        </is>
      </c>
      <c r="J2512" t="inlineStr">
        <is>
          <t>Chrys Capital; Schroders Capital</t>
        </is>
      </c>
      <c r="K2512" t="inlineStr">
        <is>
          <t>https://inc42.com/buzz/from-moengage-to-digantara-indian-startups-raised-347-mn-this-week/</t>
        </is>
      </c>
    </row>
    <row r="2513">
      <c r="A2513" t="inlineStr">
        <is>
          <t>INC-20251220-09</t>
        </is>
      </c>
      <c r="B2513" t="inlineStr">
        <is>
          <t>R251217-superyou</t>
        </is>
      </c>
      <c r="C2513" t="inlineStr">
        <is>
          <t>Inc42</t>
        </is>
      </c>
      <c r="D2513" s="17" t="n">
        <v>46008</v>
      </c>
      <c r="E2513" t="inlineStr">
        <is>
          <t>SuperYou</t>
        </is>
      </c>
      <c r="F2513" t="inlineStr">
        <is>
          <t>$7 Mn</t>
        </is>
      </c>
      <c r="G2513" s="19" t="n"/>
      <c r="H2513" s="19" t="n">
        <v>7</v>
      </c>
      <c r="I2513" t="inlineStr">
        <is>
          <t>Series B</t>
        </is>
      </c>
      <c r="J2513" t="inlineStr">
        <is>
          <t>V3 Ventures</t>
        </is>
      </c>
      <c r="K2513" t="inlineStr">
        <is>
          <t>https://inc42.com/buzz/from-moengage-to-digantara-indian-startups-raised-347-mn-this-week/</t>
        </is>
      </c>
    </row>
    <row r="2514">
      <c r="A2514" t="inlineStr">
        <is>
          <t>ENT-10917736</t>
        </is>
      </c>
      <c r="B2514" t="inlineStr">
        <is>
          <t>R251217-wickedgud</t>
        </is>
      </c>
      <c r="C2514" t="inlineStr">
        <is>
          <t>Entrackr</t>
        </is>
      </c>
      <c r="D2514" s="17" t="n">
        <v>46008</v>
      </c>
      <c r="E2514" t="inlineStr">
        <is>
          <t>WickedGud</t>
        </is>
      </c>
      <c r="F2514" t="inlineStr">
        <is>
          <t>Rs 20 crore</t>
        </is>
      </c>
      <c r="G2514" s="19" t="n">
        <v>20</v>
      </c>
      <c r="H2514" s="19" t="n"/>
      <c r="I2514" t="inlineStr">
        <is>
          <t>Undisclosed</t>
        </is>
      </c>
      <c r="J2514" t="inlineStr"/>
      <c r="K2514" t="inlineStr">
        <is>
          <t>https://entrackr.com/snippets/shilpa-shetty-backed-wickedgud-raises-rs-20-cr-10917736</t>
        </is>
      </c>
    </row>
    <row r="2515">
      <c r="A2515" t="inlineStr">
        <is>
          <t>INC-20251220-18</t>
        </is>
      </c>
      <c r="B2515" t="inlineStr">
        <is>
          <t>R251217-wickedgud</t>
        </is>
      </c>
      <c r="C2515" t="inlineStr">
        <is>
          <t>Inc42</t>
        </is>
      </c>
      <c r="D2515" s="17" t="n">
        <v>46008</v>
      </c>
      <c r="E2515" t="inlineStr">
        <is>
          <t>WickedGud</t>
        </is>
      </c>
      <c r="F2515" t="inlineStr">
        <is>
          <t>$2.2 Mn</t>
        </is>
      </c>
      <c r="G2515" s="19" t="n"/>
      <c r="H2515" s="19" t="n">
        <v>2.2</v>
      </c>
      <c r="I2515" t="inlineStr">
        <is>
          <t>Undisclosed</t>
        </is>
      </c>
      <c r="J2515" t="inlineStr"/>
      <c r="K2515" t="inlineStr">
        <is>
          <t>https://inc42.com/buzz/from-moengage-to-digantara-indian-startups-raised-347-mn-this-week/</t>
        </is>
      </c>
    </row>
    <row r="2516">
      <c r="A2516" t="inlineStr">
        <is>
          <t>ENT-10920637</t>
        </is>
      </c>
      <c r="B2516" t="inlineStr">
        <is>
          <t>R251218-magma</t>
        </is>
      </c>
      <c r="C2516" t="inlineStr">
        <is>
          <t>Entrackr</t>
        </is>
      </c>
      <c r="D2516" s="17" t="n">
        <v>46009</v>
      </c>
      <c r="E2516" t="inlineStr">
        <is>
          <t>Magma</t>
        </is>
      </c>
      <c r="F2516" t="inlineStr">
        <is>
          <t>$8 million</t>
        </is>
      </c>
      <c r="G2516" s="19" t="n"/>
      <c r="H2516" s="19" t="n">
        <v>8</v>
      </c>
      <c r="I2516" t="inlineStr">
        <is>
          <t>Series A</t>
        </is>
      </c>
      <c r="J2516" t="inlineStr"/>
      <c r="K2516" t="inlineStr">
        <is>
          <t>https://entrackr.com/snippets/magma-closes-series-a-round-at-8-mn-10920637</t>
        </is>
      </c>
    </row>
    <row r="2517">
      <c r="A2517" t="inlineStr">
        <is>
          <t>ET-126055998</t>
        </is>
      </c>
      <c r="B2517" t="inlineStr">
        <is>
          <t>R251218-magma</t>
        </is>
      </c>
      <c r="C2517" t="inlineStr">
        <is>
          <t>The Economic Times</t>
        </is>
      </c>
      <c r="D2517" s="17" t="n">
        <v>46009</v>
      </c>
      <c r="E2517" t="inlineStr">
        <is>
          <t>Magma</t>
        </is>
      </c>
      <c r="F2517" t="inlineStr">
        <is>
          <t>$3 million</t>
        </is>
      </c>
      <c r="G2517" s="19" t="n"/>
      <c r="H2517" s="19" t="n">
        <v>3</v>
      </c>
      <c r="I2517" t="inlineStr">
        <is>
          <t>Undisclosed</t>
        </is>
      </c>
      <c r="J2517" t="inlineStr">
        <is>
          <t>GVFL</t>
        </is>
      </c>
      <c r="K2517" t="inlineStr">
        <is>
          <t>https://economictimes.indiatimes.com/tech/funding/magma-raises-3-million-led-by-gvfl-capria-ventures-others-also-contributed/articleshow/126055998.cms</t>
        </is>
      </c>
    </row>
    <row r="2518">
      <c r="A2518" t="inlineStr">
        <is>
          <t>INC-20251220-15</t>
        </is>
      </c>
      <c r="B2518" t="inlineStr">
        <is>
          <t>R251218-magma</t>
        </is>
      </c>
      <c r="C2518" t="inlineStr">
        <is>
          <t>Inc42</t>
        </is>
      </c>
      <c r="D2518" s="17" t="n">
        <v>46009</v>
      </c>
      <c r="E2518" t="inlineStr">
        <is>
          <t>Magma</t>
        </is>
      </c>
      <c r="F2518" t="inlineStr">
        <is>
          <t>$3 Mn</t>
        </is>
      </c>
      <c r="G2518" s="19" t="n"/>
      <c r="H2518" s="19" t="n">
        <v>3</v>
      </c>
      <c r="I2518" t="inlineStr">
        <is>
          <t>Series A</t>
        </is>
      </c>
      <c r="J2518" t="inlineStr">
        <is>
          <t>Rainmatter</t>
        </is>
      </c>
      <c r="K2518" t="inlineStr">
        <is>
          <t>https://inc42.com/buzz/from-moengage-to-digantara-indian-startups-raised-347-mn-this-week/</t>
        </is>
      </c>
    </row>
    <row r="2519">
      <c r="A2519" t="inlineStr">
        <is>
          <t>ENT-10920607</t>
        </is>
      </c>
      <c r="B2519" t="inlineStr">
        <is>
          <t>R251218-obenelectric</t>
        </is>
      </c>
      <c r="C2519" t="inlineStr">
        <is>
          <t>Entrackr</t>
        </is>
      </c>
      <c r="D2519" s="17" t="n">
        <v>46009</v>
      </c>
      <c r="E2519" t="inlineStr">
        <is>
          <t>Oben Electric</t>
        </is>
      </c>
      <c r="F2519" t="inlineStr">
        <is>
          <t>Rs 85 crore</t>
        </is>
      </c>
      <c r="G2519" s="19" t="n">
        <v>85</v>
      </c>
      <c r="H2519" s="19" t="n">
        <v>10.2</v>
      </c>
      <c r="I2519" t="inlineStr">
        <is>
          <t>Pre-Series B</t>
        </is>
      </c>
      <c r="J2519" t="inlineStr"/>
      <c r="K2519" t="inlineStr">
        <is>
          <t>https://entrackr.com/news/electric-motorcycle-maker-oben-electric-raises-102-mn-in-pre-series-b-round-10920607</t>
        </is>
      </c>
    </row>
    <row r="2520">
      <c r="A2520" t="inlineStr">
        <is>
          <t>INC-20251220-07</t>
        </is>
      </c>
      <c r="B2520" t="inlineStr">
        <is>
          <t>R251218-obenelectric</t>
        </is>
      </c>
      <c r="C2520" t="inlineStr">
        <is>
          <t>Inc42</t>
        </is>
      </c>
      <c r="D2520" s="17" t="n">
        <v>46009</v>
      </c>
      <c r="E2520" t="inlineStr">
        <is>
          <t>Oben Electric</t>
        </is>
      </c>
      <c r="F2520" t="inlineStr">
        <is>
          <t>$10 Mn</t>
        </is>
      </c>
      <c r="G2520" s="19" t="n"/>
      <c r="H2520" s="19" t="n">
        <v>10</v>
      </c>
      <c r="I2520" t="inlineStr">
        <is>
          <t>Pre-Series B</t>
        </is>
      </c>
      <c r="J2520" t="inlineStr"/>
      <c r="K2520" t="inlineStr">
        <is>
          <t>https://inc42.com/buzz/from-moengage-to-digantara-indian-startups-raised-347-mn-this-week/</t>
        </is>
      </c>
    </row>
    <row r="2521">
      <c r="A2521" t="inlineStr">
        <is>
          <t>ENT-10920036</t>
        </is>
      </c>
      <c r="B2521" t="inlineStr">
        <is>
          <t>R251218-qucev</t>
        </is>
      </c>
      <c r="C2521" t="inlineStr">
        <is>
          <t>Entrackr</t>
        </is>
      </c>
      <c r="D2521" s="17" t="n">
        <v>46009</v>
      </c>
      <c r="E2521" t="inlineStr">
        <is>
          <t>Qucev</t>
        </is>
      </c>
      <c r="F2521" t="inlineStr">
        <is>
          <t>Rs 131.25 crore</t>
        </is>
      </c>
      <c r="G2521" s="19" t="n">
        <v>131.25</v>
      </c>
      <c r="H2521" s="19" t="n">
        <v>15</v>
      </c>
      <c r="I2521" t="inlineStr">
        <is>
          <t>Series B</t>
        </is>
      </c>
      <c r="J2521" t="inlineStr">
        <is>
          <t>Singularity AMC</t>
        </is>
      </c>
      <c r="K2521" t="inlineStr">
        <is>
          <t>https://entrackr.com/exclusive/exclusive-ev-startup-qucev-raises-15-mn-in-series-b-10920036</t>
        </is>
      </c>
    </row>
    <row r="2522">
      <c r="A2522" t="inlineStr">
        <is>
          <t>ET-126060485</t>
        </is>
      </c>
      <c r="B2522" t="inlineStr">
        <is>
          <t>R251218-workindia</t>
        </is>
      </c>
      <c r="C2522" t="inlineStr">
        <is>
          <t>The Economic Times</t>
        </is>
      </c>
      <c r="D2522" s="17" t="n">
        <v>46009</v>
      </c>
      <c r="E2522" t="inlineStr">
        <is>
          <t>WorkIndia</t>
        </is>
      </c>
      <c r="F2522" t="inlineStr">
        <is>
          <t>Rs 97 crore</t>
        </is>
      </c>
      <c r="G2522" s="19" t="n">
        <v>97</v>
      </c>
      <c r="H2522" s="19" t="n"/>
      <c r="I2522" t="inlineStr">
        <is>
          <t>Undisclosed</t>
        </is>
      </c>
      <c r="J2522" t="inlineStr">
        <is>
          <t>Aavishkaar Capital</t>
        </is>
      </c>
      <c r="K2522" t="inlineStr">
        <is>
          <t>https://economictimes.indiatimes.com/tech/startups/workindia-raises-rs-97-crore-in-round-led-by-aavishkaar-capital/articleshow/126060485.cms</t>
        </is>
      </c>
    </row>
    <row r="2523">
      <c r="A2523" t="inlineStr">
        <is>
          <t>INC-20251220-05</t>
        </is>
      </c>
      <c r="B2523" t="inlineStr">
        <is>
          <t>R251218-workindia</t>
        </is>
      </c>
      <c r="C2523" t="inlineStr">
        <is>
          <t>Inc42</t>
        </is>
      </c>
      <c r="D2523" s="17" t="n">
        <v>46009</v>
      </c>
      <c r="E2523" t="inlineStr">
        <is>
          <t>WorkIndia</t>
        </is>
      </c>
      <c r="F2523" t="inlineStr">
        <is>
          <t>$10.8 Mn</t>
        </is>
      </c>
      <c r="G2523" s="19" t="n"/>
      <c r="H2523" s="19" t="n">
        <v>10.8</v>
      </c>
      <c r="I2523" t="inlineStr">
        <is>
          <t>Series B</t>
        </is>
      </c>
      <c r="J2523" t="inlineStr">
        <is>
          <t>Avishkaar Capital</t>
        </is>
      </c>
      <c r="K2523" t="inlineStr">
        <is>
          <t>https://inc42.com/buzz/from-moengage-to-digantara-indian-startups-raised-347-mn-this-week/</t>
        </is>
      </c>
    </row>
    <row r="2524">
      <c r="A2524" t="inlineStr">
        <is>
          <t>VCC-7fbc437df6</t>
        </is>
      </c>
      <c r="B2524" t="inlineStr">
        <is>
          <t>R251218-workindia</t>
        </is>
      </c>
      <c r="C2524" t="inlineStr">
        <is>
          <t>VCCircle</t>
        </is>
      </c>
      <c r="D2524" s="17" t="n">
        <v>46009</v>
      </c>
      <c r="E2524" t="inlineStr">
        <is>
          <t>workindia s series b round</t>
        </is>
      </c>
      <c r="F2524" t="inlineStr"/>
      <c r="G2524" s="19" t="n"/>
      <c r="H2524" s="19" t="n"/>
      <c r="I2524" t="inlineStr">
        <is>
          <t>Series B</t>
        </is>
      </c>
      <c r="J2524" t="inlineStr"/>
      <c r="K2524" t="inlineStr">
        <is>
          <t>https://www.vccircle.com/aavishkaarcapital-beenext-invest-in-workindia-s-series-b-round</t>
        </is>
      </c>
    </row>
    <row r="2525">
      <c r="A2525" t="inlineStr">
        <is>
          <t>ENT-10922965</t>
        </is>
      </c>
      <c r="B2525" t="inlineStr">
        <is>
          <t>R251218-workindia</t>
        </is>
      </c>
      <c r="C2525" t="inlineStr">
        <is>
          <t>Entrackr</t>
        </is>
      </c>
      <c r="D2525" s="17" t="n">
        <v>46010</v>
      </c>
      <c r="E2525" t="inlineStr">
        <is>
          <t>WorkIndia</t>
        </is>
      </c>
      <c r="F2525" t="inlineStr">
        <is>
          <t>Rs 97 crore</t>
        </is>
      </c>
      <c r="G2525" s="19" t="n">
        <v>97</v>
      </c>
      <c r="H2525" s="19" t="n">
        <v>10.8</v>
      </c>
      <c r="I2525" t="inlineStr">
        <is>
          <t>Series B</t>
        </is>
      </c>
      <c r="J2525" t="inlineStr">
        <is>
          <t>Aavishkaar Capital</t>
        </is>
      </c>
      <c r="K2525" t="inlineStr">
        <is>
          <t>https://entrackr.com/news/workindia-raises-rs-97-cr-in-series-b-led-by-aavishkaar-capital-10922965</t>
        </is>
      </c>
    </row>
    <row r="2526">
      <c r="A2526" t="inlineStr">
        <is>
          <t>ENT-10923126</t>
        </is>
      </c>
      <c r="B2526" t="inlineStr">
        <is>
          <t>R251219-alimentoagrofo</t>
        </is>
      </c>
      <c r="C2526" t="inlineStr">
        <is>
          <t>Entrackr</t>
        </is>
      </c>
      <c r="D2526" s="17" t="n">
        <v>46010</v>
      </c>
      <c r="E2526" t="inlineStr">
        <is>
          <t>Alimento Agro Foods</t>
        </is>
      </c>
      <c r="F2526" t="inlineStr">
        <is>
          <t>Rs 52 crore</t>
        </is>
      </c>
      <c r="G2526" s="19" t="n">
        <v>52</v>
      </c>
      <c r="H2526" s="19" t="n">
        <v>5.8</v>
      </c>
      <c r="I2526" t="inlineStr">
        <is>
          <t>Series A</t>
        </is>
      </c>
      <c r="J2526" t="inlineStr">
        <is>
          <t>IvyCap Ventures</t>
        </is>
      </c>
      <c r="K2526" t="inlineStr">
        <is>
          <t>https://entrackr.com/snippets/alimento-agro-foods-raises-rs-52-cr-led-by-ivycap-ventures-10923126</t>
        </is>
      </c>
    </row>
    <row r="2527">
      <c r="A2527" t="inlineStr">
        <is>
          <t>ET-126072896</t>
        </is>
      </c>
      <c r="B2527" t="inlineStr">
        <is>
          <t>R251219-alimentoagrofo</t>
        </is>
      </c>
      <c r="C2527" t="inlineStr">
        <is>
          <t>The Economic Times</t>
        </is>
      </c>
      <c r="D2527" s="17" t="n">
        <v>46010</v>
      </c>
      <c r="E2527" t="inlineStr">
        <is>
          <t>Alimento Agro Foods</t>
        </is>
      </c>
      <c r="F2527" t="inlineStr">
        <is>
          <t>Rs 50 crore</t>
        </is>
      </c>
      <c r="G2527" s="19" t="n">
        <v>50</v>
      </c>
      <c r="H2527" s="19" t="n">
        <v>5.5</v>
      </c>
      <c r="I2527" t="inlineStr">
        <is>
          <t>Undisclosed</t>
        </is>
      </c>
      <c r="J2527" t="inlineStr"/>
      <c r="K2527" t="inlineStr">
        <is>
          <t>https://economictimes.indiatimes.com/tech/funding/alimento-agro-foods-raises-rs-50-crore-from-ivycap-ventures/articleshow/126072896.cms</t>
        </is>
      </c>
    </row>
    <row r="2528">
      <c r="A2528" t="inlineStr">
        <is>
          <t>INC-20251220-12</t>
        </is>
      </c>
      <c r="B2528" t="inlineStr">
        <is>
          <t>R251219-alimentoagrofo</t>
        </is>
      </c>
      <c r="C2528" t="inlineStr">
        <is>
          <t>Inc42</t>
        </is>
      </c>
      <c r="D2528" s="17" t="n">
        <v>46010</v>
      </c>
      <c r="E2528" t="inlineStr">
        <is>
          <t>Alimento Agro Foods</t>
        </is>
      </c>
      <c r="F2528" t="inlineStr">
        <is>
          <t>$5.8 Mn</t>
        </is>
      </c>
      <c r="G2528" s="19" t="n"/>
      <c r="H2528" s="19" t="n">
        <v>5.8</v>
      </c>
      <c r="I2528" t="inlineStr">
        <is>
          <t>Series A</t>
        </is>
      </c>
      <c r="J2528" t="inlineStr">
        <is>
          <t>IvyCap Ventures</t>
        </is>
      </c>
      <c r="K2528" t="inlineStr">
        <is>
          <t>https://inc42.com/buzz/from-moengage-to-digantara-indian-startups-raised-347-mn-this-week/</t>
        </is>
      </c>
    </row>
    <row r="2529">
      <c r="A2529" t="inlineStr">
        <is>
          <t>INC-20251220-17</t>
        </is>
      </c>
      <c r="B2529" t="inlineStr">
        <is>
          <t>R251219-milkstation</t>
        </is>
      </c>
      <c r="C2529" t="inlineStr">
        <is>
          <t>Inc42</t>
        </is>
      </c>
      <c r="D2529" s="17" t="n">
        <v>46010</v>
      </c>
      <c r="E2529" t="inlineStr">
        <is>
          <t>Milk Station</t>
        </is>
      </c>
      <c r="F2529" t="inlineStr">
        <is>
          <t>$2.5 Mn</t>
        </is>
      </c>
      <c r="G2529" s="19" t="n"/>
      <c r="H2529" s="19" t="n">
        <v>2.5</v>
      </c>
      <c r="I2529" t="inlineStr">
        <is>
          <t>Undisclosed</t>
        </is>
      </c>
      <c r="J2529" t="inlineStr">
        <is>
          <t>V-Dairy</t>
        </is>
      </c>
      <c r="K2529" t="inlineStr">
        <is>
          <t>https://inc42.com/buzz/from-moengage-to-digantara-indian-startups-raised-347-mn-this-week/</t>
        </is>
      </c>
    </row>
    <row r="2530">
      <c r="A2530" t="inlineStr">
        <is>
          <t>ENT-10922949</t>
        </is>
      </c>
      <c r="B2530" t="inlineStr">
        <is>
          <t>R251219-stockgro</t>
        </is>
      </c>
      <c r="C2530" t="inlineStr">
        <is>
          <t>Entrackr</t>
        </is>
      </c>
      <c r="D2530" s="17" t="n">
        <v>46010</v>
      </c>
      <c r="E2530" t="inlineStr">
        <is>
          <t>StockGro</t>
        </is>
      </c>
      <c r="F2530" t="inlineStr">
        <is>
          <t>$13 million</t>
        </is>
      </c>
      <c r="G2530" s="19" t="n"/>
      <c r="H2530" s="19" t="n">
        <v>13</v>
      </c>
      <c r="I2530" t="inlineStr">
        <is>
          <t>Series B</t>
        </is>
      </c>
      <c r="J2530" t="inlineStr"/>
      <c r="K2530" t="inlineStr">
        <is>
          <t>https://entrackr.com/news/stockgro-raises-13-mn-in-series-b1-funding-from-bitkraft-ventures-10922949</t>
        </is>
      </c>
    </row>
    <row r="2531">
      <c r="A2531" t="inlineStr">
        <is>
          <t>INC-20251220-04</t>
        </is>
      </c>
      <c r="B2531" t="inlineStr">
        <is>
          <t>R251219-stockgro</t>
        </is>
      </c>
      <c r="C2531" t="inlineStr">
        <is>
          <t>Inc42</t>
        </is>
      </c>
      <c r="D2531" s="17" t="n">
        <v>46010</v>
      </c>
      <c r="E2531" t="inlineStr">
        <is>
          <t>StockGro</t>
        </is>
      </c>
      <c r="F2531" t="inlineStr">
        <is>
          <t>$13 Mn</t>
        </is>
      </c>
      <c r="G2531" s="19" t="n"/>
      <c r="H2531" s="19" t="n">
        <v>13</v>
      </c>
      <c r="I2531" t="inlineStr">
        <is>
          <t>Series B</t>
        </is>
      </c>
      <c r="J2531" t="inlineStr">
        <is>
          <t>BITKRAFT Ventures</t>
        </is>
      </c>
      <c r="K2531" t="inlineStr">
        <is>
          <t>https://inc42.com/buzz/from-moengage-to-digantara-indian-startups-raised-347-mn-this-week/</t>
        </is>
      </c>
    </row>
    <row r="2532">
      <c r="A2532" t="inlineStr">
        <is>
          <t>VCC-cd83175550</t>
        </is>
      </c>
      <c r="B2532" t="inlineStr">
        <is>
          <t>R251219-stockgro</t>
        </is>
      </c>
      <c r="C2532" t="inlineStr">
        <is>
          <t>VCCircle</t>
        </is>
      </c>
      <c r="D2532" s="17" t="n">
        <v>46010</v>
      </c>
      <c r="E2532" t="inlineStr">
        <is>
          <t>stockgro</t>
        </is>
      </c>
      <c r="F2532" t="inlineStr">
        <is>
          <t>$ 13 million</t>
        </is>
      </c>
      <c r="G2532" s="19" t="n"/>
      <c r="H2532" s="19" t="n">
        <v>13</v>
      </c>
      <c r="I2532" t="inlineStr">
        <is>
          <t>Undisclosed</t>
        </is>
      </c>
      <c r="J2532" t="inlineStr"/>
      <c r="K2532" t="inlineStr">
        <is>
          <t>https://www.vccircle.com/mukulagrawal-backed-stockgro-raises-additional-13-mn</t>
        </is>
      </c>
    </row>
    <row r="2533">
      <c r="A2533" t="inlineStr">
        <is>
          <t>ENT-10923709</t>
        </is>
      </c>
      <c r="B2533" t="inlineStr">
        <is>
          <t>R251219-virohan</t>
        </is>
      </c>
      <c r="C2533" t="inlineStr">
        <is>
          <t>Entrackr</t>
        </is>
      </c>
      <c r="D2533" s="17" t="n">
        <v>46010</v>
      </c>
      <c r="E2533" t="inlineStr">
        <is>
          <t>Virohan</t>
        </is>
      </c>
      <c r="F2533" t="inlineStr">
        <is>
          <t>Rs 65 crore</t>
        </is>
      </c>
      <c r="G2533" s="19" t="n">
        <v>65</v>
      </c>
      <c r="H2533" s="19" t="n">
        <v>7.5</v>
      </c>
      <c r="I2533" t="inlineStr">
        <is>
          <t>Series B</t>
        </is>
      </c>
      <c r="J2533" t="inlineStr">
        <is>
          <t>Mynavi Corporation</t>
        </is>
      </c>
      <c r="K2533" t="inlineStr">
        <is>
          <t>https://entrackr.com/snippets/healthcare-edtech-startup-virohan-raises-75-mn-in-ongoing-series-b-10923709</t>
        </is>
      </c>
    </row>
    <row r="2534">
      <c r="A2534" t="inlineStr">
        <is>
          <t>INC-20251220-08</t>
        </is>
      </c>
      <c r="B2534" t="inlineStr">
        <is>
          <t>R251219-virohan</t>
        </is>
      </c>
      <c r="C2534" t="inlineStr">
        <is>
          <t>Inc42</t>
        </is>
      </c>
      <c r="D2534" s="17" t="n">
        <v>46010</v>
      </c>
      <c r="E2534" t="inlineStr">
        <is>
          <t>Virohan</t>
        </is>
      </c>
      <c r="F2534" t="inlineStr">
        <is>
          <t>$7.5 Mn</t>
        </is>
      </c>
      <c r="G2534" s="19" t="n"/>
      <c r="H2534" s="19" t="n">
        <v>7.5</v>
      </c>
      <c r="I2534" t="inlineStr">
        <is>
          <t>Series B</t>
        </is>
      </c>
      <c r="J2534" t="inlineStr">
        <is>
          <t>Mynavi Corporation</t>
        </is>
      </c>
      <c r="K2534" t="inlineStr">
        <is>
          <t>https://inc42.com/buzz/from-moengage-to-digantara-indian-startups-raised-347-mn-this-week/</t>
        </is>
      </c>
    </row>
    <row r="2535">
      <c r="A2535" t="inlineStr">
        <is>
          <t>INC-20251220-27</t>
        </is>
      </c>
      <c r="B2535" t="inlineStr">
        <is>
          <t>R251220-novytematerial</t>
        </is>
      </c>
      <c r="C2535" t="inlineStr">
        <is>
          <t>Inc42</t>
        </is>
      </c>
      <c r="D2535" s="17" t="n">
        <v>46011</v>
      </c>
      <c r="E2535" t="inlineStr">
        <is>
          <t>Novyte Materials</t>
        </is>
      </c>
      <c r="F2535" t="inlineStr"/>
      <c r="G2535" s="19" t="n"/>
      <c r="H2535" s="19" t="n"/>
      <c r="I2535" t="inlineStr">
        <is>
          <t>Seed</t>
        </is>
      </c>
      <c r="J2535" t="inlineStr">
        <is>
          <t>Theia Ventures</t>
        </is>
      </c>
      <c r="K2535" t="inlineStr">
        <is>
          <t>https://inc42.com/buzz/from-moengage-to-digantara-indian-startups-raised-347-mn-this-week/</t>
        </is>
      </c>
    </row>
    <row r="2536">
      <c r="A2536" t="inlineStr">
        <is>
          <t>ENT-10931080</t>
        </is>
      </c>
      <c r="B2536" t="inlineStr">
        <is>
          <t>R251222-dugarfinance</t>
        </is>
      </c>
      <c r="C2536" t="inlineStr">
        <is>
          <t>Entrackr</t>
        </is>
      </c>
      <c r="D2536" s="17" t="n">
        <v>46013</v>
      </c>
      <c r="E2536" t="inlineStr">
        <is>
          <t>Dugar Finance</t>
        </is>
      </c>
      <c r="F2536" t="inlineStr">
        <is>
          <t>$18 million</t>
        </is>
      </c>
      <c r="G2536" s="19" t="n">
        <v>160</v>
      </c>
      <c r="H2536" s="19" t="n">
        <v>18</v>
      </c>
      <c r="I2536" t="inlineStr">
        <is>
          <t>Debt</t>
        </is>
      </c>
      <c r="J2536" t="inlineStr">
        <is>
          <t>Symbiotics</t>
        </is>
      </c>
      <c r="K2536" t="inlineStr">
        <is>
          <t>https://entrackr.com/snippets/symbiotics-leads-18-mn-debt-round-in-dugar-finance-10931080</t>
        </is>
      </c>
    </row>
    <row r="2537">
      <c r="A2537" t="inlineStr">
        <is>
          <t>ENT-10931632</t>
        </is>
      </c>
      <c r="B2537" t="inlineStr">
        <is>
          <t>R251222-plasmagenbiosc</t>
        </is>
      </c>
      <c r="C2537" t="inlineStr">
        <is>
          <t>Entrackr</t>
        </is>
      </c>
      <c r="D2537" s="17" t="n">
        <v>46013</v>
      </c>
      <c r="E2537" t="inlineStr">
        <is>
          <t>PlasmaGen Biosciences</t>
        </is>
      </c>
      <c r="F2537" t="inlineStr">
        <is>
          <t>Rs 150 crore</t>
        </is>
      </c>
      <c r="G2537" s="19" t="n">
        <v>150</v>
      </c>
      <c r="H2537" s="19" t="n"/>
      <c r="I2537" t="inlineStr">
        <is>
          <t>Undisclosed</t>
        </is>
      </c>
      <c r="J2537" t="inlineStr">
        <is>
          <t>ViNS Bioproducts</t>
        </is>
      </c>
      <c r="K2537" t="inlineStr">
        <is>
          <t>https://entrackr.com/snippets/plasmagen-biosciences-raises-rs-150-cr-led-by-vins-bioproducts-10931632</t>
        </is>
      </c>
    </row>
    <row r="2538">
      <c r="A2538" t="inlineStr">
        <is>
          <t>ET-126118289</t>
        </is>
      </c>
      <c r="B2538" t="inlineStr">
        <is>
          <t>R251222-plasmagenbiosc</t>
        </is>
      </c>
      <c r="C2538" t="inlineStr">
        <is>
          <t>The Economic Times</t>
        </is>
      </c>
      <c r="D2538" s="17" t="n">
        <v>46013</v>
      </c>
      <c r="E2538" t="inlineStr">
        <is>
          <t>PlasmaGen Biosciences</t>
        </is>
      </c>
      <c r="F2538" t="inlineStr">
        <is>
          <t>Rs 150 crore</t>
        </is>
      </c>
      <c r="G2538" s="19" t="n">
        <v>150</v>
      </c>
      <c r="H2538" s="19" t="n"/>
      <c r="I2538" t="inlineStr">
        <is>
          <t>Undisclosed</t>
        </is>
      </c>
      <c r="J2538" t="inlineStr">
        <is>
          <t>ViNS Bioproducts</t>
        </is>
      </c>
      <c r="K2538" t="inlineStr">
        <is>
          <t>https://economictimes.indiatimes.com/tech/funding/eight-roads-venture-backed-plasmagen-biosciences-raises-rs-150-crore-valued-at-rs-1500-crore/articleshow/126118289.cms</t>
        </is>
      </c>
    </row>
    <row r="2539">
      <c r="A2539" t="inlineStr">
        <is>
          <t>ENT-10930747</t>
        </is>
      </c>
      <c r="B2539" t="inlineStr">
        <is>
          <t>R251222-powerupmoney</t>
        </is>
      </c>
      <c r="C2539" t="inlineStr">
        <is>
          <t>Entrackr</t>
        </is>
      </c>
      <c r="D2539" s="17" t="n">
        <v>46013</v>
      </c>
      <c r="E2539" t="inlineStr">
        <is>
          <t>PowerUp Money</t>
        </is>
      </c>
      <c r="F2539" t="inlineStr">
        <is>
          <t>$12 million</t>
        </is>
      </c>
      <c r="G2539" s="19" t="n"/>
      <c r="H2539" s="19" t="n">
        <v>12</v>
      </c>
      <c r="I2539" t="inlineStr">
        <is>
          <t>Series A</t>
        </is>
      </c>
      <c r="J2539" t="inlineStr">
        <is>
          <t>Peak XV; Accel; Blume Ventures; Kae Capital</t>
        </is>
      </c>
      <c r="K2539" t="inlineStr">
        <is>
          <t>https://entrackr.com/news/powerup-money-raises-12-mn-in-series-a-round-led-by-peak-xv-10930747</t>
        </is>
      </c>
    </row>
    <row r="2540">
      <c r="A2540" t="inlineStr">
        <is>
          <t>ET-126116129</t>
        </is>
      </c>
      <c r="B2540" t="inlineStr">
        <is>
          <t>R251222-powerupmoney</t>
        </is>
      </c>
      <c r="C2540" t="inlineStr">
        <is>
          <t>The Economic Times</t>
        </is>
      </c>
      <c r="D2540" s="17" t="n">
        <v>46013</v>
      </c>
      <c r="E2540" t="inlineStr">
        <is>
          <t>PowerUp Money</t>
        </is>
      </c>
      <c r="F2540" t="inlineStr">
        <is>
          <t>$12 million</t>
        </is>
      </c>
      <c r="G2540" s="19" t="n"/>
      <c r="H2540" s="19" t="n">
        <v>12</v>
      </c>
      <c r="I2540" t="inlineStr">
        <is>
          <t>Undisclosed</t>
        </is>
      </c>
      <c r="J2540" t="inlineStr">
        <is>
          <t>Peak XV Partners</t>
        </is>
      </c>
      <c r="K2540" t="inlineStr">
        <is>
          <t>https://economictimes.indiatimes.com/tech/funding/wealthtech-startup-powerupmoney-secures-12-million-funding-from-peak-xv-partners-others/articleshow/126116129.cms</t>
        </is>
      </c>
    </row>
    <row r="2541">
      <c r="A2541" t="inlineStr">
        <is>
          <t>INC-20251227-02</t>
        </is>
      </c>
      <c r="B2541" t="inlineStr">
        <is>
          <t>R251222-powerupmoney</t>
        </is>
      </c>
      <c r="C2541" t="inlineStr">
        <is>
          <t>Inc42</t>
        </is>
      </c>
      <c r="D2541" s="17" t="n">
        <v>46013</v>
      </c>
      <c r="E2541" t="inlineStr">
        <is>
          <t>PowerUp Money</t>
        </is>
      </c>
      <c r="F2541" t="inlineStr">
        <is>
          <t>$12 Mn</t>
        </is>
      </c>
      <c r="G2541" s="19" t="n"/>
      <c r="H2541" s="19" t="n">
        <v>12</v>
      </c>
      <c r="I2541" t="inlineStr">
        <is>
          <t>Series A</t>
        </is>
      </c>
      <c r="J2541" t="inlineStr">
        <is>
          <t>Peak XV Partners</t>
        </is>
      </c>
      <c r="K2541" t="inlineStr">
        <is>
          <t>https://inc42.com/buzz/from-coreel-technologies-to-powerup-money-indian-startups-raised-49-mn-this-week/</t>
        </is>
      </c>
    </row>
    <row r="2542">
      <c r="A2542" t="inlineStr">
        <is>
          <t>INC-20251227-06</t>
        </is>
      </c>
      <c r="B2542" t="inlineStr">
        <is>
          <t>R251222-supply6</t>
        </is>
      </c>
      <c r="C2542" t="inlineStr">
        <is>
          <t>Inc42</t>
        </is>
      </c>
      <c r="D2542" s="17" t="n">
        <v>46013</v>
      </c>
      <c r="E2542" t="inlineStr">
        <is>
          <t>Supply6</t>
        </is>
      </c>
      <c r="F2542" t="inlineStr"/>
      <c r="G2542" s="19" t="n"/>
      <c r="H2542" s="19" t="n"/>
      <c r="I2542" t="inlineStr">
        <is>
          <t>Undisclosed</t>
        </is>
      </c>
      <c r="J2542" t="inlineStr">
        <is>
          <t>Kriti Sanon</t>
        </is>
      </c>
      <c r="K2542" t="inlineStr">
        <is>
          <t>https://inc42.com/buzz/from-coreel-technologies-to-powerup-money-indian-startups-raised-49-mn-this-week/</t>
        </is>
      </c>
    </row>
    <row r="2543">
      <c r="A2543" t="inlineStr">
        <is>
          <t>ENT-10940257</t>
        </is>
      </c>
      <c r="B2543" t="inlineStr">
        <is>
          <t>R251223-coreeltechnolo</t>
        </is>
      </c>
      <c r="C2543" t="inlineStr">
        <is>
          <t>Entrackr</t>
        </is>
      </c>
      <c r="D2543" s="17" t="n">
        <v>46014</v>
      </c>
      <c r="E2543" t="inlineStr">
        <is>
          <t>CoreEL Technologies</t>
        </is>
      </c>
      <c r="F2543" t="inlineStr">
        <is>
          <t>$30 million</t>
        </is>
      </c>
      <c r="G2543" s="19" t="n"/>
      <c r="H2543" s="19" t="n">
        <v>30</v>
      </c>
      <c r="I2543" t="inlineStr">
        <is>
          <t>Series B</t>
        </is>
      </c>
      <c r="J2543" t="inlineStr">
        <is>
          <t>ValueQuest Scale Fund</t>
        </is>
      </c>
      <c r="K2543" t="inlineStr">
        <is>
          <t>https://entrackr.com/news/aerospace-and-defence-tech-firm-coreel-technologies-raises-30-mn-in-series-b-round-10940257</t>
        </is>
      </c>
    </row>
    <row r="2544">
      <c r="A2544" t="inlineStr">
        <is>
          <t>ET-126139285</t>
        </is>
      </c>
      <c r="B2544" t="inlineStr">
        <is>
          <t>R251223-coreeltechnolo</t>
        </is>
      </c>
      <c r="C2544" t="inlineStr">
        <is>
          <t>The Economic Times</t>
        </is>
      </c>
      <c r="D2544" s="17" t="n">
        <v>46014</v>
      </c>
      <c r="E2544" t="inlineStr">
        <is>
          <t>CoreEL Technologies</t>
        </is>
      </c>
      <c r="F2544" t="inlineStr">
        <is>
          <t>$30 million</t>
        </is>
      </c>
      <c r="G2544" s="19" t="n"/>
      <c r="H2544" s="19" t="n">
        <v>30</v>
      </c>
      <c r="I2544" t="inlineStr">
        <is>
          <t>Undisclosed</t>
        </is>
      </c>
      <c r="J2544" t="inlineStr">
        <is>
          <t>ValueQuest</t>
        </is>
      </c>
      <c r="K2544" t="inlineStr">
        <is>
          <t>https://economictimes.indiatimes.com/tech/funding/defence-electronics-firm-coreel-technologies-raises-30-million-from-valuquest-360-one-asset/articleshow/126139285.cms</t>
        </is>
      </c>
    </row>
    <row r="2545">
      <c r="A2545" t="inlineStr">
        <is>
          <t>INC-20251227-01</t>
        </is>
      </c>
      <c r="B2545" t="inlineStr">
        <is>
          <t>R251223-coreeltechnolo</t>
        </is>
      </c>
      <c r="C2545" t="inlineStr">
        <is>
          <t>Inc42</t>
        </is>
      </c>
      <c r="D2545" s="17" t="n">
        <v>46014</v>
      </c>
      <c r="E2545" t="inlineStr">
        <is>
          <t>CoreEL Technologies</t>
        </is>
      </c>
      <c r="F2545" t="inlineStr">
        <is>
          <t>$30 Mn</t>
        </is>
      </c>
      <c r="G2545" s="19" t="n"/>
      <c r="H2545" s="19" t="n">
        <v>30</v>
      </c>
      <c r="I2545" t="inlineStr">
        <is>
          <t>Series B</t>
        </is>
      </c>
      <c r="J2545" t="inlineStr">
        <is>
          <t>ValueQuest Scale Fund</t>
        </is>
      </c>
      <c r="K2545" t="inlineStr">
        <is>
          <t>https://inc42.com/buzz/from-coreel-technologies-to-powerup-money-indian-startups-raised-49-mn-this-week/</t>
        </is>
      </c>
    </row>
    <row r="2546">
      <c r="A2546" t="inlineStr">
        <is>
          <t>ENT-10940472</t>
        </is>
      </c>
      <c r="B2546" t="inlineStr">
        <is>
          <t>R251223-naxatralabs</t>
        </is>
      </c>
      <c r="C2546" t="inlineStr">
        <is>
          <t>Entrackr</t>
        </is>
      </c>
      <c r="D2546" s="17" t="n">
        <v>46014</v>
      </c>
      <c r="E2546" t="inlineStr">
        <is>
          <t>Naxatra Labs</t>
        </is>
      </c>
      <c r="F2546" t="inlineStr">
        <is>
          <t>$3 million</t>
        </is>
      </c>
      <c r="G2546" s="19" t="n"/>
      <c r="H2546" s="19" t="n">
        <v>3</v>
      </c>
      <c r="I2546" t="inlineStr">
        <is>
          <t>Pre-Series A</t>
        </is>
      </c>
      <c r="J2546" t="inlineStr">
        <is>
          <t>Rainmatter</t>
        </is>
      </c>
      <c r="K2546" t="inlineStr">
        <is>
          <t>https://entrackr.com/snippets/naxatra-labs-raises-3-mn-pre-series-a-led-by-rainmatter-10940472</t>
        </is>
      </c>
    </row>
    <row r="2547">
      <c r="A2547" t="inlineStr">
        <is>
          <t>ET-126141968</t>
        </is>
      </c>
      <c r="B2547" t="inlineStr">
        <is>
          <t>R251223-naxatralabs</t>
        </is>
      </c>
      <c r="C2547" t="inlineStr">
        <is>
          <t>The Economic Times</t>
        </is>
      </c>
      <c r="D2547" s="17" t="n">
        <v>46014</v>
      </c>
      <c r="E2547" t="inlineStr">
        <is>
          <t>Naxatra Labs</t>
        </is>
      </c>
      <c r="F2547" t="inlineStr">
        <is>
          <t>$3 million</t>
        </is>
      </c>
      <c r="G2547" s="19" t="n"/>
      <c r="H2547" s="19" t="n">
        <v>3</v>
      </c>
      <c r="I2547" t="inlineStr">
        <is>
          <t>Undisclosed</t>
        </is>
      </c>
      <c r="J2547" t="inlineStr">
        <is>
          <t>Rainmatter</t>
        </is>
      </c>
      <c r="K2547" t="inlineStr">
        <is>
          <t>https://economictimes.indiatimes.com/tech/funding/ev-motor-startup-naxatra-labs-raises-3-million-led-by-zerodhas-rainmatter-angel-investors/articleshow/126141968.cms</t>
        </is>
      </c>
    </row>
    <row r="2548">
      <c r="A2548" t="inlineStr">
        <is>
          <t>INC-20251227-04</t>
        </is>
      </c>
      <c r="B2548" t="inlineStr">
        <is>
          <t>R251223-naxatralabs</t>
        </is>
      </c>
      <c r="C2548" t="inlineStr">
        <is>
          <t>Inc42</t>
        </is>
      </c>
      <c r="D2548" s="17" t="n">
        <v>46014</v>
      </c>
      <c r="E2548" t="inlineStr">
        <is>
          <t>Naxatra Labs</t>
        </is>
      </c>
      <c r="F2548" t="inlineStr">
        <is>
          <t>$3 Mn</t>
        </is>
      </c>
      <c r="G2548" s="19" t="n"/>
      <c r="H2548" s="19" t="n">
        <v>3</v>
      </c>
      <c r="I2548" t="inlineStr">
        <is>
          <t>Pre-Series A</t>
        </is>
      </c>
      <c r="J2548" t="inlineStr">
        <is>
          <t>Rainmatter</t>
        </is>
      </c>
      <c r="K2548" t="inlineStr">
        <is>
          <t>https://inc42.com/buzz/from-coreel-technologies-to-powerup-money-indian-startups-raised-49-mn-this-week/</t>
        </is>
      </c>
    </row>
    <row r="2549">
      <c r="A2549" t="inlineStr">
        <is>
          <t>ENT-10939505</t>
        </is>
      </c>
      <c r="B2549" t="inlineStr">
        <is>
          <t>R251223-prosperrio</t>
        </is>
      </c>
      <c r="C2549" t="inlineStr">
        <is>
          <t>Entrackr</t>
        </is>
      </c>
      <c r="D2549" s="17" t="n">
        <v>46014</v>
      </c>
      <c r="E2549" t="inlineStr">
        <is>
          <t>Prosperr.io</t>
        </is>
      </c>
      <c r="F2549" t="inlineStr">
        <is>
          <t>$4 million</t>
        </is>
      </c>
      <c r="G2549" s="19" t="n"/>
      <c r="H2549" s="19" t="n">
        <v>4</v>
      </c>
      <c r="I2549" t="inlineStr">
        <is>
          <t>Seed</t>
        </is>
      </c>
      <c r="J2549" t="inlineStr">
        <is>
          <t>Jungle Ventures</t>
        </is>
      </c>
      <c r="K2549" t="inlineStr">
        <is>
          <t>https://entrackr.com/snippets/tax-management-infra-startup-prosperrio-raises-4-mn-led-by-jungle-ventures-10939505</t>
        </is>
      </c>
    </row>
    <row r="2550">
      <c r="A2550" t="inlineStr">
        <is>
          <t>ET-126132457</t>
        </is>
      </c>
      <c r="B2550" t="inlineStr">
        <is>
          <t>R251223-prosperrio</t>
        </is>
      </c>
      <c r="C2550" t="inlineStr">
        <is>
          <t>The Economic Times</t>
        </is>
      </c>
      <c r="D2550" s="17" t="n">
        <v>46014</v>
      </c>
      <c r="E2550" t="inlineStr">
        <is>
          <t>Prosperr.io</t>
        </is>
      </c>
      <c r="F2550" t="inlineStr">
        <is>
          <t>$4 million</t>
        </is>
      </c>
      <c r="G2550" s="19" t="n">
        <v>35.8</v>
      </c>
      <c r="H2550" s="19" t="n">
        <v>4</v>
      </c>
      <c r="I2550" t="inlineStr">
        <is>
          <t>Seed</t>
        </is>
      </c>
      <c r="J2550" t="inlineStr">
        <is>
          <t>Jungle Ventures</t>
        </is>
      </c>
      <c r="K2550" t="inlineStr">
        <is>
          <t>https://economictimes.indiatimes.com/tech/funding/prosperr-io-raises-4-million-from-jungle-ventures-others/articleshow/126132457.cms</t>
        </is>
      </c>
    </row>
    <row r="2551">
      <c r="A2551" t="inlineStr">
        <is>
          <t>INC-20251227-03</t>
        </is>
      </c>
      <c r="B2551" t="inlineStr">
        <is>
          <t>R251223-prosperrio</t>
        </is>
      </c>
      <c r="C2551" t="inlineStr">
        <is>
          <t>Inc42</t>
        </is>
      </c>
      <c r="D2551" s="17" t="n">
        <v>46014</v>
      </c>
      <c r="E2551" t="inlineStr">
        <is>
          <t>Prosperr.io</t>
        </is>
      </c>
      <c r="F2551" t="inlineStr">
        <is>
          <t>$4 Mn</t>
        </is>
      </c>
      <c r="G2551" s="19" t="n"/>
      <c r="H2551" s="19" t="n">
        <v>4</v>
      </c>
      <c r="I2551" t="inlineStr">
        <is>
          <t>Seed</t>
        </is>
      </c>
      <c r="J2551" t="inlineStr">
        <is>
          <t>Jungle Ventures</t>
        </is>
      </c>
      <c r="K2551" t="inlineStr">
        <is>
          <t>https://inc42.com/buzz/from-coreel-technologies-to-powerup-money-indian-startups-raised-49-mn-this-week/</t>
        </is>
      </c>
    </row>
    <row r="2552">
      <c r="A2552" t="inlineStr">
        <is>
          <t>INC-20251227-07</t>
        </is>
      </c>
      <c r="B2552" t="inlineStr">
        <is>
          <t>R251224-magicdecor</t>
        </is>
      </c>
      <c r="C2552" t="inlineStr">
        <is>
          <t>Inc42</t>
        </is>
      </c>
      <c r="D2552" s="17" t="n">
        <v>46015</v>
      </c>
      <c r="E2552" t="inlineStr">
        <is>
          <t>MagicDecor</t>
        </is>
      </c>
      <c r="F2552" t="inlineStr"/>
      <c r="G2552" s="19" t="n"/>
      <c r="H2552" s="19" t="n"/>
      <c r="I2552" t="inlineStr">
        <is>
          <t>Undisclosed</t>
        </is>
      </c>
      <c r="J2552" t="inlineStr">
        <is>
          <t>Pidilite Ventures</t>
        </is>
      </c>
      <c r="K2552" t="inlineStr">
        <is>
          <t>https://inc42.com/buzz/from-coreel-technologies-to-powerup-money-indian-startups-raised-49-mn-this-week/</t>
        </is>
      </c>
    </row>
    <row r="2553">
      <c r="A2553" t="inlineStr">
        <is>
          <t>ENT-10946920</t>
        </is>
      </c>
      <c r="B2553" t="inlineStr">
        <is>
          <t>R251225-olaelectric</t>
        </is>
      </c>
      <c r="C2553" t="inlineStr">
        <is>
          <t>Entrackr</t>
        </is>
      </c>
      <c r="D2553" s="17" t="n">
        <v>46016</v>
      </c>
      <c r="E2553" t="inlineStr">
        <is>
          <t>Ola Electric</t>
        </is>
      </c>
      <c r="F2553" t="inlineStr">
        <is>
          <t>Rs 366.78 crore</t>
        </is>
      </c>
      <c r="G2553" s="19" t="n">
        <v>366.78</v>
      </c>
      <c r="H2553" s="19" t="n"/>
      <c r="I2553" t="inlineStr">
        <is>
          <t>Undisclosed</t>
        </is>
      </c>
      <c r="J2553" t="inlineStr"/>
      <c r="K2553" t="inlineStr">
        <is>
          <t>https://entrackr.com/news/ola-electric-secures-rs-36678-cr-under-govt-pli-scheme-for-fy25-10946920</t>
        </is>
      </c>
    </row>
    <row r="2554">
      <c r="A2554" t="inlineStr">
        <is>
          <t>INC-20251227-05</t>
        </is>
      </c>
      <c r="B2554" t="inlineStr">
        <is>
          <t>R251225-oppam</t>
        </is>
      </c>
      <c r="C2554" t="inlineStr">
        <is>
          <t>Inc42</t>
        </is>
      </c>
      <c r="D2554" s="17" t="n">
        <v>46016</v>
      </c>
      <c r="E2554" t="inlineStr">
        <is>
          <t>Oppam</t>
        </is>
      </c>
      <c r="F2554" t="inlineStr">
        <is>
          <t>$170K</t>
        </is>
      </c>
      <c r="G2554" s="19" t="n"/>
      <c r="H2554" s="19" t="n">
        <v>0.17</v>
      </c>
      <c r="I2554" t="inlineStr">
        <is>
          <t>Seed</t>
        </is>
      </c>
      <c r="J2554" t="inlineStr"/>
      <c r="K2554" t="inlineStr">
        <is>
          <t>https://inc42.com/buzz/from-coreel-technologies-to-powerup-money-indian-startups-raised-49-mn-this-week/</t>
        </is>
      </c>
    </row>
    <row r="2555">
      <c r="A2555" t="inlineStr">
        <is>
          <t>ENT-10954502</t>
        </is>
      </c>
      <c r="B2555" t="inlineStr">
        <is>
          <t>R251229-neeman</t>
        </is>
      </c>
      <c r="C2555" t="inlineStr">
        <is>
          <t>Entrackr</t>
        </is>
      </c>
      <c r="D2555" s="17" t="n">
        <v>46020</v>
      </c>
      <c r="E2555" t="inlineStr">
        <is>
          <t>Neeman’s</t>
        </is>
      </c>
      <c r="F2555" t="inlineStr"/>
      <c r="G2555" s="19" t="n"/>
      <c r="H2555" s="19" t="n"/>
      <c r="I2555" t="inlineStr">
        <is>
          <t>Series B</t>
        </is>
      </c>
      <c r="J2555" t="inlineStr"/>
      <c r="K2555" t="inlineStr">
        <is>
          <t>https://entrackr.com/exclusive/exclusive-footwear-brand-neemans-raising-fresh-funding-from-multiple-investors-10954502</t>
        </is>
      </c>
    </row>
    <row r="2556">
      <c r="A2556" t="inlineStr">
        <is>
          <t>ET-126269068</t>
        </is>
      </c>
      <c r="B2556" t="inlineStr">
        <is>
          <t>R251231-speed</t>
        </is>
      </c>
      <c r="C2556" t="inlineStr">
        <is>
          <t>The Economic Times</t>
        </is>
      </c>
      <c r="D2556" s="17" t="n">
        <v>46022</v>
      </c>
      <c r="E2556" t="inlineStr">
        <is>
          <t>Speed</t>
        </is>
      </c>
      <c r="F2556" t="inlineStr">
        <is>
          <t>$8m</t>
        </is>
      </c>
      <c r="G2556" s="19" t="n"/>
      <c r="H2556" s="19" t="n">
        <v>8</v>
      </c>
      <c r="I2556" t="inlineStr">
        <is>
          <t>Undisclosed</t>
        </is>
      </c>
      <c r="J2556" t="inlineStr"/>
      <c r="K2556" t="inlineStr">
        <is>
          <t>https://economictimes.indiatimes.com/tech/funding/india-based-speed-raises-8m-from-tether-and-ego-death-capital-to-accelerate-lightning-powered-bitcoin-and-stablecoin-payments/articleshow/126269068.cms</t>
        </is>
      </c>
    </row>
    <row r="2557">
      <c r="A2557" t="inlineStr">
        <is>
          <t>INC-20260110-02</t>
        </is>
      </c>
      <c r="B2557" t="inlineStr">
        <is>
          <t>R251231-speed</t>
        </is>
      </c>
      <c r="C2557" t="inlineStr">
        <is>
          <t>Inc42</t>
        </is>
      </c>
      <c r="D2557" s="17" t="n">
        <v>46028</v>
      </c>
      <c r="E2557" t="inlineStr">
        <is>
          <t>Speed</t>
        </is>
      </c>
      <c r="F2557" t="inlineStr">
        <is>
          <t>$8 Mn</t>
        </is>
      </c>
      <c r="G2557" s="19" t="n"/>
      <c r="H2557" s="19" t="n">
        <v>8</v>
      </c>
      <c r="I2557" t="inlineStr">
        <is>
          <t>Undisclosed</t>
        </is>
      </c>
      <c r="J2557" t="inlineStr">
        <is>
          <t>Tether Ventures</t>
        </is>
      </c>
      <c r="K2557" t="inlineStr">
        <is>
          <t>https://inc42.com/buzz/from-even-healthcare-to-takeme2space-indian-startups-raised-68-mn-this-week/</t>
        </is>
      </c>
    </row>
    <row r="2558">
      <c r="A2558" t="inlineStr">
        <is>
          <t>ENT-10960350</t>
        </is>
      </c>
      <c r="B2558" t="inlineStr">
        <is>
          <t>R251231-truva</t>
        </is>
      </c>
      <c r="C2558" t="inlineStr">
        <is>
          <t>Entrackr</t>
        </is>
      </c>
      <c r="D2558" s="17" t="n">
        <v>46022</v>
      </c>
      <c r="E2558" t="inlineStr">
        <is>
          <t>Truva</t>
        </is>
      </c>
      <c r="F2558" t="inlineStr">
        <is>
          <t>$6.32 million</t>
        </is>
      </c>
      <c r="G2558" s="19" t="n"/>
      <c r="H2558" s="19" t="n">
        <v>6.32</v>
      </c>
      <c r="I2558" t="inlineStr">
        <is>
          <t>Undisclosed</t>
        </is>
      </c>
      <c r="J2558" t="inlineStr"/>
      <c r="K2558" t="inlineStr">
        <is>
          <t>https://entrackr.com/exclusive/exclusive-proptech-startup-truva-raises-63-mn-at-over-30-mn-valuation-10960350</t>
        </is>
      </c>
    </row>
    <row r="2559">
      <c r="A2559" t="inlineStr">
        <is>
          <t>ENT-10965656</t>
        </is>
      </c>
      <c r="B2559" t="inlineStr">
        <is>
          <t>R260102-aryaag</t>
        </is>
      </c>
      <c r="C2559" t="inlineStr">
        <is>
          <t>Entrackr</t>
        </is>
      </c>
      <c r="D2559" s="17" t="n">
        <v>46024</v>
      </c>
      <c r="E2559" t="inlineStr">
        <is>
          <t>Arya.ag</t>
        </is>
      </c>
      <c r="F2559" t="inlineStr">
        <is>
          <t>Rs 725 crore</t>
        </is>
      </c>
      <c r="G2559" s="19" t="n">
        <v>725</v>
      </c>
      <c r="H2559" s="19" t="n">
        <v>80.3</v>
      </c>
      <c r="I2559" t="inlineStr">
        <is>
          <t>Series D</t>
        </is>
      </c>
      <c r="J2559" t="inlineStr"/>
      <c r="K2559" t="inlineStr">
        <is>
          <t>https://entrackr.com/news/agritech-firm-aryaag-raises-over-80-mn-in-series-d-from-gef-capital-10965656</t>
        </is>
      </c>
    </row>
    <row r="2560">
      <c r="A2560" t="inlineStr">
        <is>
          <t>INC-20260103-01</t>
        </is>
      </c>
      <c r="B2560" t="inlineStr">
        <is>
          <t>R260102-aryaag</t>
        </is>
      </c>
      <c r="C2560" t="inlineStr">
        <is>
          <t>Inc42</t>
        </is>
      </c>
      <c r="D2560" s="17" t="n">
        <v>46024</v>
      </c>
      <c r="E2560" t="inlineStr">
        <is>
          <t>Arya.ag</t>
        </is>
      </c>
      <c r="F2560" t="inlineStr">
        <is>
          <t>$80.6 Mn</t>
        </is>
      </c>
      <c r="G2560" s="19" t="n"/>
      <c r="H2560" s="19" t="n">
        <v>80.59999999999999</v>
      </c>
      <c r="I2560" t="inlineStr">
        <is>
          <t>Series D</t>
        </is>
      </c>
      <c r="J2560" t="inlineStr">
        <is>
          <t>GEF Capital Partners</t>
        </is>
      </c>
      <c r="K2560" t="inlineStr">
        <is>
          <t>https://inc42.com/buzz/from-arya-ag-to-knight-fintech-indian-startups-raised-104-mn-this-week/</t>
        </is>
      </c>
    </row>
    <row r="2561">
      <c r="A2561" t="inlineStr">
        <is>
          <t>VCC-48518ee14f</t>
        </is>
      </c>
      <c r="B2561" t="inlineStr">
        <is>
          <t>R260102-aryaag</t>
        </is>
      </c>
      <c r="C2561" t="inlineStr">
        <is>
          <t>VCCircle</t>
        </is>
      </c>
      <c r="D2561" s="17" t="n">
        <v>46024</v>
      </c>
      <c r="E2561" t="inlineStr">
        <is>
          <t>agritechfirm arya ag</t>
        </is>
      </c>
      <c r="F2561" t="inlineStr"/>
      <c r="G2561" s="19" t="n"/>
      <c r="H2561" s="19" t="n"/>
      <c r="I2561" t="inlineStr">
        <is>
          <t>Series D</t>
        </is>
      </c>
      <c r="J2561" t="inlineStr"/>
      <c r="K2561" t="inlineStr">
        <is>
          <t>https://www.vccircle.com/agritechfirm-arya-ag-raises-series-d-funding-from-gef-capital</t>
        </is>
      </c>
    </row>
    <row r="2562">
      <c r="A2562" t="inlineStr">
        <is>
          <t>ENT-10965193</t>
        </is>
      </c>
      <c r="B2562" t="inlineStr">
        <is>
          <t>R260102-knightfintech</t>
        </is>
      </c>
      <c r="C2562" t="inlineStr">
        <is>
          <t>Entrackr</t>
        </is>
      </c>
      <c r="D2562" s="17" t="n">
        <v>46024</v>
      </c>
      <c r="E2562" t="inlineStr">
        <is>
          <t>Knight Fintech</t>
        </is>
      </c>
      <c r="F2562" t="inlineStr">
        <is>
          <t>$23.6 million</t>
        </is>
      </c>
      <c r="G2562" s="19" t="n"/>
      <c r="H2562" s="19" t="n">
        <v>23.6</v>
      </c>
      <c r="I2562" t="inlineStr">
        <is>
          <t>Series A</t>
        </is>
      </c>
      <c r="J2562" t="inlineStr">
        <is>
          <t>Accel</t>
        </is>
      </c>
      <c r="K2562" t="inlineStr">
        <is>
          <t>https://entrackr.com/news/knight-fintech-raises-236-mn-led-by-accel-10965193</t>
        </is>
      </c>
    </row>
    <row r="2563">
      <c r="A2563" t="inlineStr">
        <is>
          <t>ET-126290842</t>
        </is>
      </c>
      <c r="B2563" t="inlineStr">
        <is>
          <t>R260102-knightfintech</t>
        </is>
      </c>
      <c r="C2563" t="inlineStr">
        <is>
          <t>The Economic Times</t>
        </is>
      </c>
      <c r="D2563" s="17" t="n">
        <v>46024</v>
      </c>
      <c r="E2563" t="inlineStr">
        <is>
          <t>Knight Fintech</t>
        </is>
      </c>
      <c r="F2563" t="inlineStr">
        <is>
          <t>$23.6 million</t>
        </is>
      </c>
      <c r="G2563" s="19" t="n"/>
      <c r="H2563" s="19" t="n">
        <v>23.6</v>
      </c>
      <c r="I2563" t="inlineStr">
        <is>
          <t>Undisclosed</t>
        </is>
      </c>
      <c r="J2563" t="inlineStr">
        <is>
          <t>Accel</t>
        </is>
      </c>
      <c r="K2563" t="inlineStr">
        <is>
          <t>https://economictimes.indiatimes.com/tech/funding/knight-fintech-secures-23-6-million-from-accel-iifl-others/articleshow/126290842.cms</t>
        </is>
      </c>
    </row>
    <row r="2564">
      <c r="A2564" t="inlineStr">
        <is>
          <t>INC-20260103-02</t>
        </is>
      </c>
      <c r="B2564" t="inlineStr">
        <is>
          <t>R260102-knightfintech</t>
        </is>
      </c>
      <c r="C2564" t="inlineStr">
        <is>
          <t>Inc42</t>
        </is>
      </c>
      <c r="D2564" s="17" t="n">
        <v>46024</v>
      </c>
      <c r="E2564" t="inlineStr">
        <is>
          <t>Knight Fintech</t>
        </is>
      </c>
      <c r="F2564" t="inlineStr">
        <is>
          <t>$23.6 Mn</t>
        </is>
      </c>
      <c r="G2564" s="19" t="n"/>
      <c r="H2564" s="19" t="n">
        <v>23.6</v>
      </c>
      <c r="I2564" t="inlineStr">
        <is>
          <t>Series A</t>
        </is>
      </c>
      <c r="J2564" t="inlineStr">
        <is>
          <t>Accel</t>
        </is>
      </c>
      <c r="K2564" t="inlineStr">
        <is>
          <t>https://inc42.com/buzz/from-arya-ag-to-knight-fintech-indian-startups-raised-104-mn-this-week/</t>
        </is>
      </c>
    </row>
    <row r="2565">
      <c r="A2565" t="inlineStr">
        <is>
          <t>INC-20260110-17</t>
        </is>
      </c>
      <c r="B2565" t="inlineStr">
        <is>
          <t>R260105-goatlife</t>
        </is>
      </c>
      <c r="C2565" t="inlineStr">
        <is>
          <t>Inc42</t>
        </is>
      </c>
      <c r="D2565" s="17" t="n">
        <v>46027</v>
      </c>
      <c r="E2565" t="inlineStr">
        <is>
          <t>GOAT LIFE</t>
        </is>
      </c>
      <c r="F2565" t="inlineStr">
        <is>
          <t>$200K</t>
        </is>
      </c>
      <c r="G2565" s="19" t="n"/>
      <c r="H2565" s="19" t="n">
        <v>0.2</v>
      </c>
      <c r="I2565" t="inlineStr">
        <is>
          <t>Undisclosed</t>
        </is>
      </c>
      <c r="J2565" t="inlineStr"/>
      <c r="K2565" t="inlineStr">
        <is>
          <t>https://inc42.com/buzz/from-even-healthcare-to-takeme2space-indian-startups-raised-68-mn-this-week/</t>
        </is>
      </c>
    </row>
    <row r="2566">
      <c r="A2566" t="inlineStr">
        <is>
          <t>ENT-10976384</t>
        </is>
      </c>
      <c r="B2566" t="inlineStr">
        <is>
          <t>R260105-goatlife</t>
        </is>
      </c>
      <c r="C2566" t="inlineStr">
        <is>
          <t>Entrackr</t>
        </is>
      </c>
      <c r="D2566" s="17" t="n">
        <v>46028</v>
      </c>
      <c r="E2566" t="inlineStr">
        <is>
          <t>GOAT Life</t>
        </is>
      </c>
      <c r="F2566" t="inlineStr">
        <is>
          <t>Rs 1.6 crore</t>
        </is>
      </c>
      <c r="G2566" s="19" t="n">
        <v>1.6</v>
      </c>
      <c r="H2566" s="19" t="n"/>
      <c r="I2566" t="inlineStr">
        <is>
          <t>Pre-Seed</t>
        </is>
      </c>
      <c r="J2566" t="inlineStr"/>
      <c r="K2566" t="inlineStr">
        <is>
          <t>https://entrackr.com/snippets/goat-life-raises-additional-pre-seed-round-led-by-d2c-insider-super-angels-10976384</t>
        </is>
      </c>
    </row>
    <row r="2567">
      <c r="A2567" t="inlineStr">
        <is>
          <t>ENT-10973198</t>
        </is>
      </c>
      <c r="B2567" t="inlineStr">
        <is>
          <t>R260105-kayesssquare</t>
        </is>
      </c>
      <c r="C2567" t="inlineStr">
        <is>
          <t>Entrackr</t>
        </is>
      </c>
      <c r="D2567" s="17" t="n">
        <v>46027</v>
      </c>
      <c r="E2567" t="inlineStr">
        <is>
          <t>Kayess Square</t>
        </is>
      </c>
      <c r="F2567" t="inlineStr">
        <is>
          <t>Rs 10 crore</t>
        </is>
      </c>
      <c r="G2567" s="19" t="n">
        <v>10</v>
      </c>
      <c r="H2567" s="19" t="n"/>
      <c r="I2567" t="inlineStr">
        <is>
          <t>Pre-Series A</t>
        </is>
      </c>
      <c r="J2567" t="inlineStr">
        <is>
          <t>Vakil Housing</t>
        </is>
      </c>
      <c r="K2567" t="inlineStr">
        <is>
          <t>https://entrackr.com/snippets/consulting-startup-kayess-square-raises-rs-10-cr-in-pre-series-a-10973198</t>
        </is>
      </c>
    </row>
    <row r="2568">
      <c r="A2568" t="inlineStr">
        <is>
          <t>INC-20260110-13</t>
        </is>
      </c>
      <c r="B2568" t="inlineStr">
        <is>
          <t>R260105-kayesssquare</t>
        </is>
      </c>
      <c r="C2568" t="inlineStr">
        <is>
          <t>Inc42</t>
        </is>
      </c>
      <c r="D2568" s="17" t="n">
        <v>46028</v>
      </c>
      <c r="E2568" t="inlineStr">
        <is>
          <t>Kayess Square</t>
        </is>
      </c>
      <c r="F2568" t="inlineStr">
        <is>
          <t>$1.2 Mn</t>
        </is>
      </c>
      <c r="G2568" s="19" t="n"/>
      <c r="H2568" s="19" t="n">
        <v>1.2</v>
      </c>
      <c r="I2568" t="inlineStr">
        <is>
          <t>Undisclosed</t>
        </is>
      </c>
      <c r="J2568" t="inlineStr"/>
      <c r="K2568" t="inlineStr">
        <is>
          <t>https://inc42.com/buzz/from-even-healthcare-to-takeme2space-indian-startups-raised-68-mn-this-week/</t>
        </is>
      </c>
    </row>
    <row r="2569">
      <c r="A2569" t="inlineStr">
        <is>
          <t>ENT-10972179</t>
        </is>
      </c>
      <c r="B2569" t="inlineStr">
        <is>
          <t>R260105-mylapay</t>
        </is>
      </c>
      <c r="C2569" t="inlineStr">
        <is>
          <t>Entrackr</t>
        </is>
      </c>
      <c r="D2569" s="17" t="n">
        <v>46027</v>
      </c>
      <c r="E2569" t="inlineStr">
        <is>
          <t>Mylapay</t>
        </is>
      </c>
      <c r="F2569" t="inlineStr">
        <is>
          <t>$1 million</t>
        </is>
      </c>
      <c r="G2569" s="19" t="n"/>
      <c r="H2569" s="19" t="n">
        <v>1</v>
      </c>
      <c r="I2569" t="inlineStr">
        <is>
          <t>Series A</t>
        </is>
      </c>
      <c r="J2569" t="inlineStr"/>
      <c r="K2569" t="inlineStr">
        <is>
          <t>https://entrackr.com/snippets/payment-infra-startup-mylapay-raises-1-mn-10972179</t>
        </is>
      </c>
    </row>
    <row r="2570">
      <c r="A2570" t="inlineStr">
        <is>
          <t>INC-20260110-14</t>
        </is>
      </c>
      <c r="B2570" t="inlineStr">
        <is>
          <t>R260105-mylapay</t>
        </is>
      </c>
      <c r="C2570" t="inlineStr">
        <is>
          <t>Inc42</t>
        </is>
      </c>
      <c r="D2570" s="17" t="n">
        <v>46027</v>
      </c>
      <c r="E2570" t="inlineStr">
        <is>
          <t>Mylapay</t>
        </is>
      </c>
      <c r="F2570" t="inlineStr">
        <is>
          <t>$1 Mn</t>
        </is>
      </c>
      <c r="G2570" s="19" t="n"/>
      <c r="H2570" s="19" t="n">
        <v>1</v>
      </c>
      <c r="I2570" t="inlineStr">
        <is>
          <t>Series A</t>
        </is>
      </c>
      <c r="J2570" t="inlineStr"/>
      <c r="K2570" t="inlineStr">
        <is>
          <t>https://inc42.com/buzz/from-even-healthcare-to-takeme2space-indian-startups-raised-68-mn-this-week/</t>
        </is>
      </c>
    </row>
    <row r="2571">
      <c r="A2571" t="inlineStr">
        <is>
          <t>ENT-10972963</t>
        </is>
      </c>
      <c r="B2571" t="inlineStr">
        <is>
          <t>R260106-evenhealthcare</t>
        </is>
      </c>
      <c r="C2571" t="inlineStr">
        <is>
          <t>Entrackr</t>
        </is>
      </c>
      <c r="D2571" s="17" t="n">
        <v>46028</v>
      </c>
      <c r="E2571" t="inlineStr">
        <is>
          <t>Even Healthcare</t>
        </is>
      </c>
      <c r="F2571" t="inlineStr">
        <is>
          <t>$20 million</t>
        </is>
      </c>
      <c r="G2571" s="19" t="n"/>
      <c r="H2571" s="19" t="n">
        <v>20</v>
      </c>
      <c r="I2571" t="inlineStr">
        <is>
          <t>Undisclosed</t>
        </is>
      </c>
      <c r="J2571" t="inlineStr">
        <is>
          <t>Lachy Groom; Alpha Wave</t>
        </is>
      </c>
      <c r="K2571" t="inlineStr">
        <is>
          <t>https://entrackr.com/news/even-healthcare-raises-20-mn-led-by-lachy-groom-and-alpha-wave-10972963</t>
        </is>
      </c>
    </row>
    <row r="2572">
      <c r="A2572" t="inlineStr">
        <is>
          <t>ET-126357267</t>
        </is>
      </c>
      <c r="B2572" t="inlineStr">
        <is>
          <t>R260106-evenhealthcare</t>
        </is>
      </c>
      <c r="C2572" t="inlineStr">
        <is>
          <t>The Economic Times</t>
        </is>
      </c>
      <c r="D2572" s="17" t="n">
        <v>46028</v>
      </c>
      <c r="E2572" t="inlineStr">
        <is>
          <t>Even Healthcare</t>
        </is>
      </c>
      <c r="F2572" t="inlineStr">
        <is>
          <t>$20 million</t>
        </is>
      </c>
      <c r="G2572" s="19" t="n">
        <v>180</v>
      </c>
      <c r="H2572" s="19" t="n">
        <v>20</v>
      </c>
      <c r="I2572" t="inlineStr">
        <is>
          <t>Undisclosed</t>
        </is>
      </c>
      <c r="J2572" t="inlineStr"/>
      <c r="K2572" t="inlineStr">
        <is>
          <t>https://economictimes.indiatimes.com/tech/funding/even-healthcare-raises-20-million-from-lachy-groom-alpha-wave-sharp-ventures/articleshow/126357267.cms</t>
        </is>
      </c>
    </row>
    <row r="2573">
      <c r="A2573" t="inlineStr">
        <is>
          <t>INC-20260110-01</t>
        </is>
      </c>
      <c r="B2573" t="inlineStr">
        <is>
          <t>R260106-evenhealthcare</t>
        </is>
      </c>
      <c r="C2573" t="inlineStr">
        <is>
          <t>Inc42</t>
        </is>
      </c>
      <c r="D2573" s="17" t="n">
        <v>46028</v>
      </c>
      <c r="E2573" t="inlineStr">
        <is>
          <t>Even Healthcare</t>
        </is>
      </c>
      <c r="F2573" t="inlineStr">
        <is>
          <t>$20 Mn</t>
        </is>
      </c>
      <c r="G2573" s="19" t="n"/>
      <c r="H2573" s="19" t="n">
        <v>20</v>
      </c>
      <c r="I2573" t="inlineStr">
        <is>
          <t>Undisclosed</t>
        </is>
      </c>
      <c r="J2573" t="inlineStr"/>
      <c r="K2573" t="inlineStr">
        <is>
          <t>https://inc42.com/buzz/from-even-healthcare-to-takeme2space-indian-startups-raised-68-mn-this-week/</t>
        </is>
      </c>
    </row>
    <row r="2574">
      <c r="A2574" t="inlineStr">
        <is>
          <t>VCC-cba0f4a491</t>
        </is>
      </c>
      <c r="B2574" t="inlineStr">
        <is>
          <t>R260106-evenhealthcare</t>
        </is>
      </c>
      <c r="C2574" t="inlineStr">
        <is>
          <t>VCCircle</t>
        </is>
      </c>
      <c r="D2574" s="17" t="n">
        <v>46028</v>
      </c>
      <c r="E2574" t="inlineStr">
        <is>
          <t>even healthcare tops up series round</t>
        </is>
      </c>
      <c r="F2574" t="inlineStr"/>
      <c r="G2574" s="19" t="n"/>
      <c r="H2574" s="19" t="n"/>
      <c r="I2574" t="inlineStr">
        <is>
          <t>Series A</t>
        </is>
      </c>
      <c r="J2574" t="inlineStr"/>
      <c r="K2574" t="inlineStr">
        <is>
          <t>https://www.vccircle.com/khoslaventures-backed-even-healthcare-tops-up-series-a-round</t>
        </is>
      </c>
    </row>
    <row r="2575">
      <c r="A2575" t="inlineStr">
        <is>
          <t>ENT-10976217</t>
        </is>
      </c>
      <c r="B2575" t="inlineStr">
        <is>
          <t>R260106-futurecureheal</t>
        </is>
      </c>
      <c r="C2575" t="inlineStr">
        <is>
          <t>Entrackr</t>
        </is>
      </c>
      <c r="D2575" s="17" t="n">
        <v>46028</v>
      </c>
      <c r="E2575" t="inlineStr">
        <is>
          <t>FutureCure Health</t>
        </is>
      </c>
      <c r="F2575" t="inlineStr">
        <is>
          <t>Rs 104 crore</t>
        </is>
      </c>
      <c r="G2575" s="19" t="n">
        <v>104</v>
      </c>
      <c r="H2575" s="19" t="n">
        <v>11.5</v>
      </c>
      <c r="I2575" t="inlineStr">
        <is>
          <t>Undisclosed</t>
        </is>
      </c>
      <c r="J2575" t="inlineStr">
        <is>
          <t>Carnelian Asset Management LLP</t>
        </is>
      </c>
      <c r="K2575" t="inlineStr">
        <is>
          <t>https://entrackr.com/news/futurecure-health-raises-rs-104-cr-led-by-carnelian-asset-management-10976217</t>
        </is>
      </c>
    </row>
    <row r="2576">
      <c r="A2576" t="inlineStr">
        <is>
          <t>VCC-c04a97118b</t>
        </is>
      </c>
      <c r="B2576" t="inlineStr">
        <is>
          <t>R260106-futurecureheal</t>
        </is>
      </c>
      <c r="C2576" t="inlineStr">
        <is>
          <t>VCCircle</t>
        </is>
      </c>
      <c r="D2576" s="17" t="n">
        <v>46028</v>
      </c>
      <c r="E2576" t="inlineStr">
        <is>
          <t>futurecure health</t>
        </is>
      </c>
      <c r="F2576" t="inlineStr">
        <is>
          <t>$ 11 million</t>
        </is>
      </c>
      <c r="G2576" s="19" t="n"/>
      <c r="H2576" s="19" t="n">
        <v>11</v>
      </c>
      <c r="I2576" t="inlineStr">
        <is>
          <t>Series B</t>
        </is>
      </c>
      <c r="J2576" t="inlineStr"/>
      <c r="K2576" t="inlineStr">
        <is>
          <t>https://www.vccircle.com/kotakalts-backed-futurecure-health-bags-11-mn-in-series-b</t>
        </is>
      </c>
    </row>
    <row r="2577">
      <c r="A2577" t="inlineStr">
        <is>
          <t>INC-20260110-18</t>
        </is>
      </c>
      <c r="B2577" t="inlineStr">
        <is>
          <t>R260106-lohiaaerospace</t>
        </is>
      </c>
      <c r="C2577" t="inlineStr">
        <is>
          <t>Inc42</t>
        </is>
      </c>
      <c r="D2577" s="17" t="n">
        <v>46028</v>
      </c>
      <c r="E2577" t="inlineStr">
        <is>
          <t>Lohia Aerospace Systems</t>
        </is>
      </c>
      <c r="F2577" t="inlineStr"/>
      <c r="G2577" s="19" t="n"/>
      <c r="H2577" s="19" t="n"/>
      <c r="I2577" t="inlineStr">
        <is>
          <t>Undisclosed</t>
        </is>
      </c>
      <c r="J2577" t="inlineStr">
        <is>
          <t>Singularity AMC</t>
        </is>
      </c>
      <c r="K2577" t="inlineStr">
        <is>
          <t>https://inc42.com/buzz/from-even-healthcare-to-takeme2space-indian-startups-raised-68-mn-this-week/</t>
        </is>
      </c>
    </row>
    <row r="2578">
      <c r="A2578" t="inlineStr">
        <is>
          <t>INC-20260110-16</t>
        </is>
      </c>
      <c r="B2578" t="inlineStr">
        <is>
          <t>R260106-osso</t>
        </is>
      </c>
      <c r="C2578" t="inlineStr">
        <is>
          <t>Inc42</t>
        </is>
      </c>
      <c r="D2578" s="17" t="n">
        <v>46028</v>
      </c>
      <c r="E2578" t="inlineStr">
        <is>
          <t>OSSO</t>
        </is>
      </c>
      <c r="F2578" t="inlineStr">
        <is>
          <t>$443K</t>
        </is>
      </c>
      <c r="G2578" s="19" t="n"/>
      <c r="H2578" s="19" t="n">
        <v>0.443</v>
      </c>
      <c r="I2578" t="inlineStr">
        <is>
          <t>Seed</t>
        </is>
      </c>
      <c r="J2578" t="inlineStr">
        <is>
          <t>Haldiram family Office</t>
        </is>
      </c>
      <c r="K2578" t="inlineStr">
        <is>
          <t>https://inc42.com/buzz/from-even-healthcare-to-takeme2space-indian-startups-raised-68-mn-this-week/</t>
        </is>
      </c>
    </row>
    <row r="2579">
      <c r="A2579" t="inlineStr">
        <is>
          <t>ENT-10976401</t>
        </is>
      </c>
      <c r="B2579" t="inlineStr">
        <is>
          <t>R260106-skininspired</t>
        </is>
      </c>
      <c r="C2579" t="inlineStr">
        <is>
          <t>Entrackr</t>
        </is>
      </c>
      <c r="D2579" s="17" t="n">
        <v>46028</v>
      </c>
      <c r="E2579" t="inlineStr">
        <is>
          <t>SkinInspired</t>
        </is>
      </c>
      <c r="F2579" t="inlineStr">
        <is>
          <t>$2.9 million</t>
        </is>
      </c>
      <c r="G2579" s="19" t="n">
        <v>24</v>
      </c>
      <c r="H2579" s="19" t="n">
        <v>2.9</v>
      </c>
      <c r="I2579" t="inlineStr">
        <is>
          <t>Series A</t>
        </is>
      </c>
      <c r="J2579" t="inlineStr">
        <is>
          <t>Spring Marketing Capital</t>
        </is>
      </c>
      <c r="K2579" t="inlineStr">
        <is>
          <t>https://entrackr.com/snippets/skininspired-raises-29-mn-led-by-spring-marketing-capital-10976401</t>
        </is>
      </c>
    </row>
    <row r="2580">
      <c r="A2580" t="inlineStr">
        <is>
          <t>INC-20260110-10</t>
        </is>
      </c>
      <c r="B2580" t="inlineStr">
        <is>
          <t>R260106-skininspired</t>
        </is>
      </c>
      <c r="C2580" t="inlineStr">
        <is>
          <t>Inc42</t>
        </is>
      </c>
      <c r="D2580" s="17" t="n">
        <v>46028</v>
      </c>
      <c r="E2580" t="inlineStr">
        <is>
          <t>SkinInspired</t>
        </is>
      </c>
      <c r="F2580" t="inlineStr">
        <is>
          <t>$2.7 Mn</t>
        </is>
      </c>
      <c r="G2580" s="19" t="n"/>
      <c r="H2580" s="19" t="n">
        <v>2.7</v>
      </c>
      <c r="I2580" t="inlineStr">
        <is>
          <t>Series A</t>
        </is>
      </c>
      <c r="J2580" t="inlineStr">
        <is>
          <t>Spring Marketing Capital</t>
        </is>
      </c>
      <c r="K2580" t="inlineStr">
        <is>
          <t>https://inc42.com/buzz/from-even-healthcare-to-takeme2space-indian-startups-raised-68-mn-this-week/</t>
        </is>
      </c>
    </row>
    <row r="2581">
      <c r="A2581" t="inlineStr">
        <is>
          <t>INC-20260110-07</t>
        </is>
      </c>
      <c r="B2581" t="inlineStr">
        <is>
          <t>R260107-antinorm</t>
        </is>
      </c>
      <c r="C2581" t="inlineStr">
        <is>
          <t>Inc42</t>
        </is>
      </c>
      <c r="D2581" s="17" t="n">
        <v>46029</v>
      </c>
      <c r="E2581" t="inlineStr">
        <is>
          <t>Antinorm</t>
        </is>
      </c>
      <c r="F2581" t="inlineStr">
        <is>
          <t>$3.1 Mn</t>
        </is>
      </c>
      <c r="G2581" s="19" t="n"/>
      <c r="H2581" s="19" t="n">
        <v>3.1</v>
      </c>
      <c r="I2581" t="inlineStr">
        <is>
          <t>Seed</t>
        </is>
      </c>
      <c r="J2581" t="inlineStr">
        <is>
          <t>Fireside Ventures</t>
        </is>
      </c>
      <c r="K2581" t="inlineStr">
        <is>
          <t>https://inc42.com/buzz/from-even-healthcare-to-takeme2space-indian-startups-raised-68-mn-this-week/</t>
        </is>
      </c>
    </row>
    <row r="2582">
      <c r="A2582" t="inlineStr">
        <is>
          <t>ENT-10977766</t>
        </is>
      </c>
      <c r="B2582" t="inlineStr">
        <is>
          <t>R260107-arrowhead</t>
        </is>
      </c>
      <c r="C2582" t="inlineStr">
        <is>
          <t>Entrackr</t>
        </is>
      </c>
      <c r="D2582" s="17" t="n">
        <v>46029</v>
      </c>
      <c r="E2582" t="inlineStr">
        <is>
          <t>Arrowhead</t>
        </is>
      </c>
      <c r="F2582" t="inlineStr">
        <is>
          <t>$3 million</t>
        </is>
      </c>
      <c r="G2582" s="19" t="n"/>
      <c r="H2582" s="19" t="n">
        <v>3</v>
      </c>
      <c r="I2582" t="inlineStr">
        <is>
          <t>Seed</t>
        </is>
      </c>
      <c r="J2582" t="inlineStr">
        <is>
          <t>Stellaris Venture Partners</t>
        </is>
      </c>
      <c r="K2582" t="inlineStr">
        <is>
          <t>https://entrackr.com/snippets/voice-ai-startup-arrowhead-raises-3-mn-in-seed-round-led-by-stellaris-10977766</t>
        </is>
      </c>
    </row>
    <row r="2583">
      <c r="A2583" t="inlineStr">
        <is>
          <t>ET-126378538</t>
        </is>
      </c>
      <c r="B2583" t="inlineStr">
        <is>
          <t>R260107-arrowhead</t>
        </is>
      </c>
      <c r="C2583" t="inlineStr">
        <is>
          <t>The Economic Times</t>
        </is>
      </c>
      <c r="D2583" s="17" t="n">
        <v>46029</v>
      </c>
      <c r="E2583" t="inlineStr">
        <is>
          <t>Arrowhead</t>
        </is>
      </c>
      <c r="F2583" t="inlineStr">
        <is>
          <t>$3 million</t>
        </is>
      </c>
      <c r="G2583" s="19" t="n"/>
      <c r="H2583" s="19" t="n">
        <v>3</v>
      </c>
      <c r="I2583" t="inlineStr">
        <is>
          <t>Undisclosed</t>
        </is>
      </c>
      <c r="J2583" t="inlineStr">
        <is>
          <t>Stellaris Venture Partners</t>
        </is>
      </c>
      <c r="K2583" t="inlineStr">
        <is>
          <t>https://economictimes.indiatimes.com/tech/funding/voice-ai-firm-arrowhead-raises-3-million-in-a-round-led-by-stellaris-venture-partners/articleshow/126378538.cms</t>
        </is>
      </c>
    </row>
    <row r="2584">
      <c r="A2584" t="inlineStr">
        <is>
          <t>INC-20260110-09</t>
        </is>
      </c>
      <c r="B2584" t="inlineStr">
        <is>
          <t>R260107-arrowhead</t>
        </is>
      </c>
      <c r="C2584" t="inlineStr">
        <is>
          <t>Inc42</t>
        </is>
      </c>
      <c r="D2584" s="17" t="n">
        <v>46029</v>
      </c>
      <c r="E2584" t="inlineStr">
        <is>
          <t>Arrowhead</t>
        </is>
      </c>
      <c r="F2584" t="inlineStr">
        <is>
          <t>$3 Mn</t>
        </is>
      </c>
      <c r="G2584" s="19" t="n"/>
      <c r="H2584" s="19" t="n">
        <v>3</v>
      </c>
      <c r="I2584" t="inlineStr">
        <is>
          <t>Seed</t>
        </is>
      </c>
      <c r="J2584" t="inlineStr">
        <is>
          <t>Stellaris Venture Partners</t>
        </is>
      </c>
      <c r="K2584" t="inlineStr">
        <is>
          <t>https://inc42.com/buzz/from-even-healthcare-to-takeme2space-indian-startups-raised-68-mn-this-week/</t>
        </is>
      </c>
    </row>
    <row r="2585">
      <c r="A2585" t="inlineStr">
        <is>
          <t>ENT-10978768</t>
        </is>
      </c>
      <c r="B2585" t="inlineStr">
        <is>
          <t>R260107-beclinical</t>
        </is>
      </c>
      <c r="C2585" t="inlineStr">
        <is>
          <t>Entrackr</t>
        </is>
      </c>
      <c r="D2585" s="17" t="n">
        <v>46029</v>
      </c>
      <c r="E2585" t="inlineStr">
        <is>
          <t>Be Clinical</t>
        </is>
      </c>
      <c r="F2585" t="inlineStr">
        <is>
          <t>Rs 6 crore</t>
        </is>
      </c>
      <c r="G2585" s="19" t="n">
        <v>6</v>
      </c>
      <c r="H2585" s="19" t="n"/>
      <c r="I2585" t="inlineStr">
        <is>
          <t>Seed</t>
        </is>
      </c>
      <c r="J2585" t="inlineStr">
        <is>
          <t>V3 Ventures</t>
        </is>
      </c>
      <c r="K2585" t="inlineStr">
        <is>
          <t>https://entrackr.com/snippets/skincare-brand-be-clinical-raises-seed-round-led-by-v3-ventures-10978768</t>
        </is>
      </c>
    </row>
    <row r="2586">
      <c r="A2586" t="inlineStr">
        <is>
          <t>INC-20260110-15</t>
        </is>
      </c>
      <c r="B2586" t="inlineStr">
        <is>
          <t>R260107-beclinical</t>
        </is>
      </c>
      <c r="C2586" t="inlineStr">
        <is>
          <t>Inc42</t>
        </is>
      </c>
      <c r="D2586" s="17" t="n">
        <v>46029</v>
      </c>
      <c r="E2586" t="inlineStr">
        <is>
          <t>Be Clinical</t>
        </is>
      </c>
      <c r="F2586" t="inlineStr">
        <is>
          <t>$720K</t>
        </is>
      </c>
      <c r="G2586" s="19" t="n"/>
      <c r="H2586" s="19" t="n">
        <v>0.72</v>
      </c>
      <c r="I2586" t="inlineStr">
        <is>
          <t>Seed</t>
        </is>
      </c>
      <c r="J2586" t="inlineStr">
        <is>
          <t>V3 Ventures</t>
        </is>
      </c>
      <c r="K2586" t="inlineStr">
        <is>
          <t>https://inc42.com/buzz/from-even-healthcare-to-takeme2space-indian-startups-raised-68-mn-this-week/</t>
        </is>
      </c>
    </row>
    <row r="2587">
      <c r="A2587" t="inlineStr">
        <is>
          <t>ENT-10977803</t>
        </is>
      </c>
      <c r="B2587" t="inlineStr">
        <is>
          <t>R260107-flent</t>
        </is>
      </c>
      <c r="C2587" t="inlineStr">
        <is>
          <t>Entrackr</t>
        </is>
      </c>
      <c r="D2587" s="17" t="n">
        <v>46029</v>
      </c>
      <c r="E2587" t="inlineStr">
        <is>
          <t>Flent</t>
        </is>
      </c>
      <c r="F2587" t="inlineStr">
        <is>
          <t>Rs 21 crore</t>
        </is>
      </c>
      <c r="G2587" s="19" t="n">
        <v>21</v>
      </c>
      <c r="H2587" s="19" t="n">
        <v>2.5</v>
      </c>
      <c r="I2587" t="inlineStr">
        <is>
          <t>Pre-Series A</t>
        </is>
      </c>
      <c r="J2587" t="inlineStr">
        <is>
          <t>Incubate Fund Asia</t>
        </is>
      </c>
      <c r="K2587" t="inlineStr">
        <is>
          <t>https://entrackr.com/snippets/proptech-startup-flent-raises-25-mn-in-pre-series-a-round-10977803</t>
        </is>
      </c>
    </row>
    <row r="2588">
      <c r="A2588" t="inlineStr">
        <is>
          <t>INC-20260110-11</t>
        </is>
      </c>
      <c r="B2588" t="inlineStr">
        <is>
          <t>R260107-flent</t>
        </is>
      </c>
      <c r="C2588" t="inlineStr">
        <is>
          <t>Inc42</t>
        </is>
      </c>
      <c r="D2588" s="17" t="n">
        <v>46029</v>
      </c>
      <c r="E2588" t="inlineStr">
        <is>
          <t>Flent</t>
        </is>
      </c>
      <c r="F2588" t="inlineStr">
        <is>
          <t>$2.3 Mn</t>
        </is>
      </c>
      <c r="G2588" s="19" t="n"/>
      <c r="H2588" s="19" t="n">
        <v>2.3</v>
      </c>
      <c r="I2588" t="inlineStr">
        <is>
          <t>Pre-Series A</t>
        </is>
      </c>
      <c r="J2588" t="inlineStr">
        <is>
          <t>Incubate Fund Asia</t>
        </is>
      </c>
      <c r="K2588" t="inlineStr">
        <is>
          <t>https://inc42.com/buzz/from-even-healthcare-to-takeme2space-indian-startups-raised-68-mn-this-week/</t>
        </is>
      </c>
    </row>
    <row r="2589">
      <c r="A2589" t="inlineStr">
        <is>
          <t>INC-20260110-05</t>
        </is>
      </c>
      <c r="B2589" t="inlineStr">
        <is>
          <t>R260107-nitrocommerce</t>
        </is>
      </c>
      <c r="C2589" t="inlineStr">
        <is>
          <t>Inc42</t>
        </is>
      </c>
      <c r="D2589" s="17" t="n">
        <v>46029</v>
      </c>
      <c r="E2589" t="inlineStr">
        <is>
          <t>Nitro Commerce</t>
        </is>
      </c>
      <c r="F2589" t="inlineStr">
        <is>
          <t>$5 Mn</t>
        </is>
      </c>
      <c r="G2589" s="19" t="n"/>
      <c r="H2589" s="19" t="n">
        <v>5</v>
      </c>
      <c r="I2589" t="inlineStr">
        <is>
          <t>Series A</t>
        </is>
      </c>
      <c r="J2589" t="inlineStr">
        <is>
          <t>Cornerstone Ventures</t>
        </is>
      </c>
      <c r="K2589" t="inlineStr">
        <is>
          <t>https://inc42.com/buzz/from-even-healthcare-to-takeme2space-indian-startups-raised-68-mn-this-week/</t>
        </is>
      </c>
    </row>
    <row r="2590">
      <c r="A2590" t="inlineStr">
        <is>
          <t>ENT-10981056</t>
        </is>
      </c>
      <c r="B2590" t="inlineStr">
        <is>
          <t>R260107-nitrocommerce</t>
        </is>
      </c>
      <c r="C2590" t="inlineStr">
        <is>
          <t>Entrackr</t>
        </is>
      </c>
      <c r="D2590" s="17" t="n">
        <v>46030</v>
      </c>
      <c r="E2590" t="inlineStr">
        <is>
          <t>Nitro Commerce</t>
        </is>
      </c>
      <c r="F2590" t="inlineStr">
        <is>
          <t>$5 million</t>
        </is>
      </c>
      <c r="G2590" s="19" t="n"/>
      <c r="H2590" s="19" t="n">
        <v>5</v>
      </c>
      <c r="I2590" t="inlineStr">
        <is>
          <t>Series A</t>
        </is>
      </c>
      <c r="J2590" t="inlineStr">
        <is>
          <t>Cornerstone Ventures</t>
        </is>
      </c>
      <c r="K2590" t="inlineStr">
        <is>
          <t>https://entrackr.com/snippets/nitro-commerce-raises-5-mn-in-series-a-led-by-cornerstone-ventures-10981056</t>
        </is>
      </c>
    </row>
    <row r="2591">
      <c r="A2591" t="inlineStr">
        <is>
          <t>ET-126416931</t>
        </is>
      </c>
      <c r="B2591" t="inlineStr">
        <is>
          <t>R260107-nitrocommerce</t>
        </is>
      </c>
      <c r="C2591" t="inlineStr">
        <is>
          <t>The Economic Times</t>
        </is>
      </c>
      <c r="D2591" s="17" t="n">
        <v>46030</v>
      </c>
      <c r="E2591" t="inlineStr">
        <is>
          <t>Nitro Commerce</t>
        </is>
      </c>
      <c r="F2591" t="inlineStr">
        <is>
          <t>$5 million</t>
        </is>
      </c>
      <c r="G2591" s="19" t="n"/>
      <c r="H2591" s="19" t="n">
        <v>5</v>
      </c>
      <c r="I2591" t="inlineStr">
        <is>
          <t>Undisclosed</t>
        </is>
      </c>
      <c r="J2591" t="inlineStr"/>
      <c r="K2591" t="inlineStr">
        <is>
          <t>https://economictimes.indiatimes.com/tech/funding/ai-marketing-platform-nitro-commerce-secures-5-million-from-cornerstone-ventures-others/articleshow/126416931.cms</t>
        </is>
      </c>
    </row>
    <row r="2592">
      <c r="A2592" t="inlineStr">
        <is>
          <t>ENT-10978194</t>
        </is>
      </c>
      <c r="B2592" t="inlineStr">
        <is>
          <t>R260107-oppdoor</t>
        </is>
      </c>
      <c r="C2592" t="inlineStr">
        <is>
          <t>Entrackr</t>
        </is>
      </c>
      <c r="D2592" s="17" t="n">
        <v>46029</v>
      </c>
      <c r="E2592" t="inlineStr">
        <is>
          <t>Oppdoor</t>
        </is>
      </c>
      <c r="F2592" t="inlineStr">
        <is>
          <t>$6.4 million</t>
        </is>
      </c>
      <c r="G2592" s="19" t="n"/>
      <c r="H2592" s="19" t="n">
        <v>6.4</v>
      </c>
      <c r="I2592" t="inlineStr">
        <is>
          <t>Undisclosed</t>
        </is>
      </c>
      <c r="J2592" t="inlineStr"/>
      <c r="K2592" t="inlineStr">
        <is>
          <t>https://entrackr.com/exclusive/exclusive-binny-bansals-oppdoor-raises-additional-64-mn-from-3state-ventures-10978194</t>
        </is>
      </c>
    </row>
    <row r="2593">
      <c r="A2593" t="inlineStr">
        <is>
          <t>ENT-10978135</t>
        </is>
      </c>
      <c r="B2593" t="inlineStr">
        <is>
          <t>R260107-roadgrid</t>
        </is>
      </c>
      <c r="C2593" t="inlineStr">
        <is>
          <t>Entrackr</t>
        </is>
      </c>
      <c r="D2593" s="17" t="n">
        <v>46029</v>
      </c>
      <c r="E2593" t="inlineStr">
        <is>
          <t>RoadGrid</t>
        </is>
      </c>
      <c r="F2593" t="inlineStr">
        <is>
          <t>Rs 12 crore</t>
        </is>
      </c>
      <c r="G2593" s="19" t="n">
        <v>12</v>
      </c>
      <c r="H2593" s="19" t="n">
        <v>1.33</v>
      </c>
      <c r="I2593" t="inlineStr">
        <is>
          <t>Pre-Series A</t>
        </is>
      </c>
      <c r="J2593" t="inlineStr">
        <is>
          <t>Venture Catalysts</t>
        </is>
      </c>
      <c r="K2593" t="inlineStr">
        <is>
          <t>https://entrackr.com/snippets/ev-charging-startup-roadgrid-raises-rs-12-cr-in-pre-series-a-round-10978135</t>
        </is>
      </c>
    </row>
    <row r="2594">
      <c r="A2594" t="inlineStr">
        <is>
          <t>INC-20260110-12</t>
        </is>
      </c>
      <c r="B2594" t="inlineStr">
        <is>
          <t>R260107-roadgrid</t>
        </is>
      </c>
      <c r="C2594" t="inlineStr">
        <is>
          <t>Inc42</t>
        </is>
      </c>
      <c r="D2594" s="17" t="n">
        <v>46029</v>
      </c>
      <c r="E2594" t="inlineStr">
        <is>
          <t>RoadGrid</t>
        </is>
      </c>
      <c r="F2594" t="inlineStr">
        <is>
          <t>$1.5 Mn</t>
        </is>
      </c>
      <c r="G2594" s="19" t="n"/>
      <c r="H2594" s="19" t="n">
        <v>1.5</v>
      </c>
      <c r="I2594" t="inlineStr">
        <is>
          <t>Pre-Series A</t>
        </is>
      </c>
      <c r="J2594" t="inlineStr">
        <is>
          <t>Venture Catalysts</t>
        </is>
      </c>
      <c r="K2594" t="inlineStr">
        <is>
          <t>https://inc42.com/buzz/from-even-healthcare-to-takeme2space-indian-startups-raised-68-mn-this-week/</t>
        </is>
      </c>
    </row>
    <row r="2595">
      <c r="A2595" t="inlineStr">
        <is>
          <t>INC-20260117-25</t>
        </is>
      </c>
      <c r="B2595" t="inlineStr">
        <is>
          <t>R260107-roadgrid</t>
        </is>
      </c>
      <c r="C2595" t="inlineStr">
        <is>
          <t>Inc42</t>
        </is>
      </c>
      <c r="D2595" s="17" t="n">
        <v>46037</v>
      </c>
      <c r="E2595" t="inlineStr">
        <is>
          <t>Roadgrid</t>
        </is>
      </c>
      <c r="F2595" t="inlineStr">
        <is>
          <t>$1.3 Mn</t>
        </is>
      </c>
      <c r="G2595" s="19" t="n"/>
      <c r="H2595" s="19" t="n">
        <v>1.3</v>
      </c>
      <c r="I2595" t="inlineStr">
        <is>
          <t>Pre-Series A</t>
        </is>
      </c>
      <c r="J2595" t="inlineStr">
        <is>
          <t>Inflection Point Ventures</t>
        </is>
      </c>
      <c r="K2595" t="inlineStr">
        <is>
          <t>https://inc42.com/buzz/from-pee-safe-to-etherealx-indian-startups-raised-269-mn-this-week/</t>
        </is>
      </c>
    </row>
    <row r="2596">
      <c r="A2596" t="inlineStr">
        <is>
          <t>ENT-10980240</t>
        </is>
      </c>
      <c r="B2596" t="inlineStr">
        <is>
          <t>R260108-aivar</t>
        </is>
      </c>
      <c r="C2596" t="inlineStr">
        <is>
          <t>Entrackr</t>
        </is>
      </c>
      <c r="D2596" s="17" t="n">
        <v>46030</v>
      </c>
      <c r="E2596" t="inlineStr">
        <is>
          <t>Aivar</t>
        </is>
      </c>
      <c r="F2596" t="inlineStr">
        <is>
          <t>$4.6 million</t>
        </is>
      </c>
      <c r="G2596" s="19" t="n"/>
      <c r="H2596" s="19" t="n">
        <v>4.6</v>
      </c>
      <c r="I2596" t="inlineStr">
        <is>
          <t>Seed</t>
        </is>
      </c>
      <c r="J2596" t="inlineStr">
        <is>
          <t>Sorin Investments</t>
        </is>
      </c>
      <c r="K2596" t="inlineStr">
        <is>
          <t>https://entrackr.com/snippets/ai-services-startup-aivar-raises-46-mn-from-sorin-investments-and-bessemer-10980240</t>
        </is>
      </c>
    </row>
    <row r="2597">
      <c r="A2597" t="inlineStr">
        <is>
          <t>ET-126399247</t>
        </is>
      </c>
      <c r="B2597" t="inlineStr">
        <is>
          <t>R260108-aivar</t>
        </is>
      </c>
      <c r="C2597" t="inlineStr">
        <is>
          <t>The Economic Times</t>
        </is>
      </c>
      <c r="D2597" s="17" t="n">
        <v>46030</v>
      </c>
      <c r="E2597" t="inlineStr">
        <is>
          <t>Aivar</t>
        </is>
      </c>
      <c r="F2597" t="inlineStr">
        <is>
          <t>$4.6 million</t>
        </is>
      </c>
      <c r="G2597" s="19" t="n">
        <v>41</v>
      </c>
      <c r="H2597" s="19" t="n">
        <v>4.6</v>
      </c>
      <c r="I2597" t="inlineStr">
        <is>
          <t>Seed</t>
        </is>
      </c>
      <c r="J2597" t="inlineStr">
        <is>
          <t>Sorin Investments</t>
        </is>
      </c>
      <c r="K2597" t="inlineStr">
        <is>
          <t>https://economictimes.indiatimes.com/tech/funding/ai-services-startup-aivar-raises-4-6-million-led-by-sorin-bessemer/articleshow/126399247.cms</t>
        </is>
      </c>
    </row>
    <row r="2598">
      <c r="A2598" t="inlineStr">
        <is>
          <t>INC-20260110-06</t>
        </is>
      </c>
      <c r="B2598" t="inlineStr">
        <is>
          <t>R260108-aivar</t>
        </is>
      </c>
      <c r="C2598" t="inlineStr">
        <is>
          <t>Inc42</t>
        </is>
      </c>
      <c r="D2598" s="17" t="n">
        <v>46030</v>
      </c>
      <c r="E2598" t="inlineStr">
        <is>
          <t>Aivar</t>
        </is>
      </c>
      <c r="F2598" t="inlineStr">
        <is>
          <t>$4.6 Mn</t>
        </is>
      </c>
      <c r="G2598" s="19" t="n"/>
      <c r="H2598" s="19" t="n">
        <v>4.6</v>
      </c>
      <c r="I2598" t="inlineStr">
        <is>
          <t>Seed</t>
        </is>
      </c>
      <c r="J2598" t="inlineStr">
        <is>
          <t>Sorin Investments</t>
        </is>
      </c>
      <c r="K2598" t="inlineStr">
        <is>
          <t>https://inc42.com/buzz/from-even-healthcare-to-takeme2space-indian-startups-raised-68-mn-this-week/</t>
        </is>
      </c>
    </row>
    <row r="2599">
      <c r="A2599" t="inlineStr">
        <is>
          <t>ENT-10980040</t>
        </is>
      </c>
      <c r="B2599" t="inlineStr">
        <is>
          <t>R260108-anddone</t>
        </is>
      </c>
      <c r="C2599" t="inlineStr">
        <is>
          <t>Entrackr</t>
        </is>
      </c>
      <c r="D2599" s="17" t="n">
        <v>46030</v>
      </c>
      <c r="E2599" t="inlineStr">
        <is>
          <t>&amp;Done</t>
        </is>
      </c>
      <c r="F2599" t="inlineStr">
        <is>
          <t>$3 million</t>
        </is>
      </c>
      <c r="G2599" s="19" t="n"/>
      <c r="H2599" s="19" t="n">
        <v>3</v>
      </c>
      <c r="I2599" t="inlineStr">
        <is>
          <t>Series A</t>
        </is>
      </c>
      <c r="J2599" t="inlineStr">
        <is>
          <t>RTP Global</t>
        </is>
      </c>
      <c r="K2599" t="inlineStr">
        <is>
          <t>https://entrackr.com/snippets/haircare-brand-done-raises-3-mn-in-series-a-led-by-rtp-global-10980040</t>
        </is>
      </c>
    </row>
    <row r="2600">
      <c r="A2600" t="inlineStr">
        <is>
          <t>ET-126399326</t>
        </is>
      </c>
      <c r="B2600" t="inlineStr">
        <is>
          <t>R260108-anddone</t>
        </is>
      </c>
      <c r="C2600" t="inlineStr">
        <is>
          <t>The Economic Times</t>
        </is>
      </c>
      <c r="D2600" s="17" t="n">
        <v>46030</v>
      </c>
      <c r="E2600" t="inlineStr">
        <is>
          <t>&amp;Done</t>
        </is>
      </c>
      <c r="F2600" t="inlineStr">
        <is>
          <t>$3 million</t>
        </is>
      </c>
      <c r="G2600" s="19" t="n"/>
      <c r="H2600" s="19" t="n">
        <v>3</v>
      </c>
      <c r="I2600" t="inlineStr">
        <is>
          <t>Undisclosed</t>
        </is>
      </c>
      <c r="J2600" t="inlineStr">
        <is>
          <t>RTP Global</t>
        </is>
      </c>
      <c r="K2600" t="inlineStr">
        <is>
          <t>https://economictimes.indiatimes.com/tech/funding/haircare-brand-done-raises-3-million-funding-led-by-rtp-global/articleshow/126399326.cms</t>
        </is>
      </c>
    </row>
    <row r="2601">
      <c r="A2601" t="inlineStr">
        <is>
          <t>INC-20260110-08</t>
        </is>
      </c>
      <c r="B2601" t="inlineStr">
        <is>
          <t>R260108-anddone</t>
        </is>
      </c>
      <c r="C2601" t="inlineStr">
        <is>
          <t>Inc42</t>
        </is>
      </c>
      <c r="D2601" s="17" t="n">
        <v>46030</v>
      </c>
      <c r="E2601" t="inlineStr">
        <is>
          <t>&amp;Done</t>
        </is>
      </c>
      <c r="F2601" t="inlineStr">
        <is>
          <t>$3 Mn</t>
        </is>
      </c>
      <c r="G2601" s="19" t="n"/>
      <c r="H2601" s="19" t="n">
        <v>3</v>
      </c>
      <c r="I2601" t="inlineStr">
        <is>
          <t>Series A</t>
        </is>
      </c>
      <c r="J2601" t="inlineStr">
        <is>
          <t>RTP Global</t>
        </is>
      </c>
      <c r="K2601" t="inlineStr">
        <is>
          <t>https://inc42.com/buzz/from-even-healthcare-to-takeme2space-indian-startups-raised-68-mn-this-week/</t>
        </is>
      </c>
    </row>
    <row r="2602">
      <c r="A2602" t="inlineStr">
        <is>
          <t>ENT-10980902</t>
        </is>
      </c>
      <c r="B2602" t="inlineStr">
        <is>
          <t>R260108-minipix</t>
        </is>
      </c>
      <c r="C2602" t="inlineStr">
        <is>
          <t>Entrackr</t>
        </is>
      </c>
      <c r="D2602" s="17" t="n">
        <v>46030</v>
      </c>
      <c r="E2602" t="inlineStr">
        <is>
          <t>MiniPix</t>
        </is>
      </c>
      <c r="F2602" t="inlineStr">
        <is>
          <t>Rs 2.4 crore</t>
        </is>
      </c>
      <c r="G2602" s="19" t="n">
        <v>2.4</v>
      </c>
      <c r="H2602" s="19" t="n"/>
      <c r="I2602" t="inlineStr">
        <is>
          <t>Pre-Seed</t>
        </is>
      </c>
      <c r="J2602" t="inlineStr"/>
      <c r="K2602" t="inlineStr">
        <is>
          <t>https://entrackr.com/snippets/microdrama-platform-minipix-raises-rs-24-cr-led-by-pedalstart-10980902</t>
        </is>
      </c>
    </row>
    <row r="2603">
      <c r="A2603" t="inlineStr">
        <is>
          <t>ENT-10980823</t>
        </is>
      </c>
      <c r="B2603" t="inlineStr">
        <is>
          <t>R260108-multibaggai</t>
        </is>
      </c>
      <c r="C2603" t="inlineStr">
        <is>
          <t>Entrackr</t>
        </is>
      </c>
      <c r="D2603" s="17" t="n">
        <v>46030</v>
      </c>
      <c r="E2603" t="inlineStr">
        <is>
          <t>Multibagg AI</t>
        </is>
      </c>
      <c r="F2603" t="inlineStr">
        <is>
          <t>Rs 1.5 crore</t>
        </is>
      </c>
      <c r="G2603" s="19" t="n">
        <v>1.5</v>
      </c>
      <c r="H2603" s="19" t="n"/>
      <c r="I2603" t="inlineStr">
        <is>
          <t>Pre-Seed</t>
        </is>
      </c>
      <c r="J2603" t="inlineStr">
        <is>
          <t>AJVC</t>
        </is>
      </c>
      <c r="K2603" t="inlineStr">
        <is>
          <t>https://entrackr.com/snippets/equity-research-startup-multibagg-ai-raises-rs-15-cr-in-pre-seed-round-led-by-ajvc-10980823</t>
        </is>
      </c>
    </row>
    <row r="2604">
      <c r="A2604" t="inlineStr">
        <is>
          <t>INC-20260110-19</t>
        </is>
      </c>
      <c r="B2604" t="inlineStr">
        <is>
          <t>R260108-projectstudioa</t>
        </is>
      </c>
      <c r="C2604" t="inlineStr">
        <is>
          <t>Inc42</t>
        </is>
      </c>
      <c r="D2604" s="17" t="n">
        <v>46030</v>
      </c>
      <c r="E2604" t="inlineStr">
        <is>
          <t>Project Studio AI</t>
        </is>
      </c>
      <c r="F2604" t="inlineStr"/>
      <c r="G2604" s="19" t="n"/>
      <c r="H2604" s="19" t="n"/>
      <c r="I2604" t="inlineStr">
        <is>
          <t>Undisclosed</t>
        </is>
      </c>
      <c r="J2604" t="inlineStr">
        <is>
          <t>Modular Capital</t>
        </is>
      </c>
      <c r="K2604" t="inlineStr">
        <is>
          <t>https://inc42.com/buzz/from-even-healthcare-to-takeme2space-indian-startups-raised-68-mn-this-week/</t>
        </is>
      </c>
    </row>
    <row r="2605">
      <c r="A2605" t="inlineStr">
        <is>
          <t>ENT-10981113</t>
        </is>
      </c>
      <c r="B2605" t="inlineStr">
        <is>
          <t>R260108-spectorai</t>
        </is>
      </c>
      <c r="C2605" t="inlineStr">
        <is>
          <t>Entrackr</t>
        </is>
      </c>
      <c r="D2605" s="17" t="n">
        <v>46030</v>
      </c>
      <c r="E2605" t="inlineStr">
        <is>
          <t>Spector.ai</t>
        </is>
      </c>
      <c r="F2605" t="inlineStr">
        <is>
          <t>Rs 58 crore</t>
        </is>
      </c>
      <c r="G2605" s="19" t="n">
        <v>58</v>
      </c>
      <c r="H2605" s="19" t="n">
        <v>6.7</v>
      </c>
      <c r="I2605" t="inlineStr">
        <is>
          <t>Undisclosed</t>
        </is>
      </c>
      <c r="J2605" t="inlineStr">
        <is>
          <t>IvyCap Ventures</t>
        </is>
      </c>
      <c r="K2605" t="inlineStr">
        <is>
          <t>https://entrackr.com/snippets/industrial-ai-startup-spectorai-raises-rs-58-cr-led-by-ivycap-ventures-10981113</t>
        </is>
      </c>
    </row>
    <row r="2606">
      <c r="A2606" t="inlineStr">
        <is>
          <t>INC-20260110-03</t>
        </is>
      </c>
      <c r="B2606" t="inlineStr">
        <is>
          <t>R260108-spectorai</t>
        </is>
      </c>
      <c r="C2606" t="inlineStr">
        <is>
          <t>Inc42</t>
        </is>
      </c>
      <c r="D2606" s="17" t="n">
        <v>46030</v>
      </c>
      <c r="E2606" t="inlineStr">
        <is>
          <t>Spector.AI</t>
        </is>
      </c>
      <c r="F2606" t="inlineStr">
        <is>
          <t>$6.7 Mn</t>
        </is>
      </c>
      <c r="G2606" s="19" t="n"/>
      <c r="H2606" s="19" t="n">
        <v>6.7</v>
      </c>
      <c r="I2606" t="inlineStr">
        <is>
          <t>Undisclosed</t>
        </is>
      </c>
      <c r="J2606" t="inlineStr">
        <is>
          <t>IvyCap Ventures</t>
        </is>
      </c>
      <c r="K2606" t="inlineStr">
        <is>
          <t>https://inc42.com/buzz/from-even-healthcare-to-takeme2space-indian-startups-raised-68-mn-this-week/</t>
        </is>
      </c>
    </row>
    <row r="2607">
      <c r="A2607" t="inlineStr">
        <is>
          <t>ET-126414088</t>
        </is>
      </c>
      <c r="B2607" t="inlineStr">
        <is>
          <t>R260108-takeme2space</t>
        </is>
      </c>
      <c r="C2607" t="inlineStr">
        <is>
          <t>The Economic Times</t>
        </is>
      </c>
      <c r="D2607" s="17" t="n">
        <v>46030</v>
      </c>
      <c r="E2607" t="inlineStr">
        <is>
          <t>TakeMe2Space</t>
        </is>
      </c>
      <c r="F2607" t="inlineStr">
        <is>
          <t>$5 million</t>
        </is>
      </c>
      <c r="G2607" s="19" t="n"/>
      <c r="H2607" s="19" t="n">
        <v>5</v>
      </c>
      <c r="I2607" t="inlineStr">
        <is>
          <t>Undisclosed</t>
        </is>
      </c>
      <c r="J2607" t="inlineStr">
        <is>
          <t>Chiratae Ventures</t>
        </is>
      </c>
      <c r="K2607" t="inlineStr">
        <is>
          <t>https://economictimes.indiatimes.com/tech/funding/takeme2space-raises-5-million-led-by-chiratae-ventures/articleshow/126414088.cms</t>
        </is>
      </c>
    </row>
    <row r="2608">
      <c r="A2608" t="inlineStr">
        <is>
          <t>INC-20260110-04</t>
        </is>
      </c>
      <c r="B2608" t="inlineStr">
        <is>
          <t>R260108-takeme2space</t>
        </is>
      </c>
      <c r="C2608" t="inlineStr">
        <is>
          <t>Inc42</t>
        </is>
      </c>
      <c r="D2608" s="17" t="n">
        <v>46030</v>
      </c>
      <c r="E2608" t="inlineStr">
        <is>
          <t>TakeMe2Space</t>
        </is>
      </c>
      <c r="F2608" t="inlineStr">
        <is>
          <t>$5 Mn</t>
        </is>
      </c>
      <c r="G2608" s="19" t="n"/>
      <c r="H2608" s="19" t="n">
        <v>5</v>
      </c>
      <c r="I2608" t="inlineStr">
        <is>
          <t>Seed</t>
        </is>
      </c>
      <c r="J2608" t="inlineStr">
        <is>
          <t>Chiratae Ventures</t>
        </is>
      </c>
      <c r="K2608" t="inlineStr">
        <is>
          <t>https://inc42.com/buzz/from-even-healthcare-to-takeme2space-indian-startups-raised-68-mn-this-week/</t>
        </is>
      </c>
    </row>
    <row r="2609">
      <c r="A2609" t="inlineStr">
        <is>
          <t>ENT-10990859</t>
        </is>
      </c>
      <c r="B2609" t="inlineStr">
        <is>
          <t>R260112-bluecopa</t>
        </is>
      </c>
      <c r="C2609" t="inlineStr">
        <is>
          <t>Entrackr</t>
        </is>
      </c>
      <c r="D2609" s="17" t="n">
        <v>46034</v>
      </c>
      <c r="E2609" t="inlineStr">
        <is>
          <t>Bluecopa</t>
        </is>
      </c>
      <c r="F2609" t="inlineStr">
        <is>
          <t>$7.5 million</t>
        </is>
      </c>
      <c r="G2609" s="19" t="n"/>
      <c r="H2609" s="19" t="n">
        <v>7.5</v>
      </c>
      <c r="I2609" t="inlineStr">
        <is>
          <t>Series A</t>
        </is>
      </c>
      <c r="J2609" t="inlineStr">
        <is>
          <t>Singapore-headquartered Analog Partners</t>
        </is>
      </c>
      <c r="K2609" t="inlineStr">
        <is>
          <t>https://entrackr.com/snippets/bluecopa-raises-75-mn-in-series-a-round-led-by-analog-partners-10990859</t>
        </is>
      </c>
    </row>
    <row r="2610">
      <c r="A2610" t="inlineStr">
        <is>
          <t>ET-126486825</t>
        </is>
      </c>
      <c r="B2610" t="inlineStr">
        <is>
          <t>R260112-bluecopa</t>
        </is>
      </c>
      <c r="C2610" t="inlineStr">
        <is>
          <t>The Economic Times</t>
        </is>
      </c>
      <c r="D2610" s="17" t="n">
        <v>46034</v>
      </c>
      <c r="E2610" t="inlineStr">
        <is>
          <t>Bluecopa</t>
        </is>
      </c>
      <c r="F2610" t="inlineStr">
        <is>
          <t>$7.5 million</t>
        </is>
      </c>
      <c r="G2610" s="19" t="n"/>
      <c r="H2610" s="19" t="n">
        <v>7.5</v>
      </c>
      <c r="I2610" t="inlineStr">
        <is>
          <t>Undisclosed</t>
        </is>
      </c>
      <c r="J2610" t="inlineStr">
        <is>
          <t>Analog Partners</t>
        </is>
      </c>
      <c r="K2610" t="inlineStr">
        <is>
          <t>https://economictimes.indiatimes.com/tech/funding/finops-startup-bluecopa-raises-7-5-million-from-analog-partners-blume-ventures-dallas-venture/articleshow/126486825.cms</t>
        </is>
      </c>
    </row>
    <row r="2611">
      <c r="A2611" t="inlineStr">
        <is>
          <t>INC-20260117-11</t>
        </is>
      </c>
      <c r="B2611" t="inlineStr">
        <is>
          <t>R260112-bluecopa</t>
        </is>
      </c>
      <c r="C2611" t="inlineStr">
        <is>
          <t>Inc42</t>
        </is>
      </c>
      <c r="D2611" s="17" t="n">
        <v>46034</v>
      </c>
      <c r="E2611" t="inlineStr">
        <is>
          <t>Bluecopa</t>
        </is>
      </c>
      <c r="F2611" t="inlineStr">
        <is>
          <t>$7.5 Mn</t>
        </is>
      </c>
      <c r="G2611" s="19" t="n"/>
      <c r="H2611" s="19" t="n">
        <v>7.5</v>
      </c>
      <c r="I2611" t="inlineStr">
        <is>
          <t>Series A</t>
        </is>
      </c>
      <c r="J2611" t="inlineStr">
        <is>
          <t>Analog Partners</t>
        </is>
      </c>
      <c r="K2611" t="inlineStr">
        <is>
          <t>https://inc42.com/buzz/from-pee-safe-to-etherealx-indian-startups-raised-269-mn-this-week/</t>
        </is>
      </c>
    </row>
    <row r="2612">
      <c r="A2612" t="inlineStr">
        <is>
          <t>ENT-10992138</t>
        </is>
      </c>
      <c r="B2612" t="inlineStr">
        <is>
          <t>R260112-edgistify</t>
        </is>
      </c>
      <c r="C2612" t="inlineStr">
        <is>
          <t>Entrackr</t>
        </is>
      </c>
      <c r="D2612" s="17" t="n">
        <v>46034</v>
      </c>
      <c r="E2612" t="inlineStr">
        <is>
          <t>Edgistify</t>
        </is>
      </c>
      <c r="F2612" t="inlineStr">
        <is>
          <t>$1.4 million</t>
        </is>
      </c>
      <c r="G2612" s="19" t="n"/>
      <c r="H2612" s="19" t="n">
        <v>1.4</v>
      </c>
      <c r="I2612" t="inlineStr">
        <is>
          <t>Pre-Series A</t>
        </is>
      </c>
      <c r="J2612" t="inlineStr">
        <is>
          <t>NB Ventures; Rajesh Ranavat</t>
        </is>
      </c>
      <c r="K2612" t="inlineStr">
        <is>
          <t>https://entrackr.com/snippets/edgistify-raises-14-mn-from-nb-ventures-and-rajesh-ranavat-10992138</t>
        </is>
      </c>
    </row>
    <row r="2613">
      <c r="A2613" t="inlineStr">
        <is>
          <t>INC-20260117-24</t>
        </is>
      </c>
      <c r="B2613" t="inlineStr">
        <is>
          <t>R260112-edgistify</t>
        </is>
      </c>
      <c r="C2613" t="inlineStr">
        <is>
          <t>Inc42</t>
        </is>
      </c>
      <c r="D2613" s="17" t="n">
        <v>46034</v>
      </c>
      <c r="E2613" t="inlineStr">
        <is>
          <t>Edgistify</t>
        </is>
      </c>
      <c r="F2613" t="inlineStr">
        <is>
          <t>$1.4 Mn</t>
        </is>
      </c>
      <c r="G2613" s="19" t="n"/>
      <c r="H2613" s="19" t="n">
        <v>1.4</v>
      </c>
      <c r="I2613" t="inlineStr">
        <is>
          <t>Pre-Series A</t>
        </is>
      </c>
      <c r="J2613" t="inlineStr">
        <is>
          <t>NB Ventures; Rajesh Ranavat</t>
        </is>
      </c>
      <c r="K2613" t="inlineStr">
        <is>
          <t>https://inc42.com/buzz/from-pee-safe-to-etherealx-indian-startups-raised-269-mn-this-week/</t>
        </is>
      </c>
    </row>
    <row r="2614">
      <c r="A2614" t="inlineStr">
        <is>
          <t>ENT-10991509</t>
        </is>
      </c>
      <c r="B2614" t="inlineStr">
        <is>
          <t>R260112-goodfarmerfood</t>
        </is>
      </c>
      <c r="C2614" t="inlineStr">
        <is>
          <t>Entrackr</t>
        </is>
      </c>
      <c r="D2614" s="17" t="n">
        <v>46034</v>
      </c>
      <c r="E2614" t="inlineStr">
        <is>
          <t>Good Farmer Food Concepts</t>
        </is>
      </c>
      <c r="F2614" t="inlineStr">
        <is>
          <t>$1.5 million</t>
        </is>
      </c>
      <c r="G2614" s="19" t="n"/>
      <c r="H2614" s="19" t="n">
        <v>1.5</v>
      </c>
      <c r="I2614" t="inlineStr">
        <is>
          <t>Pre-Series A</t>
        </is>
      </c>
      <c r="J2614" t="inlineStr">
        <is>
          <t>CreedCap; Rohan Bopanna; Meraki Sport &amp; Entertainment</t>
        </is>
      </c>
      <c r="K2614" t="inlineStr">
        <is>
          <t>https://entrackr.com/snippets/good-farmer-food-concepts-raises-15-mn-in-pre-series-a-led-by-creedcap-10991509</t>
        </is>
      </c>
    </row>
    <row r="2615">
      <c r="A2615" t="inlineStr">
        <is>
          <t>INC-20260117-23</t>
        </is>
      </c>
      <c r="B2615" t="inlineStr">
        <is>
          <t>R260112-goodfarmerfood</t>
        </is>
      </c>
      <c r="C2615" t="inlineStr">
        <is>
          <t>Inc42</t>
        </is>
      </c>
      <c r="D2615" s="17" t="n">
        <v>46034</v>
      </c>
      <c r="E2615" t="inlineStr">
        <is>
          <t>Good Farmer Food Concepts</t>
        </is>
      </c>
      <c r="F2615" t="inlineStr">
        <is>
          <t>$1.5 Mn</t>
        </is>
      </c>
      <c r="G2615" s="19" t="n"/>
      <c r="H2615" s="19" t="n">
        <v>1.5</v>
      </c>
      <c r="I2615" t="inlineStr">
        <is>
          <t>Pre-Series A</t>
        </is>
      </c>
      <c r="J2615" t="inlineStr">
        <is>
          <t>CreedCap</t>
        </is>
      </c>
      <c r="K2615" t="inlineStr">
        <is>
          <t>https://inc42.com/buzz/from-pee-safe-to-etherealx-indian-startups-raised-269-mn-this-week/</t>
        </is>
      </c>
    </row>
    <row r="2616">
      <c r="A2616" t="inlineStr">
        <is>
          <t>INC-20260117-15</t>
        </is>
      </c>
      <c r="B2616" t="inlineStr">
        <is>
          <t>R260112-neeman</t>
        </is>
      </c>
      <c r="C2616" t="inlineStr">
        <is>
          <t>Inc42</t>
        </is>
      </c>
      <c r="D2616" s="17" t="n">
        <v>46034</v>
      </c>
      <c r="E2616" t="inlineStr">
        <is>
          <t>Neeman’s</t>
        </is>
      </c>
      <c r="F2616" t="inlineStr">
        <is>
          <t>$4 Mn</t>
        </is>
      </c>
      <c r="G2616" s="19" t="n"/>
      <c r="H2616" s="19" t="n">
        <v>4</v>
      </c>
      <c r="I2616" t="inlineStr">
        <is>
          <t>Series B</t>
        </is>
      </c>
      <c r="J2616" t="inlineStr">
        <is>
          <t>SNAM Group</t>
        </is>
      </c>
      <c r="K2616" t="inlineStr">
        <is>
          <t>https://inc42.com/buzz/from-pee-safe-to-etherealx-indian-startups-raised-269-mn-this-week/</t>
        </is>
      </c>
    </row>
    <row r="2617">
      <c r="A2617" t="inlineStr">
        <is>
          <t>ENT-10991829</t>
        </is>
      </c>
      <c r="B2617" t="inlineStr">
        <is>
          <t>R260112-pumpumpum</t>
        </is>
      </c>
      <c r="C2617" t="inlineStr">
        <is>
          <t>Entrackr</t>
        </is>
      </c>
      <c r="D2617" s="17" t="n">
        <v>46034</v>
      </c>
      <c r="E2617" t="inlineStr">
        <is>
          <t>PumPumPum</t>
        </is>
      </c>
      <c r="F2617" t="inlineStr">
        <is>
          <t>Rs 18 crore</t>
        </is>
      </c>
      <c r="G2617" s="19" t="n">
        <v>18</v>
      </c>
      <c r="H2617" s="19" t="n"/>
      <c r="I2617" t="inlineStr">
        <is>
          <t>Pre-Series A</t>
        </is>
      </c>
      <c r="J2617" t="inlineStr">
        <is>
          <t>LC Nueva; Anupam Finserv</t>
        </is>
      </c>
      <c r="K2617" t="inlineStr">
        <is>
          <t>https://entrackr.com/snippets/pumpumpum-raises-rs-18-cr-in-pre-series-a-round-led-by-lc-nueva-10991829</t>
        </is>
      </c>
    </row>
    <row r="2618">
      <c r="A2618" t="inlineStr">
        <is>
          <t>INC-20260117-20</t>
        </is>
      </c>
      <c r="B2618" t="inlineStr">
        <is>
          <t>R260112-pumpumpum</t>
        </is>
      </c>
      <c r="C2618" t="inlineStr">
        <is>
          <t>Inc42</t>
        </is>
      </c>
      <c r="D2618" s="17" t="n">
        <v>46034</v>
      </c>
      <c r="E2618" t="inlineStr">
        <is>
          <t>PumPumPum</t>
        </is>
      </c>
      <c r="F2618" t="inlineStr">
        <is>
          <t>$2 Mn</t>
        </is>
      </c>
      <c r="G2618" s="19" t="n"/>
      <c r="H2618" s="19" t="n">
        <v>2</v>
      </c>
      <c r="I2618" t="inlineStr">
        <is>
          <t>Pre-Series A</t>
        </is>
      </c>
      <c r="J2618" t="inlineStr">
        <is>
          <t>LC Nueva</t>
        </is>
      </c>
      <c r="K2618" t="inlineStr">
        <is>
          <t>https://inc42.com/buzz/from-pee-safe-to-etherealx-indian-startups-raised-269-mn-this-week/</t>
        </is>
      </c>
    </row>
    <row r="2619">
      <c r="A2619" t="inlineStr">
        <is>
          <t>ENT-10994068</t>
        </is>
      </c>
      <c r="B2619" t="inlineStr">
        <is>
          <t>R260113-atomgrid</t>
        </is>
      </c>
      <c r="C2619" t="inlineStr">
        <is>
          <t>Entrackr</t>
        </is>
      </c>
      <c r="D2619" s="17" t="n">
        <v>46035</v>
      </c>
      <c r="E2619" t="inlineStr">
        <is>
          <t>Atomgrid</t>
        </is>
      </c>
      <c r="F2619" t="inlineStr">
        <is>
          <t>$7 million</t>
        </is>
      </c>
      <c r="G2619" s="19" t="n"/>
      <c r="H2619" s="19" t="n">
        <v>7</v>
      </c>
      <c r="I2619" t="inlineStr">
        <is>
          <t>Pre-Series A</t>
        </is>
      </c>
      <c r="J2619" t="inlineStr">
        <is>
          <t>A99</t>
        </is>
      </c>
      <c r="K2619" t="inlineStr">
        <is>
          <t>https://entrackr.com/snippets/specialty-chemicals-startup-atomgrid-raises-7-mn-in-pre-series-a-10994068</t>
        </is>
      </c>
    </row>
    <row r="2620">
      <c r="A2620" t="inlineStr">
        <is>
          <t>INC-20260117-13</t>
        </is>
      </c>
      <c r="B2620" t="inlineStr">
        <is>
          <t>R260113-atomgrid</t>
        </is>
      </c>
      <c r="C2620" t="inlineStr">
        <is>
          <t>Inc42</t>
        </is>
      </c>
      <c r="D2620" s="17" t="n">
        <v>46035</v>
      </c>
      <c r="E2620" t="inlineStr">
        <is>
          <t>Atomgrid</t>
        </is>
      </c>
      <c r="F2620" t="inlineStr">
        <is>
          <t>$7 Mn</t>
        </is>
      </c>
      <c r="G2620" s="19" t="n"/>
      <c r="H2620" s="19" t="n">
        <v>7</v>
      </c>
      <c r="I2620" t="inlineStr">
        <is>
          <t>Pre-Series A</t>
        </is>
      </c>
      <c r="J2620" t="inlineStr"/>
      <c r="K2620" t="inlineStr">
        <is>
          <t>https://inc42.com/buzz/from-pee-safe-to-etherealx-indian-startups-raised-269-mn-this-week/</t>
        </is>
      </c>
    </row>
    <row r="2621">
      <c r="A2621" t="inlineStr">
        <is>
          <t>INC-20260117-05</t>
        </is>
      </c>
      <c r="B2621" t="inlineStr">
        <is>
          <t>R260113-billionemobili</t>
        </is>
      </c>
      <c r="C2621" t="inlineStr">
        <is>
          <t>Inc42</t>
        </is>
      </c>
      <c r="D2621" s="17" t="n">
        <v>46035</v>
      </c>
      <c r="E2621" t="inlineStr">
        <is>
          <t>BillionE Mobility</t>
        </is>
      </c>
      <c r="F2621" t="inlineStr">
        <is>
          <t>$25 Mn</t>
        </is>
      </c>
      <c r="G2621" s="19" t="n"/>
      <c r="H2621" s="19" t="n">
        <v>25</v>
      </c>
      <c r="I2621" t="inlineStr">
        <is>
          <t>Undisclosed</t>
        </is>
      </c>
      <c r="J2621" t="inlineStr"/>
      <c r="K2621" t="inlineStr">
        <is>
          <t>https://inc42.com/buzz/from-pee-safe-to-etherealx-indian-startups-raised-269-mn-this-week/</t>
        </is>
      </c>
    </row>
    <row r="2622">
      <c r="A2622" t="inlineStr">
        <is>
          <t>ENT-10995158</t>
        </is>
      </c>
      <c r="B2622" t="inlineStr">
        <is>
          <t>R260113-carrum</t>
        </is>
      </c>
      <c r="C2622" t="inlineStr">
        <is>
          <t>Entrackr</t>
        </is>
      </c>
      <c r="D2622" s="17" t="n">
        <v>46035</v>
      </c>
      <c r="E2622" t="inlineStr">
        <is>
          <t>Carrum</t>
        </is>
      </c>
      <c r="F2622" t="inlineStr"/>
      <c r="G2622" s="19" t="n"/>
      <c r="H2622" s="19" t="n"/>
      <c r="I2622" t="inlineStr">
        <is>
          <t>Series A</t>
        </is>
      </c>
      <c r="J2622" t="inlineStr"/>
      <c r="K2622" t="inlineStr">
        <is>
          <t>https://entrackr.com/snippets/cardekho-group-backed-carrum-raises-series-a-funding-from-uber-10995158</t>
        </is>
      </c>
    </row>
    <row r="2623">
      <c r="A2623" t="inlineStr">
        <is>
          <t>INC-20260117-12</t>
        </is>
      </c>
      <c r="B2623" t="inlineStr">
        <is>
          <t>R260113-carrum</t>
        </is>
      </c>
      <c r="C2623" t="inlineStr">
        <is>
          <t>Inc42</t>
        </is>
      </c>
      <c r="D2623" s="17" t="n">
        <v>46035</v>
      </c>
      <c r="E2623" t="inlineStr">
        <is>
          <t>Carrum</t>
        </is>
      </c>
      <c r="F2623" t="inlineStr">
        <is>
          <t>$7 Mn</t>
        </is>
      </c>
      <c r="G2623" s="19" t="n"/>
      <c r="H2623" s="19" t="n">
        <v>7</v>
      </c>
      <c r="I2623" t="inlineStr">
        <is>
          <t>Series A</t>
        </is>
      </c>
      <c r="J2623" t="inlineStr">
        <is>
          <t>Uber</t>
        </is>
      </c>
      <c r="K2623" t="inlineStr">
        <is>
          <t>https://inc42.com/buzz/from-pee-safe-to-etherealx-indian-startups-raised-269-mn-this-week/</t>
        </is>
      </c>
    </row>
    <row r="2624">
      <c r="A2624" t="inlineStr">
        <is>
          <t>ENT-10993983</t>
        </is>
      </c>
      <c r="B2624" t="inlineStr">
        <is>
          <t>R260113-dazzl</t>
        </is>
      </c>
      <c r="C2624" t="inlineStr">
        <is>
          <t>Entrackr</t>
        </is>
      </c>
      <c r="D2624" s="17" t="n">
        <v>46035</v>
      </c>
      <c r="E2624" t="inlineStr">
        <is>
          <t>Dazzl</t>
        </is>
      </c>
      <c r="F2624" t="inlineStr">
        <is>
          <t>$3.2 million</t>
        </is>
      </c>
      <c r="G2624" s="19" t="n"/>
      <c r="H2624" s="19" t="n">
        <v>3.2</v>
      </c>
      <c r="I2624" t="inlineStr">
        <is>
          <t>Seed</t>
        </is>
      </c>
      <c r="J2624" t="inlineStr">
        <is>
          <t>Stellaris Venture Partners</t>
        </is>
      </c>
      <c r="K2624" t="inlineStr">
        <is>
          <t>https://entrackr.com/snippets/10-min-beauty-service-platform-dazzl-raises-32-mn-led-by-stellaris-10993983</t>
        </is>
      </c>
    </row>
    <row r="2625">
      <c r="A2625" t="inlineStr">
        <is>
          <t>ET-126490200</t>
        </is>
      </c>
      <c r="B2625" t="inlineStr">
        <is>
          <t>R260113-dazzl</t>
        </is>
      </c>
      <c r="C2625" t="inlineStr">
        <is>
          <t>The Economic Times</t>
        </is>
      </c>
      <c r="D2625" s="17" t="n">
        <v>46035</v>
      </c>
      <c r="E2625" t="inlineStr">
        <is>
          <t>Dazzl</t>
        </is>
      </c>
      <c r="F2625" t="inlineStr">
        <is>
          <t>$3.2 million</t>
        </is>
      </c>
      <c r="G2625" s="19" t="n"/>
      <c r="H2625" s="19" t="n">
        <v>3.2</v>
      </c>
      <c r="I2625" t="inlineStr">
        <is>
          <t>Undisclosed</t>
        </is>
      </c>
      <c r="J2625" t="inlineStr">
        <is>
          <t>Stellaris Venture Partners</t>
        </is>
      </c>
      <c r="K2625" t="inlineStr">
        <is>
          <t>https://economictimes.indiatimes.com/tech/funding/10-minute-beauty-service-platform-dazzl-raises-3-2-million-led-by-stellaris/articleshow/126490200.cms</t>
        </is>
      </c>
    </row>
    <row r="2626">
      <c r="A2626" t="inlineStr">
        <is>
          <t>INC-20260117-17</t>
        </is>
      </c>
      <c r="B2626" t="inlineStr">
        <is>
          <t>R260113-dazzl</t>
        </is>
      </c>
      <c r="C2626" t="inlineStr">
        <is>
          <t>Inc42</t>
        </is>
      </c>
      <c r="D2626" s="17" t="n">
        <v>46035</v>
      </c>
      <c r="E2626" t="inlineStr">
        <is>
          <t>Dazzl</t>
        </is>
      </c>
      <c r="F2626" t="inlineStr">
        <is>
          <t>$3.2 Mn</t>
        </is>
      </c>
      <c r="G2626" s="19" t="n"/>
      <c r="H2626" s="19" t="n">
        <v>3.2</v>
      </c>
      <c r="I2626" t="inlineStr">
        <is>
          <t>Seed</t>
        </is>
      </c>
      <c r="J2626" t="inlineStr">
        <is>
          <t>Stellaris Venture Partners</t>
        </is>
      </c>
      <c r="K2626" t="inlineStr">
        <is>
          <t>https://inc42.com/buzz/from-pee-safe-to-etherealx-indian-startups-raised-269-mn-this-week/</t>
        </is>
      </c>
    </row>
    <row r="2627">
      <c r="A2627" t="inlineStr">
        <is>
          <t>ENT-10995189</t>
        </is>
      </c>
      <c r="B2627" t="inlineStr">
        <is>
          <t>R260113-drickle</t>
        </is>
      </c>
      <c r="C2627" t="inlineStr">
        <is>
          <t>Entrackr</t>
        </is>
      </c>
      <c r="D2627" s="17" t="n">
        <v>46035</v>
      </c>
      <c r="E2627" t="inlineStr">
        <is>
          <t>Drickle</t>
        </is>
      </c>
      <c r="F2627" t="inlineStr">
        <is>
          <t>Rs 6 crore</t>
        </is>
      </c>
      <c r="G2627" s="19" t="n">
        <v>6</v>
      </c>
      <c r="H2627" s="19" t="n"/>
      <c r="I2627" t="inlineStr">
        <is>
          <t>Seed</t>
        </is>
      </c>
      <c r="J2627" t="inlineStr"/>
      <c r="K2627" t="inlineStr">
        <is>
          <t>https://entrackr.com/snippets/coffee-first-beverage-brand-drickle-raises-rs-6-cr-in-seed-round-10995189</t>
        </is>
      </c>
    </row>
    <row r="2628">
      <c r="A2628" t="inlineStr">
        <is>
          <t>INC-20260117-26</t>
        </is>
      </c>
      <c r="B2628" t="inlineStr">
        <is>
          <t>R260113-drickle</t>
        </is>
      </c>
      <c r="C2628" t="inlineStr">
        <is>
          <t>Inc42</t>
        </is>
      </c>
      <c r="D2628" s="17" t="n">
        <v>46035</v>
      </c>
      <c r="E2628" t="inlineStr">
        <is>
          <t>Drickle</t>
        </is>
      </c>
      <c r="F2628" t="inlineStr">
        <is>
          <t>$720K</t>
        </is>
      </c>
      <c r="G2628" s="19" t="n"/>
      <c r="H2628" s="19" t="n">
        <v>0.72</v>
      </c>
      <c r="I2628" t="inlineStr">
        <is>
          <t>Seed</t>
        </is>
      </c>
      <c r="J2628" t="inlineStr"/>
      <c r="K2628" t="inlineStr">
        <is>
          <t>https://inc42.com/buzz/from-pee-safe-to-etherealx-indian-startups-raised-269-mn-this-week/</t>
        </is>
      </c>
    </row>
    <row r="2629">
      <c r="A2629" t="inlineStr">
        <is>
          <t>ET-126498442</t>
        </is>
      </c>
      <c r="B2629" t="inlineStr">
        <is>
          <t>R260113-greentech</t>
        </is>
      </c>
      <c r="C2629" t="inlineStr">
        <is>
          <t>The Economic Times</t>
        </is>
      </c>
      <c r="D2629" s="17" t="n">
        <v>46035</v>
      </c>
      <c r="E2629" t="inlineStr">
        <is>
          <t>Greentech</t>
        </is>
      </c>
      <c r="F2629" t="inlineStr">
        <is>
          <t>Rs 30 crore</t>
        </is>
      </c>
      <c r="G2629" s="19" t="n">
        <v>30</v>
      </c>
      <c r="H2629" s="19" t="n"/>
      <c r="I2629" t="inlineStr">
        <is>
          <t>Undisclosed</t>
        </is>
      </c>
      <c r="J2629" t="inlineStr"/>
      <c r="K2629" t="inlineStr">
        <is>
          <t>https://economictimes.indiatimes.com/tech/funding/deeptech-company-greentech-raises-rs-30-crore-from-transition-vc/articleshow/126498442.cms</t>
        </is>
      </c>
    </row>
    <row r="2630">
      <c r="A2630" t="inlineStr">
        <is>
          <t>INC-20260117-16</t>
        </is>
      </c>
      <c r="B2630" t="inlineStr">
        <is>
          <t>R260113-greentech</t>
        </is>
      </c>
      <c r="C2630" t="inlineStr">
        <is>
          <t>Inc42</t>
        </is>
      </c>
      <c r="D2630" s="17" t="n">
        <v>46035</v>
      </c>
      <c r="E2630" t="inlineStr">
        <is>
          <t>GreenTech</t>
        </is>
      </c>
      <c r="F2630" t="inlineStr">
        <is>
          <t>$3.3 Mn</t>
        </is>
      </c>
      <c r="G2630" s="19" t="n"/>
      <c r="H2630" s="19" t="n">
        <v>3.3</v>
      </c>
      <c r="I2630" t="inlineStr">
        <is>
          <t>Undisclosed</t>
        </is>
      </c>
      <c r="J2630" t="inlineStr">
        <is>
          <t>Transition VC</t>
        </is>
      </c>
      <c r="K2630" t="inlineStr">
        <is>
          <t>https://inc42.com/buzz/from-pee-safe-to-etherealx-indian-startups-raised-269-mn-this-week/</t>
        </is>
      </c>
    </row>
    <row r="2631">
      <c r="A2631" t="inlineStr">
        <is>
          <t>ENT-10997721</t>
        </is>
      </c>
      <c r="B2631" t="inlineStr">
        <is>
          <t>R260113-greentech</t>
        </is>
      </c>
      <c r="C2631" t="inlineStr">
        <is>
          <t>Entrackr</t>
        </is>
      </c>
      <c r="D2631" s="17" t="n">
        <v>46036</v>
      </c>
      <c r="E2631" t="inlineStr">
        <is>
          <t>GreenTech</t>
        </is>
      </c>
      <c r="F2631" t="inlineStr">
        <is>
          <t>Rs 30 crore</t>
        </is>
      </c>
      <c r="G2631" s="19" t="n">
        <v>30</v>
      </c>
      <c r="H2631" s="19" t="n"/>
      <c r="I2631" t="inlineStr">
        <is>
          <t>Undisclosed</t>
        </is>
      </c>
      <c r="J2631" t="inlineStr">
        <is>
          <t>Transition VC</t>
        </is>
      </c>
      <c r="K2631" t="inlineStr">
        <is>
          <t>https://entrackr.com/snippets/greentech-raises-rs-30-cr-led-by-transition-vc-10997721</t>
        </is>
      </c>
    </row>
    <row r="2632">
      <c r="A2632" t="inlineStr">
        <is>
          <t>ENT-10994708</t>
        </is>
      </c>
      <c r="B2632" t="inlineStr">
        <is>
          <t>R260113-hexalog</t>
        </is>
      </c>
      <c r="C2632" t="inlineStr">
        <is>
          <t>Entrackr</t>
        </is>
      </c>
      <c r="D2632" s="17" t="n">
        <v>46035</v>
      </c>
      <c r="E2632" t="inlineStr">
        <is>
          <t>Hexalog</t>
        </is>
      </c>
      <c r="F2632" t="inlineStr">
        <is>
          <t>$4 million</t>
        </is>
      </c>
      <c r="G2632" s="19" t="n"/>
      <c r="H2632" s="19" t="n">
        <v>4</v>
      </c>
      <c r="I2632" t="inlineStr">
        <is>
          <t>Seed</t>
        </is>
      </c>
      <c r="J2632" t="inlineStr">
        <is>
          <t>ENRISSION INDIA CAPITAL; Action Tesa Family Office; Syndicate; Nandan Growth Fund; Sumit Jalan; Amit Tyagi &amp; Nitin Sethi</t>
        </is>
      </c>
      <c r="K2632" t="inlineStr">
        <is>
          <t>https://entrackr.com/snippets/hexalog-bags-4-mn-in-seed-round-led-by-enrission-india-capital-10994708</t>
        </is>
      </c>
    </row>
    <row r="2633">
      <c r="A2633" t="inlineStr">
        <is>
          <t>INC-20260117-14</t>
        </is>
      </c>
      <c r="B2633" t="inlineStr">
        <is>
          <t>R260113-hexalog</t>
        </is>
      </c>
      <c r="C2633" t="inlineStr">
        <is>
          <t>Inc42</t>
        </is>
      </c>
      <c r="D2633" s="17" t="n">
        <v>46035</v>
      </c>
      <c r="E2633" t="inlineStr">
        <is>
          <t>Hexalog</t>
        </is>
      </c>
      <c r="F2633" t="inlineStr">
        <is>
          <t>$4 Mn</t>
        </is>
      </c>
      <c r="G2633" s="19" t="n"/>
      <c r="H2633" s="19" t="n">
        <v>4</v>
      </c>
      <c r="I2633" t="inlineStr">
        <is>
          <t>Seed</t>
        </is>
      </c>
      <c r="J2633" t="inlineStr">
        <is>
          <t>Enrission India Capital</t>
        </is>
      </c>
      <c r="K2633" t="inlineStr">
        <is>
          <t>https://inc42.com/buzz/from-pee-safe-to-etherealx-indian-startups-raised-269-mn-this-week/</t>
        </is>
      </c>
    </row>
    <row r="2634">
      <c r="A2634" t="inlineStr">
        <is>
          <t>ENT-10994411</t>
        </is>
      </c>
      <c r="B2634" t="inlineStr">
        <is>
          <t>R260113-liquidnitrogam</t>
        </is>
      </c>
      <c r="C2634" t="inlineStr">
        <is>
          <t>Entrackr</t>
        </is>
      </c>
      <c r="D2634" s="17" t="n">
        <v>46035</v>
      </c>
      <c r="E2634" t="inlineStr">
        <is>
          <t>Liquidnitro Games</t>
        </is>
      </c>
      <c r="F2634" t="inlineStr">
        <is>
          <t>$19.1 million</t>
        </is>
      </c>
      <c r="G2634" s="19" t="n"/>
      <c r="H2634" s="19" t="n">
        <v>19.1</v>
      </c>
      <c r="I2634" t="inlineStr">
        <is>
          <t>Series A</t>
        </is>
      </c>
      <c r="J2634" t="inlineStr">
        <is>
          <t>Northpoint Capital</t>
        </is>
      </c>
      <c r="K2634" t="inlineStr">
        <is>
          <t>https://entrackr.com/news/liquidnitro-games-raises-191-mn-series-a-led-by-northpoint-capital-10994411</t>
        </is>
      </c>
    </row>
    <row r="2635">
      <c r="A2635" t="inlineStr">
        <is>
          <t>ET-126501652</t>
        </is>
      </c>
      <c r="B2635" t="inlineStr">
        <is>
          <t>R260113-liquidnitrogam</t>
        </is>
      </c>
      <c r="C2635" t="inlineStr">
        <is>
          <t>The Economic Times</t>
        </is>
      </c>
      <c r="D2635" s="17" t="n">
        <v>46035</v>
      </c>
      <c r="E2635" t="inlineStr">
        <is>
          <t>Liquidnitro Games</t>
        </is>
      </c>
      <c r="F2635" t="inlineStr">
        <is>
          <t>$19.1 million</t>
        </is>
      </c>
      <c r="G2635" s="19" t="n"/>
      <c r="H2635" s="19" t="n">
        <v>19.1</v>
      </c>
      <c r="I2635" t="inlineStr">
        <is>
          <t>Undisclosed</t>
        </is>
      </c>
      <c r="J2635" t="inlineStr">
        <is>
          <t>Northpoint Capital</t>
        </is>
      </c>
      <c r="K2635" t="inlineStr">
        <is>
          <t>https://economictimes.indiatimes.com/tech/funding/liquidnitro-games-raises-19-million-from-northpoint-capital-nexus/articleshow/126501652.cms</t>
        </is>
      </c>
    </row>
    <row r="2636">
      <c r="A2636" t="inlineStr">
        <is>
          <t>INC-20260117-07</t>
        </is>
      </c>
      <c r="B2636" t="inlineStr">
        <is>
          <t>R260113-liquidnitrogam</t>
        </is>
      </c>
      <c r="C2636" t="inlineStr">
        <is>
          <t>Inc42</t>
        </is>
      </c>
      <c r="D2636" s="17" t="n">
        <v>46035</v>
      </c>
      <c r="E2636" t="inlineStr">
        <is>
          <t>Liquidnitro Games</t>
        </is>
      </c>
      <c r="F2636" t="inlineStr">
        <is>
          <t>$19.1 Mn</t>
        </is>
      </c>
      <c r="G2636" s="19" t="n"/>
      <c r="H2636" s="19" t="n">
        <v>19.1</v>
      </c>
      <c r="I2636" t="inlineStr">
        <is>
          <t>Series A</t>
        </is>
      </c>
      <c r="J2636" t="inlineStr">
        <is>
          <t>Northpoint Capital</t>
        </is>
      </c>
      <c r="K2636" t="inlineStr">
        <is>
          <t>https://inc42.com/buzz/from-pee-safe-to-etherealx-indian-startups-raised-269-mn-this-week/</t>
        </is>
      </c>
    </row>
    <row r="2637">
      <c r="A2637" t="inlineStr">
        <is>
          <t>ENT-10994522</t>
        </is>
      </c>
      <c r="B2637" t="inlineStr">
        <is>
          <t>R260113-misochaintechn</t>
        </is>
      </c>
      <c r="C2637" t="inlineStr">
        <is>
          <t>Entrackr</t>
        </is>
      </c>
      <c r="D2637" s="17" t="n">
        <v>46035</v>
      </c>
      <c r="E2637" t="inlineStr">
        <is>
          <t>Misochain Technologies</t>
        </is>
      </c>
      <c r="F2637" t="inlineStr">
        <is>
          <t>Rs 18 crore</t>
        </is>
      </c>
      <c r="G2637" s="19" t="n">
        <v>18</v>
      </c>
      <c r="H2637" s="19" t="n"/>
      <c r="I2637" t="inlineStr">
        <is>
          <t>Seed</t>
        </is>
      </c>
      <c r="J2637" t="inlineStr">
        <is>
          <t>Capital-A</t>
        </is>
      </c>
      <c r="K2637" t="inlineStr">
        <is>
          <t>https://entrackr.com/snippets/misochain-technologies-raises-rs-18-cr-in-seed-round-led-by-capital-a-10994522</t>
        </is>
      </c>
    </row>
    <row r="2638">
      <c r="A2638" t="inlineStr">
        <is>
          <t>ET-126508148</t>
        </is>
      </c>
      <c r="B2638" t="inlineStr">
        <is>
          <t>R260113-misochaintechn</t>
        </is>
      </c>
      <c r="C2638" t="inlineStr">
        <is>
          <t>The Economic Times</t>
        </is>
      </c>
      <c r="D2638" s="17" t="n">
        <v>46035</v>
      </c>
      <c r="E2638" t="inlineStr">
        <is>
          <t>Misochain Tech</t>
        </is>
      </c>
      <c r="F2638" t="inlineStr">
        <is>
          <t>Rs 18 crore</t>
        </is>
      </c>
      <c r="G2638" s="19" t="n">
        <v>18</v>
      </c>
      <c r="H2638" s="19" t="n"/>
      <c r="I2638" t="inlineStr">
        <is>
          <t>Undisclosed</t>
        </is>
      </c>
      <c r="J2638" t="inlineStr">
        <is>
          <t>Capital-A</t>
        </is>
      </c>
      <c r="K2638" t="inlineStr">
        <is>
          <t>https://economictimes.indiatimes.com/tech/funding/misochain-tech-raises-rs-18-crore-in-funding-led-by-capital-a/articleshow/126508148.cms</t>
        </is>
      </c>
    </row>
    <row r="2639">
      <c r="A2639" t="inlineStr">
        <is>
          <t>INC-20260117-22</t>
        </is>
      </c>
      <c r="B2639" t="inlineStr">
        <is>
          <t>R260113-misochaintechn</t>
        </is>
      </c>
      <c r="C2639" t="inlineStr">
        <is>
          <t>Inc42</t>
        </is>
      </c>
      <c r="D2639" s="17" t="n">
        <v>46035</v>
      </c>
      <c r="E2639" t="inlineStr">
        <is>
          <t>Misochain Technologies</t>
        </is>
      </c>
      <c r="F2639" t="inlineStr">
        <is>
          <t>$2 Mn</t>
        </is>
      </c>
      <c r="G2639" s="19" t="n"/>
      <c r="H2639" s="19" t="n">
        <v>2</v>
      </c>
      <c r="I2639" t="inlineStr">
        <is>
          <t>Seed</t>
        </is>
      </c>
      <c r="J2639" t="inlineStr">
        <is>
          <t>Capital-A</t>
        </is>
      </c>
      <c r="K2639" t="inlineStr">
        <is>
          <t>https://inc42.com/buzz/from-pee-safe-to-etherealx-indian-startups-raised-269-mn-this-week/</t>
        </is>
      </c>
    </row>
    <row r="2640">
      <c r="A2640" t="inlineStr">
        <is>
          <t>ENT-10994870</t>
        </is>
      </c>
      <c r="B2640" t="inlineStr">
        <is>
          <t>R260113-secretalchemis</t>
        </is>
      </c>
      <c r="C2640" t="inlineStr">
        <is>
          <t>Entrackr</t>
        </is>
      </c>
      <c r="D2640" s="17" t="n">
        <v>46035</v>
      </c>
      <c r="E2640" t="inlineStr">
        <is>
          <t>Secret Alchemist</t>
        </is>
      </c>
      <c r="F2640" t="inlineStr">
        <is>
          <t>$3 million</t>
        </is>
      </c>
      <c r="G2640" s="19" t="n"/>
      <c r="H2640" s="19" t="n">
        <v>3</v>
      </c>
      <c r="I2640" t="inlineStr">
        <is>
          <t>Undisclosed</t>
        </is>
      </c>
      <c r="J2640" t="inlineStr">
        <is>
          <t>Unilever Ventures</t>
        </is>
      </c>
      <c r="K2640" t="inlineStr">
        <is>
          <t>https://entrackr.com/snippets/perfume-brand-secret-alchemist-raises-3-mn-led-by-unilever-ventures-10994870</t>
        </is>
      </c>
    </row>
    <row r="2641">
      <c r="A2641" t="inlineStr">
        <is>
          <t>ET-126497267</t>
        </is>
      </c>
      <c r="B2641" t="inlineStr">
        <is>
          <t>R260113-secretalchemis</t>
        </is>
      </c>
      <c r="C2641" t="inlineStr">
        <is>
          <t>The Economic Times</t>
        </is>
      </c>
      <c r="D2641" s="17" t="n">
        <v>46035</v>
      </c>
      <c r="E2641" t="inlineStr">
        <is>
          <t>Secret Alchemist</t>
        </is>
      </c>
      <c r="F2641" t="inlineStr">
        <is>
          <t>$3 million</t>
        </is>
      </c>
      <c r="G2641" s="19" t="n"/>
      <c r="H2641" s="19" t="n">
        <v>3</v>
      </c>
      <c r="I2641" t="inlineStr">
        <is>
          <t>Undisclosed</t>
        </is>
      </c>
      <c r="J2641" t="inlineStr">
        <is>
          <t>Unilever Ventures</t>
        </is>
      </c>
      <c r="K2641" t="inlineStr">
        <is>
          <t>https://economictimes.indiatimes.com/tech/funding/actress-samantha-prabhus-perfume-brand-secret-alchemist-secures-3-million-from-unilever-ventures-others/articleshow/126497267.cms</t>
        </is>
      </c>
    </row>
    <row r="2642">
      <c r="A2642" t="inlineStr">
        <is>
          <t>INC-20260117-18</t>
        </is>
      </c>
      <c r="B2642" t="inlineStr">
        <is>
          <t>R260113-secretalchemis</t>
        </is>
      </c>
      <c r="C2642" t="inlineStr">
        <is>
          <t>Inc42</t>
        </is>
      </c>
      <c r="D2642" s="17" t="n">
        <v>46035</v>
      </c>
      <c r="E2642" t="inlineStr">
        <is>
          <t>Secret Alchemist</t>
        </is>
      </c>
      <c r="F2642" t="inlineStr">
        <is>
          <t>$3 Mn</t>
        </is>
      </c>
      <c r="G2642" s="19" t="n"/>
      <c r="H2642" s="19" t="n">
        <v>3</v>
      </c>
      <c r="I2642" t="inlineStr">
        <is>
          <t>Seed</t>
        </is>
      </c>
      <c r="J2642" t="inlineStr">
        <is>
          <t>Unilever Ventures</t>
        </is>
      </c>
      <c r="K2642" t="inlineStr">
        <is>
          <t>https://inc42.com/buzz/from-pee-safe-to-etherealx-indian-startups-raised-269-mn-this-week/</t>
        </is>
      </c>
    </row>
    <row r="2643">
      <c r="A2643" t="inlineStr">
        <is>
          <t>ENT-10993518</t>
        </is>
      </c>
      <c r="B2643" t="inlineStr">
        <is>
          <t>R260113-sukino</t>
        </is>
      </c>
      <c r="C2643" t="inlineStr">
        <is>
          <t>Entrackr</t>
        </is>
      </c>
      <c r="D2643" s="17" t="n">
        <v>46035</v>
      </c>
      <c r="E2643" t="inlineStr">
        <is>
          <t>Sukino</t>
        </is>
      </c>
      <c r="F2643" t="inlineStr">
        <is>
          <t>$31 million</t>
        </is>
      </c>
      <c r="G2643" s="19" t="n"/>
      <c r="H2643" s="19" t="n">
        <v>31</v>
      </c>
      <c r="I2643" t="inlineStr">
        <is>
          <t>Series B</t>
        </is>
      </c>
      <c r="J2643" t="inlineStr">
        <is>
          <t>Bessemer Venture Partners</t>
        </is>
      </c>
      <c r="K2643" t="inlineStr">
        <is>
          <t>https://entrackr.com/snippets/healthcare-startup-sukino-raises-31-mn-in-series-b-led-by-bessemer-10993518</t>
        </is>
      </c>
    </row>
    <row r="2644">
      <c r="A2644" t="inlineStr">
        <is>
          <t>ET-126490090</t>
        </is>
      </c>
      <c r="B2644" t="inlineStr">
        <is>
          <t>R260113-sukino</t>
        </is>
      </c>
      <c r="C2644" t="inlineStr">
        <is>
          <t>The Economic Times</t>
        </is>
      </c>
      <c r="D2644" s="17" t="n">
        <v>46035</v>
      </c>
      <c r="E2644" t="inlineStr">
        <is>
          <t>Sukino</t>
        </is>
      </c>
      <c r="F2644" t="inlineStr">
        <is>
          <t>$31 million</t>
        </is>
      </c>
      <c r="G2644" s="19" t="n"/>
      <c r="H2644" s="19" t="n">
        <v>31</v>
      </c>
      <c r="I2644" t="inlineStr">
        <is>
          <t>Undisclosed</t>
        </is>
      </c>
      <c r="J2644" t="inlineStr">
        <is>
          <t>Bessemer Venture Partners</t>
        </is>
      </c>
      <c r="K2644" t="inlineStr">
        <is>
          <t>https://economictimes.indiatimes.com/tech/funding/healthcare-startup-sukino-raises-31-million-in-round-led-by-bessemer/articleshow/126490090.cms</t>
        </is>
      </c>
    </row>
    <row r="2645">
      <c r="A2645" t="inlineStr">
        <is>
          <t>INC-20260117-02</t>
        </is>
      </c>
      <c r="B2645" t="inlineStr">
        <is>
          <t>R260113-sukino</t>
        </is>
      </c>
      <c r="C2645" t="inlineStr">
        <is>
          <t>Inc42</t>
        </is>
      </c>
      <c r="D2645" s="17" t="n">
        <v>46035</v>
      </c>
      <c r="E2645" t="inlineStr">
        <is>
          <t>Sukino</t>
        </is>
      </c>
      <c r="F2645" t="inlineStr">
        <is>
          <t>$31 Mn</t>
        </is>
      </c>
      <c r="G2645" s="19" t="n"/>
      <c r="H2645" s="19" t="n">
        <v>31</v>
      </c>
      <c r="I2645" t="inlineStr">
        <is>
          <t>Series B</t>
        </is>
      </c>
      <c r="J2645" t="inlineStr">
        <is>
          <t>Bessemer Venture Partners</t>
        </is>
      </c>
      <c r="K2645" t="inlineStr">
        <is>
          <t>https://inc42.com/buzz/from-pee-safe-to-etherealx-indian-startups-raised-269-mn-this-week/</t>
        </is>
      </c>
    </row>
    <row r="2646">
      <c r="A2646" t="inlineStr">
        <is>
          <t>INC-20260117-09</t>
        </is>
      </c>
      <c r="B2646" t="inlineStr">
        <is>
          <t>R260114-cloudsek</t>
        </is>
      </c>
      <c r="C2646" t="inlineStr">
        <is>
          <t>Inc42</t>
        </is>
      </c>
      <c r="D2646" s="17" t="n">
        <v>46036</v>
      </c>
      <c r="E2646" t="inlineStr">
        <is>
          <t>CloudSEK</t>
        </is>
      </c>
      <c r="F2646" t="inlineStr">
        <is>
          <t>$10 Mn</t>
        </is>
      </c>
      <c r="G2646" s="19" t="n"/>
      <c r="H2646" s="19" t="n">
        <v>10</v>
      </c>
      <c r="I2646" t="inlineStr">
        <is>
          <t>Series B</t>
        </is>
      </c>
      <c r="J2646" t="inlineStr">
        <is>
          <t>Connecticut Innovations</t>
        </is>
      </c>
      <c r="K2646" t="inlineStr">
        <is>
          <t>https://inc42.com/buzz/from-pee-safe-to-etherealx-indian-startups-raised-269-mn-this-week/</t>
        </is>
      </c>
    </row>
    <row r="2647">
      <c r="A2647" t="inlineStr">
        <is>
          <t>ENT-10996918</t>
        </is>
      </c>
      <c r="B2647" t="inlineStr">
        <is>
          <t>R260114-handypanda</t>
        </is>
      </c>
      <c r="C2647" t="inlineStr">
        <is>
          <t>Entrackr</t>
        </is>
      </c>
      <c r="D2647" s="17" t="n">
        <v>46036</v>
      </c>
      <c r="E2647" t="inlineStr">
        <is>
          <t>HandyPanda</t>
        </is>
      </c>
      <c r="F2647" t="inlineStr">
        <is>
          <t>Rs 2 crore</t>
        </is>
      </c>
      <c r="G2647" s="19" t="n">
        <v>2</v>
      </c>
      <c r="H2647" s="19" t="n"/>
      <c r="I2647" t="inlineStr">
        <is>
          <t>Pre-Seed</t>
        </is>
      </c>
      <c r="J2647" t="inlineStr">
        <is>
          <t>AJVC</t>
        </is>
      </c>
      <c r="K2647" t="inlineStr">
        <is>
          <t>https://entrackr.com/snippets/construction-tech-startup-handypanda-raises-rs-2-cr-led-by-ajvc-10996918</t>
        </is>
      </c>
    </row>
    <row r="2648">
      <c r="A2648" t="inlineStr">
        <is>
          <t>INC-20260117-28</t>
        </is>
      </c>
      <c r="B2648" t="inlineStr">
        <is>
          <t>R260114-handypanda</t>
        </is>
      </c>
      <c r="C2648" t="inlineStr">
        <is>
          <t>Inc42</t>
        </is>
      </c>
      <c r="D2648" s="17" t="n">
        <v>46036</v>
      </c>
      <c r="E2648" t="inlineStr">
        <is>
          <t>HandyPanda</t>
        </is>
      </c>
      <c r="F2648" t="inlineStr">
        <is>
          <t>$240K</t>
        </is>
      </c>
      <c r="G2648" s="19" t="n"/>
      <c r="H2648" s="19" t="n">
        <v>0.24</v>
      </c>
      <c r="I2648" t="inlineStr">
        <is>
          <t>Seed</t>
        </is>
      </c>
      <c r="J2648" t="inlineStr"/>
      <c r="K2648" t="inlineStr">
        <is>
          <t>https://inc42.com/buzz/from-pee-safe-to-etherealx-indian-startups-raised-269-mn-this-week/</t>
        </is>
      </c>
    </row>
    <row r="2649">
      <c r="A2649" t="inlineStr">
        <is>
          <t>ENT-10996704</t>
        </is>
      </c>
      <c r="B2649" t="inlineStr">
        <is>
          <t>R260114-peesafe</t>
        </is>
      </c>
      <c r="C2649" t="inlineStr">
        <is>
          <t>Entrackr</t>
        </is>
      </c>
      <c r="D2649" s="17" t="n">
        <v>46036</v>
      </c>
      <c r="E2649" t="inlineStr">
        <is>
          <t>Pee Safe</t>
        </is>
      </c>
      <c r="F2649" t="inlineStr">
        <is>
          <t>$32 million</t>
        </is>
      </c>
      <c r="G2649" s="19" t="n"/>
      <c r="H2649" s="19" t="n">
        <v>32</v>
      </c>
      <c r="I2649" t="inlineStr">
        <is>
          <t>Undisclosed</t>
        </is>
      </c>
      <c r="J2649" t="inlineStr">
        <is>
          <t>OrbiMed</t>
        </is>
      </c>
      <c r="K2649" t="inlineStr">
        <is>
          <t>https://entrackr.com/news/pee-safe-raises-32-mn-led-by-orbimed-10996704</t>
        </is>
      </c>
    </row>
    <row r="2650">
      <c r="A2650" t="inlineStr">
        <is>
          <t>ET-126512428</t>
        </is>
      </c>
      <c r="B2650" t="inlineStr">
        <is>
          <t>R260114-peesafe</t>
        </is>
      </c>
      <c r="C2650" t="inlineStr">
        <is>
          <t>The Economic Times</t>
        </is>
      </c>
      <c r="D2650" s="17" t="n">
        <v>46036</v>
      </c>
      <c r="E2650" t="inlineStr">
        <is>
          <t>Pee Safe</t>
        </is>
      </c>
      <c r="F2650" t="inlineStr">
        <is>
          <t>$32 million</t>
        </is>
      </c>
      <c r="G2650" s="19" t="n"/>
      <c r="H2650" s="19" t="n">
        <v>32</v>
      </c>
      <c r="I2650" t="inlineStr">
        <is>
          <t>Undisclosed</t>
        </is>
      </c>
      <c r="J2650" t="inlineStr"/>
      <c r="K2650" t="inlineStr">
        <is>
          <t>https://economictimes.indiatimes.com/tech/funding/wellness-brand-pee-safe-closes-a-32-million-in-funding-round-with-orbimed/articleshow/126512428.cms</t>
        </is>
      </c>
    </row>
    <row r="2651">
      <c r="A2651" t="inlineStr">
        <is>
          <t>INC-20260117-01</t>
        </is>
      </c>
      <c r="B2651" t="inlineStr">
        <is>
          <t>R260114-peesafe</t>
        </is>
      </c>
      <c r="C2651" t="inlineStr">
        <is>
          <t>Inc42</t>
        </is>
      </c>
      <c r="D2651" s="17" t="n">
        <v>46036</v>
      </c>
      <c r="E2651" t="inlineStr">
        <is>
          <t>Pee Safe</t>
        </is>
      </c>
      <c r="F2651" t="inlineStr">
        <is>
          <t>$32 Mn</t>
        </is>
      </c>
      <c r="G2651" s="19" t="n"/>
      <c r="H2651" s="19" t="n">
        <v>32</v>
      </c>
      <c r="I2651" t="inlineStr">
        <is>
          <t>Series C</t>
        </is>
      </c>
      <c r="J2651" t="inlineStr">
        <is>
          <t>OrbiMed</t>
        </is>
      </c>
      <c r="K2651" t="inlineStr">
        <is>
          <t>https://inc42.com/buzz/from-pee-safe-to-etherealx-indian-startups-raised-269-mn-this-week/</t>
        </is>
      </c>
    </row>
    <row r="2652">
      <c r="A2652" t="inlineStr">
        <is>
          <t>VCC-b173c46392</t>
        </is>
      </c>
      <c r="B2652" t="inlineStr">
        <is>
          <t>R260114-peesafe</t>
        </is>
      </c>
      <c r="C2652" t="inlineStr">
        <is>
          <t>VCCircle</t>
        </is>
      </c>
      <c r="D2652" s="17" t="n">
        <v>46036</v>
      </c>
      <c r="E2652" t="inlineStr">
        <is>
          <t>peesafe</t>
        </is>
      </c>
      <c r="F2652" t="inlineStr"/>
      <c r="G2652" s="19" t="n"/>
      <c r="H2652" s="19" t="n"/>
      <c r="I2652" t="inlineStr">
        <is>
          <t>Undisclosed</t>
        </is>
      </c>
      <c r="J2652" t="inlineStr"/>
      <c r="K2652" t="inlineStr">
        <is>
          <t>https://www.vccircle.com/peesafe-raises-funding-from-orbimed-to-scale-retail-quick-commerce-push</t>
        </is>
      </c>
    </row>
    <row r="2653">
      <c r="A2653" t="inlineStr">
        <is>
          <t>ENT-10997770</t>
        </is>
      </c>
      <c r="B2653" t="inlineStr">
        <is>
          <t>R260114-risalabs</t>
        </is>
      </c>
      <c r="C2653" t="inlineStr">
        <is>
          <t>Entrackr</t>
        </is>
      </c>
      <c r="D2653" s="17" t="n">
        <v>46036</v>
      </c>
      <c r="E2653" t="inlineStr">
        <is>
          <t>RISA Labs</t>
        </is>
      </c>
      <c r="F2653" t="inlineStr">
        <is>
          <t>$11.1 million</t>
        </is>
      </c>
      <c r="G2653" s="19" t="n"/>
      <c r="H2653" s="19" t="n">
        <v>11.1</v>
      </c>
      <c r="I2653" t="inlineStr">
        <is>
          <t>Undisclosed</t>
        </is>
      </c>
      <c r="J2653" t="inlineStr">
        <is>
          <t>Cencora Ventures; Optum Ventures</t>
        </is>
      </c>
      <c r="K2653" t="inlineStr">
        <is>
          <t>https://entrackr.com/snippets/binny-bansal-backed-risa-labs-raises-111-mn-in-funding-10997770</t>
        </is>
      </c>
    </row>
    <row r="2654">
      <c r="A2654" t="inlineStr">
        <is>
          <t>ET-126521715</t>
        </is>
      </c>
      <c r="B2654" t="inlineStr">
        <is>
          <t>R260114-risalabs</t>
        </is>
      </c>
      <c r="C2654" t="inlineStr">
        <is>
          <t>The Economic Times</t>
        </is>
      </c>
      <c r="D2654" s="17" t="n">
        <v>46036</v>
      </c>
      <c r="E2654" t="inlineStr">
        <is>
          <t>RISA Labs</t>
        </is>
      </c>
      <c r="F2654" t="inlineStr">
        <is>
          <t>$11.1 million</t>
        </is>
      </c>
      <c r="G2654" s="19" t="n"/>
      <c r="H2654" s="19" t="n">
        <v>11.1</v>
      </c>
      <c r="I2654" t="inlineStr">
        <is>
          <t>Undisclosed</t>
        </is>
      </c>
      <c r="J2654" t="inlineStr">
        <is>
          <t>Cencora Ventures; Optum Ventures</t>
        </is>
      </c>
      <c r="K2654" t="inlineStr">
        <is>
          <t>https://economictimes.indiatimes.com/tech/funding/binny-bansal-backed-risa-labs-raises-11-1-million/articleshow/126521715.cms</t>
        </is>
      </c>
    </row>
    <row r="2655">
      <c r="A2655" t="inlineStr">
        <is>
          <t>INC-20260117-08</t>
        </is>
      </c>
      <c r="B2655" t="inlineStr">
        <is>
          <t>R260114-risalabs</t>
        </is>
      </c>
      <c r="C2655" t="inlineStr">
        <is>
          <t>Inc42</t>
        </is>
      </c>
      <c r="D2655" s="17" t="n">
        <v>46036</v>
      </c>
      <c r="E2655" t="inlineStr">
        <is>
          <t>RISA Labs</t>
        </is>
      </c>
      <c r="F2655" t="inlineStr">
        <is>
          <t>$11.1 Mn</t>
        </is>
      </c>
      <c r="G2655" s="19" t="n"/>
      <c r="H2655" s="19" t="n">
        <v>11.1</v>
      </c>
      <c r="I2655" t="inlineStr">
        <is>
          <t>Series A</t>
        </is>
      </c>
      <c r="J2655" t="inlineStr">
        <is>
          <t>Cencora Ventures; Optum Ventures</t>
        </is>
      </c>
      <c r="K2655" t="inlineStr">
        <is>
          <t>https://inc42.com/buzz/from-pee-safe-to-etherealx-indian-startups-raised-269-mn-this-week/</t>
        </is>
      </c>
    </row>
    <row r="2656">
      <c r="A2656" t="inlineStr">
        <is>
          <t>ENT-10996768</t>
        </is>
      </c>
      <c r="B2656" t="inlineStr">
        <is>
          <t>R260114-wintwealth</t>
        </is>
      </c>
      <c r="C2656" t="inlineStr">
        <is>
          <t>Entrackr</t>
        </is>
      </c>
      <c r="D2656" s="17" t="n">
        <v>46036</v>
      </c>
      <c r="E2656" t="inlineStr">
        <is>
          <t>Wint Wealth</t>
        </is>
      </c>
      <c r="F2656" t="inlineStr">
        <is>
          <t>Rs 250 crore</t>
        </is>
      </c>
      <c r="G2656" s="19" t="n">
        <v>250</v>
      </c>
      <c r="H2656" s="19" t="n">
        <v>28</v>
      </c>
      <c r="I2656" t="inlineStr">
        <is>
          <t>Series B</t>
        </is>
      </c>
      <c r="J2656" t="inlineStr">
        <is>
          <t>Vertex Ventures Southeast Asia &amp; India</t>
        </is>
      </c>
      <c r="K2656" t="inlineStr">
        <is>
          <t>https://entrackr.com/news/wint-wealth-raises-rs-250-cr-in-series-b-round-10996768</t>
        </is>
      </c>
    </row>
    <row r="2657">
      <c r="A2657" t="inlineStr">
        <is>
          <t>ET-126512170</t>
        </is>
      </c>
      <c r="B2657" t="inlineStr">
        <is>
          <t>R260114-wintwealth</t>
        </is>
      </c>
      <c r="C2657" t="inlineStr">
        <is>
          <t>The Economic Times</t>
        </is>
      </c>
      <c r="D2657" s="17" t="n">
        <v>46036</v>
      </c>
      <c r="E2657" t="inlineStr">
        <is>
          <t>Wint Wealth</t>
        </is>
      </c>
      <c r="F2657" t="inlineStr">
        <is>
          <t>Rs 250 crore</t>
        </is>
      </c>
      <c r="G2657" s="19" t="n">
        <v>250</v>
      </c>
      <c r="H2657" s="19" t="n">
        <v>27</v>
      </c>
      <c r="I2657" t="inlineStr">
        <is>
          <t>Series B</t>
        </is>
      </c>
      <c r="J2657" t="inlineStr">
        <is>
          <t>Vertex Ventures SEA &amp;amp</t>
        </is>
      </c>
      <c r="K2657" t="inlineStr">
        <is>
          <t>https://economictimes.indiatimes.com/tech/funding/wint-wealth-secures-rs-250-crore-in-series-b-funding/articleshow/126512170.cms</t>
        </is>
      </c>
    </row>
    <row r="2658">
      <c r="A2658" t="inlineStr">
        <is>
          <t>INC-20260117-04</t>
        </is>
      </c>
      <c r="B2658" t="inlineStr">
        <is>
          <t>R260114-wintwealth</t>
        </is>
      </c>
      <c r="C2658" t="inlineStr">
        <is>
          <t>Inc42</t>
        </is>
      </c>
      <c r="D2658" s="17" t="n">
        <v>46036</v>
      </c>
      <c r="E2658" t="inlineStr">
        <is>
          <t>Wint Wealth</t>
        </is>
      </c>
      <c r="F2658" t="inlineStr">
        <is>
          <t>$27.7 Mn</t>
        </is>
      </c>
      <c r="G2658" s="19" t="n"/>
      <c r="H2658" s="19" t="n">
        <v>27.7</v>
      </c>
      <c r="I2658" t="inlineStr">
        <is>
          <t>Series B</t>
        </is>
      </c>
      <c r="J2658" t="inlineStr">
        <is>
          <t>Vertex Ventures SEA &amp; India</t>
        </is>
      </c>
      <c r="K2658" t="inlineStr">
        <is>
          <t>https://inc42.com/buzz/from-pee-safe-to-etherealx-indian-startups-raised-269-mn-this-week/</t>
        </is>
      </c>
    </row>
    <row r="2659">
      <c r="A2659" t="inlineStr">
        <is>
          <t>VCC-13c93e6109</t>
        </is>
      </c>
      <c r="B2659" t="inlineStr">
        <is>
          <t>R260114-wintwealth</t>
        </is>
      </c>
      <c r="C2659" t="inlineStr">
        <is>
          <t>VCCircle</t>
        </is>
      </c>
      <c r="D2659" s="17" t="n">
        <v>46036</v>
      </c>
      <c r="E2659" t="inlineStr">
        <is>
          <t>wint wealth</t>
        </is>
      </c>
      <c r="F2659" t="inlineStr"/>
      <c r="G2659" s="19" t="n"/>
      <c r="H2659" s="19" t="n"/>
      <c r="I2659" t="inlineStr">
        <is>
          <t>Series B</t>
        </is>
      </c>
      <c r="J2659" t="inlineStr"/>
      <c r="K2659" t="inlineStr">
        <is>
          <t>https://www.vccircle.com/vertexventures-leads-wint-wealth-s-series-b-funding</t>
        </is>
      </c>
    </row>
    <row r="2660">
      <c r="A2660" t="inlineStr">
        <is>
          <t>ENT-11000099</t>
        </is>
      </c>
      <c r="B2660" t="inlineStr">
        <is>
          <t>R260115-aulespace</t>
        </is>
      </c>
      <c r="C2660" t="inlineStr">
        <is>
          <t>Entrackr</t>
        </is>
      </c>
      <c r="D2660" s="17" t="n">
        <v>46037</v>
      </c>
      <c r="E2660" t="inlineStr">
        <is>
          <t>Aule Space</t>
        </is>
      </c>
      <c r="F2660" t="inlineStr">
        <is>
          <t>$2 million</t>
        </is>
      </c>
      <c r="G2660" s="19" t="n"/>
      <c r="H2660" s="19" t="n">
        <v>2</v>
      </c>
      <c r="I2660" t="inlineStr">
        <is>
          <t>Pre-Seed</t>
        </is>
      </c>
      <c r="J2660" t="inlineStr"/>
      <c r="K2660" t="inlineStr">
        <is>
          <t>https://entrackr.com/snippets/deep-tech-startup-aule-space-raises-2-mn-in-pre-seed-round-led-by-pi-ventures-11000099</t>
        </is>
      </c>
    </row>
    <row r="2661">
      <c r="A2661" t="inlineStr">
        <is>
          <t>ET-126532936</t>
        </is>
      </c>
      <c r="B2661" t="inlineStr">
        <is>
          <t>R260115-aulespace</t>
        </is>
      </c>
      <c r="C2661" t="inlineStr">
        <is>
          <t>The Economic Times</t>
        </is>
      </c>
      <c r="D2661" s="17" t="n">
        <v>46037</v>
      </c>
      <c r="E2661" t="inlineStr">
        <is>
          <t>Aule Space</t>
        </is>
      </c>
      <c r="F2661" t="inlineStr">
        <is>
          <t>$2 million</t>
        </is>
      </c>
      <c r="G2661" s="19" t="n"/>
      <c r="H2661" s="19" t="n">
        <v>2</v>
      </c>
      <c r="I2661" t="inlineStr">
        <is>
          <t>Undisclosed</t>
        </is>
      </c>
      <c r="J2661" t="inlineStr"/>
      <c r="K2661" t="inlineStr">
        <is>
          <t>https://economictimes.indiatimes.com/tech/funding/spacetech-startup-aule-space-raises-2-million-in-round-led-by-pi-ventures/articleshow/126532936.cms</t>
        </is>
      </c>
    </row>
    <row r="2662">
      <c r="A2662" t="inlineStr">
        <is>
          <t>INC-20260117-21</t>
        </is>
      </c>
      <c r="B2662" t="inlineStr">
        <is>
          <t>R260115-aulespace</t>
        </is>
      </c>
      <c r="C2662" t="inlineStr">
        <is>
          <t>Inc42</t>
        </is>
      </c>
      <c r="D2662" s="17" t="n">
        <v>46037</v>
      </c>
      <c r="E2662" t="inlineStr">
        <is>
          <t>Aule</t>
        </is>
      </c>
      <c r="F2662" t="inlineStr">
        <is>
          <t>$2 Mn</t>
        </is>
      </c>
      <c r="G2662" s="19" t="n"/>
      <c r="H2662" s="19" t="n">
        <v>2</v>
      </c>
      <c r="I2662" t="inlineStr">
        <is>
          <t>Pre-Seed</t>
        </is>
      </c>
      <c r="J2662" t="inlineStr"/>
      <c r="K2662" t="inlineStr">
        <is>
          <t>https://inc42.com/buzz/from-pee-safe-to-etherealx-indian-startups-raised-269-mn-this-week/</t>
        </is>
      </c>
    </row>
    <row r="2663">
      <c r="A2663" t="inlineStr">
        <is>
          <t>ENT-10999643</t>
        </is>
      </c>
      <c r="B2663" t="inlineStr">
        <is>
          <t>R260115-emversity</t>
        </is>
      </c>
      <c r="C2663" t="inlineStr">
        <is>
          <t>Entrackr</t>
        </is>
      </c>
      <c r="D2663" s="17" t="n">
        <v>46037</v>
      </c>
      <c r="E2663" t="inlineStr">
        <is>
          <t>Emversity</t>
        </is>
      </c>
      <c r="F2663" t="inlineStr">
        <is>
          <t>$30 million</t>
        </is>
      </c>
      <c r="G2663" s="19" t="n">
        <v>271</v>
      </c>
      <c r="H2663" s="19" t="n">
        <v>30</v>
      </c>
      <c r="I2663" t="inlineStr">
        <is>
          <t>Series A</t>
        </is>
      </c>
      <c r="J2663" t="inlineStr">
        <is>
          <t>Premji Invest</t>
        </is>
      </c>
      <c r="K2663" t="inlineStr">
        <is>
          <t>https://entrackr.com/news/emversity-raises-30-mn-in-series-a-led-by-premji-invest-10999643</t>
        </is>
      </c>
    </row>
    <row r="2664">
      <c r="A2664" t="inlineStr">
        <is>
          <t>ET-126529992</t>
        </is>
      </c>
      <c r="B2664" t="inlineStr">
        <is>
          <t>R260115-emversity</t>
        </is>
      </c>
      <c r="C2664" t="inlineStr">
        <is>
          <t>The Economic Times</t>
        </is>
      </c>
      <c r="D2664" s="17" t="n">
        <v>46037</v>
      </c>
      <c r="E2664" t="inlineStr">
        <is>
          <t>Emversity</t>
        </is>
      </c>
      <c r="F2664" t="inlineStr">
        <is>
          <t>$30-million</t>
        </is>
      </c>
      <c r="G2664" s="19" t="n">
        <v>271</v>
      </c>
      <c r="H2664" s="19" t="n">
        <v>30</v>
      </c>
      <c r="I2664" t="inlineStr">
        <is>
          <t>Undisclosed</t>
        </is>
      </c>
      <c r="J2664" t="inlineStr">
        <is>
          <t>Premji Invest</t>
        </is>
      </c>
      <c r="K2664" t="inlineStr">
        <is>
          <t>https://economictimes.indiatimes.com/tech/funding/emversity-raises-30-million-round-led-by-premji-invest/articleshow/126529992.cms</t>
        </is>
      </c>
    </row>
    <row r="2665">
      <c r="A2665" t="inlineStr">
        <is>
          <t>INC-20260117-03</t>
        </is>
      </c>
      <c r="B2665" t="inlineStr">
        <is>
          <t>R260115-emversity</t>
        </is>
      </c>
      <c r="C2665" t="inlineStr">
        <is>
          <t>Inc42</t>
        </is>
      </c>
      <c r="D2665" s="17" t="n">
        <v>46037</v>
      </c>
      <c r="E2665" t="inlineStr">
        <is>
          <t>Emversity</t>
        </is>
      </c>
      <c r="F2665" t="inlineStr">
        <is>
          <t>$30 Mn</t>
        </is>
      </c>
      <c r="G2665" s="19" t="n"/>
      <c r="H2665" s="19" t="n">
        <v>30</v>
      </c>
      <c r="I2665" t="inlineStr">
        <is>
          <t>Series A</t>
        </is>
      </c>
      <c r="J2665" t="inlineStr">
        <is>
          <t>Premji Invest</t>
        </is>
      </c>
      <c r="K2665" t="inlineStr">
        <is>
          <t>https://inc42.com/buzz/from-pee-safe-to-etherealx-indian-startups-raised-269-mn-this-week/</t>
        </is>
      </c>
    </row>
    <row r="2666">
      <c r="A2666" t="inlineStr">
        <is>
          <t>INC-20260117-06</t>
        </is>
      </c>
      <c r="B2666" t="inlineStr">
        <is>
          <t>R260115-etherealx</t>
        </is>
      </c>
      <c r="C2666" t="inlineStr">
        <is>
          <t>Inc42</t>
        </is>
      </c>
      <c r="D2666" s="17" t="n">
        <v>46037</v>
      </c>
      <c r="E2666" t="inlineStr">
        <is>
          <t>EtherealX</t>
        </is>
      </c>
      <c r="F2666" t="inlineStr">
        <is>
          <t>$20.5 Mn</t>
        </is>
      </c>
      <c r="G2666" s="19" t="n"/>
      <c r="H2666" s="19" t="n">
        <v>20.5</v>
      </c>
      <c r="I2666" t="inlineStr">
        <is>
          <t>Series A</t>
        </is>
      </c>
      <c r="J2666" t="inlineStr">
        <is>
          <t>TDK Ventures</t>
        </is>
      </c>
      <c r="K2666" t="inlineStr">
        <is>
          <t>https://inc42.com/buzz/from-pee-safe-to-etherealx-indian-startups-raised-269-mn-this-week/</t>
        </is>
      </c>
    </row>
    <row r="2667">
      <c r="A2667" t="inlineStr">
        <is>
          <t>ET-126605041</t>
        </is>
      </c>
      <c r="B2667" t="inlineStr">
        <is>
          <t>R260115-etherealx</t>
        </is>
      </c>
      <c r="C2667" t="inlineStr">
        <is>
          <t>The Economic Times</t>
        </is>
      </c>
      <c r="D2667" s="17" t="n">
        <v>46039</v>
      </c>
      <c r="E2667" t="inlineStr">
        <is>
          <t>EtherealX</t>
        </is>
      </c>
      <c r="F2667" t="inlineStr">
        <is>
          <t>$20.5 million</t>
        </is>
      </c>
      <c r="G2667" s="19" t="n"/>
      <c r="H2667" s="19" t="n">
        <v>20.5</v>
      </c>
      <c r="I2667" t="inlineStr">
        <is>
          <t>Undisclosed</t>
        </is>
      </c>
      <c r="J2667" t="inlineStr">
        <is>
          <t>TDK Ventures; BIG Capital</t>
        </is>
      </c>
      <c r="K2667" t="inlineStr">
        <is>
          <t>https://economictimes.indiatimes.com/tech/funding/spacetech-startup-etherealx-raises-20-million-in-round-co-led-by-tdk-ventures-big-capital/articleshow/126605041.cms</t>
        </is>
      </c>
    </row>
    <row r="2668">
      <c r="A2668" t="inlineStr">
        <is>
          <t>ENT-11000928</t>
        </is>
      </c>
      <c r="B2668" t="inlineStr">
        <is>
          <t>R260115-growthpal</t>
        </is>
      </c>
      <c r="C2668" t="inlineStr">
        <is>
          <t>Entrackr</t>
        </is>
      </c>
      <c r="D2668" s="17" t="n">
        <v>46037</v>
      </c>
      <c r="E2668" t="inlineStr">
        <is>
          <t>GrowthPal</t>
        </is>
      </c>
      <c r="F2668" t="inlineStr">
        <is>
          <t>$2.6 million</t>
        </is>
      </c>
      <c r="G2668" s="19" t="n"/>
      <c r="H2668" s="19" t="n">
        <v>2.6</v>
      </c>
      <c r="I2668" t="inlineStr">
        <is>
          <t>Undisclosed</t>
        </is>
      </c>
      <c r="J2668" t="inlineStr">
        <is>
          <t>Ideaspring Capital</t>
        </is>
      </c>
      <c r="K2668" t="inlineStr">
        <is>
          <t>https://entrackr.com/snippets/growthpal-raises-26-mn-led-by-ideaspring-capital-11000928</t>
        </is>
      </c>
    </row>
    <row r="2669">
      <c r="A2669" t="inlineStr">
        <is>
          <t>INC-20260117-19</t>
        </is>
      </c>
      <c r="B2669" t="inlineStr">
        <is>
          <t>R260115-growthpal</t>
        </is>
      </c>
      <c r="C2669" t="inlineStr">
        <is>
          <t>Inc42</t>
        </is>
      </c>
      <c r="D2669" s="17" t="n">
        <v>46037</v>
      </c>
      <c r="E2669" t="inlineStr">
        <is>
          <t>GrowthPal</t>
        </is>
      </c>
      <c r="F2669" t="inlineStr">
        <is>
          <t>$2.6 Mn</t>
        </is>
      </c>
      <c r="G2669" s="19" t="n"/>
      <c r="H2669" s="19" t="n">
        <v>2.6</v>
      </c>
      <c r="I2669" t="inlineStr">
        <is>
          <t>Undisclosed</t>
        </is>
      </c>
      <c r="J2669" t="inlineStr">
        <is>
          <t>Ideaspring Capital</t>
        </is>
      </c>
      <c r="K2669" t="inlineStr">
        <is>
          <t>https://inc42.com/buzz/from-pee-safe-to-etherealx-indian-startups-raised-269-mn-this-week/</t>
        </is>
      </c>
    </row>
    <row r="2670">
      <c r="A2670" t="inlineStr">
        <is>
          <t>ENT-11000772</t>
        </is>
      </c>
      <c r="B2670" t="inlineStr">
        <is>
          <t>R260115-renewcred</t>
        </is>
      </c>
      <c r="C2670" t="inlineStr">
        <is>
          <t>Entrackr</t>
        </is>
      </c>
      <c r="D2670" s="17" t="n">
        <v>46037</v>
      </c>
      <c r="E2670" t="inlineStr">
        <is>
          <t>RenewCred</t>
        </is>
      </c>
      <c r="F2670" t="inlineStr">
        <is>
          <t>Rs 4.25 crore</t>
        </is>
      </c>
      <c r="G2670" s="19" t="n">
        <v>4.25</v>
      </c>
      <c r="H2670" s="19" t="n"/>
      <c r="I2670" t="inlineStr">
        <is>
          <t>Seed</t>
        </is>
      </c>
      <c r="J2670" t="inlineStr">
        <is>
          <t>Campus Angels Network</t>
        </is>
      </c>
      <c r="K2670" t="inlineStr">
        <is>
          <t>https://entrackr.com/snippets/climate-tech-startup-renewcred-raises-425-cr-in-seed-round-11000772</t>
        </is>
      </c>
    </row>
    <row r="2671">
      <c r="A2671" t="inlineStr">
        <is>
          <t>INC-20260117-27</t>
        </is>
      </c>
      <c r="B2671" t="inlineStr">
        <is>
          <t>R260115-renewcred</t>
        </is>
      </c>
      <c r="C2671" t="inlineStr">
        <is>
          <t>Inc42</t>
        </is>
      </c>
      <c r="D2671" s="17" t="n">
        <v>46038</v>
      </c>
      <c r="E2671" t="inlineStr">
        <is>
          <t>RenewCred</t>
        </is>
      </c>
      <c r="F2671" t="inlineStr">
        <is>
          <t>$510K</t>
        </is>
      </c>
      <c r="G2671" s="19" t="n"/>
      <c r="H2671" s="19" t="n">
        <v>0.51</v>
      </c>
      <c r="I2671" t="inlineStr">
        <is>
          <t>Seed</t>
        </is>
      </c>
      <c r="J2671" t="inlineStr">
        <is>
          <t>Campus Angels Network</t>
        </is>
      </c>
      <c r="K2671" t="inlineStr">
        <is>
          <t>https://inc42.com/buzz/from-pee-safe-to-etherealx-indian-startups-raised-269-mn-this-week/</t>
        </is>
      </c>
    </row>
    <row r="2672">
      <c r="A2672" t="inlineStr">
        <is>
          <t>ENT-11000314</t>
        </is>
      </c>
      <c r="B2672" t="inlineStr">
        <is>
          <t>R260115-truva</t>
        </is>
      </c>
      <c r="C2672" t="inlineStr">
        <is>
          <t>Entrackr</t>
        </is>
      </c>
      <c r="D2672" s="17" t="n">
        <v>46037</v>
      </c>
      <c r="E2672" t="inlineStr">
        <is>
          <t>Truva</t>
        </is>
      </c>
      <c r="F2672" t="inlineStr">
        <is>
          <t>$9 million</t>
        </is>
      </c>
      <c r="G2672" s="19" t="n">
        <v>78</v>
      </c>
      <c r="H2672" s="19" t="n">
        <v>9</v>
      </c>
      <c r="I2672" t="inlineStr">
        <is>
          <t>Undisclosed</t>
        </is>
      </c>
      <c r="J2672" t="inlineStr">
        <is>
          <t>Orios Venture Partners</t>
        </is>
      </c>
      <c r="K2672" t="inlineStr">
        <is>
          <t>https://entrackr.com/snippets/proptech-startup-truva-raises-9-mn-co-led-by-stellaris-and-orios-11000314</t>
        </is>
      </c>
    </row>
    <row r="2673">
      <c r="A2673" t="inlineStr">
        <is>
          <t>ET-126533381</t>
        </is>
      </c>
      <c r="B2673" t="inlineStr">
        <is>
          <t>R260115-truva</t>
        </is>
      </c>
      <c r="C2673" t="inlineStr">
        <is>
          <t>The Economic Times</t>
        </is>
      </c>
      <c r="D2673" s="17" t="n">
        <v>46037</v>
      </c>
      <c r="E2673" t="inlineStr">
        <is>
          <t>Truva</t>
        </is>
      </c>
      <c r="F2673" t="inlineStr">
        <is>
          <t>$9 million</t>
        </is>
      </c>
      <c r="G2673" s="19" t="n">
        <v>78</v>
      </c>
      <c r="H2673" s="19" t="n">
        <v>9</v>
      </c>
      <c r="I2673" t="inlineStr">
        <is>
          <t>Undisclosed</t>
        </is>
      </c>
      <c r="J2673" t="inlineStr">
        <is>
          <t>Orios Venture Partners</t>
        </is>
      </c>
      <c r="K2673" t="inlineStr">
        <is>
          <t>https://economictimes.indiatimes.com/tech/funding/proptech-startup-truva-raises-9-million-from-stellaris-and-orios-venture-partners/articleshow/126533381.cms</t>
        </is>
      </c>
    </row>
    <row r="2674">
      <c r="A2674" t="inlineStr">
        <is>
          <t>INC-20260117-10</t>
        </is>
      </c>
      <c r="B2674" t="inlineStr">
        <is>
          <t>R260115-truva</t>
        </is>
      </c>
      <c r="C2674" t="inlineStr">
        <is>
          <t>Inc42</t>
        </is>
      </c>
      <c r="D2674" s="17" t="n">
        <v>46037</v>
      </c>
      <c r="E2674" t="inlineStr">
        <is>
          <t>Truva</t>
        </is>
      </c>
      <c r="F2674" t="inlineStr">
        <is>
          <t>$9 Mn</t>
        </is>
      </c>
      <c r="G2674" s="19" t="n"/>
      <c r="H2674" s="19" t="n">
        <v>9</v>
      </c>
      <c r="I2674" t="inlineStr">
        <is>
          <t>Undisclosed</t>
        </is>
      </c>
      <c r="J2674" t="inlineStr"/>
      <c r="K2674" t="inlineStr">
        <is>
          <t>https://inc42.com/buzz/from-pee-safe-to-etherealx-indian-startups-raised-269-mn-this-week/</t>
        </is>
      </c>
    </row>
    <row r="2675">
      <c r="A2675" t="inlineStr">
        <is>
          <t>ENT-11003897</t>
        </is>
      </c>
      <c r="B2675" t="inlineStr">
        <is>
          <t>R260116-etherealexplor</t>
        </is>
      </c>
      <c r="C2675" t="inlineStr">
        <is>
          <t>Entrackr</t>
        </is>
      </c>
      <c r="D2675" s="17" t="n">
        <v>46038</v>
      </c>
      <c r="E2675" t="inlineStr">
        <is>
          <t>Ethereal Exploration Guild</t>
        </is>
      </c>
      <c r="F2675" t="inlineStr">
        <is>
          <t>$20.5 million</t>
        </is>
      </c>
      <c r="G2675" s="19" t="n"/>
      <c r="H2675" s="19" t="n">
        <v>20.5</v>
      </c>
      <c r="I2675" t="inlineStr">
        <is>
          <t>Series A</t>
        </is>
      </c>
      <c r="J2675" t="inlineStr">
        <is>
          <t>TDK Ventures; BIG Capital</t>
        </is>
      </c>
      <c r="K2675" t="inlineStr">
        <is>
          <t>https://entrackr.com/snippets/spacetech-startup-ethereal-exploration-guild-raises-205-mn-in-series-a-round-11003897</t>
        </is>
      </c>
    </row>
    <row r="2676">
      <c r="A2676" t="inlineStr">
        <is>
          <t>ENT-11003291</t>
        </is>
      </c>
      <c r="B2676" t="inlineStr">
        <is>
          <t>R260116-gullylabs</t>
        </is>
      </c>
      <c r="C2676" t="inlineStr">
        <is>
          <t>Entrackr</t>
        </is>
      </c>
      <c r="D2676" s="17" t="n">
        <v>46038</v>
      </c>
      <c r="E2676" t="inlineStr">
        <is>
          <t>Gully Labs</t>
        </is>
      </c>
      <c r="F2676" t="inlineStr">
        <is>
          <t>Rs 26.5 crore</t>
        </is>
      </c>
      <c r="G2676" s="19" t="n">
        <v>26.5</v>
      </c>
      <c r="H2676" s="19" t="n">
        <v>3</v>
      </c>
      <c r="I2676" t="inlineStr">
        <is>
          <t>Series A</t>
        </is>
      </c>
      <c r="J2676" t="inlineStr">
        <is>
          <t>Saama Capital</t>
        </is>
      </c>
      <c r="K2676" t="inlineStr">
        <is>
          <t>https://entrackr.com/exclusive/exclusive-sneaker-brand-gully-labs-kicks-off-series-a-round-11003291</t>
        </is>
      </c>
    </row>
    <row r="2677">
      <c r="A2677" t="inlineStr">
        <is>
          <t>INC-20260124-17</t>
        </is>
      </c>
      <c r="B2677" t="inlineStr">
        <is>
          <t>R260116-gullylabs</t>
        </is>
      </c>
      <c r="C2677" t="inlineStr">
        <is>
          <t>Inc42</t>
        </is>
      </c>
      <c r="D2677" s="17" t="n">
        <v>46041</v>
      </c>
      <c r="E2677" t="inlineStr">
        <is>
          <t>Gully Labs</t>
        </is>
      </c>
      <c r="F2677" t="inlineStr">
        <is>
          <t>$3.3 Mn</t>
        </is>
      </c>
      <c r="G2677" s="19" t="n"/>
      <c r="H2677" s="19" t="n">
        <v>3.3</v>
      </c>
      <c r="I2677" t="inlineStr">
        <is>
          <t>Series A</t>
        </is>
      </c>
      <c r="J2677" t="inlineStr">
        <is>
          <t>Saama Capital</t>
        </is>
      </c>
      <c r="K2677" t="inlineStr">
        <is>
          <t>https://inc42.com/buzz/from-emergent-to-juspay-indian-startups-raised-303-mn-this-week/</t>
        </is>
      </c>
    </row>
    <row r="2678">
      <c r="A2678" t="inlineStr">
        <is>
          <t>ENT-11011940</t>
        </is>
      </c>
      <c r="B2678" t="inlineStr">
        <is>
          <t>R260119-33andbrew</t>
        </is>
      </c>
      <c r="C2678" t="inlineStr">
        <is>
          <t>Entrackr</t>
        </is>
      </c>
      <c r="D2678" s="17" t="n">
        <v>46041</v>
      </c>
      <c r="E2678" t="inlineStr">
        <is>
          <t>33&amp;Brew</t>
        </is>
      </c>
      <c r="F2678" t="inlineStr">
        <is>
          <t>Rs 20 crore</t>
        </is>
      </c>
      <c r="G2678" s="19" t="n">
        <v>20</v>
      </c>
      <c r="H2678" s="19" t="n">
        <v>2.2</v>
      </c>
      <c r="I2678" t="inlineStr">
        <is>
          <t>Series A</t>
        </is>
      </c>
      <c r="J2678" t="inlineStr">
        <is>
          <t>Optimistic Capital</t>
        </is>
      </c>
      <c r="K2678" t="inlineStr">
        <is>
          <t>https://entrackr.com/snippets/33brew-raises-rs-20-cr-in-series-a-round-led-by-optimistic-capital-11011940</t>
        </is>
      </c>
    </row>
    <row r="2679">
      <c r="A2679" t="inlineStr">
        <is>
          <t>ENT-11011224</t>
        </is>
      </c>
      <c r="B2679" t="inlineStr">
        <is>
          <t>R260119-assetplus</t>
        </is>
      </c>
      <c r="C2679" t="inlineStr">
        <is>
          <t>Entrackr</t>
        </is>
      </c>
      <c r="D2679" s="17" t="n">
        <v>46041</v>
      </c>
      <c r="E2679" t="inlineStr">
        <is>
          <t>AssetPlus</t>
        </is>
      </c>
      <c r="F2679" t="inlineStr">
        <is>
          <t>Rs 175 crore</t>
        </is>
      </c>
      <c r="G2679" s="19" t="n">
        <v>175</v>
      </c>
      <c r="H2679" s="19" t="n">
        <v>19.3</v>
      </c>
      <c r="I2679" t="inlineStr">
        <is>
          <t>Undisclosed</t>
        </is>
      </c>
      <c r="J2679" t="inlineStr">
        <is>
          <t>Nexus Venture Partners</t>
        </is>
      </c>
      <c r="K2679" t="inlineStr">
        <is>
          <t>https://entrackr.com/news/wealth-tech-startup-assetplus-raises-rs-175-cr-led-by-nexus-venture-partners-11011224</t>
        </is>
      </c>
    </row>
    <row r="2680">
      <c r="A2680" t="inlineStr">
        <is>
          <t>ET-126653698</t>
        </is>
      </c>
      <c r="B2680" t="inlineStr">
        <is>
          <t>R260119-assetplus</t>
        </is>
      </c>
      <c r="C2680" t="inlineStr">
        <is>
          <t>The Economic Times</t>
        </is>
      </c>
      <c r="D2680" s="17" t="n">
        <v>46041</v>
      </c>
      <c r="E2680" t="inlineStr">
        <is>
          <t>AssetPlus</t>
        </is>
      </c>
      <c r="F2680" t="inlineStr">
        <is>
          <t>Rs 175 crore</t>
        </is>
      </c>
      <c r="G2680" s="19" t="n">
        <v>175</v>
      </c>
      <c r="H2680" s="19" t="n">
        <v>19.5</v>
      </c>
      <c r="I2680" t="inlineStr">
        <is>
          <t>Undisclosed</t>
        </is>
      </c>
      <c r="J2680" t="inlineStr">
        <is>
          <t>Nexus Venture Partners</t>
        </is>
      </c>
      <c r="K2680" t="inlineStr">
        <is>
          <t>https://economictimes.indiatimes.com/tech/funding/assetplus-raises-rs-175-crore-from-nexus-venture-partners-eight-roads-others/articleshow/126653698.cms</t>
        </is>
      </c>
    </row>
    <row r="2681">
      <c r="A2681" t="inlineStr">
        <is>
          <t>INC-20260124-05</t>
        </is>
      </c>
      <c r="B2681" t="inlineStr">
        <is>
          <t>R260119-assetplus</t>
        </is>
      </c>
      <c r="C2681" t="inlineStr">
        <is>
          <t>Inc42</t>
        </is>
      </c>
      <c r="D2681" s="17" t="n">
        <v>46041</v>
      </c>
      <c r="E2681" t="inlineStr">
        <is>
          <t>AssetPlus</t>
        </is>
      </c>
      <c r="F2681" t="inlineStr">
        <is>
          <t>$21 Mn</t>
        </is>
      </c>
      <c r="G2681" s="19" t="n"/>
      <c r="H2681" s="19" t="n">
        <v>21</v>
      </c>
      <c r="I2681" t="inlineStr">
        <is>
          <t>Undisclosed</t>
        </is>
      </c>
      <c r="J2681" t="inlineStr">
        <is>
          <t>Nexus Venture Partners</t>
        </is>
      </c>
      <c r="K2681" t="inlineStr">
        <is>
          <t>https://inc42.com/buzz/from-emergent-to-juspay-indian-startups-raised-303-mn-this-week/</t>
        </is>
      </c>
    </row>
    <row r="2682">
      <c r="A2682" t="inlineStr">
        <is>
          <t>VCC-74b46c7f4c</t>
        </is>
      </c>
      <c r="B2682" t="inlineStr">
        <is>
          <t>R260119-assetplus</t>
        </is>
      </c>
      <c r="C2682" t="inlineStr">
        <is>
          <t>VCCircle</t>
        </is>
      </c>
      <c r="D2682" s="17" t="n">
        <v>46041</v>
      </c>
      <c r="E2682" t="inlineStr">
        <is>
          <t>assetplus</t>
        </is>
      </c>
      <c r="F2682" t="inlineStr">
        <is>
          <t>$ 19 million</t>
        </is>
      </c>
      <c r="G2682" s="19" t="n"/>
      <c r="H2682" s="19" t="n">
        <v>19</v>
      </c>
      <c r="I2682" t="inlineStr">
        <is>
          <t>Undisclosed</t>
        </is>
      </c>
      <c r="J2682" t="inlineStr"/>
      <c r="K2682" t="inlineStr">
        <is>
          <t>https://www.vccircle.com/wealthmanagement-platform-assetplus-raises-19-mn-in-fresh-funding</t>
        </is>
      </c>
    </row>
    <row r="2683">
      <c r="A2683" t="inlineStr">
        <is>
          <t>ENT-11012225</t>
        </is>
      </c>
      <c r="B2683" t="inlineStr">
        <is>
          <t>R260119-culture</t>
        </is>
      </c>
      <c r="C2683" t="inlineStr">
        <is>
          <t>Entrackr</t>
        </is>
      </c>
      <c r="D2683" s="17" t="n">
        <v>46041</v>
      </c>
      <c r="E2683" t="inlineStr">
        <is>
          <t>Culture</t>
        </is>
      </c>
      <c r="F2683" t="inlineStr">
        <is>
          <t>Rs 2 crore</t>
        </is>
      </c>
      <c r="G2683" s="19" t="n">
        <v>2</v>
      </c>
      <c r="H2683" s="19" t="n"/>
      <c r="I2683" t="inlineStr">
        <is>
          <t>Seed</t>
        </is>
      </c>
      <c r="J2683" t="inlineStr">
        <is>
          <t>Acuvest Infra</t>
        </is>
      </c>
      <c r="K2683" t="inlineStr">
        <is>
          <t>https://entrackr.com/snippets/social-networking-platform-culture-raises-seed-round-led-by-acuvest-infra-11012225</t>
        </is>
      </c>
    </row>
    <row r="2684">
      <c r="A2684" t="inlineStr">
        <is>
          <t>INC-20260124-34</t>
        </is>
      </c>
      <c r="B2684" t="inlineStr">
        <is>
          <t>R260119-culture</t>
        </is>
      </c>
      <c r="C2684" t="inlineStr">
        <is>
          <t>Inc42</t>
        </is>
      </c>
      <c r="D2684" s="17" t="n">
        <v>46041</v>
      </c>
      <c r="E2684" t="inlineStr">
        <is>
          <t>Culture</t>
        </is>
      </c>
      <c r="F2684" t="inlineStr">
        <is>
          <t>$218K</t>
        </is>
      </c>
      <c r="G2684" s="19" t="n"/>
      <c r="H2684" s="19" t="n">
        <v>0.218</v>
      </c>
      <c r="I2684" t="inlineStr">
        <is>
          <t>Seed</t>
        </is>
      </c>
      <c r="J2684" t="inlineStr">
        <is>
          <t>Acuvest Infra</t>
        </is>
      </c>
      <c r="K2684" t="inlineStr">
        <is>
          <t>https://inc42.com/buzz/from-emergent-to-juspay-indian-startups-raised-303-mn-this-week/</t>
        </is>
      </c>
    </row>
    <row r="2685">
      <c r="A2685" t="inlineStr">
        <is>
          <t>ENT-11011476</t>
        </is>
      </c>
      <c r="B2685" t="inlineStr">
        <is>
          <t>R260119-namdevfinvest</t>
        </is>
      </c>
      <c r="C2685" t="inlineStr">
        <is>
          <t>Entrackr</t>
        </is>
      </c>
      <c r="D2685" s="17" t="n">
        <v>46041</v>
      </c>
      <c r="E2685" t="inlineStr">
        <is>
          <t>Namdev Finvest</t>
        </is>
      </c>
      <c r="F2685" t="inlineStr">
        <is>
          <t>$37 million</t>
        </is>
      </c>
      <c r="G2685" s="19" t="n">
        <v>324</v>
      </c>
      <c r="H2685" s="19" t="n">
        <v>37</v>
      </c>
      <c r="I2685" t="inlineStr">
        <is>
          <t>Debt</t>
        </is>
      </c>
      <c r="J2685" t="inlineStr"/>
      <c r="K2685" t="inlineStr">
        <is>
          <t>https://entrackr.com/news/nbfc-namdev-finvest-raises-37-mn-from-fmo-iix-others-11011476</t>
        </is>
      </c>
    </row>
    <row r="2686">
      <c r="A2686" t="inlineStr">
        <is>
          <t>VCC-0c1cc4901b</t>
        </is>
      </c>
      <c r="B2686" t="inlineStr">
        <is>
          <t>R260119-namdevfinvest</t>
        </is>
      </c>
      <c r="C2686" t="inlineStr">
        <is>
          <t>VCCircle</t>
        </is>
      </c>
      <c r="D2686" s="17" t="n">
        <v>46041</v>
      </c>
      <c r="E2686" t="inlineStr">
        <is>
          <t>biibacked namdev finvest</t>
        </is>
      </c>
      <c r="F2686" t="inlineStr">
        <is>
          <t>$ 37 million</t>
        </is>
      </c>
      <c r="G2686" s="19" t="n"/>
      <c r="H2686" s="19" t="n">
        <v>37</v>
      </c>
      <c r="I2686" t="inlineStr">
        <is>
          <t>Undisclosed</t>
        </is>
      </c>
      <c r="J2686" t="inlineStr"/>
      <c r="K2686" t="inlineStr">
        <is>
          <t>https://www.vccircle.com/biibacked-namdev-finvest-raises-37-mn-from-fmo-others</t>
        </is>
      </c>
    </row>
    <row r="2687">
      <c r="A2687" t="inlineStr">
        <is>
          <t>ENT-11011455</t>
        </is>
      </c>
      <c r="B2687" t="inlineStr">
        <is>
          <t>R260119-salty</t>
        </is>
      </c>
      <c r="C2687" t="inlineStr">
        <is>
          <t>Entrackr</t>
        </is>
      </c>
      <c r="D2687" s="17" t="n">
        <v>46041</v>
      </c>
      <c r="E2687" t="inlineStr">
        <is>
          <t>Salty</t>
        </is>
      </c>
      <c r="F2687" t="inlineStr">
        <is>
          <t>Rs 30.1 crore</t>
        </is>
      </c>
      <c r="G2687" s="19" t="n">
        <v>30.1</v>
      </c>
      <c r="H2687" s="19" t="n"/>
      <c r="I2687" t="inlineStr">
        <is>
          <t>Undisclosed</t>
        </is>
      </c>
      <c r="J2687" t="inlineStr">
        <is>
          <t>MG Investment</t>
        </is>
      </c>
      <c r="K2687" t="inlineStr">
        <is>
          <t>https://entrackr.com/snippets/d2c-accessories-brand-salty-raises-rs-301-cr-led-by-mg-investment-11011455</t>
        </is>
      </c>
    </row>
    <row r="2688">
      <c r="A2688" t="inlineStr">
        <is>
          <t>ET-126669492</t>
        </is>
      </c>
      <c r="B2688" t="inlineStr">
        <is>
          <t>R260119-salty</t>
        </is>
      </c>
      <c r="C2688" t="inlineStr">
        <is>
          <t>The Economic Times</t>
        </is>
      </c>
      <c r="D2688" s="17" t="n">
        <v>46041</v>
      </c>
      <c r="E2688" t="inlineStr">
        <is>
          <t>Salty</t>
        </is>
      </c>
      <c r="F2688" t="inlineStr">
        <is>
          <t>Rs 30 crore</t>
        </is>
      </c>
      <c r="G2688" s="19" t="n">
        <v>30</v>
      </c>
      <c r="H2688" s="19" t="n"/>
      <c r="I2688" t="inlineStr">
        <is>
          <t>Undisclosed</t>
        </is>
      </c>
      <c r="J2688" t="inlineStr">
        <is>
          <t>MG Investments</t>
        </is>
      </c>
      <c r="K2688" t="inlineStr">
        <is>
          <t>https://economictimes.indiatimes.com/tech/funding/fashion-and-accessories-brand-salty-raises-rs-30-crore-from-mg-investments-others/articleshow/126669492.cms</t>
        </is>
      </c>
    </row>
    <row r="2689">
      <c r="A2689" t="inlineStr">
        <is>
          <t>INC-20260124-16</t>
        </is>
      </c>
      <c r="B2689" t="inlineStr">
        <is>
          <t>R260119-salty</t>
        </is>
      </c>
      <c r="C2689" t="inlineStr">
        <is>
          <t>Inc42</t>
        </is>
      </c>
      <c r="D2689" s="17" t="n">
        <v>46041</v>
      </c>
      <c r="E2689" t="inlineStr">
        <is>
          <t>Salty</t>
        </is>
      </c>
      <c r="F2689" t="inlineStr">
        <is>
          <t>$3.3 Mn</t>
        </is>
      </c>
      <c r="G2689" s="19" t="n"/>
      <c r="H2689" s="19" t="n">
        <v>3.3</v>
      </c>
      <c r="I2689" t="inlineStr">
        <is>
          <t>Undisclosed</t>
        </is>
      </c>
      <c r="J2689" t="inlineStr">
        <is>
          <t>MG Investment</t>
        </is>
      </c>
      <c r="K2689" t="inlineStr">
        <is>
          <t>https://inc42.com/buzz/from-emergent-to-juspay-indian-startups-raised-303-mn-this-week/</t>
        </is>
      </c>
    </row>
    <row r="2690">
      <c r="A2690" t="inlineStr">
        <is>
          <t>ENT-11015908</t>
        </is>
      </c>
      <c r="B2690" t="inlineStr">
        <is>
          <t>R260120-emergent</t>
        </is>
      </c>
      <c r="C2690" t="inlineStr">
        <is>
          <t>Entrackr</t>
        </is>
      </c>
      <c r="D2690" s="17" t="n">
        <v>46042</v>
      </c>
      <c r="E2690" t="inlineStr">
        <is>
          <t>Emergent</t>
        </is>
      </c>
      <c r="F2690" t="inlineStr">
        <is>
          <t>$70 million</t>
        </is>
      </c>
      <c r="G2690" s="19" t="n"/>
      <c r="H2690" s="19" t="n">
        <v>70</v>
      </c>
      <c r="I2690" t="inlineStr">
        <is>
          <t>Series B</t>
        </is>
      </c>
      <c r="J2690" t="inlineStr">
        <is>
          <t>Khosla Ventures; SoftBank Vision Fund 2</t>
        </is>
      </c>
      <c r="K2690" t="inlineStr">
        <is>
          <t>https://entrackr.com/news/vibe-coding-startup-emergent-raises-70-mn-led-by-khosla-ventures-and-softbank-11015908</t>
        </is>
      </c>
    </row>
    <row r="2691">
      <c r="A2691" t="inlineStr">
        <is>
          <t>ET-126791787</t>
        </is>
      </c>
      <c r="B2691" t="inlineStr">
        <is>
          <t>R260120-emergent</t>
        </is>
      </c>
      <c r="C2691" t="inlineStr">
        <is>
          <t>The Economic Times</t>
        </is>
      </c>
      <c r="D2691" s="17" t="n">
        <v>46042</v>
      </c>
      <c r="E2691" t="inlineStr">
        <is>
          <t>Emergent</t>
        </is>
      </c>
      <c r="F2691" t="inlineStr">
        <is>
          <t>$70 million</t>
        </is>
      </c>
      <c r="G2691" s="19" t="n">
        <v>637</v>
      </c>
      <c r="H2691" s="19" t="n">
        <v>70</v>
      </c>
      <c r="I2691" t="inlineStr">
        <is>
          <t>Undisclosed</t>
        </is>
      </c>
      <c r="J2691" t="inlineStr"/>
      <c r="K2691" t="inlineStr">
        <is>
          <t>https://economictimes.indiatimes.com/tech/funding/ai-startup-emergent-raises-70-million-from-khosla-ventures-softbank-valuation-triples/articleshow/126791787.cms</t>
        </is>
      </c>
    </row>
    <row r="2692">
      <c r="A2692" t="inlineStr">
        <is>
          <t>INC-20260124-01</t>
        </is>
      </c>
      <c r="B2692" t="inlineStr">
        <is>
          <t>R260120-emergent</t>
        </is>
      </c>
      <c r="C2692" t="inlineStr">
        <is>
          <t>Inc42</t>
        </is>
      </c>
      <c r="D2692" s="17" t="n">
        <v>46042</v>
      </c>
      <c r="E2692" t="inlineStr">
        <is>
          <t>Emergent</t>
        </is>
      </c>
      <c r="F2692" t="inlineStr">
        <is>
          <t>$70 Mn</t>
        </is>
      </c>
      <c r="G2692" s="19" t="n"/>
      <c r="H2692" s="19" t="n">
        <v>70</v>
      </c>
      <c r="I2692" t="inlineStr">
        <is>
          <t>Series B</t>
        </is>
      </c>
      <c r="J2692" t="inlineStr">
        <is>
          <t>Khosla Ventures; SoftBank</t>
        </is>
      </c>
      <c r="K2692" t="inlineStr">
        <is>
          <t>https://inc42.com/buzz/from-emergent-to-juspay-indian-startups-raised-303-mn-this-week/</t>
        </is>
      </c>
    </row>
    <row r="2693">
      <c r="A2693" t="inlineStr">
        <is>
          <t>VCC-a604cd31dd</t>
        </is>
      </c>
      <c r="B2693" t="inlineStr">
        <is>
          <t>R260120-emergent</t>
        </is>
      </c>
      <c r="C2693" t="inlineStr">
        <is>
          <t>VCCircle</t>
        </is>
      </c>
      <c r="D2693" s="17" t="n">
        <v>46042</v>
      </c>
      <c r="E2693" t="inlineStr">
        <is>
          <t>emergent</t>
        </is>
      </c>
      <c r="F2693" t="inlineStr">
        <is>
          <t>$ 70 million</t>
        </is>
      </c>
      <c r="G2693" s="19" t="n"/>
      <c r="H2693" s="19" t="n">
        <v>70</v>
      </c>
      <c r="I2693" t="inlineStr">
        <is>
          <t>Series B</t>
        </is>
      </c>
      <c r="J2693" t="inlineStr"/>
      <c r="K2693" t="inlineStr">
        <is>
          <t>https://www.vccircle.com/vibecoding-startup-emergent-bags-70-mn-in-series-b-funding</t>
        </is>
      </c>
    </row>
    <row r="2694">
      <c r="A2694" t="inlineStr">
        <is>
          <t>ENT-11015328</t>
        </is>
      </c>
      <c r="B2694" t="inlineStr">
        <is>
          <t>R260120-fireai</t>
        </is>
      </c>
      <c r="C2694" t="inlineStr">
        <is>
          <t>Entrackr</t>
        </is>
      </c>
      <c r="D2694" s="17" t="n">
        <v>46042</v>
      </c>
      <c r="E2694" t="inlineStr">
        <is>
          <t>FireAI</t>
        </is>
      </c>
      <c r="F2694" t="inlineStr"/>
      <c r="G2694" s="19" t="n"/>
      <c r="H2694" s="19" t="n"/>
      <c r="I2694" t="inlineStr">
        <is>
          <t>Pre-Seed</t>
        </is>
      </c>
      <c r="J2694" t="inlineStr"/>
      <c r="K2694" t="inlineStr">
        <is>
          <t>https://entrackr.com/snippets/fireai-raises-early-stage-funding-from-ipv-vcats-and-sucseed-indovation-11015328</t>
        </is>
      </c>
    </row>
    <row r="2695">
      <c r="A2695" t="inlineStr">
        <is>
          <t>INC-20260124-28</t>
        </is>
      </c>
      <c r="B2695" t="inlineStr">
        <is>
          <t>R260120-fireai</t>
        </is>
      </c>
      <c r="C2695" t="inlineStr">
        <is>
          <t>Inc42</t>
        </is>
      </c>
      <c r="D2695" s="17" t="n">
        <v>46042</v>
      </c>
      <c r="E2695" t="inlineStr">
        <is>
          <t>FireAI</t>
        </is>
      </c>
      <c r="F2695" t="inlineStr">
        <is>
          <t>$675K</t>
        </is>
      </c>
      <c r="G2695" s="19" t="n"/>
      <c r="H2695" s="19" t="n">
        <v>0.675</v>
      </c>
      <c r="I2695" t="inlineStr">
        <is>
          <t>Seed</t>
        </is>
      </c>
      <c r="J2695" t="inlineStr"/>
      <c r="K2695" t="inlineStr">
        <is>
          <t>https://inc42.com/buzz/from-emergent-to-juspay-indian-startups-raised-303-mn-this-week/</t>
        </is>
      </c>
    </row>
    <row r="2696">
      <c r="A2696" t="inlineStr">
        <is>
          <t>ENT-11012694</t>
        </is>
      </c>
      <c r="B2696" t="inlineStr">
        <is>
          <t>R260120-forreal</t>
        </is>
      </c>
      <c r="C2696" t="inlineStr">
        <is>
          <t>Entrackr</t>
        </is>
      </c>
      <c r="D2696" s="17" t="n">
        <v>46042</v>
      </c>
      <c r="E2696" t="inlineStr">
        <is>
          <t>For Real</t>
        </is>
      </c>
      <c r="F2696" t="inlineStr">
        <is>
          <t>Rs 3.2 crore</t>
        </is>
      </c>
      <c r="G2696" s="19" t="n">
        <v>3.2</v>
      </c>
      <c r="H2696" s="19" t="n"/>
      <c r="I2696" t="inlineStr">
        <is>
          <t>Pre-Seed</t>
        </is>
      </c>
      <c r="J2696" t="inlineStr"/>
      <c r="K2696" t="inlineStr">
        <is>
          <t>https://entrackr.com/snippets/factory-outlet-marketplace-for-real-raises-pre-seed-round-from-titan-capital-11012694</t>
        </is>
      </c>
    </row>
    <row r="2697">
      <c r="A2697" t="inlineStr">
        <is>
          <t>INC-20260124-32</t>
        </is>
      </c>
      <c r="B2697" t="inlineStr">
        <is>
          <t>R260120-forreal</t>
        </is>
      </c>
      <c r="C2697" t="inlineStr">
        <is>
          <t>Inc42</t>
        </is>
      </c>
      <c r="D2697" s="17" t="n">
        <v>46042</v>
      </c>
      <c r="E2697" t="inlineStr">
        <is>
          <t>For Real</t>
        </is>
      </c>
      <c r="F2697" t="inlineStr">
        <is>
          <t>$349K</t>
        </is>
      </c>
      <c r="G2697" s="19" t="n"/>
      <c r="H2697" s="19" t="n">
        <v>0.349</v>
      </c>
      <c r="I2697" t="inlineStr">
        <is>
          <t>Pre-Seed</t>
        </is>
      </c>
      <c r="J2697" t="inlineStr">
        <is>
          <t>Titan Capital</t>
        </is>
      </c>
      <c r="K2697" t="inlineStr">
        <is>
          <t>https://inc42.com/buzz/from-emergent-to-juspay-indian-startups-raised-303-mn-this-week/</t>
        </is>
      </c>
    </row>
    <row r="2698">
      <c r="A2698" t="inlineStr">
        <is>
          <t>ENT-11014365</t>
        </is>
      </c>
      <c r="B2698" t="inlineStr">
        <is>
          <t>R260120-intellend</t>
        </is>
      </c>
      <c r="C2698" t="inlineStr">
        <is>
          <t>Entrackr</t>
        </is>
      </c>
      <c r="D2698" s="17" t="n">
        <v>46042</v>
      </c>
      <c r="E2698" t="inlineStr">
        <is>
          <t>Intellend</t>
        </is>
      </c>
      <c r="F2698" t="inlineStr">
        <is>
          <t>$1.2 million</t>
        </is>
      </c>
      <c r="G2698" s="19" t="n">
        <v>10.6</v>
      </c>
      <c r="H2698" s="19" t="n">
        <v>1.2</v>
      </c>
      <c r="I2698" t="inlineStr">
        <is>
          <t>Seed</t>
        </is>
      </c>
      <c r="J2698" t="inlineStr">
        <is>
          <t>Incubate Fund Asia</t>
        </is>
      </c>
      <c r="K2698" t="inlineStr">
        <is>
          <t>https://entrackr.com/snippets/intellend-raises-12-mn-in-seed-round-led-by-incubate-fund-asia-11014365</t>
        </is>
      </c>
    </row>
    <row r="2699">
      <c r="A2699" t="inlineStr">
        <is>
          <t>INC-20260124-26</t>
        </is>
      </c>
      <c r="B2699" t="inlineStr">
        <is>
          <t>R260120-intellend</t>
        </is>
      </c>
      <c r="C2699" t="inlineStr">
        <is>
          <t>Inc42</t>
        </is>
      </c>
      <c r="D2699" s="17" t="n">
        <v>46042</v>
      </c>
      <c r="E2699" t="inlineStr">
        <is>
          <t>Intellend</t>
        </is>
      </c>
      <c r="F2699" t="inlineStr">
        <is>
          <t>$1.2 Mn</t>
        </is>
      </c>
      <c r="G2699" s="19" t="n"/>
      <c r="H2699" s="19" t="n">
        <v>1.2</v>
      </c>
      <c r="I2699" t="inlineStr">
        <is>
          <t>Seed</t>
        </is>
      </c>
      <c r="J2699" t="inlineStr">
        <is>
          <t>Incubate Fund Asia</t>
        </is>
      </c>
      <c r="K2699" t="inlineStr">
        <is>
          <t>https://inc42.com/buzz/from-emergent-to-juspay-indian-startups-raised-303-mn-this-week/</t>
        </is>
      </c>
    </row>
    <row r="2700">
      <c r="A2700" t="inlineStr">
        <is>
          <t>ENT-11015492</t>
        </is>
      </c>
      <c r="B2700" t="inlineStr">
        <is>
          <t>R260120-pinkypromise</t>
        </is>
      </c>
      <c r="C2700" t="inlineStr">
        <is>
          <t>Entrackr</t>
        </is>
      </c>
      <c r="D2700" s="17" t="n">
        <v>46042</v>
      </c>
      <c r="E2700" t="inlineStr">
        <is>
          <t>Pinky Promise</t>
        </is>
      </c>
      <c r="F2700" t="inlineStr">
        <is>
          <t>$1 million</t>
        </is>
      </c>
      <c r="G2700" s="19" t="n"/>
      <c r="H2700" s="19" t="n">
        <v>1</v>
      </c>
      <c r="I2700" t="inlineStr">
        <is>
          <t>Pre-Seed</t>
        </is>
      </c>
      <c r="J2700" t="inlineStr">
        <is>
          <t>Rebalance Angel Community</t>
        </is>
      </c>
      <c r="K2700" t="inlineStr">
        <is>
          <t>https://entrackr.com/snippets/digital-clinic-pinky-promise-raises-1-mn-led-by-rebalance-angel-community-11015492</t>
        </is>
      </c>
    </row>
    <row r="2701">
      <c r="A2701" t="inlineStr">
        <is>
          <t>INC-20260124-37</t>
        </is>
      </c>
      <c r="B2701" t="inlineStr">
        <is>
          <t>R260120-polycycl</t>
        </is>
      </c>
      <c r="C2701" t="inlineStr">
        <is>
          <t>Inc42</t>
        </is>
      </c>
      <c r="D2701" s="17" t="n">
        <v>46042</v>
      </c>
      <c r="E2701" t="inlineStr">
        <is>
          <t>PolyCycl</t>
        </is>
      </c>
      <c r="F2701" t="inlineStr"/>
      <c r="G2701" s="19" t="n"/>
      <c r="H2701" s="19" t="n"/>
      <c r="I2701" t="inlineStr">
        <is>
          <t>Series A</t>
        </is>
      </c>
      <c r="J2701" t="inlineStr">
        <is>
          <t>Rainmatter</t>
        </is>
      </c>
      <c r="K2701" t="inlineStr">
        <is>
          <t>https://inc42.com/buzz/from-emergent-to-juspay-indian-startups-raised-303-mn-this-week/</t>
        </is>
      </c>
    </row>
    <row r="2702">
      <c r="A2702" t="inlineStr">
        <is>
          <t>ENT-11015933</t>
        </is>
      </c>
      <c r="B2702" t="inlineStr">
        <is>
          <t>R260120-rspl</t>
        </is>
      </c>
      <c r="C2702" t="inlineStr">
        <is>
          <t>Entrackr</t>
        </is>
      </c>
      <c r="D2702" s="17" t="n">
        <v>46042</v>
      </c>
      <c r="E2702" t="inlineStr">
        <is>
          <t>RSPL</t>
        </is>
      </c>
      <c r="F2702" t="inlineStr">
        <is>
          <t>$3 million</t>
        </is>
      </c>
      <c r="G2702" s="19" t="n"/>
      <c r="H2702" s="19" t="n">
        <v>3</v>
      </c>
      <c r="I2702" t="inlineStr">
        <is>
          <t>Seed</t>
        </is>
      </c>
      <c r="J2702" t="inlineStr">
        <is>
          <t>Equirus Innovatex Fund; Artha Venture Fund</t>
        </is>
      </c>
      <c r="K2702" t="inlineStr">
        <is>
          <t>https://entrackr.com/snippets/rspl-raises-3-mn-seed-round-led-by-equirus-and-artha-venture-fund-11015933</t>
        </is>
      </c>
    </row>
    <row r="2703">
      <c r="A2703" t="inlineStr">
        <is>
          <t>ENT-11012485</t>
        </is>
      </c>
      <c r="B2703" t="inlineStr">
        <is>
          <t>R260120-superliving</t>
        </is>
      </c>
      <c r="C2703" t="inlineStr">
        <is>
          <t>Entrackr</t>
        </is>
      </c>
      <c r="D2703" s="17" t="n">
        <v>46042</v>
      </c>
      <c r="E2703" t="inlineStr">
        <is>
          <t>SuperLiving</t>
        </is>
      </c>
      <c r="F2703" t="inlineStr">
        <is>
          <t>$2 million</t>
        </is>
      </c>
      <c r="G2703" s="19" t="n"/>
      <c r="H2703" s="19" t="n">
        <v>2</v>
      </c>
      <c r="I2703" t="inlineStr">
        <is>
          <t>Undisclosed</t>
        </is>
      </c>
      <c r="J2703" t="inlineStr">
        <is>
          <t>Kae Capital</t>
        </is>
      </c>
      <c r="K2703" t="inlineStr">
        <is>
          <t>https://entrackr.com/snippets/health-tech-startup-superliving-raises-2-mn-led-by-kae-capital-11012485</t>
        </is>
      </c>
    </row>
    <row r="2704">
      <c r="A2704" t="inlineStr">
        <is>
          <t>INC-20260124-22</t>
        </is>
      </c>
      <c r="B2704" t="inlineStr">
        <is>
          <t>R260120-superliving</t>
        </is>
      </c>
      <c r="C2704" t="inlineStr">
        <is>
          <t>Inc42</t>
        </is>
      </c>
      <c r="D2704" s="17" t="n">
        <v>46042</v>
      </c>
      <c r="E2704" t="inlineStr">
        <is>
          <t>SuperLiving</t>
        </is>
      </c>
      <c r="F2704" t="inlineStr">
        <is>
          <t>$2 Mn</t>
        </is>
      </c>
      <c r="G2704" s="19" t="n"/>
      <c r="H2704" s="19" t="n">
        <v>2</v>
      </c>
      <c r="I2704" t="inlineStr">
        <is>
          <t>Undisclosed</t>
        </is>
      </c>
      <c r="J2704" t="inlineStr">
        <is>
          <t>Kae Capital</t>
        </is>
      </c>
      <c r="K2704" t="inlineStr">
        <is>
          <t>https://inc42.com/buzz/from-emergent-to-juspay-indian-startups-raised-303-mn-this-week/</t>
        </is>
      </c>
    </row>
    <row r="2705">
      <c r="A2705" t="inlineStr">
        <is>
          <t>ENT-11015748</t>
        </is>
      </c>
      <c r="B2705" t="inlineStr">
        <is>
          <t>R260120-troovy</t>
        </is>
      </c>
      <c r="C2705" t="inlineStr">
        <is>
          <t>Entrackr</t>
        </is>
      </c>
      <c r="D2705" s="17" t="n">
        <v>46042</v>
      </c>
      <c r="E2705" t="inlineStr">
        <is>
          <t>Troovy</t>
        </is>
      </c>
      <c r="F2705" t="inlineStr">
        <is>
          <t>$5 million</t>
        </is>
      </c>
      <c r="G2705" s="19" t="n"/>
      <c r="H2705" s="19" t="n">
        <v>5</v>
      </c>
      <c r="I2705" t="inlineStr">
        <is>
          <t>Series A</t>
        </is>
      </c>
      <c r="J2705" t="inlineStr">
        <is>
          <t>Fireside Ventures; Sharrp Ventures</t>
        </is>
      </c>
      <c r="K2705" t="inlineStr">
        <is>
          <t>https://entrackr.com/snippets/snack-brand-troovy-raises-5-mn-in-series-a-led-by-fireside-and-sharrp-ventures-11015748</t>
        </is>
      </c>
    </row>
    <row r="2706">
      <c r="A2706" t="inlineStr">
        <is>
          <t>INC-20260124-14</t>
        </is>
      </c>
      <c r="B2706" t="inlineStr">
        <is>
          <t>R260120-troovy</t>
        </is>
      </c>
      <c r="C2706" t="inlineStr">
        <is>
          <t>Inc42</t>
        </is>
      </c>
      <c r="D2706" s="17" t="n">
        <v>46044</v>
      </c>
      <c r="E2706" t="inlineStr">
        <is>
          <t>Troovy</t>
        </is>
      </c>
      <c r="F2706" t="inlineStr">
        <is>
          <t>$5 Mn</t>
        </is>
      </c>
      <c r="G2706" s="19" t="n"/>
      <c r="H2706" s="19" t="n">
        <v>5</v>
      </c>
      <c r="I2706" t="inlineStr">
        <is>
          <t>Series A</t>
        </is>
      </c>
      <c r="J2706" t="inlineStr">
        <is>
          <t>Sharrp Ventures</t>
        </is>
      </c>
      <c r="K2706" t="inlineStr">
        <is>
          <t>https://inc42.com/buzz/from-emergent-to-juspay-indian-startups-raised-303-mn-this-week/</t>
        </is>
      </c>
    </row>
    <row r="2707">
      <c r="A2707" t="inlineStr">
        <is>
          <t>ENT-11014165</t>
        </is>
      </c>
      <c r="B2707" t="inlineStr">
        <is>
          <t>R260120-unboxrobotics</t>
        </is>
      </c>
      <c r="C2707" t="inlineStr">
        <is>
          <t>Entrackr</t>
        </is>
      </c>
      <c r="D2707" s="17" t="n">
        <v>46042</v>
      </c>
      <c r="E2707" t="inlineStr">
        <is>
          <t>Unbox Robotics</t>
        </is>
      </c>
      <c r="F2707" t="inlineStr">
        <is>
          <t>$28 million</t>
        </is>
      </c>
      <c r="G2707" s="19" t="n"/>
      <c r="H2707" s="19" t="n">
        <v>28</v>
      </c>
      <c r="I2707" t="inlineStr">
        <is>
          <t>Undisclosed</t>
        </is>
      </c>
      <c r="J2707" t="inlineStr">
        <is>
          <t>ICICI Venture</t>
        </is>
      </c>
      <c r="K2707" t="inlineStr">
        <is>
          <t>https://entrackr.com/news/unbox-robotics-raises-28-mn-led-by-icici-venture-11014165</t>
        </is>
      </c>
    </row>
    <row r="2708">
      <c r="A2708" t="inlineStr">
        <is>
          <t>ET-126697091</t>
        </is>
      </c>
      <c r="B2708" t="inlineStr">
        <is>
          <t>R260120-unboxrobotics</t>
        </is>
      </c>
      <c r="C2708" t="inlineStr">
        <is>
          <t>The Economic Times</t>
        </is>
      </c>
      <c r="D2708" s="17" t="n">
        <v>46042</v>
      </c>
      <c r="E2708" t="inlineStr">
        <is>
          <t>Unbox Robotics</t>
        </is>
      </c>
      <c r="F2708" t="inlineStr">
        <is>
          <t>$28 million</t>
        </is>
      </c>
      <c r="G2708" s="19" t="n"/>
      <c r="H2708" s="19" t="n">
        <v>28</v>
      </c>
      <c r="I2708" t="inlineStr">
        <is>
          <t>Undisclosed</t>
        </is>
      </c>
      <c r="J2708" t="inlineStr">
        <is>
          <t>ICICI Venture</t>
        </is>
      </c>
      <c r="K2708" t="inlineStr">
        <is>
          <t>https://economictimes.indiatimes.com/tech/funding/warehouse-automation-startup-unbox-robotics-raises-28-million-led-by-icici-venture/articleshow/126697091.cms</t>
        </is>
      </c>
    </row>
    <row r="2709">
      <c r="A2709" t="inlineStr">
        <is>
          <t>INC-20260124-03</t>
        </is>
      </c>
      <c r="B2709" t="inlineStr">
        <is>
          <t>R260120-unboxrobotics</t>
        </is>
      </c>
      <c r="C2709" t="inlineStr">
        <is>
          <t>Inc42</t>
        </is>
      </c>
      <c r="D2709" s="17" t="n">
        <v>46042</v>
      </c>
      <c r="E2709" t="inlineStr">
        <is>
          <t>Unbox Robotics</t>
        </is>
      </c>
      <c r="F2709" t="inlineStr">
        <is>
          <t>$28 Mn</t>
        </is>
      </c>
      <c r="G2709" s="19" t="n"/>
      <c r="H2709" s="19" t="n">
        <v>28</v>
      </c>
      <c r="I2709" t="inlineStr">
        <is>
          <t>Series B</t>
        </is>
      </c>
      <c r="J2709" t="inlineStr">
        <is>
          <t>ICICI Ventures; Redstart Labs</t>
        </is>
      </c>
      <c r="K2709" t="inlineStr">
        <is>
          <t>https://inc42.com/buzz/from-emergent-to-juspay-indian-startups-raised-303-mn-this-week/</t>
        </is>
      </c>
    </row>
    <row r="2710">
      <c r="A2710" t="inlineStr">
        <is>
          <t>ENT-11014847</t>
        </is>
      </c>
      <c r="B2710" t="inlineStr">
        <is>
          <t>R260120-wanderon</t>
        </is>
      </c>
      <c r="C2710" t="inlineStr">
        <is>
          <t>Entrackr</t>
        </is>
      </c>
      <c r="D2710" s="17" t="n">
        <v>46042</v>
      </c>
      <c r="E2710" t="inlineStr">
        <is>
          <t>WanderOn</t>
        </is>
      </c>
      <c r="F2710" t="inlineStr">
        <is>
          <t>Rs 54 crore</t>
        </is>
      </c>
      <c r="G2710" s="19" t="n">
        <v>54</v>
      </c>
      <c r="H2710" s="19" t="n"/>
      <c r="I2710" t="inlineStr">
        <is>
          <t>Series A</t>
        </is>
      </c>
      <c r="J2710" t="inlineStr">
        <is>
          <t>DSG Consumer Partners; CAAF</t>
        </is>
      </c>
      <c r="K2710" t="inlineStr">
        <is>
          <t>https://entrackr.com/snippets/travel-brand-wanderon-bags-rs-54-cr-in-series-a-from-dsg-and-caaf-11014847</t>
        </is>
      </c>
    </row>
    <row r="2711">
      <c r="A2711" t="inlineStr">
        <is>
          <t>INC-20260124-10</t>
        </is>
      </c>
      <c r="B2711" t="inlineStr">
        <is>
          <t>R260120-wanderon</t>
        </is>
      </c>
      <c r="C2711" t="inlineStr">
        <is>
          <t>Inc42</t>
        </is>
      </c>
      <c r="D2711" s="17" t="n">
        <v>46043</v>
      </c>
      <c r="E2711" t="inlineStr">
        <is>
          <t>WanderOn</t>
        </is>
      </c>
      <c r="F2711" t="inlineStr">
        <is>
          <t>$5.9 Mn</t>
        </is>
      </c>
      <c r="G2711" s="19" t="n"/>
      <c r="H2711" s="19" t="n">
        <v>5.9</v>
      </c>
      <c r="I2711" t="inlineStr">
        <is>
          <t>Series A</t>
        </is>
      </c>
      <c r="J2711" t="inlineStr">
        <is>
          <t>DSG Consumer Brand; CAAF</t>
        </is>
      </c>
      <c r="K2711" t="inlineStr">
        <is>
          <t>https://inc42.com/buzz/from-emergent-to-juspay-indian-startups-raised-303-mn-this-week/</t>
        </is>
      </c>
    </row>
    <row r="2712">
      <c r="A2712" t="inlineStr">
        <is>
          <t>ENT-11013711</t>
        </is>
      </c>
      <c r="B2712" t="inlineStr">
        <is>
          <t>R260120-whizzo</t>
        </is>
      </c>
      <c r="C2712" t="inlineStr">
        <is>
          <t>Entrackr</t>
        </is>
      </c>
      <c r="D2712" s="17" t="n">
        <v>46042</v>
      </c>
      <c r="E2712" t="inlineStr">
        <is>
          <t>Whizzo</t>
        </is>
      </c>
      <c r="F2712" t="inlineStr">
        <is>
          <t>$15 million</t>
        </is>
      </c>
      <c r="G2712" s="19" t="n"/>
      <c r="H2712" s="19" t="n">
        <v>15</v>
      </c>
      <c r="I2712" t="inlineStr">
        <is>
          <t>Series A</t>
        </is>
      </c>
      <c r="J2712" t="inlineStr">
        <is>
          <t>Fundamentum</t>
        </is>
      </c>
      <c r="K2712" t="inlineStr">
        <is>
          <t>https://entrackr.com/news/manufacturing-startup-whizzo-raises-15-mn-in-a-series-a-led-by-fundamentum-11013711</t>
        </is>
      </c>
    </row>
    <row r="2713">
      <c r="A2713" t="inlineStr">
        <is>
          <t>INC-20260124-06</t>
        </is>
      </c>
      <c r="B2713" t="inlineStr">
        <is>
          <t>R260120-whizzo</t>
        </is>
      </c>
      <c r="C2713" t="inlineStr">
        <is>
          <t>Inc42</t>
        </is>
      </c>
      <c r="D2713" s="17" t="n">
        <v>46042</v>
      </c>
      <c r="E2713" t="inlineStr">
        <is>
          <t>Whizzo</t>
        </is>
      </c>
      <c r="F2713" t="inlineStr">
        <is>
          <t>$15 Mn</t>
        </is>
      </c>
      <c r="G2713" s="19" t="n"/>
      <c r="H2713" s="19" t="n">
        <v>15</v>
      </c>
      <c r="I2713" t="inlineStr">
        <is>
          <t>Series A</t>
        </is>
      </c>
      <c r="J2713" t="inlineStr">
        <is>
          <t>Fundamentum</t>
        </is>
      </c>
      <c r="K2713" t="inlineStr">
        <is>
          <t>https://inc42.com/buzz/from-emergent-to-juspay-indian-startups-raised-303-mn-this-week/</t>
        </is>
      </c>
    </row>
    <row r="2714">
      <c r="A2714" t="inlineStr">
        <is>
          <t>ENT-11018368</t>
        </is>
      </c>
      <c r="B2714" t="inlineStr">
        <is>
          <t>R260121-aeremsolutions</t>
        </is>
      </c>
      <c r="C2714" t="inlineStr">
        <is>
          <t>Entrackr</t>
        </is>
      </c>
      <c r="D2714" s="17" t="n">
        <v>46043</v>
      </c>
      <c r="E2714" t="inlineStr">
        <is>
          <t>Aerem Solutions</t>
        </is>
      </c>
      <c r="F2714" t="inlineStr">
        <is>
          <t>$15 million</t>
        </is>
      </c>
      <c r="G2714" s="19" t="n">
        <v>136</v>
      </c>
      <c r="H2714" s="19" t="n">
        <v>15</v>
      </c>
      <c r="I2714" t="inlineStr">
        <is>
          <t>Pre-Series B</t>
        </is>
      </c>
      <c r="J2714" t="inlineStr">
        <is>
          <t>SMBC Asia Rising Fund</t>
        </is>
      </c>
      <c r="K2714" t="inlineStr">
        <is>
          <t>https://entrackr.com/news/solar-platform-aerem-solutions-raises-15-mn-in-pre-series-b-11018368</t>
        </is>
      </c>
    </row>
    <row r="2715">
      <c r="A2715" t="inlineStr">
        <is>
          <t>ET-126983271</t>
        </is>
      </c>
      <c r="B2715" t="inlineStr">
        <is>
          <t>R260121-aeremsolutions</t>
        </is>
      </c>
      <c r="C2715" t="inlineStr">
        <is>
          <t>The Economic Times</t>
        </is>
      </c>
      <c r="D2715" s="17" t="n">
        <v>46043</v>
      </c>
      <c r="E2715" t="inlineStr">
        <is>
          <t>Aerem</t>
        </is>
      </c>
      <c r="F2715" t="inlineStr">
        <is>
          <t>$15 million</t>
        </is>
      </c>
      <c r="G2715" s="19" t="n">
        <v>136</v>
      </c>
      <c r="H2715" s="19" t="n">
        <v>15</v>
      </c>
      <c r="I2715" t="inlineStr">
        <is>
          <t>Undisclosed</t>
        </is>
      </c>
      <c r="J2715" t="inlineStr">
        <is>
          <t>SMBC Asia Rising Fund</t>
        </is>
      </c>
      <c r="K2715" t="inlineStr">
        <is>
          <t>https://economictimes.indiatimes.com/tech/funding/solar-platform-aerem-raises-15-million-from-sumitomo-mitsuis-venture-arm-others/articleshow/126983271.cms</t>
        </is>
      </c>
    </row>
    <row r="2716">
      <c r="A2716" t="inlineStr">
        <is>
          <t>INC-20260124-07</t>
        </is>
      </c>
      <c r="B2716" t="inlineStr">
        <is>
          <t>R260121-aeremsolutions</t>
        </is>
      </c>
      <c r="C2716" t="inlineStr">
        <is>
          <t>Inc42</t>
        </is>
      </c>
      <c r="D2716" s="17" t="n">
        <v>46043</v>
      </c>
      <c r="E2716" t="inlineStr">
        <is>
          <t>Aerem Solutions</t>
        </is>
      </c>
      <c r="F2716" t="inlineStr">
        <is>
          <t>$15 Mn</t>
        </is>
      </c>
      <c r="G2716" s="19" t="n"/>
      <c r="H2716" s="19" t="n">
        <v>15</v>
      </c>
      <c r="I2716" t="inlineStr">
        <is>
          <t>Pre-Series B</t>
        </is>
      </c>
      <c r="J2716" t="inlineStr">
        <is>
          <t>SMBC Asia Rising Fund</t>
        </is>
      </c>
      <c r="K2716" t="inlineStr">
        <is>
          <t>https://inc42.com/buzz/from-emergent-to-juspay-indian-startups-raised-303-mn-this-week/</t>
        </is>
      </c>
    </row>
    <row r="2717">
      <c r="A2717" t="inlineStr">
        <is>
          <t>ENT-11017538</t>
        </is>
      </c>
      <c r="B2717" t="inlineStr">
        <is>
          <t>R260121-arkahub</t>
        </is>
      </c>
      <c r="C2717" t="inlineStr">
        <is>
          <t>Entrackr</t>
        </is>
      </c>
      <c r="D2717" s="17" t="n">
        <v>46043</v>
      </c>
      <c r="E2717" t="inlineStr">
        <is>
          <t>Arkahub</t>
        </is>
      </c>
      <c r="F2717" t="inlineStr">
        <is>
          <t>$2 million</t>
        </is>
      </c>
      <c r="G2717" s="19" t="n"/>
      <c r="H2717" s="19" t="n">
        <v>2</v>
      </c>
      <c r="I2717" t="inlineStr">
        <is>
          <t>Seed</t>
        </is>
      </c>
      <c r="J2717" t="inlineStr">
        <is>
          <t>Kae Capital; Antler</t>
        </is>
      </c>
      <c r="K2717" t="inlineStr">
        <is>
          <t>https://entrackr.com/snippets/arkahub-raises-2-mn-in-seed-round-led-by-kae-capital-11017538</t>
        </is>
      </c>
    </row>
    <row r="2718">
      <c r="A2718" t="inlineStr">
        <is>
          <t>INC-20260124-23</t>
        </is>
      </c>
      <c r="B2718" t="inlineStr">
        <is>
          <t>R260121-arkahub</t>
        </is>
      </c>
      <c r="C2718" t="inlineStr">
        <is>
          <t>Inc42</t>
        </is>
      </c>
      <c r="D2718" s="17" t="n">
        <v>46043</v>
      </c>
      <c r="E2718" t="inlineStr">
        <is>
          <t>Arkahub</t>
        </is>
      </c>
      <c r="F2718" t="inlineStr">
        <is>
          <t>$2 Mn</t>
        </is>
      </c>
      <c r="G2718" s="19" t="n"/>
      <c r="H2718" s="19" t="n">
        <v>2</v>
      </c>
      <c r="I2718" t="inlineStr">
        <is>
          <t>Seed</t>
        </is>
      </c>
      <c r="J2718" t="inlineStr">
        <is>
          <t>Kae Capital; Sparrow Capital</t>
        </is>
      </c>
      <c r="K2718" t="inlineStr">
        <is>
          <t>https://inc42.com/buzz/from-emergent-to-juspay-indian-startups-raised-303-mn-this-week/</t>
        </is>
      </c>
    </row>
    <row r="2719">
      <c r="A2719" t="inlineStr">
        <is>
          <t>ENT-11018048</t>
        </is>
      </c>
      <c r="B2719" t="inlineStr">
        <is>
          <t>R260121-arthum</t>
        </is>
      </c>
      <c r="C2719" t="inlineStr">
        <is>
          <t>Entrackr</t>
        </is>
      </c>
      <c r="D2719" s="17" t="n">
        <v>46043</v>
      </c>
      <c r="E2719" t="inlineStr">
        <is>
          <t>Arthum</t>
        </is>
      </c>
      <c r="F2719" t="inlineStr">
        <is>
          <t>Rs 10 crore</t>
        </is>
      </c>
      <c r="G2719" s="19" t="n">
        <v>10</v>
      </c>
      <c r="H2719" s="19" t="n">
        <v>1.09</v>
      </c>
      <c r="I2719" t="inlineStr">
        <is>
          <t>Seed</t>
        </is>
      </c>
      <c r="J2719" t="inlineStr">
        <is>
          <t>Caret Capital</t>
        </is>
      </c>
      <c r="K2719" t="inlineStr">
        <is>
          <t>https://entrackr.com/snippets/arthum-raises-rs-10-cr-in-seed-round-led-by-caret-capital-11018048</t>
        </is>
      </c>
    </row>
    <row r="2720">
      <c r="A2720" t="inlineStr">
        <is>
          <t>ENT-11017620</t>
        </is>
      </c>
      <c r="B2720" t="inlineStr">
        <is>
          <t>R260121-bolna</t>
        </is>
      </c>
      <c r="C2720" t="inlineStr">
        <is>
          <t>Entrackr</t>
        </is>
      </c>
      <c r="D2720" s="17" t="n">
        <v>46043</v>
      </c>
      <c r="E2720" t="inlineStr">
        <is>
          <t>Bolna</t>
        </is>
      </c>
      <c r="F2720" t="inlineStr">
        <is>
          <t>$6.3 million</t>
        </is>
      </c>
      <c r="G2720" s="19" t="n"/>
      <c r="H2720" s="19" t="n">
        <v>6.3</v>
      </c>
      <c r="I2720" t="inlineStr">
        <is>
          <t>Seed</t>
        </is>
      </c>
      <c r="J2720" t="inlineStr">
        <is>
          <t>General Catalyst</t>
        </is>
      </c>
      <c r="K2720" t="inlineStr">
        <is>
          <t>https://entrackr.com/snippets/voice-ai-startup-bolna-raises-63-mn-in-seed-round-led-by-general-catalyst-11017620</t>
        </is>
      </c>
    </row>
    <row r="2721">
      <c r="A2721" t="inlineStr">
        <is>
          <t>ET-126838796</t>
        </is>
      </c>
      <c r="B2721" t="inlineStr">
        <is>
          <t>R260121-bolna</t>
        </is>
      </c>
      <c r="C2721" t="inlineStr">
        <is>
          <t>The Economic Times</t>
        </is>
      </c>
      <c r="D2721" s="17" t="n">
        <v>46043</v>
      </c>
      <c r="E2721" t="inlineStr">
        <is>
          <t>Bolna</t>
        </is>
      </c>
      <c r="F2721" t="inlineStr">
        <is>
          <t>$6.3 million</t>
        </is>
      </c>
      <c r="G2721" s="19" t="n"/>
      <c r="H2721" s="19" t="n">
        <v>6.3</v>
      </c>
      <c r="I2721" t="inlineStr">
        <is>
          <t>Undisclosed</t>
        </is>
      </c>
      <c r="J2721" t="inlineStr">
        <is>
          <t>General Catalyst</t>
        </is>
      </c>
      <c r="K2721" t="inlineStr">
        <is>
          <t>https://economictimes.indiatimes.com/tech/funding/voice-ai-startup-bolna-raises-6-3-million-from-general-catalyst-others/articleshow/126838796.cms</t>
        </is>
      </c>
    </row>
    <row r="2722">
      <c r="A2722" t="inlineStr">
        <is>
          <t>INC-20260124-09</t>
        </is>
      </c>
      <c r="B2722" t="inlineStr">
        <is>
          <t>R260121-bolna</t>
        </is>
      </c>
      <c r="C2722" t="inlineStr">
        <is>
          <t>Inc42</t>
        </is>
      </c>
      <c r="D2722" s="17" t="n">
        <v>46043</v>
      </c>
      <c r="E2722" t="inlineStr">
        <is>
          <t>Bolna</t>
        </is>
      </c>
      <c r="F2722" t="inlineStr">
        <is>
          <t>$6.3 Mn</t>
        </is>
      </c>
      <c r="G2722" s="19" t="n"/>
      <c r="H2722" s="19" t="n">
        <v>6.3</v>
      </c>
      <c r="I2722" t="inlineStr">
        <is>
          <t>Seed</t>
        </is>
      </c>
      <c r="J2722" t="inlineStr">
        <is>
          <t>General Catalyst</t>
        </is>
      </c>
      <c r="K2722" t="inlineStr">
        <is>
          <t>https://inc42.com/buzz/from-emergent-to-juspay-indian-startups-raised-303-mn-this-week/</t>
        </is>
      </c>
    </row>
    <row r="2723">
      <c r="A2723" t="inlineStr">
        <is>
          <t>ENT-11017614</t>
        </is>
      </c>
      <c r="B2723" t="inlineStr">
        <is>
          <t>R260121-caredale</t>
        </is>
      </c>
      <c r="C2723" t="inlineStr">
        <is>
          <t>Entrackr</t>
        </is>
      </c>
      <c r="D2723" s="17" t="n">
        <v>46043</v>
      </c>
      <c r="E2723" t="inlineStr">
        <is>
          <t>Care Dale</t>
        </is>
      </c>
      <c r="F2723" t="inlineStr">
        <is>
          <t>Rs 1.5 crore</t>
        </is>
      </c>
      <c r="G2723" s="19" t="n">
        <v>1.5</v>
      </c>
      <c r="H2723" s="19" t="n"/>
      <c r="I2723" t="inlineStr">
        <is>
          <t>Pre-Seed</t>
        </is>
      </c>
      <c r="J2723" t="inlineStr">
        <is>
          <t>Aviral Bhatnagar</t>
        </is>
      </c>
      <c r="K2723" t="inlineStr">
        <is>
          <t>https://entrackr.com/snippets/water-wellness-startup-care-dale-raises-pre-seed-funding-led-by-ajvc-11017614</t>
        </is>
      </c>
    </row>
    <row r="2724">
      <c r="A2724" t="inlineStr">
        <is>
          <t>INC-20260124-35</t>
        </is>
      </c>
      <c r="B2724" t="inlineStr">
        <is>
          <t>R260121-caredale</t>
        </is>
      </c>
      <c r="C2724" t="inlineStr">
        <is>
          <t>Inc42</t>
        </is>
      </c>
      <c r="D2724" s="17" t="n">
        <v>46043</v>
      </c>
      <c r="E2724" t="inlineStr">
        <is>
          <t>Care Dale</t>
        </is>
      </c>
      <c r="F2724" t="inlineStr">
        <is>
          <t>$180K</t>
        </is>
      </c>
      <c r="G2724" s="19" t="n"/>
      <c r="H2724" s="19" t="n">
        <v>0.18</v>
      </c>
      <c r="I2724" t="inlineStr">
        <is>
          <t>Undisclosed</t>
        </is>
      </c>
      <c r="J2724" t="inlineStr"/>
      <c r="K2724" t="inlineStr">
        <is>
          <t>https://inc42.com/buzz/from-emergent-to-juspay-indian-startups-raised-303-mn-this-week/</t>
        </is>
      </c>
    </row>
    <row r="2725">
      <c r="A2725" t="inlineStr">
        <is>
          <t>ENT-11017896</t>
        </is>
      </c>
      <c r="B2725" t="inlineStr">
        <is>
          <t>R260121-cuminco</t>
        </is>
      </c>
      <c r="C2725" t="inlineStr">
        <is>
          <t>Entrackr</t>
        </is>
      </c>
      <c r="D2725" s="17" t="n">
        <v>46043</v>
      </c>
      <c r="E2725" t="inlineStr">
        <is>
          <t>Cumin Co.</t>
        </is>
      </c>
      <c r="F2725" t="inlineStr">
        <is>
          <t>$5 million</t>
        </is>
      </c>
      <c r="G2725" s="19" t="n">
        <v>41</v>
      </c>
      <c r="H2725" s="19" t="n">
        <v>5</v>
      </c>
      <c r="I2725" t="inlineStr">
        <is>
          <t>Pre-Series A</t>
        </is>
      </c>
      <c r="J2725" t="inlineStr">
        <is>
          <t>Fireside Ventures</t>
        </is>
      </c>
      <c r="K2725" t="inlineStr">
        <is>
          <t>https://entrackr.com/snippets/cumin-co-raises-5-mn-pre-series-a-round-led-by-fireside-ventures-11017896</t>
        </is>
      </c>
    </row>
    <row r="2726">
      <c r="A2726" t="inlineStr">
        <is>
          <t>ET-126840112</t>
        </is>
      </c>
      <c r="B2726" t="inlineStr">
        <is>
          <t>R260121-cuminco</t>
        </is>
      </c>
      <c r="C2726" t="inlineStr">
        <is>
          <t>The Economic Times</t>
        </is>
      </c>
      <c r="D2726" s="17" t="n">
        <v>46043</v>
      </c>
      <c r="E2726" t="inlineStr">
        <is>
          <t>Cumin Co</t>
        </is>
      </c>
      <c r="F2726" t="inlineStr">
        <is>
          <t>$5 million</t>
        </is>
      </c>
      <c r="G2726" s="19" t="n"/>
      <c r="H2726" s="19" t="n">
        <v>5</v>
      </c>
      <c r="I2726" t="inlineStr">
        <is>
          <t>Pre-Series A</t>
        </is>
      </c>
      <c r="J2726" t="inlineStr">
        <is>
          <t>Fireside Ventures</t>
        </is>
      </c>
      <c r="K2726" t="inlineStr">
        <is>
          <t>https://economictimes.indiatimes.com/tech/funding/cookware-startup-cumin-co-bags-5-million-led-by-fireside-ventures/articleshow/126840112.cms</t>
        </is>
      </c>
    </row>
    <row r="2727">
      <c r="A2727" t="inlineStr">
        <is>
          <t>INC-20260124-13</t>
        </is>
      </c>
      <c r="B2727" t="inlineStr">
        <is>
          <t>R260121-cuminco</t>
        </is>
      </c>
      <c r="C2727" t="inlineStr">
        <is>
          <t>Inc42</t>
        </is>
      </c>
      <c r="D2727" s="17" t="n">
        <v>46043</v>
      </c>
      <c r="E2727" t="inlineStr">
        <is>
          <t>Cumin Co.</t>
        </is>
      </c>
      <c r="F2727" t="inlineStr">
        <is>
          <t>$5 Mn</t>
        </is>
      </c>
      <c r="G2727" s="19" t="n"/>
      <c r="H2727" s="19" t="n">
        <v>5</v>
      </c>
      <c r="I2727" t="inlineStr">
        <is>
          <t>Pre-Series A</t>
        </is>
      </c>
      <c r="J2727" t="inlineStr">
        <is>
          <t>Fireside Ventures</t>
        </is>
      </c>
      <c r="K2727" t="inlineStr">
        <is>
          <t>https://inc42.com/buzz/from-emergent-to-juspay-indian-startups-raised-303-mn-this-week/</t>
        </is>
      </c>
    </row>
    <row r="2728">
      <c r="A2728" t="inlineStr">
        <is>
          <t>ENT-11018091</t>
        </is>
      </c>
      <c r="B2728" t="inlineStr">
        <is>
          <t>R260121-enerzolve</t>
        </is>
      </c>
      <c r="C2728" t="inlineStr">
        <is>
          <t>Entrackr</t>
        </is>
      </c>
      <c r="D2728" s="17" t="n">
        <v>46043</v>
      </c>
      <c r="E2728" t="inlineStr">
        <is>
          <t>Enerzolve</t>
        </is>
      </c>
      <c r="F2728" t="inlineStr">
        <is>
          <t>$5.1 million</t>
        </is>
      </c>
      <c r="G2728" s="19" t="n">
        <v>44.9</v>
      </c>
      <c r="H2728" s="19" t="n">
        <v>5.1</v>
      </c>
      <c r="I2728" t="inlineStr">
        <is>
          <t>Seed</t>
        </is>
      </c>
      <c r="J2728" t="inlineStr">
        <is>
          <t>Jungle Ventures; Kae Capital</t>
        </is>
      </c>
      <c r="K2728" t="inlineStr">
        <is>
          <t>https://entrackr.com/snippets/enerzolve-raises-51-mn-in-seed-round-led-by-jungle-ventures-and-kae-capital-11018091</t>
        </is>
      </c>
    </row>
    <row r="2729">
      <c r="A2729" t="inlineStr">
        <is>
          <t>ET-127004183</t>
        </is>
      </c>
      <c r="B2729" t="inlineStr">
        <is>
          <t>R260121-enerzolve</t>
        </is>
      </c>
      <c r="C2729" t="inlineStr">
        <is>
          <t>The Economic Times</t>
        </is>
      </c>
      <c r="D2729" s="17" t="n">
        <v>46043</v>
      </c>
      <c r="E2729" t="inlineStr">
        <is>
          <t>Enerzolve</t>
        </is>
      </c>
      <c r="F2729" t="inlineStr">
        <is>
          <t>$5.1 million</t>
        </is>
      </c>
      <c r="G2729" s="19" t="n">
        <v>45</v>
      </c>
      <c r="H2729" s="19" t="n">
        <v>5.1</v>
      </c>
      <c r="I2729" t="inlineStr">
        <is>
          <t>Undisclosed</t>
        </is>
      </c>
      <c r="J2729" t="inlineStr">
        <is>
          <t>Jungle Ventures; Kae Capital</t>
        </is>
      </c>
      <c r="K2729" t="inlineStr">
        <is>
          <t>https://economictimes.indiatimes.com/tech/funding/energy-startup-enerzolve-raises-5-1-million-led-by-jungle-ventures-kae-capital/articleshow/127004183.cms</t>
        </is>
      </c>
    </row>
    <row r="2730">
      <c r="A2730" t="inlineStr">
        <is>
          <t>INC-20260124-12</t>
        </is>
      </c>
      <c r="B2730" t="inlineStr">
        <is>
          <t>R260121-enerzolve</t>
        </is>
      </c>
      <c r="C2730" t="inlineStr">
        <is>
          <t>Inc42</t>
        </is>
      </c>
      <c r="D2730" s="17" t="n">
        <v>46043</v>
      </c>
      <c r="E2730" t="inlineStr">
        <is>
          <t>Enerzolve</t>
        </is>
      </c>
      <c r="F2730" t="inlineStr">
        <is>
          <t>$5.1 Mn</t>
        </is>
      </c>
      <c r="G2730" s="19" t="n"/>
      <c r="H2730" s="19" t="n">
        <v>5.1</v>
      </c>
      <c r="I2730" t="inlineStr">
        <is>
          <t>Seed</t>
        </is>
      </c>
      <c r="J2730" t="inlineStr">
        <is>
          <t>Jungle Ventures; Kae Capital</t>
        </is>
      </c>
      <c r="K2730" t="inlineStr">
        <is>
          <t>https://inc42.com/buzz/from-emergent-to-juspay-indian-startups-raised-303-mn-this-week/</t>
        </is>
      </c>
    </row>
    <row r="2731">
      <c r="A2731" t="inlineStr">
        <is>
          <t>ENT-11018721</t>
        </is>
      </c>
      <c r="B2731" t="inlineStr">
        <is>
          <t>R260121-grest</t>
        </is>
      </c>
      <c r="C2731" t="inlineStr">
        <is>
          <t>Entrackr</t>
        </is>
      </c>
      <c r="D2731" s="17" t="n">
        <v>46043</v>
      </c>
      <c r="E2731" t="inlineStr">
        <is>
          <t>Grest</t>
        </is>
      </c>
      <c r="F2731" t="inlineStr">
        <is>
          <t>Rs 16 crore</t>
        </is>
      </c>
      <c r="G2731" s="19" t="n">
        <v>16</v>
      </c>
      <c r="H2731" s="19" t="n"/>
      <c r="I2731" t="inlineStr">
        <is>
          <t>Undisclosed</t>
        </is>
      </c>
      <c r="J2731" t="inlineStr">
        <is>
          <t>Equentis Wealth; India Accelerator; Lead Invest; 8i Ventures</t>
        </is>
      </c>
      <c r="K2731" t="inlineStr">
        <is>
          <t>https://entrackr.com/snippets/full-stack-re-commerce-company-grest-raises-16-cr-led-by-equentis-wealth-11018721</t>
        </is>
      </c>
    </row>
    <row r="2732">
      <c r="A2732" t="inlineStr">
        <is>
          <t>INC-20260124-24</t>
        </is>
      </c>
      <c r="B2732" t="inlineStr">
        <is>
          <t>R260121-grest</t>
        </is>
      </c>
      <c r="C2732" t="inlineStr">
        <is>
          <t>Inc42</t>
        </is>
      </c>
      <c r="D2732" s="17" t="n">
        <v>46043</v>
      </c>
      <c r="E2732" t="inlineStr">
        <is>
          <t>GREST</t>
        </is>
      </c>
      <c r="F2732" t="inlineStr">
        <is>
          <t>$1.7 Mn</t>
        </is>
      </c>
      <c r="G2732" s="19" t="n"/>
      <c r="H2732" s="19" t="n">
        <v>1.7</v>
      </c>
      <c r="I2732" t="inlineStr">
        <is>
          <t>Undisclosed</t>
        </is>
      </c>
      <c r="J2732" t="inlineStr">
        <is>
          <t>Equentis Wealth</t>
        </is>
      </c>
      <c r="K2732" t="inlineStr">
        <is>
          <t>https://inc42.com/buzz/from-emergent-to-juspay-indian-startups-raised-303-mn-this-week/</t>
        </is>
      </c>
    </row>
    <row r="2733">
      <c r="A2733" t="inlineStr">
        <is>
          <t>ENT-11017504</t>
        </is>
      </c>
      <c r="B2733" t="inlineStr">
        <is>
          <t>R260121-ringgai</t>
        </is>
      </c>
      <c r="C2733" t="inlineStr">
        <is>
          <t>Entrackr</t>
        </is>
      </c>
      <c r="D2733" s="17" t="n">
        <v>46043</v>
      </c>
      <c r="E2733" t="inlineStr">
        <is>
          <t>Ringg AI</t>
        </is>
      </c>
      <c r="F2733" t="inlineStr">
        <is>
          <t>$5.5 million</t>
        </is>
      </c>
      <c r="G2733" s="19" t="n">
        <v>48</v>
      </c>
      <c r="H2733" s="19" t="n">
        <v>5.5</v>
      </c>
      <c r="I2733" t="inlineStr">
        <is>
          <t>Series A</t>
        </is>
      </c>
      <c r="J2733" t="inlineStr">
        <is>
          <t>Arkam Ventures</t>
        </is>
      </c>
      <c r="K2733" t="inlineStr">
        <is>
          <t>https://entrackr.com/snippets/voice-ai-startup-ringg-ai-raises-55-mn-in-series-a-funding-led-by-arkam-ventures-11017504</t>
        </is>
      </c>
    </row>
    <row r="2734">
      <c r="A2734" t="inlineStr">
        <is>
          <t>ET-126836486</t>
        </is>
      </c>
      <c r="B2734" t="inlineStr">
        <is>
          <t>R260121-ringgai</t>
        </is>
      </c>
      <c r="C2734" t="inlineStr">
        <is>
          <t>The Economic Times</t>
        </is>
      </c>
      <c r="D2734" s="17" t="n">
        <v>46043</v>
      </c>
      <c r="E2734" t="inlineStr">
        <is>
          <t>Ringg AI</t>
        </is>
      </c>
      <c r="F2734" t="inlineStr">
        <is>
          <t>$5.5 million</t>
        </is>
      </c>
      <c r="G2734" s="19" t="n">
        <v>48</v>
      </c>
      <c r="H2734" s="19" t="n">
        <v>5.5</v>
      </c>
      <c r="I2734" t="inlineStr">
        <is>
          <t>Undisclosed</t>
        </is>
      </c>
      <c r="J2734" t="inlineStr">
        <is>
          <t>Arkam Ventures</t>
        </is>
      </c>
      <c r="K2734" t="inlineStr">
        <is>
          <t>https://economictimes.indiatimes.com/tech/funding/voice-ai-startup-ringg-ai-raises-5-5-million-in-round-led-by-akram-ventures/articleshow/126836486.cms</t>
        </is>
      </c>
    </row>
    <row r="2735">
      <c r="A2735" t="inlineStr">
        <is>
          <t>INC-20260124-11</t>
        </is>
      </c>
      <c r="B2735" t="inlineStr">
        <is>
          <t>R260121-ringgai</t>
        </is>
      </c>
      <c r="C2735" t="inlineStr">
        <is>
          <t>Inc42</t>
        </is>
      </c>
      <c r="D2735" s="17" t="n">
        <v>46043</v>
      </c>
      <c r="E2735" t="inlineStr">
        <is>
          <t>Ringg</t>
        </is>
      </c>
      <c r="F2735" t="inlineStr">
        <is>
          <t>$5.5 Mn</t>
        </is>
      </c>
      <c r="G2735" s="19" t="n"/>
      <c r="H2735" s="19" t="n">
        <v>5.5</v>
      </c>
      <c r="I2735" t="inlineStr">
        <is>
          <t>Series A</t>
        </is>
      </c>
      <c r="J2735" t="inlineStr">
        <is>
          <t>Arkam Ventures</t>
        </is>
      </c>
      <c r="K2735" t="inlineStr">
        <is>
          <t>https://inc42.com/buzz/from-emergent-to-juspay-indian-startups-raised-303-mn-this-week/</t>
        </is>
      </c>
    </row>
    <row r="2736">
      <c r="A2736" t="inlineStr">
        <is>
          <t>ENT-11018670</t>
        </is>
      </c>
      <c r="B2736" t="inlineStr">
        <is>
          <t>R260121-sensesemi</t>
        </is>
      </c>
      <c r="C2736" t="inlineStr">
        <is>
          <t>Entrackr</t>
        </is>
      </c>
      <c r="D2736" s="17" t="n">
        <v>46043</v>
      </c>
      <c r="E2736" t="inlineStr">
        <is>
          <t>Sensesemi</t>
        </is>
      </c>
      <c r="F2736" t="inlineStr">
        <is>
          <t>Rs 25 crore</t>
        </is>
      </c>
      <c r="G2736" s="19" t="n">
        <v>25</v>
      </c>
      <c r="H2736" s="19" t="n">
        <v>2.75</v>
      </c>
      <c r="I2736" t="inlineStr">
        <is>
          <t>Seed</t>
        </is>
      </c>
      <c r="J2736" t="inlineStr">
        <is>
          <t>Piper Serica</t>
        </is>
      </c>
      <c r="K2736" t="inlineStr">
        <is>
          <t>https://entrackr.com/snippets/semiconductor-startup-sensesemi-raises-rs-25-cr-led-by-piper-serica-11018670</t>
        </is>
      </c>
    </row>
    <row r="2737">
      <c r="A2737" t="inlineStr">
        <is>
          <t>ET-126841083</t>
        </is>
      </c>
      <c r="B2737" t="inlineStr">
        <is>
          <t>R260121-sensesemi</t>
        </is>
      </c>
      <c r="C2737" t="inlineStr">
        <is>
          <t>The Economic Times</t>
        </is>
      </c>
      <c r="D2737" s="17" t="n">
        <v>46043</v>
      </c>
      <c r="E2737" t="inlineStr">
        <is>
          <t>Sensesemi</t>
        </is>
      </c>
      <c r="F2737" t="inlineStr">
        <is>
          <t>Rs 25 crore</t>
        </is>
      </c>
      <c r="G2737" s="19" t="n">
        <v>25</v>
      </c>
      <c r="H2737" s="19" t="n">
        <v>2.75</v>
      </c>
      <c r="I2737" t="inlineStr">
        <is>
          <t>Seed</t>
        </is>
      </c>
      <c r="J2737" t="inlineStr">
        <is>
          <t>Piper Serica</t>
        </is>
      </c>
      <c r="K2737" t="inlineStr">
        <is>
          <t>https://economictimes.indiatimes.com/tech/funding/fabless-startup-sensesemi-raises-rs-25-crore-to-build-edge-ai-chips/articleshow/126841083.cms</t>
        </is>
      </c>
    </row>
    <row r="2738">
      <c r="A2738" t="inlineStr">
        <is>
          <t>INC-20260124-19</t>
        </is>
      </c>
      <c r="B2738" t="inlineStr">
        <is>
          <t>R260121-sensesemi</t>
        </is>
      </c>
      <c r="C2738" t="inlineStr">
        <is>
          <t>Inc42</t>
        </is>
      </c>
      <c r="D2738" s="17" t="n">
        <v>46043</v>
      </c>
      <c r="E2738" t="inlineStr">
        <is>
          <t>Sensesemi</t>
        </is>
      </c>
      <c r="F2738" t="inlineStr">
        <is>
          <t>$2.7 Mn</t>
        </is>
      </c>
      <c r="G2738" s="19" t="n"/>
      <c r="H2738" s="19" t="n">
        <v>2.7</v>
      </c>
      <c r="I2738" t="inlineStr">
        <is>
          <t>Seed</t>
        </is>
      </c>
      <c r="J2738" t="inlineStr">
        <is>
          <t>Piper Serica</t>
        </is>
      </c>
      <c r="K2738" t="inlineStr">
        <is>
          <t>https://inc42.com/buzz/from-emergent-to-juspay-indian-startups-raised-303-mn-this-week/</t>
        </is>
      </c>
    </row>
    <row r="2739">
      <c r="A2739" t="inlineStr">
        <is>
          <t>ENT-11017911</t>
        </is>
      </c>
      <c r="B2739" t="inlineStr">
        <is>
          <t>R260121-stepout</t>
        </is>
      </c>
      <c r="C2739" t="inlineStr">
        <is>
          <t>Entrackr</t>
        </is>
      </c>
      <c r="D2739" s="17" t="n">
        <v>46043</v>
      </c>
      <c r="E2739" t="inlineStr">
        <is>
          <t>StepOut</t>
        </is>
      </c>
      <c r="F2739" t="inlineStr">
        <is>
          <t>$1.5 million</t>
        </is>
      </c>
      <c r="G2739" s="19" t="n"/>
      <c r="H2739" s="19" t="n">
        <v>1.5</v>
      </c>
      <c r="I2739" t="inlineStr">
        <is>
          <t>Pre-Series A</t>
        </is>
      </c>
      <c r="J2739" t="inlineStr">
        <is>
          <t>Rainmatter</t>
        </is>
      </c>
      <c r="K2739" t="inlineStr">
        <is>
          <t>https://entrackr.com/snippets/sports-tech-startup-stepout-raises-15-mn-led-by-rainmatter-11017911</t>
        </is>
      </c>
    </row>
    <row r="2740">
      <c r="A2740" t="inlineStr">
        <is>
          <t>INC-20260124-25</t>
        </is>
      </c>
      <c r="B2740" t="inlineStr">
        <is>
          <t>R260121-stepout</t>
        </is>
      </c>
      <c r="C2740" t="inlineStr">
        <is>
          <t>Inc42</t>
        </is>
      </c>
      <c r="D2740" s="17" t="n">
        <v>46044</v>
      </c>
      <c r="E2740" t="inlineStr">
        <is>
          <t>StepOut</t>
        </is>
      </c>
      <c r="F2740" t="inlineStr">
        <is>
          <t>$1.5 Mn</t>
        </is>
      </c>
      <c r="G2740" s="19" t="n"/>
      <c r="H2740" s="19" t="n">
        <v>1.5</v>
      </c>
      <c r="I2740" t="inlineStr">
        <is>
          <t>Pre-Series A</t>
        </is>
      </c>
      <c r="J2740" t="inlineStr">
        <is>
          <t>Rainmatter</t>
        </is>
      </c>
      <c r="K2740" t="inlineStr">
        <is>
          <t>https://inc42.com/buzz/from-emergent-to-juspay-indian-startups-raised-303-mn-this-week/</t>
        </is>
      </c>
    </row>
    <row r="2741">
      <c r="A2741" t="inlineStr">
        <is>
          <t>INC-20260124-36</t>
        </is>
      </c>
      <c r="B2741" t="inlineStr">
        <is>
          <t>R260121-xoxoday</t>
        </is>
      </c>
      <c r="C2741" t="inlineStr">
        <is>
          <t>Inc42</t>
        </is>
      </c>
      <c r="D2741" s="17" t="n">
        <v>46043</v>
      </c>
      <c r="E2741" t="inlineStr">
        <is>
          <t>Xoxoday</t>
        </is>
      </c>
      <c r="F2741" t="inlineStr"/>
      <c r="G2741" s="19" t="n"/>
      <c r="H2741" s="19" t="n"/>
      <c r="I2741" t="inlineStr">
        <is>
          <t>Series C</t>
        </is>
      </c>
      <c r="J2741" t="inlineStr">
        <is>
          <t>Apis Partners; 57 Stars</t>
        </is>
      </c>
      <c r="K2741" t="inlineStr">
        <is>
          <t>https://inc42.com/buzz/from-emergent-to-juspay-indian-startups-raised-303-mn-this-week/</t>
        </is>
      </c>
    </row>
    <row r="2742">
      <c r="A2742" t="inlineStr">
        <is>
          <t>ENT-11021031</t>
        </is>
      </c>
      <c r="B2742" t="inlineStr">
        <is>
          <t>R260122-brisiltechnolo</t>
        </is>
      </c>
      <c r="C2742" t="inlineStr">
        <is>
          <t>Entrackr</t>
        </is>
      </c>
      <c r="D2742" s="17" t="n">
        <v>46044</v>
      </c>
      <c r="E2742" t="inlineStr">
        <is>
          <t>Brisil Technologies</t>
        </is>
      </c>
      <c r="F2742" t="inlineStr">
        <is>
          <t>Rs 3 crore</t>
        </is>
      </c>
      <c r="G2742" s="19" t="n">
        <v>3</v>
      </c>
      <c r="H2742" s="19" t="n"/>
      <c r="I2742" t="inlineStr">
        <is>
          <t>Pre-Seed</t>
        </is>
      </c>
      <c r="J2742" t="inlineStr"/>
      <c r="K2742" t="inlineStr">
        <is>
          <t>https://entrackr.com/snippets/climate-tech-startup-brisil-technologies-raises-pre-seed-round-led-by-momentum-capital-11021031</t>
        </is>
      </c>
    </row>
    <row r="2743">
      <c r="A2743" t="inlineStr">
        <is>
          <t>INC-20260124-33</t>
        </is>
      </c>
      <c r="B2743" t="inlineStr">
        <is>
          <t>R260122-brisiltechnolo</t>
        </is>
      </c>
      <c r="C2743" t="inlineStr">
        <is>
          <t>Inc42</t>
        </is>
      </c>
      <c r="D2743" s="17" t="n">
        <v>46044</v>
      </c>
      <c r="E2743" t="inlineStr">
        <is>
          <t>Brisil Technologies</t>
        </is>
      </c>
      <c r="F2743" t="inlineStr">
        <is>
          <t>$327K</t>
        </is>
      </c>
      <c r="G2743" s="19" t="n"/>
      <c r="H2743" s="19" t="n">
        <v>0.327</v>
      </c>
      <c r="I2743" t="inlineStr">
        <is>
          <t>Pre-Seed</t>
        </is>
      </c>
      <c r="J2743" t="inlineStr">
        <is>
          <t>Momentum Capital</t>
        </is>
      </c>
      <c r="K2743" t="inlineStr">
        <is>
          <t>https://inc42.com/buzz/from-emergent-to-juspay-indian-startups-raised-303-mn-this-week/</t>
        </is>
      </c>
    </row>
    <row r="2744">
      <c r="A2744" t="inlineStr">
        <is>
          <t>ENT-11021076</t>
        </is>
      </c>
      <c r="B2744" t="inlineStr">
        <is>
          <t>R260122-chargeup</t>
        </is>
      </c>
      <c r="C2744" t="inlineStr">
        <is>
          <t>Entrackr</t>
        </is>
      </c>
      <c r="D2744" s="17" t="n">
        <v>46044</v>
      </c>
      <c r="E2744" t="inlineStr">
        <is>
          <t>Chargeup</t>
        </is>
      </c>
      <c r="F2744" t="inlineStr">
        <is>
          <t>Rs 22 crore</t>
        </is>
      </c>
      <c r="G2744" s="19" t="n">
        <v>22</v>
      </c>
      <c r="H2744" s="19" t="n">
        <v>2.4</v>
      </c>
      <c r="I2744" t="inlineStr">
        <is>
          <t>Undisclosed</t>
        </is>
      </c>
      <c r="J2744" t="inlineStr"/>
      <c r="K2744" t="inlineStr">
        <is>
          <t>https://entrackr.com/snippets/ian-group-backs-chargeup-in-rs-22-cr-funding-round-11021076</t>
        </is>
      </c>
    </row>
    <row r="2745">
      <c r="A2745" t="inlineStr">
        <is>
          <t>INC-20260124-21</t>
        </is>
      </c>
      <c r="B2745" t="inlineStr">
        <is>
          <t>R260122-chargeup</t>
        </is>
      </c>
      <c r="C2745" t="inlineStr">
        <is>
          <t>Inc42</t>
        </is>
      </c>
      <c r="D2745" s="17" t="n">
        <v>46044</v>
      </c>
      <c r="E2745" t="inlineStr">
        <is>
          <t>Chargeup</t>
        </is>
      </c>
      <c r="F2745" t="inlineStr">
        <is>
          <t>$2.4 Mn</t>
        </is>
      </c>
      <c r="G2745" s="19" t="n"/>
      <c r="H2745" s="19" t="n">
        <v>2.4</v>
      </c>
      <c r="I2745" t="inlineStr">
        <is>
          <t>Undisclosed</t>
        </is>
      </c>
      <c r="J2745" t="inlineStr">
        <is>
          <t>IAN Group</t>
        </is>
      </c>
      <c r="K2745" t="inlineStr">
        <is>
          <t>https://inc42.com/buzz/from-emergent-to-juspay-indian-startups-raised-303-mn-this-week/</t>
        </is>
      </c>
    </row>
    <row r="2746">
      <c r="A2746" t="inlineStr">
        <is>
          <t>INC-20260124-29</t>
        </is>
      </c>
      <c r="B2746" t="inlineStr">
        <is>
          <t>R260122-cosmoserve</t>
        </is>
      </c>
      <c r="C2746" t="inlineStr">
        <is>
          <t>Inc42</t>
        </is>
      </c>
      <c r="D2746" s="17" t="n">
        <v>46044</v>
      </c>
      <c r="E2746" t="inlineStr">
        <is>
          <t>Cosmoserve</t>
        </is>
      </c>
      <c r="F2746" t="inlineStr">
        <is>
          <t>$598K</t>
        </is>
      </c>
      <c r="G2746" s="19" t="n"/>
      <c r="H2746" s="19" t="n">
        <v>0.598</v>
      </c>
      <c r="I2746" t="inlineStr">
        <is>
          <t>Undisclosed</t>
        </is>
      </c>
      <c r="J2746" t="inlineStr">
        <is>
          <t>Arokiaswamy Velumani</t>
        </is>
      </c>
      <c r="K2746" t="inlineStr">
        <is>
          <t>https://inc42.com/buzz/from-emergent-to-juspay-indian-startups-raised-303-mn-this-week/</t>
        </is>
      </c>
    </row>
    <row r="2747">
      <c r="A2747" t="inlineStr">
        <is>
          <t>ENT-11019825</t>
        </is>
      </c>
      <c r="B2747" t="inlineStr">
        <is>
          <t>R260122-escape</t>
        </is>
      </c>
      <c r="C2747" t="inlineStr">
        <is>
          <t>Entrackr</t>
        </is>
      </c>
      <c r="D2747" s="17" t="n">
        <v>46044</v>
      </c>
      <c r="E2747" t="inlineStr">
        <is>
          <t>Escape</t>
        </is>
      </c>
      <c r="F2747" t="inlineStr">
        <is>
          <t>$25 million</t>
        </is>
      </c>
      <c r="G2747" s="19" t="n"/>
      <c r="H2747" s="19" t="n">
        <v>25</v>
      </c>
      <c r="I2747" t="inlineStr">
        <is>
          <t>Series A</t>
        </is>
      </c>
      <c r="J2747" t="inlineStr">
        <is>
          <t>Jungle Ventures; IndiGo Ventures</t>
        </is>
      </c>
      <c r="K2747" t="inlineStr">
        <is>
          <t>https://entrackr.com/news/travel-products-platform-escape-plan-raises-25-mn-led-by-jungle-venture-11019825</t>
        </is>
      </c>
    </row>
    <row r="2748">
      <c r="A2748" t="inlineStr">
        <is>
          <t>ET-127031714</t>
        </is>
      </c>
      <c r="B2748" t="inlineStr">
        <is>
          <t>R260122-escape</t>
        </is>
      </c>
      <c r="C2748" t="inlineStr">
        <is>
          <t>The Economic Times</t>
        </is>
      </c>
      <c r="D2748" s="17" t="n">
        <v>46044</v>
      </c>
      <c r="E2748" t="inlineStr">
        <is>
          <t>Escape</t>
        </is>
      </c>
      <c r="F2748" t="inlineStr">
        <is>
          <t>$25 million</t>
        </is>
      </c>
      <c r="G2748" s="19" t="n"/>
      <c r="H2748" s="19" t="n">
        <v>25</v>
      </c>
      <c r="I2748" t="inlineStr">
        <is>
          <t>Undisclosed</t>
        </is>
      </c>
      <c r="J2748" t="inlineStr">
        <is>
          <t>Jungle Ventures</t>
        </is>
      </c>
      <c r="K2748" t="inlineStr">
        <is>
          <t>https://economictimes.indiatimes.com/tech/funding/travel-accessories-platform-escape-plan-raises-25-million-from-jungle-ventures-others/articleshow/127031714.cms</t>
        </is>
      </c>
    </row>
    <row r="2749">
      <c r="A2749" t="inlineStr">
        <is>
          <t>INC-20260124-04</t>
        </is>
      </c>
      <c r="B2749" t="inlineStr">
        <is>
          <t>R260122-escape</t>
        </is>
      </c>
      <c r="C2749" t="inlineStr">
        <is>
          <t>Inc42</t>
        </is>
      </c>
      <c r="D2749" s="17" t="n">
        <v>46044</v>
      </c>
      <c r="E2749" t="inlineStr">
        <is>
          <t>Escape Plan</t>
        </is>
      </c>
      <c r="F2749" t="inlineStr">
        <is>
          <t>$25 Mn</t>
        </is>
      </c>
      <c r="G2749" s="19" t="n"/>
      <c r="H2749" s="19" t="n">
        <v>25</v>
      </c>
      <c r="I2749" t="inlineStr">
        <is>
          <t>Series A</t>
        </is>
      </c>
      <c r="J2749" t="inlineStr">
        <is>
          <t>Jungle VC</t>
        </is>
      </c>
      <c r="K2749" t="inlineStr">
        <is>
          <t>https://inc42.com/buzz/from-emergent-to-juspay-indian-startups-raised-303-mn-this-week/</t>
        </is>
      </c>
    </row>
    <row r="2750">
      <c r="A2750" t="inlineStr">
        <is>
          <t>ENT-11020653</t>
        </is>
      </c>
      <c r="B2750" t="inlineStr">
        <is>
          <t>R260122-lorazzo</t>
        </is>
      </c>
      <c r="C2750" t="inlineStr">
        <is>
          <t>Entrackr</t>
        </is>
      </c>
      <c r="D2750" s="17" t="n">
        <v>46044</v>
      </c>
      <c r="E2750" t="inlineStr">
        <is>
          <t>Lorazzo</t>
        </is>
      </c>
      <c r="F2750" t="inlineStr">
        <is>
          <t>Rs 5 crore</t>
        </is>
      </c>
      <c r="G2750" s="19" t="n">
        <v>5</v>
      </c>
      <c r="H2750" s="19" t="n"/>
      <c r="I2750" t="inlineStr">
        <is>
          <t>Seed</t>
        </is>
      </c>
      <c r="J2750" t="inlineStr">
        <is>
          <t>Sprout Venture Partners</t>
        </is>
      </c>
      <c r="K2750" t="inlineStr">
        <is>
          <t>https://entrackr.com/snippets/lorazzo-raises-seed-funding-led-by-sprout-venture-and-first-cheque-11020653</t>
        </is>
      </c>
    </row>
    <row r="2751">
      <c r="A2751" t="inlineStr">
        <is>
          <t>INC-20260124-31</t>
        </is>
      </c>
      <c r="B2751" t="inlineStr">
        <is>
          <t>R260122-lorazzo</t>
        </is>
      </c>
      <c r="C2751" t="inlineStr">
        <is>
          <t>Inc42</t>
        </is>
      </c>
      <c r="D2751" s="17" t="n">
        <v>46044</v>
      </c>
      <c r="E2751" t="inlineStr">
        <is>
          <t>Lorazzo</t>
        </is>
      </c>
      <c r="F2751" t="inlineStr">
        <is>
          <t>$545K</t>
        </is>
      </c>
      <c r="G2751" s="19" t="n"/>
      <c r="H2751" s="19" t="n">
        <v>0.545</v>
      </c>
      <c r="I2751" t="inlineStr">
        <is>
          <t>Seed</t>
        </is>
      </c>
      <c r="J2751" t="inlineStr">
        <is>
          <t>Sprout Venture Partners; India Quotient</t>
        </is>
      </c>
      <c r="K2751" t="inlineStr">
        <is>
          <t>https://inc42.com/buzz/from-emergent-to-juspay-indian-startups-raised-303-mn-this-week/</t>
        </is>
      </c>
    </row>
    <row r="2752">
      <c r="A2752" t="inlineStr">
        <is>
          <t>ENT-11021373</t>
        </is>
      </c>
      <c r="B2752" t="inlineStr">
        <is>
          <t>R260122-meineelectric</t>
        </is>
      </c>
      <c r="C2752" t="inlineStr">
        <is>
          <t>Entrackr</t>
        </is>
      </c>
      <c r="D2752" s="17" t="n">
        <v>46044</v>
      </c>
      <c r="E2752" t="inlineStr">
        <is>
          <t>Meine Electric</t>
        </is>
      </c>
      <c r="F2752" t="inlineStr">
        <is>
          <t>$750,000</t>
        </is>
      </c>
      <c r="G2752" s="19" t="n">
        <v>6.7</v>
      </c>
      <c r="H2752" s="19" t="n">
        <v>0.75</v>
      </c>
      <c r="I2752" t="inlineStr">
        <is>
          <t>Pre-Seed</t>
        </is>
      </c>
      <c r="J2752" t="inlineStr">
        <is>
          <t>Antler; Rebalance; Venture Catalysts</t>
        </is>
      </c>
      <c r="K2752" t="inlineStr">
        <is>
          <t>https://entrackr.com/snippets/deeptech-startup-meine-electric-raises-750k-in-pre-seed-round-11021373</t>
        </is>
      </c>
    </row>
    <row r="2753">
      <c r="A2753" t="inlineStr">
        <is>
          <t>INC-20260124-27</t>
        </is>
      </c>
      <c r="B2753" t="inlineStr">
        <is>
          <t>R260122-meineelectric</t>
        </is>
      </c>
      <c r="C2753" t="inlineStr">
        <is>
          <t>Inc42</t>
        </is>
      </c>
      <c r="D2753" s="17" t="n">
        <v>46044</v>
      </c>
      <c r="E2753" t="inlineStr">
        <is>
          <t>Meine Electric</t>
        </is>
      </c>
      <c r="F2753" t="inlineStr">
        <is>
          <t>$750K</t>
        </is>
      </c>
      <c r="G2753" s="19" t="n"/>
      <c r="H2753" s="19" t="n">
        <v>0.75</v>
      </c>
      <c r="I2753" t="inlineStr">
        <is>
          <t>Pre-Seed</t>
        </is>
      </c>
      <c r="J2753" t="inlineStr"/>
      <c r="K2753" t="inlineStr">
        <is>
          <t>https://inc42.com/buzz/from-emergent-to-juspay-indian-startups-raised-303-mn-this-week/</t>
        </is>
      </c>
    </row>
    <row r="2754">
      <c r="A2754" t="inlineStr">
        <is>
          <t>ENT-11020870</t>
        </is>
      </c>
      <c r="B2754" t="inlineStr">
        <is>
          <t>R260122-optimist</t>
        </is>
      </c>
      <c r="C2754" t="inlineStr">
        <is>
          <t>Entrackr</t>
        </is>
      </c>
      <c r="D2754" s="17" t="n">
        <v>46044</v>
      </c>
      <c r="E2754" t="inlineStr">
        <is>
          <t>Optimist</t>
        </is>
      </c>
      <c r="F2754" t="inlineStr">
        <is>
          <t>$12 million</t>
        </is>
      </c>
      <c r="G2754" s="19" t="n"/>
      <c r="H2754" s="19" t="n">
        <v>12</v>
      </c>
      <c r="I2754" t="inlineStr">
        <is>
          <t>Pre-Series A</t>
        </is>
      </c>
      <c r="J2754" t="inlineStr">
        <is>
          <t>Accel; Arkam Ventures</t>
        </is>
      </c>
      <c r="K2754" t="inlineStr">
        <is>
          <t>https://entrackr.com/news/optimist-raises-12-mn-in-seed-round-led-by-accel-and-arkam-ventures-11020870</t>
        </is>
      </c>
    </row>
    <row r="2755">
      <c r="A2755" t="inlineStr">
        <is>
          <t>ET-127116938</t>
        </is>
      </c>
      <c r="B2755" t="inlineStr">
        <is>
          <t>R260122-optimist</t>
        </is>
      </c>
      <c r="C2755" t="inlineStr">
        <is>
          <t>The Economic Times</t>
        </is>
      </c>
      <c r="D2755" s="17" t="n">
        <v>46044</v>
      </c>
      <c r="E2755" t="inlineStr">
        <is>
          <t>Optimist;</t>
        </is>
      </c>
      <c r="F2755" t="inlineStr">
        <is>
          <t>$12 million</t>
        </is>
      </c>
      <c r="G2755" s="19" t="n"/>
      <c r="H2755" s="19" t="n">
        <v>12</v>
      </c>
      <c r="I2755" t="inlineStr">
        <is>
          <t>Undisclosed</t>
        </is>
      </c>
      <c r="J2755" t="inlineStr">
        <is>
          <t>Accel; Arkam Ventures</t>
        </is>
      </c>
      <c r="K2755" t="inlineStr">
        <is>
          <t>https://economictimes.indiatimes.com/tech/startups/urban-ladder-founder-launches-ac-startup-optimist-raises-12-million-from-accel-arkam-ventures-others/articleshow/127116938.cms</t>
        </is>
      </c>
    </row>
    <row r="2756">
      <c r="A2756" t="inlineStr">
        <is>
          <t>INC-20260124-08</t>
        </is>
      </c>
      <c r="B2756" t="inlineStr">
        <is>
          <t>R260122-optimist</t>
        </is>
      </c>
      <c r="C2756" t="inlineStr">
        <is>
          <t>Inc42</t>
        </is>
      </c>
      <c r="D2756" s="17" t="n">
        <v>46044</v>
      </c>
      <c r="E2756" t="inlineStr">
        <is>
          <t>Optimist</t>
        </is>
      </c>
      <c r="F2756" t="inlineStr">
        <is>
          <t>$12 Mn</t>
        </is>
      </c>
      <c r="G2756" s="19" t="n"/>
      <c r="H2756" s="19" t="n">
        <v>12</v>
      </c>
      <c r="I2756" t="inlineStr">
        <is>
          <t>Pre-Series A</t>
        </is>
      </c>
      <c r="J2756" t="inlineStr">
        <is>
          <t>Accel; Arkam Ventures</t>
        </is>
      </c>
      <c r="K2756" t="inlineStr">
        <is>
          <t>https://inc42.com/buzz/from-emergent-to-juspay-indian-startups-raised-303-mn-this-week/</t>
        </is>
      </c>
    </row>
    <row r="2757">
      <c r="A2757" t="inlineStr">
        <is>
          <t>INC-20260124-20</t>
        </is>
      </c>
      <c r="B2757" t="inlineStr">
        <is>
          <t>R260122-propertypistol</t>
        </is>
      </c>
      <c r="C2757" t="inlineStr">
        <is>
          <t>Inc42</t>
        </is>
      </c>
      <c r="D2757" s="17" t="n">
        <v>46044</v>
      </c>
      <c r="E2757" t="inlineStr">
        <is>
          <t>PropertyPistol</t>
        </is>
      </c>
      <c r="F2757" t="inlineStr">
        <is>
          <t>$2.7 Mn</t>
        </is>
      </c>
      <c r="G2757" s="19" t="n"/>
      <c r="H2757" s="19" t="n">
        <v>2.7</v>
      </c>
      <c r="I2757" t="inlineStr">
        <is>
          <t>Pre-Series B</t>
        </is>
      </c>
      <c r="J2757" t="inlineStr">
        <is>
          <t>Ashish Kacholia</t>
        </is>
      </c>
      <c r="K2757" t="inlineStr">
        <is>
          <t>https://inc42.com/buzz/from-emergent-to-juspay-indian-startups-raised-303-mn-this-week/</t>
        </is>
      </c>
    </row>
    <row r="2758">
      <c r="A2758" t="inlineStr">
        <is>
          <t>INC-20260124-18</t>
        </is>
      </c>
      <c r="B2758" t="inlineStr">
        <is>
          <t>R260122-raanasemicondu</t>
        </is>
      </c>
      <c r="C2758" t="inlineStr">
        <is>
          <t>Inc42</t>
        </is>
      </c>
      <c r="D2758" s="17" t="n">
        <v>46044</v>
      </c>
      <c r="E2758" t="inlineStr">
        <is>
          <t>Raana Semiconductor</t>
        </is>
      </c>
      <c r="F2758" t="inlineStr">
        <is>
          <t>$3 Mn</t>
        </is>
      </c>
      <c r="G2758" s="19" t="n"/>
      <c r="H2758" s="19" t="n">
        <v>3</v>
      </c>
      <c r="I2758" t="inlineStr">
        <is>
          <t>Seed</t>
        </is>
      </c>
      <c r="J2758" t="inlineStr">
        <is>
          <t>Equirus Innovatex Fund; Artha Venture Fund</t>
        </is>
      </c>
      <c r="K2758" t="inlineStr">
        <is>
          <t>https://inc42.com/buzz/from-emergent-to-juspay-indian-startups-raised-303-mn-this-week/</t>
        </is>
      </c>
    </row>
    <row r="2759">
      <c r="A2759" t="inlineStr">
        <is>
          <t>ENT-11021693</t>
        </is>
      </c>
      <c r="B2759" t="inlineStr">
        <is>
          <t>R260122-zerocircle</t>
        </is>
      </c>
      <c r="C2759" t="inlineStr">
        <is>
          <t>Entrackr</t>
        </is>
      </c>
      <c r="D2759" s="17" t="n">
        <v>46044</v>
      </c>
      <c r="E2759" t="inlineStr">
        <is>
          <t>Zerocircle</t>
        </is>
      </c>
      <c r="F2759" t="inlineStr">
        <is>
          <t>Rs 5 crore</t>
        </is>
      </c>
      <c r="G2759" s="19" t="n">
        <v>5</v>
      </c>
      <c r="H2759" s="19" t="n"/>
      <c r="I2759" t="inlineStr">
        <is>
          <t>Pre-Series A</t>
        </is>
      </c>
      <c r="J2759" t="inlineStr">
        <is>
          <t>3one4 Capital; Rainmatter Capital</t>
        </is>
      </c>
      <c r="K2759" t="inlineStr">
        <is>
          <t>https://entrackr.com/snippets/materials-science-company-zerocircle-raises-pre-series-a-round-from-3one4-capital-rainmatter-and-others-11021693</t>
        </is>
      </c>
    </row>
    <row r="2760">
      <c r="A2760" t="inlineStr">
        <is>
          <t>INC-20260124-30</t>
        </is>
      </c>
      <c r="B2760" t="inlineStr">
        <is>
          <t>R260122-zerocircle</t>
        </is>
      </c>
      <c r="C2760" t="inlineStr">
        <is>
          <t>Inc42</t>
        </is>
      </c>
      <c r="D2760" s="17" t="n">
        <v>46044</v>
      </c>
      <c r="E2760" t="inlineStr">
        <is>
          <t>Zerocircle</t>
        </is>
      </c>
      <c r="F2760" t="inlineStr">
        <is>
          <t>$545K</t>
        </is>
      </c>
      <c r="G2760" s="19" t="n"/>
      <c r="H2760" s="19" t="n">
        <v>0.545</v>
      </c>
      <c r="I2760" t="inlineStr">
        <is>
          <t>Pre-Series A</t>
        </is>
      </c>
      <c r="J2760" t="inlineStr">
        <is>
          <t>3one4 Capital; Rainmatter</t>
        </is>
      </c>
      <c r="K2760" t="inlineStr">
        <is>
          <t>https://inc42.com/buzz/from-emergent-to-juspay-indian-startups-raised-303-mn-this-week/</t>
        </is>
      </c>
    </row>
    <row r="2761">
      <c r="A2761" t="inlineStr">
        <is>
          <t>ENT-11023613</t>
        </is>
      </c>
      <c r="B2761" t="inlineStr">
        <is>
          <t>R260123-dhunwellness</t>
        </is>
      </c>
      <c r="C2761" t="inlineStr">
        <is>
          <t>Entrackr</t>
        </is>
      </c>
      <c r="D2761" s="17" t="n">
        <v>46045</v>
      </c>
      <c r="E2761" t="inlineStr">
        <is>
          <t>Dhun Wellness</t>
        </is>
      </c>
      <c r="F2761" t="inlineStr">
        <is>
          <t>$4 million</t>
        </is>
      </c>
      <c r="G2761" s="19" t="n">
        <v>36.6</v>
      </c>
      <c r="H2761" s="19" t="n">
        <v>4</v>
      </c>
      <c r="I2761" t="inlineStr">
        <is>
          <t>Undisclosed</t>
        </is>
      </c>
      <c r="J2761" t="inlineStr">
        <is>
          <t>SRF Ltd; Havells India</t>
        </is>
      </c>
      <c r="K2761" t="inlineStr">
        <is>
          <t>https://entrackr.com/snippets/dhun-wellness-raises-4-mn-led-by-srf-and-havells-india-11023613</t>
        </is>
      </c>
    </row>
    <row r="2762">
      <c r="A2762" t="inlineStr">
        <is>
          <t>INC-20260124-15</t>
        </is>
      </c>
      <c r="B2762" t="inlineStr">
        <is>
          <t>R260123-dhunwellness</t>
        </is>
      </c>
      <c r="C2762" t="inlineStr">
        <is>
          <t>Inc42</t>
        </is>
      </c>
      <c r="D2762" s="17" t="n">
        <v>46045</v>
      </c>
      <c r="E2762" t="inlineStr">
        <is>
          <t>Dhun Wellness</t>
        </is>
      </c>
      <c r="F2762" t="inlineStr">
        <is>
          <t>$4 Mn</t>
        </is>
      </c>
      <c r="G2762" s="19" t="n"/>
      <c r="H2762" s="19" t="n">
        <v>4</v>
      </c>
      <c r="I2762" t="inlineStr">
        <is>
          <t>Undisclosed</t>
        </is>
      </c>
      <c r="J2762" t="inlineStr">
        <is>
          <t>SRF Ltd; Havells India</t>
        </is>
      </c>
      <c r="K2762" t="inlineStr">
        <is>
          <t>https://inc42.com/buzz/from-emergent-to-juspay-indian-startups-raised-303-mn-this-week/</t>
        </is>
      </c>
    </row>
    <row r="2763">
      <c r="A2763" t="inlineStr">
        <is>
          <t>ENT-11023645</t>
        </is>
      </c>
      <c r="B2763" t="inlineStr">
        <is>
          <t>R260123-juspay</t>
        </is>
      </c>
      <c r="C2763" t="inlineStr">
        <is>
          <t>Entrackr</t>
        </is>
      </c>
      <c r="D2763" s="17" t="n">
        <v>46045</v>
      </c>
      <c r="E2763" t="inlineStr">
        <is>
          <t>Juspay</t>
        </is>
      </c>
      <c r="F2763" t="inlineStr">
        <is>
          <t>$50 million</t>
        </is>
      </c>
      <c r="G2763" s="19" t="n"/>
      <c r="H2763" s="19" t="n">
        <v>50</v>
      </c>
      <c r="I2763" t="inlineStr">
        <is>
          <t>Series D</t>
        </is>
      </c>
      <c r="J2763" t="inlineStr"/>
      <c r="K2763" t="inlineStr">
        <is>
          <t>https://entrackr.com/news/juspay-raises-50-mn-from-westbridge-capital-at-12-bn-valuation-11023645</t>
        </is>
      </c>
    </row>
    <row r="2764">
      <c r="A2764" t="inlineStr">
        <is>
          <t>ET-127233322</t>
        </is>
      </c>
      <c r="B2764" t="inlineStr">
        <is>
          <t>R260123-juspay</t>
        </is>
      </c>
      <c r="C2764" t="inlineStr">
        <is>
          <t>The Economic Times</t>
        </is>
      </c>
      <c r="D2764" s="17" t="n">
        <v>46045</v>
      </c>
      <c r="E2764" t="inlineStr">
        <is>
          <t>Juspay</t>
        </is>
      </c>
      <c r="F2764" t="inlineStr">
        <is>
          <t>$50 million</t>
        </is>
      </c>
      <c r="G2764" s="19" t="n"/>
      <c r="H2764" s="19" t="n">
        <v>50</v>
      </c>
      <c r="I2764" t="inlineStr">
        <is>
          <t>Undisclosed</t>
        </is>
      </c>
      <c r="J2764" t="inlineStr"/>
      <c r="K2764" t="inlineStr">
        <is>
          <t>https://economictimes.indiatimes.com/tech/funding/juspay-raises-50-million-from-westbridge-capital-at-1-2-billion-valuation/articleshow/127233322.cms</t>
        </is>
      </c>
    </row>
    <row r="2765">
      <c r="A2765" t="inlineStr">
        <is>
          <t>INC-20260124-02</t>
        </is>
      </c>
      <c r="B2765" t="inlineStr">
        <is>
          <t>R260123-juspay</t>
        </is>
      </c>
      <c r="C2765" t="inlineStr">
        <is>
          <t>Inc42</t>
        </is>
      </c>
      <c r="D2765" s="17" t="n">
        <v>46045</v>
      </c>
      <c r="E2765" t="inlineStr">
        <is>
          <t>Juspay</t>
        </is>
      </c>
      <c r="F2765" t="inlineStr">
        <is>
          <t>$50 Mn</t>
        </is>
      </c>
      <c r="G2765" s="19" t="n"/>
      <c r="H2765" s="19" t="n">
        <v>50</v>
      </c>
      <c r="I2765" t="inlineStr">
        <is>
          <t>Series D</t>
        </is>
      </c>
      <c r="J2765" t="inlineStr">
        <is>
          <t>WestBridge Capital</t>
        </is>
      </c>
      <c r="K2765" t="inlineStr">
        <is>
          <t>https://inc42.com/buzz/from-emergent-to-juspay-indian-startups-raised-303-mn-this-week/</t>
        </is>
      </c>
    </row>
    <row r="2766">
      <c r="A2766" t="inlineStr">
        <is>
          <t>ENT-11033252</t>
        </is>
      </c>
      <c r="B2766" t="inlineStr">
        <is>
          <t>R260127-4basecare</t>
        </is>
      </c>
      <c r="C2766" t="inlineStr">
        <is>
          <t>Entrackr</t>
        </is>
      </c>
      <c r="D2766" s="17" t="n">
        <v>46049</v>
      </c>
      <c r="E2766" t="inlineStr">
        <is>
          <t>4baseCare</t>
        </is>
      </c>
      <c r="F2766" t="inlineStr">
        <is>
          <t>Rs 90 crore</t>
        </is>
      </c>
      <c r="G2766" s="19" t="n">
        <v>90</v>
      </c>
      <c r="H2766" s="19" t="n">
        <v>9.800000000000001</v>
      </c>
      <c r="I2766" t="inlineStr">
        <is>
          <t>Series B</t>
        </is>
      </c>
      <c r="J2766" t="inlineStr">
        <is>
          <t>Ashish Kacholia; Lashit Sanghvi</t>
        </is>
      </c>
      <c r="K2766" t="inlineStr">
        <is>
          <t>https://entrackr.com/news/oncology-startup-4basecare-raises-rs-90-cr-led-by-ashish-kacholia-and-lashit-sanghvi-11033252</t>
        </is>
      </c>
    </row>
    <row r="2767">
      <c r="A2767" t="inlineStr">
        <is>
          <t>INC-20260131-02</t>
        </is>
      </c>
      <c r="B2767" t="inlineStr">
        <is>
          <t>R260127-4basecare</t>
        </is>
      </c>
      <c r="C2767" t="inlineStr">
        <is>
          <t>Inc42</t>
        </is>
      </c>
      <c r="D2767" s="17" t="n">
        <v>46049</v>
      </c>
      <c r="E2767" t="inlineStr">
        <is>
          <t>4baseCare</t>
        </is>
      </c>
      <c r="F2767" t="inlineStr">
        <is>
          <t>$9.8 Mn</t>
        </is>
      </c>
      <c r="G2767" s="19" t="n"/>
      <c r="H2767" s="19" t="n">
        <v>9.800000000000001</v>
      </c>
      <c r="I2767" t="inlineStr">
        <is>
          <t>Series B</t>
        </is>
      </c>
      <c r="J2767" t="inlineStr">
        <is>
          <t>Ashish Kacholia; Lashit Sanghvi</t>
        </is>
      </c>
      <c r="K2767" t="inlineStr">
        <is>
          <t>https://inc42.com/buzz/from-easy-home-finance-to-4basecare-indian-startups-raised-96-mn-this-week/</t>
        </is>
      </c>
    </row>
    <row r="2768">
      <c r="A2768" t="inlineStr">
        <is>
          <t>VCC-48f172fb5b</t>
        </is>
      </c>
      <c r="B2768" t="inlineStr">
        <is>
          <t>R260127-4basecare</t>
        </is>
      </c>
      <c r="C2768" t="inlineStr">
        <is>
          <t>VCCircle</t>
        </is>
      </c>
      <c r="D2768" s="17" t="n">
        <v>46049</v>
      </c>
      <c r="E2768" t="inlineStr">
        <is>
          <t>4basecare</t>
        </is>
      </c>
      <c r="F2768" t="inlineStr"/>
      <c r="G2768" s="19" t="n"/>
      <c r="H2768" s="19" t="n"/>
      <c r="I2768" t="inlineStr">
        <is>
          <t>Series B</t>
        </is>
      </c>
      <c r="J2768" t="inlineStr"/>
      <c r="K2768" t="inlineStr">
        <is>
          <t>https://www.vccircle.com/yalicapital-backed-4basecare-raises-series-b-funding</t>
        </is>
      </c>
    </row>
    <row r="2769">
      <c r="A2769" t="inlineStr">
        <is>
          <t>ENT-11034298</t>
        </is>
      </c>
      <c r="B2769" t="inlineStr">
        <is>
          <t>R260127-entellusindust</t>
        </is>
      </c>
      <c r="C2769" t="inlineStr">
        <is>
          <t>Entrackr</t>
        </is>
      </c>
      <c r="D2769" s="17" t="n">
        <v>46049</v>
      </c>
      <c r="E2769" t="inlineStr">
        <is>
          <t>Entellus Industries</t>
        </is>
      </c>
      <c r="F2769" t="inlineStr">
        <is>
          <t>Rs 50 crore</t>
        </is>
      </c>
      <c r="G2769" s="19" t="n">
        <v>50</v>
      </c>
      <c r="H2769" s="19" t="n">
        <v>5.5</v>
      </c>
      <c r="I2769" t="inlineStr">
        <is>
          <t>Undisclosed</t>
        </is>
      </c>
      <c r="J2769" t="inlineStr">
        <is>
          <t>ZeroW</t>
        </is>
      </c>
      <c r="K2769" t="inlineStr">
        <is>
          <t>https://entrackr.com/snippets/entellus-industries-raises-rs-50-cr-from-zerow-11034298</t>
        </is>
      </c>
    </row>
    <row r="2770">
      <c r="A2770" t="inlineStr">
        <is>
          <t>INC-20260131-06</t>
        </is>
      </c>
      <c r="B2770" t="inlineStr">
        <is>
          <t>R260127-entellusindust</t>
        </is>
      </c>
      <c r="C2770" t="inlineStr">
        <is>
          <t>Inc42</t>
        </is>
      </c>
      <c r="D2770" s="17" t="n">
        <v>46049</v>
      </c>
      <c r="E2770" t="inlineStr">
        <is>
          <t>Entellus Industries</t>
        </is>
      </c>
      <c r="F2770" t="inlineStr">
        <is>
          <t>$5.5 Mn</t>
        </is>
      </c>
      <c r="G2770" s="19" t="n"/>
      <c r="H2770" s="19" t="n">
        <v>5.5</v>
      </c>
      <c r="I2770" t="inlineStr">
        <is>
          <t>Undisclosed</t>
        </is>
      </c>
      <c r="J2770" t="inlineStr">
        <is>
          <t>ZeroW</t>
        </is>
      </c>
      <c r="K2770" t="inlineStr">
        <is>
          <t>https://inc42.com/buzz/from-easy-home-finance-to-4basecare-indian-startups-raised-96-mn-this-week/</t>
        </is>
      </c>
    </row>
    <row r="2771">
      <c r="A2771" t="inlineStr">
        <is>
          <t>ENT-11033678</t>
        </is>
      </c>
      <c r="B2771" t="inlineStr">
        <is>
          <t>R260127-mysa</t>
        </is>
      </c>
      <c r="C2771" t="inlineStr">
        <is>
          <t>Entrackr</t>
        </is>
      </c>
      <c r="D2771" s="17" t="n">
        <v>46049</v>
      </c>
      <c r="E2771" t="inlineStr">
        <is>
          <t>Mysa</t>
        </is>
      </c>
      <c r="F2771" t="inlineStr">
        <is>
          <t>$3.4 million</t>
        </is>
      </c>
      <c r="G2771" s="19" t="n"/>
      <c r="H2771" s="19" t="n">
        <v>3.4</v>
      </c>
      <c r="I2771" t="inlineStr">
        <is>
          <t>Undisclosed</t>
        </is>
      </c>
      <c r="J2771" t="inlineStr">
        <is>
          <t>Blume Ventures; Piper Serica</t>
        </is>
      </c>
      <c r="K2771" t="inlineStr">
        <is>
          <t>https://entrackr.com/snippets/b2b-fintech-startup-mysa-bags-34-mn-co-led-by-blume-ventures-and-piper-serica-11033678</t>
        </is>
      </c>
    </row>
    <row r="2772">
      <c r="A2772" t="inlineStr">
        <is>
          <t>ET-127602565</t>
        </is>
      </c>
      <c r="B2772" t="inlineStr">
        <is>
          <t>R260127-mysa</t>
        </is>
      </c>
      <c r="C2772" t="inlineStr">
        <is>
          <t>The Economic Times</t>
        </is>
      </c>
      <c r="D2772" s="17" t="n">
        <v>46049</v>
      </c>
      <c r="E2772" t="inlineStr">
        <is>
          <t>Mysa</t>
        </is>
      </c>
      <c r="F2772" t="inlineStr">
        <is>
          <t>$3.4 million</t>
        </is>
      </c>
      <c r="G2772" s="19" t="n"/>
      <c r="H2772" s="19" t="n">
        <v>3.4</v>
      </c>
      <c r="I2772" t="inlineStr">
        <is>
          <t>Undisclosed</t>
        </is>
      </c>
      <c r="J2772" t="inlineStr">
        <is>
          <t>Blume Ventures; Piper Serica</t>
        </is>
      </c>
      <c r="K2772" t="inlineStr">
        <is>
          <t>https://economictimes.indiatimes.com/tech/funding/fintech-startup-mysa-raises-3-4-million-from-blume-ventures-piper-serica/articleshow/127602565.cms</t>
        </is>
      </c>
    </row>
    <row r="2773">
      <c r="A2773" t="inlineStr">
        <is>
          <t>INC-20260131-10</t>
        </is>
      </c>
      <c r="B2773" t="inlineStr">
        <is>
          <t>R260127-mysa</t>
        </is>
      </c>
      <c r="C2773" t="inlineStr">
        <is>
          <t>Inc42</t>
        </is>
      </c>
      <c r="D2773" s="17" t="n">
        <v>46049</v>
      </c>
      <c r="E2773" t="inlineStr">
        <is>
          <t>Mysa</t>
        </is>
      </c>
      <c r="F2773" t="inlineStr">
        <is>
          <t>$3.4 Mn</t>
        </is>
      </c>
      <c r="G2773" s="19" t="n"/>
      <c r="H2773" s="19" t="n">
        <v>3.4</v>
      </c>
      <c r="I2773" t="inlineStr">
        <is>
          <t>Pre-Series A</t>
        </is>
      </c>
      <c r="J2773" t="inlineStr">
        <is>
          <t>Blume Ventures; Piper Serica</t>
        </is>
      </c>
      <c r="K2773" t="inlineStr">
        <is>
          <t>https://inc42.com/buzz/from-easy-home-finance-to-4basecare-indian-startups-raised-96-mn-this-week/</t>
        </is>
      </c>
    </row>
    <row r="2774">
      <c r="A2774" t="inlineStr">
        <is>
          <t>ENT-11032479</t>
        </is>
      </c>
      <c r="B2774" t="inlineStr">
        <is>
          <t>R260127-nivaancare</t>
        </is>
      </c>
      <c r="C2774" t="inlineStr">
        <is>
          <t>Entrackr</t>
        </is>
      </c>
      <c r="D2774" s="17" t="n">
        <v>46049</v>
      </c>
      <c r="E2774" t="inlineStr">
        <is>
          <t>Nivaan Care</t>
        </is>
      </c>
      <c r="F2774" t="inlineStr">
        <is>
          <t>$7 million</t>
        </is>
      </c>
      <c r="G2774" s="19" t="n"/>
      <c r="H2774" s="19" t="n">
        <v>7</v>
      </c>
      <c r="I2774" t="inlineStr">
        <is>
          <t>Series A</t>
        </is>
      </c>
      <c r="J2774" t="inlineStr">
        <is>
          <t>Sorin Investments</t>
        </is>
      </c>
      <c r="K2774" t="inlineStr">
        <is>
          <t>https://entrackr.com/snippets/nivaan-care-raises-7-mn-in-series-a-round-led-by-sorin-investments-11032479</t>
        </is>
      </c>
    </row>
    <row r="2775">
      <c r="A2775" t="inlineStr">
        <is>
          <t>ET-127592314</t>
        </is>
      </c>
      <c r="B2775" t="inlineStr">
        <is>
          <t>R260127-nivaancare</t>
        </is>
      </c>
      <c r="C2775" t="inlineStr">
        <is>
          <t>The Economic Times</t>
        </is>
      </c>
      <c r="D2775" s="17" t="n">
        <v>46049</v>
      </c>
      <c r="E2775" t="inlineStr">
        <is>
          <t>Nivaan Care</t>
        </is>
      </c>
      <c r="F2775" t="inlineStr">
        <is>
          <t>$7 million</t>
        </is>
      </c>
      <c r="G2775" s="19" t="n"/>
      <c r="H2775" s="19" t="n">
        <v>7</v>
      </c>
      <c r="I2775" t="inlineStr">
        <is>
          <t>Undisclosed</t>
        </is>
      </c>
      <c r="J2775" t="inlineStr">
        <is>
          <t>Sorin Investments</t>
        </is>
      </c>
      <c r="K2775" t="inlineStr">
        <is>
          <t>https://economictimes.indiatimes.com/tech/funding/healthcare-startup-nivaan-care-raises-7-million-in-a-funding-round-led-by-sorin-investments/articleshow/127592314.cms</t>
        </is>
      </c>
    </row>
    <row r="2776">
      <c r="A2776" t="inlineStr">
        <is>
          <t>INC-20260131-05</t>
        </is>
      </c>
      <c r="B2776" t="inlineStr">
        <is>
          <t>R260127-nivaancare</t>
        </is>
      </c>
      <c r="C2776" t="inlineStr">
        <is>
          <t>Inc42</t>
        </is>
      </c>
      <c r="D2776" s="17" t="n">
        <v>46049</v>
      </c>
      <c r="E2776" t="inlineStr">
        <is>
          <t>Nivaan Care</t>
        </is>
      </c>
      <c r="F2776" t="inlineStr">
        <is>
          <t>$7 Mn</t>
        </is>
      </c>
      <c r="G2776" s="19" t="n"/>
      <c r="H2776" s="19" t="n">
        <v>7</v>
      </c>
      <c r="I2776" t="inlineStr">
        <is>
          <t>Series A</t>
        </is>
      </c>
      <c r="J2776" t="inlineStr">
        <is>
          <t>Sorin Investments</t>
        </is>
      </c>
      <c r="K2776" t="inlineStr">
        <is>
          <t>https://inc42.com/buzz/from-easy-home-finance-to-4basecare-indian-startups-raised-96-mn-this-week/</t>
        </is>
      </c>
    </row>
    <row r="2777">
      <c r="A2777" t="inlineStr">
        <is>
          <t>ENT-11032844</t>
        </is>
      </c>
      <c r="B2777" t="inlineStr">
        <is>
          <t>R260127-spotdraft</t>
        </is>
      </c>
      <c r="C2777" t="inlineStr">
        <is>
          <t>Entrackr</t>
        </is>
      </c>
      <c r="D2777" s="17" t="n">
        <v>46049</v>
      </c>
      <c r="E2777" t="inlineStr">
        <is>
          <t>SpotDraft</t>
        </is>
      </c>
      <c r="F2777" t="inlineStr">
        <is>
          <t>$8 million</t>
        </is>
      </c>
      <c r="G2777" s="19" t="n"/>
      <c r="H2777" s="19" t="n">
        <v>8</v>
      </c>
      <c r="I2777" t="inlineStr">
        <is>
          <t>Series B</t>
        </is>
      </c>
      <c r="J2777" t="inlineStr"/>
      <c r="K2777" t="inlineStr">
        <is>
          <t>https://entrackr.com/news/legal-tech-startup-spotdraft-raises-8-mn-in-series-b-extension-11032844</t>
        </is>
      </c>
    </row>
    <row r="2778">
      <c r="A2778" t="inlineStr">
        <is>
          <t>ET-127603427</t>
        </is>
      </c>
      <c r="B2778" t="inlineStr">
        <is>
          <t>R260127-spotdraft</t>
        </is>
      </c>
      <c r="C2778" t="inlineStr">
        <is>
          <t>The Economic Times</t>
        </is>
      </c>
      <c r="D2778" s="17" t="n">
        <v>46049</v>
      </c>
      <c r="E2778" t="inlineStr">
        <is>
          <t>SpotDraft</t>
        </is>
      </c>
      <c r="F2778" t="inlineStr">
        <is>
          <t>$8 million</t>
        </is>
      </c>
      <c r="G2778" s="19" t="n"/>
      <c r="H2778" s="19" t="n">
        <v>8</v>
      </c>
      <c r="I2778" t="inlineStr">
        <is>
          <t>Undisclosed</t>
        </is>
      </c>
      <c r="J2778" t="inlineStr"/>
      <c r="K2778" t="inlineStr">
        <is>
          <t>https://economictimes.indiatimes.com/tech/funding/saas-company-spotdraft-raises-8-million-from-qualcomm-ventures/articleshow/127603427.cms</t>
        </is>
      </c>
    </row>
    <row r="2779">
      <c r="A2779" t="inlineStr">
        <is>
          <t>INC-20260131-04</t>
        </is>
      </c>
      <c r="B2779" t="inlineStr">
        <is>
          <t>R260127-spotdraft</t>
        </is>
      </c>
      <c r="C2779" t="inlineStr">
        <is>
          <t>Inc42</t>
        </is>
      </c>
      <c r="D2779" s="17" t="n">
        <v>46049</v>
      </c>
      <c r="E2779" t="inlineStr">
        <is>
          <t>SpotDraft</t>
        </is>
      </c>
      <c r="F2779" t="inlineStr">
        <is>
          <t>$8 Mn</t>
        </is>
      </c>
      <c r="G2779" s="19" t="n"/>
      <c r="H2779" s="19" t="n">
        <v>8</v>
      </c>
      <c r="I2779" t="inlineStr">
        <is>
          <t>Series B</t>
        </is>
      </c>
      <c r="J2779" t="inlineStr">
        <is>
          <t>Qualcomm Ventures</t>
        </is>
      </c>
      <c r="K2779" t="inlineStr">
        <is>
          <t>https://inc42.com/buzz/from-easy-home-finance-to-4basecare-indian-startups-raised-96-mn-this-week/</t>
        </is>
      </c>
    </row>
    <row r="2780">
      <c r="A2780" t="inlineStr">
        <is>
          <t>ENT-11036130</t>
        </is>
      </c>
      <c r="B2780" t="inlineStr">
        <is>
          <t>R260128-agranilabs</t>
        </is>
      </c>
      <c r="C2780" t="inlineStr">
        <is>
          <t>Entrackr</t>
        </is>
      </c>
      <c r="D2780" s="17" t="n">
        <v>46050</v>
      </c>
      <c r="E2780" t="inlineStr">
        <is>
          <t>Agrani Labs</t>
        </is>
      </c>
      <c r="F2780" t="inlineStr">
        <is>
          <t>$8 million</t>
        </is>
      </c>
      <c r="G2780" s="19" t="n"/>
      <c r="H2780" s="19" t="n">
        <v>8</v>
      </c>
      <c r="I2780" t="inlineStr">
        <is>
          <t>Seed</t>
        </is>
      </c>
      <c r="J2780" t="inlineStr">
        <is>
          <t>Peak XV Partners</t>
        </is>
      </c>
      <c r="K2780" t="inlineStr">
        <is>
          <t>https://entrackr.com/snippets/ai-semiconductor-startup-agrani-labs-raises-8-mn-led-by-peak-xv-11036130</t>
        </is>
      </c>
    </row>
    <row r="2781">
      <c r="A2781" t="inlineStr">
        <is>
          <t>INC-20260131-03</t>
        </is>
      </c>
      <c r="B2781" t="inlineStr">
        <is>
          <t>R260128-agranilabs</t>
        </is>
      </c>
      <c r="C2781" t="inlineStr">
        <is>
          <t>Inc42</t>
        </is>
      </c>
      <c r="D2781" s="17" t="n">
        <v>46050</v>
      </c>
      <c r="E2781" t="inlineStr">
        <is>
          <t>Agrani Labs</t>
        </is>
      </c>
      <c r="F2781" t="inlineStr">
        <is>
          <t>$8 Mn</t>
        </is>
      </c>
      <c r="G2781" s="19" t="n"/>
      <c r="H2781" s="19" t="n">
        <v>8</v>
      </c>
      <c r="I2781" t="inlineStr">
        <is>
          <t>Seed</t>
        </is>
      </c>
      <c r="J2781" t="inlineStr">
        <is>
          <t>Peak XV Partners</t>
        </is>
      </c>
      <c r="K2781" t="inlineStr">
        <is>
          <t>https://inc42.com/buzz/from-easy-home-finance-to-4basecare-indian-startups-raised-96-mn-this-week/</t>
        </is>
      </c>
    </row>
    <row r="2782">
      <c r="A2782" t="inlineStr">
        <is>
          <t>ENT-11036677</t>
        </is>
      </c>
      <c r="B2782" t="inlineStr">
        <is>
          <t>R260128-aquaairx</t>
        </is>
      </c>
      <c r="C2782" t="inlineStr">
        <is>
          <t>Entrackr</t>
        </is>
      </c>
      <c r="D2782" s="17" t="n">
        <v>46050</v>
      </c>
      <c r="E2782" t="inlineStr">
        <is>
          <t>AquaAirX</t>
        </is>
      </c>
      <c r="F2782" t="inlineStr">
        <is>
          <t>Rs 12.5 crore</t>
        </is>
      </c>
      <c r="G2782" s="19" t="n">
        <v>12.5</v>
      </c>
      <c r="H2782" s="19" t="n"/>
      <c r="I2782" t="inlineStr">
        <is>
          <t>Seed</t>
        </is>
      </c>
      <c r="J2782" t="inlineStr">
        <is>
          <t>Rainmatter</t>
        </is>
      </c>
      <c r="K2782" t="inlineStr">
        <is>
          <t>https://entrackr.com/snippets/deep-tech-startup-aquaairx-raises-rs-125-cr-in-seed-round-led-by-rainmatter-11036677</t>
        </is>
      </c>
    </row>
    <row r="2783">
      <c r="A2783" t="inlineStr">
        <is>
          <t>ET-127687239</t>
        </is>
      </c>
      <c r="B2783" t="inlineStr">
        <is>
          <t>R260128-aquaairx</t>
        </is>
      </c>
      <c r="C2783" t="inlineStr">
        <is>
          <t>The Economic Times</t>
        </is>
      </c>
      <c r="D2783" s="17" t="n">
        <v>46050</v>
      </c>
      <c r="E2783" t="inlineStr">
        <is>
          <t>AquaAirX</t>
        </is>
      </c>
      <c r="F2783" t="inlineStr">
        <is>
          <t>Rs 12.5 crore</t>
        </is>
      </c>
      <c r="G2783" s="19" t="n">
        <v>12.5</v>
      </c>
      <c r="H2783" s="19" t="n"/>
      <c r="I2783" t="inlineStr">
        <is>
          <t>Undisclosed</t>
        </is>
      </c>
      <c r="J2783" t="inlineStr">
        <is>
          <t>Rainmatter</t>
        </is>
      </c>
      <c r="K2783" t="inlineStr">
        <is>
          <t>https://economictimes.indiatimes.com/tech/funding/robotics-startup-aquaairx-raises-rs-12-5-crore-from-zerodhas-rainmatter-prime-venture-partners-others/articleshow/127687239.cms</t>
        </is>
      </c>
    </row>
    <row r="2784">
      <c r="A2784" t="inlineStr">
        <is>
          <t>INC-20260131-14</t>
        </is>
      </c>
      <c r="B2784" t="inlineStr">
        <is>
          <t>R260128-aquaairx</t>
        </is>
      </c>
      <c r="C2784" t="inlineStr">
        <is>
          <t>Inc42</t>
        </is>
      </c>
      <c r="D2784" s="17" t="n">
        <v>46050</v>
      </c>
      <c r="E2784" t="inlineStr">
        <is>
          <t>AquaAirX</t>
        </is>
      </c>
      <c r="F2784" t="inlineStr">
        <is>
          <t>$1.4 Mn</t>
        </is>
      </c>
      <c r="G2784" s="19" t="n"/>
      <c r="H2784" s="19" t="n">
        <v>1.4</v>
      </c>
      <c r="I2784" t="inlineStr">
        <is>
          <t>Seed</t>
        </is>
      </c>
      <c r="J2784" t="inlineStr">
        <is>
          <t>Rainmatter</t>
        </is>
      </c>
      <c r="K2784" t="inlineStr">
        <is>
          <t>https://inc42.com/buzz/from-easy-home-finance-to-4basecare-indian-startups-raised-96-mn-this-week/</t>
        </is>
      </c>
    </row>
    <row r="2785">
      <c r="A2785" t="inlineStr">
        <is>
          <t>INC-20260131-11</t>
        </is>
      </c>
      <c r="B2785" t="inlineStr">
        <is>
          <t>R260128-dpropulse</t>
        </is>
      </c>
      <c r="C2785" t="inlineStr">
        <is>
          <t>Inc42</t>
        </is>
      </c>
      <c r="D2785" s="17" t="n">
        <v>46050</v>
      </c>
      <c r="E2785" t="inlineStr">
        <is>
          <t>D-Propulse</t>
        </is>
      </c>
      <c r="F2785" t="inlineStr">
        <is>
          <t>$2.7 Mn</t>
        </is>
      </c>
      <c r="G2785" s="19" t="n"/>
      <c r="H2785" s="19" t="n">
        <v>2.7</v>
      </c>
      <c r="I2785" t="inlineStr">
        <is>
          <t>Undisclosed</t>
        </is>
      </c>
      <c r="J2785" t="inlineStr">
        <is>
          <t>IAN Alpha Fund</t>
        </is>
      </c>
      <c r="K2785" t="inlineStr">
        <is>
          <t>https://inc42.com/buzz/from-easy-home-finance-to-4basecare-indian-startups-raised-96-mn-this-week/</t>
        </is>
      </c>
    </row>
    <row r="2786">
      <c r="A2786" t="inlineStr">
        <is>
          <t>INC-20260131-01</t>
        </is>
      </c>
      <c r="B2786" t="inlineStr">
        <is>
          <t>R260128-easyhomefinanc</t>
        </is>
      </c>
      <c r="C2786" t="inlineStr">
        <is>
          <t>Inc42</t>
        </is>
      </c>
      <c r="D2786" s="17" t="n">
        <v>46050</v>
      </c>
      <c r="E2786" t="inlineStr">
        <is>
          <t>Easy Home Finance</t>
        </is>
      </c>
      <c r="F2786" t="inlineStr">
        <is>
          <t>$30 Mn</t>
        </is>
      </c>
      <c r="G2786" s="19" t="n"/>
      <c r="H2786" s="19" t="n">
        <v>30</v>
      </c>
      <c r="I2786" t="inlineStr">
        <is>
          <t>Series C</t>
        </is>
      </c>
      <c r="J2786" t="inlineStr">
        <is>
          <t>Investcorp</t>
        </is>
      </c>
      <c r="K2786" t="inlineStr">
        <is>
          <t>https://inc42.com/buzz/from-easy-home-finance-to-4basecare-indian-startups-raised-96-mn-this-week/</t>
        </is>
      </c>
    </row>
    <row r="2787">
      <c r="A2787" t="inlineStr">
        <is>
          <t>ENT-11039108</t>
        </is>
      </c>
      <c r="B2787" t="inlineStr">
        <is>
          <t>R260128-easyhomefinanc</t>
        </is>
      </c>
      <c r="C2787" t="inlineStr">
        <is>
          <t>Entrackr</t>
        </is>
      </c>
      <c r="D2787" s="17" t="n">
        <v>46051</v>
      </c>
      <c r="E2787" t="inlineStr">
        <is>
          <t>Easy Home Finance</t>
        </is>
      </c>
      <c r="F2787" t="inlineStr">
        <is>
          <t>$30 million</t>
        </is>
      </c>
      <c r="G2787" s="19" t="n"/>
      <c r="H2787" s="19" t="n">
        <v>30</v>
      </c>
      <c r="I2787" t="inlineStr">
        <is>
          <t>Series C</t>
        </is>
      </c>
      <c r="J2787" t="inlineStr">
        <is>
          <t>Investcorp</t>
        </is>
      </c>
      <c r="K2787" t="inlineStr">
        <is>
          <t>https://entrackr.com/news/easy-home-finance-raises-30-mn-in-series-c-led-by-investcorp-11039108</t>
        </is>
      </c>
    </row>
    <row r="2788">
      <c r="A2788" t="inlineStr">
        <is>
          <t>ET-127716059</t>
        </is>
      </c>
      <c r="B2788" t="inlineStr">
        <is>
          <t>R260128-easyhomefinanc</t>
        </is>
      </c>
      <c r="C2788" t="inlineStr">
        <is>
          <t>The Economic Times</t>
        </is>
      </c>
      <c r="D2788" s="17" t="n">
        <v>46051</v>
      </c>
      <c r="E2788" t="inlineStr">
        <is>
          <t>Easy Home Finance</t>
        </is>
      </c>
      <c r="F2788" t="inlineStr">
        <is>
          <t>$30 million</t>
        </is>
      </c>
      <c r="G2788" s="19" t="n"/>
      <c r="H2788" s="19" t="n">
        <v>30</v>
      </c>
      <c r="I2788" t="inlineStr">
        <is>
          <t>Undisclosed</t>
        </is>
      </c>
      <c r="J2788" t="inlineStr">
        <is>
          <t>Investcorp</t>
        </is>
      </c>
      <c r="K2788" t="inlineStr">
        <is>
          <t>https://economictimes.indiatimes.com/tech/funding/easy-home-finance-secures-30-million-from-investcorp-claypond-capital-smbc-asia/articleshow/127716059.cms</t>
        </is>
      </c>
    </row>
    <row r="2789">
      <c r="A2789" t="inlineStr">
        <is>
          <t>INC-20260131-18</t>
        </is>
      </c>
      <c r="B2789" t="inlineStr">
        <is>
          <t>R260128-koreai</t>
        </is>
      </c>
      <c r="C2789" t="inlineStr">
        <is>
          <t>Inc42</t>
        </is>
      </c>
      <c r="D2789" s="17" t="n">
        <v>46050</v>
      </c>
      <c r="E2789" t="inlineStr">
        <is>
          <t>Kore.ai</t>
        </is>
      </c>
      <c r="F2789" t="inlineStr"/>
      <c r="G2789" s="19" t="n"/>
      <c r="H2789" s="19" t="n"/>
      <c r="I2789" t="inlineStr">
        <is>
          <t>Undisclosed</t>
        </is>
      </c>
      <c r="J2789" t="inlineStr"/>
      <c r="K2789" t="inlineStr">
        <is>
          <t>https://inc42.com/buzz/from-easy-home-finance-to-4basecare-indian-startups-raised-96-mn-this-week/</t>
        </is>
      </c>
    </row>
    <row r="2790">
      <c r="A2790" t="inlineStr">
        <is>
          <t>ENT-11037278</t>
        </is>
      </c>
      <c r="B2790" t="inlineStr">
        <is>
          <t>R260128-sbc</t>
        </is>
      </c>
      <c r="C2790" t="inlineStr">
        <is>
          <t>Entrackr</t>
        </is>
      </c>
      <c r="D2790" s="17" t="n">
        <v>46050</v>
      </c>
      <c r="E2790" t="inlineStr">
        <is>
          <t>SBC LLP</t>
        </is>
      </c>
      <c r="F2790" t="inlineStr">
        <is>
          <t>$11.2 million</t>
        </is>
      </c>
      <c r="G2790" s="19" t="n"/>
      <c r="H2790" s="19" t="n">
        <v>11.2</v>
      </c>
      <c r="I2790" t="inlineStr">
        <is>
          <t>Pre-Series A</t>
        </is>
      </c>
      <c r="J2790" t="inlineStr">
        <is>
          <t>Raju Menon; Suresh Katamreddy</t>
        </is>
      </c>
      <c r="K2790" t="inlineStr">
        <is>
          <t>https://entrackr.com/snippets/sbc-llp-raises-pre-series-a-funding-at-rs-100-cr-valuation-11037278</t>
        </is>
      </c>
    </row>
    <row r="2791">
      <c r="A2791" t="inlineStr">
        <is>
          <t>ENT-11036941</t>
        </is>
      </c>
      <c r="B2791" t="inlineStr">
        <is>
          <t>R260128-scrapuncle</t>
        </is>
      </c>
      <c r="C2791" t="inlineStr">
        <is>
          <t>Entrackr</t>
        </is>
      </c>
      <c r="D2791" s="17" t="n">
        <v>46050</v>
      </c>
      <c r="E2791" t="inlineStr">
        <is>
          <t>ScrapUncle</t>
        </is>
      </c>
      <c r="F2791" t="inlineStr">
        <is>
          <t>Rs 22 crore</t>
        </is>
      </c>
      <c r="G2791" s="19" t="n">
        <v>22</v>
      </c>
      <c r="H2791" s="19" t="n">
        <v>2.4</v>
      </c>
      <c r="I2791" t="inlineStr">
        <is>
          <t>Pre-Series A</t>
        </is>
      </c>
      <c r="J2791" t="inlineStr">
        <is>
          <t>Orios Venture Partners; Acumen Fund</t>
        </is>
      </c>
      <c r="K2791" t="inlineStr">
        <is>
          <t>https://entrackr.com/snippets/clean-tech-startup-scrapuncle-raises-rs-22-cr-in-pre-series-a-round-11036941</t>
        </is>
      </c>
    </row>
    <row r="2792">
      <c r="A2792" t="inlineStr">
        <is>
          <t>INC-20260131-13</t>
        </is>
      </c>
      <c r="B2792" t="inlineStr">
        <is>
          <t>R260128-scrapuncle</t>
        </is>
      </c>
      <c r="C2792" t="inlineStr">
        <is>
          <t>Inc42</t>
        </is>
      </c>
      <c r="D2792" s="17" t="n">
        <v>46050</v>
      </c>
      <c r="E2792" t="inlineStr">
        <is>
          <t>ScrapUncle</t>
        </is>
      </c>
      <c r="F2792" t="inlineStr">
        <is>
          <t>$2.4 Mn</t>
        </is>
      </c>
      <c r="G2792" s="19" t="n"/>
      <c r="H2792" s="19" t="n">
        <v>2.4</v>
      </c>
      <c r="I2792" t="inlineStr">
        <is>
          <t>Pre-Series A</t>
        </is>
      </c>
      <c r="J2792" t="inlineStr">
        <is>
          <t>Orios Venture Partners; Acumen Fund</t>
        </is>
      </c>
      <c r="K2792" t="inlineStr">
        <is>
          <t>https://inc42.com/buzz/from-easy-home-finance-to-4basecare-indian-startups-raised-96-mn-this-week/</t>
        </is>
      </c>
    </row>
    <row r="2793">
      <c r="A2793" t="inlineStr">
        <is>
          <t>ENT-11037420</t>
        </is>
      </c>
      <c r="B2793" t="inlineStr">
        <is>
          <t>R260128-taketwo</t>
        </is>
      </c>
      <c r="C2793" t="inlineStr">
        <is>
          <t>Entrackr</t>
        </is>
      </c>
      <c r="D2793" s="17" t="n">
        <v>46050</v>
      </c>
      <c r="E2793" t="inlineStr">
        <is>
          <t>TakeTwo</t>
        </is>
      </c>
      <c r="F2793" t="inlineStr"/>
      <c r="G2793" s="19" t="n"/>
      <c r="H2793" s="19" t="n"/>
      <c r="I2793" t="inlineStr">
        <is>
          <t>Pre-Seed</t>
        </is>
      </c>
      <c r="J2793" t="inlineStr"/>
      <c r="K2793" t="inlineStr">
        <is>
          <t>https://entrackr.com/snippets/ai-film-studio-taketwo-secures-funding-at-rs-100-cr-valuation-in-pre-seed-round-11037420</t>
        </is>
      </c>
    </row>
    <row r="2794">
      <c r="A2794" t="inlineStr">
        <is>
          <t>ENT-11037047</t>
        </is>
      </c>
      <c r="B2794" t="inlineStr">
        <is>
          <t>R260128-thestack</t>
        </is>
      </c>
      <c r="C2794" t="inlineStr">
        <is>
          <t>Entrackr</t>
        </is>
      </c>
      <c r="D2794" s="17" t="n">
        <v>46050</v>
      </c>
      <c r="E2794" t="inlineStr">
        <is>
          <t>The Stack</t>
        </is>
      </c>
      <c r="F2794" t="inlineStr">
        <is>
          <t>Rs 5.5 crore</t>
        </is>
      </c>
      <c r="G2794" s="19" t="n">
        <v>5.5</v>
      </c>
      <c r="H2794" s="19" t="n"/>
      <c r="I2794" t="inlineStr">
        <is>
          <t>Pre-Seed</t>
        </is>
      </c>
      <c r="J2794" t="inlineStr">
        <is>
          <t>OTP Ventures; Huddle Ventures</t>
        </is>
      </c>
      <c r="K2794" t="inlineStr">
        <is>
          <t>https://entrackr.com/snippets/supplements-brand-the-stack-raises-pre-seed-funding-11037047</t>
        </is>
      </c>
    </row>
    <row r="2795">
      <c r="A2795" t="inlineStr">
        <is>
          <t>INC-20260131-16</t>
        </is>
      </c>
      <c r="B2795" t="inlineStr">
        <is>
          <t>R260128-thestack</t>
        </is>
      </c>
      <c r="C2795" t="inlineStr">
        <is>
          <t>Inc42</t>
        </is>
      </c>
      <c r="D2795" s="17" t="n">
        <v>46050</v>
      </c>
      <c r="E2795" t="inlineStr">
        <is>
          <t>The Stack</t>
        </is>
      </c>
      <c r="F2795" t="inlineStr">
        <is>
          <t>$660K</t>
        </is>
      </c>
      <c r="G2795" s="19" t="n"/>
      <c r="H2795" s="19" t="n">
        <v>0.66</v>
      </c>
      <c r="I2795" t="inlineStr">
        <is>
          <t>Pre-Seed</t>
        </is>
      </c>
      <c r="J2795" t="inlineStr">
        <is>
          <t>OTP Ventures; Huddle Ventures</t>
        </is>
      </c>
      <c r="K2795" t="inlineStr">
        <is>
          <t>https://inc42.com/buzz/from-easy-home-finance-to-4basecare-indian-startups-raised-96-mn-this-week/</t>
        </is>
      </c>
    </row>
    <row r="2796">
      <c r="A2796" t="inlineStr">
        <is>
          <t>INC-20260131-07</t>
        </is>
      </c>
      <c r="B2796" t="inlineStr">
        <is>
          <t>R260128-vimaglabs</t>
        </is>
      </c>
      <c r="C2796" t="inlineStr">
        <is>
          <t>Inc42</t>
        </is>
      </c>
      <c r="D2796" s="17" t="n">
        <v>46050</v>
      </c>
      <c r="E2796" t="inlineStr">
        <is>
          <t>Vimag Labs</t>
        </is>
      </c>
      <c r="F2796" t="inlineStr">
        <is>
          <t>$5 Mn</t>
        </is>
      </c>
      <c r="G2796" s="19" t="n"/>
      <c r="H2796" s="19" t="n">
        <v>5</v>
      </c>
      <c r="I2796" t="inlineStr">
        <is>
          <t>Series A</t>
        </is>
      </c>
      <c r="J2796" t="inlineStr">
        <is>
          <t>Accel</t>
        </is>
      </c>
      <c r="K2796" t="inlineStr">
        <is>
          <t>https://inc42.com/buzz/from-easy-home-finance-to-4basecare-indian-startups-raised-96-mn-this-week/</t>
        </is>
      </c>
    </row>
    <row r="2797">
      <c r="A2797" t="inlineStr">
        <is>
          <t>ENT-11039322</t>
        </is>
      </c>
      <c r="B2797" t="inlineStr">
        <is>
          <t>R260128-vimaglabs</t>
        </is>
      </c>
      <c r="C2797" t="inlineStr">
        <is>
          <t>Entrackr</t>
        </is>
      </c>
      <c r="D2797" s="17" t="n">
        <v>46051</v>
      </c>
      <c r="E2797" t="inlineStr">
        <is>
          <t>Vimag Labs</t>
        </is>
      </c>
      <c r="F2797" t="inlineStr">
        <is>
          <t>$5 million</t>
        </is>
      </c>
      <c r="G2797" s="19" t="n"/>
      <c r="H2797" s="19" t="n">
        <v>5</v>
      </c>
      <c r="I2797" t="inlineStr">
        <is>
          <t>Undisclosed</t>
        </is>
      </c>
      <c r="J2797" t="inlineStr">
        <is>
          <t>Accel; Thinkuvate</t>
        </is>
      </c>
      <c r="K2797" t="inlineStr">
        <is>
          <t>https://entrackr.com/snippets/deep-tech-startup-vimag-labs-raises-5-mn-led-by-accel-11039322</t>
        </is>
      </c>
    </row>
    <row r="2798">
      <c r="A2798" t="inlineStr">
        <is>
          <t>ET-127715178</t>
        </is>
      </c>
      <c r="B2798" t="inlineStr">
        <is>
          <t>R260128-vimaglabs</t>
        </is>
      </c>
      <c r="C2798" t="inlineStr">
        <is>
          <t>The Economic Times</t>
        </is>
      </c>
      <c r="D2798" s="17" t="n">
        <v>46051</v>
      </c>
      <c r="E2798" t="inlineStr">
        <is>
          <t>Vimag Labs</t>
        </is>
      </c>
      <c r="F2798" t="inlineStr">
        <is>
          <t>$5 million</t>
        </is>
      </c>
      <c r="G2798" s="19" t="n"/>
      <c r="H2798" s="19" t="n">
        <v>5</v>
      </c>
      <c r="I2798" t="inlineStr">
        <is>
          <t>Undisclosed</t>
        </is>
      </c>
      <c r="J2798" t="inlineStr">
        <is>
          <t>Accel</t>
        </is>
      </c>
      <c r="K2798" t="inlineStr">
        <is>
          <t>https://economictimes.indiatimes.com/tech/funding/vimag-labs-raises-5-million-in-round-led-by-accel/articleshow/127715178.cms</t>
        </is>
      </c>
    </row>
    <row r="2799">
      <c r="A2799" t="inlineStr">
        <is>
          <t>ENT-11039023</t>
        </is>
      </c>
      <c r="B2799" t="inlineStr">
        <is>
          <t>R260129-1buyai</t>
        </is>
      </c>
      <c r="C2799" t="inlineStr">
        <is>
          <t>Entrackr</t>
        </is>
      </c>
      <c r="D2799" s="17" t="n">
        <v>46051</v>
      </c>
      <c r="E2799" t="inlineStr">
        <is>
          <t>1Buy.AI</t>
        </is>
      </c>
      <c r="F2799" t="inlineStr">
        <is>
          <t>Rs 32.5 crore</t>
        </is>
      </c>
      <c r="G2799" s="19" t="n">
        <v>32.5</v>
      </c>
      <c r="H2799" s="19" t="n"/>
      <c r="I2799" t="inlineStr">
        <is>
          <t>Seed</t>
        </is>
      </c>
      <c r="J2799" t="inlineStr">
        <is>
          <t>100Unicorns; Gruhas; FJ Labs</t>
        </is>
      </c>
      <c r="K2799" t="inlineStr">
        <is>
          <t>https://entrackr.com/snippets/1buyai-raises-rs-325-cr-in-seed-round-led-by-100unicorns-11039023</t>
        </is>
      </c>
    </row>
    <row r="2800">
      <c r="A2800" t="inlineStr">
        <is>
          <t>ET-127716212</t>
        </is>
      </c>
      <c r="B2800" t="inlineStr">
        <is>
          <t>R260129-1buyai</t>
        </is>
      </c>
      <c r="C2800" t="inlineStr">
        <is>
          <t>The Economic Times</t>
        </is>
      </c>
      <c r="D2800" s="17" t="n">
        <v>46051</v>
      </c>
      <c r="E2800" t="inlineStr">
        <is>
          <t>1Buy.ai</t>
        </is>
      </c>
      <c r="F2800" t="inlineStr">
        <is>
          <t>Rs 32.5 crore</t>
        </is>
      </c>
      <c r="G2800" s="19" t="n">
        <v>32.5</v>
      </c>
      <c r="H2800" s="19" t="n"/>
      <c r="I2800" t="inlineStr">
        <is>
          <t>Undisclosed</t>
        </is>
      </c>
      <c r="J2800" t="inlineStr">
        <is>
          <t>100 Unicorns</t>
        </is>
      </c>
      <c r="K2800" t="inlineStr">
        <is>
          <t>https://economictimes.indiatimes.com/tech/startups/procurement-tech-firm-1buy-ai-raises-rs-32-crore-led-by-100-unicorns/articleshow/127716212.cms</t>
        </is>
      </c>
    </row>
    <row r="2801">
      <c r="A2801" t="inlineStr">
        <is>
          <t>INC-20260131-09</t>
        </is>
      </c>
      <c r="B2801" t="inlineStr">
        <is>
          <t>R260129-1buyai</t>
        </is>
      </c>
      <c r="C2801" t="inlineStr">
        <is>
          <t>Inc42</t>
        </is>
      </c>
      <c r="D2801" s="17" t="n">
        <v>46051</v>
      </c>
      <c r="E2801" t="inlineStr">
        <is>
          <t>1Buy.AI</t>
        </is>
      </c>
      <c r="F2801" t="inlineStr">
        <is>
          <t>$3.5 Mn</t>
        </is>
      </c>
      <c r="G2801" s="19" t="n"/>
      <c r="H2801" s="19" t="n">
        <v>3.5</v>
      </c>
      <c r="I2801" t="inlineStr">
        <is>
          <t>Seed</t>
        </is>
      </c>
      <c r="J2801" t="inlineStr">
        <is>
          <t>100Unicorns</t>
        </is>
      </c>
      <c r="K2801" t="inlineStr">
        <is>
          <t>https://inc42.com/buzz/from-easy-home-finance-to-4basecare-indian-startups-raised-96-mn-this-week/</t>
        </is>
      </c>
    </row>
    <row r="2802">
      <c r="A2802" t="inlineStr">
        <is>
          <t>ENT-11039707</t>
        </is>
      </c>
      <c r="B2802" t="inlineStr">
        <is>
          <t>R260129-biopeak</t>
        </is>
      </c>
      <c r="C2802" t="inlineStr">
        <is>
          <t>Entrackr</t>
        </is>
      </c>
      <c r="D2802" s="17" t="n">
        <v>46051</v>
      </c>
      <c r="E2802" t="inlineStr">
        <is>
          <t>Biopeak</t>
        </is>
      </c>
      <c r="F2802" t="inlineStr">
        <is>
          <t>$2.7 million</t>
        </is>
      </c>
      <c r="G2802" s="19" t="n"/>
      <c r="H2802" s="19" t="n">
        <v>2.7</v>
      </c>
      <c r="I2802" t="inlineStr">
        <is>
          <t>Undisclosed</t>
        </is>
      </c>
      <c r="J2802" t="inlineStr">
        <is>
          <t>NKSquared; Nikhil Kamath</t>
        </is>
      </c>
      <c r="K2802" t="inlineStr">
        <is>
          <t>https://entrackr.com/snippets/health-tech-startup-biopeak-raises-27-mn-led-by-nikhil-kamaths-nksquared-11039707</t>
        </is>
      </c>
    </row>
    <row r="2803">
      <c r="A2803" t="inlineStr">
        <is>
          <t>ET-127763628</t>
        </is>
      </c>
      <c r="B2803" t="inlineStr">
        <is>
          <t>R260129-biopeak</t>
        </is>
      </c>
      <c r="C2803" t="inlineStr">
        <is>
          <t>The Economic Times</t>
        </is>
      </c>
      <c r="D2803" s="17" t="n">
        <v>46051</v>
      </c>
      <c r="E2803" t="inlineStr">
        <is>
          <t>Biopeak</t>
        </is>
      </c>
      <c r="F2803" t="inlineStr">
        <is>
          <t>$2.7 million</t>
        </is>
      </c>
      <c r="G2803" s="19" t="n"/>
      <c r="H2803" s="19" t="n">
        <v>2.7</v>
      </c>
      <c r="I2803" t="inlineStr">
        <is>
          <t>Undisclosed</t>
        </is>
      </c>
      <c r="J2803" t="inlineStr">
        <is>
          <t>NKSquared; Nikhil Kamath</t>
        </is>
      </c>
      <c r="K2803" t="inlineStr">
        <is>
          <t>https://economictimes.indiatimes.com/tech/funding/nikhil-kamath-invests-2-7-million-in-longevity-startup-biopeak/articleshow/127763628.cms</t>
        </is>
      </c>
    </row>
    <row r="2804">
      <c r="A2804" t="inlineStr">
        <is>
          <t>INC-20260131-12</t>
        </is>
      </c>
      <c r="B2804" t="inlineStr">
        <is>
          <t>R260129-biopeak</t>
        </is>
      </c>
      <c r="C2804" t="inlineStr">
        <is>
          <t>Inc42</t>
        </is>
      </c>
      <c r="D2804" s="17" t="n">
        <v>46051</v>
      </c>
      <c r="E2804" t="inlineStr">
        <is>
          <t>Biopeak</t>
        </is>
      </c>
      <c r="F2804" t="inlineStr">
        <is>
          <t>$2.7 Mn</t>
        </is>
      </c>
      <c r="G2804" s="19" t="n"/>
      <c r="H2804" s="19" t="n">
        <v>2.7</v>
      </c>
      <c r="I2804" t="inlineStr">
        <is>
          <t>Undisclosed</t>
        </is>
      </c>
      <c r="J2804" t="inlineStr">
        <is>
          <t>NKSquared</t>
        </is>
      </c>
      <c r="K2804" t="inlineStr">
        <is>
          <t>https://inc42.com/buzz/from-easy-home-finance-to-4basecare-indian-startups-raised-96-mn-this-week/</t>
        </is>
      </c>
    </row>
    <row r="2805">
      <c r="A2805" t="inlineStr">
        <is>
          <t>ENT-11055826</t>
        </is>
      </c>
      <c r="B2805" t="inlineStr">
        <is>
          <t>R260129-cavaathleisure</t>
        </is>
      </c>
      <c r="C2805" t="inlineStr">
        <is>
          <t>Entrackr</t>
        </is>
      </c>
      <c r="D2805" s="17" t="n">
        <v>46051</v>
      </c>
      <c r="E2805" t="inlineStr">
        <is>
          <t>Cava Athleisure</t>
        </is>
      </c>
      <c r="F2805" t="inlineStr">
        <is>
          <t>Rs 40 crore</t>
        </is>
      </c>
      <c r="G2805" s="19" t="n">
        <v>40</v>
      </c>
      <c r="H2805" s="19" t="n"/>
      <c r="I2805" t="inlineStr">
        <is>
          <t>Series A</t>
        </is>
      </c>
      <c r="J2805" t="inlineStr">
        <is>
          <t>Sharrp Ventures</t>
        </is>
      </c>
      <c r="K2805" t="inlineStr">
        <is>
          <t>https://entrackr.com/snippets/cava-athleisure-secures-rs-40-cr-in-series-a-round-led-by-sharrp-ventures-11055826</t>
        </is>
      </c>
    </row>
    <row r="2806">
      <c r="A2806" t="inlineStr">
        <is>
          <t>INC-20260131-08</t>
        </is>
      </c>
      <c r="B2806" t="inlineStr">
        <is>
          <t>R260129-cavaathleisure</t>
        </is>
      </c>
      <c r="C2806" t="inlineStr">
        <is>
          <t>Inc42</t>
        </is>
      </c>
      <c r="D2806" s="17" t="n">
        <v>46051</v>
      </c>
      <c r="E2806" t="inlineStr">
        <is>
          <t>CAVA Athleisure</t>
        </is>
      </c>
      <c r="F2806" t="inlineStr">
        <is>
          <t>$4.4 Mn</t>
        </is>
      </c>
      <c r="G2806" s="19" t="n"/>
      <c r="H2806" s="19" t="n">
        <v>4.4</v>
      </c>
      <c r="I2806" t="inlineStr">
        <is>
          <t>Series A</t>
        </is>
      </c>
      <c r="J2806" t="inlineStr">
        <is>
          <t>Sharrp Ventures</t>
        </is>
      </c>
      <c r="K2806" t="inlineStr">
        <is>
          <t>https://inc42.com/buzz/from-easy-home-finance-to-4basecare-indian-startups-raised-96-mn-this-week/</t>
        </is>
      </c>
    </row>
    <row r="2807">
      <c r="A2807" t="inlineStr">
        <is>
          <t>ENT-11038751</t>
        </is>
      </c>
      <c r="B2807" t="inlineStr">
        <is>
          <t>R260129-earthsync</t>
        </is>
      </c>
      <c r="C2807" t="inlineStr">
        <is>
          <t>Entrackr</t>
        </is>
      </c>
      <c r="D2807" s="17" t="n">
        <v>46051</v>
      </c>
      <c r="E2807" t="inlineStr">
        <is>
          <t>EarthSync</t>
        </is>
      </c>
      <c r="F2807" t="inlineStr">
        <is>
          <t>$1 million</t>
        </is>
      </c>
      <c r="G2807" s="19" t="n"/>
      <c r="H2807" s="19" t="n">
        <v>1</v>
      </c>
      <c r="I2807" t="inlineStr">
        <is>
          <t>Pre-Seed</t>
        </is>
      </c>
      <c r="J2807" t="inlineStr">
        <is>
          <t>Theia Ventures</t>
        </is>
      </c>
      <c r="K2807" t="inlineStr">
        <is>
          <t>https://entrackr.com/snippets/earthsync-raises-1-mn-in-pre-seed-round-led-by-theia-ventures-11038751</t>
        </is>
      </c>
    </row>
    <row r="2808">
      <c r="A2808" t="inlineStr">
        <is>
          <t>INC-20260131-15</t>
        </is>
      </c>
      <c r="B2808" t="inlineStr">
        <is>
          <t>R260129-earthsync</t>
        </is>
      </c>
      <c r="C2808" t="inlineStr">
        <is>
          <t>Inc42</t>
        </is>
      </c>
      <c r="D2808" s="17" t="n">
        <v>46051</v>
      </c>
      <c r="E2808" t="inlineStr">
        <is>
          <t>EarthSync</t>
        </is>
      </c>
      <c r="F2808" t="inlineStr">
        <is>
          <t>$1 Mn</t>
        </is>
      </c>
      <c r="G2808" s="19" t="n"/>
      <c r="H2808" s="19" t="n">
        <v>1</v>
      </c>
      <c r="I2808" t="inlineStr">
        <is>
          <t>Pre-Seed</t>
        </is>
      </c>
      <c r="J2808" t="inlineStr">
        <is>
          <t>Theia Ventures</t>
        </is>
      </c>
      <c r="K2808" t="inlineStr">
        <is>
          <t>https://inc42.com/buzz/from-easy-home-finance-to-4basecare-indian-startups-raised-96-mn-this-week/</t>
        </is>
      </c>
    </row>
    <row r="2809">
      <c r="A2809" t="inlineStr">
        <is>
          <t>ENT-11039524</t>
        </is>
      </c>
      <c r="B2809" t="inlineStr">
        <is>
          <t>R260129-onearvo</t>
        </is>
      </c>
      <c r="C2809" t="inlineStr">
        <is>
          <t>Entrackr</t>
        </is>
      </c>
      <c r="D2809" s="17" t="n">
        <v>46051</v>
      </c>
      <c r="E2809" t="inlineStr">
        <is>
          <t>OneARVO</t>
        </is>
      </c>
      <c r="F2809" t="inlineStr">
        <is>
          <t>Rs 1.23 crore</t>
        </is>
      </c>
      <c r="G2809" s="19" t="n">
        <v>1.23</v>
      </c>
      <c r="H2809" s="19" t="n"/>
      <c r="I2809" t="inlineStr">
        <is>
          <t>Pre-Seed</t>
        </is>
      </c>
      <c r="J2809" t="inlineStr">
        <is>
          <t>Inflection Point Ventures</t>
        </is>
      </c>
      <c r="K2809" t="inlineStr">
        <is>
          <t>https://entrackr.com/snippets/deep-tech-startup-onearvo-raises-pre-seed-round-led-by-ipv-11039524</t>
        </is>
      </c>
    </row>
    <row r="2810">
      <c r="A2810" t="inlineStr">
        <is>
          <t>INC-20260131-17</t>
        </is>
      </c>
      <c r="B2810" t="inlineStr">
        <is>
          <t>R260129-onearvo</t>
        </is>
      </c>
      <c r="C2810" t="inlineStr">
        <is>
          <t>Inc42</t>
        </is>
      </c>
      <c r="D2810" s="17" t="n">
        <v>46051</v>
      </c>
      <c r="E2810" t="inlineStr">
        <is>
          <t>OneARVO</t>
        </is>
      </c>
      <c r="F2810" t="inlineStr">
        <is>
          <t>$134K</t>
        </is>
      </c>
      <c r="G2810" s="19" t="n"/>
      <c r="H2810" s="19" t="n">
        <v>0.134</v>
      </c>
      <c r="I2810" t="inlineStr">
        <is>
          <t>Pre-Seed</t>
        </is>
      </c>
      <c r="J2810" t="inlineStr">
        <is>
          <t>Inflection Point Ventures</t>
        </is>
      </c>
      <c r="K2810" t="inlineStr">
        <is>
          <t>https://inc42.com/buzz/from-easy-home-finance-to-4basecare-indian-startups-raised-96-mn-this-week/</t>
        </is>
      </c>
    </row>
    <row r="2811">
      <c r="A2811" t="inlineStr">
        <is>
          <t>ET-127805796</t>
        </is>
      </c>
      <c r="B2811" t="inlineStr">
        <is>
          <t>R260131-jjgaero</t>
        </is>
      </c>
      <c r="C2811" t="inlineStr">
        <is>
          <t>The Economic Times</t>
        </is>
      </c>
      <c r="D2811" s="17" t="n">
        <v>46053</v>
      </c>
      <c r="E2811" t="inlineStr">
        <is>
          <t>JJG Aero</t>
        </is>
      </c>
      <c r="F2811" t="inlineStr">
        <is>
          <t>$30 million</t>
        </is>
      </c>
      <c r="G2811" s="19" t="n"/>
      <c r="H2811" s="19" t="n">
        <v>30</v>
      </c>
      <c r="I2811" t="inlineStr">
        <is>
          <t>Undisclosed</t>
        </is>
      </c>
      <c r="J2811" t="inlineStr">
        <is>
          <t>Norwest</t>
        </is>
      </c>
      <c r="K2811" t="inlineStr">
        <is>
          <t>https://economictimes.indiatimes.com/tech/funding/jjg-aero-raises-30-million-from-norwest-to-scale-capacity/articleshow/127805796.cms</t>
        </is>
      </c>
    </row>
    <row r="2812">
      <c r="A2812" t="inlineStr">
        <is>
          <t>ENT-11066196</t>
        </is>
      </c>
      <c r="B2812" t="inlineStr">
        <is>
          <t>R260131-jjgaero</t>
        </is>
      </c>
      <c r="C2812" t="inlineStr">
        <is>
          <t>Entrackr</t>
        </is>
      </c>
      <c r="D2812" s="17" t="n">
        <v>46055</v>
      </c>
      <c r="E2812" t="inlineStr">
        <is>
          <t>JJG Aero</t>
        </is>
      </c>
      <c r="F2812" t="inlineStr">
        <is>
          <t>$30 million</t>
        </is>
      </c>
      <c r="G2812" s="19" t="n"/>
      <c r="H2812" s="19" t="n">
        <v>30</v>
      </c>
      <c r="I2812" t="inlineStr">
        <is>
          <t>Undisclosed</t>
        </is>
      </c>
      <c r="J2812" t="inlineStr">
        <is>
          <t>Norwest</t>
        </is>
      </c>
      <c r="K2812" t="inlineStr">
        <is>
          <t>https://entrackr.com/news/aerospace-components-manufacturer-jjg-aero-raises-30-mn-led-by-norwest-11066196</t>
        </is>
      </c>
    </row>
    <row r="2813">
      <c r="A2813" t="inlineStr">
        <is>
          <t>VCC-c8ce765c53</t>
        </is>
      </c>
      <c r="B2813" t="inlineStr">
        <is>
          <t>R260131-jjgaero</t>
        </is>
      </c>
      <c r="C2813" t="inlineStr">
        <is>
          <t>VCCircle</t>
        </is>
      </c>
      <c r="D2813" s="17" t="n">
        <v>46055</v>
      </c>
      <c r="E2813" t="inlineStr">
        <is>
          <t>jjg aero</t>
        </is>
      </c>
      <c r="F2813" t="inlineStr"/>
      <c r="G2813" s="19" t="n"/>
      <c r="H2813" s="19" t="n"/>
      <c r="I2813" t="inlineStr">
        <is>
          <t>Series B</t>
        </is>
      </c>
      <c r="J2813" t="inlineStr"/>
      <c r="K2813" t="inlineStr">
        <is>
          <t>https://www.vccircle.com/pebacked-aerospace-parts-maker-jjg-aero-raises-series-b</t>
        </is>
      </c>
    </row>
    <row r="2814">
      <c r="A2814" t="inlineStr">
        <is>
          <t>ENT-11066996</t>
        </is>
      </c>
      <c r="B2814" t="inlineStr">
        <is>
          <t>R260202-dreamflyinnova</t>
        </is>
      </c>
      <c r="C2814" t="inlineStr">
        <is>
          <t>Entrackr</t>
        </is>
      </c>
      <c r="D2814" s="17" t="n">
        <v>46055</v>
      </c>
      <c r="E2814" t="inlineStr">
        <is>
          <t>Dreamfly Innovations</t>
        </is>
      </c>
      <c r="F2814" t="inlineStr">
        <is>
          <t>Rs 3 crore</t>
        </is>
      </c>
      <c r="G2814" s="19" t="n">
        <v>3</v>
      </c>
      <c r="H2814" s="19" t="n"/>
      <c r="I2814" t="inlineStr">
        <is>
          <t>Debt</t>
        </is>
      </c>
      <c r="J2814" t="inlineStr"/>
      <c r="K2814" t="inlineStr">
        <is>
          <t>https://entrackr.com/snippets/dreamfly-innovations-raises-rs-3-cr-debt-from-sidbi-11066996</t>
        </is>
      </c>
    </row>
    <row r="2815">
      <c r="A2815" t="inlineStr">
        <is>
          <t>INC-20260207-16</t>
        </is>
      </c>
      <c r="B2815" t="inlineStr">
        <is>
          <t>R260202-dreamflyinnova</t>
        </is>
      </c>
      <c r="C2815" t="inlineStr">
        <is>
          <t>Inc42</t>
        </is>
      </c>
      <c r="D2815" s="17" t="n">
        <v>46055</v>
      </c>
      <c r="E2815" t="inlineStr">
        <is>
          <t>Dreamfly Innovations</t>
        </is>
      </c>
      <c r="F2815" t="inlineStr">
        <is>
          <t>$331K</t>
        </is>
      </c>
      <c r="G2815" s="19" t="n"/>
      <c r="H2815" s="19" t="n">
        <v>0.331</v>
      </c>
      <c r="I2815" t="inlineStr">
        <is>
          <t>Debt</t>
        </is>
      </c>
      <c r="J2815" t="inlineStr">
        <is>
          <t>SIDBI</t>
        </is>
      </c>
      <c r="K2815" t="inlineStr">
        <is>
          <t>https://inc42.com/buzz/from-the-whole-truth-to-zilo-indian-startups-raised-131-mn-this-week/</t>
        </is>
      </c>
    </row>
    <row r="2816">
      <c r="A2816" t="inlineStr">
        <is>
          <t>ENT-11068708</t>
        </is>
      </c>
      <c r="B2816" t="inlineStr">
        <is>
          <t>R260202-drivn</t>
        </is>
      </c>
      <c r="C2816" t="inlineStr">
        <is>
          <t>Entrackr</t>
        </is>
      </c>
      <c r="D2816" s="17" t="n">
        <v>46055</v>
      </c>
      <c r="E2816" t="inlineStr">
        <is>
          <t>Drivn</t>
        </is>
      </c>
      <c r="F2816" t="inlineStr">
        <is>
          <t>$80 million</t>
        </is>
      </c>
      <c r="G2816" s="19" t="n"/>
      <c r="H2816" s="19" t="n">
        <v>80</v>
      </c>
      <c r="I2816" t="inlineStr">
        <is>
          <t>Undisclosed</t>
        </is>
      </c>
      <c r="J2816" t="inlineStr"/>
      <c r="K2816" t="inlineStr">
        <is>
          <t>https://entrackr.com/news/electric-mobility-platform-drivn-secures-80-mn-commitment-from-nomura-11068708</t>
        </is>
      </c>
    </row>
    <row r="2817">
      <c r="A2817" t="inlineStr">
        <is>
          <t>ET-127862854</t>
        </is>
      </c>
      <c r="B2817" t="inlineStr">
        <is>
          <t>R260202-drivn</t>
        </is>
      </c>
      <c r="C2817" t="inlineStr">
        <is>
          <t>The Economic Times</t>
        </is>
      </c>
      <c r="D2817" s="17" t="n">
        <v>46055</v>
      </c>
      <c r="E2817" t="inlineStr">
        <is>
          <t>Drivn</t>
        </is>
      </c>
      <c r="F2817" t="inlineStr">
        <is>
          <t>$80 million</t>
        </is>
      </c>
      <c r="G2817" s="19" t="n"/>
      <c r="H2817" s="19" t="n">
        <v>80</v>
      </c>
      <c r="I2817" t="inlineStr">
        <is>
          <t>Undisclosed</t>
        </is>
      </c>
      <c r="J2817" t="inlineStr"/>
      <c r="K2817" t="inlineStr">
        <is>
          <t>https://economictimes.indiatimes.com/tech/funding/electric-mobility-startup-drivn-secures-80-million-commitment-from-nomura/articleshow/127862854.cms</t>
        </is>
      </c>
    </row>
    <row r="2818">
      <c r="A2818" t="inlineStr">
        <is>
          <t>VCC-3c0fd84694</t>
        </is>
      </c>
      <c r="B2818" t="inlineStr">
        <is>
          <t>R260202-drivn</t>
        </is>
      </c>
      <c r="C2818" t="inlineStr">
        <is>
          <t>VCCircle</t>
        </is>
      </c>
      <c r="D2818" s="17" t="n">
        <v>46056</v>
      </c>
      <c r="E2818" t="inlineStr">
        <is>
          <t>drivn</t>
        </is>
      </c>
      <c r="F2818" t="inlineStr">
        <is>
          <t>$ 80 million</t>
        </is>
      </c>
      <c r="G2818" s="19" t="n"/>
      <c r="H2818" s="19" t="n">
        <v>80</v>
      </c>
      <c r="I2818" t="inlineStr">
        <is>
          <t>Undisclosed</t>
        </is>
      </c>
      <c r="J2818" t="inlineStr"/>
      <c r="K2818" t="inlineStr">
        <is>
          <t>https://www.vccircle.com/electricmobility-firm-drivn-gets-up-to-80-mn-commitment-from-nomura</t>
        </is>
      </c>
    </row>
    <row r="2819">
      <c r="A2819" t="inlineStr">
        <is>
          <t>INC-20260207-19</t>
        </is>
      </c>
      <c r="B2819" t="inlineStr">
        <is>
          <t>R260203-chinikum</t>
        </is>
      </c>
      <c r="C2819" t="inlineStr">
        <is>
          <t>Inc42</t>
        </is>
      </c>
      <c r="D2819" s="17" t="n">
        <v>46056</v>
      </c>
      <c r="E2819" t="inlineStr">
        <is>
          <t>CHINI KUM</t>
        </is>
      </c>
      <c r="F2819" t="inlineStr">
        <is>
          <t>$120K</t>
        </is>
      </c>
      <c r="G2819" s="19" t="n"/>
      <c r="H2819" s="19" t="n">
        <v>0.12</v>
      </c>
      <c r="I2819" t="inlineStr">
        <is>
          <t>Pre-Seed</t>
        </is>
      </c>
      <c r="J2819" t="inlineStr"/>
      <c r="K2819" t="inlineStr">
        <is>
          <t>https://inc42.com/buzz/from-the-whole-truth-to-zilo-indian-startups-raised-131-mn-this-week/</t>
        </is>
      </c>
    </row>
    <row r="2820">
      <c r="A2820" t="inlineStr">
        <is>
          <t>ENT-11077951</t>
        </is>
      </c>
      <c r="B2820" t="inlineStr">
        <is>
          <t>R260203-chinikum</t>
        </is>
      </c>
      <c r="C2820" t="inlineStr">
        <is>
          <t>Entrackr</t>
        </is>
      </c>
      <c r="D2820" s="17" t="n">
        <v>46058</v>
      </c>
      <c r="E2820" t="inlineStr">
        <is>
          <t>CHINI KUM</t>
        </is>
      </c>
      <c r="F2820" t="inlineStr">
        <is>
          <t>Rs 1 crore</t>
        </is>
      </c>
      <c r="G2820" s="19" t="n">
        <v>1</v>
      </c>
      <c r="H2820" s="19" t="n"/>
      <c r="I2820" t="inlineStr">
        <is>
          <t>Pre-Seed</t>
        </is>
      </c>
      <c r="J2820" t="inlineStr"/>
      <c r="K2820" t="inlineStr">
        <is>
          <t>https://entrackr.com/snippets/beverage-startup-chini-kum-raises-pre-seed-funding-11077951</t>
        </is>
      </c>
    </row>
    <row r="2821">
      <c r="A2821" t="inlineStr">
        <is>
          <t>INC-20260207-13</t>
        </is>
      </c>
      <c r="B2821" t="inlineStr">
        <is>
          <t>R260203-digitalstriker</t>
        </is>
      </c>
      <c r="C2821" t="inlineStr">
        <is>
          <t>Inc42</t>
        </is>
      </c>
      <c r="D2821" s="17" t="n">
        <v>46056</v>
      </c>
      <c r="E2821" t="inlineStr">
        <is>
          <t>Digital Striker</t>
        </is>
      </c>
      <c r="F2821" t="inlineStr">
        <is>
          <t>$1 Mn</t>
        </is>
      </c>
      <c r="G2821" s="19" t="n"/>
      <c r="H2821" s="19" t="n">
        <v>1</v>
      </c>
      <c r="I2821" t="inlineStr">
        <is>
          <t>Undisclosed</t>
        </is>
      </c>
      <c r="J2821" t="inlineStr"/>
      <c r="K2821" t="inlineStr">
        <is>
          <t>https://inc42.com/buzz/from-the-whole-truth-to-zilo-indian-startups-raised-131-mn-this-week/</t>
        </is>
      </c>
    </row>
    <row r="2822">
      <c r="A2822" t="inlineStr">
        <is>
          <t>ENT-11079028</t>
        </is>
      </c>
      <c r="B2822" t="inlineStr">
        <is>
          <t>R260203-digitalstriker</t>
        </is>
      </c>
      <c r="C2822" t="inlineStr">
        <is>
          <t>Entrackr</t>
        </is>
      </c>
      <c r="D2822" s="17" t="n">
        <v>46058</v>
      </c>
      <c r="E2822" t="inlineStr">
        <is>
          <t>Digital Striker</t>
        </is>
      </c>
      <c r="F2822" t="inlineStr">
        <is>
          <t>$1 million</t>
        </is>
      </c>
      <c r="G2822" s="19" t="n">
        <v>8.5</v>
      </c>
      <c r="H2822" s="19" t="n">
        <v>1</v>
      </c>
      <c r="I2822" t="inlineStr">
        <is>
          <t>Undisclosed</t>
        </is>
      </c>
      <c r="J2822" t="inlineStr"/>
      <c r="K2822" t="inlineStr">
        <is>
          <t>https://entrackr.com/snippets/optical-fiber-tools-startup-digital-striker-raises-1-mn-from-foxhog-ventures-11079028</t>
        </is>
      </c>
    </row>
    <row r="2823">
      <c r="A2823" t="inlineStr">
        <is>
          <t>ENT-11072488</t>
        </is>
      </c>
      <c r="B2823" t="inlineStr">
        <is>
          <t>R260203-loopai</t>
        </is>
      </c>
      <c r="C2823" t="inlineStr">
        <is>
          <t>Entrackr</t>
        </is>
      </c>
      <c r="D2823" s="17" t="n">
        <v>46056</v>
      </c>
      <c r="E2823" t="inlineStr">
        <is>
          <t>Loop AI</t>
        </is>
      </c>
      <c r="F2823" t="inlineStr">
        <is>
          <t>$14 million</t>
        </is>
      </c>
      <c r="G2823" s="19" t="n"/>
      <c r="H2823" s="19" t="n">
        <v>14</v>
      </c>
      <c r="I2823" t="inlineStr">
        <is>
          <t>Series A</t>
        </is>
      </c>
      <c r="J2823" t="inlineStr">
        <is>
          <t>Nyca Partners</t>
        </is>
      </c>
      <c r="K2823" t="inlineStr">
        <is>
          <t>https://entrackr.com/snippets/enterprise-ai-platform-loop-ai-raises-14-mn-in-series-a-round-11072488</t>
        </is>
      </c>
    </row>
    <row r="2824">
      <c r="A2824" t="inlineStr">
        <is>
          <t>INC-20260207-04</t>
        </is>
      </c>
      <c r="B2824" t="inlineStr">
        <is>
          <t>R260203-loopai</t>
        </is>
      </c>
      <c r="C2824" t="inlineStr">
        <is>
          <t>Inc42</t>
        </is>
      </c>
      <c r="D2824" s="17" t="n">
        <v>46056</v>
      </c>
      <c r="E2824" t="inlineStr">
        <is>
          <t>Loop AI</t>
        </is>
      </c>
      <c r="F2824" t="inlineStr">
        <is>
          <t>$14 Mn</t>
        </is>
      </c>
      <c r="G2824" s="19" t="n"/>
      <c r="H2824" s="19" t="n">
        <v>14</v>
      </c>
      <c r="I2824" t="inlineStr">
        <is>
          <t>Series A</t>
        </is>
      </c>
      <c r="J2824" t="inlineStr">
        <is>
          <t>Nyca Partners</t>
        </is>
      </c>
      <c r="K2824" t="inlineStr">
        <is>
          <t>https://inc42.com/buzz/from-the-whole-truth-to-zilo-indian-startups-raised-131-mn-this-week/</t>
        </is>
      </c>
    </row>
    <row r="2825">
      <c r="A2825" t="inlineStr">
        <is>
          <t>ENT-11069641</t>
        </is>
      </c>
      <c r="B2825" t="inlineStr">
        <is>
          <t>R260203-mindcase</t>
        </is>
      </c>
      <c r="C2825" t="inlineStr">
        <is>
          <t>Entrackr</t>
        </is>
      </c>
      <c r="D2825" s="17" t="n">
        <v>46056</v>
      </c>
      <c r="E2825" t="inlineStr">
        <is>
          <t>Mindcase</t>
        </is>
      </c>
      <c r="F2825" t="inlineStr">
        <is>
          <t>Rs 1.5 crore</t>
        </is>
      </c>
      <c r="G2825" s="19" t="n">
        <v>1.5</v>
      </c>
      <c r="H2825" s="19" t="n"/>
      <c r="I2825" t="inlineStr">
        <is>
          <t>Pre-Seed</t>
        </is>
      </c>
      <c r="J2825" t="inlineStr">
        <is>
          <t>AJVC</t>
        </is>
      </c>
      <c r="K2825" t="inlineStr">
        <is>
          <t>https://entrackr.com/snippets/market-intelligence-startup-mindcase-raises-seed-funding-led-by-ajvc-11069641</t>
        </is>
      </c>
    </row>
    <row r="2826">
      <c r="A2826" t="inlineStr">
        <is>
          <t>INC-20260207-18</t>
        </is>
      </c>
      <c r="B2826" t="inlineStr">
        <is>
          <t>R260203-mindcase</t>
        </is>
      </c>
      <c r="C2826" t="inlineStr">
        <is>
          <t>Inc42</t>
        </is>
      </c>
      <c r="D2826" s="17" t="n">
        <v>46056</v>
      </c>
      <c r="E2826" t="inlineStr">
        <is>
          <t>Mindcase</t>
        </is>
      </c>
      <c r="F2826" t="inlineStr">
        <is>
          <t>$165K</t>
        </is>
      </c>
      <c r="G2826" s="19" t="n"/>
      <c r="H2826" s="19" t="n">
        <v>0.165</v>
      </c>
      <c r="I2826" t="inlineStr">
        <is>
          <t>Undisclosed</t>
        </is>
      </c>
      <c r="J2826" t="inlineStr"/>
      <c r="K2826" t="inlineStr">
        <is>
          <t>https://inc42.com/buzz/from-the-whole-truth-to-zilo-indian-startups-raised-131-mn-this-week/</t>
        </is>
      </c>
    </row>
    <row r="2827">
      <c r="A2827" t="inlineStr">
        <is>
          <t>INC-20260207-15</t>
        </is>
      </c>
      <c r="B2827" t="inlineStr">
        <is>
          <t>R260203-sanyarkspace</t>
        </is>
      </c>
      <c r="C2827" t="inlineStr">
        <is>
          <t>Inc42</t>
        </is>
      </c>
      <c r="D2827" s="17" t="n">
        <v>46056</v>
      </c>
      <c r="E2827" t="inlineStr">
        <is>
          <t>Sanyark Space</t>
        </is>
      </c>
      <c r="F2827" t="inlineStr">
        <is>
          <t>$500K</t>
        </is>
      </c>
      <c r="G2827" s="19" t="n"/>
      <c r="H2827" s="19" t="n">
        <v>0.5</v>
      </c>
      <c r="I2827" t="inlineStr">
        <is>
          <t>Pre-Seed</t>
        </is>
      </c>
      <c r="J2827" t="inlineStr">
        <is>
          <t>AUM Ventures</t>
        </is>
      </c>
      <c r="K2827" t="inlineStr">
        <is>
          <t>https://inc42.com/buzz/from-the-whole-truth-to-zilo-indian-startups-raised-131-mn-this-week/</t>
        </is>
      </c>
    </row>
    <row r="2828">
      <c r="A2828" t="inlineStr">
        <is>
          <t>ENT-11074779</t>
        </is>
      </c>
      <c r="B2828" t="inlineStr">
        <is>
          <t>R260204-15degree</t>
        </is>
      </c>
      <c r="C2828" t="inlineStr">
        <is>
          <t>Entrackr</t>
        </is>
      </c>
      <c r="D2828" s="17" t="n">
        <v>46057</v>
      </c>
      <c r="E2828" t="inlineStr">
        <is>
          <t>1.5 Degree</t>
        </is>
      </c>
      <c r="F2828" t="inlineStr">
        <is>
          <t>$1 million</t>
        </is>
      </c>
      <c r="G2828" s="19" t="n"/>
      <c r="H2828" s="19" t="n">
        <v>1</v>
      </c>
      <c r="I2828" t="inlineStr">
        <is>
          <t>Pre-Series A</t>
        </is>
      </c>
      <c r="J2828" t="inlineStr">
        <is>
          <t>35North Ventures’ India Discovery Fund II</t>
        </is>
      </c>
      <c r="K2828" t="inlineStr">
        <is>
          <t>https://entrackr.com/snippets/alternative-dairy-startup-15-degree-raises-1-mn-in-pre-series-a-led-by-35north-ventures-11074779</t>
        </is>
      </c>
    </row>
    <row r="2829">
      <c r="A2829" t="inlineStr">
        <is>
          <t>INC-20260207-11</t>
        </is>
      </c>
      <c r="B2829" t="inlineStr">
        <is>
          <t>R260204-15degree</t>
        </is>
      </c>
      <c r="C2829" t="inlineStr">
        <is>
          <t>Inc42</t>
        </is>
      </c>
      <c r="D2829" s="17" t="n">
        <v>46057</v>
      </c>
      <c r="E2829" t="inlineStr">
        <is>
          <t>1.5 Degree</t>
        </is>
      </c>
      <c r="F2829" t="inlineStr">
        <is>
          <t>$1 Mn</t>
        </is>
      </c>
      <c r="G2829" s="19" t="n"/>
      <c r="H2829" s="19" t="n">
        <v>1</v>
      </c>
      <c r="I2829" t="inlineStr">
        <is>
          <t>Pre-Series A</t>
        </is>
      </c>
      <c r="J2829" t="inlineStr">
        <is>
          <t>35North Venture</t>
        </is>
      </c>
      <c r="K2829" t="inlineStr">
        <is>
          <t>https://inc42.com/buzz/from-the-whole-truth-to-zilo-indian-startups-raised-131-mn-this-week/</t>
        </is>
      </c>
    </row>
    <row r="2830">
      <c r="A2830" t="inlineStr">
        <is>
          <t>ET-127911775</t>
        </is>
      </c>
      <c r="B2830" t="inlineStr">
        <is>
          <t>R260204-fibrai</t>
        </is>
      </c>
      <c r="C2830" t="inlineStr">
        <is>
          <t>The Economic Times</t>
        </is>
      </c>
      <c r="D2830" s="17" t="n">
        <v>46057</v>
      </c>
      <c r="E2830" t="inlineStr">
        <is>
          <t>Fibr AI</t>
        </is>
      </c>
      <c r="F2830" t="inlineStr">
        <is>
          <t>$5.7 million</t>
        </is>
      </c>
      <c r="G2830" s="19" t="n"/>
      <c r="H2830" s="19" t="n">
        <v>5.7</v>
      </c>
      <c r="I2830" t="inlineStr">
        <is>
          <t>Seed</t>
        </is>
      </c>
      <c r="J2830" t="inlineStr">
        <is>
          <t>Accel</t>
        </is>
      </c>
      <c r="K2830" t="inlineStr">
        <is>
          <t>https://economictimes.indiatimes.com/tech/funding/martech-startup-fibr-ai-raises-5-7-million-seed-round-led-by-accel/articleshow/127911775.cms</t>
        </is>
      </c>
    </row>
    <row r="2831">
      <c r="A2831" t="inlineStr">
        <is>
          <t>INC-20260207-06</t>
        </is>
      </c>
      <c r="B2831" t="inlineStr">
        <is>
          <t>R260204-fibrai</t>
        </is>
      </c>
      <c r="C2831" t="inlineStr">
        <is>
          <t>Inc42</t>
        </is>
      </c>
      <c r="D2831" s="17" t="n">
        <v>46057</v>
      </c>
      <c r="E2831" t="inlineStr">
        <is>
          <t>Fibr AI</t>
        </is>
      </c>
      <c r="F2831" t="inlineStr">
        <is>
          <t>$5.7 Mn</t>
        </is>
      </c>
      <c r="G2831" s="19" t="n"/>
      <c r="H2831" s="19" t="n">
        <v>5.7</v>
      </c>
      <c r="I2831" t="inlineStr">
        <is>
          <t>Seed</t>
        </is>
      </c>
      <c r="J2831" t="inlineStr">
        <is>
          <t>Accel</t>
        </is>
      </c>
      <c r="K2831" t="inlineStr">
        <is>
          <t>https://inc42.com/buzz/from-the-whole-truth-to-zilo-indian-startups-raised-131-mn-this-week/</t>
        </is>
      </c>
    </row>
    <row r="2832">
      <c r="A2832" t="inlineStr">
        <is>
          <t>ENT-11077213</t>
        </is>
      </c>
      <c r="B2832" t="inlineStr">
        <is>
          <t>R260204-fibrai</t>
        </is>
      </c>
      <c r="C2832" t="inlineStr">
        <is>
          <t>Entrackr</t>
        </is>
      </c>
      <c r="D2832" s="17" t="n">
        <v>46058</v>
      </c>
      <c r="E2832" t="inlineStr">
        <is>
          <t>Fibr AI</t>
        </is>
      </c>
      <c r="F2832" t="inlineStr">
        <is>
          <t>$5.7 million</t>
        </is>
      </c>
      <c r="G2832" s="19" t="n"/>
      <c r="H2832" s="19" t="n">
        <v>5.7</v>
      </c>
      <c r="I2832" t="inlineStr">
        <is>
          <t>Seed</t>
        </is>
      </c>
      <c r="J2832" t="inlineStr">
        <is>
          <t>Accel</t>
        </is>
      </c>
      <c r="K2832" t="inlineStr">
        <is>
          <t>https://entrackr.com/snippets/martech-startup-fibr-ai-raises-57-mn-in-seed-funding-led-by-accel-11077213</t>
        </is>
      </c>
    </row>
    <row r="2833">
      <c r="A2833" t="inlineStr">
        <is>
          <t>ENT-11075216</t>
        </is>
      </c>
      <c r="B2833" t="inlineStr">
        <is>
          <t>R260204-gamepoint</t>
        </is>
      </c>
      <c r="C2833" t="inlineStr">
        <is>
          <t>Entrackr</t>
        </is>
      </c>
      <c r="D2833" s="17" t="n">
        <v>46057</v>
      </c>
      <c r="E2833" t="inlineStr">
        <is>
          <t>Gamepoint</t>
        </is>
      </c>
      <c r="F2833" t="inlineStr">
        <is>
          <t>Rs 7 crore</t>
        </is>
      </c>
      <c r="G2833" s="19" t="n">
        <v>7</v>
      </c>
      <c r="H2833" s="19" t="n"/>
      <c r="I2833" t="inlineStr">
        <is>
          <t>Pre-Series A</t>
        </is>
      </c>
      <c r="J2833" t="inlineStr">
        <is>
          <t>Raj P Narayanam; Aditya Vuchi</t>
        </is>
      </c>
      <c r="K2833" t="inlineStr">
        <is>
          <t>https://entrackr.com/snippets/sports-tech-startup-gamepoint-raises-pre-series-a-round-11075216</t>
        </is>
      </c>
    </row>
    <row r="2834">
      <c r="A2834" t="inlineStr">
        <is>
          <t>INC-20260207-14</t>
        </is>
      </c>
      <c r="B2834" t="inlineStr">
        <is>
          <t>R260204-gamepoint</t>
        </is>
      </c>
      <c r="C2834" t="inlineStr">
        <is>
          <t>Inc42</t>
        </is>
      </c>
      <c r="D2834" s="17" t="n">
        <v>46057</v>
      </c>
      <c r="E2834" t="inlineStr">
        <is>
          <t>Gamepoint</t>
        </is>
      </c>
      <c r="F2834" t="inlineStr">
        <is>
          <t>$771K</t>
        </is>
      </c>
      <c r="G2834" s="19" t="n"/>
      <c r="H2834" s="19" t="n">
        <v>0.771</v>
      </c>
      <c r="I2834" t="inlineStr">
        <is>
          <t>Pre-Series A</t>
        </is>
      </c>
      <c r="J2834" t="inlineStr">
        <is>
          <t>Raj Narayanam; Aditya Vuchi</t>
        </is>
      </c>
      <c r="K2834" t="inlineStr">
        <is>
          <t>https://inc42.com/buzz/from-the-whole-truth-to-zilo-indian-startups-raised-131-mn-this-week/</t>
        </is>
      </c>
    </row>
    <row r="2835">
      <c r="A2835" t="inlineStr">
        <is>
          <t>ENT-11074658</t>
        </is>
      </c>
      <c r="B2835" t="inlineStr">
        <is>
          <t>R260204-thewholetruth</t>
        </is>
      </c>
      <c r="C2835" t="inlineStr">
        <is>
          <t>Entrackr</t>
        </is>
      </c>
      <c r="D2835" s="17" t="n">
        <v>46057</v>
      </c>
      <c r="E2835" t="inlineStr">
        <is>
          <t>The Whole Truth</t>
        </is>
      </c>
      <c r="F2835" t="inlineStr">
        <is>
          <t>$51 million</t>
        </is>
      </c>
      <c r="G2835" s="19" t="n"/>
      <c r="H2835" s="19" t="n">
        <v>51</v>
      </c>
      <c r="I2835" t="inlineStr">
        <is>
          <t>Series D</t>
        </is>
      </c>
      <c r="J2835" t="inlineStr">
        <is>
          <t>Sofina; Sauce.vc; Peak XV Partners; Rainmatter Health; Ayra Ventures</t>
        </is>
      </c>
      <c r="K2835" t="inlineStr">
        <is>
          <t>https://entrackr.com/news/the-whole-truth-raises-51-mn-in-series-d-funding-11074658</t>
        </is>
      </c>
    </row>
    <row r="2836">
      <c r="A2836" t="inlineStr">
        <is>
          <t>ET-127898632</t>
        </is>
      </c>
      <c r="B2836" t="inlineStr">
        <is>
          <t>R260204-thewholetruth</t>
        </is>
      </c>
      <c r="C2836" t="inlineStr">
        <is>
          <t>The Economic Times</t>
        </is>
      </c>
      <c r="D2836" s="17" t="n">
        <v>46057</v>
      </c>
      <c r="E2836" t="inlineStr">
        <is>
          <t>The Whole Truth</t>
        </is>
      </c>
      <c r="F2836" t="inlineStr">
        <is>
          <t>$51 million</t>
        </is>
      </c>
      <c r="G2836" s="19" t="n"/>
      <c r="H2836" s="19" t="n">
        <v>51</v>
      </c>
      <c r="I2836" t="inlineStr">
        <is>
          <t>Undisclosed</t>
        </is>
      </c>
      <c r="J2836" t="inlineStr">
        <is>
          <t>Sofina; Sauce.vc</t>
        </is>
      </c>
      <c r="K2836" t="inlineStr">
        <is>
          <t>https://economictimes.indiatimes.com/tech/funding/clean-label-food-brand-the-whole-truth-closes-51-million-funding-round-led-by-sofina-sauce-vc/articleshow/127898632.cms</t>
        </is>
      </c>
    </row>
    <row r="2837">
      <c r="A2837" t="inlineStr">
        <is>
          <t>INC-20260207-01</t>
        </is>
      </c>
      <c r="B2837" t="inlineStr">
        <is>
          <t>R260204-thewholetruth</t>
        </is>
      </c>
      <c r="C2837" t="inlineStr">
        <is>
          <t>Inc42</t>
        </is>
      </c>
      <c r="D2837" s="17" t="n">
        <v>46057</v>
      </c>
      <c r="E2837" t="inlineStr">
        <is>
          <t>The Whole Truth</t>
        </is>
      </c>
      <c r="F2837" t="inlineStr">
        <is>
          <t>$51 Mn</t>
        </is>
      </c>
      <c r="G2837" s="19" t="n"/>
      <c r="H2837" s="19" t="n">
        <v>51</v>
      </c>
      <c r="I2837" t="inlineStr">
        <is>
          <t>Series D</t>
        </is>
      </c>
      <c r="J2837" t="inlineStr">
        <is>
          <t>Sauce.vc; Sofina</t>
        </is>
      </c>
      <c r="K2837" t="inlineStr">
        <is>
          <t>https://inc42.com/buzz/from-the-whole-truth-to-zilo-indian-startups-raised-131-mn-this-week/</t>
        </is>
      </c>
    </row>
    <row r="2838">
      <c r="A2838" t="inlineStr">
        <is>
          <t>ENT-11074654</t>
        </is>
      </c>
      <c r="B2838" t="inlineStr">
        <is>
          <t>R260204-varaha</t>
        </is>
      </c>
      <c r="C2838" t="inlineStr">
        <is>
          <t>Entrackr</t>
        </is>
      </c>
      <c r="D2838" s="17" t="n">
        <v>46057</v>
      </c>
      <c r="E2838" t="inlineStr">
        <is>
          <t>Varaha</t>
        </is>
      </c>
      <c r="F2838" t="inlineStr">
        <is>
          <t>$20 million</t>
        </is>
      </c>
      <c r="G2838" s="19" t="n"/>
      <c r="H2838" s="19" t="n">
        <v>20</v>
      </c>
      <c r="I2838" t="inlineStr">
        <is>
          <t>Series B</t>
        </is>
      </c>
      <c r="J2838" t="inlineStr">
        <is>
          <t>WestBridge Capital</t>
        </is>
      </c>
      <c r="K2838" t="inlineStr">
        <is>
          <t>https://entrackr.com/news/climate-tech-startup-varaha-raises-20-mn-in-series-b-led-by-westbridge-capital-11074654</t>
        </is>
      </c>
    </row>
    <row r="2839">
      <c r="A2839" t="inlineStr">
        <is>
          <t>ET-127893646</t>
        </is>
      </c>
      <c r="B2839" t="inlineStr">
        <is>
          <t>R260204-varaha</t>
        </is>
      </c>
      <c r="C2839" t="inlineStr">
        <is>
          <t>The Economic Times</t>
        </is>
      </c>
      <c r="D2839" s="17" t="n">
        <v>46057</v>
      </c>
      <c r="E2839" t="inlineStr">
        <is>
          <t>Varaha</t>
        </is>
      </c>
      <c r="F2839" t="inlineStr">
        <is>
          <t>$45-million</t>
        </is>
      </c>
      <c r="G2839" s="19" t="n"/>
      <c r="H2839" s="19" t="n">
        <v>45</v>
      </c>
      <c r="I2839" t="inlineStr">
        <is>
          <t>Undisclosed</t>
        </is>
      </c>
      <c r="J2839" t="inlineStr"/>
      <c r="K2839" t="inlineStr">
        <is>
          <t>https://economictimes.indiatimes.com/tech/funding/westbridge-capital-leads-40-million-funding-in-climate-tech-startup-varaha/articleshow/127893646.cms</t>
        </is>
      </c>
    </row>
    <row r="2840">
      <c r="A2840" t="inlineStr">
        <is>
          <t>INC-20260207-02</t>
        </is>
      </c>
      <c r="B2840" t="inlineStr">
        <is>
          <t>R260204-varaha</t>
        </is>
      </c>
      <c r="C2840" t="inlineStr">
        <is>
          <t>Inc42</t>
        </is>
      </c>
      <c r="D2840" s="17" t="n">
        <v>46057</v>
      </c>
      <c r="E2840" t="inlineStr">
        <is>
          <t>Varaha</t>
        </is>
      </c>
      <c r="F2840" t="inlineStr">
        <is>
          <t>$20 Mn</t>
        </is>
      </c>
      <c r="G2840" s="19" t="n"/>
      <c r="H2840" s="19" t="n">
        <v>20</v>
      </c>
      <c r="I2840" t="inlineStr">
        <is>
          <t>Series B</t>
        </is>
      </c>
      <c r="J2840" t="inlineStr">
        <is>
          <t>WestBridge Capital</t>
        </is>
      </c>
      <c r="K2840" t="inlineStr">
        <is>
          <t>https://inc42.com/buzz/from-the-whole-truth-to-zilo-indian-startups-raised-131-mn-this-week/</t>
        </is>
      </c>
    </row>
    <row r="2841">
      <c r="A2841" t="inlineStr">
        <is>
          <t>ENT-11075601</t>
        </is>
      </c>
      <c r="B2841" t="inlineStr">
        <is>
          <t>R260204-vibrium</t>
        </is>
      </c>
      <c r="C2841" t="inlineStr">
        <is>
          <t>Entrackr</t>
        </is>
      </c>
      <c r="D2841" s="17" t="n">
        <v>46057</v>
      </c>
      <c r="E2841" t="inlineStr">
        <is>
          <t>Vibrium</t>
        </is>
      </c>
      <c r="F2841" t="inlineStr">
        <is>
          <t>$1 million</t>
        </is>
      </c>
      <c r="G2841" s="19" t="n"/>
      <c r="H2841" s="19" t="n">
        <v>1</v>
      </c>
      <c r="I2841" t="inlineStr">
        <is>
          <t>Seed</t>
        </is>
      </c>
      <c r="J2841" t="inlineStr"/>
      <c r="K2841" t="inlineStr">
        <is>
          <t>https://entrackr.com/snippets/agentic-ai-platform-vibrium-raises-1-mn-in-seed-round-11075601</t>
        </is>
      </c>
    </row>
    <row r="2842">
      <c r="A2842" t="inlineStr">
        <is>
          <t>INC-20260207-12</t>
        </is>
      </c>
      <c r="B2842" t="inlineStr">
        <is>
          <t>R260204-vibrium</t>
        </is>
      </c>
      <c r="C2842" t="inlineStr">
        <is>
          <t>Inc42</t>
        </is>
      </c>
      <c r="D2842" s="17" t="n">
        <v>46057</v>
      </c>
      <c r="E2842" t="inlineStr">
        <is>
          <t>Vibrium</t>
        </is>
      </c>
      <c r="F2842" t="inlineStr">
        <is>
          <t>$1 Mn</t>
        </is>
      </c>
      <c r="G2842" s="19" t="n"/>
      <c r="H2842" s="19" t="n">
        <v>1</v>
      </c>
      <c r="I2842" t="inlineStr">
        <is>
          <t>Seed</t>
        </is>
      </c>
      <c r="J2842" t="inlineStr"/>
      <c r="K2842" t="inlineStr">
        <is>
          <t>https://inc42.com/buzz/from-the-whole-truth-to-zilo-indian-startups-raised-131-mn-this-week/</t>
        </is>
      </c>
    </row>
    <row r="2843">
      <c r="A2843" t="inlineStr">
        <is>
          <t>ENT-11077794</t>
        </is>
      </c>
      <c r="B2843" t="inlineStr">
        <is>
          <t>R260205-drdoodley</t>
        </is>
      </c>
      <c r="C2843" t="inlineStr">
        <is>
          <t>Entrackr</t>
        </is>
      </c>
      <c r="D2843" s="17" t="n">
        <v>46058</v>
      </c>
      <c r="E2843" t="inlineStr">
        <is>
          <t>Dr. Doodley</t>
        </is>
      </c>
      <c r="F2843" t="inlineStr">
        <is>
          <t>$3.3 million</t>
        </is>
      </c>
      <c r="G2843" s="19" t="n">
        <v>30</v>
      </c>
      <c r="H2843" s="19" t="n">
        <v>3.3</v>
      </c>
      <c r="I2843" t="inlineStr">
        <is>
          <t>Pre-Series A</t>
        </is>
      </c>
      <c r="J2843" t="inlineStr">
        <is>
          <t>V3 Ventures</t>
        </is>
      </c>
      <c r="K2843" t="inlineStr">
        <is>
          <t>https://entrackr.com/snippets/pet-healthcare-startup-dr-doodley-raises-33-mn-in-pre-series-a-11077794</t>
        </is>
      </c>
    </row>
    <row r="2844">
      <c r="A2844" t="inlineStr">
        <is>
          <t>INC-20260207-08</t>
        </is>
      </c>
      <c r="B2844" t="inlineStr">
        <is>
          <t>R260205-drdoodley</t>
        </is>
      </c>
      <c r="C2844" t="inlineStr">
        <is>
          <t>Inc42</t>
        </is>
      </c>
      <c r="D2844" s="17" t="n">
        <v>46058</v>
      </c>
      <c r="E2844" t="inlineStr">
        <is>
          <t>Dr. Doodley</t>
        </is>
      </c>
      <c r="F2844" t="inlineStr">
        <is>
          <t>$3.3 Mn</t>
        </is>
      </c>
      <c r="G2844" s="19" t="n"/>
      <c r="H2844" s="19" t="n">
        <v>3.3</v>
      </c>
      <c r="I2844" t="inlineStr">
        <is>
          <t>Pre-Series A</t>
        </is>
      </c>
      <c r="J2844" t="inlineStr">
        <is>
          <t>V3 Ventures</t>
        </is>
      </c>
      <c r="K2844" t="inlineStr">
        <is>
          <t>https://inc42.com/buzz/from-the-whole-truth-to-zilo-indian-startups-raised-131-mn-this-week/</t>
        </is>
      </c>
    </row>
    <row r="2845">
      <c r="A2845" t="inlineStr">
        <is>
          <t>ENT-11078128</t>
        </is>
      </c>
      <c r="B2845" t="inlineStr">
        <is>
          <t>R260205-eyerov</t>
        </is>
      </c>
      <c r="C2845" t="inlineStr">
        <is>
          <t>Entrackr</t>
        </is>
      </c>
      <c r="D2845" s="17" t="n">
        <v>46058</v>
      </c>
      <c r="E2845" t="inlineStr">
        <is>
          <t>EyeROV</t>
        </is>
      </c>
      <c r="F2845" t="inlineStr">
        <is>
          <t>Rs 13 crore</t>
        </is>
      </c>
      <c r="G2845" s="19" t="n">
        <v>13</v>
      </c>
      <c r="H2845" s="19" t="n">
        <v>1.44</v>
      </c>
      <c r="I2845" t="inlineStr">
        <is>
          <t>Pre-Series A</t>
        </is>
      </c>
      <c r="J2845" t="inlineStr"/>
      <c r="K2845" t="inlineStr">
        <is>
          <t>https://entrackr.com/snippets/marine-robotics-startup-eyerov-raises-rs-13-cr-in-pre-series-a-round-11078128</t>
        </is>
      </c>
    </row>
    <row r="2846">
      <c r="A2846" t="inlineStr">
        <is>
          <t>INC-20260207-09</t>
        </is>
      </c>
      <c r="B2846" t="inlineStr">
        <is>
          <t>R260205-eyerov</t>
        </is>
      </c>
      <c r="C2846" t="inlineStr">
        <is>
          <t>Inc42</t>
        </is>
      </c>
      <c r="D2846" s="17" t="n">
        <v>46058</v>
      </c>
      <c r="E2846" t="inlineStr">
        <is>
          <t>EyeROV</t>
        </is>
      </c>
      <c r="F2846" t="inlineStr">
        <is>
          <t>$1.4 Mn</t>
        </is>
      </c>
      <c r="G2846" s="19" t="n"/>
      <c r="H2846" s="19" t="n">
        <v>1.4</v>
      </c>
      <c r="I2846" t="inlineStr">
        <is>
          <t>Pre-Series A</t>
        </is>
      </c>
      <c r="J2846" t="inlineStr">
        <is>
          <t>Unicorn India Ventures</t>
        </is>
      </c>
      <c r="K2846" t="inlineStr">
        <is>
          <t>https://inc42.com/buzz/from-the-whole-truth-to-zilo-indian-startups-raised-131-mn-this-week/</t>
        </is>
      </c>
    </row>
    <row r="2847">
      <c r="A2847" t="inlineStr">
        <is>
          <t>ENT-11077895</t>
        </is>
      </c>
      <c r="B2847" t="inlineStr">
        <is>
          <t>R260205-goodmonk</t>
        </is>
      </c>
      <c r="C2847" t="inlineStr">
        <is>
          <t>Entrackr</t>
        </is>
      </c>
      <c r="D2847" s="17" t="n">
        <v>46058</v>
      </c>
      <c r="E2847" t="inlineStr">
        <is>
          <t>Good Monk</t>
        </is>
      </c>
      <c r="F2847" t="inlineStr">
        <is>
          <t>Rs 33 crore</t>
        </is>
      </c>
      <c r="G2847" s="19" t="n">
        <v>33</v>
      </c>
      <c r="H2847" s="19" t="n">
        <v>3.65</v>
      </c>
      <c r="I2847" t="inlineStr">
        <is>
          <t>Pre-Series A</t>
        </is>
      </c>
      <c r="J2847" t="inlineStr">
        <is>
          <t>RPSG Capital Ventures</t>
        </is>
      </c>
      <c r="K2847" t="inlineStr">
        <is>
          <t>https://entrackr.com/news/preventive-nutrition-startup-good-monk-raises-rs-33-cr-in-pre-series-a-round-11077895</t>
        </is>
      </c>
    </row>
    <row r="2848">
      <c r="A2848" t="inlineStr">
        <is>
          <t>INC-20260207-07</t>
        </is>
      </c>
      <c r="B2848" t="inlineStr">
        <is>
          <t>R260205-goodmonk</t>
        </is>
      </c>
      <c r="C2848" t="inlineStr">
        <is>
          <t>Inc42</t>
        </is>
      </c>
      <c r="D2848" s="17" t="n">
        <v>46058</v>
      </c>
      <c r="E2848" t="inlineStr">
        <is>
          <t>Good Monk</t>
        </is>
      </c>
      <c r="F2848" t="inlineStr">
        <is>
          <t>$3.6 Mn</t>
        </is>
      </c>
      <c r="G2848" s="19" t="n"/>
      <c r="H2848" s="19" t="n">
        <v>3.6</v>
      </c>
      <c r="I2848" t="inlineStr">
        <is>
          <t>Pre-Series A</t>
        </is>
      </c>
      <c r="J2848" t="inlineStr">
        <is>
          <t>RPSG Capital Ventures</t>
        </is>
      </c>
      <c r="K2848" t="inlineStr">
        <is>
          <t>https://inc42.com/buzz/from-the-whole-truth-to-zilo-indian-startups-raised-131-mn-this-week/</t>
        </is>
      </c>
    </row>
    <row r="2849">
      <c r="A2849" t="inlineStr">
        <is>
          <t>ENT-11077672</t>
        </is>
      </c>
      <c r="B2849" t="inlineStr">
        <is>
          <t>R260205-materialdepot</t>
        </is>
      </c>
      <c r="C2849" t="inlineStr">
        <is>
          <t>Entrackr</t>
        </is>
      </c>
      <c r="D2849" s="17" t="n">
        <v>46058</v>
      </c>
      <c r="E2849" t="inlineStr">
        <is>
          <t>Material Depot</t>
        </is>
      </c>
      <c r="F2849" t="inlineStr">
        <is>
          <t>$10 million</t>
        </is>
      </c>
      <c r="G2849" s="19" t="n"/>
      <c r="H2849" s="19" t="n">
        <v>10</v>
      </c>
      <c r="I2849" t="inlineStr">
        <is>
          <t>Undisclosed</t>
        </is>
      </c>
      <c r="J2849" t="inlineStr">
        <is>
          <t>Accel; Stellaris Venture Partners</t>
        </is>
      </c>
      <c r="K2849" t="inlineStr">
        <is>
          <t>https://entrackr.com/snippets/material-depot-raises-10-mn-led-by-accel-and-stellaris-venture-partners-11077672</t>
        </is>
      </c>
    </row>
    <row r="2850">
      <c r="A2850" t="inlineStr">
        <is>
          <t>ET-127915373</t>
        </is>
      </c>
      <c r="B2850" t="inlineStr">
        <is>
          <t>R260205-materialdepot</t>
        </is>
      </c>
      <c r="C2850" t="inlineStr">
        <is>
          <t>The Economic Times</t>
        </is>
      </c>
      <c r="D2850" s="17" t="n">
        <v>46058</v>
      </c>
      <c r="E2850" t="inlineStr">
        <is>
          <t>Material Depot</t>
        </is>
      </c>
      <c r="F2850" t="inlineStr">
        <is>
          <t>$10 million</t>
        </is>
      </c>
      <c r="G2850" s="19" t="n"/>
      <c r="H2850" s="19" t="n">
        <v>10</v>
      </c>
      <c r="I2850" t="inlineStr">
        <is>
          <t>Undisclosed</t>
        </is>
      </c>
      <c r="J2850" t="inlineStr">
        <is>
          <t>Accel; Stellaris Venture Partners</t>
        </is>
      </c>
      <c r="K2850" t="inlineStr">
        <is>
          <t>https://economictimes.indiatimes.com/tech/funding/interior-decor-startup-material-depot-raises-10-million-from-accel-stellaris-venture-partners/articleshow/127915373.cms</t>
        </is>
      </c>
    </row>
    <row r="2851">
      <c r="A2851" t="inlineStr">
        <is>
          <t>INC-20260207-05</t>
        </is>
      </c>
      <c r="B2851" t="inlineStr">
        <is>
          <t>R260205-materialdepot</t>
        </is>
      </c>
      <c r="C2851" t="inlineStr">
        <is>
          <t>Inc42</t>
        </is>
      </c>
      <c r="D2851" s="17" t="n">
        <v>46058</v>
      </c>
      <c r="E2851" t="inlineStr">
        <is>
          <t>Material Depot</t>
        </is>
      </c>
      <c r="F2851" t="inlineStr">
        <is>
          <t>$10 Mn</t>
        </is>
      </c>
      <c r="G2851" s="19" t="n"/>
      <c r="H2851" s="19" t="n">
        <v>10</v>
      </c>
      <c r="I2851" t="inlineStr">
        <is>
          <t>Series A</t>
        </is>
      </c>
      <c r="J2851" t="inlineStr">
        <is>
          <t>Accel; Stellaris Venture Partners</t>
        </is>
      </c>
      <c r="K2851" t="inlineStr">
        <is>
          <t>https://inc42.com/buzz/from-the-whole-truth-to-zilo-indian-startups-raised-131-mn-this-week/</t>
        </is>
      </c>
    </row>
    <row r="2852">
      <c r="A2852" t="inlineStr">
        <is>
          <t>ENT-11078030</t>
        </is>
      </c>
      <c r="B2852" t="inlineStr">
        <is>
          <t>R260205-octobotics</t>
        </is>
      </c>
      <c r="C2852" t="inlineStr">
        <is>
          <t>Entrackr</t>
        </is>
      </c>
      <c r="D2852" s="17" t="n">
        <v>46058</v>
      </c>
      <c r="E2852" t="inlineStr">
        <is>
          <t>Octobotics</t>
        </is>
      </c>
      <c r="F2852" t="inlineStr">
        <is>
          <t>Rs 10 crore</t>
        </is>
      </c>
      <c r="G2852" s="19" t="n">
        <v>10</v>
      </c>
      <c r="H2852" s="19" t="n"/>
      <c r="I2852" t="inlineStr">
        <is>
          <t>Seed</t>
        </is>
      </c>
      <c r="J2852" t="inlineStr">
        <is>
          <t>Navam Capital</t>
        </is>
      </c>
      <c r="K2852" t="inlineStr">
        <is>
          <t>https://entrackr.com/snippets/robotics-startup-octobotics-raises-rs-10-cr-in-seed-round-11078030</t>
        </is>
      </c>
    </row>
    <row r="2853">
      <c r="A2853" t="inlineStr">
        <is>
          <t>INC-20260207-10</t>
        </is>
      </c>
      <c r="B2853" t="inlineStr">
        <is>
          <t>R260205-octobotics</t>
        </is>
      </c>
      <c r="C2853" t="inlineStr">
        <is>
          <t>Inc42</t>
        </is>
      </c>
      <c r="D2853" s="17" t="n">
        <v>46058</v>
      </c>
      <c r="E2853" t="inlineStr">
        <is>
          <t>Octobotics</t>
        </is>
      </c>
      <c r="F2853" t="inlineStr">
        <is>
          <t>$1.1 Mn</t>
        </is>
      </c>
      <c r="G2853" s="19" t="n"/>
      <c r="H2853" s="19" t="n">
        <v>1.1</v>
      </c>
      <c r="I2853" t="inlineStr">
        <is>
          <t>Seed</t>
        </is>
      </c>
      <c r="J2853" t="inlineStr">
        <is>
          <t>Navam Capital</t>
        </is>
      </c>
      <c r="K2853" t="inlineStr">
        <is>
          <t>https://inc42.com/buzz/from-the-whole-truth-to-zilo-indian-startups-raised-131-mn-this-week/</t>
        </is>
      </c>
    </row>
    <row r="2854">
      <c r="A2854" t="inlineStr">
        <is>
          <t>ENT-11077867</t>
        </is>
      </c>
      <c r="B2854" t="inlineStr">
        <is>
          <t>R260205-zilo</t>
        </is>
      </c>
      <c r="C2854" t="inlineStr">
        <is>
          <t>Entrackr</t>
        </is>
      </c>
      <c r="D2854" s="17" t="n">
        <v>46058</v>
      </c>
      <c r="E2854" t="inlineStr">
        <is>
          <t>ZILO</t>
        </is>
      </c>
      <c r="F2854" t="inlineStr">
        <is>
          <t>$15.3 million</t>
        </is>
      </c>
      <c r="G2854" s="19" t="n">
        <v>140</v>
      </c>
      <c r="H2854" s="19" t="n">
        <v>15.3</v>
      </c>
      <c r="I2854" t="inlineStr">
        <is>
          <t>Series A</t>
        </is>
      </c>
      <c r="J2854" t="inlineStr">
        <is>
          <t>Peak XV Partners</t>
        </is>
      </c>
      <c r="K2854" t="inlineStr">
        <is>
          <t>https://entrackr.com/news/fashion-quick-commerce-startup-zilo-raises-153-mn-in-series-a-round-11077867</t>
        </is>
      </c>
    </row>
    <row r="2855">
      <c r="A2855" t="inlineStr">
        <is>
          <t>ET-127924933</t>
        </is>
      </c>
      <c r="B2855" t="inlineStr">
        <is>
          <t>R260205-zilo</t>
        </is>
      </c>
      <c r="C2855" t="inlineStr">
        <is>
          <t>The Economic Times</t>
        </is>
      </c>
      <c r="D2855" s="17" t="n">
        <v>46058</v>
      </c>
      <c r="E2855" t="inlineStr">
        <is>
          <t>Zilo</t>
        </is>
      </c>
      <c r="F2855" t="inlineStr">
        <is>
          <t>$15.3 million</t>
        </is>
      </c>
      <c r="G2855" s="19" t="n"/>
      <c r="H2855" s="19" t="n">
        <v>15.3</v>
      </c>
      <c r="I2855" t="inlineStr">
        <is>
          <t>Undisclosed</t>
        </is>
      </c>
      <c r="J2855" t="inlineStr">
        <is>
          <t>Peak XV Partners</t>
        </is>
      </c>
      <c r="K2855" t="inlineStr">
        <is>
          <t>https://economictimes.indiatimes.com/tech/funding/fashion-quick-commerce-startup-zilo-raises-15-3-million-led-by-peak-xv-partners/articleshow/127924933.cms</t>
        </is>
      </c>
    </row>
    <row r="2856">
      <c r="A2856" t="inlineStr">
        <is>
          <t>INC-20260207-03</t>
        </is>
      </c>
      <c r="B2856" t="inlineStr">
        <is>
          <t>R260205-zilo</t>
        </is>
      </c>
      <c r="C2856" t="inlineStr">
        <is>
          <t>Inc42</t>
        </is>
      </c>
      <c r="D2856" s="17" t="n">
        <v>46058</v>
      </c>
      <c r="E2856" t="inlineStr">
        <is>
          <t>ZILO</t>
        </is>
      </c>
      <c r="F2856" t="inlineStr">
        <is>
          <t>$15.3 Mn</t>
        </is>
      </c>
      <c r="G2856" s="19" t="n"/>
      <c r="H2856" s="19" t="n">
        <v>15.3</v>
      </c>
      <c r="I2856" t="inlineStr">
        <is>
          <t>Series A</t>
        </is>
      </c>
      <c r="J2856" t="inlineStr">
        <is>
          <t>Peak XV Partners</t>
        </is>
      </c>
      <c r="K2856" t="inlineStr">
        <is>
          <t>https://inc42.com/buzz/from-the-whole-truth-to-zilo-indian-startups-raised-131-mn-this-week/</t>
        </is>
      </c>
    </row>
    <row r="2857">
      <c r="A2857" t="inlineStr">
        <is>
          <t>INC-20260207-20</t>
        </is>
      </c>
      <c r="B2857" t="inlineStr">
        <is>
          <t>R260206-em5</t>
        </is>
      </c>
      <c r="C2857" t="inlineStr">
        <is>
          <t>Inc42</t>
        </is>
      </c>
      <c r="D2857" s="17" t="n">
        <v>46059</v>
      </c>
      <c r="E2857" t="inlineStr">
        <is>
          <t>EM5</t>
        </is>
      </c>
      <c r="F2857" t="inlineStr"/>
      <c r="G2857" s="19" t="n"/>
      <c r="H2857" s="19" t="n"/>
      <c r="I2857" t="inlineStr">
        <is>
          <t>Undisclosed</t>
        </is>
      </c>
      <c r="J2857" t="inlineStr">
        <is>
          <t>Surya Kumar Yadav</t>
        </is>
      </c>
      <c r="K2857" t="inlineStr">
        <is>
          <t>https://inc42.com/buzz/from-the-whole-truth-to-zilo-indian-startups-raised-131-mn-this-week/</t>
        </is>
      </c>
    </row>
    <row r="2858">
      <c r="A2858" t="inlineStr">
        <is>
          <t>INC-20260207-17</t>
        </is>
      </c>
      <c r="B2858" t="inlineStr">
        <is>
          <t>R260206-invogue</t>
        </is>
      </c>
      <c r="C2858" t="inlineStr">
        <is>
          <t>Inc42</t>
        </is>
      </c>
      <c r="D2858" s="17" t="n">
        <v>46059</v>
      </c>
      <c r="E2858" t="inlineStr">
        <is>
          <t>Invogue</t>
        </is>
      </c>
      <c r="F2858" t="inlineStr">
        <is>
          <t>$221K</t>
        </is>
      </c>
      <c r="G2858" s="19" t="n"/>
      <c r="H2858" s="19" t="n">
        <v>0.221</v>
      </c>
      <c r="I2858" t="inlineStr">
        <is>
          <t>Undisclosed</t>
        </is>
      </c>
      <c r="J2858" t="inlineStr">
        <is>
          <t>Aman Gupta</t>
        </is>
      </c>
      <c r="K2858" t="inlineStr">
        <is>
          <t>https://inc42.com/buzz/from-the-whole-truth-to-zilo-indian-startups-raised-131-mn-this-week/</t>
        </is>
      </c>
    </row>
    <row r="2859">
      <c r="A2859" t="inlineStr">
        <is>
          <t>ENT-11081024</t>
        </is>
      </c>
      <c r="B2859" t="inlineStr">
        <is>
          <t>R260206-jaincord</t>
        </is>
      </c>
      <c r="C2859" t="inlineStr">
        <is>
          <t>Entrackr</t>
        </is>
      </c>
      <c r="D2859" s="17" t="n">
        <v>46059</v>
      </c>
      <c r="E2859" t="inlineStr">
        <is>
          <t>Jain Cord</t>
        </is>
      </c>
      <c r="F2859" t="inlineStr">
        <is>
          <t>Rs 200 crore</t>
        </is>
      </c>
      <c r="G2859" s="19" t="n">
        <v>200</v>
      </c>
      <c r="H2859" s="19" t="n"/>
      <c r="I2859" t="inlineStr">
        <is>
          <t>Series A</t>
        </is>
      </c>
      <c r="J2859" t="inlineStr"/>
      <c r="K2859" t="inlineStr">
        <is>
          <t>https://entrackr.com/exclusive/exclusive-fabric-maker-jain-cord-raises-rs-200-cr-in-series-a-from-lohia-family-office-11081024</t>
        </is>
      </c>
    </row>
    <row r="2860">
      <c r="A2860" t="inlineStr">
        <is>
          <t>ENT-11089406</t>
        </is>
      </c>
      <c r="B2860" t="inlineStr">
        <is>
          <t>R260209-aramyaparent</t>
        </is>
      </c>
      <c r="C2860" t="inlineStr">
        <is>
          <t>Entrackr</t>
        </is>
      </c>
      <c r="D2860" s="17" t="n">
        <v>46062</v>
      </c>
      <c r="E2860" t="inlineStr">
        <is>
          <t>Aramya parent</t>
        </is>
      </c>
      <c r="F2860" t="inlineStr">
        <is>
          <t>Rs 80 crore</t>
        </is>
      </c>
      <c r="G2860" s="19" t="n">
        <v>80</v>
      </c>
      <c r="H2860" s="19" t="n">
        <v>9</v>
      </c>
      <c r="I2860" t="inlineStr">
        <is>
          <t>Series A</t>
        </is>
      </c>
      <c r="J2860" t="inlineStr">
        <is>
          <t>Z47; Accel</t>
        </is>
      </c>
      <c r="K2860" t="inlineStr">
        <is>
          <t>https://entrackr.com/exclusive/exclusive-d2c-brand-aramya-parent-raises-rs-80-cr-led-by-z47-and-accel-11089406</t>
        </is>
      </c>
    </row>
    <row r="2861">
      <c r="A2861" t="inlineStr">
        <is>
          <t>ENT-11089490</t>
        </is>
      </c>
      <c r="B2861" t="inlineStr">
        <is>
          <t>R260209-elevate</t>
        </is>
      </c>
      <c r="C2861" t="inlineStr">
        <is>
          <t>Entrackr</t>
        </is>
      </c>
      <c r="D2861" s="17" t="n">
        <v>46062</v>
      </c>
      <c r="E2861" t="inlineStr">
        <is>
          <t>Elevate</t>
        </is>
      </c>
      <c r="F2861" t="inlineStr">
        <is>
          <t>Rs 18 crore</t>
        </is>
      </c>
      <c r="G2861" s="19" t="n">
        <v>18</v>
      </c>
      <c r="H2861" s="19" t="n"/>
      <c r="I2861" t="inlineStr">
        <is>
          <t>Seed</t>
        </is>
      </c>
      <c r="J2861" t="inlineStr">
        <is>
          <t>Physis Capital; Titan Capital</t>
        </is>
      </c>
      <c r="K2861" t="inlineStr">
        <is>
          <t>https://entrackr.com/snippets/elevate-now-raises-rs-18-cr-in-seed-round-led-by-physis-capital-11089490</t>
        </is>
      </c>
    </row>
    <row r="2862">
      <c r="A2862" t="inlineStr">
        <is>
          <t>INC-20260214-20</t>
        </is>
      </c>
      <c r="B2862" t="inlineStr">
        <is>
          <t>R260209-elevate</t>
        </is>
      </c>
      <c r="C2862" t="inlineStr">
        <is>
          <t>Inc42</t>
        </is>
      </c>
      <c r="D2862" s="17" t="n">
        <v>46063</v>
      </c>
      <c r="E2862" t="inlineStr">
        <is>
          <t>Elevate Now</t>
        </is>
      </c>
      <c r="F2862" t="inlineStr">
        <is>
          <t>$2 Mn</t>
        </is>
      </c>
      <c r="G2862" s="19" t="n"/>
      <c r="H2862" s="19" t="n">
        <v>2</v>
      </c>
      <c r="I2862" t="inlineStr">
        <is>
          <t>Seed</t>
        </is>
      </c>
      <c r="J2862" t="inlineStr">
        <is>
          <t>Physis Capital</t>
        </is>
      </c>
      <c r="K2862" t="inlineStr">
        <is>
          <t>https://inc42.com/buzz/from-idfy-to-olyv-indian-startups-raised-200-mn-this-week/</t>
        </is>
      </c>
    </row>
    <row r="2863">
      <c r="A2863" t="inlineStr">
        <is>
          <t>ENT-11090810</t>
        </is>
      </c>
      <c r="B2863" t="inlineStr">
        <is>
          <t>R260209-olyv</t>
        </is>
      </c>
      <c r="C2863" t="inlineStr">
        <is>
          <t>Entrackr</t>
        </is>
      </c>
      <c r="D2863" s="17" t="n">
        <v>46062</v>
      </c>
      <c r="E2863" t="inlineStr">
        <is>
          <t>Olyv</t>
        </is>
      </c>
      <c r="F2863" t="inlineStr">
        <is>
          <t>Rs 207 crore</t>
        </is>
      </c>
      <c r="G2863" s="19" t="n">
        <v>207</v>
      </c>
      <c r="H2863" s="19" t="n">
        <v>23</v>
      </c>
      <c r="I2863" t="inlineStr">
        <is>
          <t>Series C</t>
        </is>
      </c>
      <c r="J2863" t="inlineStr">
        <is>
          <t>Fundamentum Partnership Fund</t>
        </is>
      </c>
      <c r="K2863" t="inlineStr">
        <is>
          <t>https://entrackr.com/exclusive/exclusive-nandan-nilekanis-fundamentum-leads-olyvs-23-mn-series-c-round-11090810</t>
        </is>
      </c>
    </row>
    <row r="2864">
      <c r="A2864" t="inlineStr">
        <is>
          <t>ET-128168792</t>
        </is>
      </c>
      <c r="B2864" t="inlineStr">
        <is>
          <t>R260209-olyv</t>
        </is>
      </c>
      <c r="C2864" t="inlineStr">
        <is>
          <t>The Economic Times</t>
        </is>
      </c>
      <c r="D2864" s="17" t="n">
        <v>46064</v>
      </c>
      <c r="E2864" t="inlineStr">
        <is>
          <t>Olyv</t>
        </is>
      </c>
      <c r="F2864" t="inlineStr">
        <is>
          <t>$23 million</t>
        </is>
      </c>
      <c r="G2864" s="19" t="n"/>
      <c r="H2864" s="19" t="n">
        <v>23</v>
      </c>
      <c r="I2864" t="inlineStr">
        <is>
          <t>Undisclosed</t>
        </is>
      </c>
      <c r="J2864" t="inlineStr"/>
      <c r="K2864" t="inlineStr">
        <is>
          <t>https://economictimes.indiatimes.com/tech/funding/lending-startup-olyv-bags-23-million-from-fundamentum-smbc-fund/articleshow/128168792.cms</t>
        </is>
      </c>
    </row>
    <row r="2865">
      <c r="A2865" t="inlineStr">
        <is>
          <t>INC-20260214-03</t>
        </is>
      </c>
      <c r="B2865" t="inlineStr">
        <is>
          <t>R260209-olyv</t>
        </is>
      </c>
      <c r="C2865" t="inlineStr">
        <is>
          <t>Inc42</t>
        </is>
      </c>
      <c r="D2865" s="17" t="n">
        <v>46064</v>
      </c>
      <c r="E2865" t="inlineStr">
        <is>
          <t>Olyv</t>
        </is>
      </c>
      <c r="F2865" t="inlineStr">
        <is>
          <t>$23 Mn</t>
        </is>
      </c>
      <c r="G2865" s="19" t="n"/>
      <c r="H2865" s="19" t="n">
        <v>23</v>
      </c>
      <c r="I2865" t="inlineStr">
        <is>
          <t>Series B</t>
        </is>
      </c>
      <c r="J2865" t="inlineStr"/>
      <c r="K2865" t="inlineStr">
        <is>
          <t>https://inc42.com/buzz/from-idfy-to-olyv-indian-startups-raised-200-mn-this-week/</t>
        </is>
      </c>
    </row>
    <row r="2866">
      <c r="A2866" t="inlineStr">
        <is>
          <t>ENT-11089746</t>
        </is>
      </c>
      <c r="B2866" t="inlineStr">
        <is>
          <t>R260209-pandorumtechno</t>
        </is>
      </c>
      <c r="C2866" t="inlineStr">
        <is>
          <t>Entrackr</t>
        </is>
      </c>
      <c r="D2866" s="17" t="n">
        <v>46062</v>
      </c>
      <c r="E2866" t="inlineStr">
        <is>
          <t>Pandorum Technologies</t>
        </is>
      </c>
      <c r="F2866" t="inlineStr">
        <is>
          <t>$18 million</t>
        </is>
      </c>
      <c r="G2866" s="19" t="n"/>
      <c r="H2866" s="19" t="n">
        <v>18</v>
      </c>
      <c r="I2866" t="inlineStr">
        <is>
          <t>Series B</t>
        </is>
      </c>
      <c r="J2866" t="inlineStr">
        <is>
          <t>Protons Corporate</t>
        </is>
      </c>
      <c r="K2866" t="inlineStr">
        <is>
          <t>https://entrackr.com/news/biotech-startup-pandorum-technologies-raises-18-mn-in-series-b-round-11089746</t>
        </is>
      </c>
    </row>
    <row r="2867">
      <c r="A2867" t="inlineStr">
        <is>
          <t>INC-20260214-04</t>
        </is>
      </c>
      <c r="B2867" t="inlineStr">
        <is>
          <t>R260209-pandorumtechno</t>
        </is>
      </c>
      <c r="C2867" t="inlineStr">
        <is>
          <t>Inc42</t>
        </is>
      </c>
      <c r="D2867" s="17" t="n">
        <v>46062</v>
      </c>
      <c r="E2867" t="inlineStr">
        <is>
          <t>Pandorum Technologies</t>
        </is>
      </c>
      <c r="F2867" t="inlineStr">
        <is>
          <t>$18 Mn</t>
        </is>
      </c>
      <c r="G2867" s="19" t="n"/>
      <c r="H2867" s="19" t="n">
        <v>18</v>
      </c>
      <c r="I2867" t="inlineStr">
        <is>
          <t>Series B</t>
        </is>
      </c>
      <c r="J2867" t="inlineStr">
        <is>
          <t>Protons Corporate</t>
        </is>
      </c>
      <c r="K2867" t="inlineStr">
        <is>
          <t>https://inc42.com/buzz/from-idfy-to-olyv-indian-startups-raised-200-mn-this-week/</t>
        </is>
      </c>
    </row>
    <row r="2868">
      <c r="A2868" t="inlineStr">
        <is>
          <t>ENT-11089416</t>
        </is>
      </c>
      <c r="B2868" t="inlineStr">
        <is>
          <t>R260209-preventify</t>
        </is>
      </c>
      <c r="C2868" t="inlineStr">
        <is>
          <t>Entrackr</t>
        </is>
      </c>
      <c r="D2868" s="17" t="n">
        <v>46062</v>
      </c>
      <c r="E2868" t="inlineStr">
        <is>
          <t>Preventify</t>
        </is>
      </c>
      <c r="F2868" t="inlineStr">
        <is>
          <t>Rs 2 crore</t>
        </is>
      </c>
      <c r="G2868" s="19" t="n">
        <v>2</v>
      </c>
      <c r="H2868" s="19" t="n"/>
      <c r="I2868" t="inlineStr">
        <is>
          <t>Pre-Seed</t>
        </is>
      </c>
      <c r="J2868" t="inlineStr">
        <is>
          <t>PedalStart</t>
        </is>
      </c>
      <c r="K2868" t="inlineStr">
        <is>
          <t>https://entrackr.com/snippets/healthcare-startup-preventify-raises-rs-2-cr-in-pre-seed-round-led-by-pedalstart-11089416</t>
        </is>
      </c>
    </row>
    <row r="2869">
      <c r="A2869" t="inlineStr">
        <is>
          <t>ET-128103536</t>
        </is>
      </c>
      <c r="B2869" t="inlineStr">
        <is>
          <t>R260209-preventify</t>
        </is>
      </c>
      <c r="C2869" t="inlineStr">
        <is>
          <t>The Economic Times</t>
        </is>
      </c>
      <c r="D2869" s="17" t="n">
        <v>46062</v>
      </c>
      <c r="E2869" t="inlineStr">
        <is>
          <t>Preventify</t>
        </is>
      </c>
      <c r="F2869" t="inlineStr">
        <is>
          <t>Rs 2 crore</t>
        </is>
      </c>
      <c r="G2869" s="19" t="n">
        <v>2</v>
      </c>
      <c r="H2869" s="19" t="n"/>
      <c r="I2869" t="inlineStr">
        <is>
          <t>Pre-Seed</t>
        </is>
      </c>
      <c r="J2869" t="inlineStr">
        <is>
          <t>PedalStart</t>
        </is>
      </c>
      <c r="K2869" t="inlineStr">
        <is>
          <t>https://economictimes.indiatimes.com/tech/funding/healthcare-startup-preventify-raises-rs-2-crore-in-funding-round-led-by-pedalstart/articleshow/128103536.cms</t>
        </is>
      </c>
    </row>
    <row r="2870">
      <c r="A2870" t="inlineStr">
        <is>
          <t>INC-20260214-29</t>
        </is>
      </c>
      <c r="B2870" t="inlineStr">
        <is>
          <t>R260209-preventify</t>
        </is>
      </c>
      <c r="C2870" t="inlineStr">
        <is>
          <t>Inc42</t>
        </is>
      </c>
      <c r="D2870" s="17" t="n">
        <v>46062</v>
      </c>
      <c r="E2870" t="inlineStr">
        <is>
          <t>Preventify</t>
        </is>
      </c>
      <c r="F2870" t="inlineStr">
        <is>
          <t>$200K</t>
        </is>
      </c>
      <c r="G2870" s="19" t="n"/>
      <c r="H2870" s="19" t="n">
        <v>0.2</v>
      </c>
      <c r="I2870" t="inlineStr">
        <is>
          <t>Pre-Seed</t>
        </is>
      </c>
      <c r="J2870" t="inlineStr">
        <is>
          <t>PedalStart</t>
        </is>
      </c>
      <c r="K2870" t="inlineStr">
        <is>
          <t>https://inc42.com/buzz/from-idfy-to-olyv-indian-startups-raised-200-mn-this-week/</t>
        </is>
      </c>
    </row>
    <row r="2871">
      <c r="A2871" t="inlineStr">
        <is>
          <t>ENT-11091011</t>
        </is>
      </c>
      <c r="B2871" t="inlineStr">
        <is>
          <t>R260209-satlabsspacesy</t>
        </is>
      </c>
      <c r="C2871" t="inlineStr">
        <is>
          <t>Entrackr</t>
        </is>
      </c>
      <c r="D2871" s="17" t="n">
        <v>46062</v>
      </c>
      <c r="E2871" t="inlineStr">
        <is>
          <t>Satlabs Space Systems</t>
        </is>
      </c>
      <c r="F2871" t="inlineStr">
        <is>
          <t>$1 million</t>
        </is>
      </c>
      <c r="G2871" s="19" t="n"/>
      <c r="H2871" s="19" t="n">
        <v>1</v>
      </c>
      <c r="I2871" t="inlineStr">
        <is>
          <t>Undisclosed</t>
        </is>
      </c>
      <c r="J2871" t="inlineStr"/>
      <c r="K2871" t="inlineStr">
        <is>
          <t>https://entrackr.com/snippets/satlabs-space-systems-raises-1-mn-from-finvolve-and-ia-11091011</t>
        </is>
      </c>
    </row>
    <row r="2872">
      <c r="A2872" t="inlineStr">
        <is>
          <t>INC-20260214-23</t>
        </is>
      </c>
      <c r="B2872" t="inlineStr">
        <is>
          <t>R260209-satlabsspacesy</t>
        </is>
      </c>
      <c r="C2872" t="inlineStr">
        <is>
          <t>Inc42</t>
        </is>
      </c>
      <c r="D2872" s="17" t="n">
        <v>46064</v>
      </c>
      <c r="E2872" t="inlineStr">
        <is>
          <t>Satlabs</t>
        </is>
      </c>
      <c r="F2872" t="inlineStr">
        <is>
          <t>$1 Mn</t>
        </is>
      </c>
      <c r="G2872" s="19" t="n"/>
      <c r="H2872" s="19" t="n">
        <v>1</v>
      </c>
      <c r="I2872" t="inlineStr">
        <is>
          <t>Undisclosed</t>
        </is>
      </c>
      <c r="J2872" t="inlineStr">
        <is>
          <t>Finvolve; India Accelerator</t>
        </is>
      </c>
      <c r="K2872" t="inlineStr">
        <is>
          <t>https://inc42.com/buzz/from-idfy-to-olyv-indian-startups-raised-200-mn-this-week/</t>
        </is>
      </c>
    </row>
    <row r="2873">
      <c r="A2873" t="inlineStr">
        <is>
          <t>ENT-11089734</t>
        </is>
      </c>
      <c r="B2873" t="inlineStr">
        <is>
          <t>R260209-wellwith</t>
        </is>
      </c>
      <c r="C2873" t="inlineStr">
        <is>
          <t>Entrackr</t>
        </is>
      </c>
      <c r="D2873" s="17" t="n">
        <v>46062</v>
      </c>
      <c r="E2873" t="inlineStr">
        <is>
          <t>WellWith</t>
        </is>
      </c>
      <c r="F2873" t="inlineStr">
        <is>
          <t>Rs 1.25 crore</t>
        </is>
      </c>
      <c r="G2873" s="19" t="n">
        <v>1.25</v>
      </c>
      <c r="H2873" s="19" t="n"/>
      <c r="I2873" t="inlineStr">
        <is>
          <t>Seed</t>
        </is>
      </c>
      <c r="J2873" t="inlineStr">
        <is>
          <t>BeyondSeed</t>
        </is>
      </c>
      <c r="K2873" t="inlineStr">
        <is>
          <t>https://entrackr.com/snippets/wellness-startup-wellwith-raises-seed-round-led-by-beyondseed-11089734</t>
        </is>
      </c>
    </row>
    <row r="2874">
      <c r="A2874" t="inlineStr">
        <is>
          <t>ENT-11092346</t>
        </is>
      </c>
      <c r="B2874" t="inlineStr">
        <is>
          <t>R260210-bennybowl</t>
        </is>
      </c>
      <c r="C2874" t="inlineStr">
        <is>
          <t>Entrackr</t>
        </is>
      </c>
      <c r="D2874" s="17" t="n">
        <v>46063</v>
      </c>
      <c r="E2874" t="inlineStr">
        <is>
          <t>Benny’s Bowl</t>
        </is>
      </c>
      <c r="F2874" t="inlineStr">
        <is>
          <t>$1.4 million</t>
        </is>
      </c>
      <c r="G2874" s="19" t="n"/>
      <c r="H2874" s="19" t="n">
        <v>1.4</v>
      </c>
      <c r="I2874" t="inlineStr">
        <is>
          <t>Pre-Series A</t>
        </is>
      </c>
      <c r="J2874" t="inlineStr">
        <is>
          <t>Atomic Capital</t>
        </is>
      </c>
      <c r="K2874" t="inlineStr">
        <is>
          <t>https://entrackr.com/snippets/bennys-bowl-raises-14-mn-in-pre-series-a-led-by-atomic-capital-11092346</t>
        </is>
      </c>
    </row>
    <row r="2875">
      <c r="A2875" t="inlineStr">
        <is>
          <t>INC-20260214-21</t>
        </is>
      </c>
      <c r="B2875" t="inlineStr">
        <is>
          <t>R260210-bennybowl</t>
        </is>
      </c>
      <c r="C2875" t="inlineStr">
        <is>
          <t>Inc42</t>
        </is>
      </c>
      <c r="D2875" s="17" t="n">
        <v>46064</v>
      </c>
      <c r="E2875" t="inlineStr">
        <is>
          <t>Benny’s Bowl</t>
        </is>
      </c>
      <c r="F2875" t="inlineStr">
        <is>
          <t>$1.4 Mn</t>
        </is>
      </c>
      <c r="G2875" s="19" t="n"/>
      <c r="H2875" s="19" t="n">
        <v>1.4</v>
      </c>
      <c r="I2875" t="inlineStr">
        <is>
          <t>Pre-Series A</t>
        </is>
      </c>
      <c r="J2875" t="inlineStr">
        <is>
          <t>Atomic Capital</t>
        </is>
      </c>
      <c r="K2875" t="inlineStr">
        <is>
          <t>https://inc42.com/buzz/from-idfy-to-olyv-indian-startups-raised-200-mn-this-week/</t>
        </is>
      </c>
    </row>
    <row r="2876">
      <c r="A2876" t="inlineStr">
        <is>
          <t>ENT-11092144</t>
        </is>
      </c>
      <c r="B2876" t="inlineStr">
        <is>
          <t>R260210-botgaugeai</t>
        </is>
      </c>
      <c r="C2876" t="inlineStr">
        <is>
          <t>Entrackr</t>
        </is>
      </c>
      <c r="D2876" s="17" t="n">
        <v>46063</v>
      </c>
      <c r="E2876" t="inlineStr">
        <is>
          <t>BotGauge AI</t>
        </is>
      </c>
      <c r="F2876" t="inlineStr">
        <is>
          <t>$2 million</t>
        </is>
      </c>
      <c r="G2876" s="19" t="n">
        <v>17</v>
      </c>
      <c r="H2876" s="19" t="n">
        <v>2</v>
      </c>
      <c r="I2876" t="inlineStr">
        <is>
          <t>Seed</t>
        </is>
      </c>
      <c r="J2876" t="inlineStr">
        <is>
          <t>Surface Ventures</t>
        </is>
      </c>
      <c r="K2876" t="inlineStr">
        <is>
          <t>https://entrackr.com/snippets/ai-software-testing-startup-botgauge-ai-raises-2-mn-led-by-surface-ventures-11092144</t>
        </is>
      </c>
    </row>
    <row r="2877">
      <c r="A2877" t="inlineStr">
        <is>
          <t>ET-128122718</t>
        </is>
      </c>
      <c r="B2877" t="inlineStr">
        <is>
          <t>R260210-botgaugeai</t>
        </is>
      </c>
      <c r="C2877" t="inlineStr">
        <is>
          <t>The Economic Times</t>
        </is>
      </c>
      <c r="D2877" s="17" t="n">
        <v>46063</v>
      </c>
      <c r="E2877" t="inlineStr">
        <is>
          <t>Botgauge AI</t>
        </is>
      </c>
      <c r="F2877" t="inlineStr">
        <is>
          <t>$2 million</t>
        </is>
      </c>
      <c r="G2877" s="19" t="n"/>
      <c r="H2877" s="19" t="n">
        <v>2</v>
      </c>
      <c r="I2877" t="inlineStr">
        <is>
          <t>Seed</t>
        </is>
      </c>
      <c r="J2877" t="inlineStr">
        <is>
          <t>Surface Ventures</t>
        </is>
      </c>
      <c r="K2877" t="inlineStr">
        <is>
          <t>https://economictimes.indiatimes.com/tech/funding/software-testing-firm-botgauge-ai-raises-2-million-led-by-surface-ventures/articleshow/128122718.cms</t>
        </is>
      </c>
    </row>
    <row r="2878">
      <c r="A2878" t="inlineStr">
        <is>
          <t>INC-20260214-19</t>
        </is>
      </c>
      <c r="B2878" t="inlineStr">
        <is>
          <t>R260210-botgaugeai</t>
        </is>
      </c>
      <c r="C2878" t="inlineStr">
        <is>
          <t>Inc42</t>
        </is>
      </c>
      <c r="D2878" s="17" t="n">
        <v>46063</v>
      </c>
      <c r="E2878" t="inlineStr">
        <is>
          <t>BotGauge AI</t>
        </is>
      </c>
      <c r="F2878" t="inlineStr">
        <is>
          <t>$2 Mn</t>
        </is>
      </c>
      <c r="G2878" s="19" t="n"/>
      <c r="H2878" s="19" t="n">
        <v>2</v>
      </c>
      <c r="I2878" t="inlineStr">
        <is>
          <t>Undisclosed</t>
        </is>
      </c>
      <c r="J2878" t="inlineStr">
        <is>
          <t>Surface Ventures</t>
        </is>
      </c>
      <c r="K2878" t="inlineStr">
        <is>
          <t>https://inc42.com/buzz/from-idfy-to-olyv-indian-startups-raised-200-mn-this-week/</t>
        </is>
      </c>
    </row>
    <row r="2879">
      <c r="A2879" t="inlineStr">
        <is>
          <t>ENT-11092535</t>
        </is>
      </c>
      <c r="B2879" t="inlineStr">
        <is>
          <t>R260210-curapod</t>
        </is>
      </c>
      <c r="C2879" t="inlineStr">
        <is>
          <t>Entrackr</t>
        </is>
      </c>
      <c r="D2879" s="17" t="n">
        <v>46063</v>
      </c>
      <c r="E2879" t="inlineStr">
        <is>
          <t>CURAPOD</t>
        </is>
      </c>
      <c r="F2879" t="inlineStr">
        <is>
          <t>Rs 20 crore</t>
        </is>
      </c>
      <c r="G2879" s="19" t="n">
        <v>20</v>
      </c>
      <c r="H2879" s="19" t="n">
        <v>2.2</v>
      </c>
      <c r="I2879" t="inlineStr">
        <is>
          <t>Pre-Series A</t>
        </is>
      </c>
      <c r="J2879" t="inlineStr">
        <is>
          <t>V3 Ventures; 3i Partners; Ideaspring Capital</t>
        </is>
      </c>
      <c r="K2879" t="inlineStr">
        <is>
          <t>https://entrackr.com/snippets/healthtech-startup-curapod-raises-rs-20-cr-in-pre-series-a-round-11092535</t>
        </is>
      </c>
    </row>
    <row r="2880">
      <c r="A2880" t="inlineStr">
        <is>
          <t>INC-20260214-17</t>
        </is>
      </c>
      <c r="B2880" t="inlineStr">
        <is>
          <t>R260210-curapod</t>
        </is>
      </c>
      <c r="C2880" t="inlineStr">
        <is>
          <t>Inc42</t>
        </is>
      </c>
      <c r="D2880" s="17" t="n">
        <v>46063</v>
      </c>
      <c r="E2880" t="inlineStr">
        <is>
          <t>CURAPOD</t>
        </is>
      </c>
      <c r="F2880" t="inlineStr">
        <is>
          <t>$2.2 Mn</t>
        </is>
      </c>
      <c r="G2880" s="19" t="n"/>
      <c r="H2880" s="19" t="n">
        <v>2.2</v>
      </c>
      <c r="I2880" t="inlineStr">
        <is>
          <t>Pre-Series A</t>
        </is>
      </c>
      <c r="J2880" t="inlineStr">
        <is>
          <t>V3 Ventures; 3i Partners; Ideaspring Capital</t>
        </is>
      </c>
      <c r="K2880" t="inlineStr">
        <is>
          <t>https://inc42.com/buzz/from-idfy-to-olyv-indian-startups-raised-200-mn-this-week/</t>
        </is>
      </c>
    </row>
    <row r="2881">
      <c r="A2881" t="inlineStr">
        <is>
          <t>ENT-11092137</t>
        </is>
      </c>
      <c r="B2881" t="inlineStr">
        <is>
          <t>R260210-ethera</t>
        </is>
      </c>
      <c r="C2881" t="inlineStr">
        <is>
          <t>Entrackr</t>
        </is>
      </c>
      <c r="D2881" s="17" t="n">
        <v>46063</v>
      </c>
      <c r="E2881" t="inlineStr">
        <is>
          <t>Ethera</t>
        </is>
      </c>
      <c r="F2881" t="inlineStr">
        <is>
          <t>Rs 25 crore</t>
        </is>
      </c>
      <c r="G2881" s="19" t="n">
        <v>25</v>
      </c>
      <c r="H2881" s="19" t="n">
        <v>2.75</v>
      </c>
      <c r="I2881" t="inlineStr">
        <is>
          <t>Undisclosed</t>
        </is>
      </c>
      <c r="J2881" t="inlineStr"/>
      <c r="K2881" t="inlineStr">
        <is>
          <t>https://entrackr.com/snippets/lab-grown-diamond-jewellery-startup-ethera-raises-rs-25-cr-from-bluestone-11092137</t>
        </is>
      </c>
    </row>
    <row r="2882">
      <c r="A2882" t="inlineStr">
        <is>
          <t>ENT-11094050</t>
        </is>
      </c>
      <c r="B2882" t="inlineStr">
        <is>
          <t>R260210-padcarelabs</t>
        </is>
      </c>
      <c r="C2882" t="inlineStr">
        <is>
          <t>Entrackr</t>
        </is>
      </c>
      <c r="D2882" s="17" t="n">
        <v>46063</v>
      </c>
      <c r="E2882" t="inlineStr">
        <is>
          <t>PadCare Labs</t>
        </is>
      </c>
      <c r="F2882" t="inlineStr">
        <is>
          <t>$3 million</t>
        </is>
      </c>
      <c r="G2882" s="19" t="n"/>
      <c r="H2882" s="19" t="n">
        <v>3</v>
      </c>
      <c r="I2882" t="inlineStr">
        <is>
          <t>Pre-Series A</t>
        </is>
      </c>
      <c r="J2882" t="inlineStr">
        <is>
          <t>Rainmatter</t>
        </is>
      </c>
      <c r="K2882" t="inlineStr">
        <is>
          <t>https://entrackr.com/snippets/clean-tech-startup-padcare-labs-raises-3-mn-led-by-rainmatter-11094050</t>
        </is>
      </c>
    </row>
    <row r="2883">
      <c r="A2883" t="inlineStr">
        <is>
          <t>ET-128142626</t>
        </is>
      </c>
      <c r="B2883" t="inlineStr">
        <is>
          <t>R260210-padcarelabs</t>
        </is>
      </c>
      <c r="C2883" t="inlineStr">
        <is>
          <t>The Economic Times</t>
        </is>
      </c>
      <c r="D2883" s="17" t="n">
        <v>46063</v>
      </c>
      <c r="E2883" t="inlineStr">
        <is>
          <t>PadCare Labs</t>
        </is>
      </c>
      <c r="F2883" t="inlineStr">
        <is>
          <t>$3 million</t>
        </is>
      </c>
      <c r="G2883" s="19" t="n"/>
      <c r="H2883" s="19" t="n">
        <v>3</v>
      </c>
      <c r="I2883" t="inlineStr">
        <is>
          <t>Undisclosed</t>
        </is>
      </c>
      <c r="J2883" t="inlineStr">
        <is>
          <t>Rainmatter</t>
        </is>
      </c>
      <c r="K2883" t="inlineStr">
        <is>
          <t>https://economictimes.indiatimes.com/tech/funding/sanitary-waste-recycler-padcare-labs-raises-3-million-from-nithin-kamaths-rainmatter-others/articleshow/128142626.cms</t>
        </is>
      </c>
    </row>
    <row r="2884">
      <c r="A2884" t="inlineStr">
        <is>
          <t>INC-20260214-13</t>
        </is>
      </c>
      <c r="B2884" t="inlineStr">
        <is>
          <t>R260210-padcarelabs</t>
        </is>
      </c>
      <c r="C2884" t="inlineStr">
        <is>
          <t>Inc42</t>
        </is>
      </c>
      <c r="D2884" s="17" t="n">
        <v>46063</v>
      </c>
      <c r="E2884" t="inlineStr">
        <is>
          <t>PadCare</t>
        </is>
      </c>
      <c r="F2884" t="inlineStr">
        <is>
          <t>$3 Mn</t>
        </is>
      </c>
      <c r="G2884" s="19" t="n"/>
      <c r="H2884" s="19" t="n">
        <v>3</v>
      </c>
      <c r="I2884" t="inlineStr">
        <is>
          <t>Pre-Series A</t>
        </is>
      </c>
      <c r="J2884" t="inlineStr">
        <is>
          <t>Rainmatter</t>
        </is>
      </c>
      <c r="K2884" t="inlineStr">
        <is>
          <t>https://inc42.com/buzz/from-idfy-to-olyv-indian-startups-raised-200-mn-this-week/</t>
        </is>
      </c>
    </row>
    <row r="2885">
      <c r="A2885" t="inlineStr">
        <is>
          <t>ENT-11092671</t>
        </is>
      </c>
      <c r="B2885" t="inlineStr">
        <is>
          <t>R260210-pandabox</t>
        </is>
      </c>
      <c r="C2885" t="inlineStr">
        <is>
          <t>Entrackr</t>
        </is>
      </c>
      <c r="D2885" s="17" t="n">
        <v>46063</v>
      </c>
      <c r="E2885" t="inlineStr">
        <is>
          <t>Panda’s Box</t>
        </is>
      </c>
      <c r="F2885" t="inlineStr">
        <is>
          <t>Rs 1.2 crore</t>
        </is>
      </c>
      <c r="G2885" s="19" t="n">
        <v>1.2</v>
      </c>
      <c r="H2885" s="19" t="n"/>
      <c r="I2885" t="inlineStr">
        <is>
          <t>Undisclosed</t>
        </is>
      </c>
      <c r="J2885" t="inlineStr"/>
      <c r="K2885" t="inlineStr">
        <is>
          <t>https://entrackr.com/snippets/early-learning-startup-pandas-box-raises-rs-12-cr-from-shark-tank-india-11092671</t>
        </is>
      </c>
    </row>
    <row r="2886">
      <c r="A2886" t="inlineStr">
        <is>
          <t>INC-20260214-16</t>
        </is>
      </c>
      <c r="B2886" t="inlineStr">
        <is>
          <t>R260210-simpleai</t>
        </is>
      </c>
      <c r="C2886" t="inlineStr">
        <is>
          <t>Inc42</t>
        </is>
      </c>
      <c r="D2886" s="17" t="n">
        <v>46063</v>
      </c>
      <c r="E2886" t="inlineStr">
        <is>
          <t>SimpleAI</t>
        </is>
      </c>
      <c r="F2886" t="inlineStr">
        <is>
          <t>$2.5 Mn</t>
        </is>
      </c>
      <c r="G2886" s="19" t="n"/>
      <c r="H2886" s="19" t="n">
        <v>2.5</v>
      </c>
      <c r="I2886" t="inlineStr">
        <is>
          <t>Seed</t>
        </is>
      </c>
      <c r="J2886" t="inlineStr">
        <is>
          <t>JBV Capital</t>
        </is>
      </c>
      <c r="K2886" t="inlineStr">
        <is>
          <t>https://inc42.com/buzz/from-idfy-to-olyv-indian-startups-raised-200-mn-this-week/</t>
        </is>
      </c>
    </row>
    <row r="2887">
      <c r="A2887" t="inlineStr">
        <is>
          <t>ENT-11093285</t>
        </is>
      </c>
      <c r="B2887" t="inlineStr">
        <is>
          <t>R260210-slurrpfarm</t>
        </is>
      </c>
      <c r="C2887" t="inlineStr">
        <is>
          <t>Entrackr</t>
        </is>
      </c>
      <c r="D2887" s="17" t="n">
        <v>46063</v>
      </c>
      <c r="E2887" t="inlineStr">
        <is>
          <t>Slurrp Farm</t>
        </is>
      </c>
      <c r="F2887" t="inlineStr">
        <is>
          <t>Rs 30 crore</t>
        </is>
      </c>
      <c r="G2887" s="19" t="n">
        <v>30</v>
      </c>
      <c r="H2887" s="19" t="n">
        <v>3.3</v>
      </c>
      <c r="I2887" t="inlineStr">
        <is>
          <t>Series C</t>
        </is>
      </c>
      <c r="J2887" t="inlineStr"/>
      <c r="K2887" t="inlineStr">
        <is>
          <t>https://entrackr.com/exclusive/exclusive-anushka-sharma-backed-slurrp-farm-raises-fresh-funds-at-90-mn-valuation-11093285</t>
        </is>
      </c>
    </row>
    <row r="2888">
      <c r="A2888" t="inlineStr">
        <is>
          <t>ENT-11092201</t>
        </is>
      </c>
      <c r="B2888" t="inlineStr">
        <is>
          <t>R260210-supertails</t>
        </is>
      </c>
      <c r="C2888" t="inlineStr">
        <is>
          <t>Entrackr</t>
        </is>
      </c>
      <c r="D2888" s="17" t="n">
        <v>46063</v>
      </c>
      <c r="E2888" t="inlineStr">
        <is>
          <t>Supertails</t>
        </is>
      </c>
      <c r="F2888" t="inlineStr">
        <is>
          <t>$30 million</t>
        </is>
      </c>
      <c r="G2888" s="19" t="n"/>
      <c r="H2888" s="19" t="n">
        <v>30</v>
      </c>
      <c r="I2888" t="inlineStr">
        <is>
          <t>Undisclosed</t>
        </is>
      </c>
      <c r="J2888" t="inlineStr">
        <is>
          <t>Venturi Partners</t>
        </is>
      </c>
      <c r="K2888" t="inlineStr">
        <is>
          <t>https://entrackr.com/news/petcare-startup-supertails-raises-30-mn-led-by-venturi-partners-11092201</t>
        </is>
      </c>
    </row>
    <row r="2889">
      <c r="A2889" t="inlineStr">
        <is>
          <t>ET-128122923</t>
        </is>
      </c>
      <c r="B2889" t="inlineStr">
        <is>
          <t>R260210-supertails</t>
        </is>
      </c>
      <c r="C2889" t="inlineStr">
        <is>
          <t>The Economic Times</t>
        </is>
      </c>
      <c r="D2889" s="17" t="n">
        <v>46063</v>
      </c>
      <c r="E2889" t="inlineStr">
        <is>
          <t>Supertails</t>
        </is>
      </c>
      <c r="F2889" t="inlineStr">
        <is>
          <t>$30 million</t>
        </is>
      </c>
      <c r="G2889" s="19" t="n"/>
      <c r="H2889" s="19" t="n">
        <v>30</v>
      </c>
      <c r="I2889" t="inlineStr">
        <is>
          <t>Undisclosed</t>
        </is>
      </c>
      <c r="J2889" t="inlineStr">
        <is>
          <t>Venturi Partners</t>
        </is>
      </c>
      <c r="K2889" t="inlineStr">
        <is>
          <t>https://economictimes.indiatimes.com/tech/funding/petcare-startup-supertails-raises-30-million-led-by-venturi-partners/articleshow/128122923.cms</t>
        </is>
      </c>
    </row>
    <row r="2890">
      <c r="A2890" t="inlineStr">
        <is>
          <t>INC-20260214-02</t>
        </is>
      </c>
      <c r="B2890" t="inlineStr">
        <is>
          <t>R260210-supertails</t>
        </is>
      </c>
      <c r="C2890" t="inlineStr">
        <is>
          <t>Inc42</t>
        </is>
      </c>
      <c r="D2890" s="17" t="n">
        <v>46063</v>
      </c>
      <c r="E2890" t="inlineStr">
        <is>
          <t>Supertails</t>
        </is>
      </c>
      <c r="F2890" t="inlineStr">
        <is>
          <t>$30 Mn</t>
        </is>
      </c>
      <c r="G2890" s="19" t="n"/>
      <c r="H2890" s="19" t="n">
        <v>30</v>
      </c>
      <c r="I2890" t="inlineStr">
        <is>
          <t>Series C</t>
        </is>
      </c>
      <c r="J2890" t="inlineStr">
        <is>
          <t>Venturi Partners</t>
        </is>
      </c>
      <c r="K2890" t="inlineStr">
        <is>
          <t>https://inc42.com/buzz/from-idfy-to-olyv-indian-startups-raised-200-mn-this-week/</t>
        </is>
      </c>
    </row>
    <row r="2891">
      <c r="A2891" t="inlineStr">
        <is>
          <t>ENT-11092262</t>
        </is>
      </c>
      <c r="B2891" t="inlineStr">
        <is>
          <t>R260210-truthandhair</t>
        </is>
      </c>
      <c r="C2891" t="inlineStr">
        <is>
          <t>Entrackr</t>
        </is>
      </c>
      <c r="D2891" s="17" t="n">
        <v>46063</v>
      </c>
      <c r="E2891" t="inlineStr">
        <is>
          <t>Truth &amp; Hair</t>
        </is>
      </c>
      <c r="F2891" t="inlineStr">
        <is>
          <t>Rs 2.5 crore</t>
        </is>
      </c>
      <c r="G2891" s="19" t="n">
        <v>2.5</v>
      </c>
      <c r="H2891" s="19" t="n"/>
      <c r="I2891" t="inlineStr">
        <is>
          <t>Undisclosed</t>
        </is>
      </c>
      <c r="J2891" t="inlineStr"/>
      <c r="K2891" t="inlineStr">
        <is>
          <t>https://entrackr.com/snippets/truth-hair-raises-rs-25-cr-from-varun-alagh-on-shark-tank-india-11092262</t>
        </is>
      </c>
    </row>
    <row r="2892">
      <c r="A2892" t="inlineStr">
        <is>
          <t>INC-20260214-28</t>
        </is>
      </c>
      <c r="B2892" t="inlineStr">
        <is>
          <t>R260210-truthandhair</t>
        </is>
      </c>
      <c r="C2892" t="inlineStr">
        <is>
          <t>Inc42</t>
        </is>
      </c>
      <c r="D2892" s="17" t="n">
        <v>46064</v>
      </c>
      <c r="E2892" t="inlineStr">
        <is>
          <t>Truth &amp; Hair</t>
        </is>
      </c>
      <c r="F2892" t="inlineStr">
        <is>
          <t>$276K</t>
        </is>
      </c>
      <c r="G2892" s="19" t="n"/>
      <c r="H2892" s="19" t="n">
        <v>0.276</v>
      </c>
      <c r="I2892" t="inlineStr">
        <is>
          <t>Undisclosed</t>
        </is>
      </c>
      <c r="J2892" t="inlineStr">
        <is>
          <t>Varun Alagh</t>
        </is>
      </c>
      <c r="K2892" t="inlineStr">
        <is>
          <t>https://inc42.com/buzz/from-idfy-to-olyv-indian-startups-raised-200-mn-this-week/</t>
        </is>
      </c>
    </row>
    <row r="2893">
      <c r="A2893" t="inlineStr">
        <is>
          <t>ENT-11095456</t>
        </is>
      </c>
      <c r="B2893" t="inlineStr">
        <is>
          <t>R260211-articulussurgi</t>
        </is>
      </c>
      <c r="C2893" t="inlineStr">
        <is>
          <t>Entrackr</t>
        </is>
      </c>
      <c r="D2893" s="17" t="n">
        <v>46064</v>
      </c>
      <c r="E2893" t="inlineStr">
        <is>
          <t>Articulus Surgical</t>
        </is>
      </c>
      <c r="F2893" t="inlineStr"/>
      <c r="G2893" s="19" t="n"/>
      <c r="H2893" s="19" t="n"/>
      <c r="I2893" t="inlineStr">
        <is>
          <t>Undisclosed</t>
        </is>
      </c>
      <c r="J2893" t="inlineStr"/>
      <c r="K2893" t="inlineStr">
        <is>
          <t>https://entrackr.com/snippets/medical-robotics-startup-articulus-surgical-raises-funding-from-kalaari-capital-11095456</t>
        </is>
      </c>
    </row>
    <row r="2894">
      <c r="A2894" t="inlineStr">
        <is>
          <t>ET-128167614</t>
        </is>
      </c>
      <c r="B2894" t="inlineStr">
        <is>
          <t>R260211-articulussurgi</t>
        </is>
      </c>
      <c r="C2894" t="inlineStr">
        <is>
          <t>The Economic Times</t>
        </is>
      </c>
      <c r="D2894" s="17" t="n">
        <v>46064</v>
      </c>
      <c r="E2894" t="inlineStr">
        <is>
          <t>Articulus Surgical</t>
        </is>
      </c>
      <c r="F2894" t="inlineStr"/>
      <c r="G2894" s="19" t="n"/>
      <c r="H2894" s="19" t="n"/>
      <c r="I2894" t="inlineStr">
        <is>
          <t>Undisclosed</t>
        </is>
      </c>
      <c r="J2894" t="inlineStr"/>
      <c r="K2894" t="inlineStr">
        <is>
          <t>https://economictimes.indiatimes.com/tech/funding/medical-robotics-startup-articulus-surgical-raises-funding-from-kalaari-capital/articleshow/128167614.cms</t>
        </is>
      </c>
    </row>
    <row r="2895">
      <c r="A2895" t="inlineStr">
        <is>
          <t>INC-20260214-30</t>
        </is>
      </c>
      <c r="B2895" t="inlineStr">
        <is>
          <t>R260211-articulussurgi</t>
        </is>
      </c>
      <c r="C2895" t="inlineStr">
        <is>
          <t>Inc42</t>
        </is>
      </c>
      <c r="D2895" s="17" t="n">
        <v>46064</v>
      </c>
      <c r="E2895" t="inlineStr">
        <is>
          <t>Articulus Surgical</t>
        </is>
      </c>
      <c r="F2895" t="inlineStr"/>
      <c r="G2895" s="19" t="n"/>
      <c r="H2895" s="19" t="n"/>
      <c r="I2895" t="inlineStr">
        <is>
          <t>Seed</t>
        </is>
      </c>
      <c r="J2895" t="inlineStr">
        <is>
          <t>Kalaari Capital</t>
        </is>
      </c>
      <c r="K2895" t="inlineStr">
        <is>
          <t>https://inc42.com/buzz/from-idfy-to-olyv-indian-startups-raised-200-mn-this-week/</t>
        </is>
      </c>
    </row>
    <row r="2896">
      <c r="A2896" t="inlineStr">
        <is>
          <t>ENT-11096310</t>
        </is>
      </c>
      <c r="B2896" t="inlineStr">
        <is>
          <t>R260211-bighaat</t>
        </is>
      </c>
      <c r="C2896" t="inlineStr">
        <is>
          <t>Entrackr</t>
        </is>
      </c>
      <c r="D2896" s="17" t="n">
        <v>46064</v>
      </c>
      <c r="E2896" t="inlineStr">
        <is>
          <t>BigHaat</t>
        </is>
      </c>
      <c r="F2896" t="inlineStr">
        <is>
          <t>$10 million</t>
        </is>
      </c>
      <c r="G2896" s="19" t="n"/>
      <c r="H2896" s="19" t="n">
        <v>10</v>
      </c>
      <c r="I2896" t="inlineStr">
        <is>
          <t>Undisclosed</t>
        </is>
      </c>
      <c r="J2896" t="inlineStr">
        <is>
          <t>Bidra Innovation Ventures</t>
        </is>
      </c>
      <c r="K2896" t="inlineStr">
        <is>
          <t>https://entrackr.com/news/bighaat-raises-10-mn-led-by-ocp-groups-arm-bidra-innovation-11096310</t>
        </is>
      </c>
    </row>
    <row r="2897">
      <c r="A2897" t="inlineStr">
        <is>
          <t>ENT-11096132</t>
        </is>
      </c>
      <c r="B2897" t="inlineStr">
        <is>
          <t>R260211-carefi</t>
        </is>
      </c>
      <c r="C2897" t="inlineStr">
        <is>
          <t>Entrackr</t>
        </is>
      </c>
      <c r="D2897" s="17" t="n">
        <v>46064</v>
      </c>
      <c r="E2897" t="inlineStr">
        <is>
          <t>Care.fi</t>
        </is>
      </c>
      <c r="F2897" t="inlineStr">
        <is>
          <t>$8 million</t>
        </is>
      </c>
      <c r="G2897" s="19" t="n"/>
      <c r="H2897" s="19" t="n">
        <v>8</v>
      </c>
      <c r="I2897" t="inlineStr">
        <is>
          <t>Series A</t>
        </is>
      </c>
      <c r="J2897" t="inlineStr">
        <is>
          <t>July Ventures</t>
        </is>
      </c>
      <c r="K2897" t="inlineStr">
        <is>
          <t>https://entrackr.com/snippets/carefi-raises-8-mn-in-series-a-round-led-by-july-ventures-11096132</t>
        </is>
      </c>
    </row>
    <row r="2898">
      <c r="A2898" t="inlineStr">
        <is>
          <t>ET-128167475</t>
        </is>
      </c>
      <c r="B2898" t="inlineStr">
        <is>
          <t>R260211-carefi</t>
        </is>
      </c>
      <c r="C2898" t="inlineStr">
        <is>
          <t>The Economic Times</t>
        </is>
      </c>
      <c r="D2898" s="17" t="n">
        <v>46064</v>
      </c>
      <c r="E2898" t="inlineStr">
        <is>
          <t>Care.fi</t>
        </is>
      </c>
      <c r="F2898" t="inlineStr">
        <is>
          <t>$8 million</t>
        </is>
      </c>
      <c r="G2898" s="19" t="n"/>
      <c r="H2898" s="19" t="n">
        <v>8</v>
      </c>
      <c r="I2898" t="inlineStr">
        <is>
          <t>Undisclosed</t>
        </is>
      </c>
      <c r="J2898" t="inlineStr"/>
      <c r="K2898" t="inlineStr">
        <is>
          <t>https://economictimes.indiatimes.com/tech/funding/care-fi-raises-8-million-in-equity-debt-funding-round/articleshow/128167475.cms</t>
        </is>
      </c>
    </row>
    <row r="2899">
      <c r="A2899" t="inlineStr">
        <is>
          <t>INC-20260214-07</t>
        </is>
      </c>
      <c r="B2899" t="inlineStr">
        <is>
          <t>R260211-carefi</t>
        </is>
      </c>
      <c r="C2899" t="inlineStr">
        <is>
          <t>Inc42</t>
        </is>
      </c>
      <c r="D2899" s="17" t="n">
        <v>46064</v>
      </c>
      <c r="E2899" t="inlineStr">
        <is>
          <t>Care.fi</t>
        </is>
      </c>
      <c r="F2899" t="inlineStr">
        <is>
          <t>$8 Mn</t>
        </is>
      </c>
      <c r="G2899" s="19" t="n"/>
      <c r="H2899" s="19" t="n">
        <v>8</v>
      </c>
      <c r="I2899" t="inlineStr">
        <is>
          <t>Series A</t>
        </is>
      </c>
      <c r="J2899" t="inlineStr">
        <is>
          <t>July Ventures</t>
        </is>
      </c>
      <c r="K2899" t="inlineStr">
        <is>
          <t>https://inc42.com/buzz/from-idfy-to-olyv-indian-startups-raised-200-mn-this-week/</t>
        </is>
      </c>
    </row>
    <row r="2900">
      <c r="A2900" t="inlineStr">
        <is>
          <t>INC-20260214-14</t>
        </is>
      </c>
      <c r="B2900" t="inlineStr">
        <is>
          <t>R260211-godesi</t>
        </is>
      </c>
      <c r="C2900" t="inlineStr">
        <is>
          <t>Inc42</t>
        </is>
      </c>
      <c r="D2900" s="17" t="n">
        <v>46064</v>
      </c>
      <c r="E2900" t="inlineStr">
        <is>
          <t>Go Desi</t>
        </is>
      </c>
      <c r="F2900" t="inlineStr">
        <is>
          <t>$2.8 Mn</t>
        </is>
      </c>
      <c r="G2900" s="19" t="n"/>
      <c r="H2900" s="19" t="n">
        <v>2.8</v>
      </c>
      <c r="I2900" t="inlineStr">
        <is>
          <t>Series B</t>
        </is>
      </c>
      <c r="J2900" t="inlineStr">
        <is>
          <t>ENRISSION INDIA CAPITAL; DSG Consumer Partners; Aavishkaar Capital</t>
        </is>
      </c>
      <c r="K2900" t="inlineStr">
        <is>
          <t>https://inc42.com/buzz/from-idfy-to-olyv-indian-startups-raised-200-mn-this-week/</t>
        </is>
      </c>
    </row>
    <row r="2901">
      <c r="A2901" t="inlineStr">
        <is>
          <t>ENT-11096339</t>
        </is>
      </c>
      <c r="B2901" t="inlineStr">
        <is>
          <t>R260211-nester</t>
        </is>
      </c>
      <c r="C2901" t="inlineStr">
        <is>
          <t>Entrackr</t>
        </is>
      </c>
      <c r="D2901" s="17" t="n">
        <v>46064</v>
      </c>
      <c r="E2901" t="inlineStr">
        <is>
          <t>Nester</t>
        </is>
      </c>
      <c r="F2901" t="inlineStr">
        <is>
          <t>Rs 19 crore</t>
        </is>
      </c>
      <c r="G2901" s="19" t="n">
        <v>19</v>
      </c>
      <c r="H2901" s="19" t="n"/>
      <c r="I2901" t="inlineStr">
        <is>
          <t>Pre-Series A</t>
        </is>
      </c>
      <c r="J2901" t="inlineStr">
        <is>
          <t>Fireside Ventures; OTP Ventures; Titan Capital</t>
        </is>
      </c>
      <c r="K2901" t="inlineStr">
        <is>
          <t>https://entrackr.com/snippets/nester-secures-pre-series-a-round-from-fireside-ventures-and-otp-ventures-11096339</t>
        </is>
      </c>
    </row>
    <row r="2902">
      <c r="A2902" t="inlineStr">
        <is>
          <t>ET-128206712</t>
        </is>
      </c>
      <c r="B2902" t="inlineStr">
        <is>
          <t>R260211-nester</t>
        </is>
      </c>
      <c r="C2902" t="inlineStr">
        <is>
          <t>The Economic Times</t>
        </is>
      </c>
      <c r="D2902" s="17" t="n">
        <v>46064</v>
      </c>
      <c r="E2902" t="inlineStr">
        <is>
          <t>Nester</t>
        </is>
      </c>
      <c r="F2902" t="inlineStr">
        <is>
          <t>Rs 19 crore</t>
        </is>
      </c>
      <c r="G2902" s="19" t="n">
        <v>19</v>
      </c>
      <c r="H2902" s="19" t="n"/>
      <c r="I2902" t="inlineStr">
        <is>
          <t>Pre-Series A</t>
        </is>
      </c>
      <c r="J2902" t="inlineStr">
        <is>
          <t>Fireside Ventures; OTP Ventures</t>
        </is>
      </c>
      <c r="K2902" t="inlineStr">
        <is>
          <t>https://economictimes.indiatimes.com/tech/funding/d2c-homeware-brand-nester-raises-rs-19-crore-in-funding-round-led-by-fireside-ventures-otp-ventures/articleshow/128206712.cms</t>
        </is>
      </c>
    </row>
    <row r="2903">
      <c r="A2903" t="inlineStr">
        <is>
          <t>INC-20260214-18</t>
        </is>
      </c>
      <c r="B2903" t="inlineStr">
        <is>
          <t>R260211-nester</t>
        </is>
      </c>
      <c r="C2903" t="inlineStr">
        <is>
          <t>Inc42</t>
        </is>
      </c>
      <c r="D2903" s="17" t="n">
        <v>46064</v>
      </c>
      <c r="E2903" t="inlineStr">
        <is>
          <t>Nester</t>
        </is>
      </c>
      <c r="F2903" t="inlineStr">
        <is>
          <t>$2 Mn</t>
        </is>
      </c>
      <c r="G2903" s="19" t="n"/>
      <c r="H2903" s="19" t="n">
        <v>2</v>
      </c>
      <c r="I2903" t="inlineStr">
        <is>
          <t>Pre-Series A</t>
        </is>
      </c>
      <c r="J2903" t="inlineStr">
        <is>
          <t>Fireside Ventures</t>
        </is>
      </c>
      <c r="K2903" t="inlineStr">
        <is>
          <t>https://inc42.com/buzz/from-idfy-to-olyv-indian-startups-raised-200-mn-this-week/</t>
        </is>
      </c>
    </row>
    <row r="2904">
      <c r="A2904" t="inlineStr">
        <is>
          <t>ENT-11095517</t>
        </is>
      </c>
      <c r="B2904" t="inlineStr">
        <is>
          <t>R260211-showroomb2b</t>
        </is>
      </c>
      <c r="C2904" t="inlineStr">
        <is>
          <t>Entrackr</t>
        </is>
      </c>
      <c r="D2904" s="17" t="n">
        <v>46064</v>
      </c>
      <c r="E2904" t="inlineStr">
        <is>
          <t>Showroom B2B</t>
        </is>
      </c>
      <c r="F2904" t="inlineStr">
        <is>
          <t>Rs 150 crore</t>
        </is>
      </c>
      <c r="G2904" s="19" t="n">
        <v>150</v>
      </c>
      <c r="H2904" s="19" t="n">
        <v>17</v>
      </c>
      <c r="I2904" t="inlineStr">
        <is>
          <t>Series A</t>
        </is>
      </c>
      <c r="J2904" t="inlineStr">
        <is>
          <t>Cactus Partners</t>
        </is>
      </c>
      <c r="K2904" t="inlineStr">
        <is>
          <t>https://entrackr.com/news/showroom-b2b-raises-rs-150-cr-in-series-a-round-led-by-cactus-partners-11095517</t>
        </is>
      </c>
    </row>
    <row r="2905">
      <c r="A2905" t="inlineStr">
        <is>
          <t>ET-128192149</t>
        </is>
      </c>
      <c r="B2905" t="inlineStr">
        <is>
          <t>R260211-showroomb2b</t>
        </is>
      </c>
      <c r="C2905" t="inlineStr">
        <is>
          <t>The Economic Times</t>
        </is>
      </c>
      <c r="D2905" s="17" t="n">
        <v>46064</v>
      </c>
      <c r="E2905" t="inlineStr">
        <is>
          <t>Showroom B2B</t>
        </is>
      </c>
      <c r="F2905" t="inlineStr">
        <is>
          <t>$17 million</t>
        </is>
      </c>
      <c r="G2905" s="19" t="n"/>
      <c r="H2905" s="19" t="n">
        <v>17</v>
      </c>
      <c r="I2905" t="inlineStr">
        <is>
          <t>Undisclosed</t>
        </is>
      </c>
      <c r="J2905" t="inlineStr">
        <is>
          <t>Cactus Partners</t>
        </is>
      </c>
      <c r="K2905" t="inlineStr">
        <is>
          <t>https://economictimes.indiatimes.com/tech/funding/apparel-company-showroom-b2b-raises-17-million-from-cactus-partners-others/articleshow/128192149.cms</t>
        </is>
      </c>
    </row>
    <row r="2906">
      <c r="A2906" t="inlineStr">
        <is>
          <t>INC-20260214-05</t>
        </is>
      </c>
      <c r="B2906" t="inlineStr">
        <is>
          <t>R260211-showroomb2b</t>
        </is>
      </c>
      <c r="C2906" t="inlineStr">
        <is>
          <t>Inc42</t>
        </is>
      </c>
      <c r="D2906" s="17" t="n">
        <v>46064</v>
      </c>
      <c r="E2906" t="inlineStr">
        <is>
          <t>Showroom B2B</t>
        </is>
      </c>
      <c r="F2906" t="inlineStr">
        <is>
          <t>$16.5 Mn</t>
        </is>
      </c>
      <c r="G2906" s="19" t="n"/>
      <c r="H2906" s="19" t="n">
        <v>16.5</v>
      </c>
      <c r="I2906" t="inlineStr">
        <is>
          <t>Series A</t>
        </is>
      </c>
      <c r="J2906" t="inlineStr">
        <is>
          <t>Cactus Partners</t>
        </is>
      </c>
      <c r="K2906" t="inlineStr">
        <is>
          <t>https://inc42.com/buzz/from-idfy-to-olyv-indian-startups-raised-200-mn-this-week/</t>
        </is>
      </c>
    </row>
    <row r="2907">
      <c r="A2907" t="inlineStr">
        <is>
          <t>ENT-11096483</t>
        </is>
      </c>
      <c r="B2907" t="inlineStr">
        <is>
          <t>R260211-steampro</t>
        </is>
      </c>
      <c r="C2907" t="inlineStr">
        <is>
          <t>Entrackr</t>
        </is>
      </c>
      <c r="D2907" s="17" t="n">
        <v>46064</v>
      </c>
      <c r="E2907" t="inlineStr">
        <is>
          <t>SteamPRO</t>
        </is>
      </c>
      <c r="F2907" t="inlineStr">
        <is>
          <t>Rs 3.8 crore</t>
        </is>
      </c>
      <c r="G2907" s="19" t="n">
        <v>3.8</v>
      </c>
      <c r="H2907" s="19" t="n"/>
      <c r="I2907" t="inlineStr">
        <is>
          <t>Seed</t>
        </is>
      </c>
      <c r="J2907" t="inlineStr">
        <is>
          <t>Anicut Capital; Zeropearl VC; Atrium Ventures</t>
        </is>
      </c>
      <c r="K2907" t="inlineStr">
        <is>
          <t>https://entrackr.com/snippets/bath-tech-startup-steampro-raises-seed-round-11096483</t>
        </is>
      </c>
    </row>
    <row r="2908">
      <c r="A2908" t="inlineStr">
        <is>
          <t>INC-20260214-26</t>
        </is>
      </c>
      <c r="B2908" t="inlineStr">
        <is>
          <t>R260211-steampro</t>
        </is>
      </c>
      <c r="C2908" t="inlineStr">
        <is>
          <t>Inc42</t>
        </is>
      </c>
      <c r="D2908" s="17" t="n">
        <v>46064</v>
      </c>
      <c r="E2908" t="inlineStr">
        <is>
          <t>SteamPRO</t>
        </is>
      </c>
      <c r="F2908" t="inlineStr">
        <is>
          <t>$419K</t>
        </is>
      </c>
      <c r="G2908" s="19" t="n"/>
      <c r="H2908" s="19" t="n">
        <v>0.419</v>
      </c>
      <c r="I2908" t="inlineStr">
        <is>
          <t>Seed</t>
        </is>
      </c>
      <c r="J2908" t="inlineStr">
        <is>
          <t>Anicut Capital; Zeropearl VC; Atrium Ventures</t>
        </is>
      </c>
      <c r="K2908" t="inlineStr">
        <is>
          <t>https://inc42.com/buzz/from-idfy-to-olyv-indian-startups-raised-200-mn-this-week/</t>
        </is>
      </c>
    </row>
    <row r="2909">
      <c r="A2909" t="inlineStr">
        <is>
          <t>ENT-11095630</t>
        </is>
      </c>
      <c r="B2909" t="inlineStr">
        <is>
          <t>R260211-thirdai</t>
        </is>
      </c>
      <c r="C2909" t="inlineStr">
        <is>
          <t>Entrackr</t>
        </is>
      </c>
      <c r="D2909" s="17" t="n">
        <v>46064</v>
      </c>
      <c r="E2909" t="inlineStr">
        <is>
          <t>ThirdAI</t>
        </is>
      </c>
      <c r="F2909" t="inlineStr">
        <is>
          <t>$3 million</t>
        </is>
      </c>
      <c r="G2909" s="19" t="n"/>
      <c r="H2909" s="19" t="n">
        <v>3</v>
      </c>
      <c r="I2909" t="inlineStr">
        <is>
          <t>Seed</t>
        </is>
      </c>
      <c r="J2909" t="inlineStr">
        <is>
          <t>Endiya Partners; Capria Ventures</t>
        </is>
      </c>
      <c r="K2909" t="inlineStr">
        <is>
          <t>https://entrackr.com/snippets/thirdai-raises-3-mn-led-by-endiya-partners-and-capria-ventures-11095630</t>
        </is>
      </c>
    </row>
    <row r="2910">
      <c r="A2910" t="inlineStr">
        <is>
          <t>INC-20260214-12</t>
        </is>
      </c>
      <c r="B2910" t="inlineStr">
        <is>
          <t>R260211-thirdai</t>
        </is>
      </c>
      <c r="C2910" t="inlineStr">
        <is>
          <t>Inc42</t>
        </is>
      </c>
      <c r="D2910" s="17" t="n">
        <v>46064</v>
      </c>
      <c r="E2910" t="inlineStr">
        <is>
          <t>ThirdAI</t>
        </is>
      </c>
      <c r="F2910" t="inlineStr">
        <is>
          <t>$3 Mn</t>
        </is>
      </c>
      <c r="G2910" s="19" t="n"/>
      <c r="H2910" s="19" t="n">
        <v>3</v>
      </c>
      <c r="I2910" t="inlineStr">
        <is>
          <t>Seed</t>
        </is>
      </c>
      <c r="J2910" t="inlineStr">
        <is>
          <t>Endiya Partners; Capria Ventures</t>
        </is>
      </c>
      <c r="K2910" t="inlineStr">
        <is>
          <t>https://inc42.com/buzz/from-idfy-to-olyv-indian-startups-raised-200-mn-this-week/</t>
        </is>
      </c>
    </row>
    <row r="2911">
      <c r="A2911" t="inlineStr">
        <is>
          <t>INC-20260214-27</t>
        </is>
      </c>
      <c r="B2911" t="inlineStr">
        <is>
          <t>R260211-timbuckdo</t>
        </is>
      </c>
      <c r="C2911" t="inlineStr">
        <is>
          <t>Inc42</t>
        </is>
      </c>
      <c r="D2911" s="17" t="n">
        <v>46064</v>
      </c>
      <c r="E2911" t="inlineStr">
        <is>
          <t>TimBuckDo</t>
        </is>
      </c>
      <c r="F2911" t="inlineStr">
        <is>
          <t>$298K</t>
        </is>
      </c>
      <c r="G2911" s="19" t="n"/>
      <c r="H2911" s="19" t="n">
        <v>0.298</v>
      </c>
      <c r="I2911" t="inlineStr">
        <is>
          <t>Undisclosed</t>
        </is>
      </c>
      <c r="J2911" t="inlineStr"/>
      <c r="K2911" t="inlineStr">
        <is>
          <t>https://inc42.com/buzz/from-idfy-to-olyv-indian-startups-raised-200-mn-this-week/</t>
        </is>
      </c>
    </row>
    <row r="2912">
      <c r="A2912" t="inlineStr">
        <is>
          <t>ENT-11099615</t>
        </is>
      </c>
      <c r="B2912" t="inlineStr">
        <is>
          <t>R260212-digitory</t>
        </is>
      </c>
      <c r="C2912" t="inlineStr">
        <is>
          <t>Entrackr</t>
        </is>
      </c>
      <c r="D2912" s="17" t="n">
        <v>46065</v>
      </c>
      <c r="E2912" t="inlineStr">
        <is>
          <t>Digitory</t>
        </is>
      </c>
      <c r="F2912" t="inlineStr">
        <is>
          <t>$500K</t>
        </is>
      </c>
      <c r="G2912" s="19" t="n"/>
      <c r="H2912" s="19" t="n">
        <v>0.5</v>
      </c>
      <c r="I2912" t="inlineStr">
        <is>
          <t>Pre-Series A</t>
        </is>
      </c>
      <c r="J2912" t="inlineStr"/>
      <c r="K2912" t="inlineStr">
        <is>
          <t>https://entrackr.com/snippets/restaurant-tech-startup-digitory-raises-pre-series-a-funding-from-tejas-paresh-lodaya-11099615</t>
        </is>
      </c>
    </row>
    <row r="2913">
      <c r="A2913" t="inlineStr">
        <is>
          <t>INC-20260214-24</t>
        </is>
      </c>
      <c r="B2913" t="inlineStr">
        <is>
          <t>R260212-digitory</t>
        </is>
      </c>
      <c r="C2913" t="inlineStr">
        <is>
          <t>Inc42</t>
        </is>
      </c>
      <c r="D2913" s="17" t="n">
        <v>46065</v>
      </c>
      <c r="E2913" t="inlineStr">
        <is>
          <t>Digitory</t>
        </is>
      </c>
      <c r="F2913" t="inlineStr">
        <is>
          <t>$500K</t>
        </is>
      </c>
      <c r="G2913" s="19" t="n"/>
      <c r="H2913" s="19" t="n">
        <v>0.5</v>
      </c>
      <c r="I2913" t="inlineStr">
        <is>
          <t>Pre-Series A</t>
        </is>
      </c>
      <c r="J2913" t="inlineStr">
        <is>
          <t>Tejas Paresh Lodaya</t>
        </is>
      </c>
      <c r="K2913" t="inlineStr">
        <is>
          <t>https://inc42.com/buzz/from-idfy-to-olyv-indian-startups-raised-200-mn-this-week/</t>
        </is>
      </c>
    </row>
    <row r="2914">
      <c r="A2914" t="inlineStr">
        <is>
          <t>ENT-11099913</t>
        </is>
      </c>
      <c r="B2914" t="inlineStr">
        <is>
          <t>R260212-dusq</t>
        </is>
      </c>
      <c r="C2914" t="inlineStr">
        <is>
          <t>Entrackr</t>
        </is>
      </c>
      <c r="D2914" s="17" t="n">
        <v>46065</v>
      </c>
      <c r="E2914" t="inlineStr">
        <is>
          <t>DUSQ</t>
        </is>
      </c>
      <c r="F2914" t="inlineStr">
        <is>
          <t>Rs 24 crore</t>
        </is>
      </c>
      <c r="G2914" s="19" t="n">
        <v>24</v>
      </c>
      <c r="H2914" s="19" t="n"/>
      <c r="I2914" t="inlineStr">
        <is>
          <t>Seed</t>
        </is>
      </c>
      <c r="J2914" t="inlineStr">
        <is>
          <t>Fireside Ventures</t>
        </is>
      </c>
      <c r="K2914" t="inlineStr">
        <is>
          <t>https://entrackr.com/snippets/dusq-raises-rs-24-cr-in-seed-round-led-by-fireside-ventures-11099913</t>
        </is>
      </c>
    </row>
    <row r="2915">
      <c r="A2915" t="inlineStr">
        <is>
          <t>INC-20260214-15</t>
        </is>
      </c>
      <c r="B2915" t="inlineStr">
        <is>
          <t>R260212-dusq</t>
        </is>
      </c>
      <c r="C2915" t="inlineStr">
        <is>
          <t>Inc42</t>
        </is>
      </c>
      <c r="D2915" s="17" t="n">
        <v>46065</v>
      </c>
      <c r="E2915" t="inlineStr">
        <is>
          <t>DUSQ</t>
        </is>
      </c>
      <c r="F2915" t="inlineStr">
        <is>
          <t>$2.6 Mn</t>
        </is>
      </c>
      <c r="G2915" s="19" t="n"/>
      <c r="H2915" s="19" t="n">
        <v>2.6</v>
      </c>
      <c r="I2915" t="inlineStr">
        <is>
          <t>Seed</t>
        </is>
      </c>
      <c r="J2915" t="inlineStr">
        <is>
          <t>Fireside Ventures</t>
        </is>
      </c>
      <c r="K2915" t="inlineStr">
        <is>
          <t>https://inc42.com/buzz/from-idfy-to-olyv-indian-startups-raised-200-mn-this-week/</t>
        </is>
      </c>
    </row>
    <row r="2916">
      <c r="A2916" t="inlineStr">
        <is>
          <t>ENT-11099361</t>
        </is>
      </c>
      <c r="B2916" t="inlineStr">
        <is>
          <t>R260212-elixiirfoods</t>
        </is>
      </c>
      <c r="C2916" t="inlineStr">
        <is>
          <t>Entrackr</t>
        </is>
      </c>
      <c r="D2916" s="17" t="n">
        <v>46065</v>
      </c>
      <c r="E2916" t="inlineStr">
        <is>
          <t>Elixiir Foods</t>
        </is>
      </c>
      <c r="F2916" t="inlineStr">
        <is>
          <t>$9 million</t>
        </is>
      </c>
      <c r="G2916" s="19" t="n"/>
      <c r="H2916" s="19" t="n">
        <v>9</v>
      </c>
      <c r="I2916" t="inlineStr">
        <is>
          <t>Seed</t>
        </is>
      </c>
      <c r="J2916" t="inlineStr">
        <is>
          <t>3one4 Capital</t>
        </is>
      </c>
      <c r="K2916" t="inlineStr">
        <is>
          <t>https://entrackr.com/snippets/elixiir-foods-raises-9-mn-seed-round-led-by-3one4-capital-and-incubate-fund-asia-11099361</t>
        </is>
      </c>
    </row>
    <row r="2917">
      <c r="A2917" t="inlineStr">
        <is>
          <t>ET-128246738</t>
        </is>
      </c>
      <c r="B2917" t="inlineStr">
        <is>
          <t>R260212-elixiirfoods</t>
        </is>
      </c>
      <c r="C2917" t="inlineStr">
        <is>
          <t>The Economic Times</t>
        </is>
      </c>
      <c r="D2917" s="17" t="n">
        <v>46065</v>
      </c>
      <c r="E2917" t="inlineStr">
        <is>
          <t>Elixiir Foods</t>
        </is>
      </c>
      <c r="F2917" t="inlineStr">
        <is>
          <t>$9 million</t>
        </is>
      </c>
      <c r="G2917" s="19" t="n"/>
      <c r="H2917" s="19" t="n">
        <v>9</v>
      </c>
      <c r="I2917" t="inlineStr">
        <is>
          <t>Undisclosed</t>
        </is>
      </c>
      <c r="J2917" t="inlineStr">
        <is>
          <t>3one4 Capital</t>
        </is>
      </c>
      <c r="K2917" t="inlineStr">
        <is>
          <t>https://economictimes.indiatimes.com/tech/funding/grocery-platform-elixiir-foods-raises-9-million-in-round-led-by-3one4-capital/articleshow/128246738.cms</t>
        </is>
      </c>
    </row>
    <row r="2918">
      <c r="A2918" t="inlineStr">
        <is>
          <t>INC-20260214-06</t>
        </is>
      </c>
      <c r="B2918" t="inlineStr">
        <is>
          <t>R260212-elixiirfoods</t>
        </is>
      </c>
      <c r="C2918" t="inlineStr">
        <is>
          <t>Inc42</t>
        </is>
      </c>
      <c r="D2918" s="17" t="n">
        <v>46065</v>
      </c>
      <c r="E2918" t="inlineStr">
        <is>
          <t>Elixiir Foods</t>
        </is>
      </c>
      <c r="F2918" t="inlineStr">
        <is>
          <t>$9 Mn</t>
        </is>
      </c>
      <c r="G2918" s="19" t="n"/>
      <c r="H2918" s="19" t="n">
        <v>9</v>
      </c>
      <c r="I2918" t="inlineStr">
        <is>
          <t>Seed</t>
        </is>
      </c>
      <c r="J2918" t="inlineStr">
        <is>
          <t>3one4 Capital</t>
        </is>
      </c>
      <c r="K2918" t="inlineStr">
        <is>
          <t>https://inc42.com/buzz/from-idfy-to-olyv-indian-startups-raised-200-mn-this-week/</t>
        </is>
      </c>
    </row>
    <row r="2919">
      <c r="A2919" t="inlineStr">
        <is>
          <t>INC-20260214-25</t>
        </is>
      </c>
      <c r="B2919" t="inlineStr">
        <is>
          <t>R260212-heliware</t>
        </is>
      </c>
      <c r="C2919" t="inlineStr">
        <is>
          <t>Inc42</t>
        </is>
      </c>
      <c r="D2919" s="17" t="n">
        <v>46065</v>
      </c>
      <c r="E2919" t="inlineStr">
        <is>
          <t>Heliware</t>
        </is>
      </c>
      <c r="F2919" t="inlineStr">
        <is>
          <t>$497K</t>
        </is>
      </c>
      <c r="G2919" s="19" t="n"/>
      <c r="H2919" s="19" t="n">
        <v>0.497</v>
      </c>
      <c r="I2919" t="inlineStr">
        <is>
          <t>Undisclosed</t>
        </is>
      </c>
      <c r="J2919" t="inlineStr">
        <is>
          <t>Inflection Point Ventures</t>
        </is>
      </c>
      <c r="K2919" t="inlineStr">
        <is>
          <t>https://inc42.com/buzz/from-idfy-to-olyv-indian-startups-raised-200-mn-this-week/</t>
        </is>
      </c>
    </row>
    <row r="2920">
      <c r="A2920" t="inlineStr">
        <is>
          <t>ENT-11099028</t>
        </is>
      </c>
      <c r="B2920" t="inlineStr">
        <is>
          <t>R260212-indigridtechno</t>
        </is>
      </c>
      <c r="C2920" t="inlineStr">
        <is>
          <t>Entrackr</t>
        </is>
      </c>
      <c r="D2920" s="17" t="n">
        <v>46065</v>
      </c>
      <c r="E2920" t="inlineStr">
        <is>
          <t>Indigrid Technology</t>
        </is>
      </c>
      <c r="F2920" t="inlineStr">
        <is>
          <t>Rs 40 crore</t>
        </is>
      </c>
      <c r="G2920" s="19" t="n">
        <v>40</v>
      </c>
      <c r="H2920" s="19" t="n"/>
      <c r="I2920" t="inlineStr">
        <is>
          <t>Series A</t>
        </is>
      </c>
      <c r="J2920" t="inlineStr">
        <is>
          <t>Cactus Partners</t>
        </is>
      </c>
      <c r="K2920" t="inlineStr">
        <is>
          <t>https://entrackr.com/snippets/electronics-manufacturing-startup-indigrid-technology-raises-rs-40-cr-in-series-a-11099028</t>
        </is>
      </c>
    </row>
    <row r="2921">
      <c r="A2921" t="inlineStr">
        <is>
          <t>INC-20260214-09</t>
        </is>
      </c>
      <c r="B2921" t="inlineStr">
        <is>
          <t>R260212-indigridtechno</t>
        </is>
      </c>
      <c r="C2921" t="inlineStr">
        <is>
          <t>Inc42</t>
        </is>
      </c>
      <c r="D2921" s="17" t="n">
        <v>46065</v>
      </c>
      <c r="E2921" t="inlineStr">
        <is>
          <t>Indigrid</t>
        </is>
      </c>
      <c r="F2921" t="inlineStr">
        <is>
          <t>$4.4 Mn</t>
        </is>
      </c>
      <c r="G2921" s="19" t="n"/>
      <c r="H2921" s="19" t="n">
        <v>4.4</v>
      </c>
      <c r="I2921" t="inlineStr">
        <is>
          <t>Series A</t>
        </is>
      </c>
      <c r="J2921" t="inlineStr">
        <is>
          <t>Valour Capital</t>
        </is>
      </c>
      <c r="K2921" t="inlineStr">
        <is>
          <t>https://inc42.com/buzz/from-idfy-to-olyv-indian-startups-raised-200-mn-this-week/</t>
        </is>
      </c>
    </row>
    <row r="2922">
      <c r="A2922" t="inlineStr">
        <is>
          <t>ENT-11099922</t>
        </is>
      </c>
      <c r="B2922" t="inlineStr">
        <is>
          <t>R260212-ukhi</t>
        </is>
      </c>
      <c r="C2922" t="inlineStr">
        <is>
          <t>Entrackr</t>
        </is>
      </c>
      <c r="D2922" s="17" t="n">
        <v>46065</v>
      </c>
      <c r="E2922" t="inlineStr">
        <is>
          <t>UKHI</t>
        </is>
      </c>
      <c r="F2922" t="inlineStr">
        <is>
          <t>Rs 10.5 crore</t>
        </is>
      </c>
      <c r="G2922" s="19" t="n">
        <v>10.5</v>
      </c>
      <c r="H2922" s="19" t="n"/>
      <c r="I2922" t="inlineStr">
        <is>
          <t>Seed</t>
        </is>
      </c>
      <c r="J2922" t="inlineStr">
        <is>
          <t>Venture Catalysts</t>
        </is>
      </c>
      <c r="K2922" t="inlineStr">
        <is>
          <t>https://entrackr.com/snippets/ukhi-raises-seed-round-led-by-venture-catalysts-11099922</t>
        </is>
      </c>
    </row>
    <row r="2923">
      <c r="A2923" t="inlineStr">
        <is>
          <t>INC-20260214-22</t>
        </is>
      </c>
      <c r="B2923" t="inlineStr">
        <is>
          <t>R260212-ukhi</t>
        </is>
      </c>
      <c r="C2923" t="inlineStr">
        <is>
          <t>Inc42</t>
        </is>
      </c>
      <c r="D2923" s="17" t="n">
        <v>46065</v>
      </c>
      <c r="E2923" t="inlineStr">
        <is>
          <t>UKHI</t>
        </is>
      </c>
      <c r="F2923" t="inlineStr">
        <is>
          <t>$1.2 Mn</t>
        </is>
      </c>
      <c r="G2923" s="19" t="n"/>
      <c r="H2923" s="19" t="n">
        <v>1.2</v>
      </c>
      <c r="I2923" t="inlineStr">
        <is>
          <t>Seed</t>
        </is>
      </c>
      <c r="J2923" t="inlineStr">
        <is>
          <t>Venture Catalysts</t>
        </is>
      </c>
      <c r="K2923" t="inlineStr">
        <is>
          <t>https://inc42.com/buzz/from-idfy-to-olyv-indian-startups-raised-200-mn-this-week/</t>
        </is>
      </c>
    </row>
    <row r="2924">
      <c r="A2924" t="inlineStr">
        <is>
          <t>INC-20260214-10</t>
        </is>
      </c>
      <c r="B2924" t="inlineStr">
        <is>
          <t>R260213-clayco</t>
        </is>
      </c>
      <c r="C2924" t="inlineStr">
        <is>
          <t>Inc42</t>
        </is>
      </c>
      <c r="D2924" s="17" t="n">
        <v>46066</v>
      </c>
      <c r="E2924" t="inlineStr">
        <is>
          <t>ClayCo</t>
        </is>
      </c>
      <c r="F2924" t="inlineStr">
        <is>
          <t>$3.3 Mn</t>
        </is>
      </c>
      <c r="G2924" s="19" t="n"/>
      <c r="H2924" s="19" t="n">
        <v>3.3</v>
      </c>
      <c r="I2924" t="inlineStr">
        <is>
          <t>Series A</t>
        </is>
      </c>
      <c r="J2924" t="inlineStr">
        <is>
          <t>Twenty Nine Capital Partners</t>
        </is>
      </c>
      <c r="K2924" t="inlineStr">
        <is>
          <t>https://inc42.com/buzz/from-idfy-to-olyv-indian-startups-raised-200-mn-this-week/</t>
        </is>
      </c>
    </row>
    <row r="2925">
      <c r="A2925" t="inlineStr">
        <is>
          <t>ENT-11103092</t>
        </is>
      </c>
      <c r="B2925" t="inlineStr">
        <is>
          <t>R260213-etrnlenergy</t>
        </is>
      </c>
      <c r="C2925" t="inlineStr">
        <is>
          <t>Entrackr</t>
        </is>
      </c>
      <c r="D2925" s="17" t="n">
        <v>46066</v>
      </c>
      <c r="E2925" t="inlineStr">
        <is>
          <t>e-TRNL Energy</t>
        </is>
      </c>
      <c r="F2925" t="inlineStr">
        <is>
          <t>Rs 27.4 crore</t>
        </is>
      </c>
      <c r="G2925" s="19" t="n">
        <v>27.4</v>
      </c>
      <c r="H2925" s="19" t="n">
        <v>3</v>
      </c>
      <c r="I2925" t="inlineStr">
        <is>
          <t>Seed</t>
        </is>
      </c>
      <c r="J2925" t="inlineStr"/>
      <c r="K2925" t="inlineStr">
        <is>
          <t>https://entrackr.com/snippets/e-trnl-energy-raises-rs-274-cr-seed-round-led-by-ian-group-11103092</t>
        </is>
      </c>
    </row>
    <row r="2926">
      <c r="A2926" t="inlineStr">
        <is>
          <t>INC-20260214-11</t>
        </is>
      </c>
      <c r="B2926" t="inlineStr">
        <is>
          <t>R260213-etrnlenergy</t>
        </is>
      </c>
      <c r="C2926" t="inlineStr">
        <is>
          <t>Inc42</t>
        </is>
      </c>
      <c r="D2926" s="17" t="n">
        <v>46066</v>
      </c>
      <c r="E2926" t="inlineStr">
        <is>
          <t>e-TRNL Energy</t>
        </is>
      </c>
      <c r="F2926" t="inlineStr">
        <is>
          <t>$3 Mn</t>
        </is>
      </c>
      <c r="G2926" s="19" t="n"/>
      <c r="H2926" s="19" t="n">
        <v>3</v>
      </c>
      <c r="I2926" t="inlineStr">
        <is>
          <t>Seed</t>
        </is>
      </c>
      <c r="J2926" t="inlineStr">
        <is>
          <t>IAN Group</t>
        </is>
      </c>
      <c r="K2926" t="inlineStr">
        <is>
          <t>https://inc42.com/buzz/from-idfy-to-olyv-indian-startups-raised-200-mn-this-week/</t>
        </is>
      </c>
    </row>
    <row r="2927">
      <c r="A2927" t="inlineStr">
        <is>
          <t>ENT-11102500</t>
        </is>
      </c>
      <c r="B2927" t="inlineStr">
        <is>
          <t>R260213-everbrands</t>
        </is>
      </c>
      <c r="C2927" t="inlineStr">
        <is>
          <t>Entrackr</t>
        </is>
      </c>
      <c r="D2927" s="17" t="n">
        <v>46066</v>
      </c>
      <c r="E2927" t="inlineStr">
        <is>
          <t>EverBrands</t>
        </is>
      </c>
      <c r="F2927" t="inlineStr">
        <is>
          <t>$15 million</t>
        </is>
      </c>
      <c r="G2927" s="19" t="n"/>
      <c r="H2927" s="19" t="n">
        <v>15</v>
      </c>
      <c r="I2927" t="inlineStr">
        <is>
          <t>Undisclosed</t>
        </is>
      </c>
      <c r="J2927" t="inlineStr">
        <is>
          <t>Playbook Partners</t>
        </is>
      </c>
      <c r="K2927" t="inlineStr">
        <is>
          <t>https://entrackr.com/news/subway-india-operator-everbrands-raises-15-mn-led-by-playbook-partners-11102500</t>
        </is>
      </c>
    </row>
    <row r="2928">
      <c r="A2928" t="inlineStr">
        <is>
          <t>ENT-11102270</t>
        </is>
      </c>
      <c r="B2928" t="inlineStr">
        <is>
          <t>R260213-idfy</t>
        </is>
      </c>
      <c r="C2928" t="inlineStr">
        <is>
          <t>Entrackr</t>
        </is>
      </c>
      <c r="D2928" s="17" t="n">
        <v>46066</v>
      </c>
      <c r="E2928" t="inlineStr">
        <is>
          <t>IDfy</t>
        </is>
      </c>
      <c r="F2928" t="inlineStr">
        <is>
          <t>Rs 476 crore</t>
        </is>
      </c>
      <c r="G2928" s="19" t="n">
        <v>476</v>
      </c>
      <c r="H2928" s="19" t="n">
        <v>53</v>
      </c>
      <c r="I2928" t="inlineStr">
        <is>
          <t>Series F</t>
        </is>
      </c>
      <c r="J2928" t="inlineStr"/>
      <c r="K2928" t="inlineStr">
        <is>
          <t>https://entrackr.com/news/idfy-raises-53-mn-led-by-neo-secondaries-fund-11102270</t>
        </is>
      </c>
    </row>
    <row r="2929">
      <c r="A2929" t="inlineStr">
        <is>
          <t>ET-128273894</t>
        </is>
      </c>
      <c r="B2929" t="inlineStr">
        <is>
          <t>R260213-idfy</t>
        </is>
      </c>
      <c r="C2929" t="inlineStr">
        <is>
          <t>The Economic Times</t>
        </is>
      </c>
      <c r="D2929" s="17" t="n">
        <v>46066</v>
      </c>
      <c r="E2929" t="inlineStr">
        <is>
          <t>Idfy</t>
        </is>
      </c>
      <c r="F2929" t="inlineStr">
        <is>
          <t>Rs 476 crore</t>
        </is>
      </c>
      <c r="G2929" s="19" t="n">
        <v>476</v>
      </c>
      <c r="H2929" s="19" t="n">
        <v>52</v>
      </c>
      <c r="I2929" t="inlineStr">
        <is>
          <t>Undisclosed</t>
        </is>
      </c>
      <c r="J2929" t="inlineStr">
        <is>
          <t>Neo Asset Management; Blume Ventures; Analog Capital; Elev8</t>
        </is>
      </c>
      <c r="K2929" t="inlineStr">
        <is>
          <t>https://economictimes.indiatimes.com/tech/funding/regtech-startup-idfy-secures-rs-476-crore-from-neo-asset-management-and-existing-investors/articleshow/128273894.cms</t>
        </is>
      </c>
    </row>
    <row r="2930">
      <c r="A2930" t="inlineStr">
        <is>
          <t>INC-20260214-01</t>
        </is>
      </c>
      <c r="B2930" t="inlineStr">
        <is>
          <t>R260213-idfy</t>
        </is>
      </c>
      <c r="C2930" t="inlineStr">
        <is>
          <t>Inc42</t>
        </is>
      </c>
      <c r="D2930" s="17" t="n">
        <v>46066</v>
      </c>
      <c r="E2930" t="inlineStr">
        <is>
          <t>IDfy</t>
        </is>
      </c>
      <c r="F2930" t="inlineStr">
        <is>
          <t>$52.5 Mn</t>
        </is>
      </c>
      <c r="G2930" s="19" t="n"/>
      <c r="H2930" s="19" t="n">
        <v>52.5</v>
      </c>
      <c r="I2930" t="inlineStr">
        <is>
          <t>Series F</t>
        </is>
      </c>
      <c r="J2930" t="inlineStr">
        <is>
          <t>Neo Asset Management</t>
        </is>
      </c>
      <c r="K2930" t="inlineStr">
        <is>
          <t>https://inc42.com/buzz/from-idfy-to-olyv-indian-startups-raised-200-mn-this-week/</t>
        </is>
      </c>
    </row>
    <row r="2931">
      <c r="A2931" t="inlineStr">
        <is>
          <t>ENT-11102743</t>
        </is>
      </c>
      <c r="B2931" t="inlineStr">
        <is>
          <t>R260213-sixsensemobili</t>
        </is>
      </c>
      <c r="C2931" t="inlineStr">
        <is>
          <t>Entrackr</t>
        </is>
      </c>
      <c r="D2931" s="17" t="n">
        <v>46066</v>
      </c>
      <c r="E2931" t="inlineStr">
        <is>
          <t>Six Sense Mobility</t>
        </is>
      </c>
      <c r="F2931" t="inlineStr">
        <is>
          <t>$4.8 million</t>
        </is>
      </c>
      <c r="G2931" s="19" t="n"/>
      <c r="H2931" s="19" t="n">
        <v>4.8</v>
      </c>
      <c r="I2931" t="inlineStr">
        <is>
          <t>Undisclosed</t>
        </is>
      </c>
      <c r="J2931" t="inlineStr">
        <is>
          <t>Ashish Kacholia</t>
        </is>
      </c>
      <c r="K2931" t="inlineStr">
        <is>
          <t>https://entrackr.com/snippets/six-sense-mobility-raises-48-mn-led-by-ashish-kacholia-11102743</t>
        </is>
      </c>
    </row>
    <row r="2932">
      <c r="A2932" t="inlineStr">
        <is>
          <t>INC-20260214-08</t>
        </is>
      </c>
      <c r="B2932" t="inlineStr">
        <is>
          <t>R260213-sixsensemobili</t>
        </is>
      </c>
      <c r="C2932" t="inlineStr">
        <is>
          <t>Inc42</t>
        </is>
      </c>
      <c r="D2932" s="17" t="n">
        <v>46066</v>
      </c>
      <c r="E2932" t="inlineStr">
        <is>
          <t>Six Sense Mobility</t>
        </is>
      </c>
      <c r="F2932" t="inlineStr">
        <is>
          <t>$4.8 Mn</t>
        </is>
      </c>
      <c r="G2932" s="19" t="n"/>
      <c r="H2932" s="19" t="n">
        <v>4.8</v>
      </c>
      <c r="I2932" t="inlineStr">
        <is>
          <t>Pre-Series A</t>
        </is>
      </c>
      <c r="J2932" t="inlineStr">
        <is>
          <t>Ashish Kacholia</t>
        </is>
      </c>
      <c r="K2932" t="inlineStr">
        <is>
          <t>https://inc42.com/buzz/from-idfy-to-olyv-indian-startups-raised-200-mn-this-week/</t>
        </is>
      </c>
    </row>
    <row r="2933">
      <c r="A2933" t="inlineStr">
        <is>
          <t>ET-128320435</t>
        </is>
      </c>
      <c r="B2933" t="inlineStr">
        <is>
          <t>R260214-spinny</t>
        </is>
      </c>
      <c r="C2933" t="inlineStr">
        <is>
          <t>The Economic Times</t>
        </is>
      </c>
      <c r="D2933" s="17" t="n">
        <v>46067</v>
      </c>
      <c r="E2933" t="inlineStr">
        <is>
          <t>Spinny</t>
        </is>
      </c>
      <c r="F2933" t="inlineStr"/>
      <c r="G2933" s="19" t="n"/>
      <c r="H2933" s="19" t="n"/>
      <c r="I2933" t="inlineStr">
        <is>
          <t>Undisclosed</t>
        </is>
      </c>
      <c r="J2933" t="inlineStr">
        <is>
          <t>Fidelity; Accel Leaders Fund</t>
        </is>
      </c>
      <c r="K2933" t="inlineStr">
        <is>
          <t>https://economictimes.indiatimes.com/tech/funding/fidelity-accel-lead-160170-million-investment-round-in-spinny/articleshow/128320435.cms</t>
        </is>
      </c>
    </row>
    <row r="2934">
      <c r="A2934" t="inlineStr">
        <is>
          <t>INC-20260221-01</t>
        </is>
      </c>
      <c r="B2934" t="inlineStr">
        <is>
          <t>R260214-spinny</t>
        </is>
      </c>
      <c r="C2934" t="inlineStr">
        <is>
          <t>Inc42</t>
        </is>
      </c>
      <c r="D2934" s="17" t="n">
        <v>46074</v>
      </c>
      <c r="E2934" t="inlineStr">
        <is>
          <t>Spinny</t>
        </is>
      </c>
      <c r="F2934" t="inlineStr">
        <is>
          <t>$170 Mn</t>
        </is>
      </c>
      <c r="G2934" s="19" t="n"/>
      <c r="H2934" s="19" t="n">
        <v>170</v>
      </c>
      <c r="I2934" t="inlineStr">
        <is>
          <t>Series G</t>
        </is>
      </c>
      <c r="J2934" t="inlineStr">
        <is>
          <t>Fidelity Investments; Accel</t>
        </is>
      </c>
      <c r="K2934" t="inlineStr">
        <is>
          <t>https://inc42.com/buzz/from-spinny-to-statiq-indian-startups-raised-285-mn-this-week/</t>
        </is>
      </c>
    </row>
    <row r="2935">
      <c r="A2935" t="inlineStr">
        <is>
          <t>ENT-11110040</t>
        </is>
      </c>
      <c r="B2935" t="inlineStr">
        <is>
          <t>R260216-c2isemiconduct</t>
        </is>
      </c>
      <c r="C2935" t="inlineStr">
        <is>
          <t>Entrackr</t>
        </is>
      </c>
      <c r="D2935" s="17" t="n">
        <v>46069</v>
      </c>
      <c r="E2935" t="inlineStr">
        <is>
          <t>C2i Semiconductors</t>
        </is>
      </c>
      <c r="F2935" t="inlineStr">
        <is>
          <t>$15 million</t>
        </is>
      </c>
      <c r="G2935" s="19" t="n"/>
      <c r="H2935" s="19" t="n">
        <v>15</v>
      </c>
      <c r="I2935" t="inlineStr">
        <is>
          <t>Undisclosed</t>
        </is>
      </c>
      <c r="J2935" t="inlineStr">
        <is>
          <t>Peak XV Partners</t>
        </is>
      </c>
      <c r="K2935" t="inlineStr">
        <is>
          <t>https://entrackr.com/news/semiconductor-startup-c2i-semiconductors-raises-15-mn-led-by-peak-xv-11110040</t>
        </is>
      </c>
    </row>
    <row r="2936">
      <c r="A2936" t="inlineStr">
        <is>
          <t>ET-128384186</t>
        </is>
      </c>
      <c r="B2936" t="inlineStr">
        <is>
          <t>R260216-c2isemiconduct</t>
        </is>
      </c>
      <c r="C2936" t="inlineStr">
        <is>
          <t>The Economic Times</t>
        </is>
      </c>
      <c r="D2936" s="17" t="n">
        <v>46069</v>
      </c>
      <c r="E2936" t="inlineStr">
        <is>
          <t>C2i Semiconductors</t>
        </is>
      </c>
      <c r="F2936" t="inlineStr">
        <is>
          <t>$15 million</t>
        </is>
      </c>
      <c r="G2936" s="19" t="n"/>
      <c r="H2936" s="19" t="n">
        <v>15</v>
      </c>
      <c r="I2936" t="inlineStr">
        <is>
          <t>Undisclosed</t>
        </is>
      </c>
      <c r="J2936" t="inlineStr">
        <is>
          <t>Peak XV Partners</t>
        </is>
      </c>
      <c r="K2936" t="inlineStr">
        <is>
          <t>https://economictimes.indiatimes.com/tech/funding/intel-ceo-backed-startup-c2i-semiconductors-raises-15-million-peak-xv-partners-yali-deeptech-tdk-ventures/articleshow/128384186.cms</t>
        </is>
      </c>
    </row>
    <row r="2937">
      <c r="A2937" t="inlineStr">
        <is>
          <t>INC-20260221-05</t>
        </is>
      </c>
      <c r="B2937" t="inlineStr">
        <is>
          <t>R260216-c2isemiconduct</t>
        </is>
      </c>
      <c r="C2937" t="inlineStr">
        <is>
          <t>Inc42</t>
        </is>
      </c>
      <c r="D2937" s="17" t="n">
        <v>46069</v>
      </c>
      <c r="E2937" t="inlineStr">
        <is>
          <t>C2i Semiconductors</t>
        </is>
      </c>
      <c r="F2937" t="inlineStr">
        <is>
          <t>$15 Mn</t>
        </is>
      </c>
      <c r="G2937" s="19" t="n"/>
      <c r="H2937" s="19" t="n">
        <v>15</v>
      </c>
      <c r="I2937" t="inlineStr">
        <is>
          <t>Series A</t>
        </is>
      </c>
      <c r="J2937" t="inlineStr">
        <is>
          <t>Peak XV Partners</t>
        </is>
      </c>
      <c r="K2937" t="inlineStr">
        <is>
          <t>https://inc42.com/buzz/from-spinny-to-statiq-indian-startups-raised-285-mn-this-week/</t>
        </is>
      </c>
    </row>
    <row r="2938">
      <c r="A2938" t="inlineStr">
        <is>
          <t>ENT-11110610</t>
        </is>
      </c>
      <c r="B2938" t="inlineStr">
        <is>
          <t>R260216-localhost</t>
        </is>
      </c>
      <c r="C2938" t="inlineStr">
        <is>
          <t>Entrackr</t>
        </is>
      </c>
      <c r="D2938" s="17" t="n">
        <v>46069</v>
      </c>
      <c r="E2938" t="inlineStr">
        <is>
          <t>LocalHost</t>
        </is>
      </c>
      <c r="F2938" t="inlineStr">
        <is>
          <t>$2.5 million</t>
        </is>
      </c>
      <c r="G2938" s="19" t="n"/>
      <c r="H2938" s="19" t="n">
        <v>2.5</v>
      </c>
      <c r="I2938" t="inlineStr">
        <is>
          <t>Angel</t>
        </is>
      </c>
      <c r="J2938" t="inlineStr"/>
      <c r="K2938" t="inlineStr">
        <is>
          <t>https://entrackr.com/snippets/localhost-raises-25-mn-from-invideo-redbull-india-and-others-11110610</t>
        </is>
      </c>
    </row>
    <row r="2939">
      <c r="A2939" t="inlineStr">
        <is>
          <t>ENT-11109995</t>
        </is>
      </c>
      <c r="B2939" t="inlineStr">
        <is>
          <t>R260216-neysa</t>
        </is>
      </c>
      <c r="C2939" t="inlineStr">
        <is>
          <t>Entrackr</t>
        </is>
      </c>
      <c r="D2939" s="17" t="n">
        <v>46069</v>
      </c>
      <c r="E2939" t="inlineStr">
        <is>
          <t>Neysa</t>
        </is>
      </c>
      <c r="F2939" t="inlineStr">
        <is>
          <t>$1.2 billion</t>
        </is>
      </c>
      <c r="G2939" s="19" t="n"/>
      <c r="H2939" s="19" t="n">
        <v>1200</v>
      </c>
      <c r="I2939" t="inlineStr">
        <is>
          <t>Undisclosed</t>
        </is>
      </c>
      <c r="J2939" t="inlineStr"/>
      <c r="K2939" t="inlineStr">
        <is>
          <t>https://entrackr.com/news/gen-ai-startup-neysa-turns-unicorn-after-blackstone-led-12-bn-funding-11109995</t>
        </is>
      </c>
    </row>
    <row r="2940">
      <c r="A2940" t="inlineStr">
        <is>
          <t>ENT-11110193</t>
        </is>
      </c>
      <c r="B2940" t="inlineStr">
        <is>
          <t>R260216-ottomoney</t>
        </is>
      </c>
      <c r="C2940" t="inlineStr">
        <is>
          <t>Entrackr</t>
        </is>
      </c>
      <c r="D2940" s="17" t="n">
        <v>46069</v>
      </c>
      <c r="E2940" t="inlineStr">
        <is>
          <t>Otto Money</t>
        </is>
      </c>
      <c r="F2940" t="inlineStr">
        <is>
          <t>$1.3 million</t>
        </is>
      </c>
      <c r="G2940" s="19" t="n"/>
      <c r="H2940" s="19" t="n">
        <v>1.3</v>
      </c>
      <c r="I2940" t="inlineStr">
        <is>
          <t>Pre-Seed</t>
        </is>
      </c>
      <c r="J2940" t="inlineStr">
        <is>
          <t>Pravega Ventures</t>
        </is>
      </c>
      <c r="K2940" t="inlineStr">
        <is>
          <t>https://entrackr.com/snippets/wealthtech-startup-otto-money-raises-13-mn-led-by-pravega-ventures-11110193</t>
        </is>
      </c>
    </row>
    <row r="2941">
      <c r="A2941" t="inlineStr">
        <is>
          <t>INC-20260221-14</t>
        </is>
      </c>
      <c r="B2941" t="inlineStr">
        <is>
          <t>R260216-ottomoney</t>
        </is>
      </c>
      <c r="C2941" t="inlineStr">
        <is>
          <t>Inc42</t>
        </is>
      </c>
      <c r="D2941" s="17" t="n">
        <v>46069</v>
      </c>
      <c r="E2941" t="inlineStr">
        <is>
          <t>Otto Money</t>
        </is>
      </c>
      <c r="F2941" t="inlineStr">
        <is>
          <t>$1.3 Mn</t>
        </is>
      </c>
      <c r="G2941" s="19" t="n"/>
      <c r="H2941" s="19" t="n">
        <v>1.3</v>
      </c>
      <c r="I2941" t="inlineStr">
        <is>
          <t>Pre-Seed</t>
        </is>
      </c>
      <c r="J2941" t="inlineStr">
        <is>
          <t>Pravega Ventures</t>
        </is>
      </c>
      <c r="K2941" t="inlineStr">
        <is>
          <t>https://inc42.com/buzz/from-spinny-to-statiq-indian-startups-raised-285-mn-this-week/</t>
        </is>
      </c>
    </row>
    <row r="2942">
      <c r="A2942" t="inlineStr">
        <is>
          <t>ENT-11116886</t>
        </is>
      </c>
      <c r="B2942" t="inlineStr">
        <is>
          <t>R260217-beep</t>
        </is>
      </c>
      <c r="C2942" t="inlineStr">
        <is>
          <t>Entrackr</t>
        </is>
      </c>
      <c r="D2942" s="17" t="n">
        <v>46070</v>
      </c>
      <c r="E2942" t="inlineStr">
        <is>
          <t>Beep</t>
        </is>
      </c>
      <c r="F2942" t="inlineStr">
        <is>
          <t>$850,000</t>
        </is>
      </c>
      <c r="G2942" s="19" t="n"/>
      <c r="H2942" s="19" t="n">
        <v>0.85</v>
      </c>
      <c r="I2942" t="inlineStr">
        <is>
          <t>Pre-Series A</t>
        </is>
      </c>
      <c r="J2942" t="inlineStr"/>
      <c r="K2942" t="inlineStr">
        <is>
          <t>https://entrackr.com/snippets/edtech-startup-beep-raises-850k-in-pre-series-a-round-11116886</t>
        </is>
      </c>
    </row>
    <row r="2943">
      <c r="A2943" t="inlineStr">
        <is>
          <t>INC-20260221-15</t>
        </is>
      </c>
      <c r="B2943" t="inlineStr">
        <is>
          <t>R260217-beep</t>
        </is>
      </c>
      <c r="C2943" t="inlineStr">
        <is>
          <t>Inc42</t>
        </is>
      </c>
      <c r="D2943" s="17" t="n">
        <v>46070</v>
      </c>
      <c r="E2943" t="inlineStr">
        <is>
          <t>Beep</t>
        </is>
      </c>
      <c r="F2943" t="inlineStr">
        <is>
          <t>$850K</t>
        </is>
      </c>
      <c r="G2943" s="19" t="n"/>
      <c r="H2943" s="19" t="n">
        <v>0.85</v>
      </c>
      <c r="I2943" t="inlineStr">
        <is>
          <t>Pre-Series A</t>
        </is>
      </c>
      <c r="J2943" t="inlineStr"/>
      <c r="K2943" t="inlineStr">
        <is>
          <t>https://inc42.com/buzz/from-spinny-to-statiq-indian-startups-raised-285-mn-this-week/</t>
        </is>
      </c>
    </row>
    <row r="2944">
      <c r="A2944" t="inlineStr">
        <is>
          <t>ENT-11121741</t>
        </is>
      </c>
      <c r="B2944" t="inlineStr">
        <is>
          <t>R260217-craftifai</t>
        </is>
      </c>
      <c r="C2944" t="inlineStr">
        <is>
          <t>Entrackr</t>
        </is>
      </c>
      <c r="D2944" s="17" t="n">
        <v>46070</v>
      </c>
      <c r="E2944" t="inlineStr">
        <is>
          <t>CraftifAI</t>
        </is>
      </c>
      <c r="F2944" t="inlineStr">
        <is>
          <t>$3 million</t>
        </is>
      </c>
      <c r="G2944" s="19" t="n">
        <v>27.2</v>
      </c>
      <c r="H2944" s="19" t="n">
        <v>3</v>
      </c>
      <c r="I2944" t="inlineStr">
        <is>
          <t>Seed</t>
        </is>
      </c>
      <c r="J2944" t="inlineStr">
        <is>
          <t>Ankur Capital; Capital-A; Antler</t>
        </is>
      </c>
      <c r="K2944" t="inlineStr">
        <is>
          <t>https://entrackr.com/snippets/craftifai-secures-3-mn-in-seed-round-led-by-ankur-capital-11121741</t>
        </is>
      </c>
    </row>
    <row r="2945">
      <c r="A2945" t="inlineStr">
        <is>
          <t>ET-128465236</t>
        </is>
      </c>
      <c r="B2945" t="inlineStr">
        <is>
          <t>R260217-craftifai</t>
        </is>
      </c>
      <c r="C2945" t="inlineStr">
        <is>
          <t>The Economic Times</t>
        </is>
      </c>
      <c r="D2945" s="17" t="n">
        <v>46070</v>
      </c>
      <c r="E2945" t="inlineStr">
        <is>
          <t>CraftifAI</t>
        </is>
      </c>
      <c r="F2945" t="inlineStr">
        <is>
          <t>$3 million</t>
        </is>
      </c>
      <c r="G2945" s="19" t="n"/>
      <c r="H2945" s="19" t="n">
        <v>3</v>
      </c>
      <c r="I2945" t="inlineStr">
        <is>
          <t>Seed</t>
        </is>
      </c>
      <c r="J2945" t="inlineStr">
        <is>
          <t>Ankur Capital</t>
        </is>
      </c>
      <c r="K2945" t="inlineStr">
        <is>
          <t>https://economictimes.indiatimes.com/tech/funding/craftifai-raises-3-million-from-ankur-capital-others/articleshow/128465236.cms</t>
        </is>
      </c>
    </row>
    <row r="2946">
      <c r="A2946" t="inlineStr">
        <is>
          <t>INC-20260221-11</t>
        </is>
      </c>
      <c r="B2946" t="inlineStr">
        <is>
          <t>R260217-craftifai</t>
        </is>
      </c>
      <c r="C2946" t="inlineStr">
        <is>
          <t>Inc42</t>
        </is>
      </c>
      <c r="D2946" s="17" t="n">
        <v>46070</v>
      </c>
      <c r="E2946" t="inlineStr">
        <is>
          <t>CraftifAI</t>
        </is>
      </c>
      <c r="F2946" t="inlineStr">
        <is>
          <t>$3 Mn</t>
        </is>
      </c>
      <c r="G2946" s="19" t="n"/>
      <c r="H2946" s="19" t="n">
        <v>3</v>
      </c>
      <c r="I2946" t="inlineStr">
        <is>
          <t>Seed</t>
        </is>
      </c>
      <c r="J2946" t="inlineStr">
        <is>
          <t>Ankur Capital</t>
        </is>
      </c>
      <c r="K2946" t="inlineStr">
        <is>
          <t>https://inc42.com/buzz/from-spinny-to-statiq-indian-startups-raised-285-mn-this-week/</t>
        </is>
      </c>
    </row>
    <row r="2947">
      <c r="A2947" t="inlineStr">
        <is>
          <t>ENT-11112913</t>
        </is>
      </c>
      <c r="B2947" t="inlineStr">
        <is>
          <t>R260217-homerun</t>
        </is>
      </c>
      <c r="C2947" t="inlineStr">
        <is>
          <t>Entrackr</t>
        </is>
      </c>
      <c r="D2947" s="17" t="n">
        <v>46070</v>
      </c>
      <c r="E2947" t="inlineStr">
        <is>
          <t>HomeRun</t>
        </is>
      </c>
      <c r="F2947" t="inlineStr">
        <is>
          <t>Rs 60 crore</t>
        </is>
      </c>
      <c r="G2947" s="19" t="n">
        <v>60</v>
      </c>
      <c r="H2947" s="19" t="n">
        <v>6.6</v>
      </c>
      <c r="I2947" t="inlineStr">
        <is>
          <t>Series A</t>
        </is>
      </c>
      <c r="J2947" t="inlineStr">
        <is>
          <t>Sorin Investments</t>
        </is>
      </c>
      <c r="K2947" t="inlineStr">
        <is>
          <t>https://entrackr.com/snippets/homerun-raises-rs-60-cr-in-series-a-led-by-sorin-investments-11112913</t>
        </is>
      </c>
    </row>
    <row r="2948">
      <c r="A2948" t="inlineStr">
        <is>
          <t>ET-128432254</t>
        </is>
      </c>
      <c r="B2948" t="inlineStr">
        <is>
          <t>R260217-homerun</t>
        </is>
      </c>
      <c r="C2948" t="inlineStr">
        <is>
          <t>The Economic Times</t>
        </is>
      </c>
      <c r="D2948" s="17" t="n">
        <v>46070</v>
      </c>
      <c r="E2948" t="inlineStr">
        <is>
          <t>HomeRun</t>
        </is>
      </c>
      <c r="F2948" t="inlineStr">
        <is>
          <t>Rs 60 crore</t>
        </is>
      </c>
      <c r="G2948" s="19" t="n">
        <v>60</v>
      </c>
      <c r="H2948" s="19" t="n">
        <v>6.6</v>
      </c>
      <c r="I2948" t="inlineStr">
        <is>
          <t>Undisclosed</t>
        </is>
      </c>
      <c r="J2948" t="inlineStr">
        <is>
          <t>Sorin Investments</t>
        </is>
      </c>
      <c r="K2948" t="inlineStr">
        <is>
          <t>https://economictimes.indiatimes.com/tech/funding/homerun-raises-6-6-million-in-round-led-by-sorin-investments/articleshow/128432254.cms</t>
        </is>
      </c>
    </row>
    <row r="2949">
      <c r="A2949" t="inlineStr">
        <is>
          <t>INC-20260221-08</t>
        </is>
      </c>
      <c r="B2949" t="inlineStr">
        <is>
          <t>R260217-homerun</t>
        </is>
      </c>
      <c r="C2949" t="inlineStr">
        <is>
          <t>Inc42</t>
        </is>
      </c>
      <c r="D2949" s="17" t="n">
        <v>46070</v>
      </c>
      <c r="E2949" t="inlineStr">
        <is>
          <t>HomeRun</t>
        </is>
      </c>
      <c r="F2949" t="inlineStr">
        <is>
          <t>$6.6 Mn</t>
        </is>
      </c>
      <c r="G2949" s="19" t="n"/>
      <c r="H2949" s="19" t="n">
        <v>6.6</v>
      </c>
      <c r="I2949" t="inlineStr">
        <is>
          <t>Series A</t>
        </is>
      </c>
      <c r="J2949" t="inlineStr">
        <is>
          <t>Sorin Investments</t>
        </is>
      </c>
      <c r="K2949" t="inlineStr">
        <is>
          <t>https://inc42.com/buzz/from-spinny-to-statiq-indian-startups-raised-285-mn-this-week/</t>
        </is>
      </c>
    </row>
    <row r="2950">
      <c r="A2950" t="inlineStr">
        <is>
          <t>ENT-11116737</t>
        </is>
      </c>
      <c r="B2950" t="inlineStr">
        <is>
          <t>R260217-intrinsicfound</t>
        </is>
      </c>
      <c r="C2950" t="inlineStr">
        <is>
          <t>Entrackr</t>
        </is>
      </c>
      <c r="D2950" s="17" t="n">
        <v>46070</v>
      </c>
      <c r="E2950" t="inlineStr">
        <is>
          <t>Intrinsic Foundries</t>
        </is>
      </c>
      <c r="F2950" t="inlineStr">
        <is>
          <t>Rs 12 crore</t>
        </is>
      </c>
      <c r="G2950" s="19" t="n">
        <v>12</v>
      </c>
      <c r="H2950" s="19" t="n">
        <v>1.4</v>
      </c>
      <c r="I2950" t="inlineStr">
        <is>
          <t>Seed</t>
        </is>
      </c>
      <c r="J2950" t="inlineStr">
        <is>
          <t>Transition VC</t>
        </is>
      </c>
      <c r="K2950" t="inlineStr">
        <is>
          <t>https://entrackr.com/snippets/intrinsic-foundries-raises-rs-12-cr-in-seed-round-led-by-transition-vc-11116737</t>
        </is>
      </c>
    </row>
    <row r="2951">
      <c r="A2951" t="inlineStr">
        <is>
          <t>INC-20260221-13</t>
        </is>
      </c>
      <c r="B2951" t="inlineStr">
        <is>
          <t>R260217-intrinsicfound</t>
        </is>
      </c>
      <c r="C2951" t="inlineStr">
        <is>
          <t>Inc42</t>
        </is>
      </c>
      <c r="D2951" s="17" t="n">
        <v>46070</v>
      </c>
      <c r="E2951" t="inlineStr">
        <is>
          <t>Intrinsic Foundries</t>
        </is>
      </c>
      <c r="F2951" t="inlineStr">
        <is>
          <t>$1.4 Mn</t>
        </is>
      </c>
      <c r="G2951" s="19" t="n"/>
      <c r="H2951" s="19" t="n">
        <v>1.4</v>
      </c>
      <c r="I2951" t="inlineStr">
        <is>
          <t>Seed</t>
        </is>
      </c>
      <c r="J2951" t="inlineStr">
        <is>
          <t>Transition VC</t>
        </is>
      </c>
      <c r="K2951" t="inlineStr">
        <is>
          <t>https://inc42.com/buzz/from-spinny-to-statiq-indian-startups-raised-285-mn-this-week/</t>
        </is>
      </c>
    </row>
    <row r="2952">
      <c r="A2952" t="inlineStr">
        <is>
          <t>ENT-11121504</t>
        </is>
      </c>
      <c r="B2952" t="inlineStr">
        <is>
          <t>R260217-navikenz</t>
        </is>
      </c>
      <c r="C2952" t="inlineStr">
        <is>
          <t>Entrackr</t>
        </is>
      </c>
      <c r="D2952" s="17" t="n">
        <v>46070</v>
      </c>
      <c r="E2952" t="inlineStr">
        <is>
          <t>Navikenz</t>
        </is>
      </c>
      <c r="F2952" t="inlineStr">
        <is>
          <t>$7.5 million</t>
        </is>
      </c>
      <c r="G2952" s="19" t="n"/>
      <c r="H2952" s="19" t="n">
        <v>7.5</v>
      </c>
      <c r="I2952" t="inlineStr">
        <is>
          <t>Undisclosed</t>
        </is>
      </c>
      <c r="J2952" t="inlineStr">
        <is>
          <t>Sekar PRC; Sudip Nandy</t>
        </is>
      </c>
      <c r="K2952" t="inlineStr">
        <is>
          <t>https://entrackr.com/snippets/ai-consulting-startup-navikenz-raises-75-mn-in-seed-round-led-by-sekar-prc-and-sudip-nandy-11121504</t>
        </is>
      </c>
    </row>
    <row r="2953">
      <c r="A2953" t="inlineStr">
        <is>
          <t>ET-128453335</t>
        </is>
      </c>
      <c r="B2953" t="inlineStr">
        <is>
          <t>R260217-navikenz</t>
        </is>
      </c>
      <c r="C2953" t="inlineStr">
        <is>
          <t>The Economic Times</t>
        </is>
      </c>
      <c r="D2953" s="17" t="n">
        <v>46070</v>
      </c>
      <c r="E2953" t="inlineStr">
        <is>
          <t>Navikenz</t>
        </is>
      </c>
      <c r="F2953" t="inlineStr">
        <is>
          <t>$7.5 million</t>
        </is>
      </c>
      <c r="G2953" s="19" t="n"/>
      <c r="H2953" s="19" t="n">
        <v>7.5</v>
      </c>
      <c r="I2953" t="inlineStr">
        <is>
          <t>Seed</t>
        </is>
      </c>
      <c r="J2953" t="inlineStr">
        <is>
          <t>Sekar PRC</t>
        </is>
      </c>
      <c r="K2953" t="inlineStr">
        <is>
          <t>https://economictimes.indiatimes.com/tech/funding/ai-consultancy-navikenz-raises-7-5-million-from-former-hexaware-ceo-others/articleshow/128453335.cms</t>
        </is>
      </c>
    </row>
    <row r="2954">
      <c r="A2954" t="inlineStr">
        <is>
          <t>INC-20260221-10</t>
        </is>
      </c>
      <c r="B2954" t="inlineStr">
        <is>
          <t>R260217-tonetag</t>
        </is>
      </c>
      <c r="C2954" t="inlineStr">
        <is>
          <t>Inc42</t>
        </is>
      </c>
      <c r="D2954" s="17" t="n">
        <v>46070</v>
      </c>
      <c r="E2954" t="inlineStr">
        <is>
          <t>ToneTag</t>
        </is>
      </c>
      <c r="F2954" t="inlineStr">
        <is>
          <t>$3.8 Mn</t>
        </is>
      </c>
      <c r="G2954" s="19" t="n"/>
      <c r="H2954" s="19" t="n">
        <v>3.8</v>
      </c>
      <c r="I2954" t="inlineStr">
        <is>
          <t>Undisclosed</t>
        </is>
      </c>
      <c r="J2954" t="inlineStr">
        <is>
          <t>Qualcomm Ventures</t>
        </is>
      </c>
      <c r="K2954" t="inlineStr">
        <is>
          <t>https://inc42.com/buzz/from-spinny-to-statiq-indian-startups-raised-285-mn-this-week/</t>
        </is>
      </c>
    </row>
    <row r="2955">
      <c r="A2955" t="inlineStr">
        <is>
          <t>ET-128505446</t>
        </is>
      </c>
      <c r="B2955" t="inlineStr">
        <is>
          <t>R260217-tonetag</t>
        </is>
      </c>
      <c r="C2955" t="inlineStr">
        <is>
          <t>The Economic Times</t>
        </is>
      </c>
      <c r="D2955" s="17" t="n">
        <v>46071</v>
      </c>
      <c r="E2955" t="inlineStr">
        <is>
          <t>Tonetag</t>
        </is>
      </c>
      <c r="F2955" t="inlineStr">
        <is>
          <t>Rs 35.16 crore</t>
        </is>
      </c>
      <c r="G2955" s="19" t="n">
        <v>35.16</v>
      </c>
      <c r="H2955" s="19" t="n">
        <v>3.8</v>
      </c>
      <c r="I2955" t="inlineStr">
        <is>
          <t>Undisclosed</t>
        </is>
      </c>
      <c r="J2955" t="inlineStr"/>
      <c r="K2955" t="inlineStr">
        <is>
          <t>https://economictimes.indiatimes.com/tech/funding/sound-based-payment-firm-tonetag-raises-rs-35-crore-from-qualcomm-ventures/articleshow/128505446.cms</t>
        </is>
      </c>
    </row>
    <row r="2956">
      <c r="A2956" t="inlineStr">
        <is>
          <t>ENT-11124946</t>
        </is>
      </c>
      <c r="B2956" t="inlineStr">
        <is>
          <t>R260218-artociti</t>
        </is>
      </c>
      <c r="C2956" t="inlineStr">
        <is>
          <t>Entrackr</t>
        </is>
      </c>
      <c r="D2956" s="17" t="n">
        <v>46071</v>
      </c>
      <c r="E2956" t="inlineStr">
        <is>
          <t>Artociti</t>
        </is>
      </c>
      <c r="F2956" t="inlineStr">
        <is>
          <t>Rs 1 crore</t>
        </is>
      </c>
      <c r="G2956" s="19" t="n">
        <v>1</v>
      </c>
      <c r="H2956" s="19" t="n"/>
      <c r="I2956" t="inlineStr">
        <is>
          <t>Undisclosed</t>
        </is>
      </c>
      <c r="J2956" t="inlineStr"/>
      <c r="K2956" t="inlineStr">
        <is>
          <t>https://entrackr.com/snippets/artociti-raises-rs-1-cr-on-shark-tank-india-at-rs-1333-cr-valuation-11124946</t>
        </is>
      </c>
    </row>
    <row r="2957">
      <c r="A2957" t="inlineStr">
        <is>
          <t>ENT-11125353</t>
        </is>
      </c>
      <c r="B2957" t="inlineStr">
        <is>
          <t>R260218-peptris</t>
        </is>
      </c>
      <c r="C2957" t="inlineStr">
        <is>
          <t>Entrackr</t>
        </is>
      </c>
      <c r="D2957" s="17" t="n">
        <v>46071</v>
      </c>
      <c r="E2957" t="inlineStr">
        <is>
          <t>Peptris</t>
        </is>
      </c>
      <c r="F2957" t="inlineStr">
        <is>
          <t>Rs 70 crore</t>
        </is>
      </c>
      <c r="G2957" s="19" t="n">
        <v>70</v>
      </c>
      <c r="H2957" s="19" t="n">
        <v>7.7</v>
      </c>
      <c r="I2957" t="inlineStr">
        <is>
          <t>Series A</t>
        </is>
      </c>
      <c r="J2957" t="inlineStr">
        <is>
          <t>IAN Alpha Fund; Speciale Invest; BYT Ventures</t>
        </is>
      </c>
      <c r="K2957" t="inlineStr">
        <is>
          <t>https://entrackr.com/snippets/drug-discovery-platform-peptris-raises-rs-70-cr-in-series-a-round-11125353</t>
        </is>
      </c>
    </row>
    <row r="2958">
      <c r="A2958" t="inlineStr">
        <is>
          <t>INC-20260221-07</t>
        </is>
      </c>
      <c r="B2958" t="inlineStr">
        <is>
          <t>R260218-peptris</t>
        </is>
      </c>
      <c r="C2958" t="inlineStr">
        <is>
          <t>Inc42</t>
        </is>
      </c>
      <c r="D2958" s="17" t="n">
        <v>46071</v>
      </c>
      <c r="E2958" t="inlineStr">
        <is>
          <t>Peptris</t>
        </is>
      </c>
      <c r="F2958" t="inlineStr">
        <is>
          <t>$7.7 Mn</t>
        </is>
      </c>
      <c r="G2958" s="19" t="n"/>
      <c r="H2958" s="19" t="n">
        <v>7.7</v>
      </c>
      <c r="I2958" t="inlineStr">
        <is>
          <t>Series A</t>
        </is>
      </c>
      <c r="J2958" t="inlineStr">
        <is>
          <t>IAN Alpha Fund; Speciale Invest</t>
        </is>
      </c>
      <c r="K2958" t="inlineStr">
        <is>
          <t>https://inc42.com/buzz/from-spinny-to-statiq-indian-startups-raised-285-mn-this-week/</t>
        </is>
      </c>
    </row>
    <row r="2959">
      <c r="A2959" t="inlineStr">
        <is>
          <t>ENT-11124268</t>
        </is>
      </c>
      <c r="B2959" t="inlineStr">
        <is>
          <t>R260218-stablemoney</t>
        </is>
      </c>
      <c r="C2959" t="inlineStr">
        <is>
          <t>Entrackr</t>
        </is>
      </c>
      <c r="D2959" s="17" t="n">
        <v>46071</v>
      </c>
      <c r="E2959" t="inlineStr">
        <is>
          <t>Stable Money</t>
        </is>
      </c>
      <c r="F2959" t="inlineStr">
        <is>
          <t>$25 million</t>
        </is>
      </c>
      <c r="G2959" s="19" t="n"/>
      <c r="H2959" s="19" t="n">
        <v>25</v>
      </c>
      <c r="I2959" t="inlineStr">
        <is>
          <t>Pre-Series C</t>
        </is>
      </c>
      <c r="J2959" t="inlineStr">
        <is>
          <t>Peak XV Partners</t>
        </is>
      </c>
      <c r="K2959" t="inlineStr">
        <is>
          <t>https://entrackr.com/news/stable-money-raises-25-mn-led-by-peak-xv-at-175-mn-valuation-11124268</t>
        </is>
      </c>
    </row>
    <row r="2960">
      <c r="A2960" t="inlineStr">
        <is>
          <t>ET-128479032</t>
        </is>
      </c>
      <c r="B2960" t="inlineStr">
        <is>
          <t>R260218-stablemoney</t>
        </is>
      </c>
      <c r="C2960" t="inlineStr">
        <is>
          <t>The Economic Times</t>
        </is>
      </c>
      <c r="D2960" s="17" t="n">
        <v>46071</v>
      </c>
      <c r="E2960" t="inlineStr">
        <is>
          <t>Stable Money</t>
        </is>
      </c>
      <c r="F2960" t="inlineStr">
        <is>
          <t>$25 million</t>
        </is>
      </c>
      <c r="G2960" s="19" t="n"/>
      <c r="H2960" s="19" t="n">
        <v>25</v>
      </c>
      <c r="I2960" t="inlineStr">
        <is>
          <t>Undisclosed</t>
        </is>
      </c>
      <c r="J2960" t="inlineStr">
        <is>
          <t>Peak XV Partners</t>
        </is>
      </c>
      <c r="K2960" t="inlineStr">
        <is>
          <t>https://economictimes.indiatimes.com/tech/funding/stable-money-secures-25-million-in-fresh-equity-from-peak-xv-partners-and-others/articleshow/128479032.cms</t>
        </is>
      </c>
    </row>
    <row r="2961">
      <c r="A2961" t="inlineStr">
        <is>
          <t>INC-20260221-02</t>
        </is>
      </c>
      <c r="B2961" t="inlineStr">
        <is>
          <t>R260218-stablemoney</t>
        </is>
      </c>
      <c r="C2961" t="inlineStr">
        <is>
          <t>Inc42</t>
        </is>
      </c>
      <c r="D2961" s="17" t="n">
        <v>46071</v>
      </c>
      <c r="E2961" t="inlineStr">
        <is>
          <t>Stable Money</t>
        </is>
      </c>
      <c r="F2961" t="inlineStr">
        <is>
          <t>$25 Mn</t>
        </is>
      </c>
      <c r="G2961" s="19" t="n"/>
      <c r="H2961" s="19" t="n">
        <v>25</v>
      </c>
      <c r="I2961" t="inlineStr">
        <is>
          <t>Pre-Series C</t>
        </is>
      </c>
      <c r="J2961" t="inlineStr">
        <is>
          <t>Peak XV Partners</t>
        </is>
      </c>
      <c r="K2961" t="inlineStr">
        <is>
          <t>https://inc42.com/buzz/from-spinny-to-statiq-indian-startups-raised-285-mn-this-week/</t>
        </is>
      </c>
    </row>
    <row r="2962">
      <c r="A2962" t="inlineStr">
        <is>
          <t>ENT-11219612</t>
        </is>
      </c>
      <c r="B2962" t="inlineStr">
        <is>
          <t>R260218-stablemoney</t>
        </is>
      </c>
      <c r="C2962" t="inlineStr">
        <is>
          <t>Entrackr</t>
        </is>
      </c>
      <c r="D2962" s="17" t="n">
        <v>46098</v>
      </c>
      <c r="E2962" t="inlineStr">
        <is>
          <t>Stable Money</t>
        </is>
      </c>
      <c r="F2962" t="inlineStr">
        <is>
          <t>$25 million</t>
        </is>
      </c>
      <c r="G2962" s="19" t="n"/>
      <c r="H2962" s="19" t="n">
        <v>25</v>
      </c>
      <c r="I2962" t="inlineStr">
        <is>
          <t>Pre-Series C</t>
        </is>
      </c>
      <c r="J2962" t="inlineStr">
        <is>
          <t>Peak XV Partners</t>
        </is>
      </c>
      <c r="K2962" t="inlineStr">
        <is>
          <t>https://entrackr.com/decoding/stable-money-founders-stake-falls-to-30-after-pre-series-c-round-11219612</t>
        </is>
      </c>
    </row>
    <row r="2963">
      <c r="A2963" t="inlineStr">
        <is>
          <t>ENT-11127182</t>
        </is>
      </c>
      <c r="B2963" t="inlineStr">
        <is>
          <t>R260218-statiq</t>
        </is>
      </c>
      <c r="C2963" t="inlineStr">
        <is>
          <t>Entrackr</t>
        </is>
      </c>
      <c r="D2963" s="17" t="n">
        <v>46071</v>
      </c>
      <c r="E2963" t="inlineStr">
        <is>
          <t>Statiq</t>
        </is>
      </c>
      <c r="F2963" t="inlineStr">
        <is>
          <t>$18 million</t>
        </is>
      </c>
      <c r="G2963" s="19" t="n">
        <v>163.2</v>
      </c>
      <c r="H2963" s="19" t="n">
        <v>18</v>
      </c>
      <c r="I2963" t="inlineStr">
        <is>
          <t>Undisclosed</t>
        </is>
      </c>
      <c r="J2963" t="inlineStr">
        <is>
          <t>Tenacity Ventures; Shell Ventures; RCD Holdings</t>
        </is>
      </c>
      <c r="K2963" t="inlineStr">
        <is>
          <t>https://entrackr.com/news/ev-charging-startup-statiq-raises-18-mn-led-by-tenacity-ventures-11127182</t>
        </is>
      </c>
    </row>
    <row r="2964">
      <c r="A2964" t="inlineStr">
        <is>
          <t>INC-20260221-03</t>
        </is>
      </c>
      <c r="B2964" t="inlineStr">
        <is>
          <t>R260218-statiq</t>
        </is>
      </c>
      <c r="C2964" t="inlineStr">
        <is>
          <t>Inc42</t>
        </is>
      </c>
      <c r="D2964" s="17" t="n">
        <v>46071</v>
      </c>
      <c r="E2964" t="inlineStr">
        <is>
          <t>Statiq</t>
        </is>
      </c>
      <c r="F2964" t="inlineStr">
        <is>
          <t>$18 Mn</t>
        </is>
      </c>
      <c r="G2964" s="19" t="n"/>
      <c r="H2964" s="19" t="n">
        <v>18</v>
      </c>
      <c r="I2964" t="inlineStr">
        <is>
          <t>Undisclosed</t>
        </is>
      </c>
      <c r="J2964" t="inlineStr">
        <is>
          <t>Tenacity Ventures</t>
        </is>
      </c>
      <c r="K2964" t="inlineStr">
        <is>
          <t>https://inc42.com/buzz/from-spinny-to-statiq-indian-startups-raised-285-mn-this-week/</t>
        </is>
      </c>
    </row>
    <row r="2965">
      <c r="A2965" t="inlineStr">
        <is>
          <t>ET-128632842</t>
        </is>
      </c>
      <c r="B2965" t="inlineStr">
        <is>
          <t>R260218-statiq</t>
        </is>
      </c>
      <c r="C2965" t="inlineStr">
        <is>
          <t>The Economic Times</t>
        </is>
      </c>
      <c r="D2965" s="17" t="n">
        <v>46074</v>
      </c>
      <c r="E2965" t="inlineStr">
        <is>
          <t>Statiq</t>
        </is>
      </c>
      <c r="F2965" t="inlineStr">
        <is>
          <t>$18 million</t>
        </is>
      </c>
      <c r="G2965" s="19" t="n"/>
      <c r="H2965" s="19" t="n">
        <v>18</v>
      </c>
      <c r="I2965" t="inlineStr">
        <is>
          <t>Undisclosed</t>
        </is>
      </c>
      <c r="J2965" t="inlineStr">
        <is>
          <t>Tenacity Ventures</t>
        </is>
      </c>
      <c r="K2965" t="inlineStr">
        <is>
          <t>https://economictimes.indiatimes.com/tech/funding/ev-charging-startup-statiq-secures-18-million-from-tenacity-ventures-others/articleshow/128632842.cms</t>
        </is>
      </c>
    </row>
    <row r="2966">
      <c r="A2966" t="inlineStr">
        <is>
          <t>ENT-11125109</t>
        </is>
      </c>
      <c r="B2966" t="inlineStr">
        <is>
          <t>R260218-vervesemi</t>
        </is>
      </c>
      <c r="C2966" t="inlineStr">
        <is>
          <t>Entrackr</t>
        </is>
      </c>
      <c r="D2966" s="17" t="n">
        <v>46071</v>
      </c>
      <c r="E2966" t="inlineStr">
        <is>
          <t>Vervesemi</t>
        </is>
      </c>
      <c r="F2966" t="inlineStr">
        <is>
          <t>$10 million</t>
        </is>
      </c>
      <c r="G2966" s="19" t="n"/>
      <c r="H2966" s="19" t="n">
        <v>10</v>
      </c>
      <c r="I2966" t="inlineStr">
        <is>
          <t>Series A</t>
        </is>
      </c>
      <c r="J2966" t="inlineStr">
        <is>
          <t>Ashish Kacholia; Unicorn India Ventures</t>
        </is>
      </c>
      <c r="K2966" t="inlineStr">
        <is>
          <t>https://entrackr.com/news/fabless-semiconductor-startup-vervesemi-raises-10-mn-in-series-a-round-11125109</t>
        </is>
      </c>
    </row>
    <row r="2967">
      <c r="A2967" t="inlineStr">
        <is>
          <t>INC-20260221-06</t>
        </is>
      </c>
      <c r="B2967" t="inlineStr">
        <is>
          <t>R260218-vervesemi</t>
        </is>
      </c>
      <c r="C2967" t="inlineStr">
        <is>
          <t>Inc42</t>
        </is>
      </c>
      <c r="D2967" s="17" t="n">
        <v>46071</v>
      </c>
      <c r="E2967" t="inlineStr">
        <is>
          <t>Vervesemi</t>
        </is>
      </c>
      <c r="F2967" t="inlineStr">
        <is>
          <t>$10 Mn</t>
        </is>
      </c>
      <c r="G2967" s="19" t="n"/>
      <c r="H2967" s="19" t="n">
        <v>10</v>
      </c>
      <c r="I2967" t="inlineStr">
        <is>
          <t>Series A</t>
        </is>
      </c>
      <c r="J2967" t="inlineStr">
        <is>
          <t>Ashish Kacholia; Unicorn India Ventures</t>
        </is>
      </c>
      <c r="K2967" t="inlineStr">
        <is>
          <t>https://inc42.com/buzz/from-spinny-to-statiq-indian-startups-raised-285-mn-this-week/</t>
        </is>
      </c>
    </row>
    <row r="2968">
      <c r="A2968" t="inlineStr">
        <is>
          <t>ENT-11132728</t>
        </is>
      </c>
      <c r="B2968" t="inlineStr">
        <is>
          <t>R260219-plutomobility</t>
        </is>
      </c>
      <c r="C2968" t="inlineStr">
        <is>
          <t>Entrackr</t>
        </is>
      </c>
      <c r="D2968" s="17" t="n">
        <v>46072</v>
      </c>
      <c r="E2968" t="inlineStr">
        <is>
          <t>Pluto Mobility</t>
        </is>
      </c>
      <c r="F2968" t="inlineStr">
        <is>
          <t>$2 million</t>
        </is>
      </c>
      <c r="G2968" s="19" t="n"/>
      <c r="H2968" s="19" t="n">
        <v>2</v>
      </c>
      <c r="I2968" t="inlineStr">
        <is>
          <t>Seed</t>
        </is>
      </c>
      <c r="J2968" t="inlineStr">
        <is>
          <t>Version One Ventures</t>
        </is>
      </c>
      <c r="K2968" t="inlineStr">
        <is>
          <t>https://entrackr.com/snippets/pluto-mobility-raises-2-mn-in-seed-round-11132728</t>
        </is>
      </c>
    </row>
    <row r="2969">
      <c r="A2969" t="inlineStr">
        <is>
          <t>INC-20260221-12</t>
        </is>
      </c>
      <c r="B2969" t="inlineStr">
        <is>
          <t>R260219-plutomobility</t>
        </is>
      </c>
      <c r="C2969" t="inlineStr">
        <is>
          <t>Inc42</t>
        </is>
      </c>
      <c r="D2969" s="17" t="n">
        <v>46072</v>
      </c>
      <c r="E2969" t="inlineStr">
        <is>
          <t>Pluto Mobility</t>
        </is>
      </c>
      <c r="F2969" t="inlineStr">
        <is>
          <t>$2 Mn</t>
        </is>
      </c>
      <c r="G2969" s="19" t="n"/>
      <c r="H2969" s="19" t="n">
        <v>2</v>
      </c>
      <c r="I2969" t="inlineStr">
        <is>
          <t>Seed</t>
        </is>
      </c>
      <c r="J2969" t="inlineStr">
        <is>
          <t>Version One Ventures</t>
        </is>
      </c>
      <c r="K2969" t="inlineStr">
        <is>
          <t>https://inc42.com/buzz/from-spinny-to-statiq-indian-startups-raised-285-mn-this-week/</t>
        </is>
      </c>
    </row>
    <row r="2970">
      <c r="A2970" t="inlineStr">
        <is>
          <t>ENT-11134623</t>
        </is>
      </c>
      <c r="B2970" t="inlineStr">
        <is>
          <t>R260219-portkey</t>
        </is>
      </c>
      <c r="C2970" t="inlineStr">
        <is>
          <t>Entrackr</t>
        </is>
      </c>
      <c r="D2970" s="17" t="n">
        <v>46072</v>
      </c>
      <c r="E2970" t="inlineStr">
        <is>
          <t>Portkey</t>
        </is>
      </c>
      <c r="F2970" t="inlineStr">
        <is>
          <t>$15 million</t>
        </is>
      </c>
      <c r="G2970" s="19" t="n"/>
      <c r="H2970" s="19" t="n">
        <v>15</v>
      </c>
      <c r="I2970" t="inlineStr">
        <is>
          <t>Series A</t>
        </is>
      </c>
      <c r="J2970" t="inlineStr">
        <is>
          <t>Elevation Capital</t>
        </is>
      </c>
      <c r="K2970" t="inlineStr">
        <is>
          <t>https://entrackr.com/news/ai-apps-building-platform-portkey-raises-15-mn-in-series-a-led-by-elevation-11134623</t>
        </is>
      </c>
    </row>
    <row r="2971">
      <c r="A2971" t="inlineStr">
        <is>
          <t>ET-128566160</t>
        </is>
      </c>
      <c r="B2971" t="inlineStr">
        <is>
          <t>R260219-portkey</t>
        </is>
      </c>
      <c r="C2971" t="inlineStr">
        <is>
          <t>The Economic Times</t>
        </is>
      </c>
      <c r="D2971" s="17" t="n">
        <v>46072</v>
      </c>
      <c r="E2971" t="inlineStr">
        <is>
          <t>Portkey</t>
        </is>
      </c>
      <c r="F2971" t="inlineStr">
        <is>
          <t>$15 million</t>
        </is>
      </c>
      <c r="G2971" s="19" t="n"/>
      <c r="H2971" s="19" t="n">
        <v>15</v>
      </c>
      <c r="I2971" t="inlineStr">
        <is>
          <t>Undisclosed</t>
        </is>
      </c>
      <c r="J2971" t="inlineStr">
        <is>
          <t>Elevation Capital</t>
        </is>
      </c>
      <c r="K2971" t="inlineStr">
        <is>
          <t>https://economictimes.indiatimes.com/tech/funding/llmops-startup-portkey-raises-15-million-in-round-led-by-elevation-capital/articleshow/128566160.cms</t>
        </is>
      </c>
    </row>
    <row r="2972">
      <c r="A2972" t="inlineStr">
        <is>
          <t>INC-20260221-04</t>
        </is>
      </c>
      <c r="B2972" t="inlineStr">
        <is>
          <t>R260219-portkey</t>
        </is>
      </c>
      <c r="C2972" t="inlineStr">
        <is>
          <t>Inc42</t>
        </is>
      </c>
      <c r="D2972" s="17" t="n">
        <v>46073</v>
      </c>
      <c r="E2972" t="inlineStr">
        <is>
          <t>Portkey</t>
        </is>
      </c>
      <c r="F2972" t="inlineStr">
        <is>
          <t>$15 Mn</t>
        </is>
      </c>
      <c r="G2972" s="19" t="n"/>
      <c r="H2972" s="19" t="n">
        <v>15</v>
      </c>
      <c r="I2972" t="inlineStr">
        <is>
          <t>Series A</t>
        </is>
      </c>
      <c r="J2972" t="inlineStr">
        <is>
          <t>Elevation Capital</t>
        </is>
      </c>
      <c r="K2972" t="inlineStr">
        <is>
          <t>https://inc42.com/buzz/from-spinny-to-statiq-indian-startups-raised-285-mn-this-week/</t>
        </is>
      </c>
    </row>
    <row r="2973">
      <c r="A2973" t="inlineStr">
        <is>
          <t>INC-20260221-17</t>
        </is>
      </c>
      <c r="B2973" t="inlineStr">
        <is>
          <t>R260220-coreshieldtech</t>
        </is>
      </c>
      <c r="C2973" t="inlineStr">
        <is>
          <t>Inc42</t>
        </is>
      </c>
      <c r="D2973" s="17" t="n">
        <v>46073</v>
      </c>
      <c r="E2973" t="inlineStr">
        <is>
          <t>CoreShield Technologies</t>
        </is>
      </c>
      <c r="F2973" t="inlineStr"/>
      <c r="G2973" s="19" t="n"/>
      <c r="H2973" s="19" t="n"/>
      <c r="I2973" t="inlineStr">
        <is>
          <t>Seed</t>
        </is>
      </c>
      <c r="J2973" t="inlineStr">
        <is>
          <t>ThinKuvate</t>
        </is>
      </c>
      <c r="K2973" t="inlineStr">
        <is>
          <t>https://inc42.com/buzz/from-spinny-to-statiq-indian-startups-raised-285-mn-this-week/</t>
        </is>
      </c>
    </row>
    <row r="2974">
      <c r="A2974" t="inlineStr">
        <is>
          <t>INC-20260221-09</t>
        </is>
      </c>
      <c r="B2974" t="inlineStr">
        <is>
          <t>R260220-myelinfoundry</t>
        </is>
      </c>
      <c r="C2974" t="inlineStr">
        <is>
          <t>Inc42</t>
        </is>
      </c>
      <c r="D2974" s="17" t="n">
        <v>46073</v>
      </c>
      <c r="E2974" t="inlineStr">
        <is>
          <t>Myelin Foundry</t>
        </is>
      </c>
      <c r="F2974" t="inlineStr">
        <is>
          <t>$5.3 Mn</t>
        </is>
      </c>
      <c r="G2974" s="19" t="n"/>
      <c r="H2974" s="19" t="n">
        <v>5.3</v>
      </c>
      <c r="I2974" t="inlineStr">
        <is>
          <t>Undisclosed</t>
        </is>
      </c>
      <c r="J2974" t="inlineStr">
        <is>
          <t>ASM Technologies</t>
        </is>
      </c>
      <c r="K2974" t="inlineStr">
        <is>
          <t>https://inc42.com/buzz/from-spinny-to-statiq-indian-startups-raised-285-mn-this-week/</t>
        </is>
      </c>
    </row>
    <row r="2975">
      <c r="A2975" t="inlineStr">
        <is>
          <t>ENT-11138087</t>
        </is>
      </c>
      <c r="B2975" t="inlineStr">
        <is>
          <t>R260220-roopya</t>
        </is>
      </c>
      <c r="C2975" t="inlineStr">
        <is>
          <t>Entrackr</t>
        </is>
      </c>
      <c r="D2975" s="17" t="n">
        <v>46073</v>
      </c>
      <c r="E2975" t="inlineStr">
        <is>
          <t>Roopya</t>
        </is>
      </c>
      <c r="F2975" t="inlineStr">
        <is>
          <t>Rs 4 crore</t>
        </is>
      </c>
      <c r="G2975" s="19" t="n">
        <v>4</v>
      </c>
      <c r="H2975" s="19" t="n"/>
      <c r="I2975" t="inlineStr">
        <is>
          <t>Seed</t>
        </is>
      </c>
      <c r="J2975" t="inlineStr">
        <is>
          <t>Inflection Point Ventures</t>
        </is>
      </c>
      <c r="K2975" t="inlineStr">
        <is>
          <t>https://entrackr.com/snippets/lending-infra-startup-roopya-raises-seed-round-led-by-ipv-11138087</t>
        </is>
      </c>
    </row>
    <row r="2976">
      <c r="A2976" t="inlineStr">
        <is>
          <t>INC-20260221-16</t>
        </is>
      </c>
      <c r="B2976" t="inlineStr">
        <is>
          <t>R260220-roopya</t>
        </is>
      </c>
      <c r="C2976" t="inlineStr">
        <is>
          <t>Inc42</t>
        </is>
      </c>
      <c r="D2976" s="17" t="n">
        <v>46073</v>
      </c>
      <c r="E2976" t="inlineStr">
        <is>
          <t>Roopya</t>
        </is>
      </c>
      <c r="F2976" t="inlineStr">
        <is>
          <t>$440K</t>
        </is>
      </c>
      <c r="G2976" s="19" t="n"/>
      <c r="H2976" s="19" t="n">
        <v>0.44</v>
      </c>
      <c r="I2976" t="inlineStr">
        <is>
          <t>Seed</t>
        </is>
      </c>
      <c r="J2976" t="inlineStr">
        <is>
          <t>Inflection Point Ventures</t>
        </is>
      </c>
      <c r="K2976" t="inlineStr">
        <is>
          <t>https://inc42.com/buzz/from-spinny-to-statiq-indian-startups-raised-285-mn-this-week/</t>
        </is>
      </c>
    </row>
    <row r="2977">
      <c r="A2977" t="inlineStr">
        <is>
          <t>ENT-11146538</t>
        </is>
      </c>
      <c r="B2977" t="inlineStr">
        <is>
          <t>R260223-datoms</t>
        </is>
      </c>
      <c r="C2977" t="inlineStr">
        <is>
          <t>Entrackr</t>
        </is>
      </c>
      <c r="D2977" s="17" t="n">
        <v>46076</v>
      </c>
      <c r="E2977" t="inlineStr">
        <is>
          <t>DATOMS</t>
        </is>
      </c>
      <c r="F2977" t="inlineStr">
        <is>
          <t>Rs 25 crore</t>
        </is>
      </c>
      <c r="G2977" s="19" t="n">
        <v>25</v>
      </c>
      <c r="H2977" s="19" t="n">
        <v>2.76</v>
      </c>
      <c r="I2977" t="inlineStr">
        <is>
          <t>Series A</t>
        </is>
      </c>
      <c r="J2977" t="inlineStr">
        <is>
          <t>Big Capital JSC</t>
        </is>
      </c>
      <c r="K2977" t="inlineStr">
        <is>
          <t>https://entrackr.com/snippets/deeptech-iot-startup-datoms-raises-rs-25-cr-in-series-a-led-by-big-capital-jsc-11146538</t>
        </is>
      </c>
    </row>
    <row r="2978">
      <c r="A2978" t="inlineStr">
        <is>
          <t>ET-128718337</t>
        </is>
      </c>
      <c r="B2978" t="inlineStr">
        <is>
          <t>R260223-datoms</t>
        </is>
      </c>
      <c r="C2978" t="inlineStr">
        <is>
          <t>The Economic Times</t>
        </is>
      </c>
      <c r="D2978" s="17" t="n">
        <v>46076</v>
      </c>
      <c r="E2978" t="inlineStr">
        <is>
          <t>DATOMS</t>
        </is>
      </c>
      <c r="F2978" t="inlineStr">
        <is>
          <t>Rs 25 crore</t>
        </is>
      </c>
      <c r="G2978" s="19" t="n">
        <v>25</v>
      </c>
      <c r="H2978" s="19" t="n"/>
      <c r="I2978" t="inlineStr">
        <is>
          <t>Series A</t>
        </is>
      </c>
      <c r="J2978" t="inlineStr">
        <is>
          <t>Big Capital JSC</t>
        </is>
      </c>
      <c r="K2978" t="inlineStr">
        <is>
          <t>https://economictimes.indiatimes.com/tech/funding/iot-platform-datoms-raises-rs-25-crore-funding-led-by-big-capital-jsc/articleshow/128718337.cms</t>
        </is>
      </c>
    </row>
    <row r="2979">
      <c r="A2979" t="inlineStr">
        <is>
          <t>ENT-11147416</t>
        </is>
      </c>
      <c r="B2979" t="inlineStr">
        <is>
          <t>R260223-hycosys</t>
        </is>
      </c>
      <c r="C2979" t="inlineStr">
        <is>
          <t>Entrackr</t>
        </is>
      </c>
      <c r="D2979" s="17" t="n">
        <v>46076</v>
      </c>
      <c r="E2979" t="inlineStr">
        <is>
          <t>Hycosys</t>
        </is>
      </c>
      <c r="F2979" t="inlineStr">
        <is>
          <t>$1 million</t>
        </is>
      </c>
      <c r="G2979" s="19" t="n">
        <v>9</v>
      </c>
      <c r="H2979" s="19" t="n">
        <v>1</v>
      </c>
      <c r="I2979" t="inlineStr">
        <is>
          <t>Seed</t>
        </is>
      </c>
      <c r="J2979" t="inlineStr">
        <is>
          <t>MountTech Growth Fund</t>
        </is>
      </c>
      <c r="K2979" t="inlineStr">
        <is>
          <t>https://entrackr.com/snippets/hycosys-raises-seed-round-led-by-mounttech-growth-funds-kavachh-11147416</t>
        </is>
      </c>
    </row>
    <row r="2980">
      <c r="A2980" t="inlineStr">
        <is>
          <t>ENT-11146906</t>
        </is>
      </c>
      <c r="B2980" t="inlineStr">
        <is>
          <t>R260223-mojro</t>
        </is>
      </c>
      <c r="C2980" t="inlineStr">
        <is>
          <t>Entrackr</t>
        </is>
      </c>
      <c r="D2980" s="17" t="n">
        <v>46076</v>
      </c>
      <c r="E2980" t="inlineStr">
        <is>
          <t>Mojro</t>
        </is>
      </c>
      <c r="F2980" t="inlineStr">
        <is>
          <t>$3 million</t>
        </is>
      </c>
      <c r="G2980" s="19" t="n"/>
      <c r="H2980" s="19" t="n">
        <v>3</v>
      </c>
      <c r="I2980" t="inlineStr">
        <is>
          <t>Undisclosed</t>
        </is>
      </c>
      <c r="J2980" t="inlineStr">
        <is>
          <t>IAN Alpha Fund</t>
        </is>
      </c>
      <c r="K2980" t="inlineStr">
        <is>
          <t>https://entrackr.com/snippets/b2b-saas-platform-mojro-raises-3-mn-led-by-ian-alpha-fund-11146906</t>
        </is>
      </c>
    </row>
    <row r="2981">
      <c r="A2981" t="inlineStr">
        <is>
          <t>ENT-11146761</t>
        </is>
      </c>
      <c r="B2981" t="inlineStr">
        <is>
          <t>R260223-mydesignation</t>
        </is>
      </c>
      <c r="C2981" t="inlineStr">
        <is>
          <t>Entrackr</t>
        </is>
      </c>
      <c r="D2981" s="17" t="n">
        <v>46076</v>
      </c>
      <c r="E2981" t="inlineStr">
        <is>
          <t>MyDesignation</t>
        </is>
      </c>
      <c r="F2981" t="inlineStr">
        <is>
          <t>Rs 40 crore</t>
        </is>
      </c>
      <c r="G2981" s="19" t="n">
        <v>40</v>
      </c>
      <c r="H2981" s="19" t="n"/>
      <c r="I2981" t="inlineStr">
        <is>
          <t>Series A</t>
        </is>
      </c>
      <c r="J2981" t="inlineStr">
        <is>
          <t>RPSG Capital Ventures</t>
        </is>
      </c>
      <c r="K2981" t="inlineStr">
        <is>
          <t>https://entrackr.com/snippets/d2c-fashion-brand-mydesignation-raises-40-cr-in-series-a-round-11146761</t>
        </is>
      </c>
    </row>
    <row r="2982">
      <c r="A2982" t="inlineStr">
        <is>
          <t>ET-128706795</t>
        </is>
      </c>
      <c r="B2982" t="inlineStr">
        <is>
          <t>R260223-mydesignation</t>
        </is>
      </c>
      <c r="C2982" t="inlineStr">
        <is>
          <t>The Economic Times</t>
        </is>
      </c>
      <c r="D2982" s="17" t="n">
        <v>46076</v>
      </c>
      <c r="E2982" t="inlineStr">
        <is>
          <t>MyDesignation</t>
        </is>
      </c>
      <c r="F2982" t="inlineStr">
        <is>
          <t>Rs 40 crore</t>
        </is>
      </c>
      <c r="G2982" s="19" t="n">
        <v>40</v>
      </c>
      <c r="H2982" s="19" t="n"/>
      <c r="I2982" t="inlineStr">
        <is>
          <t>Series A</t>
        </is>
      </c>
      <c r="J2982" t="inlineStr">
        <is>
          <t>RPSG Capital Ventures</t>
        </is>
      </c>
      <c r="K2982" t="inlineStr">
        <is>
          <t>https://economictimes.indiatimes.com/tech/funding/d2c-fashion-brand-mydesignation-raises-rs-40-crore-from-rpsg-capital-ventures-veltis-capital-others/articleshow/128706795.cms</t>
        </is>
      </c>
    </row>
    <row r="2983">
      <c r="A2983" t="inlineStr">
        <is>
          <t>ENT-11149862</t>
        </is>
      </c>
      <c r="B2983" t="inlineStr">
        <is>
          <t>R260224-basil</t>
        </is>
      </c>
      <c r="C2983" t="inlineStr">
        <is>
          <t>Entrackr</t>
        </is>
      </c>
      <c r="D2983" s="17" t="n">
        <v>46077</v>
      </c>
      <c r="E2983" t="inlineStr">
        <is>
          <t>Basil</t>
        </is>
      </c>
      <c r="F2983" t="inlineStr">
        <is>
          <t>$2 million</t>
        </is>
      </c>
      <c r="G2983" s="19" t="n"/>
      <c r="H2983" s="19" t="n">
        <v>2</v>
      </c>
      <c r="I2983" t="inlineStr">
        <is>
          <t>Pre-Series A</t>
        </is>
      </c>
      <c r="J2983" t="inlineStr">
        <is>
          <t>Prime Venture Partners</t>
        </is>
      </c>
      <c r="K2983" t="inlineStr">
        <is>
          <t>https://entrackr.com/snippets/d2c-brand-basil-raises-2-mn-in-pre-series-a-led-by-prime-venture-partners-11149862</t>
        </is>
      </c>
    </row>
    <row r="2984">
      <c r="A2984" t="inlineStr">
        <is>
          <t>ET-128722495</t>
        </is>
      </c>
      <c r="B2984" t="inlineStr">
        <is>
          <t>R260224-basil</t>
        </is>
      </c>
      <c r="C2984" t="inlineStr">
        <is>
          <t>The Economic Times</t>
        </is>
      </c>
      <c r="D2984" s="17" t="n">
        <v>46077</v>
      </c>
      <c r="E2984" t="inlineStr">
        <is>
          <t>Basil</t>
        </is>
      </c>
      <c r="F2984" t="inlineStr">
        <is>
          <t>$2 million</t>
        </is>
      </c>
      <c r="G2984" s="19" t="n"/>
      <c r="H2984" s="19" t="n">
        <v>2</v>
      </c>
      <c r="I2984" t="inlineStr">
        <is>
          <t>Undisclosed</t>
        </is>
      </c>
      <c r="J2984" t="inlineStr">
        <is>
          <t>Prime Venture Partners</t>
        </is>
      </c>
      <c r="K2984" t="inlineStr">
        <is>
          <t>https://economictimes.indiatimes.com/tech/funding/kids-essentials-brand-basil-raises-2-million-in-round-led-by-prime-venture-partners/articleshow/128722495.cms</t>
        </is>
      </c>
    </row>
    <row r="2985">
      <c r="A2985" t="inlineStr">
        <is>
          <t>ENT-11149693</t>
        </is>
      </c>
      <c r="B2985" t="inlineStr">
        <is>
          <t>R260224-hirebound</t>
        </is>
      </c>
      <c r="C2985" t="inlineStr">
        <is>
          <t>Entrackr</t>
        </is>
      </c>
      <c r="D2985" s="17" t="n">
        <v>46077</v>
      </c>
      <c r="E2985" t="inlineStr">
        <is>
          <t>HireBound</t>
        </is>
      </c>
      <c r="F2985" t="inlineStr">
        <is>
          <t>$2 million</t>
        </is>
      </c>
      <c r="G2985" s="19" t="n"/>
      <c r="H2985" s="19" t="n">
        <v>2</v>
      </c>
      <c r="I2985" t="inlineStr">
        <is>
          <t>Seed</t>
        </is>
      </c>
      <c r="J2985" t="inlineStr">
        <is>
          <t>Kalaari Capital</t>
        </is>
      </c>
      <c r="K2985" t="inlineStr">
        <is>
          <t>https://entrackr.com/snippets/hirebound-raises-2-mn-in-seed-round-led-by-kalaari-capital-11149693</t>
        </is>
      </c>
    </row>
    <row r="2986">
      <c r="A2986" t="inlineStr">
        <is>
          <t>ET-128720582</t>
        </is>
      </c>
      <c r="B2986" t="inlineStr">
        <is>
          <t>R260224-hirebound</t>
        </is>
      </c>
      <c r="C2986" t="inlineStr">
        <is>
          <t>The Economic Times</t>
        </is>
      </c>
      <c r="D2986" s="17" t="n">
        <v>46077</v>
      </c>
      <c r="E2986" t="inlineStr">
        <is>
          <t>HireBound</t>
        </is>
      </c>
      <c r="F2986" t="inlineStr">
        <is>
          <t>$2 million</t>
        </is>
      </c>
      <c r="G2986" s="19" t="n"/>
      <c r="H2986" s="19" t="n">
        <v>2</v>
      </c>
      <c r="I2986" t="inlineStr">
        <is>
          <t>Seed</t>
        </is>
      </c>
      <c r="J2986" t="inlineStr">
        <is>
          <t>Kalaari Capital</t>
        </is>
      </c>
      <c r="K2986" t="inlineStr">
        <is>
          <t>https://economictimes.indiatimes.com/tech/funding/recruitment-tech-startup-hirebound-raises-2-million-in-round-led-by-kalaari-capital/articleshow/128720582.cms</t>
        </is>
      </c>
    </row>
    <row r="2987">
      <c r="A2987" t="inlineStr">
        <is>
          <t>ENT-11150272</t>
        </is>
      </c>
      <c r="B2987" t="inlineStr">
        <is>
          <t>R260224-kriswork</t>
        </is>
      </c>
      <c r="C2987" t="inlineStr">
        <is>
          <t>Entrackr</t>
        </is>
      </c>
      <c r="D2987" s="17" t="n">
        <v>46077</v>
      </c>
      <c r="E2987" t="inlineStr">
        <is>
          <t>Kris@Work</t>
        </is>
      </c>
      <c r="F2987" t="inlineStr">
        <is>
          <t>$3 million</t>
        </is>
      </c>
      <c r="G2987" s="19" t="n"/>
      <c r="H2987" s="19" t="n">
        <v>3</v>
      </c>
      <c r="I2987" t="inlineStr">
        <is>
          <t>Seed</t>
        </is>
      </c>
      <c r="J2987" t="inlineStr">
        <is>
          <t>Info Edge Ventures</t>
        </is>
      </c>
      <c r="K2987" t="inlineStr">
        <is>
          <t>https://entrackr.com/snippets/kriswork-raises-3-mn-in-seed-round-led-by-infoedge-ventures-11150272</t>
        </is>
      </c>
    </row>
    <row r="2988">
      <c r="A2988" t="inlineStr">
        <is>
          <t>ENT-11149575</t>
        </is>
      </c>
      <c r="B2988" t="inlineStr">
        <is>
          <t>R260224-oncare</t>
        </is>
      </c>
      <c r="C2988" t="inlineStr">
        <is>
          <t>Entrackr</t>
        </is>
      </c>
      <c r="D2988" s="17" t="n">
        <v>46077</v>
      </c>
      <c r="E2988" t="inlineStr">
        <is>
          <t>Oncare</t>
        </is>
      </c>
      <c r="F2988" t="inlineStr">
        <is>
          <t>Rs 27 crore</t>
        </is>
      </c>
      <c r="G2988" s="19" t="n">
        <v>27</v>
      </c>
      <c r="H2988" s="19" t="n">
        <v>4</v>
      </c>
      <c r="I2988" t="inlineStr">
        <is>
          <t>Series A</t>
        </is>
      </c>
      <c r="J2988" t="inlineStr">
        <is>
          <t>Sky Impact Capital</t>
        </is>
      </c>
      <c r="K2988" t="inlineStr">
        <is>
          <t>https://entrackr.com/snippets/cancer-care-startup-oncare-raises-rs-27-cr-in-series-a-round-11149575</t>
        </is>
      </c>
    </row>
    <row r="2989">
      <c r="A2989" t="inlineStr">
        <is>
          <t>ET-128720443</t>
        </is>
      </c>
      <c r="B2989" t="inlineStr">
        <is>
          <t>R260224-oncare</t>
        </is>
      </c>
      <c r="C2989" t="inlineStr">
        <is>
          <t>The Economic Times</t>
        </is>
      </c>
      <c r="D2989" s="17" t="n">
        <v>46077</v>
      </c>
      <c r="E2989" t="inlineStr">
        <is>
          <t>Oncare</t>
        </is>
      </c>
      <c r="F2989" t="inlineStr">
        <is>
          <t>Rs 27 crore</t>
        </is>
      </c>
      <c r="G2989" s="19" t="n">
        <v>27</v>
      </c>
      <c r="H2989" s="19" t="n"/>
      <c r="I2989" t="inlineStr">
        <is>
          <t>Series A</t>
        </is>
      </c>
      <c r="J2989" t="inlineStr">
        <is>
          <t>Sky Impact Capital</t>
        </is>
      </c>
      <c r="K2989" t="inlineStr">
        <is>
          <t>https://economictimes.indiatimes.com/tech/funding/healthcare-startup-oncare-raises-rs-27-crore-in-round-led-by-sky-impact-capital/articleshow/128720443.cms</t>
        </is>
      </c>
    </row>
    <row r="2990">
      <c r="A2990" t="inlineStr">
        <is>
          <t>ENT-11149795</t>
        </is>
      </c>
      <c r="B2990" t="inlineStr">
        <is>
          <t>R260224-optoml</t>
        </is>
      </c>
      <c r="C2990" t="inlineStr">
        <is>
          <t>Entrackr</t>
        </is>
      </c>
      <c r="D2990" s="17" t="n">
        <v>46077</v>
      </c>
      <c r="E2990" t="inlineStr">
        <is>
          <t>optoML</t>
        </is>
      </c>
      <c r="F2990" t="inlineStr">
        <is>
          <t>$1.8 million</t>
        </is>
      </c>
      <c r="G2990" s="19" t="n"/>
      <c r="H2990" s="19" t="n">
        <v>1.8</v>
      </c>
      <c r="I2990" t="inlineStr">
        <is>
          <t>Pre-Series A</t>
        </is>
      </c>
      <c r="J2990" t="inlineStr">
        <is>
          <t>Bluehill.VC; A99</t>
        </is>
      </c>
      <c r="K2990" t="inlineStr">
        <is>
          <t>https://entrackr.com/snippets/semiconductor-startup-optoml-raises-18-mn-in-pre-series-a-round-11149795</t>
        </is>
      </c>
    </row>
    <row r="2991">
      <c r="A2991" t="inlineStr">
        <is>
          <t>ET-128748689</t>
        </is>
      </c>
      <c r="B2991" t="inlineStr">
        <is>
          <t>R260224-optoml</t>
        </is>
      </c>
      <c r="C2991" t="inlineStr">
        <is>
          <t>The Economic Times</t>
        </is>
      </c>
      <c r="D2991" s="17" t="n">
        <v>46077</v>
      </c>
      <c r="E2991" t="inlineStr">
        <is>
          <t>optoML</t>
        </is>
      </c>
      <c r="F2991" t="inlineStr">
        <is>
          <t>$1.8 million</t>
        </is>
      </c>
      <c r="G2991" s="19" t="n"/>
      <c r="H2991" s="19" t="n">
        <v>1.8</v>
      </c>
      <c r="I2991" t="inlineStr">
        <is>
          <t>Undisclosed</t>
        </is>
      </c>
      <c r="J2991" t="inlineStr">
        <is>
          <t>Bluehill</t>
        </is>
      </c>
      <c r="K2991" t="inlineStr">
        <is>
          <t>https://economictimes.indiatimes.com/tech/funding/chip-startup-optoml-raises-1-8-million-from-bluehill-vc-a99-completes-12-nm-tapeout/articleshow/128748689.cms</t>
        </is>
      </c>
    </row>
    <row r="2992">
      <c r="A2992" t="inlineStr">
        <is>
          <t>ENT-11149626</t>
        </is>
      </c>
      <c r="B2992" t="inlineStr">
        <is>
          <t>R260224-wishlink</t>
        </is>
      </c>
      <c r="C2992" t="inlineStr">
        <is>
          <t>Entrackr</t>
        </is>
      </c>
      <c r="D2992" s="17" t="n">
        <v>46077</v>
      </c>
      <c r="E2992" t="inlineStr">
        <is>
          <t>Wishlink</t>
        </is>
      </c>
      <c r="F2992" t="inlineStr">
        <is>
          <t>$17.5 million</t>
        </is>
      </c>
      <c r="G2992" s="19" t="n"/>
      <c r="H2992" s="19" t="n">
        <v>17.5</v>
      </c>
      <c r="I2992" t="inlineStr">
        <is>
          <t>Series B</t>
        </is>
      </c>
      <c r="J2992" t="inlineStr">
        <is>
          <t>Vertex Ven tures Southeast Asia &amp; India</t>
        </is>
      </c>
      <c r="K2992" t="inlineStr">
        <is>
          <t>https://entrackr.com/news/wishlink-raises-175-mn-in-series-b-round-led-by-vertex-ventures-11149626</t>
        </is>
      </c>
    </row>
    <row r="2993">
      <c r="A2993" t="inlineStr">
        <is>
          <t>ET-128718810</t>
        </is>
      </c>
      <c r="B2993" t="inlineStr">
        <is>
          <t>R260224-wishlink</t>
        </is>
      </c>
      <c r="C2993" t="inlineStr">
        <is>
          <t>The Economic Times</t>
        </is>
      </c>
      <c r="D2993" s="17" t="n">
        <v>46077</v>
      </c>
      <c r="E2993" t="inlineStr">
        <is>
          <t>Wishlink</t>
        </is>
      </c>
      <c r="F2993" t="inlineStr">
        <is>
          <t>$17.5 million</t>
        </is>
      </c>
      <c r="G2993" s="19" t="n"/>
      <c r="H2993" s="19" t="n">
        <v>17.5</v>
      </c>
      <c r="I2993" t="inlineStr">
        <is>
          <t>Undisclosed</t>
        </is>
      </c>
      <c r="J2993" t="inlineStr">
        <is>
          <t>Vertex Ventures Southeast Asia; India</t>
        </is>
      </c>
      <c r="K2993" t="inlineStr">
        <is>
          <t>https://economictimes.indiatimes.com/tech/funding/creator-commerce-startup-wishlink-raises-17-5-million-led-by-vertex-ventures/articleshow/128718810.cms</t>
        </is>
      </c>
    </row>
    <row r="2994">
      <c r="A2994" t="inlineStr">
        <is>
          <t>VCC-a0a8f6b8e6</t>
        </is>
      </c>
      <c r="B2994" t="inlineStr">
        <is>
          <t>R260224-wishlink</t>
        </is>
      </c>
      <c r="C2994" t="inlineStr">
        <is>
          <t>VCCircle</t>
        </is>
      </c>
      <c r="D2994" s="17" t="n">
        <v>46077</v>
      </c>
      <c r="E2994" t="inlineStr">
        <is>
          <t>wishlink</t>
        </is>
      </c>
      <c r="F2994" t="inlineStr">
        <is>
          <t>$ 17.5 million</t>
        </is>
      </c>
      <c r="G2994" s="19" t="n"/>
      <c r="H2994" s="19" t="n">
        <v>17.5</v>
      </c>
      <c r="I2994" t="inlineStr">
        <is>
          <t>Series B</t>
        </is>
      </c>
      <c r="J2994" t="inlineStr"/>
      <c r="K2994" t="inlineStr">
        <is>
          <t>https://www.vccircle.com/vertexventures-leads-17-5-mn-series-b-round-in-wishlink</t>
        </is>
      </c>
    </row>
    <row r="2995">
      <c r="A2995" t="inlineStr">
        <is>
          <t>ENT-11150374</t>
        </is>
      </c>
      <c r="B2995" t="inlineStr">
        <is>
          <t>R260224-xflow</t>
        </is>
      </c>
      <c r="C2995" t="inlineStr">
        <is>
          <t>Entrackr</t>
        </is>
      </c>
      <c r="D2995" s="17" t="n">
        <v>46077</v>
      </c>
      <c r="E2995" t="inlineStr">
        <is>
          <t>Xflow</t>
        </is>
      </c>
      <c r="F2995" t="inlineStr">
        <is>
          <t>$16.6 million</t>
        </is>
      </c>
      <c r="G2995" s="19" t="n"/>
      <c r="H2995" s="19" t="n">
        <v>16.6</v>
      </c>
      <c r="I2995" t="inlineStr">
        <is>
          <t>Series A</t>
        </is>
      </c>
      <c r="J2995" t="inlineStr">
        <is>
          <t>General Catalyst</t>
        </is>
      </c>
      <c r="K2995" t="inlineStr">
        <is>
          <t>https://entrackr.com/news/cross-border-fintech-startup-xflow-raises-166-mn-led-by-general-catalyst-11150374</t>
        </is>
      </c>
    </row>
    <row r="2996">
      <c r="A2996" t="inlineStr">
        <is>
          <t>ET-128742680</t>
        </is>
      </c>
      <c r="B2996" t="inlineStr">
        <is>
          <t>R260224-xflow</t>
        </is>
      </c>
      <c r="C2996" t="inlineStr">
        <is>
          <t>The Economic Times</t>
        </is>
      </c>
      <c r="D2996" s="17" t="n">
        <v>46077</v>
      </c>
      <c r="E2996" t="inlineStr">
        <is>
          <t>Xflow</t>
        </is>
      </c>
      <c r="F2996" t="inlineStr">
        <is>
          <t>$16.6 million</t>
        </is>
      </c>
      <c r="G2996" s="19" t="n"/>
      <c r="H2996" s="19" t="n">
        <v>16.6</v>
      </c>
      <c r="I2996" t="inlineStr">
        <is>
          <t>Undisclosed</t>
        </is>
      </c>
      <c r="J2996" t="inlineStr">
        <is>
          <t>General Catalyst</t>
        </is>
      </c>
      <c r="K2996" t="inlineStr">
        <is>
          <t>https://economictimes.indiatimes.com/tech/funding/xflow-secures-16-6-million-funding-from-paypal-general-catalyst-other-investors/articleshow/128742680.cms</t>
        </is>
      </c>
    </row>
    <row r="2997">
      <c r="A2997" t="inlineStr">
        <is>
          <t>ENT-11150709</t>
        </is>
      </c>
      <c r="B2997" t="inlineStr">
        <is>
          <t>R260224-zeromoblt</t>
        </is>
      </c>
      <c r="C2997" t="inlineStr">
        <is>
          <t>Entrackr</t>
        </is>
      </c>
      <c r="D2997" s="17" t="n">
        <v>46077</v>
      </c>
      <c r="E2997" t="inlineStr">
        <is>
          <t>ZeroMoblt</t>
        </is>
      </c>
      <c r="F2997" t="inlineStr">
        <is>
          <t>Rs 1.5 crore</t>
        </is>
      </c>
      <c r="G2997" s="19" t="n">
        <v>1.5</v>
      </c>
      <c r="H2997" s="19" t="n"/>
      <c r="I2997" t="inlineStr">
        <is>
          <t>Pre-Seed</t>
        </is>
      </c>
      <c r="J2997" t="inlineStr">
        <is>
          <t>Sandeep Varaganti; Ashok Agrawal</t>
        </is>
      </c>
      <c r="K2997" t="inlineStr">
        <is>
          <t>https://entrackr.com/snippets/student-mobility-startup-zeromobit-raises-pre-seed-round-11150709</t>
        </is>
      </c>
    </row>
    <row r="2998">
      <c r="A2998" t="inlineStr">
        <is>
          <t>ENT-11152392</t>
        </is>
      </c>
      <c r="B2998" t="inlineStr">
        <is>
          <t>R260225-armatrix</t>
        </is>
      </c>
      <c r="C2998" t="inlineStr">
        <is>
          <t>Entrackr</t>
        </is>
      </c>
      <c r="D2998" s="17" t="n">
        <v>46078</v>
      </c>
      <c r="E2998" t="inlineStr">
        <is>
          <t>Armatrix</t>
        </is>
      </c>
      <c r="F2998" t="inlineStr">
        <is>
          <t>$2.1 million</t>
        </is>
      </c>
      <c r="G2998" s="19" t="n"/>
      <c r="H2998" s="19" t="n">
        <v>2.1</v>
      </c>
      <c r="I2998" t="inlineStr">
        <is>
          <t>Pre-Seed</t>
        </is>
      </c>
      <c r="J2998" t="inlineStr"/>
      <c r="K2998" t="inlineStr">
        <is>
          <t>https://entrackr.com/snippets/deep-tech-robotics-startup-armatrix-raises-21-mn-led-by-pi-ventures-11152392</t>
        </is>
      </c>
    </row>
    <row r="2999">
      <c r="A2999" t="inlineStr">
        <is>
          <t>ENT-11152846</t>
        </is>
      </c>
      <c r="B2999" t="inlineStr">
        <is>
          <t>R260225-finanjo</t>
        </is>
      </c>
      <c r="C2999" t="inlineStr">
        <is>
          <t>Entrackr</t>
        </is>
      </c>
      <c r="D2999" s="17" t="n">
        <v>46078</v>
      </c>
      <c r="E2999" t="inlineStr">
        <is>
          <t>Finanjo</t>
        </is>
      </c>
      <c r="F2999" t="inlineStr">
        <is>
          <t>Rs 1.5 crore</t>
        </is>
      </c>
      <c r="G2999" s="19" t="n">
        <v>1.5</v>
      </c>
      <c r="H2999" s="19" t="n"/>
      <c r="I2999" t="inlineStr">
        <is>
          <t>Pre-Seed</t>
        </is>
      </c>
      <c r="J2999" t="inlineStr">
        <is>
          <t>Aviral Bhatnagar</t>
        </is>
      </c>
      <c r="K2999" t="inlineStr">
        <is>
          <t>https://entrackr.com/snippets/personal-finance-startup-finanjo-raises-rs-15-cr-pre-seed-funding-led-by-ajvc-11152846</t>
        </is>
      </c>
    </row>
    <row r="3000">
      <c r="A3000" t="inlineStr">
        <is>
          <t>ENT-11153828</t>
        </is>
      </c>
      <c r="B3000" t="inlineStr">
        <is>
          <t>R260225-gutclinic</t>
        </is>
      </c>
      <c r="C3000" t="inlineStr">
        <is>
          <t>Entrackr</t>
        </is>
      </c>
      <c r="D3000" s="17" t="n">
        <v>46078</v>
      </c>
      <c r="E3000" t="inlineStr">
        <is>
          <t>Gut Clinic</t>
        </is>
      </c>
      <c r="F3000" t="inlineStr">
        <is>
          <t>$1 million</t>
        </is>
      </c>
      <c r="G3000" s="19" t="n">
        <v>9</v>
      </c>
      <c r="H3000" s="19" t="n">
        <v>1</v>
      </c>
      <c r="I3000" t="inlineStr">
        <is>
          <t>Seed</t>
        </is>
      </c>
      <c r="J3000" t="inlineStr"/>
      <c r="K3000" t="inlineStr">
        <is>
          <t>https://entrackr.com/snippets/healthcare-platform-gut-clinic-raises-1-mn-in-seed-round-11153828</t>
        </is>
      </c>
    </row>
    <row r="3001">
      <c r="A3001" t="inlineStr">
        <is>
          <t>ENT-11154140</t>
        </is>
      </c>
      <c r="B3001" t="inlineStr">
        <is>
          <t>R260225-homeessentials</t>
        </is>
      </c>
      <c r="C3001" t="inlineStr">
        <is>
          <t>Entrackr</t>
        </is>
      </c>
      <c r="D3001" s="17" t="n">
        <v>46078</v>
      </c>
      <c r="E3001" t="inlineStr">
        <is>
          <t>Home Essentials</t>
        </is>
      </c>
      <c r="F3001" t="inlineStr">
        <is>
          <t>Rs 70 crore</t>
        </is>
      </c>
      <c r="G3001" s="19" t="n">
        <v>70</v>
      </c>
      <c r="H3001" s="19" t="n"/>
      <c r="I3001" t="inlineStr">
        <is>
          <t>Pre-Series B</t>
        </is>
      </c>
      <c r="J3001" t="inlineStr">
        <is>
          <t>360 ONE Asset</t>
        </is>
      </c>
      <c r="K3001" t="inlineStr">
        <is>
          <t>https://entrackr.com/snippets/home-essentials-raises-rs-70-cr-in-pre-series-b-led-by-360-one-asset-11154140</t>
        </is>
      </c>
    </row>
    <row r="3002">
      <c r="A3002" t="inlineStr">
        <is>
          <t>ET-128779606</t>
        </is>
      </c>
      <c r="B3002" t="inlineStr">
        <is>
          <t>R260225-homeessentials</t>
        </is>
      </c>
      <c r="C3002" t="inlineStr">
        <is>
          <t>The Economic Times</t>
        </is>
      </c>
      <c r="D3002" s="17" t="n">
        <v>46078</v>
      </c>
      <c r="E3002" t="inlineStr">
        <is>
          <t>Home Essentials</t>
        </is>
      </c>
      <c r="F3002" t="inlineStr">
        <is>
          <t>$7.6 million</t>
        </is>
      </c>
      <c r="G3002" s="19" t="n"/>
      <c r="H3002" s="19" t="n">
        <v>7.6</v>
      </c>
      <c r="I3002" t="inlineStr">
        <is>
          <t>Undisclosed</t>
        </is>
      </c>
      <c r="J3002" t="inlineStr">
        <is>
          <t>360 ONE Asset</t>
        </is>
      </c>
      <c r="K3002" t="inlineStr">
        <is>
          <t>https://economictimes.indiatimes.com/tech/funding/d2c-brand-home-essentials-raises-7-6-million-in-round-led-by-360-one-asset/articleshow/128779606.cms</t>
        </is>
      </c>
    </row>
    <row r="3003">
      <c r="A3003" t="inlineStr">
        <is>
          <t>ENT-11152811</t>
        </is>
      </c>
      <c r="B3003" t="inlineStr">
        <is>
          <t>R260225-pulse</t>
        </is>
      </c>
      <c r="C3003" t="inlineStr">
        <is>
          <t>Entrackr</t>
        </is>
      </c>
      <c r="D3003" s="17" t="n">
        <v>46078</v>
      </c>
      <c r="E3003" t="inlineStr">
        <is>
          <t>Pulse</t>
        </is>
      </c>
      <c r="F3003" t="inlineStr">
        <is>
          <t>$4 million</t>
        </is>
      </c>
      <c r="G3003" s="19" t="n"/>
      <c r="H3003" s="19" t="n">
        <v>4</v>
      </c>
      <c r="I3003" t="inlineStr">
        <is>
          <t>Seed</t>
        </is>
      </c>
      <c r="J3003" t="inlineStr">
        <is>
          <t>3one4 Capital</t>
        </is>
      </c>
      <c r="K3003" t="inlineStr">
        <is>
          <t>https://entrackr.com/snippets/medical-equipment-startup-pulse-secures-4-mn-led-by-30ne4-capital-11152811</t>
        </is>
      </c>
    </row>
    <row r="3004">
      <c r="A3004" t="inlineStr">
        <is>
          <t>ET-128761279</t>
        </is>
      </c>
      <c r="B3004" t="inlineStr">
        <is>
          <t>R260225-pulse</t>
        </is>
      </c>
      <c r="C3004" t="inlineStr">
        <is>
          <t>The Economic Times</t>
        </is>
      </c>
      <c r="D3004" s="17" t="n">
        <v>46078</v>
      </c>
      <c r="E3004" t="inlineStr">
        <is>
          <t>Pulse</t>
        </is>
      </c>
      <c r="F3004" t="inlineStr">
        <is>
          <t>$4 million</t>
        </is>
      </c>
      <c r="G3004" s="19" t="n"/>
      <c r="H3004" s="19" t="n">
        <v>4</v>
      </c>
      <c r="I3004" t="inlineStr">
        <is>
          <t>Undisclosed</t>
        </is>
      </c>
      <c r="J3004" t="inlineStr">
        <is>
          <t>3one4 Capital</t>
        </is>
      </c>
      <c r="K3004" t="inlineStr">
        <is>
          <t>https://economictimes.indiatimes.com/tech/funding/medical-equipment-startup-pulse-raises-4-million-funding-led-by-3one4-capital/articleshow/128761279.cms</t>
        </is>
      </c>
    </row>
    <row r="3005">
      <c r="A3005" t="inlineStr">
        <is>
          <t>ENT-11152721</t>
        </is>
      </c>
      <c r="B3005" t="inlineStr">
        <is>
          <t>R260225-s2dev</t>
        </is>
      </c>
      <c r="C3005" t="inlineStr">
        <is>
          <t>Entrackr</t>
        </is>
      </c>
      <c r="D3005" s="17" t="n">
        <v>46078</v>
      </c>
      <c r="E3005" t="inlineStr">
        <is>
          <t>S2.dev</t>
        </is>
      </c>
      <c r="F3005" t="inlineStr">
        <is>
          <t>$3.85 million</t>
        </is>
      </c>
      <c r="G3005" s="19" t="n"/>
      <c r="H3005" s="19" t="n">
        <v>3.85</v>
      </c>
      <c r="I3005" t="inlineStr">
        <is>
          <t>Undisclosed</t>
        </is>
      </c>
      <c r="J3005" t="inlineStr">
        <is>
          <t>Accel</t>
        </is>
      </c>
      <c r="K3005" t="inlineStr">
        <is>
          <t>https://entrackr.com/snippets/data-infrastructure-startup-s2dev-raises-385-mn-led-by-accel-11152721</t>
        </is>
      </c>
    </row>
    <row r="3006">
      <c r="A3006" t="inlineStr">
        <is>
          <t>ENT-11154738</t>
        </is>
      </c>
      <c r="B3006" t="inlineStr">
        <is>
          <t>R260225-tattvamai</t>
        </is>
      </c>
      <c r="C3006" t="inlineStr">
        <is>
          <t>Entrackr</t>
        </is>
      </c>
      <c r="D3006" s="17" t="n">
        <v>46078</v>
      </c>
      <c r="E3006" t="inlineStr">
        <is>
          <t>Tattvam AI</t>
        </is>
      </c>
      <c r="F3006" t="inlineStr">
        <is>
          <t>$1.7 million</t>
        </is>
      </c>
      <c r="G3006" s="19" t="n"/>
      <c r="H3006" s="19" t="n">
        <v>1.7</v>
      </c>
      <c r="I3006" t="inlineStr">
        <is>
          <t>Pre-Seed</t>
        </is>
      </c>
      <c r="J3006" t="inlineStr">
        <is>
          <t>Seedcamp</t>
        </is>
      </c>
      <c r="K3006" t="inlineStr">
        <is>
          <t>https://entrackr.com/snippets/tattvam-ai-secures-17-mn-in-pre-seed-round-led-by-seedcamp-11154738</t>
        </is>
      </c>
    </row>
    <row r="3007">
      <c r="A3007" t="inlineStr">
        <is>
          <t>ENT-11155346</t>
        </is>
      </c>
      <c r="B3007" t="inlineStr">
        <is>
          <t>R260225-wootzwork</t>
        </is>
      </c>
      <c r="C3007" t="inlineStr">
        <is>
          <t>Entrackr</t>
        </is>
      </c>
      <c r="D3007" s="17" t="n">
        <v>46078</v>
      </c>
      <c r="E3007" t="inlineStr">
        <is>
          <t>Wootz.work</t>
        </is>
      </c>
      <c r="F3007" t="inlineStr">
        <is>
          <t>$6.6 million</t>
        </is>
      </c>
      <c r="G3007" s="19" t="n"/>
      <c r="H3007" s="19" t="n">
        <v>6.6</v>
      </c>
      <c r="I3007" t="inlineStr">
        <is>
          <t>Series A</t>
        </is>
      </c>
      <c r="J3007" t="inlineStr">
        <is>
          <t>Z47</t>
        </is>
      </c>
      <c r="K3007" t="inlineStr">
        <is>
          <t>https://entrackr.com/snippets/wootzwork-raises-66-mn-in-series-a-round-led-by-z47-11155346</t>
        </is>
      </c>
    </row>
    <row r="3008">
      <c r="A3008" t="inlineStr">
        <is>
          <t>ET-128784024</t>
        </is>
      </c>
      <c r="B3008" t="inlineStr">
        <is>
          <t>R260225-wootzwork</t>
        </is>
      </c>
      <c r="C3008" t="inlineStr">
        <is>
          <t>The Economic Times</t>
        </is>
      </c>
      <c r="D3008" s="17" t="n">
        <v>46078</v>
      </c>
      <c r="E3008" t="inlineStr">
        <is>
          <t>Wootzwork</t>
        </is>
      </c>
      <c r="F3008" t="inlineStr">
        <is>
          <t>$6.6 million</t>
        </is>
      </c>
      <c r="G3008" s="19" t="n"/>
      <c r="H3008" s="19" t="n">
        <v>6.6</v>
      </c>
      <c r="I3008" t="inlineStr">
        <is>
          <t>Undisclosed</t>
        </is>
      </c>
      <c r="J3008" t="inlineStr">
        <is>
          <t>Z47</t>
        </is>
      </c>
      <c r="K3008" t="inlineStr">
        <is>
          <t>https://economictimes.indiatimes.com/tech/startups/industrial-manufacturing-solutions-firm-wootzwork-raises-6-6-million-in-round-led-by-z47/articleshow/128784024.cms</t>
        </is>
      </c>
    </row>
    <row r="3009">
      <c r="A3009" t="inlineStr">
        <is>
          <t>ENT-11154967</t>
        </is>
      </c>
      <c r="B3009" t="inlineStr">
        <is>
          <t>R260225-zeroharmscienc</t>
        </is>
      </c>
      <c r="C3009" t="inlineStr">
        <is>
          <t>Entrackr</t>
        </is>
      </c>
      <c r="D3009" s="17" t="n">
        <v>46078</v>
      </c>
      <c r="E3009" t="inlineStr">
        <is>
          <t>ZeroHarm Sciences</t>
        </is>
      </c>
      <c r="F3009" t="inlineStr">
        <is>
          <t>Rs 65 crore</t>
        </is>
      </c>
      <c r="G3009" s="19" t="n">
        <v>65</v>
      </c>
      <c r="H3009" s="19" t="n">
        <v>7.15</v>
      </c>
      <c r="I3009" t="inlineStr">
        <is>
          <t>Series A</t>
        </is>
      </c>
      <c r="J3009" t="inlineStr"/>
      <c r="K3009" t="inlineStr">
        <is>
          <t>https://entrackr.com/snippets/zeroharm-sciences-raises-rs-65-cr-in-series-a-round-11154967</t>
        </is>
      </c>
    </row>
    <row r="3010">
      <c r="A3010" t="inlineStr">
        <is>
          <t>ENT-11157241</t>
        </is>
      </c>
      <c r="B3010" t="inlineStr">
        <is>
          <t>R260226-companionlabs</t>
        </is>
      </c>
      <c r="C3010" t="inlineStr">
        <is>
          <t>Entrackr</t>
        </is>
      </c>
      <c r="D3010" s="17" t="n">
        <v>46079</v>
      </c>
      <c r="E3010" t="inlineStr">
        <is>
          <t>Companion Labs</t>
        </is>
      </c>
      <c r="F3010" t="inlineStr">
        <is>
          <t>$2.5 million</t>
        </is>
      </c>
      <c r="G3010" s="19" t="n"/>
      <c r="H3010" s="19" t="n">
        <v>2.5</v>
      </c>
      <c r="I3010" t="inlineStr">
        <is>
          <t>Seed</t>
        </is>
      </c>
      <c r="J3010" t="inlineStr">
        <is>
          <t>Surge; UntitledVC; DeVC</t>
        </is>
      </c>
      <c r="K3010" t="inlineStr">
        <is>
          <t>https://entrackr.com/snippets/peak-xv-leads-25-mn-round-in-companion-labs-11157241</t>
        </is>
      </c>
    </row>
    <row r="3011">
      <c r="A3011" t="inlineStr">
        <is>
          <t>ET-128811722</t>
        </is>
      </c>
      <c r="B3011" t="inlineStr">
        <is>
          <t>R260226-companionlabs</t>
        </is>
      </c>
      <c r="C3011" t="inlineStr">
        <is>
          <t>The Economic Times</t>
        </is>
      </c>
      <c r="D3011" s="17" t="n">
        <v>46079</v>
      </c>
      <c r="E3011" t="inlineStr">
        <is>
          <t>Companion Labs</t>
        </is>
      </c>
      <c r="F3011" t="inlineStr">
        <is>
          <t>$2.5 million</t>
        </is>
      </c>
      <c r="G3011" s="19" t="n"/>
      <c r="H3011" s="19" t="n">
        <v>2.5</v>
      </c>
      <c r="I3011" t="inlineStr">
        <is>
          <t>Undisclosed</t>
        </is>
      </c>
      <c r="J3011" t="inlineStr">
        <is>
          <t>Peak XV Partners’ early-stage accelerator programme; Surge</t>
        </is>
      </c>
      <c r="K3011" t="inlineStr">
        <is>
          <t>https://economictimes.indiatimes.com/tech/funding/companion-labs-raises-2-5-million-led-by-peak-xvs-surge-programme/articleshow/128811722.cms</t>
        </is>
      </c>
    </row>
    <row r="3012">
      <c r="A3012" t="inlineStr">
        <is>
          <t>ENT-11158185</t>
        </is>
      </c>
      <c r="B3012" t="inlineStr">
        <is>
          <t>R260226-freed</t>
        </is>
      </c>
      <c r="C3012" t="inlineStr">
        <is>
          <t>Entrackr</t>
        </is>
      </c>
      <c r="D3012" s="17" t="n">
        <v>46079</v>
      </c>
      <c r="E3012" t="inlineStr">
        <is>
          <t>FREED</t>
        </is>
      </c>
      <c r="F3012" t="inlineStr">
        <is>
          <t>Rs 60 crore</t>
        </is>
      </c>
      <c r="G3012" s="19" t="n">
        <v>60</v>
      </c>
      <c r="H3012" s="19" t="n">
        <v>6.5</v>
      </c>
      <c r="I3012" t="inlineStr">
        <is>
          <t>Debt</t>
        </is>
      </c>
      <c r="J3012" t="inlineStr">
        <is>
          <t>Aavishkaar Capital</t>
        </is>
      </c>
      <c r="K3012" t="inlineStr">
        <is>
          <t>https://entrackr.com/snippets/aavishkaar-capital-leads-rs-60-cr-round-in-debt-relief-platform-freed-11158185</t>
        </is>
      </c>
    </row>
    <row r="3013">
      <c r="A3013" t="inlineStr">
        <is>
          <t>ET-128794190</t>
        </is>
      </c>
      <c r="B3013" t="inlineStr">
        <is>
          <t>R260226-freed</t>
        </is>
      </c>
      <c r="C3013" t="inlineStr">
        <is>
          <t>The Economic Times</t>
        </is>
      </c>
      <c r="D3013" s="17" t="n">
        <v>46079</v>
      </c>
      <c r="E3013" t="inlineStr">
        <is>
          <t>Freed</t>
        </is>
      </c>
      <c r="F3013" t="inlineStr">
        <is>
          <t>$6.6 million</t>
        </is>
      </c>
      <c r="G3013" s="19" t="n">
        <v>60</v>
      </c>
      <c r="H3013" s="19" t="n">
        <v>6.6</v>
      </c>
      <c r="I3013" t="inlineStr">
        <is>
          <t>Debt</t>
        </is>
      </c>
      <c r="J3013" t="inlineStr">
        <is>
          <t>Aavishkaar Capital</t>
        </is>
      </c>
      <c r="K3013" t="inlineStr">
        <is>
          <t>https://economictimes.indiatimes.com/tech/funding/debt-restructuring-platform-freed-raises-6-6-million-in-round-led-by-aavishkaar-capital/articleshow/128794190.cms</t>
        </is>
      </c>
    </row>
    <row r="3014">
      <c r="A3014" t="inlineStr">
        <is>
          <t>ENT-11157636</t>
        </is>
      </c>
      <c r="B3014" t="inlineStr">
        <is>
          <t>R260226-gushwork</t>
        </is>
      </c>
      <c r="C3014" t="inlineStr">
        <is>
          <t>Entrackr</t>
        </is>
      </c>
      <c r="D3014" s="17" t="n">
        <v>46079</v>
      </c>
      <c r="E3014" t="inlineStr">
        <is>
          <t>Gushwork</t>
        </is>
      </c>
      <c r="F3014" t="inlineStr">
        <is>
          <t>$9 million</t>
        </is>
      </c>
      <c r="G3014" s="19" t="n"/>
      <c r="H3014" s="19" t="n">
        <v>9</v>
      </c>
      <c r="I3014" t="inlineStr">
        <is>
          <t>Undisclosed</t>
        </is>
      </c>
      <c r="J3014" t="inlineStr">
        <is>
          <t>Susquehanna Asia VC; B Capital; Seaborne Capital; Beenext; Sparrow Capital; 2.2 Capital</t>
        </is>
      </c>
      <c r="K3014" t="inlineStr">
        <is>
          <t>https://entrackr.com/snippets/gushwork-secures-9-mn-led-by-susquehanna-asia-vc-11157636</t>
        </is>
      </c>
    </row>
    <row r="3015">
      <c r="A3015" t="inlineStr">
        <is>
          <t>ET-128794026</t>
        </is>
      </c>
      <c r="B3015" t="inlineStr">
        <is>
          <t>R260226-gushwork</t>
        </is>
      </c>
      <c r="C3015" t="inlineStr">
        <is>
          <t>The Economic Times</t>
        </is>
      </c>
      <c r="D3015" s="17" t="n">
        <v>46079</v>
      </c>
      <c r="E3015" t="inlineStr">
        <is>
          <t>Gushwork AI</t>
        </is>
      </c>
      <c r="F3015" t="inlineStr">
        <is>
          <t>$9 million</t>
        </is>
      </c>
      <c r="G3015" s="19" t="n"/>
      <c r="H3015" s="19" t="n">
        <v>9</v>
      </c>
      <c r="I3015" t="inlineStr">
        <is>
          <t>Undisclosed</t>
        </is>
      </c>
      <c r="J3015" t="inlineStr">
        <is>
          <t>Susquehanna Asia VC</t>
        </is>
      </c>
      <c r="K3015" t="inlineStr">
        <is>
          <t>https://economictimes.indiatimes.com/tech/funding/ai-marketing-startup-gushwork-ai-raises-9-million-from-susquehanna-asia-vc/articleshow/128794026.cms</t>
        </is>
      </c>
    </row>
    <row r="3016">
      <c r="A3016" t="inlineStr">
        <is>
          <t>ENT-11156849</t>
        </is>
      </c>
      <c r="B3016" t="inlineStr">
        <is>
          <t>R260226-meltplan</t>
        </is>
      </c>
      <c r="C3016" t="inlineStr">
        <is>
          <t>Entrackr</t>
        </is>
      </c>
      <c r="D3016" s="17" t="n">
        <v>46079</v>
      </c>
      <c r="E3016" t="inlineStr">
        <is>
          <t>MeltPlan</t>
        </is>
      </c>
      <c r="F3016" t="inlineStr">
        <is>
          <t>$10 million</t>
        </is>
      </c>
      <c r="G3016" s="19" t="n"/>
      <c r="H3016" s="19" t="n">
        <v>10</v>
      </c>
      <c r="I3016" t="inlineStr">
        <is>
          <t>Seed</t>
        </is>
      </c>
      <c r="J3016" t="inlineStr">
        <is>
          <t>Bessemer Venture Partners</t>
        </is>
      </c>
      <c r="K3016" t="inlineStr">
        <is>
          <t>https://entrackr.com/news/meltplan-raises-10-mn-in-seed-round-led-by-bessemer-11156849</t>
        </is>
      </c>
    </row>
    <row r="3017">
      <c r="A3017" t="inlineStr">
        <is>
          <t>ET-128793777</t>
        </is>
      </c>
      <c r="B3017" t="inlineStr">
        <is>
          <t>R260226-meltplan</t>
        </is>
      </c>
      <c r="C3017" t="inlineStr">
        <is>
          <t>The Economic Times</t>
        </is>
      </c>
      <c r="D3017" s="17" t="n">
        <v>46079</v>
      </c>
      <c r="E3017" t="inlineStr">
        <is>
          <t>MeltPlan</t>
        </is>
      </c>
      <c r="F3017" t="inlineStr">
        <is>
          <t>$10 million</t>
        </is>
      </c>
      <c r="G3017" s="19" t="n"/>
      <c r="H3017" s="19" t="n">
        <v>10</v>
      </c>
      <c r="I3017" t="inlineStr">
        <is>
          <t>Undisclosed</t>
        </is>
      </c>
      <c r="J3017" t="inlineStr">
        <is>
          <t>Bessemer Venture Partners</t>
        </is>
      </c>
      <c r="K3017" t="inlineStr">
        <is>
          <t>https://economictimes.indiatimes.com/tech/funding/construction-tech-startup-meltplan-raises-10-million-in-round-led-by-bessemer-venture-partners/articleshow/128793777.cms</t>
        </is>
      </c>
    </row>
    <row r="3018">
      <c r="A3018" t="inlineStr">
        <is>
          <t>ENT-11157460</t>
        </is>
      </c>
      <c r="B3018" t="inlineStr">
        <is>
          <t>R260226-nailinit</t>
        </is>
      </c>
      <c r="C3018" t="inlineStr">
        <is>
          <t>Entrackr</t>
        </is>
      </c>
      <c r="D3018" s="17" t="n">
        <v>46079</v>
      </c>
      <c r="E3018" t="inlineStr">
        <is>
          <t>Nailinit</t>
        </is>
      </c>
      <c r="F3018" t="inlineStr"/>
      <c r="G3018" s="19" t="n"/>
      <c r="H3018" s="19" t="n"/>
      <c r="I3018" t="inlineStr">
        <is>
          <t>Pre-Seed</t>
        </is>
      </c>
      <c r="J3018" t="inlineStr">
        <is>
          <t>Gruhas Collective Consumer Fund</t>
        </is>
      </c>
      <c r="K3018" t="inlineStr">
        <is>
          <t>https://entrackr.com/snippets/nail-care-brand-nailinit-raises-pre-seed-round-11157460</t>
        </is>
      </c>
    </row>
    <row r="3019">
      <c r="A3019" t="inlineStr">
        <is>
          <t>ENT-11157849</t>
        </is>
      </c>
      <c r="B3019" t="inlineStr">
        <is>
          <t>R260226-prayaancapital</t>
        </is>
      </c>
      <c r="C3019" t="inlineStr">
        <is>
          <t>Entrackr</t>
        </is>
      </c>
      <c r="D3019" s="17" t="n">
        <v>46079</v>
      </c>
      <c r="E3019" t="inlineStr">
        <is>
          <t>Prayaan Capital</t>
        </is>
      </c>
      <c r="F3019" t="inlineStr">
        <is>
          <t>Rs 110 crore</t>
        </is>
      </c>
      <c r="G3019" s="19" t="n">
        <v>110</v>
      </c>
      <c r="H3019" s="19" t="n"/>
      <c r="I3019" t="inlineStr">
        <is>
          <t>Series A</t>
        </is>
      </c>
      <c r="J3019" t="inlineStr">
        <is>
          <t>Rangarajan Krishnan; Peak XV Partners</t>
        </is>
      </c>
      <c r="K3019" t="inlineStr">
        <is>
          <t>https://entrackr.com/snippets/prayaan-capital-raises-rs-110-cr-in-series-a-round-led-by-peak-xv-11157849</t>
        </is>
      </c>
    </row>
    <row r="3020">
      <c r="A3020" t="inlineStr">
        <is>
          <t>ET-128811261</t>
        </is>
      </c>
      <c r="B3020" t="inlineStr">
        <is>
          <t>R260226-prayaancapital</t>
        </is>
      </c>
      <c r="C3020" t="inlineStr">
        <is>
          <t>The Economic Times</t>
        </is>
      </c>
      <c r="D3020" s="17" t="n">
        <v>46079</v>
      </c>
      <c r="E3020" t="inlineStr">
        <is>
          <t>Prayaan Capital</t>
        </is>
      </c>
      <c r="F3020" t="inlineStr">
        <is>
          <t>Rs 110 crore</t>
        </is>
      </c>
      <c r="G3020" s="19" t="n">
        <v>110</v>
      </c>
      <c r="H3020" s="19" t="n"/>
      <c r="I3020" t="inlineStr">
        <is>
          <t>Undisclosed</t>
        </is>
      </c>
      <c r="J3020" t="inlineStr">
        <is>
          <t>Peak XV Partners</t>
        </is>
      </c>
      <c r="K3020" t="inlineStr">
        <is>
          <t>https://economictimes.indiatimes.com/tech/funding/lending-firm-prayaan-capital-raises-rs-110-crore-from-peak-xv-partners/articleshow/128811261.cms</t>
        </is>
      </c>
    </row>
    <row r="3021">
      <c r="A3021" t="inlineStr">
        <is>
          <t>ENT-11157125</t>
        </is>
      </c>
      <c r="B3021" t="inlineStr">
        <is>
          <t>R260226-reneonix</t>
        </is>
      </c>
      <c r="C3021" t="inlineStr">
        <is>
          <t>Entrackr</t>
        </is>
      </c>
      <c r="D3021" s="17" t="n">
        <v>46079</v>
      </c>
      <c r="E3021" t="inlineStr">
        <is>
          <t>Reneonix</t>
        </is>
      </c>
      <c r="F3021" t="inlineStr">
        <is>
          <t>Rs 1.7 crore</t>
        </is>
      </c>
      <c r="G3021" s="19" t="n">
        <v>1.7</v>
      </c>
      <c r="H3021" s="19" t="n"/>
      <c r="I3021" t="inlineStr">
        <is>
          <t>Pre-Seed</t>
        </is>
      </c>
      <c r="J3021" t="inlineStr">
        <is>
          <t>Inflection Point Ventures</t>
        </is>
      </c>
      <c r="K3021" t="inlineStr">
        <is>
          <t>https://entrackr.com/snippets/reneonix-raises-rs-17-cr-in-pre-seed-round-led-by-ipv-11157125</t>
        </is>
      </c>
    </row>
    <row r="3022">
      <c r="A3022" t="inlineStr">
        <is>
          <t>ET-128801949</t>
        </is>
      </c>
      <c r="B3022" t="inlineStr">
        <is>
          <t>R260226-spintly</t>
        </is>
      </c>
      <c r="C3022" t="inlineStr">
        <is>
          <t>The Economic Times</t>
        </is>
      </c>
      <c r="D3022" s="17" t="n">
        <v>46079</v>
      </c>
      <c r="E3022" t="inlineStr">
        <is>
          <t>Spintly</t>
        </is>
      </c>
      <c r="F3022" t="inlineStr">
        <is>
          <t>$8 million</t>
        </is>
      </c>
      <c r="G3022" s="19" t="n"/>
      <c r="H3022" s="19" t="n">
        <v>8</v>
      </c>
      <c r="I3022" t="inlineStr">
        <is>
          <t>Undisclosed</t>
        </is>
      </c>
      <c r="J3022" t="inlineStr">
        <is>
          <t>Accel</t>
        </is>
      </c>
      <c r="K3022" t="inlineStr">
        <is>
          <t>https://economictimes.indiatimes.com/tech/funding/iot-based-security-startup-spintly-raises-8-million-from-accel-enrission-india-others/articleshow/128801949.cms</t>
        </is>
      </c>
    </row>
    <row r="3023">
      <c r="A3023" t="inlineStr">
        <is>
          <t>ENT-11160379</t>
        </is>
      </c>
      <c r="B3023" t="inlineStr">
        <is>
          <t>R260226-spintly</t>
        </is>
      </c>
      <c r="C3023" t="inlineStr">
        <is>
          <t>Entrackr</t>
        </is>
      </c>
      <c r="D3023" s="17" t="n">
        <v>46080</v>
      </c>
      <c r="E3023" t="inlineStr">
        <is>
          <t>Spintly</t>
        </is>
      </c>
      <c r="F3023" t="inlineStr">
        <is>
          <t>$8 million</t>
        </is>
      </c>
      <c r="G3023" s="19" t="n"/>
      <c r="H3023" s="19" t="n">
        <v>8</v>
      </c>
      <c r="I3023" t="inlineStr">
        <is>
          <t>Series A</t>
        </is>
      </c>
      <c r="J3023" t="inlineStr">
        <is>
          <t>Accel</t>
        </is>
      </c>
      <c r="K3023" t="inlineStr">
        <is>
          <t>https://entrackr.com/snippets/spintly-raises-8-mn-from-accel-enrission-india-and-others-11160379</t>
        </is>
      </c>
    </row>
    <row r="3024">
      <c r="A3024" t="inlineStr">
        <is>
          <t>ENT-11159941</t>
        </is>
      </c>
      <c r="B3024" t="inlineStr">
        <is>
          <t>R260227-constelli</t>
        </is>
      </c>
      <c r="C3024" t="inlineStr">
        <is>
          <t>Entrackr</t>
        </is>
      </c>
      <c r="D3024" s="17" t="n">
        <v>46080</v>
      </c>
      <c r="E3024" t="inlineStr">
        <is>
          <t>Constelli</t>
        </is>
      </c>
      <c r="F3024" t="inlineStr">
        <is>
          <t>$20 million</t>
        </is>
      </c>
      <c r="G3024" s="19" t="n">
        <v>180</v>
      </c>
      <c r="H3024" s="19" t="n">
        <v>20</v>
      </c>
      <c r="I3024" t="inlineStr">
        <is>
          <t>Undisclosed</t>
        </is>
      </c>
      <c r="J3024" t="inlineStr">
        <is>
          <t>General Catalyst; Pravega Ventures</t>
        </is>
      </c>
      <c r="K3024" t="inlineStr">
        <is>
          <t>https://entrackr.com/news/defence-tech-startup-constelli-raises-20-mn-led-by-general-catalyst-11159941</t>
        </is>
      </c>
    </row>
    <row r="3025">
      <c r="A3025" t="inlineStr">
        <is>
          <t>ET-128825815</t>
        </is>
      </c>
      <c r="B3025" t="inlineStr">
        <is>
          <t>R260227-constelli</t>
        </is>
      </c>
      <c r="C3025" t="inlineStr">
        <is>
          <t>The Economic Times</t>
        </is>
      </c>
      <c r="D3025" s="17" t="n">
        <v>46080</v>
      </c>
      <c r="E3025" t="inlineStr">
        <is>
          <t>Constelli</t>
        </is>
      </c>
      <c r="F3025" t="inlineStr">
        <is>
          <t>$20 million</t>
        </is>
      </c>
      <c r="G3025" s="19" t="n"/>
      <c r="H3025" s="19" t="n">
        <v>20</v>
      </c>
      <c r="I3025" t="inlineStr">
        <is>
          <t>Undisclosed</t>
        </is>
      </c>
      <c r="J3025" t="inlineStr">
        <is>
          <t>General Catalyst</t>
        </is>
      </c>
      <c r="K3025" t="inlineStr">
        <is>
          <t>https://economictimes.indiatimes.com/tech/funding/defence-tech-constelli-bags-20-million-from-general-catalyst-others/articleshow/128825815.cms</t>
        </is>
      </c>
    </row>
    <row r="3026">
      <c r="A3026" t="inlineStr">
        <is>
          <t>ENT-11160381</t>
        </is>
      </c>
      <c r="B3026" t="inlineStr">
        <is>
          <t>R260227-origa</t>
        </is>
      </c>
      <c r="C3026" t="inlineStr">
        <is>
          <t>Entrackr</t>
        </is>
      </c>
      <c r="D3026" s="17" t="n">
        <v>46080</v>
      </c>
      <c r="E3026" t="inlineStr">
        <is>
          <t>Origa</t>
        </is>
      </c>
      <c r="F3026" t="inlineStr">
        <is>
          <t>$450,000</t>
        </is>
      </c>
      <c r="G3026" s="19" t="n"/>
      <c r="H3026" s="19" t="n">
        <v>0.45</v>
      </c>
      <c r="I3026" t="inlineStr">
        <is>
          <t>Undisclosed</t>
        </is>
      </c>
      <c r="J3026" t="inlineStr">
        <is>
          <t>Antler Singapore</t>
        </is>
      </c>
      <c r="K3026" t="inlineStr">
        <is>
          <t>https://entrackr.com/snippets/voice-ai-startup-origa-raises-450k-led-by-antler-singapore-11160381</t>
        </is>
      </c>
    </row>
    <row r="3027">
      <c r="A3027" t="inlineStr">
        <is>
          <t>ENT-11161849</t>
        </is>
      </c>
      <c r="B3027" t="inlineStr">
        <is>
          <t>R260227-temple</t>
        </is>
      </c>
      <c r="C3027" t="inlineStr">
        <is>
          <t>Entrackr</t>
        </is>
      </c>
      <c r="D3027" s="17" t="n">
        <v>46080</v>
      </c>
      <c r="E3027" t="inlineStr">
        <is>
          <t>Temple</t>
        </is>
      </c>
      <c r="F3027" t="inlineStr">
        <is>
          <t>$54 million</t>
        </is>
      </c>
      <c r="G3027" s="19" t="n"/>
      <c r="H3027" s="19" t="n">
        <v>54</v>
      </c>
      <c r="I3027" t="inlineStr">
        <is>
          <t>Undisclosed</t>
        </is>
      </c>
      <c r="J3027" t="inlineStr"/>
      <c r="K3027" t="inlineStr">
        <is>
          <t>https://entrackr.com/news/deepinder-goyals-new-startup-temple-raises-54-mn-at-a-190-mn-valuation-11161849</t>
        </is>
      </c>
    </row>
    <row r="3028">
      <c r="A3028" t="inlineStr">
        <is>
          <t>ET-128852025</t>
        </is>
      </c>
      <c r="B3028" t="inlineStr">
        <is>
          <t>R260227-temple</t>
        </is>
      </c>
      <c r="C3028" t="inlineStr">
        <is>
          <t>The Economic Times</t>
        </is>
      </c>
      <c r="D3028" s="17" t="n">
        <v>46080</v>
      </c>
      <c r="E3028" t="inlineStr">
        <is>
          <t>Temple</t>
        </is>
      </c>
      <c r="F3028" t="inlineStr">
        <is>
          <t>$54 million</t>
        </is>
      </c>
      <c r="G3028" s="19" t="n">
        <v>493</v>
      </c>
      <c r="H3028" s="19" t="n">
        <v>54</v>
      </c>
      <c r="I3028" t="inlineStr">
        <is>
          <t>Seed</t>
        </is>
      </c>
      <c r="J3028" t="inlineStr"/>
      <c r="K3028" t="inlineStr">
        <is>
          <t>https://economictimes.indiatimes.com/tech/funding/deepinder-goyals-wearable-startup-temple-raises-54-million-from-steadview-peak-xv-others/articleshow/128852025.cms</t>
        </is>
      </c>
    </row>
    <row r="3029">
      <c r="A3029" t="inlineStr">
        <is>
          <t>INC-20260307-03</t>
        </is>
      </c>
      <c r="B3029" t="inlineStr">
        <is>
          <t>R260228-innoviti</t>
        </is>
      </c>
      <c r="C3029" t="inlineStr">
        <is>
          <t>Inc42</t>
        </is>
      </c>
      <c r="D3029" s="17" t="n">
        <v>46081</v>
      </c>
      <c r="E3029" t="inlineStr">
        <is>
          <t>Innoviti</t>
        </is>
      </c>
      <c r="F3029" t="inlineStr">
        <is>
          <t>$11.4 Mn</t>
        </is>
      </c>
      <c r="G3029" s="19" t="n"/>
      <c r="H3029" s="19" t="n">
        <v>11.4</v>
      </c>
      <c r="I3029" t="inlineStr">
        <is>
          <t>Undisclosed</t>
        </is>
      </c>
      <c r="J3029" t="inlineStr"/>
      <c r="K3029" t="inlineStr">
        <is>
          <t>https://inc42.com/buzz/from-rozana-to-cent-indian-startups-raised-98-mn-this-week/</t>
        </is>
      </c>
    </row>
    <row r="3030">
      <c r="A3030" t="inlineStr">
        <is>
          <t>ET-128942453</t>
        </is>
      </c>
      <c r="B3030" t="inlineStr">
        <is>
          <t>R260302-bounce</t>
        </is>
      </c>
      <c r="C3030" t="inlineStr">
        <is>
          <t>The Economic Times</t>
        </is>
      </c>
      <c r="D3030" s="17" t="n">
        <v>46083</v>
      </c>
      <c r="E3030" t="inlineStr">
        <is>
          <t>Bounce</t>
        </is>
      </c>
      <c r="F3030" t="inlineStr">
        <is>
          <t>$5 million</t>
        </is>
      </c>
      <c r="G3030" s="19" t="n"/>
      <c r="H3030" s="19" t="n">
        <v>5</v>
      </c>
      <c r="I3030" t="inlineStr">
        <is>
          <t>Undisclosed</t>
        </is>
      </c>
      <c r="J3030" t="inlineStr"/>
      <c r="K3030" t="inlineStr">
        <is>
          <t>https://economictimes.indiatimes.com/tech/funding/ev-startup-bounce-raises-5-million-from-accel-b-capital-qualcomm/articleshow/128942453.cms</t>
        </is>
      </c>
    </row>
    <row r="3031">
      <c r="A3031" t="inlineStr">
        <is>
          <t>INC-20260307-08</t>
        </is>
      </c>
      <c r="B3031" t="inlineStr">
        <is>
          <t>R260302-bounce</t>
        </is>
      </c>
      <c r="C3031" t="inlineStr">
        <is>
          <t>Inc42</t>
        </is>
      </c>
      <c r="D3031" s="17" t="n">
        <v>46083</v>
      </c>
      <c r="E3031" t="inlineStr">
        <is>
          <t>Bounce</t>
        </is>
      </c>
      <c r="F3031" t="inlineStr">
        <is>
          <t>$3.9 Mn</t>
        </is>
      </c>
      <c r="G3031" s="19" t="n"/>
      <c r="H3031" s="19" t="n">
        <v>3.9</v>
      </c>
      <c r="I3031" t="inlineStr">
        <is>
          <t>Series F</t>
        </is>
      </c>
      <c r="J3031" t="inlineStr">
        <is>
          <t>Accel; B Capital</t>
        </is>
      </c>
      <c r="K3031" t="inlineStr">
        <is>
          <t>https://inc42.com/buzz/from-rozana-to-cent-indian-startups-raised-98-mn-this-week/</t>
        </is>
      </c>
    </row>
    <row r="3032">
      <c r="A3032" t="inlineStr">
        <is>
          <t>ENT-11167854</t>
        </is>
      </c>
      <c r="B3032" t="inlineStr">
        <is>
          <t>R260302-inamo</t>
        </is>
      </c>
      <c r="C3032" t="inlineStr">
        <is>
          <t>Entrackr</t>
        </is>
      </c>
      <c r="D3032" s="17" t="n">
        <v>46083</v>
      </c>
      <c r="E3032" t="inlineStr">
        <is>
          <t>Inamo</t>
        </is>
      </c>
      <c r="F3032" t="inlineStr">
        <is>
          <t>$8 million</t>
        </is>
      </c>
      <c r="G3032" s="19" t="n"/>
      <c r="H3032" s="19" t="n">
        <v>8</v>
      </c>
      <c r="I3032" t="inlineStr">
        <is>
          <t>Undisclosed</t>
        </is>
      </c>
      <c r="J3032" t="inlineStr">
        <is>
          <t>Prime Venture Partners; Shastra VC; Antler India; Gemba Capital</t>
        </is>
      </c>
      <c r="K3032" t="inlineStr">
        <is>
          <t>https://entrackr.com/news/quick-commerce-enabler-inamo-raises-8-mn-led-by-prime-venture-partners-11167854</t>
        </is>
      </c>
    </row>
    <row r="3033">
      <c r="A3033" t="inlineStr">
        <is>
          <t>ET-128922042</t>
        </is>
      </c>
      <c r="B3033" t="inlineStr">
        <is>
          <t>R260302-inamo</t>
        </is>
      </c>
      <c r="C3033" t="inlineStr">
        <is>
          <t>The Economic Times</t>
        </is>
      </c>
      <c r="D3033" s="17" t="n">
        <v>46083</v>
      </c>
      <c r="E3033" t="inlineStr">
        <is>
          <t>Inamo</t>
        </is>
      </c>
      <c r="F3033" t="inlineStr">
        <is>
          <t>$8 million</t>
        </is>
      </c>
      <c r="G3033" s="19" t="n"/>
      <c r="H3033" s="19" t="n">
        <v>8</v>
      </c>
      <c r="I3033" t="inlineStr">
        <is>
          <t>Undisclosed</t>
        </is>
      </c>
      <c r="J3033" t="inlineStr">
        <is>
          <t>Prime Venture Partners</t>
        </is>
      </c>
      <c r="K3033" t="inlineStr">
        <is>
          <t>https://economictimes.indiatimes.com/tech/funding/quick-commerce-solutions-platform-inamo-raises-8-million-led-by-prime-venture/articleshow/128922042.cms</t>
        </is>
      </c>
    </row>
    <row r="3034">
      <c r="A3034" t="inlineStr">
        <is>
          <t>INC-20260307-04</t>
        </is>
      </c>
      <c r="B3034" t="inlineStr">
        <is>
          <t>R260302-inamo</t>
        </is>
      </c>
      <c r="C3034" t="inlineStr">
        <is>
          <t>Inc42</t>
        </is>
      </c>
      <c r="D3034" s="17" t="n">
        <v>46083</v>
      </c>
      <c r="E3034" t="inlineStr">
        <is>
          <t>Inamo</t>
        </is>
      </c>
      <c r="F3034" t="inlineStr">
        <is>
          <t>$8 Mn</t>
        </is>
      </c>
      <c r="G3034" s="19" t="n"/>
      <c r="H3034" s="19" t="n">
        <v>8</v>
      </c>
      <c r="I3034" t="inlineStr">
        <is>
          <t>Series A</t>
        </is>
      </c>
      <c r="J3034" t="inlineStr">
        <is>
          <t>Prime Venture Partners</t>
        </is>
      </c>
      <c r="K3034" t="inlineStr">
        <is>
          <t>https://inc42.com/buzz/from-rozana-to-cent-indian-startups-raised-98-mn-this-week/</t>
        </is>
      </c>
    </row>
    <row r="3035">
      <c r="A3035" t="inlineStr">
        <is>
          <t>INC-20260307-07</t>
        </is>
      </c>
      <c r="B3035" t="inlineStr">
        <is>
          <t>R260302-turiyamai</t>
        </is>
      </c>
      <c r="C3035" t="inlineStr">
        <is>
          <t>Inc42</t>
        </is>
      </c>
      <c r="D3035" s="17" t="n">
        <v>46083</v>
      </c>
      <c r="E3035" t="inlineStr">
        <is>
          <t>Turiyam.ai</t>
        </is>
      </c>
      <c r="F3035" t="inlineStr">
        <is>
          <t>$4 Mn</t>
        </is>
      </c>
      <c r="G3035" s="19" t="n"/>
      <c r="H3035" s="19" t="n">
        <v>4</v>
      </c>
      <c r="I3035" t="inlineStr">
        <is>
          <t>Pre-Seed</t>
        </is>
      </c>
      <c r="J3035" t="inlineStr">
        <is>
          <t>Ankur Capital</t>
        </is>
      </c>
      <c r="K3035" t="inlineStr">
        <is>
          <t>https://inc42.com/buzz/from-rozana-to-cent-indian-startups-raised-98-mn-this-week/</t>
        </is>
      </c>
    </row>
    <row r="3036">
      <c r="A3036" t="inlineStr">
        <is>
          <t>ENT-11171125</t>
        </is>
      </c>
      <c r="B3036" t="inlineStr">
        <is>
          <t>R260303-bubbleme</t>
        </is>
      </c>
      <c r="C3036" t="inlineStr">
        <is>
          <t>Entrackr</t>
        </is>
      </c>
      <c r="D3036" s="17" t="n">
        <v>46084</v>
      </c>
      <c r="E3036" t="inlineStr">
        <is>
          <t>Bubble Me</t>
        </is>
      </c>
      <c r="F3036" t="inlineStr">
        <is>
          <t>Rs 1.5 crore</t>
        </is>
      </c>
      <c r="G3036" s="19" t="n">
        <v>1.5</v>
      </c>
      <c r="H3036" s="19" t="n"/>
      <c r="I3036" t="inlineStr">
        <is>
          <t>Pre-Seed</t>
        </is>
      </c>
      <c r="J3036" t="inlineStr">
        <is>
          <t>AJVC</t>
        </is>
      </c>
      <c r="K3036" t="inlineStr">
        <is>
          <t>https://entrackr.com/snippets/bubble-me-raises-rs-15-cr-in-pre-seed-round-led-by-ajvc-11171125</t>
        </is>
      </c>
    </row>
    <row r="3037">
      <c r="A3037" t="inlineStr">
        <is>
          <t>INC-20260307-11</t>
        </is>
      </c>
      <c r="B3037" t="inlineStr">
        <is>
          <t>R260303-bubbleme</t>
        </is>
      </c>
      <c r="C3037" t="inlineStr">
        <is>
          <t>Inc42</t>
        </is>
      </c>
      <c r="D3037" s="17" t="n">
        <v>46084</v>
      </c>
      <c r="E3037" t="inlineStr">
        <is>
          <t>Bubble Me</t>
        </is>
      </c>
      <c r="F3037" t="inlineStr">
        <is>
          <t>$163K</t>
        </is>
      </c>
      <c r="G3037" s="19" t="n"/>
      <c r="H3037" s="19" t="n">
        <v>0.163</v>
      </c>
      <c r="I3037" t="inlineStr">
        <is>
          <t>Pre-Seed</t>
        </is>
      </c>
      <c r="J3037" t="inlineStr"/>
      <c r="K3037" t="inlineStr">
        <is>
          <t>https://inc42.com/buzz/from-rozana-to-cent-indian-startups-raised-98-mn-this-week/</t>
        </is>
      </c>
    </row>
    <row r="3038">
      <c r="A3038" t="inlineStr">
        <is>
          <t>ENT-11173037</t>
        </is>
      </c>
      <c r="B3038" t="inlineStr">
        <is>
          <t>R260303-kaartech</t>
        </is>
      </c>
      <c r="C3038" t="inlineStr">
        <is>
          <t>Entrackr</t>
        </is>
      </c>
      <c r="D3038" s="17" t="n">
        <v>46084</v>
      </c>
      <c r="E3038" t="inlineStr">
        <is>
          <t>KaarTech</t>
        </is>
      </c>
      <c r="F3038" t="inlineStr">
        <is>
          <t>$11 million</t>
        </is>
      </c>
      <c r="G3038" s="19" t="n">
        <v>100</v>
      </c>
      <c r="H3038" s="19" t="n">
        <v>11</v>
      </c>
      <c r="I3038" t="inlineStr">
        <is>
          <t>Undisclosed</t>
        </is>
      </c>
      <c r="J3038" t="inlineStr"/>
      <c r="K3038" t="inlineStr">
        <is>
          <t>https://entrackr.com/exclusive/exclusive-kaartech-raises-rs-100-cr-from-playbook-partners-11173037</t>
        </is>
      </c>
    </row>
    <row r="3039">
      <c r="A3039" t="inlineStr">
        <is>
          <t>ENT-11187444</t>
        </is>
      </c>
      <c r="B3039" t="inlineStr">
        <is>
          <t>R260303-kaartech</t>
        </is>
      </c>
      <c r="C3039" t="inlineStr">
        <is>
          <t>Entrackr</t>
        </is>
      </c>
      <c r="D3039" s="17" t="n">
        <v>46090</v>
      </c>
      <c r="E3039" t="inlineStr">
        <is>
          <t>KaarTech</t>
        </is>
      </c>
      <c r="F3039" t="inlineStr">
        <is>
          <t>$11 million</t>
        </is>
      </c>
      <c r="G3039" s="19" t="n">
        <v>100</v>
      </c>
      <c r="H3039" s="19" t="n">
        <v>11</v>
      </c>
      <c r="I3039" t="inlineStr">
        <is>
          <t>Undisclosed</t>
        </is>
      </c>
      <c r="J3039" t="inlineStr">
        <is>
          <t>Playbook Partners</t>
        </is>
      </c>
      <c r="K3039" t="inlineStr">
        <is>
          <t>https://entrackr.com/news/kaartech-raises-11-mn-led-by-playbook-partners-11187444</t>
        </is>
      </c>
    </row>
    <row r="3040">
      <c r="A3040" t="inlineStr">
        <is>
          <t>ET-129284584</t>
        </is>
      </c>
      <c r="B3040" t="inlineStr">
        <is>
          <t>R260303-kaartech</t>
        </is>
      </c>
      <c r="C3040" t="inlineStr">
        <is>
          <t>The Economic Times</t>
        </is>
      </c>
      <c r="D3040" s="17" t="n">
        <v>46090</v>
      </c>
      <c r="E3040" t="inlineStr">
        <is>
          <t>KaarTech</t>
        </is>
      </c>
      <c r="F3040" t="inlineStr">
        <is>
          <t>$11 million</t>
        </is>
      </c>
      <c r="G3040" s="19" t="n"/>
      <c r="H3040" s="19" t="n">
        <v>11</v>
      </c>
      <c r="I3040" t="inlineStr">
        <is>
          <t>Undisclosed</t>
        </is>
      </c>
      <c r="J3040" t="inlineStr"/>
      <c r="K3040" t="inlineStr">
        <is>
          <t>https://economictimes.indiatimes.com/tech/funding/playbook-partners-leads-a-11-million-round-in-enterprise-technology-firm-kaartech/articleshow/129284584.cms</t>
        </is>
      </c>
    </row>
    <row r="3041">
      <c r="A3041" t="inlineStr">
        <is>
          <t>INC-20260314-06</t>
        </is>
      </c>
      <c r="B3041" t="inlineStr">
        <is>
          <t>R260303-kaartech</t>
        </is>
      </c>
      <c r="C3041" t="inlineStr">
        <is>
          <t>Inc42</t>
        </is>
      </c>
      <c r="D3041" s="17" t="n">
        <v>46090</v>
      </c>
      <c r="E3041" t="inlineStr">
        <is>
          <t>KaarTech</t>
        </is>
      </c>
      <c r="F3041" t="inlineStr">
        <is>
          <t>$11 Mn</t>
        </is>
      </c>
      <c r="G3041" s="19" t="n"/>
      <c r="H3041" s="19" t="n">
        <v>11</v>
      </c>
      <c r="I3041" t="inlineStr">
        <is>
          <t>Series B</t>
        </is>
      </c>
      <c r="J3041" t="inlineStr"/>
      <c r="K3041" t="inlineStr">
        <is>
          <t>https://inc42.com/buzz/from-mozark-to-captain-fresh-indian-startups-raised-207-mn-this-week/</t>
        </is>
      </c>
    </row>
    <row r="3042">
      <c r="A3042" t="inlineStr">
        <is>
          <t>VCC-b6338a3578</t>
        </is>
      </c>
      <c r="B3042" t="inlineStr">
        <is>
          <t>R260303-kaartech</t>
        </is>
      </c>
      <c r="C3042" t="inlineStr">
        <is>
          <t>VCCircle</t>
        </is>
      </c>
      <c r="D3042" s="17" t="n">
        <v>46091</v>
      </c>
      <c r="E3042" t="inlineStr">
        <is>
          <t>kaartech</t>
        </is>
      </c>
      <c r="F3042" t="inlineStr">
        <is>
          <t>$ 11 million</t>
        </is>
      </c>
      <c r="G3042" s="19" t="n"/>
      <c r="H3042" s="19" t="n">
        <v>11</v>
      </c>
      <c r="I3042" t="inlineStr">
        <is>
          <t>Series B</t>
        </is>
      </c>
      <c r="J3042" t="inlineStr"/>
      <c r="K3042" t="inlineStr">
        <is>
          <t>https://www.vccircle.com/playbookpartners-leads-11-mn-series-b-round-in-a91-backed-kaartech</t>
        </is>
      </c>
    </row>
    <row r="3043">
      <c r="A3043" t="inlineStr">
        <is>
          <t>ENT-11170918</t>
        </is>
      </c>
      <c r="B3043" t="inlineStr">
        <is>
          <t>R260303-pronto</t>
        </is>
      </c>
      <c r="C3043" t="inlineStr">
        <is>
          <t>Entrackr</t>
        </is>
      </c>
      <c r="D3043" s="17" t="n">
        <v>46084</v>
      </c>
      <c r="E3043" t="inlineStr">
        <is>
          <t>Pronto</t>
        </is>
      </c>
      <c r="F3043" t="inlineStr">
        <is>
          <t>$25 million</t>
        </is>
      </c>
      <c r="G3043" s="19" t="n">
        <v>228.9</v>
      </c>
      <c r="H3043" s="19" t="n">
        <v>25</v>
      </c>
      <c r="I3043" t="inlineStr">
        <is>
          <t>Series B</t>
        </is>
      </c>
      <c r="J3043" t="inlineStr">
        <is>
          <t>Epiq Capital</t>
        </is>
      </c>
      <c r="K3043" t="inlineStr">
        <is>
          <t>https://entrackr.com/news/pronto-raises-25-mn-in-series-b-led-by-epiq-capital-11170918</t>
        </is>
      </c>
    </row>
    <row r="3044">
      <c r="A3044" t="inlineStr">
        <is>
          <t>ET-128950973</t>
        </is>
      </c>
      <c r="B3044" t="inlineStr">
        <is>
          <t>R260303-pronto</t>
        </is>
      </c>
      <c r="C3044" t="inlineStr">
        <is>
          <t>The Economic Times</t>
        </is>
      </c>
      <c r="D3044" s="17" t="n">
        <v>46084</v>
      </c>
      <c r="E3044" t="inlineStr">
        <is>
          <t>Pronto</t>
        </is>
      </c>
      <c r="F3044" t="inlineStr">
        <is>
          <t>$25 million</t>
        </is>
      </c>
      <c r="G3044" s="19" t="n"/>
      <c r="H3044" s="19" t="n">
        <v>25</v>
      </c>
      <c r="I3044" t="inlineStr">
        <is>
          <t>Undisclosed</t>
        </is>
      </c>
      <c r="J3044" t="inlineStr">
        <is>
          <t>Epiq Capital</t>
        </is>
      </c>
      <c r="K3044" t="inlineStr">
        <is>
          <t>https://economictimes.indiatimes.com/tech/funding/pronto-raises-25-million-from-epiq-capital-existing-backers/articleshow/128950973.cms</t>
        </is>
      </c>
    </row>
    <row r="3045">
      <c r="A3045" t="inlineStr">
        <is>
          <t>INC-20260307-02</t>
        </is>
      </c>
      <c r="B3045" t="inlineStr">
        <is>
          <t>R260303-pronto</t>
        </is>
      </c>
      <c r="C3045" t="inlineStr">
        <is>
          <t>Inc42</t>
        </is>
      </c>
      <c r="D3045" s="17" t="n">
        <v>46084</v>
      </c>
      <c r="E3045" t="inlineStr">
        <is>
          <t>Pronto</t>
        </is>
      </c>
      <c r="F3045" t="inlineStr">
        <is>
          <t>$25 Mn</t>
        </is>
      </c>
      <c r="G3045" s="19" t="n"/>
      <c r="H3045" s="19" t="n">
        <v>25</v>
      </c>
      <c r="I3045" t="inlineStr">
        <is>
          <t>Series B</t>
        </is>
      </c>
      <c r="J3045" t="inlineStr">
        <is>
          <t>Epiq Capital</t>
        </is>
      </c>
      <c r="K3045" t="inlineStr">
        <is>
          <t>https://inc42.com/buzz/from-rozana-to-cent-indian-startups-raised-98-mn-this-week/</t>
        </is>
      </c>
    </row>
    <row r="3046">
      <c r="A3046" t="inlineStr">
        <is>
          <t>ENT-11190605</t>
        </is>
      </c>
      <c r="B3046" t="inlineStr">
        <is>
          <t>R260303-pronto</t>
        </is>
      </c>
      <c r="C3046" t="inlineStr">
        <is>
          <t>Entrackr</t>
        </is>
      </c>
      <c r="D3046" s="17" t="n">
        <v>46091</v>
      </c>
      <c r="E3046" t="inlineStr">
        <is>
          <t>Pronto</t>
        </is>
      </c>
      <c r="F3046" t="inlineStr">
        <is>
          <t>$25 million</t>
        </is>
      </c>
      <c r="G3046" s="19" t="n"/>
      <c r="H3046" s="19" t="n">
        <v>25</v>
      </c>
      <c r="I3046" t="inlineStr">
        <is>
          <t>Series B</t>
        </is>
      </c>
      <c r="J3046" t="inlineStr">
        <is>
          <t>Epiq Capital</t>
        </is>
      </c>
      <c r="K3046" t="inlineStr">
        <is>
          <t>https://entrackr.com/decoding/prontos-founder-dilutes-stake-to-below-40-after-new-round-11190605</t>
        </is>
      </c>
    </row>
    <row r="3047">
      <c r="A3047" t="inlineStr">
        <is>
          <t>ENT-11171406</t>
        </is>
      </c>
      <c r="B3047" t="inlineStr">
        <is>
          <t>R260303-rasluxuryskinc</t>
        </is>
      </c>
      <c r="C3047" t="inlineStr">
        <is>
          <t>Entrackr</t>
        </is>
      </c>
      <c r="D3047" s="17" t="n">
        <v>46084</v>
      </c>
      <c r="E3047" t="inlineStr">
        <is>
          <t>RAS Luxury Skincare</t>
        </is>
      </c>
      <c r="F3047" t="inlineStr">
        <is>
          <t>$7.5 million</t>
        </is>
      </c>
      <c r="G3047" s="19" t="n"/>
      <c r="H3047" s="19" t="n">
        <v>7.5</v>
      </c>
      <c r="I3047" t="inlineStr">
        <is>
          <t>Series B</t>
        </is>
      </c>
      <c r="J3047" t="inlineStr">
        <is>
          <t>Dabur Ventures</t>
        </is>
      </c>
      <c r="K3047" t="inlineStr">
        <is>
          <t>https://entrackr.com/snippets/ras-luxury-skincare-raises-75-mn-in-series-b-led-by-dabur-ventures-11171406</t>
        </is>
      </c>
    </row>
    <row r="3048">
      <c r="A3048" t="inlineStr">
        <is>
          <t>INC-20260307-05</t>
        </is>
      </c>
      <c r="B3048" t="inlineStr">
        <is>
          <t>R260303-rasluxuryskinc</t>
        </is>
      </c>
      <c r="C3048" t="inlineStr">
        <is>
          <t>Inc42</t>
        </is>
      </c>
      <c r="D3048" s="17" t="n">
        <v>46084</v>
      </c>
      <c r="E3048" t="inlineStr">
        <is>
          <t>RAS Luxury</t>
        </is>
      </c>
      <c r="F3048" t="inlineStr">
        <is>
          <t>$7.5 Mn</t>
        </is>
      </c>
      <c r="G3048" s="19" t="n"/>
      <c r="H3048" s="19" t="n">
        <v>7.5</v>
      </c>
      <c r="I3048" t="inlineStr">
        <is>
          <t>Series B</t>
        </is>
      </c>
      <c r="J3048" t="inlineStr">
        <is>
          <t>Dabur Ventures</t>
        </is>
      </c>
      <c r="K3048" t="inlineStr">
        <is>
          <t>https://inc42.com/buzz/from-rozana-to-cent-indian-startups-raised-98-mn-this-week/</t>
        </is>
      </c>
    </row>
    <row r="3049">
      <c r="A3049" t="inlineStr">
        <is>
          <t>VCC-2241372320</t>
        </is>
      </c>
      <c r="B3049" t="inlineStr">
        <is>
          <t>R260303-rasluxuryskinc</t>
        </is>
      </c>
      <c r="C3049" t="inlineStr">
        <is>
          <t>VCCircle</t>
        </is>
      </c>
      <c r="D3049" s="17" t="n">
        <v>46084</v>
      </c>
      <c r="E3049" t="inlineStr">
        <is>
          <t>ras luxury skincare</t>
        </is>
      </c>
      <c r="F3049" t="inlineStr"/>
      <c r="G3049" s="19" t="n"/>
      <c r="H3049" s="19" t="n"/>
      <c r="I3049" t="inlineStr">
        <is>
          <t>Series B</t>
        </is>
      </c>
      <c r="J3049" t="inlineStr"/>
      <c r="K3049" t="inlineStr">
        <is>
          <t>https://www.vccircle.com/daburs-investment-arm-leads-series-b-funding-in-ras-luxury-skincare</t>
        </is>
      </c>
    </row>
    <row r="3050">
      <c r="A3050" t="inlineStr">
        <is>
          <t>ENT-11174502</t>
        </is>
      </c>
      <c r="B3050" t="inlineStr">
        <is>
          <t>R260304-moneyboxxfinan</t>
        </is>
      </c>
      <c r="C3050" t="inlineStr">
        <is>
          <t>Entrackr</t>
        </is>
      </c>
      <c r="D3050" s="17" t="n">
        <v>46085</v>
      </c>
      <c r="E3050" t="inlineStr">
        <is>
          <t>Moneyboxx Finance</t>
        </is>
      </c>
      <c r="F3050" t="inlineStr">
        <is>
          <t>Rs 33.4 crore</t>
        </is>
      </c>
      <c r="G3050" s="19" t="n">
        <v>33.4</v>
      </c>
      <c r="H3050" s="19" t="n"/>
      <c r="I3050" t="inlineStr">
        <is>
          <t>Undisclosed</t>
        </is>
      </c>
      <c r="J3050" t="inlineStr"/>
      <c r="K3050" t="inlineStr">
        <is>
          <t>https://entrackr.com/snippets/moneyboxx-finance-raises-rs-334-cr-in-equity-to-accelerate-growth-11174502</t>
        </is>
      </c>
    </row>
    <row r="3051">
      <c r="A3051" t="inlineStr">
        <is>
          <t>ENT-11177469</t>
        </is>
      </c>
      <c r="B3051" t="inlineStr">
        <is>
          <t>R260305-cheerioai</t>
        </is>
      </c>
      <c r="C3051" t="inlineStr">
        <is>
          <t>Entrackr</t>
        </is>
      </c>
      <c r="D3051" s="17" t="n">
        <v>46086</v>
      </c>
      <c r="E3051" t="inlineStr">
        <is>
          <t>Cheerio AI</t>
        </is>
      </c>
      <c r="F3051" t="inlineStr">
        <is>
          <t>Rs 8 crore</t>
        </is>
      </c>
      <c r="G3051" s="19" t="n">
        <v>8</v>
      </c>
      <c r="H3051" s="19" t="n"/>
      <c r="I3051" t="inlineStr">
        <is>
          <t>Seed</t>
        </is>
      </c>
      <c r="J3051" t="inlineStr">
        <is>
          <t>Artha Venture Fund</t>
        </is>
      </c>
      <c r="K3051" t="inlineStr">
        <is>
          <t>https://entrackr.com/snippets/cheerio-ai-raises-rs-8-cr-in-seed-round-led-by-artha-venture-fund-11177469</t>
        </is>
      </c>
    </row>
    <row r="3052">
      <c r="A3052" t="inlineStr">
        <is>
          <t>INC-20260307-09</t>
        </is>
      </c>
      <c r="B3052" t="inlineStr">
        <is>
          <t>R260305-cheerioai</t>
        </is>
      </c>
      <c r="C3052" t="inlineStr">
        <is>
          <t>Inc42</t>
        </is>
      </c>
      <c r="D3052" s="17" t="n">
        <v>46086</v>
      </c>
      <c r="E3052" t="inlineStr">
        <is>
          <t>Cheerio</t>
        </is>
      </c>
      <c r="F3052" t="inlineStr">
        <is>
          <t>$872K</t>
        </is>
      </c>
      <c r="G3052" s="19" t="n"/>
      <c r="H3052" s="19" t="n">
        <v>0.872</v>
      </c>
      <c r="I3052" t="inlineStr">
        <is>
          <t>Seed</t>
        </is>
      </c>
      <c r="J3052" t="inlineStr">
        <is>
          <t>Artha Venture</t>
        </is>
      </c>
      <c r="K3052" t="inlineStr">
        <is>
          <t>https://inc42.com/buzz/from-rozana-to-cent-indian-startups-raised-98-mn-this-week/</t>
        </is>
      </c>
    </row>
    <row r="3053">
      <c r="A3053" t="inlineStr">
        <is>
          <t>ENT-11177343</t>
        </is>
      </c>
      <c r="B3053" t="inlineStr">
        <is>
          <t>R260305-infinitybox</t>
        </is>
      </c>
      <c r="C3053" t="inlineStr">
        <is>
          <t>Entrackr</t>
        </is>
      </c>
      <c r="D3053" s="17" t="n">
        <v>46086</v>
      </c>
      <c r="E3053" t="inlineStr">
        <is>
          <t>InfinityBox</t>
        </is>
      </c>
      <c r="F3053" t="inlineStr">
        <is>
          <t>Rs 14.1 crore</t>
        </is>
      </c>
      <c r="G3053" s="19" t="n">
        <v>14.1</v>
      </c>
      <c r="H3053" s="19" t="n"/>
      <c r="I3053" t="inlineStr">
        <is>
          <t>Pre-Series A</t>
        </is>
      </c>
      <c r="J3053" t="inlineStr">
        <is>
          <t>Rainmatter</t>
        </is>
      </c>
      <c r="K3053" t="inlineStr">
        <is>
          <t>https://entrackr.com/exclusive/exclusive-rainmatter-leads-infinityboxs-pre-series-a-round-11177343</t>
        </is>
      </c>
    </row>
    <row r="3054">
      <c r="A3054" t="inlineStr">
        <is>
          <t>INC-20260307-10</t>
        </is>
      </c>
      <c r="B3054" t="inlineStr">
        <is>
          <t>R260305-peping</t>
        </is>
      </c>
      <c r="C3054" t="inlineStr">
        <is>
          <t>Inc42</t>
        </is>
      </c>
      <c r="D3054" s="17" t="n">
        <v>46086</v>
      </c>
      <c r="E3054" t="inlineStr">
        <is>
          <t>Peping</t>
        </is>
      </c>
      <c r="F3054" t="inlineStr">
        <is>
          <t>$273K</t>
        </is>
      </c>
      <c r="G3054" s="19" t="n"/>
      <c r="H3054" s="19" t="n">
        <v>0.273</v>
      </c>
      <c r="I3054" t="inlineStr">
        <is>
          <t>Undisclosed</t>
        </is>
      </c>
      <c r="J3054" t="inlineStr">
        <is>
          <t>IAN Group</t>
        </is>
      </c>
      <c r="K3054" t="inlineStr">
        <is>
          <t>https://inc42.com/buzz/from-rozana-to-cent-indian-startups-raised-98-mn-this-week/</t>
        </is>
      </c>
    </row>
    <row r="3055">
      <c r="A3055" t="inlineStr">
        <is>
          <t>ENT-11177703</t>
        </is>
      </c>
      <c r="B3055" t="inlineStr">
        <is>
          <t>R260305-trudoc</t>
        </is>
      </c>
      <c r="C3055" t="inlineStr">
        <is>
          <t>Entrackr</t>
        </is>
      </c>
      <c r="D3055" s="17" t="n">
        <v>46086</v>
      </c>
      <c r="E3055" t="inlineStr">
        <is>
          <t>TruDoc</t>
        </is>
      </c>
      <c r="F3055" t="inlineStr">
        <is>
          <t>$15 million</t>
        </is>
      </c>
      <c r="G3055" s="19" t="n"/>
      <c r="H3055" s="19" t="n">
        <v>15</v>
      </c>
      <c r="I3055" t="inlineStr">
        <is>
          <t>Pre-Series B</t>
        </is>
      </c>
      <c r="J3055" t="inlineStr"/>
      <c r="K3055" t="inlineStr">
        <is>
          <t>https://entrackr.com/snippets/healthtech-startup-trudoc-raises-15-mn-in-pre-series-b-round-11177703</t>
        </is>
      </c>
    </row>
    <row r="3056">
      <c r="A3056" t="inlineStr">
        <is>
          <t>ENT-11179508</t>
        </is>
      </c>
      <c r="B3056" t="inlineStr">
        <is>
          <t>R260306-cent</t>
        </is>
      </c>
      <c r="C3056" t="inlineStr">
        <is>
          <t>Entrackr</t>
        </is>
      </c>
      <c r="D3056" s="17" t="n">
        <v>46087</v>
      </c>
      <c r="E3056" t="inlineStr">
        <is>
          <t>Cent</t>
        </is>
      </c>
      <c r="F3056" t="inlineStr"/>
      <c r="G3056" s="19" t="n"/>
      <c r="H3056" s="19" t="n"/>
      <c r="I3056" t="inlineStr">
        <is>
          <t>Undisclosed</t>
        </is>
      </c>
      <c r="J3056" t="inlineStr"/>
      <c r="K3056" t="inlineStr">
        <is>
          <t>https://entrackr.com/snippets/healthtech-startup-cent-secures-funding-from-oneflow-south-park-commons-11179508</t>
        </is>
      </c>
    </row>
    <row r="3057">
      <c r="A3057" t="inlineStr">
        <is>
          <t>ET-129105792</t>
        </is>
      </c>
      <c r="B3057" t="inlineStr">
        <is>
          <t>R260306-cent</t>
        </is>
      </c>
      <c r="C3057" t="inlineStr">
        <is>
          <t>The Economic Times</t>
        </is>
      </c>
      <c r="D3057" s="17" t="n">
        <v>46087</v>
      </c>
      <c r="E3057" t="inlineStr">
        <is>
          <t>Cent</t>
        </is>
      </c>
      <c r="F3057" t="inlineStr"/>
      <c r="G3057" s="19" t="n"/>
      <c r="H3057" s="19" t="n"/>
      <c r="I3057" t="inlineStr">
        <is>
          <t>Undisclosed</t>
        </is>
      </c>
      <c r="J3057" t="inlineStr"/>
      <c r="K3057" t="inlineStr">
        <is>
          <t>https://economictimes.indiatimes.com/tech/funding/practo-founders-health-startup-cent-raises-funding-from-oneflow-south-park-commons/articleshow/129105792.cms</t>
        </is>
      </c>
    </row>
    <row r="3058">
      <c r="A3058" t="inlineStr">
        <is>
          <t>INC-20260307-06</t>
        </is>
      </c>
      <c r="B3058" t="inlineStr">
        <is>
          <t>R260306-cent</t>
        </is>
      </c>
      <c r="C3058" t="inlineStr">
        <is>
          <t>Inc42</t>
        </is>
      </c>
      <c r="D3058" s="17" t="n">
        <v>46087</v>
      </c>
      <c r="E3058" t="inlineStr">
        <is>
          <t>Cent</t>
        </is>
      </c>
      <c r="F3058" t="inlineStr">
        <is>
          <t>$5 Mn</t>
        </is>
      </c>
      <c r="G3058" s="19" t="n"/>
      <c r="H3058" s="19" t="n">
        <v>5</v>
      </c>
      <c r="I3058" t="inlineStr">
        <is>
          <t>Seed</t>
        </is>
      </c>
      <c r="J3058" t="inlineStr"/>
      <c r="K3058" t="inlineStr">
        <is>
          <t>https://inc42.com/buzz/from-rozana-to-cent-indian-startups-raised-98-mn-this-week/</t>
        </is>
      </c>
    </row>
    <row r="3059">
      <c r="A3059" t="inlineStr">
        <is>
          <t>ENT-11179444</t>
        </is>
      </c>
      <c r="B3059" t="inlineStr">
        <is>
          <t>R260306-rozana</t>
        </is>
      </c>
      <c r="C3059" t="inlineStr">
        <is>
          <t>Entrackr</t>
        </is>
      </c>
      <c r="D3059" s="17" t="n">
        <v>46087</v>
      </c>
      <c r="E3059" t="inlineStr">
        <is>
          <t>Rozana</t>
        </is>
      </c>
      <c r="F3059" t="inlineStr">
        <is>
          <t>Rs 290 crore</t>
        </is>
      </c>
      <c r="G3059" s="19" t="n">
        <v>290</v>
      </c>
      <c r="H3059" s="19" t="n">
        <v>31.6</v>
      </c>
      <c r="I3059" t="inlineStr">
        <is>
          <t>Series B</t>
        </is>
      </c>
      <c r="J3059" t="inlineStr">
        <is>
          <t>Bertelsmann India Investments</t>
        </is>
      </c>
      <c r="K3059" t="inlineStr">
        <is>
          <t>https://entrackr.com/news/rural-commerce-startup-rozana-raises-rs-290-cr-in-series-b-led-by-bertelsmann-11179444</t>
        </is>
      </c>
    </row>
    <row r="3060">
      <c r="A3060" t="inlineStr">
        <is>
          <t>INC-20260307-01</t>
        </is>
      </c>
      <c r="B3060" t="inlineStr">
        <is>
          <t>R260306-rozana</t>
        </is>
      </c>
      <c r="C3060" t="inlineStr">
        <is>
          <t>Inc42</t>
        </is>
      </c>
      <c r="D3060" s="17" t="n">
        <v>46087</v>
      </c>
      <c r="E3060" t="inlineStr">
        <is>
          <t>Rozana</t>
        </is>
      </c>
      <c r="F3060" t="inlineStr">
        <is>
          <t>$31.6 Mn</t>
        </is>
      </c>
      <c r="G3060" s="19" t="n"/>
      <c r="H3060" s="19" t="n">
        <v>31.6</v>
      </c>
      <c r="I3060" t="inlineStr">
        <is>
          <t>Series B</t>
        </is>
      </c>
      <c r="J3060" t="inlineStr">
        <is>
          <t>Bertelsmann India Investments</t>
        </is>
      </c>
      <c r="K3060" t="inlineStr">
        <is>
          <t>https://inc42.com/buzz/from-rozana-to-cent-indian-startups-raised-98-mn-this-week/</t>
        </is>
      </c>
    </row>
    <row r="3061">
      <c r="A3061" t="inlineStr">
        <is>
          <t>INC-20260314-22</t>
        </is>
      </c>
      <c r="B3061" t="inlineStr">
        <is>
          <t>R260309-latentai</t>
        </is>
      </c>
      <c r="C3061" t="inlineStr">
        <is>
          <t>Inc42</t>
        </is>
      </c>
      <c r="D3061" s="17" t="n">
        <v>46090</v>
      </c>
      <c r="E3061" t="inlineStr">
        <is>
          <t>Latent AI</t>
        </is>
      </c>
      <c r="F3061" t="inlineStr"/>
      <c r="G3061" s="19" t="n"/>
      <c r="H3061" s="19" t="n"/>
      <c r="I3061" t="inlineStr">
        <is>
          <t>Undisclosed</t>
        </is>
      </c>
      <c r="J3061" t="inlineStr"/>
      <c r="K3061" t="inlineStr">
        <is>
          <t>https://inc42.com/buzz/from-mozark-to-captain-fresh-indian-startups-raised-207-mn-this-week/</t>
        </is>
      </c>
    </row>
    <row r="3062">
      <c r="A3062" t="inlineStr">
        <is>
          <t>INC-20260314-07</t>
        </is>
      </c>
      <c r="B3062" t="inlineStr">
        <is>
          <t>R260309-strideone</t>
        </is>
      </c>
      <c r="C3062" t="inlineStr">
        <is>
          <t>Inc42</t>
        </is>
      </c>
      <c r="D3062" s="17" t="n">
        <v>46090</v>
      </c>
      <c r="E3062" t="inlineStr">
        <is>
          <t>StrideOne</t>
        </is>
      </c>
      <c r="F3062" t="inlineStr">
        <is>
          <t>$11 Mn</t>
        </is>
      </c>
      <c r="G3062" s="19" t="n"/>
      <c r="H3062" s="19" t="n">
        <v>11</v>
      </c>
      <c r="I3062" t="inlineStr">
        <is>
          <t>Undisclosed</t>
        </is>
      </c>
      <c r="J3062" t="inlineStr"/>
      <c r="K3062" t="inlineStr">
        <is>
          <t>https://inc42.com/buzz/from-mozark-to-captain-fresh-indian-startups-raised-207-mn-this-week/</t>
        </is>
      </c>
    </row>
    <row r="3063">
      <c r="A3063" t="inlineStr">
        <is>
          <t>ENT-11191074</t>
        </is>
      </c>
      <c r="B3063" t="inlineStr">
        <is>
          <t>R260310-aquaexchange</t>
        </is>
      </c>
      <c r="C3063" t="inlineStr">
        <is>
          <t>Entrackr</t>
        </is>
      </c>
      <c r="D3063" s="17" t="n">
        <v>46091</v>
      </c>
      <c r="E3063" t="inlineStr">
        <is>
          <t>AquaExchange</t>
        </is>
      </c>
      <c r="F3063" t="inlineStr">
        <is>
          <t>$8 million</t>
        </is>
      </c>
      <c r="G3063" s="19" t="n">
        <v>72</v>
      </c>
      <c r="H3063" s="19" t="n">
        <v>8</v>
      </c>
      <c r="I3063" t="inlineStr">
        <is>
          <t>Series B</t>
        </is>
      </c>
      <c r="J3063" t="inlineStr">
        <is>
          <t>Endiya Partners; Factor Analytics</t>
        </is>
      </c>
      <c r="K3063" t="inlineStr">
        <is>
          <t>https://entrackr.com/news/aquaexchange-raises-8-mn-in-series-b-round-at-41-mn-valuation-11191074</t>
        </is>
      </c>
    </row>
    <row r="3064">
      <c r="A3064" t="inlineStr">
        <is>
          <t>ET-129387643</t>
        </is>
      </c>
      <c r="B3064" t="inlineStr">
        <is>
          <t>R260310-aquaexchange</t>
        </is>
      </c>
      <c r="C3064" t="inlineStr">
        <is>
          <t>The Economic Times</t>
        </is>
      </c>
      <c r="D3064" s="17" t="n">
        <v>46091</v>
      </c>
      <c r="E3064" t="inlineStr">
        <is>
          <t>AquaExchange</t>
        </is>
      </c>
      <c r="F3064" t="inlineStr">
        <is>
          <t>$8 million</t>
        </is>
      </c>
      <c r="G3064" s="19" t="n"/>
      <c r="H3064" s="19" t="n">
        <v>8</v>
      </c>
      <c r="I3064" t="inlineStr">
        <is>
          <t>Undisclosed</t>
        </is>
      </c>
      <c r="J3064" t="inlineStr">
        <is>
          <t>Endiya Partners; Factor Analytics</t>
        </is>
      </c>
      <c r="K3064" t="inlineStr">
        <is>
          <t>https://economictimes.indiatimes.com/tech/funding/aquaexchange-raises-8-million-led-by-endiya-partners-factor-analytics/articleshow/129387643.cms</t>
        </is>
      </c>
    </row>
    <row r="3065">
      <c r="A3065" t="inlineStr">
        <is>
          <t>INC-20260314-09</t>
        </is>
      </c>
      <c r="B3065" t="inlineStr">
        <is>
          <t>R260310-aquaexchange</t>
        </is>
      </c>
      <c r="C3065" t="inlineStr">
        <is>
          <t>Inc42</t>
        </is>
      </c>
      <c r="D3065" s="17" t="n">
        <v>46091</v>
      </c>
      <c r="E3065" t="inlineStr">
        <is>
          <t>AquaExchange</t>
        </is>
      </c>
      <c r="F3065" t="inlineStr">
        <is>
          <t>$8 Mn</t>
        </is>
      </c>
      <c r="G3065" s="19" t="n"/>
      <c r="H3065" s="19" t="n">
        <v>8</v>
      </c>
      <c r="I3065" t="inlineStr">
        <is>
          <t>Series B</t>
        </is>
      </c>
      <c r="J3065" t="inlineStr"/>
      <c r="K3065" t="inlineStr">
        <is>
          <t>https://inc42.com/buzz/from-mozark-to-captain-fresh-indian-startups-raised-207-mn-this-week/</t>
        </is>
      </c>
    </row>
    <row r="3066">
      <c r="A3066" t="inlineStr">
        <is>
          <t>ENT-11191786</t>
        </is>
      </c>
      <c r="B3066" t="inlineStr">
        <is>
          <t>R260310-basilhealth</t>
        </is>
      </c>
      <c r="C3066" t="inlineStr">
        <is>
          <t>Entrackr</t>
        </is>
      </c>
      <c r="D3066" s="17" t="n">
        <v>46091</v>
      </c>
      <c r="E3066" t="inlineStr">
        <is>
          <t>Basil Health</t>
        </is>
      </c>
      <c r="F3066" t="inlineStr">
        <is>
          <t>$1.5 million</t>
        </is>
      </c>
      <c r="G3066" s="19" t="n"/>
      <c r="H3066" s="19" t="n">
        <v>1.5</v>
      </c>
      <c r="I3066" t="inlineStr">
        <is>
          <t>Pre-Series A</t>
        </is>
      </c>
      <c r="J3066" t="inlineStr"/>
      <c r="K3066" t="inlineStr">
        <is>
          <t>https://entrackr.com/snippets/basil-health-raises-15-mn-in-pre-series-a-round-11191786</t>
        </is>
      </c>
    </row>
    <row r="3067">
      <c r="A3067" t="inlineStr">
        <is>
          <t>ENT-11191054</t>
        </is>
      </c>
      <c r="B3067" t="inlineStr">
        <is>
          <t>R260310-captainfresh</t>
        </is>
      </c>
      <c r="C3067" t="inlineStr">
        <is>
          <t>Entrackr</t>
        </is>
      </c>
      <c r="D3067" s="17" t="n">
        <v>46091</v>
      </c>
      <c r="E3067" t="inlineStr">
        <is>
          <t>Captain Fresh</t>
        </is>
      </c>
      <c r="F3067" t="inlineStr">
        <is>
          <t>Rs 290 crore</t>
        </is>
      </c>
      <c r="G3067" s="19" t="n">
        <v>290</v>
      </c>
      <c r="H3067" s="19" t="n"/>
      <c r="I3067" t="inlineStr">
        <is>
          <t>Undisclosed</t>
        </is>
      </c>
      <c r="J3067" t="inlineStr"/>
      <c r="K3067" t="inlineStr">
        <is>
          <t>https://entrackr.com/news/captain-fresh-raises-rs-290-cr-from-blue-earth-capital-11191054</t>
        </is>
      </c>
    </row>
    <row r="3068">
      <c r="A3068" t="inlineStr">
        <is>
          <t>INC-20260314-02</t>
        </is>
      </c>
      <c r="B3068" t="inlineStr">
        <is>
          <t>R260310-captainfresh</t>
        </is>
      </c>
      <c r="C3068" t="inlineStr">
        <is>
          <t>Inc42</t>
        </is>
      </c>
      <c r="D3068" s="17" t="n">
        <v>46091</v>
      </c>
      <c r="E3068" t="inlineStr">
        <is>
          <t>Captain Fresh</t>
        </is>
      </c>
      <c r="F3068" t="inlineStr">
        <is>
          <t>$31.4 Mn</t>
        </is>
      </c>
      <c r="G3068" s="19" t="n"/>
      <c r="H3068" s="19" t="n">
        <v>31.4</v>
      </c>
      <c r="I3068" t="inlineStr">
        <is>
          <t>Debt</t>
        </is>
      </c>
      <c r="J3068" t="inlineStr"/>
      <c r="K3068" t="inlineStr">
        <is>
          <t>https://inc42.com/buzz/from-mozark-to-captain-fresh-indian-startups-raised-207-mn-this-week/</t>
        </is>
      </c>
    </row>
    <row r="3069">
      <c r="A3069" t="inlineStr">
        <is>
          <t>ENT-11191967</t>
        </is>
      </c>
      <c r="B3069" t="inlineStr">
        <is>
          <t>R260310-coreworksai</t>
        </is>
      </c>
      <c r="C3069" t="inlineStr">
        <is>
          <t>Entrackr</t>
        </is>
      </c>
      <c r="D3069" s="17" t="n">
        <v>46091</v>
      </c>
      <c r="E3069" t="inlineStr">
        <is>
          <t>Coreworks.AI</t>
        </is>
      </c>
      <c r="F3069" t="inlineStr">
        <is>
          <t>$5 million</t>
        </is>
      </c>
      <c r="G3069" s="19" t="n"/>
      <c r="H3069" s="19" t="n">
        <v>5</v>
      </c>
      <c r="I3069" t="inlineStr">
        <is>
          <t>Seed</t>
        </is>
      </c>
      <c r="J3069" t="inlineStr">
        <is>
          <t>Together Fund</t>
        </is>
      </c>
      <c r="K3069" t="inlineStr">
        <is>
          <t>https://entrackr.com/snippets/together-fund-leads-5-mn-seed-round-in-coreworksai-11191967</t>
        </is>
      </c>
    </row>
    <row r="3070">
      <c r="A3070" t="inlineStr">
        <is>
          <t>INC-20260314-11</t>
        </is>
      </c>
      <c r="B3070" t="inlineStr">
        <is>
          <t>R260310-coreworksai</t>
        </is>
      </c>
      <c r="C3070" t="inlineStr">
        <is>
          <t>Inc42</t>
        </is>
      </c>
      <c r="D3070" s="17" t="n">
        <v>46091</v>
      </c>
      <c r="E3070" t="inlineStr">
        <is>
          <t>Coreworks AI</t>
        </is>
      </c>
      <c r="F3070" t="inlineStr">
        <is>
          <t>$5 Mn</t>
        </is>
      </c>
      <c r="G3070" s="19" t="n"/>
      <c r="H3070" s="19" t="n">
        <v>5</v>
      </c>
      <c r="I3070" t="inlineStr">
        <is>
          <t>Seed</t>
        </is>
      </c>
      <c r="J3070" t="inlineStr"/>
      <c r="K3070" t="inlineStr">
        <is>
          <t>https://inc42.com/buzz/from-mozark-to-captain-fresh-indian-startups-raised-207-mn-this-week/</t>
        </is>
      </c>
    </row>
    <row r="3071">
      <c r="A3071" t="inlineStr">
        <is>
          <t>ENT-11191307</t>
        </is>
      </c>
      <c r="B3071" t="inlineStr">
        <is>
          <t>R260310-mozark</t>
        </is>
      </c>
      <c r="C3071" t="inlineStr">
        <is>
          <t>Entrackr</t>
        </is>
      </c>
      <c r="D3071" s="17" t="n">
        <v>46091</v>
      </c>
      <c r="E3071" t="inlineStr">
        <is>
          <t>Mozark</t>
        </is>
      </c>
      <c r="F3071" t="inlineStr">
        <is>
          <t>$40 million</t>
        </is>
      </c>
      <c r="G3071" s="19" t="n"/>
      <c r="H3071" s="19" t="n">
        <v>40</v>
      </c>
      <c r="I3071" t="inlineStr">
        <is>
          <t>Series B</t>
        </is>
      </c>
      <c r="J3071" t="inlineStr">
        <is>
          <t>IFC</t>
        </is>
      </c>
      <c r="K3071" t="inlineStr">
        <is>
          <t>https://entrackr.com/news/mozark-raises-40-mn-in-series-b-round-led-by-ifc-and-rmb-capitalworks-11191307</t>
        </is>
      </c>
    </row>
    <row r="3072">
      <c r="A3072" t="inlineStr">
        <is>
          <t>VCC-a54e568aba</t>
        </is>
      </c>
      <c r="B3072" t="inlineStr">
        <is>
          <t>R260310-mozark</t>
        </is>
      </c>
      <c r="C3072" t="inlineStr">
        <is>
          <t>VCCircle</t>
        </is>
      </c>
      <c r="D3072" s="17" t="n">
        <v>46091</v>
      </c>
      <c r="E3072" t="inlineStr">
        <is>
          <t>mozark</t>
        </is>
      </c>
      <c r="F3072" t="inlineStr">
        <is>
          <t>$ 40 million</t>
        </is>
      </c>
      <c r="G3072" s="19" t="n"/>
      <c r="H3072" s="19" t="n">
        <v>40</v>
      </c>
      <c r="I3072" t="inlineStr">
        <is>
          <t>Series B</t>
        </is>
      </c>
      <c r="J3072" t="inlineStr"/>
      <c r="K3072" t="inlineStr">
        <is>
          <t>https://www.vccircle.com/kalaaricapital-backed-mozark-raises-40-mn-in-series-b</t>
        </is>
      </c>
    </row>
    <row r="3073">
      <c r="A3073" t="inlineStr">
        <is>
          <t>INC-20260314-01</t>
        </is>
      </c>
      <c r="B3073" t="inlineStr">
        <is>
          <t>R260310-mozark</t>
        </is>
      </c>
      <c r="C3073" t="inlineStr">
        <is>
          <t>Inc42</t>
        </is>
      </c>
      <c r="D3073" s="17" t="n">
        <v>46092</v>
      </c>
      <c r="E3073" t="inlineStr">
        <is>
          <t>Mozark</t>
        </is>
      </c>
      <c r="F3073" t="inlineStr">
        <is>
          <t>$40 Mn</t>
        </is>
      </c>
      <c r="G3073" s="19" t="n"/>
      <c r="H3073" s="19" t="n">
        <v>40</v>
      </c>
      <c r="I3073" t="inlineStr">
        <is>
          <t>Series B</t>
        </is>
      </c>
      <c r="J3073" t="inlineStr"/>
      <c r="K3073" t="inlineStr">
        <is>
          <t>https://inc42.com/buzz/from-mozark-to-captain-fresh-indian-startups-raised-207-mn-this-week/</t>
        </is>
      </c>
    </row>
    <row r="3074">
      <c r="A3074" t="inlineStr">
        <is>
          <t>ENT-11192150</t>
        </is>
      </c>
      <c r="B3074" t="inlineStr">
        <is>
          <t>R260310-nammayatri</t>
        </is>
      </c>
      <c r="C3074" t="inlineStr">
        <is>
          <t>Entrackr</t>
        </is>
      </c>
      <c r="D3074" s="17" t="n">
        <v>46091</v>
      </c>
      <c r="E3074" t="inlineStr">
        <is>
          <t>Namma Yatri</t>
        </is>
      </c>
      <c r="F3074" t="inlineStr">
        <is>
          <t>Rs 39.75 crore</t>
        </is>
      </c>
      <c r="G3074" s="19" t="n">
        <v>39.75</v>
      </c>
      <c r="H3074" s="19" t="n">
        <v>4.4</v>
      </c>
      <c r="I3074" t="inlineStr">
        <is>
          <t>Pre-Series A</t>
        </is>
      </c>
      <c r="J3074" t="inlineStr">
        <is>
          <t>Vimal Kumar</t>
        </is>
      </c>
      <c r="K3074" t="inlineStr">
        <is>
          <t>https://entrackr.com/exclusive/exclusive-google-backed-namma-yatri-raises-fresh-capital-11192150</t>
        </is>
      </c>
    </row>
    <row r="3075">
      <c r="A3075" t="inlineStr">
        <is>
          <t>ENT-11191069</t>
        </is>
      </c>
      <c r="B3075" t="inlineStr">
        <is>
          <t>R260310-newtrace</t>
        </is>
      </c>
      <c r="C3075" t="inlineStr">
        <is>
          <t>Entrackr</t>
        </is>
      </c>
      <c r="D3075" s="17" t="n">
        <v>46091</v>
      </c>
      <c r="E3075" t="inlineStr">
        <is>
          <t>Newtrace</t>
        </is>
      </c>
      <c r="F3075" t="inlineStr">
        <is>
          <t>$6.3 million</t>
        </is>
      </c>
      <c r="G3075" s="19" t="n">
        <v>56.93</v>
      </c>
      <c r="H3075" s="19" t="n">
        <v>6.3</v>
      </c>
      <c r="I3075" t="inlineStr">
        <is>
          <t>Pre-Series A</t>
        </is>
      </c>
      <c r="J3075" t="inlineStr">
        <is>
          <t>HDFC Bank; Mitsui Sumitomo Insurance Venture Capital</t>
        </is>
      </c>
      <c r="K3075" t="inlineStr">
        <is>
          <t>https://entrackr.com/news/newtrace-raises-63-mn-in-pre-series-a-round-led-by-hdfc-bank-msivc-11191069</t>
        </is>
      </c>
    </row>
    <row r="3076">
      <c r="A3076" t="inlineStr">
        <is>
          <t>ET-129378820</t>
        </is>
      </c>
      <c r="B3076" t="inlineStr">
        <is>
          <t>R260310-newtrace</t>
        </is>
      </c>
      <c r="C3076" t="inlineStr">
        <is>
          <t>The Economic Times</t>
        </is>
      </c>
      <c r="D3076" s="17" t="n">
        <v>46091</v>
      </c>
      <c r="E3076" t="inlineStr">
        <is>
          <t>Newtrace</t>
        </is>
      </c>
      <c r="F3076" t="inlineStr">
        <is>
          <t>$6.3 million</t>
        </is>
      </c>
      <c r="G3076" s="19" t="n">
        <v>56.9</v>
      </c>
      <c r="H3076" s="19" t="n">
        <v>6.3</v>
      </c>
      <c r="I3076" t="inlineStr">
        <is>
          <t>Undisclosed</t>
        </is>
      </c>
      <c r="J3076" t="inlineStr">
        <is>
          <t>HDFC Bank; Mitsui Sumitomo Insurance Venture Capital</t>
        </is>
      </c>
      <c r="K3076" t="inlineStr">
        <is>
          <t>https://economictimes.indiatimes.com/tech/funding/climate-tech-startup-newtrace-raises-6-3-million-from-hdfc-bank-mitsui-sumitomo-peak-xv-others/articleshow/129378820.cms</t>
        </is>
      </c>
    </row>
    <row r="3077">
      <c r="A3077" t="inlineStr">
        <is>
          <t>INC-20260314-10</t>
        </is>
      </c>
      <c r="B3077" t="inlineStr">
        <is>
          <t>R260310-newtrace</t>
        </is>
      </c>
      <c r="C3077" t="inlineStr">
        <is>
          <t>Inc42</t>
        </is>
      </c>
      <c r="D3077" s="17" t="n">
        <v>46091</v>
      </c>
      <c r="E3077" t="inlineStr">
        <is>
          <t>Newtrace</t>
        </is>
      </c>
      <c r="F3077" t="inlineStr">
        <is>
          <t>$6.3 Mn</t>
        </is>
      </c>
      <c r="G3077" s="19" t="n"/>
      <c r="H3077" s="19" t="n">
        <v>6.3</v>
      </c>
      <c r="I3077" t="inlineStr">
        <is>
          <t>Pre-Series A</t>
        </is>
      </c>
      <c r="J3077" t="inlineStr"/>
      <c r="K3077" t="inlineStr">
        <is>
          <t>https://inc42.com/buzz/from-mozark-to-captain-fresh-indian-startups-raised-207-mn-this-week/</t>
        </is>
      </c>
    </row>
    <row r="3078">
      <c r="A3078" t="inlineStr">
        <is>
          <t>INC-20260314-08</t>
        </is>
      </c>
      <c r="B3078" t="inlineStr">
        <is>
          <t>R260310-skyeair</t>
        </is>
      </c>
      <c r="C3078" t="inlineStr">
        <is>
          <t>Inc42</t>
        </is>
      </c>
      <c r="D3078" s="17" t="n">
        <v>46091</v>
      </c>
      <c r="E3078" t="inlineStr">
        <is>
          <t>Skye Air</t>
        </is>
      </c>
      <c r="F3078" t="inlineStr">
        <is>
          <t>$9 Mn</t>
        </is>
      </c>
      <c r="G3078" s="19" t="n"/>
      <c r="H3078" s="19" t="n">
        <v>9</v>
      </c>
      <c r="I3078" t="inlineStr">
        <is>
          <t>Series B</t>
        </is>
      </c>
      <c r="J3078" t="inlineStr"/>
      <c r="K3078" t="inlineStr">
        <is>
          <t>https://inc42.com/buzz/from-mozark-to-captain-fresh-indian-startups-raised-207-mn-this-week/</t>
        </is>
      </c>
    </row>
    <row r="3079">
      <c r="A3079" t="inlineStr">
        <is>
          <t>VCC-7bfd5b16cc</t>
        </is>
      </c>
      <c r="B3079" t="inlineStr">
        <is>
          <t>R260310-skyeair</t>
        </is>
      </c>
      <c r="C3079" t="inlineStr">
        <is>
          <t>VCCircle</t>
        </is>
      </c>
      <c r="D3079" s="17" t="n">
        <v>46092</v>
      </c>
      <c r="E3079" t="inlineStr">
        <is>
          <t>skye air mobility</t>
        </is>
      </c>
      <c r="F3079" t="inlineStr"/>
      <c r="G3079" s="19" t="n"/>
      <c r="H3079" s="19" t="n"/>
      <c r="I3079" t="inlineStr">
        <is>
          <t>Series B</t>
        </is>
      </c>
      <c r="J3079" t="inlineStr"/>
      <c r="K3079" t="inlineStr">
        <is>
          <t>https://www.vccircle.com/dronedelivery-startup-skye-air-mobility-bags-first-tranche-of-series-b</t>
        </is>
      </c>
    </row>
    <row r="3080">
      <c r="A3080" t="inlineStr">
        <is>
          <t>ENT-11190942</t>
        </is>
      </c>
      <c r="B3080" t="inlineStr">
        <is>
          <t>R260310-verdantimpact</t>
        </is>
      </c>
      <c r="C3080" t="inlineStr">
        <is>
          <t>Entrackr</t>
        </is>
      </c>
      <c r="D3080" s="17" t="n">
        <v>46091</v>
      </c>
      <c r="E3080" t="inlineStr">
        <is>
          <t>Verdant Impact</t>
        </is>
      </c>
      <c r="F3080" t="inlineStr">
        <is>
          <t>$3 million</t>
        </is>
      </c>
      <c r="G3080" s="19" t="n"/>
      <c r="H3080" s="19" t="n">
        <v>3</v>
      </c>
      <c r="I3080" t="inlineStr">
        <is>
          <t>Seed</t>
        </is>
      </c>
      <c r="J3080" t="inlineStr">
        <is>
          <t>Unicorn India Ventures</t>
        </is>
      </c>
      <c r="K3080" t="inlineStr">
        <is>
          <t>https://entrackr.com/snippets/verdant-impact-raises-3-mn-in-seed-round-led-by-unicorn-india-ventures-11190942</t>
        </is>
      </c>
    </row>
    <row r="3081">
      <c r="A3081" t="inlineStr">
        <is>
          <t>INC-20260314-15</t>
        </is>
      </c>
      <c r="B3081" t="inlineStr">
        <is>
          <t>R260310-verdantimpact</t>
        </is>
      </c>
      <c r="C3081" t="inlineStr">
        <is>
          <t>Inc42</t>
        </is>
      </c>
      <c r="D3081" s="17" t="n">
        <v>46091</v>
      </c>
      <c r="E3081" t="inlineStr">
        <is>
          <t>Verdant Impact</t>
        </is>
      </c>
      <c r="F3081" t="inlineStr">
        <is>
          <t>$3 Mn</t>
        </is>
      </c>
      <c r="G3081" s="19" t="n"/>
      <c r="H3081" s="19" t="n">
        <v>3</v>
      </c>
      <c r="I3081" t="inlineStr">
        <is>
          <t>Seed</t>
        </is>
      </c>
      <c r="J3081" t="inlineStr"/>
      <c r="K3081" t="inlineStr">
        <is>
          <t>https://inc42.com/buzz/from-mozark-to-captain-fresh-indian-startups-raised-207-mn-this-week/</t>
        </is>
      </c>
    </row>
    <row r="3082">
      <c r="A3082" t="inlineStr">
        <is>
          <t>ET-129346824</t>
        </is>
      </c>
      <c r="B3082" t="inlineStr">
        <is>
          <t>R260310-zofffoods</t>
        </is>
      </c>
      <c r="C3082" t="inlineStr">
        <is>
          <t>The Economic Times</t>
        </is>
      </c>
      <c r="D3082" s="17" t="n">
        <v>46090</v>
      </c>
      <c r="E3082" t="inlineStr">
        <is>
          <t>Zoff Foods</t>
        </is>
      </c>
      <c r="F3082" t="inlineStr">
        <is>
          <t>$2 million</t>
        </is>
      </c>
      <c r="G3082" s="19" t="n"/>
      <c r="H3082" s="19" t="n">
        <v>2</v>
      </c>
      <c r="I3082" t="inlineStr">
        <is>
          <t>Undisclosed</t>
        </is>
      </c>
      <c r="J3082" t="inlineStr"/>
      <c r="K3082" t="inlineStr">
        <is>
          <t>https://economictimes.indiatimes.com/tech/funding/zoff-foods-raises-2-million-from-jm-financial-pe/articleshow/129346824.cms</t>
        </is>
      </c>
    </row>
    <row r="3083">
      <c r="A3083" t="inlineStr">
        <is>
          <t>ENT-11190432</t>
        </is>
      </c>
      <c r="B3083" t="inlineStr">
        <is>
          <t>R260310-zofffoods</t>
        </is>
      </c>
      <c r="C3083" t="inlineStr">
        <is>
          <t>Entrackr</t>
        </is>
      </c>
      <c r="D3083" s="17" t="n">
        <v>46091</v>
      </c>
      <c r="E3083" t="inlineStr">
        <is>
          <t>Zoff Foods</t>
        </is>
      </c>
      <c r="F3083" t="inlineStr">
        <is>
          <t>$2 million</t>
        </is>
      </c>
      <c r="G3083" s="19" t="n"/>
      <c r="H3083" s="19" t="n">
        <v>2</v>
      </c>
      <c r="I3083" t="inlineStr">
        <is>
          <t>Undisclosed</t>
        </is>
      </c>
      <c r="J3083" t="inlineStr"/>
      <c r="K3083" t="inlineStr">
        <is>
          <t>https://entrackr.com/snippets/zoff-foods-raises-2-mn-from-jm-financial-pe-11190432</t>
        </is>
      </c>
    </row>
    <row r="3084">
      <c r="A3084" t="inlineStr">
        <is>
          <t>INC-20260314-18</t>
        </is>
      </c>
      <c r="B3084" t="inlineStr">
        <is>
          <t>R260310-zofffoods</t>
        </is>
      </c>
      <c r="C3084" t="inlineStr">
        <is>
          <t>Inc42</t>
        </is>
      </c>
      <c r="D3084" s="17" t="n">
        <v>46091</v>
      </c>
      <c r="E3084" t="inlineStr">
        <is>
          <t>Zoff Foods</t>
        </is>
      </c>
      <c r="F3084" t="inlineStr">
        <is>
          <t>$2 Mn</t>
        </is>
      </c>
      <c r="G3084" s="19" t="n"/>
      <c r="H3084" s="19" t="n">
        <v>2</v>
      </c>
      <c r="I3084" t="inlineStr">
        <is>
          <t>Pre-Series B</t>
        </is>
      </c>
      <c r="J3084" t="inlineStr"/>
      <c r="K3084" t="inlineStr">
        <is>
          <t>https://inc42.com/buzz/from-mozark-to-captain-fresh-indian-startups-raised-207-mn-this-week/</t>
        </is>
      </c>
    </row>
    <row r="3085">
      <c r="A3085" t="inlineStr">
        <is>
          <t>INC-20260314-14</t>
        </is>
      </c>
      <c r="B3085" t="inlineStr">
        <is>
          <t>R260311-adititoys</t>
        </is>
      </c>
      <c r="C3085" t="inlineStr">
        <is>
          <t>Inc42</t>
        </is>
      </c>
      <c r="D3085" s="17" t="n">
        <v>46092</v>
      </c>
      <c r="E3085" t="inlineStr">
        <is>
          <t>Aditi Toys</t>
        </is>
      </c>
      <c r="F3085" t="inlineStr">
        <is>
          <t>$3.9 Mn</t>
        </is>
      </c>
      <c r="G3085" s="19" t="n"/>
      <c r="H3085" s="19" t="n">
        <v>3.9</v>
      </c>
      <c r="I3085" t="inlineStr">
        <is>
          <t>Undisclosed</t>
        </is>
      </c>
      <c r="J3085" t="inlineStr"/>
      <c r="K3085" t="inlineStr">
        <is>
          <t>https://inc42.com/buzz/from-mozark-to-captain-fresh-indian-startups-raised-207-mn-this-week/</t>
        </is>
      </c>
    </row>
    <row r="3086">
      <c r="A3086" t="inlineStr">
        <is>
          <t>ENT-11193618</t>
        </is>
      </c>
      <c r="B3086" t="inlineStr">
        <is>
          <t>R260311-bobabhai</t>
        </is>
      </c>
      <c r="C3086" t="inlineStr">
        <is>
          <t>Entrackr</t>
        </is>
      </c>
      <c r="D3086" s="17" t="n">
        <v>46092</v>
      </c>
      <c r="E3086" t="inlineStr">
        <is>
          <t>Boba Bhai</t>
        </is>
      </c>
      <c r="F3086" t="inlineStr">
        <is>
          <t>$4.3 million</t>
        </is>
      </c>
      <c r="G3086" s="19" t="n">
        <v>40</v>
      </c>
      <c r="H3086" s="19" t="n">
        <v>4.3</v>
      </c>
      <c r="I3086" t="inlineStr">
        <is>
          <t>Undisclosed</t>
        </is>
      </c>
      <c r="J3086" t="inlineStr"/>
      <c r="K3086" t="inlineStr">
        <is>
          <t>https://entrackr.com/snippets/qsr-chain-boba-bhai-raises-43-mn-11193618</t>
        </is>
      </c>
    </row>
    <row r="3087">
      <c r="A3087" t="inlineStr">
        <is>
          <t>ET-129408953</t>
        </is>
      </c>
      <c r="B3087" t="inlineStr">
        <is>
          <t>R260311-bobabhai</t>
        </is>
      </c>
      <c r="C3087" t="inlineStr">
        <is>
          <t>The Economic Times</t>
        </is>
      </c>
      <c r="D3087" s="17" t="n">
        <v>46092</v>
      </c>
      <c r="E3087" t="inlineStr">
        <is>
          <t>Boba Bhai</t>
        </is>
      </c>
      <c r="F3087" t="inlineStr">
        <is>
          <t>$4.3 million</t>
        </is>
      </c>
      <c r="G3087" s="19" t="n">
        <v>40</v>
      </c>
      <c r="H3087" s="19" t="n">
        <v>4.3</v>
      </c>
      <c r="I3087" t="inlineStr">
        <is>
          <t>Undisclosed</t>
        </is>
      </c>
      <c r="J3087" t="inlineStr"/>
      <c r="K3087" t="inlineStr">
        <is>
          <t>https://economictimes.indiatimes.com/tech/funding/qsr-chain-boba-bhai-raises-4-3-million-from-8i-ventures-titan-capital-winners-fund-global-growth-capital/articleshow/129408953.cms</t>
        </is>
      </c>
    </row>
    <row r="3088">
      <c r="A3088" t="inlineStr">
        <is>
          <t>INC-20260314-13</t>
        </is>
      </c>
      <c r="B3088" t="inlineStr">
        <is>
          <t>R260311-bobabhai</t>
        </is>
      </c>
      <c r="C3088" t="inlineStr">
        <is>
          <t>Inc42</t>
        </is>
      </c>
      <c r="D3088" s="17" t="n">
        <v>46092</v>
      </c>
      <c r="E3088" t="inlineStr">
        <is>
          <t>Boba Bhai</t>
        </is>
      </c>
      <c r="F3088" t="inlineStr">
        <is>
          <t>$4.4 Mn</t>
        </is>
      </c>
      <c r="G3088" s="19" t="n"/>
      <c r="H3088" s="19" t="n">
        <v>4.4</v>
      </c>
      <c r="I3088" t="inlineStr">
        <is>
          <t>Undisclosed</t>
        </is>
      </c>
      <c r="J3088" t="inlineStr"/>
      <c r="K3088" t="inlineStr">
        <is>
          <t>https://inc42.com/buzz/from-mozark-to-captain-fresh-indian-startups-raised-207-mn-this-week/</t>
        </is>
      </c>
    </row>
    <row r="3089">
      <c r="A3089" t="inlineStr">
        <is>
          <t>INC-20260314-05</t>
        </is>
      </c>
      <c r="B3089" t="inlineStr">
        <is>
          <t>R260311-bonkerscorner</t>
        </is>
      </c>
      <c r="C3089" t="inlineStr">
        <is>
          <t>Inc42</t>
        </is>
      </c>
      <c r="D3089" s="17" t="n">
        <v>46092</v>
      </c>
      <c r="E3089" t="inlineStr">
        <is>
          <t>Bonkers Corner</t>
        </is>
      </c>
      <c r="F3089" t="inlineStr">
        <is>
          <t>$15 Mn</t>
        </is>
      </c>
      <c r="G3089" s="19" t="n"/>
      <c r="H3089" s="19" t="n">
        <v>15</v>
      </c>
      <c r="I3089" t="inlineStr">
        <is>
          <t>Series A</t>
        </is>
      </c>
      <c r="J3089" t="inlineStr"/>
      <c r="K3089" t="inlineStr">
        <is>
          <t>https://inc42.com/buzz/from-mozark-to-captain-fresh-indian-startups-raised-207-mn-this-week/</t>
        </is>
      </c>
    </row>
    <row r="3090">
      <c r="A3090" t="inlineStr">
        <is>
          <t>ENT-11204068</t>
        </is>
      </c>
      <c r="B3090" t="inlineStr">
        <is>
          <t>R260311-confluxe</t>
        </is>
      </c>
      <c r="C3090" t="inlineStr">
        <is>
          <t>Entrackr</t>
        </is>
      </c>
      <c r="D3090" s="17" t="n">
        <v>46092</v>
      </c>
      <c r="E3090" t="inlineStr">
        <is>
          <t>Confluxe</t>
        </is>
      </c>
      <c r="F3090" t="inlineStr">
        <is>
          <t>$1.6 million</t>
        </is>
      </c>
      <c r="G3090" s="19" t="n"/>
      <c r="H3090" s="19" t="n">
        <v>1.6</v>
      </c>
      <c r="I3090" t="inlineStr">
        <is>
          <t>Pre-Seed</t>
        </is>
      </c>
      <c r="J3090" t="inlineStr">
        <is>
          <t>Wavemaker Partners</t>
        </is>
      </c>
      <c r="K3090" t="inlineStr">
        <is>
          <t>https://entrackr.com/snippets/wavemaker-partners-leads-16-mn-pre-seed-round-in-confluxe-11204068</t>
        </is>
      </c>
    </row>
    <row r="3091">
      <c r="A3091" t="inlineStr">
        <is>
          <t>INC-20260314-19</t>
        </is>
      </c>
      <c r="B3091" t="inlineStr">
        <is>
          <t>R260311-confluxe</t>
        </is>
      </c>
      <c r="C3091" t="inlineStr">
        <is>
          <t>Inc42</t>
        </is>
      </c>
      <c r="D3091" s="17" t="n">
        <v>46092</v>
      </c>
      <c r="E3091" t="inlineStr">
        <is>
          <t>Confluxe</t>
        </is>
      </c>
      <c r="F3091" t="inlineStr">
        <is>
          <t>$1.6 Mn</t>
        </is>
      </c>
      <c r="G3091" s="19" t="n"/>
      <c r="H3091" s="19" t="n">
        <v>1.6</v>
      </c>
      <c r="I3091" t="inlineStr">
        <is>
          <t>Pre-Seed</t>
        </is>
      </c>
      <c r="J3091" t="inlineStr"/>
      <c r="K3091" t="inlineStr">
        <is>
          <t>https://inc42.com/buzz/from-mozark-to-captain-fresh-indian-startups-raised-207-mn-this-week/</t>
        </is>
      </c>
    </row>
    <row r="3092">
      <c r="A3092" t="inlineStr">
        <is>
          <t>ENT-11203937</t>
        </is>
      </c>
      <c r="B3092" t="inlineStr">
        <is>
          <t>R260311-constemsaisyst</t>
        </is>
      </c>
      <c r="C3092" t="inlineStr">
        <is>
          <t>Entrackr</t>
        </is>
      </c>
      <c r="D3092" s="17" t="n">
        <v>46092</v>
      </c>
      <c r="E3092" t="inlineStr">
        <is>
          <t>Constems AI Systems</t>
        </is>
      </c>
      <c r="F3092" t="inlineStr">
        <is>
          <t>$2 million</t>
        </is>
      </c>
      <c r="G3092" s="19" t="n"/>
      <c r="H3092" s="19" t="n">
        <v>2</v>
      </c>
      <c r="I3092" t="inlineStr">
        <is>
          <t>Pre-Series A</t>
        </is>
      </c>
      <c r="J3092" t="inlineStr">
        <is>
          <t>Finvolve; India Accelerator</t>
        </is>
      </c>
      <c r="K3092" t="inlineStr">
        <is>
          <t>https://entrackr.com/snippets/constems-ai-systems-raises-2-mn-led-by-finvolve-and-india-accelerator-11203937</t>
        </is>
      </c>
    </row>
    <row r="3093">
      <c r="A3093" t="inlineStr">
        <is>
          <t>INC-20260314-16</t>
        </is>
      </c>
      <c r="B3093" t="inlineStr">
        <is>
          <t>R260311-constemsaisyst</t>
        </is>
      </c>
      <c r="C3093" t="inlineStr">
        <is>
          <t>Inc42</t>
        </is>
      </c>
      <c r="D3093" s="17" t="n">
        <v>46092</v>
      </c>
      <c r="E3093" t="inlineStr">
        <is>
          <t>Constems-AI</t>
        </is>
      </c>
      <c r="F3093" t="inlineStr">
        <is>
          <t>$2 Mn</t>
        </is>
      </c>
      <c r="G3093" s="19" t="n"/>
      <c r="H3093" s="19" t="n">
        <v>2</v>
      </c>
      <c r="I3093" t="inlineStr">
        <is>
          <t>Pre-Series A</t>
        </is>
      </c>
      <c r="J3093" t="inlineStr"/>
      <c r="K3093" t="inlineStr">
        <is>
          <t>https://inc42.com/buzz/from-mozark-to-captain-fresh-indian-startups-raised-207-mn-this-week/</t>
        </is>
      </c>
    </row>
    <row r="3094">
      <c r="A3094" t="inlineStr">
        <is>
          <t>ENT-11195036</t>
        </is>
      </c>
      <c r="B3094" t="inlineStr">
        <is>
          <t>R260311-drinkprime</t>
        </is>
      </c>
      <c r="C3094" t="inlineStr">
        <is>
          <t>Entrackr</t>
        </is>
      </c>
      <c r="D3094" s="17" t="n">
        <v>46092</v>
      </c>
      <c r="E3094" t="inlineStr">
        <is>
          <t>DrinkPrime</t>
        </is>
      </c>
      <c r="F3094" t="inlineStr">
        <is>
          <t>Rs 20 crore</t>
        </is>
      </c>
      <c r="G3094" s="19" t="n">
        <v>20</v>
      </c>
      <c r="H3094" s="19" t="n"/>
      <c r="I3094" t="inlineStr">
        <is>
          <t>Undisclosed</t>
        </is>
      </c>
      <c r="J3094" t="inlineStr"/>
      <c r="K3094" t="inlineStr">
        <is>
          <t>https://entrackr.com/exclusive/exclusive-drinkprime-raises-fresh-money-at-30-valuation-premium-11195036</t>
        </is>
      </c>
    </row>
    <row r="3095">
      <c r="A3095" t="inlineStr">
        <is>
          <t>ET-129636145</t>
        </is>
      </c>
      <c r="B3095" t="inlineStr">
        <is>
          <t>R260311-drinkprime</t>
        </is>
      </c>
      <c r="C3095" t="inlineStr">
        <is>
          <t>The Economic Times</t>
        </is>
      </c>
      <c r="D3095" s="17" t="n">
        <v>46098</v>
      </c>
      <c r="E3095" t="inlineStr">
        <is>
          <t>Drink Prime</t>
        </is>
      </c>
      <c r="F3095" t="inlineStr">
        <is>
          <t>$2.2 million</t>
        </is>
      </c>
      <c r="G3095" s="19" t="n"/>
      <c r="H3095" s="19" t="n">
        <v>2.2</v>
      </c>
      <c r="I3095" t="inlineStr">
        <is>
          <t>Undisclosed</t>
        </is>
      </c>
      <c r="J3095" t="inlineStr"/>
      <c r="K3095" t="inlineStr">
        <is>
          <t>https://economictimes.indiatimes.com/tech/startups/water-purifier-startup-drink-prime-raises-2-2-million-from-artha-continuum-mirabilis-investment/articleshow/129636145.cms</t>
        </is>
      </c>
    </row>
    <row r="3096">
      <c r="A3096" t="inlineStr">
        <is>
          <t>INC-20260321-15</t>
        </is>
      </c>
      <c r="B3096" t="inlineStr">
        <is>
          <t>R260311-drinkprime</t>
        </is>
      </c>
      <c r="C3096" t="inlineStr">
        <is>
          <t>Inc42</t>
        </is>
      </c>
      <c r="D3096" s="17" t="n">
        <v>46098</v>
      </c>
      <c r="E3096" t="inlineStr">
        <is>
          <t>DrinkPrime</t>
        </is>
      </c>
      <c r="F3096" t="inlineStr">
        <is>
          <t>$2.2 Mn</t>
        </is>
      </c>
      <c r="G3096" s="19" t="n"/>
      <c r="H3096" s="19" t="n">
        <v>2.2</v>
      </c>
      <c r="I3096" t="inlineStr">
        <is>
          <t>Undisclosed</t>
        </is>
      </c>
      <c r="J3096" t="inlineStr"/>
      <c r="K3096" t="inlineStr">
        <is>
          <t>https://inc42.com/buzz/from-neo-to-atlys-indian-startups-raised-228-mn-this-week-2/</t>
        </is>
      </c>
    </row>
    <row r="3097">
      <c r="A3097" t="inlineStr">
        <is>
          <t>ENT-11193962</t>
        </is>
      </c>
      <c r="B3097" t="inlineStr">
        <is>
          <t>R260311-nprep</t>
        </is>
      </c>
      <c r="C3097" t="inlineStr">
        <is>
          <t>Entrackr</t>
        </is>
      </c>
      <c r="D3097" s="17" t="n">
        <v>46092</v>
      </c>
      <c r="E3097" t="inlineStr">
        <is>
          <t>NPrep</t>
        </is>
      </c>
      <c r="F3097" t="inlineStr">
        <is>
          <t>$1.5 million</t>
        </is>
      </c>
      <c r="G3097" s="19" t="n"/>
      <c r="H3097" s="19" t="n">
        <v>1.5</v>
      </c>
      <c r="I3097" t="inlineStr">
        <is>
          <t>Seed</t>
        </is>
      </c>
      <c r="J3097" t="inlineStr">
        <is>
          <t>Lumikai</t>
        </is>
      </c>
      <c r="K3097" t="inlineStr">
        <is>
          <t>https://entrackr.com/snippets/lumikai-leads-15-mn-seed-round-in-nprep-11193962</t>
        </is>
      </c>
    </row>
    <row r="3098">
      <c r="A3098" t="inlineStr">
        <is>
          <t>ET-129438376</t>
        </is>
      </c>
      <c r="B3098" t="inlineStr">
        <is>
          <t>R260311-nprep</t>
        </is>
      </c>
      <c r="C3098" t="inlineStr">
        <is>
          <t>The Economic Times</t>
        </is>
      </c>
      <c r="D3098" s="17" t="n">
        <v>46092</v>
      </c>
      <c r="E3098" t="inlineStr">
        <is>
          <t>Nprep</t>
        </is>
      </c>
      <c r="F3098" t="inlineStr">
        <is>
          <t>$1.5 million</t>
        </is>
      </c>
      <c r="G3098" s="19" t="n"/>
      <c r="H3098" s="19" t="n">
        <v>1.5</v>
      </c>
      <c r="I3098" t="inlineStr">
        <is>
          <t>Seed</t>
        </is>
      </c>
      <c r="J3098" t="inlineStr"/>
      <c r="K3098" t="inlineStr">
        <is>
          <t>https://economictimes.indiatimes.com/tech/funding/nursing-education-startup-nprep-raises-1-5-million-from-lumikai/articleshow/129438376.cms</t>
        </is>
      </c>
    </row>
    <row r="3099">
      <c r="A3099" t="inlineStr">
        <is>
          <t>INC-20260314-20</t>
        </is>
      </c>
      <c r="B3099" t="inlineStr">
        <is>
          <t>R260311-nprep</t>
        </is>
      </c>
      <c r="C3099" t="inlineStr">
        <is>
          <t>Inc42</t>
        </is>
      </c>
      <c r="D3099" s="17" t="n">
        <v>46092</v>
      </c>
      <c r="E3099" t="inlineStr">
        <is>
          <t>NPrep</t>
        </is>
      </c>
      <c r="F3099" t="inlineStr">
        <is>
          <t>$1.5 Mn</t>
        </is>
      </c>
      <c r="G3099" s="19" t="n"/>
      <c r="H3099" s="19" t="n">
        <v>1.5</v>
      </c>
      <c r="I3099" t="inlineStr">
        <is>
          <t>Seed</t>
        </is>
      </c>
      <c r="J3099" t="inlineStr"/>
      <c r="K3099" t="inlineStr">
        <is>
          <t>https://inc42.com/buzz/from-mozark-to-captain-fresh-indian-startups-raised-207-mn-this-week/</t>
        </is>
      </c>
    </row>
    <row r="3100">
      <c r="A3100" t="inlineStr">
        <is>
          <t>ENT-11193954</t>
        </is>
      </c>
      <c r="B3100" t="inlineStr">
        <is>
          <t>R260311-opencfo</t>
        </is>
      </c>
      <c r="C3100" t="inlineStr">
        <is>
          <t>Entrackr</t>
        </is>
      </c>
      <c r="D3100" s="17" t="n">
        <v>46092</v>
      </c>
      <c r="E3100" t="inlineStr">
        <is>
          <t>OpenCFO</t>
        </is>
      </c>
      <c r="F3100" t="inlineStr">
        <is>
          <t>$2 million</t>
        </is>
      </c>
      <c r="G3100" s="19" t="n"/>
      <c r="H3100" s="19" t="n">
        <v>2</v>
      </c>
      <c r="I3100" t="inlineStr">
        <is>
          <t>Undisclosed</t>
        </is>
      </c>
      <c r="J3100" t="inlineStr">
        <is>
          <t>Endiya Partners</t>
        </is>
      </c>
      <c r="K3100" t="inlineStr">
        <is>
          <t>https://entrackr.com/snippets/opencfo-raises-2-mn-in-round-led-by-endiya-partners-11193954</t>
        </is>
      </c>
    </row>
    <row r="3101">
      <c r="A3101" t="inlineStr">
        <is>
          <t>INC-20260314-17</t>
        </is>
      </c>
      <c r="B3101" t="inlineStr">
        <is>
          <t>R260311-opencfo</t>
        </is>
      </c>
      <c r="C3101" t="inlineStr">
        <is>
          <t>Inc42</t>
        </is>
      </c>
      <c r="D3101" s="17" t="n">
        <v>46092</v>
      </c>
      <c r="E3101" t="inlineStr">
        <is>
          <t>OpenCFO</t>
        </is>
      </c>
      <c r="F3101" t="inlineStr">
        <is>
          <t>$2 Mn</t>
        </is>
      </c>
      <c r="G3101" s="19" t="n"/>
      <c r="H3101" s="19" t="n">
        <v>2</v>
      </c>
      <c r="I3101" t="inlineStr">
        <is>
          <t>Seed</t>
        </is>
      </c>
      <c r="J3101" t="inlineStr"/>
      <c r="K3101" t="inlineStr">
        <is>
          <t>https://inc42.com/buzz/from-mozark-to-captain-fresh-indian-startups-raised-207-mn-this-week/</t>
        </is>
      </c>
    </row>
    <row r="3102">
      <c r="A3102" t="inlineStr">
        <is>
          <t>INC-20260314-21</t>
        </is>
      </c>
      <c r="B3102" t="inlineStr">
        <is>
          <t>R260311-upandrun</t>
        </is>
      </c>
      <c r="C3102" t="inlineStr">
        <is>
          <t>Inc42</t>
        </is>
      </c>
      <c r="D3102" s="17" t="n">
        <v>46092</v>
      </c>
      <c r="E3102" t="inlineStr">
        <is>
          <t>UP&amp;RUN</t>
        </is>
      </c>
      <c r="F3102" t="inlineStr">
        <is>
          <t>$206K</t>
        </is>
      </c>
      <c r="G3102" s="19" t="n"/>
      <c r="H3102" s="19" t="n">
        <v>0.206</v>
      </c>
      <c r="I3102" t="inlineStr">
        <is>
          <t>Undisclosed</t>
        </is>
      </c>
      <c r="J3102" t="inlineStr"/>
      <c r="K3102" t="inlineStr">
        <is>
          <t>https://inc42.com/buzz/from-mozark-to-captain-fresh-indian-startups-raised-207-mn-this-week/</t>
        </is>
      </c>
    </row>
    <row r="3103">
      <c r="A3103" t="inlineStr">
        <is>
          <t>INC-20260314-12</t>
        </is>
      </c>
      <c r="B3103" t="inlineStr">
        <is>
          <t>R260312-galaxeye</t>
        </is>
      </c>
      <c r="C3103" t="inlineStr">
        <is>
          <t>Inc42</t>
        </is>
      </c>
      <c r="D3103" s="17" t="n">
        <v>46093</v>
      </c>
      <c r="E3103" t="inlineStr">
        <is>
          <t>GalaxEye</t>
        </is>
      </c>
      <c r="F3103" t="inlineStr">
        <is>
          <t>$4.8 Mn</t>
        </is>
      </c>
      <c r="G3103" s="19" t="n"/>
      <c r="H3103" s="19" t="n">
        <v>4.8</v>
      </c>
      <c r="I3103" t="inlineStr">
        <is>
          <t>Series A</t>
        </is>
      </c>
      <c r="J3103" t="inlineStr"/>
      <c r="K3103" t="inlineStr">
        <is>
          <t>https://inc42.com/buzz/from-mozark-to-captain-fresh-indian-startups-raised-207-mn-this-week/</t>
        </is>
      </c>
    </row>
    <row r="3104">
      <c r="A3104" t="inlineStr">
        <is>
          <t>VCC-89ccda2203</t>
        </is>
      </c>
      <c r="B3104" t="inlineStr">
        <is>
          <t>R260312-mosaicwellness</t>
        </is>
      </c>
      <c r="C3104" t="inlineStr">
        <is>
          <t>VCCircle</t>
        </is>
      </c>
      <c r="D3104" s="17" t="n">
        <v>46091</v>
      </c>
      <c r="E3104" t="inlineStr">
        <is>
          <t>vcbacked mosaic wellness</t>
        </is>
      </c>
      <c r="F3104" t="inlineStr"/>
      <c r="G3104" s="19" t="n"/>
      <c r="H3104" s="19" t="n"/>
      <c r="I3104" t="inlineStr">
        <is>
          <t>Undisclosed</t>
        </is>
      </c>
      <c r="J3104" t="inlineStr"/>
      <c r="K3104" t="inlineStr">
        <is>
          <t>https://www.vccircle.com/vcbacked-mosaic-wellness-secures-funding-from-asset-management-firm</t>
        </is>
      </c>
    </row>
    <row r="3105">
      <c r="A3105" t="inlineStr">
        <is>
          <t>ENT-11206195</t>
        </is>
      </c>
      <c r="B3105" t="inlineStr">
        <is>
          <t>R260312-mosaicwellness</t>
        </is>
      </c>
      <c r="C3105" t="inlineStr">
        <is>
          <t>Entrackr</t>
        </is>
      </c>
      <c r="D3105" s="17" t="n">
        <v>46093</v>
      </c>
      <c r="E3105" t="inlineStr">
        <is>
          <t>Mosaic Wellness</t>
        </is>
      </c>
      <c r="F3105" t="inlineStr">
        <is>
          <t>Rs 200 crore</t>
        </is>
      </c>
      <c r="G3105" s="19" t="n">
        <v>200</v>
      </c>
      <c r="H3105" s="19" t="n">
        <v>21</v>
      </c>
      <c r="I3105" t="inlineStr">
        <is>
          <t>Undisclosed</t>
        </is>
      </c>
      <c r="J3105" t="inlineStr"/>
      <c r="K3105" t="inlineStr">
        <is>
          <t>https://entrackr.com/news/mosaic-wellness-raises-rs-200-cr-from-360-one-spring-marketing-capital-partially-exits-11206195</t>
        </is>
      </c>
    </row>
    <row r="3106">
      <c r="A3106" t="inlineStr">
        <is>
          <t>INC-20260314-04</t>
        </is>
      </c>
      <c r="B3106" t="inlineStr">
        <is>
          <t>R260312-mosaicwellness</t>
        </is>
      </c>
      <c r="C3106" t="inlineStr">
        <is>
          <t>Inc42</t>
        </is>
      </c>
      <c r="D3106" s="17" t="n">
        <v>46093</v>
      </c>
      <c r="E3106" t="inlineStr">
        <is>
          <t>Mosiac Wellness</t>
        </is>
      </c>
      <c r="F3106" t="inlineStr">
        <is>
          <t>$21.7 Mn</t>
        </is>
      </c>
      <c r="G3106" s="19" t="n"/>
      <c r="H3106" s="19" t="n">
        <v>21.7</v>
      </c>
      <c r="I3106" t="inlineStr">
        <is>
          <t>Undisclosed</t>
        </is>
      </c>
      <c r="J3106" t="inlineStr"/>
      <c r="K3106" t="inlineStr">
        <is>
          <t>https://inc42.com/buzz/from-mozark-to-captain-fresh-indian-startups-raised-207-mn-this-week/</t>
        </is>
      </c>
    </row>
    <row r="3107">
      <c r="A3107" t="inlineStr">
        <is>
          <t>VCC-b4192485d4</t>
        </is>
      </c>
      <c r="B3107" t="inlineStr">
        <is>
          <t>R260312-mosaicwellness</t>
        </is>
      </c>
      <c r="C3107" t="inlineStr">
        <is>
          <t>VCCircle</t>
        </is>
      </c>
      <c r="D3107" s="17" t="n">
        <v>46093</v>
      </c>
      <c r="E3107" t="inlineStr">
        <is>
          <t>mosaic wellness</t>
        </is>
      </c>
      <c r="F3107" t="inlineStr"/>
      <c r="G3107" s="19" t="n"/>
      <c r="H3107" s="19" t="n"/>
      <c r="I3107" t="inlineStr">
        <is>
          <t>Undisclosed</t>
        </is>
      </c>
      <c r="J3107" t="inlineStr"/>
      <c r="K3107" t="inlineStr">
        <is>
          <t>https://www.vccircle.com/elevationpeak-xv-backed-mosaic-wellness-nets-funding-from-360-one-asset</t>
        </is>
      </c>
    </row>
    <row r="3108">
      <c r="A3108" t="inlineStr">
        <is>
          <t>ENT-11211096</t>
        </is>
      </c>
      <c r="B3108" t="inlineStr">
        <is>
          <t>R260313-waycool</t>
        </is>
      </c>
      <c r="C3108" t="inlineStr">
        <is>
          <t>Entrackr</t>
        </is>
      </c>
      <c r="D3108" s="17" t="n">
        <v>46094</v>
      </c>
      <c r="E3108" t="inlineStr">
        <is>
          <t>WayCool</t>
        </is>
      </c>
      <c r="F3108" t="inlineStr">
        <is>
          <t>Rs 210 crore</t>
        </is>
      </c>
      <c r="G3108" s="19" t="n">
        <v>210</v>
      </c>
      <c r="H3108" s="19" t="n">
        <v>22.7</v>
      </c>
      <c r="I3108" t="inlineStr">
        <is>
          <t>Undisclosed</t>
        </is>
      </c>
      <c r="J3108" t="inlineStr"/>
      <c r="K3108" t="inlineStr">
        <is>
          <t>https://entrackr.com/news/waycool-raises-rs-210-cr-from-lightrock-india-11211096</t>
        </is>
      </c>
    </row>
    <row r="3109">
      <c r="A3109" t="inlineStr">
        <is>
          <t>INC-20260314-03</t>
        </is>
      </c>
      <c r="B3109" t="inlineStr">
        <is>
          <t>R260313-waycool</t>
        </is>
      </c>
      <c r="C3109" t="inlineStr">
        <is>
          <t>Inc42</t>
        </is>
      </c>
      <c r="D3109" s="17" t="n">
        <v>46094</v>
      </c>
      <c r="E3109" t="inlineStr">
        <is>
          <t>Waycool</t>
        </is>
      </c>
      <c r="F3109" t="inlineStr">
        <is>
          <t>$22.7 Mn</t>
        </is>
      </c>
      <c r="G3109" s="19" t="n"/>
      <c r="H3109" s="19" t="n">
        <v>22.7</v>
      </c>
      <c r="I3109" t="inlineStr">
        <is>
          <t>Undisclosed</t>
        </is>
      </c>
      <c r="J3109" t="inlineStr"/>
      <c r="K3109" t="inlineStr">
        <is>
          <t>https://inc42.com/buzz/from-mozark-to-captain-fresh-indian-startups-raised-207-mn-this-week/</t>
        </is>
      </c>
    </row>
    <row r="3110">
      <c r="A3110" t="inlineStr">
        <is>
          <t>ET-129588255</t>
        </is>
      </c>
      <c r="B3110" t="inlineStr">
        <is>
          <t>R260315-officebanao</t>
        </is>
      </c>
      <c r="C3110" t="inlineStr">
        <is>
          <t>The Economic Times</t>
        </is>
      </c>
      <c r="D3110" s="17" t="n">
        <v>46096</v>
      </c>
      <c r="E3110" t="inlineStr">
        <is>
          <t>Officebanao</t>
        </is>
      </c>
      <c r="F3110" t="inlineStr">
        <is>
          <t>$7.7 million</t>
        </is>
      </c>
      <c r="G3110" s="19" t="n">
        <v>72</v>
      </c>
      <c r="H3110" s="19" t="n">
        <v>7.7</v>
      </c>
      <c r="I3110" t="inlineStr">
        <is>
          <t>Undisclosed</t>
        </is>
      </c>
      <c r="J3110" t="inlineStr"/>
      <c r="K3110" t="inlineStr">
        <is>
          <t>https://economictimes.indiatimes.com/tech/funding/real-estate-startup-officebanao-raises-nearly-4-million-to-expand-business/articleshow/129588255.cms</t>
        </is>
      </c>
    </row>
    <row r="3111">
      <c r="A3111" t="inlineStr">
        <is>
          <t>ENT-11216087</t>
        </is>
      </c>
      <c r="B3111" t="inlineStr">
        <is>
          <t>R260315-officebanao</t>
        </is>
      </c>
      <c r="C3111" t="inlineStr">
        <is>
          <t>Entrackr</t>
        </is>
      </c>
      <c r="D3111" s="17" t="n">
        <v>46097</v>
      </c>
      <c r="E3111" t="inlineStr">
        <is>
          <t>OfficeBanao</t>
        </is>
      </c>
      <c r="F3111" t="inlineStr">
        <is>
          <t>$4 million</t>
        </is>
      </c>
      <c r="G3111" s="19" t="n"/>
      <c r="H3111" s="19" t="n">
        <v>4</v>
      </c>
      <c r="I3111" t="inlineStr">
        <is>
          <t>Undisclosed</t>
        </is>
      </c>
      <c r="J3111" t="inlineStr">
        <is>
          <t>Lightspeed Venture Partners</t>
        </is>
      </c>
      <c r="K3111" t="inlineStr">
        <is>
          <t>https://entrackr.com/snippets/officebanao-raises-4-mn-led-by-lightspeed-11216087</t>
        </is>
      </c>
    </row>
    <row r="3112">
      <c r="A3112" t="inlineStr">
        <is>
          <t>INC-20260321-07</t>
        </is>
      </c>
      <c r="B3112" t="inlineStr">
        <is>
          <t>R260315-officebanao</t>
        </is>
      </c>
      <c r="C3112" t="inlineStr">
        <is>
          <t>Inc42</t>
        </is>
      </c>
      <c r="D3112" s="17" t="n">
        <v>46098</v>
      </c>
      <c r="E3112" t="inlineStr">
        <is>
          <t>OfficeBanao</t>
        </is>
      </c>
      <c r="F3112" t="inlineStr">
        <is>
          <t>$7.7 Mn</t>
        </is>
      </c>
      <c r="G3112" s="19" t="n"/>
      <c r="H3112" s="19" t="n">
        <v>7.7</v>
      </c>
      <c r="I3112" t="inlineStr">
        <is>
          <t>Undisclosed</t>
        </is>
      </c>
      <c r="J3112" t="inlineStr">
        <is>
          <t>Lightspeed</t>
        </is>
      </c>
      <c r="K3112" t="inlineStr">
        <is>
          <t>https://inc42.com/buzz/from-neo-to-atlys-indian-startups-raised-228-mn-this-week-2/</t>
        </is>
      </c>
    </row>
    <row r="3113">
      <c r="A3113" t="inlineStr">
        <is>
          <t>ENT-11216664</t>
        </is>
      </c>
      <c r="B3113" t="inlineStr">
        <is>
          <t>R260316-agnitsemicondu</t>
        </is>
      </c>
      <c r="C3113" t="inlineStr">
        <is>
          <t>Entrackr</t>
        </is>
      </c>
      <c r="D3113" s="17" t="n">
        <v>46097</v>
      </c>
      <c r="E3113" t="inlineStr">
        <is>
          <t>AGNIT Semiconductors</t>
        </is>
      </c>
      <c r="F3113" t="inlineStr">
        <is>
          <t>$2.6 million</t>
        </is>
      </c>
      <c r="G3113" s="19" t="n">
        <v>24</v>
      </c>
      <c r="H3113" s="19" t="n">
        <v>2.6</v>
      </c>
      <c r="I3113" t="inlineStr">
        <is>
          <t>Seed</t>
        </is>
      </c>
      <c r="J3113" t="inlineStr">
        <is>
          <t>Shastra VC</t>
        </is>
      </c>
      <c r="K3113" t="inlineStr">
        <is>
          <t>https://entrackr.com/snippets/agnit-semiconductors-raises-26-mn-in-seed-extension-led-by-shastra-vc-11216664</t>
        </is>
      </c>
    </row>
    <row r="3114">
      <c r="A3114" t="inlineStr">
        <is>
          <t>ET-129601408</t>
        </is>
      </c>
      <c r="B3114" t="inlineStr">
        <is>
          <t>R260316-agnitsemicondu</t>
        </is>
      </c>
      <c r="C3114" t="inlineStr">
        <is>
          <t>The Economic Times</t>
        </is>
      </c>
      <c r="D3114" s="17" t="n">
        <v>46097</v>
      </c>
      <c r="E3114" t="inlineStr">
        <is>
          <t>Agnit Semiconductors</t>
        </is>
      </c>
      <c r="F3114" t="inlineStr">
        <is>
          <t>$2.6 million</t>
        </is>
      </c>
      <c r="G3114" s="19" t="n"/>
      <c r="H3114" s="19" t="n">
        <v>2.6</v>
      </c>
      <c r="I3114" t="inlineStr">
        <is>
          <t>Undisclosed</t>
        </is>
      </c>
      <c r="J3114" t="inlineStr">
        <is>
          <t>Shastra VC</t>
        </is>
      </c>
      <c r="K3114" t="inlineStr">
        <is>
          <t>https://economictimes.indiatimes.com/tech/funding/agnit-semiconductors-raises-2-6-million-from-shastra-vc-3one4-capital-and-zephyr-peacock/articleshow/129601408.cms</t>
        </is>
      </c>
    </row>
    <row r="3115">
      <c r="A3115" t="inlineStr">
        <is>
          <t>INC-20260321-14</t>
        </is>
      </c>
      <c r="B3115" t="inlineStr">
        <is>
          <t>R260316-agnitsemicondu</t>
        </is>
      </c>
      <c r="C3115" t="inlineStr">
        <is>
          <t>Inc42</t>
        </is>
      </c>
      <c r="D3115" s="17" t="n">
        <v>46097</v>
      </c>
      <c r="E3115" t="inlineStr">
        <is>
          <t>AGNIT Semiconductors</t>
        </is>
      </c>
      <c r="F3115" t="inlineStr">
        <is>
          <t>$2.6 Mn</t>
        </is>
      </c>
      <c r="G3115" s="19" t="n"/>
      <c r="H3115" s="19" t="n">
        <v>2.6</v>
      </c>
      <c r="I3115" t="inlineStr">
        <is>
          <t>Seed</t>
        </is>
      </c>
      <c r="J3115" t="inlineStr">
        <is>
          <t>Shastra VC</t>
        </is>
      </c>
      <c r="K3115" t="inlineStr">
        <is>
          <t>https://inc42.com/buzz/from-neo-to-atlys-indian-startups-raised-228-mn-this-week-2/</t>
        </is>
      </c>
    </row>
    <row r="3116">
      <c r="A3116" t="inlineStr">
        <is>
          <t>ENT-11218314</t>
        </is>
      </c>
      <c r="B3116" t="inlineStr">
        <is>
          <t>R260316-atlys</t>
        </is>
      </c>
      <c r="C3116" t="inlineStr">
        <is>
          <t>Entrackr</t>
        </is>
      </c>
      <c r="D3116" s="17" t="n">
        <v>46097</v>
      </c>
      <c r="E3116" t="inlineStr">
        <is>
          <t>Atlys</t>
        </is>
      </c>
      <c r="F3116" t="inlineStr">
        <is>
          <t>$36 million</t>
        </is>
      </c>
      <c r="G3116" s="19" t="n"/>
      <c r="H3116" s="19" t="n">
        <v>36</v>
      </c>
      <c r="I3116" t="inlineStr">
        <is>
          <t>Series C</t>
        </is>
      </c>
      <c r="J3116" t="inlineStr">
        <is>
          <t>Susquehanna Asia Venture Capital</t>
        </is>
      </c>
      <c r="K3116" t="inlineStr">
        <is>
          <t>https://entrackr.com/news/visa-processing-startup-atlys-raises-36-mn-in-series-c-funding-11218314</t>
        </is>
      </c>
    </row>
    <row r="3117">
      <c r="A3117" t="inlineStr">
        <is>
          <t>ET-129610554</t>
        </is>
      </c>
      <c r="B3117" t="inlineStr">
        <is>
          <t>R260316-atlys</t>
        </is>
      </c>
      <c r="C3117" t="inlineStr">
        <is>
          <t>The Economic Times</t>
        </is>
      </c>
      <c r="D3117" s="17" t="n">
        <v>46097</v>
      </c>
      <c r="E3117" t="inlineStr">
        <is>
          <t>Atlys</t>
        </is>
      </c>
      <c r="F3117" t="inlineStr">
        <is>
          <t>$36 million</t>
        </is>
      </c>
      <c r="G3117" s="19" t="n"/>
      <c r="H3117" s="19" t="n">
        <v>36</v>
      </c>
      <c r="I3117" t="inlineStr">
        <is>
          <t>Undisclosed</t>
        </is>
      </c>
      <c r="J3117" t="inlineStr">
        <is>
          <t>Susquehanna Asia VC</t>
        </is>
      </c>
      <c r="K3117" t="inlineStr">
        <is>
          <t>https://economictimes.indiatimes.com/tech/funding/visa-processing-startup-atlys-raises-36-million-led-by-susquehanna-asia-vc/articleshow/129610554.cms</t>
        </is>
      </c>
    </row>
    <row r="3118">
      <c r="A3118" t="inlineStr">
        <is>
          <t>INC-20260321-03</t>
        </is>
      </c>
      <c r="B3118" t="inlineStr">
        <is>
          <t>R260316-atlys</t>
        </is>
      </c>
      <c r="C3118" t="inlineStr">
        <is>
          <t>Inc42</t>
        </is>
      </c>
      <c r="D3118" s="17" t="n">
        <v>46097</v>
      </c>
      <c r="E3118" t="inlineStr">
        <is>
          <t>Atlys</t>
        </is>
      </c>
      <c r="F3118" t="inlineStr">
        <is>
          <t>$36 Mn</t>
        </is>
      </c>
      <c r="G3118" s="19" t="n"/>
      <c r="H3118" s="19" t="n">
        <v>36</v>
      </c>
      <c r="I3118" t="inlineStr">
        <is>
          <t>Series C</t>
        </is>
      </c>
      <c r="J3118" t="inlineStr">
        <is>
          <t>Susquehanna Asia VC</t>
        </is>
      </c>
      <c r="K3118" t="inlineStr">
        <is>
          <t>https://inc42.com/buzz/from-neo-to-atlys-indian-startups-raised-228-mn-this-week-2/</t>
        </is>
      </c>
    </row>
    <row r="3119">
      <c r="A3119" t="inlineStr">
        <is>
          <t>ENT-11216682</t>
        </is>
      </c>
      <c r="B3119" t="inlineStr">
        <is>
          <t>R260316-betterhood</t>
        </is>
      </c>
      <c r="C3119" t="inlineStr">
        <is>
          <t>Entrackr</t>
        </is>
      </c>
      <c r="D3119" s="17" t="n">
        <v>46097</v>
      </c>
      <c r="E3119" t="inlineStr">
        <is>
          <t>Betterhood</t>
        </is>
      </c>
      <c r="F3119" t="inlineStr">
        <is>
          <t>Rs 5 crore</t>
        </is>
      </c>
      <c r="G3119" s="19" t="n">
        <v>5</v>
      </c>
      <c r="H3119" s="19" t="n"/>
      <c r="I3119" t="inlineStr">
        <is>
          <t>Seed</t>
        </is>
      </c>
      <c r="J3119" t="inlineStr">
        <is>
          <t>Kairon Capital</t>
        </is>
      </c>
      <c r="K3119" t="inlineStr">
        <is>
          <t>https://entrackr.com/snippets/pain-care-startup-betterhood-raises-seed-round-led-by-kairon-capital-11216682</t>
        </is>
      </c>
    </row>
    <row r="3120">
      <c r="A3120" t="inlineStr">
        <is>
          <t>ET-129594906</t>
        </is>
      </c>
      <c r="B3120" t="inlineStr">
        <is>
          <t>R260316-betterhood</t>
        </is>
      </c>
      <c r="C3120" t="inlineStr">
        <is>
          <t>The Economic Times</t>
        </is>
      </c>
      <c r="D3120" s="17" t="n">
        <v>46097</v>
      </c>
      <c r="E3120" t="inlineStr">
        <is>
          <t>Betterhood</t>
        </is>
      </c>
      <c r="F3120" t="inlineStr">
        <is>
          <t>Rs 5 crore</t>
        </is>
      </c>
      <c r="G3120" s="19" t="n">
        <v>5</v>
      </c>
      <c r="H3120" s="19" t="n"/>
      <c r="I3120" t="inlineStr">
        <is>
          <t>Seed</t>
        </is>
      </c>
      <c r="J3120" t="inlineStr">
        <is>
          <t>Kairon Capital</t>
        </is>
      </c>
      <c r="K3120" t="inlineStr">
        <is>
          <t>https://economictimes.indiatimes.com/tech/funding/preventive-paincare-startup-betterhood-raises-rs-5-crore-led-by-kairon-capital/articleshow/129594906.cms</t>
        </is>
      </c>
    </row>
    <row r="3121">
      <c r="A3121" t="inlineStr">
        <is>
          <t>ENT-11216830</t>
        </is>
      </c>
      <c r="B3121" t="inlineStr">
        <is>
          <t>R260316-ecofy</t>
        </is>
      </c>
      <c r="C3121" t="inlineStr">
        <is>
          <t>Entrackr</t>
        </is>
      </c>
      <c r="D3121" s="17" t="n">
        <v>46097</v>
      </c>
      <c r="E3121" t="inlineStr">
        <is>
          <t>Ecofy</t>
        </is>
      </c>
      <c r="F3121" t="inlineStr">
        <is>
          <t>Rs 380.5 crore</t>
        </is>
      </c>
      <c r="G3121" s="19" t="n">
        <v>380.5</v>
      </c>
      <c r="H3121" s="19" t="n">
        <v>42</v>
      </c>
      <c r="I3121" t="inlineStr">
        <is>
          <t>Series B</t>
        </is>
      </c>
      <c r="J3121" t="inlineStr">
        <is>
          <t>British International Investment; Finnfund</t>
        </is>
      </c>
      <c r="K3121" t="inlineStr">
        <is>
          <t>https://entrackr.com/news/ecofy-raises-rs-3805-cr-in-series-b-round-led-by-bii-and-finnfund-11216830</t>
        </is>
      </c>
    </row>
    <row r="3122">
      <c r="A3122" t="inlineStr">
        <is>
          <t>INC-20260321-02</t>
        </is>
      </c>
      <c r="B3122" t="inlineStr">
        <is>
          <t>R260316-ecofy</t>
        </is>
      </c>
      <c r="C3122" t="inlineStr">
        <is>
          <t>Inc42</t>
        </is>
      </c>
      <c r="D3122" s="17" t="n">
        <v>46097</v>
      </c>
      <c r="E3122" t="inlineStr">
        <is>
          <t>Ecofy</t>
        </is>
      </c>
      <c r="F3122" t="inlineStr">
        <is>
          <t>$42 Mn</t>
        </is>
      </c>
      <c r="G3122" s="19" t="n"/>
      <c r="H3122" s="19" t="n">
        <v>42</v>
      </c>
      <c r="I3122" t="inlineStr">
        <is>
          <t>Undisclosed</t>
        </is>
      </c>
      <c r="J3122" t="inlineStr">
        <is>
          <t>British International Investment; Finnfund</t>
        </is>
      </c>
      <c r="K3122" t="inlineStr">
        <is>
          <t>https://inc42.com/buzz/from-neo-to-atlys-indian-startups-raised-228-mn-this-week-2/</t>
        </is>
      </c>
    </row>
    <row r="3123">
      <c r="A3123" t="inlineStr">
        <is>
          <t>VCC-271e361ffd</t>
        </is>
      </c>
      <c r="B3123" t="inlineStr">
        <is>
          <t>R260316-ecofy</t>
        </is>
      </c>
      <c r="C3123" t="inlineStr">
        <is>
          <t>VCCircle</t>
        </is>
      </c>
      <c r="D3123" s="17" t="n">
        <v>46097</v>
      </c>
      <c r="E3123" t="inlineStr">
        <is>
          <t>eversourcebacked ecofy finance</t>
        </is>
      </c>
      <c r="F3123" t="inlineStr">
        <is>
          <t>$ 41 million</t>
        </is>
      </c>
      <c r="G3123" s="19" t="n"/>
      <c r="H3123" s="19" t="n">
        <v>41</v>
      </c>
      <c r="I3123" t="inlineStr">
        <is>
          <t>Undisclosed</t>
        </is>
      </c>
      <c r="J3123" t="inlineStr"/>
      <c r="K3123" t="inlineStr">
        <is>
          <t>https://www.vccircle.com/eversourcebacked-ecofy-finance-snags-41-mn-from-bii-others</t>
        </is>
      </c>
    </row>
    <row r="3124">
      <c r="A3124" t="inlineStr">
        <is>
          <t>INC-20260321-12</t>
        </is>
      </c>
      <c r="B3124" t="inlineStr">
        <is>
          <t>R260316-grapevine</t>
        </is>
      </c>
      <c r="C3124" t="inlineStr">
        <is>
          <t>Inc42</t>
        </is>
      </c>
      <c r="D3124" s="17" t="n">
        <v>46097</v>
      </c>
      <c r="E3124" t="inlineStr">
        <is>
          <t>Grapevine</t>
        </is>
      </c>
      <c r="F3124" t="inlineStr">
        <is>
          <t>$4.1 Mn</t>
        </is>
      </c>
      <c r="G3124" s="19" t="n"/>
      <c r="H3124" s="19" t="n">
        <v>4.1</v>
      </c>
      <c r="I3124" t="inlineStr">
        <is>
          <t>Undisclosed</t>
        </is>
      </c>
      <c r="J3124" t="inlineStr"/>
      <c r="K3124" t="inlineStr">
        <is>
          <t>https://inc42.com/buzz/from-neo-to-atlys-indian-startups-raised-228-mn-this-week-2/</t>
        </is>
      </c>
    </row>
    <row r="3125">
      <c r="A3125" t="inlineStr">
        <is>
          <t>ENT-11219589</t>
        </is>
      </c>
      <c r="B3125" t="inlineStr">
        <is>
          <t>R260316-grapevine</t>
        </is>
      </c>
      <c r="C3125" t="inlineStr">
        <is>
          <t>Entrackr</t>
        </is>
      </c>
      <c r="D3125" s="17" t="n">
        <v>46098</v>
      </c>
      <c r="E3125" t="inlineStr">
        <is>
          <t>Grapevine</t>
        </is>
      </c>
      <c r="F3125" t="inlineStr">
        <is>
          <t>$4.1 million</t>
        </is>
      </c>
      <c r="G3125" s="19" t="n"/>
      <c r="H3125" s="19" t="n">
        <v>4.1</v>
      </c>
      <c r="I3125" t="inlineStr">
        <is>
          <t>Undisclosed</t>
        </is>
      </c>
      <c r="J3125" t="inlineStr"/>
      <c r="K3125" t="inlineStr">
        <is>
          <t>https://entrackr.com/snippets/grapevine-raises-41-mn-from-kae-capital-peak-xv-others-11219589</t>
        </is>
      </c>
    </row>
    <row r="3126">
      <c r="A3126" t="inlineStr">
        <is>
          <t>ET-129626456</t>
        </is>
      </c>
      <c r="B3126" t="inlineStr">
        <is>
          <t>R260316-grapevine</t>
        </is>
      </c>
      <c r="C3126" t="inlineStr">
        <is>
          <t>The Economic Times</t>
        </is>
      </c>
      <c r="D3126" s="17" t="n">
        <v>46098</v>
      </c>
      <c r="E3126" t="inlineStr">
        <is>
          <t>Grapevine</t>
        </is>
      </c>
      <c r="F3126" t="inlineStr">
        <is>
          <t>$4.1 million</t>
        </is>
      </c>
      <c r="G3126" s="19" t="n"/>
      <c r="H3126" s="19" t="n">
        <v>4.1</v>
      </c>
      <c r="I3126" t="inlineStr">
        <is>
          <t>Undisclosed</t>
        </is>
      </c>
      <c r="J3126" t="inlineStr"/>
      <c r="K3126" t="inlineStr">
        <is>
          <t>https://economictimes.indiatimes.com/tech/funding/networking-platform-grapevine-raises-4-1-million-from-kae-capital-peak-xv-screwvala-family-office/articleshow/129626456.cms</t>
        </is>
      </c>
    </row>
    <row r="3127">
      <c r="A3127" t="inlineStr">
        <is>
          <t>ENT-11219662</t>
        </is>
      </c>
      <c r="B3127" t="inlineStr">
        <is>
          <t>R260317-bamboobox</t>
        </is>
      </c>
      <c r="C3127" t="inlineStr">
        <is>
          <t>Entrackr</t>
        </is>
      </c>
      <c r="D3127" s="17" t="n">
        <v>46098</v>
      </c>
      <c r="E3127" t="inlineStr">
        <is>
          <t>BambooBox</t>
        </is>
      </c>
      <c r="F3127" t="inlineStr">
        <is>
          <t>$6.6 million</t>
        </is>
      </c>
      <c r="G3127" s="19" t="n"/>
      <c r="H3127" s="19" t="n">
        <v>6.6</v>
      </c>
      <c r="I3127" t="inlineStr">
        <is>
          <t>Undisclosed</t>
        </is>
      </c>
      <c r="J3127" t="inlineStr">
        <is>
          <t>Peak XV Partners</t>
        </is>
      </c>
      <c r="K3127" t="inlineStr">
        <is>
          <t>https://entrackr.com/snippets/peak-xv-leads-66-mn-funding-round-in-bamboobox-11219662</t>
        </is>
      </c>
    </row>
    <row r="3128">
      <c r="A3128" t="inlineStr">
        <is>
          <t>ET-129631512</t>
        </is>
      </c>
      <c r="B3128" t="inlineStr">
        <is>
          <t>R260317-bamboobox</t>
        </is>
      </c>
      <c r="C3128" t="inlineStr">
        <is>
          <t>The Economic Times</t>
        </is>
      </c>
      <c r="D3128" s="17" t="n">
        <v>46098</v>
      </c>
      <c r="E3128" t="inlineStr">
        <is>
          <t>BambooBox</t>
        </is>
      </c>
      <c r="F3128" t="inlineStr">
        <is>
          <t>$6.6 million</t>
        </is>
      </c>
      <c r="G3128" s="19" t="n"/>
      <c r="H3128" s="19" t="n">
        <v>6.6</v>
      </c>
      <c r="I3128" t="inlineStr">
        <is>
          <t>Undisclosed</t>
        </is>
      </c>
      <c r="J3128" t="inlineStr">
        <is>
          <t>Peak XV Partners’ Surge accelerator programme</t>
        </is>
      </c>
      <c r="K3128" t="inlineStr">
        <is>
          <t>https://economictimes.indiatimes.com/tech/funding/enterprise-marketing-platform-bamboobox-raises-6-6-million-led-by-peak-xv-partners/articleshow/129631512.cms</t>
        </is>
      </c>
    </row>
    <row r="3129">
      <c r="A3129" t="inlineStr">
        <is>
          <t>INC-20260321-09</t>
        </is>
      </c>
      <c r="B3129" t="inlineStr">
        <is>
          <t>R260317-bamboobox</t>
        </is>
      </c>
      <c r="C3129" t="inlineStr">
        <is>
          <t>Inc42</t>
        </is>
      </c>
      <c r="D3129" s="17" t="n">
        <v>46098</v>
      </c>
      <c r="E3129" t="inlineStr">
        <is>
          <t>BambooBox</t>
        </is>
      </c>
      <c r="F3129" t="inlineStr">
        <is>
          <t>$6.6 Mn</t>
        </is>
      </c>
      <c r="G3129" s="19" t="n"/>
      <c r="H3129" s="19" t="n">
        <v>6.6</v>
      </c>
      <c r="I3129" t="inlineStr">
        <is>
          <t>Undisclosed</t>
        </is>
      </c>
      <c r="J3129" t="inlineStr">
        <is>
          <t>Peak XV</t>
        </is>
      </c>
      <c r="K3129" t="inlineStr">
        <is>
          <t>https://inc42.com/buzz/from-neo-to-atlys-indian-startups-raised-228-mn-this-week-2/</t>
        </is>
      </c>
    </row>
    <row r="3130">
      <c r="A3130" t="inlineStr">
        <is>
          <t>INC-20260321-17</t>
        </is>
      </c>
      <c r="B3130" t="inlineStr">
        <is>
          <t>R260317-canvaloop</t>
        </is>
      </c>
      <c r="C3130" t="inlineStr">
        <is>
          <t>Inc42</t>
        </is>
      </c>
      <c r="D3130" s="17" t="n">
        <v>46098</v>
      </c>
      <c r="E3130" t="inlineStr">
        <is>
          <t>Canvaloop</t>
        </is>
      </c>
      <c r="F3130" t="inlineStr">
        <is>
          <t>$1.4 Mn</t>
        </is>
      </c>
      <c r="G3130" s="19" t="n"/>
      <c r="H3130" s="19" t="n">
        <v>1.4</v>
      </c>
      <c r="I3130" t="inlineStr">
        <is>
          <t>Undisclosed</t>
        </is>
      </c>
      <c r="J3130" t="inlineStr">
        <is>
          <t>GVFL</t>
        </is>
      </c>
      <c r="K3130" t="inlineStr">
        <is>
          <t>https://inc42.com/buzz/from-neo-to-atlys-indian-startups-raised-228-mn-this-week-2/</t>
        </is>
      </c>
    </row>
    <row r="3131">
      <c r="A3131" t="inlineStr">
        <is>
          <t>ENT-11262208</t>
        </is>
      </c>
      <c r="B3131" t="inlineStr">
        <is>
          <t>R260317-canvaloop</t>
        </is>
      </c>
      <c r="C3131" t="inlineStr">
        <is>
          <t>Entrackr</t>
        </is>
      </c>
      <c r="D3131" s="17" t="n">
        <v>46106</v>
      </c>
      <c r="E3131" t="inlineStr">
        <is>
          <t>Canvaloop</t>
        </is>
      </c>
      <c r="F3131" t="inlineStr">
        <is>
          <t>$1.5 million</t>
        </is>
      </c>
      <c r="G3131" s="19" t="n"/>
      <c r="H3131" s="19" t="n">
        <v>1.5</v>
      </c>
      <c r="I3131" t="inlineStr">
        <is>
          <t>Undisclosed</t>
        </is>
      </c>
      <c r="J3131" t="inlineStr"/>
      <c r="K3131" t="inlineStr">
        <is>
          <t>https://entrackr.com/snippets/biomaterials-startup-canvaloop-raises-15-mn-11262208</t>
        </is>
      </c>
    </row>
    <row r="3132">
      <c r="A3132" t="inlineStr">
        <is>
          <t>INC-20260328-18</t>
        </is>
      </c>
      <c r="B3132" t="inlineStr">
        <is>
          <t>R260317-canvaloop</t>
        </is>
      </c>
      <c r="C3132" t="inlineStr">
        <is>
          <t>Inc42</t>
        </is>
      </c>
      <c r="D3132" s="17" t="n">
        <v>46106</v>
      </c>
      <c r="E3132" t="inlineStr">
        <is>
          <t>Canvaloop</t>
        </is>
      </c>
      <c r="F3132" t="inlineStr">
        <is>
          <t>$1.5 Mn</t>
        </is>
      </c>
      <c r="G3132" s="19" t="n"/>
      <c r="H3132" s="19" t="n">
        <v>1.5</v>
      </c>
      <c r="I3132" t="inlineStr">
        <is>
          <t>Undisclosed</t>
        </is>
      </c>
      <c r="J3132" t="inlineStr"/>
      <c r="K3132" t="inlineStr">
        <is>
          <t>https://inc42.com/buzz/from-euler-motors-to-rocketlane-indian-startups-raised-343-mn-this-week/</t>
        </is>
      </c>
    </row>
    <row r="3133">
      <c r="A3133" t="inlineStr">
        <is>
          <t>INC-20260321-11</t>
        </is>
      </c>
      <c r="B3133" t="inlineStr">
        <is>
          <t>R260317-igdefence</t>
        </is>
      </c>
      <c r="C3133" t="inlineStr">
        <is>
          <t>Inc42</t>
        </is>
      </c>
      <c r="D3133" s="17" t="n">
        <v>46098</v>
      </c>
      <c r="E3133" t="inlineStr">
        <is>
          <t>IG Defence</t>
        </is>
      </c>
      <c r="F3133" t="inlineStr">
        <is>
          <t>$5 Mn</t>
        </is>
      </c>
      <c r="G3133" s="19" t="n"/>
      <c r="H3133" s="19" t="n">
        <v>5</v>
      </c>
      <c r="I3133" t="inlineStr">
        <is>
          <t>Pre-Series A</t>
        </is>
      </c>
      <c r="J3133" t="inlineStr">
        <is>
          <t>India Accelerator</t>
        </is>
      </c>
      <c r="K3133" t="inlineStr">
        <is>
          <t>https://inc42.com/buzz/from-neo-to-atlys-indian-startups-raised-228-mn-this-week-2/</t>
        </is>
      </c>
    </row>
    <row r="3134">
      <c r="A3134" t="inlineStr">
        <is>
          <t>ENT-11219941</t>
        </is>
      </c>
      <c r="B3134" t="inlineStr">
        <is>
          <t>R260317-moepuppy</t>
        </is>
      </c>
      <c r="C3134" t="inlineStr">
        <is>
          <t>Entrackr</t>
        </is>
      </c>
      <c r="D3134" s="17" t="n">
        <v>46098</v>
      </c>
      <c r="E3134" t="inlineStr">
        <is>
          <t>Moe Puppy</t>
        </is>
      </c>
      <c r="F3134" t="inlineStr">
        <is>
          <t>Rs 2 crore</t>
        </is>
      </c>
      <c r="G3134" s="19" t="n">
        <v>2</v>
      </c>
      <c r="H3134" s="19" t="n"/>
      <c r="I3134" t="inlineStr">
        <is>
          <t>Pre-Seed</t>
        </is>
      </c>
      <c r="J3134" t="inlineStr">
        <is>
          <t>PedalStart</t>
        </is>
      </c>
      <c r="K3134" t="inlineStr">
        <is>
          <t>https://entrackr.com/snippets/d2c-pet-care-brand-moe-puppy-raises-pre-seed-round-led-by-pedalstart-11219941</t>
        </is>
      </c>
    </row>
    <row r="3135">
      <c r="A3135" t="inlineStr">
        <is>
          <t>INC-20260321-21</t>
        </is>
      </c>
      <c r="B3135" t="inlineStr">
        <is>
          <t>R260317-moepuppy</t>
        </is>
      </c>
      <c r="C3135" t="inlineStr">
        <is>
          <t>Inc42</t>
        </is>
      </c>
      <c r="D3135" s="17" t="n">
        <v>46098</v>
      </c>
      <c r="E3135" t="inlineStr">
        <is>
          <t>Moe Puppy</t>
        </is>
      </c>
      <c r="F3135" t="inlineStr">
        <is>
          <t>$214K</t>
        </is>
      </c>
      <c r="G3135" s="19" t="n"/>
      <c r="H3135" s="19" t="n">
        <v>0.214</v>
      </c>
      <c r="I3135" t="inlineStr">
        <is>
          <t>Pre-Seed</t>
        </is>
      </c>
      <c r="J3135" t="inlineStr">
        <is>
          <t>PedalStart</t>
        </is>
      </c>
      <c r="K3135" t="inlineStr">
        <is>
          <t>https://inc42.com/buzz/from-neo-to-atlys-indian-startups-raised-228-mn-this-week-2/</t>
        </is>
      </c>
    </row>
    <row r="3136">
      <c r="A3136" t="inlineStr">
        <is>
          <t>ENT-11219430</t>
        </is>
      </c>
      <c r="B3136" t="inlineStr">
        <is>
          <t>R260317-velmenni</t>
        </is>
      </c>
      <c r="C3136" t="inlineStr">
        <is>
          <t>Entrackr</t>
        </is>
      </c>
      <c r="D3136" s="17" t="n">
        <v>46098</v>
      </c>
      <c r="E3136" t="inlineStr">
        <is>
          <t>Velmenni</t>
        </is>
      </c>
      <c r="F3136" t="inlineStr">
        <is>
          <t>Rs 30 crore</t>
        </is>
      </c>
      <c r="G3136" s="19" t="n">
        <v>30</v>
      </c>
      <c r="H3136" s="19" t="n">
        <v>3.3</v>
      </c>
      <c r="I3136" t="inlineStr">
        <is>
          <t>Pre-Series A</t>
        </is>
      </c>
      <c r="J3136" t="inlineStr">
        <is>
          <t>MountTech Growth Fund-Kavachh; Apekso</t>
        </is>
      </c>
      <c r="K3136" t="inlineStr">
        <is>
          <t>https://entrackr.com/snippets/pi-ventures-leads-rs-30-cr-pre-series-a-round-in-deep-tech-company-velmenni-11219430</t>
        </is>
      </c>
    </row>
    <row r="3137">
      <c r="A3137" t="inlineStr">
        <is>
          <t>ET-129624395</t>
        </is>
      </c>
      <c r="B3137" t="inlineStr">
        <is>
          <t>R260317-velmenni</t>
        </is>
      </c>
      <c r="C3137" t="inlineStr">
        <is>
          <t>The Economic Times</t>
        </is>
      </c>
      <c r="D3137" s="17" t="n">
        <v>46098</v>
      </c>
      <c r="E3137" t="inlineStr">
        <is>
          <t>Velmenni</t>
        </is>
      </c>
      <c r="F3137" t="inlineStr">
        <is>
          <t>Rs 30 crore</t>
        </is>
      </c>
      <c r="G3137" s="19" t="n">
        <v>30</v>
      </c>
      <c r="H3137" s="19" t="n"/>
      <c r="I3137" t="inlineStr">
        <is>
          <t>Undisclosed</t>
        </is>
      </c>
      <c r="J3137" t="inlineStr">
        <is>
          <t>Pi ventures</t>
        </is>
      </c>
      <c r="K3137" t="inlineStr">
        <is>
          <t>https://economictimes.indiatimes.com/tech/startups/telecom-startup-velmenni-raises-rs-30-crore-led-by-pi-ventures/articleshow/129624395.cms</t>
        </is>
      </c>
    </row>
    <row r="3138">
      <c r="A3138" t="inlineStr">
        <is>
          <t>INC-20260321-13</t>
        </is>
      </c>
      <c r="B3138" t="inlineStr">
        <is>
          <t>R260317-velmenni</t>
        </is>
      </c>
      <c r="C3138" t="inlineStr">
        <is>
          <t>Inc42</t>
        </is>
      </c>
      <c r="D3138" s="17" t="n">
        <v>46098</v>
      </c>
      <c r="E3138" t="inlineStr">
        <is>
          <t>Velmenni</t>
        </is>
      </c>
      <c r="F3138" t="inlineStr">
        <is>
          <t>$3.3 Mn</t>
        </is>
      </c>
      <c r="G3138" s="19" t="n"/>
      <c r="H3138" s="19" t="n">
        <v>3.3</v>
      </c>
      <c r="I3138" t="inlineStr">
        <is>
          <t>Pre-Series A</t>
        </is>
      </c>
      <c r="J3138" t="inlineStr"/>
      <c r="K3138" t="inlineStr">
        <is>
          <t>https://inc42.com/buzz/from-neo-to-atlys-indian-startups-raised-228-mn-this-week-2/</t>
        </is>
      </c>
    </row>
    <row r="3139">
      <c r="A3139" t="inlineStr">
        <is>
          <t>ENT-11220348</t>
        </is>
      </c>
      <c r="B3139" t="inlineStr">
        <is>
          <t>R260317-zoomies</t>
        </is>
      </c>
      <c r="C3139" t="inlineStr">
        <is>
          <t>Entrackr</t>
        </is>
      </c>
      <c r="D3139" s="17" t="n">
        <v>46098</v>
      </c>
      <c r="E3139" t="inlineStr">
        <is>
          <t>Zoomies</t>
        </is>
      </c>
      <c r="F3139" t="inlineStr">
        <is>
          <t>Rs 5 crore</t>
        </is>
      </c>
      <c r="G3139" s="19" t="n">
        <v>5</v>
      </c>
      <c r="H3139" s="19" t="n"/>
      <c r="I3139" t="inlineStr">
        <is>
          <t>Pre-Seed</t>
        </is>
      </c>
      <c r="J3139" t="inlineStr">
        <is>
          <t>Pallavi Mohadikar</t>
        </is>
      </c>
      <c r="K3139" t="inlineStr">
        <is>
          <t>https://entrackr.com/snippets/d2c-insider-super-angels-leads-pre-seed-round-in-pet-food-startup-zoomies-11220348</t>
        </is>
      </c>
    </row>
    <row r="3140">
      <c r="A3140" t="inlineStr">
        <is>
          <t>ENT-11225084</t>
        </is>
      </c>
      <c r="B3140" t="inlineStr">
        <is>
          <t>R260318-aerchain</t>
        </is>
      </c>
      <c r="C3140" t="inlineStr">
        <is>
          <t>Entrackr</t>
        </is>
      </c>
      <c r="D3140" s="17" t="n">
        <v>46099</v>
      </c>
      <c r="E3140" t="inlineStr">
        <is>
          <t>Aerchain</t>
        </is>
      </c>
      <c r="F3140" t="inlineStr">
        <is>
          <t>$13 million</t>
        </is>
      </c>
      <c r="G3140" s="19" t="n">
        <v>118</v>
      </c>
      <c r="H3140" s="19" t="n">
        <v>13</v>
      </c>
      <c r="I3140" t="inlineStr">
        <is>
          <t>Series A</t>
        </is>
      </c>
      <c r="J3140" t="inlineStr">
        <is>
          <t>Pavestone VC</t>
        </is>
      </c>
      <c r="K3140" t="inlineStr">
        <is>
          <t>https://entrackr.com/news/enterprise-procurement-platform-aerchain-secures-13-mn-in-series-a-round-11225084</t>
        </is>
      </c>
    </row>
    <row r="3141">
      <c r="A3141" t="inlineStr">
        <is>
          <t>ET-129654052</t>
        </is>
      </c>
      <c r="B3141" t="inlineStr">
        <is>
          <t>R260318-aerchain</t>
        </is>
      </c>
      <c r="C3141" t="inlineStr">
        <is>
          <t>The Economic Times</t>
        </is>
      </c>
      <c r="D3141" s="17" t="n">
        <v>46099</v>
      </c>
      <c r="E3141" t="inlineStr">
        <is>
          <t>Aerchain</t>
        </is>
      </c>
      <c r="F3141" t="inlineStr">
        <is>
          <t>$13 million</t>
        </is>
      </c>
      <c r="G3141" s="19" t="n">
        <v>118</v>
      </c>
      <c r="H3141" s="19" t="n">
        <v>13</v>
      </c>
      <c r="I3141" t="inlineStr">
        <is>
          <t>Undisclosed</t>
        </is>
      </c>
      <c r="J3141" t="inlineStr">
        <is>
          <t>Pavestone VC</t>
        </is>
      </c>
      <c r="K3141" t="inlineStr">
        <is>
          <t>https://economictimes.indiatimes.com/tech/funding/enterprise-procurement-platform-aerchain-raises-13-million-from-pavestone-vc-indiamart/articleshow/129654052.cms</t>
        </is>
      </c>
    </row>
    <row r="3142">
      <c r="A3142" t="inlineStr">
        <is>
          <t>INC-20260321-05</t>
        </is>
      </c>
      <c r="B3142" t="inlineStr">
        <is>
          <t>R260318-aerchain</t>
        </is>
      </c>
      <c r="C3142" t="inlineStr">
        <is>
          <t>Inc42</t>
        </is>
      </c>
      <c r="D3142" s="17" t="n">
        <v>46099</v>
      </c>
      <c r="E3142" t="inlineStr">
        <is>
          <t>Aerchain</t>
        </is>
      </c>
      <c r="F3142" t="inlineStr">
        <is>
          <t>$13 Mn</t>
        </is>
      </c>
      <c r="G3142" s="19" t="n"/>
      <c r="H3142" s="19" t="n">
        <v>13</v>
      </c>
      <c r="I3142" t="inlineStr">
        <is>
          <t>Series A</t>
        </is>
      </c>
      <c r="J3142" t="inlineStr">
        <is>
          <t>Pavestone</t>
        </is>
      </c>
      <c r="K3142" t="inlineStr">
        <is>
          <t>https://inc42.com/buzz/from-neo-to-atlys-indian-startups-raised-228-mn-this-week-2/</t>
        </is>
      </c>
    </row>
    <row r="3143">
      <c r="A3143" t="inlineStr">
        <is>
          <t>ENT-11224074</t>
        </is>
      </c>
      <c r="B3143" t="inlineStr">
        <is>
          <t>R260318-burgersingh</t>
        </is>
      </c>
      <c r="C3143" t="inlineStr">
        <is>
          <t>Entrackr</t>
        </is>
      </c>
      <c r="D3143" s="17" t="n">
        <v>46099</v>
      </c>
      <c r="E3143" t="inlineStr">
        <is>
          <t>Burger Singh</t>
        </is>
      </c>
      <c r="F3143" t="inlineStr">
        <is>
          <t>Rs 82 crore</t>
        </is>
      </c>
      <c r="G3143" s="19" t="n">
        <v>82</v>
      </c>
      <c r="H3143" s="19" t="n">
        <v>9</v>
      </c>
      <c r="I3143" t="inlineStr">
        <is>
          <t>Series B</t>
        </is>
      </c>
      <c r="J3143" t="inlineStr">
        <is>
          <t>Artal Asia Pte Ltd; Negen Undiscovered Value Fund; Aurum Rising India Fund</t>
        </is>
      </c>
      <c r="K3143" t="inlineStr">
        <is>
          <t>https://entrackr.com/news/burger-singh-raises-rs-82-cr-in-series-b-round-11224074</t>
        </is>
      </c>
    </row>
    <row r="3144">
      <c r="A3144" t="inlineStr">
        <is>
          <t>ET-129655557</t>
        </is>
      </c>
      <c r="B3144" t="inlineStr">
        <is>
          <t>R260318-burgersingh</t>
        </is>
      </c>
      <c r="C3144" t="inlineStr">
        <is>
          <t>The Economic Times</t>
        </is>
      </c>
      <c r="D3144" s="17" t="n">
        <v>46099</v>
      </c>
      <c r="E3144" t="inlineStr">
        <is>
          <t>Burger Singh</t>
        </is>
      </c>
      <c r="F3144" t="inlineStr">
        <is>
          <t>$8.8 million</t>
        </is>
      </c>
      <c r="G3144" s="19" t="n">
        <v>82</v>
      </c>
      <c r="H3144" s="19" t="n">
        <v>8.800000000000001</v>
      </c>
      <c r="I3144" t="inlineStr">
        <is>
          <t>Undisclosed</t>
        </is>
      </c>
      <c r="J3144" t="inlineStr">
        <is>
          <t>Artal Asia</t>
        </is>
      </c>
      <c r="K3144" t="inlineStr">
        <is>
          <t>https://economictimes.indiatimes.com/tech/funding/qsr-chain-burger-singh-raises-8-8-million-led-by-artal-asia/articleshow/129655557.cms</t>
        </is>
      </c>
    </row>
    <row r="3145">
      <c r="A3145" t="inlineStr">
        <is>
          <t>INC-20260321-06</t>
        </is>
      </c>
      <c r="B3145" t="inlineStr">
        <is>
          <t>R260318-burgersingh</t>
        </is>
      </c>
      <c r="C3145" t="inlineStr">
        <is>
          <t>Inc42</t>
        </is>
      </c>
      <c r="D3145" s="17" t="n">
        <v>46099</v>
      </c>
      <c r="E3145" t="inlineStr">
        <is>
          <t>Burger Singh</t>
        </is>
      </c>
      <c r="F3145" t="inlineStr">
        <is>
          <t>$8.8 Mn</t>
        </is>
      </c>
      <c r="G3145" s="19" t="n"/>
      <c r="H3145" s="19" t="n">
        <v>8.800000000000001</v>
      </c>
      <c r="I3145" t="inlineStr">
        <is>
          <t>Series B</t>
        </is>
      </c>
      <c r="J3145" t="inlineStr">
        <is>
          <t>Artal Asia</t>
        </is>
      </c>
      <c r="K3145" t="inlineStr">
        <is>
          <t>https://inc42.com/buzz/from-neo-to-atlys-indian-startups-raised-228-mn-this-week-2/</t>
        </is>
      </c>
    </row>
    <row r="3146">
      <c r="A3146" t="inlineStr">
        <is>
          <t>VCC-3b7cac570b</t>
        </is>
      </c>
      <c r="B3146" t="inlineStr">
        <is>
          <t>R260318-burgersingh</t>
        </is>
      </c>
      <c r="C3146" t="inlineStr">
        <is>
          <t>VCCircle</t>
        </is>
      </c>
      <c r="D3146" s="17" t="n">
        <v>46099</v>
      </c>
      <c r="E3146" t="inlineStr">
        <is>
          <t>qsrchain burger singh</t>
        </is>
      </c>
      <c r="F3146" t="inlineStr"/>
      <c r="G3146" s="19" t="n"/>
      <c r="H3146" s="19" t="n"/>
      <c r="I3146" t="inlineStr">
        <is>
          <t>Series B</t>
        </is>
      </c>
      <c r="J3146" t="inlineStr"/>
      <c r="K3146" t="inlineStr">
        <is>
          <t>https://www.vccircle.com/qsrchain-burger-singh-raises-series-b-funding-from-artal-asia</t>
        </is>
      </c>
    </row>
    <row r="3147">
      <c r="A3147" t="inlineStr">
        <is>
          <t>ENT-11223504</t>
        </is>
      </c>
      <c r="B3147" t="inlineStr">
        <is>
          <t>R260318-cometchat</t>
        </is>
      </c>
      <c r="C3147" t="inlineStr">
        <is>
          <t>Entrackr</t>
        </is>
      </c>
      <c r="D3147" s="17" t="n">
        <v>46099</v>
      </c>
      <c r="E3147" t="inlineStr">
        <is>
          <t>CometChat</t>
        </is>
      </c>
      <c r="F3147" t="inlineStr">
        <is>
          <t>$6.5 million</t>
        </is>
      </c>
      <c r="G3147" s="19" t="n">
        <v>60</v>
      </c>
      <c r="H3147" s="19" t="n">
        <v>6.5</v>
      </c>
      <c r="I3147" t="inlineStr">
        <is>
          <t>Undisclosed</t>
        </is>
      </c>
      <c r="J3147" t="inlineStr"/>
      <c r="K3147" t="inlineStr">
        <is>
          <t>https://entrackr.com/snippets/cometchat-raises-65-mn-from-run-ventures-11223504</t>
        </is>
      </c>
    </row>
    <row r="3148">
      <c r="A3148" t="inlineStr">
        <is>
          <t>ET-129653805</t>
        </is>
      </c>
      <c r="B3148" t="inlineStr">
        <is>
          <t>R260318-cometchat</t>
        </is>
      </c>
      <c r="C3148" t="inlineStr">
        <is>
          <t>The Economic Times</t>
        </is>
      </c>
      <c r="D3148" s="17" t="n">
        <v>46099</v>
      </c>
      <c r="E3148" t="inlineStr">
        <is>
          <t>Comet Chat</t>
        </is>
      </c>
      <c r="F3148" t="inlineStr">
        <is>
          <t>$6.5 million</t>
        </is>
      </c>
      <c r="G3148" s="19" t="n"/>
      <c r="H3148" s="19" t="n">
        <v>6.5</v>
      </c>
      <c r="I3148" t="inlineStr">
        <is>
          <t>Undisclosed</t>
        </is>
      </c>
      <c r="J3148" t="inlineStr"/>
      <c r="K3148" t="inlineStr">
        <is>
          <t>https://economictimes.indiatimes.com/tech/funding/communications-startup-comet-chat-secures-6-5-million-from-run-ventures/articleshow/129653805.cms</t>
        </is>
      </c>
    </row>
    <row r="3149">
      <c r="A3149" t="inlineStr">
        <is>
          <t>INC-20260321-10</t>
        </is>
      </c>
      <c r="B3149" t="inlineStr">
        <is>
          <t>R260318-cometchat</t>
        </is>
      </c>
      <c r="C3149" t="inlineStr">
        <is>
          <t>Inc42</t>
        </is>
      </c>
      <c r="D3149" s="17" t="n">
        <v>46099</v>
      </c>
      <c r="E3149" t="inlineStr">
        <is>
          <t>CometChat</t>
        </is>
      </c>
      <c r="F3149" t="inlineStr">
        <is>
          <t>$6.5 Mn</t>
        </is>
      </c>
      <c r="G3149" s="19" t="n"/>
      <c r="H3149" s="19" t="n">
        <v>6.5</v>
      </c>
      <c r="I3149" t="inlineStr">
        <is>
          <t>Undisclosed</t>
        </is>
      </c>
      <c r="J3149" t="inlineStr">
        <is>
          <t>Run Ventures</t>
        </is>
      </c>
      <c r="K3149" t="inlineStr">
        <is>
          <t>https://inc42.com/buzz/from-neo-to-atlys-indian-startups-raised-228-mn-this-week-2/</t>
        </is>
      </c>
    </row>
    <row r="3150">
      <c r="A3150" t="inlineStr">
        <is>
          <t>INC-20260321-19</t>
        </is>
      </c>
      <c r="B3150" t="inlineStr">
        <is>
          <t>R260318-laani</t>
        </is>
      </c>
      <c r="C3150" t="inlineStr">
        <is>
          <t>Inc42</t>
        </is>
      </c>
      <c r="D3150" s="17" t="n">
        <v>46099</v>
      </c>
      <c r="E3150" t="inlineStr">
        <is>
          <t>Laani</t>
        </is>
      </c>
      <c r="F3150" t="inlineStr">
        <is>
          <t>$973K</t>
        </is>
      </c>
      <c r="G3150" s="19" t="n"/>
      <c r="H3150" s="19" t="n">
        <v>0.973</v>
      </c>
      <c r="I3150" t="inlineStr">
        <is>
          <t>Pre-Seed</t>
        </is>
      </c>
      <c r="J3150" t="inlineStr">
        <is>
          <t>V3 Ventures; Saama Capital</t>
        </is>
      </c>
      <c r="K3150" t="inlineStr">
        <is>
          <t>https://inc42.com/buzz/from-neo-to-atlys-indian-startups-raised-228-mn-this-week-2/</t>
        </is>
      </c>
    </row>
    <row r="3151">
      <c r="A3151" t="inlineStr">
        <is>
          <t>ENT-11226896</t>
        </is>
      </c>
      <c r="B3151" t="inlineStr">
        <is>
          <t>R260318-laani</t>
        </is>
      </c>
      <c r="C3151" t="inlineStr">
        <is>
          <t>Entrackr</t>
        </is>
      </c>
      <c r="D3151" s="17" t="n">
        <v>46100</v>
      </c>
      <c r="E3151" t="inlineStr">
        <is>
          <t>Laani</t>
        </is>
      </c>
      <c r="F3151" t="inlineStr">
        <is>
          <t>Rs 9.1 crore</t>
        </is>
      </c>
      <c r="G3151" s="19" t="n">
        <v>9.1</v>
      </c>
      <c r="H3151" s="19" t="n">
        <v>0.97</v>
      </c>
      <c r="I3151" t="inlineStr">
        <is>
          <t>Pre-Seed</t>
        </is>
      </c>
      <c r="J3151" t="inlineStr">
        <is>
          <t>V3 Ventures; Saama Capital</t>
        </is>
      </c>
      <c r="K3151" t="inlineStr">
        <is>
          <t>https://entrackr.com/snippets/personal-care-brand-laani-raises-rs-91-cr-in-pre-seed-round-11226896</t>
        </is>
      </c>
    </row>
    <row r="3152">
      <c r="A3152" t="inlineStr">
        <is>
          <t>ENT-11224352</t>
        </is>
      </c>
      <c r="B3152" t="inlineStr">
        <is>
          <t>R260318-optimocapital</t>
        </is>
      </c>
      <c r="C3152" t="inlineStr">
        <is>
          <t>Entrackr</t>
        </is>
      </c>
      <c r="D3152" s="17" t="n">
        <v>46099</v>
      </c>
      <c r="E3152" t="inlineStr">
        <is>
          <t>Optimo Capital</t>
        </is>
      </c>
      <c r="F3152" t="inlineStr">
        <is>
          <t>Rs 100 crore</t>
        </is>
      </c>
      <c r="G3152" s="19" t="n">
        <v>100</v>
      </c>
      <c r="H3152" s="19" t="n"/>
      <c r="I3152" t="inlineStr">
        <is>
          <t>Debt</t>
        </is>
      </c>
      <c r="J3152" t="inlineStr"/>
      <c r="K3152" t="inlineStr">
        <is>
          <t>https://entrackr.com/snippets/prashant-pittis-optimo-capital-raises-rs-100-cr-from-pnb-11224352</t>
        </is>
      </c>
    </row>
    <row r="3153">
      <c r="A3153" t="inlineStr">
        <is>
          <t>ENT-11224140</t>
        </is>
      </c>
      <c r="B3153" t="inlineStr">
        <is>
          <t>R260318-verbaflo</t>
        </is>
      </c>
      <c r="C3153" t="inlineStr">
        <is>
          <t>Entrackr</t>
        </is>
      </c>
      <c r="D3153" s="17" t="n">
        <v>46099</v>
      </c>
      <c r="E3153" t="inlineStr">
        <is>
          <t>VerbaFlo</t>
        </is>
      </c>
      <c r="F3153" t="inlineStr">
        <is>
          <t>$7 million</t>
        </is>
      </c>
      <c r="G3153" s="19" t="n"/>
      <c r="H3153" s="19" t="n">
        <v>7</v>
      </c>
      <c r="I3153" t="inlineStr">
        <is>
          <t>Seed</t>
        </is>
      </c>
      <c r="J3153" t="inlineStr">
        <is>
          <t>Pi Labs</t>
        </is>
      </c>
      <c r="K3153" t="inlineStr">
        <is>
          <t>https://entrackr.com/snippets/conversational-ai-platform-verbaflo-raises-7-mn-in-seed-round-led-by-pi-labs-11224140</t>
        </is>
      </c>
    </row>
    <row r="3154">
      <c r="A3154" t="inlineStr">
        <is>
          <t>ET-129653691</t>
        </is>
      </c>
      <c r="B3154" t="inlineStr">
        <is>
          <t>R260318-verbaflo</t>
        </is>
      </c>
      <c r="C3154" t="inlineStr">
        <is>
          <t>The Economic Times</t>
        </is>
      </c>
      <c r="D3154" s="17" t="n">
        <v>46099</v>
      </c>
      <c r="E3154" t="inlineStr">
        <is>
          <t>VerbaFlo</t>
        </is>
      </c>
      <c r="F3154" t="inlineStr">
        <is>
          <t>$7 million</t>
        </is>
      </c>
      <c r="G3154" s="19" t="n"/>
      <c r="H3154" s="19" t="n">
        <v>7</v>
      </c>
      <c r="I3154" t="inlineStr">
        <is>
          <t>Undisclosed</t>
        </is>
      </c>
      <c r="J3154" t="inlineStr">
        <is>
          <t>Pi Labs</t>
        </is>
      </c>
      <c r="K3154" t="inlineStr">
        <is>
          <t>https://economictimes.indiatimes.com/tech/funding/real-estate-ai-platform-verbaflo-raises-7-million-from-pi-labs-haatch-navigate-ventures/articleshow/129653691.cms</t>
        </is>
      </c>
    </row>
    <row r="3155">
      <c r="A3155" t="inlineStr">
        <is>
          <t>INC-20260321-08</t>
        </is>
      </c>
      <c r="B3155" t="inlineStr">
        <is>
          <t>R260318-verbaflo</t>
        </is>
      </c>
      <c r="C3155" t="inlineStr">
        <is>
          <t>Inc42</t>
        </is>
      </c>
      <c r="D3155" s="17" t="n">
        <v>46099</v>
      </c>
      <c r="E3155" t="inlineStr">
        <is>
          <t>VerbaFlo</t>
        </is>
      </c>
      <c r="F3155" t="inlineStr">
        <is>
          <t>$7 Mn</t>
        </is>
      </c>
      <c r="G3155" s="19" t="n"/>
      <c r="H3155" s="19" t="n">
        <v>7</v>
      </c>
      <c r="I3155" t="inlineStr">
        <is>
          <t>Seed</t>
        </is>
      </c>
      <c r="J3155" t="inlineStr">
        <is>
          <t>Pi Labs</t>
        </is>
      </c>
      <c r="K3155" t="inlineStr">
        <is>
          <t>https://inc42.com/buzz/from-neo-to-atlys-indian-startups-raised-228-mn-this-week-2/</t>
        </is>
      </c>
    </row>
    <row r="3156">
      <c r="A3156" t="inlineStr">
        <is>
          <t>ENT-11224855</t>
        </is>
      </c>
      <c r="B3156" t="inlineStr">
        <is>
          <t>R260318-weaverservices</t>
        </is>
      </c>
      <c r="C3156" t="inlineStr">
        <is>
          <t>Entrackr</t>
        </is>
      </c>
      <c r="D3156" s="17" t="n">
        <v>46099</v>
      </c>
      <c r="E3156" t="inlineStr">
        <is>
          <t>Weaver Services</t>
        </is>
      </c>
      <c r="F3156" t="inlineStr">
        <is>
          <t>Rs 1,450 crore</t>
        </is>
      </c>
      <c r="G3156" s="19" t="n">
        <v>1450</v>
      </c>
      <c r="H3156" s="19" t="n">
        <v>156</v>
      </c>
      <c r="I3156" t="inlineStr">
        <is>
          <t>Undisclosed</t>
        </is>
      </c>
      <c r="J3156" t="inlineStr">
        <is>
          <t>Premji Invest; Lightspeed</t>
        </is>
      </c>
      <c r="K3156" t="inlineStr">
        <is>
          <t>https://entrackr.com/news/weaver-services-raises-rs-1450-cr-led-by-premji-invest-and-lightspeed-11224855</t>
        </is>
      </c>
    </row>
    <row r="3157">
      <c r="A3157" t="inlineStr">
        <is>
          <t>INC-20260321-04</t>
        </is>
      </c>
      <c r="B3157" t="inlineStr">
        <is>
          <t>R260319-assiduus</t>
        </is>
      </c>
      <c r="C3157" t="inlineStr">
        <is>
          <t>Inc42</t>
        </is>
      </c>
      <c r="D3157" s="17" t="n">
        <v>46100</v>
      </c>
      <c r="E3157" t="inlineStr">
        <is>
          <t>Assiduus</t>
        </is>
      </c>
      <c r="F3157" t="inlineStr">
        <is>
          <t>$25 Mn</t>
        </is>
      </c>
      <c r="G3157" s="19" t="n"/>
      <c r="H3157" s="19" t="n">
        <v>25</v>
      </c>
      <c r="I3157" t="inlineStr">
        <is>
          <t>Pre-Series B</t>
        </is>
      </c>
      <c r="J3157" t="inlineStr">
        <is>
          <t>Bajaj FinServ</t>
        </is>
      </c>
      <c r="K3157" t="inlineStr">
        <is>
          <t>https://inc42.com/buzz/from-neo-to-atlys-indian-startups-raised-228-mn-this-week-2/</t>
        </is>
      </c>
    </row>
    <row r="3158">
      <c r="A3158" t="inlineStr">
        <is>
          <t>ENT-11227402</t>
        </is>
      </c>
      <c r="B3158" t="inlineStr">
        <is>
          <t>R260319-mavehealth</t>
        </is>
      </c>
      <c r="C3158" t="inlineStr">
        <is>
          <t>Entrackr</t>
        </is>
      </c>
      <c r="D3158" s="17" t="n">
        <v>46100</v>
      </c>
      <c r="E3158" t="inlineStr">
        <is>
          <t>Mave Health</t>
        </is>
      </c>
      <c r="F3158" t="inlineStr">
        <is>
          <t>$2.1 million</t>
        </is>
      </c>
      <c r="G3158" s="19" t="n">
        <v>18</v>
      </c>
      <c r="H3158" s="19" t="n">
        <v>2.1</v>
      </c>
      <c r="I3158" t="inlineStr">
        <is>
          <t>Seed</t>
        </is>
      </c>
      <c r="J3158" t="inlineStr">
        <is>
          <t>Blume Ventures</t>
        </is>
      </c>
      <c r="K3158" t="inlineStr">
        <is>
          <t>https://entrackr.com/snippets/neurotechnology-startup-mave-health-secures-21-mn-led-by-blume-ventures-11227402</t>
        </is>
      </c>
    </row>
    <row r="3159">
      <c r="A3159" t="inlineStr">
        <is>
          <t>INC-20260321-16</t>
        </is>
      </c>
      <c r="B3159" t="inlineStr">
        <is>
          <t>R260319-mavehealth</t>
        </is>
      </c>
      <c r="C3159" t="inlineStr">
        <is>
          <t>Inc42</t>
        </is>
      </c>
      <c r="D3159" s="17" t="n">
        <v>46100</v>
      </c>
      <c r="E3159" t="inlineStr">
        <is>
          <t>Mave Health</t>
        </is>
      </c>
      <c r="F3159" t="inlineStr">
        <is>
          <t>$2.1 Mn</t>
        </is>
      </c>
      <c r="G3159" s="19" t="n"/>
      <c r="H3159" s="19" t="n">
        <v>2.1</v>
      </c>
      <c r="I3159" t="inlineStr">
        <is>
          <t>Seed</t>
        </is>
      </c>
      <c r="J3159" t="inlineStr">
        <is>
          <t>Blume Ventures</t>
        </is>
      </c>
      <c r="K3159" t="inlineStr">
        <is>
          <t>https://inc42.com/buzz/from-neo-to-atlys-indian-startups-raised-228-mn-this-week-2/</t>
        </is>
      </c>
    </row>
    <row r="3160">
      <c r="A3160" t="inlineStr">
        <is>
          <t>ENT-11227264</t>
        </is>
      </c>
      <c r="B3160" t="inlineStr">
        <is>
          <t>R260319-pinqpolka</t>
        </is>
      </c>
      <c r="C3160" t="inlineStr">
        <is>
          <t>Entrackr</t>
        </is>
      </c>
      <c r="D3160" s="17" t="n">
        <v>46100</v>
      </c>
      <c r="E3160" t="inlineStr">
        <is>
          <t>Pinq Polka</t>
        </is>
      </c>
      <c r="F3160" t="inlineStr">
        <is>
          <t>Rs 4 crore</t>
        </is>
      </c>
      <c r="G3160" s="19" t="n">
        <v>4</v>
      </c>
      <c r="H3160" s="19" t="n"/>
      <c r="I3160" t="inlineStr">
        <is>
          <t>Pre-Series A</t>
        </is>
      </c>
      <c r="J3160" t="inlineStr">
        <is>
          <t>Inflection Point Ventures</t>
        </is>
      </c>
      <c r="K3160" t="inlineStr">
        <is>
          <t>https://entrackr.com/snippets/ipv-leads-pre-series-a-round-in-pinq-polka-11227264</t>
        </is>
      </c>
    </row>
    <row r="3161">
      <c r="A3161" t="inlineStr">
        <is>
          <t>INC-20260321-20</t>
        </is>
      </c>
      <c r="B3161" t="inlineStr">
        <is>
          <t>R260319-pinqpolka</t>
        </is>
      </c>
      <c r="C3161" t="inlineStr">
        <is>
          <t>Inc42</t>
        </is>
      </c>
      <c r="D3161" s="17" t="n">
        <v>46100</v>
      </c>
      <c r="E3161" t="inlineStr">
        <is>
          <t>Pinq Polka</t>
        </is>
      </c>
      <c r="F3161" t="inlineStr">
        <is>
          <t>$479K</t>
        </is>
      </c>
      <c r="G3161" s="19" t="n"/>
      <c r="H3161" s="19" t="n">
        <v>0.479</v>
      </c>
      <c r="I3161" t="inlineStr">
        <is>
          <t>Pre-Series A</t>
        </is>
      </c>
      <c r="J3161" t="inlineStr">
        <is>
          <t>Inflection Point Ventures</t>
        </is>
      </c>
      <c r="K3161" t="inlineStr">
        <is>
          <t>https://inc42.com/buzz/from-neo-to-atlys-indian-startups-raised-228-mn-this-week-2/</t>
        </is>
      </c>
    </row>
    <row r="3162">
      <c r="A3162" t="inlineStr">
        <is>
          <t>ENT-11228049</t>
        </is>
      </c>
      <c r="B3162" t="inlineStr">
        <is>
          <t>R260319-rymotechnologi</t>
        </is>
      </c>
      <c r="C3162" t="inlineStr">
        <is>
          <t>Entrackr</t>
        </is>
      </c>
      <c r="D3162" s="17" t="n">
        <v>46100</v>
      </c>
      <c r="E3162" t="inlineStr">
        <is>
          <t>Rymo Technologies</t>
        </is>
      </c>
      <c r="F3162" t="inlineStr">
        <is>
          <t>Rs 10 crore</t>
        </is>
      </c>
      <c r="G3162" s="19" t="n">
        <v>10</v>
      </c>
      <c r="H3162" s="19" t="n"/>
      <c r="I3162" t="inlineStr">
        <is>
          <t>Seed</t>
        </is>
      </c>
      <c r="J3162" t="inlineStr"/>
      <c r="K3162" t="inlineStr">
        <is>
          <t>https://entrackr.com/snippets/neuro-rehabilitation-startup-rymo-technologies-secures-rs-10-cr-in-seed-round-11228049</t>
        </is>
      </c>
    </row>
    <row r="3163">
      <c r="A3163" t="inlineStr">
        <is>
          <t>INC-20260321-18</t>
        </is>
      </c>
      <c r="B3163" t="inlineStr">
        <is>
          <t>R260319-rymotechnologi</t>
        </is>
      </c>
      <c r="C3163" t="inlineStr">
        <is>
          <t>Inc42</t>
        </is>
      </c>
      <c r="D3163" s="17" t="n">
        <v>46100</v>
      </c>
      <c r="E3163" t="inlineStr">
        <is>
          <t>Rymo Technologies</t>
        </is>
      </c>
      <c r="F3163" t="inlineStr">
        <is>
          <t>$1.2 Mn</t>
        </is>
      </c>
      <c r="G3163" s="19" t="n"/>
      <c r="H3163" s="19" t="n">
        <v>1.2</v>
      </c>
      <c r="I3163" t="inlineStr">
        <is>
          <t>Seed</t>
        </is>
      </c>
      <c r="J3163" t="inlineStr">
        <is>
          <t>IAN Angel Fund</t>
        </is>
      </c>
      <c r="K3163" t="inlineStr">
        <is>
          <t>https://inc42.com/buzz/from-neo-to-atlys-indian-startups-raised-228-mn-this-week-2/</t>
        </is>
      </c>
    </row>
    <row r="3164">
      <c r="A3164" t="inlineStr">
        <is>
          <t>ENT-11247180</t>
        </is>
      </c>
      <c r="B3164" t="inlineStr">
        <is>
          <t>R260320-aamraseniorscl</t>
        </is>
      </c>
      <c r="C3164" t="inlineStr">
        <is>
          <t>Entrackr</t>
        </is>
      </c>
      <c r="D3164" s="17" t="n">
        <v>46101</v>
      </c>
      <c r="E3164" t="inlineStr">
        <is>
          <t>Aamra Seniors Club</t>
        </is>
      </c>
      <c r="F3164" t="inlineStr">
        <is>
          <t>$150,000</t>
        </is>
      </c>
      <c r="G3164" s="19" t="n"/>
      <c r="H3164" s="19" t="n">
        <v>0.15</v>
      </c>
      <c r="I3164" t="inlineStr">
        <is>
          <t>Pre-Seed</t>
        </is>
      </c>
      <c r="J3164" t="inlineStr"/>
      <c r="K3164" t="inlineStr">
        <is>
          <t>https://entrackr.com/snippets/aamra-seniors-club-raises-150k-in-pre-seed-round-11247180</t>
        </is>
      </c>
    </row>
    <row r="3165">
      <c r="A3165" t="inlineStr">
        <is>
          <t>ENT-11254502</t>
        </is>
      </c>
      <c r="B3165" t="inlineStr">
        <is>
          <t>R260323-bidso</t>
        </is>
      </c>
      <c r="C3165" t="inlineStr">
        <is>
          <t>Entrackr</t>
        </is>
      </c>
      <c r="D3165" s="17" t="n">
        <v>46104</v>
      </c>
      <c r="E3165" t="inlineStr">
        <is>
          <t>BIDSO</t>
        </is>
      </c>
      <c r="F3165" t="inlineStr">
        <is>
          <t>Rs 63 crore</t>
        </is>
      </c>
      <c r="G3165" s="19" t="n">
        <v>63</v>
      </c>
      <c r="H3165" s="19" t="n">
        <v>6.7</v>
      </c>
      <c r="I3165" t="inlineStr">
        <is>
          <t>Series A</t>
        </is>
      </c>
      <c r="J3165" t="inlineStr">
        <is>
          <t>Blume Ventures</t>
        </is>
      </c>
      <c r="K3165" t="inlineStr">
        <is>
          <t>https://entrackr.com/news/toy-manufacturing-startup-bidso-secures-rs-63-cr-in-series-a-led-by-blume-ventures-11254502</t>
        </is>
      </c>
    </row>
    <row r="3166">
      <c r="A3166" t="inlineStr">
        <is>
          <t>ET-129737709</t>
        </is>
      </c>
      <c r="B3166" t="inlineStr">
        <is>
          <t>R260323-bidso</t>
        </is>
      </c>
      <c r="C3166" t="inlineStr">
        <is>
          <t>The Economic Times</t>
        </is>
      </c>
      <c r="D3166" s="17" t="n">
        <v>46104</v>
      </c>
      <c r="E3166" t="inlineStr">
        <is>
          <t>Bidso</t>
        </is>
      </c>
      <c r="F3166" t="inlineStr">
        <is>
          <t>Rs 63 crore</t>
        </is>
      </c>
      <c r="G3166" s="19" t="n">
        <v>63</v>
      </c>
      <c r="H3166" s="19" t="n"/>
      <c r="I3166" t="inlineStr">
        <is>
          <t>Undisclosed</t>
        </is>
      </c>
      <c r="J3166" t="inlineStr">
        <is>
          <t>Blume Ventures</t>
        </is>
      </c>
      <c r="K3166" t="inlineStr">
        <is>
          <t>https://economictimes.indiatimes.com/tech/funding/toy-manufacturing-startup-bidso-raises-rs-63-crore-led-by-blume-ventures/articleshow/129737709.cms</t>
        </is>
      </c>
    </row>
    <row r="3167">
      <c r="A3167" t="inlineStr">
        <is>
          <t>INC-20260328-09</t>
        </is>
      </c>
      <c r="B3167" t="inlineStr">
        <is>
          <t>R260323-bidso</t>
        </is>
      </c>
      <c r="C3167" t="inlineStr">
        <is>
          <t>Inc42</t>
        </is>
      </c>
      <c r="D3167" s="17" t="n">
        <v>46104</v>
      </c>
      <c r="E3167" t="inlineStr">
        <is>
          <t>Bidso</t>
        </is>
      </c>
      <c r="F3167" t="inlineStr">
        <is>
          <t>$6.8 Mn</t>
        </is>
      </c>
      <c r="G3167" s="19" t="n"/>
      <c r="H3167" s="19" t="n">
        <v>6.8</v>
      </c>
      <c r="I3167" t="inlineStr">
        <is>
          <t>Series A</t>
        </is>
      </c>
      <c r="J3167" t="inlineStr">
        <is>
          <t>Blume Ventures</t>
        </is>
      </c>
      <c r="K3167" t="inlineStr">
        <is>
          <t>https://inc42.com/buzz/from-euler-motors-to-rocketlane-indian-startups-raised-343-mn-this-week/</t>
        </is>
      </c>
    </row>
    <row r="3168">
      <c r="A3168" t="inlineStr">
        <is>
          <t>ENT-11712626</t>
        </is>
      </c>
      <c r="B3168" t="inlineStr">
        <is>
          <t>R260323-bidso</t>
        </is>
      </c>
      <c r="C3168" t="inlineStr">
        <is>
          <t>Entrackr</t>
        </is>
      </c>
      <c r="D3168" s="17" t="n">
        <v>46122</v>
      </c>
      <c r="E3168" t="inlineStr">
        <is>
          <t>BIDSO</t>
        </is>
      </c>
      <c r="F3168" t="inlineStr">
        <is>
          <t>Rs 63 crore</t>
        </is>
      </c>
      <c r="G3168" s="19" t="n">
        <v>63</v>
      </c>
      <c r="H3168" s="19" t="n">
        <v>6.78</v>
      </c>
      <c r="I3168" t="inlineStr">
        <is>
          <t>Series A</t>
        </is>
      </c>
      <c r="J3168" t="inlineStr">
        <is>
          <t>Blume Ventures</t>
        </is>
      </c>
      <c r="K3168" t="inlineStr">
        <is>
          <t>https://entrackr.com/snippets/bidso-raises-rs-63-cr-in-series-a-round-led-by-blume-ventures-11712626</t>
        </is>
      </c>
    </row>
    <row r="3169">
      <c r="A3169" t="inlineStr">
        <is>
          <t>ET-129755743</t>
        </is>
      </c>
      <c r="B3169" t="inlineStr">
        <is>
          <t>R260323-cultfit</t>
        </is>
      </c>
      <c r="C3169" t="inlineStr">
        <is>
          <t>The Economic Times</t>
        </is>
      </c>
      <c r="D3169" s="17" t="n">
        <v>46104</v>
      </c>
      <c r="E3169" t="inlineStr">
        <is>
          <t>Cultfit</t>
        </is>
      </c>
      <c r="F3169" t="inlineStr">
        <is>
          <t>$47 million</t>
        </is>
      </c>
      <c r="G3169" s="19" t="n">
        <v>440</v>
      </c>
      <c r="H3169" s="19" t="n">
        <v>47</v>
      </c>
      <c r="I3169" t="inlineStr">
        <is>
          <t>Undisclosed</t>
        </is>
      </c>
      <c r="J3169" t="inlineStr"/>
      <c r="K3169" t="inlineStr">
        <is>
          <t>https://economictimes.indiatimes.com/tech/funding/cultfit-raises-47-million-from-singapores-temasek/articleshow/129755743.cms</t>
        </is>
      </c>
    </row>
    <row r="3170">
      <c r="A3170" t="inlineStr">
        <is>
          <t>ENT-11254722</t>
        </is>
      </c>
      <c r="B3170" t="inlineStr">
        <is>
          <t>R260323-finfinity</t>
        </is>
      </c>
      <c r="C3170" t="inlineStr">
        <is>
          <t>Entrackr</t>
        </is>
      </c>
      <c r="D3170" s="17" t="n">
        <v>46104</v>
      </c>
      <c r="E3170" t="inlineStr">
        <is>
          <t>Finfinity</t>
        </is>
      </c>
      <c r="F3170" t="inlineStr">
        <is>
          <t>$2.4 million</t>
        </is>
      </c>
      <c r="G3170" s="19" t="n"/>
      <c r="H3170" s="19" t="n">
        <v>2.4</v>
      </c>
      <c r="I3170" t="inlineStr">
        <is>
          <t>Seed</t>
        </is>
      </c>
      <c r="J3170" t="inlineStr"/>
      <c r="K3170" t="inlineStr">
        <is>
          <t>https://entrackr.com/snippets/digital-lending-marketplace-finfinity-raises-24-mn-in-seed-round-11254722</t>
        </is>
      </c>
    </row>
    <row r="3171">
      <c r="A3171" t="inlineStr">
        <is>
          <t>INC-20260328-16</t>
        </is>
      </c>
      <c r="B3171" t="inlineStr">
        <is>
          <t>R260323-finfinity</t>
        </is>
      </c>
      <c r="C3171" t="inlineStr">
        <is>
          <t>Inc42</t>
        </is>
      </c>
      <c r="D3171" s="17" t="n">
        <v>46104</v>
      </c>
      <c r="E3171" t="inlineStr">
        <is>
          <t>Finfinity</t>
        </is>
      </c>
      <c r="F3171" t="inlineStr">
        <is>
          <t>$2.4 Mn</t>
        </is>
      </c>
      <c r="G3171" s="19" t="n"/>
      <c r="H3171" s="19" t="n">
        <v>2.4</v>
      </c>
      <c r="I3171" t="inlineStr">
        <is>
          <t>Seed</t>
        </is>
      </c>
      <c r="J3171" t="inlineStr">
        <is>
          <t>Mankind Pharma Promoter Family Office</t>
        </is>
      </c>
      <c r="K3171" t="inlineStr">
        <is>
          <t>https://inc42.com/buzz/from-euler-motors-to-rocketlane-indian-startups-raised-343-mn-this-week/</t>
        </is>
      </c>
    </row>
    <row r="3172">
      <c r="A3172" t="inlineStr">
        <is>
          <t>ENT-11256224</t>
        </is>
      </c>
      <c r="B3172" t="inlineStr">
        <is>
          <t>R260323-letzryd</t>
        </is>
      </c>
      <c r="C3172" t="inlineStr">
        <is>
          <t>Entrackr</t>
        </is>
      </c>
      <c r="D3172" s="17" t="n">
        <v>46104</v>
      </c>
      <c r="E3172" t="inlineStr">
        <is>
          <t>LetzRyd</t>
        </is>
      </c>
      <c r="F3172" t="inlineStr">
        <is>
          <t>$4 million</t>
        </is>
      </c>
      <c r="G3172" s="19" t="n"/>
      <c r="H3172" s="19" t="n">
        <v>4</v>
      </c>
      <c r="I3172" t="inlineStr">
        <is>
          <t>Series A</t>
        </is>
      </c>
      <c r="J3172" t="inlineStr">
        <is>
          <t>JIF Capital</t>
        </is>
      </c>
      <c r="K3172" t="inlineStr">
        <is>
          <t>https://entrackr.com/snippets/jif-capital-leads-4-mn-series-a-round-in-letzryd-11256224</t>
        </is>
      </c>
    </row>
    <row r="3173">
      <c r="A3173" t="inlineStr">
        <is>
          <t>INC-20260328-12</t>
        </is>
      </c>
      <c r="B3173" t="inlineStr">
        <is>
          <t>R260323-letzryd</t>
        </is>
      </c>
      <c r="C3173" t="inlineStr">
        <is>
          <t>Inc42</t>
        </is>
      </c>
      <c r="D3173" s="17" t="n">
        <v>46104</v>
      </c>
      <c r="E3173" t="inlineStr">
        <is>
          <t>LetzRyd</t>
        </is>
      </c>
      <c r="F3173" t="inlineStr">
        <is>
          <t>$4 Mn</t>
        </is>
      </c>
      <c r="G3173" s="19" t="n"/>
      <c r="H3173" s="19" t="n">
        <v>4</v>
      </c>
      <c r="I3173" t="inlineStr">
        <is>
          <t>Undisclosed</t>
        </is>
      </c>
      <c r="J3173" t="inlineStr">
        <is>
          <t>JIF Capital</t>
        </is>
      </c>
      <c r="K3173" t="inlineStr">
        <is>
          <t>https://inc42.com/buzz/from-euler-motors-to-rocketlane-indian-startups-raised-343-mn-this-week/</t>
        </is>
      </c>
    </row>
    <row r="3174">
      <c r="A3174" t="inlineStr">
        <is>
          <t>ENT-11256761</t>
        </is>
      </c>
      <c r="B3174" t="inlineStr">
        <is>
          <t>R260323-raanro</t>
        </is>
      </c>
      <c r="C3174" t="inlineStr">
        <is>
          <t>Entrackr</t>
        </is>
      </c>
      <c r="D3174" s="17" t="n">
        <v>46104</v>
      </c>
      <c r="E3174" t="inlineStr">
        <is>
          <t>Raanro</t>
        </is>
      </c>
      <c r="F3174" t="inlineStr">
        <is>
          <t>Rs 4.12 crore</t>
        </is>
      </c>
      <c r="G3174" s="19" t="n">
        <v>4.12</v>
      </c>
      <c r="H3174" s="19" t="n"/>
      <c r="I3174" t="inlineStr">
        <is>
          <t>Pre-Seed</t>
        </is>
      </c>
      <c r="J3174" t="inlineStr"/>
      <c r="K3174" t="inlineStr">
        <is>
          <t>https://entrackr.com/snippets/magical-nest-operator-raanro-raises-pre-seed-round-11256761</t>
        </is>
      </c>
    </row>
    <row r="3175">
      <c r="A3175" t="inlineStr">
        <is>
          <t>INC-20260328-23</t>
        </is>
      </c>
      <c r="B3175" t="inlineStr">
        <is>
          <t>R260323-raanro</t>
        </is>
      </c>
      <c r="C3175" t="inlineStr">
        <is>
          <t>Inc42</t>
        </is>
      </c>
      <c r="D3175" s="17" t="n">
        <v>46104</v>
      </c>
      <c r="E3175" t="inlineStr">
        <is>
          <t>Raanro Interior Technology</t>
        </is>
      </c>
      <c r="F3175" t="inlineStr">
        <is>
          <t>$422K</t>
        </is>
      </c>
      <c r="G3175" s="19" t="n"/>
      <c r="H3175" s="19" t="n">
        <v>0.422</v>
      </c>
      <c r="I3175" t="inlineStr">
        <is>
          <t>Pre-Seed</t>
        </is>
      </c>
      <c r="J3175" t="inlineStr"/>
      <c r="K3175" t="inlineStr">
        <is>
          <t>https://inc42.com/buzz/from-euler-motors-to-rocketlane-indian-startups-raised-343-mn-this-week/</t>
        </is>
      </c>
    </row>
    <row r="3176">
      <c r="A3176" t="inlineStr">
        <is>
          <t>ENT-11254713</t>
        </is>
      </c>
      <c r="B3176" t="inlineStr">
        <is>
          <t>R260323-workroomautoma</t>
        </is>
      </c>
      <c r="C3176" t="inlineStr">
        <is>
          <t>Entrackr</t>
        </is>
      </c>
      <c r="D3176" s="17" t="n">
        <v>46104</v>
      </c>
      <c r="E3176" t="inlineStr">
        <is>
          <t>Workroom Automation</t>
        </is>
      </c>
      <c r="F3176" t="inlineStr">
        <is>
          <t>Rs 6.2 crore</t>
        </is>
      </c>
      <c r="G3176" s="19" t="n">
        <v>6.2</v>
      </c>
      <c r="H3176" s="19" t="n"/>
      <c r="I3176" t="inlineStr">
        <is>
          <t>Seed</t>
        </is>
      </c>
      <c r="J3176" t="inlineStr">
        <is>
          <t>Equirus InnovateX Fund</t>
        </is>
      </c>
      <c r="K3176" t="inlineStr">
        <is>
          <t>https://entrackr.com/snippets/workroom-automation-raises-seed-funding-led-by-equirus-innovatex-fund-11254713</t>
        </is>
      </c>
    </row>
    <row r="3177">
      <c r="A3177" t="inlineStr">
        <is>
          <t>INC-20260328-21</t>
        </is>
      </c>
      <c r="B3177" t="inlineStr">
        <is>
          <t>R260323-workroomautoma</t>
        </is>
      </c>
      <c r="C3177" t="inlineStr">
        <is>
          <t>Inc42</t>
        </is>
      </c>
      <c r="D3177" s="17" t="n">
        <v>46105</v>
      </c>
      <c r="E3177" t="inlineStr">
        <is>
          <t>Workroom Automation</t>
        </is>
      </c>
      <c r="F3177" t="inlineStr">
        <is>
          <t>$655K</t>
        </is>
      </c>
      <c r="G3177" s="19" t="n"/>
      <c r="H3177" s="19" t="n">
        <v>0.655</v>
      </c>
      <c r="I3177" t="inlineStr">
        <is>
          <t>Seed</t>
        </is>
      </c>
      <c r="J3177" t="inlineStr">
        <is>
          <t>Equirus</t>
        </is>
      </c>
      <c r="K3177" t="inlineStr">
        <is>
          <t>https://inc42.com/buzz/from-euler-motors-to-rocketlane-indian-startups-raised-343-mn-this-week/</t>
        </is>
      </c>
    </row>
    <row r="3178">
      <c r="A3178" t="inlineStr">
        <is>
          <t>INC-20260328-03</t>
        </is>
      </c>
      <c r="B3178" t="inlineStr">
        <is>
          <t>R260324-curefit</t>
        </is>
      </c>
      <c r="C3178" t="inlineStr">
        <is>
          <t>Inc42</t>
        </is>
      </c>
      <c r="D3178" s="17" t="n">
        <v>46105</v>
      </c>
      <c r="E3178" t="inlineStr">
        <is>
          <t>CureFit</t>
        </is>
      </c>
      <c r="F3178" t="inlineStr">
        <is>
          <t>$47.2 Mn</t>
        </is>
      </c>
      <c r="G3178" s="19" t="n"/>
      <c r="H3178" s="19" t="n">
        <v>47.2</v>
      </c>
      <c r="I3178" t="inlineStr">
        <is>
          <t>Series G</t>
        </is>
      </c>
      <c r="J3178" t="inlineStr">
        <is>
          <t>Temasek</t>
        </is>
      </c>
      <c r="K3178" t="inlineStr">
        <is>
          <t>https://inc42.com/buzz/from-euler-motors-to-rocketlane-indian-startups-raised-343-mn-this-week/</t>
        </is>
      </c>
    </row>
    <row r="3179">
      <c r="A3179" t="inlineStr">
        <is>
          <t>INC-20260328-25</t>
        </is>
      </c>
      <c r="B3179" t="inlineStr">
        <is>
          <t>R260324-curiouscatsai</t>
        </is>
      </c>
      <c r="C3179" t="inlineStr">
        <is>
          <t>Inc42</t>
        </is>
      </c>
      <c r="D3179" s="17" t="n">
        <v>46105</v>
      </c>
      <c r="E3179" t="inlineStr">
        <is>
          <t>CuriousCats.ai</t>
        </is>
      </c>
      <c r="F3179" t="inlineStr"/>
      <c r="G3179" s="19" t="n"/>
      <c r="H3179" s="19" t="n"/>
      <c r="I3179" t="inlineStr">
        <is>
          <t>Pre-Seed</t>
        </is>
      </c>
      <c r="J3179" t="inlineStr">
        <is>
          <t>Sachin Shenoy</t>
        </is>
      </c>
      <c r="K3179" t="inlineStr">
        <is>
          <t>https://inc42.com/buzz/from-euler-motors-to-rocketlane-indian-startups-raised-343-mn-this-week/</t>
        </is>
      </c>
    </row>
    <row r="3180">
      <c r="A3180" t="inlineStr">
        <is>
          <t>ENT-11259258</t>
        </is>
      </c>
      <c r="B3180" t="inlineStr">
        <is>
          <t>R260324-eulermotors</t>
        </is>
      </c>
      <c r="C3180" t="inlineStr">
        <is>
          <t>Entrackr</t>
        </is>
      </c>
      <c r="D3180" s="17" t="n">
        <v>46105</v>
      </c>
      <c r="E3180" t="inlineStr">
        <is>
          <t>Euler Motors</t>
        </is>
      </c>
      <c r="F3180" t="inlineStr">
        <is>
          <t>Rs 437.5 crore</t>
        </is>
      </c>
      <c r="G3180" s="19" t="n">
        <v>437.5</v>
      </c>
      <c r="H3180" s="19" t="n">
        <v>47</v>
      </c>
      <c r="I3180" t="inlineStr">
        <is>
          <t>Series E</t>
        </is>
      </c>
      <c r="J3180" t="inlineStr">
        <is>
          <t>Lightrock; Blume Ventures</t>
        </is>
      </c>
      <c r="K3180" t="inlineStr">
        <is>
          <t>https://entrackr.com/news/euler-motors-raises-47-mn-in-series-e-round-led-by-lightrock-11259258</t>
        </is>
      </c>
    </row>
    <row r="3181">
      <c r="A3181" t="inlineStr">
        <is>
          <t>ET-129777725</t>
        </is>
      </c>
      <c r="B3181" t="inlineStr">
        <is>
          <t>R260324-eulermotors</t>
        </is>
      </c>
      <c r="C3181" t="inlineStr">
        <is>
          <t>The Economic Times</t>
        </is>
      </c>
      <c r="D3181" s="17" t="n">
        <v>46105</v>
      </c>
      <c r="E3181" t="inlineStr">
        <is>
          <t>Euler Motors</t>
        </is>
      </c>
      <c r="F3181" t="inlineStr">
        <is>
          <t>Rs 437.5 crore</t>
        </is>
      </c>
      <c r="G3181" s="19" t="n">
        <v>437.5</v>
      </c>
      <c r="H3181" s="19" t="n">
        <v>47</v>
      </c>
      <c r="I3181" t="inlineStr">
        <is>
          <t>Undisclosed</t>
        </is>
      </c>
      <c r="J3181" t="inlineStr">
        <is>
          <t>Lightrock</t>
        </is>
      </c>
      <c r="K3181" t="inlineStr">
        <is>
          <t>https://economictimes.indiatimes.com/tech/funding/ev-maker-euler-motors-raises-rs-437-5-crore-from-lightrock-hero-motocorp-others/articleshow/129777725.cms</t>
        </is>
      </c>
    </row>
    <row r="3182">
      <c r="A3182" t="inlineStr">
        <is>
          <t>INC-20260328-01</t>
        </is>
      </c>
      <c r="B3182" t="inlineStr">
        <is>
          <t>R260324-eulermotors</t>
        </is>
      </c>
      <c r="C3182" t="inlineStr">
        <is>
          <t>Inc42</t>
        </is>
      </c>
      <c r="D3182" s="17" t="n">
        <v>46105</v>
      </c>
      <c r="E3182" t="inlineStr">
        <is>
          <t>Euler Motors</t>
        </is>
      </c>
      <c r="F3182" t="inlineStr">
        <is>
          <t>$73.6 Mn</t>
        </is>
      </c>
      <c r="G3182" s="19" t="n"/>
      <c r="H3182" s="19" t="n">
        <v>73.59999999999999</v>
      </c>
      <c r="I3182" t="inlineStr">
        <is>
          <t>Series E</t>
        </is>
      </c>
      <c r="J3182" t="inlineStr">
        <is>
          <t>Lightrock</t>
        </is>
      </c>
      <c r="K3182" t="inlineStr">
        <is>
          <t>https://inc42.com/buzz/from-euler-motors-to-rocketlane-indian-startups-raised-343-mn-this-week/</t>
        </is>
      </c>
    </row>
    <row r="3183">
      <c r="A3183" t="inlineStr">
        <is>
          <t>VCC-1ebc963c07</t>
        </is>
      </c>
      <c r="B3183" t="inlineStr">
        <is>
          <t>R260324-eulermotors</t>
        </is>
      </c>
      <c r="C3183" t="inlineStr">
        <is>
          <t>VCCircle</t>
        </is>
      </c>
      <c r="D3183" s="17" t="n">
        <v>46105</v>
      </c>
      <c r="E3183" t="inlineStr">
        <is>
          <t>eulermotors</t>
        </is>
      </c>
      <c r="F3183" t="inlineStr"/>
      <c r="G3183" s="19" t="n"/>
      <c r="H3183" s="19" t="n"/>
      <c r="I3183" t="inlineStr">
        <is>
          <t>Undisclosed</t>
        </is>
      </c>
      <c r="J3183" t="inlineStr"/>
      <c r="K3183" t="inlineStr">
        <is>
          <t>https://www.vccircle.com/eulermotors-raises-fresh-equity-debt-funding-from-lightrock-trifecta-others</t>
        </is>
      </c>
    </row>
    <row r="3184">
      <c r="A3184" t="inlineStr">
        <is>
          <t>ENT-11257759</t>
        </is>
      </c>
      <c r="B3184" t="inlineStr">
        <is>
          <t>R260324-kidbea</t>
        </is>
      </c>
      <c r="C3184" t="inlineStr">
        <is>
          <t>Entrackr</t>
        </is>
      </c>
      <c r="D3184" s="17" t="n">
        <v>46105</v>
      </c>
      <c r="E3184" t="inlineStr">
        <is>
          <t>Kidbea</t>
        </is>
      </c>
      <c r="F3184" t="inlineStr">
        <is>
          <t>Rs 30 crore</t>
        </is>
      </c>
      <c r="G3184" s="19" t="n">
        <v>30</v>
      </c>
      <c r="H3184" s="19" t="n">
        <v>3.2</v>
      </c>
      <c r="I3184" t="inlineStr">
        <is>
          <t>Series A</t>
        </is>
      </c>
      <c r="J3184" t="inlineStr">
        <is>
          <t>Enrission India Capital</t>
        </is>
      </c>
      <c r="K3184" t="inlineStr">
        <is>
          <t>https://entrackr.com/snippets/kidbea-secures-rs-30-cr-in-series-a-funding-led-by-enrission-india-capital-11257759</t>
        </is>
      </c>
    </row>
    <row r="3185">
      <c r="A3185" t="inlineStr">
        <is>
          <t>INC-20260328-13</t>
        </is>
      </c>
      <c r="B3185" t="inlineStr">
        <is>
          <t>R260324-kidbea</t>
        </is>
      </c>
      <c r="C3185" t="inlineStr">
        <is>
          <t>Inc42</t>
        </is>
      </c>
      <c r="D3185" s="17" t="n">
        <v>46105</v>
      </c>
      <c r="E3185" t="inlineStr">
        <is>
          <t>Kidbea</t>
        </is>
      </c>
      <c r="F3185" t="inlineStr">
        <is>
          <t>$3.2 Mn</t>
        </is>
      </c>
      <c r="G3185" s="19" t="n"/>
      <c r="H3185" s="19" t="n">
        <v>3.2</v>
      </c>
      <c r="I3185" t="inlineStr">
        <is>
          <t>Series A</t>
        </is>
      </c>
      <c r="J3185" t="inlineStr">
        <is>
          <t>Enrission India Capital</t>
        </is>
      </c>
      <c r="K3185" t="inlineStr">
        <is>
          <t>https://inc42.com/buzz/from-euler-motors-to-rocketlane-indian-startups-raised-343-mn-this-week/</t>
        </is>
      </c>
    </row>
    <row r="3186">
      <c r="A3186" t="inlineStr">
        <is>
          <t>ENT-11257776</t>
        </is>
      </c>
      <c r="B3186" t="inlineStr">
        <is>
          <t>R260324-metafin</t>
        </is>
      </c>
      <c r="C3186" t="inlineStr">
        <is>
          <t>Entrackr</t>
        </is>
      </c>
      <c r="D3186" s="17" t="n">
        <v>46105</v>
      </c>
      <c r="E3186" t="inlineStr">
        <is>
          <t>Metafin</t>
        </is>
      </c>
      <c r="F3186" t="inlineStr">
        <is>
          <t>$10 million</t>
        </is>
      </c>
      <c r="G3186" s="19" t="n"/>
      <c r="H3186" s="19" t="n">
        <v>10</v>
      </c>
      <c r="I3186" t="inlineStr">
        <is>
          <t>Debt</t>
        </is>
      </c>
      <c r="J3186" t="inlineStr"/>
      <c r="K3186" t="inlineStr">
        <is>
          <t>https://entrackr.com/snippets/solar-financing-platform-metafin-secures-10-mn-debt-from-lendable-11257776</t>
        </is>
      </c>
    </row>
    <row r="3187">
      <c r="A3187" t="inlineStr">
        <is>
          <t>ENT-11258551</t>
        </is>
      </c>
      <c r="B3187" t="inlineStr">
        <is>
          <t>R260324-ozi</t>
        </is>
      </c>
      <c r="C3187" t="inlineStr">
        <is>
          <t>Entrackr</t>
        </is>
      </c>
      <c r="D3187" s="17" t="n">
        <v>46105</v>
      </c>
      <c r="E3187" t="inlineStr">
        <is>
          <t>OZi</t>
        </is>
      </c>
      <c r="F3187" t="inlineStr">
        <is>
          <t>$6.2 million</t>
        </is>
      </c>
      <c r="G3187" s="19" t="n"/>
      <c r="H3187" s="19" t="n">
        <v>6.2</v>
      </c>
      <c r="I3187" t="inlineStr">
        <is>
          <t>Series A</t>
        </is>
      </c>
      <c r="J3187" t="inlineStr">
        <is>
          <t>RTP Global</t>
        </is>
      </c>
      <c r="K3187" t="inlineStr">
        <is>
          <t>https://entrackr.com/snippets/kids-focused-quick-commerce-platform-ozi-raises-62-mn-led-by-rtp-global-11258551</t>
        </is>
      </c>
    </row>
    <row r="3188">
      <c r="A3188" t="inlineStr">
        <is>
          <t>ET-129776581</t>
        </is>
      </c>
      <c r="B3188" t="inlineStr">
        <is>
          <t>R260324-ozi</t>
        </is>
      </c>
      <c r="C3188" t="inlineStr">
        <is>
          <t>The Economic Times</t>
        </is>
      </c>
      <c r="D3188" s="17" t="n">
        <v>46105</v>
      </c>
      <c r="E3188" t="inlineStr">
        <is>
          <t>Ozi</t>
        </is>
      </c>
      <c r="F3188" t="inlineStr">
        <is>
          <t>$6.2 million</t>
        </is>
      </c>
      <c r="G3188" s="19" t="n"/>
      <c r="H3188" s="19" t="n">
        <v>6.2</v>
      </c>
      <c r="I3188" t="inlineStr">
        <is>
          <t>Undisclosed</t>
        </is>
      </c>
      <c r="J3188" t="inlineStr">
        <is>
          <t>RTP Global</t>
        </is>
      </c>
      <c r="K3188" t="inlineStr">
        <is>
          <t>https://economictimes.indiatimes.com/tech/funding/baby-products-quick-commerce-startup-ozi-raises-6-2-million-led-by-rtp-global/articleshow/129776581.cms</t>
        </is>
      </c>
    </row>
    <row r="3189">
      <c r="A3189" t="inlineStr">
        <is>
          <t>INC-20260328-10</t>
        </is>
      </c>
      <c r="B3189" t="inlineStr">
        <is>
          <t>R260324-ozi</t>
        </is>
      </c>
      <c r="C3189" t="inlineStr">
        <is>
          <t>Inc42</t>
        </is>
      </c>
      <c r="D3189" s="17" t="n">
        <v>46105</v>
      </c>
      <c r="E3189" t="inlineStr">
        <is>
          <t>OZi</t>
        </is>
      </c>
      <c r="F3189" t="inlineStr">
        <is>
          <t>$6.2 Mn</t>
        </is>
      </c>
      <c r="G3189" s="19" t="n"/>
      <c r="H3189" s="19" t="n">
        <v>6.2</v>
      </c>
      <c r="I3189" t="inlineStr">
        <is>
          <t>Series A</t>
        </is>
      </c>
      <c r="J3189" t="inlineStr">
        <is>
          <t>RTP Global</t>
        </is>
      </c>
      <c r="K3189" t="inlineStr">
        <is>
          <t>https://inc42.com/buzz/from-euler-motors-to-rocketlane-indian-startups-raised-343-mn-this-week/</t>
        </is>
      </c>
    </row>
    <row r="3190">
      <c r="A3190" t="inlineStr">
        <is>
          <t>ENT-11257040</t>
        </is>
      </c>
      <c r="B3190" t="inlineStr">
        <is>
          <t>R260324-pranos</t>
        </is>
      </c>
      <c r="C3190" t="inlineStr">
        <is>
          <t>Entrackr</t>
        </is>
      </c>
      <c r="D3190" s="17" t="n">
        <v>46105</v>
      </c>
      <c r="E3190" t="inlineStr">
        <is>
          <t>Pranos</t>
        </is>
      </c>
      <c r="F3190" t="inlineStr">
        <is>
          <t>$6.8 Mn</t>
        </is>
      </c>
      <c r="G3190" s="19" t="n"/>
      <c r="H3190" s="19" t="n">
        <v>6.8</v>
      </c>
      <c r="I3190" t="inlineStr">
        <is>
          <t>Undisclosed</t>
        </is>
      </c>
      <c r="J3190" t="inlineStr"/>
      <c r="K3190" t="inlineStr">
        <is>
          <t>https://entrackr.com/news/pranos-raises-68-mn-to-build-high-field-fusion-reactor-technology-11257040</t>
        </is>
      </c>
    </row>
    <row r="3191">
      <c r="A3191" t="inlineStr">
        <is>
          <t>ET-129757710</t>
        </is>
      </c>
      <c r="B3191" t="inlineStr">
        <is>
          <t>R260324-pranos</t>
        </is>
      </c>
      <c r="C3191" t="inlineStr">
        <is>
          <t>The Economic Times</t>
        </is>
      </c>
      <c r="D3191" s="17" t="n">
        <v>46105</v>
      </c>
      <c r="E3191" t="inlineStr">
        <is>
          <t>Pranos</t>
        </is>
      </c>
      <c r="F3191" t="inlineStr">
        <is>
          <t>$6.8 million</t>
        </is>
      </c>
      <c r="G3191" s="19" t="n">
        <v>63</v>
      </c>
      <c r="H3191" s="19" t="n">
        <v>6.8</v>
      </c>
      <c r="I3191" t="inlineStr">
        <is>
          <t>Undisclosed</t>
        </is>
      </c>
      <c r="J3191" t="inlineStr">
        <is>
          <t>Ankur Capital</t>
        </is>
      </c>
      <c r="K3191" t="inlineStr">
        <is>
          <t>https://economictimes.indiatimes.com/tech/funding/nuclear-fusion-startup-pranos-raises-6-8-million-in-round-co-led-by-pi-ventures-ankur-capital/articleshow/129757710.cms</t>
        </is>
      </c>
    </row>
    <row r="3192">
      <c r="A3192" t="inlineStr">
        <is>
          <t>INC-20260328-08</t>
        </is>
      </c>
      <c r="B3192" t="inlineStr">
        <is>
          <t>R260324-pranos</t>
        </is>
      </c>
      <c r="C3192" t="inlineStr">
        <is>
          <t>Inc42</t>
        </is>
      </c>
      <c r="D3192" s="17" t="n">
        <v>46105</v>
      </c>
      <c r="E3192" t="inlineStr">
        <is>
          <t>Pranos Fusion</t>
        </is>
      </c>
      <c r="F3192" t="inlineStr">
        <is>
          <t>$6.8 Mn</t>
        </is>
      </c>
      <c r="G3192" s="19" t="n"/>
      <c r="H3192" s="19" t="n">
        <v>6.8</v>
      </c>
      <c r="I3192" t="inlineStr">
        <is>
          <t>Undisclosed</t>
        </is>
      </c>
      <c r="J3192" t="inlineStr">
        <is>
          <t>Ankur Capital</t>
        </is>
      </c>
      <c r="K3192" t="inlineStr">
        <is>
          <t>https://inc42.com/buzz/from-euler-motors-to-rocketlane-indian-startups-raised-343-mn-this-week/</t>
        </is>
      </c>
    </row>
    <row r="3193">
      <c r="A3193" t="inlineStr">
        <is>
          <t>ENT-11258712</t>
        </is>
      </c>
      <c r="B3193" t="inlineStr">
        <is>
          <t>R260324-rnkids</t>
        </is>
      </c>
      <c r="C3193" t="inlineStr">
        <is>
          <t>Entrackr</t>
        </is>
      </c>
      <c r="D3193" s="17" t="n">
        <v>46105</v>
      </c>
      <c r="E3193" t="inlineStr">
        <is>
          <t>RN Kids</t>
        </is>
      </c>
      <c r="F3193" t="inlineStr">
        <is>
          <t>Rs 7.1 crore</t>
        </is>
      </c>
      <c r="G3193" s="19" t="n">
        <v>7.1</v>
      </c>
      <c r="H3193" s="19" t="n">
        <v>0.76</v>
      </c>
      <c r="I3193" t="inlineStr">
        <is>
          <t>Pre-Seed</t>
        </is>
      </c>
      <c r="J3193" t="inlineStr"/>
      <c r="K3193" t="inlineStr">
        <is>
          <t>https://entrackr.com/snippets/pediatric-wellness-startup-rn-kids-raises-pre-seed-round-11258712</t>
        </is>
      </c>
    </row>
    <row r="3194">
      <c r="A3194" t="inlineStr">
        <is>
          <t>INC-20260328-20</t>
        </is>
      </c>
      <c r="B3194" t="inlineStr">
        <is>
          <t>R260324-rnkids</t>
        </is>
      </c>
      <c r="C3194" t="inlineStr">
        <is>
          <t>Inc42</t>
        </is>
      </c>
      <c r="D3194" s="17" t="n">
        <v>46105</v>
      </c>
      <c r="E3194" t="inlineStr">
        <is>
          <t>RN Kids</t>
        </is>
      </c>
      <c r="F3194" t="inlineStr">
        <is>
          <t>$750K</t>
        </is>
      </c>
      <c r="G3194" s="19" t="n"/>
      <c r="H3194" s="19" t="n">
        <v>0.75</v>
      </c>
      <c r="I3194" t="inlineStr">
        <is>
          <t>Pre-Seed</t>
        </is>
      </c>
      <c r="J3194" t="inlineStr">
        <is>
          <t>Ashish Kacholia; Lashit Sanghvi</t>
        </is>
      </c>
      <c r="K3194" t="inlineStr">
        <is>
          <t>https://inc42.com/buzz/from-euler-motors-to-rocketlane-indian-startups-raised-343-mn-this-week/</t>
        </is>
      </c>
    </row>
    <row r="3195">
      <c r="A3195" t="inlineStr">
        <is>
          <t>ENT-11257660</t>
        </is>
      </c>
      <c r="B3195" t="inlineStr">
        <is>
          <t>R260324-swish</t>
        </is>
      </c>
      <c r="C3195" t="inlineStr">
        <is>
          <t>Entrackr</t>
        </is>
      </c>
      <c r="D3195" s="17" t="n">
        <v>46105</v>
      </c>
      <c r="E3195" t="inlineStr">
        <is>
          <t>Swish</t>
        </is>
      </c>
      <c r="F3195" t="inlineStr">
        <is>
          <t>$38 million</t>
        </is>
      </c>
      <c r="G3195" s="19" t="n"/>
      <c r="H3195" s="19" t="n">
        <v>38</v>
      </c>
      <c r="I3195" t="inlineStr">
        <is>
          <t>Debt</t>
        </is>
      </c>
      <c r="J3195" t="inlineStr">
        <is>
          <t>Hara Global; Bain Capital Ventures</t>
        </is>
      </c>
      <c r="K3195" t="inlineStr">
        <is>
          <t>https://entrackr.com/news/swish-raises-38-mn-led-by-hara-global-and-bain-capital-ventures-11257660</t>
        </is>
      </c>
    </row>
    <row r="3196">
      <c r="A3196" t="inlineStr">
        <is>
          <t>INC-20260328-04</t>
        </is>
      </c>
      <c r="B3196" t="inlineStr">
        <is>
          <t>R260324-swish</t>
        </is>
      </c>
      <c r="C3196" t="inlineStr">
        <is>
          <t>Inc42</t>
        </is>
      </c>
      <c r="D3196" s="17" t="n">
        <v>46105</v>
      </c>
      <c r="E3196" t="inlineStr">
        <is>
          <t>Swish</t>
        </is>
      </c>
      <c r="F3196" t="inlineStr">
        <is>
          <t>$38 Mn</t>
        </is>
      </c>
      <c r="G3196" s="19" t="n"/>
      <c r="H3196" s="19" t="n">
        <v>38</v>
      </c>
      <c r="I3196" t="inlineStr">
        <is>
          <t>Series B</t>
        </is>
      </c>
      <c r="J3196" t="inlineStr">
        <is>
          <t>Hara Global; Bain Capital Ventures</t>
        </is>
      </c>
      <c r="K3196" t="inlineStr">
        <is>
          <t>https://inc42.com/buzz/from-euler-motors-to-rocketlane-indian-startups-raised-343-mn-this-week/</t>
        </is>
      </c>
    </row>
    <row r="3197">
      <c r="A3197" t="inlineStr">
        <is>
          <t>VCC-b364c9374d</t>
        </is>
      </c>
      <c r="B3197" t="inlineStr">
        <is>
          <t>R260324-swish</t>
        </is>
      </c>
      <c r="C3197" t="inlineStr">
        <is>
          <t>VCCircle</t>
        </is>
      </c>
      <c r="D3197" s="17" t="n">
        <v>46105</v>
      </c>
      <c r="E3197" t="inlineStr">
        <is>
          <t>swish</t>
        </is>
      </c>
      <c r="F3197" t="inlineStr"/>
      <c r="G3197" s="19" t="n"/>
      <c r="H3197" s="19" t="n"/>
      <c r="I3197" t="inlineStr">
        <is>
          <t>Series B</t>
        </is>
      </c>
      <c r="J3197" t="inlineStr"/>
      <c r="K3197" t="inlineStr">
        <is>
          <t>https://www.vccircle.com/haraglobal-bain-capital-ventures-lead-swish-s-series-b-round</t>
        </is>
      </c>
    </row>
    <row r="3198">
      <c r="A3198" t="inlineStr">
        <is>
          <t>ENT-11261395</t>
        </is>
      </c>
      <c r="B3198" t="inlineStr">
        <is>
          <t>R260325-burmaburma</t>
        </is>
      </c>
      <c r="C3198" t="inlineStr">
        <is>
          <t>Entrackr</t>
        </is>
      </c>
      <c r="D3198" s="17" t="n">
        <v>46106</v>
      </c>
      <c r="E3198" t="inlineStr">
        <is>
          <t>Burma Burma</t>
        </is>
      </c>
      <c r="F3198" t="inlineStr">
        <is>
          <t>Rs 38 crore</t>
        </is>
      </c>
      <c r="G3198" s="19" t="n">
        <v>38</v>
      </c>
      <c r="H3198" s="19" t="n">
        <v>4</v>
      </c>
      <c r="I3198" t="inlineStr">
        <is>
          <t>Undisclosed</t>
        </is>
      </c>
      <c r="J3198" t="inlineStr"/>
      <c r="K3198" t="inlineStr">
        <is>
          <t>https://entrackr.com/snippets/burma-burma-raises-rs-38-cr-at-rs-500-cr-valuation-11261395</t>
        </is>
      </c>
    </row>
    <row r="3199">
      <c r="A3199" t="inlineStr">
        <is>
          <t>INC-20260328-11</t>
        </is>
      </c>
      <c r="B3199" t="inlineStr">
        <is>
          <t>R260325-burmaburma</t>
        </is>
      </c>
      <c r="C3199" t="inlineStr">
        <is>
          <t>Inc42</t>
        </is>
      </c>
      <c r="D3199" s="17" t="n">
        <v>46106</v>
      </c>
      <c r="E3199" t="inlineStr">
        <is>
          <t>Burma Burma</t>
        </is>
      </c>
      <c r="F3199" t="inlineStr">
        <is>
          <t>$4 Mn</t>
        </is>
      </c>
      <c r="G3199" s="19" t="n"/>
      <c r="H3199" s="19" t="n">
        <v>4</v>
      </c>
      <c r="I3199" t="inlineStr">
        <is>
          <t>Undisclosed</t>
        </is>
      </c>
      <c r="J3199" t="inlineStr">
        <is>
          <t>Negen Capital</t>
        </is>
      </c>
      <c r="K3199" t="inlineStr">
        <is>
          <t>https://inc42.com/buzz/from-euler-motors-to-rocketlane-indian-startups-raised-343-mn-this-week/</t>
        </is>
      </c>
    </row>
    <row r="3200">
      <c r="A3200" t="inlineStr">
        <is>
          <t>ENT-11261510</t>
        </is>
      </c>
      <c r="B3200" t="inlineStr">
        <is>
          <t>R260325-fullifehealthc</t>
        </is>
      </c>
      <c r="C3200" t="inlineStr">
        <is>
          <t>Entrackr</t>
        </is>
      </c>
      <c r="D3200" s="17" t="n">
        <v>46106</v>
      </c>
      <c r="E3200" t="inlineStr">
        <is>
          <t>Fullife Healthcare</t>
        </is>
      </c>
      <c r="F3200" t="inlineStr">
        <is>
          <t>Rs 300 crore</t>
        </is>
      </c>
      <c r="G3200" s="19" t="n">
        <v>300</v>
      </c>
      <c r="H3200" s="19" t="n">
        <v>32</v>
      </c>
      <c r="I3200" t="inlineStr">
        <is>
          <t>Series D</t>
        </is>
      </c>
      <c r="J3200" t="inlineStr">
        <is>
          <t>Elev8 Venture Partners</t>
        </is>
      </c>
      <c r="K3200" t="inlineStr">
        <is>
          <t>https://entrackr.com/news/fastup-parent-fullife-healthcare-raises-rs-300-cr-led-by-elev8-11261510</t>
        </is>
      </c>
    </row>
    <row r="3201">
      <c r="A3201" t="inlineStr">
        <is>
          <t>ET-129794227</t>
        </is>
      </c>
      <c r="B3201" t="inlineStr">
        <is>
          <t>R260325-fullifehealthc</t>
        </is>
      </c>
      <c r="C3201" t="inlineStr">
        <is>
          <t>The Economic Times</t>
        </is>
      </c>
      <c r="D3201" s="17" t="n">
        <v>46106</v>
      </c>
      <c r="E3201" t="inlineStr">
        <is>
          <t>Fullife Healthcare</t>
        </is>
      </c>
      <c r="F3201" t="inlineStr">
        <is>
          <t>Rs 300 crore</t>
        </is>
      </c>
      <c r="G3201" s="19" t="n">
        <v>300</v>
      </c>
      <c r="H3201" s="19" t="n"/>
      <c r="I3201" t="inlineStr">
        <is>
          <t>Undisclosed</t>
        </is>
      </c>
      <c r="J3201" t="inlineStr"/>
      <c r="K3201" t="inlineStr">
        <is>
          <t>https://economictimes.indiatimes.com/tech/funding/nutrition-startup-fullife-healthcare-raises-rs-300-crore-from-elev8-venture-partners/articleshow/129794227.cms</t>
        </is>
      </c>
    </row>
    <row r="3202">
      <c r="A3202" t="inlineStr">
        <is>
          <t>INC-20260328-05</t>
        </is>
      </c>
      <c r="B3202" t="inlineStr">
        <is>
          <t>R260325-fullifehealthc</t>
        </is>
      </c>
      <c r="C3202" t="inlineStr">
        <is>
          <t>Inc42</t>
        </is>
      </c>
      <c r="D3202" s="17" t="n">
        <v>46106</v>
      </c>
      <c r="E3202" t="inlineStr">
        <is>
          <t>Fullife Healthcare</t>
        </is>
      </c>
      <c r="F3202" t="inlineStr">
        <is>
          <t>$32 Mn</t>
        </is>
      </c>
      <c r="G3202" s="19" t="n"/>
      <c r="H3202" s="19" t="n">
        <v>32</v>
      </c>
      <c r="I3202" t="inlineStr">
        <is>
          <t>Series D</t>
        </is>
      </c>
      <c r="J3202" t="inlineStr">
        <is>
          <t>Elev8 Venture Partners</t>
        </is>
      </c>
      <c r="K3202" t="inlineStr">
        <is>
          <t>https://inc42.com/buzz/from-euler-motors-to-rocketlane-indian-startups-raised-343-mn-this-week/</t>
        </is>
      </c>
    </row>
    <row r="3203">
      <c r="A3203" t="inlineStr">
        <is>
          <t>INC-20260328-19</t>
        </is>
      </c>
      <c r="B3203" t="inlineStr">
        <is>
          <t>R260325-noveltywealth</t>
        </is>
      </c>
      <c r="C3203" t="inlineStr">
        <is>
          <t>Inc42</t>
        </is>
      </c>
      <c r="D3203" s="17" t="n">
        <v>46106</v>
      </c>
      <c r="E3203" t="inlineStr">
        <is>
          <t>Novelty Wealth</t>
        </is>
      </c>
      <c r="F3203" t="inlineStr">
        <is>
          <t>$1.4 Mn</t>
        </is>
      </c>
      <c r="G3203" s="19" t="n"/>
      <c r="H3203" s="19" t="n">
        <v>1.4</v>
      </c>
      <c r="I3203" t="inlineStr">
        <is>
          <t>Undisclosed</t>
        </is>
      </c>
      <c r="J3203" t="inlineStr">
        <is>
          <t>IndiaQuotient</t>
        </is>
      </c>
      <c r="K3203" t="inlineStr">
        <is>
          <t>https://inc42.com/buzz/from-euler-motors-to-rocketlane-indian-startups-raised-343-mn-this-week/</t>
        </is>
      </c>
    </row>
    <row r="3204">
      <c r="A3204" t="inlineStr">
        <is>
          <t>INC-20260328-24</t>
        </is>
      </c>
      <c r="B3204" t="inlineStr">
        <is>
          <t>R260325-proxgy</t>
        </is>
      </c>
      <c r="C3204" t="inlineStr">
        <is>
          <t>Inc42</t>
        </is>
      </c>
      <c r="D3204" s="17" t="n">
        <v>46106</v>
      </c>
      <c r="E3204" t="inlineStr">
        <is>
          <t>Proxgy</t>
        </is>
      </c>
      <c r="F3204" t="inlineStr">
        <is>
          <t>$211K</t>
        </is>
      </c>
      <c r="G3204" s="19" t="n"/>
      <c r="H3204" s="19" t="n">
        <v>0.211</v>
      </c>
      <c r="I3204" t="inlineStr">
        <is>
          <t>Undisclosed</t>
        </is>
      </c>
      <c r="J3204" t="inlineStr">
        <is>
          <t>Riyan Parag</t>
        </is>
      </c>
      <c r="K3204" t="inlineStr">
        <is>
          <t>https://inc42.com/buzz/from-euler-motors-to-rocketlane-indian-startups-raised-343-mn-this-week/</t>
        </is>
      </c>
    </row>
    <row r="3205">
      <c r="A3205" t="inlineStr">
        <is>
          <t>ENT-11263378</t>
        </is>
      </c>
      <c r="B3205" t="inlineStr">
        <is>
          <t>R260325-rocketlane</t>
        </is>
      </c>
      <c r="C3205" t="inlineStr">
        <is>
          <t>Entrackr</t>
        </is>
      </c>
      <c r="D3205" s="17" t="n">
        <v>46106</v>
      </c>
      <c r="E3205" t="inlineStr">
        <is>
          <t>Rocketlane</t>
        </is>
      </c>
      <c r="F3205" t="inlineStr">
        <is>
          <t>$60 million</t>
        </is>
      </c>
      <c r="G3205" s="19" t="n"/>
      <c r="H3205" s="19" t="n">
        <v>60</v>
      </c>
      <c r="I3205" t="inlineStr">
        <is>
          <t>Series C</t>
        </is>
      </c>
      <c r="J3205" t="inlineStr">
        <is>
          <t>Insight Partners</t>
        </is>
      </c>
      <c r="K3205" t="inlineStr">
        <is>
          <t>https://entrackr.com/news/rocketlane-raises-60-mn-in-series-c-led-by-insight-partners-11263378</t>
        </is>
      </c>
    </row>
    <row r="3206">
      <c r="A3206" t="inlineStr">
        <is>
          <t>INC-20260328-02</t>
        </is>
      </c>
      <c r="B3206" t="inlineStr">
        <is>
          <t>R260325-rocketlane</t>
        </is>
      </c>
      <c r="C3206" t="inlineStr">
        <is>
          <t>Inc42</t>
        </is>
      </c>
      <c r="D3206" s="17" t="n">
        <v>46106</v>
      </c>
      <c r="E3206" t="inlineStr">
        <is>
          <t>Rocketlane</t>
        </is>
      </c>
      <c r="F3206" t="inlineStr">
        <is>
          <t>$60 Mn</t>
        </is>
      </c>
      <c r="G3206" s="19" t="n"/>
      <c r="H3206" s="19" t="n">
        <v>60</v>
      </c>
      <c r="I3206" t="inlineStr">
        <is>
          <t>Series C</t>
        </is>
      </c>
      <c r="J3206" t="inlineStr">
        <is>
          <t>Insight Partners</t>
        </is>
      </c>
      <c r="K3206" t="inlineStr">
        <is>
          <t>https://inc42.com/buzz/from-euler-motors-to-rocketlane-indian-startups-raised-343-mn-this-week/</t>
        </is>
      </c>
    </row>
    <row r="3207">
      <c r="A3207" t="inlineStr">
        <is>
          <t>VCC-62d86bf43a</t>
        </is>
      </c>
      <c r="B3207" t="inlineStr">
        <is>
          <t>R260325-rocketlane</t>
        </is>
      </c>
      <c r="C3207" t="inlineStr">
        <is>
          <t>VCCircle</t>
        </is>
      </c>
      <c r="D3207" s="17" t="n">
        <v>46106</v>
      </c>
      <c r="E3207" t="inlineStr">
        <is>
          <t>rocketlane</t>
        </is>
      </c>
      <c r="F3207" t="inlineStr"/>
      <c r="G3207" s="19" t="n"/>
      <c r="H3207" s="19" t="n"/>
      <c r="I3207" t="inlineStr">
        <is>
          <t>Series C</t>
        </is>
      </c>
      <c r="J3207" t="inlineStr"/>
      <c r="K3207" t="inlineStr">
        <is>
          <t>https://www.vccircle.com/insightpartners-leads-series-c-funding-in-rocketlane</t>
        </is>
      </c>
    </row>
    <row r="3208">
      <c r="A3208" t="inlineStr">
        <is>
          <t>ENT-11261710</t>
        </is>
      </c>
      <c r="B3208" t="inlineStr">
        <is>
          <t>R260325-skyrootaerospa</t>
        </is>
      </c>
      <c r="C3208" t="inlineStr">
        <is>
          <t>Entrackr</t>
        </is>
      </c>
      <c r="D3208" s="17" t="n">
        <v>46106</v>
      </c>
      <c r="E3208" t="inlineStr">
        <is>
          <t>Skyroot Aerospace</t>
        </is>
      </c>
      <c r="F3208" t="inlineStr">
        <is>
          <t>Rs 100 crore</t>
        </is>
      </c>
      <c r="G3208" s="19" t="n">
        <v>100</v>
      </c>
      <c r="H3208" s="19" t="n">
        <v>10.75</v>
      </c>
      <c r="I3208" t="inlineStr">
        <is>
          <t>Debt</t>
        </is>
      </c>
      <c r="J3208" t="inlineStr"/>
      <c r="K3208" t="inlineStr">
        <is>
          <t>https://entrackr.com/exclusive/exclusive-skyroot-aerospace-bags-rs-100-cr-debt-from-blackrock-11261710</t>
        </is>
      </c>
    </row>
    <row r="3209">
      <c r="A3209" t="inlineStr">
        <is>
          <t>ENT-11261936</t>
        </is>
      </c>
      <c r="B3209" t="inlineStr">
        <is>
          <t>R260325-threadfactory</t>
        </is>
      </c>
      <c r="C3209" t="inlineStr">
        <is>
          <t>Entrackr</t>
        </is>
      </c>
      <c r="D3209" s="17" t="n">
        <v>46106</v>
      </c>
      <c r="E3209" t="inlineStr">
        <is>
          <t>Thread Factory</t>
        </is>
      </c>
      <c r="F3209" t="inlineStr">
        <is>
          <t>Rs 1.5 crore</t>
        </is>
      </c>
      <c r="G3209" s="19" t="n">
        <v>1.5</v>
      </c>
      <c r="H3209" s="19" t="n"/>
      <c r="I3209" t="inlineStr">
        <is>
          <t>Pre-Seed</t>
        </is>
      </c>
      <c r="J3209" t="inlineStr">
        <is>
          <t>Aviral Bhatnagar at AJVC</t>
        </is>
      </c>
      <c r="K3209" t="inlineStr">
        <is>
          <t>https://entrackr.com/snippets/fashion-supply-startup-thread-factory-raises-pre-seed-funding-led-by-ajvc-11261936</t>
        </is>
      </c>
    </row>
    <row r="3210">
      <c r="A3210" t="inlineStr">
        <is>
          <t>INC-20260328-17</t>
        </is>
      </c>
      <c r="B3210" t="inlineStr">
        <is>
          <t>R260326-beastlife</t>
        </is>
      </c>
      <c r="C3210" t="inlineStr">
        <is>
          <t>Inc42</t>
        </is>
      </c>
      <c r="D3210" s="17" t="n">
        <v>46107</v>
      </c>
      <c r="E3210" t="inlineStr">
        <is>
          <t>BeastLife</t>
        </is>
      </c>
      <c r="F3210" t="inlineStr">
        <is>
          <t>$2.1 Mn</t>
        </is>
      </c>
      <c r="G3210" s="19" t="n"/>
      <c r="H3210" s="19" t="n">
        <v>2.1</v>
      </c>
      <c r="I3210" t="inlineStr">
        <is>
          <t>Pre-Series A</t>
        </is>
      </c>
      <c r="J3210" t="inlineStr"/>
      <c r="K3210" t="inlineStr">
        <is>
          <t>https://inc42.com/buzz/from-euler-motors-to-rocketlane-indian-startups-raised-343-mn-this-week/</t>
        </is>
      </c>
    </row>
    <row r="3211">
      <c r="A3211" t="inlineStr">
        <is>
          <t>ENT-11442544</t>
        </is>
      </c>
      <c r="B3211" t="inlineStr">
        <is>
          <t>R260326-beastlife</t>
        </is>
      </c>
      <c r="C3211" t="inlineStr">
        <is>
          <t>Entrackr</t>
        </is>
      </c>
      <c r="D3211" s="17" t="n">
        <v>46113</v>
      </c>
      <c r="E3211" t="inlineStr">
        <is>
          <t>BeastLife</t>
        </is>
      </c>
      <c r="F3211" t="inlineStr">
        <is>
          <t>Rs 20 crore</t>
        </is>
      </c>
      <c r="G3211" s="19" t="n">
        <v>20</v>
      </c>
      <c r="H3211" s="19" t="n"/>
      <c r="I3211" t="inlineStr">
        <is>
          <t>Pre-Series A</t>
        </is>
      </c>
      <c r="J3211" t="inlineStr"/>
      <c r="K3211" t="inlineStr">
        <is>
          <t>https://entrackr.com/snippets/d2c-nutrition-brand-beastlife-raises-rs-20-cr-at-rs-320-cr-valuation-11442544</t>
        </is>
      </c>
    </row>
    <row r="3212">
      <c r="A3212" t="inlineStr">
        <is>
          <t>ENT-11264952</t>
        </is>
      </c>
      <c r="B3212" t="inlineStr">
        <is>
          <t>R260326-deccanai</t>
        </is>
      </c>
      <c r="C3212" t="inlineStr">
        <is>
          <t>Entrackr</t>
        </is>
      </c>
      <c r="D3212" s="17" t="n">
        <v>46107</v>
      </c>
      <c r="E3212" t="inlineStr">
        <is>
          <t>Deccan AI</t>
        </is>
      </c>
      <c r="F3212" t="inlineStr">
        <is>
          <t>$25 million</t>
        </is>
      </c>
      <c r="G3212" s="19" t="n"/>
      <c r="H3212" s="19" t="n">
        <v>25</v>
      </c>
      <c r="I3212" t="inlineStr">
        <is>
          <t>Series A</t>
        </is>
      </c>
      <c r="J3212" t="inlineStr">
        <is>
          <t>A91 Partners</t>
        </is>
      </c>
      <c r="K3212" t="inlineStr">
        <is>
          <t>https://entrackr.com/snippets/deccan-ai-raises-25-mn-from-a91-partners-prosus-and-sig-11264952</t>
        </is>
      </c>
    </row>
    <row r="3213">
      <c r="A3213" t="inlineStr">
        <is>
          <t>ET-129808398</t>
        </is>
      </c>
      <c r="B3213" t="inlineStr">
        <is>
          <t>R260326-deccanai</t>
        </is>
      </c>
      <c r="C3213" t="inlineStr">
        <is>
          <t>The Economic Times</t>
        </is>
      </c>
      <c r="D3213" s="17" t="n">
        <v>46107</v>
      </c>
      <c r="E3213" t="inlineStr">
        <is>
          <t>Deccan AI</t>
        </is>
      </c>
      <c r="F3213" t="inlineStr">
        <is>
          <t>$25 million</t>
        </is>
      </c>
      <c r="G3213" s="19" t="n"/>
      <c r="H3213" s="19" t="n">
        <v>25</v>
      </c>
      <c r="I3213" t="inlineStr">
        <is>
          <t>Undisclosed</t>
        </is>
      </c>
      <c r="J3213" t="inlineStr">
        <is>
          <t>A91 Partners</t>
        </is>
      </c>
      <c r="K3213" t="inlineStr">
        <is>
          <t>https://economictimes.indiatimes.com/tech/funding/deccan-ai-raises-25-million-from-a91-partners-sig-prosus-ventures-eyes-enterprise-customers/articleshow/129808398.cms</t>
        </is>
      </c>
    </row>
    <row r="3214">
      <c r="A3214" t="inlineStr">
        <is>
          <t>INC-20260328-06</t>
        </is>
      </c>
      <c r="B3214" t="inlineStr">
        <is>
          <t>R260326-deccanai</t>
        </is>
      </c>
      <c r="C3214" t="inlineStr">
        <is>
          <t>Inc42</t>
        </is>
      </c>
      <c r="D3214" s="17" t="n">
        <v>46107</v>
      </c>
      <c r="E3214" t="inlineStr">
        <is>
          <t>Deccan AI</t>
        </is>
      </c>
      <c r="F3214" t="inlineStr">
        <is>
          <t>$25 Mn</t>
        </is>
      </c>
      <c r="G3214" s="19" t="n"/>
      <c r="H3214" s="19" t="n">
        <v>25</v>
      </c>
      <c r="I3214" t="inlineStr">
        <is>
          <t>Undisclosed</t>
        </is>
      </c>
      <c r="J3214" t="inlineStr">
        <is>
          <t>A91 Partners</t>
        </is>
      </c>
      <c r="K3214" t="inlineStr">
        <is>
          <t>https://inc42.com/buzz/from-euler-motors-to-rocketlane-indian-startups-raised-343-mn-this-week/</t>
        </is>
      </c>
    </row>
    <row r="3215">
      <c r="A3215" t="inlineStr">
        <is>
          <t>VCC-53880b50dd</t>
        </is>
      </c>
      <c r="B3215" t="inlineStr">
        <is>
          <t>R260326-elmedlifescien</t>
        </is>
      </c>
      <c r="C3215" t="inlineStr">
        <is>
          <t>VCCircle</t>
        </is>
      </c>
      <c r="D3215" s="17" t="n">
        <v>46098</v>
      </c>
      <c r="E3215" t="inlineStr">
        <is>
          <t>probioticsmaker elmed life sciences</t>
        </is>
      </c>
      <c r="F3215" t="inlineStr"/>
      <c r="G3215" s="19" t="n"/>
      <c r="H3215" s="19" t="n"/>
      <c r="I3215" t="inlineStr">
        <is>
          <t>Undisclosed</t>
        </is>
      </c>
      <c r="J3215" t="inlineStr"/>
      <c r="K3215" t="inlineStr">
        <is>
          <t>https://www.vccircle.com/probioticsmaker-elmed-life-sciences-bags-maiden-cheque-eyes-larger-round</t>
        </is>
      </c>
    </row>
    <row r="3216">
      <c r="A3216" t="inlineStr">
        <is>
          <t>ENT-11265218</t>
        </is>
      </c>
      <c r="B3216" t="inlineStr">
        <is>
          <t>R260326-elmedlifescien</t>
        </is>
      </c>
      <c r="C3216" t="inlineStr">
        <is>
          <t>Entrackr</t>
        </is>
      </c>
      <c r="D3216" s="17" t="n">
        <v>46107</v>
      </c>
      <c r="E3216" t="inlineStr">
        <is>
          <t>ELMED Life Sciences</t>
        </is>
      </c>
      <c r="F3216" t="inlineStr">
        <is>
          <t>$2.7 million</t>
        </is>
      </c>
      <c r="G3216" s="19" t="n">
        <v>25</v>
      </c>
      <c r="H3216" s="19" t="n">
        <v>2.7</v>
      </c>
      <c r="I3216" t="inlineStr">
        <is>
          <t>Series A</t>
        </is>
      </c>
      <c r="J3216" t="inlineStr"/>
      <c r="K3216" t="inlineStr">
        <is>
          <t>https://entrackr.com/snippets/elmed-life-sciences-raises-27-mn-in-series-a-from-nabventures-11265218</t>
        </is>
      </c>
    </row>
    <row r="3217">
      <c r="A3217" t="inlineStr">
        <is>
          <t>ET-129808178</t>
        </is>
      </c>
      <c r="B3217" t="inlineStr">
        <is>
          <t>R260326-elmedlifescien</t>
        </is>
      </c>
      <c r="C3217" t="inlineStr">
        <is>
          <t>The Economic Times</t>
        </is>
      </c>
      <c r="D3217" s="17" t="n">
        <v>46107</v>
      </c>
      <c r="E3217" t="inlineStr">
        <is>
          <t>Elmed Life Sciences</t>
        </is>
      </c>
      <c r="F3217" t="inlineStr">
        <is>
          <t>$2.7 million</t>
        </is>
      </c>
      <c r="G3217" s="19" t="n"/>
      <c r="H3217" s="19" t="n">
        <v>2.7</v>
      </c>
      <c r="I3217" t="inlineStr">
        <is>
          <t>Undisclosed</t>
        </is>
      </c>
      <c r="J3217" t="inlineStr"/>
      <c r="K3217" t="inlineStr">
        <is>
          <t>https://economictimes.indiatimes.com/tech/funding/elmed-life-sciences-raises-2-7-million-from-nabard-backed-agrisure-fund/articleshow/129808178.cms</t>
        </is>
      </c>
    </row>
    <row r="3218">
      <c r="A3218" t="inlineStr">
        <is>
          <t>INC-20260328-15</t>
        </is>
      </c>
      <c r="B3218" t="inlineStr">
        <is>
          <t>R260326-elmedlifescien</t>
        </is>
      </c>
      <c r="C3218" t="inlineStr">
        <is>
          <t>Inc42</t>
        </is>
      </c>
      <c r="D3218" s="17" t="n">
        <v>46107</v>
      </c>
      <c r="E3218" t="inlineStr">
        <is>
          <t>ELMED Life Sciences</t>
        </is>
      </c>
      <c r="F3218" t="inlineStr">
        <is>
          <t>$2.7 Mn</t>
        </is>
      </c>
      <c r="G3218" s="19" t="n"/>
      <c r="H3218" s="19" t="n">
        <v>2.7</v>
      </c>
      <c r="I3218" t="inlineStr">
        <is>
          <t>Series A</t>
        </is>
      </c>
      <c r="J3218" t="inlineStr">
        <is>
          <t>AgriSURE Fund</t>
        </is>
      </c>
      <c r="K3218" t="inlineStr">
        <is>
          <t>https://inc42.com/buzz/from-euler-motors-to-rocketlane-indian-startups-raised-343-mn-this-week/</t>
        </is>
      </c>
    </row>
    <row r="3219">
      <c r="A3219" t="inlineStr">
        <is>
          <t>ENT-11264489</t>
        </is>
      </c>
      <c r="B3219" t="inlineStr">
        <is>
          <t>R260326-pluminsurance</t>
        </is>
      </c>
      <c r="C3219" t="inlineStr">
        <is>
          <t>Entrackr</t>
        </is>
      </c>
      <c r="D3219" s="17" t="n">
        <v>46107</v>
      </c>
      <c r="E3219" t="inlineStr">
        <is>
          <t>Plum Insurance</t>
        </is>
      </c>
      <c r="F3219" t="inlineStr">
        <is>
          <t>Rs 193 crore</t>
        </is>
      </c>
      <c r="G3219" s="19" t="n">
        <v>193</v>
      </c>
      <c r="H3219" s="19" t="n">
        <v>20.5</v>
      </c>
      <c r="I3219" t="inlineStr">
        <is>
          <t>Series B</t>
        </is>
      </c>
      <c r="J3219" t="inlineStr">
        <is>
          <t>Peak XV Partners</t>
        </is>
      </c>
      <c r="K3219" t="inlineStr">
        <is>
          <t>https://entrackr.com/news/plum-insurance-raises-205-mn-in-series-b-round-led-by-peak-xv-11264489</t>
        </is>
      </c>
    </row>
    <row r="3220">
      <c r="A3220" t="inlineStr">
        <is>
          <t>INC-20260328-07</t>
        </is>
      </c>
      <c r="B3220" t="inlineStr">
        <is>
          <t>R260326-pluminsurance</t>
        </is>
      </c>
      <c r="C3220" t="inlineStr">
        <is>
          <t>Inc42</t>
        </is>
      </c>
      <c r="D3220" s="17" t="n">
        <v>46107</v>
      </c>
      <c r="E3220" t="inlineStr">
        <is>
          <t>Plum</t>
        </is>
      </c>
      <c r="F3220" t="inlineStr">
        <is>
          <t>$20.4 Mn</t>
        </is>
      </c>
      <c r="G3220" s="19" t="n"/>
      <c r="H3220" s="19" t="n">
        <v>20.4</v>
      </c>
      <c r="I3220" t="inlineStr">
        <is>
          <t>Series B</t>
        </is>
      </c>
      <c r="J3220" t="inlineStr">
        <is>
          <t>Peak XV Ventures</t>
        </is>
      </c>
      <c r="K3220" t="inlineStr">
        <is>
          <t>https://inc42.com/buzz/from-euler-motors-to-rocketlane-indian-startups-raised-343-mn-this-week/</t>
        </is>
      </c>
    </row>
    <row r="3221">
      <c r="A3221" t="inlineStr">
        <is>
          <t>VCC-4fdfeee9e5</t>
        </is>
      </c>
      <c r="B3221" t="inlineStr">
        <is>
          <t>R260326-pluminsurance</t>
        </is>
      </c>
      <c r="C3221" t="inlineStr">
        <is>
          <t>VCCircle</t>
        </is>
      </c>
      <c r="D3221" s="17" t="n">
        <v>46107</v>
      </c>
      <c r="E3221" t="inlineStr">
        <is>
          <t>plum</t>
        </is>
      </c>
      <c r="F3221" t="inlineStr"/>
      <c r="G3221" s="19" t="n"/>
      <c r="H3221" s="19" t="n"/>
      <c r="I3221" t="inlineStr">
        <is>
          <t>Series B</t>
        </is>
      </c>
      <c r="J3221" t="inlineStr"/>
      <c r="K3221" t="inlineStr">
        <is>
          <t>https://www.vccircle.com/peakxv-leads-plum-s-series-b-funding-round</t>
        </is>
      </c>
    </row>
    <row r="3222">
      <c r="A3222" t="inlineStr">
        <is>
          <t>INC-20260328-22</t>
        </is>
      </c>
      <c r="B3222" t="inlineStr">
        <is>
          <t>R260326-qweebi</t>
        </is>
      </c>
      <c r="C3222" t="inlineStr">
        <is>
          <t>Inc42</t>
        </is>
      </c>
      <c r="D3222" s="17" t="n">
        <v>46107</v>
      </c>
      <c r="E3222" t="inlineStr">
        <is>
          <t>Qweebi</t>
        </is>
      </c>
      <c r="F3222" t="inlineStr">
        <is>
          <t>$500K</t>
        </is>
      </c>
      <c r="G3222" s="19" t="n"/>
      <c r="H3222" s="19" t="n">
        <v>0.5</v>
      </c>
      <c r="I3222" t="inlineStr">
        <is>
          <t>Seed</t>
        </is>
      </c>
      <c r="J3222" t="inlineStr">
        <is>
          <t>Inflection Point Ventures</t>
        </is>
      </c>
      <c r="K3222" t="inlineStr">
        <is>
          <t>https://inc42.com/buzz/from-euler-motors-to-rocketlane-indian-startups-raised-343-mn-this-week/</t>
        </is>
      </c>
    </row>
    <row r="3223">
      <c r="A3223" t="inlineStr">
        <is>
          <t>ENT-11364863</t>
        </is>
      </c>
      <c r="B3223" t="inlineStr">
        <is>
          <t>R260327-bellatrixaeros</t>
        </is>
      </c>
      <c r="C3223" t="inlineStr">
        <is>
          <t>Entrackr</t>
        </is>
      </c>
      <c r="D3223" s="17" t="n">
        <v>46108</v>
      </c>
      <c r="E3223" t="inlineStr">
        <is>
          <t>Bellatrix Aerospace</t>
        </is>
      </c>
      <c r="F3223" t="inlineStr">
        <is>
          <t>$20 million</t>
        </is>
      </c>
      <c r="G3223" s="19" t="n"/>
      <c r="H3223" s="19" t="n">
        <v>20</v>
      </c>
      <c r="I3223" t="inlineStr">
        <is>
          <t>Pre-Series B</t>
        </is>
      </c>
      <c r="J3223" t="inlineStr">
        <is>
          <t>Cactus Partners</t>
        </is>
      </c>
      <c r="K3223" t="inlineStr">
        <is>
          <t>https://entrackr.com/exclusive/exclusive-bellatrix-aerospace-to-raise-rs-107-cr-at-27x-valuation-premium-11364863</t>
        </is>
      </c>
    </row>
    <row r="3224">
      <c r="A3224" t="inlineStr">
        <is>
          <t>ET-129860404</t>
        </is>
      </c>
      <c r="B3224" t="inlineStr">
        <is>
          <t>R260327-bellatrixaeros</t>
        </is>
      </c>
      <c r="C3224" t="inlineStr">
        <is>
          <t>The Economic Times</t>
        </is>
      </c>
      <c r="D3224" s="17" t="n">
        <v>46109</v>
      </c>
      <c r="E3224" t="inlineStr">
        <is>
          <t>Bellatrix</t>
        </is>
      </c>
      <c r="F3224" t="inlineStr">
        <is>
          <t>$20 million</t>
        </is>
      </c>
      <c r="G3224" s="19" t="n">
        <v>190</v>
      </c>
      <c r="H3224" s="19" t="n">
        <v>20</v>
      </c>
      <c r="I3224" t="inlineStr">
        <is>
          <t>Undisclosed</t>
        </is>
      </c>
      <c r="J3224" t="inlineStr">
        <is>
          <t>Cactus Partners</t>
        </is>
      </c>
      <c r="K3224" t="inlineStr">
        <is>
          <t>https://economictimes.indiatimes.com/tech/funding/spacetech-startup-bellatrix-raises-20-million-from-cactus-partners-to-scale-satellite-propulsion-manufacturing/articleshow/129860404.cms</t>
        </is>
      </c>
    </row>
    <row r="3225">
      <c r="A3225" t="inlineStr">
        <is>
          <t>VCC-0da42c40d6</t>
        </is>
      </c>
      <c r="B3225" t="inlineStr">
        <is>
          <t>R260327-bellatrixaeros</t>
        </is>
      </c>
      <c r="C3225" t="inlineStr">
        <is>
          <t>VCCircle</t>
        </is>
      </c>
      <c r="D3225" s="17" t="n">
        <v>46111</v>
      </c>
      <c r="E3225" t="inlineStr">
        <is>
          <t>spacetechstartup bellatrix aerospace</t>
        </is>
      </c>
      <c r="F3225" t="inlineStr">
        <is>
          <t>$ 20 million</t>
        </is>
      </c>
      <c r="G3225" s="19" t="n"/>
      <c r="H3225" s="19" t="n">
        <v>20</v>
      </c>
      <c r="I3225" t="inlineStr">
        <is>
          <t>Pre-Series B</t>
        </is>
      </c>
      <c r="J3225" t="inlineStr"/>
      <c r="K3225" t="inlineStr">
        <is>
          <t>https://www.vccircle.com/spacetechstartup-bellatrix-aerospace-pockets-20-mn-in-pre-series-b</t>
        </is>
      </c>
    </row>
    <row r="3226">
      <c r="A3226" t="inlineStr">
        <is>
          <t>ENT-11364581</t>
        </is>
      </c>
      <c r="B3226" t="inlineStr">
        <is>
          <t>R260327-uncia</t>
        </is>
      </c>
      <c r="C3226" t="inlineStr">
        <is>
          <t>Entrackr</t>
        </is>
      </c>
      <c r="D3226" s="17" t="n">
        <v>46108</v>
      </c>
      <c r="E3226" t="inlineStr">
        <is>
          <t>Uncia</t>
        </is>
      </c>
      <c r="F3226" t="inlineStr">
        <is>
          <t>$3 million</t>
        </is>
      </c>
      <c r="G3226" s="19" t="n">
        <v>25</v>
      </c>
      <c r="H3226" s="19" t="n">
        <v>3</v>
      </c>
      <c r="I3226" t="inlineStr">
        <is>
          <t>Seed</t>
        </is>
      </c>
      <c r="J3226" t="inlineStr">
        <is>
          <t>Pavestone</t>
        </is>
      </c>
      <c r="K3226" t="inlineStr">
        <is>
          <t>https://entrackr.com/snippets/pavestone-leads-3-mn-seed-round-in-lending-solutions-platform-uncia-11364581</t>
        </is>
      </c>
    </row>
    <row r="3227">
      <c r="A3227" t="inlineStr">
        <is>
          <t>ET-129842279</t>
        </is>
      </c>
      <c r="B3227" t="inlineStr">
        <is>
          <t>R260327-uncia</t>
        </is>
      </c>
      <c r="C3227" t="inlineStr">
        <is>
          <t>The Economic Times</t>
        </is>
      </c>
      <c r="D3227" s="17" t="n">
        <v>46108</v>
      </c>
      <c r="E3227" t="inlineStr">
        <is>
          <t>Uncia</t>
        </is>
      </c>
      <c r="F3227" t="inlineStr">
        <is>
          <t>$3 million</t>
        </is>
      </c>
      <c r="G3227" s="19" t="n">
        <v>25</v>
      </c>
      <c r="H3227" s="19" t="n">
        <v>3</v>
      </c>
      <c r="I3227" t="inlineStr">
        <is>
          <t>Undisclosed</t>
        </is>
      </c>
      <c r="J3227" t="inlineStr"/>
      <c r="K3227" t="inlineStr">
        <is>
          <t>https://economictimes.indiatimes.com/tech/funding/ai-led-lending-platform-uncia-raises-3-million-from-pavestone-to-scale-up-expand-overseas/articleshow/129842279.cms</t>
        </is>
      </c>
    </row>
    <row r="3228">
      <c r="A3228" t="inlineStr">
        <is>
          <t>INC-20260328-14</t>
        </is>
      </c>
      <c r="B3228" t="inlineStr">
        <is>
          <t>R260327-uncia</t>
        </is>
      </c>
      <c r="C3228" t="inlineStr">
        <is>
          <t>Inc42</t>
        </is>
      </c>
      <c r="D3228" s="17" t="n">
        <v>46108</v>
      </c>
      <c r="E3228" t="inlineStr">
        <is>
          <t>Uncia</t>
        </is>
      </c>
      <c r="F3228" t="inlineStr">
        <is>
          <t>$3 Mn</t>
        </is>
      </c>
      <c r="G3228" s="19" t="n"/>
      <c r="H3228" s="19" t="n">
        <v>3</v>
      </c>
      <c r="I3228" t="inlineStr">
        <is>
          <t>Undisclosed</t>
        </is>
      </c>
      <c r="J3228" t="inlineStr">
        <is>
          <t>Pavestone VC</t>
        </is>
      </c>
      <c r="K3228" t="inlineStr">
        <is>
          <t>https://inc42.com/buzz/from-euler-motors-to-rocketlane-indian-startups-raised-343-mn-this-week/</t>
        </is>
      </c>
    </row>
    <row r="3229">
      <c r="A3229" t="inlineStr">
        <is>
          <t>ENT-11436328</t>
        </is>
      </c>
      <c r="B3229" t="inlineStr">
        <is>
          <t>R260330-amaha</t>
        </is>
      </c>
      <c r="C3229" t="inlineStr">
        <is>
          <t>Entrackr</t>
        </is>
      </c>
      <c r="D3229" s="17" t="n">
        <v>46111</v>
      </c>
      <c r="E3229" t="inlineStr">
        <is>
          <t>Amaha</t>
        </is>
      </c>
      <c r="F3229" t="inlineStr">
        <is>
          <t>Rs 50 crore</t>
        </is>
      </c>
      <c r="G3229" s="19" t="n">
        <v>50</v>
      </c>
      <c r="H3229" s="19" t="n"/>
      <c r="I3229" t="inlineStr">
        <is>
          <t>Series A</t>
        </is>
      </c>
      <c r="J3229" t="inlineStr">
        <is>
          <t>Fireside Ventures</t>
        </is>
      </c>
      <c r="K3229" t="inlineStr">
        <is>
          <t>https://entrackr.com/exclusive/exclusive-mental-health-startup-amaha-raises-fresh-capital-at-2x-valuation-premium-11436328</t>
        </is>
      </c>
    </row>
    <row r="3230">
      <c r="A3230" t="inlineStr">
        <is>
          <t>ENT-11435409</t>
        </is>
      </c>
      <c r="B3230" t="inlineStr">
        <is>
          <t>R260330-bacancysystems</t>
        </is>
      </c>
      <c r="C3230" t="inlineStr">
        <is>
          <t>Entrackr</t>
        </is>
      </c>
      <c r="D3230" s="17" t="n">
        <v>46111</v>
      </c>
      <c r="E3230" t="inlineStr">
        <is>
          <t>Bacancy Systems</t>
        </is>
      </c>
      <c r="F3230" t="inlineStr">
        <is>
          <t>Rs 40 crore</t>
        </is>
      </c>
      <c r="G3230" s="19" t="n">
        <v>40</v>
      </c>
      <c r="H3230" s="19" t="n"/>
      <c r="I3230" t="inlineStr">
        <is>
          <t>Series A</t>
        </is>
      </c>
      <c r="J3230" t="inlineStr">
        <is>
          <t>Sabre Partners; Greenstone Capital</t>
        </is>
      </c>
      <c r="K3230" t="inlineStr">
        <is>
          <t>https://entrackr.com/snippets/bacancy-systems-raises-rs-40-cr-led-by-sabre-partners-and-greenstone-capital-11435409</t>
        </is>
      </c>
    </row>
    <row r="3231">
      <c r="A3231" t="inlineStr">
        <is>
          <t>INC-20260404-06</t>
        </is>
      </c>
      <c r="B3231" t="inlineStr">
        <is>
          <t>R260330-bacancysystems</t>
        </is>
      </c>
      <c r="C3231" t="inlineStr">
        <is>
          <t>Inc42</t>
        </is>
      </c>
      <c r="D3231" s="17" t="n">
        <v>46111</v>
      </c>
      <c r="E3231" t="inlineStr">
        <is>
          <t>Bacancy System</t>
        </is>
      </c>
      <c r="F3231" t="inlineStr">
        <is>
          <t>$4.2 Mn</t>
        </is>
      </c>
      <c r="G3231" s="19" t="n"/>
      <c r="H3231" s="19" t="n">
        <v>4.2</v>
      </c>
      <c r="I3231" t="inlineStr">
        <is>
          <t>Series A</t>
        </is>
      </c>
      <c r="J3231" t="inlineStr">
        <is>
          <t>Sabre Partners; Greenstone Capital</t>
        </is>
      </c>
      <c r="K3231" t="inlineStr">
        <is>
          <t>https://inc42.com/buzz/from-noon-to-palmonas-indian-startups-raised-132-mn-this-week/</t>
        </is>
      </c>
    </row>
    <row r="3232">
      <c r="A3232" t="inlineStr">
        <is>
          <t>ENT-11434107</t>
        </is>
      </c>
      <c r="B3232" t="inlineStr">
        <is>
          <t>R260330-cropcoin</t>
        </is>
      </c>
      <c r="C3232" t="inlineStr">
        <is>
          <t>Entrackr</t>
        </is>
      </c>
      <c r="D3232" s="17" t="n">
        <v>46111</v>
      </c>
      <c r="E3232" t="inlineStr">
        <is>
          <t>Cropcoin</t>
        </is>
      </c>
      <c r="F3232" t="inlineStr">
        <is>
          <t>Rs 12 crore</t>
        </is>
      </c>
      <c r="G3232" s="19" t="n">
        <v>12</v>
      </c>
      <c r="H3232" s="19" t="n"/>
      <c r="I3232" t="inlineStr">
        <is>
          <t>Pre-Series A</t>
        </is>
      </c>
      <c r="J3232" t="inlineStr">
        <is>
          <t>Unicorn India Ventures</t>
        </is>
      </c>
      <c r="K3232" t="inlineStr">
        <is>
          <t>https://entrackr.com/snippets/unicorn-india-ventures-leads-rs-12-cr-pre-series-a-round-in-agritech-startup-cropcoin-11434107</t>
        </is>
      </c>
    </row>
    <row r="3233">
      <c r="A3233" t="inlineStr">
        <is>
          <t>ET-129900516</t>
        </is>
      </c>
      <c r="B3233" t="inlineStr">
        <is>
          <t>R260330-cropcoin</t>
        </is>
      </c>
      <c r="C3233" t="inlineStr">
        <is>
          <t>The Economic Times</t>
        </is>
      </c>
      <c r="D3233" s="17" t="n">
        <v>46111</v>
      </c>
      <c r="E3233" t="inlineStr">
        <is>
          <t>Cropcoin Technologies</t>
        </is>
      </c>
      <c r="F3233" t="inlineStr">
        <is>
          <t>Rs 12 crore</t>
        </is>
      </c>
      <c r="G3233" s="19" t="n">
        <v>12</v>
      </c>
      <c r="H3233" s="19" t="n"/>
      <c r="I3233" t="inlineStr">
        <is>
          <t>Pre-Series A</t>
        </is>
      </c>
      <c r="J3233" t="inlineStr">
        <is>
          <t>Unicorn India Ventures</t>
        </is>
      </c>
      <c r="K3233" t="inlineStr">
        <is>
          <t>https://economictimes.indiatimes.com/tech/funding/agritech-startup-cropcoin-technologies-raises-rs-12-crore-led-by-unicorn-india-ventures/articleshow/129900516.cms</t>
        </is>
      </c>
    </row>
    <row r="3234">
      <c r="A3234" t="inlineStr">
        <is>
          <t>INC-20260404-11</t>
        </is>
      </c>
      <c r="B3234" t="inlineStr">
        <is>
          <t>R260330-cropcoin</t>
        </is>
      </c>
      <c r="C3234" t="inlineStr">
        <is>
          <t>Inc42</t>
        </is>
      </c>
      <c r="D3234" s="17" t="n">
        <v>46111</v>
      </c>
      <c r="E3234" t="inlineStr">
        <is>
          <t>Cropcoin</t>
        </is>
      </c>
      <c r="F3234" t="inlineStr">
        <is>
          <t>$1.3 Mn</t>
        </is>
      </c>
      <c r="G3234" s="19" t="n"/>
      <c r="H3234" s="19" t="n">
        <v>1.3</v>
      </c>
      <c r="I3234" t="inlineStr">
        <is>
          <t>Pre-Series A</t>
        </is>
      </c>
      <c r="J3234" t="inlineStr">
        <is>
          <t>Unicorn India Ventures</t>
        </is>
      </c>
      <c r="K3234" t="inlineStr">
        <is>
          <t>https://inc42.com/buzz/from-noon-to-palmonas-indian-startups-raised-132-mn-this-week/</t>
        </is>
      </c>
    </row>
    <row r="3235">
      <c r="A3235" t="inlineStr">
        <is>
          <t>ENT-11434100</t>
        </is>
      </c>
      <c r="B3235" t="inlineStr">
        <is>
          <t>R260330-epik</t>
        </is>
      </c>
      <c r="C3235" t="inlineStr">
        <is>
          <t>Entrackr</t>
        </is>
      </c>
      <c r="D3235" s="17" t="n">
        <v>46111</v>
      </c>
      <c r="E3235" t="inlineStr">
        <is>
          <t>Epik</t>
        </is>
      </c>
      <c r="F3235" t="inlineStr">
        <is>
          <t>$1 million</t>
        </is>
      </c>
      <c r="G3235" s="19" t="n"/>
      <c r="H3235" s="19" t="n">
        <v>1</v>
      </c>
      <c r="I3235" t="inlineStr">
        <is>
          <t>Pre-Seed</t>
        </is>
      </c>
      <c r="J3235" t="inlineStr">
        <is>
          <t>Info Edge Ventures</t>
        </is>
      </c>
      <c r="K3235" t="inlineStr">
        <is>
          <t>https://entrackr.com/snippets/quick-commerce-startup-epik-raises-1-mn-led-by-info-edge-ventures-11434100</t>
        </is>
      </c>
    </row>
    <row r="3236">
      <c r="A3236" t="inlineStr">
        <is>
          <t>ET-129900746</t>
        </is>
      </c>
      <c r="B3236" t="inlineStr">
        <is>
          <t>R260330-epik</t>
        </is>
      </c>
      <c r="C3236" t="inlineStr">
        <is>
          <t>The Economic Times</t>
        </is>
      </c>
      <c r="D3236" s="17" t="n">
        <v>46111</v>
      </c>
      <c r="E3236" t="inlineStr">
        <is>
          <t>Epik</t>
        </is>
      </c>
      <c r="F3236" t="inlineStr">
        <is>
          <t>$1 million</t>
        </is>
      </c>
      <c r="G3236" s="19" t="n"/>
      <c r="H3236" s="19" t="n">
        <v>1</v>
      </c>
      <c r="I3236" t="inlineStr">
        <is>
          <t>Pre-Seed</t>
        </is>
      </c>
      <c r="J3236" t="inlineStr">
        <is>
          <t>InfoEdge Ventures</t>
        </is>
      </c>
      <c r="K3236" t="inlineStr">
        <is>
          <t>https://economictimes.indiatimes.com/tech/funding/electronics-quick-commerce-firm-epik-raises-1-million-led-by-info-edge-ventures/articleshow/129900746.cms</t>
        </is>
      </c>
    </row>
    <row r="3237">
      <c r="A3237" t="inlineStr">
        <is>
          <t>INC-20260404-14</t>
        </is>
      </c>
      <c r="B3237" t="inlineStr">
        <is>
          <t>R260330-epik</t>
        </is>
      </c>
      <c r="C3237" t="inlineStr">
        <is>
          <t>Inc42</t>
        </is>
      </c>
      <c r="D3237" s="17" t="n">
        <v>46111</v>
      </c>
      <c r="E3237" t="inlineStr">
        <is>
          <t>Epik</t>
        </is>
      </c>
      <c r="F3237" t="inlineStr">
        <is>
          <t>$1 Mn</t>
        </is>
      </c>
      <c r="G3237" s="19" t="n"/>
      <c r="H3237" s="19" t="n">
        <v>1</v>
      </c>
      <c r="I3237" t="inlineStr">
        <is>
          <t>Pre-Seed</t>
        </is>
      </c>
      <c r="J3237" t="inlineStr">
        <is>
          <t>Info Edge Ventures</t>
        </is>
      </c>
      <c r="K3237" t="inlineStr">
        <is>
          <t>https://inc42.com/buzz/from-noon-to-palmonas-indian-startups-raised-132-mn-this-week/</t>
        </is>
      </c>
    </row>
    <row r="3238">
      <c r="A3238" t="inlineStr">
        <is>
          <t>ENT-11433897</t>
        </is>
      </c>
      <c r="B3238" t="inlineStr">
        <is>
          <t>R260330-gnaniai</t>
        </is>
      </c>
      <c r="C3238" t="inlineStr">
        <is>
          <t>Entrackr</t>
        </is>
      </c>
      <c r="D3238" s="17" t="n">
        <v>46111</v>
      </c>
      <c r="E3238" t="inlineStr">
        <is>
          <t>Gnani.ai</t>
        </is>
      </c>
      <c r="F3238" t="inlineStr">
        <is>
          <t>$10 million</t>
        </is>
      </c>
      <c r="G3238" s="19" t="n"/>
      <c r="H3238" s="19" t="n">
        <v>10</v>
      </c>
      <c r="I3238" t="inlineStr">
        <is>
          <t>Series B</t>
        </is>
      </c>
      <c r="J3238" t="inlineStr">
        <is>
          <t>Aavishkaar Capital</t>
        </is>
      </c>
      <c r="K3238" t="inlineStr">
        <is>
          <t>https://entrackr.com/exclusive/exclusive-gnaniai-kicks-off-series-b-round-led-by-aavishkaar-capital-11433897</t>
        </is>
      </c>
    </row>
    <row r="3239">
      <c r="A3239" t="inlineStr">
        <is>
          <t>ET-129917999</t>
        </is>
      </c>
      <c r="B3239" t="inlineStr">
        <is>
          <t>R260330-gnaniai</t>
        </is>
      </c>
      <c r="C3239" t="inlineStr">
        <is>
          <t>The Economic Times</t>
        </is>
      </c>
      <c r="D3239" s="17" t="n">
        <v>46112</v>
      </c>
      <c r="E3239" t="inlineStr">
        <is>
          <t>Gnani ai</t>
        </is>
      </c>
      <c r="F3239" t="inlineStr">
        <is>
          <t>$10 million</t>
        </is>
      </c>
      <c r="G3239" s="19" t="n"/>
      <c r="H3239" s="19" t="n">
        <v>10</v>
      </c>
      <c r="I3239" t="inlineStr">
        <is>
          <t>Undisclosed</t>
        </is>
      </c>
      <c r="J3239" t="inlineStr">
        <is>
          <t>Aavishkaar Capital</t>
        </is>
      </c>
      <c r="K3239" t="inlineStr">
        <is>
          <t>https://economictimes.indiatimes.com/tech/funding/gnani-ai-raises-10-million-from-aavishkaar-capital-to-scale-voice-ai-models-globally/articleshow/129917999.cms</t>
        </is>
      </c>
    </row>
    <row r="3240">
      <c r="A3240" t="inlineStr">
        <is>
          <t>INC-20260404-04</t>
        </is>
      </c>
      <c r="B3240" t="inlineStr">
        <is>
          <t>R260330-gnaniai</t>
        </is>
      </c>
      <c r="C3240" t="inlineStr">
        <is>
          <t>Inc42</t>
        </is>
      </c>
      <c r="D3240" s="17" t="n">
        <v>46112</v>
      </c>
      <c r="E3240" t="inlineStr">
        <is>
          <t>Gnani.ai</t>
        </is>
      </c>
      <c r="F3240" t="inlineStr">
        <is>
          <t>$10 Mn</t>
        </is>
      </c>
      <c r="G3240" s="19" t="n"/>
      <c r="H3240" s="19" t="n">
        <v>10</v>
      </c>
      <c r="I3240" t="inlineStr">
        <is>
          <t>Series B</t>
        </is>
      </c>
      <c r="J3240" t="inlineStr">
        <is>
          <t>Aavishkaar Capital</t>
        </is>
      </c>
      <c r="K3240" t="inlineStr">
        <is>
          <t>https://inc42.com/buzz/from-noon-to-palmonas-indian-startups-raised-132-mn-this-week/</t>
        </is>
      </c>
    </row>
    <row r="3241">
      <c r="A3241" t="inlineStr">
        <is>
          <t>VCC-45683e5778</t>
        </is>
      </c>
      <c r="B3241" t="inlineStr">
        <is>
          <t>R260330-gnaniai</t>
        </is>
      </c>
      <c r="C3241" t="inlineStr">
        <is>
          <t>VCCircle</t>
        </is>
      </c>
      <c r="D3241" s="17" t="n">
        <v>46112</v>
      </c>
      <c r="E3241" t="inlineStr">
        <is>
          <t>gnani ai s series b round</t>
        </is>
      </c>
      <c r="F3241" t="inlineStr">
        <is>
          <t>$ 10 million</t>
        </is>
      </c>
      <c r="G3241" s="19" t="n"/>
      <c r="H3241" s="19" t="n">
        <v>10</v>
      </c>
      <c r="I3241" t="inlineStr">
        <is>
          <t>Series B</t>
        </is>
      </c>
      <c r="J3241" t="inlineStr"/>
      <c r="K3241" t="inlineStr">
        <is>
          <t>https://www.vccircle.com/aavishkaarcapital-invests-10-mn-in-gnani-ai-s-series-b-round</t>
        </is>
      </c>
    </row>
    <row r="3242">
      <c r="A3242" t="inlineStr">
        <is>
          <t>ENT-11435734</t>
        </is>
      </c>
      <c r="B3242" t="inlineStr">
        <is>
          <t>R260330-kuku</t>
        </is>
      </c>
      <c r="C3242" t="inlineStr">
        <is>
          <t>Entrackr</t>
        </is>
      </c>
      <c r="D3242" s="17" t="n">
        <v>46111</v>
      </c>
      <c r="E3242" t="inlineStr">
        <is>
          <t>Kuku</t>
        </is>
      </c>
      <c r="F3242" t="inlineStr"/>
      <c r="G3242" s="19" t="n"/>
      <c r="H3242" s="19" t="n"/>
      <c r="I3242" t="inlineStr">
        <is>
          <t>Undisclosed</t>
        </is>
      </c>
      <c r="J3242" t="inlineStr"/>
      <c r="K3242" t="inlineStr">
        <is>
          <t>https://entrackr.com/snippets/ms-dhoni-invests-in-kuku-joins-as-brand-ambassador-for-kuku-tv-11435734</t>
        </is>
      </c>
    </row>
    <row r="3243">
      <c r="A3243" t="inlineStr">
        <is>
          <t>ET-129903638</t>
        </is>
      </c>
      <c r="B3243" t="inlineStr">
        <is>
          <t>R260330-kuku</t>
        </is>
      </c>
      <c r="C3243" t="inlineStr">
        <is>
          <t>The Economic Times</t>
        </is>
      </c>
      <c r="D3243" s="17" t="n">
        <v>46111</v>
      </c>
      <c r="E3243" t="inlineStr">
        <is>
          <t>Kuku</t>
        </is>
      </c>
      <c r="F3243" t="inlineStr"/>
      <c r="G3243" s="19" t="n"/>
      <c r="H3243" s="19" t="n"/>
      <c r="I3243" t="inlineStr">
        <is>
          <t>Undisclosed</t>
        </is>
      </c>
      <c r="J3243" t="inlineStr"/>
      <c r="K3243" t="inlineStr">
        <is>
          <t>https://economictimes.indiatimes.com/tech/startups/ms-dhoni-invests-in-kuku-to-be-the-brand-ambassador-of-micro-drama-app-kuku-tv/articleshow/129903638.cms</t>
        </is>
      </c>
    </row>
    <row r="3244">
      <c r="A3244" t="inlineStr">
        <is>
          <t>INC-20260404-17</t>
        </is>
      </c>
      <c r="B3244" t="inlineStr">
        <is>
          <t>R260330-kuku</t>
        </is>
      </c>
      <c r="C3244" t="inlineStr">
        <is>
          <t>Inc42</t>
        </is>
      </c>
      <c r="D3244" s="17" t="n">
        <v>46111</v>
      </c>
      <c r="E3244" t="inlineStr">
        <is>
          <t>Kuku FM</t>
        </is>
      </c>
      <c r="F3244" t="inlineStr"/>
      <c r="G3244" s="19" t="n"/>
      <c r="H3244" s="19" t="n"/>
      <c r="I3244" t="inlineStr">
        <is>
          <t>Undisclosed</t>
        </is>
      </c>
      <c r="J3244" t="inlineStr">
        <is>
          <t>MS Dhoni</t>
        </is>
      </c>
      <c r="K3244" t="inlineStr">
        <is>
          <t>https://inc42.com/buzz/from-noon-to-palmonas-indian-startups-raised-132-mn-this-week/</t>
        </is>
      </c>
    </row>
    <row r="3245">
      <c r="A3245" t="inlineStr">
        <is>
          <t>ENT-11434197</t>
        </is>
      </c>
      <c r="B3245" t="inlineStr">
        <is>
          <t>R260330-sign3</t>
        </is>
      </c>
      <c r="C3245" t="inlineStr">
        <is>
          <t>Entrackr</t>
        </is>
      </c>
      <c r="D3245" s="17" t="n">
        <v>46111</v>
      </c>
      <c r="E3245" t="inlineStr">
        <is>
          <t>Sign3</t>
        </is>
      </c>
      <c r="F3245" t="inlineStr">
        <is>
          <t>$1.5 million</t>
        </is>
      </c>
      <c r="G3245" s="19" t="n"/>
      <c r="H3245" s="19" t="n">
        <v>1.5</v>
      </c>
      <c r="I3245" t="inlineStr">
        <is>
          <t>Undisclosed</t>
        </is>
      </c>
      <c r="J3245" t="inlineStr"/>
      <c r="K3245" t="inlineStr">
        <is>
          <t>https://entrackr.com/snippets/cedar-hill-capital-leads-15-mn-round-in-fraud-intelligence-startup-sign3-11434197</t>
        </is>
      </c>
    </row>
    <row r="3246">
      <c r="A3246" t="inlineStr">
        <is>
          <t>INC-20260404-10</t>
        </is>
      </c>
      <c r="B3246" t="inlineStr">
        <is>
          <t>R260330-sign3</t>
        </is>
      </c>
      <c r="C3246" t="inlineStr">
        <is>
          <t>Inc42</t>
        </is>
      </c>
      <c r="D3246" s="17" t="n">
        <v>46112</v>
      </c>
      <c r="E3246" t="inlineStr">
        <is>
          <t>Sign3</t>
        </is>
      </c>
      <c r="F3246" t="inlineStr">
        <is>
          <t>$1.5 Mn</t>
        </is>
      </c>
      <c r="G3246" s="19" t="n"/>
      <c r="H3246" s="19" t="n">
        <v>1.5</v>
      </c>
      <c r="I3246" t="inlineStr">
        <is>
          <t>Undisclosed</t>
        </is>
      </c>
      <c r="J3246" t="inlineStr">
        <is>
          <t>Cedar Hill Capital</t>
        </is>
      </c>
      <c r="K3246" t="inlineStr">
        <is>
          <t>https://inc42.com/buzz/from-noon-to-palmonas-indian-startups-raised-132-mn-this-week/</t>
        </is>
      </c>
    </row>
    <row r="3247">
      <c r="A3247" t="inlineStr">
        <is>
          <t>ENT-11436120</t>
        </is>
      </c>
      <c r="B3247" t="inlineStr">
        <is>
          <t>R260330-skillsvest</t>
        </is>
      </c>
      <c r="C3247" t="inlineStr">
        <is>
          <t>Entrackr</t>
        </is>
      </c>
      <c r="D3247" s="17" t="n">
        <v>46111</v>
      </c>
      <c r="E3247" t="inlineStr">
        <is>
          <t>Skillsvest</t>
        </is>
      </c>
      <c r="F3247" t="inlineStr">
        <is>
          <t>Rs 5.5 crore</t>
        </is>
      </c>
      <c r="G3247" s="19" t="n">
        <v>5.5</v>
      </c>
      <c r="H3247" s="19" t="n"/>
      <c r="I3247" t="inlineStr">
        <is>
          <t>Pre-Seed</t>
        </is>
      </c>
      <c r="J3247" t="inlineStr">
        <is>
          <t>Plug; Play Ventures</t>
        </is>
      </c>
      <c r="K3247" t="inlineStr">
        <is>
          <t>https://entrackr.com/snippets/skillsvest-raises-rs-55-cr-pre-seed-round-led-by-plug-and-play-ventures-11436120</t>
        </is>
      </c>
    </row>
    <row r="3248">
      <c r="A3248" t="inlineStr">
        <is>
          <t>ENT-11438527</t>
        </is>
      </c>
      <c r="B3248" t="inlineStr">
        <is>
          <t>R260331-bachatt</t>
        </is>
      </c>
      <c r="C3248" t="inlineStr">
        <is>
          <t>Entrackr</t>
        </is>
      </c>
      <c r="D3248" s="17" t="n">
        <v>46112</v>
      </c>
      <c r="E3248" t="inlineStr">
        <is>
          <t>Bachatt</t>
        </is>
      </c>
      <c r="F3248" t="inlineStr">
        <is>
          <t>$12 million</t>
        </is>
      </c>
      <c r="G3248" s="19" t="n"/>
      <c r="H3248" s="19" t="n">
        <v>12</v>
      </c>
      <c r="I3248" t="inlineStr">
        <is>
          <t>Series A</t>
        </is>
      </c>
      <c r="J3248" t="inlineStr">
        <is>
          <t>Accel</t>
        </is>
      </c>
      <c r="K3248" t="inlineStr">
        <is>
          <t>https://entrackr.com/news/wealthtech-startup-bachatt-raises-12-mn-in-series-a-led-by-accel-11438527</t>
        </is>
      </c>
    </row>
    <row r="3249">
      <c r="A3249" t="inlineStr">
        <is>
          <t>INC-20260404-03</t>
        </is>
      </c>
      <c r="B3249" t="inlineStr">
        <is>
          <t>R260331-bachatt</t>
        </is>
      </c>
      <c r="C3249" t="inlineStr">
        <is>
          <t>Inc42</t>
        </is>
      </c>
      <c r="D3249" s="17" t="n">
        <v>46112</v>
      </c>
      <c r="E3249" t="inlineStr">
        <is>
          <t>Bachatt</t>
        </is>
      </c>
      <c r="F3249" t="inlineStr">
        <is>
          <t>$12 Mn</t>
        </is>
      </c>
      <c r="G3249" s="19" t="n"/>
      <c r="H3249" s="19" t="n">
        <v>12</v>
      </c>
      <c r="I3249" t="inlineStr">
        <is>
          <t>Series A</t>
        </is>
      </c>
      <c r="J3249" t="inlineStr">
        <is>
          <t>Accel</t>
        </is>
      </c>
      <c r="K3249" t="inlineStr">
        <is>
          <t>https://inc42.com/buzz/from-noon-to-palmonas-indian-startups-raised-132-mn-this-week/</t>
        </is>
      </c>
    </row>
    <row r="3250">
      <c r="A3250" t="inlineStr">
        <is>
          <t>ENT-11438290</t>
        </is>
      </c>
      <c r="B3250" t="inlineStr">
        <is>
          <t>R260331-dugarfinance</t>
        </is>
      </c>
      <c r="C3250" t="inlineStr">
        <is>
          <t>Entrackr</t>
        </is>
      </c>
      <c r="D3250" s="17" t="n">
        <v>46112</v>
      </c>
      <c r="E3250" t="inlineStr">
        <is>
          <t>Dugar Finance</t>
        </is>
      </c>
      <c r="F3250" t="inlineStr">
        <is>
          <t>$5 million</t>
        </is>
      </c>
      <c r="G3250" s="19" t="n">
        <v>45</v>
      </c>
      <c r="H3250" s="19" t="n">
        <v>5</v>
      </c>
      <c r="I3250" t="inlineStr">
        <is>
          <t>Pre-Series A</t>
        </is>
      </c>
      <c r="J3250" t="inlineStr">
        <is>
          <t>HegdInvst</t>
        </is>
      </c>
      <c r="K3250" t="inlineStr">
        <is>
          <t>https://entrackr.com/snippets/hegdinvst-leads-5-mn-pre-series-a-round-in-nbfc-dugar-finance-11438290</t>
        </is>
      </c>
    </row>
    <row r="3251">
      <c r="A3251" t="inlineStr">
        <is>
          <t>ENT-11438253</t>
        </is>
      </c>
      <c r="B3251" t="inlineStr">
        <is>
          <t>R260331-fanon</t>
        </is>
      </c>
      <c r="C3251" t="inlineStr">
        <is>
          <t>Entrackr</t>
        </is>
      </c>
      <c r="D3251" s="17" t="n">
        <v>46112</v>
      </c>
      <c r="E3251" t="inlineStr">
        <is>
          <t>Fanon</t>
        </is>
      </c>
      <c r="F3251" t="inlineStr">
        <is>
          <t>$1 million</t>
        </is>
      </c>
      <c r="G3251" s="19" t="n"/>
      <c r="H3251" s="19" t="n">
        <v>1</v>
      </c>
      <c r="I3251" t="inlineStr">
        <is>
          <t>Pre-Seed</t>
        </is>
      </c>
      <c r="J3251" t="inlineStr">
        <is>
          <t>Kalaari Capital; Gruhas</t>
        </is>
      </c>
      <c r="K3251" t="inlineStr">
        <is>
          <t>https://entrackr.com/snippets/fanon-raises-pre-seed-round-led-by-kalaari-capital-and-gruhas-11438253</t>
        </is>
      </c>
    </row>
    <row r="3252">
      <c r="A3252" t="inlineStr">
        <is>
          <t>ET-129909342</t>
        </is>
      </c>
      <c r="B3252" t="inlineStr">
        <is>
          <t>R260331-fanon</t>
        </is>
      </c>
      <c r="C3252" t="inlineStr">
        <is>
          <t>The Economic Times</t>
        </is>
      </c>
      <c r="D3252" s="17" t="n">
        <v>46112</v>
      </c>
      <c r="E3252" t="inlineStr">
        <is>
          <t>Fanon</t>
        </is>
      </c>
      <c r="F3252" t="inlineStr">
        <is>
          <t>$1 million</t>
        </is>
      </c>
      <c r="G3252" s="19" t="n"/>
      <c r="H3252" s="19" t="n">
        <v>1</v>
      </c>
      <c r="I3252" t="inlineStr">
        <is>
          <t>Pre-Seed</t>
        </is>
      </c>
      <c r="J3252" t="inlineStr">
        <is>
          <t>Kalaari Capital; Gruhas Venture Capital</t>
        </is>
      </c>
      <c r="K3252" t="inlineStr">
        <is>
          <t>https://economictimes.indiatimes.com/tech/funding/social-media-platform-fanon-raises-1-million-in-round-led-by-kalaari-gruhas/articleshow/129909342.cms</t>
        </is>
      </c>
    </row>
    <row r="3253">
      <c r="A3253" t="inlineStr">
        <is>
          <t>INC-20260404-13</t>
        </is>
      </c>
      <c r="B3253" t="inlineStr">
        <is>
          <t>R260331-fanon</t>
        </is>
      </c>
      <c r="C3253" t="inlineStr">
        <is>
          <t>Inc42</t>
        </is>
      </c>
      <c r="D3253" s="17" t="n">
        <v>46113</v>
      </c>
      <c r="E3253" t="inlineStr">
        <is>
          <t>Fanon</t>
        </is>
      </c>
      <c r="F3253" t="inlineStr">
        <is>
          <t>$1 Mn</t>
        </is>
      </c>
      <c r="G3253" s="19" t="n"/>
      <c r="H3253" s="19" t="n">
        <v>1</v>
      </c>
      <c r="I3253" t="inlineStr">
        <is>
          <t>Pre-Seed</t>
        </is>
      </c>
      <c r="J3253" t="inlineStr">
        <is>
          <t>Kalaari Capital; Gruhas</t>
        </is>
      </c>
      <c r="K3253" t="inlineStr">
        <is>
          <t>https://inc42.com/buzz/from-noon-to-palmonas-indian-startups-raised-132-mn-this-week/</t>
        </is>
      </c>
    </row>
    <row r="3254">
      <c r="A3254" t="inlineStr">
        <is>
          <t>ENT-11439901</t>
        </is>
      </c>
      <c r="B3254" t="inlineStr">
        <is>
          <t>R260331-openfx</t>
        </is>
      </c>
      <c r="C3254" t="inlineStr">
        <is>
          <t>Entrackr</t>
        </is>
      </c>
      <c r="D3254" s="17" t="n">
        <v>46112</v>
      </c>
      <c r="E3254" t="inlineStr">
        <is>
          <t>OpenFX</t>
        </is>
      </c>
      <c r="F3254" t="inlineStr">
        <is>
          <t>$94 million</t>
        </is>
      </c>
      <c r="G3254" s="19" t="n"/>
      <c r="H3254" s="19" t="n">
        <v>94</v>
      </c>
      <c r="I3254" t="inlineStr">
        <is>
          <t>Undisclosed</t>
        </is>
      </c>
      <c r="J3254" t="inlineStr">
        <is>
          <t>Accel; Lightspeed Faction; M13; Northzone; Pantera</t>
        </is>
      </c>
      <c r="K3254" t="inlineStr">
        <is>
          <t>https://entrackr.com/news/cross-border-payments-infra-startup-openfx-raises-94-mn-from-accel-lightspeed-others-11439901</t>
        </is>
      </c>
    </row>
    <row r="3255">
      <c r="A3255" t="inlineStr">
        <is>
          <t>ET-129922393</t>
        </is>
      </c>
      <c r="B3255" t="inlineStr">
        <is>
          <t>R260331-openfx</t>
        </is>
      </c>
      <c r="C3255" t="inlineStr">
        <is>
          <t>The Economic Times</t>
        </is>
      </c>
      <c r="D3255" s="17" t="n">
        <v>46112</v>
      </c>
      <c r="E3255" t="inlineStr">
        <is>
          <t>OpenFX</t>
        </is>
      </c>
      <c r="F3255" t="inlineStr">
        <is>
          <t>$94 million</t>
        </is>
      </c>
      <c r="G3255" s="19" t="n">
        <v>780</v>
      </c>
      <c r="H3255" s="19" t="n">
        <v>94</v>
      </c>
      <c r="I3255" t="inlineStr">
        <is>
          <t>Undisclosed</t>
        </is>
      </c>
      <c r="J3255" t="inlineStr">
        <is>
          <t>Accel; Atomico</t>
        </is>
      </c>
      <c r="K3255" t="inlineStr">
        <is>
          <t>https://economictimes.indiatimes.com/tech/funding/fx-payments-startup-openfx-raises-94-million-amid-cross-border-stablecoin-push/articleshow/129922393.cms</t>
        </is>
      </c>
    </row>
    <row r="3256">
      <c r="A3256" t="inlineStr">
        <is>
          <t>ENT-11441882</t>
        </is>
      </c>
      <c r="B3256" t="inlineStr">
        <is>
          <t>R260401-credresolve</t>
        </is>
      </c>
      <c r="C3256" t="inlineStr">
        <is>
          <t>Entrackr</t>
        </is>
      </c>
      <c r="D3256" s="17" t="n">
        <v>46113</v>
      </c>
      <c r="E3256" t="inlineStr">
        <is>
          <t>CredResolve</t>
        </is>
      </c>
      <c r="F3256" t="inlineStr"/>
      <c r="G3256" s="19" t="n"/>
      <c r="H3256" s="19" t="n"/>
      <c r="I3256" t="inlineStr">
        <is>
          <t>Pre-Series A</t>
        </is>
      </c>
      <c r="J3256" t="inlineStr">
        <is>
          <t>Merak Ventures</t>
        </is>
      </c>
      <c r="K3256" t="inlineStr">
        <is>
          <t>https://entrackr.com/snippets/merak-ventures-leads-pre-series-a-round-in-credresolve-11441882</t>
        </is>
      </c>
    </row>
    <row r="3257">
      <c r="A3257" t="inlineStr">
        <is>
          <t>INC-20260404-18</t>
        </is>
      </c>
      <c r="B3257" t="inlineStr">
        <is>
          <t>R260401-credresolve</t>
        </is>
      </c>
      <c r="C3257" t="inlineStr">
        <is>
          <t>Inc42</t>
        </is>
      </c>
      <c r="D3257" s="17" t="n">
        <v>46113</v>
      </c>
      <c r="E3257" t="inlineStr">
        <is>
          <t>CredResolve</t>
        </is>
      </c>
      <c r="F3257" t="inlineStr"/>
      <c r="G3257" s="19" t="n"/>
      <c r="H3257" s="19" t="n"/>
      <c r="I3257" t="inlineStr">
        <is>
          <t>Pre-Series A</t>
        </is>
      </c>
      <c r="J3257" t="inlineStr">
        <is>
          <t>Merak Ventures</t>
        </is>
      </c>
      <c r="K3257" t="inlineStr">
        <is>
          <t>https://inc42.com/buzz/from-noon-to-palmonas-indian-startups-raised-132-mn-this-week/</t>
        </is>
      </c>
    </row>
    <row r="3258">
      <c r="A3258" t="inlineStr">
        <is>
          <t>ENT-11442046</t>
        </is>
      </c>
      <c r="B3258" t="inlineStr">
        <is>
          <t>R260401-cygnienergy</t>
        </is>
      </c>
      <c r="C3258" t="inlineStr">
        <is>
          <t>Entrackr</t>
        </is>
      </c>
      <c r="D3258" s="17" t="n">
        <v>46113</v>
      </c>
      <c r="E3258" t="inlineStr">
        <is>
          <t>Cygni Energy</t>
        </is>
      </c>
      <c r="F3258" t="inlineStr"/>
      <c r="G3258" s="19" t="n"/>
      <c r="H3258" s="19" t="n"/>
      <c r="I3258" t="inlineStr">
        <is>
          <t>Undisclosed</t>
        </is>
      </c>
      <c r="J3258" t="inlineStr"/>
      <c r="K3258" t="inlineStr">
        <is>
          <t>https://entrackr.com/exclusive/exclusive-meridian-global-nears-controlling-stake-in-cygni-energy-with-fresh-funding-11442046</t>
        </is>
      </c>
    </row>
    <row r="3259">
      <c r="A3259" t="inlineStr">
        <is>
          <t>INC-20260404-16</t>
        </is>
      </c>
      <c r="B3259" t="inlineStr">
        <is>
          <t>R260401-intercosmos</t>
        </is>
      </c>
      <c r="C3259" t="inlineStr">
        <is>
          <t>Inc42</t>
        </is>
      </c>
      <c r="D3259" s="17" t="n">
        <v>46113</v>
      </c>
      <c r="E3259" t="inlineStr">
        <is>
          <t>InterCosmos</t>
        </is>
      </c>
      <c r="F3259" t="inlineStr"/>
      <c r="G3259" s="19" t="n"/>
      <c r="H3259" s="19" t="n"/>
      <c r="I3259" t="inlineStr">
        <is>
          <t>Undisclosed</t>
        </is>
      </c>
      <c r="J3259" t="inlineStr">
        <is>
          <t>IAN Group</t>
        </is>
      </c>
      <c r="K3259" t="inlineStr">
        <is>
          <t>https://inc42.com/buzz/from-noon-to-palmonas-indian-startups-raised-132-mn-this-week/</t>
        </is>
      </c>
    </row>
    <row r="3260">
      <c r="A3260" t="inlineStr">
        <is>
          <t>ENT-11441827</t>
        </is>
      </c>
      <c r="B3260" t="inlineStr">
        <is>
          <t>R260401-nowpurchase</t>
        </is>
      </c>
      <c r="C3260" t="inlineStr">
        <is>
          <t>Entrackr</t>
        </is>
      </c>
      <c r="D3260" s="17" t="n">
        <v>46113</v>
      </c>
      <c r="E3260" t="inlineStr">
        <is>
          <t>NowPurchase</t>
        </is>
      </c>
      <c r="F3260" t="inlineStr">
        <is>
          <t>$8.6 million</t>
        </is>
      </c>
      <c r="G3260" s="19" t="n">
        <v>80</v>
      </c>
      <c r="H3260" s="19" t="n">
        <v>8.6</v>
      </c>
      <c r="I3260" t="inlineStr">
        <is>
          <t>Undisclosed</t>
        </is>
      </c>
      <c r="J3260" t="inlineStr">
        <is>
          <t>Bajaj Finserv</t>
        </is>
      </c>
      <c r="K3260" t="inlineStr">
        <is>
          <t>https://entrackr.com/news/b2b-metal-procurement-startup-nowpurchase-raises-86-mn-led-by-bajaj-finserv-11441827</t>
        </is>
      </c>
    </row>
    <row r="3261">
      <c r="A3261" t="inlineStr">
        <is>
          <t>INC-20260404-05</t>
        </is>
      </c>
      <c r="B3261" t="inlineStr">
        <is>
          <t>R260401-nowpurchase</t>
        </is>
      </c>
      <c r="C3261" t="inlineStr">
        <is>
          <t>Inc42</t>
        </is>
      </c>
      <c r="D3261" s="17" t="n">
        <v>46113</v>
      </c>
      <c r="E3261" t="inlineStr">
        <is>
          <t>NowPurchase</t>
        </is>
      </c>
      <c r="F3261" t="inlineStr">
        <is>
          <t>$8.5 Mn</t>
        </is>
      </c>
      <c r="G3261" s="19" t="n"/>
      <c r="H3261" s="19" t="n">
        <v>8.5</v>
      </c>
      <c r="I3261" t="inlineStr">
        <is>
          <t>Undisclosed</t>
        </is>
      </c>
      <c r="J3261" t="inlineStr">
        <is>
          <t>Bajaj Finserv</t>
        </is>
      </c>
      <c r="K3261" t="inlineStr">
        <is>
          <t>https://inc42.com/buzz/from-noon-to-palmonas-indian-startups-raised-132-mn-this-week/</t>
        </is>
      </c>
    </row>
    <row r="3262">
      <c r="A3262" t="inlineStr">
        <is>
          <t>VCC-639f451887</t>
        </is>
      </c>
      <c r="B3262" t="inlineStr">
        <is>
          <t>R260401-nowpurchase</t>
        </is>
      </c>
      <c r="C3262" t="inlineStr">
        <is>
          <t>VCCircle</t>
        </is>
      </c>
      <c r="D3262" s="17" t="n">
        <v>46113</v>
      </c>
      <c r="E3262" t="inlineStr">
        <is>
          <t>nowpurchase</t>
        </is>
      </c>
      <c r="F3262" t="inlineStr"/>
      <c r="G3262" s="19" t="n"/>
      <c r="H3262" s="19" t="n"/>
      <c r="I3262" t="inlineStr">
        <is>
          <t>Series B</t>
        </is>
      </c>
      <c r="J3262" t="inlineStr"/>
      <c r="K3262" t="inlineStr">
        <is>
          <t>https://www.vccircle.com/bajajfinserv-leads-nowpurchase-s-series-b-funding-round</t>
        </is>
      </c>
    </row>
    <row r="3263">
      <c r="A3263" t="inlineStr">
        <is>
          <t>INC-20260404-02</t>
        </is>
      </c>
      <c r="B3263" t="inlineStr">
        <is>
          <t>R260401-palmonas</t>
        </is>
      </c>
      <c r="C3263" t="inlineStr">
        <is>
          <t>Inc42</t>
        </is>
      </c>
      <c r="D3263" s="17" t="n">
        <v>46113</v>
      </c>
      <c r="E3263" t="inlineStr">
        <is>
          <t>Palmonas</t>
        </is>
      </c>
      <c r="F3263" t="inlineStr">
        <is>
          <t>$40 Mn</t>
        </is>
      </c>
      <c r="G3263" s="19" t="n"/>
      <c r="H3263" s="19" t="n">
        <v>40</v>
      </c>
      <c r="I3263" t="inlineStr">
        <is>
          <t>Series B</t>
        </is>
      </c>
      <c r="J3263" t="inlineStr">
        <is>
          <t>Xponentia Capital; Vertex Growth Fund</t>
        </is>
      </c>
      <c r="K3263" t="inlineStr">
        <is>
          <t>https://inc42.com/buzz/from-noon-to-palmonas-indian-startups-raised-132-mn-this-week/</t>
        </is>
      </c>
    </row>
    <row r="3264">
      <c r="A3264" t="inlineStr">
        <is>
          <t>ENT-11446027</t>
        </is>
      </c>
      <c r="B3264" t="inlineStr">
        <is>
          <t>R260401-palmonas</t>
        </is>
      </c>
      <c r="C3264" t="inlineStr">
        <is>
          <t>Entrackr</t>
        </is>
      </c>
      <c r="D3264" s="17" t="n">
        <v>46114</v>
      </c>
      <c r="E3264" t="inlineStr">
        <is>
          <t>Palmonas</t>
        </is>
      </c>
      <c r="F3264" t="inlineStr">
        <is>
          <t>$40 million</t>
        </is>
      </c>
      <c r="G3264" s="19" t="n">
        <v>373</v>
      </c>
      <c r="H3264" s="19" t="n">
        <v>40</v>
      </c>
      <c r="I3264" t="inlineStr">
        <is>
          <t>Series B</t>
        </is>
      </c>
      <c r="J3264" t="inlineStr">
        <is>
          <t>Xponentia Capital; Vertex Growth Fund</t>
        </is>
      </c>
      <c r="K3264" t="inlineStr">
        <is>
          <t>https://entrackr.com/snippets/palmonas-raises-40-mn-in-series-b-led-by-xponentia-capital-vertex-growth-fund-11446027</t>
        </is>
      </c>
    </row>
    <row r="3265">
      <c r="A3265" t="inlineStr">
        <is>
          <t>INC-20260404-09</t>
        </is>
      </c>
      <c r="B3265" t="inlineStr">
        <is>
          <t>R260401-tendercuts</t>
        </is>
      </c>
      <c r="C3265" t="inlineStr">
        <is>
          <t>Inc42</t>
        </is>
      </c>
      <c r="D3265" s="17" t="n">
        <v>46113</v>
      </c>
      <c r="E3265" t="inlineStr">
        <is>
          <t>TenderCuts</t>
        </is>
      </c>
      <c r="F3265" t="inlineStr">
        <is>
          <t>$2 Mn</t>
        </is>
      </c>
      <c r="G3265" s="19" t="n"/>
      <c r="H3265" s="19" t="n">
        <v>2</v>
      </c>
      <c r="I3265" t="inlineStr">
        <is>
          <t>Debt</t>
        </is>
      </c>
      <c r="J3265" t="inlineStr">
        <is>
          <t>Lakme Finance</t>
        </is>
      </c>
      <c r="K3265" t="inlineStr">
        <is>
          <t>https://inc42.com/buzz/from-noon-to-palmonas-indian-startups-raised-132-mn-this-week/</t>
        </is>
      </c>
    </row>
    <row r="3266">
      <c r="A3266" t="inlineStr">
        <is>
          <t>ENT-11442879</t>
        </is>
      </c>
      <c r="B3266" t="inlineStr">
        <is>
          <t>R260401-xovianaerospac</t>
        </is>
      </c>
      <c r="C3266" t="inlineStr">
        <is>
          <t>Entrackr</t>
        </is>
      </c>
      <c r="D3266" s="17" t="n">
        <v>46113</v>
      </c>
      <c r="E3266" t="inlineStr">
        <is>
          <t>Xovian Aerospace</t>
        </is>
      </c>
      <c r="F3266" t="inlineStr">
        <is>
          <t>$2 million</t>
        </is>
      </c>
      <c r="G3266" s="19" t="n"/>
      <c r="H3266" s="19" t="n">
        <v>2</v>
      </c>
      <c r="I3266" t="inlineStr">
        <is>
          <t>Undisclosed</t>
        </is>
      </c>
      <c r="J3266" t="inlineStr">
        <is>
          <t>Ashish Kacholia</t>
        </is>
      </c>
      <c r="K3266" t="inlineStr">
        <is>
          <t>https://entrackr.com/snippets/xovian-aerospace-raises-2-mn-led-by-ashish-kacholia-11442879</t>
        </is>
      </c>
    </row>
    <row r="3267">
      <c r="A3267" t="inlineStr">
        <is>
          <t>INC-20260404-08</t>
        </is>
      </c>
      <c r="B3267" t="inlineStr">
        <is>
          <t>R260401-xovianaerospac</t>
        </is>
      </c>
      <c r="C3267" t="inlineStr">
        <is>
          <t>Inc42</t>
        </is>
      </c>
      <c r="D3267" s="17" t="n">
        <v>46113</v>
      </c>
      <c r="E3267" t="inlineStr">
        <is>
          <t>Xovian Aerospace</t>
        </is>
      </c>
      <c r="F3267" t="inlineStr">
        <is>
          <t>$2 Mn</t>
        </is>
      </c>
      <c r="G3267" s="19" t="n"/>
      <c r="H3267" s="19" t="n">
        <v>2</v>
      </c>
      <c r="I3267" t="inlineStr">
        <is>
          <t>Undisclosed</t>
        </is>
      </c>
      <c r="J3267" t="inlineStr">
        <is>
          <t>Ashish Kacholia</t>
        </is>
      </c>
      <c r="K3267" t="inlineStr">
        <is>
          <t>https://inc42.com/buzz/from-noon-to-palmonas-indian-startups-raised-132-mn-this-week/</t>
        </is>
      </c>
    </row>
    <row r="3268">
      <c r="A3268" t="inlineStr">
        <is>
          <t>ENT-11446411</t>
        </is>
      </c>
      <c r="B3268" t="inlineStr">
        <is>
          <t>R260402-aquapulse</t>
        </is>
      </c>
      <c r="C3268" t="inlineStr">
        <is>
          <t>Entrackr</t>
        </is>
      </c>
      <c r="D3268" s="17" t="n">
        <v>46114</v>
      </c>
      <c r="E3268" t="inlineStr">
        <is>
          <t>Aquapulse</t>
        </is>
      </c>
      <c r="F3268" t="inlineStr">
        <is>
          <t>Rs 25 crore</t>
        </is>
      </c>
      <c r="G3268" s="19" t="n">
        <v>25</v>
      </c>
      <c r="H3268" s="19" t="n"/>
      <c r="I3268" t="inlineStr">
        <is>
          <t>Series A</t>
        </is>
      </c>
      <c r="J3268" t="inlineStr">
        <is>
          <t>NABVENTURES</t>
        </is>
      </c>
      <c r="K3268" t="inlineStr">
        <is>
          <t>https://entrackr.com/snippets/aquapulse-raises-rs-25-cr-in-series-a-led-by-nabventures-11446411</t>
        </is>
      </c>
    </row>
    <row r="3269">
      <c r="A3269" t="inlineStr">
        <is>
          <t>INC-20260404-07</t>
        </is>
      </c>
      <c r="B3269" t="inlineStr">
        <is>
          <t>R260402-aquapulse</t>
        </is>
      </c>
      <c r="C3269" t="inlineStr">
        <is>
          <t>Inc42</t>
        </is>
      </c>
      <c r="D3269" s="17" t="n">
        <v>46114</v>
      </c>
      <c r="E3269" t="inlineStr">
        <is>
          <t>Aquapulse</t>
        </is>
      </c>
      <c r="F3269" t="inlineStr">
        <is>
          <t>$2.7 Mn</t>
        </is>
      </c>
      <c r="G3269" s="19" t="n"/>
      <c r="H3269" s="19" t="n">
        <v>2.7</v>
      </c>
      <c r="I3269" t="inlineStr">
        <is>
          <t>Series A</t>
        </is>
      </c>
      <c r="J3269" t="inlineStr">
        <is>
          <t>NABVENTURES</t>
        </is>
      </c>
      <c r="K3269" t="inlineStr">
        <is>
          <t>https://inc42.com/buzz/from-noon-to-palmonas-indian-startups-raised-132-mn-this-week/</t>
        </is>
      </c>
    </row>
    <row r="3270">
      <c r="A3270" t="inlineStr">
        <is>
          <t>ENT-11445677</t>
        </is>
      </c>
      <c r="B3270" t="inlineStr">
        <is>
          <t>R260402-gabify</t>
        </is>
      </c>
      <c r="C3270" t="inlineStr">
        <is>
          <t>Entrackr</t>
        </is>
      </c>
      <c r="D3270" s="17" t="n">
        <v>46114</v>
      </c>
      <c r="E3270" t="inlineStr">
        <is>
          <t>Gabify</t>
        </is>
      </c>
      <c r="F3270" t="inlineStr">
        <is>
          <t>$175,000</t>
        </is>
      </c>
      <c r="G3270" s="19" t="n"/>
      <c r="H3270" s="19" t="n">
        <v>0.175</v>
      </c>
      <c r="I3270" t="inlineStr">
        <is>
          <t>Pre-Seed</t>
        </is>
      </c>
      <c r="J3270" t="inlineStr">
        <is>
          <t>Inflection Point Ventures</t>
        </is>
      </c>
      <c r="K3270" t="inlineStr">
        <is>
          <t>https://entrackr.com/snippets/gabify-raises-175k-in-pre-seed-round-led-by-inflection-point-ventures-11445677</t>
        </is>
      </c>
    </row>
    <row r="3271">
      <c r="A3271" t="inlineStr">
        <is>
          <t>INC-20260404-15</t>
        </is>
      </c>
      <c r="B3271" t="inlineStr">
        <is>
          <t>R260402-gabify</t>
        </is>
      </c>
      <c r="C3271" t="inlineStr">
        <is>
          <t>Inc42</t>
        </is>
      </c>
      <c r="D3271" s="17" t="n">
        <v>46114</v>
      </c>
      <c r="E3271" t="inlineStr">
        <is>
          <t>Gabify</t>
        </is>
      </c>
      <c r="F3271" t="inlineStr">
        <is>
          <t>$175K</t>
        </is>
      </c>
      <c r="G3271" s="19" t="n"/>
      <c r="H3271" s="19" t="n">
        <v>0.175</v>
      </c>
      <c r="I3271" t="inlineStr">
        <is>
          <t>Pre-Seed</t>
        </is>
      </c>
      <c r="J3271" t="inlineStr">
        <is>
          <t>Inflection Point Ventures</t>
        </is>
      </c>
      <c r="K3271" t="inlineStr">
        <is>
          <t>https://inc42.com/buzz/from-noon-to-palmonas-indian-startups-raised-132-mn-this-week/</t>
        </is>
      </c>
    </row>
    <row r="3272">
      <c r="A3272" t="inlineStr">
        <is>
          <t>INC-20260404-12</t>
        </is>
      </c>
      <c r="B3272" t="inlineStr">
        <is>
          <t>R260402-navanc</t>
        </is>
      </c>
      <c r="C3272" t="inlineStr">
        <is>
          <t>Inc42</t>
        </is>
      </c>
      <c r="D3272" s="17" t="n">
        <v>46114</v>
      </c>
      <c r="E3272" t="inlineStr">
        <is>
          <t>Navanc</t>
        </is>
      </c>
      <c r="F3272" t="inlineStr">
        <is>
          <t>$1.1 Mn</t>
        </is>
      </c>
      <c r="G3272" s="19" t="n"/>
      <c r="H3272" s="19" t="n">
        <v>1.1</v>
      </c>
      <c r="I3272" t="inlineStr">
        <is>
          <t>Pre-Series A</t>
        </is>
      </c>
      <c r="J3272" t="inlineStr">
        <is>
          <t>Equentis</t>
        </is>
      </c>
      <c r="K3272" t="inlineStr">
        <is>
          <t>https://inc42.com/buzz/from-noon-to-palmonas-indian-startups-raised-132-mn-this-week/</t>
        </is>
      </c>
    </row>
    <row r="3273">
      <c r="A3273" t="inlineStr">
        <is>
          <t>INC-20260404-01</t>
        </is>
      </c>
      <c r="B3273" t="inlineStr">
        <is>
          <t>R260403-noon</t>
        </is>
      </c>
      <c r="C3273" t="inlineStr">
        <is>
          <t>Inc42</t>
        </is>
      </c>
      <c r="D3273" s="17" t="n">
        <v>46115</v>
      </c>
      <c r="E3273" t="inlineStr">
        <is>
          <t>Noon</t>
        </is>
      </c>
      <c r="F3273" t="inlineStr">
        <is>
          <t>$44 Mn</t>
        </is>
      </c>
      <c r="G3273" s="19" t="n"/>
      <c r="H3273" s="19" t="n">
        <v>44</v>
      </c>
      <c r="I3273" t="inlineStr">
        <is>
          <t>Undisclosed</t>
        </is>
      </c>
      <c r="J3273" t="inlineStr">
        <is>
          <t>Chemistry</t>
        </is>
      </c>
      <c r="K3273" t="inlineStr">
        <is>
          <t>https://inc42.com/buzz/from-noon-to-palmonas-indian-startups-raised-132-mn-this-week/</t>
        </is>
      </c>
    </row>
    <row r="3274">
      <c r="A3274" t="inlineStr">
        <is>
          <t>ENT-11449759</t>
        </is>
      </c>
      <c r="B3274" t="inlineStr">
        <is>
          <t>R260403-uppercase</t>
        </is>
      </c>
      <c r="C3274" t="inlineStr">
        <is>
          <t>Entrackr</t>
        </is>
      </c>
      <c r="D3274" s="17" t="n">
        <v>46115</v>
      </c>
      <c r="E3274" t="inlineStr">
        <is>
          <t>Uppercase</t>
        </is>
      </c>
      <c r="F3274" t="inlineStr">
        <is>
          <t>Rs 20 crore</t>
        </is>
      </c>
      <c r="G3274" s="19" t="n">
        <v>20</v>
      </c>
      <c r="H3274" s="19" t="n"/>
      <c r="I3274" t="inlineStr">
        <is>
          <t>Undisclosed</t>
        </is>
      </c>
      <c r="J3274" t="inlineStr"/>
      <c r="K3274" t="inlineStr">
        <is>
          <t>https://entrackr.com/exclusive/exclusive-uppercase-raises-fresh-capital-from-existing-investors-11449759</t>
        </is>
      </c>
    </row>
    <row r="3275">
      <c r="A3275" t="inlineStr">
        <is>
          <t>ENT-11457953</t>
        </is>
      </c>
      <c r="B3275" t="inlineStr">
        <is>
          <t>R260406-damgoodfish</t>
        </is>
      </c>
      <c r="C3275" t="inlineStr">
        <is>
          <t>Entrackr</t>
        </is>
      </c>
      <c r="D3275" s="17" t="n">
        <v>46118</v>
      </c>
      <c r="E3275" t="inlineStr">
        <is>
          <t>Dam Good Fish</t>
        </is>
      </c>
      <c r="F3275" t="inlineStr">
        <is>
          <t>Rs 30 crore</t>
        </is>
      </c>
      <c r="G3275" s="19" t="n">
        <v>30</v>
      </c>
      <c r="H3275" s="19" t="n">
        <v>3.6</v>
      </c>
      <c r="I3275" t="inlineStr">
        <is>
          <t>Undisclosed</t>
        </is>
      </c>
      <c r="J3275" t="inlineStr"/>
      <c r="K3275" t="inlineStr">
        <is>
          <t>https://entrackr.com/snippets/dam-good-fish-raises-strategic-funding-at-rs-30-cr-valuation-11457953</t>
        </is>
      </c>
    </row>
    <row r="3276">
      <c r="A3276" t="inlineStr">
        <is>
          <t>ENT-11458228</t>
        </is>
      </c>
      <c r="B3276" t="inlineStr">
        <is>
          <t>R260406-gosats</t>
        </is>
      </c>
      <c r="C3276" t="inlineStr">
        <is>
          <t>Entrackr</t>
        </is>
      </c>
      <c r="D3276" s="17" t="n">
        <v>46118</v>
      </c>
      <c r="E3276" t="inlineStr">
        <is>
          <t>GoSats</t>
        </is>
      </c>
      <c r="F3276" t="inlineStr">
        <is>
          <t>$5 million</t>
        </is>
      </c>
      <c r="G3276" s="19" t="n">
        <v>42</v>
      </c>
      <c r="H3276" s="19" t="n">
        <v>5</v>
      </c>
      <c r="I3276" t="inlineStr">
        <is>
          <t>Series A</t>
        </is>
      </c>
      <c r="J3276" t="inlineStr">
        <is>
          <t>Konvoy</t>
        </is>
      </c>
      <c r="K3276" t="inlineStr">
        <is>
          <t>https://entrackr.com/snippets/konvoy-leads-5-mn-series-a-round-in-fintech-startup-gosats-11458228</t>
        </is>
      </c>
    </row>
    <row r="3277">
      <c r="A3277" t="inlineStr">
        <is>
          <t>INC-20260411-07</t>
        </is>
      </c>
      <c r="B3277" t="inlineStr">
        <is>
          <t>R260406-gosats</t>
        </is>
      </c>
      <c r="C3277" t="inlineStr">
        <is>
          <t>Inc42</t>
        </is>
      </c>
      <c r="D3277" s="17" t="n">
        <v>46118</v>
      </c>
      <c r="E3277" t="inlineStr">
        <is>
          <t>GoSats</t>
        </is>
      </c>
      <c r="F3277" t="inlineStr">
        <is>
          <t>$5 Mn</t>
        </is>
      </c>
      <c r="G3277" s="19" t="n"/>
      <c r="H3277" s="19" t="n">
        <v>5</v>
      </c>
      <c r="I3277" t="inlineStr">
        <is>
          <t>Series A</t>
        </is>
      </c>
      <c r="J3277" t="inlineStr">
        <is>
          <t>Konvoy</t>
        </is>
      </c>
      <c r="K3277" t="inlineStr">
        <is>
          <t>https://inc42.com/buzz/from-kreditbee-to-nava-indian-startups-raised-362-mn-this-week/</t>
        </is>
      </c>
    </row>
    <row r="3278">
      <c r="A3278" t="inlineStr">
        <is>
          <t>ENT-11457711</t>
        </is>
      </c>
      <c r="B3278" t="inlineStr">
        <is>
          <t>R260406-satarkai</t>
        </is>
      </c>
      <c r="C3278" t="inlineStr">
        <is>
          <t>Entrackr</t>
        </is>
      </c>
      <c r="D3278" s="17" t="n">
        <v>46118</v>
      </c>
      <c r="E3278" t="inlineStr">
        <is>
          <t>Satark AI</t>
        </is>
      </c>
      <c r="F3278" t="inlineStr"/>
      <c r="G3278" s="19" t="n"/>
      <c r="H3278" s="19" t="n"/>
      <c r="I3278" t="inlineStr">
        <is>
          <t>Pre-Seed</t>
        </is>
      </c>
      <c r="J3278" t="inlineStr"/>
      <c r="K3278" t="inlineStr">
        <is>
          <t>https://entrackr.com/snippets/satark-ai-raises-pre-seed-round-at-4-mn-valuation-11457711</t>
        </is>
      </c>
    </row>
    <row r="3279">
      <c r="A3279" t="inlineStr">
        <is>
          <t>INC-20260411-23</t>
        </is>
      </c>
      <c r="B3279" t="inlineStr">
        <is>
          <t>R260406-satarkai</t>
        </is>
      </c>
      <c r="C3279" t="inlineStr">
        <is>
          <t>Inc42</t>
        </is>
      </c>
      <c r="D3279" s="17" t="n">
        <v>46118</v>
      </c>
      <c r="E3279" t="inlineStr">
        <is>
          <t>Satark AI</t>
        </is>
      </c>
      <c r="F3279" t="inlineStr"/>
      <c r="G3279" s="19" t="n"/>
      <c r="H3279" s="19" t="n"/>
      <c r="I3279" t="inlineStr">
        <is>
          <t>Pre-Seed</t>
        </is>
      </c>
      <c r="J3279" t="inlineStr"/>
      <c r="K3279" t="inlineStr">
        <is>
          <t>https://inc42.com/buzz/from-kreditbee-to-nava-indian-startups-raised-362-mn-this-week/</t>
        </is>
      </c>
    </row>
    <row r="3280">
      <c r="A3280" t="inlineStr">
        <is>
          <t>ENT-11457321</t>
        </is>
      </c>
      <c r="B3280" t="inlineStr">
        <is>
          <t>R260406-satleolabs</t>
        </is>
      </c>
      <c r="C3280" t="inlineStr">
        <is>
          <t>Entrackr</t>
        </is>
      </c>
      <c r="D3280" s="17" t="n">
        <v>46118</v>
      </c>
      <c r="E3280" t="inlineStr">
        <is>
          <t>SatLeo Labs</t>
        </is>
      </c>
      <c r="F3280" t="inlineStr">
        <is>
          <t>$2.2 million</t>
        </is>
      </c>
      <c r="G3280" s="19" t="n"/>
      <c r="H3280" s="19" t="n">
        <v>2.2</v>
      </c>
      <c r="I3280" t="inlineStr">
        <is>
          <t>Seed</t>
        </is>
      </c>
      <c r="J3280" t="inlineStr">
        <is>
          <t>Unicorn India Ventures</t>
        </is>
      </c>
      <c r="K3280" t="inlineStr">
        <is>
          <t>https://entrackr.com/snippets/spacetech-startup-satleo-labs-raises-22-mn-in-seed-round-11457321</t>
        </is>
      </c>
    </row>
    <row r="3281">
      <c r="A3281" t="inlineStr">
        <is>
          <t>ET-130060486</t>
        </is>
      </c>
      <c r="B3281" t="inlineStr">
        <is>
          <t>R260406-satleolabs</t>
        </is>
      </c>
      <c r="C3281" t="inlineStr">
        <is>
          <t>The Economic Times</t>
        </is>
      </c>
      <c r="D3281" s="17" t="n">
        <v>46118</v>
      </c>
      <c r="E3281" t="inlineStr">
        <is>
          <t>SatLeo Labs</t>
        </is>
      </c>
      <c r="F3281" t="inlineStr">
        <is>
          <t>$2.2 million</t>
        </is>
      </c>
      <c r="G3281" s="19" t="n">
        <v>18</v>
      </c>
      <c r="H3281" s="19" t="n">
        <v>2.2</v>
      </c>
      <c r="I3281" t="inlineStr">
        <is>
          <t>Seed</t>
        </is>
      </c>
      <c r="J3281" t="inlineStr">
        <is>
          <t>Unicorn India Ventures</t>
        </is>
      </c>
      <c r="K3281" t="inlineStr">
        <is>
          <t>https://economictimes.indiatimes.com/tech/startups/spacetech-startup-satleo-labs-raises-2-2-million-from-unicorn-ventures/articleshow/130060486.cms</t>
        </is>
      </c>
    </row>
    <row r="3282">
      <c r="A3282" t="inlineStr">
        <is>
          <t>INC-20260411-12</t>
        </is>
      </c>
      <c r="B3282" t="inlineStr">
        <is>
          <t>R260406-satleolabs</t>
        </is>
      </c>
      <c r="C3282" t="inlineStr">
        <is>
          <t>Inc42</t>
        </is>
      </c>
      <c r="D3282" s="17" t="n">
        <v>46118</v>
      </c>
      <c r="E3282" t="inlineStr">
        <is>
          <t>SatLeo</t>
        </is>
      </c>
      <c r="F3282" t="inlineStr">
        <is>
          <t>$2.2 Mn</t>
        </is>
      </c>
      <c r="G3282" s="19" t="n"/>
      <c r="H3282" s="19" t="n">
        <v>2.2</v>
      </c>
      <c r="I3282" t="inlineStr">
        <is>
          <t>Seed</t>
        </is>
      </c>
      <c r="J3282" t="inlineStr">
        <is>
          <t>Unicorn India Ventures</t>
        </is>
      </c>
      <c r="K3282" t="inlineStr">
        <is>
          <t>https://inc42.com/buzz/from-kreditbee-to-nava-indian-startups-raised-362-mn-this-week/</t>
        </is>
      </c>
    </row>
    <row r="3283">
      <c r="A3283" t="inlineStr">
        <is>
          <t>ET-130063558</t>
        </is>
      </c>
      <c r="B3283" t="inlineStr">
        <is>
          <t>R260406-wingify</t>
        </is>
      </c>
      <c r="C3283" t="inlineStr">
        <is>
          <t>The Economic Times</t>
        </is>
      </c>
      <c r="D3283" s="17" t="n">
        <v>46118</v>
      </c>
      <c r="E3283" t="inlineStr">
        <is>
          <t>Wingify</t>
        </is>
      </c>
      <c r="F3283" t="inlineStr">
        <is>
          <t>Rs 1,381-crore</t>
        </is>
      </c>
      <c r="G3283" s="19" t="n">
        <v>1381</v>
      </c>
      <c r="H3283" s="19" t="n">
        <v>150</v>
      </c>
      <c r="I3283" t="inlineStr">
        <is>
          <t>Undisclosed</t>
        </is>
      </c>
      <c r="J3283" t="inlineStr"/>
      <c r="K3283" t="inlineStr">
        <is>
          <t>https://economictimes.indiatimes.com/tech/startups/everstone-leads-150-million-infusion-in-saas-firm-wingify/articleshow/130063558.cms</t>
        </is>
      </c>
    </row>
    <row r="3284">
      <c r="A3284" t="inlineStr">
        <is>
          <t>ENT-11458964</t>
        </is>
      </c>
      <c r="B3284" t="inlineStr">
        <is>
          <t>R260406-zanskartech</t>
        </is>
      </c>
      <c r="C3284" t="inlineStr">
        <is>
          <t>Entrackr</t>
        </is>
      </c>
      <c r="D3284" s="17" t="n">
        <v>46118</v>
      </c>
      <c r="E3284" t="inlineStr">
        <is>
          <t>Zanskar Tech</t>
        </is>
      </c>
      <c r="F3284" t="inlineStr">
        <is>
          <t>Rs 25 crore</t>
        </is>
      </c>
      <c r="G3284" s="19" t="n">
        <v>25</v>
      </c>
      <c r="H3284" s="19" t="n">
        <v>2.7</v>
      </c>
      <c r="I3284" t="inlineStr">
        <is>
          <t>Undisclosed</t>
        </is>
      </c>
      <c r="J3284" t="inlineStr"/>
      <c r="K3284" t="inlineStr">
        <is>
          <t>https://entrackr.com/snippets/zanskar-tech-secures-rs-25-cr-from-blacksoil-capital-11458964</t>
        </is>
      </c>
    </row>
    <row r="3285">
      <c r="A3285" t="inlineStr">
        <is>
          <t>INC-20260411-18</t>
        </is>
      </c>
      <c r="B3285" t="inlineStr">
        <is>
          <t>R260407-cozyfarms</t>
        </is>
      </c>
      <c r="C3285" t="inlineStr">
        <is>
          <t>Inc42</t>
        </is>
      </c>
      <c r="D3285" s="17" t="n">
        <v>46119</v>
      </c>
      <c r="E3285" t="inlineStr">
        <is>
          <t>Cozy Farms</t>
        </is>
      </c>
      <c r="F3285" t="inlineStr">
        <is>
          <t>$388K</t>
        </is>
      </c>
      <c r="G3285" s="19" t="n"/>
      <c r="H3285" s="19" t="n">
        <v>0.388</v>
      </c>
      <c r="I3285" t="inlineStr">
        <is>
          <t>Undisclosed</t>
        </is>
      </c>
      <c r="J3285" t="inlineStr"/>
      <c r="K3285" t="inlineStr">
        <is>
          <t>https://inc42.com/buzz/from-kreditbee-to-nava-indian-startups-raised-362-mn-this-week/</t>
        </is>
      </c>
    </row>
    <row r="3286">
      <c r="A3286" t="inlineStr">
        <is>
          <t>ENT-11461229</t>
        </is>
      </c>
      <c r="B3286" t="inlineStr">
        <is>
          <t>R260407-ecoil</t>
        </is>
      </c>
      <c r="C3286" t="inlineStr">
        <is>
          <t>Entrackr</t>
        </is>
      </c>
      <c r="D3286" s="17" t="n">
        <v>46119</v>
      </c>
      <c r="E3286" t="inlineStr">
        <is>
          <t>ECOIL</t>
        </is>
      </c>
      <c r="F3286" t="inlineStr">
        <is>
          <t>$2.5 million</t>
        </is>
      </c>
      <c r="G3286" s="19" t="n"/>
      <c r="H3286" s="19" t="n">
        <v>2.5</v>
      </c>
      <c r="I3286" t="inlineStr">
        <is>
          <t>Series A</t>
        </is>
      </c>
      <c r="J3286" t="inlineStr">
        <is>
          <t>Fundalogical Ventures</t>
        </is>
      </c>
      <c r="K3286" t="inlineStr">
        <is>
          <t>https://entrackr.com/snippets/ecoil-raises-25-mn-in-series-a-led-by-fundalogical-ventures-11461229</t>
        </is>
      </c>
    </row>
    <row r="3287">
      <c r="A3287" t="inlineStr">
        <is>
          <t>ET-130079818</t>
        </is>
      </c>
      <c r="B3287" t="inlineStr">
        <is>
          <t>R260407-ecoil</t>
        </is>
      </c>
      <c r="C3287" t="inlineStr">
        <is>
          <t>The Economic Times</t>
        </is>
      </c>
      <c r="D3287" s="17" t="n">
        <v>46119</v>
      </c>
      <c r="E3287" t="inlineStr">
        <is>
          <t>Ecoil</t>
        </is>
      </c>
      <c r="F3287" t="inlineStr">
        <is>
          <t>$2.5 million</t>
        </is>
      </c>
      <c r="G3287" s="19" t="n"/>
      <c r="H3287" s="19" t="n">
        <v>2.5</v>
      </c>
      <c r="I3287" t="inlineStr">
        <is>
          <t>Undisclosed</t>
        </is>
      </c>
      <c r="J3287" t="inlineStr">
        <is>
          <t>Fundalogical Ventures</t>
        </is>
      </c>
      <c r="K3287" t="inlineStr">
        <is>
          <t>https://economictimes.indiatimes.com/tech/funding/clean-energy-startup-ecoil-raises-2-5-million-in-round-led-by-fundalogical-ventures/articleshow/130079818.cms</t>
        </is>
      </c>
    </row>
    <row r="3288">
      <c r="A3288" t="inlineStr">
        <is>
          <t>INC-20260411-09</t>
        </is>
      </c>
      <c r="B3288" t="inlineStr">
        <is>
          <t>R260407-ecoil</t>
        </is>
      </c>
      <c r="C3288" t="inlineStr">
        <is>
          <t>Inc42</t>
        </is>
      </c>
      <c r="D3288" s="17" t="n">
        <v>46119</v>
      </c>
      <c r="E3288" t="inlineStr">
        <is>
          <t>Ecoil</t>
        </is>
      </c>
      <c r="F3288" t="inlineStr">
        <is>
          <t>$2.5 Mn</t>
        </is>
      </c>
      <c r="G3288" s="19" t="n"/>
      <c r="H3288" s="19" t="n">
        <v>2.5</v>
      </c>
      <c r="I3288" t="inlineStr">
        <is>
          <t>Series A</t>
        </is>
      </c>
      <c r="J3288" t="inlineStr">
        <is>
          <t>Fundalogical Ventures</t>
        </is>
      </c>
      <c r="K3288" t="inlineStr">
        <is>
          <t>https://inc42.com/buzz/from-kreditbee-to-nava-indian-startups-raised-362-mn-this-week/</t>
        </is>
      </c>
    </row>
    <row r="3289">
      <c r="A3289" t="inlineStr">
        <is>
          <t>ENT-11586028</t>
        </is>
      </c>
      <c r="B3289" t="inlineStr">
        <is>
          <t>R260407-filliandme</t>
        </is>
      </c>
      <c r="C3289" t="inlineStr">
        <is>
          <t>Entrackr</t>
        </is>
      </c>
      <c r="D3289" s="17" t="n">
        <v>46119</v>
      </c>
      <c r="E3289" t="inlineStr">
        <is>
          <t>Filli &amp; Me</t>
        </is>
      </c>
      <c r="F3289" t="inlineStr">
        <is>
          <t>Rs 1.5 crore</t>
        </is>
      </c>
      <c r="G3289" s="19" t="n">
        <v>1.5</v>
      </c>
      <c r="H3289" s="19" t="n"/>
      <c r="I3289" t="inlineStr">
        <is>
          <t>Pre-Seed</t>
        </is>
      </c>
      <c r="J3289" t="inlineStr"/>
      <c r="K3289" t="inlineStr">
        <is>
          <t>https://entrackr.com/snippets/d2c-insider-super-angels-leads-pre-seed-round-in-kids-brand-filli-me-11586028</t>
        </is>
      </c>
    </row>
    <row r="3290">
      <c r="A3290" t="inlineStr">
        <is>
          <t>INC-20260411-20</t>
        </is>
      </c>
      <c r="B3290" t="inlineStr">
        <is>
          <t>R260407-filliandme</t>
        </is>
      </c>
      <c r="C3290" t="inlineStr">
        <is>
          <t>Inc42</t>
        </is>
      </c>
      <c r="D3290" s="17" t="n">
        <v>46119</v>
      </c>
      <c r="E3290" t="inlineStr">
        <is>
          <t>Filli &amp; Me</t>
        </is>
      </c>
      <c r="F3290" t="inlineStr">
        <is>
          <t>$161K</t>
        </is>
      </c>
      <c r="G3290" s="19" t="n"/>
      <c r="H3290" s="19" t="n">
        <v>0.161</v>
      </c>
      <c r="I3290" t="inlineStr">
        <is>
          <t>Pre-Seed</t>
        </is>
      </c>
      <c r="J3290" t="inlineStr"/>
      <c r="K3290" t="inlineStr">
        <is>
          <t>https://inc42.com/buzz/from-kreditbee-to-nava-indian-startups-raised-362-mn-this-week/</t>
        </is>
      </c>
    </row>
    <row r="3291">
      <c r="A3291" t="inlineStr">
        <is>
          <t>ENT-11461786</t>
        </is>
      </c>
      <c r="B3291" t="inlineStr">
        <is>
          <t>R260407-glaas</t>
        </is>
      </c>
      <c r="C3291" t="inlineStr">
        <is>
          <t>Entrackr</t>
        </is>
      </c>
      <c r="D3291" s="17" t="n">
        <v>46119</v>
      </c>
      <c r="E3291" t="inlineStr">
        <is>
          <t>GLAAS</t>
        </is>
      </c>
      <c r="F3291" t="inlineStr">
        <is>
          <t>$5 million</t>
        </is>
      </c>
      <c r="G3291" s="19" t="n"/>
      <c r="H3291" s="19" t="n">
        <v>5</v>
      </c>
      <c r="I3291" t="inlineStr">
        <is>
          <t>Undisclosed</t>
        </is>
      </c>
      <c r="J3291" t="inlineStr"/>
      <c r="K3291" t="inlineStr">
        <is>
          <t>https://entrackr.com/snippets/devesh-sachdev-joins-glaas-as-co-founder-md-invests-5-mn-11461786</t>
        </is>
      </c>
    </row>
    <row r="3292">
      <c r="A3292" t="inlineStr">
        <is>
          <t>ENT-11481816</t>
        </is>
      </c>
      <c r="B3292" t="inlineStr">
        <is>
          <t>R260407-h2loop</t>
        </is>
      </c>
      <c r="C3292" t="inlineStr">
        <is>
          <t>Entrackr</t>
        </is>
      </c>
      <c r="D3292" s="17" t="n">
        <v>46119</v>
      </c>
      <c r="E3292" t="inlineStr">
        <is>
          <t>H2LooP</t>
        </is>
      </c>
      <c r="F3292" t="inlineStr">
        <is>
          <t>$2 million</t>
        </is>
      </c>
      <c r="G3292" s="19" t="n">
        <v>18.59</v>
      </c>
      <c r="H3292" s="19" t="n">
        <v>2</v>
      </c>
      <c r="I3292" t="inlineStr">
        <is>
          <t>Seed</t>
        </is>
      </c>
      <c r="J3292" t="inlineStr">
        <is>
          <t>Speciale Invest; 3one4 Capital</t>
        </is>
      </c>
      <c r="K3292" t="inlineStr">
        <is>
          <t>https://entrackr.com/snippets/h2loop-raises-2-mn-in-seed-round-from-speciale-invest-and-3one4-capital-11481816</t>
        </is>
      </c>
    </row>
    <row r="3293">
      <c r="A3293" t="inlineStr">
        <is>
          <t>INC-20260411-14</t>
        </is>
      </c>
      <c r="B3293" t="inlineStr">
        <is>
          <t>R260407-h2loop</t>
        </is>
      </c>
      <c r="C3293" t="inlineStr">
        <is>
          <t>Inc42</t>
        </is>
      </c>
      <c r="D3293" s="17" t="n">
        <v>46119</v>
      </c>
      <c r="E3293" t="inlineStr">
        <is>
          <t>H2LooP</t>
        </is>
      </c>
      <c r="F3293" t="inlineStr">
        <is>
          <t>$2 Mn</t>
        </is>
      </c>
      <c r="G3293" s="19" t="n"/>
      <c r="H3293" s="19" t="n">
        <v>2</v>
      </c>
      <c r="I3293" t="inlineStr">
        <is>
          <t>Seed</t>
        </is>
      </c>
      <c r="J3293" t="inlineStr">
        <is>
          <t>Speciale Invest; 3one4 Capital</t>
        </is>
      </c>
      <c r="K3293" t="inlineStr">
        <is>
          <t>https://inc42.com/buzz/from-kreditbee-to-nava-indian-startups-raised-362-mn-this-week/</t>
        </is>
      </c>
    </row>
    <row r="3294">
      <c r="A3294" t="inlineStr">
        <is>
          <t>ET-130091316</t>
        </is>
      </c>
      <c r="B3294" t="inlineStr">
        <is>
          <t>R260407-helium</t>
        </is>
      </c>
      <c r="C3294" t="inlineStr">
        <is>
          <t>The Economic Times</t>
        </is>
      </c>
      <c r="D3294" s="17" t="n">
        <v>46119</v>
      </c>
      <c r="E3294" t="inlineStr">
        <is>
          <t>Helium</t>
        </is>
      </c>
      <c r="F3294" t="inlineStr">
        <is>
          <t>$2 million</t>
        </is>
      </c>
      <c r="G3294" s="19" t="n"/>
      <c r="H3294" s="19" t="n">
        <v>2</v>
      </c>
      <c r="I3294" t="inlineStr">
        <is>
          <t>Undisclosed</t>
        </is>
      </c>
      <c r="J3294" t="inlineStr"/>
      <c r="K3294" t="inlineStr">
        <is>
          <t>https://economictimes.indiatimes.com/tech/funding/d2c-air-conditioner-startup-helium-raises-2-million-from-india-quotient/articleshow/130091316.cms</t>
        </is>
      </c>
    </row>
    <row r="3295">
      <c r="A3295" t="inlineStr">
        <is>
          <t>INC-20260411-13</t>
        </is>
      </c>
      <c r="B3295" t="inlineStr">
        <is>
          <t>R260407-helium</t>
        </is>
      </c>
      <c r="C3295" t="inlineStr">
        <is>
          <t>Inc42</t>
        </is>
      </c>
      <c r="D3295" s="17" t="n">
        <v>46119</v>
      </c>
      <c r="E3295" t="inlineStr">
        <is>
          <t>Helium Air</t>
        </is>
      </c>
      <c r="F3295" t="inlineStr">
        <is>
          <t>$2 Mn</t>
        </is>
      </c>
      <c r="G3295" s="19" t="n"/>
      <c r="H3295" s="19" t="n">
        <v>2</v>
      </c>
      <c r="I3295" t="inlineStr">
        <is>
          <t>Seed</t>
        </is>
      </c>
      <c r="J3295" t="inlineStr">
        <is>
          <t>India Quotient</t>
        </is>
      </c>
      <c r="K3295" t="inlineStr">
        <is>
          <t>https://inc42.com/buzz/from-kreditbee-to-nava-indian-startups-raised-362-mn-this-week/</t>
        </is>
      </c>
    </row>
    <row r="3296">
      <c r="A3296" t="inlineStr">
        <is>
          <t>ENT-11726966</t>
        </is>
      </c>
      <c r="B3296" t="inlineStr">
        <is>
          <t>R260407-helium</t>
        </is>
      </c>
      <c r="C3296" t="inlineStr">
        <is>
          <t>Entrackr</t>
        </is>
      </c>
      <c r="D3296" s="17" t="n">
        <v>46127</v>
      </c>
      <c r="E3296" t="inlineStr">
        <is>
          <t>Helium</t>
        </is>
      </c>
      <c r="F3296" t="inlineStr">
        <is>
          <t>Rs 5 crore</t>
        </is>
      </c>
      <c r="G3296" s="19" t="n">
        <v>5</v>
      </c>
      <c r="H3296" s="19" t="n"/>
      <c r="I3296" t="inlineStr">
        <is>
          <t>Angel</t>
        </is>
      </c>
      <c r="J3296" t="inlineStr"/>
      <c r="K3296" t="inlineStr">
        <is>
          <t>https://entrackr.com/snippets/proptech-startup-helium-raises-angel-funding-from-albinder-dhindsa-kunal-shah-others-11726966</t>
        </is>
      </c>
    </row>
    <row r="3297">
      <c r="A3297" t="inlineStr">
        <is>
          <t>INC-20260418-13</t>
        </is>
      </c>
      <c r="B3297" t="inlineStr">
        <is>
          <t>R260407-helium</t>
        </is>
      </c>
      <c r="C3297" t="inlineStr">
        <is>
          <t>Inc42</t>
        </is>
      </c>
      <c r="D3297" s="17" t="n">
        <v>46127</v>
      </c>
      <c r="E3297" t="inlineStr">
        <is>
          <t>Helium</t>
        </is>
      </c>
      <c r="F3297" t="inlineStr">
        <is>
          <t>$539K</t>
        </is>
      </c>
      <c r="G3297" s="19" t="n"/>
      <c r="H3297" s="19" t="n">
        <v>0.539</v>
      </c>
      <c r="I3297" t="inlineStr">
        <is>
          <t>Undisclosed</t>
        </is>
      </c>
      <c r="J3297" t="inlineStr"/>
      <c r="K3297" t="inlineStr">
        <is>
          <t>https://inc42.com/buzz/from-hosteller-to-gobblecube-indian-startups-raised-60-mn-this-week/</t>
        </is>
      </c>
    </row>
    <row r="3298">
      <c r="A3298" t="inlineStr">
        <is>
          <t>ENT-11461666</t>
        </is>
      </c>
      <c r="B3298" t="inlineStr">
        <is>
          <t>R260407-kisaansay</t>
        </is>
      </c>
      <c r="C3298" t="inlineStr">
        <is>
          <t>Entrackr</t>
        </is>
      </c>
      <c r="D3298" s="17" t="n">
        <v>46119</v>
      </c>
      <c r="E3298" t="inlineStr">
        <is>
          <t>KisaanSay</t>
        </is>
      </c>
      <c r="F3298" t="inlineStr">
        <is>
          <t>Rs 34 crore</t>
        </is>
      </c>
      <c r="G3298" s="19" t="n">
        <v>34</v>
      </c>
      <c r="H3298" s="19" t="n">
        <v>3.6</v>
      </c>
      <c r="I3298" t="inlineStr">
        <is>
          <t>Series A</t>
        </is>
      </c>
      <c r="J3298" t="inlineStr">
        <is>
          <t>NABVENTURES through the AgriSURE Fund</t>
        </is>
      </c>
      <c r="K3298" t="inlineStr">
        <is>
          <t>https://entrackr.com/snippets/nabventures-leads-rs-34-cr-series-a-round-in-kisaansay-11461666</t>
        </is>
      </c>
    </row>
    <row r="3299">
      <c r="A3299" t="inlineStr">
        <is>
          <t>INC-20260411-08</t>
        </is>
      </c>
      <c r="B3299" t="inlineStr">
        <is>
          <t>R260407-kisaansay</t>
        </is>
      </c>
      <c r="C3299" t="inlineStr">
        <is>
          <t>Inc42</t>
        </is>
      </c>
      <c r="D3299" s="17" t="n">
        <v>46119</v>
      </c>
      <c r="E3299" t="inlineStr">
        <is>
          <t>KisaanSay</t>
        </is>
      </c>
      <c r="F3299" t="inlineStr">
        <is>
          <t>$3.7 Mn</t>
        </is>
      </c>
      <c r="G3299" s="19" t="n"/>
      <c r="H3299" s="19" t="n">
        <v>3.7</v>
      </c>
      <c r="I3299" t="inlineStr">
        <is>
          <t>Series A</t>
        </is>
      </c>
      <c r="J3299" t="inlineStr">
        <is>
          <t>NABVENTURES</t>
        </is>
      </c>
      <c r="K3299" t="inlineStr">
        <is>
          <t>https://inc42.com/buzz/from-kreditbee-to-nava-indian-startups-raised-362-mn-this-week/</t>
        </is>
      </c>
    </row>
    <row r="3300">
      <c r="A3300" t="inlineStr">
        <is>
          <t>ENT-11461787</t>
        </is>
      </c>
      <c r="B3300" t="inlineStr">
        <is>
          <t>R260407-offbeat</t>
        </is>
      </c>
      <c r="C3300" t="inlineStr">
        <is>
          <t>Entrackr</t>
        </is>
      </c>
      <c r="D3300" s="17" t="n">
        <v>46119</v>
      </c>
      <c r="E3300" t="inlineStr">
        <is>
          <t>Off Beat</t>
        </is>
      </c>
      <c r="F3300" t="inlineStr">
        <is>
          <t>Rs 100 crore</t>
        </is>
      </c>
      <c r="G3300" s="19" t="n">
        <v>100</v>
      </c>
      <c r="H3300" s="19" t="n"/>
      <c r="I3300" t="inlineStr">
        <is>
          <t>Seed</t>
        </is>
      </c>
      <c r="J3300" t="inlineStr">
        <is>
          <t>Bessemer Venture Partners</t>
        </is>
      </c>
      <c r="K3300" t="inlineStr">
        <is>
          <t>https://entrackr.com/news/aman-guptas-off-beat-raises-rs-100-cr-led-by-bessemer-11461787</t>
        </is>
      </c>
    </row>
    <row r="3301">
      <c r="A3301" t="inlineStr">
        <is>
          <t>INC-20260411-03</t>
        </is>
      </c>
      <c r="B3301" t="inlineStr">
        <is>
          <t>R260407-offbeat</t>
        </is>
      </c>
      <c r="C3301" t="inlineStr">
        <is>
          <t>Inc42</t>
        </is>
      </c>
      <c r="D3301" s="17" t="n">
        <v>46119</v>
      </c>
      <c r="E3301" t="inlineStr">
        <is>
          <t>OFF/BEAT</t>
        </is>
      </c>
      <c r="F3301" t="inlineStr">
        <is>
          <t>$10.7 Mn</t>
        </is>
      </c>
      <c r="G3301" s="19" t="n"/>
      <c r="H3301" s="19" t="n">
        <v>10.7</v>
      </c>
      <c r="I3301" t="inlineStr">
        <is>
          <t>Seed</t>
        </is>
      </c>
      <c r="J3301" t="inlineStr">
        <is>
          <t>Bessemer Venture Partners</t>
        </is>
      </c>
      <c r="K3301" t="inlineStr">
        <is>
          <t>https://inc42.com/buzz/from-kreditbee-to-nava-indian-startups-raised-362-mn-this-week/</t>
        </is>
      </c>
    </row>
    <row r="3302">
      <c r="A3302" t="inlineStr">
        <is>
          <t>ENT-11631783</t>
        </is>
      </c>
      <c r="B3302" t="inlineStr">
        <is>
          <t>R260407-workongrid</t>
        </is>
      </c>
      <c r="C3302" t="inlineStr">
        <is>
          <t>Entrackr</t>
        </is>
      </c>
      <c r="D3302" s="17" t="n">
        <v>46119</v>
      </c>
      <c r="E3302" t="inlineStr">
        <is>
          <t>WorkOnGrid</t>
        </is>
      </c>
      <c r="F3302" t="inlineStr">
        <is>
          <t>Rs 22.5 crore</t>
        </is>
      </c>
      <c r="G3302" s="19" t="n">
        <v>22.5</v>
      </c>
      <c r="H3302" s="19" t="n"/>
      <c r="I3302" t="inlineStr">
        <is>
          <t>Undisclosed</t>
        </is>
      </c>
      <c r="J3302" t="inlineStr">
        <is>
          <t>Transition Venture Capital</t>
        </is>
      </c>
      <c r="K3302" t="inlineStr">
        <is>
          <t>https://entrackr.com/snippets/workongrid-raises-rs-225-cr-led-by-transition-venture-capital-11631783</t>
        </is>
      </c>
    </row>
    <row r="3303">
      <c r="A3303" t="inlineStr">
        <is>
          <t>ET-130087854</t>
        </is>
      </c>
      <c r="B3303" t="inlineStr">
        <is>
          <t>R260407-workongrid</t>
        </is>
      </c>
      <c r="C3303" t="inlineStr">
        <is>
          <t>The Economic Times</t>
        </is>
      </c>
      <c r="D3303" s="17" t="n">
        <v>46119</v>
      </c>
      <c r="E3303" t="inlineStr">
        <is>
          <t>WorkOnGrid</t>
        </is>
      </c>
      <c r="F3303" t="inlineStr">
        <is>
          <t>Rs 22.5 Crore</t>
        </is>
      </c>
      <c r="G3303" s="19" t="n">
        <v>22.5</v>
      </c>
      <c r="H3303" s="19" t="n"/>
      <c r="I3303" t="inlineStr">
        <is>
          <t>Undisclosed</t>
        </is>
      </c>
      <c r="J3303" t="inlineStr">
        <is>
          <t>Transition Venture Capital</t>
        </is>
      </c>
      <c r="K3303" t="inlineStr">
        <is>
          <t>https://economictimes.indiatimes.com/tech/funding/ai-infra-startup-workongrid-raises-rs-22-5-crore-led-by-transition-venture-capital/articleshow/130087854.cms</t>
        </is>
      </c>
    </row>
    <row r="3304">
      <c r="A3304" t="inlineStr">
        <is>
          <t>INC-20260411-11</t>
        </is>
      </c>
      <c r="B3304" t="inlineStr">
        <is>
          <t>R260407-workongrid</t>
        </is>
      </c>
      <c r="C3304" t="inlineStr">
        <is>
          <t>Inc42</t>
        </is>
      </c>
      <c r="D3304" s="17" t="n">
        <v>46119</v>
      </c>
      <c r="E3304" t="inlineStr">
        <is>
          <t>WorkOnGrid</t>
        </is>
      </c>
      <c r="F3304" t="inlineStr">
        <is>
          <t>$2.4 Mn</t>
        </is>
      </c>
      <c r="G3304" s="19" t="n"/>
      <c r="H3304" s="19" t="n">
        <v>2.4</v>
      </c>
      <c r="I3304" t="inlineStr">
        <is>
          <t>Undisclosed</t>
        </is>
      </c>
      <c r="J3304" t="inlineStr">
        <is>
          <t>Transition VC</t>
        </is>
      </c>
      <c r="K3304" t="inlineStr">
        <is>
          <t>https://inc42.com/buzz/from-kreditbee-to-nava-indian-startups-raised-362-mn-this-week/</t>
        </is>
      </c>
    </row>
    <row r="3305">
      <c r="A3305" t="inlineStr">
        <is>
          <t>ET-130086979</t>
        </is>
      </c>
      <c r="B3305" t="inlineStr">
        <is>
          <t>R260407-xccelera</t>
        </is>
      </c>
      <c r="C3305" t="inlineStr">
        <is>
          <t>The Economic Times</t>
        </is>
      </c>
      <c r="D3305" s="17" t="n">
        <v>46119</v>
      </c>
      <c r="E3305" t="inlineStr">
        <is>
          <t>Xccelera</t>
        </is>
      </c>
      <c r="F3305" t="inlineStr">
        <is>
          <t>Rs 1.2 crore</t>
        </is>
      </c>
      <c r="G3305" s="19" t="n">
        <v>1.2</v>
      </c>
      <c r="H3305" s="19" t="n"/>
      <c r="I3305" t="inlineStr">
        <is>
          <t>Undisclosed</t>
        </is>
      </c>
      <c r="J3305" t="inlineStr"/>
      <c r="K3305" t="inlineStr">
        <is>
          <t>https://economictimes.indiatimes.com/tech/funding/enterprise-ai-startup-xccelera-raises-rs-1-2-crore/articleshow/130086979.cms</t>
        </is>
      </c>
    </row>
    <row r="3306">
      <c r="A3306" t="inlineStr">
        <is>
          <t>INC-20260411-22</t>
        </is>
      </c>
      <c r="B3306" t="inlineStr">
        <is>
          <t>R260407-xccelera</t>
        </is>
      </c>
      <c r="C3306" t="inlineStr">
        <is>
          <t>Inc42</t>
        </is>
      </c>
      <c r="D3306" s="17" t="n">
        <v>46119</v>
      </c>
      <c r="E3306" t="inlineStr">
        <is>
          <t>Xccelera</t>
        </is>
      </c>
      <c r="F3306" t="inlineStr">
        <is>
          <t>$129K</t>
        </is>
      </c>
      <c r="G3306" s="19" t="n"/>
      <c r="H3306" s="19" t="n">
        <v>0.129</v>
      </c>
      <c r="I3306" t="inlineStr">
        <is>
          <t>Undisclosed</t>
        </is>
      </c>
      <c r="J3306" t="inlineStr"/>
      <c r="K3306" t="inlineStr">
        <is>
          <t>https://inc42.com/buzz/from-kreditbee-to-nava-indian-startups-raised-362-mn-this-week/</t>
        </is>
      </c>
    </row>
    <row r="3307">
      <c r="A3307" t="inlineStr">
        <is>
          <t>ENT-11700670</t>
        </is>
      </c>
      <c r="B3307" t="inlineStr">
        <is>
          <t>R260408-angoorai</t>
        </is>
      </c>
      <c r="C3307" t="inlineStr">
        <is>
          <t>Entrackr</t>
        </is>
      </c>
      <c r="D3307" s="17" t="n">
        <v>46120</v>
      </c>
      <c r="E3307" t="inlineStr">
        <is>
          <t>Angoor AI</t>
        </is>
      </c>
      <c r="F3307" t="inlineStr">
        <is>
          <t>Rs 2 crore</t>
        </is>
      </c>
      <c r="G3307" s="19" t="n">
        <v>2</v>
      </c>
      <c r="H3307" s="19" t="n"/>
      <c r="I3307" t="inlineStr">
        <is>
          <t>Pre-Seed</t>
        </is>
      </c>
      <c r="J3307" t="inlineStr">
        <is>
          <t>Venturizer</t>
        </is>
      </c>
      <c r="K3307" t="inlineStr">
        <is>
          <t>https://entrackr.com/snippets/customer-interaction-platform-angoor-ai-raises-pre-seed-round-led-by-venturizer-11700670</t>
        </is>
      </c>
    </row>
    <row r="3308">
      <c r="A3308" t="inlineStr">
        <is>
          <t>INC-20260411-19</t>
        </is>
      </c>
      <c r="B3308" t="inlineStr">
        <is>
          <t>R260408-angoorai</t>
        </is>
      </c>
      <c r="C3308" t="inlineStr">
        <is>
          <t>Inc42</t>
        </is>
      </c>
      <c r="D3308" s="17" t="n">
        <v>46121</v>
      </c>
      <c r="E3308" t="inlineStr">
        <is>
          <t>Angoor AI</t>
        </is>
      </c>
      <c r="F3308" t="inlineStr">
        <is>
          <t>$215K</t>
        </is>
      </c>
      <c r="G3308" s="19" t="n"/>
      <c r="H3308" s="19" t="n">
        <v>0.215</v>
      </c>
      <c r="I3308" t="inlineStr">
        <is>
          <t>Pre-Seed</t>
        </is>
      </c>
      <c r="J3308" t="inlineStr">
        <is>
          <t>Venturizer</t>
        </is>
      </c>
      <c r="K3308" t="inlineStr">
        <is>
          <t>https://inc42.com/buzz/from-kreditbee-to-nava-indian-startups-raised-362-mn-this-week/</t>
        </is>
      </c>
    </row>
    <row r="3309">
      <c r="A3309" t="inlineStr">
        <is>
          <t>ENT-11700765</t>
        </is>
      </c>
      <c r="B3309" t="inlineStr">
        <is>
          <t>R260408-atlas</t>
        </is>
      </c>
      <c r="C3309" t="inlineStr">
        <is>
          <t>Entrackr</t>
        </is>
      </c>
      <c r="D3309" s="17" t="n">
        <v>46120</v>
      </c>
      <c r="E3309" t="inlineStr">
        <is>
          <t>Atlas</t>
        </is>
      </c>
      <c r="F3309" t="inlineStr">
        <is>
          <t>$6 million</t>
        </is>
      </c>
      <c r="G3309" s="19" t="n"/>
      <c r="H3309" s="19" t="n">
        <v>6</v>
      </c>
      <c r="I3309" t="inlineStr">
        <is>
          <t>Seed</t>
        </is>
      </c>
      <c r="J3309" t="inlineStr">
        <is>
          <t>Accel; Stellaris Venture Partners</t>
        </is>
      </c>
      <c r="K3309" t="inlineStr">
        <is>
          <t>https://entrackr.com/snippets/atlas-raises-6-mn-in-seed-round-co-led-by-accel-and-stellaris-11700765</t>
        </is>
      </c>
    </row>
    <row r="3310">
      <c r="A3310" t="inlineStr">
        <is>
          <t>ET-130092598</t>
        </is>
      </c>
      <c r="B3310" t="inlineStr">
        <is>
          <t>R260408-atlas</t>
        </is>
      </c>
      <c r="C3310" t="inlineStr">
        <is>
          <t>The Economic Times</t>
        </is>
      </c>
      <c r="D3310" s="17" t="n">
        <v>46120</v>
      </c>
      <c r="E3310" t="inlineStr">
        <is>
          <t>Atlas</t>
        </is>
      </c>
      <c r="F3310" t="inlineStr">
        <is>
          <t>$6 million</t>
        </is>
      </c>
      <c r="G3310" s="19" t="n"/>
      <c r="H3310" s="19" t="n">
        <v>6</v>
      </c>
      <c r="I3310" t="inlineStr">
        <is>
          <t>Undisclosed</t>
        </is>
      </c>
      <c r="J3310" t="inlineStr">
        <is>
          <t>Accel; Stellaris Venture Partners</t>
        </is>
      </c>
      <c r="K3310" t="inlineStr">
        <is>
          <t>https://economictimes.indiatimes.com/tech/funding/accounting-tech-startup-atlas-raises-6-million-in-round-co-led-by-accel-stellaris/articleshow/130092598.cms</t>
        </is>
      </c>
    </row>
    <row r="3311">
      <c r="A3311" t="inlineStr">
        <is>
          <t>INC-20260411-06</t>
        </is>
      </c>
      <c r="B3311" t="inlineStr">
        <is>
          <t>R260408-atlas</t>
        </is>
      </c>
      <c r="C3311" t="inlineStr">
        <is>
          <t>Inc42</t>
        </is>
      </c>
      <c r="D3311" s="17" t="n">
        <v>46120</v>
      </c>
      <c r="E3311" t="inlineStr">
        <is>
          <t>Atlas</t>
        </is>
      </c>
      <c r="F3311" t="inlineStr">
        <is>
          <t>$6 Mn</t>
        </is>
      </c>
      <c r="G3311" s="19" t="n"/>
      <c r="H3311" s="19" t="n">
        <v>6</v>
      </c>
      <c r="I3311" t="inlineStr">
        <is>
          <t>Seed</t>
        </is>
      </c>
      <c r="J3311" t="inlineStr">
        <is>
          <t>Accel; Stellaris Venture Partners</t>
        </is>
      </c>
      <c r="K3311" t="inlineStr">
        <is>
          <t>https://inc42.com/buzz/from-kreditbee-to-nava-indian-startups-raised-362-mn-this-week/</t>
        </is>
      </c>
    </row>
    <row r="3312">
      <c r="A3312" t="inlineStr">
        <is>
          <t>ENT-11701187</t>
        </is>
      </c>
      <c r="B3312" t="inlineStr">
        <is>
          <t>R260408-clayco</t>
        </is>
      </c>
      <c r="C3312" t="inlineStr">
        <is>
          <t>Entrackr</t>
        </is>
      </c>
      <c r="D3312" s="17" t="n">
        <v>46120</v>
      </c>
      <c r="E3312" t="inlineStr">
        <is>
          <t>ClayCo</t>
        </is>
      </c>
      <c r="F3312" t="inlineStr">
        <is>
          <t>Rs 34.59 crore</t>
        </is>
      </c>
      <c r="G3312" s="19" t="n">
        <v>34.59</v>
      </c>
      <c r="H3312" s="19" t="n">
        <v>3.7</v>
      </c>
      <c r="I3312" t="inlineStr">
        <is>
          <t>Series A</t>
        </is>
      </c>
      <c r="J3312" t="inlineStr">
        <is>
          <t>Twenty-Nine Capital Partners Ventures</t>
        </is>
      </c>
      <c r="K3312" t="inlineStr">
        <is>
          <t>https://entrackr.com/snippets/skincare-brand-clayco-raises-rs-3459-cr-in-series-a-led-by-twenty-nine-capital-11701187</t>
        </is>
      </c>
    </row>
    <row r="3313">
      <c r="A3313" t="inlineStr">
        <is>
          <t>ET-130113372</t>
        </is>
      </c>
      <c r="B3313" t="inlineStr">
        <is>
          <t>R260408-clayco</t>
        </is>
      </c>
      <c r="C3313" t="inlineStr">
        <is>
          <t>The Economic Times</t>
        </is>
      </c>
      <c r="D3313" s="17" t="n">
        <v>46120</v>
      </c>
      <c r="E3313" t="inlineStr">
        <is>
          <t>ClayCo</t>
        </is>
      </c>
      <c r="F3313" t="inlineStr">
        <is>
          <t>Rs 34.59 crore</t>
        </is>
      </c>
      <c r="G3313" s="19" t="n">
        <v>34.59</v>
      </c>
      <c r="H3313" s="19" t="n"/>
      <c r="I3313" t="inlineStr">
        <is>
          <t>Series A</t>
        </is>
      </c>
      <c r="J3313" t="inlineStr"/>
      <c r="K3313" t="inlineStr">
        <is>
          <t>https://economictimes.indiatimes.com/tech/funding/clayco-raises-nearly-rs-35-crore-in-funding-round/articleshow/130113372.cms</t>
        </is>
      </c>
    </row>
    <row r="3314">
      <c r="A3314" t="inlineStr">
        <is>
          <t>INC-20260411-16</t>
        </is>
      </c>
      <c r="B3314" t="inlineStr">
        <is>
          <t>R260408-clayco</t>
        </is>
      </c>
      <c r="C3314" t="inlineStr">
        <is>
          <t>Inc42</t>
        </is>
      </c>
      <c r="D3314" s="17" t="n">
        <v>46120</v>
      </c>
      <c r="E3314" t="inlineStr">
        <is>
          <t>ClayCo</t>
        </is>
      </c>
      <c r="F3314" t="inlineStr">
        <is>
          <t>$400K</t>
        </is>
      </c>
      <c r="G3314" s="19" t="n"/>
      <c r="H3314" s="19" t="n">
        <v>0.4</v>
      </c>
      <c r="I3314" t="inlineStr">
        <is>
          <t>Undisclosed</t>
        </is>
      </c>
      <c r="J3314" t="inlineStr">
        <is>
          <t>Twenty Nine Capital Partners Ventures</t>
        </is>
      </c>
      <c r="K3314" t="inlineStr">
        <is>
          <t>https://inc42.com/buzz/from-kreditbee-to-nava-indian-startups-raised-362-mn-this-week/</t>
        </is>
      </c>
    </row>
    <row r="3315">
      <c r="A3315" t="inlineStr">
        <is>
          <t>ENT-11700184</t>
        </is>
      </c>
      <c r="B3315" t="inlineStr">
        <is>
          <t>R260408-kreditbee</t>
        </is>
      </c>
      <c r="C3315" t="inlineStr">
        <is>
          <t>Entrackr</t>
        </is>
      </c>
      <c r="D3315" s="17" t="n">
        <v>46120</v>
      </c>
      <c r="E3315" t="inlineStr">
        <is>
          <t>KreditBee</t>
        </is>
      </c>
      <c r="F3315" t="inlineStr">
        <is>
          <t>$280 million</t>
        </is>
      </c>
      <c r="G3315" s="19" t="n"/>
      <c r="H3315" s="19" t="n">
        <v>280</v>
      </c>
      <c r="I3315" t="inlineStr">
        <is>
          <t>Series E</t>
        </is>
      </c>
      <c r="J3315" t="inlineStr">
        <is>
          <t>Motilal Oswal Alternates; Hornbill Capital</t>
        </is>
      </c>
      <c r="K3315" t="inlineStr">
        <is>
          <t>https://entrackr.com/news/kreditbee-enters-unicorn-club-with-280-mn-series-e-round-11700184</t>
        </is>
      </c>
    </row>
    <row r="3316">
      <c r="A3316" t="inlineStr">
        <is>
          <t>ET-130091264</t>
        </is>
      </c>
      <c r="B3316" t="inlineStr">
        <is>
          <t>R260408-kreditbee</t>
        </is>
      </c>
      <c r="C3316" t="inlineStr">
        <is>
          <t>The Economic Times</t>
        </is>
      </c>
      <c r="D3316" s="17" t="n">
        <v>46120</v>
      </c>
      <c r="E3316" t="inlineStr">
        <is>
          <t>Kreditbee</t>
        </is>
      </c>
      <c r="F3316" t="inlineStr">
        <is>
          <t>$280 million</t>
        </is>
      </c>
      <c r="G3316" s="19" t="n"/>
      <c r="H3316" s="19" t="n">
        <v>280</v>
      </c>
      <c r="I3316" t="inlineStr">
        <is>
          <t>Undisclosed</t>
        </is>
      </c>
      <c r="J3316" t="inlineStr"/>
      <c r="K3316" t="inlineStr">
        <is>
          <t>https://economictimes.indiatimes.com/tech/funding/kreditbee-secures-280-million-funding-joins-unicorn-club-with-1-5-billion-valuation/articleshow/130091264.cms</t>
        </is>
      </c>
    </row>
    <row r="3317">
      <c r="A3317" t="inlineStr">
        <is>
          <t>INC-20260411-01</t>
        </is>
      </c>
      <c r="B3317" t="inlineStr">
        <is>
          <t>R260408-kreditbee</t>
        </is>
      </c>
      <c r="C3317" t="inlineStr">
        <is>
          <t>Inc42</t>
        </is>
      </c>
      <c r="D3317" s="17" t="n">
        <v>46120</v>
      </c>
      <c r="E3317" t="inlineStr">
        <is>
          <t>KreditBee</t>
        </is>
      </c>
      <c r="F3317" t="inlineStr">
        <is>
          <t>$280 Mn</t>
        </is>
      </c>
      <c r="G3317" s="19" t="n"/>
      <c r="H3317" s="19" t="n">
        <v>280</v>
      </c>
      <c r="I3317" t="inlineStr">
        <is>
          <t>Series E</t>
        </is>
      </c>
      <c r="J3317" t="inlineStr">
        <is>
          <t>Motilal Oswal Alternates; Hornbill Capital</t>
        </is>
      </c>
      <c r="K3317" t="inlineStr">
        <is>
          <t>https://inc42.com/buzz/from-kreditbee-to-nava-indian-startups-raised-362-mn-this-week/</t>
        </is>
      </c>
    </row>
    <row r="3318">
      <c r="A3318" t="inlineStr">
        <is>
          <t>ET-130118770</t>
        </is>
      </c>
      <c r="B3318" t="inlineStr">
        <is>
          <t>R260408-pluckk</t>
        </is>
      </c>
      <c r="C3318" t="inlineStr">
        <is>
          <t>The Economic Times</t>
        </is>
      </c>
      <c r="D3318" s="17" t="n">
        <v>46120</v>
      </c>
      <c r="E3318" t="inlineStr">
        <is>
          <t>Pluckk</t>
        </is>
      </c>
      <c r="F3318" t="inlineStr">
        <is>
          <t>Rs 100 crore</t>
        </is>
      </c>
      <c r="G3318" s="19" t="n">
        <v>100</v>
      </c>
      <c r="H3318" s="19" t="n">
        <v>10.8</v>
      </c>
      <c r="I3318" t="inlineStr">
        <is>
          <t>Undisclosed</t>
        </is>
      </c>
      <c r="J3318" t="inlineStr"/>
      <c r="K3318" t="inlineStr">
        <is>
          <t>https://economictimes.indiatimes.com/tech/funding/d2c-farm-produce-platform-pluckk-raises-rs-100-crore-from-euro-gulf-investment/articleshow/130118770.cms</t>
        </is>
      </c>
    </row>
    <row r="3319">
      <c r="A3319" t="inlineStr">
        <is>
          <t>ENT-11703844</t>
        </is>
      </c>
      <c r="B3319" t="inlineStr">
        <is>
          <t>R260408-pluckk</t>
        </is>
      </c>
      <c r="C3319" t="inlineStr">
        <is>
          <t>Entrackr</t>
        </is>
      </c>
      <c r="D3319" s="17" t="n">
        <v>46121</v>
      </c>
      <c r="E3319" t="inlineStr">
        <is>
          <t>Pluckk</t>
        </is>
      </c>
      <c r="F3319" t="inlineStr">
        <is>
          <t>Rs 100 crore</t>
        </is>
      </c>
      <c r="G3319" s="19" t="n">
        <v>100</v>
      </c>
      <c r="H3319" s="19" t="n">
        <v>10.8</v>
      </c>
      <c r="I3319" t="inlineStr">
        <is>
          <t>Undisclosed</t>
        </is>
      </c>
      <c r="J3319" t="inlineStr"/>
      <c r="K3319" t="inlineStr">
        <is>
          <t>https://entrackr.com/news/pluckk-raises-rs-100-cr-from-euro-gulf-investment-11703844</t>
        </is>
      </c>
    </row>
    <row r="3320">
      <c r="A3320" t="inlineStr">
        <is>
          <t>INC-20260411-04</t>
        </is>
      </c>
      <c r="B3320" t="inlineStr">
        <is>
          <t>R260408-pluckk</t>
        </is>
      </c>
      <c r="C3320" t="inlineStr">
        <is>
          <t>Inc42</t>
        </is>
      </c>
      <c r="D3320" s="17" t="n">
        <v>46121</v>
      </c>
      <c r="E3320" t="inlineStr">
        <is>
          <t>Pluckk</t>
        </is>
      </c>
      <c r="F3320" t="inlineStr">
        <is>
          <t>$10.7 Mn</t>
        </is>
      </c>
      <c r="G3320" s="19" t="n"/>
      <c r="H3320" s="19" t="n">
        <v>10.7</v>
      </c>
      <c r="I3320" t="inlineStr">
        <is>
          <t>Series A</t>
        </is>
      </c>
      <c r="J3320" t="inlineStr">
        <is>
          <t>Euro Gulf Investment</t>
        </is>
      </c>
      <c r="K3320" t="inlineStr">
        <is>
          <t>https://inc42.com/buzz/from-kreditbee-to-nava-indian-startups-raised-362-mn-this-week/</t>
        </is>
      </c>
    </row>
    <row r="3321">
      <c r="A3321" t="inlineStr">
        <is>
          <t>ENT-11701674</t>
        </is>
      </c>
      <c r="B3321" t="inlineStr">
        <is>
          <t>R260408-roshai</t>
        </is>
      </c>
      <c r="C3321" t="inlineStr">
        <is>
          <t>Entrackr</t>
        </is>
      </c>
      <c r="D3321" s="17" t="n">
        <v>46120</v>
      </c>
      <c r="E3321" t="inlineStr">
        <is>
          <t>RoshAi</t>
        </is>
      </c>
      <c r="F3321" t="inlineStr">
        <is>
          <t>Rs 22 crore</t>
        </is>
      </c>
      <c r="G3321" s="19" t="n">
        <v>22</v>
      </c>
      <c r="H3321" s="19" t="n">
        <v>2.36</v>
      </c>
      <c r="I3321" t="inlineStr">
        <is>
          <t>Undisclosed</t>
        </is>
      </c>
      <c r="J3321" t="inlineStr"/>
      <c r="K3321" t="inlineStr">
        <is>
          <t>https://entrackr.com/snippets/ian-alpha-fund-leads-rs-22-cr-round-in-deep-tech-startup-roshai-11701674</t>
        </is>
      </c>
    </row>
    <row r="3322">
      <c r="A3322" t="inlineStr">
        <is>
          <t>INC-20260411-10</t>
        </is>
      </c>
      <c r="B3322" t="inlineStr">
        <is>
          <t>R260408-roshai</t>
        </is>
      </c>
      <c r="C3322" t="inlineStr">
        <is>
          <t>Inc42</t>
        </is>
      </c>
      <c r="D3322" s="17" t="n">
        <v>46120</v>
      </c>
      <c r="E3322" t="inlineStr">
        <is>
          <t>RoshAi</t>
        </is>
      </c>
      <c r="F3322" t="inlineStr">
        <is>
          <t>$2.4 Mn</t>
        </is>
      </c>
      <c r="G3322" s="19" t="n"/>
      <c r="H3322" s="19" t="n">
        <v>2.4</v>
      </c>
      <c r="I3322" t="inlineStr">
        <is>
          <t>Undisclosed</t>
        </is>
      </c>
      <c r="J3322" t="inlineStr">
        <is>
          <t>IAN Group</t>
        </is>
      </c>
      <c r="K3322" t="inlineStr">
        <is>
          <t>https://inc42.com/buzz/from-kreditbee-to-nava-indian-startups-raised-362-mn-this-week/</t>
        </is>
      </c>
    </row>
    <row r="3323">
      <c r="A3323" t="inlineStr">
        <is>
          <t>ENT-11657382</t>
        </is>
      </c>
      <c r="B3323" t="inlineStr">
        <is>
          <t>R260408-trevmobility</t>
        </is>
      </c>
      <c r="C3323" t="inlineStr">
        <is>
          <t>Entrackr</t>
        </is>
      </c>
      <c r="D3323" s="17" t="n">
        <v>46120</v>
      </c>
      <c r="E3323" t="inlineStr">
        <is>
          <t>Trev Mobility</t>
        </is>
      </c>
      <c r="F3323" t="inlineStr">
        <is>
          <t>Rs 3.65 crore</t>
        </is>
      </c>
      <c r="G3323" s="19" t="n">
        <v>3.65</v>
      </c>
      <c r="H3323" s="19" t="n"/>
      <c r="I3323" t="inlineStr">
        <is>
          <t>Seed</t>
        </is>
      </c>
      <c r="J3323" t="inlineStr"/>
      <c r="K3323" t="inlineStr">
        <is>
          <t>https://entrackr.com/snippets/ev-mobility-startup-trev-mobility-raises-angel-round-to-expand-across-delhi-ncr-11657382</t>
        </is>
      </c>
    </row>
    <row r="3324">
      <c r="A3324" t="inlineStr">
        <is>
          <t>INC-20260411-17</t>
        </is>
      </c>
      <c r="B3324" t="inlineStr">
        <is>
          <t>R260408-trevmobility</t>
        </is>
      </c>
      <c r="C3324" t="inlineStr">
        <is>
          <t>Inc42</t>
        </is>
      </c>
      <c r="D3324" s="17" t="n">
        <v>46120</v>
      </c>
      <c r="E3324" t="inlineStr">
        <is>
          <t>Trev Mobility</t>
        </is>
      </c>
      <c r="F3324" t="inlineStr">
        <is>
          <t>$394K</t>
        </is>
      </c>
      <c r="G3324" s="19" t="n"/>
      <c r="H3324" s="19" t="n">
        <v>0.394</v>
      </c>
      <c r="I3324" t="inlineStr">
        <is>
          <t>Undisclosed</t>
        </is>
      </c>
      <c r="J3324" t="inlineStr"/>
      <c r="K3324" t="inlineStr">
        <is>
          <t>https://inc42.com/buzz/from-kreditbee-to-nava-indian-startups-raised-362-mn-this-week/</t>
        </is>
      </c>
    </row>
    <row r="3325">
      <c r="A3325" t="inlineStr">
        <is>
          <t>ENT-11701077</t>
        </is>
      </c>
      <c r="B3325" t="inlineStr">
        <is>
          <t>R260408-tsecondai</t>
        </is>
      </c>
      <c r="C3325" t="inlineStr">
        <is>
          <t>Entrackr</t>
        </is>
      </c>
      <c r="D3325" s="17" t="n">
        <v>46120</v>
      </c>
      <c r="E3325" t="inlineStr">
        <is>
          <t>Tsecond.ai</t>
        </is>
      </c>
      <c r="F3325" t="inlineStr">
        <is>
          <t>$21.5 million</t>
        </is>
      </c>
      <c r="G3325" s="19" t="n">
        <v>190</v>
      </c>
      <c r="H3325" s="19" t="n">
        <v>21.5</v>
      </c>
      <c r="I3325" t="inlineStr">
        <is>
          <t>Undisclosed</t>
        </is>
      </c>
      <c r="J3325" t="inlineStr">
        <is>
          <t>MSN Holdings; Manish Nuwal</t>
        </is>
      </c>
      <c r="K3325" t="inlineStr">
        <is>
          <t>https://entrackr.com/snippets/defense-tech-firm-tsecondai-raises-215-mn-led-by-msn-holdings-11701077</t>
        </is>
      </c>
    </row>
    <row r="3326">
      <c r="A3326" t="inlineStr">
        <is>
          <t>ENT-11704150</t>
        </is>
      </c>
      <c r="B3326" t="inlineStr">
        <is>
          <t>R260409-astranovamobil</t>
        </is>
      </c>
      <c r="C3326" t="inlineStr">
        <is>
          <t>Entrackr</t>
        </is>
      </c>
      <c r="D3326" s="17" t="n">
        <v>46121</v>
      </c>
      <c r="E3326" t="inlineStr">
        <is>
          <t>Astranova Mobility</t>
        </is>
      </c>
      <c r="F3326" t="inlineStr">
        <is>
          <t>Rs 60 crore</t>
        </is>
      </c>
      <c r="G3326" s="19" t="n">
        <v>60</v>
      </c>
      <c r="H3326" s="19" t="n">
        <v>6.4</v>
      </c>
      <c r="I3326" t="inlineStr">
        <is>
          <t>Series A</t>
        </is>
      </c>
      <c r="J3326" t="inlineStr">
        <is>
          <t>IvyCap Ventures</t>
        </is>
      </c>
      <c r="K3326" t="inlineStr">
        <is>
          <t>https://entrackr.com/snippets/astranova-mobility-raises-rs-60-cr-in-series-a-led-by-ivycap-ventures-11704150</t>
        </is>
      </c>
    </row>
    <row r="3327">
      <c r="A3327" t="inlineStr">
        <is>
          <t>ET-130134646</t>
        </is>
      </c>
      <c r="B3327" t="inlineStr">
        <is>
          <t>R260409-astranovamobil</t>
        </is>
      </c>
      <c r="C3327" t="inlineStr">
        <is>
          <t>The Economic Times</t>
        </is>
      </c>
      <c r="D3327" s="17" t="n">
        <v>46121</v>
      </c>
      <c r="E3327" t="inlineStr">
        <is>
          <t>Astranova Mobility</t>
        </is>
      </c>
      <c r="F3327" t="inlineStr">
        <is>
          <t>Rs 60 crore</t>
        </is>
      </c>
      <c r="G3327" s="19" t="n">
        <v>60</v>
      </c>
      <c r="H3327" s="19" t="n"/>
      <c r="I3327" t="inlineStr">
        <is>
          <t>Undisclosed</t>
        </is>
      </c>
      <c r="J3327" t="inlineStr">
        <is>
          <t>IvyCap Ventures</t>
        </is>
      </c>
      <c r="K3327" t="inlineStr">
        <is>
          <t>https://economictimes.indiatimes.com/tech/funding/ev-financing-platform-astranova-mobility-raises-rs-60-crore-from-ivycap-adb-trucks-vc/articleshow/130134646.cms</t>
        </is>
      </c>
    </row>
    <row r="3328">
      <c r="A3328" t="inlineStr">
        <is>
          <t>INC-20260411-05</t>
        </is>
      </c>
      <c r="B3328" t="inlineStr">
        <is>
          <t>R260409-astranovamobil</t>
        </is>
      </c>
      <c r="C3328" t="inlineStr">
        <is>
          <t>Inc42</t>
        </is>
      </c>
      <c r="D3328" s="17" t="n">
        <v>46121</v>
      </c>
      <c r="E3328" t="inlineStr">
        <is>
          <t>Astranova Mobility</t>
        </is>
      </c>
      <c r="F3328" t="inlineStr">
        <is>
          <t>$6.4 Mn</t>
        </is>
      </c>
      <c r="G3328" s="19" t="n"/>
      <c r="H3328" s="19" t="n">
        <v>6.4</v>
      </c>
      <c r="I3328" t="inlineStr">
        <is>
          <t>Series A</t>
        </is>
      </c>
      <c r="J3328" t="inlineStr">
        <is>
          <t>IvyCap Ventures</t>
        </is>
      </c>
      <c r="K3328" t="inlineStr">
        <is>
          <t>https://inc42.com/buzz/from-kreditbee-to-nava-indian-startups-raised-362-mn-this-week/</t>
        </is>
      </c>
    </row>
    <row r="3329">
      <c r="A3329" t="inlineStr">
        <is>
          <t>ENT-11704251</t>
        </is>
      </c>
      <c r="B3329" t="inlineStr">
        <is>
          <t>R260409-daakit</t>
        </is>
      </c>
      <c r="C3329" t="inlineStr">
        <is>
          <t>Entrackr</t>
        </is>
      </c>
      <c r="D3329" s="17" t="n">
        <v>46121</v>
      </c>
      <c r="E3329" t="inlineStr">
        <is>
          <t>DAAKit</t>
        </is>
      </c>
      <c r="F3329" t="inlineStr">
        <is>
          <t>$138K</t>
        </is>
      </c>
      <c r="G3329" s="19" t="n"/>
      <c r="H3329" s="19" t="n">
        <v>0.138</v>
      </c>
      <c r="I3329" t="inlineStr">
        <is>
          <t>Pre-Seed</t>
        </is>
      </c>
      <c r="J3329" t="inlineStr">
        <is>
          <t>Inflection Point Ventures</t>
        </is>
      </c>
      <c r="K3329" t="inlineStr">
        <is>
          <t>https://entrackr.com/snippets/daakit-raises-138k-in-pre-seed-round-led-by-inflection-point-ventures-11704251</t>
        </is>
      </c>
    </row>
    <row r="3330">
      <c r="A3330" t="inlineStr">
        <is>
          <t>INC-20260411-21</t>
        </is>
      </c>
      <c r="B3330" t="inlineStr">
        <is>
          <t>R260409-daakit</t>
        </is>
      </c>
      <c r="C3330" t="inlineStr">
        <is>
          <t>Inc42</t>
        </is>
      </c>
      <c r="D3330" s="17" t="n">
        <v>46121</v>
      </c>
      <c r="E3330" t="inlineStr">
        <is>
          <t>DAAKit</t>
        </is>
      </c>
      <c r="F3330" t="inlineStr">
        <is>
          <t>$138K</t>
        </is>
      </c>
      <c r="G3330" s="19" t="n"/>
      <c r="H3330" s="19" t="n">
        <v>0.138</v>
      </c>
      <c r="I3330" t="inlineStr">
        <is>
          <t>Pre-Seed</t>
        </is>
      </c>
      <c r="J3330" t="inlineStr">
        <is>
          <t>Inflection Point Ventures</t>
        </is>
      </c>
      <c r="K3330" t="inlineStr">
        <is>
          <t>https://inc42.com/buzz/from-kreditbee-to-nava-indian-startups-raised-362-mn-this-week/</t>
        </is>
      </c>
    </row>
    <row r="3331">
      <c r="A3331" t="inlineStr">
        <is>
          <t>ENT-11703910</t>
        </is>
      </c>
      <c r="B3331" t="inlineStr">
        <is>
          <t>R260409-nava</t>
        </is>
      </c>
      <c r="C3331" t="inlineStr">
        <is>
          <t>Entrackr</t>
        </is>
      </c>
      <c r="D3331" s="17" t="n">
        <v>46121</v>
      </c>
      <c r="E3331" t="inlineStr">
        <is>
          <t>Nava</t>
        </is>
      </c>
      <c r="F3331" t="inlineStr">
        <is>
          <t>$22 million</t>
        </is>
      </c>
      <c r="G3331" s="19" t="n"/>
      <c r="H3331" s="19" t="n">
        <v>22</v>
      </c>
      <c r="I3331" t="inlineStr">
        <is>
          <t>Undisclosed</t>
        </is>
      </c>
      <c r="J3331" t="inlineStr">
        <is>
          <t>Greenoaks Capital</t>
        </is>
      </c>
      <c r="K3331" t="inlineStr">
        <is>
          <t>https://entrackr.com/news/enterprise-ai-startup-nava-raises-22-mn-led-by-greenoaks-capital-11703910</t>
        </is>
      </c>
    </row>
    <row r="3332">
      <c r="A3332" t="inlineStr">
        <is>
          <t>ET-130120363</t>
        </is>
      </c>
      <c r="B3332" t="inlineStr">
        <is>
          <t>R260409-nava</t>
        </is>
      </c>
      <c r="C3332" t="inlineStr">
        <is>
          <t>The Economic Times</t>
        </is>
      </c>
      <c r="D3332" s="17" t="n">
        <v>46121</v>
      </c>
      <c r="E3332" t="inlineStr">
        <is>
          <t>Nava</t>
        </is>
      </c>
      <c r="F3332" t="inlineStr">
        <is>
          <t>$22 million</t>
        </is>
      </c>
      <c r="G3332" s="19" t="n"/>
      <c r="H3332" s="19" t="n">
        <v>22</v>
      </c>
      <c r="I3332" t="inlineStr">
        <is>
          <t>Undisclosed</t>
        </is>
      </c>
      <c r="J3332" t="inlineStr">
        <is>
          <t>San Francisco-headquartered Greenoaks Capital</t>
        </is>
      </c>
      <c r="K3332" t="inlineStr">
        <is>
          <t>https://economictimes.indiatimes.com/tech/funding/ai-startup-nava-raises-22-million-in-round-led-by-greenoaks-capital/articleshow/130120363.cms</t>
        </is>
      </c>
    </row>
    <row r="3333">
      <c r="A3333" t="inlineStr">
        <is>
          <t>INC-20260411-02</t>
        </is>
      </c>
      <c r="B3333" t="inlineStr">
        <is>
          <t>R260409-nava</t>
        </is>
      </c>
      <c r="C3333" t="inlineStr">
        <is>
          <t>Inc42</t>
        </is>
      </c>
      <c r="D3333" s="17" t="n">
        <v>46121</v>
      </c>
      <c r="E3333" t="inlineStr">
        <is>
          <t>Nava</t>
        </is>
      </c>
      <c r="F3333" t="inlineStr">
        <is>
          <t>$22 Mn</t>
        </is>
      </c>
      <c r="G3333" s="19" t="n"/>
      <c r="H3333" s="19" t="n">
        <v>22</v>
      </c>
      <c r="I3333" t="inlineStr">
        <is>
          <t>Series A</t>
        </is>
      </c>
      <c r="J3333" t="inlineStr">
        <is>
          <t>Greenoaks</t>
        </is>
      </c>
      <c r="K3333" t="inlineStr">
        <is>
          <t>https://inc42.com/buzz/from-kreditbee-to-nava-indian-startups-raised-362-mn-this-week/</t>
        </is>
      </c>
    </row>
    <row r="3334">
      <c r="A3334" t="inlineStr">
        <is>
          <t>ENT-11708256</t>
        </is>
      </c>
      <c r="B3334" t="inlineStr">
        <is>
          <t>R260409-swageazy</t>
        </is>
      </c>
      <c r="C3334" t="inlineStr">
        <is>
          <t>Entrackr</t>
        </is>
      </c>
      <c r="D3334" s="17" t="n">
        <v>46121</v>
      </c>
      <c r="E3334" t="inlineStr">
        <is>
          <t>Swageazy</t>
        </is>
      </c>
      <c r="F3334" t="inlineStr">
        <is>
          <t>Rs 5.4 crore</t>
        </is>
      </c>
      <c r="G3334" s="19" t="n">
        <v>5.4</v>
      </c>
      <c r="H3334" s="19" t="n"/>
      <c r="I3334" t="inlineStr">
        <is>
          <t>Undisclosed</t>
        </is>
      </c>
      <c r="J3334" t="inlineStr">
        <is>
          <t>Info Edge Ventures</t>
        </is>
      </c>
      <c r="K3334" t="inlineStr">
        <is>
          <t>https://entrackr.com/snippets/swageazy-raises-rs-54-cr-follow-on-round-led-by-info-edge-ventures-11708256</t>
        </is>
      </c>
    </row>
    <row r="3335">
      <c r="A3335" t="inlineStr">
        <is>
          <t>INC-20260411-15</t>
        </is>
      </c>
      <c r="B3335" t="inlineStr">
        <is>
          <t>R260409-swageazy</t>
        </is>
      </c>
      <c r="C3335" t="inlineStr">
        <is>
          <t>Inc42</t>
        </is>
      </c>
      <c r="D3335" s="17" t="n">
        <v>46121</v>
      </c>
      <c r="E3335" t="inlineStr">
        <is>
          <t>Swageazy</t>
        </is>
      </c>
      <c r="F3335" t="inlineStr">
        <is>
          <t>$583K</t>
        </is>
      </c>
      <c r="G3335" s="19" t="n"/>
      <c r="H3335" s="19" t="n">
        <v>0.583</v>
      </c>
      <c r="I3335" t="inlineStr">
        <is>
          <t>Undisclosed</t>
        </is>
      </c>
      <c r="J3335" t="inlineStr">
        <is>
          <t>Info Edge Ventures</t>
        </is>
      </c>
      <c r="K3335" t="inlineStr">
        <is>
          <t>https://inc42.com/buzz/from-kreditbee-to-nava-indian-startups-raised-362-mn-this-week/</t>
        </is>
      </c>
    </row>
    <row r="3336">
      <c r="A3336" t="inlineStr">
        <is>
          <t>INC-20260418-11</t>
        </is>
      </c>
      <c r="B3336" t="inlineStr">
        <is>
          <t>R260409-swageazy</t>
        </is>
      </c>
      <c r="C3336" t="inlineStr">
        <is>
          <t>Inc42</t>
        </is>
      </c>
      <c r="D3336" s="17" t="n">
        <v>46127</v>
      </c>
      <c r="E3336" t="inlineStr">
        <is>
          <t>Swageazy</t>
        </is>
      </c>
      <c r="F3336" t="inlineStr">
        <is>
          <t>$579K</t>
        </is>
      </c>
      <c r="G3336" s="19" t="n"/>
      <c r="H3336" s="19" t="n">
        <v>0.579</v>
      </c>
      <c r="I3336" t="inlineStr">
        <is>
          <t>Undisclosed</t>
        </is>
      </c>
      <c r="J3336" t="inlineStr">
        <is>
          <t>Info Edge Ventures</t>
        </is>
      </c>
      <c r="K3336" t="inlineStr">
        <is>
          <t>https://inc42.com/buzz/from-hosteller-to-gobblecube-indian-startups-raised-60-mn-this-week/</t>
        </is>
      </c>
    </row>
    <row r="3337">
      <c r="A3337" t="inlineStr">
        <is>
          <t>INC-20260418-16</t>
        </is>
      </c>
      <c r="B3337" t="inlineStr">
        <is>
          <t>R260413-devmilkfoods</t>
        </is>
      </c>
      <c r="C3337" t="inlineStr">
        <is>
          <t>Inc42</t>
        </is>
      </c>
      <c r="D3337" s="17" t="n">
        <v>46125</v>
      </c>
      <c r="E3337" t="inlineStr">
        <is>
          <t>Dev Milk Foods</t>
        </is>
      </c>
      <c r="F3337" t="inlineStr"/>
      <c r="G3337" s="19" t="n"/>
      <c r="H3337" s="19" t="n"/>
      <c r="I3337" t="inlineStr">
        <is>
          <t>Undisclosed</t>
        </is>
      </c>
      <c r="J3337" t="inlineStr"/>
      <c r="K3337" t="inlineStr">
        <is>
          <t>https://inc42.com/buzz/from-hosteller-to-gobblecube-indian-startups-raised-60-mn-this-week/</t>
        </is>
      </c>
    </row>
    <row r="3338">
      <c r="A3338" t="inlineStr">
        <is>
          <t>ENT-11720672</t>
        </is>
      </c>
      <c r="B3338" t="inlineStr">
        <is>
          <t>R260413-frubon</t>
        </is>
      </c>
      <c r="C3338" t="inlineStr">
        <is>
          <t>Entrackr</t>
        </is>
      </c>
      <c r="D3338" s="17" t="n">
        <v>46125</v>
      </c>
      <c r="E3338" t="inlineStr">
        <is>
          <t>FruBon</t>
        </is>
      </c>
      <c r="F3338" t="inlineStr"/>
      <c r="G3338" s="19" t="n"/>
      <c r="H3338" s="19" t="n"/>
      <c r="I3338" t="inlineStr">
        <is>
          <t>Undisclosed</t>
        </is>
      </c>
      <c r="J3338" t="inlineStr"/>
      <c r="K3338" t="inlineStr">
        <is>
          <t>https://entrackr.com/snippets/dairy-and-ice-cream-brand-frubon-raises-funding-from-fireside-others-11720672</t>
        </is>
      </c>
    </row>
    <row r="3339">
      <c r="A3339" t="inlineStr">
        <is>
          <t>ENT-11720170</t>
        </is>
      </c>
      <c r="B3339" t="inlineStr">
        <is>
          <t>R260413-smartgarage</t>
        </is>
      </c>
      <c r="C3339" t="inlineStr">
        <is>
          <t>Entrackr</t>
        </is>
      </c>
      <c r="D3339" s="17" t="n">
        <v>46125</v>
      </c>
      <c r="E3339" t="inlineStr">
        <is>
          <t>Smart Garage</t>
        </is>
      </c>
      <c r="F3339" t="inlineStr">
        <is>
          <t>Rs 2.4 crore</t>
        </is>
      </c>
      <c r="G3339" s="19" t="n">
        <v>2.4</v>
      </c>
      <c r="H3339" s="19" t="n"/>
      <c r="I3339" t="inlineStr">
        <is>
          <t>Pre-Series A</t>
        </is>
      </c>
      <c r="J3339" t="inlineStr"/>
      <c r="K3339" t="inlineStr">
        <is>
          <t>https://entrackr.com/snippets/smart-garage-raises-rs-24-cr-in-pre-series-a-round-11720170</t>
        </is>
      </c>
    </row>
    <row r="3340">
      <c r="A3340" t="inlineStr">
        <is>
          <t>INC-20260418-14</t>
        </is>
      </c>
      <c r="B3340" t="inlineStr">
        <is>
          <t>R260413-smartgarage</t>
        </is>
      </c>
      <c r="C3340" t="inlineStr">
        <is>
          <t>Inc42</t>
        </is>
      </c>
      <c r="D3340" s="17" t="n">
        <v>46125</v>
      </c>
      <c r="E3340" t="inlineStr">
        <is>
          <t>Smart Garage</t>
        </is>
      </c>
      <c r="F3340" t="inlineStr">
        <is>
          <t>$257K</t>
        </is>
      </c>
      <c r="G3340" s="19" t="n"/>
      <c r="H3340" s="19" t="n">
        <v>0.257</v>
      </c>
      <c r="I3340" t="inlineStr">
        <is>
          <t>Pre-Series A</t>
        </is>
      </c>
      <c r="J3340" t="inlineStr"/>
      <c r="K3340" t="inlineStr">
        <is>
          <t>https://inc42.com/buzz/from-hosteller-to-gobblecube-indian-startups-raised-60-mn-this-week/</t>
        </is>
      </c>
    </row>
    <row r="3341">
      <c r="A3341" t="inlineStr">
        <is>
          <t>ENT-11723958</t>
        </is>
      </c>
      <c r="B3341" t="inlineStr">
        <is>
          <t>R260414-traqcheck</t>
        </is>
      </c>
      <c r="C3341" t="inlineStr">
        <is>
          <t>Entrackr</t>
        </is>
      </c>
      <c r="D3341" s="17" t="n">
        <v>46126</v>
      </c>
      <c r="E3341" t="inlineStr">
        <is>
          <t>TraqCheck</t>
        </is>
      </c>
      <c r="F3341" t="inlineStr">
        <is>
          <t>$8 million</t>
        </is>
      </c>
      <c r="G3341" s="19" t="n"/>
      <c r="H3341" s="19" t="n">
        <v>8</v>
      </c>
      <c r="I3341" t="inlineStr">
        <is>
          <t>Series A</t>
        </is>
      </c>
      <c r="J3341" t="inlineStr">
        <is>
          <t>IvyCap Ventures</t>
        </is>
      </c>
      <c r="K3341" t="inlineStr">
        <is>
          <t>https://entrackr.com/snippets/traqcheck-raises-8-mn-series-a-led-by-ivycap-ventures-11723958</t>
        </is>
      </c>
    </row>
    <row r="3342">
      <c r="A3342" t="inlineStr">
        <is>
          <t>INC-20260418-04</t>
        </is>
      </c>
      <c r="B3342" t="inlineStr">
        <is>
          <t>R260414-traqcheck</t>
        </is>
      </c>
      <c r="C3342" t="inlineStr">
        <is>
          <t>Inc42</t>
        </is>
      </c>
      <c r="D3342" s="17" t="n">
        <v>46126</v>
      </c>
      <c r="E3342" t="inlineStr">
        <is>
          <t>TraqCheck</t>
        </is>
      </c>
      <c r="F3342" t="inlineStr">
        <is>
          <t>$8 Mn</t>
        </is>
      </c>
      <c r="G3342" s="19" t="n"/>
      <c r="H3342" s="19" t="n">
        <v>8</v>
      </c>
      <c r="I3342" t="inlineStr">
        <is>
          <t>Series A</t>
        </is>
      </c>
      <c r="J3342" t="inlineStr">
        <is>
          <t>IvyCap Ventures</t>
        </is>
      </c>
      <c r="K3342" t="inlineStr">
        <is>
          <t>https://inc42.com/buzz/from-hosteller-to-gobblecube-indian-startups-raised-60-mn-this-week/</t>
        </is>
      </c>
    </row>
    <row r="3343">
      <c r="A3343" t="inlineStr">
        <is>
          <t>ENT-11727235</t>
        </is>
      </c>
      <c r="B3343" t="inlineStr">
        <is>
          <t>R260415-gobblecube</t>
        </is>
      </c>
      <c r="C3343" t="inlineStr">
        <is>
          <t>Entrackr</t>
        </is>
      </c>
      <c r="D3343" s="17" t="n">
        <v>46127</v>
      </c>
      <c r="E3343" t="inlineStr">
        <is>
          <t>GobbleCube</t>
        </is>
      </c>
      <c r="F3343" t="inlineStr">
        <is>
          <t>$15 million</t>
        </is>
      </c>
      <c r="G3343" s="19" t="n"/>
      <c r="H3343" s="19" t="n">
        <v>15</v>
      </c>
      <c r="I3343" t="inlineStr">
        <is>
          <t>Series A</t>
        </is>
      </c>
      <c r="J3343" t="inlineStr">
        <is>
          <t>Susquehanna Venture Capital</t>
        </is>
      </c>
      <c r="K3343" t="inlineStr">
        <is>
          <t>https://entrackr.com/news/gobblecube-raises-15-mn-in-series-a-round-led-by-susquehanna-11727235</t>
        </is>
      </c>
    </row>
    <row r="3344">
      <c r="A3344" t="inlineStr">
        <is>
          <t>ET-130265710</t>
        </is>
      </c>
      <c r="B3344" t="inlineStr">
        <is>
          <t>R260415-gobblecube</t>
        </is>
      </c>
      <c r="C3344" t="inlineStr">
        <is>
          <t>The Economic Times</t>
        </is>
      </c>
      <c r="D3344" s="17" t="n">
        <v>46127</v>
      </c>
      <c r="E3344" t="inlineStr">
        <is>
          <t>GobbleCube</t>
        </is>
      </c>
      <c r="F3344" t="inlineStr">
        <is>
          <t>$15 million</t>
        </is>
      </c>
      <c r="G3344" s="19" t="n"/>
      <c r="H3344" s="19" t="n">
        <v>15</v>
      </c>
      <c r="I3344" t="inlineStr">
        <is>
          <t>Undisclosed</t>
        </is>
      </c>
      <c r="J3344" t="inlineStr">
        <is>
          <t>Susquehanna Venture Capital</t>
        </is>
      </c>
      <c r="K3344" t="inlineStr">
        <is>
          <t>https://economictimes.indiatimes.com/tech/funding/ai-backed-brand-analytics-platform-gobblecube-raises-15-million-funding-led-by-susquehanna-venture-capital/articleshow/130265710.cms</t>
        </is>
      </c>
    </row>
    <row r="3345">
      <c r="A3345" t="inlineStr">
        <is>
          <t>INC-20260418-02</t>
        </is>
      </c>
      <c r="B3345" t="inlineStr">
        <is>
          <t>R260415-gobblecube</t>
        </is>
      </c>
      <c r="C3345" t="inlineStr">
        <is>
          <t>Inc42</t>
        </is>
      </c>
      <c r="D3345" s="17" t="n">
        <v>46127</v>
      </c>
      <c r="E3345" t="inlineStr">
        <is>
          <t>GobbleCube</t>
        </is>
      </c>
      <c r="F3345" t="inlineStr">
        <is>
          <t>$15 Mn</t>
        </is>
      </c>
      <c r="G3345" s="19" t="n"/>
      <c r="H3345" s="19" t="n">
        <v>15</v>
      </c>
      <c r="I3345" t="inlineStr">
        <is>
          <t>Series A</t>
        </is>
      </c>
      <c r="J3345" t="inlineStr">
        <is>
          <t>Susquehanna Venture Capital</t>
        </is>
      </c>
      <c r="K3345" t="inlineStr">
        <is>
          <t>https://inc42.com/buzz/from-hosteller-to-gobblecube-indian-startups-raised-60-mn-this-week/</t>
        </is>
      </c>
    </row>
    <row r="3346">
      <c r="A3346" t="inlineStr">
        <is>
          <t>ENT-11727938</t>
        </is>
      </c>
      <c r="B3346" t="inlineStr">
        <is>
          <t>R260415-ivory</t>
        </is>
      </c>
      <c r="C3346" t="inlineStr">
        <is>
          <t>Entrackr</t>
        </is>
      </c>
      <c r="D3346" s="17" t="n">
        <v>46127</v>
      </c>
      <c r="E3346" t="inlineStr">
        <is>
          <t>Ivory</t>
        </is>
      </c>
      <c r="F3346" t="inlineStr">
        <is>
          <t>$1 million</t>
        </is>
      </c>
      <c r="G3346" s="19" t="n"/>
      <c r="H3346" s="19" t="n">
        <v>1</v>
      </c>
      <c r="I3346" t="inlineStr">
        <is>
          <t>Seed</t>
        </is>
      </c>
      <c r="J3346" t="inlineStr"/>
      <c r="K3346" t="inlineStr">
        <is>
          <t>https://entrackr.com/snippets/brain-health-platform-ivory-raises-1-mn-in-seed-round-11727938</t>
        </is>
      </c>
    </row>
    <row r="3347">
      <c r="A3347" t="inlineStr">
        <is>
          <t>INC-20260418-08</t>
        </is>
      </c>
      <c r="B3347" t="inlineStr">
        <is>
          <t>R260415-ivory</t>
        </is>
      </c>
      <c r="C3347" t="inlineStr">
        <is>
          <t>Inc42</t>
        </is>
      </c>
      <c r="D3347" s="17" t="n">
        <v>46127</v>
      </c>
      <c r="E3347" t="inlineStr">
        <is>
          <t>Ivory</t>
        </is>
      </c>
      <c r="F3347" t="inlineStr">
        <is>
          <t>$1 Mn</t>
        </is>
      </c>
      <c r="G3347" s="19" t="n"/>
      <c r="H3347" s="19" t="n">
        <v>1</v>
      </c>
      <c r="I3347" t="inlineStr">
        <is>
          <t>Seed</t>
        </is>
      </c>
      <c r="J3347" t="inlineStr"/>
      <c r="K3347" t="inlineStr">
        <is>
          <t>https://inc42.com/buzz/from-hosteller-to-gobblecube-indian-startups-raised-60-mn-this-week/</t>
        </is>
      </c>
    </row>
    <row r="3348">
      <c r="A3348" t="inlineStr">
        <is>
          <t>ENT-11730913</t>
        </is>
      </c>
      <c r="B3348" t="inlineStr">
        <is>
          <t>R260416-alistetechnolo</t>
        </is>
      </c>
      <c r="C3348" t="inlineStr">
        <is>
          <t>Entrackr</t>
        </is>
      </c>
      <c r="D3348" s="17" t="n">
        <v>46128</v>
      </c>
      <c r="E3348" t="inlineStr">
        <is>
          <t>Aliste Technologies</t>
        </is>
      </c>
      <c r="F3348" t="inlineStr">
        <is>
          <t>Rs 30 crore</t>
        </is>
      </c>
      <c r="G3348" s="19" t="n">
        <v>30</v>
      </c>
      <c r="H3348" s="19" t="n">
        <v>3.2</v>
      </c>
      <c r="I3348" t="inlineStr">
        <is>
          <t>Pre-Series A</t>
        </is>
      </c>
      <c r="J3348" t="inlineStr">
        <is>
          <t>Big Global JSC</t>
        </is>
      </c>
      <c r="K3348" t="inlineStr">
        <is>
          <t>https://entrackr.com/snippets/aliste-technologies-raises-rs-30-cr-in-pre-series-a-led-by-big-global-jsc-11730913</t>
        </is>
      </c>
    </row>
    <row r="3349">
      <c r="A3349" t="inlineStr">
        <is>
          <t>INC-20260418-05</t>
        </is>
      </c>
      <c r="B3349" t="inlineStr">
        <is>
          <t>R260416-alistetechnolo</t>
        </is>
      </c>
      <c r="C3349" t="inlineStr">
        <is>
          <t>Inc42</t>
        </is>
      </c>
      <c r="D3349" s="17" t="n">
        <v>46128</v>
      </c>
      <c r="E3349" t="inlineStr">
        <is>
          <t>Aliste Technologies</t>
        </is>
      </c>
      <c r="F3349" t="inlineStr">
        <is>
          <t>$3.2 Mn</t>
        </is>
      </c>
      <c r="G3349" s="19" t="n"/>
      <c r="H3349" s="19" t="n">
        <v>3.2</v>
      </c>
      <c r="I3349" t="inlineStr">
        <is>
          <t>Pre-Series A</t>
        </is>
      </c>
      <c r="J3349" t="inlineStr">
        <is>
          <t>Big Global JSC</t>
        </is>
      </c>
      <c r="K3349" t="inlineStr">
        <is>
          <t>https://inc42.com/buzz/from-hosteller-to-gobblecube-indian-startups-raised-60-mn-this-week/</t>
        </is>
      </c>
    </row>
    <row r="3350">
      <c r="A3350" t="inlineStr">
        <is>
          <t>ENT-11730918</t>
        </is>
      </c>
      <c r="B3350" t="inlineStr">
        <is>
          <t>R260416-cohomacoffee</t>
        </is>
      </c>
      <c r="C3350" t="inlineStr">
        <is>
          <t>Entrackr</t>
        </is>
      </c>
      <c r="D3350" s="17" t="n">
        <v>46128</v>
      </c>
      <c r="E3350" t="inlineStr">
        <is>
          <t>Cohoma Coffee</t>
        </is>
      </c>
      <c r="F3350" t="inlineStr">
        <is>
          <t>Rs 5 crore</t>
        </is>
      </c>
      <c r="G3350" s="19" t="n">
        <v>5</v>
      </c>
      <c r="H3350" s="19" t="n">
        <v>0.53</v>
      </c>
      <c r="I3350" t="inlineStr">
        <is>
          <t>Seed</t>
        </is>
      </c>
      <c r="J3350" t="inlineStr">
        <is>
          <t>Inflection Point Ventures</t>
        </is>
      </c>
      <c r="K3350" t="inlineStr">
        <is>
          <t>https://entrackr.com/snippets/cohoma-coffee-raises-rs-5-cr-seed-round-led-by-ipv-11730918</t>
        </is>
      </c>
    </row>
    <row r="3351">
      <c r="A3351" t="inlineStr">
        <is>
          <t>INC-20260418-12</t>
        </is>
      </c>
      <c r="B3351" t="inlineStr">
        <is>
          <t>R260416-cohomacoffee</t>
        </is>
      </c>
      <c r="C3351" t="inlineStr">
        <is>
          <t>Inc42</t>
        </is>
      </c>
      <c r="D3351" s="17" t="n">
        <v>46128</v>
      </c>
      <c r="E3351" t="inlineStr">
        <is>
          <t>Cohoma Coffee</t>
        </is>
      </c>
      <c r="F3351" t="inlineStr">
        <is>
          <t>$539K</t>
        </is>
      </c>
      <c r="G3351" s="19" t="n"/>
      <c r="H3351" s="19" t="n">
        <v>0.539</v>
      </c>
      <c r="I3351" t="inlineStr">
        <is>
          <t>Seed</t>
        </is>
      </c>
      <c r="J3351" t="inlineStr">
        <is>
          <t>Inflection Point Venture</t>
        </is>
      </c>
      <c r="K3351" t="inlineStr">
        <is>
          <t>https://inc42.com/buzz/from-hosteller-to-gobblecube-indian-startups-raised-60-mn-this-week/</t>
        </is>
      </c>
    </row>
    <row r="3352">
      <c r="A3352" t="inlineStr">
        <is>
          <t>INC-20260418-10</t>
        </is>
      </c>
      <c r="B3352" t="inlineStr">
        <is>
          <t>R260416-fifthsense</t>
        </is>
      </c>
      <c r="C3352" t="inlineStr">
        <is>
          <t>Inc42</t>
        </is>
      </c>
      <c r="D3352" s="17" t="n">
        <v>46128</v>
      </c>
      <c r="E3352" t="inlineStr">
        <is>
          <t>FIFTH SENSE</t>
        </is>
      </c>
      <c r="F3352" t="inlineStr">
        <is>
          <t>$679K</t>
        </is>
      </c>
      <c r="G3352" s="19" t="n"/>
      <c r="H3352" s="19" t="n">
        <v>0.679</v>
      </c>
      <c r="I3352" t="inlineStr">
        <is>
          <t>Pre-Seed</t>
        </is>
      </c>
      <c r="J3352" t="inlineStr">
        <is>
          <t>OTP Ventures</t>
        </is>
      </c>
      <c r="K3352" t="inlineStr">
        <is>
          <t>https://inc42.com/buzz/from-hosteller-to-gobblecube-indian-startups-raised-60-mn-this-week/</t>
        </is>
      </c>
    </row>
    <row r="3353">
      <c r="A3353" t="inlineStr">
        <is>
          <t>ENT-11735379</t>
        </is>
      </c>
      <c r="B3353" t="inlineStr">
        <is>
          <t>R260416-fifthsense</t>
        </is>
      </c>
      <c r="C3353" t="inlineStr">
        <is>
          <t>Entrackr</t>
        </is>
      </c>
      <c r="D3353" s="17" t="n">
        <v>46129</v>
      </c>
      <c r="E3353" t="inlineStr">
        <is>
          <t>FIFTH SENSE</t>
        </is>
      </c>
      <c r="F3353" t="inlineStr">
        <is>
          <t>Rs 6.3 crore</t>
        </is>
      </c>
      <c r="G3353" s="19" t="n">
        <v>6.3</v>
      </c>
      <c r="H3353" s="19" t="n"/>
      <c r="I3353" t="inlineStr">
        <is>
          <t>Pre-Seed</t>
        </is>
      </c>
      <c r="J3353" t="inlineStr">
        <is>
          <t>OTP Ventures; ISV Capital; Rohit Kapoor; Amit Damani</t>
        </is>
      </c>
      <c r="K3353" t="inlineStr">
        <is>
          <t>https://entrackr.com/snippets/otp-ventures-leads-pre-seed-round-in-fragrance-brand-fifth-sense-11735379</t>
        </is>
      </c>
    </row>
    <row r="3354">
      <c r="A3354" t="inlineStr">
        <is>
          <t>ET-130326884</t>
        </is>
      </c>
      <c r="B3354" t="inlineStr">
        <is>
          <t>R260416-fifthsense</t>
        </is>
      </c>
      <c r="C3354" t="inlineStr">
        <is>
          <t>The Economic Times</t>
        </is>
      </c>
      <c r="D3354" s="17" t="n">
        <v>46129</v>
      </c>
      <c r="E3354" t="inlineStr">
        <is>
          <t>Fifth Sense</t>
        </is>
      </c>
      <c r="F3354" t="inlineStr">
        <is>
          <t>Rs 6.3 crore</t>
        </is>
      </c>
      <c r="G3354" s="19" t="n">
        <v>6.3</v>
      </c>
      <c r="H3354" s="19" t="n"/>
      <c r="I3354" t="inlineStr">
        <is>
          <t>Pre-Seed</t>
        </is>
      </c>
      <c r="J3354" t="inlineStr">
        <is>
          <t>OTP Ventures</t>
        </is>
      </c>
      <c r="K3354" t="inlineStr">
        <is>
          <t>https://economictimes.indiatimes.com/tech/funding/d2c-fragrance-brand-fifth-sense-raises-rs-6-3-crore-in-round-led-by-otp-ventures/articleshow/130326884.cms</t>
        </is>
      </c>
    </row>
    <row r="3355">
      <c r="A3355" t="inlineStr">
        <is>
          <t>ENT-11730716</t>
        </is>
      </c>
      <c r="B3355" t="inlineStr">
        <is>
          <t>R260416-intellithink</t>
        </is>
      </c>
      <c r="C3355" t="inlineStr">
        <is>
          <t>Entrackr</t>
        </is>
      </c>
      <c r="D3355" s="17" t="n">
        <v>46128</v>
      </c>
      <c r="E3355" t="inlineStr">
        <is>
          <t>Intellithink</t>
        </is>
      </c>
      <c r="F3355" t="inlineStr">
        <is>
          <t>Rs 17 crore</t>
        </is>
      </c>
      <c r="G3355" s="19" t="n">
        <v>17</v>
      </c>
      <c r="H3355" s="19" t="n"/>
      <c r="I3355" t="inlineStr">
        <is>
          <t>Seed</t>
        </is>
      </c>
      <c r="J3355" t="inlineStr">
        <is>
          <t>Pentathlon Ventures</t>
        </is>
      </c>
      <c r="K3355" t="inlineStr">
        <is>
          <t>https://entrackr.com/snippets/pentathlon-ventures-leads-rs-17-cr-seed-round-in-industrial-ai-startup-intellithink-11730716</t>
        </is>
      </c>
    </row>
    <row r="3356">
      <c r="A3356" t="inlineStr">
        <is>
          <t>ET-130291125</t>
        </is>
      </c>
      <c r="B3356" t="inlineStr">
        <is>
          <t>R260416-intellithink</t>
        </is>
      </c>
      <c r="C3356" t="inlineStr">
        <is>
          <t>The Economic Times</t>
        </is>
      </c>
      <c r="D3356" s="17" t="n">
        <v>46128</v>
      </c>
      <c r="E3356" t="inlineStr">
        <is>
          <t>Intellithink</t>
        </is>
      </c>
      <c r="F3356" t="inlineStr">
        <is>
          <t>Rs 17 crore</t>
        </is>
      </c>
      <c r="G3356" s="19" t="n">
        <v>17</v>
      </c>
      <c r="H3356" s="19" t="n"/>
      <c r="I3356" t="inlineStr">
        <is>
          <t>Undisclosed</t>
        </is>
      </c>
      <c r="J3356" t="inlineStr">
        <is>
          <t>Pentathlon Ventures</t>
        </is>
      </c>
      <c r="K3356" t="inlineStr">
        <is>
          <t>https://economictimes.indiatimes.com/tech/funding/industrial-ai-startup-intellithink-raises-rs-17-crore-in-round-led-by-pentathlon-ventures/articleshow/130291125.cms</t>
        </is>
      </c>
    </row>
    <row r="3357">
      <c r="A3357" t="inlineStr">
        <is>
          <t>INC-20260418-06</t>
        </is>
      </c>
      <c r="B3357" t="inlineStr">
        <is>
          <t>R260416-intellithink</t>
        </is>
      </c>
      <c r="C3357" t="inlineStr">
        <is>
          <t>Inc42</t>
        </is>
      </c>
      <c r="D3357" s="17" t="n">
        <v>46128</v>
      </c>
      <c r="E3357" t="inlineStr">
        <is>
          <t>Intellithink</t>
        </is>
      </c>
      <c r="F3357" t="inlineStr">
        <is>
          <t>$1.8 Mn</t>
        </is>
      </c>
      <c r="G3357" s="19" t="n"/>
      <c r="H3357" s="19" t="n">
        <v>1.8</v>
      </c>
      <c r="I3357" t="inlineStr">
        <is>
          <t>Seed</t>
        </is>
      </c>
      <c r="J3357" t="inlineStr">
        <is>
          <t>Pentathlon Ventures</t>
        </is>
      </c>
      <c r="K3357" t="inlineStr">
        <is>
          <t>https://inc42.com/buzz/from-hosteller-to-gobblecube-indian-startups-raised-60-mn-this-week/</t>
        </is>
      </c>
    </row>
    <row r="3358">
      <c r="A3358" t="inlineStr">
        <is>
          <t>INC-20260418-15</t>
        </is>
      </c>
      <c r="B3358" t="inlineStr">
        <is>
          <t>R260416-kingdomofchess</t>
        </is>
      </c>
      <c r="C3358" t="inlineStr">
        <is>
          <t>Inc42</t>
        </is>
      </c>
      <c r="D3358" s="17" t="n">
        <v>46128</v>
      </c>
      <c r="E3358" t="inlineStr">
        <is>
          <t>KingdomOfChess</t>
        </is>
      </c>
      <c r="F3358" t="inlineStr">
        <is>
          <t>$177K</t>
        </is>
      </c>
      <c r="G3358" s="19" t="n"/>
      <c r="H3358" s="19" t="n">
        <v>0.177</v>
      </c>
      <c r="I3358" t="inlineStr">
        <is>
          <t>Undisclosed</t>
        </is>
      </c>
      <c r="J3358" t="inlineStr">
        <is>
          <t>BeyondSeed Angel Fund</t>
        </is>
      </c>
      <c r="K3358" t="inlineStr">
        <is>
          <t>https://inc42.com/buzz/from-hosteller-to-gobblecube-indian-startups-raised-60-mn-this-week/</t>
        </is>
      </c>
    </row>
    <row r="3359">
      <c r="A3359" t="inlineStr">
        <is>
          <t>ENT-11731748</t>
        </is>
      </c>
      <c r="B3359" t="inlineStr">
        <is>
          <t>R260416-polaris</t>
        </is>
      </c>
      <c r="C3359" t="inlineStr">
        <is>
          <t>Entrackr</t>
        </is>
      </c>
      <c r="D3359" s="17" t="n">
        <v>46128</v>
      </c>
      <c r="E3359" t="inlineStr">
        <is>
          <t>Polaris</t>
        </is>
      </c>
      <c r="F3359" t="inlineStr">
        <is>
          <t>Rs 710 crore</t>
        </is>
      </c>
      <c r="G3359" s="19" t="n">
        <v>710</v>
      </c>
      <c r="H3359" s="19" t="n">
        <v>80</v>
      </c>
      <c r="I3359" t="inlineStr">
        <is>
          <t>Undisclosed</t>
        </is>
      </c>
      <c r="J3359" t="inlineStr"/>
      <c r="K3359" t="inlineStr">
        <is>
          <t>https://entrackr.com/snippets/polaris-raises-80-mn-from-british-international-investment-11731748</t>
        </is>
      </c>
    </row>
    <row r="3360">
      <c r="A3360" t="inlineStr">
        <is>
          <t>INC-20260418-07</t>
        </is>
      </c>
      <c r="B3360" t="inlineStr">
        <is>
          <t>R260416-sarlaaviation</t>
        </is>
      </c>
      <c r="C3360" t="inlineStr">
        <is>
          <t>Inc42</t>
        </is>
      </c>
      <c r="D3360" s="17" t="n">
        <v>46128</v>
      </c>
      <c r="E3360" t="inlineStr">
        <is>
          <t>Sarla Aviation</t>
        </is>
      </c>
      <c r="F3360" t="inlineStr">
        <is>
          <t>$1.1 Mn</t>
        </is>
      </c>
      <c r="G3360" s="19" t="n"/>
      <c r="H3360" s="19" t="n">
        <v>1.1</v>
      </c>
      <c r="I3360" t="inlineStr">
        <is>
          <t>Undisclosed</t>
        </is>
      </c>
      <c r="J3360" t="inlineStr">
        <is>
          <t>IndiGo Ventures</t>
        </is>
      </c>
      <c r="K3360" t="inlineStr">
        <is>
          <t>https://inc42.com/buzz/from-hosteller-to-gobblecube-indian-startups-raised-60-mn-this-week/</t>
        </is>
      </c>
    </row>
    <row r="3361">
      <c r="A3361" t="inlineStr">
        <is>
          <t>ENT-11730910</t>
        </is>
      </c>
      <c r="B3361" t="inlineStr">
        <is>
          <t>R260416-thehosteller</t>
        </is>
      </c>
      <c r="C3361" t="inlineStr">
        <is>
          <t>Entrackr</t>
        </is>
      </c>
      <c r="D3361" s="17" t="n">
        <v>46128</v>
      </c>
      <c r="E3361" t="inlineStr">
        <is>
          <t>The Hosteller</t>
        </is>
      </c>
      <c r="F3361" t="inlineStr">
        <is>
          <t>Rs 150 crore</t>
        </is>
      </c>
      <c r="G3361" s="19" t="n">
        <v>150</v>
      </c>
      <c r="H3361" s="19" t="n">
        <v>16</v>
      </c>
      <c r="I3361" t="inlineStr">
        <is>
          <t>Series B</t>
        </is>
      </c>
      <c r="J3361" t="inlineStr">
        <is>
          <t>PROMAFT Partners; V3 Ventures; Merisis Wealth Trust</t>
        </is>
      </c>
      <c r="K3361" t="inlineStr">
        <is>
          <t>https://entrackr.com/news/the-hosteller-raises-rs-150-cr-in-series-b-round-led-by-promaft-and-v3-ventures-11730910</t>
        </is>
      </c>
    </row>
    <row r="3362">
      <c r="A3362" t="inlineStr">
        <is>
          <t>INC-20260418-01</t>
        </is>
      </c>
      <c r="B3362" t="inlineStr">
        <is>
          <t>R260416-thehosteller</t>
        </is>
      </c>
      <c r="C3362" t="inlineStr">
        <is>
          <t>Inc42</t>
        </is>
      </c>
      <c r="D3362" s="17" t="n">
        <v>46128</v>
      </c>
      <c r="E3362" t="inlineStr">
        <is>
          <t>Hosteller</t>
        </is>
      </c>
      <c r="F3362" t="inlineStr">
        <is>
          <t>$16 Mn</t>
        </is>
      </c>
      <c r="G3362" s="19" t="n"/>
      <c r="H3362" s="19" t="n">
        <v>16</v>
      </c>
      <c r="I3362" t="inlineStr">
        <is>
          <t>Series B</t>
        </is>
      </c>
      <c r="J3362" t="inlineStr">
        <is>
          <t>PROMAFT Partners; V3 Ventures</t>
        </is>
      </c>
      <c r="K3362" t="inlineStr">
        <is>
          <t>https://inc42.com/buzz/from-hosteller-to-gobblecube-indian-startups-raised-60-mn-this-week/</t>
        </is>
      </c>
    </row>
    <row r="3363">
      <c r="A3363" t="inlineStr">
        <is>
          <t>VCC-9f1c0adf60</t>
        </is>
      </c>
      <c r="B3363" t="inlineStr">
        <is>
          <t>R260416-thehosteller</t>
        </is>
      </c>
      <c r="C3363" t="inlineStr">
        <is>
          <t>VCCircle</t>
        </is>
      </c>
      <c r="D3363" s="17" t="n">
        <v>46128</v>
      </c>
      <c r="E3363" t="inlineStr">
        <is>
          <t>hosteller</t>
        </is>
      </c>
      <c r="F3363" t="inlineStr"/>
      <c r="G3363" s="19" t="n"/>
      <c r="H3363" s="19" t="n"/>
      <c r="I3363" t="inlineStr">
        <is>
          <t>Series B</t>
        </is>
      </c>
      <c r="J3363" t="inlineStr"/>
      <c r="K3363" t="inlineStr">
        <is>
          <t>https://www.vccircle.com/promaftpartners-v3-ventures-lead-the-hosteller-s-series-b-round</t>
        </is>
      </c>
    </row>
    <row r="3364">
      <c r="A3364" t="inlineStr">
        <is>
          <t>ENT-11731565</t>
        </is>
      </c>
      <c r="B3364" t="inlineStr">
        <is>
          <t>R260416-unbound</t>
        </is>
      </c>
      <c r="C3364" t="inlineStr">
        <is>
          <t>Entrackr</t>
        </is>
      </c>
      <c r="D3364" s="17" t="n">
        <v>46128</v>
      </c>
      <c r="E3364" t="inlineStr">
        <is>
          <t>Unbound</t>
        </is>
      </c>
      <c r="F3364" t="inlineStr">
        <is>
          <t>Rs 8 crore</t>
        </is>
      </c>
      <c r="G3364" s="19" t="n">
        <v>8</v>
      </c>
      <c r="H3364" s="19" t="n"/>
      <c r="I3364" t="inlineStr">
        <is>
          <t>Undisclosed</t>
        </is>
      </c>
      <c r="J3364" t="inlineStr">
        <is>
          <t>Fireside Ventures</t>
        </is>
      </c>
      <c r="K3364" t="inlineStr">
        <is>
          <t>https://entrackr.com/snippets/mens-personal-care-brand-unbound-raises-rs-8-cr-led-by-fireside-ventures-11731565</t>
        </is>
      </c>
    </row>
    <row r="3365">
      <c r="A3365" t="inlineStr">
        <is>
          <t>INC-20260418-09</t>
        </is>
      </c>
      <c r="B3365" t="inlineStr">
        <is>
          <t>R260416-unbound</t>
        </is>
      </c>
      <c r="C3365" t="inlineStr">
        <is>
          <t>Inc42</t>
        </is>
      </c>
      <c r="D3365" s="17" t="n">
        <v>46128</v>
      </c>
      <c r="E3365" t="inlineStr">
        <is>
          <t>Unbound</t>
        </is>
      </c>
      <c r="F3365" t="inlineStr">
        <is>
          <t>$862K</t>
        </is>
      </c>
      <c r="G3365" s="19" t="n"/>
      <c r="H3365" s="19" t="n">
        <v>0.862</v>
      </c>
      <c r="I3365" t="inlineStr">
        <is>
          <t>Undisclosed</t>
        </is>
      </c>
      <c r="J3365" t="inlineStr">
        <is>
          <t>Fireside Ventures</t>
        </is>
      </c>
      <c r="K3365" t="inlineStr">
        <is>
          <t>https://inc42.com/buzz/from-hosteller-to-gobblecube-indian-startups-raised-60-mn-this-week/</t>
        </is>
      </c>
    </row>
    <row r="3366">
      <c r="A3366" t="inlineStr">
        <is>
          <t>INC-20260418-03</t>
        </is>
      </c>
      <c r="B3366" t="inlineStr">
        <is>
          <t>R260418-hocco</t>
        </is>
      </c>
      <c r="C3366" t="inlineStr">
        <is>
          <t>Inc42</t>
        </is>
      </c>
      <c r="D3366" s="17" t="n">
        <v>46130</v>
      </c>
      <c r="E3366" t="inlineStr">
        <is>
          <t>HOCCO</t>
        </is>
      </c>
      <c r="F3366" t="inlineStr">
        <is>
          <t>$10.7 Mn</t>
        </is>
      </c>
      <c r="G3366" s="19" t="n"/>
      <c r="H3366" s="19" t="n">
        <v>10.7</v>
      </c>
      <c r="I3366" t="inlineStr">
        <is>
          <t>Undisclosed</t>
        </is>
      </c>
      <c r="J3366" t="inlineStr">
        <is>
          <t>Sauce.vc</t>
        </is>
      </c>
      <c r="K3366" t="inlineStr">
        <is>
          <t>https://inc42.com/buzz/from-hosteller-to-gobblecube-indian-startups-raised-60-mn-this-week/</t>
        </is>
      </c>
    </row>
    <row r="3367">
      <c r="A3367" t="inlineStr">
        <is>
          <t>ENT-11745815</t>
        </is>
      </c>
      <c r="B3367" t="inlineStr">
        <is>
          <t>R260420-axtenhospitals</t>
        </is>
      </c>
      <c r="C3367" t="inlineStr">
        <is>
          <t>Entrackr</t>
        </is>
      </c>
      <c r="D3367" s="17" t="n">
        <v>46132</v>
      </c>
      <c r="E3367" t="inlineStr">
        <is>
          <t>Axten Hospitals</t>
        </is>
      </c>
      <c r="F3367" t="inlineStr">
        <is>
          <t>Rs 2.5 crore</t>
        </is>
      </c>
      <c r="G3367" s="19" t="n">
        <v>2.5</v>
      </c>
      <c r="H3367" s="19" t="n"/>
      <c r="I3367" t="inlineStr">
        <is>
          <t>Undisclosed</t>
        </is>
      </c>
      <c r="J3367" t="inlineStr">
        <is>
          <t>PedalStart</t>
        </is>
      </c>
      <c r="K3367" t="inlineStr">
        <is>
          <t>https://entrackr.com/snippets/axten-hospitals-raises-rs-25-cr-led-by-pedalstart-11745815</t>
        </is>
      </c>
    </row>
    <row r="3368">
      <c r="A3368" t="inlineStr">
        <is>
          <t>ENT-11745014</t>
        </is>
      </c>
      <c r="B3368" t="inlineStr">
        <is>
          <t>R260420-claritylabs</t>
        </is>
      </c>
      <c r="C3368" t="inlineStr">
        <is>
          <t>Entrackr</t>
        </is>
      </c>
      <c r="D3368" s="17" t="n">
        <v>46132</v>
      </c>
      <c r="E3368" t="inlineStr">
        <is>
          <t>Clarity Labs</t>
        </is>
      </c>
      <c r="F3368" t="inlineStr">
        <is>
          <t>Rs 4 crore</t>
        </is>
      </c>
      <c r="G3368" s="19" t="n">
        <v>4</v>
      </c>
      <c r="H3368" s="19" t="n"/>
      <c r="I3368" t="inlineStr">
        <is>
          <t>Seed</t>
        </is>
      </c>
      <c r="J3368" t="inlineStr">
        <is>
          <t>Artha Venture Fund II</t>
        </is>
      </c>
      <c r="K3368" t="inlineStr">
        <is>
          <t>https://entrackr.com/snippets/artha-venture-leads-seed-round-in-personal-care-brand-clarity-labs-11745014</t>
        </is>
      </c>
    </row>
    <row r="3369">
      <c r="A3369" t="inlineStr">
        <is>
          <t>INC-20260425-11</t>
        </is>
      </c>
      <c r="B3369" t="inlineStr">
        <is>
          <t>R260420-claritylabs</t>
        </is>
      </c>
      <c r="C3369" t="inlineStr">
        <is>
          <t>Inc42</t>
        </is>
      </c>
      <c r="D3369" s="17" t="n">
        <v>46132</v>
      </c>
      <c r="E3369" t="inlineStr">
        <is>
          <t>Clarity Labs</t>
        </is>
      </c>
      <c r="F3369" t="inlineStr">
        <is>
          <t>$424K</t>
        </is>
      </c>
      <c r="G3369" s="19" t="n"/>
      <c r="H3369" s="19" t="n">
        <v>0.424</v>
      </c>
      <c r="I3369" t="inlineStr">
        <is>
          <t>Seed</t>
        </is>
      </c>
      <c r="J3369" t="inlineStr">
        <is>
          <t>Artha Ventures</t>
        </is>
      </c>
      <c r="K3369" t="inlineStr">
        <is>
          <t>https://inc42.com/buzz/from-lightfury-games-to-stch-indian-startups-raised-39-mn-this-week/</t>
        </is>
      </c>
    </row>
    <row r="3370">
      <c r="A3370" t="inlineStr">
        <is>
          <t>ENT-11747674</t>
        </is>
      </c>
      <c r="B3370" t="inlineStr">
        <is>
          <t>R260420-coral</t>
        </is>
      </c>
      <c r="C3370" t="inlineStr">
        <is>
          <t>Entrackr</t>
        </is>
      </c>
      <c r="D3370" s="17" t="n">
        <v>46132</v>
      </c>
      <c r="E3370" t="inlineStr">
        <is>
          <t>Coral</t>
        </is>
      </c>
      <c r="F3370" t="inlineStr">
        <is>
          <t>$12.5 million</t>
        </is>
      </c>
      <c r="G3370" s="19" t="n"/>
      <c r="H3370" s="19" t="n">
        <v>12.5</v>
      </c>
      <c r="I3370" t="inlineStr">
        <is>
          <t>Undisclosed</t>
        </is>
      </c>
      <c r="J3370" t="inlineStr"/>
      <c r="K3370" t="inlineStr">
        <is>
          <t>https://entrackr.com/snippets/healthcare-automation-startup-coral-raises-125-mn-from-z47-and-lightspeed-11747674</t>
        </is>
      </c>
    </row>
    <row r="3371">
      <c r="A3371" t="inlineStr">
        <is>
          <t>INC-20260425-12</t>
        </is>
      </c>
      <c r="B3371" t="inlineStr">
        <is>
          <t>R260420-khetika</t>
        </is>
      </c>
      <c r="C3371" t="inlineStr">
        <is>
          <t>Inc42</t>
        </is>
      </c>
      <c r="D3371" s="17" t="n">
        <v>46132</v>
      </c>
      <c r="E3371" t="inlineStr">
        <is>
          <t>Khetika</t>
        </is>
      </c>
      <c r="F3371" t="inlineStr"/>
      <c r="G3371" s="19" t="n"/>
      <c r="H3371" s="19" t="n"/>
      <c r="I3371" t="inlineStr">
        <is>
          <t>Undisclosed</t>
        </is>
      </c>
      <c r="J3371" t="inlineStr">
        <is>
          <t>AYRA Ventures</t>
        </is>
      </c>
      <c r="K3371" t="inlineStr">
        <is>
          <t>https://inc42.com/buzz/from-lightfury-games-to-stch-indian-startups-raised-39-mn-this-week/</t>
        </is>
      </c>
    </row>
    <row r="3372">
      <c r="A3372" t="inlineStr">
        <is>
          <t>INC-20260425-14</t>
        </is>
      </c>
      <c r="B3372" t="inlineStr">
        <is>
          <t>R260420-panoculonlabs</t>
        </is>
      </c>
      <c r="C3372" t="inlineStr">
        <is>
          <t>Inc42</t>
        </is>
      </c>
      <c r="D3372" s="17" t="n">
        <v>46132</v>
      </c>
      <c r="E3372" t="inlineStr">
        <is>
          <t>Panoculon Labs</t>
        </is>
      </c>
      <c r="F3372" t="inlineStr"/>
      <c r="G3372" s="19" t="n"/>
      <c r="H3372" s="19" t="n"/>
      <c r="I3372" t="inlineStr">
        <is>
          <t>Seed</t>
        </is>
      </c>
      <c r="J3372" t="inlineStr">
        <is>
          <t>India Accelerator; Finvolve</t>
        </is>
      </c>
      <c r="K3372" t="inlineStr">
        <is>
          <t>https://inc42.com/buzz/from-lightfury-games-to-stch-indian-startups-raised-39-mn-this-week/</t>
        </is>
      </c>
    </row>
    <row r="3373">
      <c r="A3373" t="inlineStr">
        <is>
          <t>ENT-11747855</t>
        </is>
      </c>
      <c r="B3373" t="inlineStr">
        <is>
          <t>R260421-acaitheory</t>
        </is>
      </c>
      <c r="C3373" t="inlineStr">
        <is>
          <t>Entrackr</t>
        </is>
      </c>
      <c r="D3373" s="17" t="n">
        <v>46133</v>
      </c>
      <c r="E3373" t="inlineStr">
        <is>
          <t>Acai Theory</t>
        </is>
      </c>
      <c r="F3373" t="inlineStr">
        <is>
          <t>Rs 4 crore</t>
        </is>
      </c>
      <c r="G3373" s="19" t="n">
        <v>4</v>
      </c>
      <c r="H3373" s="19" t="n"/>
      <c r="I3373" t="inlineStr">
        <is>
          <t>Pre-Seed</t>
        </is>
      </c>
      <c r="J3373" t="inlineStr">
        <is>
          <t>All In Capital; Harpreet Grover; Anurag Prasad; Harish Varadarajan</t>
        </is>
      </c>
      <c r="K3373" t="inlineStr">
        <is>
          <t>https://entrackr.com/snippets/health-qsr-chain-acai-theory-raises-funds-from-all-in-capital-tdv-partners-others-11747855</t>
        </is>
      </c>
    </row>
    <row r="3374">
      <c r="A3374" t="inlineStr">
        <is>
          <t>INC-20260425-10</t>
        </is>
      </c>
      <c r="B3374" t="inlineStr">
        <is>
          <t>R260421-acaitheory</t>
        </is>
      </c>
      <c r="C3374" t="inlineStr">
        <is>
          <t>Inc42</t>
        </is>
      </c>
      <c r="D3374" s="17" t="n">
        <v>46133</v>
      </c>
      <c r="E3374" t="inlineStr">
        <is>
          <t>Açaí Theory</t>
        </is>
      </c>
      <c r="F3374" t="inlineStr">
        <is>
          <t>$424K</t>
        </is>
      </c>
      <c r="G3374" s="19" t="n"/>
      <c r="H3374" s="19" t="n">
        <v>0.424</v>
      </c>
      <c r="I3374" t="inlineStr">
        <is>
          <t>Seed</t>
        </is>
      </c>
      <c r="J3374" t="inlineStr">
        <is>
          <t>All In Capital</t>
        </is>
      </c>
      <c r="K3374" t="inlineStr">
        <is>
          <t>https://inc42.com/buzz/from-lightfury-games-to-stch-indian-startups-raised-39-mn-this-week/</t>
        </is>
      </c>
    </row>
    <row r="3375">
      <c r="A3375" t="inlineStr">
        <is>
          <t>ENT-11750934</t>
        </is>
      </c>
      <c r="B3375" t="inlineStr">
        <is>
          <t>R260421-curemeabroad</t>
        </is>
      </c>
      <c r="C3375" t="inlineStr">
        <is>
          <t>Entrackr</t>
        </is>
      </c>
      <c r="D3375" s="17" t="n">
        <v>46133</v>
      </c>
      <c r="E3375" t="inlineStr">
        <is>
          <t>CureMeAbroad</t>
        </is>
      </c>
      <c r="F3375" t="inlineStr">
        <is>
          <t>$600K</t>
        </is>
      </c>
      <c r="G3375" s="19" t="n"/>
      <c r="H3375" s="19" t="n">
        <v>0.6</v>
      </c>
      <c r="I3375" t="inlineStr">
        <is>
          <t>Pre-Seed</t>
        </is>
      </c>
      <c r="J3375" t="inlineStr"/>
      <c r="K3375" t="inlineStr">
        <is>
          <t>https://entrackr.com/snippets/med-tech-tourism-startup-curemeabroad-raises-pre-seed-round-11750934</t>
        </is>
      </c>
    </row>
    <row r="3376">
      <c r="A3376" t="inlineStr">
        <is>
          <t>INC-20260425-09</t>
        </is>
      </c>
      <c r="B3376" t="inlineStr">
        <is>
          <t>R260421-curemeabroad</t>
        </is>
      </c>
      <c r="C3376" t="inlineStr">
        <is>
          <t>Inc42</t>
        </is>
      </c>
      <c r="D3376" s="17" t="n">
        <v>46133</v>
      </c>
      <c r="E3376" t="inlineStr">
        <is>
          <t>CureMeAbroad</t>
        </is>
      </c>
      <c r="F3376" t="inlineStr">
        <is>
          <t>$600K</t>
        </is>
      </c>
      <c r="G3376" s="19" t="n"/>
      <c r="H3376" s="19" t="n">
        <v>0.6</v>
      </c>
      <c r="I3376" t="inlineStr">
        <is>
          <t>Pre-Seed</t>
        </is>
      </c>
      <c r="J3376" t="inlineStr"/>
      <c r="K3376" t="inlineStr">
        <is>
          <t>https://inc42.com/buzz/from-lightfury-games-to-stch-indian-startups-raised-39-mn-this-week/</t>
        </is>
      </c>
    </row>
    <row r="3377">
      <c r="A3377" t="inlineStr">
        <is>
          <t>INC-20260425-15</t>
        </is>
      </c>
      <c r="B3377" t="inlineStr">
        <is>
          <t>R260421-digitalpaani</t>
        </is>
      </c>
      <c r="C3377" t="inlineStr">
        <is>
          <t>Inc42</t>
        </is>
      </c>
      <c r="D3377" s="17" t="n">
        <v>46133</v>
      </c>
      <c r="E3377" t="inlineStr">
        <is>
          <t>Digital Paani</t>
        </is>
      </c>
      <c r="F3377" t="inlineStr"/>
      <c r="G3377" s="19" t="n"/>
      <c r="H3377" s="19" t="n"/>
      <c r="I3377" t="inlineStr">
        <is>
          <t>Undisclosed</t>
        </is>
      </c>
      <c r="J3377" t="inlineStr"/>
      <c r="K3377" t="inlineStr">
        <is>
          <t>https://inc42.com/buzz/from-lightfury-games-to-stch-indian-startups-raised-39-mn-this-week/</t>
        </is>
      </c>
    </row>
    <row r="3378">
      <c r="A3378" t="inlineStr">
        <is>
          <t>ENT-11747865</t>
        </is>
      </c>
      <c r="B3378" t="inlineStr">
        <is>
          <t>R260421-lawyered</t>
        </is>
      </c>
      <c r="C3378" t="inlineStr">
        <is>
          <t>Entrackr</t>
        </is>
      </c>
      <c r="D3378" s="17" t="n">
        <v>46133</v>
      </c>
      <c r="E3378" t="inlineStr">
        <is>
          <t>Lawyered</t>
        </is>
      </c>
      <c r="F3378" t="inlineStr">
        <is>
          <t>$2.5 million</t>
        </is>
      </c>
      <c r="G3378" s="19" t="n"/>
      <c r="H3378" s="19" t="n">
        <v>2.5</v>
      </c>
      <c r="I3378" t="inlineStr">
        <is>
          <t>Pre-Series A</t>
        </is>
      </c>
      <c r="J3378" t="inlineStr">
        <is>
          <t>Turbostart</t>
        </is>
      </c>
      <c r="K3378" t="inlineStr">
        <is>
          <t>https://entrackr.com/snippets/legal-tech-startup-lawyered-bags-25-mn-led-by-rainmatter-and-turbostart-11747865</t>
        </is>
      </c>
    </row>
    <row r="3379">
      <c r="A3379" t="inlineStr">
        <is>
          <t>INC-20260425-06</t>
        </is>
      </c>
      <c r="B3379" t="inlineStr">
        <is>
          <t>R260421-lawyered</t>
        </is>
      </c>
      <c r="C3379" t="inlineStr">
        <is>
          <t>Inc42</t>
        </is>
      </c>
      <c r="D3379" s="17" t="n">
        <v>46133</v>
      </c>
      <c r="E3379" t="inlineStr">
        <is>
          <t>Lawyered</t>
        </is>
      </c>
      <c r="F3379" t="inlineStr">
        <is>
          <t>$2.5 Mn</t>
        </is>
      </c>
      <c r="G3379" s="19" t="n"/>
      <c r="H3379" s="19" t="n">
        <v>2.5</v>
      </c>
      <c r="I3379" t="inlineStr">
        <is>
          <t>Pre-Series A</t>
        </is>
      </c>
      <c r="J3379" t="inlineStr">
        <is>
          <t>Rainmatter; Turbostart</t>
        </is>
      </c>
      <c r="K3379" t="inlineStr">
        <is>
          <t>https://inc42.com/buzz/from-lightfury-games-to-stch-indian-startups-raised-39-mn-this-week/</t>
        </is>
      </c>
    </row>
    <row r="3380">
      <c r="A3380" t="inlineStr">
        <is>
          <t>ENT-11748153</t>
        </is>
      </c>
      <c r="B3380" t="inlineStr">
        <is>
          <t>R260421-nudgebee</t>
        </is>
      </c>
      <c r="C3380" t="inlineStr">
        <is>
          <t>Entrackr</t>
        </is>
      </c>
      <c r="D3380" s="17" t="n">
        <v>46133</v>
      </c>
      <c r="E3380" t="inlineStr">
        <is>
          <t>NudgeBee</t>
        </is>
      </c>
      <c r="F3380" t="inlineStr">
        <is>
          <t>$3 million</t>
        </is>
      </c>
      <c r="G3380" s="19" t="n"/>
      <c r="H3380" s="19" t="n">
        <v>3</v>
      </c>
      <c r="I3380" t="inlineStr">
        <is>
          <t>Seed</t>
        </is>
      </c>
      <c r="J3380" t="inlineStr">
        <is>
          <t>Kalaari Capital</t>
        </is>
      </c>
      <c r="K3380" t="inlineStr">
        <is>
          <t>https://entrackr.com/snippets/nudgebee-raises-3-mn-in-seed-round-led-by-kalaari-capital-11748153</t>
        </is>
      </c>
    </row>
    <row r="3381">
      <c r="A3381" t="inlineStr">
        <is>
          <t>ET-130400005</t>
        </is>
      </c>
      <c r="B3381" t="inlineStr">
        <is>
          <t>R260421-nudgebee</t>
        </is>
      </c>
      <c r="C3381" t="inlineStr">
        <is>
          <t>The Economic Times</t>
        </is>
      </c>
      <c r="D3381" s="17" t="n">
        <v>46133</v>
      </c>
      <c r="E3381" t="inlineStr">
        <is>
          <t>NudgeBee</t>
        </is>
      </c>
      <c r="F3381" t="inlineStr">
        <is>
          <t>$3 million</t>
        </is>
      </c>
      <c r="G3381" s="19" t="n"/>
      <c r="H3381" s="19" t="n">
        <v>3</v>
      </c>
      <c r="I3381" t="inlineStr">
        <is>
          <t>Undisclosed</t>
        </is>
      </c>
      <c r="J3381" t="inlineStr">
        <is>
          <t>Kalaari Capital</t>
        </is>
      </c>
      <c r="K3381" t="inlineStr">
        <is>
          <t>https://economictimes.indiatimes.com/tech/funding/ai-platform-nudgebee-raises-3-million-in-funding-from-kalaari-capital/articleshow/130400005.cms</t>
        </is>
      </c>
    </row>
    <row r="3382">
      <c r="A3382" t="inlineStr">
        <is>
          <t>INC-20260425-05</t>
        </is>
      </c>
      <c r="B3382" t="inlineStr">
        <is>
          <t>R260421-nudgebee</t>
        </is>
      </c>
      <c r="C3382" t="inlineStr">
        <is>
          <t>Inc42</t>
        </is>
      </c>
      <c r="D3382" s="17" t="n">
        <v>46133</v>
      </c>
      <c r="E3382" t="inlineStr">
        <is>
          <t>NudgeBee</t>
        </is>
      </c>
      <c r="F3382" t="inlineStr">
        <is>
          <t>$3 Mn</t>
        </is>
      </c>
      <c r="G3382" s="19" t="n"/>
      <c r="H3382" s="19" t="n">
        <v>3</v>
      </c>
      <c r="I3382" t="inlineStr">
        <is>
          <t>Seed</t>
        </is>
      </c>
      <c r="J3382" t="inlineStr">
        <is>
          <t>Kalaari Capital</t>
        </is>
      </c>
      <c r="K3382" t="inlineStr">
        <is>
          <t>https://inc42.com/buzz/from-lightfury-games-to-stch-indian-startups-raised-39-mn-this-week/</t>
        </is>
      </c>
    </row>
    <row r="3383">
      <c r="A3383" t="inlineStr">
        <is>
          <t>ET-130417015</t>
        </is>
      </c>
      <c r="B3383" t="inlineStr">
        <is>
          <t>R260421-primeinvestor</t>
        </is>
      </c>
      <c r="C3383" t="inlineStr">
        <is>
          <t>The Economic Times</t>
        </is>
      </c>
      <c r="D3383" s="17" t="n">
        <v>46133</v>
      </c>
      <c r="E3383" t="inlineStr">
        <is>
          <t>Prime Investor</t>
        </is>
      </c>
      <c r="F3383" t="inlineStr">
        <is>
          <t>Rs 20 crore</t>
        </is>
      </c>
      <c r="G3383" s="19" t="n">
        <v>20</v>
      </c>
      <c r="H3383" s="19" t="n"/>
      <c r="I3383" t="inlineStr">
        <is>
          <t>Undisclosed</t>
        </is>
      </c>
      <c r="J3383" t="inlineStr"/>
      <c r="K3383" t="inlineStr">
        <is>
          <t>https://economictimes.indiatimes.com/tech/startups/rainmatter-invests-rs-20-crore-in-wealth-management-startup-prime-investor/articleshow/130417015.cms</t>
        </is>
      </c>
    </row>
    <row r="3384">
      <c r="A3384" t="inlineStr">
        <is>
          <t>INC-20260425-07</t>
        </is>
      </c>
      <c r="B3384" t="inlineStr">
        <is>
          <t>R260421-primeinvestor</t>
        </is>
      </c>
      <c r="C3384" t="inlineStr">
        <is>
          <t>Inc42</t>
        </is>
      </c>
      <c r="D3384" s="17" t="n">
        <v>46133</v>
      </c>
      <c r="E3384" t="inlineStr">
        <is>
          <t>PrimeInvestor</t>
        </is>
      </c>
      <c r="F3384" t="inlineStr">
        <is>
          <t>$2.1 Mn</t>
        </is>
      </c>
      <c r="G3384" s="19" t="n"/>
      <c r="H3384" s="19" t="n">
        <v>2.1</v>
      </c>
      <c r="I3384" t="inlineStr">
        <is>
          <t>Seed</t>
        </is>
      </c>
      <c r="J3384" t="inlineStr">
        <is>
          <t>Rainmatter Capital</t>
        </is>
      </c>
      <c r="K3384" t="inlineStr">
        <is>
          <t>https://inc42.com/buzz/from-lightfury-games-to-stch-indian-startups-raised-39-mn-this-week/</t>
        </is>
      </c>
    </row>
    <row r="3385">
      <c r="A3385" t="inlineStr">
        <is>
          <t>ENT-11750659</t>
        </is>
      </c>
      <c r="B3385" t="inlineStr">
        <is>
          <t>R260421-rainmatterinve</t>
        </is>
      </c>
      <c r="C3385" t="inlineStr">
        <is>
          <t>Entrackr</t>
        </is>
      </c>
      <c r="D3385" s="17" t="n">
        <v>46133</v>
      </c>
      <c r="E3385" t="inlineStr">
        <is>
          <t>Rainmatter invests</t>
        </is>
      </c>
      <c r="F3385" t="inlineStr">
        <is>
          <t>Rs 19.5 crore</t>
        </is>
      </c>
      <c r="G3385" s="19" t="n">
        <v>19.5</v>
      </c>
      <c r="H3385" s="19" t="n">
        <v>2</v>
      </c>
      <c r="I3385" t="inlineStr">
        <is>
          <t>Undisclosed</t>
        </is>
      </c>
      <c r="J3385" t="inlineStr">
        <is>
          <t>Rainmatter</t>
        </is>
      </c>
      <c r="K3385" t="inlineStr">
        <is>
          <t>https://entrackr.com/news/zerodha-backed-rainmatter-invests-in-wealth-tech-startup-primeinvestor-11750659</t>
        </is>
      </c>
    </row>
    <row r="3386">
      <c r="A3386" t="inlineStr">
        <is>
          <t>ENT-11753666</t>
        </is>
      </c>
      <c r="B3386" t="inlineStr">
        <is>
          <t>R260422-aits</t>
        </is>
      </c>
      <c r="C3386" t="inlineStr">
        <is>
          <t>Entrackr</t>
        </is>
      </c>
      <c r="D3386" s="17" t="n">
        <v>46134</v>
      </c>
      <c r="E3386" t="inlineStr">
        <is>
          <t>AITS</t>
        </is>
      </c>
      <c r="F3386" t="inlineStr">
        <is>
          <t>$4 Mn</t>
        </is>
      </c>
      <c r="G3386" s="19" t="n"/>
      <c r="H3386" s="19" t="n">
        <v>4</v>
      </c>
      <c r="I3386" t="inlineStr">
        <is>
          <t>Pre-Series A</t>
        </is>
      </c>
      <c r="J3386" t="inlineStr">
        <is>
          <t>Big Capital; Redbrook Fund</t>
        </is>
      </c>
      <c r="K3386" t="inlineStr">
        <is>
          <t>https://entrackr.com/snippets/rysen-school-operator-aits-raises-4-mn-in-pre-series-a-round-11753666</t>
        </is>
      </c>
    </row>
    <row r="3387">
      <c r="A3387" t="inlineStr">
        <is>
          <t>INC-20260425-13</t>
        </is>
      </c>
      <c r="B3387" t="inlineStr">
        <is>
          <t>R260422-chupps</t>
        </is>
      </c>
      <c r="C3387" t="inlineStr">
        <is>
          <t>Inc42</t>
        </is>
      </c>
      <c r="D3387" s="17" t="n">
        <v>46134</v>
      </c>
      <c r="E3387" t="inlineStr">
        <is>
          <t>Chupps</t>
        </is>
      </c>
      <c r="F3387" t="inlineStr"/>
      <c r="G3387" s="19" t="n"/>
      <c r="H3387" s="19" t="n"/>
      <c r="I3387" t="inlineStr">
        <is>
          <t>Pre-Series B</t>
        </is>
      </c>
      <c r="J3387" t="inlineStr">
        <is>
          <t>Ajinkya Rahane</t>
        </is>
      </c>
      <c r="K3387" t="inlineStr">
        <is>
          <t>https://inc42.com/buzz/from-lightfury-games-to-stch-indian-startups-raised-39-mn-this-week/</t>
        </is>
      </c>
    </row>
    <row r="3388">
      <c r="A3388" t="inlineStr">
        <is>
          <t>ET-130437866</t>
        </is>
      </c>
      <c r="B3388" t="inlineStr">
        <is>
          <t>R260422-m</t>
        </is>
      </c>
      <c r="C3388" t="inlineStr">
        <is>
          <t>The Economic Times</t>
        </is>
      </c>
      <c r="D3388" s="17" t="n">
        <v>46134</v>
      </c>
      <c r="E3388" t="inlineStr">
        <is>
          <t>M</t>
        </is>
      </c>
      <c r="F3388" t="inlineStr">
        <is>
          <t>Rs 102 crore</t>
        </is>
      </c>
      <c r="G3388" s="19" t="n">
        <v>102</v>
      </c>
      <c r="H3388" s="19" t="n"/>
      <c r="I3388" t="inlineStr">
        <is>
          <t>Undisclosed</t>
        </is>
      </c>
      <c r="J3388" t="inlineStr"/>
      <c r="K3388" t="inlineStr">
        <is>
          <t>https://economictimes.indiatimes.com/tech/funding/kabeer-biswass-concierge-startup-m-raises-rs-102-crore-from-peak-xv-blume-cred/articleshow/130437866.cms</t>
        </is>
      </c>
    </row>
    <row r="3389">
      <c r="A3389" t="inlineStr">
        <is>
          <t>INC-20260425-02</t>
        </is>
      </c>
      <c r="B3389" t="inlineStr">
        <is>
          <t>R260422-m</t>
        </is>
      </c>
      <c r="C3389" t="inlineStr">
        <is>
          <t>Inc42</t>
        </is>
      </c>
      <c r="D3389" s="17" t="n">
        <v>46134</v>
      </c>
      <c r="E3389" t="inlineStr">
        <is>
          <t>M</t>
        </is>
      </c>
      <c r="F3389" t="inlineStr">
        <is>
          <t>$8.8 Mn</t>
        </is>
      </c>
      <c r="G3389" s="19" t="n"/>
      <c r="H3389" s="19" t="n">
        <v>8.800000000000001</v>
      </c>
      <c r="I3389" t="inlineStr">
        <is>
          <t>Seed</t>
        </is>
      </c>
      <c r="J3389" t="inlineStr"/>
      <c r="K3389" t="inlineStr">
        <is>
          <t>https://inc42.com/buzz/from-lightfury-games-to-stch-indian-startups-raised-39-mn-this-week/</t>
        </is>
      </c>
    </row>
    <row r="3390">
      <c r="A3390" t="inlineStr">
        <is>
          <t>ENT-11751548</t>
        </is>
      </c>
      <c r="B3390" t="inlineStr">
        <is>
          <t>R260422-spillgames</t>
        </is>
      </c>
      <c r="C3390" t="inlineStr">
        <is>
          <t>Entrackr</t>
        </is>
      </c>
      <c r="D3390" s="17" t="n">
        <v>46134</v>
      </c>
      <c r="E3390" t="inlineStr">
        <is>
          <t>Spill Games</t>
        </is>
      </c>
      <c r="F3390" t="inlineStr">
        <is>
          <t>$3.1 million</t>
        </is>
      </c>
      <c r="G3390" s="19" t="n"/>
      <c r="H3390" s="19" t="n">
        <v>3.1</v>
      </c>
      <c r="I3390" t="inlineStr">
        <is>
          <t>Seed</t>
        </is>
      </c>
      <c r="J3390" t="inlineStr">
        <is>
          <t>Centre Court Capital; PeerCapital</t>
        </is>
      </c>
      <c r="K3390" t="inlineStr">
        <is>
          <t>https://entrackr.com/snippets/spill-games-raises-31-mn-in-seed-round-led-by-centre-court-capital-and-peercapital-11751548</t>
        </is>
      </c>
    </row>
    <row r="3391">
      <c r="A3391" t="inlineStr">
        <is>
          <t>ET-130434162</t>
        </is>
      </c>
      <c r="B3391" t="inlineStr">
        <is>
          <t>R260422-spillgames</t>
        </is>
      </c>
      <c r="C3391" t="inlineStr">
        <is>
          <t>The Economic Times</t>
        </is>
      </c>
      <c r="D3391" s="17" t="n">
        <v>46134</v>
      </c>
      <c r="E3391" t="inlineStr">
        <is>
          <t>Spill Games</t>
        </is>
      </c>
      <c r="F3391" t="inlineStr">
        <is>
          <t>$3.1 million</t>
        </is>
      </c>
      <c r="G3391" s="19" t="n"/>
      <c r="H3391" s="19" t="n">
        <v>3.1</v>
      </c>
      <c r="I3391" t="inlineStr">
        <is>
          <t>Seed</t>
        </is>
      </c>
      <c r="J3391" t="inlineStr"/>
      <c r="K3391" t="inlineStr">
        <is>
          <t>https://economictimes.indiatimes.com/tech/funding/gaming-startup-spill-games-raises-3-1-million-from-centre-court-capital-and-peercapital/articleshow/130434162.cms</t>
        </is>
      </c>
    </row>
    <row r="3392">
      <c r="A3392" t="inlineStr">
        <is>
          <t>INC-20260425-04</t>
        </is>
      </c>
      <c r="B3392" t="inlineStr">
        <is>
          <t>R260422-spillgames</t>
        </is>
      </c>
      <c r="C3392" t="inlineStr">
        <is>
          <t>Inc42</t>
        </is>
      </c>
      <c r="D3392" s="17" t="n">
        <v>46134</v>
      </c>
      <c r="E3392" t="inlineStr">
        <is>
          <t>Spill Games</t>
        </is>
      </c>
      <c r="F3392" t="inlineStr">
        <is>
          <t>$3.1 Mn</t>
        </is>
      </c>
      <c r="G3392" s="19" t="n"/>
      <c r="H3392" s="19" t="n">
        <v>3.1</v>
      </c>
      <c r="I3392" t="inlineStr">
        <is>
          <t>Seed</t>
        </is>
      </c>
      <c r="J3392" t="inlineStr">
        <is>
          <t>Centre Court Capital; PeerCapital</t>
        </is>
      </c>
      <c r="K3392" t="inlineStr">
        <is>
          <t>https://inc42.com/buzz/from-lightfury-games-to-stch-indian-startups-raised-39-mn-this-week/</t>
        </is>
      </c>
    </row>
    <row r="3393">
      <c r="A3393" t="inlineStr">
        <is>
          <t>ENT-11756893</t>
        </is>
      </c>
      <c r="B3393" t="inlineStr">
        <is>
          <t>R260423-deepalgorithm</t>
        </is>
      </c>
      <c r="C3393" t="inlineStr">
        <is>
          <t>Entrackr</t>
        </is>
      </c>
      <c r="D3393" s="17" t="n">
        <v>46135</v>
      </c>
      <c r="E3393" t="inlineStr">
        <is>
          <t>Deep Algorithm</t>
        </is>
      </c>
      <c r="F3393" t="inlineStr">
        <is>
          <t>Rs 16 crore</t>
        </is>
      </c>
      <c r="G3393" s="19" t="n">
        <v>16</v>
      </c>
      <c r="H3393" s="19" t="n"/>
      <c r="I3393" t="inlineStr">
        <is>
          <t>Pre-Series A</t>
        </is>
      </c>
      <c r="J3393" t="inlineStr">
        <is>
          <t>Unicorn India Ventures</t>
        </is>
      </c>
      <c r="K3393" t="inlineStr">
        <is>
          <t>https://entrackr.com/snippets/deep-algorithm-raises-rs-16-cr-in-pre-series-a-led-by-unicorn-india-ventures-11756893</t>
        </is>
      </c>
    </row>
    <row r="3394">
      <c r="A3394" t="inlineStr">
        <is>
          <t>INC-20260425-08</t>
        </is>
      </c>
      <c r="B3394" t="inlineStr">
        <is>
          <t>R260423-deepalgorithm</t>
        </is>
      </c>
      <c r="C3394" t="inlineStr">
        <is>
          <t>Inc42</t>
        </is>
      </c>
      <c r="D3394" s="17" t="n">
        <v>46135</v>
      </c>
      <c r="E3394" t="inlineStr">
        <is>
          <t>Deep Algorithm</t>
        </is>
      </c>
      <c r="F3394" t="inlineStr">
        <is>
          <t>$1.7 Mn</t>
        </is>
      </c>
      <c r="G3394" s="19" t="n"/>
      <c r="H3394" s="19" t="n">
        <v>1.7</v>
      </c>
      <c r="I3394" t="inlineStr">
        <is>
          <t>Pre-Series A</t>
        </is>
      </c>
      <c r="J3394" t="inlineStr">
        <is>
          <t>Unicorn India Ventures</t>
        </is>
      </c>
      <c r="K3394" t="inlineStr">
        <is>
          <t>https://inc42.com/buzz/from-lightfury-games-to-stch-indian-startups-raised-39-mn-this-week/</t>
        </is>
      </c>
    </row>
    <row r="3395">
      <c r="A3395" t="inlineStr">
        <is>
          <t>ENT-11756334</t>
        </is>
      </c>
      <c r="B3395" t="inlineStr">
        <is>
          <t>R260423-lightfurygames</t>
        </is>
      </c>
      <c r="C3395" t="inlineStr">
        <is>
          <t>Entrackr</t>
        </is>
      </c>
      <c r="D3395" s="17" t="n">
        <v>46135</v>
      </c>
      <c r="E3395" t="inlineStr">
        <is>
          <t>LightFury Games</t>
        </is>
      </c>
      <c r="F3395" t="inlineStr">
        <is>
          <t>$11 million</t>
        </is>
      </c>
      <c r="G3395" s="19" t="n">
        <v>103</v>
      </c>
      <c r="H3395" s="19" t="n">
        <v>11</v>
      </c>
      <c r="I3395" t="inlineStr">
        <is>
          <t>Pre-Series A</t>
        </is>
      </c>
      <c r="J3395" t="inlineStr">
        <is>
          <t>Blume Ventures; V3 Ventures; MIXI; Times Internet</t>
        </is>
      </c>
      <c r="K3395" t="inlineStr">
        <is>
          <t>https://entrackr.com/news/lightfury-games-raises-11-mn-in-pre-series-a-round-11756334</t>
        </is>
      </c>
    </row>
    <row r="3396">
      <c r="A3396" t="inlineStr">
        <is>
          <t>INC-20260425-01</t>
        </is>
      </c>
      <c r="B3396" t="inlineStr">
        <is>
          <t>R260423-lightfurygames</t>
        </is>
      </c>
      <c r="C3396" t="inlineStr">
        <is>
          <t>Inc42</t>
        </is>
      </c>
      <c r="D3396" s="17" t="n">
        <v>46135</v>
      </c>
      <c r="E3396" t="inlineStr">
        <is>
          <t>LightFury Games</t>
        </is>
      </c>
      <c r="F3396" t="inlineStr">
        <is>
          <t>$11 Mn</t>
        </is>
      </c>
      <c r="G3396" s="19" t="n"/>
      <c r="H3396" s="19" t="n">
        <v>11</v>
      </c>
      <c r="I3396" t="inlineStr">
        <is>
          <t>Pre-Series A</t>
        </is>
      </c>
      <c r="J3396" t="inlineStr"/>
      <c r="K3396" t="inlineStr">
        <is>
          <t>https://inc42.com/buzz/from-lightfury-games-to-stch-indian-startups-raised-39-mn-this-week/</t>
        </is>
      </c>
    </row>
    <row r="3397">
      <c r="A3397" t="inlineStr">
        <is>
          <t>ENT-11756516</t>
        </is>
      </c>
      <c r="B3397" t="inlineStr">
        <is>
          <t>R260423-stch</t>
        </is>
      </c>
      <c r="C3397" t="inlineStr">
        <is>
          <t>Entrackr</t>
        </is>
      </c>
      <c r="D3397" s="17" t="n">
        <v>46135</v>
      </c>
      <c r="E3397" t="inlineStr">
        <is>
          <t>STCH</t>
        </is>
      </c>
      <c r="F3397" t="inlineStr">
        <is>
          <t>$5.5 million</t>
        </is>
      </c>
      <c r="G3397" s="19" t="n"/>
      <c r="H3397" s="19" t="n">
        <v>5.5</v>
      </c>
      <c r="I3397" t="inlineStr">
        <is>
          <t>Pre-Series A</t>
        </is>
      </c>
      <c r="J3397" t="inlineStr">
        <is>
          <t>Omnivore</t>
        </is>
      </c>
      <c r="K3397" t="inlineStr">
        <is>
          <t>https://entrackr.com/snippets/former-zetwerk-executives-startup-stch-raises-7-mn-led-by-omnivore-11756516</t>
        </is>
      </c>
    </row>
    <row r="3398">
      <c r="A3398" t="inlineStr">
        <is>
          <t>INC-20260425-03</t>
        </is>
      </c>
      <c r="B3398" t="inlineStr">
        <is>
          <t>R260423-stch</t>
        </is>
      </c>
      <c r="C3398" t="inlineStr">
        <is>
          <t>Inc42</t>
        </is>
      </c>
      <c r="D3398" s="17" t="n">
        <v>46135</v>
      </c>
      <c r="E3398" t="inlineStr">
        <is>
          <t>STCH</t>
        </is>
      </c>
      <c r="F3398" t="inlineStr">
        <is>
          <t>$5.5 Mn</t>
        </is>
      </c>
      <c r="G3398" s="19" t="n"/>
      <c r="H3398" s="19" t="n">
        <v>5.5</v>
      </c>
      <c r="I3398" t="inlineStr">
        <is>
          <t>Pre-Series A</t>
        </is>
      </c>
      <c r="J3398" t="inlineStr">
        <is>
          <t>Omnivore</t>
        </is>
      </c>
      <c r="K3398" t="inlineStr">
        <is>
          <t>https://inc42.com/buzz/from-lightfury-games-to-stch-indian-startups-raised-39-mn-this-week/</t>
        </is>
      </c>
    </row>
    <row r="3399">
      <c r="A3399" t="inlineStr">
        <is>
          <t>ENT-11760159</t>
        </is>
      </c>
      <c r="B3399" t="inlineStr">
        <is>
          <t>R260424-oolka</t>
        </is>
      </c>
      <c r="C3399" t="inlineStr">
        <is>
          <t>Entrackr</t>
        </is>
      </c>
      <c r="D3399" s="17" t="n">
        <v>46136</v>
      </c>
      <c r="E3399" t="inlineStr">
        <is>
          <t>Oolka</t>
        </is>
      </c>
      <c r="F3399" t="inlineStr">
        <is>
          <t>Rs 130 crore</t>
        </is>
      </c>
      <c r="G3399" s="19" t="n">
        <v>130</v>
      </c>
      <c r="H3399" s="19" t="n">
        <v>14</v>
      </c>
      <c r="I3399" t="inlineStr">
        <is>
          <t>Series A</t>
        </is>
      </c>
      <c r="J3399" t="inlineStr">
        <is>
          <t>Accel India; Accel India; Lightspeed; Z47</t>
        </is>
      </c>
      <c r="K3399" t="inlineStr">
        <is>
          <t>https://entrackr.com/exclusive/exclusive-oolka-raises-rs-130-cr-in-series-a-led-by-accel-at-rs-730-cr-valuation-11760159</t>
        </is>
      </c>
    </row>
    <row r="3400">
      <c r="A3400" t="inlineStr">
        <is>
          <t>ENT-11780445</t>
        </is>
      </c>
      <c r="B3400" t="inlineStr">
        <is>
          <t>R260424-oolka</t>
        </is>
      </c>
      <c r="C3400" t="inlineStr">
        <is>
          <t>Entrackr</t>
        </is>
      </c>
      <c r="D3400" s="17" t="n">
        <v>46142</v>
      </c>
      <c r="E3400" t="inlineStr">
        <is>
          <t>Oolka</t>
        </is>
      </c>
      <c r="F3400" t="inlineStr">
        <is>
          <t>$14 million</t>
        </is>
      </c>
      <c r="G3400" s="19" t="n">
        <v>130</v>
      </c>
      <c r="H3400" s="19" t="n">
        <v>14</v>
      </c>
      <c r="I3400" t="inlineStr">
        <is>
          <t>Series A</t>
        </is>
      </c>
      <c r="J3400" t="inlineStr">
        <is>
          <t>Accel</t>
        </is>
      </c>
      <c r="K3400" t="inlineStr">
        <is>
          <t>https://entrackr.com/news/credit-lifecycle-platform-oolka-raises-14-mn-in-series-a-led-by-accel-11780445</t>
        </is>
      </c>
    </row>
    <row r="3401">
      <c r="A3401" t="inlineStr">
        <is>
          <t>ET-130620781</t>
        </is>
      </c>
      <c r="B3401" t="inlineStr">
        <is>
          <t>R260424-oolka</t>
        </is>
      </c>
      <c r="C3401" t="inlineStr">
        <is>
          <t>The Economic Times</t>
        </is>
      </c>
      <c r="D3401" s="17" t="n">
        <v>46142</v>
      </c>
      <c r="E3401" t="inlineStr">
        <is>
          <t>Oolka</t>
        </is>
      </c>
      <c r="F3401" t="inlineStr">
        <is>
          <t>$14 million</t>
        </is>
      </c>
      <c r="G3401" s="19" t="n"/>
      <c r="H3401" s="19" t="n">
        <v>14</v>
      </c>
      <c r="I3401" t="inlineStr">
        <is>
          <t>Undisclosed</t>
        </is>
      </c>
      <c r="J3401" t="inlineStr">
        <is>
          <t>Accel</t>
        </is>
      </c>
      <c r="K3401" t="inlineStr">
        <is>
          <t>https://economictimes.indiatimes.com/tech/funding/oolka-raises-14-million-led-by-accel/articleshow/130620781.cms</t>
        </is>
      </c>
    </row>
    <row r="3402">
      <c r="A3402" t="inlineStr">
        <is>
          <t>INC-20260502-06</t>
        </is>
      </c>
      <c r="B3402" t="inlineStr">
        <is>
          <t>R260424-oolka</t>
        </is>
      </c>
      <c r="C3402" t="inlineStr">
        <is>
          <t>Inc42</t>
        </is>
      </c>
      <c r="D3402" s="17" t="n">
        <v>46142</v>
      </c>
      <c r="E3402" t="inlineStr">
        <is>
          <t>Oolka</t>
        </is>
      </c>
      <c r="F3402" t="inlineStr">
        <is>
          <t>$14 Mn</t>
        </is>
      </c>
      <c r="G3402" s="19" t="n"/>
      <c r="H3402" s="19" t="n">
        <v>14</v>
      </c>
      <c r="I3402" t="inlineStr">
        <is>
          <t>Series A</t>
        </is>
      </c>
      <c r="J3402" t="inlineStr">
        <is>
          <t>Accel</t>
        </is>
      </c>
      <c r="K3402" t="inlineStr">
        <is>
          <t>https://inc42.com/buzz/from-snabbit-to-sahi-indian-startups-raised-204-mn-this-week/</t>
        </is>
      </c>
    </row>
    <row r="3403">
      <c r="A3403" t="inlineStr">
        <is>
          <t>INC-20260502-19</t>
        </is>
      </c>
      <c r="B3403" t="inlineStr">
        <is>
          <t>R260427-emomee</t>
        </is>
      </c>
      <c r="C3403" t="inlineStr">
        <is>
          <t>Inc42</t>
        </is>
      </c>
      <c r="D3403" s="17" t="n">
        <v>46139</v>
      </c>
      <c r="E3403" t="inlineStr">
        <is>
          <t>EMoMee</t>
        </is>
      </c>
      <c r="F3403" t="inlineStr"/>
      <c r="G3403" s="19" t="n"/>
      <c r="H3403" s="19" t="n"/>
      <c r="I3403" t="inlineStr">
        <is>
          <t>Undisclosed</t>
        </is>
      </c>
      <c r="J3403" t="inlineStr"/>
      <c r="K3403" t="inlineStr">
        <is>
          <t>https://inc42.com/buzz/from-snabbit-to-sahi-indian-startups-raised-204-mn-this-week/</t>
        </is>
      </c>
    </row>
    <row r="3404">
      <c r="A3404" t="inlineStr">
        <is>
          <t>ENT-11770204</t>
        </is>
      </c>
      <c r="B3404" t="inlineStr">
        <is>
          <t>R260427-metasportsinte</t>
        </is>
      </c>
      <c r="C3404" t="inlineStr">
        <is>
          <t>Entrackr</t>
        </is>
      </c>
      <c r="D3404" s="17" t="n">
        <v>46139</v>
      </c>
      <c r="E3404" t="inlineStr">
        <is>
          <t>Metasports Interactive</t>
        </is>
      </c>
      <c r="F3404" t="inlineStr">
        <is>
          <t>$20 million</t>
        </is>
      </c>
      <c r="G3404" s="19" t="n"/>
      <c r="H3404" s="19" t="n">
        <v>20</v>
      </c>
      <c r="I3404" t="inlineStr">
        <is>
          <t>Undisclosed</t>
        </is>
      </c>
      <c r="J3404" t="inlineStr"/>
      <c r="K3404" t="inlineStr">
        <is>
          <t>https://entrackr.com/snippets/metasports-interactive-secures-20-mn-in-user-acquisition-funding-from-metica-11770204</t>
        </is>
      </c>
    </row>
    <row r="3405">
      <c r="A3405" t="inlineStr">
        <is>
          <t>INC-20260502-04</t>
        </is>
      </c>
      <c r="B3405" t="inlineStr">
        <is>
          <t>R260427-metasportsinte</t>
        </is>
      </c>
      <c r="C3405" t="inlineStr">
        <is>
          <t>Inc42</t>
        </is>
      </c>
      <c r="D3405" s="17" t="n">
        <v>46139</v>
      </c>
      <c r="E3405" t="inlineStr">
        <is>
          <t>Metasports Interactive</t>
        </is>
      </c>
      <c r="F3405" t="inlineStr">
        <is>
          <t>$20 Mn</t>
        </is>
      </c>
      <c r="G3405" s="19" t="n"/>
      <c r="H3405" s="19" t="n">
        <v>20</v>
      </c>
      <c r="I3405" t="inlineStr">
        <is>
          <t>Debt</t>
        </is>
      </c>
      <c r="J3405" t="inlineStr">
        <is>
          <t>Metica</t>
        </is>
      </c>
      <c r="K3405" t="inlineStr">
        <is>
          <t>https://inc42.com/buzz/from-snabbit-to-sahi-indian-startups-raised-204-mn-this-week/</t>
        </is>
      </c>
    </row>
    <row r="3406">
      <c r="A3406" t="inlineStr">
        <is>
          <t>INC-20260502-09</t>
        </is>
      </c>
      <c r="B3406" t="inlineStr">
        <is>
          <t>R260427-morphingmachin</t>
        </is>
      </c>
      <c r="C3406" t="inlineStr">
        <is>
          <t>Inc42</t>
        </is>
      </c>
      <c r="D3406" s="17" t="n">
        <v>46139</v>
      </c>
      <c r="E3406" t="inlineStr">
        <is>
          <t>Morphing Machines</t>
        </is>
      </c>
      <c r="F3406" t="inlineStr">
        <is>
          <t>$4.4 Mn</t>
        </is>
      </c>
      <c r="G3406" s="19" t="n"/>
      <c r="H3406" s="19" t="n">
        <v>4.4</v>
      </c>
      <c r="I3406" t="inlineStr">
        <is>
          <t>Series A</t>
        </is>
      </c>
      <c r="J3406" t="inlineStr"/>
      <c r="K3406" t="inlineStr">
        <is>
          <t>https://inc42.com/buzz/from-snabbit-to-sahi-indian-startups-raised-204-mn-this-week/</t>
        </is>
      </c>
    </row>
    <row r="3407">
      <c r="A3407" t="inlineStr">
        <is>
          <t>ENT-11774330</t>
        </is>
      </c>
      <c r="B3407" t="inlineStr">
        <is>
          <t>R260428-batterysmart</t>
        </is>
      </c>
      <c r="C3407" t="inlineStr">
        <is>
          <t>Entrackr</t>
        </is>
      </c>
      <c r="D3407" s="17" t="n">
        <v>46140</v>
      </c>
      <c r="E3407" t="inlineStr">
        <is>
          <t>Battery Smart</t>
        </is>
      </c>
      <c r="F3407" t="inlineStr">
        <is>
          <t>$15 million</t>
        </is>
      </c>
      <c r="G3407" s="19" t="n"/>
      <c r="H3407" s="19" t="n">
        <v>15</v>
      </c>
      <c r="I3407" t="inlineStr">
        <is>
          <t>Debt</t>
        </is>
      </c>
      <c r="J3407" t="inlineStr"/>
      <c r="K3407" t="inlineStr">
        <is>
          <t>https://entrackr.com/snippets/battery-smart-secures-15-mn-in-debt-from-mirova-11774330</t>
        </is>
      </c>
    </row>
    <row r="3408">
      <c r="A3408" t="inlineStr">
        <is>
          <t>INC-20260502-05</t>
        </is>
      </c>
      <c r="B3408" t="inlineStr">
        <is>
          <t>R260428-batterysmart</t>
        </is>
      </c>
      <c r="C3408" t="inlineStr">
        <is>
          <t>Inc42</t>
        </is>
      </c>
      <c r="D3408" s="17" t="n">
        <v>46140</v>
      </c>
      <c r="E3408" t="inlineStr">
        <is>
          <t>Battery Smart</t>
        </is>
      </c>
      <c r="F3408" t="inlineStr">
        <is>
          <t>$15 Mn</t>
        </is>
      </c>
      <c r="G3408" s="19" t="n"/>
      <c r="H3408" s="19" t="n">
        <v>15</v>
      </c>
      <c r="I3408" t="inlineStr">
        <is>
          <t>Debt</t>
        </is>
      </c>
      <c r="J3408" t="inlineStr">
        <is>
          <t>Mirova</t>
        </is>
      </c>
      <c r="K3408" t="inlineStr">
        <is>
          <t>https://inc42.com/buzz/from-snabbit-to-sahi-indian-startups-raised-204-mn-this-week/</t>
        </is>
      </c>
    </row>
    <row r="3409">
      <c r="A3409" t="inlineStr">
        <is>
          <t>ET-130583423</t>
        </is>
      </c>
      <c r="B3409" t="inlineStr">
        <is>
          <t>R260428-credilio</t>
        </is>
      </c>
      <c r="C3409" t="inlineStr">
        <is>
          <t>The Economic Times</t>
        </is>
      </c>
      <c r="D3409" s="17" t="n">
        <v>46140</v>
      </c>
      <c r="E3409" t="inlineStr">
        <is>
          <t>Credilio</t>
        </is>
      </c>
      <c r="F3409" t="inlineStr">
        <is>
          <t>Rs 78 crore</t>
        </is>
      </c>
      <c r="G3409" s="19" t="n">
        <v>78</v>
      </c>
      <c r="H3409" s="19" t="n"/>
      <c r="I3409" t="inlineStr">
        <is>
          <t>Undisclosed</t>
        </is>
      </c>
      <c r="J3409" t="inlineStr">
        <is>
          <t>Cornerstone Ventures</t>
        </is>
      </c>
      <c r="K3409" t="inlineStr">
        <is>
          <t>https://economictimes.indiatimes.com/tech/funding/fintech-firm-novio-raises-rs-78-crore-led-by-cornerstone-ventures/articleshow/130583423.cms</t>
        </is>
      </c>
    </row>
    <row r="3410">
      <c r="A3410" t="inlineStr">
        <is>
          <t>INC-20260502-08</t>
        </is>
      </c>
      <c r="B3410" t="inlineStr">
        <is>
          <t>R260428-credilio</t>
        </is>
      </c>
      <c r="C3410" t="inlineStr">
        <is>
          <t>Inc42</t>
        </is>
      </c>
      <c r="D3410" s="17" t="n">
        <v>46140</v>
      </c>
      <c r="E3410" t="inlineStr">
        <is>
          <t>Credilio</t>
        </is>
      </c>
      <c r="F3410" t="inlineStr">
        <is>
          <t>$10.5 Mn</t>
        </is>
      </c>
      <c r="G3410" s="19" t="n"/>
      <c r="H3410" s="19" t="n">
        <v>10.5</v>
      </c>
      <c r="I3410" t="inlineStr">
        <is>
          <t>Series A</t>
        </is>
      </c>
      <c r="J3410" t="inlineStr">
        <is>
          <t>Cornerstone Ventures</t>
        </is>
      </c>
      <c r="K3410" t="inlineStr">
        <is>
          <t>https://inc42.com/buzz/from-snabbit-to-sahi-indian-startups-raised-204-mn-this-week/</t>
        </is>
      </c>
    </row>
    <row r="3411">
      <c r="A3411" t="inlineStr">
        <is>
          <t>ENT-11774125</t>
        </is>
      </c>
      <c r="B3411" t="inlineStr">
        <is>
          <t>R260428-houseofchikank</t>
        </is>
      </c>
      <c r="C3411" t="inlineStr">
        <is>
          <t>Entrackr</t>
        </is>
      </c>
      <c r="D3411" s="17" t="n">
        <v>46140</v>
      </c>
      <c r="E3411" t="inlineStr">
        <is>
          <t>House of Chikankari</t>
        </is>
      </c>
      <c r="F3411" t="inlineStr">
        <is>
          <t>Rs 25 crore</t>
        </is>
      </c>
      <c r="G3411" s="19" t="n">
        <v>25</v>
      </c>
      <c r="H3411" s="19" t="n"/>
      <c r="I3411" t="inlineStr">
        <is>
          <t>Series A</t>
        </is>
      </c>
      <c r="J3411" t="inlineStr">
        <is>
          <t>Cap Alpha Ventures</t>
        </is>
      </c>
      <c r="K3411" t="inlineStr">
        <is>
          <t>https://entrackr.com/snippets/cap-alpha-ventures-leads-rs-25-cr-in-series-a-round-in-house-of-chikankari-11774125</t>
        </is>
      </c>
    </row>
    <row r="3412">
      <c r="A3412" t="inlineStr">
        <is>
          <t>INC-20260502-12</t>
        </is>
      </c>
      <c r="B3412" t="inlineStr">
        <is>
          <t>R260428-houseofchikank</t>
        </is>
      </c>
      <c r="C3412" t="inlineStr">
        <is>
          <t>Inc42</t>
        </is>
      </c>
      <c r="D3412" s="17" t="n">
        <v>46140</v>
      </c>
      <c r="E3412" t="inlineStr">
        <is>
          <t>House Of Chikankari</t>
        </is>
      </c>
      <c r="F3412" t="inlineStr">
        <is>
          <t>$2.6 Mn</t>
        </is>
      </c>
      <c r="G3412" s="19" t="n"/>
      <c r="H3412" s="19" t="n">
        <v>2.6</v>
      </c>
      <c r="I3412" t="inlineStr">
        <is>
          <t>Series A</t>
        </is>
      </c>
      <c r="J3412" t="inlineStr">
        <is>
          <t>Cap Alpha Ventures</t>
        </is>
      </c>
      <c r="K3412" t="inlineStr">
        <is>
          <t>https://inc42.com/buzz/from-snabbit-to-sahi-indian-startups-raised-204-mn-this-week/</t>
        </is>
      </c>
    </row>
    <row r="3413">
      <c r="A3413" t="inlineStr">
        <is>
          <t>ET-130587957</t>
        </is>
      </c>
      <c r="B3413" t="inlineStr">
        <is>
          <t>R260428-houseofchikank</t>
        </is>
      </c>
      <c r="C3413" t="inlineStr">
        <is>
          <t>The Economic Times</t>
        </is>
      </c>
      <c r="D3413" s="17" t="n">
        <v>46141</v>
      </c>
      <c r="E3413" t="inlineStr">
        <is>
          <t>House of Chikankari</t>
        </is>
      </c>
      <c r="F3413" t="inlineStr">
        <is>
          <t>Rs 25 crore</t>
        </is>
      </c>
      <c r="G3413" s="19" t="n">
        <v>25</v>
      </c>
      <c r="H3413" s="19" t="n"/>
      <c r="I3413" t="inlineStr">
        <is>
          <t>Series A</t>
        </is>
      </c>
      <c r="J3413" t="inlineStr"/>
      <c r="K3413" t="inlineStr">
        <is>
          <t>https://economictimes.indiatimes.com/tech/funding/d2c-apparel-brand-house-of-chikankari-raises-rs-25-crore-from-cap-alpha-ventures/articleshow/130587957.cms</t>
        </is>
      </c>
    </row>
    <row r="3414">
      <c r="A3414" t="inlineStr">
        <is>
          <t>ENT-11773511</t>
        </is>
      </c>
      <c r="B3414" t="inlineStr">
        <is>
          <t>R260428-hyugalife</t>
        </is>
      </c>
      <c r="C3414" t="inlineStr">
        <is>
          <t>Entrackr</t>
        </is>
      </c>
      <c r="D3414" s="17" t="n">
        <v>46140</v>
      </c>
      <c r="E3414" t="inlineStr">
        <is>
          <t>HyugaLife</t>
        </is>
      </c>
      <c r="F3414" t="inlineStr">
        <is>
          <t>Rs 100 crore</t>
        </is>
      </c>
      <c r="G3414" s="19" t="n">
        <v>100</v>
      </c>
      <c r="H3414" s="19" t="n">
        <v>10.5</v>
      </c>
      <c r="I3414" t="inlineStr">
        <is>
          <t>Series A</t>
        </is>
      </c>
      <c r="J3414" t="inlineStr">
        <is>
          <t>IvyCap Ventures</t>
        </is>
      </c>
      <c r="K3414" t="inlineStr">
        <is>
          <t>https://entrackr.com/news/hyugalife-raises-105-mn-in-series-a-round-led-by-ivycap-ventures-11773511</t>
        </is>
      </c>
    </row>
    <row r="3415">
      <c r="A3415" t="inlineStr">
        <is>
          <t>INC-20260502-07</t>
        </is>
      </c>
      <c r="B3415" t="inlineStr">
        <is>
          <t>R260428-hyugalife</t>
        </is>
      </c>
      <c r="C3415" t="inlineStr">
        <is>
          <t>Inc42</t>
        </is>
      </c>
      <c r="D3415" s="17" t="n">
        <v>46140</v>
      </c>
      <c r="E3415" t="inlineStr">
        <is>
          <t>HyugaLife</t>
        </is>
      </c>
      <c r="F3415" t="inlineStr">
        <is>
          <t>$10.5 Mn</t>
        </is>
      </c>
      <c r="G3415" s="19" t="n"/>
      <c r="H3415" s="19" t="n">
        <v>10.5</v>
      </c>
      <c r="I3415" t="inlineStr">
        <is>
          <t>Series A</t>
        </is>
      </c>
      <c r="J3415" t="inlineStr">
        <is>
          <t>IvyCap Ventures</t>
        </is>
      </c>
      <c r="K3415" t="inlineStr">
        <is>
          <t>https://inc42.com/buzz/from-snabbit-to-sahi-indian-startups-raised-204-mn-this-week/</t>
        </is>
      </c>
    </row>
    <row r="3416">
      <c r="A3416" t="inlineStr">
        <is>
          <t>ET-130583106</t>
        </is>
      </c>
      <c r="B3416" t="inlineStr">
        <is>
          <t>R260428-kissht</t>
        </is>
      </c>
      <c r="C3416" t="inlineStr">
        <is>
          <t>The Economic Times</t>
        </is>
      </c>
      <c r="D3416" s="17" t="n">
        <v>46140</v>
      </c>
      <c r="E3416" t="inlineStr">
        <is>
          <t>Kissht</t>
        </is>
      </c>
      <c r="F3416" t="inlineStr">
        <is>
          <t>Rs 40 crore</t>
        </is>
      </c>
      <c r="G3416" s="19" t="n">
        <v>40</v>
      </c>
      <c r="H3416" s="19" t="n"/>
      <c r="I3416" t="inlineStr">
        <is>
          <t>Undisclosed</t>
        </is>
      </c>
      <c r="J3416" t="inlineStr"/>
      <c r="K3416" t="inlineStr">
        <is>
          <t>https://economictimes.indiatimes.com/tech/startups/founders-invest-rs-40-crore-in-kissht-at-a-premium-days-before-ipo/articleshow/130583106.cms</t>
        </is>
      </c>
    </row>
    <row r="3417">
      <c r="A3417" t="inlineStr">
        <is>
          <t>ENT-11771315</t>
        </is>
      </c>
      <c r="B3417" t="inlineStr">
        <is>
          <t>R260428-kovon</t>
        </is>
      </c>
      <c r="C3417" t="inlineStr">
        <is>
          <t>Entrackr</t>
        </is>
      </c>
      <c r="D3417" s="17" t="n">
        <v>46140</v>
      </c>
      <c r="E3417" t="inlineStr">
        <is>
          <t>Kovon</t>
        </is>
      </c>
      <c r="F3417" t="inlineStr">
        <is>
          <t>$250K</t>
        </is>
      </c>
      <c r="G3417" s="19" t="n"/>
      <c r="H3417" s="19" t="n">
        <v>0.25</v>
      </c>
      <c r="I3417" t="inlineStr">
        <is>
          <t>Pre-Seed</t>
        </is>
      </c>
      <c r="J3417" t="inlineStr">
        <is>
          <t>TDV Partners</t>
        </is>
      </c>
      <c r="K3417" t="inlineStr">
        <is>
          <t>https://entrackr.com/snippets/workforce-mobility-platform-kovon-raises-pre-seed-led-by-tdv-partners-11771315</t>
        </is>
      </c>
    </row>
    <row r="3418">
      <c r="A3418" t="inlineStr">
        <is>
          <t>INC-20260502-18</t>
        </is>
      </c>
      <c r="B3418" t="inlineStr">
        <is>
          <t>R260428-kovon</t>
        </is>
      </c>
      <c r="C3418" t="inlineStr">
        <is>
          <t>Inc42</t>
        </is>
      </c>
      <c r="D3418" s="17" t="n">
        <v>46140</v>
      </c>
      <c r="E3418" t="inlineStr">
        <is>
          <t>Kovon</t>
        </is>
      </c>
      <c r="F3418" t="inlineStr">
        <is>
          <t>$250K</t>
        </is>
      </c>
      <c r="G3418" s="19" t="n"/>
      <c r="H3418" s="19" t="n">
        <v>0.25</v>
      </c>
      <c r="I3418" t="inlineStr">
        <is>
          <t>Pre-Seed</t>
        </is>
      </c>
      <c r="J3418" t="inlineStr">
        <is>
          <t>TDV Partners</t>
        </is>
      </c>
      <c r="K3418" t="inlineStr">
        <is>
          <t>https://inc42.com/buzz/from-snabbit-to-sahi-indian-startups-raised-204-mn-this-week/</t>
        </is>
      </c>
    </row>
    <row r="3419">
      <c r="A3419" t="inlineStr">
        <is>
          <t>ENT-11774441</t>
        </is>
      </c>
      <c r="B3419" t="inlineStr">
        <is>
          <t>R260428-mojrotechnolog</t>
        </is>
      </c>
      <c r="C3419" t="inlineStr">
        <is>
          <t>Entrackr</t>
        </is>
      </c>
      <c r="D3419" s="17" t="n">
        <v>46140</v>
      </c>
      <c r="E3419" t="inlineStr">
        <is>
          <t>Mojro Technologies</t>
        </is>
      </c>
      <c r="F3419" t="inlineStr">
        <is>
          <t>$5.5 million</t>
        </is>
      </c>
      <c r="G3419" s="19" t="n"/>
      <c r="H3419" s="19" t="n">
        <v>5.5</v>
      </c>
      <c r="I3419" t="inlineStr">
        <is>
          <t>Series A</t>
        </is>
      </c>
      <c r="J3419" t="inlineStr">
        <is>
          <t>IAN Alpha Fund</t>
        </is>
      </c>
      <c r="K3419" t="inlineStr">
        <is>
          <t>https://entrackr.com/snippets/mojro-technologies-raises-55-mn-led-by-dallas-venture-capital-11774441</t>
        </is>
      </c>
    </row>
    <row r="3420">
      <c r="A3420" t="inlineStr">
        <is>
          <t>INC-20260502-14</t>
        </is>
      </c>
      <c r="B3420" t="inlineStr">
        <is>
          <t>R260428-mojrotechnolog</t>
        </is>
      </c>
      <c r="C3420" t="inlineStr">
        <is>
          <t>Inc42</t>
        </is>
      </c>
      <c r="D3420" s="17" t="n">
        <v>46140</v>
      </c>
      <c r="E3420" t="inlineStr">
        <is>
          <t>Mojro</t>
        </is>
      </c>
      <c r="F3420" t="inlineStr">
        <is>
          <t>$2.5 Mn</t>
        </is>
      </c>
      <c r="G3420" s="19" t="n"/>
      <c r="H3420" s="19" t="n">
        <v>2.5</v>
      </c>
      <c r="I3420" t="inlineStr">
        <is>
          <t>Series A</t>
        </is>
      </c>
      <c r="J3420" t="inlineStr">
        <is>
          <t>Dallas Venture Capital</t>
        </is>
      </c>
      <c r="K3420" t="inlineStr">
        <is>
          <t>https://inc42.com/buzz/from-snabbit-to-sahi-indian-startups-raised-204-mn-this-week/</t>
        </is>
      </c>
    </row>
    <row r="3421">
      <c r="A3421" t="inlineStr">
        <is>
          <t>ENT-11775916</t>
        </is>
      </c>
      <c r="B3421" t="inlineStr">
        <is>
          <t>R260428-novio</t>
        </is>
      </c>
      <c r="C3421" t="inlineStr">
        <is>
          <t>Entrackr</t>
        </is>
      </c>
      <c r="D3421" s="17" t="n">
        <v>46140</v>
      </c>
      <c r="E3421" t="inlineStr">
        <is>
          <t>Novio</t>
        </is>
      </c>
      <c r="F3421" t="inlineStr">
        <is>
          <t>Rs 100 crore</t>
        </is>
      </c>
      <c r="G3421" s="19" t="n">
        <v>100</v>
      </c>
      <c r="H3421" s="19" t="n">
        <v>10.5</v>
      </c>
      <c r="I3421" t="inlineStr">
        <is>
          <t>Series A</t>
        </is>
      </c>
      <c r="J3421" t="inlineStr">
        <is>
          <t>Cornerstone Ventures</t>
        </is>
      </c>
      <c r="K3421" t="inlineStr">
        <is>
          <t>https://entrackr.com/snippets/fintech-startup-novio-raises-rs-100-cr-in-series-a-led-by-cornerstone-ventures-11775916</t>
        </is>
      </c>
    </row>
    <row r="3422">
      <c r="A3422" t="inlineStr">
        <is>
          <t>ET-130569794</t>
        </is>
      </c>
      <c r="B3422" t="inlineStr">
        <is>
          <t>R260428-sahamati</t>
        </is>
      </c>
      <c r="C3422" t="inlineStr">
        <is>
          <t>The Economic Times</t>
        </is>
      </c>
      <c r="D3422" s="17" t="n">
        <v>46140</v>
      </c>
      <c r="E3422" t="inlineStr">
        <is>
          <t>Sahamati</t>
        </is>
      </c>
      <c r="F3422" t="inlineStr">
        <is>
          <t>Rs 50 crore</t>
        </is>
      </c>
      <c r="G3422" s="19" t="n">
        <v>50</v>
      </c>
      <c r="H3422" s="19" t="n"/>
      <c r="I3422" t="inlineStr">
        <is>
          <t>Undisclosed</t>
        </is>
      </c>
      <c r="J3422" t="inlineStr"/>
      <c r="K3422" t="inlineStr">
        <is>
          <t>https://economictimes.indiatimes.com/tech/funding/sahamati-secures-rs-50-crore-in-funding-from-large-banks-amcs-stockbrokers-and-fintechs/articleshow/130569794.cms</t>
        </is>
      </c>
    </row>
    <row r="3423">
      <c r="A3423" t="inlineStr">
        <is>
          <t>ENT-11773254</t>
        </is>
      </c>
      <c r="B3423" t="inlineStr">
        <is>
          <t>R260428-snabbit</t>
        </is>
      </c>
      <c r="C3423" t="inlineStr">
        <is>
          <t>Entrackr</t>
        </is>
      </c>
      <c r="D3423" s="17" t="n">
        <v>46140</v>
      </c>
      <c r="E3423" t="inlineStr">
        <is>
          <t>Snabbit</t>
        </is>
      </c>
      <c r="F3423" t="inlineStr">
        <is>
          <t>$56 million</t>
        </is>
      </c>
      <c r="G3423" s="19" t="n"/>
      <c r="H3423" s="19" t="n">
        <v>56</v>
      </c>
      <c r="I3423" t="inlineStr">
        <is>
          <t>Series D</t>
        </is>
      </c>
      <c r="J3423" t="inlineStr"/>
      <c r="K3423" t="inlineStr">
        <is>
          <t>https://entrackr.com/news/snabbit-raises-56-mn-in-series-d-round-11773254</t>
        </is>
      </c>
    </row>
    <row r="3424">
      <c r="A3424" t="inlineStr">
        <is>
          <t>INC-20260502-01</t>
        </is>
      </c>
      <c r="B3424" t="inlineStr">
        <is>
          <t>R260428-snabbit</t>
        </is>
      </c>
      <c r="C3424" t="inlineStr">
        <is>
          <t>Inc42</t>
        </is>
      </c>
      <c r="D3424" s="17" t="n">
        <v>46140</v>
      </c>
      <c r="E3424" t="inlineStr">
        <is>
          <t>Snabbit</t>
        </is>
      </c>
      <c r="F3424" t="inlineStr">
        <is>
          <t>$56 Mn</t>
        </is>
      </c>
      <c r="G3424" s="19" t="n"/>
      <c r="H3424" s="19" t="n">
        <v>56</v>
      </c>
      <c r="I3424" t="inlineStr">
        <is>
          <t>Series D</t>
        </is>
      </c>
      <c r="J3424" t="inlineStr">
        <is>
          <t>Susquehanna Venture Capital; Mirae Asset Venture Investments; Bertelsmann India Investments</t>
        </is>
      </c>
      <c r="K3424" t="inlineStr">
        <is>
          <t>https://inc42.com/buzz/from-snabbit-to-sahi-indian-startups-raised-204-mn-this-week/</t>
        </is>
      </c>
    </row>
    <row r="3425">
      <c r="A3425" t="inlineStr">
        <is>
          <t>VCC-e06c595434</t>
        </is>
      </c>
      <c r="B3425" t="inlineStr">
        <is>
          <t>R260428-snabbit</t>
        </is>
      </c>
      <c r="C3425" t="inlineStr">
        <is>
          <t>VCCircle</t>
        </is>
      </c>
      <c r="D3425" s="17" t="n">
        <v>46140</v>
      </c>
      <c r="E3425" t="inlineStr">
        <is>
          <t>snabbit</t>
        </is>
      </c>
      <c r="F3425" t="inlineStr"/>
      <c r="G3425" s="19" t="n"/>
      <c r="H3425" s="19" t="n"/>
      <c r="I3425" t="inlineStr">
        <is>
          <t>Series D</t>
        </is>
      </c>
      <c r="J3425" t="inlineStr"/>
      <c r="K3425" t="inlineStr">
        <is>
          <t>https://www.vccircle.com/susquehannavc-mirae-asset-bertelsmann-co-lead-snabbit-s-series-d-funding</t>
        </is>
      </c>
    </row>
    <row r="3426">
      <c r="A3426" t="inlineStr">
        <is>
          <t>INC-20260502-11</t>
        </is>
      </c>
      <c r="B3426" t="inlineStr">
        <is>
          <t>R260429-optimizedelect</t>
        </is>
      </c>
      <c r="C3426" t="inlineStr">
        <is>
          <t>Inc42</t>
        </is>
      </c>
      <c r="D3426" s="17" t="n">
        <v>46141</v>
      </c>
      <c r="E3426" t="inlineStr">
        <is>
          <t>Optimized Electrotech</t>
        </is>
      </c>
      <c r="F3426" t="inlineStr">
        <is>
          <t>$3.7 Mn</t>
        </is>
      </c>
      <c r="G3426" s="19" t="n"/>
      <c r="H3426" s="19" t="n">
        <v>3.7</v>
      </c>
      <c r="I3426" t="inlineStr">
        <is>
          <t>Undisclosed</t>
        </is>
      </c>
      <c r="J3426" t="inlineStr">
        <is>
          <t>Exfinity Ventures</t>
        </is>
      </c>
      <c r="K3426" t="inlineStr">
        <is>
          <t>https://inc42.com/buzz/from-snabbit-to-sahi-indian-startups-raised-204-mn-this-week/</t>
        </is>
      </c>
    </row>
    <row r="3427">
      <c r="A3427" t="inlineStr">
        <is>
          <t>ENT-11777909</t>
        </is>
      </c>
      <c r="B3427" t="inlineStr">
        <is>
          <t>R260429-prithu</t>
        </is>
      </c>
      <c r="C3427" t="inlineStr">
        <is>
          <t>Entrackr</t>
        </is>
      </c>
      <c r="D3427" s="17" t="n">
        <v>46141</v>
      </c>
      <c r="E3427" t="inlineStr">
        <is>
          <t>Prithu</t>
        </is>
      </c>
      <c r="F3427" t="inlineStr">
        <is>
          <t>Rs 10 crore</t>
        </is>
      </c>
      <c r="G3427" s="19" t="n">
        <v>10</v>
      </c>
      <c r="H3427" s="19" t="n"/>
      <c r="I3427" t="inlineStr">
        <is>
          <t>Seed</t>
        </is>
      </c>
      <c r="J3427" t="inlineStr">
        <is>
          <t>Transition VC</t>
        </is>
      </c>
      <c r="K3427" t="inlineStr">
        <is>
          <t>https://entrackr.com/snippets/climate-tech-startup-prithu-raises-rs-10-cr-in-seed-round-led-by-transition-vc-11777909</t>
        </is>
      </c>
    </row>
    <row r="3428">
      <c r="A3428" t="inlineStr">
        <is>
          <t>ET-130603141</t>
        </is>
      </c>
      <c r="B3428" t="inlineStr">
        <is>
          <t>R260429-prithu</t>
        </is>
      </c>
      <c r="C3428" t="inlineStr">
        <is>
          <t>The Economic Times</t>
        </is>
      </c>
      <c r="D3428" s="17" t="n">
        <v>46141</v>
      </c>
      <c r="E3428" t="inlineStr">
        <is>
          <t>Prithu</t>
        </is>
      </c>
      <c r="F3428" t="inlineStr">
        <is>
          <t>Rs 10 crore</t>
        </is>
      </c>
      <c r="G3428" s="19" t="n">
        <v>10</v>
      </c>
      <c r="H3428" s="19" t="n"/>
      <c r="I3428" t="inlineStr">
        <is>
          <t>Undisclosed</t>
        </is>
      </c>
      <c r="J3428" t="inlineStr">
        <is>
          <t>Transition VC</t>
        </is>
      </c>
      <c r="K3428" t="inlineStr">
        <is>
          <t>https://economictimes.indiatimes.com/tech/startups/climate-tech-startup-prithu-raises-rs-10-crore-in-funding-round/articleshow/130603141.cms</t>
        </is>
      </c>
    </row>
    <row r="3429">
      <c r="A3429" t="inlineStr">
        <is>
          <t>INC-20260502-15</t>
        </is>
      </c>
      <c r="B3429" t="inlineStr">
        <is>
          <t>R260429-prithu</t>
        </is>
      </c>
      <c r="C3429" t="inlineStr">
        <is>
          <t>Inc42</t>
        </is>
      </c>
      <c r="D3429" s="17" t="n">
        <v>46141</v>
      </c>
      <c r="E3429" t="inlineStr">
        <is>
          <t>Prithu</t>
        </is>
      </c>
      <c r="F3429" t="inlineStr">
        <is>
          <t>$1.1 Mn</t>
        </is>
      </c>
      <c r="G3429" s="19" t="n"/>
      <c r="H3429" s="19" t="n">
        <v>1.1</v>
      </c>
      <c r="I3429" t="inlineStr">
        <is>
          <t>Undisclosed</t>
        </is>
      </c>
      <c r="J3429" t="inlineStr">
        <is>
          <t>Transition VC</t>
        </is>
      </c>
      <c r="K3429" t="inlineStr">
        <is>
          <t>https://inc42.com/buzz/from-snabbit-to-sahi-indian-startups-raised-204-mn-this-week/</t>
        </is>
      </c>
    </row>
    <row r="3430">
      <c r="A3430" t="inlineStr">
        <is>
          <t>ENT-11776820</t>
        </is>
      </c>
      <c r="B3430" t="inlineStr">
        <is>
          <t>R260429-sahi</t>
        </is>
      </c>
      <c r="C3430" t="inlineStr">
        <is>
          <t>Entrackr</t>
        </is>
      </c>
      <c r="D3430" s="17" t="n">
        <v>46141</v>
      </c>
      <c r="E3430" t="inlineStr">
        <is>
          <t>Sahi</t>
        </is>
      </c>
      <c r="F3430" t="inlineStr">
        <is>
          <t>$33 million</t>
        </is>
      </c>
      <c r="G3430" s="19" t="n"/>
      <c r="H3430" s="19" t="n">
        <v>33</v>
      </c>
      <c r="I3430" t="inlineStr">
        <is>
          <t>Series B</t>
        </is>
      </c>
      <c r="J3430" t="inlineStr">
        <is>
          <t>Accel</t>
        </is>
      </c>
      <c r="K3430" t="inlineStr">
        <is>
          <t>https://entrackr.com/news/dale-vazs-stock-trading-app-sahi-raises-33-mn-in-series-b-round-11776820</t>
        </is>
      </c>
    </row>
    <row r="3431">
      <c r="A3431" t="inlineStr">
        <is>
          <t>ET-130585673</t>
        </is>
      </c>
      <c r="B3431" t="inlineStr">
        <is>
          <t>R260429-sahi</t>
        </is>
      </c>
      <c r="C3431" t="inlineStr">
        <is>
          <t>The Economic Times</t>
        </is>
      </c>
      <c r="D3431" s="17" t="n">
        <v>46141</v>
      </c>
      <c r="E3431" t="inlineStr">
        <is>
          <t>Sahi</t>
        </is>
      </c>
      <c r="F3431" t="inlineStr">
        <is>
          <t>$33 million</t>
        </is>
      </c>
      <c r="G3431" s="19" t="n"/>
      <c r="H3431" s="19" t="n">
        <v>33</v>
      </c>
      <c r="I3431" t="inlineStr">
        <is>
          <t>Undisclosed</t>
        </is>
      </c>
      <c r="J3431" t="inlineStr"/>
      <c r="K3431" t="inlineStr">
        <is>
          <t>https://economictimes.indiatimes.com/tech/funding/stock-trading-startup-sahi-secures-33-million-from-accel-elevation/articleshow/130585673.cms</t>
        </is>
      </c>
    </row>
    <row r="3432">
      <c r="A3432" t="inlineStr">
        <is>
          <t>INC-20260502-02</t>
        </is>
      </c>
      <c r="B3432" t="inlineStr">
        <is>
          <t>R260429-sahi</t>
        </is>
      </c>
      <c r="C3432" t="inlineStr">
        <is>
          <t>Inc42</t>
        </is>
      </c>
      <c r="D3432" s="17" t="n">
        <v>46141</v>
      </c>
      <c r="E3432" t="inlineStr">
        <is>
          <t>Sahi</t>
        </is>
      </c>
      <c r="F3432" t="inlineStr">
        <is>
          <t>$33 Mn</t>
        </is>
      </c>
      <c r="G3432" s="19" t="n"/>
      <c r="H3432" s="19" t="n">
        <v>33</v>
      </c>
      <c r="I3432" t="inlineStr">
        <is>
          <t>Series B</t>
        </is>
      </c>
      <c r="J3432" t="inlineStr">
        <is>
          <t>Accel</t>
        </is>
      </c>
      <c r="K3432" t="inlineStr">
        <is>
          <t>https://inc42.com/buzz/from-snabbit-to-sahi-indian-startups-raised-204-mn-this-week/</t>
        </is>
      </c>
    </row>
    <row r="3433">
      <c r="A3433" t="inlineStr">
        <is>
          <t>ENT-11776924</t>
        </is>
      </c>
      <c r="B3433" t="inlineStr">
        <is>
          <t>R260429-sportvot</t>
        </is>
      </c>
      <c r="C3433" t="inlineStr">
        <is>
          <t>Entrackr</t>
        </is>
      </c>
      <c r="D3433" s="17" t="n">
        <v>46141</v>
      </c>
      <c r="E3433" t="inlineStr">
        <is>
          <t>SportVot</t>
        </is>
      </c>
      <c r="F3433" t="inlineStr">
        <is>
          <t>Rs 32.7 crore</t>
        </is>
      </c>
      <c r="G3433" s="19" t="n">
        <v>32.7</v>
      </c>
      <c r="H3433" s="19" t="n"/>
      <c r="I3433" t="inlineStr">
        <is>
          <t>Undisclosed</t>
        </is>
      </c>
      <c r="J3433" t="inlineStr">
        <is>
          <t>IAN Alpha Fund; Venture; Capital A; Succeed Innovation; Garima Vohra; Gaurav Chanana</t>
        </is>
      </c>
      <c r="K3433" t="inlineStr">
        <is>
          <t>https://entrackr.com/snippets/ian-alpha-fund-leads-rs-327-cr-round-in-sports-tech-startup-sportvot-11776924</t>
        </is>
      </c>
    </row>
    <row r="3434">
      <c r="A3434" t="inlineStr">
        <is>
          <t>ET-130587716</t>
        </is>
      </c>
      <c r="B3434" t="inlineStr">
        <is>
          <t>R260429-sportvot</t>
        </is>
      </c>
      <c r="C3434" t="inlineStr">
        <is>
          <t>The Economic Times</t>
        </is>
      </c>
      <c r="D3434" s="17" t="n">
        <v>46141</v>
      </c>
      <c r="E3434" t="inlineStr">
        <is>
          <t>SportVot</t>
        </is>
      </c>
      <c r="F3434" t="inlineStr">
        <is>
          <t>Rs 32.7 crore</t>
        </is>
      </c>
      <c r="G3434" s="19" t="n">
        <v>32.7</v>
      </c>
      <c r="H3434" s="19" t="n"/>
      <c r="I3434" t="inlineStr">
        <is>
          <t>Undisclosed</t>
        </is>
      </c>
      <c r="J3434" t="inlineStr">
        <is>
          <t>IAN Alpha Fund</t>
        </is>
      </c>
      <c r="K3434" t="inlineStr">
        <is>
          <t>https://economictimes.indiatimes.com/tech/funding/sports-tech-startup-sportvot-raises-rs-32-7-crore-led-by-ian-alpha-fund/articleshow/130587716.cms</t>
        </is>
      </c>
    </row>
    <row r="3435">
      <c r="A3435" t="inlineStr">
        <is>
          <t>INC-20260502-10</t>
        </is>
      </c>
      <c r="B3435" t="inlineStr">
        <is>
          <t>R260429-sportvot</t>
        </is>
      </c>
      <c r="C3435" t="inlineStr">
        <is>
          <t>Inc42</t>
        </is>
      </c>
      <c r="D3435" s="17" t="n">
        <v>46141</v>
      </c>
      <c r="E3435" t="inlineStr">
        <is>
          <t>SportVot</t>
        </is>
      </c>
      <c r="F3435" t="inlineStr">
        <is>
          <t>$3.8 Mn</t>
        </is>
      </c>
      <c r="G3435" s="19" t="n"/>
      <c r="H3435" s="19" t="n">
        <v>3.8</v>
      </c>
      <c r="I3435" t="inlineStr">
        <is>
          <t>Undisclosed</t>
        </is>
      </c>
      <c r="J3435" t="inlineStr">
        <is>
          <t>Indian Angel Network</t>
        </is>
      </c>
      <c r="K3435" t="inlineStr">
        <is>
          <t>https://inc42.com/buzz/from-snabbit-to-sahi-indian-startups-raised-204-mn-this-week/</t>
        </is>
      </c>
    </row>
    <row r="3436">
      <c r="A3436" t="inlineStr">
        <is>
          <t>ENT-11779394</t>
        </is>
      </c>
      <c r="B3436" t="inlineStr">
        <is>
          <t>R260429-vikraoceantech</t>
        </is>
      </c>
      <c r="C3436" t="inlineStr">
        <is>
          <t>Entrackr</t>
        </is>
      </c>
      <c r="D3436" s="17" t="n">
        <v>46141</v>
      </c>
      <c r="E3436" t="inlineStr">
        <is>
          <t>Vikra Ocean Tech</t>
        </is>
      </c>
      <c r="F3436" t="inlineStr">
        <is>
          <t>$1 million</t>
        </is>
      </c>
      <c r="G3436" s="19" t="n"/>
      <c r="H3436" s="19" t="n">
        <v>1</v>
      </c>
      <c r="I3436" t="inlineStr">
        <is>
          <t>Seed</t>
        </is>
      </c>
      <c r="J3436" t="inlineStr">
        <is>
          <t>Finvolve; India Accelerator</t>
        </is>
      </c>
      <c r="K3436" t="inlineStr">
        <is>
          <t>https://entrackr.com/snippets/vikra-ocean-tech-raises-1-mn-from-finvolve-and-india-accelerator-11779394</t>
        </is>
      </c>
    </row>
    <row r="3437">
      <c r="A3437" t="inlineStr">
        <is>
          <t>INC-20260502-17</t>
        </is>
      </c>
      <c r="B3437" t="inlineStr">
        <is>
          <t>R260429-vikraoceantech</t>
        </is>
      </c>
      <c r="C3437" t="inlineStr">
        <is>
          <t>Inc42</t>
        </is>
      </c>
      <c r="D3437" s="17" t="n">
        <v>46142</v>
      </c>
      <c r="E3437" t="inlineStr">
        <is>
          <t>VIKRA Ocean Tech</t>
        </is>
      </c>
      <c r="F3437" t="inlineStr">
        <is>
          <t>$1 Mn</t>
        </is>
      </c>
      <c r="G3437" s="19" t="n"/>
      <c r="H3437" s="19" t="n">
        <v>1</v>
      </c>
      <c r="I3437" t="inlineStr">
        <is>
          <t>Seed</t>
        </is>
      </c>
      <c r="J3437" t="inlineStr">
        <is>
          <t>Finvolve; India Accelerator</t>
        </is>
      </c>
      <c r="K3437" t="inlineStr">
        <is>
          <t>https://inc42.com/buzz/from-snabbit-to-sahi-indian-startups-raised-204-mn-this-week/</t>
        </is>
      </c>
    </row>
    <row r="3438">
      <c r="A3438" t="inlineStr">
        <is>
          <t>ENT-11781538</t>
        </is>
      </c>
      <c r="B3438" t="inlineStr">
        <is>
          <t>R260430-ctruh</t>
        </is>
      </c>
      <c r="C3438" t="inlineStr">
        <is>
          <t>Entrackr</t>
        </is>
      </c>
      <c r="D3438" s="17" t="n">
        <v>46142</v>
      </c>
      <c r="E3438" t="inlineStr">
        <is>
          <t>Ctruh</t>
        </is>
      </c>
      <c r="F3438" t="inlineStr">
        <is>
          <t>$2.5 million</t>
        </is>
      </c>
      <c r="G3438" s="19" t="n"/>
      <c r="H3438" s="19" t="n">
        <v>2.5</v>
      </c>
      <c r="I3438" t="inlineStr">
        <is>
          <t>Seed</t>
        </is>
      </c>
      <c r="J3438" t="inlineStr">
        <is>
          <t>Inflection Point Ventures; Avinya Ventures</t>
        </is>
      </c>
      <c r="K3438" t="inlineStr">
        <is>
          <t>https://entrackr.com/snippets/deep-tech-startup-ctruh-secures-25-mn-in-seed-funding-11781538</t>
        </is>
      </c>
    </row>
    <row r="3439">
      <c r="A3439" t="inlineStr">
        <is>
          <t>INC-20260502-13</t>
        </is>
      </c>
      <c r="B3439" t="inlineStr">
        <is>
          <t>R260430-ctruh</t>
        </is>
      </c>
      <c r="C3439" t="inlineStr">
        <is>
          <t>Inc42</t>
        </is>
      </c>
      <c r="D3439" s="17" t="n">
        <v>46142</v>
      </c>
      <c r="E3439" t="inlineStr">
        <is>
          <t>Ctruh</t>
        </is>
      </c>
      <c r="F3439" t="inlineStr">
        <is>
          <t>$2.5 Mn</t>
        </is>
      </c>
      <c r="G3439" s="19" t="n"/>
      <c r="H3439" s="19" t="n">
        <v>2.5</v>
      </c>
      <c r="I3439" t="inlineStr">
        <is>
          <t>Seed</t>
        </is>
      </c>
      <c r="J3439" t="inlineStr">
        <is>
          <t>Inflection Point Ventures; Avinya Ventures</t>
        </is>
      </c>
      <c r="K3439" t="inlineStr">
        <is>
          <t>https://inc42.com/buzz/from-snabbit-to-sahi-indian-startups-raised-204-mn-this-week/</t>
        </is>
      </c>
    </row>
    <row r="3440">
      <c r="A3440" t="inlineStr">
        <is>
          <t>INC-20260502-03</t>
        </is>
      </c>
      <c r="B3440" t="inlineStr">
        <is>
          <t>R260430-kimbal</t>
        </is>
      </c>
      <c r="C3440" t="inlineStr">
        <is>
          <t>Inc42</t>
        </is>
      </c>
      <c r="D3440" s="17" t="n">
        <v>46142</v>
      </c>
      <c r="E3440" t="inlineStr">
        <is>
          <t>Kimbal</t>
        </is>
      </c>
      <c r="F3440" t="inlineStr">
        <is>
          <t>$22 Mn</t>
        </is>
      </c>
      <c r="G3440" s="19" t="n"/>
      <c r="H3440" s="19" t="n">
        <v>22</v>
      </c>
      <c r="I3440" t="inlineStr">
        <is>
          <t>Series B</t>
        </is>
      </c>
      <c r="J3440" t="inlineStr">
        <is>
          <t>GEF Capital Partners</t>
        </is>
      </c>
      <c r="K3440" t="inlineStr">
        <is>
          <t>https://inc42.com/buzz/from-snabbit-to-sahi-indian-startups-raised-204-mn-this-week/</t>
        </is>
      </c>
    </row>
    <row r="3441">
      <c r="A3441" t="inlineStr">
        <is>
          <t>VCC-8ae7306424</t>
        </is>
      </c>
      <c r="B3441" t="inlineStr">
        <is>
          <t>R260430-kimbal</t>
        </is>
      </c>
      <c r="C3441" t="inlineStr">
        <is>
          <t>VCCircle</t>
        </is>
      </c>
      <c r="D3441" s="17" t="n">
        <v>46142</v>
      </c>
      <c r="E3441" t="inlineStr">
        <is>
          <t>kimbal</t>
        </is>
      </c>
      <c r="F3441" t="inlineStr"/>
      <c r="G3441" s="19" t="n"/>
      <c r="H3441" s="19" t="n"/>
      <c r="I3441" t="inlineStr">
        <is>
          <t>Series B</t>
        </is>
      </c>
      <c r="J3441" t="inlineStr"/>
      <c r="K3441" t="inlineStr">
        <is>
          <t>https://www.vccircle.com/gefcapital-leads-series-b-funding-in-energy-tech-firm-kimbal</t>
        </is>
      </c>
    </row>
    <row r="3442">
      <c r="A3442" t="inlineStr">
        <is>
          <t>ENT-11782019</t>
        </is>
      </c>
      <c r="B3442" t="inlineStr">
        <is>
          <t>R260430-ubiqedge</t>
        </is>
      </c>
      <c r="C3442" t="inlineStr">
        <is>
          <t>Entrackr</t>
        </is>
      </c>
      <c r="D3442" s="17" t="n">
        <v>46142</v>
      </c>
      <c r="E3442" t="inlineStr">
        <is>
          <t>Ubiqedge</t>
        </is>
      </c>
      <c r="F3442" t="inlineStr">
        <is>
          <t>Rs 10 crore</t>
        </is>
      </c>
      <c r="G3442" s="19" t="n">
        <v>10</v>
      </c>
      <c r="H3442" s="19" t="n"/>
      <c r="I3442" t="inlineStr">
        <is>
          <t>Seed</t>
        </is>
      </c>
      <c r="J3442" t="inlineStr">
        <is>
          <t>Piper Serica</t>
        </is>
      </c>
      <c r="K3442" t="inlineStr">
        <is>
          <t>https://entrackr.com/snippets/piper-serica-leads-rs-10-cr-seed-round-in-aiot-startup-ubiqedge-11782019</t>
        </is>
      </c>
    </row>
    <row r="3443">
      <c r="A3443" t="inlineStr">
        <is>
          <t>INC-20260502-16</t>
        </is>
      </c>
      <c r="B3443" t="inlineStr">
        <is>
          <t>R260430-ubiqedge</t>
        </is>
      </c>
      <c r="C3443" t="inlineStr">
        <is>
          <t>Inc42</t>
        </is>
      </c>
      <c r="D3443" s="17" t="n">
        <v>46142</v>
      </c>
      <c r="E3443" t="inlineStr">
        <is>
          <t>Ubiqedge</t>
        </is>
      </c>
      <c r="F3443" t="inlineStr">
        <is>
          <t>$1.1 Mn</t>
        </is>
      </c>
      <c r="G3443" s="19" t="n"/>
      <c r="H3443" s="19" t="n">
        <v>1.1</v>
      </c>
      <c r="I3443" t="inlineStr">
        <is>
          <t>Seed</t>
        </is>
      </c>
      <c r="J3443" t="inlineStr">
        <is>
          <t>Piper Serica</t>
        </is>
      </c>
      <c r="K3443" t="inlineStr">
        <is>
          <t>https://inc42.com/buzz/from-snabbit-to-sahi-indian-startups-raised-204-mn-this-week/</t>
        </is>
      </c>
    </row>
    <row r="3444">
      <c r="A3444" t="inlineStr">
        <is>
          <t>ENT-11799095</t>
        </is>
      </c>
      <c r="B3444" t="inlineStr">
        <is>
          <t>R260504-aurm</t>
        </is>
      </c>
      <c r="C3444" t="inlineStr">
        <is>
          <t>Entrackr</t>
        </is>
      </c>
      <c r="D3444" s="17" t="n">
        <v>46146</v>
      </c>
      <c r="E3444" t="inlineStr">
        <is>
          <t>Aurm</t>
        </is>
      </c>
      <c r="F3444" t="inlineStr">
        <is>
          <t>Rs 42 crore</t>
        </is>
      </c>
      <c r="G3444" s="19" t="n">
        <v>42</v>
      </c>
      <c r="H3444" s="19" t="n"/>
      <c r="I3444" t="inlineStr">
        <is>
          <t>Seed</t>
        </is>
      </c>
      <c r="J3444" t="inlineStr">
        <is>
          <t>Earth Fund; Sattva Ventures</t>
        </is>
      </c>
      <c r="K3444" t="inlineStr">
        <is>
          <t>https://entrackr.com/snippets/aurm-raises-rs-42-cr-in-series-a-round-led-by-earth-fund-and-sattva-ventures-11799095</t>
        </is>
      </c>
    </row>
    <row r="3445">
      <c r="A3445" t="inlineStr">
        <is>
          <t>INC-20260509-07</t>
        </is>
      </c>
      <c r="B3445" t="inlineStr">
        <is>
          <t>R260504-aurm</t>
        </is>
      </c>
      <c r="C3445" t="inlineStr">
        <is>
          <t>Inc42</t>
        </is>
      </c>
      <c r="D3445" s="17" t="n">
        <v>46146</v>
      </c>
      <c r="E3445" t="inlineStr">
        <is>
          <t>Aurm</t>
        </is>
      </c>
      <c r="F3445" t="inlineStr">
        <is>
          <t>$4.4 Mn</t>
        </is>
      </c>
      <c r="G3445" s="19" t="n"/>
      <c r="H3445" s="19" t="n">
        <v>4.4</v>
      </c>
      <c r="I3445" t="inlineStr">
        <is>
          <t>Series A</t>
        </is>
      </c>
      <c r="J3445" t="inlineStr">
        <is>
          <t>Earth Fund; Sattva Ventures</t>
        </is>
      </c>
      <c r="K3445" t="inlineStr">
        <is>
          <t>https://inc42.com/buzz/from-skyroot-to-pronto-indian-startups-raised-132-mn-this-week/</t>
        </is>
      </c>
    </row>
    <row r="3446">
      <c r="A3446" t="inlineStr">
        <is>
          <t>ENT-11798690</t>
        </is>
      </c>
      <c r="B3446" t="inlineStr">
        <is>
          <t>R260504-banza</t>
        </is>
      </c>
      <c r="C3446" t="inlineStr">
        <is>
          <t>Entrackr</t>
        </is>
      </c>
      <c r="D3446" s="17" t="n">
        <v>46146</v>
      </c>
      <c r="E3446" t="inlineStr">
        <is>
          <t>Banza</t>
        </is>
      </c>
      <c r="F3446" t="inlineStr">
        <is>
          <t>$1 million</t>
        </is>
      </c>
      <c r="G3446" s="19" t="n"/>
      <c r="H3446" s="19" t="n">
        <v>1</v>
      </c>
      <c r="I3446" t="inlineStr">
        <is>
          <t>Pre-Seed</t>
        </is>
      </c>
      <c r="J3446" t="inlineStr">
        <is>
          <t>Campus Fund</t>
        </is>
      </c>
      <c r="K3446" t="inlineStr">
        <is>
          <t>https://entrackr.com/snippets/data-sharing-startup-banza-raises-pre-seed-round-led-by-campus-fund-11798690</t>
        </is>
      </c>
    </row>
    <row r="3447">
      <c r="A3447" t="inlineStr">
        <is>
          <t>INC-20260509-14</t>
        </is>
      </c>
      <c r="B3447" t="inlineStr">
        <is>
          <t>R260504-banza</t>
        </is>
      </c>
      <c r="C3447" t="inlineStr">
        <is>
          <t>Inc42</t>
        </is>
      </c>
      <c r="D3447" s="17" t="n">
        <v>46146</v>
      </c>
      <c r="E3447" t="inlineStr">
        <is>
          <t>Banza</t>
        </is>
      </c>
      <c r="F3447" t="inlineStr">
        <is>
          <t>$1 Mn</t>
        </is>
      </c>
      <c r="G3447" s="19" t="n"/>
      <c r="H3447" s="19" t="n">
        <v>1</v>
      </c>
      <c r="I3447" t="inlineStr">
        <is>
          <t>Pre-Seed</t>
        </is>
      </c>
      <c r="J3447" t="inlineStr">
        <is>
          <t>Campus Fund</t>
        </is>
      </c>
      <c r="K3447" t="inlineStr">
        <is>
          <t>https://inc42.com/buzz/from-skyroot-to-pronto-indian-startups-raised-132-mn-this-week/</t>
        </is>
      </c>
    </row>
    <row r="3448">
      <c r="A3448" t="inlineStr">
        <is>
          <t>ENT-11786191</t>
        </is>
      </c>
      <c r="B3448" t="inlineStr">
        <is>
          <t>R260504-chosen</t>
        </is>
      </c>
      <c r="C3448" t="inlineStr">
        <is>
          <t>Entrackr</t>
        </is>
      </c>
      <c r="D3448" s="17" t="n">
        <v>46146</v>
      </c>
      <c r="E3448" t="inlineStr">
        <is>
          <t>CHOSEN</t>
        </is>
      </c>
      <c r="F3448" t="inlineStr">
        <is>
          <t>$5 Mn</t>
        </is>
      </c>
      <c r="G3448" s="19" t="n"/>
      <c r="H3448" s="19" t="n">
        <v>5</v>
      </c>
      <c r="I3448" t="inlineStr">
        <is>
          <t>Series A</t>
        </is>
      </c>
      <c r="J3448" t="inlineStr">
        <is>
          <t>Fireside Ventures; Alkemi Growth Capital; Avnish Anand</t>
        </is>
      </c>
      <c r="K3448" t="inlineStr">
        <is>
          <t>https://entrackr.com/snippets/fireside-ventures-leads-5-mn-series-a-round-in-skincare-brand-chosen-11786191</t>
        </is>
      </c>
    </row>
    <row r="3449">
      <c r="A3449" t="inlineStr">
        <is>
          <t>INC-20260509-05</t>
        </is>
      </c>
      <c r="B3449" t="inlineStr">
        <is>
          <t>R260504-chosen</t>
        </is>
      </c>
      <c r="C3449" t="inlineStr">
        <is>
          <t>Inc42</t>
        </is>
      </c>
      <c r="D3449" s="17" t="n">
        <v>46146</v>
      </c>
      <c r="E3449" t="inlineStr">
        <is>
          <t>CHOSEN</t>
        </is>
      </c>
      <c r="F3449" t="inlineStr">
        <is>
          <t>$5 Mn</t>
        </is>
      </c>
      <c r="G3449" s="19" t="n"/>
      <c r="H3449" s="19" t="n">
        <v>5</v>
      </c>
      <c r="I3449" t="inlineStr">
        <is>
          <t>Series A</t>
        </is>
      </c>
      <c r="J3449" t="inlineStr">
        <is>
          <t>Fireside Ventures</t>
        </is>
      </c>
      <c r="K3449" t="inlineStr">
        <is>
          <t>https://inc42.com/buzz/from-skyroot-to-pronto-indian-startups-raised-132-mn-this-week/</t>
        </is>
      </c>
    </row>
    <row r="3450">
      <c r="A3450" t="inlineStr">
        <is>
          <t>ENT-11797182</t>
        </is>
      </c>
      <c r="B3450" t="inlineStr">
        <is>
          <t>R260504-healthfab</t>
        </is>
      </c>
      <c r="C3450" t="inlineStr">
        <is>
          <t>Entrackr</t>
        </is>
      </c>
      <c r="D3450" s="17" t="n">
        <v>46146</v>
      </c>
      <c r="E3450" t="inlineStr">
        <is>
          <t>HealthFab</t>
        </is>
      </c>
      <c r="F3450" t="inlineStr">
        <is>
          <t>Rs 20 crore</t>
        </is>
      </c>
      <c r="G3450" s="19" t="n">
        <v>20</v>
      </c>
      <c r="H3450" s="19" t="n">
        <v>2.1</v>
      </c>
      <c r="I3450" t="inlineStr">
        <is>
          <t>Series A</t>
        </is>
      </c>
      <c r="J3450" t="inlineStr">
        <is>
          <t>Atomic Capital</t>
        </is>
      </c>
      <c r="K3450" t="inlineStr">
        <is>
          <t>https://entrackr.com/snippets/healthfab-raises-rs-20-cr-in-series-a-led-by-atomic-capital-11797182</t>
        </is>
      </c>
    </row>
    <row r="3451">
      <c r="A3451" t="inlineStr">
        <is>
          <t>ET-130798838</t>
        </is>
      </c>
      <c r="B3451" t="inlineStr">
        <is>
          <t>R260504-healthfab</t>
        </is>
      </c>
      <c r="C3451" t="inlineStr">
        <is>
          <t>The Economic Times</t>
        </is>
      </c>
      <c r="D3451" s="17" t="n">
        <v>46146</v>
      </c>
      <c r="E3451" t="inlineStr">
        <is>
          <t>HealthFab</t>
        </is>
      </c>
      <c r="F3451" t="inlineStr">
        <is>
          <t>Rs 20 crore</t>
        </is>
      </c>
      <c r="G3451" s="19" t="n">
        <v>20</v>
      </c>
      <c r="H3451" s="19" t="n"/>
      <c r="I3451" t="inlineStr">
        <is>
          <t>Undisclosed</t>
        </is>
      </c>
      <c r="J3451" t="inlineStr"/>
      <c r="K3451" t="inlineStr">
        <is>
          <t>https://economictimes.indiatimes.com/tech/funding/d2c-menstrual-hygiene-startup-healthfab-raises-rs-20-crore-from-atomic-capital/articleshow/130798838.cms</t>
        </is>
      </c>
    </row>
    <row r="3452">
      <c r="A3452" t="inlineStr">
        <is>
          <t>INC-20260509-11</t>
        </is>
      </c>
      <c r="B3452" t="inlineStr">
        <is>
          <t>R260504-healthfab</t>
        </is>
      </c>
      <c r="C3452" t="inlineStr">
        <is>
          <t>Inc42</t>
        </is>
      </c>
      <c r="D3452" s="17" t="n">
        <v>46146</v>
      </c>
      <c r="E3452" t="inlineStr">
        <is>
          <t>HealthFab</t>
        </is>
      </c>
      <c r="F3452" t="inlineStr">
        <is>
          <t>$2.1 Mn</t>
        </is>
      </c>
      <c r="G3452" s="19" t="n"/>
      <c r="H3452" s="19" t="n">
        <v>2.1</v>
      </c>
      <c r="I3452" t="inlineStr">
        <is>
          <t>Series A</t>
        </is>
      </c>
      <c r="J3452" t="inlineStr">
        <is>
          <t>Atomic Capital</t>
        </is>
      </c>
      <c r="K3452" t="inlineStr">
        <is>
          <t>https://inc42.com/buzz/from-skyroot-to-pronto-indian-startups-raised-132-mn-this-week/</t>
        </is>
      </c>
    </row>
    <row r="3453">
      <c r="A3453" t="inlineStr">
        <is>
          <t>ENT-11797334</t>
        </is>
      </c>
      <c r="B3453" t="inlineStr">
        <is>
          <t>R260504-kisah</t>
        </is>
      </c>
      <c r="C3453" t="inlineStr">
        <is>
          <t>Entrackr</t>
        </is>
      </c>
      <c r="D3453" s="17" t="n">
        <v>46146</v>
      </c>
      <c r="E3453" t="inlineStr">
        <is>
          <t>Kisah</t>
        </is>
      </c>
      <c r="F3453" t="inlineStr">
        <is>
          <t>Rs 35.9 crore</t>
        </is>
      </c>
      <c r="G3453" s="19" t="n">
        <v>35.9</v>
      </c>
      <c r="H3453" s="19" t="n">
        <v>3.8</v>
      </c>
      <c r="I3453" t="inlineStr">
        <is>
          <t>Series A</t>
        </is>
      </c>
      <c r="J3453" t="inlineStr">
        <is>
          <t>Fireside Ventures</t>
        </is>
      </c>
      <c r="K3453" t="inlineStr">
        <is>
          <t>https://entrackr.com/news/fireside-ventures-leads-kisahs-series-a-round-valuation-jumps-to-rs-211-cr-11797334</t>
        </is>
      </c>
    </row>
    <row r="3454">
      <c r="A3454" t="inlineStr">
        <is>
          <t>ENT-11799542</t>
        </is>
      </c>
      <c r="B3454" t="inlineStr">
        <is>
          <t>R260504-milkymist</t>
        </is>
      </c>
      <c r="C3454" t="inlineStr">
        <is>
          <t>Entrackr</t>
        </is>
      </c>
      <c r="D3454" s="17" t="n">
        <v>46146</v>
      </c>
      <c r="E3454" t="inlineStr">
        <is>
          <t>Milky Mist</t>
        </is>
      </c>
      <c r="F3454" t="inlineStr">
        <is>
          <t>Rs 482 crore</t>
        </is>
      </c>
      <c r="G3454" s="19" t="n">
        <v>482</v>
      </c>
      <c r="H3454" s="19" t="n"/>
      <c r="I3454" t="inlineStr">
        <is>
          <t>Pre-IPO</t>
        </is>
      </c>
      <c r="J3454" t="inlineStr"/>
      <c r="K3454" t="inlineStr">
        <is>
          <t>https://entrackr.com/news/milky-mist-raises-rs-482-cr-in-pre-ipo-round-led-by-temasek-arm-11799542</t>
        </is>
      </c>
    </row>
    <row r="3455">
      <c r="A3455" t="inlineStr">
        <is>
          <t>ENT-11797773</t>
        </is>
      </c>
      <c r="B3455" t="inlineStr">
        <is>
          <t>R260504-tsavorite</t>
        </is>
      </c>
      <c r="C3455" t="inlineStr">
        <is>
          <t>Entrackr</t>
        </is>
      </c>
      <c r="D3455" s="17" t="n">
        <v>46146</v>
      </c>
      <c r="E3455" t="inlineStr">
        <is>
          <t>Tsavorite</t>
        </is>
      </c>
      <c r="F3455" t="inlineStr">
        <is>
          <t>$5 million</t>
        </is>
      </c>
      <c r="G3455" s="19" t="n">
        <v>46.65</v>
      </c>
      <c r="H3455" s="19" t="n">
        <v>5</v>
      </c>
      <c r="I3455" t="inlineStr">
        <is>
          <t>Series A</t>
        </is>
      </c>
      <c r="J3455" t="inlineStr">
        <is>
          <t>Pavestone</t>
        </is>
      </c>
      <c r="K3455" t="inlineStr">
        <is>
          <t>https://entrackr.com/snippets/ai-computing-solutions-provider-tsavorite-raises-5-mn-led-by-pavestone-11797773</t>
        </is>
      </c>
    </row>
    <row r="3456">
      <c r="A3456" t="inlineStr">
        <is>
          <t>ET-130785660</t>
        </is>
      </c>
      <c r="B3456" t="inlineStr">
        <is>
          <t>R260504-tsavorite</t>
        </is>
      </c>
      <c r="C3456" t="inlineStr">
        <is>
          <t>The Economic Times</t>
        </is>
      </c>
      <c r="D3456" s="17" t="n">
        <v>46146</v>
      </c>
      <c r="E3456" t="inlineStr">
        <is>
          <t>Tsavorite</t>
        </is>
      </c>
      <c r="F3456" t="inlineStr">
        <is>
          <t>$5 million</t>
        </is>
      </c>
      <c r="G3456" s="19" t="n">
        <v>46.6</v>
      </c>
      <c r="H3456" s="19" t="n">
        <v>5</v>
      </c>
      <c r="I3456" t="inlineStr">
        <is>
          <t>Undisclosed</t>
        </is>
      </c>
      <c r="J3456" t="inlineStr"/>
      <c r="K3456" t="inlineStr">
        <is>
          <t>https://economictimes.indiatimes.com/tech/funding/ai-compute-startup-tsavorite-raises-5-million-from-pavestone-to-scale-platform/articleshow/130785660.cms</t>
        </is>
      </c>
    </row>
    <row r="3457">
      <c r="A3457" t="inlineStr">
        <is>
          <t>INC-20260509-06</t>
        </is>
      </c>
      <c r="B3457" t="inlineStr">
        <is>
          <t>R260504-tsavorite</t>
        </is>
      </c>
      <c r="C3457" t="inlineStr">
        <is>
          <t>Inc42</t>
        </is>
      </c>
      <c r="D3457" s="17" t="n">
        <v>46146</v>
      </c>
      <c r="E3457" t="inlineStr">
        <is>
          <t>Tsavorite</t>
        </is>
      </c>
      <c r="F3457" t="inlineStr">
        <is>
          <t>$5 Mn</t>
        </is>
      </c>
      <c r="G3457" s="19" t="n"/>
      <c r="H3457" s="19" t="n">
        <v>5</v>
      </c>
      <c r="I3457" t="inlineStr">
        <is>
          <t>Undisclosed</t>
        </is>
      </c>
      <c r="J3457" t="inlineStr">
        <is>
          <t>Pavestone</t>
        </is>
      </c>
      <c r="K3457" t="inlineStr">
        <is>
          <t>https://inc42.com/buzz/from-skyroot-to-pronto-indian-startups-raised-132-mn-this-week/</t>
        </is>
      </c>
    </row>
    <row r="3458">
      <c r="A3458" t="inlineStr">
        <is>
          <t>ENT-11801587</t>
        </is>
      </c>
      <c r="B3458" t="inlineStr">
        <is>
          <t>R260505-jurisphere</t>
        </is>
      </c>
      <c r="C3458" t="inlineStr">
        <is>
          <t>Entrackr</t>
        </is>
      </c>
      <c r="D3458" s="17" t="n">
        <v>46147</v>
      </c>
      <c r="E3458" t="inlineStr">
        <is>
          <t>Jurisphere</t>
        </is>
      </c>
      <c r="F3458" t="inlineStr">
        <is>
          <t>$2.2 million</t>
        </is>
      </c>
      <c r="G3458" s="19" t="n"/>
      <c r="H3458" s="19" t="n">
        <v>2.2</v>
      </c>
      <c r="I3458" t="inlineStr">
        <is>
          <t>Undisclosed</t>
        </is>
      </c>
      <c r="J3458" t="inlineStr">
        <is>
          <t>InfoEdge Ventures</t>
        </is>
      </c>
      <c r="K3458" t="inlineStr">
        <is>
          <t>https://entrackr.com/snippets/jurisphere-raises-22-mn-led-by-infoedge-ventures-11801587</t>
        </is>
      </c>
    </row>
    <row r="3459">
      <c r="A3459" t="inlineStr">
        <is>
          <t>ET-130827866</t>
        </is>
      </c>
      <c r="B3459" t="inlineStr">
        <is>
          <t>R260505-jurisphere</t>
        </is>
      </c>
      <c r="C3459" t="inlineStr">
        <is>
          <t>The Economic Times</t>
        </is>
      </c>
      <c r="D3459" s="17" t="n">
        <v>46147</v>
      </c>
      <c r="E3459" t="inlineStr">
        <is>
          <t>Jurisphere</t>
        </is>
      </c>
      <c r="F3459" t="inlineStr">
        <is>
          <t>$2.2 million</t>
        </is>
      </c>
      <c r="G3459" s="19" t="n"/>
      <c r="H3459" s="19" t="n">
        <v>2.2</v>
      </c>
      <c r="I3459" t="inlineStr">
        <is>
          <t>Undisclosed</t>
        </is>
      </c>
      <c r="J3459" t="inlineStr"/>
      <c r="K3459" t="inlineStr">
        <is>
          <t>https://economictimes.indiatimes.com/tech/funding/legal-ai-startup-jurisphere-raises-2-2-million-from-infoedge-ventures-others/articleshow/130827866.cms</t>
        </is>
      </c>
    </row>
    <row r="3460">
      <c r="A3460" t="inlineStr">
        <is>
          <t>INC-20260509-10</t>
        </is>
      </c>
      <c r="B3460" t="inlineStr">
        <is>
          <t>R260505-jurisphere</t>
        </is>
      </c>
      <c r="C3460" t="inlineStr">
        <is>
          <t>Inc42</t>
        </is>
      </c>
      <c r="D3460" s="17" t="n">
        <v>46147</v>
      </c>
      <c r="E3460" t="inlineStr">
        <is>
          <t>Jurisphere.ai</t>
        </is>
      </c>
      <c r="F3460" t="inlineStr">
        <is>
          <t>$2.2 Mn</t>
        </is>
      </c>
      <c r="G3460" s="19" t="n"/>
      <c r="H3460" s="19" t="n">
        <v>2.2</v>
      </c>
      <c r="I3460" t="inlineStr">
        <is>
          <t>Undisclosed</t>
        </is>
      </c>
      <c r="J3460" t="inlineStr"/>
      <c r="K3460" t="inlineStr">
        <is>
          <t>https://inc42.com/buzz/from-skyroot-to-pronto-indian-startups-raised-132-mn-this-week/</t>
        </is>
      </c>
    </row>
    <row r="3461">
      <c r="A3461" t="inlineStr">
        <is>
          <t>ENT-11801843</t>
        </is>
      </c>
      <c r="B3461" t="inlineStr">
        <is>
          <t>R260505-vobizai</t>
        </is>
      </c>
      <c r="C3461" t="inlineStr">
        <is>
          <t>Entrackr</t>
        </is>
      </c>
      <c r="D3461" s="17" t="n">
        <v>46147</v>
      </c>
      <c r="E3461" t="inlineStr">
        <is>
          <t>Vobiz.ai</t>
        </is>
      </c>
      <c r="F3461" t="inlineStr">
        <is>
          <t>$1 million</t>
        </is>
      </c>
      <c r="G3461" s="19" t="n"/>
      <c r="H3461" s="19" t="n">
        <v>1</v>
      </c>
      <c r="I3461" t="inlineStr">
        <is>
          <t>Seed</t>
        </is>
      </c>
      <c r="J3461" t="inlineStr">
        <is>
          <t>Piper Serica VC Fund</t>
        </is>
      </c>
      <c r="K3461" t="inlineStr">
        <is>
          <t>https://entrackr.com/snippets/telephony-infra-startup-vobizai-raises-1-mn-led-by-piper-serica-11801843</t>
        </is>
      </c>
    </row>
    <row r="3462">
      <c r="A3462" t="inlineStr">
        <is>
          <t>INC-20260509-15</t>
        </is>
      </c>
      <c r="B3462" t="inlineStr">
        <is>
          <t>R260505-vobizai</t>
        </is>
      </c>
      <c r="C3462" t="inlineStr">
        <is>
          <t>Inc42</t>
        </is>
      </c>
      <c r="D3462" s="17" t="n">
        <v>46147</v>
      </c>
      <c r="E3462" t="inlineStr">
        <is>
          <t>Vobiz.ai</t>
        </is>
      </c>
      <c r="F3462" t="inlineStr">
        <is>
          <t>$1 Mn</t>
        </is>
      </c>
      <c r="G3462" s="19" t="n"/>
      <c r="H3462" s="19" t="n">
        <v>1</v>
      </c>
      <c r="I3462" t="inlineStr">
        <is>
          <t>Seed</t>
        </is>
      </c>
      <c r="J3462" t="inlineStr">
        <is>
          <t>Piper Serica</t>
        </is>
      </c>
      <c r="K3462" t="inlineStr">
        <is>
          <t>https://inc42.com/buzz/from-skyroot-to-pronto-indian-startups-raised-132-mn-this-week/</t>
        </is>
      </c>
    </row>
    <row r="3463">
      <c r="A3463" t="inlineStr">
        <is>
          <t>ENT-11805670</t>
        </is>
      </c>
      <c r="B3463" t="inlineStr">
        <is>
          <t>R260506-ailibrary</t>
        </is>
      </c>
      <c r="C3463" t="inlineStr">
        <is>
          <t>Entrackr</t>
        </is>
      </c>
      <c r="D3463" s="17" t="n">
        <v>46148</v>
      </c>
      <c r="E3463" t="inlineStr">
        <is>
          <t>AI Library</t>
        </is>
      </c>
      <c r="F3463" t="inlineStr">
        <is>
          <t>$560K</t>
        </is>
      </c>
      <c r="G3463" s="19" t="n"/>
      <c r="H3463" s="19" t="n">
        <v>0.5600000000000001</v>
      </c>
      <c r="I3463" t="inlineStr">
        <is>
          <t>Pre-Seed</t>
        </is>
      </c>
      <c r="J3463" t="inlineStr"/>
      <c r="K3463" t="inlineStr">
        <is>
          <t>https://entrackr.com/snippets/ai-library-raises-pre-seed-funding-round-11805670</t>
        </is>
      </c>
    </row>
    <row r="3464">
      <c r="A3464" t="inlineStr">
        <is>
          <t>ENT-11804240</t>
        </is>
      </c>
      <c r="B3464" t="inlineStr">
        <is>
          <t>R260506-bigendiansemic</t>
        </is>
      </c>
      <c r="C3464" t="inlineStr">
        <is>
          <t>Entrackr</t>
        </is>
      </c>
      <c r="D3464" s="17" t="n">
        <v>46148</v>
      </c>
      <c r="E3464" t="inlineStr">
        <is>
          <t>BigEndian Semiconductors</t>
        </is>
      </c>
      <c r="F3464" t="inlineStr">
        <is>
          <t>$6 million</t>
        </is>
      </c>
      <c r="G3464" s="19" t="n"/>
      <c r="H3464" s="19" t="n">
        <v>6</v>
      </c>
      <c r="I3464" t="inlineStr">
        <is>
          <t>Pre-Series A</t>
        </is>
      </c>
      <c r="J3464" t="inlineStr">
        <is>
          <t>IAN Alpha Fund</t>
        </is>
      </c>
      <c r="K3464" t="inlineStr">
        <is>
          <t>https://entrackr.com/snippets/bigendian-semiconductors-raises-6-mn-in-pre-series-a-round-led-by-ian-alpha-fund-11804240</t>
        </is>
      </c>
    </row>
    <row r="3465">
      <c r="A3465" t="inlineStr">
        <is>
          <t>ET-130842533</t>
        </is>
      </c>
      <c r="B3465" t="inlineStr">
        <is>
          <t>R260506-bigendiansemic</t>
        </is>
      </c>
      <c r="C3465" t="inlineStr">
        <is>
          <t>The Economic Times</t>
        </is>
      </c>
      <c r="D3465" s="17" t="n">
        <v>46148</v>
      </c>
      <c r="E3465" t="inlineStr">
        <is>
          <t>BigEndian Semiconductors</t>
        </is>
      </c>
      <c r="F3465" t="inlineStr">
        <is>
          <t>$6 million</t>
        </is>
      </c>
      <c r="G3465" s="19" t="n"/>
      <c r="H3465" s="19" t="n">
        <v>6</v>
      </c>
      <c r="I3465" t="inlineStr">
        <is>
          <t>Undisclosed</t>
        </is>
      </c>
      <c r="J3465" t="inlineStr">
        <is>
          <t>IAN Alpha Fund</t>
        </is>
      </c>
      <c r="K3465" t="inlineStr">
        <is>
          <t>https://economictimes.indiatimes.com/tech/funding/bigendian-semiconductors-bags-6-million-funding-to-scale-indigenous-visionai-chips/articleshow/130842533.cms</t>
        </is>
      </c>
    </row>
    <row r="3466">
      <c r="A3466" t="inlineStr">
        <is>
          <t>INC-20260509-04</t>
        </is>
      </c>
      <c r="B3466" t="inlineStr">
        <is>
          <t>R260506-bigendiansemic</t>
        </is>
      </c>
      <c r="C3466" t="inlineStr">
        <is>
          <t>Inc42</t>
        </is>
      </c>
      <c r="D3466" s="17" t="n">
        <v>46148</v>
      </c>
      <c r="E3466" t="inlineStr">
        <is>
          <t>BigEndian</t>
        </is>
      </c>
      <c r="F3466" t="inlineStr">
        <is>
          <t>$6 Mn</t>
        </is>
      </c>
      <c r="G3466" s="19" t="n"/>
      <c r="H3466" s="19" t="n">
        <v>6</v>
      </c>
      <c r="I3466" t="inlineStr">
        <is>
          <t>Pre-Series A</t>
        </is>
      </c>
      <c r="J3466" t="inlineStr">
        <is>
          <t>IAN Alpha Fund</t>
        </is>
      </c>
      <c r="K3466" t="inlineStr">
        <is>
          <t>https://inc42.com/buzz/from-skyroot-to-pronto-indian-startups-raised-132-mn-this-week/</t>
        </is>
      </c>
    </row>
    <row r="3467">
      <c r="A3467" t="inlineStr">
        <is>
          <t>ENT-11806321</t>
        </is>
      </c>
      <c r="B3467" t="inlineStr">
        <is>
          <t>R260506-ecofy</t>
        </is>
      </c>
      <c r="C3467" t="inlineStr">
        <is>
          <t>Entrackr</t>
        </is>
      </c>
      <c r="D3467" s="17" t="n">
        <v>46148</v>
      </c>
      <c r="E3467" t="inlineStr">
        <is>
          <t>Ecofy</t>
        </is>
      </c>
      <c r="F3467" t="inlineStr">
        <is>
          <t>$15 million</t>
        </is>
      </c>
      <c r="G3467" s="19" t="n"/>
      <c r="H3467" s="19" t="n">
        <v>15</v>
      </c>
      <c r="I3467" t="inlineStr">
        <is>
          <t>Debt</t>
        </is>
      </c>
      <c r="J3467" t="inlineStr"/>
      <c r="K3467" t="inlineStr">
        <is>
          <t>https://entrackr.com/snippets/ecofy-secures-15-mn-debt-from-mirova-11806321</t>
        </is>
      </c>
    </row>
    <row r="3468">
      <c r="A3468" t="inlineStr">
        <is>
          <t>INC-20260509-03</t>
        </is>
      </c>
      <c r="B3468" t="inlineStr">
        <is>
          <t>R260506-ecofy</t>
        </is>
      </c>
      <c r="C3468" t="inlineStr">
        <is>
          <t>Inc42</t>
        </is>
      </c>
      <c r="D3468" s="17" t="n">
        <v>46148</v>
      </c>
      <c r="E3468" t="inlineStr">
        <is>
          <t>Ecofy</t>
        </is>
      </c>
      <c r="F3468" t="inlineStr">
        <is>
          <t>$15 Mn</t>
        </is>
      </c>
      <c r="G3468" s="19" t="n"/>
      <c r="H3468" s="19" t="n">
        <v>15</v>
      </c>
      <c r="I3468" t="inlineStr">
        <is>
          <t>Debt</t>
        </is>
      </c>
      <c r="J3468" t="inlineStr">
        <is>
          <t>Mirova</t>
        </is>
      </c>
      <c r="K3468" t="inlineStr">
        <is>
          <t>https://inc42.com/buzz/from-skyroot-to-pronto-indian-startups-raised-132-mn-this-week/</t>
        </is>
      </c>
    </row>
    <row r="3469">
      <c r="A3469" t="inlineStr">
        <is>
          <t>VCC-8cb72c80c7</t>
        </is>
      </c>
      <c r="B3469" t="inlineStr">
        <is>
          <t>R260506-ecofy</t>
        </is>
      </c>
      <c r="C3469" t="inlineStr">
        <is>
          <t>VCCircle</t>
        </is>
      </c>
      <c r="D3469" s="17" t="n">
        <v>46148</v>
      </c>
      <c r="E3469" t="inlineStr">
        <is>
          <t>eversourcebacked ecofy</t>
        </is>
      </c>
      <c r="F3469" t="inlineStr">
        <is>
          <t>$ 15 million</t>
        </is>
      </c>
      <c r="G3469" s="19" t="n"/>
      <c r="H3469" s="19" t="n">
        <v>15</v>
      </c>
      <c r="I3469" t="inlineStr">
        <is>
          <t>Undisclosed</t>
        </is>
      </c>
      <c r="J3469" t="inlineStr"/>
      <c r="K3469" t="inlineStr">
        <is>
          <t>https://www.vccircle.com/eversourcebacked-ecofy-gets-15-mn-from-natixis-affiliate</t>
        </is>
      </c>
    </row>
    <row r="3470">
      <c r="A3470" t="inlineStr">
        <is>
          <t>INC-20260509-17</t>
        </is>
      </c>
      <c r="B3470" t="inlineStr">
        <is>
          <t>R260506-figtreepharmac</t>
        </is>
      </c>
      <c r="C3470" t="inlineStr">
        <is>
          <t>Inc42</t>
        </is>
      </c>
      <c r="D3470" s="17" t="n">
        <v>46148</v>
      </c>
      <c r="E3470" t="inlineStr">
        <is>
          <t>Figtree Pharmacy</t>
        </is>
      </c>
      <c r="F3470" t="inlineStr"/>
      <c r="G3470" s="19" t="n"/>
      <c r="H3470" s="19" t="n"/>
      <c r="I3470" t="inlineStr">
        <is>
          <t>Seed</t>
        </is>
      </c>
      <c r="J3470" t="inlineStr">
        <is>
          <t>AJVC Fund</t>
        </is>
      </c>
      <c r="K3470" t="inlineStr">
        <is>
          <t>https://inc42.com/buzz/from-skyroot-to-pronto-indian-startups-raised-132-mn-this-week/</t>
        </is>
      </c>
    </row>
    <row r="3471">
      <c r="A3471" t="inlineStr">
        <is>
          <t>ENT-11812221</t>
        </is>
      </c>
      <c r="B3471" t="inlineStr">
        <is>
          <t>R260506-figtreepharmac</t>
        </is>
      </c>
      <c r="C3471" t="inlineStr">
        <is>
          <t>Entrackr</t>
        </is>
      </c>
      <c r="D3471" s="17" t="n">
        <v>46150</v>
      </c>
      <c r="E3471" t="inlineStr">
        <is>
          <t>Figtree Pharmacy</t>
        </is>
      </c>
      <c r="F3471" t="inlineStr"/>
      <c r="G3471" s="19" t="n"/>
      <c r="H3471" s="19" t="n"/>
      <c r="I3471" t="inlineStr">
        <is>
          <t>Seed</t>
        </is>
      </c>
      <c r="J3471" t="inlineStr"/>
      <c r="K3471" t="inlineStr">
        <is>
          <t>https://entrackr.com/snippets/figtree-pharmacy-raises-seed-funding-from-ajvc-fund-11812221</t>
        </is>
      </c>
    </row>
    <row r="3472">
      <c r="A3472" t="inlineStr">
        <is>
          <t>INC-20260509-09</t>
        </is>
      </c>
      <c r="B3472" t="inlineStr">
        <is>
          <t>R260506-generalautonom</t>
        </is>
      </c>
      <c r="C3472" t="inlineStr">
        <is>
          <t>Inc42</t>
        </is>
      </c>
      <c r="D3472" s="17" t="n">
        <v>46148</v>
      </c>
      <c r="E3472" t="inlineStr">
        <is>
          <t>General Autonomy</t>
        </is>
      </c>
      <c r="F3472" t="inlineStr">
        <is>
          <t>$3.6 Mn</t>
        </is>
      </c>
      <c r="G3472" s="19" t="n"/>
      <c r="H3472" s="19" t="n">
        <v>3.6</v>
      </c>
      <c r="I3472" t="inlineStr">
        <is>
          <t>Seed</t>
        </is>
      </c>
      <c r="J3472" t="inlineStr">
        <is>
          <t>Elevation Capital; India Quotient</t>
        </is>
      </c>
      <c r="K3472" t="inlineStr">
        <is>
          <t>https://inc42.com/buzz/from-skyroot-to-pronto-indian-startups-raised-132-mn-this-week/</t>
        </is>
      </c>
    </row>
    <row r="3473">
      <c r="A3473" t="inlineStr">
        <is>
          <t>ENT-11806024</t>
        </is>
      </c>
      <c r="B3473" t="inlineStr">
        <is>
          <t>R260506-jobsupi</t>
        </is>
      </c>
      <c r="C3473" t="inlineStr">
        <is>
          <t>Entrackr</t>
        </is>
      </c>
      <c r="D3473" s="17" t="n">
        <v>46148</v>
      </c>
      <c r="E3473" t="inlineStr">
        <is>
          <t>JobsUPI</t>
        </is>
      </c>
      <c r="F3473" t="inlineStr">
        <is>
          <t>$250K</t>
        </is>
      </c>
      <c r="G3473" s="19" t="n"/>
      <c r="H3473" s="19" t="n">
        <v>0.25</v>
      </c>
      <c r="I3473" t="inlineStr">
        <is>
          <t>Pre-Seed</t>
        </is>
      </c>
      <c r="J3473" t="inlineStr"/>
      <c r="K3473" t="inlineStr">
        <is>
          <t>https://entrackr.com/snippets/jobsupi-raises-pre-seed-round-from-iima-ventures-and-others-11806024</t>
        </is>
      </c>
    </row>
    <row r="3474">
      <c r="A3474" t="inlineStr">
        <is>
          <t>INC-20260509-16</t>
        </is>
      </c>
      <c r="B3474" t="inlineStr">
        <is>
          <t>R260506-jobsupi</t>
        </is>
      </c>
      <c r="C3474" t="inlineStr">
        <is>
          <t>Inc42</t>
        </is>
      </c>
      <c r="D3474" s="17" t="n">
        <v>46148</v>
      </c>
      <c r="E3474" t="inlineStr">
        <is>
          <t>JobsUPI</t>
        </is>
      </c>
      <c r="F3474" t="inlineStr">
        <is>
          <t>$250K</t>
        </is>
      </c>
      <c r="G3474" s="19" t="n"/>
      <c r="H3474" s="19" t="n">
        <v>0.25</v>
      </c>
      <c r="I3474" t="inlineStr">
        <is>
          <t>Pre-Seed</t>
        </is>
      </c>
      <c r="J3474" t="inlineStr">
        <is>
          <t>IIMA Ventures; Alok Bansal; Anshoo Sharma; Amit Jain; Manoj Sinsinwar</t>
        </is>
      </c>
      <c r="K3474" t="inlineStr">
        <is>
          <t>https://inc42.com/buzz/from-skyroot-to-pronto-indian-startups-raised-132-mn-this-week/</t>
        </is>
      </c>
    </row>
    <row r="3475">
      <c r="A3475" t="inlineStr">
        <is>
          <t>ENT-11804997</t>
        </is>
      </c>
      <c r="B3475" t="inlineStr">
        <is>
          <t>R260506-medvital</t>
        </is>
      </c>
      <c r="C3475" t="inlineStr">
        <is>
          <t>Entrackr</t>
        </is>
      </c>
      <c r="D3475" s="17" t="n">
        <v>46148</v>
      </c>
      <c r="E3475" t="inlineStr">
        <is>
          <t>MedVital</t>
        </is>
      </c>
      <c r="F3475" t="inlineStr">
        <is>
          <t>Rs 18 crore</t>
        </is>
      </c>
      <c r="G3475" s="19" t="n">
        <v>18</v>
      </c>
      <c r="H3475" s="19" t="n">
        <v>1.89</v>
      </c>
      <c r="I3475" t="inlineStr">
        <is>
          <t>Undisclosed</t>
        </is>
      </c>
      <c r="J3475" t="inlineStr">
        <is>
          <t>Alkemi Growth Capital</t>
        </is>
      </c>
      <c r="K3475" t="inlineStr">
        <is>
          <t>https://entrackr.com/snippets/medvital-raises-rs-18-cr-led-by-alkemi-growth-capital-11804997</t>
        </is>
      </c>
    </row>
    <row r="3476">
      <c r="A3476" t="inlineStr">
        <is>
          <t>INC-20260509-12</t>
        </is>
      </c>
      <c r="B3476" t="inlineStr">
        <is>
          <t>R260506-medvital</t>
        </is>
      </c>
      <c r="C3476" t="inlineStr">
        <is>
          <t>Inc42</t>
        </is>
      </c>
      <c r="D3476" s="17" t="n">
        <v>46148</v>
      </c>
      <c r="E3476" t="inlineStr">
        <is>
          <t>MedVital</t>
        </is>
      </c>
      <c r="F3476" t="inlineStr">
        <is>
          <t>$1.9 Mn</t>
        </is>
      </c>
      <c r="G3476" s="19" t="n"/>
      <c r="H3476" s="19" t="n">
        <v>1.9</v>
      </c>
      <c r="I3476" t="inlineStr">
        <is>
          <t>Undisclosed</t>
        </is>
      </c>
      <c r="J3476" t="inlineStr">
        <is>
          <t>Alkemi Growth Capital</t>
        </is>
      </c>
      <c r="K3476" t="inlineStr">
        <is>
          <t>https://inc42.com/buzz/from-skyroot-to-pronto-indian-startups-raised-132-mn-this-week/</t>
        </is>
      </c>
    </row>
    <row r="3477">
      <c r="A3477" t="inlineStr">
        <is>
          <t>ENT-11804894</t>
        </is>
      </c>
      <c r="B3477" t="inlineStr">
        <is>
          <t>R260506-mochatrade</t>
        </is>
      </c>
      <c r="C3477" t="inlineStr">
        <is>
          <t>Entrackr</t>
        </is>
      </c>
      <c r="D3477" s="17" t="n">
        <v>46148</v>
      </c>
      <c r="E3477" t="inlineStr">
        <is>
          <t>MochaTrade</t>
        </is>
      </c>
      <c r="F3477" t="inlineStr"/>
      <c r="G3477" s="19" t="n"/>
      <c r="H3477" s="19" t="n"/>
      <c r="I3477" t="inlineStr">
        <is>
          <t>Pre-Seed</t>
        </is>
      </c>
      <c r="J3477" t="inlineStr"/>
      <c r="K3477" t="inlineStr">
        <is>
          <t>https://entrackr.com/snippets/mochatrade-raises-pre-seed-funding-from-y-combinator-pioneer-fund-11804894</t>
        </is>
      </c>
    </row>
    <row r="3478">
      <c r="A3478" t="inlineStr">
        <is>
          <t>INC-20260509-18</t>
        </is>
      </c>
      <c r="B3478" t="inlineStr">
        <is>
          <t>R260506-mochatrade</t>
        </is>
      </c>
      <c r="C3478" t="inlineStr">
        <is>
          <t>Inc42</t>
        </is>
      </c>
      <c r="D3478" s="17" t="n">
        <v>46148</v>
      </c>
      <c r="E3478" t="inlineStr">
        <is>
          <t>MochaTrade</t>
        </is>
      </c>
      <c r="F3478" t="inlineStr"/>
      <c r="G3478" s="19" t="n"/>
      <c r="H3478" s="19" t="n"/>
      <c r="I3478" t="inlineStr">
        <is>
          <t>Pre-Seed</t>
        </is>
      </c>
      <c r="J3478" t="inlineStr"/>
      <c r="K3478" t="inlineStr">
        <is>
          <t>https://inc42.com/buzz/from-skyroot-to-pronto-indian-startups-raised-132-mn-this-week/</t>
        </is>
      </c>
    </row>
    <row r="3479">
      <c r="A3479" t="inlineStr">
        <is>
          <t>INC-20260509-08</t>
        </is>
      </c>
      <c r="B3479" t="inlineStr">
        <is>
          <t>R260507-alphadroid</t>
        </is>
      </c>
      <c r="C3479" t="inlineStr">
        <is>
          <t>Inc42</t>
        </is>
      </c>
      <c r="D3479" s="17" t="n">
        <v>46149</v>
      </c>
      <c r="E3479" t="inlineStr">
        <is>
          <t>Alphadroid</t>
        </is>
      </c>
      <c r="F3479" t="inlineStr">
        <is>
          <t>$3.8 Mn</t>
        </is>
      </c>
      <c r="G3479" s="19" t="n"/>
      <c r="H3479" s="19" t="n">
        <v>3.8</v>
      </c>
      <c r="I3479" t="inlineStr">
        <is>
          <t>Pre-Series A</t>
        </is>
      </c>
      <c r="J3479" t="inlineStr">
        <is>
          <t>Alkemi Growth Capital</t>
        </is>
      </c>
      <c r="K3479" t="inlineStr">
        <is>
          <t>https://inc42.com/buzz/from-skyroot-to-pronto-indian-startups-raised-132-mn-this-week/</t>
        </is>
      </c>
    </row>
    <row r="3480">
      <c r="A3480" t="inlineStr">
        <is>
          <t>ENT-11808501</t>
        </is>
      </c>
      <c r="B3480" t="inlineStr">
        <is>
          <t>R260507-blunav</t>
        </is>
      </c>
      <c r="C3480" t="inlineStr">
        <is>
          <t>Entrackr</t>
        </is>
      </c>
      <c r="D3480" s="17" t="n">
        <v>46149</v>
      </c>
      <c r="E3480" t="inlineStr">
        <is>
          <t>Blunav</t>
        </is>
      </c>
      <c r="F3480" t="inlineStr">
        <is>
          <t>$1 million</t>
        </is>
      </c>
      <c r="G3480" s="19" t="n"/>
      <c r="H3480" s="19" t="n">
        <v>1</v>
      </c>
      <c r="I3480" t="inlineStr">
        <is>
          <t>Seed</t>
        </is>
      </c>
      <c r="J3480" t="inlineStr">
        <is>
          <t>Piper Serica</t>
        </is>
      </c>
      <c r="K3480" t="inlineStr">
        <is>
          <t>https://entrackr.com/snippets/piper-serica-leads-1-mn-seed-round-in-airport-operations-tech-company-blunav-11808501</t>
        </is>
      </c>
    </row>
    <row r="3481">
      <c r="A3481" t="inlineStr">
        <is>
          <t>INC-20260509-13</t>
        </is>
      </c>
      <c r="B3481" t="inlineStr">
        <is>
          <t>R260507-blunav</t>
        </is>
      </c>
      <c r="C3481" t="inlineStr">
        <is>
          <t>Inc42</t>
        </is>
      </c>
      <c r="D3481" s="17" t="n">
        <v>46149</v>
      </c>
      <c r="E3481" t="inlineStr">
        <is>
          <t>Blunav</t>
        </is>
      </c>
      <c r="F3481" t="inlineStr">
        <is>
          <t>$1 Mn</t>
        </is>
      </c>
      <c r="G3481" s="19" t="n"/>
      <c r="H3481" s="19" t="n">
        <v>1</v>
      </c>
      <c r="I3481" t="inlineStr">
        <is>
          <t>Seed</t>
        </is>
      </c>
      <c r="J3481" t="inlineStr">
        <is>
          <t>Piper Serica</t>
        </is>
      </c>
      <c r="K3481" t="inlineStr">
        <is>
          <t>https://inc42.com/buzz/from-skyroot-to-pronto-indian-startups-raised-132-mn-this-week/</t>
        </is>
      </c>
    </row>
    <row r="3482">
      <c r="A3482" t="inlineStr">
        <is>
          <t>ENT-11807841</t>
        </is>
      </c>
      <c r="B3482" t="inlineStr">
        <is>
          <t>R260507-pronto</t>
        </is>
      </c>
      <c r="C3482" t="inlineStr">
        <is>
          <t>Entrackr</t>
        </is>
      </c>
      <c r="D3482" s="17" t="n">
        <v>46149</v>
      </c>
      <c r="E3482" t="inlineStr">
        <is>
          <t>Pronto</t>
        </is>
      </c>
      <c r="F3482" t="inlineStr">
        <is>
          <t>$45 million</t>
        </is>
      </c>
      <c r="G3482" s="19" t="n"/>
      <c r="H3482" s="19" t="n">
        <v>45</v>
      </c>
      <c r="I3482" t="inlineStr">
        <is>
          <t>Series B</t>
        </is>
      </c>
      <c r="J3482" t="inlineStr"/>
      <c r="K3482" t="inlineStr">
        <is>
          <t>https://entrackr.com/news/pronto-raises-additional-20-mn-in-series-b-round-at-200-mn-valuation-11807841</t>
        </is>
      </c>
    </row>
    <row r="3483">
      <c r="A3483" t="inlineStr">
        <is>
          <t>ET-130868012</t>
        </is>
      </c>
      <c r="B3483" t="inlineStr">
        <is>
          <t>R260507-pronto</t>
        </is>
      </c>
      <c r="C3483" t="inlineStr">
        <is>
          <t>The Economic Times</t>
        </is>
      </c>
      <c r="D3483" s="17" t="n">
        <v>46149</v>
      </c>
      <c r="E3483" t="inlineStr">
        <is>
          <t>Pronto</t>
        </is>
      </c>
      <c r="F3483" t="inlineStr">
        <is>
          <t>$20 million</t>
        </is>
      </c>
      <c r="G3483" s="19" t="n">
        <v>189</v>
      </c>
      <c r="H3483" s="19" t="n">
        <v>20</v>
      </c>
      <c r="I3483" t="inlineStr">
        <is>
          <t>Undisclosed</t>
        </is>
      </c>
      <c r="J3483" t="inlineStr"/>
      <c r="K3483" t="inlineStr">
        <is>
          <t>https://economictimes.indiatimes.com/tech/funding/instant-house-help-startup-pronto-bags-20-million-as-valuation-doubles-to-200-million/articleshow/130868012.cms</t>
        </is>
      </c>
    </row>
    <row r="3484">
      <c r="A3484" t="inlineStr">
        <is>
          <t>INC-20260509-02</t>
        </is>
      </c>
      <c r="B3484" t="inlineStr">
        <is>
          <t>R260507-pronto</t>
        </is>
      </c>
      <c r="C3484" t="inlineStr">
        <is>
          <t>Inc42</t>
        </is>
      </c>
      <c r="D3484" s="17" t="n">
        <v>46149</v>
      </c>
      <c r="E3484" t="inlineStr">
        <is>
          <t>Pronto</t>
        </is>
      </c>
      <c r="F3484" t="inlineStr">
        <is>
          <t>$20 Mn</t>
        </is>
      </c>
      <c r="G3484" s="19" t="n"/>
      <c r="H3484" s="19" t="n">
        <v>20</v>
      </c>
      <c r="I3484" t="inlineStr">
        <is>
          <t>Series B</t>
        </is>
      </c>
      <c r="J3484" t="inlineStr">
        <is>
          <t>Lachy Groom</t>
        </is>
      </c>
      <c r="K3484" t="inlineStr">
        <is>
          <t>https://inc42.com/buzz/from-skyroot-to-pronto-indian-startups-raised-132-mn-this-week/</t>
        </is>
      </c>
    </row>
    <row r="3485">
      <c r="A3485" t="inlineStr">
        <is>
          <t>ENT-11808488</t>
        </is>
      </c>
      <c r="B3485" t="inlineStr">
        <is>
          <t>R260507-skyrootaerospa</t>
        </is>
      </c>
      <c r="C3485" t="inlineStr">
        <is>
          <t>Entrackr</t>
        </is>
      </c>
      <c r="D3485" s="17" t="n">
        <v>46149</v>
      </c>
      <c r="E3485" t="inlineStr">
        <is>
          <t>Skyroot Aerospace</t>
        </is>
      </c>
      <c r="F3485" t="inlineStr">
        <is>
          <t>$60 million</t>
        </is>
      </c>
      <c r="G3485" s="19" t="n">
        <v>570</v>
      </c>
      <c r="H3485" s="19" t="n">
        <v>60</v>
      </c>
      <c r="I3485" t="inlineStr">
        <is>
          <t>Undisclosed</t>
        </is>
      </c>
      <c r="J3485" t="inlineStr">
        <is>
          <t>Sherpalo Ventures; GIC</t>
        </is>
      </c>
      <c r="K3485" t="inlineStr">
        <is>
          <t>https://entrackr.com/news/skyroot-becomes-indias-first-spacetech-unicorn-after-60-mn-funding-round-11808488</t>
        </is>
      </c>
    </row>
    <row r="3486">
      <c r="A3486" t="inlineStr">
        <is>
          <t>INC-20260509-01</t>
        </is>
      </c>
      <c r="B3486" t="inlineStr">
        <is>
          <t>R260507-skyrootaerospa</t>
        </is>
      </c>
      <c r="C3486" t="inlineStr">
        <is>
          <t>Inc42</t>
        </is>
      </c>
      <c r="D3486" s="17" t="n">
        <v>46149</v>
      </c>
      <c r="E3486" t="inlineStr">
        <is>
          <t>Skyroot</t>
        </is>
      </c>
      <c r="F3486" t="inlineStr">
        <is>
          <t>$60 Mn</t>
        </is>
      </c>
      <c r="G3486" s="19" t="n"/>
      <c r="H3486" s="19" t="n">
        <v>60</v>
      </c>
      <c r="I3486" t="inlineStr">
        <is>
          <t>Undisclosed</t>
        </is>
      </c>
      <c r="J3486" t="inlineStr">
        <is>
          <t>Sherpalo Ventures; GIC</t>
        </is>
      </c>
      <c r="K3486" t="inlineStr">
        <is>
          <t>https://inc42.com/buzz/from-skyroot-to-pronto-indian-startups-raised-132-mn-this-week/</t>
        </is>
      </c>
    </row>
    <row r="3487">
      <c r="A3487" t="inlineStr">
        <is>
          <t>INC-20260516-13</t>
        </is>
      </c>
      <c r="B3487" t="inlineStr">
        <is>
          <t>R260511-bobakat</t>
        </is>
      </c>
      <c r="C3487" t="inlineStr">
        <is>
          <t>Inc42</t>
        </is>
      </c>
      <c r="D3487" s="17" t="n">
        <v>46153</v>
      </c>
      <c r="E3487" t="inlineStr">
        <is>
          <t>Bobakat</t>
        </is>
      </c>
      <c r="F3487" t="inlineStr">
        <is>
          <t>$638K</t>
        </is>
      </c>
      <c r="G3487" s="19" t="n"/>
      <c r="H3487" s="19" t="n">
        <v>0.638</v>
      </c>
      <c r="I3487" t="inlineStr">
        <is>
          <t>Pre-Series A</t>
        </is>
      </c>
      <c r="J3487" t="inlineStr"/>
      <c r="K3487" t="inlineStr">
        <is>
          <t>https://inc42.com/buzz/from-rapido-to-hrdwyr-indian-startups-raised-303-mn-this-week/</t>
        </is>
      </c>
    </row>
    <row r="3488">
      <c r="A3488" t="inlineStr">
        <is>
          <t>ENT-11822989</t>
        </is>
      </c>
      <c r="B3488" t="inlineStr">
        <is>
          <t>R260511-flomobility</t>
        </is>
      </c>
      <c r="C3488" t="inlineStr">
        <is>
          <t>Entrackr</t>
        </is>
      </c>
      <c r="D3488" s="17" t="n">
        <v>46153</v>
      </c>
      <c r="E3488" t="inlineStr">
        <is>
          <t>Flo Mobility</t>
        </is>
      </c>
      <c r="F3488" t="inlineStr">
        <is>
          <t>$2.5 million</t>
        </is>
      </c>
      <c r="G3488" s="19" t="n"/>
      <c r="H3488" s="19" t="n">
        <v>2.5</v>
      </c>
      <c r="I3488" t="inlineStr">
        <is>
          <t>Pre-Series A</t>
        </is>
      </c>
      <c r="J3488" t="inlineStr">
        <is>
          <t>Mela Ventures; Arali Ventures</t>
        </is>
      </c>
      <c r="K3488" t="inlineStr">
        <is>
          <t>https://entrackr.com/snippets/construction-robotics-startup-flo-mobility-raises-25-mn-in-pre-series-a-round-11822989</t>
        </is>
      </c>
    </row>
    <row r="3489">
      <c r="A3489" t="inlineStr">
        <is>
          <t>INC-20260516-08</t>
        </is>
      </c>
      <c r="B3489" t="inlineStr">
        <is>
          <t>R260511-flomobility</t>
        </is>
      </c>
      <c r="C3489" t="inlineStr">
        <is>
          <t>Inc42</t>
        </is>
      </c>
      <c r="D3489" s="17" t="n">
        <v>46153</v>
      </c>
      <c r="E3489" t="inlineStr">
        <is>
          <t>Flo Mobility</t>
        </is>
      </c>
      <c r="F3489" t="inlineStr">
        <is>
          <t>$2.5 Mn</t>
        </is>
      </c>
      <c r="G3489" s="19" t="n"/>
      <c r="H3489" s="19" t="n">
        <v>2.5</v>
      </c>
      <c r="I3489" t="inlineStr">
        <is>
          <t>Pre-Series A</t>
        </is>
      </c>
      <c r="J3489" t="inlineStr">
        <is>
          <t>Mela Ventures; Arali Ventures</t>
        </is>
      </c>
      <c r="K3489" t="inlineStr">
        <is>
          <t>https://inc42.com/buzz/from-rapido-to-hrdwyr-indian-startups-raised-303-mn-this-week/</t>
        </is>
      </c>
    </row>
    <row r="3490">
      <c r="A3490" t="inlineStr">
        <is>
          <t>ENT-11821898</t>
        </is>
      </c>
      <c r="B3490" t="inlineStr">
        <is>
          <t>R260511-kathybeverages</t>
        </is>
      </c>
      <c r="C3490" t="inlineStr">
        <is>
          <t>Entrackr</t>
        </is>
      </c>
      <c r="D3490" s="17" t="n">
        <v>46153</v>
      </c>
      <c r="E3490" t="inlineStr">
        <is>
          <t>Kathy’s Beverages</t>
        </is>
      </c>
      <c r="F3490" t="inlineStr">
        <is>
          <t>Rs 6 crore</t>
        </is>
      </c>
      <c r="G3490" s="19" t="n">
        <v>6</v>
      </c>
      <c r="H3490" s="19" t="n"/>
      <c r="I3490" t="inlineStr">
        <is>
          <t>Pre-Series A</t>
        </is>
      </c>
      <c r="J3490" t="inlineStr"/>
      <c r="K3490" t="inlineStr">
        <is>
          <t>https://entrackr.com/snippets/kathys-beverages-raises-rs-6-cr-in-pre-series-a-round-11821898</t>
        </is>
      </c>
    </row>
    <row r="3491">
      <c r="A3491" t="inlineStr">
        <is>
          <t>ENT-11823364</t>
        </is>
      </c>
      <c r="B3491" t="inlineStr">
        <is>
          <t>R260511-nori</t>
        </is>
      </c>
      <c r="C3491" t="inlineStr">
        <is>
          <t>Entrackr</t>
        </is>
      </c>
      <c r="D3491" s="17" t="n">
        <v>46153</v>
      </c>
      <c r="E3491" t="inlineStr">
        <is>
          <t>NORI</t>
        </is>
      </c>
      <c r="F3491" t="inlineStr">
        <is>
          <t>$350K</t>
        </is>
      </c>
      <c r="G3491" s="19" t="n"/>
      <c r="H3491" s="19" t="n">
        <v>0.35</v>
      </c>
      <c r="I3491" t="inlineStr">
        <is>
          <t>Pre-Seed</t>
        </is>
      </c>
      <c r="J3491" t="inlineStr">
        <is>
          <t>Rebalance</t>
        </is>
      </c>
      <c r="K3491" t="inlineStr">
        <is>
          <t>https://entrackr.com/snippets/rebalance-leads-pre-seed-round-in-travel-gear-brand-nori-11823364</t>
        </is>
      </c>
    </row>
    <row r="3492">
      <c r="A3492" t="inlineStr">
        <is>
          <t>INC-20260516-14</t>
        </is>
      </c>
      <c r="B3492" t="inlineStr">
        <is>
          <t>R260511-nori</t>
        </is>
      </c>
      <c r="C3492" t="inlineStr">
        <is>
          <t>Inc42</t>
        </is>
      </c>
      <c r="D3492" s="17" t="n">
        <v>46153</v>
      </c>
      <c r="E3492" t="inlineStr">
        <is>
          <t>NORI</t>
        </is>
      </c>
      <c r="F3492" t="inlineStr">
        <is>
          <t>$350K</t>
        </is>
      </c>
      <c r="G3492" s="19" t="n"/>
      <c r="H3492" s="19" t="n">
        <v>0.35</v>
      </c>
      <c r="I3492" t="inlineStr">
        <is>
          <t>Pre-Seed</t>
        </is>
      </c>
      <c r="J3492" t="inlineStr">
        <is>
          <t>Rebalance</t>
        </is>
      </c>
      <c r="K3492" t="inlineStr">
        <is>
          <t>https://inc42.com/buzz/from-rapido-to-hrdwyr-indian-startups-raised-303-mn-this-week/</t>
        </is>
      </c>
    </row>
    <row r="3493">
      <c r="A3493" t="inlineStr">
        <is>
          <t>ENT-11822503</t>
        </is>
      </c>
      <c r="B3493" t="inlineStr">
        <is>
          <t>R260511-sindhujamicroc</t>
        </is>
      </c>
      <c r="C3493" t="inlineStr">
        <is>
          <t>Entrackr</t>
        </is>
      </c>
      <c r="D3493" s="17" t="n">
        <v>46153</v>
      </c>
      <c r="E3493" t="inlineStr">
        <is>
          <t>Sindhuja Microcredit</t>
        </is>
      </c>
      <c r="F3493" t="inlineStr">
        <is>
          <t>$5 million</t>
        </is>
      </c>
      <c r="G3493" s="19" t="n">
        <v>47</v>
      </c>
      <c r="H3493" s="19" t="n">
        <v>5</v>
      </c>
      <c r="I3493" t="inlineStr">
        <is>
          <t>Series D</t>
        </is>
      </c>
      <c r="J3493" t="inlineStr"/>
      <c r="K3493" t="inlineStr">
        <is>
          <t>https://entrackr.com/snippets/sindhuja-microcredit-raises-5-mn-in-pre-series-d-round-11822503</t>
        </is>
      </c>
    </row>
    <row r="3494">
      <c r="A3494" t="inlineStr">
        <is>
          <t>VCC-1e04ffb5a9</t>
        </is>
      </c>
      <c r="B3494" t="inlineStr">
        <is>
          <t>R260511-sindhujamicroc</t>
        </is>
      </c>
      <c r="C3494" t="inlineStr">
        <is>
          <t>VCCircle</t>
        </is>
      </c>
      <c r="D3494" s="17" t="n">
        <v>46153</v>
      </c>
      <c r="E3494" t="inlineStr">
        <is>
          <t>sindhujamicrocredit</t>
        </is>
      </c>
      <c r="F3494" t="inlineStr">
        <is>
          <t>$ 5 million</t>
        </is>
      </c>
      <c r="G3494" s="19" t="n"/>
      <c r="H3494" s="19" t="n">
        <v>5</v>
      </c>
      <c r="I3494" t="inlineStr">
        <is>
          <t>Series D</t>
        </is>
      </c>
      <c r="J3494" t="inlineStr"/>
      <c r="K3494" t="inlineStr">
        <is>
          <t>https://www.vccircle.com/sindhujamicrocredit-raises-5-mn-in-pre-series-d-round</t>
        </is>
      </c>
    </row>
    <row r="3495">
      <c r="A3495" t="inlineStr">
        <is>
          <t>ENT-11821412</t>
        </is>
      </c>
      <c r="B3495" t="inlineStr">
        <is>
          <t>R260511-wingreensacqui</t>
        </is>
      </c>
      <c r="C3495" t="inlineStr">
        <is>
          <t>Entrackr</t>
        </is>
      </c>
      <c r="D3495" s="17" t="n">
        <v>46153</v>
      </c>
      <c r="E3495" t="inlineStr">
        <is>
          <t>Wingreens acquires Safe Harvest;</t>
        </is>
      </c>
      <c r="F3495" t="inlineStr">
        <is>
          <t>Rs 120 crore</t>
        </is>
      </c>
      <c r="G3495" s="19" t="n">
        <v>120</v>
      </c>
      <c r="H3495" s="19" t="n">
        <v>12.6</v>
      </c>
      <c r="I3495" t="inlineStr">
        <is>
          <t>Series D</t>
        </is>
      </c>
      <c r="J3495" t="inlineStr">
        <is>
          <t>Ashish Kacholia</t>
        </is>
      </c>
      <c r="K3495" t="inlineStr">
        <is>
          <t>https://entrackr.com/news/wingreens-acquires-safe-harvest-raises-rs-120-cr-in-series-d-round-11821412</t>
        </is>
      </c>
    </row>
    <row r="3496">
      <c r="A3496" t="inlineStr">
        <is>
          <t>INC-20260516-03</t>
        </is>
      </c>
      <c r="B3496" t="inlineStr">
        <is>
          <t>R260511-wingreensfarms</t>
        </is>
      </c>
      <c r="C3496" t="inlineStr">
        <is>
          <t>Inc42</t>
        </is>
      </c>
      <c r="D3496" s="17" t="n">
        <v>46153</v>
      </c>
      <c r="E3496" t="inlineStr">
        <is>
          <t>Wingreens Farms</t>
        </is>
      </c>
      <c r="F3496" t="inlineStr">
        <is>
          <t>$12.6 Mn</t>
        </is>
      </c>
      <c r="G3496" s="19" t="n"/>
      <c r="H3496" s="19" t="n">
        <v>12.6</v>
      </c>
      <c r="I3496" t="inlineStr">
        <is>
          <t>Series D</t>
        </is>
      </c>
      <c r="J3496" t="inlineStr">
        <is>
          <t>Ashish Kacholia</t>
        </is>
      </c>
      <c r="K3496" t="inlineStr">
        <is>
          <t>https://inc42.com/buzz/from-rapido-to-hrdwyr-indian-startups-raised-303-mn-this-week/</t>
        </is>
      </c>
    </row>
    <row r="3497">
      <c r="A3497" t="inlineStr">
        <is>
          <t>ET-131043529</t>
        </is>
      </c>
      <c r="B3497" t="inlineStr">
        <is>
          <t>R260512-dilfoods</t>
        </is>
      </c>
      <c r="C3497" t="inlineStr">
        <is>
          <t>The Economic Times</t>
        </is>
      </c>
      <c r="D3497" s="17" t="n">
        <v>46154</v>
      </c>
      <c r="E3497" t="inlineStr">
        <is>
          <t>Dil Foods</t>
        </is>
      </c>
      <c r="F3497" t="inlineStr">
        <is>
          <t>$7.5 million</t>
        </is>
      </c>
      <c r="G3497" s="19" t="n">
        <v>72</v>
      </c>
      <c r="H3497" s="19" t="n">
        <v>7.5</v>
      </c>
      <c r="I3497" t="inlineStr">
        <is>
          <t>Undisclosed</t>
        </is>
      </c>
      <c r="J3497" t="inlineStr"/>
      <c r="K3497" t="inlineStr">
        <is>
          <t>https://economictimes.indiatimes.com/tech/funding/restaurant-enablement-startup-dil-foods-raises-7-5-million-in-funding/articleshow/131043529.cms</t>
        </is>
      </c>
    </row>
    <row r="3498">
      <c r="A3498" t="inlineStr">
        <is>
          <t>INC-20260516-05</t>
        </is>
      </c>
      <c r="B3498" t="inlineStr">
        <is>
          <t>R260512-dilfoods</t>
        </is>
      </c>
      <c r="C3498" t="inlineStr">
        <is>
          <t>Inc42</t>
        </is>
      </c>
      <c r="D3498" s="17" t="n">
        <v>46154</v>
      </c>
      <c r="E3498" t="inlineStr">
        <is>
          <t>Dil Foods</t>
        </is>
      </c>
      <c r="F3498" t="inlineStr">
        <is>
          <t>$7.7 Mn</t>
        </is>
      </c>
      <c r="G3498" s="19" t="n"/>
      <c r="H3498" s="19" t="n">
        <v>7.7</v>
      </c>
      <c r="I3498" t="inlineStr">
        <is>
          <t>Series B</t>
        </is>
      </c>
      <c r="J3498" t="inlineStr">
        <is>
          <t>Bikaji Foods Family Office</t>
        </is>
      </c>
      <c r="K3498" t="inlineStr">
        <is>
          <t>https://inc42.com/buzz/from-rapido-to-hrdwyr-indian-startups-raised-303-mn-this-week/</t>
        </is>
      </c>
    </row>
    <row r="3499">
      <c r="A3499" t="inlineStr">
        <is>
          <t>ENT-11826658</t>
        </is>
      </c>
      <c r="B3499" t="inlineStr">
        <is>
          <t>R260512-hrdwyr</t>
        </is>
      </c>
      <c r="C3499" t="inlineStr">
        <is>
          <t>Entrackr</t>
        </is>
      </c>
      <c r="D3499" s="17" t="n">
        <v>46154</v>
      </c>
      <c r="E3499" t="inlineStr">
        <is>
          <t>HrdWyr</t>
        </is>
      </c>
      <c r="F3499" t="inlineStr">
        <is>
          <t>$13 million</t>
        </is>
      </c>
      <c r="G3499" s="19" t="n"/>
      <c r="H3499" s="19" t="n">
        <v>13</v>
      </c>
      <c r="I3499" t="inlineStr">
        <is>
          <t>Series A</t>
        </is>
      </c>
      <c r="J3499" t="inlineStr">
        <is>
          <t>Ideaspring Capital</t>
        </is>
      </c>
      <c r="K3499" t="inlineStr">
        <is>
          <t>https://entrackr.com/news/semiconductor-startup-hrdwyr-raises-13-mn-led-by-ideaspring-capital-11826658</t>
        </is>
      </c>
    </row>
    <row r="3500">
      <c r="A3500" t="inlineStr">
        <is>
          <t>INC-20260516-02</t>
        </is>
      </c>
      <c r="B3500" t="inlineStr">
        <is>
          <t>R260512-hrdwyr</t>
        </is>
      </c>
      <c r="C3500" t="inlineStr">
        <is>
          <t>Inc42</t>
        </is>
      </c>
      <c r="D3500" s="17" t="n">
        <v>46154</v>
      </c>
      <c r="E3500" t="inlineStr">
        <is>
          <t>HrdWyr</t>
        </is>
      </c>
      <c r="F3500" t="inlineStr">
        <is>
          <t>$13 Mn</t>
        </is>
      </c>
      <c r="G3500" s="19" t="n"/>
      <c r="H3500" s="19" t="n">
        <v>13</v>
      </c>
      <c r="I3500" t="inlineStr">
        <is>
          <t>Series A</t>
        </is>
      </c>
      <c r="J3500" t="inlineStr">
        <is>
          <t>Ideaspring Capital</t>
        </is>
      </c>
      <c r="K3500" t="inlineStr">
        <is>
          <t>https://inc42.com/buzz/from-rapido-to-hrdwyr-indian-startups-raised-303-mn-this-week/</t>
        </is>
      </c>
    </row>
    <row r="3501">
      <c r="A3501" t="inlineStr">
        <is>
          <t>ENT-11826780</t>
        </is>
      </c>
      <c r="B3501" t="inlineStr">
        <is>
          <t>R260512-incredcapital</t>
        </is>
      </c>
      <c r="C3501" t="inlineStr">
        <is>
          <t>Entrackr</t>
        </is>
      </c>
      <c r="D3501" s="17" t="n">
        <v>46154</v>
      </c>
      <c r="E3501" t="inlineStr">
        <is>
          <t>InCred Capital</t>
        </is>
      </c>
      <c r="F3501" t="inlineStr"/>
      <c r="G3501" s="19" t="n"/>
      <c r="H3501" s="19" t="n"/>
      <c r="I3501" t="inlineStr">
        <is>
          <t>Undisclosed</t>
        </is>
      </c>
      <c r="J3501" t="inlineStr"/>
      <c r="K3501" t="inlineStr">
        <is>
          <t>https://entrackr.com/snippets/incred-capital-acquires-fund-management-firm-s-cube-capital-11826780</t>
        </is>
      </c>
    </row>
    <row r="3502">
      <c r="A3502" t="inlineStr">
        <is>
          <t>ENT-11825425</t>
        </is>
      </c>
      <c r="B3502" t="inlineStr">
        <is>
          <t>R260512-mekr</t>
        </is>
      </c>
      <c r="C3502" t="inlineStr">
        <is>
          <t>Entrackr</t>
        </is>
      </c>
      <c r="D3502" s="17" t="n">
        <v>46154</v>
      </c>
      <c r="E3502" t="inlineStr">
        <is>
          <t>Mekr</t>
        </is>
      </c>
      <c r="F3502" t="inlineStr">
        <is>
          <t>Rs 67 crore</t>
        </is>
      </c>
      <c r="G3502" s="19" t="n">
        <v>67</v>
      </c>
      <c r="H3502" s="19" t="n">
        <v>7</v>
      </c>
      <c r="I3502" t="inlineStr">
        <is>
          <t>Series A</t>
        </is>
      </c>
      <c r="J3502" t="inlineStr">
        <is>
          <t>Avaana Capital</t>
        </is>
      </c>
      <c r="K3502" t="inlineStr">
        <is>
          <t>https://entrackr.com/snippets/appliance-manufacturing-startup-mekr-raises-rs-67-cr-led-by-avaana-capital-11825425</t>
        </is>
      </c>
    </row>
    <row r="3503">
      <c r="A3503" t="inlineStr">
        <is>
          <t>ET-131027557</t>
        </is>
      </c>
      <c r="B3503" t="inlineStr">
        <is>
          <t>R260512-mekr</t>
        </is>
      </c>
      <c r="C3503" t="inlineStr">
        <is>
          <t>The Economic Times</t>
        </is>
      </c>
      <c r="D3503" s="17" t="n">
        <v>46154</v>
      </c>
      <c r="E3503" t="inlineStr">
        <is>
          <t>Mekr Technologies</t>
        </is>
      </c>
      <c r="F3503" t="inlineStr">
        <is>
          <t>Rs 67 crore</t>
        </is>
      </c>
      <c r="G3503" s="19" t="n">
        <v>67</v>
      </c>
      <c r="H3503" s="19" t="n"/>
      <c r="I3503" t="inlineStr">
        <is>
          <t>Undisclosed</t>
        </is>
      </c>
      <c r="J3503" t="inlineStr">
        <is>
          <t>Avaana Capital</t>
        </is>
      </c>
      <c r="K3503" t="inlineStr">
        <is>
          <t>https://economictimes.indiatimes.com/tech/funding/consumer-appliance-manufacturer-mekr-technologies-raises-rs-67-crore-from-avaana-capital-titan/articleshow/131027557.cms</t>
        </is>
      </c>
    </row>
    <row r="3504">
      <c r="A3504" t="inlineStr">
        <is>
          <t>INC-20260516-06</t>
        </is>
      </c>
      <c r="B3504" t="inlineStr">
        <is>
          <t>R260512-mekr</t>
        </is>
      </c>
      <c r="C3504" t="inlineStr">
        <is>
          <t>Inc42</t>
        </is>
      </c>
      <c r="D3504" s="17" t="n">
        <v>46154</v>
      </c>
      <c r="E3504" t="inlineStr">
        <is>
          <t>Mekr</t>
        </is>
      </c>
      <c r="F3504" t="inlineStr">
        <is>
          <t>$7 Mn</t>
        </is>
      </c>
      <c r="G3504" s="19" t="n"/>
      <c r="H3504" s="19" t="n">
        <v>7</v>
      </c>
      <c r="I3504" t="inlineStr">
        <is>
          <t>Series A</t>
        </is>
      </c>
      <c r="J3504" t="inlineStr">
        <is>
          <t>Avaana Capital</t>
        </is>
      </c>
      <c r="K3504" t="inlineStr">
        <is>
          <t>https://inc42.com/buzz/from-rapido-to-hrdwyr-indian-startups-raised-303-mn-this-week/</t>
        </is>
      </c>
    </row>
    <row r="3505">
      <c r="A3505" t="inlineStr">
        <is>
          <t>ENT-11826466</t>
        </is>
      </c>
      <c r="B3505" t="inlineStr">
        <is>
          <t>R260512-scikiq</t>
        </is>
      </c>
      <c r="C3505" t="inlineStr">
        <is>
          <t>Entrackr</t>
        </is>
      </c>
      <c r="D3505" s="17" t="n">
        <v>46154</v>
      </c>
      <c r="E3505" t="inlineStr">
        <is>
          <t>SCIKIQ</t>
        </is>
      </c>
      <c r="F3505" t="inlineStr">
        <is>
          <t>$1.5 million</t>
        </is>
      </c>
      <c r="G3505" s="19" t="n"/>
      <c r="H3505" s="19" t="n">
        <v>1.5</v>
      </c>
      <c r="I3505" t="inlineStr">
        <is>
          <t>Pre-Series A</t>
        </is>
      </c>
      <c r="J3505" t="inlineStr">
        <is>
          <t>Triton Fund II</t>
        </is>
      </c>
      <c r="K3505" t="inlineStr">
        <is>
          <t>https://entrackr.com/snippets/enterprise-intelligence-startup-scikiq-secures-15-mn-in-pre-series-a-11826466</t>
        </is>
      </c>
    </row>
    <row r="3506">
      <c r="A3506" t="inlineStr">
        <is>
          <t>INC-20260516-10</t>
        </is>
      </c>
      <c r="B3506" t="inlineStr">
        <is>
          <t>R260512-scikiq</t>
        </is>
      </c>
      <c r="C3506" t="inlineStr">
        <is>
          <t>Inc42</t>
        </is>
      </c>
      <c r="D3506" s="17" t="n">
        <v>46154</v>
      </c>
      <c r="E3506" t="inlineStr">
        <is>
          <t>SCIKIQ</t>
        </is>
      </c>
      <c r="F3506" t="inlineStr">
        <is>
          <t>$1.5 Mn</t>
        </is>
      </c>
      <c r="G3506" s="19" t="n"/>
      <c r="H3506" s="19" t="n">
        <v>1.5</v>
      </c>
      <c r="I3506" t="inlineStr">
        <is>
          <t>Pre-Series A</t>
        </is>
      </c>
      <c r="J3506" t="inlineStr">
        <is>
          <t>Triton Investment Advisors</t>
        </is>
      </c>
      <c r="K3506" t="inlineStr">
        <is>
          <t>https://inc42.com/buzz/from-rapido-to-hrdwyr-indian-startups-raised-303-mn-this-week/</t>
        </is>
      </c>
    </row>
    <row r="3507">
      <c r="A3507" t="inlineStr">
        <is>
          <t>ENT-11829440</t>
        </is>
      </c>
      <c r="B3507" t="inlineStr">
        <is>
          <t>R260513-instafix</t>
        </is>
      </c>
      <c r="C3507" t="inlineStr">
        <is>
          <t>Entrackr</t>
        </is>
      </c>
      <c r="D3507" s="17" t="n">
        <v>46155</v>
      </c>
      <c r="E3507" t="inlineStr">
        <is>
          <t>Instafix</t>
        </is>
      </c>
      <c r="F3507" t="inlineStr">
        <is>
          <t>Rs 7.55 crore</t>
        </is>
      </c>
      <c r="G3507" s="19" t="n">
        <v>7.55</v>
      </c>
      <c r="H3507" s="19" t="n"/>
      <c r="I3507" t="inlineStr">
        <is>
          <t>Pre-Seed</t>
        </is>
      </c>
      <c r="J3507" t="inlineStr">
        <is>
          <t>Titan Capital; 8i Ventures; Bharat Kalia</t>
        </is>
      </c>
      <c r="K3507" t="inlineStr">
        <is>
          <t>https://entrackr.com/snippets/doorstep-smartphone-repair-startup-instafix-raises-pre-seed-round-led-by-titan-capital-8i-ventures-11829440</t>
        </is>
      </c>
    </row>
    <row r="3508">
      <c r="A3508" t="inlineStr">
        <is>
          <t>INC-20260516-12</t>
        </is>
      </c>
      <c r="B3508" t="inlineStr">
        <is>
          <t>R260513-instafix</t>
        </is>
      </c>
      <c r="C3508" t="inlineStr">
        <is>
          <t>Inc42</t>
        </is>
      </c>
      <c r="D3508" s="17" t="n">
        <v>46155</v>
      </c>
      <c r="E3508" t="inlineStr">
        <is>
          <t>Instafix</t>
        </is>
      </c>
      <c r="F3508" t="inlineStr">
        <is>
          <t>$787K</t>
        </is>
      </c>
      <c r="G3508" s="19" t="n"/>
      <c r="H3508" s="19" t="n">
        <v>0.787</v>
      </c>
      <c r="I3508" t="inlineStr">
        <is>
          <t>Pre-Seed</t>
        </is>
      </c>
      <c r="J3508" t="inlineStr">
        <is>
          <t>Titan Capital; 8i Ventures</t>
        </is>
      </c>
      <c r="K3508" t="inlineStr">
        <is>
          <t>https://inc42.com/buzz/from-rapido-to-hrdwyr-indian-startups-raised-303-mn-this-week/</t>
        </is>
      </c>
    </row>
    <row r="3509">
      <c r="A3509" t="inlineStr">
        <is>
          <t>INC-20260516-07</t>
        </is>
      </c>
      <c r="B3509" t="inlineStr">
        <is>
          <t>R260513-nivasafinance</t>
        </is>
      </c>
      <c r="C3509" t="inlineStr">
        <is>
          <t>Inc42</t>
        </is>
      </c>
      <c r="D3509" s="17" t="n">
        <v>46155</v>
      </c>
      <c r="E3509" t="inlineStr">
        <is>
          <t>Nivasa Finance</t>
        </is>
      </c>
      <c r="F3509" t="inlineStr">
        <is>
          <t>$2.6 Mn</t>
        </is>
      </c>
      <c r="G3509" s="19" t="n"/>
      <c r="H3509" s="19" t="n">
        <v>2.6</v>
      </c>
      <c r="I3509" t="inlineStr">
        <is>
          <t>Seed</t>
        </is>
      </c>
      <c r="J3509" t="inlineStr"/>
      <c r="K3509" t="inlineStr">
        <is>
          <t>https://inc42.com/buzz/from-rapido-to-hrdwyr-indian-startups-raised-303-mn-this-week/</t>
        </is>
      </c>
    </row>
    <row r="3510">
      <c r="A3510" t="inlineStr">
        <is>
          <t>ENT-11830900</t>
        </is>
      </c>
      <c r="B3510" t="inlineStr">
        <is>
          <t>R260513-ondc</t>
        </is>
      </c>
      <c r="C3510" t="inlineStr">
        <is>
          <t>Entrackr</t>
        </is>
      </c>
      <c r="D3510" s="17" t="n">
        <v>46155</v>
      </c>
      <c r="E3510" t="inlineStr">
        <is>
          <t>ONDC</t>
        </is>
      </c>
      <c r="F3510" t="inlineStr">
        <is>
          <t>Rs 70 crore</t>
        </is>
      </c>
      <c r="G3510" s="19" t="n">
        <v>70</v>
      </c>
      <c r="H3510" s="19" t="n"/>
      <c r="I3510" t="inlineStr">
        <is>
          <t>Undisclosed</t>
        </is>
      </c>
      <c r="J3510" t="inlineStr"/>
      <c r="K3510" t="inlineStr">
        <is>
          <t>https://entrackr.com/snippets/zoho-invests-rs-70-cr-in-ondc-to-support-msmes-11830900</t>
        </is>
      </c>
    </row>
    <row r="3511">
      <c r="A3511" t="inlineStr">
        <is>
          <t>ENT-11829958</t>
        </is>
      </c>
      <c r="B3511" t="inlineStr">
        <is>
          <t>R260513-theelefant</t>
        </is>
      </c>
      <c r="C3511" t="inlineStr">
        <is>
          <t>Entrackr</t>
        </is>
      </c>
      <c r="D3511" s="17" t="n">
        <v>46155</v>
      </c>
      <c r="E3511" t="inlineStr">
        <is>
          <t>The EleFant</t>
        </is>
      </c>
      <c r="F3511" t="inlineStr">
        <is>
          <t>$1 million</t>
        </is>
      </c>
      <c r="G3511" s="19" t="n"/>
      <c r="H3511" s="19" t="n">
        <v>1</v>
      </c>
      <c r="I3511" t="inlineStr">
        <is>
          <t>Undisclosed</t>
        </is>
      </c>
      <c r="J3511" t="inlineStr">
        <is>
          <t>Growth Sense Venture Fund</t>
        </is>
      </c>
      <c r="K3511" t="inlineStr">
        <is>
          <t>https://entrackr.com/snippets/toy-subscription-startup-the-elefant-raises-1-mn-in-pre-series-funding-11829958</t>
        </is>
      </c>
    </row>
    <row r="3512">
      <c r="A3512" t="inlineStr">
        <is>
          <t>INC-20260516-11</t>
        </is>
      </c>
      <c r="B3512" t="inlineStr">
        <is>
          <t>R260513-theelefant</t>
        </is>
      </c>
      <c r="C3512" t="inlineStr">
        <is>
          <t>Inc42</t>
        </is>
      </c>
      <c r="D3512" s="17" t="n">
        <v>46155</v>
      </c>
      <c r="E3512" t="inlineStr">
        <is>
          <t>The EleFant</t>
        </is>
      </c>
      <c r="F3512" t="inlineStr">
        <is>
          <t>$1 Mn</t>
        </is>
      </c>
      <c r="G3512" s="19" t="n"/>
      <c r="H3512" s="19" t="n">
        <v>1</v>
      </c>
      <c r="I3512" t="inlineStr">
        <is>
          <t>Undisclosed</t>
        </is>
      </c>
      <c r="J3512" t="inlineStr">
        <is>
          <t>Growth Sense</t>
        </is>
      </c>
      <c r="K3512" t="inlineStr">
        <is>
          <t>https://inc42.com/buzz/from-rapido-to-hrdwyr-indian-startups-raised-303-mn-this-week/</t>
        </is>
      </c>
    </row>
    <row r="3513">
      <c r="A3513" t="inlineStr">
        <is>
          <t>INC-20260523-10</t>
        </is>
      </c>
      <c r="B3513" t="inlineStr">
        <is>
          <t>R260514-bombaybanta</t>
        </is>
      </c>
      <c r="C3513" t="inlineStr">
        <is>
          <t>Inc42</t>
        </is>
      </c>
      <c r="D3513" s="17" t="n">
        <v>46156</v>
      </c>
      <c r="E3513" t="inlineStr">
        <is>
          <t>Bombay Banta</t>
        </is>
      </c>
      <c r="F3513" t="inlineStr">
        <is>
          <t>$832K</t>
        </is>
      </c>
      <c r="G3513" s="19" t="n"/>
      <c r="H3513" s="19" t="n">
        <v>0.832</v>
      </c>
      <c r="I3513" t="inlineStr">
        <is>
          <t>Pre-Series A</t>
        </is>
      </c>
      <c r="J3513" t="inlineStr">
        <is>
          <t>DSG Consumer Partners</t>
        </is>
      </c>
      <c r="K3513" t="inlineStr">
        <is>
          <t>https://inc42.com/buzz/from-scapia-to-mythik-indian-startups-raised-92-mn-this-week/</t>
        </is>
      </c>
    </row>
    <row r="3514">
      <c r="A3514" t="inlineStr">
        <is>
          <t>ET-131093916</t>
        </is>
      </c>
      <c r="B3514" t="inlineStr">
        <is>
          <t>R260514-dhruvaspace</t>
        </is>
      </c>
      <c r="C3514" t="inlineStr">
        <is>
          <t>The Economic Times</t>
        </is>
      </c>
      <c r="D3514" s="17" t="n">
        <v>46156</v>
      </c>
      <c r="E3514" t="inlineStr">
        <is>
          <t>Dhruva Space</t>
        </is>
      </c>
      <c r="F3514" t="inlineStr">
        <is>
          <t>Rs 105 crore</t>
        </is>
      </c>
      <c r="G3514" s="19" t="n">
        <v>105</v>
      </c>
      <c r="H3514" s="19" t="n"/>
      <c r="I3514" t="inlineStr">
        <is>
          <t>Undisclosed</t>
        </is>
      </c>
      <c r="J3514" t="inlineStr"/>
      <c r="K3514" t="inlineStr">
        <is>
          <t>https://economictimes.indiatimes.com/tech/startups/dhruva-space-gets-rs-105-crore-from-centre-for-developing-satellite-platform/articleshow/131093916.cms</t>
        </is>
      </c>
    </row>
    <row r="3515">
      <c r="A3515" t="inlineStr">
        <is>
          <t>INC-20260516-04</t>
        </is>
      </c>
      <c r="B3515" t="inlineStr">
        <is>
          <t>R260514-dhruvaspace</t>
        </is>
      </c>
      <c r="C3515" t="inlineStr">
        <is>
          <t>Inc42</t>
        </is>
      </c>
      <c r="D3515" s="17" t="n">
        <v>46156</v>
      </c>
      <c r="E3515" t="inlineStr">
        <is>
          <t>Dhruva Space</t>
        </is>
      </c>
      <c r="F3515" t="inlineStr">
        <is>
          <t>$11 Mn</t>
        </is>
      </c>
      <c r="G3515" s="19" t="n"/>
      <c r="H3515" s="19" t="n">
        <v>11</v>
      </c>
      <c r="I3515" t="inlineStr">
        <is>
          <t>Undisclosed</t>
        </is>
      </c>
      <c r="J3515" t="inlineStr">
        <is>
          <t>Research; Development &amp; Innovation Fund</t>
        </is>
      </c>
      <c r="K3515" t="inlineStr">
        <is>
          <t>https://inc42.com/buzz/from-rapido-to-hrdwyr-indian-startups-raised-303-mn-this-week/</t>
        </is>
      </c>
    </row>
    <row r="3516">
      <c r="A3516" t="inlineStr">
        <is>
          <t>INC-20260516-15</t>
        </is>
      </c>
      <c r="B3516" t="inlineStr">
        <is>
          <t>R260514-thesweetchange</t>
        </is>
      </c>
      <c r="C3516" t="inlineStr">
        <is>
          <t>Inc42</t>
        </is>
      </c>
      <c r="D3516" s="17" t="n">
        <v>46156</v>
      </c>
      <c r="E3516" t="inlineStr">
        <is>
          <t>The Sweet Change</t>
        </is>
      </c>
      <c r="F3516" t="inlineStr">
        <is>
          <t>$73K</t>
        </is>
      </c>
      <c r="G3516" s="19" t="n"/>
      <c r="H3516" s="19" t="n">
        <v>0.073</v>
      </c>
      <c r="I3516" t="inlineStr">
        <is>
          <t>Undisclosed</t>
        </is>
      </c>
      <c r="J3516" t="inlineStr">
        <is>
          <t>Indian Angel Network</t>
        </is>
      </c>
      <c r="K3516" t="inlineStr">
        <is>
          <t>https://inc42.com/buzz/from-rapido-to-hrdwyr-indian-startups-raised-303-mn-this-week/</t>
        </is>
      </c>
    </row>
    <row r="3517">
      <c r="A3517" t="inlineStr">
        <is>
          <t>ENT-11836971</t>
        </is>
      </c>
      <c r="B3517" t="inlineStr">
        <is>
          <t>R260515-legendoftoys</t>
        </is>
      </c>
      <c r="C3517" t="inlineStr">
        <is>
          <t>Entrackr</t>
        </is>
      </c>
      <c r="D3517" s="17" t="n">
        <v>46157</v>
      </c>
      <c r="E3517" t="inlineStr">
        <is>
          <t>Legend of Toys</t>
        </is>
      </c>
      <c r="F3517" t="inlineStr">
        <is>
          <t>Rs 21 crore</t>
        </is>
      </c>
      <c r="G3517" s="19" t="n">
        <v>21</v>
      </c>
      <c r="H3517" s="19" t="n"/>
      <c r="I3517" t="inlineStr">
        <is>
          <t>Pre-Series A</t>
        </is>
      </c>
      <c r="J3517" t="inlineStr"/>
      <c r="K3517" t="inlineStr">
        <is>
          <t>https://entrackr.com/snippets/legend-of-toys-raises-rs-21-cr-in-pre-series-a-round-11836971</t>
        </is>
      </c>
    </row>
    <row r="3518">
      <c r="A3518" t="inlineStr">
        <is>
          <t>INC-20260516-09</t>
        </is>
      </c>
      <c r="B3518" t="inlineStr">
        <is>
          <t>R260515-legendoftoys</t>
        </is>
      </c>
      <c r="C3518" t="inlineStr">
        <is>
          <t>Inc42</t>
        </is>
      </c>
      <c r="D3518" s="17" t="n">
        <v>46157</v>
      </c>
      <c r="E3518" t="inlineStr">
        <is>
          <t>Legend Of Toys</t>
        </is>
      </c>
      <c r="F3518" t="inlineStr">
        <is>
          <t>$2.2 Mn</t>
        </is>
      </c>
      <c r="G3518" s="19" t="n"/>
      <c r="H3518" s="19" t="n">
        <v>2.2</v>
      </c>
      <c r="I3518" t="inlineStr">
        <is>
          <t>Pre-Series A</t>
        </is>
      </c>
      <c r="J3518" t="inlineStr"/>
      <c r="K3518" t="inlineStr">
        <is>
          <t>https://inc42.com/buzz/from-rapido-to-hrdwyr-indian-startups-raised-303-mn-this-week/</t>
        </is>
      </c>
    </row>
    <row r="3519">
      <c r="A3519" t="inlineStr">
        <is>
          <t>ENT-11837442</t>
        </is>
      </c>
      <c r="B3519" t="inlineStr">
        <is>
          <t>R260515-rapido</t>
        </is>
      </c>
      <c r="C3519" t="inlineStr">
        <is>
          <t>Entrackr</t>
        </is>
      </c>
      <c r="D3519" s="17" t="n">
        <v>46157</v>
      </c>
      <c r="E3519" t="inlineStr">
        <is>
          <t>Rapido</t>
        </is>
      </c>
      <c r="F3519" t="inlineStr">
        <is>
          <t>$240 million</t>
        </is>
      </c>
      <c r="G3519" s="19" t="n"/>
      <c r="H3519" s="19" t="n">
        <v>240</v>
      </c>
      <c r="I3519" t="inlineStr">
        <is>
          <t>Undisclosed</t>
        </is>
      </c>
      <c r="J3519" t="inlineStr">
        <is>
          <t>Prosus</t>
        </is>
      </c>
      <c r="K3519" t="inlineStr">
        <is>
          <t>https://entrackr.com/news/rapido-raises-240-mn-led-by-prosus-at-3-bn-valuation-11837442</t>
        </is>
      </c>
    </row>
    <row r="3520">
      <c r="A3520" t="inlineStr">
        <is>
          <t>ET-131111200</t>
        </is>
      </c>
      <c r="B3520" t="inlineStr">
        <is>
          <t>R260515-rapido</t>
        </is>
      </c>
      <c r="C3520" t="inlineStr">
        <is>
          <t>The Economic Times</t>
        </is>
      </c>
      <c r="D3520" s="17" t="n">
        <v>46157</v>
      </c>
      <c r="E3520" t="inlineStr">
        <is>
          <t>Rapido</t>
        </is>
      </c>
      <c r="F3520" t="inlineStr">
        <is>
          <t>$240 million</t>
        </is>
      </c>
      <c r="G3520" s="19" t="n"/>
      <c r="H3520" s="19" t="n">
        <v>240</v>
      </c>
      <c r="I3520" t="inlineStr">
        <is>
          <t>Undisclosed</t>
        </is>
      </c>
      <c r="J3520" t="inlineStr">
        <is>
          <t>Prosus</t>
        </is>
      </c>
      <c r="K3520" t="inlineStr">
        <is>
          <t>https://economictimes.indiatimes.com/tech/funding/rapido-raises-240-million-from-prosus-westbridge-accel-at-3-billion-valuation/articleshow/131111200.cms</t>
        </is>
      </c>
    </row>
    <row r="3521">
      <c r="A3521" t="inlineStr">
        <is>
          <t>INC-20260516-01</t>
        </is>
      </c>
      <c r="B3521" t="inlineStr">
        <is>
          <t>R260515-rapido</t>
        </is>
      </c>
      <c r="C3521" t="inlineStr">
        <is>
          <t>Inc42</t>
        </is>
      </c>
      <c r="D3521" s="17" t="n">
        <v>46157</v>
      </c>
      <c r="E3521" t="inlineStr">
        <is>
          <t>Rapido</t>
        </is>
      </c>
      <c r="F3521" t="inlineStr">
        <is>
          <t>$240 Mn</t>
        </is>
      </c>
      <c r="G3521" s="19" t="n"/>
      <c r="H3521" s="19" t="n">
        <v>240</v>
      </c>
      <c r="I3521" t="inlineStr">
        <is>
          <t>Undisclosed</t>
        </is>
      </c>
      <c r="J3521" t="inlineStr">
        <is>
          <t>Prosus</t>
        </is>
      </c>
      <c r="K3521" t="inlineStr">
        <is>
          <t>https://inc42.com/buzz/from-rapido-to-hrdwyr-indian-startups-raised-303-mn-this-week/</t>
        </is>
      </c>
    </row>
    <row r="3522">
      <c r="A3522" t="inlineStr">
        <is>
          <t>INC-20260523-08</t>
        </is>
      </c>
      <c r="B3522" t="inlineStr">
        <is>
          <t>R260518-cellogentherap</t>
        </is>
      </c>
      <c r="C3522" t="inlineStr">
        <is>
          <t>Inc42</t>
        </is>
      </c>
      <c r="D3522" s="17" t="n">
        <v>46160</v>
      </c>
      <c r="E3522" t="inlineStr">
        <is>
          <t>Cellogen Therapeutics</t>
        </is>
      </c>
      <c r="F3522" t="inlineStr">
        <is>
          <t>$2.1 Mn</t>
        </is>
      </c>
      <c r="G3522" s="19" t="n"/>
      <c r="H3522" s="19" t="n">
        <v>2.1</v>
      </c>
      <c r="I3522" t="inlineStr">
        <is>
          <t>Undisclosed</t>
        </is>
      </c>
      <c r="J3522" t="inlineStr">
        <is>
          <t>Kotak Alternate Asset Managers</t>
        </is>
      </c>
      <c r="K3522" t="inlineStr">
        <is>
          <t>https://inc42.com/buzz/from-scapia-to-mythik-indian-startups-raised-92-mn-this-week/</t>
        </is>
      </c>
    </row>
    <row r="3523">
      <c r="A3523" t="inlineStr">
        <is>
          <t>INC-20260523-16</t>
        </is>
      </c>
      <c r="B3523" t="inlineStr">
        <is>
          <t>R260518-nothingbut</t>
        </is>
      </c>
      <c r="C3523" t="inlineStr">
        <is>
          <t>Inc42</t>
        </is>
      </c>
      <c r="D3523" s="17" t="n">
        <v>46160</v>
      </c>
      <c r="E3523" t="inlineStr">
        <is>
          <t>Nothing But</t>
        </is>
      </c>
      <c r="F3523" t="inlineStr"/>
      <c r="G3523" s="19" t="n"/>
      <c r="H3523" s="19" t="n"/>
      <c r="I3523" t="inlineStr">
        <is>
          <t>Seed</t>
        </is>
      </c>
      <c r="J3523" t="inlineStr">
        <is>
          <t>Atul Rajani; Deeksha Rajani</t>
        </is>
      </c>
      <c r="K3523" t="inlineStr">
        <is>
          <t>https://inc42.com/buzz/from-scapia-to-mythik-indian-startups-raised-92-mn-this-week/</t>
        </is>
      </c>
    </row>
    <row r="3524">
      <c r="A3524" t="inlineStr">
        <is>
          <t>ENT-11847198</t>
        </is>
      </c>
      <c r="B3524" t="inlineStr">
        <is>
          <t>R260518-ownersid</t>
        </is>
      </c>
      <c r="C3524" t="inlineStr">
        <is>
          <t>Entrackr</t>
        </is>
      </c>
      <c r="D3524" s="17" t="n">
        <v>46160</v>
      </c>
      <c r="E3524" t="inlineStr">
        <is>
          <t>Owners ID</t>
        </is>
      </c>
      <c r="F3524" t="inlineStr">
        <is>
          <t>$260K</t>
        </is>
      </c>
      <c r="G3524" s="19" t="n"/>
      <c r="H3524" s="19" t="n">
        <v>0.26</v>
      </c>
      <c r="I3524" t="inlineStr">
        <is>
          <t>Pre-Seed</t>
        </is>
      </c>
      <c r="J3524" t="inlineStr">
        <is>
          <t>Crucifer Investments</t>
        </is>
      </c>
      <c r="K3524" t="inlineStr">
        <is>
          <t>https://entrackr.com/snippets/recovery-tech-platform-owners-id-raises-pre-seed-round-led-by-crucifer-investments-11847198</t>
        </is>
      </c>
    </row>
    <row r="3525">
      <c r="A3525" t="inlineStr">
        <is>
          <t>INC-20260523-14</t>
        </is>
      </c>
      <c r="B3525" t="inlineStr">
        <is>
          <t>R260518-ownersid</t>
        </is>
      </c>
      <c r="C3525" t="inlineStr">
        <is>
          <t>Inc42</t>
        </is>
      </c>
      <c r="D3525" s="17" t="n">
        <v>46160</v>
      </c>
      <c r="E3525" t="inlineStr">
        <is>
          <t>Owners ID</t>
        </is>
      </c>
      <c r="F3525" t="inlineStr">
        <is>
          <t>$260K</t>
        </is>
      </c>
      <c r="G3525" s="19" t="n"/>
      <c r="H3525" s="19" t="n">
        <v>0.26</v>
      </c>
      <c r="I3525" t="inlineStr">
        <is>
          <t>Pre-Seed</t>
        </is>
      </c>
      <c r="J3525" t="inlineStr">
        <is>
          <t>Crucifer Investments</t>
        </is>
      </c>
      <c r="K3525" t="inlineStr">
        <is>
          <t>https://inc42.com/buzz/from-scapia-to-mythik-indian-startups-raised-92-mn-this-week/</t>
        </is>
      </c>
    </row>
    <row r="3526">
      <c r="A3526" t="inlineStr">
        <is>
          <t>ENT-11846086</t>
        </is>
      </c>
      <c r="B3526" t="inlineStr">
        <is>
          <t>R260518-trackk</t>
        </is>
      </c>
      <c r="C3526" t="inlineStr">
        <is>
          <t>Entrackr</t>
        </is>
      </c>
      <c r="D3526" s="17" t="n">
        <v>46160</v>
      </c>
      <c r="E3526" t="inlineStr">
        <is>
          <t>Trackk</t>
        </is>
      </c>
      <c r="F3526" t="inlineStr">
        <is>
          <t>$3.7 million</t>
        </is>
      </c>
      <c r="G3526" s="19" t="n"/>
      <c r="H3526" s="19" t="n">
        <v>3.7</v>
      </c>
      <c r="I3526" t="inlineStr">
        <is>
          <t>Seed</t>
        </is>
      </c>
      <c r="J3526" t="inlineStr">
        <is>
          <t>Lightspeed</t>
        </is>
      </c>
      <c r="K3526" t="inlineStr">
        <is>
          <t>https://entrackr.com/news/trading-app-trackk-raises-fresh-funds-from-lightspeed-and-info-edge-ventures-11846086</t>
        </is>
      </c>
    </row>
    <row r="3527">
      <c r="A3527" t="inlineStr">
        <is>
          <t>ET-131194652</t>
        </is>
      </c>
      <c r="B3527" t="inlineStr">
        <is>
          <t>R260518-trackk</t>
        </is>
      </c>
      <c r="C3527" t="inlineStr">
        <is>
          <t>The Economic Times</t>
        </is>
      </c>
      <c r="D3527" s="17" t="n">
        <v>46161</v>
      </c>
      <c r="E3527" t="inlineStr">
        <is>
          <t>Trackk</t>
        </is>
      </c>
      <c r="F3527" t="inlineStr">
        <is>
          <t>$3.7 million</t>
        </is>
      </c>
      <c r="G3527" s="19" t="n"/>
      <c r="H3527" s="19" t="n">
        <v>3.7</v>
      </c>
      <c r="I3527" t="inlineStr">
        <is>
          <t>Undisclosed</t>
        </is>
      </c>
      <c r="J3527" t="inlineStr">
        <is>
          <t>Lightspeed Ventures</t>
        </is>
      </c>
      <c r="K3527" t="inlineStr">
        <is>
          <t>https://economictimes.indiatimes.com/tech/funding/wealthtech-platform-trackk-raises-3-7-million-led-by-lightspeed-ventures/articleshow/131194652.cms</t>
        </is>
      </c>
    </row>
    <row r="3528">
      <c r="A3528" t="inlineStr">
        <is>
          <t>INC-20260523-04</t>
        </is>
      </c>
      <c r="B3528" t="inlineStr">
        <is>
          <t>R260518-trackk</t>
        </is>
      </c>
      <c r="C3528" t="inlineStr">
        <is>
          <t>Inc42</t>
        </is>
      </c>
      <c r="D3528" s="17" t="n">
        <v>46161</v>
      </c>
      <c r="E3528" t="inlineStr">
        <is>
          <t>Trackk</t>
        </is>
      </c>
      <c r="F3528" t="inlineStr">
        <is>
          <t>$3.7 Mn</t>
        </is>
      </c>
      <c r="G3528" s="19" t="n"/>
      <c r="H3528" s="19" t="n">
        <v>3.7</v>
      </c>
      <c r="I3528" t="inlineStr">
        <is>
          <t>Seed</t>
        </is>
      </c>
      <c r="J3528" t="inlineStr">
        <is>
          <t>Lightspeed Ventures</t>
        </is>
      </c>
      <c r="K3528" t="inlineStr">
        <is>
          <t>https://inc42.com/buzz/from-scapia-to-mythik-indian-startups-raised-92-mn-this-week/</t>
        </is>
      </c>
    </row>
    <row r="3529">
      <c r="A3529" t="inlineStr">
        <is>
          <t>ENT-11850132</t>
        </is>
      </c>
      <c r="B3529" t="inlineStr">
        <is>
          <t>R260519-countrydelight</t>
        </is>
      </c>
      <c r="C3529" t="inlineStr">
        <is>
          <t>Entrackr</t>
        </is>
      </c>
      <c r="D3529" s="17" t="n">
        <v>46161</v>
      </c>
      <c r="E3529" t="inlineStr">
        <is>
          <t>Country Delight</t>
        </is>
      </c>
      <c r="F3529" t="inlineStr">
        <is>
          <t>Rs 65 crore</t>
        </is>
      </c>
      <c r="G3529" s="19" t="n">
        <v>65</v>
      </c>
      <c r="H3529" s="19" t="n"/>
      <c r="I3529" t="inlineStr">
        <is>
          <t>Debt</t>
        </is>
      </c>
      <c r="J3529" t="inlineStr"/>
      <c r="K3529" t="inlineStr">
        <is>
          <t>https://entrackr.com/exclusive/exclusive-country-delight-raises-debt-from-alteria-capital-11850132</t>
        </is>
      </c>
    </row>
    <row r="3530">
      <c r="A3530" t="inlineStr">
        <is>
          <t>ENT-11852251</t>
        </is>
      </c>
      <c r="B3530" t="inlineStr">
        <is>
          <t>R260519-damroo</t>
        </is>
      </c>
      <c r="C3530" t="inlineStr">
        <is>
          <t>Entrackr</t>
        </is>
      </c>
      <c r="D3530" s="17" t="n">
        <v>46161</v>
      </c>
      <c r="E3530" t="inlineStr">
        <is>
          <t>Damroo</t>
        </is>
      </c>
      <c r="F3530" t="inlineStr">
        <is>
          <t>Rs 5 crore</t>
        </is>
      </c>
      <c r="G3530" s="19" t="n">
        <v>5</v>
      </c>
      <c r="H3530" s="19" t="n"/>
      <c r="I3530" t="inlineStr">
        <is>
          <t>Undisclosed</t>
        </is>
      </c>
      <c r="J3530" t="inlineStr"/>
      <c r="K3530" t="inlineStr">
        <is>
          <t>https://entrackr.com/snippets/music-streaming-and-distribution-platform-damroo-secures-investment-from-hindustan-times-11852251</t>
        </is>
      </c>
    </row>
    <row r="3531">
      <c r="A3531" t="inlineStr">
        <is>
          <t>INC-20260523-11</t>
        </is>
      </c>
      <c r="B3531" t="inlineStr">
        <is>
          <t>R260519-damroo</t>
        </is>
      </c>
      <c r="C3531" t="inlineStr">
        <is>
          <t>Inc42</t>
        </is>
      </c>
      <c r="D3531" s="17" t="n">
        <v>46162</v>
      </c>
      <c r="E3531" t="inlineStr">
        <is>
          <t>Damroo</t>
        </is>
      </c>
      <c r="F3531" t="inlineStr">
        <is>
          <t>$520K</t>
        </is>
      </c>
      <c r="G3531" s="19" t="n"/>
      <c r="H3531" s="19" t="n">
        <v>0.52</v>
      </c>
      <c r="I3531" t="inlineStr">
        <is>
          <t>Undisclosed</t>
        </is>
      </c>
      <c r="J3531" t="inlineStr">
        <is>
          <t>Hindustan Times</t>
        </is>
      </c>
      <c r="K3531" t="inlineStr">
        <is>
          <t>https://inc42.com/buzz/from-scapia-to-mythik-indian-startups-raised-92-mn-this-week/</t>
        </is>
      </c>
    </row>
    <row r="3532">
      <c r="A3532" t="inlineStr">
        <is>
          <t>ENT-11850443</t>
        </is>
      </c>
      <c r="B3532" t="inlineStr">
        <is>
          <t>R260519-kalpi</t>
        </is>
      </c>
      <c r="C3532" t="inlineStr">
        <is>
          <t>Entrackr</t>
        </is>
      </c>
      <c r="D3532" s="17" t="n">
        <v>46161</v>
      </c>
      <c r="E3532" t="inlineStr">
        <is>
          <t>Kalpi</t>
        </is>
      </c>
      <c r="F3532" t="inlineStr">
        <is>
          <t>Rs 3.75 crore</t>
        </is>
      </c>
      <c r="G3532" s="19" t="n">
        <v>3.75</v>
      </c>
      <c r="H3532" s="19" t="n"/>
      <c r="I3532" t="inlineStr">
        <is>
          <t>Seed</t>
        </is>
      </c>
      <c r="J3532" t="inlineStr"/>
      <c r="K3532" t="inlineStr">
        <is>
          <t>https://entrackr.com/snippets/fintech-startup-kalpi-raises-seed-round-from-rainmatter-capital-11850443</t>
        </is>
      </c>
    </row>
    <row r="3533">
      <c r="A3533" t="inlineStr">
        <is>
          <t>INC-20260523-13</t>
        </is>
      </c>
      <c r="B3533" t="inlineStr">
        <is>
          <t>R260519-kalpi</t>
        </is>
      </c>
      <c r="C3533" t="inlineStr">
        <is>
          <t>Inc42</t>
        </is>
      </c>
      <c r="D3533" s="17" t="n">
        <v>46161</v>
      </c>
      <c r="E3533" t="inlineStr">
        <is>
          <t>Kalpi</t>
        </is>
      </c>
      <c r="F3533" t="inlineStr">
        <is>
          <t>$390K</t>
        </is>
      </c>
      <c r="G3533" s="19" t="n"/>
      <c r="H3533" s="19" t="n">
        <v>0.39</v>
      </c>
      <c r="I3533" t="inlineStr">
        <is>
          <t>Seed</t>
        </is>
      </c>
      <c r="J3533" t="inlineStr">
        <is>
          <t>Rainmatter Capital</t>
        </is>
      </c>
      <c r="K3533" t="inlineStr">
        <is>
          <t>https://inc42.com/buzz/from-scapia-to-mythik-indian-startups-raised-92-mn-this-week/</t>
        </is>
      </c>
    </row>
    <row r="3534">
      <c r="A3534" t="inlineStr">
        <is>
          <t>ENT-11850109</t>
        </is>
      </c>
      <c r="B3534" t="inlineStr">
        <is>
          <t>R260519-ono</t>
        </is>
      </c>
      <c r="C3534" t="inlineStr">
        <is>
          <t>Entrackr</t>
        </is>
      </c>
      <c r="D3534" s="17" t="n">
        <v>46161</v>
      </c>
      <c r="E3534" t="inlineStr">
        <is>
          <t>ONO</t>
        </is>
      </c>
      <c r="F3534" t="inlineStr">
        <is>
          <t>$1.2 million</t>
        </is>
      </c>
      <c r="G3534" s="19" t="n"/>
      <c r="H3534" s="19" t="n">
        <v>1.2</v>
      </c>
      <c r="I3534" t="inlineStr">
        <is>
          <t>Pre-Series A</t>
        </is>
      </c>
      <c r="J3534" t="inlineStr">
        <is>
          <t>Aeravti Ventures</t>
        </is>
      </c>
      <c r="K3534" t="inlineStr">
        <is>
          <t>https://entrackr.com/snippets/agri-finance-startup-ono-raises-12-mn-led-by-aeravti-ventures-11850109</t>
        </is>
      </c>
    </row>
    <row r="3535">
      <c r="A3535" t="inlineStr">
        <is>
          <t>INC-20260523-09</t>
        </is>
      </c>
      <c r="B3535" t="inlineStr">
        <is>
          <t>R260519-ono</t>
        </is>
      </c>
      <c r="C3535" t="inlineStr">
        <is>
          <t>Inc42</t>
        </is>
      </c>
      <c r="D3535" s="17" t="n">
        <v>46161</v>
      </c>
      <c r="E3535" t="inlineStr">
        <is>
          <t>ONO</t>
        </is>
      </c>
      <c r="F3535" t="inlineStr">
        <is>
          <t>$1.2 Mn</t>
        </is>
      </c>
      <c r="G3535" s="19" t="n"/>
      <c r="H3535" s="19" t="n">
        <v>1.2</v>
      </c>
      <c r="I3535" t="inlineStr">
        <is>
          <t>Pre-Series A</t>
        </is>
      </c>
      <c r="J3535" t="inlineStr">
        <is>
          <t>Aeravti Ventures</t>
        </is>
      </c>
      <c r="K3535" t="inlineStr">
        <is>
          <t>https://inc42.com/buzz/from-scapia-to-mythik-indian-startups-raised-92-mn-this-week/</t>
        </is>
      </c>
    </row>
    <row r="3536">
      <c r="A3536" t="inlineStr">
        <is>
          <t>ENT-11856156</t>
        </is>
      </c>
      <c r="B3536" t="inlineStr">
        <is>
          <t>R260520-anscerrobotics</t>
        </is>
      </c>
      <c r="C3536" t="inlineStr">
        <is>
          <t>Entrackr</t>
        </is>
      </c>
      <c r="D3536" s="17" t="n">
        <v>46162</v>
      </c>
      <c r="E3536" t="inlineStr">
        <is>
          <t>ANSCER Robotics</t>
        </is>
      </c>
      <c r="F3536" t="inlineStr">
        <is>
          <t>$5.4 million</t>
        </is>
      </c>
      <c r="G3536" s="19" t="n">
        <v>45</v>
      </c>
      <c r="H3536" s="19" t="n">
        <v>5.4</v>
      </c>
      <c r="I3536" t="inlineStr">
        <is>
          <t>Series A</t>
        </is>
      </c>
      <c r="J3536" t="inlineStr">
        <is>
          <t>IAN Alpha Fund</t>
        </is>
      </c>
      <c r="K3536" t="inlineStr">
        <is>
          <t>https://entrackr.com/snippets/ian-alpha-fund-leads-54-mn-series-a-round-in-anscer-robotics-11856156</t>
        </is>
      </c>
    </row>
    <row r="3537">
      <c r="A3537" t="inlineStr">
        <is>
          <t>INC-20260523-03</t>
        </is>
      </c>
      <c r="B3537" t="inlineStr">
        <is>
          <t>R260520-anscerrobotics</t>
        </is>
      </c>
      <c r="C3537" t="inlineStr">
        <is>
          <t>Inc42</t>
        </is>
      </c>
      <c r="D3537" s="17" t="n">
        <v>46162</v>
      </c>
      <c r="E3537" t="inlineStr">
        <is>
          <t>Anscer Robotics</t>
        </is>
      </c>
      <c r="F3537" t="inlineStr">
        <is>
          <t>$4.6 Mn</t>
        </is>
      </c>
      <c r="G3537" s="19" t="n"/>
      <c r="H3537" s="19" t="n">
        <v>4.6</v>
      </c>
      <c r="I3537" t="inlineStr">
        <is>
          <t>Series A</t>
        </is>
      </c>
      <c r="J3537" t="inlineStr">
        <is>
          <t>India Angel Network</t>
        </is>
      </c>
      <c r="K3537" t="inlineStr">
        <is>
          <t>https://inc42.com/buzz/from-scapia-to-mythik-indian-startups-raised-92-mn-this-week/</t>
        </is>
      </c>
    </row>
    <row r="3538">
      <c r="A3538" t="inlineStr">
        <is>
          <t>INC-20260523-07</t>
        </is>
      </c>
      <c r="B3538" t="inlineStr">
        <is>
          <t>R260520-endureair</t>
        </is>
      </c>
      <c r="C3538" t="inlineStr">
        <is>
          <t>Inc42</t>
        </is>
      </c>
      <c r="D3538" s="17" t="n">
        <v>46162</v>
      </c>
      <c r="E3538" t="inlineStr">
        <is>
          <t>EndureAir</t>
        </is>
      </c>
      <c r="F3538" t="inlineStr">
        <is>
          <t>$3.1 Mn</t>
        </is>
      </c>
      <c r="G3538" s="19" t="n"/>
      <c r="H3538" s="19" t="n">
        <v>3.1</v>
      </c>
      <c r="I3538" t="inlineStr">
        <is>
          <t>Undisclosed</t>
        </is>
      </c>
      <c r="J3538" t="inlineStr">
        <is>
          <t>Research; Development; Innovation Fund</t>
        </is>
      </c>
      <c r="K3538" t="inlineStr">
        <is>
          <t>https://inc42.com/buzz/from-scapia-to-mythik-indian-startups-raised-92-mn-this-week/</t>
        </is>
      </c>
    </row>
    <row r="3539">
      <c r="A3539" t="inlineStr">
        <is>
          <t>INC-20260523-15</t>
        </is>
      </c>
      <c r="B3539" t="inlineStr">
        <is>
          <t>R260520-gamehok</t>
        </is>
      </c>
      <c r="C3539" t="inlineStr">
        <is>
          <t>Inc42</t>
        </is>
      </c>
      <c r="D3539" s="17" t="n">
        <v>46162</v>
      </c>
      <c r="E3539" t="inlineStr">
        <is>
          <t>Gamehok</t>
        </is>
      </c>
      <c r="F3539" t="inlineStr">
        <is>
          <t>$100K</t>
        </is>
      </c>
      <c r="G3539" s="19" t="n"/>
      <c r="H3539" s="19" t="n">
        <v>0.1</v>
      </c>
      <c r="I3539" t="inlineStr">
        <is>
          <t>Pre-Seed</t>
        </is>
      </c>
      <c r="J3539" t="inlineStr"/>
      <c r="K3539" t="inlineStr">
        <is>
          <t>https://inc42.com/buzz/from-scapia-to-mythik-indian-startups-raised-92-mn-this-week/</t>
        </is>
      </c>
    </row>
    <row r="3540">
      <c r="A3540" t="inlineStr">
        <is>
          <t>ET-131218749</t>
        </is>
      </c>
      <c r="B3540" t="inlineStr">
        <is>
          <t>R260520-mythik</t>
        </is>
      </c>
      <c r="C3540" t="inlineStr">
        <is>
          <t>The Economic Times</t>
        </is>
      </c>
      <c r="D3540" s="17" t="n">
        <v>46162</v>
      </c>
      <c r="E3540" t="inlineStr">
        <is>
          <t>Mythik</t>
        </is>
      </c>
      <c r="F3540" t="inlineStr">
        <is>
          <t>$5 million</t>
        </is>
      </c>
      <c r="G3540" s="19" t="n"/>
      <c r="H3540" s="19" t="n">
        <v>5</v>
      </c>
      <c r="I3540" t="inlineStr">
        <is>
          <t>Undisclosed</t>
        </is>
      </c>
      <c r="J3540" t="inlineStr"/>
      <c r="K3540" t="inlineStr">
        <is>
          <t>https://economictimes.indiatimes.com/tech/funding/jason-kotharis-entertainment-startup-mythik-raises-5-million-at-valuation-of-over-50-million/articleshow/131218749.cms</t>
        </is>
      </c>
    </row>
    <row r="3541">
      <c r="A3541" t="inlineStr">
        <is>
          <t>INC-20260523-02</t>
        </is>
      </c>
      <c r="B3541" t="inlineStr">
        <is>
          <t>R260520-mythik</t>
        </is>
      </c>
      <c r="C3541" t="inlineStr">
        <is>
          <t>Inc42</t>
        </is>
      </c>
      <c r="D3541" s="17" t="n">
        <v>46162</v>
      </c>
      <c r="E3541" t="inlineStr">
        <is>
          <t>Mythik</t>
        </is>
      </c>
      <c r="F3541" t="inlineStr">
        <is>
          <t>$5 Mn</t>
        </is>
      </c>
      <c r="G3541" s="19" t="n"/>
      <c r="H3541" s="19" t="n">
        <v>5</v>
      </c>
      <c r="I3541" t="inlineStr">
        <is>
          <t>Undisclosed</t>
        </is>
      </c>
      <c r="J3541" t="inlineStr"/>
      <c r="K3541" t="inlineStr">
        <is>
          <t>https://inc42.com/buzz/from-scapia-to-mythik-indian-startups-raised-92-mn-this-week/</t>
        </is>
      </c>
    </row>
    <row r="3542">
      <c r="A3542" t="inlineStr">
        <is>
          <t>ENT-11853311</t>
        </is>
      </c>
      <c r="B3542" t="inlineStr">
        <is>
          <t>R260520-sychedelic</t>
        </is>
      </c>
      <c r="C3542" t="inlineStr">
        <is>
          <t>Entrackr</t>
        </is>
      </c>
      <c r="D3542" s="17" t="n">
        <v>46162</v>
      </c>
      <c r="E3542" t="inlineStr">
        <is>
          <t>Sychedelic</t>
        </is>
      </c>
      <c r="F3542" t="inlineStr">
        <is>
          <t>$3.5 million</t>
        </is>
      </c>
      <c r="G3542" s="19" t="n">
        <v>31.5</v>
      </c>
      <c r="H3542" s="19" t="n">
        <v>3.5</v>
      </c>
      <c r="I3542" t="inlineStr">
        <is>
          <t>Seed</t>
        </is>
      </c>
      <c r="J3542" t="inlineStr">
        <is>
          <t>TurboStart; Ideabaaz; Praveek Ventures; UAE; NRI community</t>
        </is>
      </c>
      <c r="K3542" t="inlineStr">
        <is>
          <t>https://entrackr.com/snippets/neurotech-startup-sychedelic-secures-35-mn-in-seed-round-11853311</t>
        </is>
      </c>
    </row>
    <row r="3543">
      <c r="A3543" t="inlineStr">
        <is>
          <t>INC-20260523-06</t>
        </is>
      </c>
      <c r="B3543" t="inlineStr">
        <is>
          <t>R260520-sychedelic</t>
        </is>
      </c>
      <c r="C3543" t="inlineStr">
        <is>
          <t>Inc42</t>
        </is>
      </c>
      <c r="D3543" s="17" t="n">
        <v>46162</v>
      </c>
      <c r="E3543" t="inlineStr">
        <is>
          <t>Sychedelic</t>
        </is>
      </c>
      <c r="F3543" t="inlineStr">
        <is>
          <t>$3.5 Mn</t>
        </is>
      </c>
      <c r="G3543" s="19" t="n"/>
      <c r="H3543" s="19" t="n">
        <v>3.5</v>
      </c>
      <c r="I3543" t="inlineStr">
        <is>
          <t>Seed</t>
        </is>
      </c>
      <c r="J3543" t="inlineStr"/>
      <c r="K3543" t="inlineStr">
        <is>
          <t>https://inc42.com/buzz/from-scapia-to-mythik-indian-startups-raised-92-mn-this-week/</t>
        </is>
      </c>
    </row>
    <row r="3544">
      <c r="A3544" t="inlineStr">
        <is>
          <t>INC-20260523-12</t>
        </is>
      </c>
      <c r="B3544" t="inlineStr">
        <is>
          <t>R260521-metafashion</t>
        </is>
      </c>
      <c r="C3544" t="inlineStr">
        <is>
          <t>Inc42</t>
        </is>
      </c>
      <c r="D3544" s="17" t="n">
        <v>46163</v>
      </c>
      <c r="E3544" t="inlineStr">
        <is>
          <t>Meta Fashion</t>
        </is>
      </c>
      <c r="F3544" t="inlineStr">
        <is>
          <t>$400K</t>
        </is>
      </c>
      <c r="G3544" s="19" t="n"/>
      <c r="H3544" s="19" t="n">
        <v>0.4</v>
      </c>
      <c r="I3544" t="inlineStr">
        <is>
          <t>Pre-Seed</t>
        </is>
      </c>
      <c r="J3544" t="inlineStr">
        <is>
          <t>Lumikai</t>
        </is>
      </c>
      <c r="K3544" t="inlineStr">
        <is>
          <t>https://inc42.com/buzz/from-scapia-to-mythik-indian-startups-raised-92-mn-this-week/</t>
        </is>
      </c>
    </row>
    <row r="3545">
      <c r="A3545" t="inlineStr">
        <is>
          <t>ENT-11857734</t>
        </is>
      </c>
      <c r="B3545" t="inlineStr">
        <is>
          <t>R260521-scapia</t>
        </is>
      </c>
      <c r="C3545" t="inlineStr">
        <is>
          <t>Entrackr</t>
        </is>
      </c>
      <c r="D3545" s="17" t="n">
        <v>46163</v>
      </c>
      <c r="E3545" t="inlineStr">
        <is>
          <t>Scapia</t>
        </is>
      </c>
      <c r="F3545" t="inlineStr">
        <is>
          <t>$63 million</t>
        </is>
      </c>
      <c r="G3545" s="19" t="n"/>
      <c r="H3545" s="19" t="n">
        <v>63</v>
      </c>
      <c r="I3545" t="inlineStr">
        <is>
          <t>Series B</t>
        </is>
      </c>
      <c r="J3545" t="inlineStr">
        <is>
          <t>General Catalyst; Peak XV Partners in April 2025</t>
        </is>
      </c>
      <c r="K3545" t="inlineStr">
        <is>
          <t>https://entrackr.com/news/travel-fintech-startup-scapia-raises-63-mn-led-by-general-catalyst-11857734</t>
        </is>
      </c>
    </row>
    <row r="3546">
      <c r="A3546" t="inlineStr">
        <is>
          <t>ET-131240930</t>
        </is>
      </c>
      <c r="B3546" t="inlineStr">
        <is>
          <t>R260521-scapia</t>
        </is>
      </c>
      <c r="C3546" t="inlineStr">
        <is>
          <t>The Economic Times</t>
        </is>
      </c>
      <c r="D3546" s="17" t="n">
        <v>46163</v>
      </c>
      <c r="E3546" t="inlineStr">
        <is>
          <t>Scapia</t>
        </is>
      </c>
      <c r="F3546" t="inlineStr">
        <is>
          <t>$63 million</t>
        </is>
      </c>
      <c r="G3546" s="19" t="n"/>
      <c r="H3546" s="19" t="n">
        <v>63</v>
      </c>
      <c r="I3546" t="inlineStr">
        <is>
          <t>Undisclosed</t>
        </is>
      </c>
      <c r="J3546" t="inlineStr">
        <is>
          <t>General Catalyst</t>
        </is>
      </c>
      <c r="K3546" t="inlineStr">
        <is>
          <t>https://economictimes.indiatimes.com/tech/funding/scapia-secures-63-million-funding-from-general-catalyst-peak-xv-partners-and-z47/articleshow/131240930.cms</t>
        </is>
      </c>
    </row>
    <row r="3547">
      <c r="A3547" t="inlineStr">
        <is>
          <t>INC-20260523-01</t>
        </is>
      </c>
      <c r="B3547" t="inlineStr">
        <is>
          <t>R260521-scapia</t>
        </is>
      </c>
      <c r="C3547" t="inlineStr">
        <is>
          <t>Inc42</t>
        </is>
      </c>
      <c r="D3547" s="17" t="n">
        <v>46163</v>
      </c>
      <c r="E3547" t="inlineStr">
        <is>
          <t>Scapia</t>
        </is>
      </c>
      <c r="F3547" t="inlineStr">
        <is>
          <t>$63 Mn</t>
        </is>
      </c>
      <c r="G3547" s="19" t="n"/>
      <c r="H3547" s="19" t="n">
        <v>63</v>
      </c>
      <c r="I3547" t="inlineStr">
        <is>
          <t>Undisclosed</t>
        </is>
      </c>
      <c r="J3547" t="inlineStr">
        <is>
          <t>General Catalyst</t>
        </is>
      </c>
      <c r="K3547" t="inlineStr">
        <is>
          <t>https://inc42.com/buzz/from-scapia-to-mythik-indian-startups-raised-92-mn-this-week/</t>
        </is>
      </c>
    </row>
    <row r="3548">
      <c r="A3548" t="inlineStr">
        <is>
          <t>VCC-0491ad4e18</t>
        </is>
      </c>
      <c r="B3548" t="inlineStr">
        <is>
          <t>R260521-scapia</t>
        </is>
      </c>
      <c r="C3548" t="inlineStr">
        <is>
          <t>VCCircle</t>
        </is>
      </c>
      <c r="D3548" s="17" t="n">
        <v>46163</v>
      </c>
      <c r="E3548" t="inlineStr">
        <is>
          <t>scapia</t>
        </is>
      </c>
      <c r="F3548" t="inlineStr">
        <is>
          <t>$ 63 million</t>
        </is>
      </c>
      <c r="G3548" s="19" t="n"/>
      <c r="H3548" s="19" t="n">
        <v>63</v>
      </c>
      <c r="I3548" t="inlineStr">
        <is>
          <t>Undisclosed</t>
        </is>
      </c>
      <c r="J3548" t="inlineStr"/>
      <c r="K3548" t="inlineStr">
        <is>
          <t>https://www.vccircle.com/generalcatalyst-leads-63-mn-funding-in-scapia</t>
        </is>
      </c>
    </row>
    <row r="3549">
      <c r="A3549" t="inlineStr">
        <is>
          <t>INC-20260523-05</t>
        </is>
      </c>
      <c r="B3549" t="inlineStr">
        <is>
          <t>R260522-gabit</t>
        </is>
      </c>
      <c r="C3549" t="inlineStr">
        <is>
          <t>Inc42</t>
        </is>
      </c>
      <c r="D3549" s="17" t="n">
        <v>46164</v>
      </c>
      <c r="E3549" t="inlineStr">
        <is>
          <t>Gabit</t>
        </is>
      </c>
      <c r="F3549" t="inlineStr">
        <is>
          <t>$3.7 Mn</t>
        </is>
      </c>
      <c r="G3549" s="19" t="n"/>
      <c r="H3549" s="19" t="n">
        <v>3.7</v>
      </c>
      <c r="I3549" t="inlineStr">
        <is>
          <t>Undisclosed</t>
        </is>
      </c>
      <c r="J3549" t="inlineStr"/>
      <c r="K3549" t="inlineStr">
        <is>
          <t>https://inc42.com/buzz/from-scapia-to-mythik-indian-startups-raised-92-mn-this-week/</t>
        </is>
      </c>
    </row>
    <row r="3550">
      <c r="A3550" t="inlineStr">
        <is>
          <t>INC-20260523-17</t>
        </is>
      </c>
      <c r="B3550" t="inlineStr">
        <is>
          <t>R260522-yoho</t>
        </is>
      </c>
      <c r="C3550" t="inlineStr">
        <is>
          <t>Inc42</t>
        </is>
      </c>
      <c r="D3550" s="17" t="n">
        <v>46164</v>
      </c>
      <c r="E3550" t="inlineStr">
        <is>
          <t>Yoho</t>
        </is>
      </c>
      <c r="F3550" t="inlineStr"/>
      <c r="G3550" s="19" t="n"/>
      <c r="H3550" s="19" t="n"/>
      <c r="I3550" t="inlineStr">
        <is>
          <t>Pre-Series A</t>
        </is>
      </c>
      <c r="J3550" t="inlineStr"/>
      <c r="K3550" t="inlineStr">
        <is>
          <t>https://inc42.com/buzz/from-scapia-to-mythik-indian-startups-raised-92-mn-this-week/</t>
        </is>
      </c>
    </row>
    <row r="3551">
      <c r="A3551" t="inlineStr">
        <is>
          <t>INC-20260530-11</t>
        </is>
      </c>
      <c r="B3551" t="inlineStr">
        <is>
          <t>R260522-yoho</t>
        </is>
      </c>
      <c r="C3551" t="inlineStr">
        <is>
          <t>Inc42</t>
        </is>
      </c>
      <c r="D3551" s="17" t="n">
        <v>46167</v>
      </c>
      <c r="E3551" t="inlineStr">
        <is>
          <t>Yoho</t>
        </is>
      </c>
      <c r="F3551" t="inlineStr"/>
      <c r="G3551" s="19" t="n"/>
      <c r="H3551" s="19" t="n"/>
      <c r="I3551" t="inlineStr">
        <is>
          <t>Undisclosed</t>
        </is>
      </c>
      <c r="J3551" t="inlineStr"/>
      <c r="K3551" t="inlineStr">
        <is>
          <t>https://inc42.com/buzz/from-fairdeal-market-to-abcoffee-indian-startups-raised-52-mn-this-week/</t>
        </is>
      </c>
    </row>
    <row r="3552">
      <c r="A3552" t="inlineStr">
        <is>
          <t>ENT-11875347</t>
        </is>
      </c>
      <c r="B3552" t="inlineStr">
        <is>
          <t>R260522-yoho</t>
        </is>
      </c>
      <c r="C3552" t="inlineStr">
        <is>
          <t>Entrackr</t>
        </is>
      </c>
      <c r="D3552" s="17" t="n">
        <v>46168</v>
      </c>
      <c r="E3552" t="inlineStr">
        <is>
          <t>Yoho</t>
        </is>
      </c>
      <c r="F3552" t="inlineStr">
        <is>
          <t>Rs 15 crore</t>
        </is>
      </c>
      <c r="G3552" s="19" t="n">
        <v>15</v>
      </c>
      <c r="H3552" s="19" t="n"/>
      <c r="I3552" t="inlineStr">
        <is>
          <t>Undisclosed</t>
        </is>
      </c>
      <c r="J3552" t="inlineStr">
        <is>
          <t>Gulf Islamic Investments</t>
        </is>
      </c>
      <c r="K3552" t="inlineStr">
        <is>
          <t>https://entrackr.com/snippets/d2c-footwear-brand-yoho-raises-fresh-funds-11875347</t>
        </is>
      </c>
    </row>
    <row r="3553">
      <c r="A3553" t="inlineStr">
        <is>
          <t>ENT-11871812</t>
        </is>
      </c>
      <c r="B3553" t="inlineStr">
        <is>
          <t>R260525-abcoffee</t>
        </is>
      </c>
      <c r="C3553" t="inlineStr">
        <is>
          <t>Entrackr</t>
        </is>
      </c>
      <c r="D3553" s="17" t="n">
        <v>46167</v>
      </c>
      <c r="E3553" t="inlineStr">
        <is>
          <t>abcoffee</t>
        </is>
      </c>
      <c r="F3553" t="inlineStr">
        <is>
          <t>Rs 61 crore</t>
        </is>
      </c>
      <c r="G3553" s="19" t="n">
        <v>61</v>
      </c>
      <c r="H3553" s="19" t="n">
        <v>6.39</v>
      </c>
      <c r="I3553" t="inlineStr">
        <is>
          <t>Pre-Series B</t>
        </is>
      </c>
      <c r="J3553" t="inlineStr">
        <is>
          <t>Kliff Ventures</t>
        </is>
      </c>
      <c r="K3553" t="inlineStr">
        <is>
          <t>https://entrackr.com/snippets/abcoffee-raises-rs-61-cr-in-pre-series-b-round-led-by-kliff-ventures-11871812</t>
        </is>
      </c>
    </row>
    <row r="3554">
      <c r="A3554" t="inlineStr">
        <is>
          <t>INC-20260530-04</t>
        </is>
      </c>
      <c r="B3554" t="inlineStr">
        <is>
          <t>R260525-abcoffee</t>
        </is>
      </c>
      <c r="C3554" t="inlineStr">
        <is>
          <t>Inc42</t>
        </is>
      </c>
      <c r="D3554" s="17" t="n">
        <v>46167</v>
      </c>
      <c r="E3554" t="inlineStr">
        <is>
          <t>abCoffee</t>
        </is>
      </c>
      <c r="F3554" t="inlineStr">
        <is>
          <t>$6.4 Mn</t>
        </is>
      </c>
      <c r="G3554" s="19" t="n"/>
      <c r="H3554" s="19" t="n">
        <v>6.4</v>
      </c>
      <c r="I3554" t="inlineStr">
        <is>
          <t>Pre-Series B</t>
        </is>
      </c>
      <c r="J3554" t="inlineStr">
        <is>
          <t>Kliff Ventures</t>
        </is>
      </c>
      <c r="K3554" t="inlineStr">
        <is>
          <t>https://inc42.com/buzz/from-fairdeal-market-to-abcoffee-indian-startups-raised-52-mn-this-week/</t>
        </is>
      </c>
    </row>
    <row r="3555">
      <c r="A3555" t="inlineStr">
        <is>
          <t>VCC-1efb33915e</t>
        </is>
      </c>
      <c r="B3555" t="inlineStr">
        <is>
          <t>R260525-abcoffee</t>
        </is>
      </c>
      <c r="C3555" t="inlineStr">
        <is>
          <t>VCCircle</t>
        </is>
      </c>
      <c r="D3555" s="17" t="n">
        <v>46167</v>
      </c>
      <c r="E3555" t="inlineStr">
        <is>
          <t>abcoffee</t>
        </is>
      </c>
      <c r="F3555" t="inlineStr"/>
      <c r="G3555" s="19" t="n"/>
      <c r="H3555" s="19" t="n"/>
      <c r="I3555" t="inlineStr">
        <is>
          <t>Undisclosed</t>
        </is>
      </c>
      <c r="J3555" t="inlineStr"/>
      <c r="K3555" t="inlineStr">
        <is>
          <t>https://www.vccircle.com/copperchimney-operator-s-fund-places-first-bet-backs-abcoffee</t>
        </is>
      </c>
    </row>
    <row r="3556">
      <c r="A3556" t="inlineStr">
        <is>
          <t>INC-20260530-14</t>
        </is>
      </c>
      <c r="B3556" t="inlineStr">
        <is>
          <t>R260525-giva</t>
        </is>
      </c>
      <c r="C3556" t="inlineStr">
        <is>
          <t>Inc42</t>
        </is>
      </c>
      <c r="D3556" s="17" t="n">
        <v>46167</v>
      </c>
      <c r="E3556" t="inlineStr">
        <is>
          <t>GIVA</t>
        </is>
      </c>
      <c r="F3556" t="inlineStr"/>
      <c r="G3556" s="19" t="n"/>
      <c r="H3556" s="19" t="n"/>
      <c r="I3556" t="inlineStr">
        <is>
          <t>Undisclosed</t>
        </is>
      </c>
      <c r="J3556" t="inlineStr">
        <is>
          <t>Kriti Sanon</t>
        </is>
      </c>
      <c r="K3556" t="inlineStr">
        <is>
          <t>https://inc42.com/buzz/from-fairdeal-market-to-abcoffee-indian-startups-raised-52-mn-this-week/</t>
        </is>
      </c>
    </row>
    <row r="3557">
      <c r="A3557" t="inlineStr">
        <is>
          <t>INC-20260530-12</t>
        </is>
      </c>
      <c r="B3557" t="inlineStr">
        <is>
          <t>R260525-pramatraspace</t>
        </is>
      </c>
      <c r="C3557" t="inlineStr">
        <is>
          <t>Inc42</t>
        </is>
      </c>
      <c r="D3557" s="17" t="n">
        <v>46167</v>
      </c>
      <c r="E3557" t="inlineStr">
        <is>
          <t>Pramatra Space</t>
        </is>
      </c>
      <c r="F3557" t="inlineStr"/>
      <c r="G3557" s="19" t="n"/>
      <c r="H3557" s="19" t="n"/>
      <c r="I3557" t="inlineStr">
        <is>
          <t>Pre-Seed</t>
        </is>
      </c>
      <c r="J3557" t="inlineStr">
        <is>
          <t>Seafund Ventures</t>
        </is>
      </c>
      <c r="K3557" t="inlineStr">
        <is>
          <t>https://inc42.com/buzz/from-fairdeal-market-to-abcoffee-indian-startups-raised-52-mn-this-week/</t>
        </is>
      </c>
    </row>
    <row r="3558">
      <c r="A3558" t="inlineStr">
        <is>
          <t>ENT-11870790</t>
        </is>
      </c>
      <c r="B3558" t="inlineStr">
        <is>
          <t>R260525-strainxbiowork</t>
        </is>
      </c>
      <c r="C3558" t="inlineStr">
        <is>
          <t>Entrackr</t>
        </is>
      </c>
      <c r="D3558" s="17" t="n">
        <v>46167</v>
      </c>
      <c r="E3558" t="inlineStr">
        <is>
          <t>StrainX Bioworks</t>
        </is>
      </c>
      <c r="F3558" t="inlineStr">
        <is>
          <t>$13 million</t>
        </is>
      </c>
      <c r="G3558" s="19" t="n"/>
      <c r="H3558" s="19" t="n">
        <v>13</v>
      </c>
      <c r="I3558" t="inlineStr">
        <is>
          <t>Undisclosed</t>
        </is>
      </c>
      <c r="J3558" t="inlineStr">
        <is>
          <t>Prime Venture Partners; Leo Capital</t>
        </is>
      </c>
      <c r="K3558" t="inlineStr">
        <is>
          <t>https://entrackr.com/snippets/strainx-bioworks-raises-13-mn-led-by-prime-venture-partners-and-leo-capital-11870790</t>
        </is>
      </c>
    </row>
    <row r="3559">
      <c r="A3559" t="inlineStr">
        <is>
          <t>ET-131301054</t>
        </is>
      </c>
      <c r="B3559" t="inlineStr">
        <is>
          <t>R260525-strainxbiowork</t>
        </is>
      </c>
      <c r="C3559" t="inlineStr">
        <is>
          <t>The Economic Times</t>
        </is>
      </c>
      <c r="D3559" s="17" t="n">
        <v>46167</v>
      </c>
      <c r="E3559" t="inlineStr">
        <is>
          <t>StrainX Bioworks</t>
        </is>
      </c>
      <c r="F3559" t="inlineStr">
        <is>
          <t>$13 million</t>
        </is>
      </c>
      <c r="G3559" s="19" t="n"/>
      <c r="H3559" s="19" t="n">
        <v>13</v>
      </c>
      <c r="I3559" t="inlineStr">
        <is>
          <t>Undisclosed</t>
        </is>
      </c>
      <c r="J3559" t="inlineStr">
        <is>
          <t>Prime Venture Partners; Leo Capital</t>
        </is>
      </c>
      <c r="K3559" t="inlineStr">
        <is>
          <t>https://economictimes.indiatimes.com/tech/funding/biotech-startup-strainx-bioworks-raises-13-million-in-funding-round-led-by-prime-venture-partners-leo-capital/articleshow/131301054.cms</t>
        </is>
      </c>
    </row>
    <row r="3560">
      <c r="A3560" t="inlineStr">
        <is>
          <t>INC-20260530-02</t>
        </is>
      </c>
      <c r="B3560" t="inlineStr">
        <is>
          <t>R260525-strainxbiowork</t>
        </is>
      </c>
      <c r="C3560" t="inlineStr">
        <is>
          <t>Inc42</t>
        </is>
      </c>
      <c r="D3560" s="17" t="n">
        <v>46167</v>
      </c>
      <c r="E3560" t="inlineStr">
        <is>
          <t>StrainX Bioworks</t>
        </is>
      </c>
      <c r="F3560" t="inlineStr">
        <is>
          <t>$13 Mn</t>
        </is>
      </c>
      <c r="G3560" s="19" t="n"/>
      <c r="H3560" s="19" t="n">
        <v>13</v>
      </c>
      <c r="I3560" t="inlineStr">
        <is>
          <t>Undisclosed</t>
        </is>
      </c>
      <c r="J3560" t="inlineStr">
        <is>
          <t>Prime Venture Partners; Leo Capital</t>
        </is>
      </c>
      <c r="K3560" t="inlineStr">
        <is>
          <t>https://inc42.com/buzz/from-fairdeal-market-to-abcoffee-indian-startups-raised-52-mn-this-week/</t>
        </is>
      </c>
    </row>
    <row r="3561">
      <c r="A3561" t="inlineStr">
        <is>
          <t>ENT-11871481</t>
        </is>
      </c>
      <c r="B3561" t="inlineStr">
        <is>
          <t>R260525-yesmadam</t>
        </is>
      </c>
      <c r="C3561" t="inlineStr">
        <is>
          <t>Entrackr</t>
        </is>
      </c>
      <c r="D3561" s="17" t="n">
        <v>46167</v>
      </c>
      <c r="E3561" t="inlineStr">
        <is>
          <t>Yes Madam</t>
        </is>
      </c>
      <c r="F3561" t="inlineStr">
        <is>
          <t>Rs 50 crore</t>
        </is>
      </c>
      <c r="G3561" s="19" t="n">
        <v>50</v>
      </c>
      <c r="H3561" s="19" t="n">
        <v>5.2</v>
      </c>
      <c r="I3561" t="inlineStr">
        <is>
          <t>Series A</t>
        </is>
      </c>
      <c r="J3561" t="inlineStr"/>
      <c r="K3561" t="inlineStr">
        <is>
          <t>https://entrackr.com/news/yes-madam-raises-maiden-rs-50-cr-funding-at-rs-750-cr-valuation-11871481</t>
        </is>
      </c>
    </row>
    <row r="3562">
      <c r="A3562" t="inlineStr">
        <is>
          <t>ET-131305737</t>
        </is>
      </c>
      <c r="B3562" t="inlineStr">
        <is>
          <t>R260525-yesmadam</t>
        </is>
      </c>
      <c r="C3562" t="inlineStr">
        <is>
          <t>The Economic Times</t>
        </is>
      </c>
      <c r="D3562" s="17" t="n">
        <v>46167</v>
      </c>
      <c r="E3562" t="inlineStr">
        <is>
          <t>Yes Madam</t>
        </is>
      </c>
      <c r="F3562" t="inlineStr">
        <is>
          <t>Rs 50 crore</t>
        </is>
      </c>
      <c r="G3562" s="19" t="n">
        <v>50</v>
      </c>
      <c r="H3562" s="19" t="n"/>
      <c r="I3562" t="inlineStr">
        <is>
          <t>Undisclosed</t>
        </is>
      </c>
      <c r="J3562" t="inlineStr"/>
      <c r="K3562" t="inlineStr">
        <is>
          <t>https://economictimes.indiatimes.com/tech/funding/yes-madam-raises-rs-50-crore-from-sanjeev-bikhchandanis-info-edge-growth-fund/articleshow/131305737.cms</t>
        </is>
      </c>
    </row>
    <row r="3563">
      <c r="A3563" t="inlineStr">
        <is>
          <t>INC-20260530-05</t>
        </is>
      </c>
      <c r="B3563" t="inlineStr">
        <is>
          <t>R260525-yesmadam</t>
        </is>
      </c>
      <c r="C3563" t="inlineStr">
        <is>
          <t>Inc42</t>
        </is>
      </c>
      <c r="D3563" s="17" t="n">
        <v>46167</v>
      </c>
      <c r="E3563" t="inlineStr">
        <is>
          <t>Yes Madam</t>
        </is>
      </c>
      <c r="F3563" t="inlineStr">
        <is>
          <t>$5.2 Mn</t>
        </is>
      </c>
      <c r="G3563" s="19" t="n"/>
      <c r="H3563" s="19" t="n">
        <v>5.2</v>
      </c>
      <c r="I3563" t="inlineStr">
        <is>
          <t>Undisclosed</t>
        </is>
      </c>
      <c r="J3563" t="inlineStr">
        <is>
          <t>Info Edge Ventures</t>
        </is>
      </c>
      <c r="K3563" t="inlineStr">
        <is>
          <t>https://inc42.com/buzz/from-fairdeal-market-to-abcoffee-indian-startups-raised-52-mn-this-week/</t>
        </is>
      </c>
    </row>
    <row r="3564">
      <c r="A3564" t="inlineStr">
        <is>
          <t>INC-20260530-10</t>
        </is>
      </c>
      <c r="B3564" t="inlineStr">
        <is>
          <t>R260526-bucketlistt</t>
        </is>
      </c>
      <c r="C3564" t="inlineStr">
        <is>
          <t>Inc42</t>
        </is>
      </c>
      <c r="D3564" s="17" t="n">
        <v>46168</v>
      </c>
      <c r="E3564" t="inlineStr">
        <is>
          <t>Bucketlistt</t>
        </is>
      </c>
      <c r="F3564" t="inlineStr">
        <is>
          <t>$112K</t>
        </is>
      </c>
      <c r="G3564" s="19" t="n"/>
      <c r="H3564" s="19" t="n">
        <v>0.112</v>
      </c>
      <c r="I3564" t="inlineStr">
        <is>
          <t>Pre-Seed</t>
        </is>
      </c>
      <c r="J3564" t="inlineStr"/>
      <c r="K3564" t="inlineStr">
        <is>
          <t>https://inc42.com/buzz/from-fairdeal-market-to-abcoffee-indian-startups-raised-52-mn-this-week/</t>
        </is>
      </c>
    </row>
    <row r="3565">
      <c r="A3565" t="inlineStr">
        <is>
          <t>ENT-12020971</t>
        </is>
      </c>
      <c r="B3565" t="inlineStr">
        <is>
          <t>R260526-bucketlistt</t>
        </is>
      </c>
      <c r="C3565" t="inlineStr">
        <is>
          <t>Entrackr</t>
        </is>
      </c>
      <c r="D3565" s="17" t="n">
        <v>46183</v>
      </c>
      <c r="E3565" t="inlineStr">
        <is>
          <t>Bucketlistt</t>
        </is>
      </c>
      <c r="F3565" t="inlineStr">
        <is>
          <t>Rs 1.07 crore</t>
        </is>
      </c>
      <c r="G3565" s="19" t="n">
        <v>1.07</v>
      </c>
      <c r="H3565" s="19" t="n"/>
      <c r="I3565" t="inlineStr">
        <is>
          <t>Pre-Seed</t>
        </is>
      </c>
      <c r="J3565" t="inlineStr"/>
      <c r="K3565" t="inlineStr">
        <is>
          <t>https://entrackr.com/snippets/bucketlistt-raises-pre-seed-funding-to-scale-experience-tourism-platform-12020971</t>
        </is>
      </c>
    </row>
    <row r="3566">
      <c r="A3566" t="inlineStr">
        <is>
          <t>ENT-11874646</t>
        </is>
      </c>
      <c r="B3566" t="inlineStr">
        <is>
          <t>R260526-fairdealmarket</t>
        </is>
      </c>
      <c r="C3566" t="inlineStr">
        <is>
          <t>Entrackr</t>
        </is>
      </c>
      <c r="D3566" s="17" t="n">
        <v>46168</v>
      </c>
      <c r="E3566" t="inlineStr">
        <is>
          <t>Fairdeal.Market</t>
        </is>
      </c>
      <c r="F3566" t="inlineStr">
        <is>
          <t>$15 million</t>
        </is>
      </c>
      <c r="G3566" s="19" t="n">
        <v>142.8</v>
      </c>
      <c r="H3566" s="19" t="n">
        <v>15</v>
      </c>
      <c r="I3566" t="inlineStr">
        <is>
          <t>Series A</t>
        </is>
      </c>
      <c r="J3566" t="inlineStr">
        <is>
          <t>Bertelsmann India Investments</t>
        </is>
      </c>
      <c r="K3566" t="inlineStr">
        <is>
          <t>https://entrackr.com/news/bii-leads-15-mn-series-a-round-in-b2b-quick-commerce-platform-fairdealmarket-11874646</t>
        </is>
      </c>
    </row>
    <row r="3567">
      <c r="A3567" t="inlineStr">
        <is>
          <t>ET-131324666</t>
        </is>
      </c>
      <c r="B3567" t="inlineStr">
        <is>
          <t>R260526-fairdealmarket</t>
        </is>
      </c>
      <c r="C3567" t="inlineStr">
        <is>
          <t>The Economic Times</t>
        </is>
      </c>
      <c r="D3567" s="17" t="n">
        <v>46168</v>
      </c>
      <c r="E3567" t="inlineStr">
        <is>
          <t>Fairdeal</t>
        </is>
      </c>
      <c r="F3567" t="inlineStr">
        <is>
          <t>$15 million</t>
        </is>
      </c>
      <c r="G3567" s="19" t="n"/>
      <c r="H3567" s="19" t="n">
        <v>15</v>
      </c>
      <c r="I3567" t="inlineStr">
        <is>
          <t>Undisclosed</t>
        </is>
      </c>
      <c r="J3567" t="inlineStr"/>
      <c r="K3567" t="inlineStr">
        <is>
          <t>https://economictimes.indiatimes.com/tech/funding/b2b-quick-commerce-startup-fairdeal-raises-15-million-from-bertelsmann-india-others/articleshow/131324666.cms</t>
        </is>
      </c>
    </row>
    <row r="3568">
      <c r="A3568" t="inlineStr">
        <is>
          <t>INC-20260530-01</t>
        </is>
      </c>
      <c r="B3568" t="inlineStr">
        <is>
          <t>R260526-fairdealmarket</t>
        </is>
      </c>
      <c r="C3568" t="inlineStr">
        <is>
          <t>Inc42</t>
        </is>
      </c>
      <c r="D3568" s="17" t="n">
        <v>46168</v>
      </c>
      <c r="E3568" t="inlineStr">
        <is>
          <t>Fairdeal.Market</t>
        </is>
      </c>
      <c r="F3568" t="inlineStr">
        <is>
          <t>$15 Mn</t>
        </is>
      </c>
      <c r="G3568" s="19" t="n"/>
      <c r="H3568" s="19" t="n">
        <v>15</v>
      </c>
      <c r="I3568" t="inlineStr">
        <is>
          <t>Series A</t>
        </is>
      </c>
      <c r="J3568" t="inlineStr">
        <is>
          <t>Bertelsmann India Investments</t>
        </is>
      </c>
      <c r="K3568" t="inlineStr">
        <is>
          <t>https://inc42.com/buzz/from-fairdeal-market-to-abcoffee-indian-startups-raised-52-mn-this-week/</t>
        </is>
      </c>
    </row>
    <row r="3569">
      <c r="A3569" t="inlineStr">
        <is>
          <t>VCC-524e5dce74</t>
        </is>
      </c>
      <c r="B3569" t="inlineStr">
        <is>
          <t>R260526-fairdealmarket</t>
        </is>
      </c>
      <c r="C3569" t="inlineStr">
        <is>
          <t>VCCircle</t>
        </is>
      </c>
      <c r="D3569" s="17" t="n">
        <v>46168</v>
      </c>
      <c r="E3569" t="inlineStr">
        <is>
          <t>bertelsmannindia bets on fairdeal market quantum tiger</t>
        </is>
      </c>
      <c r="F3569" t="inlineStr"/>
      <c r="G3569" s="19" t="n"/>
      <c r="H3569" s="19" t="n"/>
      <c r="I3569" t="inlineStr">
        <is>
          <t>Pre-Seed</t>
        </is>
      </c>
      <c r="J3569" t="inlineStr"/>
      <c r="K3569" t="inlineStr">
        <is>
          <t>https://www.vccircle.com/bertelsmannindia-bets-on-fairdeal-market-quantum-tiger-snags-pre-seed-funding</t>
        </is>
      </c>
    </row>
    <row r="3570">
      <c r="A3570" t="inlineStr">
        <is>
          <t>ENT-11874628</t>
        </is>
      </c>
      <c r="B3570" t="inlineStr">
        <is>
          <t>R260526-flexprice</t>
        </is>
      </c>
      <c r="C3570" t="inlineStr">
        <is>
          <t>Entrackr</t>
        </is>
      </c>
      <c r="D3570" s="17" t="n">
        <v>46168</v>
      </c>
      <c r="E3570" t="inlineStr">
        <is>
          <t>Flexprice</t>
        </is>
      </c>
      <c r="F3570" t="inlineStr">
        <is>
          <t>$1.5 million</t>
        </is>
      </c>
      <c r="G3570" s="19" t="n"/>
      <c r="H3570" s="19" t="n">
        <v>1.5</v>
      </c>
      <c r="I3570" t="inlineStr">
        <is>
          <t>Seed</t>
        </is>
      </c>
      <c r="J3570" t="inlineStr">
        <is>
          <t>Shastra VC</t>
        </is>
      </c>
      <c r="K3570" t="inlineStr">
        <is>
          <t>https://entrackr.com/snippets/flexprice-raises-15-mn-seed-round-led-by-shastra-vc-11874628</t>
        </is>
      </c>
    </row>
    <row r="3571">
      <c r="A3571" t="inlineStr">
        <is>
          <t>INC-20260530-07</t>
        </is>
      </c>
      <c r="B3571" t="inlineStr">
        <is>
          <t>R260526-flexprice</t>
        </is>
      </c>
      <c r="C3571" t="inlineStr">
        <is>
          <t>Inc42</t>
        </is>
      </c>
      <c r="D3571" s="17" t="n">
        <v>46168</v>
      </c>
      <c r="E3571" t="inlineStr">
        <is>
          <t>Flexprice</t>
        </is>
      </c>
      <c r="F3571" t="inlineStr">
        <is>
          <t>$1.5 Mn</t>
        </is>
      </c>
      <c r="G3571" s="19" t="n"/>
      <c r="H3571" s="19" t="n">
        <v>1.5</v>
      </c>
      <c r="I3571" t="inlineStr">
        <is>
          <t>Seed</t>
        </is>
      </c>
      <c r="J3571" t="inlineStr">
        <is>
          <t>Shastra VC; Anupam Mittal</t>
        </is>
      </c>
      <c r="K3571" t="inlineStr">
        <is>
          <t>https://inc42.com/buzz/from-fairdeal-market-to-abcoffee-indian-startups-raised-52-mn-this-week/</t>
        </is>
      </c>
    </row>
    <row r="3572">
      <c r="A3572" t="inlineStr">
        <is>
          <t>INC-20260530-13</t>
        </is>
      </c>
      <c r="B3572" t="inlineStr">
        <is>
          <t>R260526-quantumtiger</t>
        </is>
      </c>
      <c r="C3572" t="inlineStr">
        <is>
          <t>Inc42</t>
        </is>
      </c>
      <c r="D3572" s="17" t="n">
        <v>46168</v>
      </c>
      <c r="E3572" t="inlineStr">
        <is>
          <t>Quantum Tiger</t>
        </is>
      </c>
      <c r="F3572" t="inlineStr"/>
      <c r="G3572" s="19" t="n"/>
      <c r="H3572" s="19" t="n"/>
      <c r="I3572" t="inlineStr">
        <is>
          <t>Undisclosed</t>
        </is>
      </c>
      <c r="J3572" t="inlineStr"/>
      <c r="K3572" t="inlineStr">
        <is>
          <t>https://inc42.com/buzz/from-fairdeal-market-to-abcoffee-indian-startups-raised-52-mn-this-week/</t>
        </is>
      </c>
    </row>
    <row r="3573">
      <c r="A3573" t="inlineStr">
        <is>
          <t>ENT-11878893</t>
        </is>
      </c>
      <c r="B3573" t="inlineStr">
        <is>
          <t>R260527-tieaconnectors</t>
        </is>
      </c>
      <c r="C3573" t="inlineStr">
        <is>
          <t>Entrackr</t>
        </is>
      </c>
      <c r="D3573" s="17" t="n">
        <v>46169</v>
      </c>
      <c r="E3573" t="inlineStr">
        <is>
          <t>Tiea Connectors</t>
        </is>
      </c>
      <c r="F3573" t="inlineStr">
        <is>
          <t>Rs 77 crore</t>
        </is>
      </c>
      <c r="G3573" s="19" t="n">
        <v>77</v>
      </c>
      <c r="H3573" s="19" t="n">
        <v>8</v>
      </c>
      <c r="I3573" t="inlineStr">
        <is>
          <t>Series A</t>
        </is>
      </c>
      <c r="J3573" t="inlineStr">
        <is>
          <t>IvyCap Ventures</t>
        </is>
      </c>
      <c r="K3573" t="inlineStr">
        <is>
          <t>https://entrackr.com/snippets/tiea-connectors-raises-rs-77-cr-series-a-led-by-ivycap-ventures-11878893</t>
        </is>
      </c>
    </row>
    <row r="3574">
      <c r="A3574" t="inlineStr">
        <is>
          <t>INC-20260530-03</t>
        </is>
      </c>
      <c r="B3574" t="inlineStr">
        <is>
          <t>R260527-tieaconnectors</t>
        </is>
      </c>
      <c r="C3574" t="inlineStr">
        <is>
          <t>Inc42</t>
        </is>
      </c>
      <c r="D3574" s="17" t="n">
        <v>46169</v>
      </c>
      <c r="E3574" t="inlineStr">
        <is>
          <t>TIEA Connectors</t>
        </is>
      </c>
      <c r="F3574" t="inlineStr">
        <is>
          <t>$8 Mn</t>
        </is>
      </c>
      <c r="G3574" s="19" t="n"/>
      <c r="H3574" s="19" t="n">
        <v>8</v>
      </c>
      <c r="I3574" t="inlineStr">
        <is>
          <t>Series A</t>
        </is>
      </c>
      <c r="J3574" t="inlineStr">
        <is>
          <t>IvyCap Ventures</t>
        </is>
      </c>
      <c r="K3574" t="inlineStr">
        <is>
          <t>https://inc42.com/buzz/from-fairdeal-market-to-abcoffee-indian-startups-raised-52-mn-this-week/</t>
        </is>
      </c>
    </row>
    <row r="3575">
      <c r="A3575" t="inlineStr">
        <is>
          <t>ENT-11883630</t>
        </is>
      </c>
      <c r="B3575" t="inlineStr">
        <is>
          <t>R260528-anveshan</t>
        </is>
      </c>
      <c r="C3575" t="inlineStr">
        <is>
          <t>Entrackr</t>
        </is>
      </c>
      <c r="D3575" s="17" t="n">
        <v>46170</v>
      </c>
      <c r="E3575" t="inlineStr">
        <is>
          <t>Anveshan</t>
        </is>
      </c>
      <c r="F3575" t="inlineStr">
        <is>
          <t>Rs 121 crore</t>
        </is>
      </c>
      <c r="G3575" s="19" t="n">
        <v>121</v>
      </c>
      <c r="H3575" s="19" t="n">
        <v>12.7</v>
      </c>
      <c r="I3575" t="inlineStr">
        <is>
          <t>Series B</t>
        </is>
      </c>
      <c r="J3575" t="inlineStr">
        <is>
          <t>Vertex Ventures</t>
        </is>
      </c>
      <c r="K3575" t="inlineStr">
        <is>
          <t>https://entrackr.com/exclusive/exclusive-anveshan-raises-rs-121-cr-from-vertex-ventures-ifc-aman-gupta-sri-harsha-majety-and-others-11883630</t>
        </is>
      </c>
    </row>
    <row r="3576">
      <c r="A3576" t="inlineStr">
        <is>
          <t>ENT-11894736</t>
        </is>
      </c>
      <c r="B3576" t="inlineStr">
        <is>
          <t>R260528-anveshan</t>
        </is>
      </c>
      <c r="C3576" t="inlineStr">
        <is>
          <t>Entrackr</t>
        </is>
      </c>
      <c r="D3576" s="17" t="n">
        <v>46174</v>
      </c>
      <c r="E3576" t="inlineStr">
        <is>
          <t>Anveshan</t>
        </is>
      </c>
      <c r="F3576" t="inlineStr">
        <is>
          <t>Rs 150 crore</t>
        </is>
      </c>
      <c r="G3576" s="19" t="n">
        <v>150</v>
      </c>
      <c r="H3576" s="19" t="n">
        <v>16</v>
      </c>
      <c r="I3576" t="inlineStr">
        <is>
          <t>Series B</t>
        </is>
      </c>
      <c r="J3576" t="inlineStr">
        <is>
          <t>Vertex Ventures Southeast Asia &amp; India</t>
        </is>
      </c>
      <c r="K3576" t="inlineStr">
        <is>
          <t>https://entrackr.com/news/anveshan-raises-rs-150-cr-in-series-b-round-led-by-vertex-ventures-11894736</t>
        </is>
      </c>
    </row>
    <row r="3577">
      <c r="A3577" t="inlineStr">
        <is>
          <t>ET-131426927</t>
        </is>
      </c>
      <c r="B3577" t="inlineStr">
        <is>
          <t>R260528-anveshan</t>
        </is>
      </c>
      <c r="C3577" t="inlineStr">
        <is>
          <t>The Economic Times</t>
        </is>
      </c>
      <c r="D3577" s="17" t="n">
        <v>46174</v>
      </c>
      <c r="E3577" t="inlineStr">
        <is>
          <t>Anveshan</t>
        </is>
      </c>
      <c r="F3577" t="inlineStr">
        <is>
          <t>Rs 150 crore</t>
        </is>
      </c>
      <c r="G3577" s="19" t="n">
        <v>150</v>
      </c>
      <c r="H3577" s="19" t="n">
        <v>15.7</v>
      </c>
      <c r="I3577" t="inlineStr">
        <is>
          <t>Undisclosed</t>
        </is>
      </c>
      <c r="J3577" t="inlineStr">
        <is>
          <t>Vertex Ventures Southeast Asia &amp;amp</t>
        </is>
      </c>
      <c r="K3577" t="inlineStr">
        <is>
          <t>https://economictimes.indiatimes.com/tech/funding/clean-label-food-brand-anveshan-raises-rs-150-crore-led-by-vertex-ventures/articleshow/131426927.cms</t>
        </is>
      </c>
    </row>
    <row r="3578">
      <c r="A3578" t="inlineStr">
        <is>
          <t>INC-20260606-05</t>
        </is>
      </c>
      <c r="B3578" t="inlineStr">
        <is>
          <t>R260528-anveshan</t>
        </is>
      </c>
      <c r="C3578" t="inlineStr">
        <is>
          <t>Inc42</t>
        </is>
      </c>
      <c r="D3578" s="17" t="n">
        <v>46174</v>
      </c>
      <c r="E3578" t="inlineStr">
        <is>
          <t>Anveshan</t>
        </is>
      </c>
      <c r="F3578" t="inlineStr">
        <is>
          <t>$15.8 Mn</t>
        </is>
      </c>
      <c r="G3578" s="19" t="n"/>
      <c r="H3578" s="19" t="n">
        <v>15.8</v>
      </c>
      <c r="I3578" t="inlineStr">
        <is>
          <t>Series B</t>
        </is>
      </c>
      <c r="J3578" t="inlineStr">
        <is>
          <t>Vertex Ventures Southeast Asia &amp; India</t>
        </is>
      </c>
      <c r="K3578" t="inlineStr">
        <is>
          <t>https://inc42.com/buzz/from-firstclub-to-innefu-indian-startups-raised-187-mn-this-week/</t>
        </is>
      </c>
    </row>
    <row r="3579">
      <c r="A3579" t="inlineStr">
        <is>
          <t>VCC-8a3debfbbf</t>
        </is>
      </c>
      <c r="B3579" t="inlineStr">
        <is>
          <t>R260528-anveshan</t>
        </is>
      </c>
      <c r="C3579" t="inlineStr">
        <is>
          <t>VCCircle</t>
        </is>
      </c>
      <c r="D3579" s="17" t="n">
        <v>46174</v>
      </c>
      <c r="E3579" t="inlineStr">
        <is>
          <t>anveshan</t>
        </is>
      </c>
      <c r="F3579" t="inlineStr"/>
      <c r="G3579" s="19" t="n"/>
      <c r="H3579" s="19" t="n"/>
      <c r="I3579" t="inlineStr">
        <is>
          <t>Series B</t>
        </is>
      </c>
      <c r="J3579" t="inlineStr"/>
      <c r="K3579" t="inlineStr">
        <is>
          <t>https://www.vccircle.com/vertexventures-leads-anveshan-s-series-b-funding-round</t>
        </is>
      </c>
    </row>
    <row r="3580">
      <c r="A3580" t="inlineStr">
        <is>
          <t>INC-20260530-06</t>
        </is>
      </c>
      <c r="B3580" t="inlineStr">
        <is>
          <t>R260528-c2isemiconduct</t>
        </is>
      </c>
      <c r="C3580" t="inlineStr">
        <is>
          <t>Inc42</t>
        </is>
      </c>
      <c r="D3580" s="17" t="n">
        <v>46170</v>
      </c>
      <c r="E3580" t="inlineStr">
        <is>
          <t>C2i Semiconductors</t>
        </is>
      </c>
      <c r="F3580" t="inlineStr">
        <is>
          <t>$1.7 Mn</t>
        </is>
      </c>
      <c r="G3580" s="19" t="n"/>
      <c r="H3580" s="19" t="n">
        <v>1.7</v>
      </c>
      <c r="I3580" t="inlineStr">
        <is>
          <t>Series A</t>
        </is>
      </c>
      <c r="J3580" t="inlineStr">
        <is>
          <t>TDK Ventures</t>
        </is>
      </c>
      <c r="K3580" t="inlineStr">
        <is>
          <t>https://inc42.com/buzz/from-fairdeal-market-to-abcoffee-indian-startups-raised-52-mn-this-week/</t>
        </is>
      </c>
    </row>
    <row r="3581">
      <c r="A3581" t="inlineStr">
        <is>
          <t>INC-20260530-09</t>
        </is>
      </c>
      <c r="B3581" t="inlineStr">
        <is>
          <t>R260528-eazzy</t>
        </is>
      </c>
      <c r="C3581" t="inlineStr">
        <is>
          <t>Inc42</t>
        </is>
      </c>
      <c r="D3581" s="17" t="n">
        <v>46170</v>
      </c>
      <c r="E3581" t="inlineStr">
        <is>
          <t>Eazzy</t>
        </is>
      </c>
      <c r="F3581" t="inlineStr">
        <is>
          <t>$440K</t>
        </is>
      </c>
      <c r="G3581" s="19" t="n"/>
      <c r="H3581" s="19" t="n">
        <v>0.44</v>
      </c>
      <c r="I3581" t="inlineStr">
        <is>
          <t>Undisclosed</t>
        </is>
      </c>
      <c r="J3581" t="inlineStr"/>
      <c r="K3581" t="inlineStr">
        <is>
          <t>https://inc42.com/buzz/from-fairdeal-market-to-abcoffee-indian-startups-raised-52-mn-this-week/</t>
        </is>
      </c>
    </row>
    <row r="3582">
      <c r="A3582" t="inlineStr">
        <is>
          <t>ENT-11882473</t>
        </is>
      </c>
      <c r="B3582" t="inlineStr">
        <is>
          <t>R260528-zerodrag</t>
        </is>
      </c>
      <c r="C3582" t="inlineStr">
        <is>
          <t>Entrackr</t>
        </is>
      </c>
      <c r="D3582" s="17" t="n">
        <v>46170</v>
      </c>
      <c r="E3582" t="inlineStr">
        <is>
          <t>ZeroDrag</t>
        </is>
      </c>
      <c r="F3582" t="inlineStr">
        <is>
          <t>Rs 6.5 crore</t>
        </is>
      </c>
      <c r="G3582" s="19" t="n">
        <v>6.5</v>
      </c>
      <c r="H3582" s="19" t="n"/>
      <c r="I3582" t="inlineStr">
        <is>
          <t>Seed</t>
        </is>
      </c>
      <c r="J3582" t="inlineStr">
        <is>
          <t>Transition VC</t>
        </is>
      </c>
      <c r="K3582" t="inlineStr">
        <is>
          <t>https://entrackr.com/snippets/transition-vc-leads-seed-round-in-zerodrag-11882473</t>
        </is>
      </c>
    </row>
    <row r="3583">
      <c r="A3583" t="inlineStr">
        <is>
          <t>INC-20260530-08</t>
        </is>
      </c>
      <c r="B3583" t="inlineStr">
        <is>
          <t>R260528-zerodrag</t>
        </is>
      </c>
      <c r="C3583" t="inlineStr">
        <is>
          <t>Inc42</t>
        </is>
      </c>
      <c r="D3583" s="17" t="n">
        <v>46170</v>
      </c>
      <c r="E3583" t="inlineStr">
        <is>
          <t>ZeroDrag Technologies</t>
        </is>
      </c>
      <c r="F3583" t="inlineStr">
        <is>
          <t>$682K</t>
        </is>
      </c>
      <c r="G3583" s="19" t="n"/>
      <c r="H3583" s="19" t="n">
        <v>0.6820000000000001</v>
      </c>
      <c r="I3583" t="inlineStr">
        <is>
          <t>Undisclosed</t>
        </is>
      </c>
      <c r="J3583" t="inlineStr">
        <is>
          <t>Transition VC</t>
        </is>
      </c>
      <c r="K3583" t="inlineStr">
        <is>
          <t>https://inc42.com/buzz/from-fairdeal-market-to-abcoffee-indian-startups-raised-52-mn-this-week/</t>
        </is>
      </c>
    </row>
    <row r="3584">
      <c r="A3584" t="inlineStr">
        <is>
          <t>INC-20260606-20</t>
        </is>
      </c>
      <c r="B3584" t="inlineStr">
        <is>
          <t>R260601-intercosmos</t>
        </is>
      </c>
      <c r="C3584" t="inlineStr">
        <is>
          <t>Inc42</t>
        </is>
      </c>
      <c r="D3584" s="17" t="n">
        <v>46174</v>
      </c>
      <c r="E3584" t="inlineStr">
        <is>
          <t>InterCosmos</t>
        </is>
      </c>
      <c r="F3584" t="inlineStr"/>
      <c r="G3584" s="19" t="n"/>
      <c r="H3584" s="19" t="n"/>
      <c r="I3584" t="inlineStr">
        <is>
          <t>Undisclosed</t>
        </is>
      </c>
      <c r="J3584" t="inlineStr"/>
      <c r="K3584" t="inlineStr">
        <is>
          <t>https://inc42.com/buzz/from-firstclub-to-innefu-indian-startups-raised-187-mn-this-week/</t>
        </is>
      </c>
    </row>
    <row r="3585">
      <c r="A3585" t="inlineStr">
        <is>
          <t>ENT-11896464</t>
        </is>
      </c>
      <c r="B3585" t="inlineStr">
        <is>
          <t>R260601-korinmi</t>
        </is>
      </c>
      <c r="C3585" t="inlineStr">
        <is>
          <t>Entrackr</t>
        </is>
      </c>
      <c r="D3585" s="17" t="n">
        <v>46174</v>
      </c>
      <c r="E3585" t="inlineStr">
        <is>
          <t>KorinMi</t>
        </is>
      </c>
      <c r="F3585" t="inlineStr">
        <is>
          <t>Rs 10 crore</t>
        </is>
      </c>
      <c r="G3585" s="19" t="n">
        <v>10</v>
      </c>
      <c r="H3585" s="19" t="n"/>
      <c r="I3585" t="inlineStr">
        <is>
          <t>Undisclosed</t>
        </is>
      </c>
      <c r="J3585" t="inlineStr"/>
      <c r="K3585" t="inlineStr">
        <is>
          <t>https://entrackr.com/snippets/skin-clinic-korinmi-raises-10-cr-from-lotus-herbals-innovation-fund-11896464</t>
        </is>
      </c>
    </row>
    <row r="3586">
      <c r="A3586" t="inlineStr">
        <is>
          <t>ET-131438312</t>
        </is>
      </c>
      <c r="B3586" t="inlineStr">
        <is>
          <t>R260601-korinmi</t>
        </is>
      </c>
      <c r="C3586" t="inlineStr">
        <is>
          <t>The Economic Times</t>
        </is>
      </c>
      <c r="D3586" s="17" t="n">
        <v>46174</v>
      </c>
      <c r="E3586" t="inlineStr">
        <is>
          <t>KorinMi</t>
        </is>
      </c>
      <c r="F3586" t="inlineStr">
        <is>
          <t>Rs 10 crore</t>
        </is>
      </c>
      <c r="G3586" s="19" t="n">
        <v>10</v>
      </c>
      <c r="H3586" s="19" t="n"/>
      <c r="I3586" t="inlineStr">
        <is>
          <t>Undisclosed</t>
        </is>
      </c>
      <c r="J3586" t="inlineStr"/>
      <c r="K3586" t="inlineStr">
        <is>
          <t>https://economictimes.indiatimes.com/tech/funding/korinmi-raises-rs-10-crore-from-lotus-herbals-to-bring-korean-skin-treatment-to-india/articleshow/131438312.cms</t>
        </is>
      </c>
    </row>
    <row r="3587">
      <c r="A3587" t="inlineStr">
        <is>
          <t>INC-20260606-16</t>
        </is>
      </c>
      <c r="B3587" t="inlineStr">
        <is>
          <t>R260601-korinmi</t>
        </is>
      </c>
      <c r="C3587" t="inlineStr">
        <is>
          <t>Inc42</t>
        </is>
      </c>
      <c r="D3587" s="17" t="n">
        <v>46174</v>
      </c>
      <c r="E3587" t="inlineStr">
        <is>
          <t>KorinMi</t>
        </is>
      </c>
      <c r="F3587" t="inlineStr">
        <is>
          <t>$1 Mn</t>
        </is>
      </c>
      <c r="G3587" s="19" t="n"/>
      <c r="H3587" s="19" t="n">
        <v>1</v>
      </c>
      <c r="I3587" t="inlineStr">
        <is>
          <t>Seed</t>
        </is>
      </c>
      <c r="J3587" t="inlineStr">
        <is>
          <t>Lotus Herbals Innovation Fund</t>
        </is>
      </c>
      <c r="K3587" t="inlineStr">
        <is>
          <t>https://inc42.com/buzz/from-firstclub-to-innefu-indian-startups-raised-187-mn-this-week/</t>
        </is>
      </c>
    </row>
    <row r="3588">
      <c r="A3588" t="inlineStr">
        <is>
          <t>ENT-11896174</t>
        </is>
      </c>
      <c r="B3588" t="inlineStr">
        <is>
          <t>R260601-medielaj</t>
        </is>
      </c>
      <c r="C3588" t="inlineStr">
        <is>
          <t>Entrackr</t>
        </is>
      </c>
      <c r="D3588" s="17" t="n">
        <v>46174</v>
      </c>
      <c r="E3588" t="inlineStr">
        <is>
          <t>MediElaj</t>
        </is>
      </c>
      <c r="F3588" t="inlineStr">
        <is>
          <t>$100K</t>
        </is>
      </c>
      <c r="G3588" s="19" t="n"/>
      <c r="H3588" s="19" t="n">
        <v>0.1</v>
      </c>
      <c r="I3588" t="inlineStr">
        <is>
          <t>Pre-Seed</t>
        </is>
      </c>
      <c r="J3588" t="inlineStr"/>
      <c r="K3588" t="inlineStr">
        <is>
          <t>https://entrackr.com/snippets/healthcare-startup-medelaj-raises-angel-round-11896174</t>
        </is>
      </c>
    </row>
    <row r="3589">
      <c r="A3589" t="inlineStr">
        <is>
          <t>INC-20260606-19</t>
        </is>
      </c>
      <c r="B3589" t="inlineStr">
        <is>
          <t>R260601-medielaj</t>
        </is>
      </c>
      <c r="C3589" t="inlineStr">
        <is>
          <t>Inc42</t>
        </is>
      </c>
      <c r="D3589" s="17" t="n">
        <v>46174</v>
      </c>
      <c r="E3589" t="inlineStr">
        <is>
          <t>MediElaj</t>
        </is>
      </c>
      <c r="F3589" t="inlineStr">
        <is>
          <t>$100K</t>
        </is>
      </c>
      <c r="G3589" s="19" t="n"/>
      <c r="H3589" s="19" t="n">
        <v>0.1</v>
      </c>
      <c r="I3589" t="inlineStr">
        <is>
          <t>Undisclosed</t>
        </is>
      </c>
      <c r="J3589" t="inlineStr"/>
      <c r="K3589" t="inlineStr">
        <is>
          <t>https://inc42.com/buzz/from-firstclub-to-innefu-indian-startups-raised-187-mn-this-week/</t>
        </is>
      </c>
    </row>
    <row r="3590">
      <c r="A3590" t="inlineStr">
        <is>
          <t>ENT-11895889</t>
        </is>
      </c>
      <c r="B3590" t="inlineStr">
        <is>
          <t>R260601-rovia</t>
        </is>
      </c>
      <c r="C3590" t="inlineStr">
        <is>
          <t>Entrackr</t>
        </is>
      </c>
      <c r="D3590" s="17" t="n">
        <v>46174</v>
      </c>
      <c r="E3590" t="inlineStr">
        <is>
          <t>Rovia</t>
        </is>
      </c>
      <c r="F3590" t="inlineStr">
        <is>
          <t>$1 million</t>
        </is>
      </c>
      <c r="G3590" s="19" t="n"/>
      <c r="H3590" s="19" t="n">
        <v>1</v>
      </c>
      <c r="I3590" t="inlineStr">
        <is>
          <t>Pre-Seed</t>
        </is>
      </c>
      <c r="J3590" t="inlineStr">
        <is>
          <t>Antler India</t>
        </is>
      </c>
      <c r="K3590" t="inlineStr">
        <is>
          <t>https://entrackr.com/snippets/antler-india-leads-1-mn-pre-seed-round-in-wealthtech-platform-rovia-11895889</t>
        </is>
      </c>
    </row>
    <row r="3591">
      <c r="A3591" t="inlineStr">
        <is>
          <t>INC-20260606-15</t>
        </is>
      </c>
      <c r="B3591" t="inlineStr">
        <is>
          <t>R260601-rovia</t>
        </is>
      </c>
      <c r="C3591" t="inlineStr">
        <is>
          <t>Inc42</t>
        </is>
      </c>
      <c r="D3591" s="17" t="n">
        <v>46174</v>
      </c>
      <c r="E3591" t="inlineStr">
        <is>
          <t>Rovia</t>
        </is>
      </c>
      <c r="F3591" t="inlineStr">
        <is>
          <t>$1 Mn</t>
        </is>
      </c>
      <c r="G3591" s="19" t="n"/>
      <c r="H3591" s="19" t="n">
        <v>1</v>
      </c>
      <c r="I3591" t="inlineStr">
        <is>
          <t>Pre-Seed</t>
        </is>
      </c>
      <c r="J3591" t="inlineStr">
        <is>
          <t>Antler India</t>
        </is>
      </c>
      <c r="K3591" t="inlineStr">
        <is>
          <t>https://inc42.com/buzz/from-firstclub-to-innefu-indian-startups-raised-187-mn-this-week/</t>
        </is>
      </c>
    </row>
    <row r="3592">
      <c r="A3592" t="inlineStr">
        <is>
          <t>ENT-11894747</t>
        </is>
      </c>
      <c r="B3592" t="inlineStr">
        <is>
          <t>R260601-simpleenergy</t>
        </is>
      </c>
      <c r="C3592" t="inlineStr">
        <is>
          <t>Entrackr</t>
        </is>
      </c>
      <c r="D3592" s="17" t="n">
        <v>46174</v>
      </c>
      <c r="E3592" t="inlineStr">
        <is>
          <t>Simple Energy</t>
        </is>
      </c>
      <c r="F3592" t="inlineStr">
        <is>
          <t>Rs 250 crore</t>
        </is>
      </c>
      <c r="G3592" s="19" t="n">
        <v>250</v>
      </c>
      <c r="H3592" s="19" t="n"/>
      <c r="I3592" t="inlineStr">
        <is>
          <t>Undisclosed</t>
        </is>
      </c>
      <c r="J3592" t="inlineStr"/>
      <c r="K3592" t="inlineStr">
        <is>
          <t>https://entrackr.com/news/simple-energy-raises-rs-250-cr-in-debt-and-equity-round-ahead-of-ipo-plans-11894747</t>
        </is>
      </c>
    </row>
    <row r="3593">
      <c r="A3593" t="inlineStr">
        <is>
          <t>ET-131428487</t>
        </is>
      </c>
      <c r="B3593" t="inlineStr">
        <is>
          <t>R260601-simpleenergy</t>
        </is>
      </c>
      <c r="C3593" t="inlineStr">
        <is>
          <t>The Economic Times</t>
        </is>
      </c>
      <c r="D3593" s="17" t="n">
        <v>46174</v>
      </c>
      <c r="E3593" t="inlineStr">
        <is>
          <t>Simple Energy</t>
        </is>
      </c>
      <c r="F3593" t="inlineStr">
        <is>
          <t>Rs 250 crore</t>
        </is>
      </c>
      <c r="G3593" s="19" t="n">
        <v>250</v>
      </c>
      <c r="H3593" s="19" t="n"/>
      <c r="I3593" t="inlineStr">
        <is>
          <t>Undisclosed</t>
        </is>
      </c>
      <c r="J3593" t="inlineStr"/>
      <c r="K3593" t="inlineStr">
        <is>
          <t>https://economictimes.indiatimes.com/tech/funding/ev-maker-simple-energy-raises-rs-250-crore-eyes-ipo-in-fy28-second-half/articleshow/131428487.cms</t>
        </is>
      </c>
    </row>
    <row r="3594">
      <c r="A3594" t="inlineStr">
        <is>
          <t>INC-20260606-03</t>
        </is>
      </c>
      <c r="B3594" t="inlineStr">
        <is>
          <t>R260601-simpleenergy</t>
        </is>
      </c>
      <c r="C3594" t="inlineStr">
        <is>
          <t>Inc42</t>
        </is>
      </c>
      <c r="D3594" s="17" t="n">
        <v>46174</v>
      </c>
      <c r="E3594" t="inlineStr">
        <is>
          <t>Simple Energy</t>
        </is>
      </c>
      <c r="F3594" t="inlineStr">
        <is>
          <t>$26.3 Mn</t>
        </is>
      </c>
      <c r="G3594" s="19" t="n"/>
      <c r="H3594" s="19" t="n">
        <v>26.3</v>
      </c>
      <c r="I3594" t="inlineStr">
        <is>
          <t>Series B</t>
        </is>
      </c>
      <c r="J3594" t="inlineStr">
        <is>
          <t>Dr. Arokiaswamy Velumani Family Office</t>
        </is>
      </c>
      <c r="K3594" t="inlineStr">
        <is>
          <t>https://inc42.com/buzz/from-firstclub-to-innefu-indian-startups-raised-187-mn-this-week/</t>
        </is>
      </c>
    </row>
    <row r="3595">
      <c r="A3595" t="inlineStr">
        <is>
          <t>ENT-11898912</t>
        </is>
      </c>
      <c r="B3595" t="inlineStr">
        <is>
          <t>R260602-aquapulse</t>
        </is>
      </c>
      <c r="C3595" t="inlineStr">
        <is>
          <t>Entrackr</t>
        </is>
      </c>
      <c r="D3595" s="17" t="n">
        <v>46175</v>
      </c>
      <c r="E3595" t="inlineStr">
        <is>
          <t>Aquapulse</t>
        </is>
      </c>
      <c r="F3595" t="inlineStr">
        <is>
          <t>Rs 45 crore</t>
        </is>
      </c>
      <c r="G3595" s="19" t="n">
        <v>45</v>
      </c>
      <c r="H3595" s="19" t="n"/>
      <c r="I3595" t="inlineStr">
        <is>
          <t>Undisclosed</t>
        </is>
      </c>
      <c r="J3595" t="inlineStr"/>
      <c r="K3595" t="inlineStr">
        <is>
          <t>https://entrackr.com/snippets/aquapulse-raises-rs-45-cr-from-nabventures-and-ian-alpha-fund-11898912</t>
        </is>
      </c>
    </row>
    <row r="3596">
      <c r="A3596" t="inlineStr">
        <is>
          <t>INC-20260606-11</t>
        </is>
      </c>
      <c r="B3596" t="inlineStr">
        <is>
          <t>R260602-aquapulse</t>
        </is>
      </c>
      <c r="C3596" t="inlineStr">
        <is>
          <t>Inc42</t>
        </is>
      </c>
      <c r="D3596" s="17" t="n">
        <v>46175</v>
      </c>
      <c r="E3596" t="inlineStr">
        <is>
          <t>Aquapulse</t>
        </is>
      </c>
      <c r="F3596" t="inlineStr">
        <is>
          <t>$2.1 Mn</t>
        </is>
      </c>
      <c r="G3596" s="19" t="n"/>
      <c r="H3596" s="19" t="n">
        <v>2.1</v>
      </c>
      <c r="I3596" t="inlineStr">
        <is>
          <t>Series A</t>
        </is>
      </c>
      <c r="J3596" t="inlineStr">
        <is>
          <t>Indian Angel Network</t>
        </is>
      </c>
      <c r="K3596" t="inlineStr">
        <is>
          <t>https://inc42.com/buzz/from-firstclub-to-innefu-indian-startups-raised-187-mn-this-week/</t>
        </is>
      </c>
    </row>
    <row r="3597">
      <c r="A3597" t="inlineStr">
        <is>
          <t>ET-131459865</t>
        </is>
      </c>
      <c r="B3597" t="inlineStr">
        <is>
          <t>R260602-ondc</t>
        </is>
      </c>
      <c r="C3597" t="inlineStr">
        <is>
          <t>The Economic Times</t>
        </is>
      </c>
      <c r="D3597" s="17" t="n">
        <v>46175</v>
      </c>
      <c r="E3597" t="inlineStr">
        <is>
          <t>ONDC</t>
        </is>
      </c>
      <c r="F3597" t="inlineStr">
        <is>
          <t>Rs 220 crore</t>
        </is>
      </c>
      <c r="G3597" s="19" t="n">
        <v>220</v>
      </c>
      <c r="H3597" s="19" t="n"/>
      <c r="I3597" t="inlineStr">
        <is>
          <t>Undisclosed</t>
        </is>
      </c>
      <c r="J3597" t="inlineStr"/>
      <c r="K3597" t="inlineStr">
        <is>
          <t>https://economictimes.indiatimes.com/tech/startups/zoho-uber-paytm-bse-invest-rs-220-crore-in-ondc/articleshow/131459865.cms</t>
        </is>
      </c>
    </row>
    <row r="3598">
      <c r="A3598" t="inlineStr">
        <is>
          <t>ENT-11901039</t>
        </is>
      </c>
      <c r="B3598" t="inlineStr">
        <is>
          <t>R260602-prolearn</t>
        </is>
      </c>
      <c r="C3598" t="inlineStr">
        <is>
          <t>Entrackr</t>
        </is>
      </c>
      <c r="D3598" s="17" t="n">
        <v>46175</v>
      </c>
      <c r="E3598" t="inlineStr">
        <is>
          <t>ProLearn</t>
        </is>
      </c>
      <c r="F3598" t="inlineStr">
        <is>
          <t>Rs 30 crore</t>
        </is>
      </c>
      <c r="G3598" s="19" t="n">
        <v>30</v>
      </c>
      <c r="H3598" s="19" t="n">
        <v>3.2</v>
      </c>
      <c r="I3598" t="inlineStr">
        <is>
          <t>Pre-Seed</t>
        </is>
      </c>
      <c r="J3598" t="inlineStr">
        <is>
          <t>BEENEXT</t>
        </is>
      </c>
      <c r="K3598" t="inlineStr">
        <is>
          <t>https://entrackr.com/snippets/beenext-leads-rs-30-cr-pre-seed-round-in-edtech-startup-prolearn-11901039</t>
        </is>
      </c>
    </row>
    <row r="3599">
      <c r="A3599" t="inlineStr">
        <is>
          <t>INC-20260606-09</t>
        </is>
      </c>
      <c r="B3599" t="inlineStr">
        <is>
          <t>R260602-prolearn</t>
        </is>
      </c>
      <c r="C3599" t="inlineStr">
        <is>
          <t>Inc42</t>
        </is>
      </c>
      <c r="D3599" s="17" t="n">
        <v>46175</v>
      </c>
      <c r="E3599" t="inlineStr">
        <is>
          <t>ProLearn</t>
        </is>
      </c>
      <c r="F3599" t="inlineStr">
        <is>
          <t>$3.2 Mn</t>
        </is>
      </c>
      <c r="G3599" s="19" t="n"/>
      <c r="H3599" s="19" t="n">
        <v>3.2</v>
      </c>
      <c r="I3599" t="inlineStr">
        <is>
          <t>Pre-Seed</t>
        </is>
      </c>
      <c r="J3599" t="inlineStr">
        <is>
          <t>BEENEXT</t>
        </is>
      </c>
      <c r="K3599" t="inlineStr">
        <is>
          <t>https://inc42.com/buzz/from-firstclub-to-innefu-indian-startups-raised-187-mn-this-week/</t>
        </is>
      </c>
    </row>
    <row r="3600">
      <c r="A3600" t="inlineStr">
        <is>
          <t>INC-20260606-21</t>
        </is>
      </c>
      <c r="B3600" t="inlineStr">
        <is>
          <t>R260602-rosada</t>
        </is>
      </c>
      <c r="C3600" t="inlineStr">
        <is>
          <t>Inc42</t>
        </is>
      </c>
      <c r="D3600" s="17" t="n">
        <v>46175</v>
      </c>
      <c r="E3600" t="inlineStr">
        <is>
          <t>Rosada</t>
        </is>
      </c>
      <c r="F3600" t="inlineStr"/>
      <c r="G3600" s="19" t="n"/>
      <c r="H3600" s="19" t="n"/>
      <c r="I3600" t="inlineStr">
        <is>
          <t>Undisclosed</t>
        </is>
      </c>
      <c r="J3600" t="inlineStr">
        <is>
          <t>Shilpa Shetty Kundra</t>
        </is>
      </c>
      <c r="K3600" t="inlineStr">
        <is>
          <t>https://inc42.com/buzz/from-firstclub-to-innefu-indian-startups-raised-187-mn-this-week/</t>
        </is>
      </c>
    </row>
    <row r="3601">
      <c r="A3601" t="inlineStr">
        <is>
          <t>ENT-11902304</t>
        </is>
      </c>
      <c r="B3601" t="inlineStr">
        <is>
          <t>R260603-agilitassports</t>
        </is>
      </c>
      <c r="C3601" t="inlineStr">
        <is>
          <t>Entrackr</t>
        </is>
      </c>
      <c r="D3601" s="17" t="n">
        <v>46176</v>
      </c>
      <c r="E3601" t="inlineStr">
        <is>
          <t>Agilitas Sports</t>
        </is>
      </c>
      <c r="F3601" t="inlineStr">
        <is>
          <t>Rs 225 crore</t>
        </is>
      </c>
      <c r="G3601" s="19" t="n">
        <v>225</v>
      </c>
      <c r="H3601" s="19" t="n"/>
      <c r="I3601" t="inlineStr">
        <is>
          <t>Undisclosed</t>
        </is>
      </c>
      <c r="J3601" t="inlineStr"/>
      <c r="K3601" t="inlineStr">
        <is>
          <t>https://entrackr.com/news/agilitas-sports-raises-rs-225-cr-from-nexus-venture-partners-and-rainmatter-11902304</t>
        </is>
      </c>
    </row>
    <row r="3602">
      <c r="A3602" t="inlineStr">
        <is>
          <t>ET-131468715</t>
        </is>
      </c>
      <c r="B3602" t="inlineStr">
        <is>
          <t>R260603-agilitassports</t>
        </is>
      </c>
      <c r="C3602" t="inlineStr">
        <is>
          <t>The Economic Times</t>
        </is>
      </c>
      <c r="D3602" s="17" t="n">
        <v>46176</v>
      </c>
      <c r="E3602" t="inlineStr">
        <is>
          <t>Agilitas Sports</t>
        </is>
      </c>
      <c r="F3602" t="inlineStr">
        <is>
          <t>Rs 225 crore</t>
        </is>
      </c>
      <c r="G3602" s="19" t="n">
        <v>225</v>
      </c>
      <c r="H3602" s="19" t="n"/>
      <c r="I3602" t="inlineStr">
        <is>
          <t>Undisclosed</t>
        </is>
      </c>
      <c r="J3602" t="inlineStr"/>
      <c r="K3602" t="inlineStr">
        <is>
          <t>https://economictimes.indiatimes.com/tech/funding/nexus-rainmatter-invest-rs-225-crore-in-agilitas-sports/articleshow/131468715.cms</t>
        </is>
      </c>
    </row>
    <row r="3603">
      <c r="A3603" t="inlineStr">
        <is>
          <t>INC-20260606-04</t>
        </is>
      </c>
      <c r="B3603" t="inlineStr">
        <is>
          <t>R260603-agilitassports</t>
        </is>
      </c>
      <c r="C3603" t="inlineStr">
        <is>
          <t>Inc42</t>
        </is>
      </c>
      <c r="D3603" s="17" t="n">
        <v>46176</v>
      </c>
      <c r="E3603" t="inlineStr">
        <is>
          <t>Aglitias Sports</t>
        </is>
      </c>
      <c r="F3603" t="inlineStr">
        <is>
          <t>$23.5 Mn</t>
        </is>
      </c>
      <c r="G3603" s="19" t="n"/>
      <c r="H3603" s="19" t="n">
        <v>23.5</v>
      </c>
      <c r="I3603" t="inlineStr">
        <is>
          <t>Undisclosed</t>
        </is>
      </c>
      <c r="J3603" t="inlineStr">
        <is>
          <t>Nexus Venture Partners</t>
        </is>
      </c>
      <c r="K3603" t="inlineStr">
        <is>
          <t>https://inc42.com/buzz/from-firstclub-to-innefu-indian-startups-raised-187-mn-this-week/</t>
        </is>
      </c>
    </row>
    <row r="3604">
      <c r="A3604" t="inlineStr">
        <is>
          <t>VCC-83d6beb3a5</t>
        </is>
      </c>
      <c r="B3604" t="inlineStr">
        <is>
          <t>R260603-agilitassports</t>
        </is>
      </c>
      <c r="C3604" t="inlineStr">
        <is>
          <t>VCCircle</t>
        </is>
      </c>
      <c r="D3604" s="17" t="n">
        <v>46176</v>
      </c>
      <c r="E3604" t="inlineStr">
        <is>
          <t>convergentbacked agilitas sports</t>
        </is>
      </c>
      <c r="F3604" t="inlineStr"/>
      <c r="G3604" s="19" t="n"/>
      <c r="H3604" s="19" t="n"/>
      <c r="I3604" t="inlineStr">
        <is>
          <t>Undisclosed</t>
        </is>
      </c>
      <c r="J3604" t="inlineStr"/>
      <c r="K3604" t="inlineStr">
        <is>
          <t>https://www.vccircle.com/convergentbacked-agilitas-sports-bags-fresh-funding-from-nexus-rainmatter</t>
        </is>
      </c>
    </row>
    <row r="3605">
      <c r="A3605" t="inlineStr">
        <is>
          <t>ENT-11905033</t>
        </is>
      </c>
      <c r="B3605" t="inlineStr">
        <is>
          <t>R260603-fraganote</t>
        </is>
      </c>
      <c r="C3605" t="inlineStr">
        <is>
          <t>Entrackr</t>
        </is>
      </c>
      <c r="D3605" s="17" t="n">
        <v>46176</v>
      </c>
      <c r="E3605" t="inlineStr">
        <is>
          <t>Fraganote</t>
        </is>
      </c>
      <c r="F3605" t="inlineStr">
        <is>
          <t>$3 million</t>
        </is>
      </c>
      <c r="G3605" s="19" t="n"/>
      <c r="H3605" s="19" t="n">
        <v>3</v>
      </c>
      <c r="I3605" t="inlineStr">
        <is>
          <t>Pre-Series A</t>
        </is>
      </c>
      <c r="J3605" t="inlineStr"/>
      <c r="K3605" t="inlineStr">
        <is>
          <t>https://entrackr.com/snippets/v3-ventures-leads-3-mn-series-a-round-in-perfumery-brand-fraganote-11905033</t>
        </is>
      </c>
    </row>
    <row r="3606">
      <c r="A3606" t="inlineStr">
        <is>
          <t>INC-20260606-10</t>
        </is>
      </c>
      <c r="B3606" t="inlineStr">
        <is>
          <t>R260603-fraganote</t>
        </is>
      </c>
      <c r="C3606" t="inlineStr">
        <is>
          <t>Inc42</t>
        </is>
      </c>
      <c r="D3606" s="17" t="n">
        <v>46176</v>
      </c>
      <c r="E3606" t="inlineStr">
        <is>
          <t>Fraganote</t>
        </is>
      </c>
      <c r="F3606" t="inlineStr">
        <is>
          <t>$3 Mn</t>
        </is>
      </c>
      <c r="G3606" s="19" t="n"/>
      <c r="H3606" s="19" t="n">
        <v>3</v>
      </c>
      <c r="I3606" t="inlineStr">
        <is>
          <t>Series A</t>
        </is>
      </c>
      <c r="J3606" t="inlineStr">
        <is>
          <t>V3 Ventures</t>
        </is>
      </c>
      <c r="K3606" t="inlineStr">
        <is>
          <t>https://inc42.com/buzz/from-firstclub-to-innefu-indian-startups-raised-187-mn-this-week/</t>
        </is>
      </c>
    </row>
    <row r="3607">
      <c r="A3607" t="inlineStr">
        <is>
          <t>ENT-11904455</t>
        </is>
      </c>
      <c r="B3607" t="inlineStr">
        <is>
          <t>R260603-phab</t>
        </is>
      </c>
      <c r="C3607" t="inlineStr">
        <is>
          <t>Entrackr</t>
        </is>
      </c>
      <c r="D3607" s="17" t="n">
        <v>46176</v>
      </c>
      <c r="E3607" t="inlineStr">
        <is>
          <t>Phab</t>
        </is>
      </c>
      <c r="F3607" t="inlineStr">
        <is>
          <t>$4 million</t>
        </is>
      </c>
      <c r="G3607" s="19" t="n"/>
      <c r="H3607" s="19" t="n">
        <v>4</v>
      </c>
      <c r="I3607" t="inlineStr">
        <is>
          <t>Pre-Series A</t>
        </is>
      </c>
      <c r="J3607" t="inlineStr">
        <is>
          <t>OTP Ventures; Chona Family Office</t>
        </is>
      </c>
      <c r="K3607" t="inlineStr">
        <is>
          <t>https://entrackr.com/snippets/protein-snack-brand-phab-raises-4-mn-in-pre-series-a-round-11904455</t>
        </is>
      </c>
    </row>
    <row r="3608">
      <c r="A3608" t="inlineStr">
        <is>
          <t>INC-20260606-08</t>
        </is>
      </c>
      <c r="B3608" t="inlineStr">
        <is>
          <t>R260603-phab</t>
        </is>
      </c>
      <c r="C3608" t="inlineStr">
        <is>
          <t>Inc42</t>
        </is>
      </c>
      <c r="D3608" s="17" t="n">
        <v>46176</v>
      </c>
      <c r="E3608" t="inlineStr">
        <is>
          <t>Phab</t>
        </is>
      </c>
      <c r="F3608" t="inlineStr">
        <is>
          <t>$4 Mn</t>
        </is>
      </c>
      <c r="G3608" s="19" t="n"/>
      <c r="H3608" s="19" t="n">
        <v>4</v>
      </c>
      <c r="I3608" t="inlineStr">
        <is>
          <t>Pre-Series A</t>
        </is>
      </c>
      <c r="J3608" t="inlineStr">
        <is>
          <t>OTP Ventures; Chona Family Office</t>
        </is>
      </c>
      <c r="K3608" t="inlineStr">
        <is>
          <t>https://inc42.com/buzz/from-firstclub-to-innefu-indian-startups-raised-187-mn-this-week/</t>
        </is>
      </c>
    </row>
    <row r="3609">
      <c r="A3609" t="inlineStr">
        <is>
          <t>ENT-11902619</t>
        </is>
      </c>
      <c r="B3609" t="inlineStr">
        <is>
          <t>R260603-propsoch</t>
        </is>
      </c>
      <c r="C3609" t="inlineStr">
        <is>
          <t>Entrackr</t>
        </is>
      </c>
      <c r="D3609" s="17" t="n">
        <v>46176</v>
      </c>
      <c r="E3609" t="inlineStr">
        <is>
          <t>Propsoch</t>
        </is>
      </c>
      <c r="F3609" t="inlineStr">
        <is>
          <t>$2 million</t>
        </is>
      </c>
      <c r="G3609" s="19" t="n"/>
      <c r="H3609" s="19" t="n">
        <v>2</v>
      </c>
      <c r="I3609" t="inlineStr">
        <is>
          <t>Seed</t>
        </is>
      </c>
      <c r="J3609" t="inlineStr">
        <is>
          <t>Athera Venture Partners; Sparrow Capital; Vakil Group</t>
        </is>
      </c>
      <c r="K3609" t="inlineStr">
        <is>
          <t>https://entrackr.com/snippets/homebuyer-advisory-platform-propsoch-raises-2-mn-in-seed-round-11902619</t>
        </is>
      </c>
    </row>
    <row r="3610">
      <c r="A3610" t="inlineStr">
        <is>
          <t>INC-20260606-12</t>
        </is>
      </c>
      <c r="B3610" t="inlineStr">
        <is>
          <t>R260603-propsoch</t>
        </is>
      </c>
      <c r="C3610" t="inlineStr">
        <is>
          <t>Inc42</t>
        </is>
      </c>
      <c r="D3610" s="17" t="n">
        <v>46176</v>
      </c>
      <c r="E3610" t="inlineStr">
        <is>
          <t>Propsoch</t>
        </is>
      </c>
      <c r="F3610" t="inlineStr">
        <is>
          <t>$2 Mn</t>
        </is>
      </c>
      <c r="G3610" s="19" t="n"/>
      <c r="H3610" s="19" t="n">
        <v>2</v>
      </c>
      <c r="I3610" t="inlineStr">
        <is>
          <t>Seed</t>
        </is>
      </c>
      <c r="J3610" t="inlineStr">
        <is>
          <t>Athera Venture Partners; Sparrow Capital; Vakil Group</t>
        </is>
      </c>
      <c r="K3610" t="inlineStr">
        <is>
          <t>https://inc42.com/buzz/from-firstclub-to-innefu-indian-startups-raised-187-mn-this-week/</t>
        </is>
      </c>
    </row>
    <row r="3611">
      <c r="A3611" t="inlineStr">
        <is>
          <t>ENT-11902699</t>
        </is>
      </c>
      <c r="B3611" t="inlineStr">
        <is>
          <t>R260603-zuvees</t>
        </is>
      </c>
      <c r="C3611" t="inlineStr">
        <is>
          <t>Entrackr</t>
        </is>
      </c>
      <c r="D3611" s="17" t="n">
        <v>46176</v>
      </c>
      <c r="E3611" t="inlineStr">
        <is>
          <t>Zuvees</t>
        </is>
      </c>
      <c r="F3611" t="inlineStr">
        <is>
          <t>Rs 15 crore</t>
        </is>
      </c>
      <c r="G3611" s="19" t="n">
        <v>15</v>
      </c>
      <c r="H3611" s="19" t="n">
        <v>1.6</v>
      </c>
      <c r="I3611" t="inlineStr">
        <is>
          <t>Series A</t>
        </is>
      </c>
      <c r="J3611" t="inlineStr"/>
      <c r="K3611" t="inlineStr">
        <is>
          <t>https://entrackr.com/snippets/gifting-platform-zuvees-raises-rs-15-cr-in-ongoing-series-a-from-ivycap-ventures-11902699</t>
        </is>
      </c>
    </row>
    <row r="3612">
      <c r="A3612" t="inlineStr">
        <is>
          <t>INC-20260606-13</t>
        </is>
      </c>
      <c r="B3612" t="inlineStr">
        <is>
          <t>R260603-zuvees</t>
        </is>
      </c>
      <c r="C3612" t="inlineStr">
        <is>
          <t>Inc42</t>
        </is>
      </c>
      <c r="D3612" s="17" t="n">
        <v>46176</v>
      </c>
      <c r="E3612" t="inlineStr">
        <is>
          <t>Zuvees</t>
        </is>
      </c>
      <c r="F3612" t="inlineStr">
        <is>
          <t>$1.6 Mn</t>
        </is>
      </c>
      <c r="G3612" s="19" t="n"/>
      <c r="H3612" s="19" t="n">
        <v>1.6</v>
      </c>
      <c r="I3612" t="inlineStr">
        <is>
          <t>Series A</t>
        </is>
      </c>
      <c r="J3612" t="inlineStr">
        <is>
          <t>IvyCap Ventures</t>
        </is>
      </c>
      <c r="K3612" t="inlineStr">
        <is>
          <t>https://inc42.com/buzz/from-firstclub-to-innefu-indian-startups-raised-187-mn-this-week/</t>
        </is>
      </c>
    </row>
    <row r="3613">
      <c r="A3613" t="inlineStr">
        <is>
          <t>ENT-11999444</t>
        </is>
      </c>
      <c r="B3613" t="inlineStr">
        <is>
          <t>R260604-firstclub</t>
        </is>
      </c>
      <c r="C3613" t="inlineStr">
        <is>
          <t>Entrackr</t>
        </is>
      </c>
      <c r="D3613" s="17" t="n">
        <v>46177</v>
      </c>
      <c r="E3613" t="inlineStr">
        <is>
          <t>FirstClub</t>
        </is>
      </c>
      <c r="F3613" t="inlineStr">
        <is>
          <t>$55 million</t>
        </is>
      </c>
      <c r="G3613" s="19" t="n">
        <v>512</v>
      </c>
      <c r="H3613" s="19" t="n">
        <v>55</v>
      </c>
      <c r="I3613" t="inlineStr">
        <is>
          <t>Series B</t>
        </is>
      </c>
      <c r="J3613" t="inlineStr">
        <is>
          <t>Peak XV Partners; Sofina</t>
        </is>
      </c>
      <c r="K3613" t="inlineStr">
        <is>
          <t>https://entrackr.com/news/former-flipkart-executives-startup-firstclub-raises-55-mn-led-by-peak-xv-and-sofina-11999444</t>
        </is>
      </c>
    </row>
    <row r="3614">
      <c r="A3614" t="inlineStr">
        <is>
          <t>ET-131485475</t>
        </is>
      </c>
      <c r="B3614" t="inlineStr">
        <is>
          <t>R260604-firstclub</t>
        </is>
      </c>
      <c r="C3614" t="inlineStr">
        <is>
          <t>The Economic Times</t>
        </is>
      </c>
      <c r="D3614" s="17" t="n">
        <v>46177</v>
      </c>
      <c r="E3614" t="inlineStr">
        <is>
          <t>FirstClub</t>
        </is>
      </c>
      <c r="F3614" t="inlineStr">
        <is>
          <t>$55 million</t>
        </is>
      </c>
      <c r="G3614" s="19" t="n"/>
      <c r="H3614" s="19" t="n">
        <v>55</v>
      </c>
      <c r="I3614" t="inlineStr">
        <is>
          <t>Series B</t>
        </is>
      </c>
      <c r="J3614" t="inlineStr">
        <is>
          <t>Peak XV Partners; Sofina</t>
        </is>
      </c>
      <c r="K3614" t="inlineStr">
        <is>
          <t>https://economictimes.indiatimes.com/tech/funding/firstclub-raises-55-million-from-peak-xv-sofina-valuation-doubles-to-255-million/articleshow/131485475.cms</t>
        </is>
      </c>
    </row>
    <row r="3615">
      <c r="A3615" t="inlineStr">
        <is>
          <t>INC-20260606-01</t>
        </is>
      </c>
      <c r="B3615" t="inlineStr">
        <is>
          <t>R260604-firstclub</t>
        </is>
      </c>
      <c r="C3615" t="inlineStr">
        <is>
          <t>Inc42</t>
        </is>
      </c>
      <c r="D3615" s="17" t="n">
        <v>46177</v>
      </c>
      <c r="E3615" t="inlineStr">
        <is>
          <t>FirstClub</t>
        </is>
      </c>
      <c r="F3615" t="inlineStr">
        <is>
          <t>$55 Mn</t>
        </is>
      </c>
      <c r="G3615" s="19" t="n"/>
      <c r="H3615" s="19" t="n">
        <v>55</v>
      </c>
      <c r="I3615" t="inlineStr">
        <is>
          <t>Series B</t>
        </is>
      </c>
      <c r="J3615" t="inlineStr">
        <is>
          <t>Peak XV Partners; Sofina</t>
        </is>
      </c>
      <c r="K3615" t="inlineStr">
        <is>
          <t>https://inc42.com/buzz/from-firstclub-to-innefu-indian-startups-raised-187-mn-this-week/</t>
        </is>
      </c>
    </row>
    <row r="3616">
      <c r="A3616" t="inlineStr">
        <is>
          <t>ENT-12039944</t>
        </is>
      </c>
      <c r="B3616" t="inlineStr">
        <is>
          <t>R260604-firstclub</t>
        </is>
      </c>
      <c r="C3616" t="inlineStr">
        <is>
          <t>Entrackr</t>
        </is>
      </c>
      <c r="D3616" s="17" t="n">
        <v>46188</v>
      </c>
      <c r="E3616" t="inlineStr">
        <is>
          <t>FirstClub</t>
        </is>
      </c>
      <c r="F3616" t="inlineStr">
        <is>
          <t>$55 million</t>
        </is>
      </c>
      <c r="G3616" s="19" t="n"/>
      <c r="H3616" s="19" t="n">
        <v>55</v>
      </c>
      <c r="I3616" t="inlineStr">
        <is>
          <t>Undisclosed</t>
        </is>
      </c>
      <c r="J3616" t="inlineStr">
        <is>
          <t>Peak XV Partners; Sofina</t>
        </is>
      </c>
      <c r="K3616" t="inlineStr">
        <is>
          <t>https://entrackr.com/decoding/decoding-funding-valuation-and-cap-table-of-quick-commerces-newest-entrant-firstclub-12039944</t>
        </is>
      </c>
    </row>
    <row r="3617">
      <c r="A3617" t="inlineStr">
        <is>
          <t>ENT-11999537</t>
        </is>
      </c>
      <c r="B3617" t="inlineStr">
        <is>
          <t>R260604-gpsrenewables</t>
        </is>
      </c>
      <c r="C3617" t="inlineStr">
        <is>
          <t>Entrackr</t>
        </is>
      </c>
      <c r="D3617" s="17" t="n">
        <v>46177</v>
      </c>
      <c r="E3617" t="inlineStr">
        <is>
          <t>GPS Renewables</t>
        </is>
      </c>
      <c r="F3617" t="inlineStr"/>
      <c r="G3617" s="19" t="n"/>
      <c r="H3617" s="19" t="n"/>
      <c r="I3617" t="inlineStr">
        <is>
          <t>Undisclosed</t>
        </is>
      </c>
      <c r="J3617" t="inlineStr"/>
      <c r="K3617" t="inlineStr">
        <is>
          <t>https://entrackr.com/snippets/pixelsky-invests-rs-4045-cr-in-gps-renewables-report-11999537</t>
        </is>
      </c>
    </row>
    <row r="3618">
      <c r="A3618" t="inlineStr">
        <is>
          <t>ET-131488946</t>
        </is>
      </c>
      <c r="B3618" t="inlineStr">
        <is>
          <t>R260604-gpsrenewables</t>
        </is>
      </c>
      <c r="C3618" t="inlineStr">
        <is>
          <t>The Economic Times</t>
        </is>
      </c>
      <c r="D3618" s="17" t="n">
        <v>46177</v>
      </c>
      <c r="E3618" t="inlineStr">
        <is>
          <t>GPS Renewables</t>
        </is>
      </c>
      <c r="F3618" t="inlineStr"/>
      <c r="G3618" s="19" t="n"/>
      <c r="H3618" s="19" t="n"/>
      <c r="I3618" t="inlineStr">
        <is>
          <t>Undisclosed</t>
        </is>
      </c>
      <c r="J3618" t="inlineStr"/>
      <c r="K3618" t="inlineStr">
        <is>
          <t>https://economictimes.indiatimes.com/tech/funding/pixelsky-invests-rs-40-45-crore-in-biofuels-firm-gps-renewables/articleshow/131488946.cms</t>
        </is>
      </c>
    </row>
    <row r="3619">
      <c r="A3619" t="inlineStr">
        <is>
          <t>ENT-12014596</t>
        </is>
      </c>
      <c r="B3619" t="inlineStr">
        <is>
          <t>R260604-gpsrenewables</t>
        </is>
      </c>
      <c r="C3619" t="inlineStr">
        <is>
          <t>Entrackr</t>
        </is>
      </c>
      <c r="D3619" s="17" t="n">
        <v>46181</v>
      </c>
      <c r="E3619" t="inlineStr">
        <is>
          <t>GPS Renewables</t>
        </is>
      </c>
      <c r="F3619" t="inlineStr">
        <is>
          <t>Rs 635 crore</t>
        </is>
      </c>
      <c r="G3619" s="19" t="n">
        <v>635</v>
      </c>
      <c r="H3619" s="19" t="n"/>
      <c r="I3619" t="inlineStr">
        <is>
          <t>Series C</t>
        </is>
      </c>
      <c r="J3619" t="inlineStr"/>
      <c r="K3619" t="inlineStr">
        <is>
          <t>https://entrackr.com/snippets/gps-renewables-raises-rs-635-cr-in-series-c-round-12014596</t>
        </is>
      </c>
    </row>
    <row r="3620">
      <c r="A3620" t="inlineStr">
        <is>
          <t>INC-20260613-01</t>
        </is>
      </c>
      <c r="B3620" t="inlineStr">
        <is>
          <t>R260604-gpsrenewables</t>
        </is>
      </c>
      <c r="C3620" t="inlineStr">
        <is>
          <t>Inc42</t>
        </is>
      </c>
      <c r="D3620" s="17" t="n">
        <v>46181</v>
      </c>
      <c r="E3620" t="inlineStr">
        <is>
          <t>GPS Renewables</t>
        </is>
      </c>
      <c r="F3620" t="inlineStr">
        <is>
          <t>$66.4 Mn</t>
        </is>
      </c>
      <c r="G3620" s="19" t="n"/>
      <c r="H3620" s="19" t="n">
        <v>66.40000000000001</v>
      </c>
      <c r="I3620" t="inlineStr">
        <is>
          <t>Series C</t>
        </is>
      </c>
      <c r="J3620" t="inlineStr">
        <is>
          <t>Sojitz Corporation</t>
        </is>
      </c>
      <c r="K3620" t="inlineStr">
        <is>
          <t>https://inc42.com/buzz/from-gps-renewables-to-equal-ai-indian-startups-raised-243-mn-this-week/</t>
        </is>
      </c>
    </row>
    <row r="3621">
      <c r="A3621" t="inlineStr">
        <is>
          <t>VCC-804d7d65a7</t>
        </is>
      </c>
      <c r="B3621" t="inlineStr">
        <is>
          <t>R260604-gpsrenewables</t>
        </is>
      </c>
      <c r="C3621" t="inlineStr">
        <is>
          <t>VCCircle</t>
        </is>
      </c>
      <c r="D3621" s="17" t="n">
        <v>46181</v>
      </c>
      <c r="E3621" t="inlineStr">
        <is>
          <t>gps renewables</t>
        </is>
      </c>
      <c r="F3621" t="inlineStr"/>
      <c r="G3621" s="19" t="n"/>
      <c r="H3621" s="19" t="n"/>
      <c r="I3621" t="inlineStr">
        <is>
          <t>Series C</t>
        </is>
      </c>
      <c r="J3621" t="inlineStr"/>
      <c r="K3621" t="inlineStr">
        <is>
          <t>https://www.vccircle.com/neevfund-backed-gps-renewables-raises-series-c-funding</t>
        </is>
      </c>
    </row>
    <row r="3622">
      <c r="A3622" t="inlineStr">
        <is>
          <t>ENT-12000644</t>
        </is>
      </c>
      <c r="B3622" t="inlineStr">
        <is>
          <t>R260604-thesweetchange</t>
        </is>
      </c>
      <c r="C3622" t="inlineStr">
        <is>
          <t>Entrackr</t>
        </is>
      </c>
      <c r="D3622" s="17" t="n">
        <v>46177</v>
      </c>
      <c r="E3622" t="inlineStr">
        <is>
          <t>The Sweet Change</t>
        </is>
      </c>
      <c r="F3622" t="inlineStr">
        <is>
          <t>Rs 1.7 crore</t>
        </is>
      </c>
      <c r="G3622" s="19" t="n">
        <v>1.7</v>
      </c>
      <c r="H3622" s="19" t="n"/>
      <c r="I3622" t="inlineStr">
        <is>
          <t>Pre-Seed</t>
        </is>
      </c>
      <c r="J3622" t="inlineStr">
        <is>
          <t>Rebalance</t>
        </is>
      </c>
      <c r="K3622" t="inlineStr">
        <is>
          <t>https://entrackr.com/snippets/the-sweet-change-raises-rs-17-cr-in-pre-seed-round-led-by-rebalance-12000644</t>
        </is>
      </c>
    </row>
    <row r="3623">
      <c r="A3623" t="inlineStr">
        <is>
          <t>INC-20260606-17</t>
        </is>
      </c>
      <c r="B3623" t="inlineStr">
        <is>
          <t>R260604-thesweetchange</t>
        </is>
      </c>
      <c r="C3623" t="inlineStr">
        <is>
          <t>Inc42</t>
        </is>
      </c>
      <c r="D3623" s="17" t="n">
        <v>46177</v>
      </c>
      <c r="E3623" t="inlineStr">
        <is>
          <t>The Sweet Change</t>
        </is>
      </c>
      <c r="F3623" t="inlineStr">
        <is>
          <t>$187K</t>
        </is>
      </c>
      <c r="G3623" s="19" t="n"/>
      <c r="H3623" s="19" t="n">
        <v>0.187</v>
      </c>
      <c r="I3623" t="inlineStr">
        <is>
          <t>Pre-Seed</t>
        </is>
      </c>
      <c r="J3623" t="inlineStr">
        <is>
          <t>Rebalance</t>
        </is>
      </c>
      <c r="K3623" t="inlineStr">
        <is>
          <t>https://inc42.com/buzz/from-firstclub-to-innefu-indian-startups-raised-187-mn-this-week/</t>
        </is>
      </c>
    </row>
    <row r="3624">
      <c r="A3624" t="inlineStr">
        <is>
          <t>ENT-11999795</t>
        </is>
      </c>
      <c r="B3624" t="inlineStr">
        <is>
          <t>R260604-truefanai</t>
        </is>
      </c>
      <c r="C3624" t="inlineStr">
        <is>
          <t>Entrackr</t>
        </is>
      </c>
      <c r="D3624" s="17" t="n">
        <v>46177</v>
      </c>
      <c r="E3624" t="inlineStr">
        <is>
          <t>TrueFan AI</t>
        </is>
      </c>
      <c r="F3624" t="inlineStr">
        <is>
          <t>$10 million</t>
        </is>
      </c>
      <c r="G3624" s="19" t="n"/>
      <c r="H3624" s="19" t="n">
        <v>10</v>
      </c>
      <c r="I3624" t="inlineStr">
        <is>
          <t>Series A</t>
        </is>
      </c>
      <c r="J3624" t="inlineStr">
        <is>
          <t>Baring Private Equity Partners India; Z3 Partners</t>
        </is>
      </c>
      <c r="K3624" t="inlineStr">
        <is>
          <t>https://entrackr.com/news/video-generation-startup-truefan-ai-raises-10-mn-in-series-a-round-11999795</t>
        </is>
      </c>
    </row>
    <row r="3625">
      <c r="A3625" t="inlineStr">
        <is>
          <t>ET-131489608</t>
        </is>
      </c>
      <c r="B3625" t="inlineStr">
        <is>
          <t>R260604-truefanai</t>
        </is>
      </c>
      <c r="C3625" t="inlineStr">
        <is>
          <t>The Economic Times</t>
        </is>
      </c>
      <c r="D3625" s="17" t="n">
        <v>46177</v>
      </c>
      <c r="E3625" t="inlineStr">
        <is>
          <t>TrueFan</t>
        </is>
      </c>
      <c r="F3625" t="inlineStr">
        <is>
          <t>$10 million</t>
        </is>
      </c>
      <c r="G3625" s="19" t="n"/>
      <c r="H3625" s="19" t="n">
        <v>10</v>
      </c>
      <c r="I3625" t="inlineStr">
        <is>
          <t>Undisclosed</t>
        </is>
      </c>
      <c r="J3625" t="inlineStr">
        <is>
          <t>Baring Private Equity Partners India; Z3Partners</t>
        </is>
      </c>
      <c r="K3625" t="inlineStr">
        <is>
          <t>https://economictimes.indiatimes.com/tech/funding/ai-video-startup-truefan-raises-10-million-led-by-baring-pe-z3partners/articleshow/131489608.cms</t>
        </is>
      </c>
    </row>
    <row r="3626">
      <c r="A3626" t="inlineStr">
        <is>
          <t>INC-20260606-06</t>
        </is>
      </c>
      <c r="B3626" t="inlineStr">
        <is>
          <t>R260604-truefanai</t>
        </is>
      </c>
      <c r="C3626" t="inlineStr">
        <is>
          <t>Inc42</t>
        </is>
      </c>
      <c r="D3626" s="17" t="n">
        <v>46177</v>
      </c>
      <c r="E3626" t="inlineStr">
        <is>
          <t>TrueFan AI</t>
        </is>
      </c>
      <c r="F3626" t="inlineStr">
        <is>
          <t>$10 Mn</t>
        </is>
      </c>
      <c r="G3626" s="19" t="n"/>
      <c r="H3626" s="19" t="n">
        <v>10</v>
      </c>
      <c r="I3626" t="inlineStr">
        <is>
          <t>Series A</t>
        </is>
      </c>
      <c r="J3626" t="inlineStr">
        <is>
          <t>Baring Private Equity Partners India; Z3Partners</t>
        </is>
      </c>
      <c r="K3626" t="inlineStr">
        <is>
          <t>https://inc42.com/buzz/from-firstclub-to-innefu-indian-startups-raised-187-mn-this-week/</t>
        </is>
      </c>
    </row>
    <row r="3627">
      <c r="A3627" t="inlineStr">
        <is>
          <t>INC-20260606-14</t>
        </is>
      </c>
      <c r="B3627" t="inlineStr">
        <is>
          <t>R260604-voltseal</t>
        </is>
      </c>
      <c r="C3627" t="inlineStr">
        <is>
          <t>Inc42</t>
        </is>
      </c>
      <c r="D3627" s="17" t="n">
        <v>46177</v>
      </c>
      <c r="E3627" t="inlineStr">
        <is>
          <t>VoltSeal</t>
        </is>
      </c>
      <c r="F3627" t="inlineStr">
        <is>
          <t>$1.5 Mn</t>
        </is>
      </c>
      <c r="G3627" s="19" t="n"/>
      <c r="H3627" s="19" t="n">
        <v>1.5</v>
      </c>
      <c r="I3627" t="inlineStr">
        <is>
          <t>Pre-Seed</t>
        </is>
      </c>
      <c r="J3627" t="inlineStr">
        <is>
          <t>Theia Ventures</t>
        </is>
      </c>
      <c r="K3627" t="inlineStr">
        <is>
          <t>https://inc42.com/buzz/from-firstclub-to-innefu-indian-startups-raised-187-mn-this-week/</t>
        </is>
      </c>
    </row>
    <row r="3628">
      <c r="A3628" t="inlineStr">
        <is>
          <t>ENT-11999594</t>
        </is>
      </c>
      <c r="B3628" t="inlineStr">
        <is>
          <t>R260604-werize</t>
        </is>
      </c>
      <c r="C3628" t="inlineStr">
        <is>
          <t>Entrackr</t>
        </is>
      </c>
      <c r="D3628" s="17" t="n">
        <v>46177</v>
      </c>
      <c r="E3628" t="inlineStr">
        <is>
          <t>WeRize</t>
        </is>
      </c>
      <c r="F3628" t="inlineStr">
        <is>
          <t>$7 million</t>
        </is>
      </c>
      <c r="G3628" s="19" t="n"/>
      <c r="H3628" s="19" t="n">
        <v>7</v>
      </c>
      <c r="I3628" t="inlineStr">
        <is>
          <t>Pre-Series C</t>
        </is>
      </c>
      <c r="J3628" t="inlineStr">
        <is>
          <t>Sony Innovation Fund</t>
        </is>
      </c>
      <c r="K3628" t="inlineStr">
        <is>
          <t>https://entrackr.com/news/sony-innovation-fund-leads-7-mn-round-in-fintech-startup-werize-11999594</t>
        </is>
      </c>
    </row>
    <row r="3629">
      <c r="A3629" t="inlineStr">
        <is>
          <t>ET-131488872</t>
        </is>
      </c>
      <c r="B3629" t="inlineStr">
        <is>
          <t>R260604-werize</t>
        </is>
      </c>
      <c r="C3629" t="inlineStr">
        <is>
          <t>The Economic Times</t>
        </is>
      </c>
      <c r="D3629" s="17" t="n">
        <v>46177</v>
      </c>
      <c r="E3629" t="inlineStr">
        <is>
          <t>WeRize</t>
        </is>
      </c>
      <c r="F3629" t="inlineStr">
        <is>
          <t>$7 million</t>
        </is>
      </c>
      <c r="G3629" s="19" t="n"/>
      <c r="H3629" s="19" t="n">
        <v>7</v>
      </c>
      <c r="I3629" t="inlineStr">
        <is>
          <t>Undisclosed</t>
        </is>
      </c>
      <c r="J3629" t="inlineStr">
        <is>
          <t>Sony Innovation Fund</t>
        </is>
      </c>
      <c r="K3629" t="inlineStr">
        <is>
          <t>https://economictimes.indiatimes.com/tech/funding/fintech-werize-raises-7-million-led-by-sony-innovation-fund/articleshow/131488872.cms</t>
        </is>
      </c>
    </row>
    <row r="3630">
      <c r="A3630" t="inlineStr">
        <is>
          <t>INC-20260606-07</t>
        </is>
      </c>
      <c r="B3630" t="inlineStr">
        <is>
          <t>R260604-werize</t>
        </is>
      </c>
      <c r="C3630" t="inlineStr">
        <is>
          <t>Inc42</t>
        </is>
      </c>
      <c r="D3630" s="17" t="n">
        <v>46177</v>
      </c>
      <c r="E3630" t="inlineStr">
        <is>
          <t>WeRize</t>
        </is>
      </c>
      <c r="F3630" t="inlineStr">
        <is>
          <t>$7 Mn</t>
        </is>
      </c>
      <c r="G3630" s="19" t="n"/>
      <c r="H3630" s="19" t="n">
        <v>7</v>
      </c>
      <c r="I3630" t="inlineStr">
        <is>
          <t>Pre-Series C</t>
        </is>
      </c>
      <c r="J3630" t="inlineStr">
        <is>
          <t>Sony Innovation Fund</t>
        </is>
      </c>
      <c r="K3630" t="inlineStr">
        <is>
          <t>https://inc42.com/buzz/from-firstclub-to-innefu-indian-startups-raised-187-mn-this-week/</t>
        </is>
      </c>
    </row>
    <row r="3631">
      <c r="A3631" t="inlineStr">
        <is>
          <t>ENT-12003445</t>
        </is>
      </c>
      <c r="B3631" t="inlineStr">
        <is>
          <t>R260605-aadyahaerospac</t>
        </is>
      </c>
      <c r="C3631" t="inlineStr">
        <is>
          <t>Entrackr</t>
        </is>
      </c>
      <c r="D3631" s="17" t="n">
        <v>46178</v>
      </c>
      <c r="E3631" t="inlineStr">
        <is>
          <t>Aadyah Aerospace</t>
        </is>
      </c>
      <c r="F3631" t="inlineStr">
        <is>
          <t>Rs 31.5 crore</t>
        </is>
      </c>
      <c r="G3631" s="19" t="n">
        <v>31.5</v>
      </c>
      <c r="H3631" s="19" t="n">
        <v>3.3</v>
      </c>
      <c r="I3631" t="inlineStr">
        <is>
          <t>Series A</t>
        </is>
      </c>
      <c r="J3631" t="inlineStr">
        <is>
          <t>Helios Holdings</t>
        </is>
      </c>
      <c r="K3631" t="inlineStr">
        <is>
          <t>https://entrackr.com/exclusive/exclusive-aadyah-aerospace-raises-fresh-funds-in-series-a-round-12003445</t>
        </is>
      </c>
    </row>
    <row r="3632">
      <c r="A3632" t="inlineStr">
        <is>
          <t>INC-20260606-18</t>
        </is>
      </c>
      <c r="B3632" t="inlineStr">
        <is>
          <t>R260605-estrotechrobot</t>
        </is>
      </c>
      <c r="C3632" t="inlineStr">
        <is>
          <t>Inc42</t>
        </is>
      </c>
      <c r="D3632" s="17" t="n">
        <v>46178</v>
      </c>
      <c r="E3632" t="inlineStr">
        <is>
          <t>Estro Tech Robotics</t>
        </is>
      </c>
      <c r="F3632" t="inlineStr">
        <is>
          <t>$105K</t>
        </is>
      </c>
      <c r="G3632" s="19" t="n"/>
      <c r="H3632" s="19" t="n">
        <v>0.105</v>
      </c>
      <c r="I3632" t="inlineStr">
        <is>
          <t>Seed</t>
        </is>
      </c>
      <c r="J3632" t="inlineStr">
        <is>
          <t>Genrobotics</t>
        </is>
      </c>
      <c r="K3632" t="inlineStr">
        <is>
          <t>https://inc42.com/buzz/from-firstclub-to-innefu-indian-startups-raised-187-mn-this-week/</t>
        </is>
      </c>
    </row>
    <row r="3633">
      <c r="A3633" t="inlineStr">
        <is>
          <t>ENT-12003658</t>
        </is>
      </c>
      <c r="B3633" t="inlineStr">
        <is>
          <t>R260605-innefulabs</t>
        </is>
      </c>
      <c r="C3633" t="inlineStr">
        <is>
          <t>Entrackr</t>
        </is>
      </c>
      <c r="D3633" s="17" t="n">
        <v>46178</v>
      </c>
      <c r="E3633" t="inlineStr">
        <is>
          <t>Innefu Labs</t>
        </is>
      </c>
      <c r="F3633" t="inlineStr">
        <is>
          <t>$30 million</t>
        </is>
      </c>
      <c r="G3633" s="19" t="n"/>
      <c r="H3633" s="19" t="n">
        <v>30</v>
      </c>
      <c r="I3633" t="inlineStr">
        <is>
          <t>Series B</t>
        </is>
      </c>
      <c r="J3633" t="inlineStr">
        <is>
          <t>Panthera Growth Partners</t>
        </is>
      </c>
      <c r="K3633" t="inlineStr">
        <is>
          <t>https://entrackr.com/news/panthera-growth-partners-leads-30-mn-series-b-round-in-innefu-labs-12003658</t>
        </is>
      </c>
    </row>
    <row r="3634">
      <c r="A3634" t="inlineStr">
        <is>
          <t>ET-131525751</t>
        </is>
      </c>
      <c r="B3634" t="inlineStr">
        <is>
          <t>R260605-innefulabs</t>
        </is>
      </c>
      <c r="C3634" t="inlineStr">
        <is>
          <t>The Economic Times</t>
        </is>
      </c>
      <c r="D3634" s="17" t="n">
        <v>46178</v>
      </c>
      <c r="E3634" t="inlineStr">
        <is>
          <t>Innefu Labs</t>
        </is>
      </c>
      <c r="F3634" t="inlineStr">
        <is>
          <t>$30 million</t>
        </is>
      </c>
      <c r="G3634" s="19" t="n">
        <v>286</v>
      </c>
      <c r="H3634" s="19" t="n">
        <v>30</v>
      </c>
      <c r="I3634" t="inlineStr">
        <is>
          <t>Series B</t>
        </is>
      </c>
      <c r="J3634" t="inlineStr"/>
      <c r="K3634" t="inlineStr">
        <is>
          <t>https://economictimes.indiatimes.com/tech/funding/ai-startup-innefu-labs-bags-30-million-in-funding-from-panthera-growth-partners/articleshow/131525751.cms</t>
        </is>
      </c>
    </row>
    <row r="3635">
      <c r="A3635" t="inlineStr">
        <is>
          <t>INC-20260606-02</t>
        </is>
      </c>
      <c r="B3635" t="inlineStr">
        <is>
          <t>R260605-innefulabs</t>
        </is>
      </c>
      <c r="C3635" t="inlineStr">
        <is>
          <t>Inc42</t>
        </is>
      </c>
      <c r="D3635" s="17" t="n">
        <v>46178</v>
      </c>
      <c r="E3635" t="inlineStr">
        <is>
          <t>Innefu</t>
        </is>
      </c>
      <c r="F3635" t="inlineStr">
        <is>
          <t>$30 Mn</t>
        </is>
      </c>
      <c r="G3635" s="19" t="n"/>
      <c r="H3635" s="19" t="n">
        <v>30</v>
      </c>
      <c r="I3635" t="inlineStr">
        <is>
          <t>Series B</t>
        </is>
      </c>
      <c r="J3635" t="inlineStr">
        <is>
          <t>Panthera Growth Partners</t>
        </is>
      </c>
      <c r="K3635" t="inlineStr">
        <is>
          <t>https://inc42.com/buzz/from-firstclub-to-innefu-indian-startups-raised-187-mn-this-week/</t>
        </is>
      </c>
    </row>
    <row r="3636">
      <c r="A3636" t="inlineStr">
        <is>
          <t>INC-20260613-17</t>
        </is>
      </c>
      <c r="B3636" t="inlineStr">
        <is>
          <t>R260608-clearrobotics</t>
        </is>
      </c>
      <c r="C3636" t="inlineStr">
        <is>
          <t>Inc42</t>
        </is>
      </c>
      <c r="D3636" s="17" t="n">
        <v>46181</v>
      </c>
      <c r="E3636" t="inlineStr">
        <is>
          <t>Clear Robotics</t>
        </is>
      </c>
      <c r="F3636" t="inlineStr">
        <is>
          <t>$1.8 Mn</t>
        </is>
      </c>
      <c r="G3636" s="19" t="n"/>
      <c r="H3636" s="19" t="n">
        <v>1.8</v>
      </c>
      <c r="I3636" t="inlineStr">
        <is>
          <t>Pre-Series A</t>
        </is>
      </c>
      <c r="J3636" t="inlineStr"/>
      <c r="K3636" t="inlineStr">
        <is>
          <t>https://inc42.com/buzz/from-gps-renewables-to-equal-ai-indian-startups-raised-243-mn-this-week/</t>
        </is>
      </c>
    </row>
    <row r="3637">
      <c r="A3637" t="inlineStr">
        <is>
          <t>ENT-12012724</t>
        </is>
      </c>
      <c r="B3637" t="inlineStr">
        <is>
          <t>R260608-immuneeltherap</t>
        </is>
      </c>
      <c r="C3637" t="inlineStr">
        <is>
          <t>Entrackr</t>
        </is>
      </c>
      <c r="D3637" s="17" t="n">
        <v>46181</v>
      </c>
      <c r="E3637" t="inlineStr">
        <is>
          <t>Immuneel Therapeutics</t>
        </is>
      </c>
      <c r="F3637" t="inlineStr">
        <is>
          <t>Rs 100 crore</t>
        </is>
      </c>
      <c r="G3637" s="19" t="n">
        <v>100</v>
      </c>
      <c r="H3637" s="19" t="n">
        <v>10.5</v>
      </c>
      <c r="I3637" t="inlineStr">
        <is>
          <t>Series B</t>
        </is>
      </c>
      <c r="J3637" t="inlineStr"/>
      <c r="K3637" t="inlineStr">
        <is>
          <t>https://entrackr.com/news/immuneel-therapeutics-raises-over-rs-100-cr-in-series-b-12012724</t>
        </is>
      </c>
    </row>
    <row r="3638">
      <c r="A3638" t="inlineStr">
        <is>
          <t>ET-131578732</t>
        </is>
      </c>
      <c r="B3638" t="inlineStr">
        <is>
          <t>R260608-immuneeltherap</t>
        </is>
      </c>
      <c r="C3638" t="inlineStr">
        <is>
          <t>The Economic Times</t>
        </is>
      </c>
      <c r="D3638" s="17" t="n">
        <v>46181</v>
      </c>
      <c r="E3638" t="inlineStr">
        <is>
          <t>Immuneel Therapeutics</t>
        </is>
      </c>
      <c r="F3638" t="inlineStr">
        <is>
          <t>Rs 100 crore</t>
        </is>
      </c>
      <c r="G3638" s="19" t="n">
        <v>100</v>
      </c>
      <c r="H3638" s="19" t="n"/>
      <c r="I3638" t="inlineStr">
        <is>
          <t>Undisclosed</t>
        </is>
      </c>
      <c r="J3638" t="inlineStr"/>
      <c r="K3638" t="inlineStr">
        <is>
          <t>https://economictimes.indiatimes.com/tech/funding/kiran-mazumdar-shaws-immuneel-therapeutics-raises-rs-100-crore-from-singularity-amc-rainmatter-others/articleshow/131578732.cms</t>
        </is>
      </c>
    </row>
    <row r="3639">
      <c r="A3639" t="inlineStr">
        <is>
          <t>INC-20260613-06</t>
        </is>
      </c>
      <c r="B3639" t="inlineStr">
        <is>
          <t>R260608-immuneeltherap</t>
        </is>
      </c>
      <c r="C3639" t="inlineStr">
        <is>
          <t>Inc42</t>
        </is>
      </c>
      <c r="D3639" s="17" t="n">
        <v>46181</v>
      </c>
      <c r="E3639" t="inlineStr">
        <is>
          <t>Immuneel Theraputics</t>
        </is>
      </c>
      <c r="F3639" t="inlineStr">
        <is>
          <t>$10.5 Mn</t>
        </is>
      </c>
      <c r="G3639" s="19" t="n"/>
      <c r="H3639" s="19" t="n">
        <v>10.5</v>
      </c>
      <c r="I3639" t="inlineStr">
        <is>
          <t>Series B</t>
        </is>
      </c>
      <c r="J3639" t="inlineStr">
        <is>
          <t>Singularity AMC; Rainmatter</t>
        </is>
      </c>
      <c r="K3639" t="inlineStr">
        <is>
          <t>https://inc42.com/buzz/from-gps-renewables-to-equal-ai-indian-startups-raised-243-mn-this-week/</t>
        </is>
      </c>
    </row>
    <row r="3640">
      <c r="A3640" t="inlineStr">
        <is>
          <t>ENT-12016925</t>
        </is>
      </c>
      <c r="B3640" t="inlineStr">
        <is>
          <t>R260609-bazaarnow</t>
        </is>
      </c>
      <c r="C3640" t="inlineStr">
        <is>
          <t>Entrackr</t>
        </is>
      </c>
      <c r="D3640" s="17" t="n">
        <v>46182</v>
      </c>
      <c r="E3640" t="inlineStr">
        <is>
          <t>BazaarNow</t>
        </is>
      </c>
      <c r="F3640" t="inlineStr">
        <is>
          <t>Rs 72 crore</t>
        </is>
      </c>
      <c r="G3640" s="19" t="n">
        <v>72</v>
      </c>
      <c r="H3640" s="19" t="n">
        <v>7.8</v>
      </c>
      <c r="I3640" t="inlineStr">
        <is>
          <t>Pre-Seed</t>
        </is>
      </c>
      <c r="J3640" t="inlineStr">
        <is>
          <t>Peak XV Partners</t>
        </is>
      </c>
      <c r="K3640" t="inlineStr">
        <is>
          <t>https://entrackr.com/snippets/peak-xv-leads-rs-72-cr-round-in-quick-commerce-platform-bazaarnow-12016925</t>
        </is>
      </c>
    </row>
    <row r="3641">
      <c r="A3641" t="inlineStr">
        <is>
          <t>ET-131605582</t>
        </is>
      </c>
      <c r="B3641" t="inlineStr">
        <is>
          <t>R260609-bazaarnow</t>
        </is>
      </c>
      <c r="C3641" t="inlineStr">
        <is>
          <t>The Economic Times</t>
        </is>
      </c>
      <c r="D3641" s="17" t="n">
        <v>46182</v>
      </c>
      <c r="E3641" t="inlineStr">
        <is>
          <t>BazaarNow</t>
        </is>
      </c>
      <c r="F3641" t="inlineStr">
        <is>
          <t>Rs 72 crore</t>
        </is>
      </c>
      <c r="G3641" s="19" t="n">
        <v>72</v>
      </c>
      <c r="H3641" s="19" t="n"/>
      <c r="I3641" t="inlineStr">
        <is>
          <t>Undisclosed</t>
        </is>
      </c>
      <c r="J3641" t="inlineStr">
        <is>
          <t>Peak XV Partners</t>
        </is>
      </c>
      <c r="K3641" t="inlineStr">
        <is>
          <t>https://economictimes.indiatimes.com/tech/funding/bazaarnow-raises-rs-72-crore-from-peak-xv-others-to-scale-up-qcommerce-in-non-metros/articleshow/131605582.cms</t>
        </is>
      </c>
    </row>
    <row r="3642">
      <c r="A3642" t="inlineStr">
        <is>
          <t>INC-20260613-10</t>
        </is>
      </c>
      <c r="B3642" t="inlineStr">
        <is>
          <t>R260609-bazaarnow</t>
        </is>
      </c>
      <c r="C3642" t="inlineStr">
        <is>
          <t>Inc42</t>
        </is>
      </c>
      <c r="D3642" s="17" t="n">
        <v>46182</v>
      </c>
      <c r="E3642" t="inlineStr">
        <is>
          <t>BazaarNow</t>
        </is>
      </c>
      <c r="F3642" t="inlineStr">
        <is>
          <t>$7.5 Mn</t>
        </is>
      </c>
      <c r="G3642" s="19" t="n"/>
      <c r="H3642" s="19" t="n">
        <v>7.5</v>
      </c>
      <c r="I3642" t="inlineStr">
        <is>
          <t>Undisclosed</t>
        </is>
      </c>
      <c r="J3642" t="inlineStr">
        <is>
          <t>Peak XV Partners</t>
        </is>
      </c>
      <c r="K3642" t="inlineStr">
        <is>
          <t>https://inc42.com/buzz/from-gps-renewables-to-equal-ai-indian-startups-raised-243-mn-this-week/</t>
        </is>
      </c>
    </row>
    <row r="3643">
      <c r="A3643" t="inlineStr">
        <is>
          <t>ENT-12017982</t>
        </is>
      </c>
      <c r="B3643" t="inlineStr">
        <is>
          <t>R260609-celebaltechnol</t>
        </is>
      </c>
      <c r="C3643" t="inlineStr">
        <is>
          <t>Entrackr</t>
        </is>
      </c>
      <c r="D3643" s="17" t="n">
        <v>46182</v>
      </c>
      <c r="E3643" t="inlineStr">
        <is>
          <t>Celebal Technologies</t>
        </is>
      </c>
      <c r="F3643" t="inlineStr">
        <is>
          <t>Rs 50 crore</t>
        </is>
      </c>
      <c r="G3643" s="19" t="n">
        <v>50</v>
      </c>
      <c r="H3643" s="19" t="n">
        <v>5.2</v>
      </c>
      <c r="I3643" t="inlineStr">
        <is>
          <t>Debt</t>
        </is>
      </c>
      <c r="J3643" t="inlineStr"/>
      <c r="K3643" t="inlineStr">
        <is>
          <t>https://entrackr.com/snippets/celebal-technologies-raises-rs-50-cr-from-blacksoil-capital-12017982</t>
        </is>
      </c>
    </row>
    <row r="3644">
      <c r="A3644" t="inlineStr">
        <is>
          <t>INC-20260613-11</t>
        </is>
      </c>
      <c r="B3644" t="inlineStr">
        <is>
          <t>R260609-celebaltechnol</t>
        </is>
      </c>
      <c r="C3644" t="inlineStr">
        <is>
          <t>Inc42</t>
        </is>
      </c>
      <c r="D3644" s="17" t="n">
        <v>46182</v>
      </c>
      <c r="E3644" t="inlineStr">
        <is>
          <t>Celebal Technologies</t>
        </is>
      </c>
      <c r="F3644" t="inlineStr">
        <is>
          <t>$5.2 Mn</t>
        </is>
      </c>
      <c r="G3644" s="19" t="n"/>
      <c r="H3644" s="19" t="n">
        <v>5.2</v>
      </c>
      <c r="I3644" t="inlineStr">
        <is>
          <t>Debt</t>
        </is>
      </c>
      <c r="J3644" t="inlineStr">
        <is>
          <t>BlackSoil Capital</t>
        </is>
      </c>
      <c r="K3644" t="inlineStr">
        <is>
          <t>https://inc42.com/buzz/from-gps-renewables-to-equal-ai-indian-startups-raised-243-mn-this-week/</t>
        </is>
      </c>
    </row>
    <row r="3645">
      <c r="A3645" t="inlineStr">
        <is>
          <t>ENT-12017897</t>
        </is>
      </c>
      <c r="B3645" t="inlineStr">
        <is>
          <t>R260609-integrarobotic</t>
        </is>
      </c>
      <c r="C3645" t="inlineStr">
        <is>
          <t>Entrackr</t>
        </is>
      </c>
      <c r="D3645" s="17" t="n">
        <v>46182</v>
      </c>
      <c r="E3645" t="inlineStr">
        <is>
          <t>Integra Robotics</t>
        </is>
      </c>
      <c r="F3645" t="inlineStr">
        <is>
          <t>$1.12 million</t>
        </is>
      </c>
      <c r="G3645" s="19" t="n"/>
      <c r="H3645" s="19" t="n">
        <v>1.12</v>
      </c>
      <c r="I3645" t="inlineStr">
        <is>
          <t>Pre-Series A</t>
        </is>
      </c>
      <c r="J3645" t="inlineStr">
        <is>
          <t>Finvolve; India Accelerator</t>
        </is>
      </c>
      <c r="K3645" t="inlineStr">
        <is>
          <t>https://entrackr.com/snippets/integra-robotics-raises-112-mn-in-pre-series-a-round-12017897</t>
        </is>
      </c>
    </row>
    <row r="3646">
      <c r="A3646" t="inlineStr">
        <is>
          <t>INC-20260613-19</t>
        </is>
      </c>
      <c r="B3646" t="inlineStr">
        <is>
          <t>R260609-integrarobotic</t>
        </is>
      </c>
      <c r="C3646" t="inlineStr">
        <is>
          <t>Inc42</t>
        </is>
      </c>
      <c r="D3646" s="17" t="n">
        <v>46182</v>
      </c>
      <c r="E3646" t="inlineStr">
        <is>
          <t>Integra Robotics</t>
        </is>
      </c>
      <c r="F3646" t="inlineStr">
        <is>
          <t>$1.1 Mn</t>
        </is>
      </c>
      <c r="G3646" s="19" t="n"/>
      <c r="H3646" s="19" t="n">
        <v>1.1</v>
      </c>
      <c r="I3646" t="inlineStr">
        <is>
          <t>Pre-Series A</t>
        </is>
      </c>
      <c r="J3646" t="inlineStr">
        <is>
          <t>Finvolve</t>
        </is>
      </c>
      <c r="K3646" t="inlineStr">
        <is>
          <t>https://inc42.com/buzz/from-gps-renewables-to-equal-ai-indian-startups-raised-243-mn-this-week/</t>
        </is>
      </c>
    </row>
    <row r="3647">
      <c r="A3647" t="inlineStr">
        <is>
          <t>ENT-12014070</t>
        </is>
      </c>
      <c r="B3647" t="inlineStr">
        <is>
          <t>R260609-theweddingcomp</t>
        </is>
      </c>
      <c r="C3647" t="inlineStr">
        <is>
          <t>Entrackr</t>
        </is>
      </c>
      <c r="D3647" s="17" t="n">
        <v>46182</v>
      </c>
      <c r="E3647" t="inlineStr">
        <is>
          <t>The Wedding Company</t>
        </is>
      </c>
      <c r="F3647" t="inlineStr">
        <is>
          <t>$2.75 million</t>
        </is>
      </c>
      <c r="G3647" s="19" t="n">
        <v>25</v>
      </c>
      <c r="H3647" s="19" t="n">
        <v>2.75</v>
      </c>
      <c r="I3647" t="inlineStr">
        <is>
          <t>Seed</t>
        </is>
      </c>
      <c r="J3647" t="inlineStr">
        <is>
          <t>Wellingdon Advisors LLP</t>
        </is>
      </c>
      <c r="K3647" t="inlineStr">
        <is>
          <t>https://entrackr.com/snippets/the-wedding-company-raises-275-mn-in-seed-round-12014070</t>
        </is>
      </c>
    </row>
    <row r="3648">
      <c r="A3648" t="inlineStr">
        <is>
          <t>INC-20260613-15</t>
        </is>
      </c>
      <c r="B3648" t="inlineStr">
        <is>
          <t>R260609-theweddingcomp</t>
        </is>
      </c>
      <c r="C3648" t="inlineStr">
        <is>
          <t>Inc42</t>
        </is>
      </c>
      <c r="D3648" s="17" t="n">
        <v>46182</v>
      </c>
      <c r="E3648" t="inlineStr">
        <is>
          <t>The Wedding Company</t>
        </is>
      </c>
      <c r="F3648" t="inlineStr">
        <is>
          <t>$2.8 Mn</t>
        </is>
      </c>
      <c r="G3648" s="19" t="n"/>
      <c r="H3648" s="19" t="n">
        <v>2.8</v>
      </c>
      <c r="I3648" t="inlineStr">
        <is>
          <t>Seed</t>
        </is>
      </c>
      <c r="J3648" t="inlineStr">
        <is>
          <t>Wellingdon Advisors LLP</t>
        </is>
      </c>
      <c r="K3648" t="inlineStr">
        <is>
          <t>https://inc42.com/buzz/from-gps-renewables-to-equal-ai-indian-startups-raised-243-mn-this-week/</t>
        </is>
      </c>
    </row>
    <row r="3649">
      <c r="A3649" t="inlineStr">
        <is>
          <t>ENT-12020238</t>
        </is>
      </c>
      <c r="B3649" t="inlineStr">
        <is>
          <t>R260610-exponentenergy</t>
        </is>
      </c>
      <c r="C3649" t="inlineStr">
        <is>
          <t>Entrackr</t>
        </is>
      </c>
      <c r="D3649" s="17" t="n">
        <v>46183</v>
      </c>
      <c r="E3649" t="inlineStr">
        <is>
          <t>Exponent Energy</t>
        </is>
      </c>
      <c r="F3649" t="inlineStr">
        <is>
          <t>Rs 200 crore</t>
        </is>
      </c>
      <c r="G3649" s="19" t="n">
        <v>200</v>
      </c>
      <c r="H3649" s="19" t="n">
        <v>21.1</v>
      </c>
      <c r="I3649" t="inlineStr">
        <is>
          <t>Series B</t>
        </is>
      </c>
      <c r="J3649" t="inlineStr">
        <is>
          <t>360 ONE Asset; TDK Ventures; Lightspeed; 3one4 Capital; AdvantEdge VC</t>
        </is>
      </c>
      <c r="K3649" t="inlineStr">
        <is>
          <t>https://entrackr.com/news/exponent-energy-raises-200-cr-in-series-b2-round-led-by-360-one-asset-and-tdk-ventures-12020238</t>
        </is>
      </c>
    </row>
    <row r="3650">
      <c r="A3650" t="inlineStr">
        <is>
          <t>ET-131614315</t>
        </is>
      </c>
      <c r="B3650" t="inlineStr">
        <is>
          <t>R260610-exponentenergy</t>
        </is>
      </c>
      <c r="C3650" t="inlineStr">
        <is>
          <t>The Economic Times</t>
        </is>
      </c>
      <c r="D3650" s="17" t="n">
        <v>46183</v>
      </c>
      <c r="E3650" t="inlineStr">
        <is>
          <t>Exponent Energy</t>
        </is>
      </c>
      <c r="F3650" t="inlineStr">
        <is>
          <t>Rs 200 crore</t>
        </is>
      </c>
      <c r="G3650" s="19" t="n">
        <v>200</v>
      </c>
      <c r="H3650" s="19" t="n">
        <v>21.1</v>
      </c>
      <c r="I3650" t="inlineStr">
        <is>
          <t>Undisclosed</t>
        </is>
      </c>
      <c r="J3650" t="inlineStr">
        <is>
          <t>360 ONE Asset; TDK Ventures</t>
        </is>
      </c>
      <c r="K3650" t="inlineStr">
        <is>
          <t>https://economictimes.indiatimes.com/tech/funding/exponent-energy-secures-rs-200-crore-funding-from-360-one-asset-tdk-ventures/articleshow/131614315.cms</t>
        </is>
      </c>
    </row>
    <row r="3651">
      <c r="A3651" t="inlineStr">
        <is>
          <t>INC-20260613-05</t>
        </is>
      </c>
      <c r="B3651" t="inlineStr">
        <is>
          <t>R260610-exponentenergy</t>
        </is>
      </c>
      <c r="C3651" t="inlineStr">
        <is>
          <t>Inc42</t>
        </is>
      </c>
      <c r="D3651" s="17" t="n">
        <v>46183</v>
      </c>
      <c r="E3651" t="inlineStr">
        <is>
          <t>Exponent Energy</t>
        </is>
      </c>
      <c r="F3651" t="inlineStr">
        <is>
          <t>$21.1 Mn</t>
        </is>
      </c>
      <c r="G3651" s="19" t="n"/>
      <c r="H3651" s="19" t="n">
        <v>21.1</v>
      </c>
      <c r="I3651" t="inlineStr">
        <is>
          <t>Undisclosed</t>
        </is>
      </c>
      <c r="J3651" t="inlineStr">
        <is>
          <t>360 ONE Asset; TDK Ventures</t>
        </is>
      </c>
      <c r="K3651" t="inlineStr">
        <is>
          <t>https://inc42.com/buzz/from-gps-renewables-to-equal-ai-indian-startups-raised-243-mn-this-week/</t>
        </is>
      </c>
    </row>
    <row r="3652">
      <c r="A3652" t="inlineStr">
        <is>
          <t>VCC-d546ccb945</t>
        </is>
      </c>
      <c r="B3652" t="inlineStr">
        <is>
          <t>R260610-exponentenergy</t>
        </is>
      </c>
      <c r="C3652" t="inlineStr">
        <is>
          <t>VCCircle</t>
        </is>
      </c>
      <c r="D3652" s="17" t="n">
        <v>46183</v>
      </c>
      <c r="E3652" t="inlineStr">
        <is>
          <t>exponent</t>
        </is>
      </c>
      <c r="F3652" t="inlineStr">
        <is>
          <t>$ 21 million</t>
        </is>
      </c>
      <c r="G3652" s="19" t="n"/>
      <c r="H3652" s="19" t="n">
        <v>21</v>
      </c>
      <c r="I3652" t="inlineStr">
        <is>
          <t>Undisclosed</t>
        </is>
      </c>
      <c r="J3652" t="inlineStr"/>
      <c r="K3652" t="inlineStr">
        <is>
          <t>https://www.vccircle.com/evenergy-startup-exponent-raises-21-mn-in-fresh-funding</t>
        </is>
      </c>
    </row>
    <row r="3653">
      <c r="A3653" t="inlineStr">
        <is>
          <t>INC-20260613-24</t>
        </is>
      </c>
      <c r="B3653" t="inlineStr">
        <is>
          <t>R260610-fold</t>
        </is>
      </c>
      <c r="C3653" t="inlineStr">
        <is>
          <t>Inc42</t>
        </is>
      </c>
      <c r="D3653" s="17" t="n">
        <v>46183</v>
      </c>
      <c r="E3653" t="inlineStr">
        <is>
          <t>Fold</t>
        </is>
      </c>
      <c r="F3653" t="inlineStr"/>
      <c r="G3653" s="19" t="n"/>
      <c r="H3653" s="19" t="n"/>
      <c r="I3653" t="inlineStr">
        <is>
          <t>Undisclosed</t>
        </is>
      </c>
      <c r="J3653" t="inlineStr">
        <is>
          <t>Rainmatter</t>
        </is>
      </c>
      <c r="K3653" t="inlineStr">
        <is>
          <t>https://inc42.com/buzz/from-gps-renewables-to-equal-ai-indian-startups-raised-243-mn-this-week/</t>
        </is>
      </c>
    </row>
    <row r="3654">
      <c r="A3654" t="inlineStr">
        <is>
          <t>ENT-12020600</t>
        </is>
      </c>
      <c r="B3654" t="inlineStr">
        <is>
          <t>R260610-hoolahealth</t>
        </is>
      </c>
      <c r="C3654" t="inlineStr">
        <is>
          <t>Entrackr</t>
        </is>
      </c>
      <c r="D3654" s="17" t="n">
        <v>46183</v>
      </c>
      <c r="E3654" t="inlineStr">
        <is>
          <t>Hoola Health</t>
        </is>
      </c>
      <c r="F3654" t="inlineStr">
        <is>
          <t>$5 million</t>
        </is>
      </c>
      <c r="G3654" s="19" t="n"/>
      <c r="H3654" s="19" t="n">
        <v>5</v>
      </c>
      <c r="I3654" t="inlineStr">
        <is>
          <t>Undisclosed</t>
        </is>
      </c>
      <c r="J3654" t="inlineStr">
        <is>
          <t>Surge</t>
        </is>
      </c>
      <c r="K3654" t="inlineStr">
        <is>
          <t>https://entrackr.com/snippets/paediatric-healthcare-startup-hoola-health-raises-5-mn-led-by-peak-xvs-surge-12020600</t>
        </is>
      </c>
    </row>
    <row r="3655">
      <c r="A3655" t="inlineStr">
        <is>
          <t>ET-131630449</t>
        </is>
      </c>
      <c r="B3655" t="inlineStr">
        <is>
          <t>R260610-hoolahealth</t>
        </is>
      </c>
      <c r="C3655" t="inlineStr">
        <is>
          <t>The Economic Times</t>
        </is>
      </c>
      <c r="D3655" s="17" t="n">
        <v>46183</v>
      </c>
      <c r="E3655" t="inlineStr">
        <is>
          <t>Hoola Health</t>
        </is>
      </c>
      <c r="F3655" t="inlineStr">
        <is>
          <t>$5 million</t>
        </is>
      </c>
      <c r="G3655" s="19" t="n"/>
      <c r="H3655" s="19" t="n">
        <v>5</v>
      </c>
      <c r="I3655" t="inlineStr">
        <is>
          <t>Seed</t>
        </is>
      </c>
      <c r="J3655" t="inlineStr">
        <is>
          <t>Surge</t>
        </is>
      </c>
      <c r="K3655" t="inlineStr">
        <is>
          <t>https://economictimes.indiatimes.com/tech/funding/paediatric-healthcare-startup-hoola-health-raises-5-million-from-peak-xvs-surge-others/articleshow/131630449.cms</t>
        </is>
      </c>
    </row>
    <row r="3656">
      <c r="A3656" t="inlineStr">
        <is>
          <t>INC-20260613-12</t>
        </is>
      </c>
      <c r="B3656" t="inlineStr">
        <is>
          <t>R260610-hoolahealth</t>
        </is>
      </c>
      <c r="C3656" t="inlineStr">
        <is>
          <t>Inc42</t>
        </is>
      </c>
      <c r="D3656" s="17" t="n">
        <v>46183</v>
      </c>
      <c r="E3656" t="inlineStr">
        <is>
          <t>Hoola Health</t>
        </is>
      </c>
      <c r="F3656" t="inlineStr">
        <is>
          <t>$5 Mn</t>
        </is>
      </c>
      <c r="G3656" s="19" t="n"/>
      <c r="H3656" s="19" t="n">
        <v>5</v>
      </c>
      <c r="I3656" t="inlineStr">
        <is>
          <t>Undisclosed</t>
        </is>
      </c>
      <c r="J3656" t="inlineStr">
        <is>
          <t>Surge; W Health Ventures</t>
        </is>
      </c>
      <c r="K3656" t="inlineStr">
        <is>
          <t>https://inc42.com/buzz/from-gps-renewables-to-equal-ai-indian-startups-raised-243-mn-this-week/</t>
        </is>
      </c>
    </row>
    <row r="3657">
      <c r="A3657" t="inlineStr">
        <is>
          <t>ENT-12020942</t>
        </is>
      </c>
      <c r="B3657" t="inlineStr">
        <is>
          <t>R260610-hypernormai</t>
        </is>
      </c>
      <c r="C3657" t="inlineStr">
        <is>
          <t>Entrackr</t>
        </is>
      </c>
      <c r="D3657" s="17" t="n">
        <v>46183</v>
      </c>
      <c r="E3657" t="inlineStr">
        <is>
          <t>HyperNorm AI</t>
        </is>
      </c>
      <c r="F3657" t="inlineStr">
        <is>
          <t>$2.2 million</t>
        </is>
      </c>
      <c r="G3657" s="19" t="n"/>
      <c r="H3657" s="19" t="n">
        <v>2.2</v>
      </c>
      <c r="I3657" t="inlineStr">
        <is>
          <t>Seed</t>
        </is>
      </c>
      <c r="J3657" t="inlineStr">
        <is>
          <t>Capital 2B; SenseAI Ventures</t>
        </is>
      </c>
      <c r="K3657" t="inlineStr">
        <is>
          <t>https://entrackr.com/snippets/wealth-advisory-startup-hypernorm-ai-raises-22-mn-in-seed-funding-12020942</t>
        </is>
      </c>
    </row>
    <row r="3658">
      <c r="A3658" t="inlineStr">
        <is>
          <t>INC-20260613-16</t>
        </is>
      </c>
      <c r="B3658" t="inlineStr">
        <is>
          <t>R260610-hypernormai</t>
        </is>
      </c>
      <c r="C3658" t="inlineStr">
        <is>
          <t>Inc42</t>
        </is>
      </c>
      <c r="D3658" s="17" t="n">
        <v>46183</v>
      </c>
      <c r="E3658" t="inlineStr">
        <is>
          <t>HyperNorm AI</t>
        </is>
      </c>
      <c r="F3658" t="inlineStr">
        <is>
          <t>$2.2 Mn</t>
        </is>
      </c>
      <c r="G3658" s="19" t="n"/>
      <c r="H3658" s="19" t="n">
        <v>2.2</v>
      </c>
      <c r="I3658" t="inlineStr">
        <is>
          <t>Seed</t>
        </is>
      </c>
      <c r="J3658" t="inlineStr"/>
      <c r="K3658" t="inlineStr">
        <is>
          <t>https://inc42.com/buzz/from-gps-renewables-to-equal-ai-indian-startups-raised-243-mn-this-week/</t>
        </is>
      </c>
    </row>
    <row r="3659">
      <c r="A3659" t="inlineStr">
        <is>
          <t>ENT-12020130</t>
        </is>
      </c>
      <c r="B3659" t="inlineStr">
        <is>
          <t>R260610-mygate</t>
        </is>
      </c>
      <c r="C3659" t="inlineStr">
        <is>
          <t>Entrackr</t>
        </is>
      </c>
      <c r="D3659" s="17" t="n">
        <v>46183</v>
      </c>
      <c r="E3659" t="inlineStr">
        <is>
          <t>Mygate</t>
        </is>
      </c>
      <c r="F3659" t="inlineStr">
        <is>
          <t>Rs 225 crore</t>
        </is>
      </c>
      <c r="G3659" s="19" t="n">
        <v>225</v>
      </c>
      <c r="H3659" s="19" t="n">
        <v>26</v>
      </c>
      <c r="I3659" t="inlineStr">
        <is>
          <t>Undisclosed</t>
        </is>
      </c>
      <c r="J3659" t="inlineStr"/>
      <c r="K3659" t="inlineStr">
        <is>
          <t>https://entrackr.com/news/mygate-secures-rs-225-cr-from-dharana-capital-12020130</t>
        </is>
      </c>
    </row>
    <row r="3660">
      <c r="A3660" t="inlineStr">
        <is>
          <t>INC-20260613-04</t>
        </is>
      </c>
      <c r="B3660" t="inlineStr">
        <is>
          <t>R260610-mygate</t>
        </is>
      </c>
      <c r="C3660" t="inlineStr">
        <is>
          <t>Inc42</t>
        </is>
      </c>
      <c r="D3660" s="17" t="n">
        <v>46183</v>
      </c>
      <c r="E3660" t="inlineStr">
        <is>
          <t>MyGate</t>
        </is>
      </c>
      <c r="F3660" t="inlineStr">
        <is>
          <t>$23.6 Mn</t>
        </is>
      </c>
      <c r="G3660" s="19" t="n"/>
      <c r="H3660" s="19" t="n">
        <v>23.6</v>
      </c>
      <c r="I3660" t="inlineStr">
        <is>
          <t>Undisclosed</t>
        </is>
      </c>
      <c r="J3660" t="inlineStr">
        <is>
          <t>Dharana Capital</t>
        </is>
      </c>
      <c r="K3660" t="inlineStr">
        <is>
          <t>https://inc42.com/buzz/from-gps-renewables-to-equal-ai-indian-startups-raised-243-mn-this-week/</t>
        </is>
      </c>
    </row>
    <row r="3661">
      <c r="A3661" t="inlineStr">
        <is>
          <t>VCC-1fb96a4bfb</t>
        </is>
      </c>
      <c r="B3661" t="inlineStr">
        <is>
          <t>R260610-mygate</t>
        </is>
      </c>
      <c r="C3661" t="inlineStr">
        <is>
          <t>VCCircle</t>
        </is>
      </c>
      <c r="D3661" s="17" t="n">
        <v>46183</v>
      </c>
      <c r="E3661" t="inlineStr">
        <is>
          <t>mygate</t>
        </is>
      </c>
      <c r="F3661" t="inlineStr">
        <is>
          <t>$ 24 million</t>
        </is>
      </c>
      <c r="G3661" s="19" t="n"/>
      <c r="H3661" s="19" t="n">
        <v>24</v>
      </c>
      <c r="I3661" t="inlineStr">
        <is>
          <t>Undisclosed</t>
        </is>
      </c>
      <c r="J3661" t="inlineStr"/>
      <c r="K3661" t="inlineStr">
        <is>
          <t>https://www.vccircle.com/urbancompany-backer-dharana-capital-invests-24-mn-in-mygate</t>
        </is>
      </c>
    </row>
    <row r="3662">
      <c r="A3662" t="inlineStr">
        <is>
          <t>ET-131636944</t>
        </is>
      </c>
      <c r="B3662" t="inlineStr">
        <is>
          <t>R260610-rivvunai</t>
        </is>
      </c>
      <c r="C3662" t="inlineStr">
        <is>
          <t>The Economic Times</t>
        </is>
      </c>
      <c r="D3662" s="17" t="n">
        <v>46183</v>
      </c>
      <c r="E3662" t="inlineStr">
        <is>
          <t>Rivvun AI</t>
        </is>
      </c>
      <c r="F3662" t="inlineStr">
        <is>
          <t>$7.55 million</t>
        </is>
      </c>
      <c r="G3662" s="19" t="n"/>
      <c r="H3662" s="19" t="n">
        <v>7.55</v>
      </c>
      <c r="I3662" t="inlineStr">
        <is>
          <t>Undisclosed</t>
        </is>
      </c>
      <c r="J3662" t="inlineStr">
        <is>
          <t>Sitara Capital; 3one4 Capital</t>
        </is>
      </c>
      <c r="K3662" t="inlineStr">
        <is>
          <t>https://economictimes.indiatimes.com/tech/funding/rivvun-ai-raises-7-55-million-led-by-sitara-capital-3one4-capital/articleshow/131636944.cms</t>
        </is>
      </c>
    </row>
    <row r="3663">
      <c r="A3663" t="inlineStr">
        <is>
          <t>INC-20260613-09</t>
        </is>
      </c>
      <c r="B3663" t="inlineStr">
        <is>
          <t>R260610-rivvunai</t>
        </is>
      </c>
      <c r="C3663" t="inlineStr">
        <is>
          <t>Inc42</t>
        </is>
      </c>
      <c r="D3663" s="17" t="n">
        <v>46183</v>
      </c>
      <c r="E3663" t="inlineStr">
        <is>
          <t>Rivvun AI</t>
        </is>
      </c>
      <c r="F3663" t="inlineStr">
        <is>
          <t>$7.5 Mn</t>
        </is>
      </c>
      <c r="G3663" s="19" t="n"/>
      <c r="H3663" s="19" t="n">
        <v>7.5</v>
      </c>
      <c r="I3663" t="inlineStr">
        <is>
          <t>Seed</t>
        </is>
      </c>
      <c r="J3663" t="inlineStr">
        <is>
          <t>Sitara Capital; 3one4 Capital</t>
        </is>
      </c>
      <c r="K3663" t="inlineStr">
        <is>
          <t>https://inc42.com/buzz/from-gps-renewables-to-equal-ai-indian-startups-raised-243-mn-this-week/</t>
        </is>
      </c>
    </row>
    <row r="3664">
      <c r="A3664" t="inlineStr">
        <is>
          <t>ENT-12026947</t>
        </is>
      </c>
      <c r="B3664" t="inlineStr">
        <is>
          <t>R260610-rivvunai</t>
        </is>
      </c>
      <c r="C3664" t="inlineStr">
        <is>
          <t>Entrackr</t>
        </is>
      </c>
      <c r="D3664" s="17" t="n">
        <v>46184</v>
      </c>
      <c r="E3664" t="inlineStr">
        <is>
          <t>Rivvun AI</t>
        </is>
      </c>
      <c r="F3664" t="inlineStr">
        <is>
          <t>$7.55 million</t>
        </is>
      </c>
      <c r="G3664" s="19" t="n"/>
      <c r="H3664" s="19" t="n">
        <v>7.55</v>
      </c>
      <c r="I3664" t="inlineStr">
        <is>
          <t>Seed</t>
        </is>
      </c>
      <c r="J3664" t="inlineStr">
        <is>
          <t>Sitara Capital; 3one4 Capital</t>
        </is>
      </c>
      <c r="K3664" t="inlineStr">
        <is>
          <t>https://entrackr.com/snippets/former-icertis-executives-startup-rivvun-ai-raises-755-mn-in-seed-funding-12026947</t>
        </is>
      </c>
    </row>
    <row r="3665">
      <c r="A3665" t="inlineStr">
        <is>
          <t>ENT-12022701</t>
        </is>
      </c>
      <c r="B3665" t="inlineStr">
        <is>
          <t>R260610-uniseoul</t>
        </is>
      </c>
      <c r="C3665" t="inlineStr">
        <is>
          <t>Entrackr</t>
        </is>
      </c>
      <c r="D3665" s="17" t="n">
        <v>46183</v>
      </c>
      <c r="E3665" t="inlineStr">
        <is>
          <t>Uni Seoul</t>
        </is>
      </c>
      <c r="F3665" t="inlineStr">
        <is>
          <t>Rs 35 crore</t>
        </is>
      </c>
      <c r="G3665" s="19" t="n">
        <v>35</v>
      </c>
      <c r="H3665" s="19" t="n">
        <v>3.7</v>
      </c>
      <c r="I3665" t="inlineStr">
        <is>
          <t>Series A</t>
        </is>
      </c>
      <c r="J3665" t="inlineStr">
        <is>
          <t>Riverwalk Holdings; Sauce</t>
        </is>
      </c>
      <c r="K3665" t="inlineStr">
        <is>
          <t>https://entrackr.com/snippets/impulse-lifestyle-retail-brand-uni-seoul-raises-rs-35-cr-in-series-a-round-12022701</t>
        </is>
      </c>
    </row>
    <row r="3666">
      <c r="A3666" t="inlineStr">
        <is>
          <t>INC-20260613-14</t>
        </is>
      </c>
      <c r="B3666" t="inlineStr">
        <is>
          <t>R260610-uniseoul</t>
        </is>
      </c>
      <c r="C3666" t="inlineStr">
        <is>
          <t>Inc42</t>
        </is>
      </c>
      <c r="D3666" s="17" t="n">
        <v>46183</v>
      </c>
      <c r="E3666" t="inlineStr">
        <is>
          <t>Uni Seoul</t>
        </is>
      </c>
      <c r="F3666" t="inlineStr">
        <is>
          <t>$3.6 Mn</t>
        </is>
      </c>
      <c r="G3666" s="19" t="n"/>
      <c r="H3666" s="19" t="n">
        <v>3.6</v>
      </c>
      <c r="I3666" t="inlineStr">
        <is>
          <t>Series A</t>
        </is>
      </c>
      <c r="J3666" t="inlineStr">
        <is>
          <t>Riverwalk Holdings; Sauce.vc</t>
        </is>
      </c>
      <c r="K3666" t="inlineStr">
        <is>
          <t>https://inc42.com/buzz/from-gps-renewables-to-equal-ai-indian-startups-raised-243-mn-this-week/</t>
        </is>
      </c>
    </row>
    <row r="3667">
      <c r="A3667" t="inlineStr">
        <is>
          <t>ENT-12024079</t>
        </is>
      </c>
      <c r="B3667" t="inlineStr">
        <is>
          <t>R260611-4basecare</t>
        </is>
      </c>
      <c r="C3667" t="inlineStr">
        <is>
          <t>Entrackr</t>
        </is>
      </c>
      <c r="D3667" s="17" t="n">
        <v>46184</v>
      </c>
      <c r="E3667" t="inlineStr">
        <is>
          <t>4baseCare</t>
        </is>
      </c>
      <c r="F3667" t="inlineStr">
        <is>
          <t>Rs 128 crore</t>
        </is>
      </c>
      <c r="G3667" s="19" t="n">
        <v>128</v>
      </c>
      <c r="H3667" s="19" t="n">
        <v>13.3</v>
      </c>
      <c r="I3667" t="inlineStr">
        <is>
          <t>Undisclosed</t>
        </is>
      </c>
      <c r="J3667" t="inlineStr">
        <is>
          <t>Infosys</t>
        </is>
      </c>
      <c r="K3667" t="inlineStr">
        <is>
          <t>https://entrackr.com/news/infosys-backed-precision-oncology-startup-4basecare-raises-rs-128-cr-12024079</t>
        </is>
      </c>
    </row>
    <row r="3668">
      <c r="A3668" t="inlineStr">
        <is>
          <t>ET-131638999</t>
        </is>
      </c>
      <c r="B3668" t="inlineStr">
        <is>
          <t>R260611-4basecare</t>
        </is>
      </c>
      <c r="C3668" t="inlineStr">
        <is>
          <t>The Economic Times</t>
        </is>
      </c>
      <c r="D3668" s="17" t="n">
        <v>46184</v>
      </c>
      <c r="E3668" t="inlineStr">
        <is>
          <t>4baseCare</t>
        </is>
      </c>
      <c r="F3668" t="inlineStr">
        <is>
          <t>Rs 128 crore</t>
        </is>
      </c>
      <c r="G3668" s="19" t="n">
        <v>128</v>
      </c>
      <c r="H3668" s="19" t="n"/>
      <c r="I3668" t="inlineStr">
        <is>
          <t>Undisclosed</t>
        </is>
      </c>
      <c r="J3668" t="inlineStr">
        <is>
          <t>Infosys</t>
        </is>
      </c>
      <c r="K3668" t="inlineStr">
        <is>
          <t>https://economictimes.indiatimes.com/tech/funding/infosys-backed-4basecare-raises-rs-128-crore-plans-to-take-its-cancer-testing-platform-global/articleshow/131638999.cms</t>
        </is>
      </c>
    </row>
    <row r="3669">
      <c r="A3669" t="inlineStr">
        <is>
          <t>INC-20260613-13</t>
        </is>
      </c>
      <c r="B3669" t="inlineStr">
        <is>
          <t>R260611-4basecare</t>
        </is>
      </c>
      <c r="C3669" t="inlineStr">
        <is>
          <t>Inc42</t>
        </is>
      </c>
      <c r="D3669" s="17" t="n">
        <v>46184</v>
      </c>
      <c r="E3669" t="inlineStr">
        <is>
          <t>4baseCare</t>
        </is>
      </c>
      <c r="F3669" t="inlineStr">
        <is>
          <t>$4 Mn</t>
        </is>
      </c>
      <c r="G3669" s="19" t="n"/>
      <c r="H3669" s="19" t="n">
        <v>4</v>
      </c>
      <c r="I3669" t="inlineStr">
        <is>
          <t>Series B</t>
        </is>
      </c>
      <c r="J3669" t="inlineStr"/>
      <c r="K3669" t="inlineStr">
        <is>
          <t>https://inc42.com/buzz/from-gps-renewables-to-equal-ai-indian-startups-raised-243-mn-this-week/</t>
        </is>
      </c>
    </row>
    <row r="3670">
      <c r="A3670" t="inlineStr">
        <is>
          <t>VCC-11daa5542d</t>
        </is>
      </c>
      <c r="B3670" t="inlineStr">
        <is>
          <t>R260611-4basecare</t>
        </is>
      </c>
      <c r="C3670" t="inlineStr">
        <is>
          <t>VCCircle</t>
        </is>
      </c>
      <c r="D3670" s="17" t="n">
        <v>46184</v>
      </c>
      <c r="E3670" t="inlineStr">
        <is>
          <t>4basecare extends series b round</t>
        </is>
      </c>
      <c r="F3670" t="inlineStr"/>
      <c r="G3670" s="19" t="n"/>
      <c r="H3670" s="19" t="n"/>
      <c r="I3670" t="inlineStr">
        <is>
          <t>Series B</t>
        </is>
      </c>
      <c r="J3670" t="inlineStr"/>
      <c r="K3670" t="inlineStr">
        <is>
          <t>https://www.vccircle.com/yalicapital-backed-4basecare-extends-series-b-round-with-a-cheque-from-growx</t>
        </is>
      </c>
    </row>
    <row r="3671">
      <c r="A3671" t="inlineStr">
        <is>
          <t>ENT-12026979</t>
        </is>
      </c>
      <c r="B3671" t="inlineStr">
        <is>
          <t>R260611-biodimension</t>
        </is>
      </c>
      <c r="C3671" t="inlineStr">
        <is>
          <t>Entrackr</t>
        </is>
      </c>
      <c r="D3671" s="17" t="n">
        <v>46184</v>
      </c>
      <c r="E3671" t="inlineStr">
        <is>
          <t>Biodimension</t>
        </is>
      </c>
      <c r="F3671" t="inlineStr">
        <is>
          <t>Rs 8 crore</t>
        </is>
      </c>
      <c r="G3671" s="19" t="n">
        <v>8</v>
      </c>
      <c r="H3671" s="19" t="n"/>
      <c r="I3671" t="inlineStr">
        <is>
          <t>Undisclosed</t>
        </is>
      </c>
      <c r="J3671" t="inlineStr">
        <is>
          <t>IAN Angel Fund</t>
        </is>
      </c>
      <c r="K3671" t="inlineStr">
        <is>
          <t>https://entrackr.com/snippets/biodimension-secures-rs-8-cr-from-ian-angel-fund-others-12026979</t>
        </is>
      </c>
    </row>
    <row r="3672">
      <c r="A3672" t="inlineStr">
        <is>
          <t>INC-20260613-21</t>
        </is>
      </c>
      <c r="B3672" t="inlineStr">
        <is>
          <t>R260611-biodimension</t>
        </is>
      </c>
      <c r="C3672" t="inlineStr">
        <is>
          <t>Inc42</t>
        </is>
      </c>
      <c r="D3672" s="17" t="n">
        <v>46184</v>
      </c>
      <c r="E3672" t="inlineStr">
        <is>
          <t>Biodimension</t>
        </is>
      </c>
      <c r="F3672" t="inlineStr">
        <is>
          <t>$841K</t>
        </is>
      </c>
      <c r="G3672" s="19" t="n"/>
      <c r="H3672" s="19" t="n">
        <v>0.841</v>
      </c>
      <c r="I3672" t="inlineStr">
        <is>
          <t>Undisclosed</t>
        </is>
      </c>
      <c r="J3672" t="inlineStr">
        <is>
          <t>Indian Angel Network</t>
        </is>
      </c>
      <c r="K3672" t="inlineStr">
        <is>
          <t>https://inc42.com/buzz/from-gps-renewables-to-equal-ai-indian-startups-raised-243-mn-this-week/</t>
        </is>
      </c>
    </row>
    <row r="3673">
      <c r="A3673" t="inlineStr">
        <is>
          <t>ENT-12026482</t>
        </is>
      </c>
      <c r="B3673" t="inlineStr">
        <is>
          <t>R260611-dartle</t>
        </is>
      </c>
      <c r="C3673" t="inlineStr">
        <is>
          <t>Entrackr</t>
        </is>
      </c>
      <c r="D3673" s="17" t="n">
        <v>46184</v>
      </c>
      <c r="E3673" t="inlineStr">
        <is>
          <t>Dartle</t>
        </is>
      </c>
      <c r="F3673" t="inlineStr">
        <is>
          <t>$100,000</t>
        </is>
      </c>
      <c r="G3673" s="19" t="n"/>
      <c r="H3673" s="19" t="n">
        <v>0.1</v>
      </c>
      <c r="I3673" t="inlineStr">
        <is>
          <t>Seed</t>
        </is>
      </c>
      <c r="J3673" t="inlineStr">
        <is>
          <t>Inflection Point Ventures</t>
        </is>
      </c>
      <c r="K3673" t="inlineStr">
        <is>
          <t>https://entrackr.com/snippets/sports-tech-startup-dartle-raises-100k-in-seed-funding-led-by-ipv-12026482</t>
        </is>
      </c>
    </row>
    <row r="3674">
      <c r="A3674" t="inlineStr">
        <is>
          <t>INC-20260613-22</t>
        </is>
      </c>
      <c r="B3674" t="inlineStr">
        <is>
          <t>R260611-dartle</t>
        </is>
      </c>
      <c r="C3674" t="inlineStr">
        <is>
          <t>Inc42</t>
        </is>
      </c>
      <c r="D3674" s="17" t="n">
        <v>46184</v>
      </c>
      <c r="E3674" t="inlineStr">
        <is>
          <t>Dartle</t>
        </is>
      </c>
      <c r="F3674" t="inlineStr">
        <is>
          <t>$100K</t>
        </is>
      </c>
      <c r="G3674" s="19" t="n"/>
      <c r="H3674" s="19" t="n">
        <v>0.1</v>
      </c>
      <c r="I3674" t="inlineStr">
        <is>
          <t>Seed</t>
        </is>
      </c>
      <c r="J3674" t="inlineStr">
        <is>
          <t>Inflection Point Ventures</t>
        </is>
      </c>
      <c r="K3674" t="inlineStr">
        <is>
          <t>https://inc42.com/buzz/from-gps-renewables-to-equal-ai-indian-startups-raised-243-mn-this-week/</t>
        </is>
      </c>
    </row>
    <row r="3675">
      <c r="A3675" t="inlineStr">
        <is>
          <t>INC-20260613-18</t>
        </is>
      </c>
      <c r="B3675" t="inlineStr">
        <is>
          <t>R260611-dreamaerospace</t>
        </is>
      </c>
      <c r="C3675" t="inlineStr">
        <is>
          <t>Inc42</t>
        </is>
      </c>
      <c r="D3675" s="17" t="n">
        <v>46184</v>
      </c>
      <c r="E3675" t="inlineStr">
        <is>
          <t>Dream Aerospace</t>
        </is>
      </c>
      <c r="F3675" t="inlineStr">
        <is>
          <t>$1.2 Mn</t>
        </is>
      </c>
      <c r="G3675" s="19" t="n"/>
      <c r="H3675" s="19" t="n">
        <v>1.2</v>
      </c>
      <c r="I3675" t="inlineStr">
        <is>
          <t>Pre-Series A</t>
        </is>
      </c>
      <c r="J3675" t="inlineStr">
        <is>
          <t>247VC; Campus Angels Network</t>
        </is>
      </c>
      <c r="K3675" t="inlineStr">
        <is>
          <t>https://inc42.com/buzz/from-gps-renewables-to-equal-ai-indian-startups-raised-243-mn-this-week/</t>
        </is>
      </c>
    </row>
    <row r="3676">
      <c r="A3676" t="inlineStr">
        <is>
          <t>ENT-12030835</t>
        </is>
      </c>
      <c r="B3676" t="inlineStr">
        <is>
          <t>R260611-dreamaerospace</t>
        </is>
      </c>
      <c r="C3676" t="inlineStr">
        <is>
          <t>Entrackr</t>
        </is>
      </c>
      <c r="D3676" s="17" t="n">
        <v>46185</v>
      </c>
      <c r="E3676" t="inlineStr">
        <is>
          <t>Dream Aerospace</t>
        </is>
      </c>
      <c r="F3676" t="inlineStr">
        <is>
          <t>Rs 10 crore</t>
        </is>
      </c>
      <c r="G3676" s="19" t="n">
        <v>10</v>
      </c>
      <c r="H3676" s="19" t="n"/>
      <c r="I3676" t="inlineStr">
        <is>
          <t>Pre-Series A</t>
        </is>
      </c>
      <c r="J3676" t="inlineStr">
        <is>
          <t>247VC</t>
        </is>
      </c>
      <c r="K3676" t="inlineStr">
        <is>
          <t>https://entrackr.com/snippets/dream-aerospace-raises-rs-10-cr-pre-series-a-round-12030835</t>
        </is>
      </c>
    </row>
    <row r="3677">
      <c r="A3677" t="inlineStr">
        <is>
          <t>ENT-12023907</t>
        </is>
      </c>
      <c r="B3677" t="inlineStr">
        <is>
          <t>R260611-etherealmachin</t>
        </is>
      </c>
      <c r="C3677" t="inlineStr">
        <is>
          <t>Entrackr</t>
        </is>
      </c>
      <c r="D3677" s="17" t="n">
        <v>46184</v>
      </c>
      <c r="E3677" t="inlineStr">
        <is>
          <t>Ethereal Machines</t>
        </is>
      </c>
      <c r="F3677" t="inlineStr">
        <is>
          <t>$28.5 million</t>
        </is>
      </c>
      <c r="G3677" s="19" t="n"/>
      <c r="H3677" s="19" t="n">
        <v>28.5</v>
      </c>
      <c r="I3677" t="inlineStr">
        <is>
          <t>Series B</t>
        </is>
      </c>
      <c r="J3677" t="inlineStr">
        <is>
          <t>Avataar Ventures</t>
        </is>
      </c>
      <c r="K3677" t="inlineStr">
        <is>
          <t>https://entrackr.com/news/ethereal-machines-raises-285-mn-in-series-b-round-led-by-avataar-ventures-12023907</t>
        </is>
      </c>
    </row>
    <row r="3678">
      <c r="A3678" t="inlineStr">
        <is>
          <t>ET-131640029</t>
        </is>
      </c>
      <c r="B3678" t="inlineStr">
        <is>
          <t>R260611-etherealmachin</t>
        </is>
      </c>
      <c r="C3678" t="inlineStr">
        <is>
          <t>The Economic Times</t>
        </is>
      </c>
      <c r="D3678" s="17" t="n">
        <v>46184</v>
      </c>
      <c r="E3678" t="inlineStr">
        <is>
          <t>Ethereal Machines</t>
        </is>
      </c>
      <c r="F3678" t="inlineStr">
        <is>
          <t>$28.5 million</t>
        </is>
      </c>
      <c r="G3678" s="19" t="n"/>
      <c r="H3678" s="19" t="n">
        <v>28.5</v>
      </c>
      <c r="I3678" t="inlineStr">
        <is>
          <t>Undisclosed</t>
        </is>
      </c>
      <c r="J3678" t="inlineStr">
        <is>
          <t>Avataar Ventures</t>
        </is>
      </c>
      <c r="K3678" t="inlineStr">
        <is>
          <t>https://economictimes.indiatimes.com/tech/funding/deeptech-startup-ethereal-machines-raises-28-5-million-from-avataar-ventures-peak-xv-others/articleshow/131640029.cms</t>
        </is>
      </c>
    </row>
    <row r="3679">
      <c r="A3679" t="inlineStr">
        <is>
          <t>INC-20260613-03</t>
        </is>
      </c>
      <c r="B3679" t="inlineStr">
        <is>
          <t>R260611-etherealmachin</t>
        </is>
      </c>
      <c r="C3679" t="inlineStr">
        <is>
          <t>Inc42</t>
        </is>
      </c>
      <c r="D3679" s="17" t="n">
        <v>46184</v>
      </c>
      <c r="E3679" t="inlineStr">
        <is>
          <t>Ethereal Machines</t>
        </is>
      </c>
      <c r="F3679" t="inlineStr">
        <is>
          <t>$28.5 Mn</t>
        </is>
      </c>
      <c r="G3679" s="19" t="n"/>
      <c r="H3679" s="19" t="n">
        <v>28.5</v>
      </c>
      <c r="I3679" t="inlineStr">
        <is>
          <t>Series B</t>
        </is>
      </c>
      <c r="J3679" t="inlineStr">
        <is>
          <t>Avataar Ventures</t>
        </is>
      </c>
      <c r="K3679" t="inlineStr">
        <is>
          <t>https://inc42.com/buzz/from-gps-renewables-to-equal-ai-indian-startups-raised-243-mn-this-week/</t>
        </is>
      </c>
    </row>
    <row r="3680">
      <c r="A3680" t="inlineStr">
        <is>
          <t>VCC-8afccae794</t>
        </is>
      </c>
      <c r="B3680" t="inlineStr">
        <is>
          <t>R260611-etherealmachin</t>
        </is>
      </c>
      <c r="C3680" t="inlineStr">
        <is>
          <t>VCCircle</t>
        </is>
      </c>
      <c r="D3680" s="17" t="n">
        <v>46184</v>
      </c>
      <c r="E3680" t="inlineStr">
        <is>
          <t>ethereal machines</t>
        </is>
      </c>
      <c r="F3680" t="inlineStr"/>
      <c r="G3680" s="19" t="n"/>
      <c r="H3680" s="19" t="n"/>
      <c r="I3680" t="inlineStr">
        <is>
          <t>Series B</t>
        </is>
      </c>
      <c r="J3680" t="inlineStr"/>
      <c r="K3680" t="inlineStr">
        <is>
          <t>https://www.vccircle.com/avataarventures-leads-series-b-funding-in-ethereal-machines</t>
        </is>
      </c>
    </row>
    <row r="3681">
      <c r="A3681" t="inlineStr">
        <is>
          <t>ENT-12024676</t>
        </is>
      </c>
      <c r="B3681" t="inlineStr">
        <is>
          <t>R260611-manamchocolate</t>
        </is>
      </c>
      <c r="C3681" t="inlineStr">
        <is>
          <t>Entrackr</t>
        </is>
      </c>
      <c r="D3681" s="17" t="n">
        <v>46184</v>
      </c>
      <c r="E3681" t="inlineStr">
        <is>
          <t>Manam Chocolate</t>
        </is>
      </c>
      <c r="F3681" t="inlineStr">
        <is>
          <t>$9 million</t>
        </is>
      </c>
      <c r="G3681" s="19" t="n"/>
      <c r="H3681" s="19" t="n">
        <v>9</v>
      </c>
      <c r="I3681" t="inlineStr">
        <is>
          <t>Undisclosed</t>
        </is>
      </c>
      <c r="J3681" t="inlineStr">
        <is>
          <t>Omnivore</t>
        </is>
      </c>
      <c r="K3681" t="inlineStr">
        <is>
          <t>https://entrackr.com/snippets/omnivore-leads-9-mn-funding-round-in-manam-chocolate-12024676</t>
        </is>
      </c>
    </row>
    <row r="3682">
      <c r="A3682" t="inlineStr">
        <is>
          <t>ET-131650182</t>
        </is>
      </c>
      <c r="B3682" t="inlineStr">
        <is>
          <t>R260611-manamchocolate</t>
        </is>
      </c>
      <c r="C3682" t="inlineStr">
        <is>
          <t>The Economic Times</t>
        </is>
      </c>
      <c r="D3682" s="17" t="n">
        <v>46184</v>
      </c>
      <c r="E3682" t="inlineStr">
        <is>
          <t>Manam Chocolate</t>
        </is>
      </c>
      <c r="F3682" t="inlineStr">
        <is>
          <t>$9 million</t>
        </is>
      </c>
      <c r="G3682" s="19" t="n"/>
      <c r="H3682" s="19" t="n">
        <v>9</v>
      </c>
      <c r="I3682" t="inlineStr">
        <is>
          <t>Undisclosed</t>
        </is>
      </c>
      <c r="J3682" t="inlineStr">
        <is>
          <t>Omnivore</t>
        </is>
      </c>
      <c r="K3682" t="inlineStr">
        <is>
          <t>https://economictimes.indiatimes.com/tech/funding/manam-chocolate-raises-9-million-funding-from-omnivore-turner-morrison/articleshow/131650182.cms</t>
        </is>
      </c>
    </row>
    <row r="3683">
      <c r="A3683" t="inlineStr">
        <is>
          <t>INC-20260613-08</t>
        </is>
      </c>
      <c r="B3683" t="inlineStr">
        <is>
          <t>R260611-manamchocolate</t>
        </is>
      </c>
      <c r="C3683" t="inlineStr">
        <is>
          <t>Inc42</t>
        </is>
      </c>
      <c r="D3683" s="17" t="n">
        <v>46184</v>
      </c>
      <c r="E3683" t="inlineStr">
        <is>
          <t>Manam Chocolate</t>
        </is>
      </c>
      <c r="F3683" t="inlineStr">
        <is>
          <t>$9 Mn</t>
        </is>
      </c>
      <c r="G3683" s="19" t="n"/>
      <c r="H3683" s="19" t="n">
        <v>9</v>
      </c>
      <c r="I3683" t="inlineStr">
        <is>
          <t>Series A</t>
        </is>
      </c>
      <c r="J3683" t="inlineStr">
        <is>
          <t>Omnivore; Turner Morrison consortium</t>
        </is>
      </c>
      <c r="K3683" t="inlineStr">
        <is>
          <t>https://inc42.com/buzz/from-gps-renewables-to-equal-ai-indian-startups-raised-243-mn-this-week/</t>
        </is>
      </c>
    </row>
    <row r="3684">
      <c r="A3684" t="inlineStr">
        <is>
          <t>ENT-12024061</t>
        </is>
      </c>
      <c r="B3684" t="inlineStr">
        <is>
          <t>R260611-qubehealthpay</t>
        </is>
      </c>
      <c r="C3684" t="inlineStr">
        <is>
          <t>Entrackr</t>
        </is>
      </c>
      <c r="D3684" s="17" t="n">
        <v>46184</v>
      </c>
      <c r="E3684" t="inlineStr">
        <is>
          <t>QubeHealth-Pay</t>
        </is>
      </c>
      <c r="F3684" t="inlineStr">
        <is>
          <t>$44 million</t>
        </is>
      </c>
      <c r="G3684" s="19" t="n"/>
      <c r="H3684" s="19" t="n">
        <v>44</v>
      </c>
      <c r="I3684" t="inlineStr">
        <is>
          <t>Series A</t>
        </is>
      </c>
      <c r="J3684" t="inlineStr"/>
      <c r="K3684" t="inlineStr">
        <is>
          <t>https://entrackr.com/snippets/qubehealth-pay-raises-series-a-at-rs-416-cr-valuation-12024061</t>
        </is>
      </c>
    </row>
    <row r="3685">
      <c r="A3685" t="inlineStr">
        <is>
          <t>INC-20260613-25</t>
        </is>
      </c>
      <c r="B3685" t="inlineStr">
        <is>
          <t>R260611-qubehealthpay</t>
        </is>
      </c>
      <c r="C3685" t="inlineStr">
        <is>
          <t>Inc42</t>
        </is>
      </c>
      <c r="D3685" s="17" t="n">
        <v>46184</v>
      </c>
      <c r="E3685" t="inlineStr">
        <is>
          <t>QubeHealth-Pay</t>
        </is>
      </c>
      <c r="F3685" t="inlineStr"/>
      <c r="G3685" s="19" t="n"/>
      <c r="H3685" s="19" t="n"/>
      <c r="I3685" t="inlineStr">
        <is>
          <t>Series A</t>
        </is>
      </c>
      <c r="J3685" t="inlineStr"/>
      <c r="K3685" t="inlineStr">
        <is>
          <t>https://inc42.com/buzz/from-gps-renewables-to-equal-ai-indian-startups-raised-243-mn-this-week/</t>
        </is>
      </c>
    </row>
    <row r="3686">
      <c r="A3686" t="inlineStr">
        <is>
          <t>ENT-12029860</t>
        </is>
      </c>
      <c r="B3686" t="inlineStr">
        <is>
          <t>R260612-equalai</t>
        </is>
      </c>
      <c r="C3686" t="inlineStr">
        <is>
          <t>Entrackr</t>
        </is>
      </c>
      <c r="D3686" s="17" t="n">
        <v>46185</v>
      </c>
      <c r="E3686" t="inlineStr">
        <is>
          <t>Equal AI</t>
        </is>
      </c>
      <c r="F3686" t="inlineStr">
        <is>
          <t>$30 million</t>
        </is>
      </c>
      <c r="G3686" s="19" t="n"/>
      <c r="H3686" s="19" t="n">
        <v>30</v>
      </c>
      <c r="I3686" t="inlineStr">
        <is>
          <t>Series B</t>
        </is>
      </c>
      <c r="J3686" t="inlineStr">
        <is>
          <t>Prosus Ventures; Tomales Bay Capital</t>
        </is>
      </c>
      <c r="K3686" t="inlineStr">
        <is>
          <t>https://entrackr.com/news/equal-ai-raises-30-mn-series-b-round-led-by-prosus-and-tomales-bay-capital-12029860</t>
        </is>
      </c>
    </row>
    <row r="3687">
      <c r="A3687" t="inlineStr">
        <is>
          <t>ET-131674910</t>
        </is>
      </c>
      <c r="B3687" t="inlineStr">
        <is>
          <t>R260612-equalai</t>
        </is>
      </c>
      <c r="C3687" t="inlineStr">
        <is>
          <t>The Economic Times</t>
        </is>
      </c>
      <c r="D3687" s="17" t="n">
        <v>46185</v>
      </c>
      <c r="E3687" t="inlineStr">
        <is>
          <t>Equal AI</t>
        </is>
      </c>
      <c r="F3687" t="inlineStr">
        <is>
          <t>$30 million</t>
        </is>
      </c>
      <c r="G3687" s="19" t="n"/>
      <c r="H3687" s="19" t="n">
        <v>30</v>
      </c>
      <c r="I3687" t="inlineStr">
        <is>
          <t>Series B</t>
        </is>
      </c>
      <c r="J3687" t="inlineStr">
        <is>
          <t>Prosus Ventures; Tomales Bay Capital</t>
        </is>
      </c>
      <c r="K3687" t="inlineStr">
        <is>
          <t>https://economictimes.indiatimes.com/tech/funding/keshav-reddys-equal-ai-raises-30-million-in-round-led-by-prosus-tomales-bay-capital/articleshow/131674910.cms</t>
        </is>
      </c>
    </row>
    <row r="3688">
      <c r="A3688" t="inlineStr">
        <is>
          <t>INC-20260613-02</t>
        </is>
      </c>
      <c r="B3688" t="inlineStr">
        <is>
          <t>R260612-equalai</t>
        </is>
      </c>
      <c r="C3688" t="inlineStr">
        <is>
          <t>Inc42</t>
        </is>
      </c>
      <c r="D3688" s="17" t="n">
        <v>46185</v>
      </c>
      <c r="E3688" t="inlineStr">
        <is>
          <t>Equal AI</t>
        </is>
      </c>
      <c r="F3688" t="inlineStr">
        <is>
          <t>$30 Mn</t>
        </is>
      </c>
      <c r="G3688" s="19" t="n"/>
      <c r="H3688" s="19" t="n">
        <v>30</v>
      </c>
      <c r="I3688" t="inlineStr">
        <is>
          <t>Series B</t>
        </is>
      </c>
      <c r="J3688" t="inlineStr">
        <is>
          <t>Prosus Ventures; Tomales Bay Capital</t>
        </is>
      </c>
      <c r="K3688" t="inlineStr">
        <is>
          <t>https://inc42.com/buzz/from-gps-renewables-to-equal-ai-indian-startups-raised-243-mn-this-week/</t>
        </is>
      </c>
    </row>
    <row r="3689">
      <c r="A3689" t="inlineStr">
        <is>
          <t>VCC-a8f2465acf</t>
        </is>
      </c>
      <c r="B3689" t="inlineStr">
        <is>
          <t>R260612-equalai</t>
        </is>
      </c>
      <c r="C3689" t="inlineStr">
        <is>
          <t>VCCircle</t>
        </is>
      </c>
      <c r="D3689" s="17" t="n">
        <v>46185</v>
      </c>
      <c r="E3689" t="inlineStr">
        <is>
          <t>equal</t>
        </is>
      </c>
      <c r="F3689" t="inlineStr"/>
      <c r="G3689" s="19" t="n"/>
      <c r="H3689" s="19" t="n"/>
      <c r="I3689" t="inlineStr">
        <is>
          <t>Series B</t>
        </is>
      </c>
      <c r="J3689" t="inlineStr"/>
      <c r="K3689" t="inlineStr">
        <is>
          <t>https://www.vccircle.com/aicall-assistant-startup-equal-raises-series-b-funding</t>
        </is>
      </c>
    </row>
    <row r="3690">
      <c r="A3690" t="inlineStr">
        <is>
          <t>INC-20260613-23</t>
        </is>
      </c>
      <c r="B3690" t="inlineStr">
        <is>
          <t>R260612-fittr</t>
        </is>
      </c>
      <c r="C3690" t="inlineStr">
        <is>
          <t>Inc42</t>
        </is>
      </c>
      <c r="D3690" s="17" t="n">
        <v>46185</v>
      </c>
      <c r="E3690" t="inlineStr">
        <is>
          <t>Fittr</t>
        </is>
      </c>
      <c r="F3690" t="inlineStr"/>
      <c r="G3690" s="19" t="n"/>
      <c r="H3690" s="19" t="n"/>
      <c r="I3690" t="inlineStr">
        <is>
          <t>Undisclosed</t>
        </is>
      </c>
      <c r="J3690" t="inlineStr">
        <is>
          <t>Rohit Sharma</t>
        </is>
      </c>
      <c r="K3690" t="inlineStr">
        <is>
          <t>https://inc42.com/buzz/from-gps-renewables-to-equal-ai-indian-startups-raised-243-mn-this-week/</t>
        </is>
      </c>
    </row>
    <row r="3691">
      <c r="A3691" t="inlineStr">
        <is>
          <t>ENT-12029316</t>
        </is>
      </c>
      <c r="B3691" t="inlineStr">
        <is>
          <t>R260612-rekisemarine</t>
        </is>
      </c>
      <c r="C3691" t="inlineStr">
        <is>
          <t>Entrackr</t>
        </is>
      </c>
      <c r="D3691" s="17" t="n">
        <v>46185</v>
      </c>
      <c r="E3691" t="inlineStr">
        <is>
          <t>Rekise Marine</t>
        </is>
      </c>
      <c r="F3691" t="inlineStr">
        <is>
          <t>$9.7 million</t>
        </is>
      </c>
      <c r="G3691" s="19" t="n"/>
      <c r="H3691" s="19" t="n">
        <v>9.699999999999999</v>
      </c>
      <c r="I3691" t="inlineStr">
        <is>
          <t>Seed</t>
        </is>
      </c>
      <c r="J3691" t="inlineStr">
        <is>
          <t>Accel; NKSquared</t>
        </is>
      </c>
      <c r="K3691" t="inlineStr">
        <is>
          <t>https://entrackr.com/news/rekise-marine-raises-97-mn-seed-round-led-by-accel-and-nksquared-12029316</t>
        </is>
      </c>
    </row>
    <row r="3692">
      <c r="A3692" t="inlineStr">
        <is>
          <t>ET-131663704</t>
        </is>
      </c>
      <c r="B3692" t="inlineStr">
        <is>
          <t>R260612-rekisemarine</t>
        </is>
      </c>
      <c r="C3692" t="inlineStr">
        <is>
          <t>The Economic Times</t>
        </is>
      </c>
      <c r="D3692" s="17" t="n">
        <v>46185</v>
      </c>
      <c r="E3692" t="inlineStr">
        <is>
          <t>Rekise Marine</t>
        </is>
      </c>
      <c r="F3692" t="inlineStr">
        <is>
          <t>$9.7 million</t>
        </is>
      </c>
      <c r="G3692" s="19" t="n"/>
      <c r="H3692" s="19" t="n">
        <v>9.699999999999999</v>
      </c>
      <c r="I3692" t="inlineStr">
        <is>
          <t>Undisclosed</t>
        </is>
      </c>
      <c r="J3692" t="inlineStr">
        <is>
          <t>Accel; NKSquared; Nikhil Kamath</t>
        </is>
      </c>
      <c r="K3692" t="inlineStr">
        <is>
          <t>https://economictimes.indiatimes.com/tech/funding/rekise-marine-raises-9-7-million-from-accel-nksquared-to-build-autonomous-naval-platforms/articleshow/131663704.cms</t>
        </is>
      </c>
    </row>
    <row r="3693">
      <c r="A3693" t="inlineStr">
        <is>
          <t>INC-20260613-07</t>
        </is>
      </c>
      <c r="B3693" t="inlineStr">
        <is>
          <t>R260612-rekisemarine</t>
        </is>
      </c>
      <c r="C3693" t="inlineStr">
        <is>
          <t>Inc42</t>
        </is>
      </c>
      <c r="D3693" s="17" t="n">
        <v>46185</v>
      </c>
      <c r="E3693" t="inlineStr">
        <is>
          <t>Rekise Marine</t>
        </is>
      </c>
      <c r="F3693" t="inlineStr">
        <is>
          <t>$9.7 Mn</t>
        </is>
      </c>
      <c r="G3693" s="19" t="n"/>
      <c r="H3693" s="19" t="n">
        <v>9.699999999999999</v>
      </c>
      <c r="I3693" t="inlineStr">
        <is>
          <t>Seed</t>
        </is>
      </c>
      <c r="J3693" t="inlineStr">
        <is>
          <t>Accel; NKSquared</t>
        </is>
      </c>
      <c r="K3693" t="inlineStr">
        <is>
          <t>https://inc42.com/buzz/from-gps-renewables-to-equal-ai-indian-startups-raised-243-mn-this-week/</t>
        </is>
      </c>
    </row>
    <row r="3694">
      <c r="A3694" t="inlineStr">
        <is>
          <t>ENT-12030541</t>
        </is>
      </c>
      <c r="B3694" t="inlineStr">
        <is>
          <t>R260612-trevel</t>
        </is>
      </c>
      <c r="C3694" t="inlineStr">
        <is>
          <t>Entrackr</t>
        </is>
      </c>
      <c r="D3694" s="17" t="n">
        <v>46185</v>
      </c>
      <c r="E3694" t="inlineStr">
        <is>
          <t>Trevel</t>
        </is>
      </c>
      <c r="F3694" t="inlineStr">
        <is>
          <t>$1 million</t>
        </is>
      </c>
      <c r="G3694" s="19" t="n"/>
      <c r="H3694" s="19" t="n">
        <v>1</v>
      </c>
      <c r="I3694" t="inlineStr">
        <is>
          <t>Undisclosed</t>
        </is>
      </c>
      <c r="J3694" t="inlineStr">
        <is>
          <t>India Accelerator; Finvolve; Haldiram Family Office; Rohit Qamra</t>
        </is>
      </c>
      <c r="K3694" t="inlineStr">
        <is>
          <t>https://entrackr.com/snippets/ev-mobility-startup-trevel-raises-1-mn-led-by-india-accelerator-and-finvolve-12030541</t>
        </is>
      </c>
    </row>
    <row r="3695">
      <c r="A3695" t="inlineStr">
        <is>
          <t>INC-20260613-20</t>
        </is>
      </c>
      <c r="B3695" t="inlineStr">
        <is>
          <t>R260612-trevel</t>
        </is>
      </c>
      <c r="C3695" t="inlineStr">
        <is>
          <t>Inc42</t>
        </is>
      </c>
      <c r="D3695" s="17" t="n">
        <v>46185</v>
      </c>
      <c r="E3695" t="inlineStr">
        <is>
          <t>Trevel</t>
        </is>
      </c>
      <c r="F3695" t="inlineStr">
        <is>
          <t>$1 Mn</t>
        </is>
      </c>
      <c r="G3695" s="19" t="n"/>
      <c r="H3695" s="19" t="n">
        <v>1</v>
      </c>
      <c r="I3695" t="inlineStr">
        <is>
          <t>Undisclosed</t>
        </is>
      </c>
      <c r="J3695" t="inlineStr">
        <is>
          <t>India Accelerator; Finvolve; Haldiram Family Office; Rohit Qamra</t>
        </is>
      </c>
      <c r="K3695" t="inlineStr">
        <is>
          <t>https://inc42.com/buzz/from-gps-renewables-to-equal-ai-indian-startups-raised-243-mn-this-week/</t>
        </is>
      </c>
    </row>
    <row r="3696">
      <c r="A3696" t="inlineStr">
        <is>
          <t>INC-20260620-07</t>
        </is>
      </c>
      <c r="B3696" t="inlineStr">
        <is>
          <t>R260613-zumutorbiologi</t>
        </is>
      </c>
      <c r="C3696" t="inlineStr">
        <is>
          <t>Inc42</t>
        </is>
      </c>
      <c r="D3696" s="17" t="n">
        <v>46186</v>
      </c>
      <c r="E3696" t="inlineStr">
        <is>
          <t>Zumutor Biologics</t>
        </is>
      </c>
      <c r="F3696" t="inlineStr">
        <is>
          <t>$7.3 Mn</t>
        </is>
      </c>
      <c r="G3696" s="19" t="n"/>
      <c r="H3696" s="19" t="n">
        <v>7.3</v>
      </c>
      <c r="I3696" t="inlineStr">
        <is>
          <t>Series B</t>
        </is>
      </c>
      <c r="J3696" t="inlineStr">
        <is>
          <t>Accel; Bharat Innovation Fund</t>
        </is>
      </c>
      <c r="K3696" t="inlineStr">
        <is>
          <t>https://inc42.com/buzz/from-sarvam-to-influish-indian-startups-raised-426-mn-this-week/</t>
        </is>
      </c>
    </row>
    <row r="3697">
      <c r="A3697" t="inlineStr">
        <is>
          <t>ENT-12039421</t>
        </is>
      </c>
      <c r="B3697" t="inlineStr">
        <is>
          <t>R260613-zumutorbiologi</t>
        </is>
      </c>
      <c r="C3697" t="inlineStr">
        <is>
          <t>Entrackr</t>
        </is>
      </c>
      <c r="D3697" s="17" t="n">
        <v>46188</v>
      </c>
      <c r="E3697" t="inlineStr">
        <is>
          <t>Zumutor Biologics</t>
        </is>
      </c>
      <c r="F3697" t="inlineStr">
        <is>
          <t>$7.3 million</t>
        </is>
      </c>
      <c r="G3697" s="19" t="n"/>
      <c r="H3697" s="19" t="n">
        <v>7.3</v>
      </c>
      <c r="I3697" t="inlineStr">
        <is>
          <t>Pre-Series B</t>
        </is>
      </c>
      <c r="J3697" t="inlineStr"/>
      <c r="K3697" t="inlineStr">
        <is>
          <t>https://entrackr.com/snippets/zumutor-biologics-raises-73-mn-in-pre-series-b-round-12039421</t>
        </is>
      </c>
    </row>
    <row r="3698">
      <c r="A3698" t="inlineStr">
        <is>
          <t>ENT-12040208</t>
        </is>
      </c>
      <c r="B3698" t="inlineStr">
        <is>
          <t>R260615-autovrse</t>
        </is>
      </c>
      <c r="C3698" t="inlineStr">
        <is>
          <t>Entrackr</t>
        </is>
      </c>
      <c r="D3698" s="17" t="n">
        <v>46188</v>
      </c>
      <c r="E3698" t="inlineStr">
        <is>
          <t>AutoVRse</t>
        </is>
      </c>
      <c r="F3698" t="inlineStr">
        <is>
          <t>$2.4 million</t>
        </is>
      </c>
      <c r="G3698" s="19" t="n"/>
      <c r="H3698" s="19" t="n">
        <v>2.4</v>
      </c>
      <c r="I3698" t="inlineStr">
        <is>
          <t>Undisclosed</t>
        </is>
      </c>
      <c r="J3698" t="inlineStr">
        <is>
          <t>Large Value Fund III; Early Opportunities Fund; Lumikai</t>
        </is>
      </c>
      <c r="K3698" t="inlineStr">
        <is>
          <t>https://entrackr.com/snippets/autovrse-raises-24-mn-from-singularity-amc-and-lumikai-12040208</t>
        </is>
      </c>
    </row>
    <row r="3699">
      <c r="A3699" t="inlineStr">
        <is>
          <t>INC-20260620-12</t>
        </is>
      </c>
      <c r="B3699" t="inlineStr">
        <is>
          <t>R260615-autovrse</t>
        </is>
      </c>
      <c r="C3699" t="inlineStr">
        <is>
          <t>Inc42</t>
        </is>
      </c>
      <c r="D3699" s="17" t="n">
        <v>46188</v>
      </c>
      <c r="E3699" t="inlineStr">
        <is>
          <t>AutoVRse</t>
        </is>
      </c>
      <c r="F3699" t="inlineStr">
        <is>
          <t>$2.4 Mn</t>
        </is>
      </c>
      <c r="G3699" s="19" t="n"/>
      <c r="H3699" s="19" t="n">
        <v>2.4</v>
      </c>
      <c r="I3699" t="inlineStr">
        <is>
          <t>Undisclosed</t>
        </is>
      </c>
      <c r="J3699" t="inlineStr">
        <is>
          <t>Singularity AMC; Lumikai</t>
        </is>
      </c>
      <c r="K3699" t="inlineStr">
        <is>
          <t>https://inc42.com/buzz/from-sarvam-to-influish-indian-startups-raised-426-mn-this-week/</t>
        </is>
      </c>
    </row>
    <row r="3700">
      <c r="A3700" t="inlineStr">
        <is>
          <t>ENT-12040846</t>
        </is>
      </c>
      <c r="B3700" t="inlineStr">
        <is>
          <t>R260615-foodstories</t>
        </is>
      </c>
      <c r="C3700" t="inlineStr">
        <is>
          <t>Entrackr</t>
        </is>
      </c>
      <c r="D3700" s="17" t="n">
        <v>46188</v>
      </c>
      <c r="E3700" t="inlineStr">
        <is>
          <t>Foodstories</t>
        </is>
      </c>
      <c r="F3700" t="inlineStr">
        <is>
          <t>Rs 50 crore</t>
        </is>
      </c>
      <c r="G3700" s="19" t="n">
        <v>50</v>
      </c>
      <c r="H3700" s="19" t="n"/>
      <c r="I3700" t="inlineStr">
        <is>
          <t>Undisclosed</t>
        </is>
      </c>
      <c r="J3700" t="inlineStr">
        <is>
          <t>Nikhil Kamath</t>
        </is>
      </c>
      <c r="K3700" t="inlineStr">
        <is>
          <t>https://entrackr.com/snippets/gourmet-retail-startup-foodstories-secures-rs-50-cr-led-by-nikhil-kamath-12040846</t>
        </is>
      </c>
    </row>
    <row r="3701">
      <c r="A3701" t="inlineStr">
        <is>
          <t>ET-131739094</t>
        </is>
      </c>
      <c r="B3701" t="inlineStr">
        <is>
          <t>R260615-foodstories</t>
        </is>
      </c>
      <c r="C3701" t="inlineStr">
        <is>
          <t>The Economic Times</t>
        </is>
      </c>
      <c r="D3701" s="17" t="n">
        <v>46188</v>
      </c>
      <c r="E3701" t="inlineStr">
        <is>
          <t>Foodstories</t>
        </is>
      </c>
      <c r="F3701" t="inlineStr">
        <is>
          <t>Rs 50 crore</t>
        </is>
      </c>
      <c r="G3701" s="19" t="n">
        <v>50</v>
      </c>
      <c r="H3701" s="19" t="n"/>
      <c r="I3701" t="inlineStr">
        <is>
          <t>Undisclosed</t>
        </is>
      </c>
      <c r="J3701" t="inlineStr">
        <is>
          <t>Nikhil Kamath</t>
        </is>
      </c>
      <c r="K3701" t="inlineStr">
        <is>
          <t>https://economictimes.indiatimes.com/tech/funding/gourmet-retail-startup-foodstories-raises-rs-50-crore-led-by-nikhil-kamath/articleshow/131739094.cms</t>
        </is>
      </c>
    </row>
    <row r="3702">
      <c r="A3702" t="inlineStr">
        <is>
          <t>INC-20260620-09</t>
        </is>
      </c>
      <c r="B3702" t="inlineStr">
        <is>
          <t>R260615-foodstories</t>
        </is>
      </c>
      <c r="C3702" t="inlineStr">
        <is>
          <t>Inc42</t>
        </is>
      </c>
      <c r="D3702" s="17" t="n">
        <v>46188</v>
      </c>
      <c r="E3702" t="inlineStr">
        <is>
          <t>Foodstories</t>
        </is>
      </c>
      <c r="F3702" t="inlineStr">
        <is>
          <t>$5.2 Mn</t>
        </is>
      </c>
      <c r="G3702" s="19" t="n"/>
      <c r="H3702" s="19" t="n">
        <v>5.2</v>
      </c>
      <c r="I3702" t="inlineStr">
        <is>
          <t>Series B</t>
        </is>
      </c>
      <c r="J3702" t="inlineStr">
        <is>
          <t>Nikhil Kamath</t>
        </is>
      </c>
      <c r="K3702" t="inlineStr">
        <is>
          <t>https://inc42.com/buzz/from-sarvam-to-influish-indian-startups-raised-426-mn-this-week/</t>
        </is>
      </c>
    </row>
    <row r="3703">
      <c r="A3703" t="inlineStr">
        <is>
          <t>ENT-12041322</t>
        </is>
      </c>
      <c r="B3703" t="inlineStr">
        <is>
          <t>R260615-sarvam</t>
        </is>
      </c>
      <c r="C3703" t="inlineStr">
        <is>
          <t>Entrackr</t>
        </is>
      </c>
      <c r="D3703" s="17" t="n">
        <v>46188</v>
      </c>
      <c r="E3703" t="inlineStr">
        <is>
          <t>Sarvam</t>
        </is>
      </c>
      <c r="F3703" t="inlineStr">
        <is>
          <t>$234 million</t>
        </is>
      </c>
      <c r="G3703" s="19" t="n"/>
      <c r="H3703" s="19" t="n">
        <v>234</v>
      </c>
      <c r="I3703" t="inlineStr">
        <is>
          <t>Series B</t>
        </is>
      </c>
      <c r="J3703" t="inlineStr">
        <is>
          <t>HCLTech</t>
        </is>
      </c>
      <c r="K3703" t="inlineStr">
        <is>
          <t>https://entrackr.com/news/sarvam-turns-unicorn-after-234-mn-round-led-by-hcltech-12041322</t>
        </is>
      </c>
    </row>
    <row r="3704">
      <c r="A3704" t="inlineStr">
        <is>
          <t>ET-131745905</t>
        </is>
      </c>
      <c r="B3704" t="inlineStr">
        <is>
          <t>R260615-sarvam</t>
        </is>
      </c>
      <c r="C3704" t="inlineStr">
        <is>
          <t>The Economic Times</t>
        </is>
      </c>
      <c r="D3704" s="17" t="n">
        <v>46188</v>
      </c>
      <c r="E3704" t="inlineStr">
        <is>
          <t>Sarvam</t>
        </is>
      </c>
      <c r="F3704" t="inlineStr">
        <is>
          <t>$234 million</t>
        </is>
      </c>
      <c r="G3704" s="19" t="n"/>
      <c r="H3704" s="19" t="n">
        <v>234</v>
      </c>
      <c r="I3704" t="inlineStr">
        <is>
          <t>Undisclosed</t>
        </is>
      </c>
      <c r="J3704" t="inlineStr">
        <is>
          <t>HCLTech</t>
        </is>
      </c>
      <c r="K3704" t="inlineStr">
        <is>
          <t>https://economictimes.indiatimes.com/tech/funding/sarvam-raises-234-million-led-by-hcltech-at-1-5-billion-valuation/articleshow/131745905.cms</t>
        </is>
      </c>
    </row>
    <row r="3705">
      <c r="A3705" t="inlineStr">
        <is>
          <t>INC-20260620-01</t>
        </is>
      </c>
      <c r="B3705" t="inlineStr">
        <is>
          <t>R260615-sarvam</t>
        </is>
      </c>
      <c r="C3705" t="inlineStr">
        <is>
          <t>Inc42</t>
        </is>
      </c>
      <c r="D3705" s="17" t="n">
        <v>46188</v>
      </c>
      <c r="E3705" t="inlineStr">
        <is>
          <t>Sarvam</t>
        </is>
      </c>
      <c r="F3705" t="inlineStr">
        <is>
          <t>$234 Mn</t>
        </is>
      </c>
      <c r="G3705" s="19" t="n"/>
      <c r="H3705" s="19" t="n">
        <v>234</v>
      </c>
      <c r="I3705" t="inlineStr">
        <is>
          <t>Series B</t>
        </is>
      </c>
      <c r="J3705" t="inlineStr">
        <is>
          <t>HCLTech</t>
        </is>
      </c>
      <c r="K3705" t="inlineStr">
        <is>
          <t>https://inc42.com/buzz/from-sarvam-to-influish-indian-startups-raised-426-mn-this-week/</t>
        </is>
      </c>
    </row>
    <row r="3706">
      <c r="A3706" t="inlineStr">
        <is>
          <t>ENT-12043985</t>
        </is>
      </c>
      <c r="B3706" t="inlineStr">
        <is>
          <t>R260616-contravaultai</t>
        </is>
      </c>
      <c r="C3706" t="inlineStr">
        <is>
          <t>Entrackr</t>
        </is>
      </c>
      <c r="D3706" s="17" t="n">
        <v>46189</v>
      </c>
      <c r="E3706" t="inlineStr">
        <is>
          <t>ContraVault AI</t>
        </is>
      </c>
      <c r="F3706" t="inlineStr">
        <is>
          <t>$3.1 million</t>
        </is>
      </c>
      <c r="G3706" s="19" t="n"/>
      <c r="H3706" s="19" t="n">
        <v>3.1</v>
      </c>
      <c r="I3706" t="inlineStr">
        <is>
          <t>Pre-Series A</t>
        </is>
      </c>
      <c r="J3706" t="inlineStr">
        <is>
          <t>Chiratae Ventures</t>
        </is>
      </c>
      <c r="K3706" t="inlineStr">
        <is>
          <t>https://entrackr.com/snippets/contravault-ai-raises-31-mn-in-pre-series-a-round-led-by-chiratae-ventures-12043985</t>
        </is>
      </c>
    </row>
    <row r="3707">
      <c r="A3707" t="inlineStr">
        <is>
          <t>ET-131775104</t>
        </is>
      </c>
      <c r="B3707" t="inlineStr">
        <is>
          <t>R260616-contravaultai</t>
        </is>
      </c>
      <c r="C3707" t="inlineStr">
        <is>
          <t>The Economic Times</t>
        </is>
      </c>
      <c r="D3707" s="17" t="n">
        <v>46189</v>
      </c>
      <c r="E3707" t="inlineStr">
        <is>
          <t>ContraVault AI</t>
        </is>
      </c>
      <c r="F3707" t="inlineStr">
        <is>
          <t>$3.1 million</t>
        </is>
      </c>
      <c r="G3707" s="19" t="n"/>
      <c r="H3707" s="19" t="n">
        <v>3.1</v>
      </c>
      <c r="I3707" t="inlineStr">
        <is>
          <t>Undisclosed</t>
        </is>
      </c>
      <c r="J3707" t="inlineStr">
        <is>
          <t>Chiratae Ventures</t>
        </is>
      </c>
      <c r="K3707" t="inlineStr">
        <is>
          <t>https://economictimes.indiatimes.com/tech/funding/bid-management-firm-contravault-ai-raises-3-1-million-from-chiratae-titan-eyes-us-expansion/articleshow/131775104.cms</t>
        </is>
      </c>
    </row>
    <row r="3708">
      <c r="A3708" t="inlineStr">
        <is>
          <t>INC-20260620-11</t>
        </is>
      </c>
      <c r="B3708" t="inlineStr">
        <is>
          <t>R260616-contravaultai</t>
        </is>
      </c>
      <c r="C3708" t="inlineStr">
        <is>
          <t>Inc42</t>
        </is>
      </c>
      <c r="D3708" s="17" t="n">
        <v>46189</v>
      </c>
      <c r="E3708" t="inlineStr">
        <is>
          <t>ContraVault</t>
        </is>
      </c>
      <c r="F3708" t="inlineStr">
        <is>
          <t>$3.1 Mn</t>
        </is>
      </c>
      <c r="G3708" s="19" t="n"/>
      <c r="H3708" s="19" t="n">
        <v>3.1</v>
      </c>
      <c r="I3708" t="inlineStr">
        <is>
          <t>Pre-Series A</t>
        </is>
      </c>
      <c r="J3708" t="inlineStr">
        <is>
          <t>Chiratae Ventures</t>
        </is>
      </c>
      <c r="K3708" t="inlineStr">
        <is>
          <t>https://inc42.com/buzz/from-sarvam-to-influish-indian-startups-raised-426-mn-this-week/</t>
        </is>
      </c>
    </row>
    <row r="3709">
      <c r="A3709" t="inlineStr">
        <is>
          <t>ENT-12044185</t>
        </is>
      </c>
      <c r="B3709" t="inlineStr">
        <is>
          <t>R260616-crest</t>
        </is>
      </c>
      <c r="C3709" t="inlineStr">
        <is>
          <t>Entrackr</t>
        </is>
      </c>
      <c r="D3709" s="17" t="n">
        <v>46189</v>
      </c>
      <c r="E3709" t="inlineStr">
        <is>
          <t>CREST</t>
        </is>
      </c>
      <c r="F3709" t="inlineStr">
        <is>
          <t>$3.1 million</t>
        </is>
      </c>
      <c r="G3709" s="19" t="n"/>
      <c r="H3709" s="19" t="n">
        <v>3.1</v>
      </c>
      <c r="I3709" t="inlineStr">
        <is>
          <t>Pre-Seed</t>
        </is>
      </c>
      <c r="J3709" t="inlineStr">
        <is>
          <t>BEENEXT; Sparrow; Shastra VC; DeVC; Warmup Ventures; Atrium Ventures; 91ventures</t>
        </is>
      </c>
      <c r="K3709" t="inlineStr">
        <is>
          <t>https://entrackr.com/snippets/wealth-management-startup-crest-secures-31-mn-in-pre-seed-round-12044185</t>
        </is>
      </c>
    </row>
    <row r="3710">
      <c r="A3710" t="inlineStr">
        <is>
          <t>INC-20260620-10</t>
        </is>
      </c>
      <c r="B3710" t="inlineStr">
        <is>
          <t>R260616-crest</t>
        </is>
      </c>
      <c r="C3710" t="inlineStr">
        <is>
          <t>Inc42</t>
        </is>
      </c>
      <c r="D3710" s="17" t="n">
        <v>46189</v>
      </c>
      <c r="E3710" t="inlineStr">
        <is>
          <t>CREST</t>
        </is>
      </c>
      <c r="F3710" t="inlineStr">
        <is>
          <t>$3.1 Mn</t>
        </is>
      </c>
      <c r="G3710" s="19" t="n"/>
      <c r="H3710" s="19" t="n">
        <v>3.1</v>
      </c>
      <c r="I3710" t="inlineStr">
        <is>
          <t>Pre-Seed</t>
        </is>
      </c>
      <c r="J3710" t="inlineStr">
        <is>
          <t>Atrium Ventures; BEENEXT; DeVC; Sparrow; Shastra VC; Warmup Ventures; 91ventures</t>
        </is>
      </c>
      <c r="K3710" t="inlineStr">
        <is>
          <t>https://inc42.com/buzz/from-sarvam-to-influish-indian-startups-raised-426-mn-this-week/</t>
        </is>
      </c>
    </row>
    <row r="3711">
      <c r="A3711" t="inlineStr">
        <is>
          <t>ENT-12043369</t>
        </is>
      </c>
      <c r="B3711" t="inlineStr">
        <is>
          <t>R260616-gimimichi</t>
        </is>
      </c>
      <c r="C3711" t="inlineStr">
        <is>
          <t>Entrackr</t>
        </is>
      </c>
      <c r="D3711" s="17" t="n">
        <v>46189</v>
      </c>
      <c r="E3711" t="inlineStr">
        <is>
          <t>Gimi Michi</t>
        </is>
      </c>
      <c r="F3711" t="inlineStr">
        <is>
          <t>$1 million</t>
        </is>
      </c>
      <c r="G3711" s="19" t="n"/>
      <c r="H3711" s="19" t="n">
        <v>1</v>
      </c>
      <c r="I3711" t="inlineStr">
        <is>
          <t>Seed</t>
        </is>
      </c>
      <c r="J3711" t="inlineStr">
        <is>
          <t>IndiaQuotient</t>
        </is>
      </c>
      <c r="K3711" t="inlineStr">
        <is>
          <t>https://entrackr.com/snippets/korean-fmcg-startup-gimi-michi-raises-1-mn-seed-round-led-by-indiaquotient-12043369</t>
        </is>
      </c>
    </row>
    <row r="3712">
      <c r="A3712" t="inlineStr">
        <is>
          <t>INC-20260620-15</t>
        </is>
      </c>
      <c r="B3712" t="inlineStr">
        <is>
          <t>R260616-gimimichi</t>
        </is>
      </c>
      <c r="C3712" t="inlineStr">
        <is>
          <t>Inc42</t>
        </is>
      </c>
      <c r="D3712" s="17" t="n">
        <v>46189</v>
      </c>
      <c r="E3712" t="inlineStr">
        <is>
          <t>Gimi Michi</t>
        </is>
      </c>
      <c r="F3712" t="inlineStr">
        <is>
          <t>$1 Mn</t>
        </is>
      </c>
      <c r="G3712" s="19" t="n"/>
      <c r="H3712" s="19" t="n">
        <v>1</v>
      </c>
      <c r="I3712" t="inlineStr">
        <is>
          <t>Seed</t>
        </is>
      </c>
      <c r="J3712" t="inlineStr">
        <is>
          <t>IndiaQuotient</t>
        </is>
      </c>
      <c r="K3712" t="inlineStr">
        <is>
          <t>https://inc42.com/buzz/from-sarvam-to-influish-indian-startups-raised-426-mn-this-week/</t>
        </is>
      </c>
    </row>
    <row r="3713">
      <c r="A3713" t="inlineStr">
        <is>
          <t>ET-131795175</t>
        </is>
      </c>
      <c r="B3713" t="inlineStr">
        <is>
          <t>R260616-gimimichi</t>
        </is>
      </c>
      <c r="C3713" t="inlineStr">
        <is>
          <t>The Economic Times</t>
        </is>
      </c>
      <c r="D3713" s="17" t="n">
        <v>46190</v>
      </c>
      <c r="E3713" t="inlineStr">
        <is>
          <t>Gimi Michi</t>
        </is>
      </c>
      <c r="F3713" t="inlineStr">
        <is>
          <t>$1 million</t>
        </is>
      </c>
      <c r="G3713" s="19" t="n"/>
      <c r="H3713" s="19" t="n">
        <v>1</v>
      </c>
      <c r="I3713" t="inlineStr">
        <is>
          <t>Undisclosed</t>
        </is>
      </c>
      <c r="J3713" t="inlineStr">
        <is>
          <t>IndiaQuotient</t>
        </is>
      </c>
      <c r="K3713" t="inlineStr">
        <is>
          <t>https://economictimes.indiatimes.com/tech/funding/korean-food-startup-gimi-michi-raises-1-million-led-by-indiaquotient/articleshow/131795175.cms</t>
        </is>
      </c>
    </row>
    <row r="3714">
      <c r="A3714" t="inlineStr">
        <is>
          <t>INC-20260620-13</t>
        </is>
      </c>
      <c r="B3714" t="inlineStr">
        <is>
          <t>R260616-omlikids</t>
        </is>
      </c>
      <c r="C3714" t="inlineStr">
        <is>
          <t>Inc42</t>
        </is>
      </c>
      <c r="D3714" s="17" t="n">
        <v>46189</v>
      </c>
      <c r="E3714" t="inlineStr">
        <is>
          <t>Omli Kids</t>
        </is>
      </c>
      <c r="F3714" t="inlineStr">
        <is>
          <t>$1.5 Mn</t>
        </is>
      </c>
      <c r="G3714" s="19" t="n"/>
      <c r="H3714" s="19" t="n">
        <v>1.5</v>
      </c>
      <c r="I3714" t="inlineStr">
        <is>
          <t>Seed</t>
        </is>
      </c>
      <c r="J3714" t="inlineStr">
        <is>
          <t>IndiaQuotient</t>
        </is>
      </c>
      <c r="K3714" t="inlineStr">
        <is>
          <t>https://inc42.com/buzz/from-sarvam-to-influish-indian-startups-raised-426-mn-this-week/</t>
        </is>
      </c>
    </row>
    <row r="3715">
      <c r="A3715" t="inlineStr">
        <is>
          <t>ENT-12042666</t>
        </is>
      </c>
      <c r="B3715" t="inlineStr">
        <is>
          <t>R260616-solarsquare</t>
        </is>
      </c>
      <c r="C3715" t="inlineStr">
        <is>
          <t>Entrackr</t>
        </is>
      </c>
      <c r="D3715" s="17" t="n">
        <v>46189</v>
      </c>
      <c r="E3715" t="inlineStr">
        <is>
          <t>SolarSquare</t>
        </is>
      </c>
      <c r="F3715" t="inlineStr">
        <is>
          <t>$53 million</t>
        </is>
      </c>
      <c r="G3715" s="19" t="n"/>
      <c r="H3715" s="19" t="n">
        <v>53</v>
      </c>
      <c r="I3715" t="inlineStr">
        <is>
          <t>Series C</t>
        </is>
      </c>
      <c r="J3715" t="inlineStr">
        <is>
          <t>B Capital</t>
        </is>
      </c>
      <c r="K3715" t="inlineStr">
        <is>
          <t>https://entrackr.com/news/solarsquare-raises-53-mn-in-series-c-led-by-b-capital-12042666</t>
        </is>
      </c>
    </row>
    <row r="3716">
      <c r="A3716" t="inlineStr">
        <is>
          <t>ET-131760590</t>
        </is>
      </c>
      <c r="B3716" t="inlineStr">
        <is>
          <t>R260616-solarsquare</t>
        </is>
      </c>
      <c r="C3716" t="inlineStr">
        <is>
          <t>The Economic Times</t>
        </is>
      </c>
      <c r="D3716" s="17" t="n">
        <v>46189</v>
      </c>
      <c r="E3716" t="inlineStr">
        <is>
          <t>SolarSquare</t>
        </is>
      </c>
      <c r="F3716" t="inlineStr">
        <is>
          <t>$53 million</t>
        </is>
      </c>
      <c r="G3716" s="19" t="n"/>
      <c r="H3716" s="19" t="n">
        <v>53</v>
      </c>
      <c r="I3716" t="inlineStr">
        <is>
          <t>Undisclosed</t>
        </is>
      </c>
      <c r="J3716" t="inlineStr">
        <is>
          <t>B Capital</t>
        </is>
      </c>
      <c r="K3716" t="inlineStr">
        <is>
          <t>https://economictimes.indiatimes.com/tech/funding/cleantech-startup-solarsquare-raises-53-million-in-funding-round-led-by-b-capital/articleshow/131760590.cms</t>
        </is>
      </c>
    </row>
    <row r="3717">
      <c r="A3717" t="inlineStr">
        <is>
          <t>INC-20260620-02</t>
        </is>
      </c>
      <c r="B3717" t="inlineStr">
        <is>
          <t>R260616-solarsquare</t>
        </is>
      </c>
      <c r="C3717" t="inlineStr">
        <is>
          <t>Inc42</t>
        </is>
      </c>
      <c r="D3717" s="17" t="n">
        <v>46189</v>
      </c>
      <c r="E3717" t="inlineStr">
        <is>
          <t>SolarSquare</t>
        </is>
      </c>
      <c r="F3717" t="inlineStr">
        <is>
          <t>$53 Mn</t>
        </is>
      </c>
      <c r="G3717" s="19" t="n"/>
      <c r="H3717" s="19" t="n">
        <v>53</v>
      </c>
      <c r="I3717" t="inlineStr">
        <is>
          <t>Series C</t>
        </is>
      </c>
      <c r="J3717" t="inlineStr">
        <is>
          <t>Lightspeed</t>
        </is>
      </c>
      <c r="K3717" t="inlineStr">
        <is>
          <t>https://inc42.com/buzz/from-sarvam-to-influish-indian-startups-raised-426-mn-this-week/</t>
        </is>
      </c>
    </row>
    <row r="3718">
      <c r="A3718" t="inlineStr">
        <is>
          <t>VCC-00e258b622</t>
        </is>
      </c>
      <c r="B3718" t="inlineStr">
        <is>
          <t>R260616-solarsquare</t>
        </is>
      </c>
      <c r="C3718" t="inlineStr">
        <is>
          <t>VCCircle</t>
        </is>
      </c>
      <c r="D3718" s="17" t="n">
        <v>46189</v>
      </c>
      <c r="E3718" t="inlineStr">
        <is>
          <t>solarsquare energy</t>
        </is>
      </c>
      <c r="F3718" t="inlineStr"/>
      <c r="G3718" s="19" t="n"/>
      <c r="H3718" s="19" t="n"/>
      <c r="I3718" t="inlineStr">
        <is>
          <t>Series C</t>
        </is>
      </c>
      <c r="J3718" t="inlineStr"/>
      <c r="K3718" t="inlineStr">
        <is>
          <t>https://www.vccircle.com/bcapital-leads-solarsquare-energy-s-series-c-funding-round</t>
        </is>
      </c>
    </row>
    <row r="3719">
      <c r="A3719" t="inlineStr">
        <is>
          <t>ENT-12043624</t>
        </is>
      </c>
      <c r="B3719" t="inlineStr">
        <is>
          <t>R260616-speedioo</t>
        </is>
      </c>
      <c r="C3719" t="inlineStr">
        <is>
          <t>Entrackr</t>
        </is>
      </c>
      <c r="D3719" s="17" t="n">
        <v>46189</v>
      </c>
      <c r="E3719" t="inlineStr">
        <is>
          <t>Speedioo</t>
        </is>
      </c>
      <c r="F3719" t="inlineStr">
        <is>
          <t>Rs 10 crore</t>
        </is>
      </c>
      <c r="G3719" s="19" t="n">
        <v>10</v>
      </c>
      <c r="H3719" s="19" t="n"/>
      <c r="I3719" t="inlineStr">
        <is>
          <t>Seed</t>
        </is>
      </c>
      <c r="J3719" t="inlineStr">
        <is>
          <t>Atomic Capital</t>
        </is>
      </c>
      <c r="K3719" t="inlineStr">
        <is>
          <t>https://entrackr.com/snippets/used-two-wheeler-platform-speedioo-raises-seed-funding-led-by-atomic-capital-12043624</t>
        </is>
      </c>
    </row>
    <row r="3720">
      <c r="A3720" t="inlineStr">
        <is>
          <t>ET-131767980</t>
        </is>
      </c>
      <c r="B3720" t="inlineStr">
        <is>
          <t>R260616-speedioo</t>
        </is>
      </c>
      <c r="C3720" t="inlineStr">
        <is>
          <t>The Economic Times</t>
        </is>
      </c>
      <c r="D3720" s="17" t="n">
        <v>46189</v>
      </c>
      <c r="E3720" t="inlineStr">
        <is>
          <t>Speedioo</t>
        </is>
      </c>
      <c r="F3720" t="inlineStr">
        <is>
          <t>Rs 10 crore</t>
        </is>
      </c>
      <c r="G3720" s="19" t="n">
        <v>10</v>
      </c>
      <c r="H3720" s="19" t="n"/>
      <c r="I3720" t="inlineStr">
        <is>
          <t>Undisclosed</t>
        </is>
      </c>
      <c r="J3720" t="inlineStr"/>
      <c r="K3720" t="inlineStr">
        <is>
          <t>https://economictimes.indiatimes.com/tech/startups/used-2-wheeler-startup-speedioo-raises-rs-10-crore-from-atomic-capital/articleshow/131767980.cms</t>
        </is>
      </c>
    </row>
    <row r="3721">
      <c r="A3721" t="inlineStr">
        <is>
          <t>INC-20260620-14</t>
        </is>
      </c>
      <c r="B3721" t="inlineStr">
        <is>
          <t>R260616-speedioo</t>
        </is>
      </c>
      <c r="C3721" t="inlineStr">
        <is>
          <t>Inc42</t>
        </is>
      </c>
      <c r="D3721" s="17" t="n">
        <v>46189</v>
      </c>
      <c r="E3721" t="inlineStr">
        <is>
          <t>Speedioo</t>
        </is>
      </c>
      <c r="F3721" t="inlineStr">
        <is>
          <t>$1.1 Mn</t>
        </is>
      </c>
      <c r="G3721" s="19" t="n"/>
      <c r="H3721" s="19" t="n">
        <v>1.1</v>
      </c>
      <c r="I3721" t="inlineStr">
        <is>
          <t>Seed</t>
        </is>
      </c>
      <c r="J3721" t="inlineStr">
        <is>
          <t>Atomic Capital</t>
        </is>
      </c>
      <c r="K3721" t="inlineStr">
        <is>
          <t>https://inc42.com/buzz/from-sarvam-to-influish-indian-startups-raised-426-mn-this-week/</t>
        </is>
      </c>
    </row>
    <row r="3722">
      <c r="A3722" t="inlineStr">
        <is>
          <t>ENT-12043831</t>
        </is>
      </c>
      <c r="B3722" t="inlineStr">
        <is>
          <t>R260616-trackersuiteai</t>
        </is>
      </c>
      <c r="C3722" t="inlineStr">
        <is>
          <t>Entrackr</t>
        </is>
      </c>
      <c r="D3722" s="17" t="n">
        <v>46189</v>
      </c>
      <c r="E3722" t="inlineStr">
        <is>
          <t>TrackerSuite AI</t>
        </is>
      </c>
      <c r="F3722" t="inlineStr">
        <is>
          <t>Rs 6 crore</t>
        </is>
      </c>
      <c r="G3722" s="19" t="n">
        <v>6</v>
      </c>
      <c r="H3722" s="19" t="n"/>
      <c r="I3722" t="inlineStr">
        <is>
          <t>Pre-Series A</t>
        </is>
      </c>
      <c r="J3722" t="inlineStr"/>
      <c r="K3722" t="inlineStr">
        <is>
          <t>https://entrackr.com/snippets/business-automation-platform-trackersuite-ai-raises-pre-series-a-round-12043831</t>
        </is>
      </c>
    </row>
    <row r="3723">
      <c r="A3723" t="inlineStr">
        <is>
          <t>INC-20260620-17</t>
        </is>
      </c>
      <c r="B3723" t="inlineStr">
        <is>
          <t>R260616-trackersuiteai</t>
        </is>
      </c>
      <c r="C3723" t="inlineStr">
        <is>
          <t>Inc42</t>
        </is>
      </c>
      <c r="D3723" s="17" t="n">
        <v>46189</v>
      </c>
      <c r="E3723" t="inlineStr">
        <is>
          <t>TrackerSuite</t>
        </is>
      </c>
      <c r="F3723" t="inlineStr">
        <is>
          <t>$635K</t>
        </is>
      </c>
      <c r="G3723" s="19" t="n"/>
      <c r="H3723" s="19" t="n">
        <v>0.635</v>
      </c>
      <c r="I3723" t="inlineStr">
        <is>
          <t>Pre-Series A</t>
        </is>
      </c>
      <c r="J3723" t="inlineStr"/>
      <c r="K3723" t="inlineStr">
        <is>
          <t>https://inc42.com/buzz/from-sarvam-to-influish-indian-startups-raised-426-mn-this-week/</t>
        </is>
      </c>
    </row>
    <row r="3724">
      <c r="A3724" t="inlineStr">
        <is>
          <t>ENT-12044882</t>
        </is>
      </c>
      <c r="B3724" t="inlineStr">
        <is>
          <t>R260616-trunativ</t>
        </is>
      </c>
      <c r="C3724" t="inlineStr">
        <is>
          <t>Entrackr</t>
        </is>
      </c>
      <c r="D3724" s="17" t="n">
        <v>46189</v>
      </c>
      <c r="E3724" t="inlineStr">
        <is>
          <t>TruNativ</t>
        </is>
      </c>
      <c r="F3724" t="inlineStr">
        <is>
          <t>$30 million</t>
        </is>
      </c>
      <c r="G3724" s="19" t="n"/>
      <c r="H3724" s="19" t="n">
        <v>30</v>
      </c>
      <c r="I3724" t="inlineStr">
        <is>
          <t>Undisclosed</t>
        </is>
      </c>
      <c r="J3724" t="inlineStr">
        <is>
          <t>OrbiMed Advisors LLC</t>
        </is>
      </c>
      <c r="K3724" t="inlineStr">
        <is>
          <t>https://entrackr.com/news/nutrition-brand-trunativ-raises-30-mn-led-by-orbimed-12044882</t>
        </is>
      </c>
    </row>
    <row r="3725">
      <c r="A3725" t="inlineStr">
        <is>
          <t>ET-131768378</t>
        </is>
      </c>
      <c r="B3725" t="inlineStr">
        <is>
          <t>R260616-trunativ</t>
        </is>
      </c>
      <c r="C3725" t="inlineStr">
        <is>
          <t>The Economic Times</t>
        </is>
      </c>
      <c r="D3725" s="17" t="n">
        <v>46189</v>
      </c>
      <c r="E3725" t="inlineStr">
        <is>
          <t>TruNativ</t>
        </is>
      </c>
      <c r="F3725" t="inlineStr">
        <is>
          <t>$30 million</t>
        </is>
      </c>
      <c r="G3725" s="19" t="n"/>
      <c r="H3725" s="19" t="n">
        <v>30</v>
      </c>
      <c r="I3725" t="inlineStr">
        <is>
          <t>Undisclosed</t>
        </is>
      </c>
      <c r="J3725" t="inlineStr"/>
      <c r="K3725" t="inlineStr">
        <is>
          <t>https://economictimes.indiatimes.com/tech/funding/nutrition-brand-trunativ-closes-30-million-round-with-orbimed-advisors-llc/articleshow/131768378.cms</t>
        </is>
      </c>
    </row>
    <row r="3726">
      <c r="A3726" t="inlineStr">
        <is>
          <t>INC-20260620-04</t>
        </is>
      </c>
      <c r="B3726" t="inlineStr">
        <is>
          <t>R260616-trunativ</t>
        </is>
      </c>
      <c r="C3726" t="inlineStr">
        <is>
          <t>Inc42</t>
        </is>
      </c>
      <c r="D3726" s="17" t="n">
        <v>46189</v>
      </c>
      <c r="E3726" t="inlineStr">
        <is>
          <t>TruNativ</t>
        </is>
      </c>
      <c r="F3726" t="inlineStr">
        <is>
          <t>$30 Mn</t>
        </is>
      </c>
      <c r="G3726" s="19" t="n"/>
      <c r="H3726" s="19" t="n">
        <v>30</v>
      </c>
      <c r="I3726" t="inlineStr">
        <is>
          <t>Series B</t>
        </is>
      </c>
      <c r="J3726" t="inlineStr">
        <is>
          <t>OrbiMed</t>
        </is>
      </c>
      <c r="K3726" t="inlineStr">
        <is>
          <t>https://inc42.com/buzz/from-sarvam-to-influish-indian-startups-raised-426-mn-this-week/</t>
        </is>
      </c>
    </row>
    <row r="3727">
      <c r="A3727" t="inlineStr">
        <is>
          <t>VCC-fcb7e1bf89</t>
        </is>
      </c>
      <c r="B3727" t="inlineStr">
        <is>
          <t>R260616-trunativ</t>
        </is>
      </c>
      <c r="C3727" t="inlineStr">
        <is>
          <t>VCCircle</t>
        </is>
      </c>
      <c r="D3727" s="17" t="n">
        <v>46189</v>
      </c>
      <c r="E3727" t="inlineStr">
        <is>
          <t>emamibacked trunativ</t>
        </is>
      </c>
      <c r="F3727" t="inlineStr"/>
      <c r="G3727" s="19" t="n"/>
      <c r="H3727" s="19" t="n"/>
      <c r="I3727" t="inlineStr">
        <is>
          <t>Undisclosed</t>
        </is>
      </c>
      <c r="J3727" t="inlineStr"/>
      <c r="K3727" t="inlineStr">
        <is>
          <t>https://www.vccircle.com/emamibacked-trunativ-snags-funding-eyes-omnichannel-product-expansion</t>
        </is>
      </c>
    </row>
    <row r="3728">
      <c r="A3728" t="inlineStr">
        <is>
          <t>ENT-12046273</t>
        </is>
      </c>
      <c r="B3728" t="inlineStr">
        <is>
          <t>R260617-influish</t>
        </is>
      </c>
      <c r="C3728" t="inlineStr">
        <is>
          <t>Entrackr</t>
        </is>
      </c>
      <c r="D3728" s="17" t="n">
        <v>46190</v>
      </c>
      <c r="E3728" t="inlineStr">
        <is>
          <t>INFLUISH</t>
        </is>
      </c>
      <c r="F3728" t="inlineStr"/>
      <c r="G3728" s="19" t="n"/>
      <c r="H3728" s="19" t="n"/>
      <c r="I3728" t="inlineStr">
        <is>
          <t>Pre-Seed</t>
        </is>
      </c>
      <c r="J3728" t="inlineStr"/>
      <c r="K3728" t="inlineStr">
        <is>
          <t>https://entrackr.com/snippets/influencer-marketing-startup-influish-raises-pre-seed-funding-at-rs-25-cr-valuation-12046273</t>
        </is>
      </c>
    </row>
    <row r="3729">
      <c r="A3729" t="inlineStr">
        <is>
          <t>INC-20260620-19</t>
        </is>
      </c>
      <c r="B3729" t="inlineStr">
        <is>
          <t>R260617-influish</t>
        </is>
      </c>
      <c r="C3729" t="inlineStr">
        <is>
          <t>Inc42</t>
        </is>
      </c>
      <c r="D3729" s="17" t="n">
        <v>46190</v>
      </c>
      <c r="E3729" t="inlineStr">
        <is>
          <t>INFLUISH</t>
        </is>
      </c>
      <c r="F3729" t="inlineStr"/>
      <c r="G3729" s="19" t="n"/>
      <c r="H3729" s="19" t="n"/>
      <c r="I3729" t="inlineStr">
        <is>
          <t>Pre-Seed</t>
        </is>
      </c>
      <c r="J3729" t="inlineStr"/>
      <c r="K3729" t="inlineStr">
        <is>
          <t>https://inc42.com/buzz/from-sarvam-to-influish-indian-startups-raised-426-mn-this-week/</t>
        </is>
      </c>
    </row>
    <row r="3730">
      <c r="A3730" t="inlineStr">
        <is>
          <t>ENT-12048004</t>
        </is>
      </c>
      <c r="B3730" t="inlineStr">
        <is>
          <t>R260617-lissun</t>
        </is>
      </c>
      <c r="C3730" t="inlineStr">
        <is>
          <t>Entrackr</t>
        </is>
      </c>
      <c r="D3730" s="17" t="n">
        <v>46190</v>
      </c>
      <c r="E3730" t="inlineStr">
        <is>
          <t>Lissun</t>
        </is>
      </c>
      <c r="F3730" t="inlineStr">
        <is>
          <t>Rs 2.77 crore</t>
        </is>
      </c>
      <c r="G3730" s="19" t="n">
        <v>2.77</v>
      </c>
      <c r="H3730" s="19" t="n"/>
      <c r="I3730" t="inlineStr">
        <is>
          <t>Undisclosed</t>
        </is>
      </c>
      <c r="J3730" t="inlineStr"/>
      <c r="K3730" t="inlineStr">
        <is>
          <t>https://entrackr.com/snippets/exclusive-mental-health-startup-lissun-raises-fresh-funds-from-zerodha-backed-rainmatter-12048004</t>
        </is>
      </c>
    </row>
    <row r="3731">
      <c r="A3731" t="inlineStr">
        <is>
          <t>ENT-12048869</t>
        </is>
      </c>
      <c r="B3731" t="inlineStr">
        <is>
          <t>R260617-pramaanalabs</t>
        </is>
      </c>
      <c r="C3731" t="inlineStr">
        <is>
          <t>Entrackr</t>
        </is>
      </c>
      <c r="D3731" s="17" t="n">
        <v>46190</v>
      </c>
      <c r="E3731" t="inlineStr">
        <is>
          <t>Pramaana Labs</t>
        </is>
      </c>
      <c r="F3731" t="inlineStr">
        <is>
          <t>$27 million</t>
        </is>
      </c>
      <c r="G3731" s="19" t="n"/>
      <c r="H3731" s="19" t="n">
        <v>27</v>
      </c>
      <c r="I3731" t="inlineStr">
        <is>
          <t>Seed</t>
        </is>
      </c>
      <c r="J3731" t="inlineStr">
        <is>
          <t>Khosla Ventures</t>
        </is>
      </c>
      <c r="K3731" t="inlineStr">
        <is>
          <t>https://entrackr.com/news/boldcap-backed-pramaana-labs-raises-27-mn-led-by-khosla-ventures-12048869</t>
        </is>
      </c>
    </row>
    <row r="3732">
      <c r="A3732" t="inlineStr">
        <is>
          <t>ET-131805503</t>
        </is>
      </c>
      <c r="B3732" t="inlineStr">
        <is>
          <t>R260617-pramaanalabs</t>
        </is>
      </c>
      <c r="C3732" t="inlineStr">
        <is>
          <t>The Economic Times</t>
        </is>
      </c>
      <c r="D3732" s="17" t="n">
        <v>46190</v>
      </c>
      <c r="E3732" t="inlineStr">
        <is>
          <t>Pramaana Labs</t>
        </is>
      </c>
      <c r="F3732" t="inlineStr">
        <is>
          <t>$27 million</t>
        </is>
      </c>
      <c r="G3732" s="19" t="n"/>
      <c r="H3732" s="19" t="n">
        <v>27</v>
      </c>
      <c r="I3732" t="inlineStr">
        <is>
          <t>Seed</t>
        </is>
      </c>
      <c r="J3732" t="inlineStr">
        <is>
          <t>Khosla Ventures</t>
        </is>
      </c>
      <c r="K3732" t="inlineStr">
        <is>
          <t>https://economictimes.indiatimes.com/tech/funding/ai-startup-pramaana-labs-raises-27-million-in-seed-funding-led-by-khosla-ventures/articleshow/131805503.cms</t>
        </is>
      </c>
    </row>
    <row r="3733">
      <c r="A3733" t="inlineStr">
        <is>
          <t>INC-20260620-05</t>
        </is>
      </c>
      <c r="B3733" t="inlineStr">
        <is>
          <t>R260617-pramaanalabs</t>
        </is>
      </c>
      <c r="C3733" t="inlineStr">
        <is>
          <t>Inc42</t>
        </is>
      </c>
      <c r="D3733" s="17" t="n">
        <v>46190</v>
      </c>
      <c r="E3733" t="inlineStr">
        <is>
          <t>Pramaana Labs</t>
        </is>
      </c>
      <c r="F3733" t="inlineStr">
        <is>
          <t>$27 Mn</t>
        </is>
      </c>
      <c r="G3733" s="19" t="n"/>
      <c r="H3733" s="19" t="n">
        <v>27</v>
      </c>
      <c r="I3733" t="inlineStr">
        <is>
          <t>Seed</t>
        </is>
      </c>
      <c r="J3733" t="inlineStr">
        <is>
          <t>Khosla Ventures</t>
        </is>
      </c>
      <c r="K3733" t="inlineStr">
        <is>
          <t>https://inc42.com/buzz/from-sarvam-to-influish-indian-startups-raised-426-mn-this-week/</t>
        </is>
      </c>
    </row>
    <row r="3734">
      <c r="A3734" t="inlineStr">
        <is>
          <t>ENT-12047086</t>
        </is>
      </c>
      <c r="B3734" t="inlineStr">
        <is>
          <t>R260617-xtovia</t>
        </is>
      </c>
      <c r="C3734" t="inlineStr">
        <is>
          <t>Entrackr</t>
        </is>
      </c>
      <c r="D3734" s="17" t="n">
        <v>46190</v>
      </c>
      <c r="E3734" t="inlineStr">
        <is>
          <t>Xtovia</t>
        </is>
      </c>
      <c r="F3734" t="inlineStr">
        <is>
          <t>Rs 6.9 crore</t>
        </is>
      </c>
      <c r="G3734" s="19" t="n">
        <v>6.9</v>
      </c>
      <c r="H3734" s="19" t="n"/>
      <c r="I3734" t="inlineStr">
        <is>
          <t>Pre-Seed</t>
        </is>
      </c>
      <c r="J3734" t="inlineStr">
        <is>
          <t>V3 Ventures</t>
        </is>
      </c>
      <c r="K3734" t="inlineStr">
        <is>
          <t>https://entrackr.com/snippets/haircare-startup-xtovia-raises-pre-seed-funding-led-by-v3-ventures-12047086</t>
        </is>
      </c>
    </row>
    <row r="3735">
      <c r="A3735" t="inlineStr">
        <is>
          <t>ET-131794753</t>
        </is>
      </c>
      <c r="B3735" t="inlineStr">
        <is>
          <t>R260617-xtovia</t>
        </is>
      </c>
      <c r="C3735" t="inlineStr">
        <is>
          <t>The Economic Times</t>
        </is>
      </c>
      <c r="D3735" s="17" t="n">
        <v>46190</v>
      </c>
      <c r="E3735" t="inlineStr">
        <is>
          <t>Xtovia</t>
        </is>
      </c>
      <c r="F3735" t="inlineStr">
        <is>
          <t>Rs 6.9 crore</t>
        </is>
      </c>
      <c r="G3735" s="19" t="n">
        <v>6.9</v>
      </c>
      <c r="H3735" s="19" t="n"/>
      <c r="I3735" t="inlineStr">
        <is>
          <t>Pre-Seed</t>
        </is>
      </c>
      <c r="J3735" t="inlineStr">
        <is>
          <t>V3 Ventures</t>
        </is>
      </c>
      <c r="K3735" t="inlineStr">
        <is>
          <t>https://economictimes.indiatimes.com/tech/funding/haircare-startup-xtovia-raises-rs-6-9-crore-led-by-v3-ventures/articleshow/131794753.cms</t>
        </is>
      </c>
    </row>
    <row r="3736">
      <c r="A3736" t="inlineStr">
        <is>
          <t>INC-20260620-16</t>
        </is>
      </c>
      <c r="B3736" t="inlineStr">
        <is>
          <t>R260617-xtovia</t>
        </is>
      </c>
      <c r="C3736" t="inlineStr">
        <is>
          <t>Inc42</t>
        </is>
      </c>
      <c r="D3736" s="17" t="n">
        <v>46190</v>
      </c>
      <c r="E3736" t="inlineStr">
        <is>
          <t>Xtovia</t>
        </is>
      </c>
      <c r="F3736" t="inlineStr">
        <is>
          <t>$731K</t>
        </is>
      </c>
      <c r="G3736" s="19" t="n"/>
      <c r="H3736" s="19" t="n">
        <v>0.731</v>
      </c>
      <c r="I3736" t="inlineStr">
        <is>
          <t>Pre-Seed</t>
        </is>
      </c>
      <c r="J3736" t="inlineStr">
        <is>
          <t>V3 Ventures</t>
        </is>
      </c>
      <c r="K3736" t="inlineStr">
        <is>
          <t>https://inc42.com/buzz/from-sarvam-to-influish-indian-startups-raised-426-mn-this-week/</t>
        </is>
      </c>
    </row>
    <row r="3737">
      <c r="A3737" t="inlineStr">
        <is>
          <t>ENT-12050427</t>
        </is>
      </c>
      <c r="B3737" t="inlineStr">
        <is>
          <t>R260618-karosambhav</t>
        </is>
      </c>
      <c r="C3737" t="inlineStr">
        <is>
          <t>Entrackr</t>
        </is>
      </c>
      <c r="D3737" s="17" t="n">
        <v>46191</v>
      </c>
      <c r="E3737" t="inlineStr">
        <is>
          <t>Karo Sambhav</t>
        </is>
      </c>
      <c r="F3737" t="inlineStr">
        <is>
          <t>Rs 56 crore</t>
        </is>
      </c>
      <c r="G3737" s="19" t="n">
        <v>56</v>
      </c>
      <c r="H3737" s="19" t="n">
        <v>6</v>
      </c>
      <c r="I3737" t="inlineStr">
        <is>
          <t>Pre-Series A</t>
        </is>
      </c>
      <c r="J3737" t="inlineStr">
        <is>
          <t>Rainmatter</t>
        </is>
      </c>
      <c r="K3737" t="inlineStr">
        <is>
          <t>https://entrackr.com/snippets/karo-sambhav-raises-rs-56-cr-in-pre-series-a-round-led-by-rainmatter-12050427</t>
        </is>
      </c>
    </row>
    <row r="3738">
      <c r="A3738" t="inlineStr">
        <is>
          <t>ET-131835309</t>
        </is>
      </c>
      <c r="B3738" t="inlineStr">
        <is>
          <t>R260618-karosambhav</t>
        </is>
      </c>
      <c r="C3738" t="inlineStr">
        <is>
          <t>The Economic Times</t>
        </is>
      </c>
      <c r="D3738" s="17" t="n">
        <v>46191</v>
      </c>
      <c r="E3738" t="inlineStr">
        <is>
          <t>Karo Sambhav</t>
        </is>
      </c>
      <c r="F3738" t="inlineStr">
        <is>
          <t>Rs 56 crore</t>
        </is>
      </c>
      <c r="G3738" s="19" t="n">
        <v>56</v>
      </c>
      <c r="H3738" s="19" t="n"/>
      <c r="I3738" t="inlineStr">
        <is>
          <t>Undisclosed</t>
        </is>
      </c>
      <c r="J3738" t="inlineStr"/>
      <c r="K3738" t="inlineStr">
        <is>
          <t>https://economictimes.indiatimes.com/tech/funding/karo-sambhav-raises-rs-56-crore-from-rainmatter-to-expand-critical-mineral-recovery-from-e-waste/articleshow/131835309.cms</t>
        </is>
      </c>
    </row>
    <row r="3739">
      <c r="A3739" t="inlineStr">
        <is>
          <t>INC-20260620-08</t>
        </is>
      </c>
      <c r="B3739" t="inlineStr">
        <is>
          <t>R260618-karosambhav</t>
        </is>
      </c>
      <c r="C3739" t="inlineStr">
        <is>
          <t>Inc42</t>
        </is>
      </c>
      <c r="D3739" s="17" t="n">
        <v>46191</v>
      </c>
      <c r="E3739" t="inlineStr">
        <is>
          <t>Karo Sambhav</t>
        </is>
      </c>
      <c r="F3739" t="inlineStr">
        <is>
          <t>$5.9 Mn</t>
        </is>
      </c>
      <c r="G3739" s="19" t="n"/>
      <c r="H3739" s="19" t="n">
        <v>5.9</v>
      </c>
      <c r="I3739" t="inlineStr">
        <is>
          <t>Pre-Series A</t>
        </is>
      </c>
      <c r="J3739" t="inlineStr">
        <is>
          <t>Rainmatter</t>
        </is>
      </c>
      <c r="K3739" t="inlineStr">
        <is>
          <t>https://inc42.com/buzz/from-sarvam-to-influish-indian-startups-raised-426-mn-this-week/</t>
        </is>
      </c>
    </row>
    <row r="3740">
      <c r="A3740" t="inlineStr">
        <is>
          <t>ENT-12050381</t>
        </is>
      </c>
      <c r="B3740" t="inlineStr">
        <is>
          <t>R260618-ruskmedia</t>
        </is>
      </c>
      <c r="C3740" t="inlineStr">
        <is>
          <t>Entrackr</t>
        </is>
      </c>
      <c r="D3740" s="17" t="n">
        <v>46191</v>
      </c>
      <c r="E3740" t="inlineStr">
        <is>
          <t>Rusk Media</t>
        </is>
      </c>
      <c r="F3740" t="inlineStr">
        <is>
          <t>Rs 100 crore</t>
        </is>
      </c>
      <c r="G3740" s="19" t="n">
        <v>100</v>
      </c>
      <c r="H3740" s="19" t="n">
        <v>10.6</v>
      </c>
      <c r="I3740" t="inlineStr">
        <is>
          <t>Pre-Series C</t>
        </is>
      </c>
      <c r="J3740" t="inlineStr">
        <is>
          <t>Nazara Technologies; Audacity VC</t>
        </is>
      </c>
      <c r="K3740" t="inlineStr">
        <is>
          <t>https://entrackr.com/news/rusk-media-raises-rs-100-cr-in-pre-series-c-round-led-by-nazara-technologies-12050381</t>
        </is>
      </c>
    </row>
    <row r="3741">
      <c r="A3741" t="inlineStr">
        <is>
          <t>ET-131829583</t>
        </is>
      </c>
      <c r="B3741" t="inlineStr">
        <is>
          <t>R260618-ruskmedia</t>
        </is>
      </c>
      <c r="C3741" t="inlineStr">
        <is>
          <t>The Economic Times</t>
        </is>
      </c>
      <c r="D3741" s="17" t="n">
        <v>46191</v>
      </c>
      <c r="E3741" t="inlineStr">
        <is>
          <t>Rusk Media</t>
        </is>
      </c>
      <c r="F3741" t="inlineStr">
        <is>
          <t>Rs 100 crore</t>
        </is>
      </c>
      <c r="G3741" s="19" t="n">
        <v>100</v>
      </c>
      <c r="H3741" s="19" t="n"/>
      <c r="I3741" t="inlineStr">
        <is>
          <t>Pre-Series C</t>
        </is>
      </c>
      <c r="J3741" t="inlineStr">
        <is>
          <t>Nazara Technologies; Audacity VC.Following the investment</t>
        </is>
      </c>
      <c r="K3741" t="inlineStr">
        <is>
          <t>https://economictimes.indiatimes.com/tech/funding/digital-entertainment-firm-rusk-media-bags-rs-100-crore-in-funding-led-by-nazara-tech/articleshow/131829583.cms</t>
        </is>
      </c>
    </row>
    <row r="3742">
      <c r="A3742" t="inlineStr">
        <is>
          <t>INC-20260620-06</t>
        </is>
      </c>
      <c r="B3742" t="inlineStr">
        <is>
          <t>R260618-ruskmedia</t>
        </is>
      </c>
      <c r="C3742" t="inlineStr">
        <is>
          <t>Inc42</t>
        </is>
      </c>
      <c r="D3742" s="17" t="n">
        <v>46191</v>
      </c>
      <c r="E3742" t="inlineStr">
        <is>
          <t>Rusk Media</t>
        </is>
      </c>
      <c r="F3742" t="inlineStr">
        <is>
          <t>$10.6 Mn</t>
        </is>
      </c>
      <c r="G3742" s="19" t="n"/>
      <c r="H3742" s="19" t="n">
        <v>10.6</v>
      </c>
      <c r="I3742" t="inlineStr">
        <is>
          <t>Pre-Series C</t>
        </is>
      </c>
      <c r="J3742" t="inlineStr">
        <is>
          <t>Nazara Technologies</t>
        </is>
      </c>
      <c r="K3742" t="inlineStr">
        <is>
          <t>https://inc42.com/buzz/from-sarvam-to-influish-indian-startups-raised-426-mn-this-week/</t>
        </is>
      </c>
    </row>
    <row r="3743">
      <c r="A3743" t="inlineStr">
        <is>
          <t>VCC-3697d980bc</t>
        </is>
      </c>
      <c r="B3743" t="inlineStr">
        <is>
          <t>R260618-ruskmedia</t>
        </is>
      </c>
      <c r="C3743" t="inlineStr">
        <is>
          <t>VCCircle</t>
        </is>
      </c>
      <c r="D3743" s="17" t="n">
        <v>46191</v>
      </c>
      <c r="E3743" t="inlineStr">
        <is>
          <t>vcbacked rusk media</t>
        </is>
      </c>
      <c r="F3743" t="inlineStr"/>
      <c r="G3743" s="19" t="n"/>
      <c r="H3743" s="19" t="n"/>
      <c r="I3743" t="inlineStr">
        <is>
          <t>Undisclosed</t>
        </is>
      </c>
      <c r="J3743" t="inlineStr"/>
      <c r="K3743" t="inlineStr">
        <is>
          <t>https://www.vccircle.com/vcbacked-rusk-media-gets-a-valuation-bump-as-it-raises-fresh-funding</t>
        </is>
      </c>
    </row>
    <row r="3744">
      <c r="A3744" t="inlineStr">
        <is>
          <t>ENT-12050073</t>
        </is>
      </c>
      <c r="B3744" t="inlineStr">
        <is>
          <t>R260618-tringbox</t>
        </is>
      </c>
      <c r="C3744" t="inlineStr">
        <is>
          <t>Entrackr</t>
        </is>
      </c>
      <c r="D3744" s="17" t="n">
        <v>46191</v>
      </c>
      <c r="E3744" t="inlineStr">
        <is>
          <t>Tringbox</t>
        </is>
      </c>
      <c r="F3744" t="inlineStr">
        <is>
          <t>Rs 5 crore</t>
        </is>
      </c>
      <c r="G3744" s="19" t="n">
        <v>5</v>
      </c>
      <c r="H3744" s="19" t="n"/>
      <c r="I3744" t="inlineStr">
        <is>
          <t>Seed</t>
        </is>
      </c>
      <c r="J3744" t="inlineStr">
        <is>
          <t>Nikhil Gandhi through GIPL</t>
        </is>
      </c>
      <c r="K3744" t="inlineStr">
        <is>
          <t>https://entrackr.com/snippets/music-tech-startup-tringbox-raises-rs-5-cr-in-seed-round-12050073</t>
        </is>
      </c>
    </row>
    <row r="3745">
      <c r="A3745" t="inlineStr">
        <is>
          <t>ET-131831709</t>
        </is>
      </c>
      <c r="B3745" t="inlineStr">
        <is>
          <t>R260618-tringbox</t>
        </is>
      </c>
      <c r="C3745" t="inlineStr">
        <is>
          <t>The Economic Times</t>
        </is>
      </c>
      <c r="D3745" s="17" t="n">
        <v>46191</v>
      </c>
      <c r="E3745" t="inlineStr">
        <is>
          <t>Tringbox</t>
        </is>
      </c>
      <c r="F3745" t="inlineStr">
        <is>
          <t>Rs 5 crore</t>
        </is>
      </c>
      <c r="G3745" s="19" t="n">
        <v>5</v>
      </c>
      <c r="H3745" s="19" t="n"/>
      <c r="I3745" t="inlineStr">
        <is>
          <t>Seed</t>
        </is>
      </c>
      <c r="J3745" t="inlineStr">
        <is>
          <t>Nikhil Gandhi through GIPL</t>
        </is>
      </c>
      <c r="K3745" t="inlineStr">
        <is>
          <t>https://economictimes.indiatimes.com/tech/funding/ai-music-startup-tringbox-raises-rs-5-crore-in-seed-funding/articleshow/131831709.cms</t>
        </is>
      </c>
    </row>
    <row r="3746">
      <c r="A3746" t="inlineStr">
        <is>
          <t>INC-20260620-18</t>
        </is>
      </c>
      <c r="B3746" t="inlineStr">
        <is>
          <t>R260618-tringbox</t>
        </is>
      </c>
      <c r="C3746" t="inlineStr">
        <is>
          <t>Inc42</t>
        </is>
      </c>
      <c r="D3746" s="17" t="n">
        <v>46191</v>
      </c>
      <c r="E3746" t="inlineStr">
        <is>
          <t>Tringbox</t>
        </is>
      </c>
      <c r="F3746" t="inlineStr">
        <is>
          <t>$530K</t>
        </is>
      </c>
      <c r="G3746" s="19" t="n"/>
      <c r="H3746" s="19" t="n">
        <v>0.53</v>
      </c>
      <c r="I3746" t="inlineStr">
        <is>
          <t>Seed</t>
        </is>
      </c>
      <c r="J3746" t="inlineStr">
        <is>
          <t>Nikhil Gandhi</t>
        </is>
      </c>
      <c r="K3746" t="inlineStr">
        <is>
          <t>https://inc42.com/buzz/from-sarvam-to-influish-indian-startups-raised-426-mn-this-week/</t>
        </is>
      </c>
    </row>
    <row r="3747">
      <c r="A3747" t="inlineStr">
        <is>
          <t>ENT-12049404</t>
        </is>
      </c>
      <c r="B3747" t="inlineStr">
        <is>
          <t>R260618-vetic</t>
        </is>
      </c>
      <c r="C3747" t="inlineStr">
        <is>
          <t>Entrackr</t>
        </is>
      </c>
      <c r="D3747" s="17" t="n">
        <v>46191</v>
      </c>
      <c r="E3747" t="inlineStr">
        <is>
          <t>Vetic</t>
        </is>
      </c>
      <c r="F3747" t="inlineStr">
        <is>
          <t>$40 million</t>
        </is>
      </c>
      <c r="G3747" s="19" t="n"/>
      <c r="H3747" s="19" t="n">
        <v>40</v>
      </c>
      <c r="I3747" t="inlineStr">
        <is>
          <t>Undisclosed</t>
        </is>
      </c>
      <c r="J3747" t="inlineStr">
        <is>
          <t>Bessemer Venture Partners</t>
        </is>
      </c>
      <c r="K3747" t="inlineStr">
        <is>
          <t>https://entrackr.com/news/pet-healthcare-startup-vetic-raises-40-mn-led-by-bessemer-12049404</t>
        </is>
      </c>
    </row>
    <row r="3748">
      <c r="A3748" t="inlineStr">
        <is>
          <t>ET-131805965</t>
        </is>
      </c>
      <c r="B3748" t="inlineStr">
        <is>
          <t>R260618-vetic</t>
        </is>
      </c>
      <c r="C3748" t="inlineStr">
        <is>
          <t>The Economic Times</t>
        </is>
      </c>
      <c r="D3748" s="17" t="n">
        <v>46191</v>
      </c>
      <c r="E3748" t="inlineStr">
        <is>
          <t>Vetic</t>
        </is>
      </c>
      <c r="F3748" t="inlineStr">
        <is>
          <t>$40 million</t>
        </is>
      </c>
      <c r="G3748" s="19" t="n"/>
      <c r="H3748" s="19" t="n">
        <v>40</v>
      </c>
      <c r="I3748" t="inlineStr">
        <is>
          <t>Undisclosed</t>
        </is>
      </c>
      <c r="J3748" t="inlineStr">
        <is>
          <t>Bessemer Venture Partners</t>
        </is>
      </c>
      <c r="K3748" t="inlineStr">
        <is>
          <t>https://economictimes.indiatimes.com/tech/funding/pet-care-firm-vetic-raises-40-million-led-by-bessemer-venture-partners/articleshow/131805965.cms</t>
        </is>
      </c>
    </row>
    <row r="3749">
      <c r="A3749" t="inlineStr">
        <is>
          <t>INC-20260620-03</t>
        </is>
      </c>
      <c r="B3749" t="inlineStr">
        <is>
          <t>R260618-vetic</t>
        </is>
      </c>
      <c r="C3749" t="inlineStr">
        <is>
          <t>Inc42</t>
        </is>
      </c>
      <c r="D3749" s="17" t="n">
        <v>46191</v>
      </c>
      <c r="E3749" t="inlineStr">
        <is>
          <t>Vetic</t>
        </is>
      </c>
      <c r="F3749" t="inlineStr">
        <is>
          <t>$40 Mn</t>
        </is>
      </c>
      <c r="G3749" s="19" t="n"/>
      <c r="H3749" s="19" t="n">
        <v>40</v>
      </c>
      <c r="I3749" t="inlineStr">
        <is>
          <t>Undisclosed</t>
        </is>
      </c>
      <c r="J3749" t="inlineStr">
        <is>
          <t>Bessemer Venture Partners</t>
        </is>
      </c>
      <c r="K3749" t="inlineStr">
        <is>
          <t>https://inc42.com/buzz/from-sarvam-to-influish-indian-startups-raised-426-mn-this-week/</t>
        </is>
      </c>
    </row>
    <row r="3750">
      <c r="A3750" t="inlineStr">
        <is>
          <t>VCC-d7d91ad0b6</t>
        </is>
      </c>
      <c r="B3750" t="inlineStr">
        <is>
          <t>R260618-vetic</t>
        </is>
      </c>
      <c r="C3750" t="inlineStr">
        <is>
          <t>VCCircle</t>
        </is>
      </c>
      <c r="D3750" s="17" t="n">
        <v>46191</v>
      </c>
      <c r="E3750" t="inlineStr">
        <is>
          <t>vetic</t>
        </is>
      </c>
      <c r="F3750" t="inlineStr">
        <is>
          <t>$ 40 million</t>
        </is>
      </c>
      <c r="G3750" s="19" t="n"/>
      <c r="H3750" s="19" t="n">
        <v>40</v>
      </c>
      <c r="I3750" t="inlineStr">
        <is>
          <t>Undisclosed</t>
        </is>
      </c>
      <c r="J3750" t="inlineStr"/>
      <c r="K3750" t="inlineStr">
        <is>
          <t>https://www.vccircle.com/bessemerventure-partners-leads-40-mn-funding-in-petcare-startup-vetic</t>
        </is>
      </c>
    </row>
    <row r="3751">
      <c r="A3751" t="inlineStr">
        <is>
          <t>ENT-12052859</t>
        </is>
      </c>
      <c r="B3751" t="inlineStr">
        <is>
          <t>R260619-emoenergy</t>
        </is>
      </c>
      <c r="C3751" t="inlineStr">
        <is>
          <t>Entrackr</t>
        </is>
      </c>
      <c r="D3751" s="17" t="n">
        <v>46192</v>
      </c>
      <c r="E3751" t="inlineStr">
        <is>
          <t>EMO Energy</t>
        </is>
      </c>
      <c r="F3751" t="inlineStr">
        <is>
          <t>Rs 59 crore</t>
        </is>
      </c>
      <c r="G3751" s="19" t="n">
        <v>59</v>
      </c>
      <c r="H3751" s="19" t="n">
        <v>6.2</v>
      </c>
      <c r="I3751" t="inlineStr">
        <is>
          <t>Pre-Series B</t>
        </is>
      </c>
      <c r="J3751" t="inlineStr">
        <is>
          <t>Raghav Capital</t>
        </is>
      </c>
      <c r="K3751" t="inlineStr">
        <is>
          <t>https://entrackr.com/exclusive/exclusive-emo-energys-valuation-jumps-43x-to-rs-860-cr-in-pre-series-b-round-12052859</t>
        </is>
      </c>
    </row>
    <row r="3752">
      <c r="A3752" t="inlineStr">
        <is>
          <t>ENT-12056152</t>
        </is>
      </c>
      <c r="B3752" t="inlineStr">
        <is>
          <t>R260620-recykal</t>
        </is>
      </c>
      <c r="C3752" t="inlineStr">
        <is>
          <t>Entrackr</t>
        </is>
      </c>
      <c r="D3752" s="17" t="n">
        <v>46193</v>
      </c>
      <c r="E3752" t="inlineStr">
        <is>
          <t>Recykal</t>
        </is>
      </c>
      <c r="F3752" t="inlineStr">
        <is>
          <t>$23 million</t>
        </is>
      </c>
      <c r="G3752" s="19" t="n"/>
      <c r="H3752" s="19" t="n">
        <v>23</v>
      </c>
      <c r="I3752" t="inlineStr">
        <is>
          <t>Bridge</t>
        </is>
      </c>
      <c r="J3752" t="inlineStr"/>
      <c r="K3752" t="inlineStr">
        <is>
          <t>https://entrackr.com/exclusive/exclusive-morgan-stanley-backed-recykal-raises-18-mn-at-280-mn-valuation-12056152</t>
        </is>
      </c>
    </row>
    <row r="3753">
      <c r="A3753" t="inlineStr">
        <is>
          <t>INC-20260627-04</t>
        </is>
      </c>
      <c r="B3753" t="inlineStr">
        <is>
          <t>R260620-recykal</t>
        </is>
      </c>
      <c r="C3753" t="inlineStr">
        <is>
          <t>Inc42</t>
        </is>
      </c>
      <c r="D3753" s="17" t="n">
        <v>46194</v>
      </c>
      <c r="E3753" t="inlineStr">
        <is>
          <t>Recykal</t>
        </is>
      </c>
      <c r="F3753" t="inlineStr">
        <is>
          <t>$23 Mn</t>
        </is>
      </c>
      <c r="G3753" s="19" t="n"/>
      <c r="H3753" s="19" t="n">
        <v>23</v>
      </c>
      <c r="I3753" t="inlineStr">
        <is>
          <t>Undisclosed</t>
        </is>
      </c>
      <c r="J3753" t="inlineStr"/>
      <c r="K3753" t="inlineStr">
        <is>
          <t>https://inc42.com/buzz/from-cred-to-square-yards-indian-startups-raised-1-1-bn-this-week/</t>
        </is>
      </c>
    </row>
    <row r="3754">
      <c r="A3754" t="inlineStr">
        <is>
          <t>VCC-aa1bf22122</t>
        </is>
      </c>
      <c r="B3754" t="inlineStr">
        <is>
          <t>R260620-recykal</t>
        </is>
      </c>
      <c r="C3754" t="inlineStr">
        <is>
          <t>VCCircle</t>
        </is>
      </c>
      <c r="D3754" s="17" t="n">
        <v>46195</v>
      </c>
      <c r="E3754" t="inlineStr">
        <is>
          <t>recykal</t>
        </is>
      </c>
      <c r="F3754" t="inlineStr">
        <is>
          <t>$ 23 million</t>
        </is>
      </c>
      <c r="G3754" s="19" t="n"/>
      <c r="H3754" s="19" t="n">
        <v>23</v>
      </c>
      <c r="I3754" t="inlineStr">
        <is>
          <t>Bridge</t>
        </is>
      </c>
      <c r="J3754" t="inlineStr"/>
      <c r="K3754" t="inlineStr">
        <is>
          <t>https://www.vccircle.com/wastetech-startup-recykal-bags-23-mn-in-bridge-funding-circulate-capital-exits</t>
        </is>
      </c>
    </row>
    <row r="3755">
      <c r="A3755" t="inlineStr">
        <is>
          <t>ENT-12063066</t>
        </is>
      </c>
      <c r="B3755" t="inlineStr">
        <is>
          <t>R260622-cred</t>
        </is>
      </c>
      <c r="C3755" t="inlineStr">
        <is>
          <t>Entrackr</t>
        </is>
      </c>
      <c r="D3755" s="17" t="n">
        <v>46195</v>
      </c>
      <c r="E3755" t="inlineStr">
        <is>
          <t>CRED</t>
        </is>
      </c>
      <c r="F3755" t="inlineStr">
        <is>
          <t>$900 million</t>
        </is>
      </c>
      <c r="G3755" s="19" t="n">
        <v>8550</v>
      </c>
      <c r="H3755" s="19" t="n">
        <v>900</v>
      </c>
      <c r="I3755" t="inlineStr">
        <is>
          <t>Undisclosed</t>
        </is>
      </c>
      <c r="J3755" t="inlineStr"/>
      <c r="K3755" t="inlineStr">
        <is>
          <t>https://entrackr.com/news/meta-invests-900-mn-in-cred-kunal-shah-to-lead-whatsapp-globally-12063066</t>
        </is>
      </c>
    </row>
    <row r="3756">
      <c r="A3756" t="inlineStr">
        <is>
          <t>INC-20260627-01</t>
        </is>
      </c>
      <c r="B3756" t="inlineStr">
        <is>
          <t>R260622-cred</t>
        </is>
      </c>
      <c r="C3756" t="inlineStr">
        <is>
          <t>Inc42</t>
        </is>
      </c>
      <c r="D3756" s="17" t="n">
        <v>46195</v>
      </c>
      <c r="E3756" t="inlineStr">
        <is>
          <t>CRED</t>
        </is>
      </c>
      <c r="F3756" t="inlineStr">
        <is>
          <t>$900 Mn</t>
        </is>
      </c>
      <c r="G3756" s="19" t="n"/>
      <c r="H3756" s="19" t="n">
        <v>900</v>
      </c>
      <c r="I3756" t="inlineStr">
        <is>
          <t>Series H+</t>
        </is>
      </c>
      <c r="J3756" t="inlineStr">
        <is>
          <t>Meta</t>
        </is>
      </c>
      <c r="K3756" t="inlineStr">
        <is>
          <t>https://inc42.com/buzz/from-cred-to-square-yards-indian-startups-raised-1-1-bn-this-week/</t>
        </is>
      </c>
    </row>
    <row r="3757">
      <c r="A3757" t="inlineStr">
        <is>
          <t>VCC-bbf41ed1a7</t>
        </is>
      </c>
      <c r="B3757" t="inlineStr">
        <is>
          <t>R260622-cred</t>
        </is>
      </c>
      <c r="C3757" t="inlineStr">
        <is>
          <t>VCCircle</t>
        </is>
      </c>
      <c r="D3757" s="17" t="n">
        <v>46195</v>
      </c>
      <c r="E3757" t="inlineStr">
        <is>
          <t>cred names kunal shah whatsapp s global ceo</t>
        </is>
      </c>
      <c r="F3757" t="inlineStr">
        <is>
          <t>$ 900 million</t>
        </is>
      </c>
      <c r="G3757" s="19" t="n"/>
      <c r="H3757" s="19" t="n">
        <v>900</v>
      </c>
      <c r="I3757" t="inlineStr">
        <is>
          <t>Undisclosed</t>
        </is>
      </c>
      <c r="J3757" t="inlineStr"/>
      <c r="K3757" t="inlineStr">
        <is>
          <t>https://www.vccircle.com/metato-invest-900-mn-in-cred-names-kunal-shah-whatsapp-s-global-ceo</t>
        </is>
      </c>
    </row>
    <row r="3758">
      <c r="A3758" t="inlineStr">
        <is>
          <t>ENT-12065634</t>
        </is>
      </c>
      <c r="B3758" t="inlineStr">
        <is>
          <t>R260623-bharattender</t>
        </is>
      </c>
      <c r="C3758" t="inlineStr">
        <is>
          <t>Entrackr</t>
        </is>
      </c>
      <c r="D3758" s="17" t="n">
        <v>46196</v>
      </c>
      <c r="E3758" t="inlineStr">
        <is>
          <t>BharatTender</t>
        </is>
      </c>
      <c r="F3758" t="inlineStr">
        <is>
          <t>Rs 1.25 crore</t>
        </is>
      </c>
      <c r="G3758" s="19" t="n">
        <v>1.25</v>
      </c>
      <c r="H3758" s="19" t="n"/>
      <c r="I3758" t="inlineStr">
        <is>
          <t>Pre-Seed</t>
        </is>
      </c>
      <c r="J3758" t="inlineStr"/>
      <c r="K3758" t="inlineStr">
        <is>
          <t>https://entrackr.com/snippets/b2b-procurement-tech-platform-bharattender-raises-pre-seed-round-12065634</t>
        </is>
      </c>
    </row>
    <row r="3759">
      <c r="A3759" t="inlineStr">
        <is>
          <t>INC-20260627-16</t>
        </is>
      </c>
      <c r="B3759" t="inlineStr">
        <is>
          <t>R260623-bharattender</t>
        </is>
      </c>
      <c r="C3759" t="inlineStr">
        <is>
          <t>Inc42</t>
        </is>
      </c>
      <c r="D3759" s="17" t="n">
        <v>46196</v>
      </c>
      <c r="E3759" t="inlineStr">
        <is>
          <t>BharatTender</t>
        </is>
      </c>
      <c r="F3759" t="inlineStr">
        <is>
          <t>$132K</t>
        </is>
      </c>
      <c r="G3759" s="19" t="n"/>
      <c r="H3759" s="19" t="n">
        <v>0.132</v>
      </c>
      <c r="I3759" t="inlineStr">
        <is>
          <t>Pre-Seed</t>
        </is>
      </c>
      <c r="J3759" t="inlineStr"/>
      <c r="K3759" t="inlineStr">
        <is>
          <t>https://inc42.com/buzz/from-cred-to-square-yards-indian-startups-raised-1-1-bn-this-week/</t>
        </is>
      </c>
    </row>
    <row r="3760">
      <c r="A3760" t="inlineStr">
        <is>
          <t>ENT-12065382</t>
        </is>
      </c>
      <c r="B3760" t="inlineStr">
        <is>
          <t>R260623-lillbud</t>
        </is>
      </c>
      <c r="C3760" t="inlineStr">
        <is>
          <t>Entrackr</t>
        </is>
      </c>
      <c r="D3760" s="17" t="n">
        <v>46196</v>
      </c>
      <c r="E3760" t="inlineStr">
        <is>
          <t>LiLLBUD</t>
        </is>
      </c>
      <c r="F3760" t="inlineStr">
        <is>
          <t>Rs 6 crore</t>
        </is>
      </c>
      <c r="G3760" s="19" t="n">
        <v>6</v>
      </c>
      <c r="H3760" s="19" t="n"/>
      <c r="I3760" t="inlineStr">
        <is>
          <t>Seed</t>
        </is>
      </c>
      <c r="J3760" t="inlineStr">
        <is>
          <t>Zeropearl VC</t>
        </is>
      </c>
      <c r="K3760" t="inlineStr">
        <is>
          <t>https://entrackr.com/snippets/toys-startup-lillbud-raises-seed-round-led-by-zeropearl-vc-12065382</t>
        </is>
      </c>
    </row>
    <row r="3761">
      <c r="A3761" t="inlineStr">
        <is>
          <t>ENT-12064009</t>
        </is>
      </c>
      <c r="B3761" t="inlineStr">
        <is>
          <t>R260623-mitigata</t>
        </is>
      </c>
      <c r="C3761" t="inlineStr">
        <is>
          <t>Entrackr</t>
        </is>
      </c>
      <c r="D3761" s="17" t="n">
        <v>46196</v>
      </c>
      <c r="E3761" t="inlineStr">
        <is>
          <t>Mitigata</t>
        </is>
      </c>
      <c r="F3761" t="inlineStr">
        <is>
          <t>$15 million</t>
        </is>
      </c>
      <c r="G3761" s="19" t="n"/>
      <c r="H3761" s="19" t="n">
        <v>15</v>
      </c>
      <c r="I3761" t="inlineStr">
        <is>
          <t>Series B</t>
        </is>
      </c>
      <c r="J3761" t="inlineStr">
        <is>
          <t>Bessemer Venture Partners</t>
        </is>
      </c>
      <c r="K3761" t="inlineStr">
        <is>
          <t>https://entrackr.com/news/cyber-resilience-startup-mitigata-raises-15-mn-in-series-b-round-led-by-bessemer-12064009</t>
        </is>
      </c>
    </row>
    <row r="3762">
      <c r="A3762" t="inlineStr">
        <is>
          <t>INC-20260627-07</t>
        </is>
      </c>
      <c r="B3762" t="inlineStr">
        <is>
          <t>R260623-mitigata</t>
        </is>
      </c>
      <c r="C3762" t="inlineStr">
        <is>
          <t>Inc42</t>
        </is>
      </c>
      <c r="D3762" s="17" t="n">
        <v>46196</v>
      </c>
      <c r="E3762" t="inlineStr">
        <is>
          <t>Mitigata</t>
        </is>
      </c>
      <c r="F3762" t="inlineStr">
        <is>
          <t>$15 Mn</t>
        </is>
      </c>
      <c r="G3762" s="19" t="n"/>
      <c r="H3762" s="19" t="n">
        <v>15</v>
      </c>
      <c r="I3762" t="inlineStr">
        <is>
          <t>Series B</t>
        </is>
      </c>
      <c r="J3762" t="inlineStr">
        <is>
          <t>Bessemer Venture Partners</t>
        </is>
      </c>
      <c r="K3762" t="inlineStr">
        <is>
          <t>https://inc42.com/buzz/from-cred-to-square-yards-indian-startups-raised-1-1-bn-this-week/</t>
        </is>
      </c>
    </row>
    <row r="3763">
      <c r="A3763" t="inlineStr">
        <is>
          <t>VCC-e6988334d3</t>
        </is>
      </c>
      <c r="B3763" t="inlineStr">
        <is>
          <t>R260623-mitigata</t>
        </is>
      </c>
      <c r="C3763" t="inlineStr">
        <is>
          <t>VCCircle</t>
        </is>
      </c>
      <c r="D3763" s="17" t="n">
        <v>46196</v>
      </c>
      <c r="E3763" t="inlineStr">
        <is>
          <t>mitigata</t>
        </is>
      </c>
      <c r="F3763" t="inlineStr">
        <is>
          <t>$ 15 million</t>
        </is>
      </c>
      <c r="G3763" s="19" t="n"/>
      <c r="H3763" s="19" t="n">
        <v>15</v>
      </c>
      <c r="I3763" t="inlineStr">
        <is>
          <t>Undisclosed</t>
        </is>
      </c>
      <c r="J3763" t="inlineStr"/>
      <c r="K3763" t="inlineStr">
        <is>
          <t>https://www.vccircle.com/bessemerventure-partners-backs-cybersecurity-firm-mitigata-in-15-mn-funding-round</t>
        </is>
      </c>
    </row>
    <row r="3764">
      <c r="A3764" t="inlineStr">
        <is>
          <t>ENT-12065333</t>
        </is>
      </c>
      <c r="B3764" t="inlineStr">
        <is>
          <t>R260623-sherlocksai</t>
        </is>
      </c>
      <c r="C3764" t="inlineStr">
        <is>
          <t>Entrackr</t>
        </is>
      </c>
      <c r="D3764" s="17" t="n">
        <v>46196</v>
      </c>
      <c r="E3764" t="inlineStr">
        <is>
          <t>Sherlocks AI</t>
        </is>
      </c>
      <c r="F3764" t="inlineStr">
        <is>
          <t>Rs 7.5 crore</t>
        </is>
      </c>
      <c r="G3764" s="19" t="n">
        <v>7.5</v>
      </c>
      <c r="H3764" s="19" t="n"/>
      <c r="I3764" t="inlineStr">
        <is>
          <t>Pre-Seed</t>
        </is>
      </c>
      <c r="J3764" t="inlineStr">
        <is>
          <t>SenseAI Ventures</t>
        </is>
      </c>
      <c r="K3764" t="inlineStr">
        <is>
          <t>https://entrackr.com/snippets/sherlocks-ai-raises-rs-75-cr-in-pre-seed-round-led-by-senseai-ventures-12065333</t>
        </is>
      </c>
    </row>
    <row r="3765">
      <c r="A3765" t="inlineStr">
        <is>
          <t>INC-20260627-15</t>
        </is>
      </c>
      <c r="B3765" t="inlineStr">
        <is>
          <t>R260623-sherlocksai</t>
        </is>
      </c>
      <c r="C3765" t="inlineStr">
        <is>
          <t>Inc42</t>
        </is>
      </c>
      <c r="D3765" s="17" t="n">
        <v>46196</v>
      </c>
      <c r="E3765" t="inlineStr">
        <is>
          <t>Sherlocks AI</t>
        </is>
      </c>
      <c r="F3765" t="inlineStr">
        <is>
          <t>$795K</t>
        </is>
      </c>
      <c r="G3765" s="19" t="n"/>
      <c r="H3765" s="19" t="n">
        <v>0.795</v>
      </c>
      <c r="I3765" t="inlineStr">
        <is>
          <t>Pre-Seed</t>
        </is>
      </c>
      <c r="J3765" t="inlineStr">
        <is>
          <t>SenseAI Ventures</t>
        </is>
      </c>
      <c r="K3765" t="inlineStr">
        <is>
          <t>https://inc42.com/buzz/from-cred-to-square-yards-indian-startups-raised-1-1-bn-this-week/</t>
        </is>
      </c>
    </row>
    <row r="3766">
      <c r="A3766" t="inlineStr">
        <is>
          <t>INC-20260627-02</t>
        </is>
      </c>
      <c r="B3766" t="inlineStr">
        <is>
          <t>R260623-squareyards</t>
        </is>
      </c>
      <c r="C3766" t="inlineStr">
        <is>
          <t>Inc42</t>
        </is>
      </c>
      <c r="D3766" s="17" t="n">
        <v>46196</v>
      </c>
      <c r="E3766" t="inlineStr">
        <is>
          <t>Square Yards</t>
        </is>
      </c>
      <c r="F3766" t="inlineStr">
        <is>
          <t>$95 Mn</t>
        </is>
      </c>
      <c r="G3766" s="19" t="n"/>
      <c r="H3766" s="19" t="n">
        <v>95</v>
      </c>
      <c r="I3766" t="inlineStr">
        <is>
          <t>Undisclosed</t>
        </is>
      </c>
      <c r="J3766" t="inlineStr">
        <is>
          <t>EAAA Alternatives</t>
        </is>
      </c>
      <c r="K3766" t="inlineStr">
        <is>
          <t>https://inc42.com/buzz/from-cred-to-square-yards-indian-startups-raised-1-1-bn-this-week/</t>
        </is>
      </c>
    </row>
    <row r="3767">
      <c r="A3767" t="inlineStr">
        <is>
          <t>VCC-8170fd0c48</t>
        </is>
      </c>
      <c r="B3767" t="inlineStr">
        <is>
          <t>R260623-squareyards</t>
        </is>
      </c>
      <c r="C3767" t="inlineStr">
        <is>
          <t>VCCircle</t>
        </is>
      </c>
      <c r="D3767" s="17" t="n">
        <v>46196</v>
      </c>
      <c r="E3767" t="inlineStr">
        <is>
          <t>square yards</t>
        </is>
      </c>
      <c r="F3767" t="inlineStr">
        <is>
          <t>$ 95 million</t>
        </is>
      </c>
      <c r="G3767" s="19" t="n"/>
      <c r="H3767" s="19" t="n">
        <v>95</v>
      </c>
      <c r="I3767" t="inlineStr">
        <is>
          <t>Undisclosed</t>
        </is>
      </c>
      <c r="J3767" t="inlineStr"/>
      <c r="K3767" t="inlineStr">
        <is>
          <t>https://www.vccircle.com/realestate-marketplace-square-yards-snags-95-mn-in-fresh-funding</t>
        </is>
      </c>
    </row>
    <row r="3768">
      <c r="A3768" t="inlineStr">
        <is>
          <t>ENT-12065066</t>
        </is>
      </c>
      <c r="B3768" t="inlineStr">
        <is>
          <t>R260623-unnatiagri</t>
        </is>
      </c>
      <c r="C3768" t="inlineStr">
        <is>
          <t>Entrackr</t>
        </is>
      </c>
      <c r="D3768" s="17" t="n">
        <v>46196</v>
      </c>
      <c r="E3768" t="inlineStr">
        <is>
          <t>Unnati Agri</t>
        </is>
      </c>
      <c r="F3768" t="inlineStr">
        <is>
          <t>Rs 17 crore</t>
        </is>
      </c>
      <c r="G3768" s="19" t="n">
        <v>17</v>
      </c>
      <c r="H3768" s="19" t="n"/>
      <c r="I3768" t="inlineStr">
        <is>
          <t>Debt</t>
        </is>
      </c>
      <c r="J3768" t="inlineStr"/>
      <c r="K3768" t="inlineStr">
        <is>
          <t>https://entrackr.com/snippets/unnati-agri-secures-rs-17-cr-in-growth-capital-from-recur-club-12065066</t>
        </is>
      </c>
    </row>
    <row r="3769">
      <c r="A3769" t="inlineStr">
        <is>
          <t>INC-20260627-14</t>
        </is>
      </c>
      <c r="B3769" t="inlineStr">
        <is>
          <t>R260623-unnatiagri</t>
        </is>
      </c>
      <c r="C3769" t="inlineStr">
        <is>
          <t>Inc42</t>
        </is>
      </c>
      <c r="D3769" s="17" t="n">
        <v>46196</v>
      </c>
      <c r="E3769" t="inlineStr">
        <is>
          <t>Unnati Agri</t>
        </is>
      </c>
      <c r="F3769" t="inlineStr">
        <is>
          <t>$1.8 Mn</t>
        </is>
      </c>
      <c r="G3769" s="19" t="n"/>
      <c r="H3769" s="19" t="n">
        <v>1.8</v>
      </c>
      <c r="I3769" t="inlineStr">
        <is>
          <t>Debt</t>
        </is>
      </c>
      <c r="J3769" t="inlineStr">
        <is>
          <t>Recur Club</t>
        </is>
      </c>
      <c r="K3769" t="inlineStr">
        <is>
          <t>https://inc42.com/buzz/from-cred-to-square-yards-indian-startups-raised-1-1-bn-this-week/</t>
        </is>
      </c>
    </row>
    <row r="3770">
      <c r="A3770" t="inlineStr">
        <is>
          <t>ENT-12067573</t>
        </is>
      </c>
      <c r="B3770" t="inlineStr">
        <is>
          <t>R260624-bodycraft</t>
        </is>
      </c>
      <c r="C3770" t="inlineStr">
        <is>
          <t>Entrackr</t>
        </is>
      </c>
      <c r="D3770" s="17" t="n">
        <v>46197</v>
      </c>
      <c r="E3770" t="inlineStr">
        <is>
          <t>Bodycraft</t>
        </is>
      </c>
      <c r="F3770" t="inlineStr">
        <is>
          <t>Rs 120 crore</t>
        </is>
      </c>
      <c r="G3770" s="19" t="n">
        <v>120</v>
      </c>
      <c r="H3770" s="19" t="n">
        <v>12.6</v>
      </c>
      <c r="I3770" t="inlineStr">
        <is>
          <t>Pre-IPO</t>
        </is>
      </c>
      <c r="J3770" t="inlineStr">
        <is>
          <t>Singularity AMC</t>
        </is>
      </c>
      <c r="K3770" t="inlineStr">
        <is>
          <t>https://entrackr.com/news/clinic-and-salon-chain-bodycraft-raises-rs-120-cr-in-series-a-led-by-singularity-amc-12067573</t>
        </is>
      </c>
    </row>
    <row r="3771">
      <c r="A3771" t="inlineStr">
        <is>
          <t>ENT-12067511</t>
        </is>
      </c>
      <c r="B3771" t="inlineStr">
        <is>
          <t>R260624-ikinglobal</t>
        </is>
      </c>
      <c r="C3771" t="inlineStr">
        <is>
          <t>Entrackr</t>
        </is>
      </c>
      <c r="D3771" s="17" t="n">
        <v>46197</v>
      </c>
      <c r="E3771" t="inlineStr">
        <is>
          <t>Ikin Global</t>
        </is>
      </c>
      <c r="F3771" t="inlineStr">
        <is>
          <t>$2 million</t>
        </is>
      </c>
      <c r="G3771" s="19" t="n"/>
      <c r="H3771" s="19" t="n">
        <v>2</v>
      </c>
      <c r="I3771" t="inlineStr">
        <is>
          <t>Pre-Series A</t>
        </is>
      </c>
      <c r="J3771" t="inlineStr">
        <is>
          <t>Unicorn India Ventures; Callapina Capital</t>
        </is>
      </c>
      <c r="K3771" t="inlineStr">
        <is>
          <t>https://entrackr.com/snippets/iot-smart-lock-startup-ikin-global-raises-2-mn-in-pre-series-a2-round-12067511</t>
        </is>
      </c>
    </row>
    <row r="3772">
      <c r="A3772" t="inlineStr">
        <is>
          <t>INC-20260627-12</t>
        </is>
      </c>
      <c r="B3772" t="inlineStr">
        <is>
          <t>R260624-ikinglobal</t>
        </is>
      </c>
      <c r="C3772" t="inlineStr">
        <is>
          <t>Inc42</t>
        </is>
      </c>
      <c r="D3772" s="17" t="n">
        <v>46197</v>
      </c>
      <c r="E3772" t="inlineStr">
        <is>
          <t>Ikin Global</t>
        </is>
      </c>
      <c r="F3772" t="inlineStr">
        <is>
          <t>$2 Mn</t>
        </is>
      </c>
      <c r="G3772" s="19" t="n"/>
      <c r="H3772" s="19" t="n">
        <v>2</v>
      </c>
      <c r="I3772" t="inlineStr">
        <is>
          <t>Pre-Series A</t>
        </is>
      </c>
      <c r="J3772" t="inlineStr">
        <is>
          <t>Unicorn India Ventures; Callapina Capital</t>
        </is>
      </c>
      <c r="K3772" t="inlineStr">
        <is>
          <t>https://inc42.com/buzz/from-cred-to-square-yards-indian-startups-raised-1-1-bn-this-week/</t>
        </is>
      </c>
    </row>
    <row r="3773">
      <c r="A3773" t="inlineStr">
        <is>
          <t>ENT-12067332</t>
        </is>
      </c>
      <c r="B3773" t="inlineStr">
        <is>
          <t>R260624-justai</t>
        </is>
      </c>
      <c r="C3773" t="inlineStr">
        <is>
          <t>Entrackr</t>
        </is>
      </c>
      <c r="D3773" s="17" t="n">
        <v>46197</v>
      </c>
      <c r="E3773" t="inlineStr">
        <is>
          <t>JustAI</t>
        </is>
      </c>
      <c r="F3773" t="inlineStr">
        <is>
          <t>$17 million</t>
        </is>
      </c>
      <c r="G3773" s="19" t="n"/>
      <c r="H3773" s="19" t="n">
        <v>17</v>
      </c>
      <c r="I3773" t="inlineStr">
        <is>
          <t>Series A</t>
        </is>
      </c>
      <c r="J3773" t="inlineStr">
        <is>
          <t>Base10</t>
        </is>
      </c>
      <c r="K3773" t="inlineStr">
        <is>
          <t>https://entrackr.com/snippets/ai-marketing-startup-justai-raises-17-mn-in-series-a-led-by-base10-12067332</t>
        </is>
      </c>
    </row>
    <row r="3774">
      <c r="A3774" t="inlineStr">
        <is>
          <t>ET-131968605</t>
        </is>
      </c>
      <c r="B3774" t="inlineStr">
        <is>
          <t>R260624-justai</t>
        </is>
      </c>
      <c r="C3774" t="inlineStr">
        <is>
          <t>The Economic Times</t>
        </is>
      </c>
      <c r="D3774" s="17" t="n">
        <v>46197</v>
      </c>
      <c r="E3774" t="inlineStr">
        <is>
          <t>JustAI</t>
        </is>
      </c>
      <c r="F3774" t="inlineStr">
        <is>
          <t>$17 million</t>
        </is>
      </c>
      <c r="G3774" s="19" t="n"/>
      <c r="H3774" s="19" t="n">
        <v>17</v>
      </c>
      <c r="I3774" t="inlineStr">
        <is>
          <t>Series A</t>
        </is>
      </c>
      <c r="J3774" t="inlineStr">
        <is>
          <t>Base10</t>
        </is>
      </c>
      <c r="K3774" t="inlineStr">
        <is>
          <t>https://economictimes.indiatimes.com/tech/funding/marketing-platform-justai-raises-17-million-led-base10/articleshow/131968605.cms</t>
        </is>
      </c>
    </row>
    <row r="3775">
      <c r="A3775" t="inlineStr">
        <is>
          <t>INC-20260627-06</t>
        </is>
      </c>
      <c r="B3775" t="inlineStr">
        <is>
          <t>R260624-justai</t>
        </is>
      </c>
      <c r="C3775" t="inlineStr">
        <is>
          <t>Inc42</t>
        </is>
      </c>
      <c r="D3775" s="17" t="n">
        <v>46198</v>
      </c>
      <c r="E3775" t="inlineStr">
        <is>
          <t>JustAI</t>
        </is>
      </c>
      <c r="F3775" t="inlineStr">
        <is>
          <t>$17 Mn</t>
        </is>
      </c>
      <c r="G3775" s="19" t="n"/>
      <c r="H3775" s="19" t="n">
        <v>17</v>
      </c>
      <c r="I3775" t="inlineStr">
        <is>
          <t>Series A</t>
        </is>
      </c>
      <c r="J3775" t="inlineStr">
        <is>
          <t>Base10</t>
        </is>
      </c>
      <c r="K3775" t="inlineStr">
        <is>
          <t>https://inc42.com/buzz/from-cred-to-square-yards-indian-startups-raised-1-1-bn-this-week/</t>
        </is>
      </c>
    </row>
    <row r="3776">
      <c r="A3776" t="inlineStr">
        <is>
          <t>ENT-12067227</t>
        </is>
      </c>
      <c r="B3776" t="inlineStr">
        <is>
          <t>R260624-qosmic</t>
        </is>
      </c>
      <c r="C3776" t="inlineStr">
        <is>
          <t>Entrackr</t>
        </is>
      </c>
      <c r="D3776" s="17" t="n">
        <v>46197</v>
      </c>
      <c r="E3776" t="inlineStr">
        <is>
          <t>QOSMIC</t>
        </is>
      </c>
      <c r="F3776" t="inlineStr">
        <is>
          <t>$3.3 million</t>
        </is>
      </c>
      <c r="G3776" s="19" t="n"/>
      <c r="H3776" s="19" t="n">
        <v>3.3</v>
      </c>
      <c r="I3776" t="inlineStr">
        <is>
          <t>Seed</t>
        </is>
      </c>
      <c r="J3776" t="inlineStr"/>
      <c r="K3776" t="inlineStr">
        <is>
          <t>https://entrackr.com/snippets/qosmic-raises-33-mn-in-seed-funding-from-prosus-accel-south-park-commons-12067227</t>
        </is>
      </c>
    </row>
    <row r="3777">
      <c r="A3777" t="inlineStr">
        <is>
          <t>INC-20260627-10</t>
        </is>
      </c>
      <c r="B3777" t="inlineStr">
        <is>
          <t>R260624-qosmic</t>
        </is>
      </c>
      <c r="C3777" t="inlineStr">
        <is>
          <t>Inc42</t>
        </is>
      </c>
      <c r="D3777" s="17" t="n">
        <v>46197</v>
      </c>
      <c r="E3777" t="inlineStr">
        <is>
          <t>QOSMIC</t>
        </is>
      </c>
      <c r="F3777" t="inlineStr">
        <is>
          <t>$3.3 Mn</t>
        </is>
      </c>
      <c r="G3777" s="19" t="n"/>
      <c r="H3777" s="19" t="n">
        <v>3.3</v>
      </c>
      <c r="I3777" t="inlineStr">
        <is>
          <t>Seed</t>
        </is>
      </c>
      <c r="J3777" t="inlineStr">
        <is>
          <t>Accel; Prosus</t>
        </is>
      </c>
      <c r="K3777" t="inlineStr">
        <is>
          <t>https://inc42.com/buzz/from-cred-to-square-yards-indian-startups-raised-1-1-bn-this-week/</t>
        </is>
      </c>
    </row>
    <row r="3778">
      <c r="A3778" t="inlineStr">
        <is>
          <t>ENT-12068176</t>
        </is>
      </c>
      <c r="B3778" t="inlineStr">
        <is>
          <t>R260624-saffronstays</t>
        </is>
      </c>
      <c r="C3778" t="inlineStr">
        <is>
          <t>Entrackr</t>
        </is>
      </c>
      <c r="D3778" s="17" t="n">
        <v>46197</v>
      </c>
      <c r="E3778" t="inlineStr">
        <is>
          <t>SaffronStays</t>
        </is>
      </c>
      <c r="F3778" t="inlineStr">
        <is>
          <t>$3.5 million</t>
        </is>
      </c>
      <c r="G3778" s="19" t="n"/>
      <c r="H3778" s="19" t="n">
        <v>3.5</v>
      </c>
      <c r="I3778" t="inlineStr">
        <is>
          <t>Undisclosed</t>
        </is>
      </c>
      <c r="J3778" t="inlineStr">
        <is>
          <t>Infinity Ventures</t>
        </is>
      </c>
      <c r="K3778" t="inlineStr">
        <is>
          <t>https://entrackr.com/snippets/saffronstays-raises-35-mn-led-by-infinity-ventures-12068176</t>
        </is>
      </c>
    </row>
    <row r="3779">
      <c r="A3779" t="inlineStr">
        <is>
          <t>INC-20260627-09</t>
        </is>
      </c>
      <c r="B3779" t="inlineStr">
        <is>
          <t>R260624-saffronstays</t>
        </is>
      </c>
      <c r="C3779" t="inlineStr">
        <is>
          <t>Inc42</t>
        </is>
      </c>
      <c r="D3779" s="17" t="n">
        <v>46197</v>
      </c>
      <c r="E3779" t="inlineStr">
        <is>
          <t>SaffronStays</t>
        </is>
      </c>
      <c r="F3779" t="inlineStr">
        <is>
          <t>$3.5 Mn</t>
        </is>
      </c>
      <c r="G3779" s="19" t="n"/>
      <c r="H3779" s="19" t="n">
        <v>3.5</v>
      </c>
      <c r="I3779" t="inlineStr">
        <is>
          <t>Undisclosed</t>
        </is>
      </c>
      <c r="J3779" t="inlineStr">
        <is>
          <t>Infinity Ventures</t>
        </is>
      </c>
      <c r="K3779" t="inlineStr">
        <is>
          <t>https://inc42.com/buzz/from-cred-to-square-yards-indian-startups-raised-1-1-bn-this-week/</t>
        </is>
      </c>
    </row>
    <row r="3780">
      <c r="A3780" t="inlineStr">
        <is>
          <t>ENT-12069612</t>
        </is>
      </c>
      <c r="B3780" t="inlineStr">
        <is>
          <t>R260624-vishalsikka</t>
        </is>
      </c>
      <c r="C3780" t="inlineStr">
        <is>
          <t>Entrackr</t>
        </is>
      </c>
      <c r="D3780" s="17" t="n">
        <v>46197</v>
      </c>
      <c r="E3780" t="inlineStr">
        <is>
          <t>Vishal Sikka</t>
        </is>
      </c>
      <c r="F3780" t="inlineStr">
        <is>
          <t>$32 million</t>
        </is>
      </c>
      <c r="G3780" s="19" t="n"/>
      <c r="H3780" s="19" t="n">
        <v>32</v>
      </c>
      <c r="I3780" t="inlineStr">
        <is>
          <t>Seed</t>
        </is>
      </c>
      <c r="J3780" t="inlineStr">
        <is>
          <t>Mayfield</t>
        </is>
      </c>
      <c r="K3780" t="inlineStr">
        <is>
          <t>https://entrackr.com/news/former-infosys-ceo-vishal-sikkas-hang-ten-systems-raises-32-mn-seed-round-12069612</t>
        </is>
      </c>
    </row>
    <row r="3781">
      <c r="A3781" t="inlineStr">
        <is>
          <t>ET-131971910</t>
        </is>
      </c>
      <c r="B3781" t="inlineStr">
        <is>
          <t>R260625-hangtensystems</t>
        </is>
      </c>
      <c r="C3781" t="inlineStr">
        <is>
          <t>The Economic Times</t>
        </is>
      </c>
      <c r="D3781" s="17" t="n">
        <v>46197</v>
      </c>
      <c r="E3781" t="inlineStr">
        <is>
          <t>Hang Ten Systems</t>
        </is>
      </c>
      <c r="F3781" t="inlineStr">
        <is>
          <t>$32 million</t>
        </is>
      </c>
      <c r="G3781" s="19" t="n"/>
      <c r="H3781" s="19" t="n">
        <v>32</v>
      </c>
      <c r="I3781" t="inlineStr">
        <is>
          <t>Seed</t>
        </is>
      </c>
      <c r="J3781" t="inlineStr">
        <is>
          <t>Mayfield</t>
        </is>
      </c>
      <c r="K3781" t="inlineStr">
        <is>
          <t>https://economictimes.indiatimes.com/tech/funding/vishal-sikkas-ai-startup-hang-ten-systems-raises-32-million-led-by-mayfield/articleshow/131971910.cms</t>
        </is>
      </c>
    </row>
    <row r="3782">
      <c r="A3782" t="inlineStr">
        <is>
          <t>INC-20260627-03</t>
        </is>
      </c>
      <c r="B3782" t="inlineStr">
        <is>
          <t>R260625-hangtensystems</t>
        </is>
      </c>
      <c r="C3782" t="inlineStr">
        <is>
          <t>Inc42</t>
        </is>
      </c>
      <c r="D3782" s="17" t="n">
        <v>46198</v>
      </c>
      <c r="E3782" t="inlineStr">
        <is>
          <t>Hang Ten Systems</t>
        </is>
      </c>
      <c r="F3782" t="inlineStr">
        <is>
          <t>$32 Mn</t>
        </is>
      </c>
      <c r="G3782" s="19" t="n"/>
      <c r="H3782" s="19" t="n">
        <v>32</v>
      </c>
      <c r="I3782" t="inlineStr">
        <is>
          <t>Seed</t>
        </is>
      </c>
      <c r="J3782" t="inlineStr">
        <is>
          <t>Mayfield Ventures</t>
        </is>
      </c>
      <c r="K3782" t="inlineStr">
        <is>
          <t>https://inc42.com/buzz/from-cred-to-square-yards-indian-startups-raised-1-1-bn-this-week/</t>
        </is>
      </c>
    </row>
    <row r="3783">
      <c r="A3783" t="inlineStr">
        <is>
          <t>ENT-12098012</t>
        </is>
      </c>
      <c r="B3783" t="inlineStr">
        <is>
          <t>R260625-superliving</t>
        </is>
      </c>
      <c r="C3783" t="inlineStr">
        <is>
          <t>Entrackr</t>
        </is>
      </c>
      <c r="D3783" s="17" t="n">
        <v>46198</v>
      </c>
      <c r="E3783" t="inlineStr">
        <is>
          <t>SuperLiving</t>
        </is>
      </c>
      <c r="F3783" t="inlineStr">
        <is>
          <t>$7 million</t>
        </is>
      </c>
      <c r="G3783" s="19" t="n"/>
      <c r="H3783" s="19" t="n">
        <v>7</v>
      </c>
      <c r="I3783" t="inlineStr">
        <is>
          <t>Series A</t>
        </is>
      </c>
      <c r="J3783" t="inlineStr">
        <is>
          <t>Lightspeed</t>
        </is>
      </c>
      <c r="K3783" t="inlineStr">
        <is>
          <t>https://entrackr.com/snippets/lightspeed-leads-7-mn-series-a-round-in-superliving-12098012</t>
        </is>
      </c>
    </row>
    <row r="3784">
      <c r="A3784" t="inlineStr">
        <is>
          <t>ET-131993300</t>
        </is>
      </c>
      <c r="B3784" t="inlineStr">
        <is>
          <t>R260625-superliving</t>
        </is>
      </c>
      <c r="C3784" t="inlineStr">
        <is>
          <t>The Economic Times</t>
        </is>
      </c>
      <c r="D3784" s="17" t="n">
        <v>46198</v>
      </c>
      <c r="E3784" t="inlineStr">
        <is>
          <t>Superliving</t>
        </is>
      </c>
      <c r="F3784" t="inlineStr">
        <is>
          <t>$7 million</t>
        </is>
      </c>
      <c r="G3784" s="19" t="n"/>
      <c r="H3784" s="19" t="n">
        <v>7</v>
      </c>
      <c r="I3784" t="inlineStr">
        <is>
          <t>Undisclosed</t>
        </is>
      </c>
      <c r="J3784" t="inlineStr">
        <is>
          <t>Lightspeed</t>
        </is>
      </c>
      <c r="K3784" t="inlineStr">
        <is>
          <t>https://economictimes.indiatimes.com/tech/funding/healthcare-startup-superliving-raises-7-million-led-by-lightspeed/articleshow/131993300.cms</t>
        </is>
      </c>
    </row>
    <row r="3785">
      <c r="A3785" t="inlineStr">
        <is>
          <t>INC-20260627-08</t>
        </is>
      </c>
      <c r="B3785" t="inlineStr">
        <is>
          <t>R260625-superliving</t>
        </is>
      </c>
      <c r="C3785" t="inlineStr">
        <is>
          <t>Inc42</t>
        </is>
      </c>
      <c r="D3785" s="17" t="n">
        <v>46198</v>
      </c>
      <c r="E3785" t="inlineStr">
        <is>
          <t>SuperLiving</t>
        </is>
      </c>
      <c r="F3785" t="inlineStr">
        <is>
          <t>$7 Mn</t>
        </is>
      </c>
      <c r="G3785" s="19" t="n"/>
      <c r="H3785" s="19" t="n">
        <v>7</v>
      </c>
      <c r="I3785" t="inlineStr">
        <is>
          <t>Series A</t>
        </is>
      </c>
      <c r="J3785" t="inlineStr">
        <is>
          <t>Lightspeed</t>
        </is>
      </c>
      <c r="K3785" t="inlineStr">
        <is>
          <t>https://inc42.com/buzz/from-cred-to-square-yards-indian-startups-raised-1-1-bn-this-week/</t>
        </is>
      </c>
    </row>
    <row r="3786">
      <c r="A3786" t="inlineStr">
        <is>
          <t>ENT-12103687</t>
        </is>
      </c>
      <c r="B3786" t="inlineStr">
        <is>
          <t>R260625-zave</t>
        </is>
      </c>
      <c r="C3786" t="inlineStr">
        <is>
          <t>Entrackr</t>
        </is>
      </c>
      <c r="D3786" s="17" t="n">
        <v>46198</v>
      </c>
      <c r="E3786" t="inlineStr">
        <is>
          <t>Zave</t>
        </is>
      </c>
      <c r="F3786" t="inlineStr">
        <is>
          <t>Rs 4.7 crore</t>
        </is>
      </c>
      <c r="G3786" s="19" t="n">
        <v>4.7</v>
      </c>
      <c r="H3786" s="19" t="n"/>
      <c r="I3786" t="inlineStr">
        <is>
          <t>Bridge</t>
        </is>
      </c>
      <c r="J3786" t="inlineStr">
        <is>
          <t>Inflection Point Ventures</t>
        </is>
      </c>
      <c r="K3786" t="inlineStr">
        <is>
          <t>https://entrackr.com/snippets/shopping-assistant-startup-zave-raises-bridge-round-led-by-ipv-12103687</t>
        </is>
      </c>
    </row>
    <row r="3787">
      <c r="A3787" t="inlineStr">
        <is>
          <t>INC-20260627-11</t>
        </is>
      </c>
      <c r="B3787" t="inlineStr">
        <is>
          <t>R260626-alienkind</t>
        </is>
      </c>
      <c r="C3787" t="inlineStr">
        <is>
          <t>Inc42</t>
        </is>
      </c>
      <c r="D3787" s="17" t="n">
        <v>46199</v>
      </c>
      <c r="E3787" t="inlineStr">
        <is>
          <t>Alienkind</t>
        </is>
      </c>
      <c r="F3787" t="inlineStr">
        <is>
          <t>$3.2 Mn</t>
        </is>
      </c>
      <c r="G3787" s="19" t="n"/>
      <c r="H3787" s="19" t="n">
        <v>3.2</v>
      </c>
      <c r="I3787" t="inlineStr">
        <is>
          <t>Pre-Series A</t>
        </is>
      </c>
      <c r="J3787" t="inlineStr">
        <is>
          <t>Prakash Sikaria</t>
        </is>
      </c>
      <c r="K3787" t="inlineStr">
        <is>
          <t>https://inc42.com/buzz/from-cred-to-square-yards-indian-startups-raised-1-1-bn-this-week/</t>
        </is>
      </c>
    </row>
    <row r="3788">
      <c r="A3788" t="inlineStr">
        <is>
          <t>INC-20260627-05</t>
        </is>
      </c>
      <c r="B3788" t="inlineStr">
        <is>
          <t>R260626-allhome</t>
        </is>
      </c>
      <c r="C3788" t="inlineStr">
        <is>
          <t>Inc42</t>
        </is>
      </c>
      <c r="D3788" s="17" t="n">
        <v>46199</v>
      </c>
      <c r="E3788" t="inlineStr">
        <is>
          <t>AllHome</t>
        </is>
      </c>
      <c r="F3788" t="inlineStr">
        <is>
          <t>$21.2 Mn</t>
        </is>
      </c>
      <c r="G3788" s="19" t="n"/>
      <c r="H3788" s="19" t="n">
        <v>21.2</v>
      </c>
      <c r="I3788" t="inlineStr">
        <is>
          <t>Series B</t>
        </is>
      </c>
      <c r="J3788" t="inlineStr">
        <is>
          <t>Bessemer Venture Partners</t>
        </is>
      </c>
      <c r="K3788" t="inlineStr">
        <is>
          <t>https://inc42.com/buzz/from-cred-to-square-yards-indian-startups-raised-1-1-bn-this-week/</t>
        </is>
      </c>
    </row>
    <row r="3789">
      <c r="A3789" t="inlineStr">
        <is>
          <t>INC-20260627-13</t>
        </is>
      </c>
      <c r="B3789" t="inlineStr">
        <is>
          <t>R260626-finnovatefinan</t>
        </is>
      </c>
      <c r="C3789" t="inlineStr">
        <is>
          <t>Inc42</t>
        </is>
      </c>
      <c r="D3789" s="17" t="n">
        <v>46199</v>
      </c>
      <c r="E3789" t="inlineStr">
        <is>
          <t>Finnovate Financial Services</t>
        </is>
      </c>
      <c r="F3789" t="inlineStr">
        <is>
          <t>$2 Mn</t>
        </is>
      </c>
      <c r="G3789" s="19" t="n"/>
      <c r="H3789" s="19" t="n">
        <v>2</v>
      </c>
      <c r="I3789" t="inlineStr">
        <is>
          <t>Undisclosed</t>
        </is>
      </c>
      <c r="J3789" t="inlineStr"/>
      <c r="K3789" t="inlineStr">
        <is>
          <t>https://inc42.com/buzz/from-cred-to-square-yards-indian-startups-raised-1-1-bn-this-week/</t>
        </is>
      </c>
    </row>
    <row r="3790">
      <c r="A3790" t="inlineStr">
        <is>
          <t>ENT-12116873</t>
        </is>
      </c>
      <c r="B3790" t="inlineStr">
        <is>
          <t>R260629-clairva</t>
        </is>
      </c>
      <c r="C3790" t="inlineStr">
        <is>
          <t>Entrackr</t>
        </is>
      </c>
      <c r="D3790" s="17" t="n">
        <v>46202</v>
      </c>
      <c r="E3790" t="inlineStr">
        <is>
          <t>Clairva</t>
        </is>
      </c>
      <c r="F3790" t="inlineStr">
        <is>
          <t>$500K</t>
        </is>
      </c>
      <c r="G3790" s="19" t="n"/>
      <c r="H3790" s="19" t="n">
        <v>0.5</v>
      </c>
      <c r="I3790" t="inlineStr">
        <is>
          <t>Pre-Seed</t>
        </is>
      </c>
      <c r="J3790" t="inlineStr">
        <is>
          <t>Venture Catalysts</t>
        </is>
      </c>
      <c r="K3790" t="inlineStr">
        <is>
          <t>https://entrackr.com/snippets/ai-data-infrastructure-startup-clairva-raises-500k-led-by-venture-catalysts-ai-data-infrastructure-startup-clairva-has-raised-500k-in-a-pre-seed-funding-round-led-by-venture-catalysts-through-its-angel-network-the-company-will-use-the-fresh-capita-12116873</t>
        </is>
      </c>
    </row>
    <row r="3791">
      <c r="A3791" t="inlineStr">
        <is>
          <t>INC-20260704-17</t>
        </is>
      </c>
      <c r="B3791" t="inlineStr">
        <is>
          <t>R260629-clairva</t>
        </is>
      </c>
      <c r="C3791" t="inlineStr">
        <is>
          <t>Inc42</t>
        </is>
      </c>
      <c r="D3791" s="17" t="n">
        <v>46203</v>
      </c>
      <c r="E3791" t="inlineStr">
        <is>
          <t>Clairva</t>
        </is>
      </c>
      <c r="F3791" t="inlineStr">
        <is>
          <t>$500K</t>
        </is>
      </c>
      <c r="G3791" s="19" t="n"/>
      <c r="H3791" s="19" t="n">
        <v>0.5</v>
      </c>
      <c r="I3791" t="inlineStr">
        <is>
          <t>Pre-Seed</t>
        </is>
      </c>
      <c r="J3791" t="inlineStr">
        <is>
          <t>Venture Catalysts</t>
        </is>
      </c>
      <c r="K3791" t="inlineStr">
        <is>
          <t>https://inc42.com/buzz/from-the-indus-valley-to-incuspaze-indian-startups-raised-105-mn-this-week/</t>
        </is>
      </c>
    </row>
    <row r="3792">
      <c r="A3792" t="inlineStr">
        <is>
          <t>ENT-12116135</t>
        </is>
      </c>
      <c r="B3792" t="inlineStr">
        <is>
          <t>R260629-incuspaze</t>
        </is>
      </c>
      <c r="C3792" t="inlineStr">
        <is>
          <t>Entrackr</t>
        </is>
      </c>
      <c r="D3792" s="17" t="n">
        <v>46202</v>
      </c>
      <c r="E3792" t="inlineStr">
        <is>
          <t>Incuspaze</t>
        </is>
      </c>
      <c r="F3792" t="inlineStr">
        <is>
          <t>Rs 150 crore</t>
        </is>
      </c>
      <c r="G3792" s="19" t="n">
        <v>150</v>
      </c>
      <c r="H3792" s="19" t="n">
        <v>15.6</v>
      </c>
      <c r="I3792" t="inlineStr">
        <is>
          <t>Undisclosed</t>
        </is>
      </c>
      <c r="J3792" t="inlineStr">
        <is>
          <t>Bharat Value Fund</t>
        </is>
      </c>
      <c r="K3792" t="inlineStr">
        <is>
          <t>https://entrackr.com/news/co-working-startup-incuspaze-raises-rs-150-cr-led-by-bharat-value-fund-12116135</t>
        </is>
      </c>
    </row>
    <row r="3793">
      <c r="A3793" t="inlineStr">
        <is>
          <t>INC-20260704-02</t>
        </is>
      </c>
      <c r="B3793" t="inlineStr">
        <is>
          <t>R260629-incuspaze</t>
        </is>
      </c>
      <c r="C3793" t="inlineStr">
        <is>
          <t>Inc42</t>
        </is>
      </c>
      <c r="D3793" s="17" t="n">
        <v>46202</v>
      </c>
      <c r="E3793" t="inlineStr">
        <is>
          <t>Incuspaze</t>
        </is>
      </c>
      <c r="F3793" t="inlineStr">
        <is>
          <t>$15.9 Mn</t>
        </is>
      </c>
      <c r="G3793" s="19" t="n"/>
      <c r="H3793" s="19" t="n">
        <v>15.9</v>
      </c>
      <c r="I3793" t="inlineStr">
        <is>
          <t>Undisclosed</t>
        </is>
      </c>
      <c r="J3793" t="inlineStr">
        <is>
          <t>Bharat Value Fund</t>
        </is>
      </c>
      <c r="K3793" t="inlineStr">
        <is>
          <t>https://inc42.com/buzz/from-the-indus-valley-to-incuspaze-indian-startups-raised-105-mn-this-week/</t>
        </is>
      </c>
    </row>
    <row r="3794">
      <c r="A3794" t="inlineStr">
        <is>
          <t>VCC-9bf312b8ea</t>
        </is>
      </c>
      <c r="B3794" t="inlineStr">
        <is>
          <t>R260629-incuspaze</t>
        </is>
      </c>
      <c r="C3794" t="inlineStr">
        <is>
          <t>VCCircle</t>
        </is>
      </c>
      <c r="D3794" s="17" t="n">
        <v>46203</v>
      </c>
      <c r="E3794" t="inlineStr">
        <is>
          <t>incuspaze</t>
        </is>
      </c>
      <c r="F3794" t="inlineStr"/>
      <c r="G3794" s="19" t="n"/>
      <c r="H3794" s="19" t="n"/>
      <c r="I3794" t="inlineStr">
        <is>
          <t>Undisclosed</t>
        </is>
      </c>
      <c r="J3794" t="inlineStr"/>
      <c r="K3794" t="inlineStr">
        <is>
          <t>https://www.vccircle.com/flexibleworkspace-firm-incuspaze-secures-funding-from-bharat-value-fund</t>
        </is>
      </c>
    </row>
    <row r="3795">
      <c r="A3795" t="inlineStr">
        <is>
          <t>ENT-12116594</t>
        </is>
      </c>
      <c r="B3795" t="inlineStr">
        <is>
          <t>R260629-lytmusai</t>
        </is>
      </c>
      <c r="C3795" t="inlineStr">
        <is>
          <t>Entrackr</t>
        </is>
      </c>
      <c r="D3795" s="17" t="n">
        <v>46202</v>
      </c>
      <c r="E3795" t="inlineStr">
        <is>
          <t>Lytmus AI</t>
        </is>
      </c>
      <c r="F3795" t="inlineStr">
        <is>
          <t>Rs 5 crore</t>
        </is>
      </c>
      <c r="G3795" s="19" t="n">
        <v>5</v>
      </c>
      <c r="H3795" s="19" t="n"/>
      <c r="I3795" t="inlineStr">
        <is>
          <t>Pre-Seed</t>
        </is>
      </c>
      <c r="J3795" t="inlineStr">
        <is>
          <t>Boundless Ventures</t>
        </is>
      </c>
      <c r="K3795" t="inlineStr">
        <is>
          <t>https://entrackr.com/snippets/boundless-ventures-leads-pre-seed-round-in-lytmus-ai-12116594</t>
        </is>
      </c>
    </row>
    <row r="3796">
      <c r="A3796" t="inlineStr">
        <is>
          <t>INC-20260704-19</t>
        </is>
      </c>
      <c r="B3796" t="inlineStr">
        <is>
          <t>R260629-monkci</t>
        </is>
      </c>
      <c r="C3796" t="inlineStr">
        <is>
          <t>Inc42</t>
        </is>
      </c>
      <c r="D3796" s="17" t="n">
        <v>46202</v>
      </c>
      <c r="E3796" t="inlineStr">
        <is>
          <t>Monk CI</t>
        </is>
      </c>
      <c r="F3796" t="inlineStr">
        <is>
          <t>$450K</t>
        </is>
      </c>
      <c r="G3796" s="19" t="n"/>
      <c r="H3796" s="19" t="n">
        <v>0.45</v>
      </c>
      <c r="I3796" t="inlineStr">
        <is>
          <t>Pre-Seed</t>
        </is>
      </c>
      <c r="J3796" t="inlineStr">
        <is>
          <t>Campus Fund</t>
        </is>
      </c>
      <c r="K3796" t="inlineStr">
        <is>
          <t>https://inc42.com/buzz/from-the-indus-valley-to-incuspaze-indian-startups-raised-105-mn-this-week/</t>
        </is>
      </c>
    </row>
    <row r="3797">
      <c r="A3797" t="inlineStr">
        <is>
          <t>ENT-12117898</t>
        </is>
      </c>
      <c r="B3797" t="inlineStr">
        <is>
          <t>R260629-mykareai</t>
        </is>
      </c>
      <c r="C3797" t="inlineStr">
        <is>
          <t>Entrackr</t>
        </is>
      </c>
      <c r="D3797" s="17" t="n">
        <v>46202</v>
      </c>
      <c r="E3797" t="inlineStr">
        <is>
          <t>MyKare.ai</t>
        </is>
      </c>
      <c r="F3797" t="inlineStr">
        <is>
          <t>$3.2 million</t>
        </is>
      </c>
      <c r="G3797" s="19" t="n"/>
      <c r="H3797" s="19" t="n">
        <v>3.2</v>
      </c>
      <c r="I3797" t="inlineStr">
        <is>
          <t>Series A</t>
        </is>
      </c>
      <c r="J3797" t="inlineStr"/>
      <c r="K3797" t="inlineStr">
        <is>
          <t>https://entrackr.com/snippets/healthcare-startup-mykareai-raises-32-mn-12117898</t>
        </is>
      </c>
    </row>
    <row r="3798">
      <c r="A3798" t="inlineStr">
        <is>
          <t>INC-20260704-15</t>
        </is>
      </c>
      <c r="B3798" t="inlineStr">
        <is>
          <t>R260629-mykareai</t>
        </is>
      </c>
      <c r="C3798" t="inlineStr">
        <is>
          <t>Inc42</t>
        </is>
      </c>
      <c r="D3798" s="17" t="n">
        <v>46202</v>
      </c>
      <c r="E3798" t="inlineStr">
        <is>
          <t>Mykare</t>
        </is>
      </c>
      <c r="F3798" t="inlineStr">
        <is>
          <t>$1 Mn</t>
        </is>
      </c>
      <c r="G3798" s="19" t="n"/>
      <c r="H3798" s="19" t="n">
        <v>1</v>
      </c>
      <c r="I3798" t="inlineStr">
        <is>
          <t>Undisclosed</t>
        </is>
      </c>
      <c r="J3798" t="inlineStr"/>
      <c r="K3798" t="inlineStr">
        <is>
          <t>https://inc42.com/buzz/from-the-indus-valley-to-incuspaze-indian-startups-raised-105-mn-this-week/</t>
        </is>
      </c>
    </row>
    <row r="3799">
      <c r="A3799" t="inlineStr">
        <is>
          <t>INC-20260704-21</t>
        </is>
      </c>
      <c r="B3799" t="inlineStr">
        <is>
          <t>R260629-ruskmedia</t>
        </is>
      </c>
      <c r="C3799" t="inlineStr">
        <is>
          <t>Inc42</t>
        </is>
      </c>
      <c r="D3799" s="17" t="n">
        <v>46202</v>
      </c>
      <c r="E3799" t="inlineStr">
        <is>
          <t>Rusk Media</t>
        </is>
      </c>
      <c r="F3799" t="inlineStr"/>
      <c r="G3799" s="19" t="n"/>
      <c r="H3799" s="19" t="n"/>
      <c r="I3799" t="inlineStr">
        <is>
          <t>Undisclosed</t>
        </is>
      </c>
      <c r="J3799" t="inlineStr">
        <is>
          <t>Yash Raj Films</t>
        </is>
      </c>
      <c r="K3799" t="inlineStr">
        <is>
          <t>https://inc42.com/buzz/from-the-indus-valley-to-incuspaze-indian-startups-raised-105-mn-this-week/</t>
        </is>
      </c>
    </row>
    <row r="3800">
      <c r="A3800" t="inlineStr">
        <is>
          <t>ENT-12117148</t>
        </is>
      </c>
      <c r="B3800" t="inlineStr">
        <is>
          <t>R260629-thecapitalistv</t>
        </is>
      </c>
      <c r="C3800" t="inlineStr">
        <is>
          <t>Entrackr</t>
        </is>
      </c>
      <c r="D3800" s="17" t="n">
        <v>46202</v>
      </c>
      <c r="E3800" t="inlineStr">
        <is>
          <t>The Capitalist Ventures</t>
        </is>
      </c>
      <c r="F3800" t="inlineStr">
        <is>
          <t>Rs 10 crore</t>
        </is>
      </c>
      <c r="G3800" s="19" t="n">
        <v>10</v>
      </c>
      <c r="H3800" s="19" t="n"/>
      <c r="I3800" t="inlineStr">
        <is>
          <t>Seed</t>
        </is>
      </c>
      <c r="J3800" t="inlineStr"/>
      <c r="K3800" t="inlineStr">
        <is>
          <t>https://entrackr.com/snippets/the-capitalist-ventures-bags-rs-10-cr-seed-round-12117148</t>
        </is>
      </c>
    </row>
    <row r="3801">
      <c r="A3801" t="inlineStr">
        <is>
          <t>ENT-12116447</t>
        </is>
      </c>
      <c r="B3801" t="inlineStr">
        <is>
          <t>R260629-thefunclab</t>
        </is>
      </c>
      <c r="C3801" t="inlineStr">
        <is>
          <t>Entrackr</t>
        </is>
      </c>
      <c r="D3801" s="17" t="n">
        <v>46202</v>
      </c>
      <c r="E3801" t="inlineStr">
        <is>
          <t>The Func. Lab</t>
        </is>
      </c>
      <c r="F3801" t="inlineStr">
        <is>
          <t>$1.5 million</t>
        </is>
      </c>
      <c r="G3801" s="19" t="n"/>
      <c r="H3801" s="19" t="n">
        <v>1.5</v>
      </c>
      <c r="I3801" t="inlineStr">
        <is>
          <t>Seed</t>
        </is>
      </c>
      <c r="J3801" t="inlineStr"/>
      <c r="K3801" t="inlineStr">
        <is>
          <t>https://entrackr.com/snippets/the-func-lab-raises-15-mn-seed-round-from-nisaba-godrej-anand-piramal-and-others-12116447</t>
        </is>
      </c>
    </row>
    <row r="3802">
      <c r="A3802" t="inlineStr">
        <is>
          <t>INC-20260711-17</t>
        </is>
      </c>
      <c r="B3802" t="inlineStr">
        <is>
          <t>R260629-thefunclab</t>
        </is>
      </c>
      <c r="C3802" t="inlineStr">
        <is>
          <t>Inc42</t>
        </is>
      </c>
      <c r="D3802" s="17" t="n">
        <v>46204</v>
      </c>
      <c r="E3802" t="inlineStr">
        <is>
          <t>The Func Labs</t>
        </is>
      </c>
      <c r="F3802" t="inlineStr">
        <is>
          <t>$1.5 Mn</t>
        </is>
      </c>
      <c r="G3802" s="19" t="n"/>
      <c r="H3802" s="19" t="n">
        <v>1.5</v>
      </c>
      <c r="I3802" t="inlineStr">
        <is>
          <t>Seed</t>
        </is>
      </c>
      <c r="J3802" t="inlineStr"/>
      <c r="K3802" t="inlineStr">
        <is>
          <t>https://inc42.com/features/from-elevate-education-to-aukera-indian-startups-raised-72-mn-this-week/</t>
        </is>
      </c>
    </row>
    <row r="3803">
      <c r="A3803" t="inlineStr">
        <is>
          <t>ET-132095543</t>
        </is>
      </c>
      <c r="B3803" t="inlineStr">
        <is>
          <t>R260630-brekfuz</t>
        </is>
      </c>
      <c r="C3803" t="inlineStr">
        <is>
          <t>The Economic Times</t>
        </is>
      </c>
      <c r="D3803" s="17" t="n">
        <v>46203</v>
      </c>
      <c r="E3803" t="inlineStr">
        <is>
          <t>Brekfuz</t>
        </is>
      </c>
      <c r="F3803" t="inlineStr">
        <is>
          <t>$525,000</t>
        </is>
      </c>
      <c r="G3803" s="19" t="n"/>
      <c r="H3803" s="19" t="n">
        <v>0.525</v>
      </c>
      <c r="I3803" t="inlineStr">
        <is>
          <t>Undisclosed</t>
        </is>
      </c>
      <c r="J3803" t="inlineStr"/>
      <c r="K3803" t="inlineStr">
        <is>
          <t>https://economictimes.indiatimes.com/tech/funding/gurugram-ai-startup-brekfuz-raises-525000-in-funding-valued-at-7-5-million/articleshow/132095543.cms</t>
        </is>
      </c>
    </row>
    <row r="3804">
      <c r="A3804" t="inlineStr">
        <is>
          <t>ENT-12122384</t>
        </is>
      </c>
      <c r="B3804" t="inlineStr">
        <is>
          <t>R260630-brekfuz</t>
        </is>
      </c>
      <c r="C3804" t="inlineStr">
        <is>
          <t>Entrackr</t>
        </is>
      </c>
      <c r="D3804" s="17" t="n">
        <v>46204</v>
      </c>
      <c r="E3804" t="inlineStr">
        <is>
          <t>Brekfuz</t>
        </is>
      </c>
      <c r="F3804" t="inlineStr">
        <is>
          <t>$525K</t>
        </is>
      </c>
      <c r="G3804" s="19" t="n"/>
      <c r="H3804" s="19" t="n">
        <v>0.525</v>
      </c>
      <c r="I3804" t="inlineStr">
        <is>
          <t>Undisclosed</t>
        </is>
      </c>
      <c r="J3804" t="inlineStr"/>
      <c r="K3804" t="inlineStr">
        <is>
          <t>https://entrackr.com/snippets/ai-native-coordination-startup-brekfuz-raises-525k-12122384</t>
        </is>
      </c>
    </row>
    <row r="3805">
      <c r="A3805" t="inlineStr">
        <is>
          <t>ENT-12118348</t>
        </is>
      </c>
      <c r="B3805" t="inlineStr">
        <is>
          <t>R260630-kapturecx</t>
        </is>
      </c>
      <c r="C3805" t="inlineStr">
        <is>
          <t>Entrackr</t>
        </is>
      </c>
      <c r="D3805" s="17" t="n">
        <v>46203</v>
      </c>
      <c r="E3805" t="inlineStr">
        <is>
          <t>Kapture CX</t>
        </is>
      </c>
      <c r="F3805" t="inlineStr">
        <is>
          <t>$10 million</t>
        </is>
      </c>
      <c r="G3805" s="19" t="n"/>
      <c r="H3805" s="19" t="n">
        <v>10</v>
      </c>
      <c r="I3805" t="inlineStr">
        <is>
          <t>Pre-Series B</t>
        </is>
      </c>
      <c r="J3805" t="inlineStr">
        <is>
          <t>Bajaj Finserv Ventures</t>
        </is>
      </c>
      <c r="K3805" t="inlineStr">
        <is>
          <t>https://entrackr.com/news/bajaj-finserv-ventures-leads-10-mn-pre-series-b-round-in-kapture-cx-12118348</t>
        </is>
      </c>
    </row>
    <row r="3806">
      <c r="A3806" t="inlineStr">
        <is>
          <t>INC-20260704-05</t>
        </is>
      </c>
      <c r="B3806" t="inlineStr">
        <is>
          <t>R260630-kapturecx</t>
        </is>
      </c>
      <c r="C3806" t="inlineStr">
        <is>
          <t>Inc42</t>
        </is>
      </c>
      <c r="D3806" s="17" t="n">
        <v>46203</v>
      </c>
      <c r="E3806" t="inlineStr">
        <is>
          <t>Kapture CX</t>
        </is>
      </c>
      <c r="F3806" t="inlineStr">
        <is>
          <t>$10 Mn</t>
        </is>
      </c>
      <c r="G3806" s="19" t="n"/>
      <c r="H3806" s="19" t="n">
        <v>10</v>
      </c>
      <c r="I3806" t="inlineStr">
        <is>
          <t>Series B</t>
        </is>
      </c>
      <c r="J3806" t="inlineStr">
        <is>
          <t>Bajaj Finserv Ventures</t>
        </is>
      </c>
      <c r="K3806" t="inlineStr">
        <is>
          <t>https://inc42.com/buzz/from-the-indus-valley-to-incuspaze-indian-startups-raised-105-mn-this-week/</t>
        </is>
      </c>
    </row>
    <row r="3807">
      <c r="A3807" t="inlineStr">
        <is>
          <t>ENT-12118791</t>
        </is>
      </c>
      <c r="B3807" t="inlineStr">
        <is>
          <t>R260630-theindusvalley</t>
        </is>
      </c>
      <c r="C3807" t="inlineStr">
        <is>
          <t>Entrackr</t>
        </is>
      </c>
      <c r="D3807" s="17" t="n">
        <v>46203</v>
      </c>
      <c r="E3807" t="inlineStr">
        <is>
          <t>The Indus Valley</t>
        </is>
      </c>
      <c r="F3807" t="inlineStr">
        <is>
          <t>$17 million</t>
        </is>
      </c>
      <c r="G3807" s="19" t="n"/>
      <c r="H3807" s="19" t="n">
        <v>17</v>
      </c>
      <c r="I3807" t="inlineStr">
        <is>
          <t>Undisclosed</t>
        </is>
      </c>
      <c r="J3807" t="inlineStr">
        <is>
          <t>Gaja Capital</t>
        </is>
      </c>
      <c r="K3807" t="inlineStr">
        <is>
          <t>https://entrackr.com/news/cookware-brand-the-indus-valley-raises-17-mn-led-by-gaja-capital-12118791</t>
        </is>
      </c>
    </row>
    <row r="3808">
      <c r="A3808" t="inlineStr">
        <is>
          <t>INC-20260704-01</t>
        </is>
      </c>
      <c r="B3808" t="inlineStr">
        <is>
          <t>R260630-theindusvalley</t>
        </is>
      </c>
      <c r="C3808" t="inlineStr">
        <is>
          <t>Inc42</t>
        </is>
      </c>
      <c r="D3808" s="17" t="n">
        <v>46203</v>
      </c>
      <c r="E3808" t="inlineStr">
        <is>
          <t>The Indus Valley</t>
        </is>
      </c>
      <c r="F3808" t="inlineStr">
        <is>
          <t>$17 Mn</t>
        </is>
      </c>
      <c r="G3808" s="19" t="n"/>
      <c r="H3808" s="19" t="n">
        <v>17</v>
      </c>
      <c r="I3808" t="inlineStr">
        <is>
          <t>Series B</t>
        </is>
      </c>
      <c r="J3808" t="inlineStr">
        <is>
          <t>Gaja Capital</t>
        </is>
      </c>
      <c r="K3808" t="inlineStr">
        <is>
          <t>https://inc42.com/buzz/from-the-indus-valley-to-incuspaze-indian-startups-raised-105-mn-this-week/</t>
        </is>
      </c>
    </row>
    <row r="3809">
      <c r="A3809" t="inlineStr">
        <is>
          <t>ENT-12120052</t>
        </is>
      </c>
      <c r="B3809" t="inlineStr">
        <is>
          <t>R260630-yolearnai</t>
        </is>
      </c>
      <c r="C3809" t="inlineStr">
        <is>
          <t>Entrackr</t>
        </is>
      </c>
      <c r="D3809" s="17" t="n">
        <v>46203</v>
      </c>
      <c r="E3809" t="inlineStr">
        <is>
          <t>YoLearn ai</t>
        </is>
      </c>
      <c r="F3809" t="inlineStr">
        <is>
          <t>$500,000</t>
        </is>
      </c>
      <c r="G3809" s="19" t="n"/>
      <c r="H3809" s="19" t="n">
        <v>0.5</v>
      </c>
      <c r="I3809" t="inlineStr">
        <is>
          <t>Pre-Seed</t>
        </is>
      </c>
      <c r="J3809" t="inlineStr">
        <is>
          <t>DataAlpha.ai; White Swan Global</t>
        </is>
      </c>
      <c r="K3809" t="inlineStr">
        <is>
          <t>https://entrackr.com/snippets/edtech-platform-yolearn-ai-raises-pre-seed-round-12120052</t>
        </is>
      </c>
    </row>
    <row r="3810">
      <c r="A3810" t="inlineStr">
        <is>
          <t>INC-20260704-16</t>
        </is>
      </c>
      <c r="B3810" t="inlineStr">
        <is>
          <t>R260630-yolearnai</t>
        </is>
      </c>
      <c r="C3810" t="inlineStr">
        <is>
          <t>Inc42</t>
        </is>
      </c>
      <c r="D3810" s="17" t="n">
        <v>46204</v>
      </c>
      <c r="E3810" t="inlineStr">
        <is>
          <t>YoLearn.AI</t>
        </is>
      </c>
      <c r="F3810" t="inlineStr">
        <is>
          <t>$500K</t>
        </is>
      </c>
      <c r="G3810" s="19" t="n"/>
      <c r="H3810" s="19" t="n">
        <v>0.5</v>
      </c>
      <c r="I3810" t="inlineStr">
        <is>
          <t>Pre-Seed</t>
        </is>
      </c>
      <c r="J3810" t="inlineStr">
        <is>
          <t>DataAlpha.ai; White Swan Global</t>
        </is>
      </c>
      <c r="K3810" t="inlineStr">
        <is>
          <t>https://inc42.com/buzz/from-the-indus-valley-to-incuspaze-indian-startups-raised-105-mn-this-week/</t>
        </is>
      </c>
    </row>
    <row r="3811">
      <c r="A3811" t="inlineStr">
        <is>
          <t>ENT-12122965</t>
        </is>
      </c>
      <c r="B3811" t="inlineStr">
        <is>
          <t>R260701-albatrossenerg</t>
        </is>
      </c>
      <c r="C3811" t="inlineStr">
        <is>
          <t>Entrackr</t>
        </is>
      </c>
      <c r="D3811" s="17" t="n">
        <v>46204</v>
      </c>
      <c r="E3811" t="inlineStr">
        <is>
          <t>Albatross Energetics</t>
        </is>
      </c>
      <c r="F3811" t="inlineStr">
        <is>
          <t>$1.05 million</t>
        </is>
      </c>
      <c r="G3811" s="19" t="n">
        <v>10</v>
      </c>
      <c r="H3811" s="19" t="n">
        <v>1.05</v>
      </c>
      <c r="I3811" t="inlineStr">
        <is>
          <t>Pre-Series A</t>
        </is>
      </c>
      <c r="J3811" t="inlineStr">
        <is>
          <t>Transition VC</t>
        </is>
      </c>
      <c r="K3811" t="inlineStr">
        <is>
          <t>https://entrackr.com/snippets/transition-vc-leads-105-mn-pre-series-a-round-in-albatross-energetics-12122965</t>
        </is>
      </c>
    </row>
    <row r="3812">
      <c r="A3812" t="inlineStr">
        <is>
          <t>INC-20260704-13</t>
        </is>
      </c>
      <c r="B3812" t="inlineStr">
        <is>
          <t>R260701-albatrossenerg</t>
        </is>
      </c>
      <c r="C3812" t="inlineStr">
        <is>
          <t>Inc42</t>
        </is>
      </c>
      <c r="D3812" s="17" t="n">
        <v>46204</v>
      </c>
      <c r="E3812" t="inlineStr">
        <is>
          <t>Albatross Energetics</t>
        </is>
      </c>
      <c r="F3812" t="inlineStr">
        <is>
          <t>$1.1 Mn</t>
        </is>
      </c>
      <c r="G3812" s="19" t="n"/>
      <c r="H3812" s="19" t="n">
        <v>1.1</v>
      </c>
      <c r="I3812" t="inlineStr">
        <is>
          <t>Undisclosed</t>
        </is>
      </c>
      <c r="J3812" t="inlineStr">
        <is>
          <t>Transition VC</t>
        </is>
      </c>
      <c r="K3812" t="inlineStr">
        <is>
          <t>https://inc42.com/buzz/from-the-indus-valley-to-incuspaze-indian-startups-raised-105-mn-this-week/</t>
        </is>
      </c>
    </row>
    <row r="3813">
      <c r="A3813" t="inlineStr">
        <is>
          <t>INC-20260704-18</t>
        </is>
      </c>
      <c r="B3813" t="inlineStr">
        <is>
          <t>R260701-cunin</t>
        </is>
      </c>
      <c r="C3813" t="inlineStr">
        <is>
          <t>Inc42</t>
        </is>
      </c>
      <c r="D3813" s="17" t="n">
        <v>46204</v>
      </c>
      <c r="E3813" t="inlineStr">
        <is>
          <t>CUNIN</t>
        </is>
      </c>
      <c r="F3813" t="inlineStr">
        <is>
          <t>$450K</t>
        </is>
      </c>
      <c r="G3813" s="19" t="n"/>
      <c r="H3813" s="19" t="n">
        <v>0.45</v>
      </c>
      <c r="I3813" t="inlineStr">
        <is>
          <t>Pre-Seed</t>
        </is>
      </c>
      <c r="J3813" t="inlineStr">
        <is>
          <t>All In Capital; Huddle Ventures</t>
        </is>
      </c>
      <c r="K3813" t="inlineStr">
        <is>
          <t>https://inc42.com/buzz/from-the-indus-valley-to-incuspaze-indian-startups-raised-105-mn-this-week/</t>
        </is>
      </c>
    </row>
    <row r="3814">
      <c r="A3814" t="inlineStr">
        <is>
          <t>ENT-12130343</t>
        </is>
      </c>
      <c r="B3814" t="inlineStr">
        <is>
          <t>R260701-cunin</t>
        </is>
      </c>
      <c r="C3814" t="inlineStr">
        <is>
          <t>Entrackr</t>
        </is>
      </c>
      <c r="D3814" s="17" t="n">
        <v>46206</v>
      </c>
      <c r="E3814" t="inlineStr">
        <is>
          <t>CUNIN</t>
        </is>
      </c>
      <c r="F3814" t="inlineStr">
        <is>
          <t>$450K</t>
        </is>
      </c>
      <c r="G3814" s="19" t="n"/>
      <c r="H3814" s="19" t="n">
        <v>0.45</v>
      </c>
      <c r="I3814" t="inlineStr">
        <is>
          <t>Pre-Seed</t>
        </is>
      </c>
      <c r="J3814" t="inlineStr">
        <is>
          <t>All In Capital; Huddle Ventures</t>
        </is>
      </c>
      <c r="K3814" t="inlineStr">
        <is>
          <t>https://entrackr.com/snippets/cunin-raises-450k-pre-seed-round-co-led-by-all-in-capital-and-huddle-ventures-12130343</t>
        </is>
      </c>
    </row>
    <row r="3815">
      <c r="A3815" t="inlineStr">
        <is>
          <t>ENT-12122203</t>
        </is>
      </c>
      <c r="B3815" t="inlineStr">
        <is>
          <t>R260701-datasciencewiz</t>
        </is>
      </c>
      <c r="C3815" t="inlineStr">
        <is>
          <t>Entrackr</t>
        </is>
      </c>
      <c r="D3815" s="17" t="n">
        <v>46204</v>
      </c>
      <c r="E3815" t="inlineStr">
        <is>
          <t>Data Science Wizards</t>
        </is>
      </c>
      <c r="F3815" t="inlineStr">
        <is>
          <t>$5 million</t>
        </is>
      </c>
      <c r="G3815" s="19" t="n"/>
      <c r="H3815" s="19" t="n">
        <v>5</v>
      </c>
      <c r="I3815" t="inlineStr">
        <is>
          <t>Pre-Series A</t>
        </is>
      </c>
      <c r="J3815" t="inlineStr"/>
      <c r="K3815" t="inlineStr">
        <is>
          <t>https://entrackr.com/snippets/data-science-wizards-raises-5-mn-in-pre-series-a-round-12122203</t>
        </is>
      </c>
    </row>
    <row r="3816">
      <c r="A3816" t="inlineStr">
        <is>
          <t>INC-20260704-09</t>
        </is>
      </c>
      <c r="B3816" t="inlineStr">
        <is>
          <t>R260701-datasciencewiz</t>
        </is>
      </c>
      <c r="C3816" t="inlineStr">
        <is>
          <t>Inc42</t>
        </is>
      </c>
      <c r="D3816" s="17" t="n">
        <v>46204</v>
      </c>
      <c r="E3816" t="inlineStr">
        <is>
          <t>Data Science Wizards</t>
        </is>
      </c>
      <c r="F3816" t="inlineStr">
        <is>
          <t>$5 Mn</t>
        </is>
      </c>
      <c r="G3816" s="19" t="n"/>
      <c r="H3816" s="19" t="n">
        <v>5</v>
      </c>
      <c r="I3816" t="inlineStr">
        <is>
          <t>Pre-Series A</t>
        </is>
      </c>
      <c r="J3816" t="inlineStr"/>
      <c r="K3816" t="inlineStr">
        <is>
          <t>https://inc42.com/buzz/from-the-indus-valley-to-incuspaze-indian-startups-raised-105-mn-this-week/</t>
        </is>
      </c>
    </row>
    <row r="3817">
      <c r="A3817" t="inlineStr">
        <is>
          <t>ENT-12123188</t>
        </is>
      </c>
      <c r="B3817" t="inlineStr">
        <is>
          <t>R260701-dovetailcapita</t>
        </is>
      </c>
      <c r="C3817" t="inlineStr">
        <is>
          <t>Entrackr</t>
        </is>
      </c>
      <c r="D3817" s="17" t="n">
        <v>46204</v>
      </c>
      <c r="E3817" t="inlineStr">
        <is>
          <t>Dovetail Capital</t>
        </is>
      </c>
      <c r="F3817" t="inlineStr">
        <is>
          <t>Rs 100 crore</t>
        </is>
      </c>
      <c r="G3817" s="19" t="n">
        <v>100</v>
      </c>
      <c r="H3817" s="19" t="n"/>
      <c r="I3817" t="inlineStr">
        <is>
          <t>Series A</t>
        </is>
      </c>
      <c r="J3817" t="inlineStr">
        <is>
          <t>Elev8 Venture Partners</t>
        </is>
      </c>
      <c r="K3817" t="inlineStr">
        <is>
          <t>https://entrackr.com/snippets/dovetail-capital-raises-rs-100-cr-led-by-elev8-venture-partners-12123188</t>
        </is>
      </c>
    </row>
    <row r="3818">
      <c r="A3818" t="inlineStr">
        <is>
          <t>ET-132104797</t>
        </is>
      </c>
      <c r="B3818" t="inlineStr">
        <is>
          <t>R260701-dovetailcapita</t>
        </is>
      </c>
      <c r="C3818" t="inlineStr">
        <is>
          <t>The Economic Times</t>
        </is>
      </c>
      <c r="D3818" s="17" t="n">
        <v>46204</v>
      </c>
      <c r="E3818" t="inlineStr">
        <is>
          <t>Dovetail Capital</t>
        </is>
      </c>
      <c r="F3818" t="inlineStr">
        <is>
          <t>Rs 100 crore</t>
        </is>
      </c>
      <c r="G3818" s="19" t="n">
        <v>100</v>
      </c>
      <c r="H3818" s="19" t="n"/>
      <c r="I3818" t="inlineStr">
        <is>
          <t>Undisclosed</t>
        </is>
      </c>
      <c r="J3818" t="inlineStr"/>
      <c r="K3818" t="inlineStr">
        <is>
          <t>https://economictimes.indiatimes.com/tech/startups/asset-servicing-startup-dovetail-capital-raises-rs-100-crore-in-funding-from-elev8-venture-partners/articleshow/132104797.cms</t>
        </is>
      </c>
    </row>
    <row r="3819">
      <c r="A3819" t="inlineStr">
        <is>
          <t>INC-20260704-04</t>
        </is>
      </c>
      <c r="B3819" t="inlineStr">
        <is>
          <t>R260701-dovetailcapita</t>
        </is>
      </c>
      <c r="C3819" t="inlineStr">
        <is>
          <t>Inc42</t>
        </is>
      </c>
      <c r="D3819" s="17" t="n">
        <v>46204</v>
      </c>
      <c r="E3819" t="inlineStr">
        <is>
          <t>Dovetail Capital</t>
        </is>
      </c>
      <c r="F3819" t="inlineStr">
        <is>
          <t>$10.5 Mn</t>
        </is>
      </c>
      <c r="G3819" s="19" t="n"/>
      <c r="H3819" s="19" t="n">
        <v>10.5</v>
      </c>
      <c r="I3819" t="inlineStr">
        <is>
          <t>Series A</t>
        </is>
      </c>
      <c r="J3819" t="inlineStr">
        <is>
          <t>Elev8 Venture Partners</t>
        </is>
      </c>
      <c r="K3819" t="inlineStr">
        <is>
          <t>https://inc42.com/buzz/from-the-indus-valley-to-incuspaze-indian-startups-raised-105-mn-this-week/</t>
        </is>
      </c>
    </row>
    <row r="3820">
      <c r="A3820" t="inlineStr">
        <is>
          <t>ENT-12123673</t>
        </is>
      </c>
      <c r="B3820" t="inlineStr">
        <is>
          <t>R260701-limelightdiamo</t>
        </is>
      </c>
      <c r="C3820" t="inlineStr">
        <is>
          <t>Entrackr</t>
        </is>
      </c>
      <c r="D3820" s="17" t="n">
        <v>46204</v>
      </c>
      <c r="E3820" t="inlineStr">
        <is>
          <t>Limelight Diamonds</t>
        </is>
      </c>
      <c r="F3820" t="inlineStr">
        <is>
          <t>Rs 275 crore</t>
        </is>
      </c>
      <c r="G3820" s="19" t="n">
        <v>275</v>
      </c>
      <c r="H3820" s="19" t="n"/>
      <c r="I3820" t="inlineStr">
        <is>
          <t>Undisclosed</t>
        </is>
      </c>
      <c r="J3820" t="inlineStr">
        <is>
          <t>Bhathwari Group</t>
        </is>
      </c>
      <c r="K3820" t="inlineStr">
        <is>
          <t>https://entrackr.com/snippets/lab-grown-diamond-brand-limelight-diamonds-raises-rs-275-cr-12123673</t>
        </is>
      </c>
    </row>
    <row r="3821">
      <c r="A3821" t="inlineStr">
        <is>
          <t>ENT-12123950</t>
        </is>
      </c>
      <c r="B3821" t="inlineStr">
        <is>
          <t>R260701-spense</t>
        </is>
      </c>
      <c r="C3821" t="inlineStr">
        <is>
          <t>Entrackr</t>
        </is>
      </c>
      <c r="D3821" s="17" t="n">
        <v>46204</v>
      </c>
      <c r="E3821" t="inlineStr">
        <is>
          <t>Spense</t>
        </is>
      </c>
      <c r="F3821" t="inlineStr">
        <is>
          <t>$2.8 million</t>
        </is>
      </c>
      <c r="G3821" s="19" t="n"/>
      <c r="H3821" s="19" t="n">
        <v>2.8</v>
      </c>
      <c r="I3821" t="inlineStr">
        <is>
          <t>Seed</t>
        </is>
      </c>
      <c r="J3821" t="inlineStr">
        <is>
          <t>Arkam Ventures</t>
        </is>
      </c>
      <c r="K3821" t="inlineStr">
        <is>
          <t>https://entrackr.com/snippets/banking-infra-startup-spense-secures-28-mn-in-seed-funding-12123950</t>
        </is>
      </c>
    </row>
    <row r="3822">
      <c r="A3822" t="inlineStr">
        <is>
          <t>INC-20260704-11</t>
        </is>
      </c>
      <c r="B3822" t="inlineStr">
        <is>
          <t>R260701-spense</t>
        </is>
      </c>
      <c r="C3822" t="inlineStr">
        <is>
          <t>Inc42</t>
        </is>
      </c>
      <c r="D3822" s="17" t="n">
        <v>46204</v>
      </c>
      <c r="E3822" t="inlineStr">
        <is>
          <t>Spense</t>
        </is>
      </c>
      <c r="F3822" t="inlineStr">
        <is>
          <t>$2.8 Mn</t>
        </is>
      </c>
      <c r="G3822" s="19" t="n"/>
      <c r="H3822" s="19" t="n">
        <v>2.8</v>
      </c>
      <c r="I3822" t="inlineStr">
        <is>
          <t>Seed</t>
        </is>
      </c>
      <c r="J3822" t="inlineStr">
        <is>
          <t>Arkam Ventures</t>
        </is>
      </c>
      <c r="K3822" t="inlineStr">
        <is>
          <t>https://inc42.com/buzz/from-the-indus-valley-to-incuspaze-indian-startups-raised-105-mn-this-week/</t>
        </is>
      </c>
    </row>
    <row r="3823">
      <c r="A3823" t="inlineStr">
        <is>
          <t>ENT-12122813</t>
        </is>
      </c>
      <c r="B3823" t="inlineStr">
        <is>
          <t>R260701-supply6</t>
        </is>
      </c>
      <c r="C3823" t="inlineStr">
        <is>
          <t>Entrackr</t>
        </is>
      </c>
      <c r="D3823" s="17" t="n">
        <v>46204</v>
      </c>
      <c r="E3823" t="inlineStr">
        <is>
          <t>Supply6</t>
        </is>
      </c>
      <c r="F3823" t="inlineStr">
        <is>
          <t>Rs 48 crore</t>
        </is>
      </c>
      <c r="G3823" s="19" t="n">
        <v>48</v>
      </c>
      <c r="H3823" s="19" t="n">
        <v>5</v>
      </c>
      <c r="I3823" t="inlineStr">
        <is>
          <t>Undisclosed</t>
        </is>
      </c>
      <c r="J3823" t="inlineStr">
        <is>
          <t>Unilever Ventures</t>
        </is>
      </c>
      <c r="K3823" t="inlineStr">
        <is>
          <t>https://entrackr.com/snippets/nutrition-startup-supply6-raises-rs-48-cr-led-by-unilever-ventures-12122813</t>
        </is>
      </c>
    </row>
    <row r="3824">
      <c r="A3824" t="inlineStr">
        <is>
          <t>INC-20260704-08</t>
        </is>
      </c>
      <c r="B3824" t="inlineStr">
        <is>
          <t>R260701-supply6</t>
        </is>
      </c>
      <c r="C3824" t="inlineStr">
        <is>
          <t>Inc42</t>
        </is>
      </c>
      <c r="D3824" s="17" t="n">
        <v>46204</v>
      </c>
      <c r="E3824" t="inlineStr">
        <is>
          <t>Supply6</t>
        </is>
      </c>
      <c r="F3824" t="inlineStr">
        <is>
          <t>$5 Mn</t>
        </is>
      </c>
      <c r="G3824" s="19" t="n"/>
      <c r="H3824" s="19" t="n">
        <v>5</v>
      </c>
      <c r="I3824" t="inlineStr">
        <is>
          <t>Undisclosed</t>
        </is>
      </c>
      <c r="J3824" t="inlineStr">
        <is>
          <t>Unilever Ventures; Zeropearl VC</t>
        </is>
      </c>
      <c r="K3824" t="inlineStr">
        <is>
          <t>https://inc42.com/buzz/from-the-indus-valley-to-incuspaze-indian-startups-raised-105-mn-this-week/</t>
        </is>
      </c>
    </row>
    <row r="3825">
      <c r="A3825" t="inlineStr">
        <is>
          <t>ENT-12125496</t>
        </is>
      </c>
      <c r="B3825" t="inlineStr">
        <is>
          <t>R260702-agecarelabs</t>
        </is>
      </c>
      <c r="C3825" t="inlineStr">
        <is>
          <t>Entrackr</t>
        </is>
      </c>
      <c r="D3825" s="17" t="n">
        <v>46205</v>
      </c>
      <c r="E3825" t="inlineStr">
        <is>
          <t>Age Care Labs</t>
        </is>
      </c>
      <c r="F3825" t="inlineStr">
        <is>
          <t>Rs 85 crore</t>
        </is>
      </c>
      <c r="G3825" s="19" t="n">
        <v>85</v>
      </c>
      <c r="H3825" s="19" t="n">
        <v>9</v>
      </c>
      <c r="I3825" t="inlineStr">
        <is>
          <t>Undisclosed</t>
        </is>
      </c>
      <c r="J3825" t="inlineStr"/>
      <c r="K3825" t="inlineStr">
        <is>
          <t>https://entrackr.com/news/elder-care-startup-age-care-labs-raises-9-mn-from-rainmatter-and-others-12125496</t>
        </is>
      </c>
    </row>
    <row r="3826">
      <c r="A3826" t="inlineStr">
        <is>
          <t>ET-132120509</t>
        </is>
      </c>
      <c r="B3826" t="inlineStr">
        <is>
          <t>R260702-agecarelabs</t>
        </is>
      </c>
      <c r="C3826" t="inlineStr">
        <is>
          <t>The Economic Times</t>
        </is>
      </c>
      <c r="D3826" s="17" t="n">
        <v>46205</v>
      </c>
      <c r="E3826" t="inlineStr">
        <is>
          <t>Age Care Labs</t>
        </is>
      </c>
      <c r="F3826" t="inlineStr">
        <is>
          <t>Rs 85 crore</t>
        </is>
      </c>
      <c r="G3826" s="19" t="n">
        <v>85</v>
      </c>
      <c r="H3826" s="19" t="n">
        <v>9</v>
      </c>
      <c r="I3826" t="inlineStr">
        <is>
          <t>Undisclosed</t>
        </is>
      </c>
      <c r="J3826" t="inlineStr"/>
      <c r="K3826" t="inlineStr">
        <is>
          <t>https://economictimes.indiatimes.com/tech/funding/at-home-eldercare-startup-age-care-labs-raises-9-million/articleshow/132120509.cms</t>
        </is>
      </c>
    </row>
    <row r="3827">
      <c r="A3827" t="inlineStr">
        <is>
          <t>INC-20260704-06</t>
        </is>
      </c>
      <c r="B3827" t="inlineStr">
        <is>
          <t>R260702-agecarelabs</t>
        </is>
      </c>
      <c r="C3827" t="inlineStr">
        <is>
          <t>Inc42</t>
        </is>
      </c>
      <c r="D3827" s="17" t="n">
        <v>46205</v>
      </c>
      <c r="E3827" t="inlineStr">
        <is>
          <t>Age Care Labs</t>
        </is>
      </c>
      <c r="F3827" t="inlineStr">
        <is>
          <t>$9 Mn</t>
        </is>
      </c>
      <c r="G3827" s="19" t="n"/>
      <c r="H3827" s="19" t="n">
        <v>9</v>
      </c>
      <c r="I3827" t="inlineStr">
        <is>
          <t>Series B</t>
        </is>
      </c>
      <c r="J3827" t="inlineStr"/>
      <c r="K3827" t="inlineStr">
        <is>
          <t>https://inc42.com/buzz/from-the-indus-valley-to-incuspaze-indian-startups-raised-105-mn-this-week/</t>
        </is>
      </c>
    </row>
    <row r="3828">
      <c r="A3828" t="inlineStr">
        <is>
          <t>VCC-29474ae607</t>
        </is>
      </c>
      <c r="B3828" t="inlineStr">
        <is>
          <t>R260702-agecarelabs</t>
        </is>
      </c>
      <c r="C3828" t="inlineStr">
        <is>
          <t>VCCircle</t>
        </is>
      </c>
      <c r="D3828" s="17" t="n">
        <v>46205</v>
      </c>
      <c r="E3828" t="inlineStr">
        <is>
          <t>agecare labs</t>
        </is>
      </c>
      <c r="F3828" t="inlineStr"/>
      <c r="G3828" s="19" t="n"/>
      <c r="H3828" s="19" t="n"/>
      <c r="I3828" t="inlineStr">
        <is>
          <t>Series B</t>
        </is>
      </c>
      <c r="J3828" t="inlineStr"/>
      <c r="K3828" t="inlineStr">
        <is>
          <t>https://www.vccircle.com/agecare-labs-snags-series-b-cheque-ties-up-with-shrem-for-senior-living-platform</t>
        </is>
      </c>
    </row>
    <row r="3829">
      <c r="A3829" t="inlineStr">
        <is>
          <t>ENT-12125741</t>
        </is>
      </c>
      <c r="B3829" t="inlineStr">
        <is>
          <t>R260702-batxenergies</t>
        </is>
      </c>
      <c r="C3829" t="inlineStr">
        <is>
          <t>Entrackr</t>
        </is>
      </c>
      <c r="D3829" s="17" t="n">
        <v>46205</v>
      </c>
      <c r="E3829" t="inlineStr">
        <is>
          <t>BatX Energies</t>
        </is>
      </c>
      <c r="F3829" t="inlineStr">
        <is>
          <t>Rs 105 crore</t>
        </is>
      </c>
      <c r="G3829" s="19" t="n">
        <v>105</v>
      </c>
      <c r="H3829" s="19" t="n">
        <v>11</v>
      </c>
      <c r="I3829" t="inlineStr">
        <is>
          <t>Series A</t>
        </is>
      </c>
      <c r="J3829" t="inlineStr">
        <is>
          <t>IvyCap Ventures</t>
        </is>
      </c>
      <c r="K3829" t="inlineStr">
        <is>
          <t>https://entrackr.com/news/batx-energies-raises-rs-105-cr-in-series-a-round-led-by-ivycap-ventures-12125741</t>
        </is>
      </c>
    </row>
    <row r="3830">
      <c r="A3830" t="inlineStr">
        <is>
          <t>ET-132131249</t>
        </is>
      </c>
      <c r="B3830" t="inlineStr">
        <is>
          <t>R260702-batxenergies</t>
        </is>
      </c>
      <c r="C3830" t="inlineStr">
        <is>
          <t>The Economic Times</t>
        </is>
      </c>
      <c r="D3830" s="17" t="n">
        <v>46205</v>
      </c>
      <c r="E3830" t="inlineStr">
        <is>
          <t>BatX Energies</t>
        </is>
      </c>
      <c r="F3830" t="inlineStr">
        <is>
          <t>Rs 105 crore</t>
        </is>
      </c>
      <c r="G3830" s="19" t="n">
        <v>105</v>
      </c>
      <c r="H3830" s="19" t="n"/>
      <c r="I3830" t="inlineStr">
        <is>
          <t>Undisclosed</t>
        </is>
      </c>
      <c r="J3830" t="inlineStr">
        <is>
          <t>IvyCap Ventures</t>
        </is>
      </c>
      <c r="K3830" t="inlineStr">
        <is>
          <t>https://economictimes.indiatimes.com/tech/funding/battery-recycler-batx-energies-raises-rs-105-crore-from-ivycap-ventures-others/articleshow/132131249.cms</t>
        </is>
      </c>
    </row>
    <row r="3831">
      <c r="A3831" t="inlineStr">
        <is>
          <t>INC-20260704-03</t>
        </is>
      </c>
      <c r="B3831" t="inlineStr">
        <is>
          <t>R260702-batxenergies</t>
        </is>
      </c>
      <c r="C3831" t="inlineStr">
        <is>
          <t>Inc42</t>
        </is>
      </c>
      <c r="D3831" s="17" t="n">
        <v>46205</v>
      </c>
      <c r="E3831" t="inlineStr">
        <is>
          <t>BatX Energies</t>
        </is>
      </c>
      <c r="F3831" t="inlineStr">
        <is>
          <t>$11 Mn</t>
        </is>
      </c>
      <c r="G3831" s="19" t="n"/>
      <c r="H3831" s="19" t="n">
        <v>11</v>
      </c>
      <c r="I3831" t="inlineStr">
        <is>
          <t>Series A</t>
        </is>
      </c>
      <c r="J3831" t="inlineStr">
        <is>
          <t>IvyCap Ventures</t>
        </is>
      </c>
      <c r="K3831" t="inlineStr">
        <is>
          <t>https://inc42.com/buzz/from-the-indus-valley-to-incuspaze-indian-startups-raised-105-mn-this-week/</t>
        </is>
      </c>
    </row>
    <row r="3832">
      <c r="A3832" t="inlineStr">
        <is>
          <t>INC-20260704-10</t>
        </is>
      </c>
      <c r="B3832" t="inlineStr">
        <is>
          <t>R260702-bctventures</t>
        </is>
      </c>
      <c r="C3832" t="inlineStr">
        <is>
          <t>Inc42</t>
        </is>
      </c>
      <c r="D3832" s="17" t="n">
        <v>46205</v>
      </c>
      <c r="E3832" t="inlineStr">
        <is>
          <t>BCT Ventures</t>
        </is>
      </c>
      <c r="F3832" t="inlineStr">
        <is>
          <t>$4.4 Mn</t>
        </is>
      </c>
      <c r="G3832" s="19" t="n"/>
      <c r="H3832" s="19" t="n">
        <v>4.4</v>
      </c>
      <c r="I3832" t="inlineStr">
        <is>
          <t>Seed</t>
        </is>
      </c>
      <c r="J3832" t="inlineStr">
        <is>
          <t>3one4 Capital</t>
        </is>
      </c>
      <c r="K3832" t="inlineStr">
        <is>
          <t>https://inc42.com/buzz/from-the-indus-valley-to-incuspaze-indian-startups-raised-105-mn-this-week/</t>
        </is>
      </c>
    </row>
    <row r="3833">
      <c r="A3833" t="inlineStr">
        <is>
          <t>ENT-12125980</t>
        </is>
      </c>
      <c r="B3833" t="inlineStr">
        <is>
          <t>R260702-heatronics</t>
        </is>
      </c>
      <c r="C3833" t="inlineStr">
        <is>
          <t>Entrackr</t>
        </is>
      </c>
      <c r="D3833" s="17" t="n">
        <v>46205</v>
      </c>
      <c r="E3833" t="inlineStr">
        <is>
          <t>Heatronics</t>
        </is>
      </c>
      <c r="F3833" t="inlineStr">
        <is>
          <t>Rs 1.8 crore</t>
        </is>
      </c>
      <c r="G3833" s="19" t="n">
        <v>1.8</v>
      </c>
      <c r="H3833" s="19" t="n"/>
      <c r="I3833" t="inlineStr">
        <is>
          <t>Seed</t>
        </is>
      </c>
      <c r="J3833" t="inlineStr">
        <is>
          <t>Inflection Point Ventures</t>
        </is>
      </c>
      <c r="K3833" t="inlineStr">
        <is>
          <t>https://entrackr.com/snippets/heatronics-raises-rs-18-cr-seed-round-led-by-ipv-12125980</t>
        </is>
      </c>
    </row>
    <row r="3834">
      <c r="A3834" t="inlineStr">
        <is>
          <t>INC-20260704-20</t>
        </is>
      </c>
      <c r="B3834" t="inlineStr">
        <is>
          <t>R260702-heatronics</t>
        </is>
      </c>
      <c r="C3834" t="inlineStr">
        <is>
          <t>Inc42</t>
        </is>
      </c>
      <c r="D3834" s="17" t="n">
        <v>46205</v>
      </c>
      <c r="E3834" t="inlineStr">
        <is>
          <t>Heatronics</t>
        </is>
      </c>
      <c r="F3834" t="inlineStr">
        <is>
          <t>$189K</t>
        </is>
      </c>
      <c r="G3834" s="19" t="n"/>
      <c r="H3834" s="19" t="n">
        <v>0.189</v>
      </c>
      <c r="I3834" t="inlineStr">
        <is>
          <t>Seed</t>
        </is>
      </c>
      <c r="J3834" t="inlineStr">
        <is>
          <t>Inflection Point Ventures</t>
        </is>
      </c>
      <c r="K3834" t="inlineStr">
        <is>
          <t>https://inc42.com/buzz/from-the-indus-valley-to-incuspaze-indian-startups-raised-105-mn-this-week/</t>
        </is>
      </c>
    </row>
    <row r="3835">
      <c r="A3835" t="inlineStr">
        <is>
          <t>ENT-12128023</t>
        </is>
      </c>
      <c r="B3835" t="inlineStr">
        <is>
          <t>R260702-ninjacart</t>
        </is>
      </c>
      <c r="C3835" t="inlineStr">
        <is>
          <t>Entrackr</t>
        </is>
      </c>
      <c r="D3835" s="17" t="n">
        <v>46205</v>
      </c>
      <c r="E3835" t="inlineStr">
        <is>
          <t>Ninjacart</t>
        </is>
      </c>
      <c r="F3835" t="inlineStr">
        <is>
          <t>$6 million</t>
        </is>
      </c>
      <c r="G3835" s="19" t="n"/>
      <c r="H3835" s="19" t="n">
        <v>6</v>
      </c>
      <c r="I3835" t="inlineStr">
        <is>
          <t>Undisclosed</t>
        </is>
      </c>
      <c r="J3835" t="inlineStr"/>
      <c r="K3835" t="inlineStr">
        <is>
          <t>https://entrackr.com/news/ninjacart-raises-6-mn-after-45-years-claims-ebitda-profitability-ahead-of-ipo-12128023</t>
        </is>
      </c>
    </row>
    <row r="3836">
      <c r="A3836" t="inlineStr">
        <is>
          <t>INC-20260704-07</t>
        </is>
      </c>
      <c r="B3836" t="inlineStr">
        <is>
          <t>R260702-ninjacart</t>
        </is>
      </c>
      <c r="C3836" t="inlineStr">
        <is>
          <t>Inc42</t>
        </is>
      </c>
      <c r="D3836" s="17" t="n">
        <v>46205</v>
      </c>
      <c r="E3836" t="inlineStr">
        <is>
          <t>Ninjacart</t>
        </is>
      </c>
      <c r="F3836" t="inlineStr">
        <is>
          <t>$6 Mn</t>
        </is>
      </c>
      <c r="G3836" s="19" t="n"/>
      <c r="H3836" s="19" t="n">
        <v>6</v>
      </c>
      <c r="I3836" t="inlineStr">
        <is>
          <t>Undisclosed</t>
        </is>
      </c>
      <c r="J3836" t="inlineStr">
        <is>
          <t>Accel; Tiger Global; Nandan Nilkeani</t>
        </is>
      </c>
      <c r="K3836" t="inlineStr">
        <is>
          <t>https://inc42.com/buzz/from-the-indus-valley-to-incuspaze-indian-startups-raised-105-mn-this-week/</t>
        </is>
      </c>
    </row>
    <row r="3837">
      <c r="A3837" t="inlineStr">
        <is>
          <t>ENT-12128217</t>
        </is>
      </c>
      <c r="B3837" t="inlineStr">
        <is>
          <t>R260702-playblue</t>
        </is>
      </c>
      <c r="C3837" t="inlineStr">
        <is>
          <t>Entrackr</t>
        </is>
      </c>
      <c r="D3837" s="17" t="n">
        <v>46205</v>
      </c>
      <c r="E3837" t="inlineStr">
        <is>
          <t>PlayBlue</t>
        </is>
      </c>
      <c r="F3837" t="inlineStr">
        <is>
          <t>$2.7 million</t>
        </is>
      </c>
      <c r="G3837" s="19" t="n"/>
      <c r="H3837" s="19" t="n">
        <v>2.7</v>
      </c>
      <c r="I3837" t="inlineStr">
        <is>
          <t>Seed</t>
        </is>
      </c>
      <c r="J3837" t="inlineStr">
        <is>
          <t>Centre Court Capital; MIXI Global</t>
        </is>
      </c>
      <c r="K3837" t="inlineStr">
        <is>
          <t>https://entrackr.com/snippets/omnichannel-sports-retail-startup-playblue-raises-27-mn-in-seed-round-12128217</t>
        </is>
      </c>
    </row>
    <row r="3838">
      <c r="A3838" t="inlineStr">
        <is>
          <t>INC-20260704-12</t>
        </is>
      </c>
      <c r="B3838" t="inlineStr">
        <is>
          <t>R260702-playblue</t>
        </is>
      </c>
      <c r="C3838" t="inlineStr">
        <is>
          <t>Inc42</t>
        </is>
      </c>
      <c r="D3838" s="17" t="n">
        <v>46205</v>
      </c>
      <c r="E3838" t="inlineStr">
        <is>
          <t>PlayBlue</t>
        </is>
      </c>
      <c r="F3838" t="inlineStr">
        <is>
          <t>$2.7 Mn</t>
        </is>
      </c>
      <c r="G3838" s="19" t="n"/>
      <c r="H3838" s="19" t="n">
        <v>2.7</v>
      </c>
      <c r="I3838" t="inlineStr">
        <is>
          <t>Seed</t>
        </is>
      </c>
      <c r="J3838" t="inlineStr">
        <is>
          <t>Centre Court Capital; MIXI Global</t>
        </is>
      </c>
      <c r="K3838" t="inlineStr">
        <is>
          <t>https://inc42.com/buzz/from-the-indus-valley-to-incuspaze-indian-startups-raised-105-mn-this-week/</t>
        </is>
      </c>
    </row>
    <row r="3839">
      <c r="A3839" t="inlineStr">
        <is>
          <t>ENT-12125757</t>
        </is>
      </c>
      <c r="B3839" t="inlineStr">
        <is>
          <t>R260702-tulonmaterials</t>
        </is>
      </c>
      <c r="C3839" t="inlineStr">
        <is>
          <t>Entrackr</t>
        </is>
      </c>
      <c r="D3839" s="17" t="n">
        <v>46205</v>
      </c>
      <c r="E3839" t="inlineStr">
        <is>
          <t>Tulon Materials</t>
        </is>
      </c>
      <c r="F3839" t="inlineStr">
        <is>
          <t>Rs 10 crore</t>
        </is>
      </c>
      <c r="G3839" s="19" t="n">
        <v>10</v>
      </c>
      <c r="H3839" s="19" t="n"/>
      <c r="I3839" t="inlineStr">
        <is>
          <t>Seed</t>
        </is>
      </c>
      <c r="J3839" t="inlineStr">
        <is>
          <t>Karthik Sundar Iyer</t>
        </is>
      </c>
      <c r="K3839" t="inlineStr">
        <is>
          <t>https://entrackr.com/snippets/specialty-chemical-startup-tulon-materials-raises-rs-10-cr-in-seed-round-12125757</t>
        </is>
      </c>
    </row>
    <row r="3840">
      <c r="A3840" t="inlineStr">
        <is>
          <t>INC-20260704-14</t>
        </is>
      </c>
      <c r="B3840" t="inlineStr">
        <is>
          <t>R260702-tulonmaterials</t>
        </is>
      </c>
      <c r="C3840" t="inlineStr">
        <is>
          <t>Inc42</t>
        </is>
      </c>
      <c r="D3840" s="17" t="n">
        <v>46205</v>
      </c>
      <c r="E3840" t="inlineStr">
        <is>
          <t>Tulon Materials</t>
        </is>
      </c>
      <c r="F3840" t="inlineStr">
        <is>
          <t>$1.1 Mn</t>
        </is>
      </c>
      <c r="G3840" s="19" t="n"/>
      <c r="H3840" s="19" t="n">
        <v>1.1</v>
      </c>
      <c r="I3840" t="inlineStr">
        <is>
          <t>Seed</t>
        </is>
      </c>
      <c r="J3840" t="inlineStr">
        <is>
          <t>Karthik Sundar Iyer</t>
        </is>
      </c>
      <c r="K3840" t="inlineStr">
        <is>
          <t>https://inc42.com/buzz/from-the-indus-valley-to-incuspaze-indian-startups-raised-105-mn-this-week/</t>
        </is>
      </c>
    </row>
    <row r="3841">
      <c r="A3841" t="inlineStr">
        <is>
          <t>ENT-12138551</t>
        </is>
      </c>
      <c r="B3841" t="inlineStr">
        <is>
          <t>R260706-tocal</t>
        </is>
      </c>
      <c r="C3841" t="inlineStr">
        <is>
          <t>Entrackr</t>
        </is>
      </c>
      <c r="D3841" s="17" t="n">
        <v>46209</v>
      </c>
      <c r="E3841" t="inlineStr">
        <is>
          <t>TOCAL</t>
        </is>
      </c>
      <c r="F3841" t="inlineStr">
        <is>
          <t>Rs 9 crore</t>
        </is>
      </c>
      <c r="G3841" s="19" t="n">
        <v>9</v>
      </c>
      <c r="H3841" s="19" t="n"/>
      <c r="I3841" t="inlineStr">
        <is>
          <t>Seed</t>
        </is>
      </c>
      <c r="J3841" t="inlineStr">
        <is>
          <t>XB Group</t>
        </is>
      </c>
      <c r="K3841" t="inlineStr">
        <is>
          <t>https://entrackr.com/snippets/ev-fleet-startup-tocal-secures-rs-9-cr-in-seed-round-12138551</t>
        </is>
      </c>
    </row>
    <row r="3842">
      <c r="A3842" t="inlineStr">
        <is>
          <t>ET-132211855</t>
        </is>
      </c>
      <c r="B3842" t="inlineStr">
        <is>
          <t>R260706-tocal</t>
        </is>
      </c>
      <c r="C3842" t="inlineStr">
        <is>
          <t>The Economic Times</t>
        </is>
      </c>
      <c r="D3842" s="17" t="n">
        <v>46209</v>
      </c>
      <c r="E3842" t="inlineStr">
        <is>
          <t>TOCAL</t>
        </is>
      </c>
      <c r="F3842" t="inlineStr">
        <is>
          <t>Rs 9 crore</t>
        </is>
      </c>
      <c r="G3842" s="19" t="n">
        <v>9</v>
      </c>
      <c r="H3842" s="19" t="n"/>
      <c r="I3842" t="inlineStr">
        <is>
          <t>Undisclosed</t>
        </is>
      </c>
      <c r="J3842" t="inlineStr">
        <is>
          <t>XB Group</t>
        </is>
      </c>
      <c r="K3842" t="inlineStr">
        <is>
          <t>https://economictimes.indiatimes.com/tech/startups/ev-logistics-startup-tocal-raises-rs-9-cr-to-drive-ev-fleet-fulfillment-expansion/articleshow/132211855.cms</t>
        </is>
      </c>
    </row>
    <row r="3843">
      <c r="A3843" t="inlineStr">
        <is>
          <t>VCC-9394121980</t>
        </is>
      </c>
      <c r="B3843" t="inlineStr">
        <is>
          <t>R260706-tocal</t>
        </is>
      </c>
      <c r="C3843" t="inlineStr">
        <is>
          <t>VCCircle</t>
        </is>
      </c>
      <c r="D3843" s="17" t="n">
        <v>46209</v>
      </c>
      <c r="E3843" t="inlineStr">
        <is>
          <t>ekincareascenthr wtf seal m as tocal</t>
        </is>
      </c>
      <c r="F3843" t="inlineStr"/>
      <c r="G3843" s="19" t="n"/>
      <c r="H3843" s="19" t="n"/>
      <c r="I3843" t="inlineStr">
        <is>
          <t>Undisclosed</t>
        </is>
      </c>
      <c r="J3843" t="inlineStr"/>
      <c r="K3843" t="inlineStr">
        <is>
          <t>https://www.vccircle.com/ekincareascenthr-wtf-seal-m-as-tocal-raises-fresh-capital</t>
        </is>
      </c>
    </row>
    <row r="3844">
      <c r="A3844" t="inlineStr">
        <is>
          <t>ENT-12142326</t>
        </is>
      </c>
      <c r="B3844" t="inlineStr">
        <is>
          <t>R260707-alchemic</t>
        </is>
      </c>
      <c r="C3844" t="inlineStr">
        <is>
          <t>Entrackr</t>
        </is>
      </c>
      <c r="D3844" s="17" t="n">
        <v>46210</v>
      </c>
      <c r="E3844" t="inlineStr">
        <is>
          <t>Alchemic</t>
        </is>
      </c>
      <c r="F3844" t="inlineStr">
        <is>
          <t>Rs 2.5 crore</t>
        </is>
      </c>
      <c r="G3844" s="19" t="n">
        <v>2.5</v>
      </c>
      <c r="H3844" s="19" t="n"/>
      <c r="I3844" t="inlineStr">
        <is>
          <t>Pre-Seed</t>
        </is>
      </c>
      <c r="J3844" t="inlineStr">
        <is>
          <t>AJVC</t>
        </is>
      </c>
      <c r="K3844" t="inlineStr">
        <is>
          <t>https://entrackr.com/snippets/alchemic-raises-rs-25-cr-pre-seed-round-led-by-ajvc-12142326</t>
        </is>
      </c>
    </row>
    <row r="3845">
      <c r="A3845" t="inlineStr">
        <is>
          <t>ENT-12141581</t>
        </is>
      </c>
      <c r="B3845" t="inlineStr">
        <is>
          <t>R260707-econovuspackag</t>
        </is>
      </c>
      <c r="C3845" t="inlineStr">
        <is>
          <t>Entrackr</t>
        </is>
      </c>
      <c r="D3845" s="17" t="n">
        <v>46210</v>
      </c>
      <c r="E3845" t="inlineStr">
        <is>
          <t>Econovus Packaging</t>
        </is>
      </c>
      <c r="F3845" t="inlineStr">
        <is>
          <t>Rs 40 crore</t>
        </is>
      </c>
      <c r="G3845" s="19" t="n">
        <v>40</v>
      </c>
      <c r="H3845" s="19" t="n"/>
      <c r="I3845" t="inlineStr">
        <is>
          <t>Pre-Series A</t>
        </is>
      </c>
      <c r="J3845" t="inlineStr"/>
      <c r="K3845" t="inlineStr">
        <is>
          <t>https://entrackr.com/snippets/rainmatter-leads-rs-40-cr-pre-series-a-round-in-econovus-packaging-12141581</t>
        </is>
      </c>
    </row>
    <row r="3846">
      <c r="A3846" t="inlineStr">
        <is>
          <t>ET-132236803</t>
        </is>
      </c>
      <c r="B3846" t="inlineStr">
        <is>
          <t>R260707-econovuspackag</t>
        </is>
      </c>
      <c r="C3846" t="inlineStr">
        <is>
          <t>The Economic Times</t>
        </is>
      </c>
      <c r="D3846" s="17" t="n">
        <v>46210</v>
      </c>
      <c r="E3846" t="inlineStr">
        <is>
          <t>Econovus</t>
        </is>
      </c>
      <c r="F3846" t="inlineStr">
        <is>
          <t>Rs 40 crore</t>
        </is>
      </c>
      <c r="G3846" s="19" t="n">
        <v>40</v>
      </c>
      <c r="H3846" s="19" t="n"/>
      <c r="I3846" t="inlineStr">
        <is>
          <t>Undisclosed</t>
        </is>
      </c>
      <c r="J3846" t="inlineStr"/>
      <c r="K3846" t="inlineStr">
        <is>
          <t>https://economictimes.indiatimes.com/tech/funding/rainmatter-leads-rs-40-crore-funding-in-sustainable-packaging-startup-econovus/articleshow/132236803.cms</t>
        </is>
      </c>
    </row>
    <row r="3847">
      <c r="A3847" t="inlineStr">
        <is>
          <t>INC-20260711-05</t>
        </is>
      </c>
      <c r="B3847" t="inlineStr">
        <is>
          <t>R260707-econovuspackag</t>
        </is>
      </c>
      <c r="C3847" t="inlineStr">
        <is>
          <t>Inc42</t>
        </is>
      </c>
      <c r="D3847" s="17" t="n">
        <v>46210</v>
      </c>
      <c r="E3847" t="inlineStr">
        <is>
          <t>Econovus Packaging</t>
        </is>
      </c>
      <c r="F3847" t="inlineStr">
        <is>
          <t>$4.2 Mn</t>
        </is>
      </c>
      <c r="G3847" s="19" t="n"/>
      <c r="H3847" s="19" t="n">
        <v>4.2</v>
      </c>
      <c r="I3847" t="inlineStr">
        <is>
          <t>Pre-Series A</t>
        </is>
      </c>
      <c r="J3847" t="inlineStr">
        <is>
          <t>Rainmatter</t>
        </is>
      </c>
      <c r="K3847" t="inlineStr">
        <is>
          <t>https://inc42.com/features/from-elevate-education-to-aukera-indian-startups-raised-72-mn-this-week/</t>
        </is>
      </c>
    </row>
    <row r="3848">
      <c r="A3848" t="inlineStr">
        <is>
          <t>INC-20260711-14</t>
        </is>
      </c>
      <c r="B3848" t="inlineStr">
        <is>
          <t>R260707-fizzygoblet</t>
        </is>
      </c>
      <c r="C3848" t="inlineStr">
        <is>
          <t>Inc42</t>
        </is>
      </c>
      <c r="D3848" s="17" t="n">
        <v>46210</v>
      </c>
      <c r="E3848" t="inlineStr">
        <is>
          <t>Fizzy Goblet</t>
        </is>
      </c>
      <c r="F3848" t="inlineStr"/>
      <c r="G3848" s="19" t="n"/>
      <c r="H3848" s="19" t="n"/>
      <c r="I3848" t="inlineStr">
        <is>
          <t>Undisclosed</t>
        </is>
      </c>
      <c r="J3848" t="inlineStr"/>
      <c r="K3848" t="inlineStr">
        <is>
          <t>https://inc42.com/features/from-elevate-education-to-aukera-indian-startups-raised-72-mn-this-week/</t>
        </is>
      </c>
    </row>
    <row r="3849">
      <c r="A3849" t="inlineStr">
        <is>
          <t>ENT-12141325</t>
        </is>
      </c>
      <c r="B3849" t="inlineStr">
        <is>
          <t>R260707-mowito</t>
        </is>
      </c>
      <c r="C3849" t="inlineStr">
        <is>
          <t>Entrackr</t>
        </is>
      </c>
      <c r="D3849" s="17" t="n">
        <v>46210</v>
      </c>
      <c r="E3849" t="inlineStr">
        <is>
          <t>Mowito</t>
        </is>
      </c>
      <c r="F3849" t="inlineStr">
        <is>
          <t>$3 million</t>
        </is>
      </c>
      <c r="G3849" s="19" t="n"/>
      <c r="H3849" s="19" t="n">
        <v>3</v>
      </c>
      <c r="I3849" t="inlineStr">
        <is>
          <t>Pre-Seed</t>
        </is>
      </c>
      <c r="J3849" t="inlineStr">
        <is>
          <t>Version One Ventures</t>
        </is>
      </c>
      <c r="K3849" t="inlineStr">
        <is>
          <t>https://entrackr.com/snippets/physical-ai-startup-mowito-raises-3-mn-led-by-version-one-ventures-12141325</t>
        </is>
      </c>
    </row>
    <row r="3850">
      <c r="A3850" t="inlineStr">
        <is>
          <t>ET-132239341</t>
        </is>
      </c>
      <c r="B3850" t="inlineStr">
        <is>
          <t>R260707-mowito</t>
        </is>
      </c>
      <c r="C3850" t="inlineStr">
        <is>
          <t>The Economic Times</t>
        </is>
      </c>
      <c r="D3850" s="17" t="n">
        <v>46210</v>
      </c>
      <c r="E3850" t="inlineStr">
        <is>
          <t>Mowito</t>
        </is>
      </c>
      <c r="F3850" t="inlineStr">
        <is>
          <t>$3 million</t>
        </is>
      </c>
      <c r="G3850" s="19" t="n"/>
      <c r="H3850" s="19" t="n">
        <v>3</v>
      </c>
      <c r="I3850" t="inlineStr">
        <is>
          <t>Pre-Seed</t>
        </is>
      </c>
      <c r="J3850" t="inlineStr"/>
      <c r="K3850" t="inlineStr">
        <is>
          <t>https://economictimes.indiatimes.com/tech/funding/physical-ai-startup-mowito-raises-3-million-to-teach-factory-robots-by-demonstration-not-code/articleshow/132239341.cms</t>
        </is>
      </c>
    </row>
    <row r="3851">
      <c r="A3851" t="inlineStr">
        <is>
          <t>INC-20260711-07</t>
        </is>
      </c>
      <c r="B3851" t="inlineStr">
        <is>
          <t>R260707-mowito</t>
        </is>
      </c>
      <c r="C3851" t="inlineStr">
        <is>
          <t>Inc42</t>
        </is>
      </c>
      <c r="D3851" s="17" t="n">
        <v>46210</v>
      </c>
      <c r="E3851" t="inlineStr">
        <is>
          <t>Mowito</t>
        </is>
      </c>
      <c r="F3851" t="inlineStr">
        <is>
          <t>$3 Mn</t>
        </is>
      </c>
      <c r="G3851" s="19" t="n"/>
      <c r="H3851" s="19" t="n">
        <v>3</v>
      </c>
      <c r="I3851" t="inlineStr">
        <is>
          <t>Pre-Seed</t>
        </is>
      </c>
      <c r="J3851" t="inlineStr">
        <is>
          <t>Version One Ventures</t>
        </is>
      </c>
      <c r="K3851" t="inlineStr">
        <is>
          <t>https://inc42.com/features/from-elevate-education-to-aukera-indian-startups-raised-72-mn-this-week/</t>
        </is>
      </c>
    </row>
    <row r="3852">
      <c r="A3852" t="inlineStr">
        <is>
          <t>ENT-12140935</t>
        </is>
      </c>
      <c r="B3852" t="inlineStr">
        <is>
          <t>R260707-onpoint</t>
        </is>
      </c>
      <c r="C3852" t="inlineStr">
        <is>
          <t>Entrackr</t>
        </is>
      </c>
      <c r="D3852" s="17" t="n">
        <v>46210</v>
      </c>
      <c r="E3852" t="inlineStr">
        <is>
          <t>Onpoint</t>
        </is>
      </c>
      <c r="F3852" t="inlineStr">
        <is>
          <t>$600k</t>
        </is>
      </c>
      <c r="G3852" s="19" t="n"/>
      <c r="H3852" s="19" t="n">
        <v>0.6</v>
      </c>
      <c r="I3852" t="inlineStr">
        <is>
          <t>Pre-Seed</t>
        </is>
      </c>
      <c r="J3852" t="inlineStr">
        <is>
          <t>First Cheque; Whiteboard Capital</t>
        </is>
      </c>
      <c r="K3852" t="inlineStr">
        <is>
          <t>https://entrackr.com/snippets/rewards-platform-onpoint-raises-600k-in-pre-seed-round-12140935</t>
        </is>
      </c>
    </row>
    <row r="3853">
      <c r="A3853" t="inlineStr">
        <is>
          <t>ET-132235100</t>
        </is>
      </c>
      <c r="B3853" t="inlineStr">
        <is>
          <t>R260707-onpoint</t>
        </is>
      </c>
      <c r="C3853" t="inlineStr">
        <is>
          <t>The Economic Times</t>
        </is>
      </c>
      <c r="D3853" s="17" t="n">
        <v>46210</v>
      </c>
      <c r="E3853" t="inlineStr">
        <is>
          <t>Onpoint</t>
        </is>
      </c>
      <c r="F3853" t="inlineStr">
        <is>
          <t>$600,000</t>
        </is>
      </c>
      <c r="G3853" s="19" t="n"/>
      <c r="H3853" s="19" t="n">
        <v>0.6</v>
      </c>
      <c r="I3853" t="inlineStr">
        <is>
          <t>Undisclosed</t>
        </is>
      </c>
      <c r="J3853" t="inlineStr">
        <is>
          <t>First Cheque; Whiteboard Capital</t>
        </is>
      </c>
      <c r="K3853" t="inlineStr">
        <is>
          <t>https://economictimes.indiatimes.com/tech/funding/rewards-company-onpoint-raises-600000-from-first-cheque-whiteboard-others/articleshow/132235100.cms</t>
        </is>
      </c>
    </row>
    <row r="3854">
      <c r="A3854" t="inlineStr">
        <is>
          <t>INC-20260711-16</t>
        </is>
      </c>
      <c r="B3854" t="inlineStr">
        <is>
          <t>R260707-rocketlane</t>
        </is>
      </c>
      <c r="C3854" t="inlineStr">
        <is>
          <t>Inc42</t>
        </is>
      </c>
      <c r="D3854" s="17" t="n">
        <v>46210</v>
      </c>
      <c r="E3854" t="inlineStr">
        <is>
          <t>Rocketlane</t>
        </is>
      </c>
      <c r="F3854" t="inlineStr"/>
      <c r="G3854" s="19" t="n"/>
      <c r="H3854" s="19" t="n"/>
      <c r="I3854" t="inlineStr">
        <is>
          <t>Undisclosed</t>
        </is>
      </c>
      <c r="J3854" t="inlineStr">
        <is>
          <t>Atlassian Ventures</t>
        </is>
      </c>
      <c r="K3854" t="inlineStr">
        <is>
          <t>https://inc42.com/features/from-elevate-education-to-aukera-indian-startups-raised-72-mn-this-week/</t>
        </is>
      </c>
    </row>
    <row r="3855">
      <c r="A3855" t="inlineStr">
        <is>
          <t>ENT-12141321</t>
        </is>
      </c>
      <c r="B3855" t="inlineStr">
        <is>
          <t>R260707-stylework</t>
        </is>
      </c>
      <c r="C3855" t="inlineStr">
        <is>
          <t>Entrackr</t>
        </is>
      </c>
      <c r="D3855" s="17" t="n">
        <v>46210</v>
      </c>
      <c r="E3855" t="inlineStr">
        <is>
          <t>Stylework</t>
        </is>
      </c>
      <c r="F3855" t="inlineStr">
        <is>
          <t>$1 million</t>
        </is>
      </c>
      <c r="G3855" s="19" t="n"/>
      <c r="H3855" s="19" t="n">
        <v>1</v>
      </c>
      <c r="I3855" t="inlineStr">
        <is>
          <t>Pre-Series B</t>
        </is>
      </c>
      <c r="J3855" t="inlineStr">
        <is>
          <t>Auxano Capital</t>
        </is>
      </c>
      <c r="K3855" t="inlineStr">
        <is>
          <t>https://entrackr.com/snippets/stylework-raises-1-mn-in-pre-series-b-second-close-12141321</t>
        </is>
      </c>
    </row>
    <row r="3856">
      <c r="A3856" t="inlineStr">
        <is>
          <t>INC-20260711-10</t>
        </is>
      </c>
      <c r="B3856" t="inlineStr">
        <is>
          <t>R260707-stylework</t>
        </is>
      </c>
      <c r="C3856" t="inlineStr">
        <is>
          <t>Inc42</t>
        </is>
      </c>
      <c r="D3856" s="17" t="n">
        <v>46210</v>
      </c>
      <c r="E3856" t="inlineStr">
        <is>
          <t>Stylework</t>
        </is>
      </c>
      <c r="F3856" t="inlineStr">
        <is>
          <t>$1 Mn</t>
        </is>
      </c>
      <c r="G3856" s="19" t="n"/>
      <c r="H3856" s="19" t="n">
        <v>1</v>
      </c>
      <c r="I3856" t="inlineStr">
        <is>
          <t>Pre-Series B</t>
        </is>
      </c>
      <c r="J3856" t="inlineStr">
        <is>
          <t>Auxano Capital</t>
        </is>
      </c>
      <c r="K3856" t="inlineStr">
        <is>
          <t>https://inc42.com/features/from-elevate-education-to-aukera-indian-startups-raised-72-mn-this-week/</t>
        </is>
      </c>
    </row>
    <row r="3857">
      <c r="A3857" t="inlineStr">
        <is>
          <t>INC-20260711-06</t>
        </is>
      </c>
      <c r="B3857" t="inlineStr">
        <is>
          <t>R260707-thumpn</t>
        </is>
      </c>
      <c r="C3857" t="inlineStr">
        <is>
          <t>Inc42</t>
        </is>
      </c>
      <c r="D3857" s="17" t="n">
        <v>46210</v>
      </c>
      <c r="E3857" t="inlineStr">
        <is>
          <t>thumpN</t>
        </is>
      </c>
      <c r="F3857" t="inlineStr">
        <is>
          <t>$3.8 Mn</t>
        </is>
      </c>
      <c r="G3857" s="19" t="n"/>
      <c r="H3857" s="19" t="n">
        <v>3.8</v>
      </c>
      <c r="I3857" t="inlineStr">
        <is>
          <t>Pre-Seed</t>
        </is>
      </c>
      <c r="J3857" t="inlineStr"/>
      <c r="K3857" t="inlineStr">
        <is>
          <t>https://inc42.com/features/from-elevate-education-to-aukera-indian-startups-raised-72-mn-this-week/</t>
        </is>
      </c>
    </row>
    <row r="3858">
      <c r="A3858" t="inlineStr">
        <is>
          <t>ENT-12151817</t>
        </is>
      </c>
      <c r="B3858" t="inlineStr">
        <is>
          <t>R260707-thumpn</t>
        </is>
      </c>
      <c r="C3858" t="inlineStr">
        <is>
          <t>Entrackr</t>
        </is>
      </c>
      <c r="D3858" s="17" t="n">
        <v>46213</v>
      </c>
      <c r="E3858" t="inlineStr">
        <is>
          <t>thumpN</t>
        </is>
      </c>
      <c r="F3858" t="inlineStr">
        <is>
          <t>$3.75 million</t>
        </is>
      </c>
      <c r="G3858" s="19" t="n"/>
      <c r="H3858" s="19" t="n">
        <v>3.75</v>
      </c>
      <c r="I3858" t="inlineStr">
        <is>
          <t>Pre-Seed</t>
        </is>
      </c>
      <c r="J3858" t="inlineStr"/>
      <c r="K3858" t="inlineStr">
        <is>
          <t>https://entrackr.com/snippets/thumpn-raises-375-mn-in-pre-seed-round-12151817</t>
        </is>
      </c>
    </row>
    <row r="3859">
      <c r="A3859" t="inlineStr">
        <is>
          <t>ET-132245838</t>
        </is>
      </c>
      <c r="B3859" t="inlineStr">
        <is>
          <t>R260708-adageautomatio</t>
        </is>
      </c>
      <c r="C3859" t="inlineStr">
        <is>
          <t>The Economic Times</t>
        </is>
      </c>
      <c r="D3859" s="17" t="n">
        <v>46211</v>
      </c>
      <c r="E3859" t="inlineStr">
        <is>
          <t>Adage Automation</t>
        </is>
      </c>
      <c r="F3859" t="inlineStr">
        <is>
          <t>Rs 230 crore</t>
        </is>
      </c>
      <c r="G3859" s="19" t="n">
        <v>230</v>
      </c>
      <c r="H3859" s="19" t="n"/>
      <c r="I3859" t="inlineStr">
        <is>
          <t>Undisclosed</t>
        </is>
      </c>
      <c r="J3859" t="inlineStr">
        <is>
          <t>InCred Alternative Investments</t>
        </is>
      </c>
      <c r="K3859" t="inlineStr">
        <is>
          <t>https://economictimes.indiatimes.com/tech/funding/adage-automation-secures-rs-230-crore-in-funding-led-by-pe-firm-incred-alternative/articleshow/132245838.cms</t>
        </is>
      </c>
    </row>
    <row r="3860">
      <c r="A3860" t="inlineStr">
        <is>
          <t>VCC-0609af8f20</t>
        </is>
      </c>
      <c r="B3860" t="inlineStr">
        <is>
          <t>R260708-adageautomatio</t>
        </is>
      </c>
      <c r="C3860" t="inlineStr">
        <is>
          <t>VCCircle</t>
        </is>
      </c>
      <c r="D3860" s="17" t="n">
        <v>46211</v>
      </c>
      <c r="E3860" t="inlineStr">
        <is>
          <t>adage automation</t>
        </is>
      </c>
      <c r="F3860" t="inlineStr"/>
      <c r="G3860" s="19" t="n"/>
      <c r="H3860" s="19" t="n"/>
      <c r="I3860" t="inlineStr">
        <is>
          <t>Undisclosed</t>
        </is>
      </c>
      <c r="J3860" t="inlineStr"/>
      <c r="K3860" t="inlineStr">
        <is>
          <t>https://www.vccircle.com/incredalts-leads-pe-funding-in-gas-analytics-firm-adage-automation</t>
        </is>
      </c>
    </row>
    <row r="3861">
      <c r="A3861" t="inlineStr">
        <is>
          <t>ENT-12143541</t>
        </is>
      </c>
      <c r="B3861" t="inlineStr">
        <is>
          <t>R260708-avniwellness</t>
        </is>
      </c>
      <c r="C3861" t="inlineStr">
        <is>
          <t>Entrackr</t>
        </is>
      </c>
      <c r="D3861" s="17" t="n">
        <v>46211</v>
      </c>
      <c r="E3861" t="inlineStr">
        <is>
          <t>Avni Wellness</t>
        </is>
      </c>
      <c r="F3861" t="inlineStr">
        <is>
          <t>Rs 4 crore</t>
        </is>
      </c>
      <c r="G3861" s="19" t="n">
        <v>4</v>
      </c>
      <c r="H3861" s="19" t="n"/>
      <c r="I3861" t="inlineStr">
        <is>
          <t>Seed</t>
        </is>
      </c>
      <c r="J3861" t="inlineStr">
        <is>
          <t>Proteus Partners</t>
        </is>
      </c>
      <c r="K3861" t="inlineStr">
        <is>
          <t>https://entrackr.com/snippets/womens-health-brand-avni-wellness-raises-seed-round-12143541</t>
        </is>
      </c>
    </row>
    <row r="3862">
      <c r="A3862" t="inlineStr">
        <is>
          <t>INC-20260711-13</t>
        </is>
      </c>
      <c r="B3862" t="inlineStr">
        <is>
          <t>R260708-avniwellness</t>
        </is>
      </c>
      <c r="C3862" t="inlineStr">
        <is>
          <t>Inc42</t>
        </is>
      </c>
      <c r="D3862" s="17" t="n">
        <v>46211</v>
      </c>
      <c r="E3862" t="inlineStr">
        <is>
          <t>Avni Wellness</t>
        </is>
      </c>
      <c r="F3862" t="inlineStr">
        <is>
          <t>$419K</t>
        </is>
      </c>
      <c r="G3862" s="19" t="n"/>
      <c r="H3862" s="19" t="n">
        <v>0.419</v>
      </c>
      <c r="I3862" t="inlineStr">
        <is>
          <t>Undisclosed</t>
        </is>
      </c>
      <c r="J3862" t="inlineStr">
        <is>
          <t>Proteus Partners</t>
        </is>
      </c>
      <c r="K3862" t="inlineStr">
        <is>
          <t>https://inc42.com/features/from-elevate-education-to-aukera-indian-startups-raised-72-mn-this-week/</t>
        </is>
      </c>
    </row>
    <row r="3863">
      <c r="A3863" t="inlineStr">
        <is>
          <t>ENT-12144492</t>
        </is>
      </c>
      <c r="B3863" t="inlineStr">
        <is>
          <t>R260708-doodhvalefarms</t>
        </is>
      </c>
      <c r="C3863" t="inlineStr">
        <is>
          <t>Entrackr</t>
        </is>
      </c>
      <c r="D3863" s="17" t="n">
        <v>46211</v>
      </c>
      <c r="E3863" t="inlineStr">
        <is>
          <t>Doodhvale Farms</t>
        </is>
      </c>
      <c r="F3863" t="inlineStr">
        <is>
          <t>$1 million</t>
        </is>
      </c>
      <c r="G3863" s="19" t="n"/>
      <c r="H3863" s="19" t="n">
        <v>1</v>
      </c>
      <c r="I3863" t="inlineStr">
        <is>
          <t>Undisclosed</t>
        </is>
      </c>
      <c r="J3863" t="inlineStr"/>
      <c r="K3863" t="inlineStr">
        <is>
          <t>https://entrackr.com/snippets/doodhvale-farms-raises-1-mn-from-atomic-capital-12144492</t>
        </is>
      </c>
    </row>
    <row r="3864">
      <c r="A3864" t="inlineStr">
        <is>
          <t>INC-20260711-09</t>
        </is>
      </c>
      <c r="B3864" t="inlineStr">
        <is>
          <t>R260708-doodhvalefarms</t>
        </is>
      </c>
      <c r="C3864" t="inlineStr">
        <is>
          <t>Inc42</t>
        </is>
      </c>
      <c r="D3864" s="17" t="n">
        <v>46211</v>
      </c>
      <c r="E3864" t="inlineStr">
        <is>
          <t>Doodhvale Farms</t>
        </is>
      </c>
      <c r="F3864" t="inlineStr">
        <is>
          <t>$1 Mn</t>
        </is>
      </c>
      <c r="G3864" s="19" t="n"/>
      <c r="H3864" s="19" t="n">
        <v>1</v>
      </c>
      <c r="I3864" t="inlineStr">
        <is>
          <t>Undisclosed</t>
        </is>
      </c>
      <c r="J3864" t="inlineStr">
        <is>
          <t>Atomic Capital</t>
        </is>
      </c>
      <c r="K3864" t="inlineStr">
        <is>
          <t>https://inc42.com/features/from-elevate-education-to-aukera-indian-startups-raised-72-mn-this-week/</t>
        </is>
      </c>
    </row>
    <row r="3865">
      <c r="A3865" t="inlineStr">
        <is>
          <t>ENT-12146048</t>
        </is>
      </c>
      <c r="B3865" t="inlineStr">
        <is>
          <t>R260708-edysorai</t>
        </is>
      </c>
      <c r="C3865" t="inlineStr">
        <is>
          <t>Entrackr</t>
        </is>
      </c>
      <c r="D3865" s="17" t="n">
        <v>46211</v>
      </c>
      <c r="E3865" t="inlineStr">
        <is>
          <t>Edysor.ai</t>
        </is>
      </c>
      <c r="F3865" t="inlineStr">
        <is>
          <t>Rs 1.2 crore</t>
        </is>
      </c>
      <c r="G3865" s="19" t="n">
        <v>1.2</v>
      </c>
      <c r="H3865" s="19" t="n"/>
      <c r="I3865" t="inlineStr">
        <is>
          <t>Pre-Seed</t>
        </is>
      </c>
      <c r="J3865" t="inlineStr">
        <is>
          <t>Jasmine Sarupria</t>
        </is>
      </c>
      <c r="K3865" t="inlineStr">
        <is>
          <t>https://entrackr.com/snippets/voice-ai-platform-edysorai-raises-pre-seed-round-12146048</t>
        </is>
      </c>
    </row>
    <row r="3866">
      <c r="A3866" t="inlineStr">
        <is>
          <t>ENT-12145392</t>
        </is>
      </c>
      <c r="B3866" t="inlineStr">
        <is>
          <t>R260708-elevateeducati</t>
        </is>
      </c>
      <c r="C3866" t="inlineStr">
        <is>
          <t>Entrackr</t>
        </is>
      </c>
      <c r="D3866" s="17" t="n">
        <v>46211</v>
      </c>
      <c r="E3866" t="inlineStr">
        <is>
          <t>Elevate Education</t>
        </is>
      </c>
      <c r="F3866" t="inlineStr">
        <is>
          <t>Rs 170 crore</t>
        </is>
      </c>
      <c r="G3866" s="19" t="n">
        <v>170</v>
      </c>
      <c r="H3866" s="19" t="n">
        <v>17.7</v>
      </c>
      <c r="I3866" t="inlineStr">
        <is>
          <t>Series D</t>
        </is>
      </c>
      <c r="J3866" t="inlineStr"/>
      <c r="K3866" t="inlineStr">
        <is>
          <t>https://entrackr.com/news/elevate-education-raises-rs-170-cr-in-series-d-round-from-westbridge-capital-12145392</t>
        </is>
      </c>
    </row>
    <row r="3867">
      <c r="A3867" t="inlineStr">
        <is>
          <t>ET-132258957</t>
        </is>
      </c>
      <c r="B3867" t="inlineStr">
        <is>
          <t>R260708-elevateeducati</t>
        </is>
      </c>
      <c r="C3867" t="inlineStr">
        <is>
          <t>The Economic Times</t>
        </is>
      </c>
      <c r="D3867" s="17" t="n">
        <v>46211</v>
      </c>
      <c r="E3867" t="inlineStr">
        <is>
          <t>Elevate Education</t>
        </is>
      </c>
      <c r="F3867" t="inlineStr">
        <is>
          <t>Rs 170 crore</t>
        </is>
      </c>
      <c r="G3867" s="19" t="n">
        <v>170</v>
      </c>
      <c r="H3867" s="19" t="n"/>
      <c r="I3867" t="inlineStr">
        <is>
          <t>Undisclosed</t>
        </is>
      </c>
      <c r="J3867" t="inlineStr"/>
      <c r="K3867" t="inlineStr">
        <is>
          <t>https://economictimes.indiatimes.com/tech/funding/westbridge-capital-invests-rs-170-crore-in-elevate-education/articleshow/132258957.cms</t>
        </is>
      </c>
    </row>
    <row r="3868">
      <c r="A3868" t="inlineStr">
        <is>
          <t>INC-20260711-01</t>
        </is>
      </c>
      <c r="B3868" t="inlineStr">
        <is>
          <t>R260708-elevateeducati</t>
        </is>
      </c>
      <c r="C3868" t="inlineStr">
        <is>
          <t>Inc42</t>
        </is>
      </c>
      <c r="D3868" s="17" t="n">
        <v>46211</v>
      </c>
      <c r="E3868" t="inlineStr">
        <is>
          <t>Elevate Education</t>
        </is>
      </c>
      <c r="F3868" t="inlineStr">
        <is>
          <t>$17.7 Mn</t>
        </is>
      </c>
      <c r="G3868" s="19" t="n"/>
      <c r="H3868" s="19" t="n">
        <v>17.7</v>
      </c>
      <c r="I3868" t="inlineStr">
        <is>
          <t>Series D</t>
        </is>
      </c>
      <c r="J3868" t="inlineStr">
        <is>
          <t>WestBridge Capital</t>
        </is>
      </c>
      <c r="K3868" t="inlineStr">
        <is>
          <t>https://inc42.com/features/from-elevate-education-to-aukera-indian-startups-raised-72-mn-this-week/</t>
        </is>
      </c>
    </row>
    <row r="3869">
      <c r="A3869" t="inlineStr">
        <is>
          <t>ENT-12146237</t>
        </is>
      </c>
      <c r="B3869" t="inlineStr">
        <is>
          <t>R260708-enliferesearch</t>
        </is>
      </c>
      <c r="C3869" t="inlineStr">
        <is>
          <t>Entrackr</t>
        </is>
      </c>
      <c r="D3869" s="17" t="n">
        <v>46211</v>
      </c>
      <c r="E3869" t="inlineStr">
        <is>
          <t>eNLife Research</t>
        </is>
      </c>
      <c r="F3869" t="inlineStr">
        <is>
          <t>Rs 6 crore</t>
        </is>
      </c>
      <c r="G3869" s="19" t="n">
        <v>6</v>
      </c>
      <c r="H3869" s="19" t="n"/>
      <c r="I3869" t="inlineStr">
        <is>
          <t>Seed</t>
        </is>
      </c>
      <c r="J3869" t="inlineStr">
        <is>
          <t>Piper Serica VC Fund</t>
        </is>
      </c>
      <c r="K3869" t="inlineStr">
        <is>
          <t>https://entrackr.com/snippets/piper-serica-leads-seed-round-in-deep-tech-startup-enlife-research-12146237</t>
        </is>
      </c>
    </row>
    <row r="3870">
      <c r="A3870" t="inlineStr">
        <is>
          <t>ET-132264863</t>
        </is>
      </c>
      <c r="B3870" t="inlineStr">
        <is>
          <t>R260708-enliferesearch</t>
        </is>
      </c>
      <c r="C3870" t="inlineStr">
        <is>
          <t>The Economic Times</t>
        </is>
      </c>
      <c r="D3870" s="17" t="n">
        <v>46211</v>
      </c>
      <c r="E3870" t="inlineStr">
        <is>
          <t>Enlife</t>
        </is>
      </c>
      <c r="F3870" t="inlineStr">
        <is>
          <t>Rs 6 crore</t>
        </is>
      </c>
      <c r="G3870" s="19" t="n">
        <v>6</v>
      </c>
      <c r="H3870" s="19" t="n"/>
      <c r="I3870" t="inlineStr">
        <is>
          <t>Undisclosed</t>
        </is>
      </c>
      <c r="J3870" t="inlineStr"/>
      <c r="K3870" t="inlineStr">
        <is>
          <t>https://economictimes.indiatimes.com/tech/funding/deeptech-startup-enlife-bags-rs-6-crore-to-develop-ai-blood-test-for-alzheimers/articleshow/132264863.cms</t>
        </is>
      </c>
    </row>
    <row r="3871">
      <c r="A3871" t="inlineStr">
        <is>
          <t>ENT-12145426</t>
        </is>
      </c>
      <c r="B3871" t="inlineStr">
        <is>
          <t>R260708-milodrive</t>
        </is>
      </c>
      <c r="C3871" t="inlineStr">
        <is>
          <t>Entrackr</t>
        </is>
      </c>
      <c r="D3871" s="17" t="n">
        <v>46211</v>
      </c>
      <c r="E3871" t="inlineStr">
        <is>
          <t>Milo Drive</t>
        </is>
      </c>
      <c r="F3871" t="inlineStr">
        <is>
          <t>$2.4 million</t>
        </is>
      </c>
      <c r="G3871" s="19" t="n"/>
      <c r="H3871" s="19" t="n">
        <v>2.4</v>
      </c>
      <c r="I3871" t="inlineStr">
        <is>
          <t>Seed</t>
        </is>
      </c>
      <c r="J3871" t="inlineStr">
        <is>
          <t>Caret Capital</t>
        </is>
      </c>
      <c r="K3871" t="inlineStr">
        <is>
          <t>https://entrackr.com/snippets/caret-capital-leads-24-mn-seed-round-in-milo-drive-12145426</t>
        </is>
      </c>
    </row>
    <row r="3872">
      <c r="A3872" t="inlineStr">
        <is>
          <t>ET-132265484</t>
        </is>
      </c>
      <c r="B3872" t="inlineStr">
        <is>
          <t>R260708-milodrive</t>
        </is>
      </c>
      <c r="C3872" t="inlineStr">
        <is>
          <t>The Economic Times</t>
        </is>
      </c>
      <c r="D3872" s="17" t="n">
        <v>46211</v>
      </c>
      <c r="E3872" t="inlineStr">
        <is>
          <t>Milo Drive</t>
        </is>
      </c>
      <c r="F3872" t="inlineStr">
        <is>
          <t>$2.4 million</t>
        </is>
      </c>
      <c r="G3872" s="19" t="n"/>
      <c r="H3872" s="19" t="n">
        <v>2.4</v>
      </c>
      <c r="I3872" t="inlineStr">
        <is>
          <t>Seed</t>
        </is>
      </c>
      <c r="J3872" t="inlineStr">
        <is>
          <t>Caret Capital</t>
        </is>
      </c>
      <c r="K3872" t="inlineStr">
        <is>
          <t>https://economictimes.indiatimes.com/tech/funding/e-mobility-startup-milo-drive-secures-2-4-million-from-caret-capital-antler-india-ian-capital/articleshow/132265484.cms</t>
        </is>
      </c>
    </row>
    <row r="3873">
      <c r="A3873" t="inlineStr">
        <is>
          <t>INC-20260711-08</t>
        </is>
      </c>
      <c r="B3873" t="inlineStr">
        <is>
          <t>R260708-milodrive</t>
        </is>
      </c>
      <c r="C3873" t="inlineStr">
        <is>
          <t>Inc42</t>
        </is>
      </c>
      <c r="D3873" s="17" t="n">
        <v>46211</v>
      </c>
      <c r="E3873" t="inlineStr">
        <is>
          <t>Milo Drive</t>
        </is>
      </c>
      <c r="F3873" t="inlineStr">
        <is>
          <t>$2.4 Mn</t>
        </is>
      </c>
      <c r="G3873" s="19" t="n"/>
      <c r="H3873" s="19" t="n">
        <v>2.4</v>
      </c>
      <c r="I3873" t="inlineStr">
        <is>
          <t>Seed</t>
        </is>
      </c>
      <c r="J3873" t="inlineStr">
        <is>
          <t>Caret Capital; Antler</t>
        </is>
      </c>
      <c r="K3873" t="inlineStr">
        <is>
          <t>https://inc42.com/features/from-elevate-education-to-aukera-indian-startups-raised-72-mn-this-week/</t>
        </is>
      </c>
    </row>
    <row r="3874">
      <c r="A3874" t="inlineStr">
        <is>
          <t>INC-20260711-15</t>
        </is>
      </c>
      <c r="B3874" t="inlineStr">
        <is>
          <t>R260708-rawbare</t>
        </is>
      </c>
      <c r="C3874" t="inlineStr">
        <is>
          <t>Inc42</t>
        </is>
      </c>
      <c r="D3874" s="17" t="n">
        <v>46211</v>
      </c>
      <c r="E3874" t="inlineStr">
        <is>
          <t>Rawbare</t>
        </is>
      </c>
      <c r="F3874" t="inlineStr"/>
      <c r="G3874" s="19" t="n"/>
      <c r="H3874" s="19" t="n"/>
      <c r="I3874" t="inlineStr">
        <is>
          <t>Undisclosed</t>
        </is>
      </c>
      <c r="J3874" t="inlineStr">
        <is>
          <t>Teamology Softech</t>
        </is>
      </c>
      <c r="K3874" t="inlineStr">
        <is>
          <t>https://inc42.com/features/from-elevate-education-to-aukera-indian-startups-raised-72-mn-this-week/</t>
        </is>
      </c>
    </row>
    <row r="3875">
      <c r="A3875" t="inlineStr">
        <is>
          <t>ENT-12148802</t>
        </is>
      </c>
      <c r="B3875" t="inlineStr">
        <is>
          <t>R260709-baastechnologi</t>
        </is>
      </c>
      <c r="C3875" t="inlineStr">
        <is>
          <t>Entrackr</t>
        </is>
      </c>
      <c r="D3875" s="17" t="n">
        <v>46212</v>
      </c>
      <c r="E3875" t="inlineStr">
        <is>
          <t>BAAS Technologies</t>
        </is>
      </c>
      <c r="F3875" t="inlineStr">
        <is>
          <t>Rs 5 crore</t>
        </is>
      </c>
      <c r="G3875" s="19" t="n">
        <v>5</v>
      </c>
      <c r="H3875" s="19" t="n"/>
      <c r="I3875" t="inlineStr">
        <is>
          <t>Pre-Seed</t>
        </is>
      </c>
      <c r="J3875" t="inlineStr">
        <is>
          <t>Inflection Point Ventures</t>
        </is>
      </c>
      <c r="K3875" t="inlineStr">
        <is>
          <t>https://entrackr.com/snippets/ipv-leads-pre-seed-round-in-space-tech-startup-baas-technologies-12148802</t>
        </is>
      </c>
    </row>
    <row r="3876">
      <c r="A3876" t="inlineStr">
        <is>
          <t>INC-20260711-12</t>
        </is>
      </c>
      <c r="B3876" t="inlineStr">
        <is>
          <t>R260709-baastechnologi</t>
        </is>
      </c>
      <c r="C3876" t="inlineStr">
        <is>
          <t>Inc42</t>
        </is>
      </c>
      <c r="D3876" s="17" t="n">
        <v>46212</v>
      </c>
      <c r="E3876" t="inlineStr">
        <is>
          <t>BAAS Technologies</t>
        </is>
      </c>
      <c r="F3876" t="inlineStr">
        <is>
          <t>$525K</t>
        </is>
      </c>
      <c r="G3876" s="19" t="n"/>
      <c r="H3876" s="19" t="n">
        <v>0.525</v>
      </c>
      <c r="I3876" t="inlineStr">
        <is>
          <t>Pre-Seed</t>
        </is>
      </c>
      <c r="J3876" t="inlineStr">
        <is>
          <t>Inflection Point Ventures</t>
        </is>
      </c>
      <c r="K3876" t="inlineStr">
        <is>
          <t>https://inc42.com/features/from-elevate-education-to-aukera-indian-startups-raised-72-mn-this-week/</t>
        </is>
      </c>
    </row>
    <row r="3877">
      <c r="A3877" t="inlineStr">
        <is>
          <t>ENT-12148341</t>
        </is>
      </c>
      <c r="B3877" t="inlineStr">
        <is>
          <t>R260709-hakimo</t>
        </is>
      </c>
      <c r="C3877" t="inlineStr">
        <is>
          <t>Entrackr</t>
        </is>
      </c>
      <c r="D3877" s="17" t="n">
        <v>46212</v>
      </c>
      <c r="E3877" t="inlineStr">
        <is>
          <t>Hakimo</t>
        </is>
      </c>
      <c r="F3877" t="inlineStr">
        <is>
          <t>$12 million</t>
        </is>
      </c>
      <c r="G3877" s="19" t="n"/>
      <c r="H3877" s="19" t="n">
        <v>12</v>
      </c>
      <c r="I3877" t="inlineStr">
        <is>
          <t>Undisclosed</t>
        </is>
      </c>
      <c r="J3877" t="inlineStr">
        <is>
          <t>Zigg Capital</t>
        </is>
      </c>
      <c r="K3877" t="inlineStr">
        <is>
          <t>https://entrackr.com/news/physical-ai-startup-hakimo-raises-12-mn-12148341</t>
        </is>
      </c>
    </row>
    <row r="3878">
      <c r="A3878" t="inlineStr">
        <is>
          <t>INC-20260711-11</t>
        </is>
      </c>
      <c r="B3878" t="inlineStr">
        <is>
          <t>R260709-neothera</t>
        </is>
      </c>
      <c r="C3878" t="inlineStr">
        <is>
          <t>Inc42</t>
        </is>
      </c>
      <c r="D3878" s="17" t="n">
        <v>46212</v>
      </c>
      <c r="E3878" t="inlineStr">
        <is>
          <t>Neothera</t>
        </is>
      </c>
      <c r="F3878" t="inlineStr">
        <is>
          <t>$943K</t>
        </is>
      </c>
      <c r="G3878" s="19" t="n"/>
      <c r="H3878" s="19" t="n">
        <v>0.9429999999999999</v>
      </c>
      <c r="I3878" t="inlineStr">
        <is>
          <t>Undisclosed</t>
        </is>
      </c>
      <c r="J3878" t="inlineStr">
        <is>
          <t>Blume Ventures</t>
        </is>
      </c>
      <c r="K3878" t="inlineStr">
        <is>
          <t>https://inc42.com/features/from-elevate-education-to-aukera-indian-startups-raised-72-mn-this-week/</t>
        </is>
      </c>
    </row>
    <row r="3879">
      <c r="A3879" t="inlineStr">
        <is>
          <t>INC-20260711-04</t>
        </is>
      </c>
      <c r="B3879" t="inlineStr">
        <is>
          <t>R260709-wheelocity</t>
        </is>
      </c>
      <c r="C3879" t="inlineStr">
        <is>
          <t>Inc42</t>
        </is>
      </c>
      <c r="D3879" s="17" t="n">
        <v>46212</v>
      </c>
      <c r="E3879" t="inlineStr">
        <is>
          <t>Wheelocity</t>
        </is>
      </c>
      <c r="F3879" t="inlineStr">
        <is>
          <t>$8.5 Mn</t>
        </is>
      </c>
      <c r="G3879" s="19" t="n"/>
      <c r="H3879" s="19" t="n">
        <v>8.5</v>
      </c>
      <c r="I3879" t="inlineStr">
        <is>
          <t>Undisclosed</t>
        </is>
      </c>
      <c r="J3879" t="inlineStr">
        <is>
          <t>Elevar Equity</t>
        </is>
      </c>
      <c r="K3879" t="inlineStr">
        <is>
          <t>https://inc42.com/features/from-elevate-education-to-aukera-indian-startups-raised-72-mn-this-week/</t>
        </is>
      </c>
    </row>
    <row r="3880">
      <c r="A3880" t="inlineStr">
        <is>
          <t>ENT-12147588</t>
        </is>
      </c>
      <c r="B3880" t="inlineStr">
        <is>
          <t>R260709-wizcommerce</t>
        </is>
      </c>
      <c r="C3880" t="inlineStr">
        <is>
          <t>Entrackr</t>
        </is>
      </c>
      <c r="D3880" s="17" t="n">
        <v>46212</v>
      </c>
      <c r="E3880" t="inlineStr">
        <is>
          <t>WizCommerce</t>
        </is>
      </c>
      <c r="F3880" t="inlineStr">
        <is>
          <t>Rs 79.5 crore</t>
        </is>
      </c>
      <c r="G3880" s="19" t="n">
        <v>79.5</v>
      </c>
      <c r="H3880" s="19" t="n">
        <v>8.300000000000001</v>
      </c>
      <c r="I3880" t="inlineStr">
        <is>
          <t>Undisclosed</t>
        </is>
      </c>
      <c r="J3880" t="inlineStr"/>
      <c r="K3880" t="inlineStr">
        <is>
          <t>https://entrackr.com/exclusive/exclusive-wizcommerce-raises-83-mn-from-blume-alpha-wave-peak-xv-and-others-12147588</t>
        </is>
      </c>
    </row>
    <row r="3881">
      <c r="A3881" t="inlineStr">
        <is>
          <t>ENT-12152130</t>
        </is>
      </c>
      <c r="B3881" t="inlineStr">
        <is>
          <t>R260710-aukera</t>
        </is>
      </c>
      <c r="C3881" t="inlineStr">
        <is>
          <t>Entrackr</t>
        </is>
      </c>
      <c r="D3881" s="17" t="n">
        <v>46213</v>
      </c>
      <c r="E3881" t="inlineStr">
        <is>
          <t>Aukera</t>
        </is>
      </c>
      <c r="F3881" t="inlineStr">
        <is>
          <t>Rs 90 crore</t>
        </is>
      </c>
      <c r="G3881" s="19" t="n">
        <v>90</v>
      </c>
      <c r="H3881" s="19" t="n">
        <v>10</v>
      </c>
      <c r="I3881" t="inlineStr">
        <is>
          <t>Undisclosed</t>
        </is>
      </c>
      <c r="J3881" t="inlineStr">
        <is>
          <t>Alteria Capital</t>
        </is>
      </c>
      <c r="K3881" t="inlineStr">
        <is>
          <t>https://entrackr.com/news/aukera-raises-rs-90-cr-in-fresh-funding-led-by-alteria-capital-12152130</t>
        </is>
      </c>
    </row>
    <row r="3882">
      <c r="A3882" t="inlineStr">
        <is>
          <t>INC-20260711-03</t>
        </is>
      </c>
      <c r="B3882" t="inlineStr">
        <is>
          <t>R260710-aukera</t>
        </is>
      </c>
      <c r="C3882" t="inlineStr">
        <is>
          <t>Inc42</t>
        </is>
      </c>
      <c r="D3882" s="17" t="n">
        <v>46213</v>
      </c>
      <c r="E3882" t="inlineStr">
        <is>
          <t>Aukera</t>
        </is>
      </c>
      <c r="F3882" t="inlineStr">
        <is>
          <t>$10 Mn</t>
        </is>
      </c>
      <c r="G3882" s="19" t="n"/>
      <c r="H3882" s="19" t="n">
        <v>10</v>
      </c>
      <c r="I3882" t="inlineStr">
        <is>
          <t>Debt</t>
        </is>
      </c>
      <c r="J3882" t="inlineStr">
        <is>
          <t>Alteria Capital</t>
        </is>
      </c>
      <c r="K3882" t="inlineStr">
        <is>
          <t>https://inc42.com/features/from-elevate-education-to-aukera-indian-startups-raised-72-mn-this-week/</t>
        </is>
      </c>
    </row>
    <row r="3883">
      <c r="A3883" t="inlineStr">
        <is>
          <t>ENT-12150788</t>
        </is>
      </c>
      <c r="B3883" t="inlineStr">
        <is>
          <t>R260710-biofuelcircle</t>
        </is>
      </c>
      <c r="C3883" t="inlineStr">
        <is>
          <t>Entrackr</t>
        </is>
      </c>
      <c r="D3883" s="17" t="n">
        <v>46213</v>
      </c>
      <c r="E3883" t="inlineStr">
        <is>
          <t>BiofuelCircle</t>
        </is>
      </c>
      <c r="F3883" t="inlineStr">
        <is>
          <t>Rs 35 crore</t>
        </is>
      </c>
      <c r="G3883" s="19" t="n">
        <v>35</v>
      </c>
      <c r="H3883" s="19" t="n"/>
      <c r="I3883" t="inlineStr">
        <is>
          <t>Debt</t>
        </is>
      </c>
      <c r="J3883" t="inlineStr">
        <is>
          <t>Pooja Unichem LLP</t>
        </is>
      </c>
      <c r="K3883" t="inlineStr">
        <is>
          <t>https://entrackr.com/exclusive/exclusive-biofuelcircle-secures-rs-35-cr-in-fresh-funding-12150788</t>
        </is>
      </c>
    </row>
    <row r="3884">
      <c r="A3884" t="inlineStr">
        <is>
          <t>INC-20260718-13</t>
        </is>
      </c>
      <c r="B3884" t="inlineStr">
        <is>
          <t>R260710-biofuelcircle</t>
        </is>
      </c>
      <c r="C3884" t="inlineStr">
        <is>
          <t>Inc42</t>
        </is>
      </c>
      <c r="D3884" s="17" t="n">
        <v>46217</v>
      </c>
      <c r="E3884" t="inlineStr">
        <is>
          <t>BiofuelCircle</t>
        </is>
      </c>
      <c r="F3884" t="inlineStr">
        <is>
          <t>$3.6 Mn</t>
        </is>
      </c>
      <c r="G3884" s="19" t="n"/>
      <c r="H3884" s="19" t="n">
        <v>3.6</v>
      </c>
      <c r="I3884" t="inlineStr">
        <is>
          <t>Undisclosed</t>
        </is>
      </c>
      <c r="J3884" t="inlineStr">
        <is>
          <t>Spectrum Impact</t>
        </is>
      </c>
      <c r="K3884" t="inlineStr">
        <is>
          <t>https://inc42.com/buzz/from-emergent-to-neo-group-indian-startups-raised-281-mn-this-week/</t>
        </is>
      </c>
    </row>
    <row r="3885">
      <c r="A3885" t="inlineStr">
        <is>
          <t>INC-20260711-02</t>
        </is>
      </c>
      <c r="B3885" t="inlineStr">
        <is>
          <t>R260710-purplestylelab</t>
        </is>
      </c>
      <c r="C3885" t="inlineStr">
        <is>
          <t>Inc42</t>
        </is>
      </c>
      <c r="D3885" s="17" t="n">
        <v>46213</v>
      </c>
      <c r="E3885" t="inlineStr">
        <is>
          <t>Purple Style Labs</t>
        </is>
      </c>
      <c r="F3885" t="inlineStr">
        <is>
          <t>$17 Mn</t>
        </is>
      </c>
      <c r="G3885" s="19" t="n"/>
      <c r="H3885" s="19" t="n">
        <v>17</v>
      </c>
      <c r="I3885" t="inlineStr">
        <is>
          <t>Debt</t>
        </is>
      </c>
      <c r="J3885" t="inlineStr"/>
      <c r="K3885" t="inlineStr">
        <is>
          <t>https://inc42.com/features/from-elevate-education-to-aukera-indian-startups-raised-72-mn-this-week/</t>
        </is>
      </c>
    </row>
    <row r="3886">
      <c r="A3886" t="inlineStr">
        <is>
          <t>ET-132312763</t>
        </is>
      </c>
      <c r="B3886" t="inlineStr">
        <is>
          <t>R260710-sumosaveretail</t>
        </is>
      </c>
      <c r="C3886" t="inlineStr">
        <is>
          <t>The Economic Times</t>
        </is>
      </c>
      <c r="D3886" s="17" t="n">
        <v>46213</v>
      </c>
      <c r="E3886" t="inlineStr">
        <is>
          <t>Sumosave Retail</t>
        </is>
      </c>
      <c r="F3886" t="inlineStr">
        <is>
          <t>Rs 50 crore</t>
        </is>
      </c>
      <c r="G3886" s="19" t="n">
        <v>50</v>
      </c>
      <c r="H3886" s="19" t="n"/>
      <c r="I3886" t="inlineStr">
        <is>
          <t>Pre-Series B</t>
        </is>
      </c>
      <c r="J3886" t="inlineStr">
        <is>
          <t>12 Flags Group</t>
        </is>
      </c>
      <c r="K3886" t="inlineStr">
        <is>
          <t>https://economictimes.indiatimes.com/tech/funding/grocery-chain-sumosave-retail-raises-rs-50-crore-led-by-12-flags/articleshow/132312763.cms</t>
        </is>
      </c>
    </row>
    <row r="3887">
      <c r="A3887" t="inlineStr">
        <is>
          <t>INC-20260718-17</t>
        </is>
      </c>
      <c r="B3887" t="inlineStr">
        <is>
          <t>R260713-built</t>
        </is>
      </c>
      <c r="C3887" t="inlineStr">
        <is>
          <t>Inc42</t>
        </is>
      </c>
      <c r="D3887" s="17" t="n">
        <v>46216</v>
      </c>
      <c r="E3887" t="inlineStr">
        <is>
          <t>BUILT</t>
        </is>
      </c>
      <c r="F3887" t="inlineStr">
        <is>
          <t>$2 Mn</t>
        </is>
      </c>
      <c r="G3887" s="19" t="n"/>
      <c r="H3887" s="19" t="n">
        <v>2</v>
      </c>
      <c r="I3887" t="inlineStr">
        <is>
          <t>Pre-Seed</t>
        </is>
      </c>
      <c r="J3887" t="inlineStr"/>
      <c r="K3887" t="inlineStr">
        <is>
          <t>https://inc42.com/buzz/from-emergent-to-neo-group-indian-startups-raised-281-mn-this-week/</t>
        </is>
      </c>
    </row>
    <row r="3888">
      <c r="A3888" t="inlineStr">
        <is>
          <t>ET-132420189</t>
        </is>
      </c>
      <c r="B3888" t="inlineStr">
        <is>
          <t>R260713-built</t>
        </is>
      </c>
      <c r="C3888" t="inlineStr">
        <is>
          <t>The Economic Times</t>
        </is>
      </c>
      <c r="D3888" s="17" t="n">
        <v>46218</v>
      </c>
      <c r="E3888" t="inlineStr">
        <is>
          <t>Built</t>
        </is>
      </c>
      <c r="F3888" t="inlineStr">
        <is>
          <t>$2 million</t>
        </is>
      </c>
      <c r="G3888" s="19" t="n"/>
      <c r="H3888" s="19" t="n">
        <v>2</v>
      </c>
      <c r="I3888" t="inlineStr">
        <is>
          <t>Undisclosed</t>
        </is>
      </c>
      <c r="J3888" t="inlineStr">
        <is>
          <t>Tanglin Venture Partners</t>
        </is>
      </c>
      <c r="K3888" t="inlineStr">
        <is>
          <t>https://economictimes.indiatimes.com/tech/funding/d2c-footwear-brand-built-raised-2-million-funding-led-by-tanglin-venture-partners/articleshow/132420189.cms</t>
        </is>
      </c>
    </row>
    <row r="3889">
      <c r="A3889" t="inlineStr">
        <is>
          <t>INC-20260718-10</t>
        </is>
      </c>
      <c r="B3889" t="inlineStr">
        <is>
          <t>R260713-dhruvaspace</t>
        </is>
      </c>
      <c r="C3889" t="inlineStr">
        <is>
          <t>Inc42</t>
        </is>
      </c>
      <c r="D3889" s="17" t="n">
        <v>46216</v>
      </c>
      <c r="E3889" t="inlineStr">
        <is>
          <t>Dhruva Space</t>
        </is>
      </c>
      <c r="F3889" t="inlineStr">
        <is>
          <t>$6.3 Mn</t>
        </is>
      </c>
      <c r="G3889" s="19" t="n"/>
      <c r="H3889" s="19" t="n">
        <v>6.3</v>
      </c>
      <c r="I3889" t="inlineStr">
        <is>
          <t>Pre-Series B</t>
        </is>
      </c>
      <c r="J3889" t="inlineStr">
        <is>
          <t>Antariksh Venture Capital Fund</t>
        </is>
      </c>
      <c r="K3889" t="inlineStr">
        <is>
          <t>https://inc42.com/buzz/from-emergent-to-neo-group-indian-startups-raised-281-mn-this-week/</t>
        </is>
      </c>
    </row>
    <row r="3890">
      <c r="A3890" t="inlineStr">
        <is>
          <t>INC-20260718-21</t>
        </is>
      </c>
      <c r="B3890" t="inlineStr">
        <is>
          <t>R260713-sortmyprep</t>
        </is>
      </c>
      <c r="C3890" t="inlineStr">
        <is>
          <t>Inc42</t>
        </is>
      </c>
      <c r="D3890" s="17" t="n">
        <v>46216</v>
      </c>
      <c r="E3890" t="inlineStr">
        <is>
          <t>Sortmyprep</t>
        </is>
      </c>
      <c r="F3890" t="inlineStr">
        <is>
          <t>$350K</t>
        </is>
      </c>
      <c r="G3890" s="19" t="n"/>
      <c r="H3890" s="19" t="n">
        <v>0.35</v>
      </c>
      <c r="I3890" t="inlineStr">
        <is>
          <t>Pre-Seed</t>
        </is>
      </c>
      <c r="J3890" t="inlineStr"/>
      <c r="K3890" t="inlineStr">
        <is>
          <t>https://inc42.com/buzz/from-emergent-to-neo-group-indian-startups-raised-281-mn-this-week/</t>
        </is>
      </c>
    </row>
    <row r="3891">
      <c r="A3891" t="inlineStr">
        <is>
          <t>ENT-12165707</t>
        </is>
      </c>
      <c r="B3891" t="inlineStr">
        <is>
          <t>R260715-anmasa</t>
        </is>
      </c>
      <c r="C3891" t="inlineStr">
        <is>
          <t>Entrackr</t>
        </is>
      </c>
      <c r="D3891" s="17" t="n">
        <v>46218</v>
      </c>
      <c r="E3891" t="inlineStr">
        <is>
          <t>Anmasa</t>
        </is>
      </c>
      <c r="F3891" t="inlineStr">
        <is>
          <t>Rs 30 crore</t>
        </is>
      </c>
      <c r="G3891" s="19" t="n">
        <v>30</v>
      </c>
      <c r="H3891" s="19" t="n">
        <v>3.15</v>
      </c>
      <c r="I3891" t="inlineStr">
        <is>
          <t>Seed</t>
        </is>
      </c>
      <c r="J3891" t="inlineStr">
        <is>
          <t>Fireside Ventures</t>
        </is>
      </c>
      <c r="K3891" t="inlineStr">
        <is>
          <t>https://entrackr.com/snippets/fireside-leads-rs-30-cr-seed-round-in-d2c-grocery-startup-anmasa-12165707</t>
        </is>
      </c>
    </row>
    <row r="3892">
      <c r="A3892" t="inlineStr">
        <is>
          <t>INC-20260718-15</t>
        </is>
      </c>
      <c r="B3892" t="inlineStr">
        <is>
          <t>R260715-anmasa</t>
        </is>
      </c>
      <c r="C3892" t="inlineStr">
        <is>
          <t>Inc42</t>
        </is>
      </c>
      <c r="D3892" s="17" t="n">
        <v>46218</v>
      </c>
      <c r="E3892" t="inlineStr">
        <is>
          <t>Anmasa</t>
        </is>
      </c>
      <c r="F3892" t="inlineStr">
        <is>
          <t>$3.1 Mn</t>
        </is>
      </c>
      <c r="G3892" s="19" t="n"/>
      <c r="H3892" s="19" t="n">
        <v>3.1</v>
      </c>
      <c r="I3892" t="inlineStr">
        <is>
          <t>Undisclosed</t>
        </is>
      </c>
      <c r="J3892" t="inlineStr">
        <is>
          <t>Fireside Ventures</t>
        </is>
      </c>
      <c r="K3892" t="inlineStr">
        <is>
          <t>https://inc42.com/buzz/from-emergent-to-neo-group-indian-startups-raised-281-mn-this-week/</t>
        </is>
      </c>
    </row>
    <row r="3893">
      <c r="A3893" t="inlineStr">
        <is>
          <t>ENT-12166313</t>
        </is>
      </c>
      <c r="B3893" t="inlineStr">
        <is>
          <t>R260715-ather</t>
        </is>
      </c>
      <c r="C3893" t="inlineStr">
        <is>
          <t>Entrackr</t>
        </is>
      </c>
      <c r="D3893" s="17" t="n">
        <v>46218</v>
      </c>
      <c r="E3893" t="inlineStr">
        <is>
          <t>Ather</t>
        </is>
      </c>
      <c r="F3893" t="inlineStr">
        <is>
          <t>Rs 1,200 crore</t>
        </is>
      </c>
      <c r="G3893" s="19" t="n">
        <v>1200</v>
      </c>
      <c r="H3893" s="19" t="n"/>
      <c r="I3893" t="inlineStr">
        <is>
          <t>Undisclosed</t>
        </is>
      </c>
      <c r="J3893" t="inlineStr"/>
      <c r="K3893" t="inlineStr">
        <is>
          <t>https://entrackr.com/news/ather-raises-rs-1200-cr-from-hero-motocorp-india-japan-fund-and-promoters-12166313</t>
        </is>
      </c>
    </row>
    <row r="3894">
      <c r="A3894" t="inlineStr">
        <is>
          <t>ENT-12164631</t>
        </is>
      </c>
      <c r="B3894" t="inlineStr">
        <is>
          <t>R260715-e3electricai</t>
        </is>
      </c>
      <c r="C3894" t="inlineStr">
        <is>
          <t>Entrackr</t>
        </is>
      </c>
      <c r="D3894" s="17" t="n">
        <v>46218</v>
      </c>
      <c r="E3894" t="inlineStr">
        <is>
          <t>E3 Electric.Ai</t>
        </is>
      </c>
      <c r="F3894" t="inlineStr">
        <is>
          <t>Rs 100 crore</t>
        </is>
      </c>
      <c r="G3894" s="19" t="n">
        <v>100</v>
      </c>
      <c r="H3894" s="19" t="n">
        <v>10.5</v>
      </c>
      <c r="I3894" t="inlineStr">
        <is>
          <t>Series A</t>
        </is>
      </c>
      <c r="J3894" t="inlineStr">
        <is>
          <t>BluVenture Holdings</t>
        </is>
      </c>
      <c r="K3894" t="inlineStr">
        <is>
          <t>https://entrackr.com/news/bluventure-leads-rs-100-cr-series-a-round-in-e3-electricai-12164631</t>
        </is>
      </c>
    </row>
    <row r="3895">
      <c r="A3895" t="inlineStr">
        <is>
          <t>ET-132400482</t>
        </is>
      </c>
      <c r="B3895" t="inlineStr">
        <is>
          <t>R260715-e3electricai</t>
        </is>
      </c>
      <c r="C3895" t="inlineStr">
        <is>
          <t>The Economic Times</t>
        </is>
      </c>
      <c r="D3895" s="17" t="n">
        <v>46218</v>
      </c>
      <c r="E3895" t="inlineStr">
        <is>
          <t>E3 Electric.Ai</t>
        </is>
      </c>
      <c r="F3895" t="inlineStr">
        <is>
          <t>Rs 100 crore</t>
        </is>
      </c>
      <c r="G3895" s="19" t="n">
        <v>100</v>
      </c>
      <c r="H3895" s="19" t="n"/>
      <c r="I3895" t="inlineStr">
        <is>
          <t>Undisclosed</t>
        </is>
      </c>
      <c r="J3895" t="inlineStr"/>
      <c r="K3895" t="inlineStr">
        <is>
          <t>https://economictimes.indiatimes.com/tech/funding/e2w-startup-e3-electric-ai-raises-rs-100-crore-in-equity-debt/articleshow/132400482.cms</t>
        </is>
      </c>
    </row>
    <row r="3896">
      <c r="A3896" t="inlineStr">
        <is>
          <t>INC-20260718-07</t>
        </is>
      </c>
      <c r="B3896" t="inlineStr">
        <is>
          <t>R260715-e3electricai</t>
        </is>
      </c>
      <c r="C3896" t="inlineStr">
        <is>
          <t>Inc42</t>
        </is>
      </c>
      <c r="D3896" s="17" t="n">
        <v>46218</v>
      </c>
      <c r="E3896" t="inlineStr">
        <is>
          <t>E3 Electric.AI</t>
        </is>
      </c>
      <c r="F3896" t="inlineStr">
        <is>
          <t>$10.4 Mn</t>
        </is>
      </c>
      <c r="G3896" s="19" t="n"/>
      <c r="H3896" s="19" t="n">
        <v>10.4</v>
      </c>
      <c r="I3896" t="inlineStr">
        <is>
          <t>Series A</t>
        </is>
      </c>
      <c r="J3896" t="inlineStr">
        <is>
          <t>BluVenture Holdings</t>
        </is>
      </c>
      <c r="K3896" t="inlineStr">
        <is>
          <t>https://inc42.com/buzz/from-emergent-to-neo-group-indian-startups-raised-281-mn-this-week/</t>
        </is>
      </c>
    </row>
    <row r="3897">
      <c r="A3897" t="inlineStr">
        <is>
          <t>ENT-12166031</t>
        </is>
      </c>
      <c r="B3897" t="inlineStr">
        <is>
          <t>R260715-emergent</t>
        </is>
      </c>
      <c r="C3897" t="inlineStr">
        <is>
          <t>Entrackr</t>
        </is>
      </c>
      <c r="D3897" s="17" t="n">
        <v>46218</v>
      </c>
      <c r="E3897" t="inlineStr">
        <is>
          <t>Emergent</t>
        </is>
      </c>
      <c r="F3897" t="inlineStr">
        <is>
          <t>$130 million</t>
        </is>
      </c>
      <c r="G3897" s="19" t="n"/>
      <c r="H3897" s="19" t="n">
        <v>130</v>
      </c>
      <c r="I3897" t="inlineStr">
        <is>
          <t>Series C</t>
        </is>
      </c>
      <c r="J3897" t="inlineStr">
        <is>
          <t>Creaegis</t>
        </is>
      </c>
      <c r="K3897" t="inlineStr">
        <is>
          <t>https://entrackr.com/news/emergent-becomes-third-ai-unicorn-of-2026-with-130-mn-series-c-led-by-creaegis-12166031</t>
        </is>
      </c>
    </row>
    <row r="3898">
      <c r="A3898" t="inlineStr">
        <is>
          <t>INC-20260718-01</t>
        </is>
      </c>
      <c r="B3898" t="inlineStr">
        <is>
          <t>R260715-emergent</t>
        </is>
      </c>
      <c r="C3898" t="inlineStr">
        <is>
          <t>Inc42</t>
        </is>
      </c>
      <c r="D3898" s="17" t="n">
        <v>46218</v>
      </c>
      <c r="E3898" t="inlineStr">
        <is>
          <t>Emergent</t>
        </is>
      </c>
      <c r="F3898" t="inlineStr">
        <is>
          <t>$130 Mn</t>
        </is>
      </c>
      <c r="G3898" s="19" t="n"/>
      <c r="H3898" s="19" t="n">
        <v>130</v>
      </c>
      <c r="I3898" t="inlineStr">
        <is>
          <t>Series C</t>
        </is>
      </c>
      <c r="J3898" t="inlineStr">
        <is>
          <t>Creaegis; MNI Ventures – Claypond Capital; Sentinel Global</t>
        </is>
      </c>
      <c r="K3898" t="inlineStr">
        <is>
          <t>https://inc42.com/buzz/from-emergent-to-neo-group-indian-startups-raised-281-mn-this-week/</t>
        </is>
      </c>
    </row>
    <row r="3899">
      <c r="A3899" t="inlineStr">
        <is>
          <t>ENT-12163499</t>
        </is>
      </c>
      <c r="B3899" t="inlineStr">
        <is>
          <t>R260715-hisabkitab</t>
        </is>
      </c>
      <c r="C3899" t="inlineStr">
        <is>
          <t>Entrackr</t>
        </is>
      </c>
      <c r="D3899" s="17" t="n">
        <v>46218</v>
      </c>
      <c r="E3899" t="inlineStr">
        <is>
          <t>Hisabkitab</t>
        </is>
      </c>
      <c r="F3899" t="inlineStr"/>
      <c r="G3899" s="19" t="n"/>
      <c r="H3899" s="19" t="n"/>
      <c r="I3899" t="inlineStr">
        <is>
          <t>Seed</t>
        </is>
      </c>
      <c r="J3899" t="inlineStr"/>
      <c r="K3899" t="inlineStr">
        <is>
          <t>https://entrackr.com/snippets/fintech-saas-startup-hisabkitab-raises-seed-round-at-rs-20-cr-valuation-12163499</t>
        </is>
      </c>
    </row>
    <row r="3900">
      <c r="A3900" t="inlineStr">
        <is>
          <t>INC-20260718-24</t>
        </is>
      </c>
      <c r="B3900" t="inlineStr">
        <is>
          <t>R260715-hisabkitab</t>
        </is>
      </c>
      <c r="C3900" t="inlineStr">
        <is>
          <t>Inc42</t>
        </is>
      </c>
      <c r="D3900" s="17" t="n">
        <v>46218</v>
      </c>
      <c r="E3900" t="inlineStr">
        <is>
          <t>Hisabkitab</t>
        </is>
      </c>
      <c r="F3900" t="inlineStr"/>
      <c r="G3900" s="19" t="n"/>
      <c r="H3900" s="19" t="n"/>
      <c r="I3900" t="inlineStr">
        <is>
          <t>Undisclosed</t>
        </is>
      </c>
      <c r="J3900" t="inlineStr"/>
      <c r="K3900" t="inlineStr">
        <is>
          <t>https://inc42.com/buzz/from-emergent-to-neo-group-indian-startups-raised-281-mn-this-week/</t>
        </is>
      </c>
    </row>
    <row r="3901">
      <c r="A3901" t="inlineStr">
        <is>
          <t>ET-132407692</t>
        </is>
      </c>
      <c r="B3901" t="inlineStr">
        <is>
          <t>R260715-opensecret</t>
        </is>
      </c>
      <c r="C3901" t="inlineStr">
        <is>
          <t>The Economic Times</t>
        </is>
      </c>
      <c r="D3901" s="17" t="n">
        <v>46218</v>
      </c>
      <c r="E3901" t="inlineStr">
        <is>
          <t>Open Secret</t>
        </is>
      </c>
      <c r="F3901" t="inlineStr">
        <is>
          <t>Rs 50 crore</t>
        </is>
      </c>
      <c r="G3901" s="19" t="n">
        <v>50</v>
      </c>
      <c r="H3901" s="19" t="n"/>
      <c r="I3901" t="inlineStr">
        <is>
          <t>Undisclosed</t>
        </is>
      </c>
      <c r="J3901" t="inlineStr"/>
      <c r="K3901" t="inlineStr">
        <is>
          <t>https://economictimes.indiatimes.com/tech/funding/d2c-snack-brand-open-secret-raises-rs-50-crore-funding/articleshow/132407692.cms</t>
        </is>
      </c>
    </row>
    <row r="3902">
      <c r="A3902" t="inlineStr">
        <is>
          <t>INC-20260718-12</t>
        </is>
      </c>
      <c r="B3902" t="inlineStr">
        <is>
          <t>R260715-opensecret</t>
        </is>
      </c>
      <c r="C3902" t="inlineStr">
        <is>
          <t>Inc42</t>
        </is>
      </c>
      <c r="D3902" s="17" t="n">
        <v>46218</v>
      </c>
      <c r="E3902" t="inlineStr">
        <is>
          <t>Open Secret</t>
        </is>
      </c>
      <c r="F3902" t="inlineStr">
        <is>
          <t>$5.2 Mn</t>
        </is>
      </c>
      <c r="G3902" s="19" t="n"/>
      <c r="H3902" s="19" t="n">
        <v>5.2</v>
      </c>
      <c r="I3902" t="inlineStr">
        <is>
          <t>Undisclosed</t>
        </is>
      </c>
      <c r="J3902" t="inlineStr">
        <is>
          <t>Desai Brothers Group</t>
        </is>
      </c>
      <c r="K3902" t="inlineStr">
        <is>
          <t>https://inc42.com/buzz/from-emergent-to-neo-group-indian-startups-raised-281-mn-this-week/</t>
        </is>
      </c>
    </row>
    <row r="3903">
      <c r="A3903" t="inlineStr">
        <is>
          <t>ENT-12167109</t>
        </is>
      </c>
      <c r="B3903" t="inlineStr">
        <is>
          <t>R260715-promom</t>
        </is>
      </c>
      <c r="C3903" t="inlineStr">
        <is>
          <t>Entrackr</t>
        </is>
      </c>
      <c r="D3903" s="17" t="n">
        <v>46218</v>
      </c>
      <c r="E3903" t="inlineStr">
        <is>
          <t>Promom</t>
        </is>
      </c>
      <c r="F3903" t="inlineStr">
        <is>
          <t>Rs 30 crore</t>
        </is>
      </c>
      <c r="G3903" s="19" t="n">
        <v>30</v>
      </c>
      <c r="H3903" s="19" t="n"/>
      <c r="I3903" t="inlineStr">
        <is>
          <t>Undisclosed</t>
        </is>
      </c>
      <c r="J3903" t="inlineStr">
        <is>
          <t>Fireside Ventures</t>
        </is>
      </c>
      <c r="K3903" t="inlineStr">
        <is>
          <t>https://entrackr.com/snippets/maternal-and-baby-care-brand-promom-raises-rs-30-cr-from-fireside-ventures-12167109</t>
        </is>
      </c>
    </row>
    <row r="3904">
      <c r="A3904" t="inlineStr">
        <is>
          <t>ET-132419129</t>
        </is>
      </c>
      <c r="B3904" t="inlineStr">
        <is>
          <t>R260715-promom</t>
        </is>
      </c>
      <c r="C3904" t="inlineStr">
        <is>
          <t>The Economic Times</t>
        </is>
      </c>
      <c r="D3904" s="17" t="n">
        <v>46218</v>
      </c>
      <c r="E3904" t="inlineStr">
        <is>
          <t>Promom</t>
        </is>
      </c>
      <c r="F3904" t="inlineStr">
        <is>
          <t>Rs 30 crore</t>
        </is>
      </c>
      <c r="G3904" s="19" t="n">
        <v>30</v>
      </c>
      <c r="H3904" s="19" t="n"/>
      <c r="I3904" t="inlineStr">
        <is>
          <t>Undisclosed</t>
        </is>
      </c>
      <c r="J3904" t="inlineStr"/>
      <c r="K3904" t="inlineStr">
        <is>
          <t>https://economictimes.indiatimes.com/tech/startups/maternal-care-startup-promom-raises-rs-30-crore-from-fireside-ventures/articleshow/132419129.cms</t>
        </is>
      </c>
    </row>
    <row r="3905">
      <c r="A3905" t="inlineStr">
        <is>
          <t>INC-20260718-14</t>
        </is>
      </c>
      <c r="B3905" t="inlineStr">
        <is>
          <t>R260715-promom</t>
        </is>
      </c>
      <c r="C3905" t="inlineStr">
        <is>
          <t>Inc42</t>
        </is>
      </c>
      <c r="D3905" s="17" t="n">
        <v>46218</v>
      </c>
      <c r="E3905" t="inlineStr">
        <is>
          <t>Promom</t>
        </is>
      </c>
      <c r="F3905" t="inlineStr">
        <is>
          <t>$3.1 Mn</t>
        </is>
      </c>
      <c r="G3905" s="19" t="n"/>
      <c r="H3905" s="19" t="n">
        <v>3.1</v>
      </c>
      <c r="I3905" t="inlineStr">
        <is>
          <t>Undisclosed</t>
        </is>
      </c>
      <c r="J3905" t="inlineStr">
        <is>
          <t>Fireside Ventures</t>
        </is>
      </c>
      <c r="K3905" t="inlineStr">
        <is>
          <t>https://inc42.com/buzz/from-emergent-to-neo-group-indian-startups-raised-281-mn-this-week/</t>
        </is>
      </c>
    </row>
    <row r="3906">
      <c r="A3906" t="inlineStr">
        <is>
          <t>INC-20260718-03</t>
        </is>
      </c>
      <c r="B3906" t="inlineStr">
        <is>
          <t>R260715-vorflux</t>
        </is>
      </c>
      <c r="C3906" t="inlineStr">
        <is>
          <t>Inc42</t>
        </is>
      </c>
      <c r="D3906" s="17" t="n">
        <v>46218</v>
      </c>
      <c r="E3906" t="inlineStr">
        <is>
          <t>Vorflux</t>
        </is>
      </c>
      <c r="F3906" t="inlineStr">
        <is>
          <t>$15 Mn</t>
        </is>
      </c>
      <c r="G3906" s="19" t="n"/>
      <c r="H3906" s="19" t="n">
        <v>15</v>
      </c>
      <c r="I3906" t="inlineStr">
        <is>
          <t>Undisclosed</t>
        </is>
      </c>
      <c r="J3906" t="inlineStr">
        <is>
          <t>Y Combinator; Peak XV Partners; Powerset; Alliance</t>
        </is>
      </c>
      <c r="K3906" t="inlineStr">
        <is>
          <t>https://inc42.com/buzz/from-emergent-to-neo-group-indian-startups-raised-281-mn-this-week/</t>
        </is>
      </c>
    </row>
    <row r="3907">
      <c r="A3907" t="inlineStr">
        <is>
          <t>ENT-12170583</t>
        </is>
      </c>
      <c r="B3907" t="inlineStr">
        <is>
          <t>R260715-vorflux</t>
        </is>
      </c>
      <c r="C3907" t="inlineStr">
        <is>
          <t>Entrackr</t>
        </is>
      </c>
      <c r="D3907" s="17" t="n">
        <v>46219</v>
      </c>
      <c r="E3907" t="inlineStr">
        <is>
          <t>Vorflux</t>
        </is>
      </c>
      <c r="F3907" t="inlineStr">
        <is>
          <t>$15 million</t>
        </is>
      </c>
      <c r="G3907" s="19" t="n"/>
      <c r="H3907" s="19" t="n">
        <v>15</v>
      </c>
      <c r="I3907" t="inlineStr">
        <is>
          <t>Seed</t>
        </is>
      </c>
      <c r="J3907" t="inlineStr">
        <is>
          <t>Y Combinator; Peak XV Partners; Powerset; Alliance; Parker Conrad; Immad Akhund; Balaji Srinivasan</t>
        </is>
      </c>
      <c r="K3907" t="inlineStr">
        <is>
          <t>https://entrackr.com/news/rippling-co-founder-prasanna-sankars-ai-startup-vorflux-raises-15-mn-12170583</t>
        </is>
      </c>
    </row>
    <row r="3908">
      <c r="A3908" t="inlineStr">
        <is>
          <t>INC-20260718-11</t>
        </is>
      </c>
      <c r="B3908" t="inlineStr">
        <is>
          <t>R260716-aina</t>
        </is>
      </c>
      <c r="C3908" t="inlineStr">
        <is>
          <t>Inc42</t>
        </is>
      </c>
      <c r="D3908" s="17" t="n">
        <v>46219</v>
      </c>
      <c r="E3908" t="inlineStr">
        <is>
          <t>Aina</t>
        </is>
      </c>
      <c r="F3908" t="inlineStr">
        <is>
          <t>$5.5 Mn</t>
        </is>
      </c>
      <c r="G3908" s="19" t="n"/>
      <c r="H3908" s="19" t="n">
        <v>5.5</v>
      </c>
      <c r="I3908" t="inlineStr">
        <is>
          <t>Seed</t>
        </is>
      </c>
      <c r="J3908" t="inlineStr">
        <is>
          <t>Redstart Labs; 360 ONE Asset</t>
        </is>
      </c>
      <c r="K3908" t="inlineStr">
        <is>
          <t>https://inc42.com/buzz/from-emergent-to-neo-group-indian-startups-raised-281-mn-this-week/</t>
        </is>
      </c>
    </row>
    <row r="3909">
      <c r="A3909" t="inlineStr">
        <is>
          <t>ENT-12170977</t>
        </is>
      </c>
      <c r="B3909" t="inlineStr">
        <is>
          <t>R260716-groyyo</t>
        </is>
      </c>
      <c r="C3909" t="inlineStr">
        <is>
          <t>Entrackr</t>
        </is>
      </c>
      <c r="D3909" s="17" t="n">
        <v>46219</v>
      </c>
      <c r="E3909" t="inlineStr">
        <is>
          <t>Groyyo</t>
        </is>
      </c>
      <c r="F3909" t="inlineStr">
        <is>
          <t>Rs 90 crore</t>
        </is>
      </c>
      <c r="G3909" s="19" t="n">
        <v>90</v>
      </c>
      <c r="H3909" s="19" t="n">
        <v>9.4</v>
      </c>
      <c r="I3909" t="inlineStr">
        <is>
          <t>Series B</t>
        </is>
      </c>
      <c r="J3909" t="inlineStr">
        <is>
          <t>Cornerstone Ventures</t>
        </is>
      </c>
      <c r="K3909" t="inlineStr">
        <is>
          <t>https://entrackr.com/news/groyyo-raises-rs-90-cr-in-first-close-of-series-b-round-led-by-cornerstone-ventures-12170977</t>
        </is>
      </c>
    </row>
    <row r="3910">
      <c r="A3910" t="inlineStr">
        <is>
          <t>ET-132443199</t>
        </is>
      </c>
      <c r="B3910" t="inlineStr">
        <is>
          <t>R260716-groyyo</t>
        </is>
      </c>
      <c r="C3910" t="inlineStr">
        <is>
          <t>The Economic Times</t>
        </is>
      </c>
      <c r="D3910" s="17" t="n">
        <v>46219</v>
      </c>
      <c r="E3910" t="inlineStr">
        <is>
          <t>Groyyo</t>
        </is>
      </c>
      <c r="F3910" t="inlineStr">
        <is>
          <t>$9.3 million</t>
        </is>
      </c>
      <c r="G3910" s="19" t="n"/>
      <c r="H3910" s="19" t="n">
        <v>9.300000000000001</v>
      </c>
      <c r="I3910" t="inlineStr">
        <is>
          <t>Undisclosed</t>
        </is>
      </c>
      <c r="J3910" t="inlineStr">
        <is>
          <t>Cornerstone Ventures</t>
        </is>
      </c>
      <c r="K3910" t="inlineStr">
        <is>
          <t>https://economictimes.indiatimes.com/tech/funding/manufacturing-automation-platform-groyyo-raises-9-3-million-led-by-cornerstone-ventures/articleshow/132443199.cms</t>
        </is>
      </c>
    </row>
    <row r="3911">
      <c r="A3911" t="inlineStr">
        <is>
          <t>INC-20260718-08</t>
        </is>
      </c>
      <c r="B3911" t="inlineStr">
        <is>
          <t>R260716-groyyo</t>
        </is>
      </c>
      <c r="C3911" t="inlineStr">
        <is>
          <t>Inc42</t>
        </is>
      </c>
      <c r="D3911" s="17" t="n">
        <v>46219</v>
      </c>
      <c r="E3911" t="inlineStr">
        <is>
          <t>Groyyo</t>
        </is>
      </c>
      <c r="F3911" t="inlineStr">
        <is>
          <t>$9.3 Mn</t>
        </is>
      </c>
      <c r="G3911" s="19" t="n"/>
      <c r="H3911" s="19" t="n">
        <v>9.300000000000001</v>
      </c>
      <c r="I3911" t="inlineStr">
        <is>
          <t>Series B</t>
        </is>
      </c>
      <c r="J3911" t="inlineStr">
        <is>
          <t>Cornerstone Ventures</t>
        </is>
      </c>
      <c r="K3911" t="inlineStr">
        <is>
          <t>https://inc42.com/buzz/from-emergent-to-neo-group-indian-startups-raised-281-mn-this-week/</t>
        </is>
      </c>
    </row>
    <row r="3912">
      <c r="A3912" t="inlineStr">
        <is>
          <t>VCC-12df907132</t>
        </is>
      </c>
      <c r="B3912" t="inlineStr">
        <is>
          <t>R260716-groyyo</t>
        </is>
      </c>
      <c r="C3912" t="inlineStr">
        <is>
          <t>VCCircle</t>
        </is>
      </c>
      <c r="D3912" s="17" t="n">
        <v>46219</v>
      </c>
      <c r="E3912" t="inlineStr">
        <is>
          <t>groyyo</t>
        </is>
      </c>
      <c r="F3912" t="inlineStr"/>
      <c r="G3912" s="19" t="n"/>
      <c r="H3912" s="19" t="n"/>
      <c r="I3912" t="inlineStr">
        <is>
          <t>Series B</t>
        </is>
      </c>
      <c r="J3912" t="inlineStr"/>
      <c r="K3912" t="inlineStr">
        <is>
          <t>https://www.vccircle.com/cornerstoneventures-leads-groyyo-s-first-tranche-of-series-b-funding</t>
        </is>
      </c>
    </row>
    <row r="3913">
      <c r="A3913" t="inlineStr">
        <is>
          <t>ENT-12170492</t>
        </is>
      </c>
      <c r="B3913" t="inlineStr">
        <is>
          <t>R260716-kuhltherm</t>
        </is>
      </c>
      <c r="C3913" t="inlineStr">
        <is>
          <t>Entrackr</t>
        </is>
      </c>
      <c r="D3913" s="17" t="n">
        <v>46219</v>
      </c>
      <c r="E3913" t="inlineStr">
        <is>
          <t>KuhlTherm</t>
        </is>
      </c>
      <c r="F3913" t="inlineStr">
        <is>
          <t>$1.1 million</t>
        </is>
      </c>
      <c r="G3913" s="19" t="n"/>
      <c r="H3913" s="19" t="n">
        <v>1.1</v>
      </c>
      <c r="I3913" t="inlineStr">
        <is>
          <t>Seed</t>
        </is>
      </c>
      <c r="J3913" t="inlineStr">
        <is>
          <t>Arkam Ventures</t>
        </is>
      </c>
      <c r="K3913" t="inlineStr">
        <is>
          <t>https://entrackr.com/snippets/kuhltherm-raises-11-mn-in-seed-round-led-by-arkam-ventures-12170492</t>
        </is>
      </c>
    </row>
    <row r="3914">
      <c r="A3914" t="inlineStr">
        <is>
          <t>INC-20260718-19</t>
        </is>
      </c>
      <c r="B3914" t="inlineStr">
        <is>
          <t>R260716-kuhltherm</t>
        </is>
      </c>
      <c r="C3914" t="inlineStr">
        <is>
          <t>Inc42</t>
        </is>
      </c>
      <c r="D3914" s="17" t="n">
        <v>46219</v>
      </c>
      <c r="E3914" t="inlineStr">
        <is>
          <t>KuhlTherm</t>
        </is>
      </c>
      <c r="F3914" t="inlineStr">
        <is>
          <t>$1.1 Mn</t>
        </is>
      </c>
      <c r="G3914" s="19" t="n"/>
      <c r="H3914" s="19" t="n">
        <v>1.1</v>
      </c>
      <c r="I3914" t="inlineStr">
        <is>
          <t>Seed</t>
        </is>
      </c>
      <c r="J3914" t="inlineStr">
        <is>
          <t>Arkam Ventures</t>
        </is>
      </c>
      <c r="K3914" t="inlineStr">
        <is>
          <t>https://inc42.com/buzz/from-emergent-to-neo-group-indian-startups-raised-281-mn-this-week/</t>
        </is>
      </c>
    </row>
    <row r="3915">
      <c r="A3915" t="inlineStr">
        <is>
          <t>INC-20260718-16</t>
        </is>
      </c>
      <c r="B3915" t="inlineStr">
        <is>
          <t>R260716-logcatai</t>
        </is>
      </c>
      <c r="C3915" t="inlineStr">
        <is>
          <t>Inc42</t>
        </is>
      </c>
      <c r="D3915" s="17" t="n">
        <v>46219</v>
      </c>
      <c r="E3915" t="inlineStr">
        <is>
          <t>logcat.ai</t>
        </is>
      </c>
      <c r="F3915" t="inlineStr">
        <is>
          <t>$2.5 Mn</t>
        </is>
      </c>
      <c r="G3915" s="19" t="n"/>
      <c r="H3915" s="19" t="n">
        <v>2.5</v>
      </c>
      <c r="I3915" t="inlineStr">
        <is>
          <t>Pre-Seed</t>
        </is>
      </c>
      <c r="J3915" t="inlineStr">
        <is>
          <t>Tanglin Venture Partners</t>
        </is>
      </c>
      <c r="K3915" t="inlineStr">
        <is>
          <t>https://inc42.com/buzz/from-emergent-to-neo-group-indian-startups-raised-281-mn-this-week/</t>
        </is>
      </c>
    </row>
    <row r="3916">
      <c r="A3916" t="inlineStr">
        <is>
          <t>ENT-12170217</t>
        </is>
      </c>
      <c r="B3916" t="inlineStr">
        <is>
          <t>R260716-mandrakebio</t>
        </is>
      </c>
      <c r="C3916" t="inlineStr">
        <is>
          <t>Entrackr</t>
        </is>
      </c>
      <c r="D3916" s="17" t="n">
        <v>46219</v>
      </c>
      <c r="E3916" t="inlineStr">
        <is>
          <t>Mandrake Bio</t>
        </is>
      </c>
      <c r="F3916" t="inlineStr">
        <is>
          <t>Rs 16 crore</t>
        </is>
      </c>
      <c r="G3916" s="19" t="n">
        <v>16</v>
      </c>
      <c r="H3916" s="19" t="n"/>
      <c r="I3916" t="inlineStr">
        <is>
          <t>Pre-Seed</t>
        </is>
      </c>
      <c r="J3916" t="inlineStr">
        <is>
          <t>Activate; Antler</t>
        </is>
      </c>
      <c r="K3916" t="inlineStr">
        <is>
          <t>https://entrackr.com/snippets/mandrake-bio-raises-rs-16-cr-in-pre-seed-round-co-led-by-activate-and-antler-12170217</t>
        </is>
      </c>
    </row>
    <row r="3917">
      <c r="A3917" t="inlineStr">
        <is>
          <t>INC-20260718-18</t>
        </is>
      </c>
      <c r="B3917" t="inlineStr">
        <is>
          <t>R260716-mandrakebio</t>
        </is>
      </c>
      <c r="C3917" t="inlineStr">
        <is>
          <t>Inc42</t>
        </is>
      </c>
      <c r="D3917" s="17" t="n">
        <v>46219</v>
      </c>
      <c r="E3917" t="inlineStr">
        <is>
          <t>Mandrake Bio</t>
        </is>
      </c>
      <c r="F3917" t="inlineStr">
        <is>
          <t>$1.7 Mn</t>
        </is>
      </c>
      <c r="G3917" s="19" t="n"/>
      <c r="H3917" s="19" t="n">
        <v>1.7</v>
      </c>
      <c r="I3917" t="inlineStr">
        <is>
          <t>Pre-Seed</t>
        </is>
      </c>
      <c r="J3917" t="inlineStr">
        <is>
          <t>Activate; Antler</t>
        </is>
      </c>
      <c r="K3917" t="inlineStr">
        <is>
          <t>https://inc42.com/buzz/from-emergent-to-neo-group-indian-startups-raised-281-mn-this-week/</t>
        </is>
      </c>
    </row>
    <row r="3918">
      <c r="A3918" t="inlineStr">
        <is>
          <t>INC-20260718-20</t>
        </is>
      </c>
      <c r="B3918" t="inlineStr">
        <is>
          <t>R260716-naptapgo</t>
        </is>
      </c>
      <c r="C3918" t="inlineStr">
        <is>
          <t>Inc42</t>
        </is>
      </c>
      <c r="D3918" s="17" t="n">
        <v>46219</v>
      </c>
      <c r="E3918" t="inlineStr">
        <is>
          <t>NapTapGo</t>
        </is>
      </c>
      <c r="F3918" t="inlineStr">
        <is>
          <t>$831K</t>
        </is>
      </c>
      <c r="G3918" s="19" t="n"/>
      <c r="H3918" s="19" t="n">
        <v>0.831</v>
      </c>
      <c r="I3918" t="inlineStr">
        <is>
          <t>Seed</t>
        </is>
      </c>
      <c r="J3918" t="inlineStr">
        <is>
          <t>Inflection Point Ventures</t>
        </is>
      </c>
      <c r="K3918" t="inlineStr">
        <is>
          <t>https://inc42.com/buzz/from-emergent-to-neo-group-indian-startups-raised-281-mn-this-week/</t>
        </is>
      </c>
    </row>
    <row r="3919">
      <c r="A3919" t="inlineStr">
        <is>
          <t>ENT-12169138</t>
        </is>
      </c>
      <c r="B3919" t="inlineStr">
        <is>
          <t>R260716-naturiscosmeti</t>
        </is>
      </c>
      <c r="C3919" t="inlineStr">
        <is>
          <t>Entrackr</t>
        </is>
      </c>
      <c r="D3919" s="17" t="n">
        <v>46219</v>
      </c>
      <c r="E3919" t="inlineStr">
        <is>
          <t>Naturis Cosmetics</t>
        </is>
      </c>
      <c r="F3919" t="inlineStr">
        <is>
          <t>Rs 100 crore</t>
        </is>
      </c>
      <c r="G3919" s="19" t="n">
        <v>100</v>
      </c>
      <c r="H3919" s="19" t="n"/>
      <c r="I3919" t="inlineStr">
        <is>
          <t>Undisclosed</t>
        </is>
      </c>
      <c r="J3919" t="inlineStr">
        <is>
          <t>Sharrp Ventures</t>
        </is>
      </c>
      <c r="K3919" t="inlineStr">
        <is>
          <t>https://entrackr.com/news/naturis-cosmetics-raises-rs-100-cr-in-maiden-institutional-round-led-by-sharrp-ventures-12169138</t>
        </is>
      </c>
    </row>
    <row r="3920">
      <c r="A3920" t="inlineStr">
        <is>
          <t>ET-132434937</t>
        </is>
      </c>
      <c r="B3920" t="inlineStr">
        <is>
          <t>R260716-naturiscosmeti</t>
        </is>
      </c>
      <c r="C3920" t="inlineStr">
        <is>
          <t>The Economic Times</t>
        </is>
      </c>
      <c r="D3920" s="17" t="n">
        <v>46219</v>
      </c>
      <c r="E3920" t="inlineStr">
        <is>
          <t>Naturis Cosmetics</t>
        </is>
      </c>
      <c r="F3920" t="inlineStr">
        <is>
          <t>Rs 100 crore</t>
        </is>
      </c>
      <c r="G3920" s="19" t="n">
        <v>100</v>
      </c>
      <c r="H3920" s="19" t="n"/>
      <c r="I3920" t="inlineStr">
        <is>
          <t>Undisclosed</t>
        </is>
      </c>
      <c r="J3920" t="inlineStr">
        <is>
          <t>Sharrp Ventures</t>
        </is>
      </c>
      <c r="K3920" t="inlineStr">
        <is>
          <t>https://economictimes.indiatimes.com/tech/funding/contract-manufacturer-naturis-cosmetics-raises-rs-100-crore-led-by-sharrp-ventures/articleshow/132434937.cms</t>
        </is>
      </c>
    </row>
    <row r="3921">
      <c r="A3921" t="inlineStr">
        <is>
          <t>INC-20260718-05</t>
        </is>
      </c>
      <c r="B3921" t="inlineStr">
        <is>
          <t>R260716-naturiscosmeti</t>
        </is>
      </c>
      <c r="C3921" t="inlineStr">
        <is>
          <t>Inc42</t>
        </is>
      </c>
      <c r="D3921" s="17" t="n">
        <v>46219</v>
      </c>
      <c r="E3921" t="inlineStr">
        <is>
          <t>Naturis Cosmetics</t>
        </is>
      </c>
      <c r="F3921" t="inlineStr">
        <is>
          <t>$11.8 Mn</t>
        </is>
      </c>
      <c r="G3921" s="19" t="n"/>
      <c r="H3921" s="19" t="n">
        <v>11.8</v>
      </c>
      <c r="I3921" t="inlineStr">
        <is>
          <t>Series A</t>
        </is>
      </c>
      <c r="J3921" t="inlineStr">
        <is>
          <t>Sharrp Ventures</t>
        </is>
      </c>
      <c r="K3921" t="inlineStr">
        <is>
          <t>https://inc42.com/buzz/from-emergent-to-neo-group-indian-startups-raised-281-mn-this-week/</t>
        </is>
      </c>
    </row>
    <row r="3922">
      <c r="A3922" t="inlineStr">
        <is>
          <t>INC-20260718-22</t>
        </is>
      </c>
      <c r="B3922" t="inlineStr">
        <is>
          <t>R260716-othorai</t>
        </is>
      </c>
      <c r="C3922" t="inlineStr">
        <is>
          <t>Inc42</t>
        </is>
      </c>
      <c r="D3922" s="17" t="n">
        <v>46219</v>
      </c>
      <c r="E3922" t="inlineStr">
        <is>
          <t>Othor AI</t>
        </is>
      </c>
      <c r="F3922" t="inlineStr">
        <is>
          <t>$70K</t>
        </is>
      </c>
      <c r="G3922" s="19" t="n"/>
      <c r="H3922" s="19" t="n">
        <v>0.07000000000000001</v>
      </c>
      <c r="I3922" t="inlineStr">
        <is>
          <t>Undisclosed</t>
        </is>
      </c>
      <c r="J3922" t="inlineStr"/>
      <c r="K3922" t="inlineStr">
        <is>
          <t>https://inc42.com/buzz/from-emergent-to-neo-group-indian-startups-raised-281-mn-this-week/</t>
        </is>
      </c>
    </row>
    <row r="3923">
      <c r="A3923" t="inlineStr">
        <is>
          <t>ENT-12168892</t>
        </is>
      </c>
      <c r="B3923" t="inlineStr">
        <is>
          <t>R260716-quickclean</t>
        </is>
      </c>
      <c r="C3923" t="inlineStr">
        <is>
          <t>Entrackr</t>
        </is>
      </c>
      <c r="D3923" s="17" t="n">
        <v>46219</v>
      </c>
      <c r="E3923" t="inlineStr">
        <is>
          <t>Quick Clean</t>
        </is>
      </c>
      <c r="F3923" t="inlineStr">
        <is>
          <t>$14 million</t>
        </is>
      </c>
      <c r="G3923" s="19" t="n">
        <v>133</v>
      </c>
      <c r="H3923" s="19" t="n">
        <v>14</v>
      </c>
      <c r="I3923" t="inlineStr">
        <is>
          <t>Series B</t>
        </is>
      </c>
      <c r="J3923" t="inlineStr">
        <is>
          <t>Stakeboat Capital</t>
        </is>
      </c>
      <c r="K3923" t="inlineStr">
        <is>
          <t>https://entrackr.com/snippets/quick-clean-raises-14-mn-in-series-b-round-led-by-stakeboat-capital-12168892</t>
        </is>
      </c>
    </row>
    <row r="3924">
      <c r="A3924" t="inlineStr">
        <is>
          <t>ET-132421569</t>
        </is>
      </c>
      <c r="B3924" t="inlineStr">
        <is>
          <t>R260716-quickclean</t>
        </is>
      </c>
      <c r="C3924" t="inlineStr">
        <is>
          <t>The Economic Times</t>
        </is>
      </c>
      <c r="D3924" s="17" t="n">
        <v>46219</v>
      </c>
      <c r="E3924" t="inlineStr">
        <is>
          <t>Quick Clean</t>
        </is>
      </c>
      <c r="F3924" t="inlineStr">
        <is>
          <t>$14 million</t>
        </is>
      </c>
      <c r="G3924" s="19" t="n">
        <v>133</v>
      </c>
      <c r="H3924" s="19" t="n">
        <v>14</v>
      </c>
      <c r="I3924" t="inlineStr">
        <is>
          <t>Series B</t>
        </is>
      </c>
      <c r="J3924" t="inlineStr">
        <is>
          <t>Stakeboat Capital</t>
        </is>
      </c>
      <c r="K3924" t="inlineStr">
        <is>
          <t>https://economictimes.indiatimes.com/tech/funding/quick-clean-raises-14-million-led-by-stakeboat-capital/articleshow/132421569.cms</t>
        </is>
      </c>
    </row>
    <row r="3925">
      <c r="A3925" t="inlineStr">
        <is>
          <t>INC-20260718-04</t>
        </is>
      </c>
      <c r="B3925" t="inlineStr">
        <is>
          <t>R260716-quickclean</t>
        </is>
      </c>
      <c r="C3925" t="inlineStr">
        <is>
          <t>Inc42</t>
        </is>
      </c>
      <c r="D3925" s="17" t="n">
        <v>46219</v>
      </c>
      <c r="E3925" t="inlineStr">
        <is>
          <t>Quick Clean</t>
        </is>
      </c>
      <c r="F3925" t="inlineStr">
        <is>
          <t>$14 Mn</t>
        </is>
      </c>
      <c r="G3925" s="19" t="n"/>
      <c r="H3925" s="19" t="n">
        <v>14</v>
      </c>
      <c r="I3925" t="inlineStr">
        <is>
          <t>Series B</t>
        </is>
      </c>
      <c r="J3925" t="inlineStr">
        <is>
          <t>Stakeboat Capital</t>
        </is>
      </c>
      <c r="K3925" t="inlineStr">
        <is>
          <t>https://inc42.com/buzz/from-emergent-to-neo-group-indian-startups-raised-281-mn-this-week/</t>
        </is>
      </c>
    </row>
    <row r="3926">
      <c r="A3926" t="inlineStr">
        <is>
          <t>VCC-91dbd9378a</t>
        </is>
      </c>
      <c r="B3926" t="inlineStr">
        <is>
          <t>R260716-quickclean</t>
        </is>
      </c>
      <c r="C3926" t="inlineStr">
        <is>
          <t>VCCircle</t>
        </is>
      </c>
      <c r="D3926" s="17" t="n">
        <v>46219</v>
      </c>
      <c r="E3926" t="inlineStr">
        <is>
          <t>quick clean</t>
        </is>
      </c>
      <c r="F3926" t="inlineStr"/>
      <c r="G3926" s="19" t="n"/>
      <c r="H3926" s="19" t="n"/>
      <c r="I3926" t="inlineStr">
        <is>
          <t>Series B</t>
        </is>
      </c>
      <c r="J3926" t="inlineStr"/>
      <c r="K3926" t="inlineStr">
        <is>
          <t>https://www.vccircle.com/stakeboatcapital-leads-series-b-funding-in-quick-clean</t>
        </is>
      </c>
    </row>
    <row r="3927">
      <c r="A3927" t="inlineStr">
        <is>
          <t>ENT-12169973</t>
        </is>
      </c>
      <c r="B3927" t="inlineStr">
        <is>
          <t>R260716-reodev</t>
        </is>
      </c>
      <c r="C3927" t="inlineStr">
        <is>
          <t>Entrackr</t>
        </is>
      </c>
      <c r="D3927" s="17" t="n">
        <v>46219</v>
      </c>
      <c r="E3927" t="inlineStr">
        <is>
          <t>Reo.Dev</t>
        </is>
      </c>
      <c r="F3927" t="inlineStr">
        <is>
          <t>$11.3 million</t>
        </is>
      </c>
      <c r="G3927" s="19" t="n"/>
      <c r="H3927" s="19" t="n">
        <v>11.3</v>
      </c>
      <c r="I3927" t="inlineStr">
        <is>
          <t>Series A</t>
        </is>
      </c>
      <c r="J3927" t="inlineStr">
        <is>
          <t>Elevation Capital</t>
        </is>
      </c>
      <c r="K3927" t="inlineStr">
        <is>
          <t>https://entrackr.com/snippets/elevation-capital-leads-113-mn-series-a-round-in-reodev-12169973</t>
        </is>
      </c>
    </row>
    <row r="3928">
      <c r="A3928" t="inlineStr">
        <is>
          <t>INC-20260718-06</t>
        </is>
      </c>
      <c r="B3928" t="inlineStr">
        <is>
          <t>R260716-reodev</t>
        </is>
      </c>
      <c r="C3928" t="inlineStr">
        <is>
          <t>Inc42</t>
        </is>
      </c>
      <c r="D3928" s="17" t="n">
        <v>46219</v>
      </c>
      <c r="E3928" t="inlineStr">
        <is>
          <t>Reo.Dev</t>
        </is>
      </c>
      <c r="F3928" t="inlineStr">
        <is>
          <t>$11.3 Mn</t>
        </is>
      </c>
      <c r="G3928" s="19" t="n"/>
      <c r="H3928" s="19" t="n">
        <v>11.3</v>
      </c>
      <c r="I3928" t="inlineStr">
        <is>
          <t>Series A</t>
        </is>
      </c>
      <c r="J3928" t="inlineStr">
        <is>
          <t>Elevation Capital</t>
        </is>
      </c>
      <c r="K3928" t="inlineStr">
        <is>
          <t>https://inc42.com/buzz/from-emergent-to-neo-group-indian-startups-raised-281-mn-this-week/</t>
        </is>
      </c>
    </row>
    <row r="3929">
      <c r="A3929" t="inlineStr">
        <is>
          <t>ENT-12169128</t>
        </is>
      </c>
      <c r="B3929" t="inlineStr">
        <is>
          <t>R260716-rize</t>
        </is>
      </c>
      <c r="C3929" t="inlineStr">
        <is>
          <t>Entrackr</t>
        </is>
      </c>
      <c r="D3929" s="17" t="n">
        <v>46219</v>
      </c>
      <c r="E3929" t="inlineStr">
        <is>
          <t>Rize</t>
        </is>
      </c>
      <c r="F3929" t="inlineStr">
        <is>
          <t>$31 million</t>
        </is>
      </c>
      <c r="G3929" s="19" t="n"/>
      <c r="H3929" s="19" t="n">
        <v>31</v>
      </c>
      <c r="I3929" t="inlineStr">
        <is>
          <t>Series B</t>
        </is>
      </c>
      <c r="J3929" t="inlineStr"/>
      <c r="K3929" t="inlineStr">
        <is>
          <t>https://entrackr.com/snippets/agritech-startup-rize-raises-31-mn-in-series-b-round-12169128</t>
        </is>
      </c>
    </row>
    <row r="3930">
      <c r="A3930" t="inlineStr">
        <is>
          <t>ET-132429756</t>
        </is>
      </c>
      <c r="B3930" t="inlineStr">
        <is>
          <t>R260716-rize</t>
        </is>
      </c>
      <c r="C3930" t="inlineStr">
        <is>
          <t>The Economic Times</t>
        </is>
      </c>
      <c r="D3930" s="17" t="n">
        <v>46219</v>
      </c>
      <c r="E3930" t="inlineStr">
        <is>
          <t>Rize</t>
        </is>
      </c>
      <c r="F3930" t="inlineStr">
        <is>
          <t>$31 million</t>
        </is>
      </c>
      <c r="G3930" s="19" t="n"/>
      <c r="H3930" s="19" t="n">
        <v>31</v>
      </c>
      <c r="I3930" t="inlineStr">
        <is>
          <t>Undisclosed</t>
        </is>
      </c>
      <c r="J3930" t="inlineStr"/>
      <c r="K3930" t="inlineStr">
        <is>
          <t>https://economictimes.indiatimes.com/tech/funding/temasek-backed-agritech-startup-rize-raises-31-million-to-fund-expansion/articleshow/132429756.cms</t>
        </is>
      </c>
    </row>
    <row r="3931">
      <c r="A3931" t="inlineStr">
        <is>
          <t>INC-20260718-23</t>
        </is>
      </c>
      <c r="B3931" t="inlineStr">
        <is>
          <t>R260716-smytten</t>
        </is>
      </c>
      <c r="C3931" t="inlineStr">
        <is>
          <t>Inc42</t>
        </is>
      </c>
      <c r="D3931" s="17" t="n">
        <v>46219</v>
      </c>
      <c r="E3931" t="inlineStr">
        <is>
          <t>Smytten</t>
        </is>
      </c>
      <c r="F3931" t="inlineStr"/>
      <c r="G3931" s="19" t="n"/>
      <c r="H3931" s="19" t="n"/>
      <c r="I3931" t="inlineStr">
        <is>
          <t>Undisclosed</t>
        </is>
      </c>
      <c r="J3931" t="inlineStr">
        <is>
          <t>VentureSoul Partners</t>
        </is>
      </c>
      <c r="K3931" t="inlineStr">
        <is>
          <t>https://inc42.com/buzz/from-emergent-to-neo-group-indian-startups-raised-281-mn-this-week/</t>
        </is>
      </c>
    </row>
    <row r="3932">
      <c r="A3932" t="inlineStr">
        <is>
          <t>ENT-12168741</t>
        </is>
      </c>
      <c r="B3932" t="inlineStr">
        <is>
          <t>R260716-switchon</t>
        </is>
      </c>
      <c r="C3932" t="inlineStr">
        <is>
          <t>Entrackr</t>
        </is>
      </c>
      <c r="D3932" s="17" t="n">
        <v>46219</v>
      </c>
      <c r="E3932" t="inlineStr">
        <is>
          <t>SwitchOn</t>
        </is>
      </c>
      <c r="F3932" t="inlineStr">
        <is>
          <t>$8 million</t>
        </is>
      </c>
      <c r="G3932" s="19" t="n">
        <v>78</v>
      </c>
      <c r="H3932" s="19" t="n">
        <v>8</v>
      </c>
      <c r="I3932" t="inlineStr">
        <is>
          <t>Pre-Series B</t>
        </is>
      </c>
      <c r="J3932" t="inlineStr">
        <is>
          <t>IvyCap Ventures</t>
        </is>
      </c>
      <c r="K3932" t="inlineStr">
        <is>
          <t>https://entrackr.com/news/physical-ai-startup-switchon-raises-8-mn-in-pre-series-b-round-led-by-ivycap-12168741</t>
        </is>
      </c>
    </row>
    <row r="3933">
      <c r="A3933" t="inlineStr">
        <is>
          <t>INC-20260718-09</t>
        </is>
      </c>
      <c r="B3933" t="inlineStr">
        <is>
          <t>R260716-switchon</t>
        </is>
      </c>
      <c r="C3933" t="inlineStr">
        <is>
          <t>Inc42</t>
        </is>
      </c>
      <c r="D3933" s="17" t="n">
        <v>46219</v>
      </c>
      <c r="E3933" t="inlineStr">
        <is>
          <t>SwitchOn</t>
        </is>
      </c>
      <c r="F3933" t="inlineStr">
        <is>
          <t>$8 Mn</t>
        </is>
      </c>
      <c r="G3933" s="19" t="n"/>
      <c r="H3933" s="19" t="n">
        <v>8</v>
      </c>
      <c r="I3933" t="inlineStr">
        <is>
          <t>Pre-Series B</t>
        </is>
      </c>
      <c r="J3933" t="inlineStr">
        <is>
          <t>IvyCap Ventures</t>
        </is>
      </c>
      <c r="K3933" t="inlineStr">
        <is>
          <t>https://inc42.com/buzz/from-emergent-to-neo-group-indian-startups-raised-281-mn-this-week/</t>
        </is>
      </c>
    </row>
    <row r="3934">
      <c r="A3934" t="inlineStr">
        <is>
          <t>ENT-12181648</t>
        </is>
      </c>
      <c r="B3934" t="inlineStr">
        <is>
          <t>R260720-lngvty</t>
        </is>
      </c>
      <c r="C3934" t="inlineStr">
        <is>
          <t>Entrackr</t>
        </is>
      </c>
      <c r="D3934" s="17" t="n">
        <v>46223</v>
      </c>
      <c r="E3934" t="inlineStr">
        <is>
          <t>LNGVTY</t>
        </is>
      </c>
      <c r="F3934" t="inlineStr">
        <is>
          <t>Rs 5 crore</t>
        </is>
      </c>
      <c r="G3934" s="19" t="n">
        <v>5</v>
      </c>
      <c r="H3934" s="19" t="n"/>
      <c r="I3934" t="inlineStr">
        <is>
          <t>Seed</t>
        </is>
      </c>
      <c r="J3934" t="inlineStr">
        <is>
          <t>Rukam Capital</t>
        </is>
      </c>
      <c r="K3934" t="inlineStr">
        <is>
          <t>https://entrackr.com/snippets/rukam-capital-leads-seed-round-in-skin-longevity-beauty-brand-lngvty-12181648</t>
        </is>
      </c>
    </row>
    <row r="3935">
      <c r="A3935" t="inlineStr">
        <is>
          <t>INC-20260725-10</t>
        </is>
      </c>
      <c r="B3935" t="inlineStr">
        <is>
          <t>R260720-lngvty</t>
        </is>
      </c>
      <c r="C3935" t="inlineStr">
        <is>
          <t>Inc42</t>
        </is>
      </c>
      <c r="D3935" s="17" t="n">
        <v>46223</v>
      </c>
      <c r="E3935" t="inlineStr">
        <is>
          <t>LNGVTY</t>
        </is>
      </c>
      <c r="F3935" t="inlineStr">
        <is>
          <t>$518K</t>
        </is>
      </c>
      <c r="G3935" s="19" t="n"/>
      <c r="H3935" s="19" t="n">
        <v>0.518</v>
      </c>
      <c r="I3935" t="inlineStr">
        <is>
          <t>Seed</t>
        </is>
      </c>
      <c r="J3935" t="inlineStr">
        <is>
          <t>Rukam Capital</t>
        </is>
      </c>
      <c r="K3935" t="inlineStr">
        <is>
          <t>https://inc42.com/buzz/from-zetwerk-to-veriqus-indian-startups-raised-209-mn-this-week/</t>
        </is>
      </c>
    </row>
    <row r="3936">
      <c r="A3936" t="inlineStr">
        <is>
          <t>ENT-12180237</t>
        </is>
      </c>
      <c r="B3936" t="inlineStr">
        <is>
          <t>R260720-plazza</t>
        </is>
      </c>
      <c r="C3936" t="inlineStr">
        <is>
          <t>Entrackr</t>
        </is>
      </c>
      <c r="D3936" s="17" t="n">
        <v>46223</v>
      </c>
      <c r="E3936" t="inlineStr">
        <is>
          <t>Plazza</t>
        </is>
      </c>
      <c r="F3936" t="inlineStr">
        <is>
          <t>$15 million</t>
        </is>
      </c>
      <c r="G3936" s="19" t="n"/>
      <c r="H3936" s="19" t="n">
        <v>15</v>
      </c>
      <c r="I3936" t="inlineStr">
        <is>
          <t>Series A</t>
        </is>
      </c>
      <c r="J3936" t="inlineStr">
        <is>
          <t>Accel; Elevation Capital; Nexus Venture Partners</t>
        </is>
      </c>
      <c r="K3936" t="inlineStr">
        <is>
          <t>https://entrackr.com/news/instant-medicine-delivery-startup-plazza-raises-15-mn-led-by-accel-elevation-and-nexus-12180237</t>
        </is>
      </c>
    </row>
    <row r="3937">
      <c r="A3937" t="inlineStr">
        <is>
          <t>INC-20260725-05</t>
        </is>
      </c>
      <c r="B3937" t="inlineStr">
        <is>
          <t>R260720-plazza</t>
        </is>
      </c>
      <c r="C3937" t="inlineStr">
        <is>
          <t>Inc42</t>
        </is>
      </c>
      <c r="D3937" s="17" t="n">
        <v>46223</v>
      </c>
      <c r="E3937" t="inlineStr">
        <is>
          <t>Plazza</t>
        </is>
      </c>
      <c r="F3937" t="inlineStr">
        <is>
          <t>$15 Mn</t>
        </is>
      </c>
      <c r="G3937" s="19" t="n"/>
      <c r="H3937" s="19" t="n">
        <v>15</v>
      </c>
      <c r="I3937" t="inlineStr">
        <is>
          <t>Series A</t>
        </is>
      </c>
      <c r="J3937" t="inlineStr">
        <is>
          <t>Accel; Elevation Capital; Nexus Venture Partners</t>
        </is>
      </c>
      <c r="K3937" t="inlineStr">
        <is>
          <t>https://inc42.com/buzz/from-zetwerk-to-veriqus-indian-startups-raised-209-mn-this-week/</t>
        </is>
      </c>
    </row>
    <row r="3938">
      <c r="A3938" t="inlineStr">
        <is>
          <t>ENT-12181153</t>
        </is>
      </c>
      <c r="B3938" t="inlineStr">
        <is>
          <t>R260720-raghuvamsiaero</t>
        </is>
      </c>
      <c r="C3938" t="inlineStr">
        <is>
          <t>Entrackr</t>
        </is>
      </c>
      <c r="D3938" s="17" t="n">
        <v>46223</v>
      </c>
      <c r="E3938" t="inlineStr">
        <is>
          <t>Raghu Vamsi Aerospace Group</t>
        </is>
      </c>
      <c r="F3938" t="inlineStr">
        <is>
          <t>$40 million</t>
        </is>
      </c>
      <c r="G3938" s="19" t="n">
        <v>400</v>
      </c>
      <c r="H3938" s="19" t="n">
        <v>40</v>
      </c>
      <c r="I3938" t="inlineStr">
        <is>
          <t>Series B</t>
        </is>
      </c>
      <c r="J3938" t="inlineStr">
        <is>
          <t>Norwest; Skegen Asset Management</t>
        </is>
      </c>
      <c r="K3938" t="inlineStr">
        <is>
          <t>https://entrackr.com/news/raghu-vamsi-aerospace-group-raises-40-mn-led-by-norwest-skegen-asset-management-12181153</t>
        </is>
      </c>
    </row>
    <row r="3939">
      <c r="A3939" t="inlineStr">
        <is>
          <t>INC-20260725-04</t>
        </is>
      </c>
      <c r="B3939" t="inlineStr">
        <is>
          <t>R260720-raghuvamsiaero</t>
        </is>
      </c>
      <c r="C3939" t="inlineStr">
        <is>
          <t>Inc42</t>
        </is>
      </c>
      <c r="D3939" s="17" t="n">
        <v>46223</v>
      </c>
      <c r="E3939" t="inlineStr">
        <is>
          <t>Raghu Vamsi Aerospace</t>
        </is>
      </c>
      <c r="F3939" t="inlineStr">
        <is>
          <t>$40 Mn</t>
        </is>
      </c>
      <c r="G3939" s="19" t="n"/>
      <c r="H3939" s="19" t="n">
        <v>40</v>
      </c>
      <c r="I3939" t="inlineStr">
        <is>
          <t>Undisclosed</t>
        </is>
      </c>
      <c r="J3939" t="inlineStr">
        <is>
          <t>Norwest; Skegen Asset Management</t>
        </is>
      </c>
      <c r="K3939" t="inlineStr">
        <is>
          <t>https://inc42.com/buzz/from-zetwerk-to-veriqus-indian-startups-raised-209-mn-this-week/</t>
        </is>
      </c>
    </row>
    <row r="3940">
      <c r="A3940" t="inlineStr">
        <is>
          <t>VCC-c5edcaf1ad</t>
        </is>
      </c>
      <c r="B3940" t="inlineStr">
        <is>
          <t>R260720-raghuvamsiaero</t>
        </is>
      </c>
      <c r="C3940" t="inlineStr">
        <is>
          <t>VCCircle</t>
        </is>
      </c>
      <c r="D3940" s="17" t="n">
        <v>46223</v>
      </c>
      <c r="E3940" t="inlineStr">
        <is>
          <t>raghu vamsi aerospace</t>
        </is>
      </c>
      <c r="F3940" t="inlineStr"/>
      <c r="G3940" s="19" t="n"/>
      <c r="H3940" s="19" t="n"/>
      <c r="I3940" t="inlineStr">
        <is>
          <t>Series B</t>
        </is>
      </c>
      <c r="J3940" t="inlineStr"/>
      <c r="K3940" t="inlineStr">
        <is>
          <t>https://www.vccircle.com/norwestskegen-co-lead-series-b-round-in-raghu-vamsi-aerospace</t>
        </is>
      </c>
    </row>
    <row r="3941">
      <c r="A3941" t="inlineStr">
        <is>
          <t>ENT-12182570</t>
        </is>
      </c>
      <c r="B3941" t="inlineStr">
        <is>
          <t>R260720-veriqus</t>
        </is>
      </c>
      <c r="C3941" t="inlineStr">
        <is>
          <t>Entrackr</t>
        </is>
      </c>
      <c r="D3941" s="17" t="n">
        <v>46223</v>
      </c>
      <c r="E3941" t="inlineStr">
        <is>
          <t>Veriqus</t>
        </is>
      </c>
      <c r="F3941" t="inlineStr">
        <is>
          <t>Rs 387 crore</t>
        </is>
      </c>
      <c r="G3941" s="19" t="n">
        <v>387</v>
      </c>
      <c r="H3941" s="19" t="n">
        <v>40</v>
      </c>
      <c r="I3941" t="inlineStr">
        <is>
          <t>Undisclosed</t>
        </is>
      </c>
      <c r="J3941" t="inlineStr">
        <is>
          <t>Norwest Venture Partners</t>
        </is>
      </c>
      <c r="K3941" t="inlineStr">
        <is>
          <t>https://entrackr.com/news/wealthtech-platform-veriqus-raises-rs-387-cr-in-funding-round-led-by-norwest-12182570</t>
        </is>
      </c>
    </row>
    <row r="3942">
      <c r="A3942" t="inlineStr">
        <is>
          <t>INC-20260725-02</t>
        </is>
      </c>
      <c r="B3942" t="inlineStr">
        <is>
          <t>R260720-veriqus</t>
        </is>
      </c>
      <c r="C3942" t="inlineStr">
        <is>
          <t>Inc42</t>
        </is>
      </c>
      <c r="D3942" s="17" t="n">
        <v>46223</v>
      </c>
      <c r="E3942" t="inlineStr">
        <is>
          <t>Veriqus</t>
        </is>
      </c>
      <c r="F3942" t="inlineStr">
        <is>
          <t>$40.1 Mn</t>
        </is>
      </c>
      <c r="G3942" s="19" t="n"/>
      <c r="H3942" s="19" t="n">
        <v>40.1</v>
      </c>
      <c r="I3942" t="inlineStr">
        <is>
          <t>Undisclosed</t>
        </is>
      </c>
      <c r="J3942" t="inlineStr">
        <is>
          <t>Norwest</t>
        </is>
      </c>
      <c r="K3942" t="inlineStr">
        <is>
          <t>https://inc42.com/buzz/from-zetwerk-to-veriqus-indian-startups-raised-209-mn-this-week/</t>
        </is>
      </c>
    </row>
    <row r="3943">
      <c r="A3943" t="inlineStr">
        <is>
          <t>VCC-e7b683454a</t>
        </is>
      </c>
      <c r="B3943" t="inlineStr">
        <is>
          <t>R260720-veriqus</t>
        </is>
      </c>
      <c r="C3943" t="inlineStr">
        <is>
          <t>VCCircle</t>
        </is>
      </c>
      <c r="D3943" s="17" t="n">
        <v>46223</v>
      </c>
      <c r="E3943" t="inlineStr">
        <is>
          <t>formerjulius baer india ceo founded veriqus</t>
        </is>
      </c>
      <c r="F3943" t="inlineStr"/>
      <c r="G3943" s="19" t="n"/>
      <c r="H3943" s="19" t="n"/>
      <c r="I3943" t="inlineStr">
        <is>
          <t>Undisclosed</t>
        </is>
      </c>
      <c r="J3943" t="inlineStr"/>
      <c r="K3943" t="inlineStr">
        <is>
          <t>https://www.vccircle.com/formerjulius-baer-india-ceo-founded-veriqus-raises-funding-in-norwest-led-round</t>
        </is>
      </c>
    </row>
    <row r="3944">
      <c r="A3944" t="inlineStr">
        <is>
          <t>ENT-12183146</t>
        </is>
      </c>
      <c r="B3944" t="inlineStr">
        <is>
          <t>R260721-30sundays</t>
        </is>
      </c>
      <c r="C3944" t="inlineStr">
        <is>
          <t>Entrackr</t>
        </is>
      </c>
      <c r="D3944" s="17" t="n">
        <v>46224</v>
      </c>
      <c r="E3944" t="inlineStr">
        <is>
          <t>30 Sundays</t>
        </is>
      </c>
      <c r="F3944" t="inlineStr">
        <is>
          <t>$6.7 million</t>
        </is>
      </c>
      <c r="G3944" s="19" t="n"/>
      <c r="H3944" s="19" t="n">
        <v>6.7</v>
      </c>
      <c r="I3944" t="inlineStr">
        <is>
          <t>Undisclosed</t>
        </is>
      </c>
      <c r="J3944" t="inlineStr">
        <is>
          <t>Bessemer Venture Partners</t>
        </is>
      </c>
      <c r="K3944" t="inlineStr">
        <is>
          <t>https://entrackr.com/snippets/bessemer-leads-67-mn-round-in-travel-tech-startup-30-sundays-12183146</t>
        </is>
      </c>
    </row>
    <row r="3945">
      <c r="A3945" t="inlineStr">
        <is>
          <t>INC-20260725-07</t>
        </is>
      </c>
      <c r="B3945" t="inlineStr">
        <is>
          <t>R260721-30sundays</t>
        </is>
      </c>
      <c r="C3945" t="inlineStr">
        <is>
          <t>Inc42</t>
        </is>
      </c>
      <c r="D3945" s="17" t="n">
        <v>46224</v>
      </c>
      <c r="E3945" t="inlineStr">
        <is>
          <t>30 Sundays</t>
        </is>
      </c>
      <c r="F3945" t="inlineStr">
        <is>
          <t>$6.7 Mn</t>
        </is>
      </c>
      <c r="G3945" s="19" t="n"/>
      <c r="H3945" s="19" t="n">
        <v>6.7</v>
      </c>
      <c r="I3945" t="inlineStr">
        <is>
          <t>Series A</t>
        </is>
      </c>
      <c r="J3945" t="inlineStr">
        <is>
          <t>Bessemer Venture Partners</t>
        </is>
      </c>
      <c r="K3945" t="inlineStr">
        <is>
          <t>https://inc42.com/buzz/from-zetwerk-to-veriqus-indian-startups-raised-209-mn-this-week/</t>
        </is>
      </c>
    </row>
    <row r="3946">
      <c r="A3946" t="inlineStr">
        <is>
          <t>ENT-12184501</t>
        </is>
      </c>
      <c r="B3946" t="inlineStr">
        <is>
          <t>R260721-fireai</t>
        </is>
      </c>
      <c r="C3946" t="inlineStr">
        <is>
          <t>Entrackr</t>
        </is>
      </c>
      <c r="D3946" s="17" t="n">
        <v>46224</v>
      </c>
      <c r="E3946" t="inlineStr">
        <is>
          <t>FireAI</t>
        </is>
      </c>
      <c r="F3946" t="inlineStr">
        <is>
          <t>Rs 2.5 crore</t>
        </is>
      </c>
      <c r="G3946" s="19" t="n">
        <v>2.5</v>
      </c>
      <c r="H3946" s="19" t="n"/>
      <c r="I3946" t="inlineStr">
        <is>
          <t>Undisclosed</t>
        </is>
      </c>
      <c r="J3946" t="inlineStr"/>
      <c r="K3946" t="inlineStr">
        <is>
          <t>https://entrackr.com/snippets/fireai-raises-rs-25-cr-from-sucseed-indovation-fund-12184501</t>
        </is>
      </c>
    </row>
    <row r="3947">
      <c r="A3947" t="inlineStr">
        <is>
          <t>INC-20260725-11</t>
        </is>
      </c>
      <c r="B3947" t="inlineStr">
        <is>
          <t>R260721-fireai</t>
        </is>
      </c>
      <c r="C3947" t="inlineStr">
        <is>
          <t>Inc42</t>
        </is>
      </c>
      <c r="D3947" s="17" t="n">
        <v>46224</v>
      </c>
      <c r="E3947" t="inlineStr">
        <is>
          <t>FireAI</t>
        </is>
      </c>
      <c r="F3947" t="inlineStr">
        <is>
          <t>$259K</t>
        </is>
      </c>
      <c r="G3947" s="19" t="n"/>
      <c r="H3947" s="19" t="n">
        <v>0.259</v>
      </c>
      <c r="I3947" t="inlineStr">
        <is>
          <t>Undisclosed</t>
        </is>
      </c>
      <c r="J3947" t="inlineStr">
        <is>
          <t>SucSEED Indovation Fund</t>
        </is>
      </c>
      <c r="K3947" t="inlineStr">
        <is>
          <t>https://inc42.com/buzz/from-zetwerk-to-veriqus-indian-startups-raised-209-mn-this-week/</t>
        </is>
      </c>
    </row>
    <row r="3948">
      <c r="A3948" t="inlineStr">
        <is>
          <t>INC-20260725-14</t>
        </is>
      </c>
      <c r="B3948" t="inlineStr">
        <is>
          <t>R260721-khageshvaraavi</t>
        </is>
      </c>
      <c r="C3948" t="inlineStr">
        <is>
          <t>Inc42</t>
        </is>
      </c>
      <c r="D3948" s="17" t="n">
        <v>46224</v>
      </c>
      <c r="E3948" t="inlineStr">
        <is>
          <t>Khageshvara Aviation Technology</t>
        </is>
      </c>
      <c r="F3948" t="inlineStr"/>
      <c r="G3948" s="19" t="n"/>
      <c r="H3948" s="19" t="n"/>
      <c r="I3948" t="inlineStr">
        <is>
          <t>Undisclosed</t>
        </is>
      </c>
      <c r="J3948" t="inlineStr">
        <is>
          <t>Finvolve; India Accelerator</t>
        </is>
      </c>
      <c r="K3948" t="inlineStr">
        <is>
          <t>https://inc42.com/buzz/from-zetwerk-to-veriqus-indian-startups-raised-209-mn-this-week/</t>
        </is>
      </c>
    </row>
    <row r="3949">
      <c r="A3949" t="inlineStr">
        <is>
          <t>ENT-12183463</t>
        </is>
      </c>
      <c r="B3949" t="inlineStr">
        <is>
          <t>R260721-solarsquare</t>
        </is>
      </c>
      <c r="C3949" t="inlineStr">
        <is>
          <t>Entrackr</t>
        </is>
      </c>
      <c r="D3949" s="17" t="n">
        <v>46224</v>
      </c>
      <c r="E3949" t="inlineStr">
        <is>
          <t>SolarSquare</t>
        </is>
      </c>
      <c r="F3949" t="inlineStr">
        <is>
          <t>$53 million</t>
        </is>
      </c>
      <c r="G3949" s="19" t="n"/>
      <c r="H3949" s="19" t="n">
        <v>53</v>
      </c>
      <c r="I3949" t="inlineStr">
        <is>
          <t>Series C</t>
        </is>
      </c>
      <c r="J3949" t="inlineStr"/>
      <c r="K3949" t="inlineStr">
        <is>
          <t>https://entrackr.com/snippets/ms-dhoni-invests-in-solarsquare-as-part-of-53-mn-series-c-round-12183463</t>
        </is>
      </c>
    </row>
    <row r="3950">
      <c r="A3950" t="inlineStr">
        <is>
          <t>INC-20260725-13</t>
        </is>
      </c>
      <c r="B3950" t="inlineStr">
        <is>
          <t>R260721-solarsquare</t>
        </is>
      </c>
      <c r="C3950" t="inlineStr">
        <is>
          <t>Inc42</t>
        </is>
      </c>
      <c r="D3950" s="17" t="n">
        <v>46224</v>
      </c>
      <c r="E3950" t="inlineStr">
        <is>
          <t>SolarSquare</t>
        </is>
      </c>
      <c r="F3950" t="inlineStr"/>
      <c r="G3950" s="19" t="n"/>
      <c r="H3950" s="19" t="n"/>
      <c r="I3950" t="inlineStr">
        <is>
          <t>Series C</t>
        </is>
      </c>
      <c r="J3950" t="inlineStr">
        <is>
          <t>MS Dhoni</t>
        </is>
      </c>
      <c r="K3950" t="inlineStr">
        <is>
          <t>https://inc42.com/buzz/from-zetwerk-to-veriqus-indian-startups-raised-209-mn-this-week/</t>
        </is>
      </c>
    </row>
    <row r="3951">
      <c r="A3951" t="inlineStr">
        <is>
          <t>ENT-12184884</t>
        </is>
      </c>
      <c r="B3951" t="inlineStr">
        <is>
          <t>R260721-suminterindiao</t>
        </is>
      </c>
      <c r="C3951" t="inlineStr">
        <is>
          <t>Entrackr</t>
        </is>
      </c>
      <c r="D3951" s="17" t="n">
        <v>46224</v>
      </c>
      <c r="E3951" t="inlineStr">
        <is>
          <t>Suminter India Organics</t>
        </is>
      </c>
      <c r="F3951" t="inlineStr">
        <is>
          <t>Rs 25 crore</t>
        </is>
      </c>
      <c r="G3951" s="19" t="n">
        <v>25</v>
      </c>
      <c r="H3951" s="19" t="n">
        <v>2.6</v>
      </c>
      <c r="I3951" t="inlineStr">
        <is>
          <t>Debt</t>
        </is>
      </c>
      <c r="J3951" t="inlineStr"/>
      <c r="K3951" t="inlineStr">
        <is>
          <t>https://entrackr.com/snippets/suminter-india-organics-secures-rs-25-cr-debt-from-blacksoil-capital-12184884</t>
        </is>
      </c>
    </row>
    <row r="3952">
      <c r="A3952" t="inlineStr">
        <is>
          <t>ENT-12186756</t>
        </is>
      </c>
      <c r="B3952" t="inlineStr">
        <is>
          <t>R260722-bioscanresearc</t>
        </is>
      </c>
      <c r="C3952" t="inlineStr">
        <is>
          <t>Entrackr</t>
        </is>
      </c>
      <c r="D3952" s="17" t="n">
        <v>46225</v>
      </c>
      <c r="E3952" t="inlineStr">
        <is>
          <t>Bioscan Research</t>
        </is>
      </c>
      <c r="F3952" t="inlineStr">
        <is>
          <t>$1 million</t>
        </is>
      </c>
      <c r="G3952" s="19" t="n"/>
      <c r="H3952" s="19" t="n">
        <v>1</v>
      </c>
      <c r="I3952" t="inlineStr">
        <is>
          <t>Seed</t>
        </is>
      </c>
      <c r="J3952" t="inlineStr">
        <is>
          <t>Unicorn India Ventures</t>
        </is>
      </c>
      <c r="K3952" t="inlineStr">
        <is>
          <t>https://entrackr.com/snippets/medtech-startup-bioscan-research-raises-1-mn-in-seed-round-led-by-unicorn-india-ventures-12186756</t>
        </is>
      </c>
    </row>
    <row r="3953">
      <c r="A3953" t="inlineStr">
        <is>
          <t>INC-20260725-09</t>
        </is>
      </c>
      <c r="B3953" t="inlineStr">
        <is>
          <t>R260722-bioscanresearc</t>
        </is>
      </c>
      <c r="C3953" t="inlineStr">
        <is>
          <t>Inc42</t>
        </is>
      </c>
      <c r="D3953" s="17" t="n">
        <v>46225</v>
      </c>
      <c r="E3953" t="inlineStr">
        <is>
          <t>Bioscan Research</t>
        </is>
      </c>
      <c r="F3953" t="inlineStr">
        <is>
          <t>$1 Mn</t>
        </is>
      </c>
      <c r="G3953" s="19" t="n"/>
      <c r="H3953" s="19" t="n">
        <v>1</v>
      </c>
      <c r="I3953" t="inlineStr">
        <is>
          <t>Seed</t>
        </is>
      </c>
      <c r="J3953" t="inlineStr">
        <is>
          <t>Unicorn India Ventures</t>
        </is>
      </c>
      <c r="K3953" t="inlineStr">
        <is>
          <t>https://inc42.com/buzz/from-zetwerk-to-veriqus-indian-startups-raised-209-mn-this-week/</t>
        </is>
      </c>
    </row>
    <row r="3954">
      <c r="A3954" t="inlineStr">
        <is>
          <t>ENT-12189549</t>
        </is>
      </c>
      <c r="B3954" t="inlineStr">
        <is>
          <t>R260723-businessnext</t>
        </is>
      </c>
      <c r="C3954" t="inlineStr">
        <is>
          <t>Entrackr</t>
        </is>
      </c>
      <c r="D3954" s="17" t="n">
        <v>46226</v>
      </c>
      <c r="E3954" t="inlineStr">
        <is>
          <t>BusinessNext</t>
        </is>
      </c>
      <c r="F3954" t="inlineStr">
        <is>
          <t>$40 million</t>
        </is>
      </c>
      <c r="G3954" s="19" t="n"/>
      <c r="H3954" s="19" t="n">
        <v>40</v>
      </c>
      <c r="I3954" t="inlineStr">
        <is>
          <t>Series B</t>
        </is>
      </c>
      <c r="J3954" t="inlineStr"/>
      <c r="K3954" t="inlineStr">
        <is>
          <t>https://entrackr.com/news/businessnext-raises-40-mn-from-servicenow-ventures-at-700-mn-valuation-12189549</t>
        </is>
      </c>
    </row>
    <row r="3955">
      <c r="A3955" t="inlineStr">
        <is>
          <t>INC-20260725-03</t>
        </is>
      </c>
      <c r="B3955" t="inlineStr">
        <is>
          <t>R260723-businessnext</t>
        </is>
      </c>
      <c r="C3955" t="inlineStr">
        <is>
          <t>Inc42</t>
        </is>
      </c>
      <c r="D3955" s="17" t="n">
        <v>46226</v>
      </c>
      <c r="E3955" t="inlineStr">
        <is>
          <t>BUSINESSNEXT</t>
        </is>
      </c>
      <c r="F3955" t="inlineStr">
        <is>
          <t>$40 Mn</t>
        </is>
      </c>
      <c r="G3955" s="19" t="n"/>
      <c r="H3955" s="19" t="n">
        <v>40</v>
      </c>
      <c r="I3955" t="inlineStr">
        <is>
          <t>Series C</t>
        </is>
      </c>
      <c r="J3955" t="inlineStr">
        <is>
          <t>ServiceNow Ventures</t>
        </is>
      </c>
      <c r="K3955" t="inlineStr">
        <is>
          <t>https://inc42.com/buzz/from-zetwerk-to-veriqus-indian-startups-raised-209-mn-this-week/</t>
        </is>
      </c>
    </row>
    <row r="3956">
      <c r="A3956" t="inlineStr">
        <is>
          <t>ENT-12191147</t>
        </is>
      </c>
      <c r="B3956" t="inlineStr">
        <is>
          <t>R260723-carplai</t>
        </is>
      </c>
      <c r="C3956" t="inlineStr">
        <is>
          <t>Entrackr</t>
        </is>
      </c>
      <c r="D3956" s="17" t="n">
        <v>46226</v>
      </c>
      <c r="E3956" t="inlineStr">
        <is>
          <t>CARPL.ai</t>
        </is>
      </c>
      <c r="F3956" t="inlineStr">
        <is>
          <t>$10 million</t>
        </is>
      </c>
      <c r="G3956" s="19" t="n"/>
      <c r="H3956" s="19" t="n">
        <v>10</v>
      </c>
      <c r="I3956" t="inlineStr">
        <is>
          <t>Series A</t>
        </is>
      </c>
      <c r="J3956" t="inlineStr">
        <is>
          <t>International Finance Corporation</t>
        </is>
      </c>
      <c r="K3956" t="inlineStr">
        <is>
          <t>https://entrackr.com/snippets/healthtech-startup-carplai-raises-10-mn-series-a-led-by-ifc-12191147</t>
        </is>
      </c>
    </row>
    <row r="3957">
      <c r="A3957" t="inlineStr">
        <is>
          <t>INC-20260725-06</t>
        </is>
      </c>
      <c r="B3957" t="inlineStr">
        <is>
          <t>R260723-carplai</t>
        </is>
      </c>
      <c r="C3957" t="inlineStr">
        <is>
          <t>Inc42</t>
        </is>
      </c>
      <c r="D3957" s="17" t="n">
        <v>46226</v>
      </c>
      <c r="E3957" t="inlineStr">
        <is>
          <t>CARPL.ai</t>
        </is>
      </c>
      <c r="F3957" t="inlineStr">
        <is>
          <t>$10 Mn</t>
        </is>
      </c>
      <c r="G3957" s="19" t="n"/>
      <c r="H3957" s="19" t="n">
        <v>10</v>
      </c>
      <c r="I3957" t="inlineStr">
        <is>
          <t>Series A</t>
        </is>
      </c>
      <c r="J3957" t="inlineStr">
        <is>
          <t>International Finance Corporation</t>
        </is>
      </c>
      <c r="K3957" t="inlineStr">
        <is>
          <t>https://inc42.com/buzz/from-zetwerk-to-veriqus-indian-startups-raised-209-mn-this-week/</t>
        </is>
      </c>
    </row>
    <row r="3958">
      <c r="A3958" t="inlineStr">
        <is>
          <t>ENT-12190175</t>
        </is>
      </c>
      <c r="B3958" t="inlineStr">
        <is>
          <t>R260723-farmwattinnova</t>
        </is>
      </c>
      <c r="C3958" t="inlineStr">
        <is>
          <t>Entrackr</t>
        </is>
      </c>
      <c r="D3958" s="17" t="n">
        <v>46226</v>
      </c>
      <c r="E3958" t="inlineStr">
        <is>
          <t>Farm Watt Innovations</t>
        </is>
      </c>
      <c r="F3958" t="inlineStr">
        <is>
          <t>Rs 32.5 crore</t>
        </is>
      </c>
      <c r="G3958" s="19" t="n">
        <v>32.5</v>
      </c>
      <c r="H3958" s="19" t="n">
        <v>3.36</v>
      </c>
      <c r="I3958" t="inlineStr">
        <is>
          <t>Undisclosed</t>
        </is>
      </c>
      <c r="J3958" t="inlineStr">
        <is>
          <t>IAN Alpha Fund; Rainmatter</t>
        </is>
      </c>
      <c r="K3958" t="inlineStr">
        <is>
          <t>https://entrackr.com/snippets/farm-watt-innovations-raises-rs-325-cr-co-led-by-ian-alpha-fund-and-rainmatter-12190175</t>
        </is>
      </c>
    </row>
    <row r="3959">
      <c r="A3959" t="inlineStr">
        <is>
          <t>INC-20260725-08</t>
        </is>
      </c>
      <c r="B3959" t="inlineStr">
        <is>
          <t>R260723-farmwattinnova</t>
        </is>
      </c>
      <c r="C3959" t="inlineStr">
        <is>
          <t>Inc42</t>
        </is>
      </c>
      <c r="D3959" s="17" t="n">
        <v>46226</v>
      </c>
      <c r="E3959" t="inlineStr">
        <is>
          <t>Farm Watt</t>
        </is>
      </c>
      <c r="F3959" t="inlineStr">
        <is>
          <t>$3.3 Mn</t>
        </is>
      </c>
      <c r="G3959" s="19" t="n"/>
      <c r="H3959" s="19" t="n">
        <v>3.3</v>
      </c>
      <c r="I3959" t="inlineStr">
        <is>
          <t>Undisclosed</t>
        </is>
      </c>
      <c r="J3959" t="inlineStr">
        <is>
          <t>IAN Alpha Fund</t>
        </is>
      </c>
      <c r="K3959" t="inlineStr">
        <is>
          <t>https://inc42.com/buzz/from-zetwerk-to-veriqus-indian-startups-raised-209-mn-this-week/</t>
        </is>
      </c>
    </row>
    <row r="3960">
      <c r="A3960" t="inlineStr">
        <is>
          <t>ENT-12189954</t>
        </is>
      </c>
      <c r="B3960" t="inlineStr">
        <is>
          <t>R260723-neuralkart</t>
        </is>
      </c>
      <c r="C3960" t="inlineStr">
        <is>
          <t>Entrackr</t>
        </is>
      </c>
      <c r="D3960" s="17" t="n">
        <v>46226</v>
      </c>
      <c r="E3960" t="inlineStr">
        <is>
          <t>NeuralKart</t>
        </is>
      </c>
      <c r="F3960" t="inlineStr">
        <is>
          <t>Rs 2.35 crore</t>
        </is>
      </c>
      <c r="G3960" s="19" t="n">
        <v>2.35</v>
      </c>
      <c r="H3960" s="19" t="n"/>
      <c r="I3960" t="inlineStr">
        <is>
          <t>Seed</t>
        </is>
      </c>
      <c r="J3960" t="inlineStr">
        <is>
          <t>Inflection Point Ventures</t>
        </is>
      </c>
      <c r="K3960" t="inlineStr">
        <is>
          <t>https://entrackr.com/snippets/ai-insurtech-startup-neuralkart-raises-seed-funding-led-by-inflection-point-ventures-12189954</t>
        </is>
      </c>
    </row>
    <row r="3961">
      <c r="A3961" t="inlineStr">
        <is>
          <t>INC-20260725-12</t>
        </is>
      </c>
      <c r="B3961" t="inlineStr">
        <is>
          <t>R260723-neuralkart</t>
        </is>
      </c>
      <c r="C3961" t="inlineStr">
        <is>
          <t>Inc42</t>
        </is>
      </c>
      <c r="D3961" s="17" t="n">
        <v>46226</v>
      </c>
      <c r="E3961" t="inlineStr">
        <is>
          <t>NeuralKart</t>
        </is>
      </c>
      <c r="F3961" t="inlineStr">
        <is>
          <t>$243K</t>
        </is>
      </c>
      <c r="G3961" s="19" t="n"/>
      <c r="H3961" s="19" t="n">
        <v>0.243</v>
      </c>
      <c r="I3961" t="inlineStr">
        <is>
          <t>Seed</t>
        </is>
      </c>
      <c r="J3961" t="inlineStr">
        <is>
          <t>Inflection Point Ventures</t>
        </is>
      </c>
      <c r="K3961" t="inlineStr">
        <is>
          <t>https://inc42.com/buzz/from-zetwerk-to-veriqus-indian-startups-raised-209-mn-this-week/</t>
        </is>
      </c>
    </row>
    <row r="3962">
      <c r="A3962" t="inlineStr">
        <is>
          <t>ENT-12190685</t>
        </is>
      </c>
      <c r="B3962" t="inlineStr">
        <is>
          <t>R260723-upkraft</t>
        </is>
      </c>
      <c r="C3962" t="inlineStr">
        <is>
          <t>Entrackr</t>
        </is>
      </c>
      <c r="D3962" s="17" t="n">
        <v>46226</v>
      </c>
      <c r="E3962" t="inlineStr">
        <is>
          <t>UpKraft</t>
        </is>
      </c>
      <c r="F3962" t="inlineStr">
        <is>
          <t>Rs 1.6 crore</t>
        </is>
      </c>
      <c r="G3962" s="19" t="n">
        <v>1.6</v>
      </c>
      <c r="H3962" s="19" t="n"/>
      <c r="I3962" t="inlineStr">
        <is>
          <t>Pre-Seed</t>
        </is>
      </c>
      <c r="J3962" t="inlineStr">
        <is>
          <t>PedalStart</t>
        </is>
      </c>
      <c r="K3962" t="inlineStr">
        <is>
          <t>https://entrackr.com/snippets/pedalstart-leads-pre-seed-round-in-extracurricular-learning-platform-upkraft-12190685</t>
        </is>
      </c>
    </row>
    <row r="3963">
      <c r="A3963" t="inlineStr">
        <is>
          <t>ENT-12191137</t>
        </is>
      </c>
      <c r="B3963" t="inlineStr">
        <is>
          <t>R260723-wiffy</t>
        </is>
      </c>
      <c r="C3963" t="inlineStr">
        <is>
          <t>Entrackr</t>
        </is>
      </c>
      <c r="D3963" s="17" t="n">
        <v>46226</v>
      </c>
      <c r="E3963" t="inlineStr">
        <is>
          <t>Wiffy</t>
        </is>
      </c>
      <c r="F3963" t="inlineStr">
        <is>
          <t>$3 million</t>
        </is>
      </c>
      <c r="G3963" s="19" t="n"/>
      <c r="H3963" s="19" t="n">
        <v>3</v>
      </c>
      <c r="I3963" t="inlineStr">
        <is>
          <t>Series A</t>
        </is>
      </c>
      <c r="J3963" t="inlineStr">
        <is>
          <t>Earth Fund</t>
        </is>
      </c>
      <c r="K3963" t="inlineStr">
        <is>
          <t>https://entrackr.com/snippets/earth-fund-leads-3-mn-series-a-round-in-wiffy-12191137</t>
        </is>
      </c>
    </row>
    <row r="3964">
      <c r="A3964" t="inlineStr">
        <is>
          <t>INC-20260725-01</t>
        </is>
      </c>
      <c r="B3964" t="inlineStr">
        <is>
          <t>R260724-zetwerk</t>
        </is>
      </c>
      <c r="C3964" t="inlineStr">
        <is>
          <t>Inc42</t>
        </is>
      </c>
      <c r="D3964" s="17" t="n">
        <v>46227</v>
      </c>
      <c r="E3964" t="inlineStr">
        <is>
          <t>Zetwerk</t>
        </is>
      </c>
      <c r="F3964" t="inlineStr">
        <is>
          <t>$52 Mn</t>
        </is>
      </c>
      <c r="G3964" s="19" t="n"/>
      <c r="H3964" s="19" t="n">
        <v>52</v>
      </c>
      <c r="I3964" t="inlineStr">
        <is>
          <t>Undisclosed</t>
        </is>
      </c>
      <c r="J3964" t="inlineStr">
        <is>
          <t>Bharat Value Fund</t>
        </is>
      </c>
      <c r="K3964" t="inlineStr">
        <is>
          <t>https://inc42.com/buzz/from-zetwerk-to-veriqus-indian-startups-raised-209-mn-this-week/</t>
        </is>
      </c>
    </row>
    <row r="3965">
      <c r="A3965" t="inlineStr">
        <is>
          <t>ENT-12201685</t>
        </is>
      </c>
      <c r="B3965" t="inlineStr">
        <is>
          <t>R260727-omegaseikimobi</t>
        </is>
      </c>
      <c r="C3965" t="inlineStr">
        <is>
          <t>Entrackr</t>
        </is>
      </c>
      <c r="D3965" s="17" t="n">
        <v>46230</v>
      </c>
      <c r="E3965" t="inlineStr">
        <is>
          <t>Omega Seiki Mobility</t>
        </is>
      </c>
      <c r="F3965" t="inlineStr">
        <is>
          <t>Rs 50 crore</t>
        </is>
      </c>
      <c r="G3965" s="19" t="n">
        <v>50</v>
      </c>
      <c r="H3965" s="19" t="n"/>
      <c r="I3965" t="inlineStr">
        <is>
          <t>Undisclosed</t>
        </is>
      </c>
      <c r="J3965" t="inlineStr"/>
      <c r="K3965" t="inlineStr">
        <is>
          <t>https://entrackr.com/snippets/electric-commercial-vehicle-manufacturer-omega-seiki-mobility-raises-rs-50-cr-12201685</t>
        </is>
      </c>
    </row>
    <row r="3966">
      <c r="A3966" t="inlineStr">
        <is>
          <t>INC-20260801-06</t>
        </is>
      </c>
      <c r="B3966" t="inlineStr">
        <is>
          <t>R260727-omegaseikimobi</t>
        </is>
      </c>
      <c r="C3966" t="inlineStr">
        <is>
          <t>Inc42</t>
        </is>
      </c>
      <c r="D3966" s="17" t="n">
        <v>46230</v>
      </c>
      <c r="E3966" t="inlineStr">
        <is>
          <t>Omega Seiki Mobility</t>
        </is>
      </c>
      <c r="F3966" t="inlineStr">
        <is>
          <t>$5.2 Mn</t>
        </is>
      </c>
      <c r="G3966" s="19" t="n"/>
      <c r="H3966" s="19" t="n">
        <v>5.2</v>
      </c>
      <c r="I3966" t="inlineStr">
        <is>
          <t>Undisclosed</t>
        </is>
      </c>
      <c r="J3966" t="inlineStr"/>
      <c r="K3966" t="inlineStr">
        <is>
          <t>https://inc42.com/buzz/from-freehand-to-sids-farms-indian-startups-raised-142-mn-this-week/</t>
        </is>
      </c>
    </row>
    <row r="3967">
      <c r="A3967" t="inlineStr">
        <is>
          <t>ENT-12204999</t>
        </is>
      </c>
      <c r="B3967" t="inlineStr">
        <is>
          <t>R260728-houseofstudent</t>
        </is>
      </c>
      <c r="C3967" t="inlineStr">
        <is>
          <t>Entrackr</t>
        </is>
      </c>
      <c r="D3967" s="17" t="n">
        <v>46231</v>
      </c>
      <c r="E3967" t="inlineStr">
        <is>
          <t>House of Student</t>
        </is>
      </c>
      <c r="F3967" t="inlineStr">
        <is>
          <t>$2 million</t>
        </is>
      </c>
      <c r="G3967" s="19" t="n"/>
      <c r="H3967" s="19" t="n">
        <v>2</v>
      </c>
      <c r="I3967" t="inlineStr">
        <is>
          <t>Seed</t>
        </is>
      </c>
      <c r="J3967" t="inlineStr">
        <is>
          <t>Saltwater Sutra; Nirmitsu Inspirational Ventures</t>
        </is>
      </c>
      <c r="K3967" t="inlineStr">
        <is>
          <t>https://entrackr.com/snippets/global-student-living-technology-startup-house-of-student-raises-2-mn-in-seed-round-12204999</t>
        </is>
      </c>
    </row>
    <row r="3968">
      <c r="A3968" t="inlineStr">
        <is>
          <t>INC-20260801-09</t>
        </is>
      </c>
      <c r="B3968" t="inlineStr">
        <is>
          <t>R260728-houseofstudent</t>
        </is>
      </c>
      <c r="C3968" t="inlineStr">
        <is>
          <t>Inc42</t>
        </is>
      </c>
      <c r="D3968" s="17" t="n">
        <v>46231</v>
      </c>
      <c r="E3968" t="inlineStr">
        <is>
          <t>House of Student</t>
        </is>
      </c>
      <c r="F3968" t="inlineStr">
        <is>
          <t>$2 Mn</t>
        </is>
      </c>
      <c r="G3968" s="19" t="n"/>
      <c r="H3968" s="19" t="n">
        <v>2</v>
      </c>
      <c r="I3968" t="inlineStr">
        <is>
          <t>Seed</t>
        </is>
      </c>
      <c r="J3968" t="inlineStr">
        <is>
          <t>Nirmitsu Ventures</t>
        </is>
      </c>
      <c r="K3968" t="inlineStr">
        <is>
          <t>https://inc42.com/buzz/from-freehand-to-sids-farms-indian-startups-raised-142-mn-this-week/</t>
        </is>
      </c>
    </row>
    <row r="3969">
      <c r="A3969" t="inlineStr">
        <is>
          <t>VCC-b603e2b408</t>
        </is>
      </c>
      <c r="B3969" t="inlineStr">
        <is>
          <t>R260728-houseofstudent</t>
        </is>
      </c>
      <c r="C3969" t="inlineStr">
        <is>
          <t>VCCircle</t>
        </is>
      </c>
      <c r="D3969" s="17" t="n">
        <v>46231</v>
      </c>
      <c r="E3969" t="inlineStr">
        <is>
          <t>houseof student</t>
        </is>
      </c>
      <c r="F3969" t="inlineStr"/>
      <c r="G3969" s="19" t="n"/>
      <c r="H3969" s="19" t="n"/>
      <c r="I3969" t="inlineStr">
        <is>
          <t>Seed</t>
        </is>
      </c>
      <c r="J3969" t="inlineStr"/>
      <c r="K3969" t="inlineStr">
        <is>
          <t>https://www.vccircle.com/houseof-student-nets-seed-funding-ivycap-backed-snitch-buys-berrylush</t>
        </is>
      </c>
    </row>
    <row r="3970">
      <c r="A3970" t="inlineStr">
        <is>
          <t>ENT-12205320</t>
        </is>
      </c>
      <c r="B3970" t="inlineStr">
        <is>
          <t>R260728-walbhaindustri</t>
        </is>
      </c>
      <c r="C3970" t="inlineStr">
        <is>
          <t>Entrackr</t>
        </is>
      </c>
      <c r="D3970" s="17" t="n">
        <v>46231</v>
      </c>
      <c r="E3970" t="inlineStr">
        <is>
          <t>Walbha Industries</t>
        </is>
      </c>
      <c r="F3970" t="inlineStr">
        <is>
          <t>Rs 10 crore</t>
        </is>
      </c>
      <c r="G3970" s="19" t="n">
        <v>10</v>
      </c>
      <c r="H3970" s="19" t="n"/>
      <c r="I3970" t="inlineStr">
        <is>
          <t>Undisclosed</t>
        </is>
      </c>
      <c r="J3970" t="inlineStr"/>
      <c r="K3970" t="inlineStr">
        <is>
          <t>https://entrackr.com/snippets/circular-economy-company-recykal-invests-rs-10-cr-in-walbha-industries-12205320</t>
        </is>
      </c>
    </row>
    <row r="3971">
      <c r="A3971" t="inlineStr">
        <is>
          <t>ENT-12205479</t>
        </is>
      </c>
      <c r="B3971" t="inlineStr">
        <is>
          <t>R260728-yaanendriya</t>
        </is>
      </c>
      <c r="C3971" t="inlineStr">
        <is>
          <t>Entrackr</t>
        </is>
      </c>
      <c r="D3971" s="17" t="n">
        <v>46231</v>
      </c>
      <c r="E3971" t="inlineStr">
        <is>
          <t>Yaanendriya</t>
        </is>
      </c>
      <c r="F3971" t="inlineStr">
        <is>
          <t>Rs 15 crore</t>
        </is>
      </c>
      <c r="G3971" s="19" t="n">
        <v>15</v>
      </c>
      <c r="H3971" s="19" t="n"/>
      <c r="I3971" t="inlineStr">
        <is>
          <t>Seed</t>
        </is>
      </c>
      <c r="J3971" t="inlineStr">
        <is>
          <t>Piper Serica</t>
        </is>
      </c>
      <c r="K3971" t="inlineStr">
        <is>
          <t>https://entrackr.com/snippets/piper-serica-leads-rs-15-cr-seed-round-in-deep-tech-startup-yaanendriya-12205479</t>
        </is>
      </c>
    </row>
    <row r="3972">
      <c r="A3972" t="inlineStr">
        <is>
          <t>INC-20260801-10</t>
        </is>
      </c>
      <c r="B3972" t="inlineStr">
        <is>
          <t>R260728-yaanendriya</t>
        </is>
      </c>
      <c r="C3972" t="inlineStr">
        <is>
          <t>Inc42</t>
        </is>
      </c>
      <c r="D3972" s="17" t="n">
        <v>46233</v>
      </c>
      <c r="E3972" t="inlineStr">
        <is>
          <t>Yaanendriya</t>
        </is>
      </c>
      <c r="F3972" t="inlineStr">
        <is>
          <t>$1.6 Mn</t>
        </is>
      </c>
      <c r="G3972" s="19" t="n"/>
      <c r="H3972" s="19" t="n">
        <v>1.6</v>
      </c>
      <c r="I3972" t="inlineStr">
        <is>
          <t>Seed</t>
        </is>
      </c>
      <c r="J3972" t="inlineStr">
        <is>
          <t>Piper Serica</t>
        </is>
      </c>
      <c r="K3972" t="inlineStr">
        <is>
          <t>https://inc42.com/buzz/from-freehand-to-sids-farms-indian-startups-raised-142-mn-this-week/</t>
        </is>
      </c>
    </row>
    <row r="3973">
      <c r="A3973" t="inlineStr">
        <is>
          <t>ENT-12207612</t>
        </is>
      </c>
      <c r="B3973" t="inlineStr">
        <is>
          <t>R260729-fixxly</t>
        </is>
      </c>
      <c r="C3973" t="inlineStr">
        <is>
          <t>Entrackr</t>
        </is>
      </c>
      <c r="D3973" s="17" t="n">
        <v>46232</v>
      </c>
      <c r="E3973" t="inlineStr">
        <is>
          <t>Fixxly</t>
        </is>
      </c>
      <c r="F3973" t="inlineStr">
        <is>
          <t>$5.5 million</t>
        </is>
      </c>
      <c r="G3973" s="19" t="n"/>
      <c r="H3973" s="19" t="n">
        <v>5.5</v>
      </c>
      <c r="I3973" t="inlineStr">
        <is>
          <t>Seed</t>
        </is>
      </c>
      <c r="J3973" t="inlineStr"/>
      <c r="K3973" t="inlineStr">
        <is>
          <t>https://entrackr.com/snippets/building-materials-quick-commerce-startup-fixxly-raises-55-mn-in-seed-round-12207612</t>
        </is>
      </c>
    </row>
    <row r="3974">
      <c r="A3974" t="inlineStr">
        <is>
          <t>ET-132690505</t>
        </is>
      </c>
      <c r="B3974" t="inlineStr">
        <is>
          <t>R260729-fixxly</t>
        </is>
      </c>
      <c r="C3974" t="inlineStr">
        <is>
          <t>The Economic Times</t>
        </is>
      </c>
      <c r="D3974" s="17" t="n">
        <v>46232</v>
      </c>
      <c r="E3974" t="inlineStr">
        <is>
          <t>Fixxly</t>
        </is>
      </c>
      <c r="F3974" t="inlineStr">
        <is>
          <t>$5.5 million</t>
        </is>
      </c>
      <c r="G3974" s="19" t="n"/>
      <c r="H3974" s="19" t="n">
        <v>5.5</v>
      </c>
      <c r="I3974" t="inlineStr">
        <is>
          <t>Undisclosed</t>
        </is>
      </c>
      <c r="J3974" t="inlineStr"/>
      <c r="K3974" t="inlineStr">
        <is>
          <t>https://economictimes.indiatimes.com/tech/funding/building-materials-quick-commerce-startup-fixxly-raises-5-5-million-from-accel-lightspeed-fireside/articleshow/132690505.cms</t>
        </is>
      </c>
    </row>
    <row r="3975">
      <c r="A3975" t="inlineStr">
        <is>
          <t>INC-20260801-05</t>
        </is>
      </c>
      <c r="B3975" t="inlineStr">
        <is>
          <t>R260729-fixxly</t>
        </is>
      </c>
      <c r="C3975" t="inlineStr">
        <is>
          <t>Inc42</t>
        </is>
      </c>
      <c r="D3975" s="17" t="n">
        <v>46232</v>
      </c>
      <c r="E3975" t="inlineStr">
        <is>
          <t>Fixxly</t>
        </is>
      </c>
      <c r="F3975" t="inlineStr">
        <is>
          <t>$5.5 Mn</t>
        </is>
      </c>
      <c r="G3975" s="19" t="n"/>
      <c r="H3975" s="19" t="n">
        <v>5.5</v>
      </c>
      <c r="I3975" t="inlineStr">
        <is>
          <t>Seed</t>
        </is>
      </c>
      <c r="J3975" t="inlineStr">
        <is>
          <t>Accel; Fireside Ventures; Lightspeed India Partners</t>
        </is>
      </c>
      <c r="K3975" t="inlineStr">
        <is>
          <t>https://inc42.com/buzz/from-freehand-to-sids-farms-indian-startups-raised-142-mn-this-week/</t>
        </is>
      </c>
    </row>
    <row r="3976">
      <c r="A3976" t="inlineStr">
        <is>
          <t>ET-132711294</t>
        </is>
      </c>
      <c r="B3976" t="inlineStr">
        <is>
          <t>R260729-freehand</t>
        </is>
      </c>
      <c r="C3976" t="inlineStr">
        <is>
          <t>The Economic Times</t>
        </is>
      </c>
      <c r="D3976" s="17" t="n">
        <v>46232</v>
      </c>
      <c r="E3976" t="inlineStr">
        <is>
          <t>Freehand</t>
        </is>
      </c>
      <c r="F3976" t="inlineStr">
        <is>
          <t>$75 million</t>
        </is>
      </c>
      <c r="G3976" s="19" t="n"/>
      <c r="H3976" s="19" t="n">
        <v>75</v>
      </c>
      <c r="I3976" t="inlineStr">
        <is>
          <t>Undisclosed</t>
        </is>
      </c>
      <c r="J3976" t="inlineStr">
        <is>
          <t>Battery Ventures; NewRoad Capital Partners</t>
        </is>
      </c>
      <c r="K3976" t="inlineStr">
        <is>
          <t>https://economictimes.indiatimes.com/tech/startups/ai-startup-freehand-raises-75-million-led-by-battery-ventures-newroad-nexus/articleshow/132711294.cms</t>
        </is>
      </c>
    </row>
    <row r="3977">
      <c r="A3977" t="inlineStr">
        <is>
          <t>INC-20260801-01</t>
        </is>
      </c>
      <c r="B3977" t="inlineStr">
        <is>
          <t>R260729-freehand</t>
        </is>
      </c>
      <c r="C3977" t="inlineStr">
        <is>
          <t>Inc42</t>
        </is>
      </c>
      <c r="D3977" s="17" t="n">
        <v>46232</v>
      </c>
      <c r="E3977" t="inlineStr">
        <is>
          <t>Freehand</t>
        </is>
      </c>
      <c r="F3977" t="inlineStr">
        <is>
          <t>$75 Mn</t>
        </is>
      </c>
      <c r="G3977" s="19" t="n"/>
      <c r="H3977" s="19" t="n">
        <v>75</v>
      </c>
      <c r="I3977" t="inlineStr">
        <is>
          <t>Undisclosed</t>
        </is>
      </c>
      <c r="J3977" t="inlineStr">
        <is>
          <t>Battery Ventures; NewRoad Capital Partners</t>
        </is>
      </c>
      <c r="K3977" t="inlineStr">
        <is>
          <t>https://inc42.com/buzz/from-freehand-to-sids-farms-indian-startups-raised-142-mn-this-week/</t>
        </is>
      </c>
    </row>
    <row r="3978">
      <c r="A3978" t="inlineStr">
        <is>
          <t>ENT-12208007</t>
        </is>
      </c>
      <c r="B3978" t="inlineStr">
        <is>
          <t>R260729-revspot</t>
        </is>
      </c>
      <c r="C3978" t="inlineStr">
        <is>
          <t>Entrackr</t>
        </is>
      </c>
      <c r="D3978" s="17" t="n">
        <v>46232</v>
      </c>
      <c r="E3978" t="inlineStr">
        <is>
          <t>Revspot</t>
        </is>
      </c>
      <c r="F3978" t="inlineStr">
        <is>
          <t>$4.8 million</t>
        </is>
      </c>
      <c r="G3978" s="19" t="n"/>
      <c r="H3978" s="19" t="n">
        <v>4.8</v>
      </c>
      <c r="I3978" t="inlineStr">
        <is>
          <t>Series A</t>
        </is>
      </c>
      <c r="J3978" t="inlineStr">
        <is>
          <t>Inflexor Ventures; Info Edge Ventures</t>
        </is>
      </c>
      <c r="K3978" t="inlineStr">
        <is>
          <t>https://entrackr.com/snippets/revspot-raises-48-mn-in-series-a-round-co-led-by-inflexor-info-edge-ventures-12208007</t>
        </is>
      </c>
    </row>
    <row r="3979">
      <c r="A3979" t="inlineStr">
        <is>
          <t>INC-20260801-07</t>
        </is>
      </c>
      <c r="B3979" t="inlineStr">
        <is>
          <t>R260729-revspot</t>
        </is>
      </c>
      <c r="C3979" t="inlineStr">
        <is>
          <t>Inc42</t>
        </is>
      </c>
      <c r="D3979" s="17" t="n">
        <v>46232</v>
      </c>
      <c r="E3979" t="inlineStr">
        <is>
          <t>Revspot</t>
        </is>
      </c>
      <c r="F3979" t="inlineStr">
        <is>
          <t>$4.8 Mn</t>
        </is>
      </c>
      <c r="G3979" s="19" t="n"/>
      <c r="H3979" s="19" t="n">
        <v>4.8</v>
      </c>
      <c r="I3979" t="inlineStr">
        <is>
          <t>Series A</t>
        </is>
      </c>
      <c r="J3979" t="inlineStr">
        <is>
          <t>Inflexor Ventures; Info Edge Ventures</t>
        </is>
      </c>
      <c r="K3979" t="inlineStr">
        <is>
          <t>https://inc42.com/buzz/from-freehand-to-sids-farms-indian-startups-raised-142-mn-this-week/</t>
        </is>
      </c>
    </row>
    <row r="3980">
      <c r="A3980" t="inlineStr">
        <is>
          <t>ENT-12213357</t>
        </is>
      </c>
      <c r="B3980" t="inlineStr">
        <is>
          <t>R260730-ahamhousingfin</t>
        </is>
      </c>
      <c r="C3980" t="inlineStr">
        <is>
          <t>Entrackr</t>
        </is>
      </c>
      <c r="D3980" s="17" t="n">
        <v>46233</v>
      </c>
      <c r="E3980" t="inlineStr">
        <is>
          <t>Aham Housing Finance</t>
        </is>
      </c>
      <c r="F3980" t="inlineStr">
        <is>
          <t>Rs 100 crore</t>
        </is>
      </c>
      <c r="G3980" s="19" t="n">
        <v>100</v>
      </c>
      <c r="H3980" s="19" t="n"/>
      <c r="I3980" t="inlineStr">
        <is>
          <t>Undisclosed</t>
        </is>
      </c>
      <c r="J3980" t="inlineStr">
        <is>
          <t>Sanmar Group</t>
        </is>
      </c>
      <c r="K3980" t="inlineStr">
        <is>
          <t>https://entrackr.com/snippets/aham-housing-finance-raises-rs-100-cr-led-by-sanmar-group-12213357</t>
        </is>
      </c>
    </row>
    <row r="3981">
      <c r="A3981" t="inlineStr">
        <is>
          <t>ENT-12211453</t>
        </is>
      </c>
      <c r="B3981" t="inlineStr">
        <is>
          <t>R260730-apnamart</t>
        </is>
      </c>
      <c r="C3981" t="inlineStr">
        <is>
          <t>Entrackr</t>
        </is>
      </c>
      <c r="D3981" s="17" t="n">
        <v>46233</v>
      </c>
      <c r="E3981" t="inlineStr">
        <is>
          <t>Apna Mart</t>
        </is>
      </c>
      <c r="F3981" t="inlineStr">
        <is>
          <t>Rs 120 crore</t>
        </is>
      </c>
      <c r="G3981" s="19" t="n">
        <v>120</v>
      </c>
      <c r="H3981" s="19" t="n">
        <v>12.7</v>
      </c>
      <c r="I3981" t="inlineStr">
        <is>
          <t>Series C</t>
        </is>
      </c>
      <c r="J3981" t="inlineStr">
        <is>
          <t>Accel India; Fundamentum</t>
        </is>
      </c>
      <c r="K3981" t="inlineStr">
        <is>
          <t>https://entrackr.com/news/apna-mart-raises-rs-120-cr-in-series-c-round-led-by-accel-fundamentum-12211453</t>
        </is>
      </c>
    </row>
    <row r="3982">
      <c r="A3982" t="inlineStr">
        <is>
          <t>ENT-12211900</t>
        </is>
      </c>
      <c r="B3982" t="inlineStr">
        <is>
          <t>R260730-arborealbioinn</t>
        </is>
      </c>
      <c r="C3982" t="inlineStr">
        <is>
          <t>Entrackr</t>
        </is>
      </c>
      <c r="D3982" s="17" t="n">
        <v>46233</v>
      </c>
      <c r="E3982" t="inlineStr">
        <is>
          <t>Arboreal Bioinnovations</t>
        </is>
      </c>
      <c r="F3982" t="inlineStr">
        <is>
          <t>Rs 230 crore</t>
        </is>
      </c>
      <c r="G3982" s="19" t="n">
        <v>230</v>
      </c>
      <c r="H3982" s="19" t="n">
        <v>24</v>
      </c>
      <c r="I3982" t="inlineStr">
        <is>
          <t>Series A</t>
        </is>
      </c>
      <c r="J3982" t="inlineStr">
        <is>
          <t>EAAA; Omnivore</t>
        </is>
      </c>
      <c r="K3982" t="inlineStr">
        <is>
          <t>https://entrackr.com/news/arboreal-bioinnovations-raises-rs-230-cr-in-series-a-led-by-edelweisss-eaaa-and-omnivore-12211900</t>
        </is>
      </c>
    </row>
    <row r="3983">
      <c r="A3983" t="inlineStr">
        <is>
          <t>ET-132742569</t>
        </is>
      </c>
      <c r="B3983" t="inlineStr">
        <is>
          <t>R260730-arborealbioinn</t>
        </is>
      </c>
      <c r="C3983" t="inlineStr">
        <is>
          <t>The Economic Times</t>
        </is>
      </c>
      <c r="D3983" s="17" t="n">
        <v>46233</v>
      </c>
      <c r="E3983" t="inlineStr">
        <is>
          <t>Arboreal Bioinnovations</t>
        </is>
      </c>
      <c r="F3983" t="inlineStr">
        <is>
          <t>Rs 230 crore</t>
        </is>
      </c>
      <c r="G3983" s="19" t="n">
        <v>230</v>
      </c>
      <c r="H3983" s="19" t="n">
        <v>24</v>
      </c>
      <c r="I3983" t="inlineStr">
        <is>
          <t>Series A</t>
        </is>
      </c>
      <c r="J3983" t="inlineStr">
        <is>
          <t>Edelweiss Alternatives' EAAA; Omnivore</t>
        </is>
      </c>
      <c r="K3983" t="inlineStr">
        <is>
          <t>https://economictimes.indiatimes.com/tech/funding/arboreal-bioinnovations-raises-rs-230-crore-led-by-edelweisss-eaaa-omnivore/articleshow/132742569.cms</t>
        </is>
      </c>
    </row>
    <row r="3984">
      <c r="A3984" t="inlineStr">
        <is>
          <t>INC-20260801-02</t>
        </is>
      </c>
      <c r="B3984" t="inlineStr">
        <is>
          <t>R260730-arborealbioinn</t>
        </is>
      </c>
      <c r="C3984" t="inlineStr">
        <is>
          <t>Inc42</t>
        </is>
      </c>
      <c r="D3984" s="17" t="n">
        <v>46233</v>
      </c>
      <c r="E3984" t="inlineStr">
        <is>
          <t>Arboreal Bioinnovations</t>
        </is>
      </c>
      <c r="F3984" t="inlineStr">
        <is>
          <t>$24 Mn</t>
        </is>
      </c>
      <c r="G3984" s="19" t="n"/>
      <c r="H3984" s="19" t="n">
        <v>24</v>
      </c>
      <c r="I3984" t="inlineStr">
        <is>
          <t>Series A</t>
        </is>
      </c>
      <c r="J3984" t="inlineStr">
        <is>
          <t>EAAA Alternatives; Omnivore</t>
        </is>
      </c>
      <c r="K3984" t="inlineStr">
        <is>
          <t>https://inc42.com/buzz/from-freehand-to-sids-farms-indian-startups-raised-142-mn-this-week/</t>
        </is>
      </c>
    </row>
    <row r="3985">
      <c r="A3985" t="inlineStr">
        <is>
          <t>ENT-12211387</t>
        </is>
      </c>
      <c r="B3985" t="inlineStr">
        <is>
          <t>R260730-sidfarm</t>
        </is>
      </c>
      <c r="C3985" t="inlineStr">
        <is>
          <t>Entrackr</t>
        </is>
      </c>
      <c r="D3985" s="17" t="n">
        <v>46233</v>
      </c>
      <c r="E3985" t="inlineStr">
        <is>
          <t>Sid’s Farm</t>
        </is>
      </c>
      <c r="F3985" t="inlineStr">
        <is>
          <t>Rs 81 crore</t>
        </is>
      </c>
      <c r="G3985" s="19" t="n">
        <v>81</v>
      </c>
      <c r="H3985" s="19" t="n">
        <v>8.4</v>
      </c>
      <c r="I3985" t="inlineStr">
        <is>
          <t>Pre-Series B</t>
        </is>
      </c>
      <c r="J3985" t="inlineStr">
        <is>
          <t>Omnivore; NSFO; Dodla Dairy; Next Bharat Ventures; LIO</t>
        </is>
      </c>
      <c r="K3985" t="inlineStr">
        <is>
          <t>https://entrackr.com/news/sids-farm-raises-over-rs-81-cr-in-pre-series-b-round-12211387</t>
        </is>
      </c>
    </row>
    <row r="3986">
      <c r="A3986" t="inlineStr">
        <is>
          <t>ET-132733439</t>
        </is>
      </c>
      <c r="B3986" t="inlineStr">
        <is>
          <t>R260730-sidfarm</t>
        </is>
      </c>
      <c r="C3986" t="inlineStr">
        <is>
          <t>The Economic Times</t>
        </is>
      </c>
      <c r="D3986" s="17" t="n">
        <v>46233</v>
      </c>
      <c r="E3986" t="inlineStr">
        <is>
          <t>Sid’s Farm</t>
        </is>
      </c>
      <c r="F3986" t="inlineStr">
        <is>
          <t>$8.4 million</t>
        </is>
      </c>
      <c r="G3986" s="19" t="n">
        <v>81</v>
      </c>
      <c r="H3986" s="19" t="n">
        <v>8.4</v>
      </c>
      <c r="I3986" t="inlineStr">
        <is>
          <t>Undisclosed</t>
        </is>
      </c>
      <c r="J3986" t="inlineStr"/>
      <c r="K3986" t="inlineStr">
        <is>
          <t>https://economictimes.indiatimes.com/tech/funding/sids-farm-raises-8-4-million-to-expand-into-new-markets/articleshow/132733439.cms</t>
        </is>
      </c>
    </row>
    <row r="3987">
      <c r="A3987" t="inlineStr">
        <is>
          <t>INC-20260801-04</t>
        </is>
      </c>
      <c r="B3987" t="inlineStr">
        <is>
          <t>R260730-sidfarm</t>
        </is>
      </c>
      <c r="C3987" t="inlineStr">
        <is>
          <t>Inc42</t>
        </is>
      </c>
      <c r="D3987" s="17" t="n">
        <v>46233</v>
      </c>
      <c r="E3987" t="inlineStr">
        <is>
          <t>Sid’s Farm</t>
        </is>
      </c>
      <c r="F3987" t="inlineStr">
        <is>
          <t>$8.5 Mn</t>
        </is>
      </c>
      <c r="G3987" s="19" t="n"/>
      <c r="H3987" s="19" t="n">
        <v>8.5</v>
      </c>
      <c r="I3987" t="inlineStr">
        <is>
          <t>Pre-Series B</t>
        </is>
      </c>
      <c r="J3987" t="inlineStr"/>
      <c r="K3987" t="inlineStr">
        <is>
          <t>https://inc42.com/buzz/from-freehand-to-sids-farms-indian-startups-raised-142-mn-this-week/</t>
        </is>
      </c>
    </row>
    <row r="3988">
      <c r="A3988" t="inlineStr">
        <is>
          <t>ENT-12210797</t>
        </is>
      </c>
      <c r="B3988" t="inlineStr">
        <is>
          <t>R260730-suind</t>
        </is>
      </c>
      <c r="C3988" t="inlineStr">
        <is>
          <t>Entrackr</t>
        </is>
      </c>
      <c r="D3988" s="17" t="n">
        <v>46233</v>
      </c>
      <c r="E3988" t="inlineStr">
        <is>
          <t>SUIND</t>
        </is>
      </c>
      <c r="F3988" t="inlineStr">
        <is>
          <t>Rs 20.5 crore</t>
        </is>
      </c>
      <c r="G3988" s="19" t="n">
        <v>20.5</v>
      </c>
      <c r="H3988" s="19" t="n">
        <v>2.2</v>
      </c>
      <c r="I3988" t="inlineStr">
        <is>
          <t>Seed</t>
        </is>
      </c>
      <c r="J3988" t="inlineStr">
        <is>
          <t>Transition VC</t>
        </is>
      </c>
      <c r="K3988" t="inlineStr">
        <is>
          <t>https://entrackr.com/snippets/drone-startup-suind-raises-rs-205-cr-in-seed-round-led-by-transition-vc-12210797</t>
        </is>
      </c>
    </row>
    <row r="3989">
      <c r="A3989" t="inlineStr">
        <is>
          <t>ET-132730252</t>
        </is>
      </c>
      <c r="B3989" t="inlineStr">
        <is>
          <t>R260730-suind</t>
        </is>
      </c>
      <c r="C3989" t="inlineStr">
        <is>
          <t>The Economic Times</t>
        </is>
      </c>
      <c r="D3989" s="17" t="n">
        <v>46233</v>
      </c>
      <c r="E3989" t="inlineStr">
        <is>
          <t>SUIND</t>
        </is>
      </c>
      <c r="F3989" t="inlineStr">
        <is>
          <t>Rs 20.5 crore</t>
        </is>
      </c>
      <c r="G3989" s="19" t="n">
        <v>20.5</v>
      </c>
      <c r="H3989" s="19" t="n"/>
      <c r="I3989" t="inlineStr">
        <is>
          <t>Undisclosed</t>
        </is>
      </c>
      <c r="J3989" t="inlineStr">
        <is>
          <t>Transition VC</t>
        </is>
      </c>
      <c r="K3989" t="inlineStr">
        <is>
          <t>https://economictimes.indiatimes.com/tech/startups/drone-startup-suind-raises-rs-20-5-crore-funding-from-transition-vc-iima-ventures/articleshow/132730252.cms</t>
        </is>
      </c>
    </row>
    <row r="3990">
      <c r="A3990" t="inlineStr">
        <is>
          <t>INC-20260801-08</t>
        </is>
      </c>
      <c r="B3990" t="inlineStr">
        <is>
          <t>R260730-suind</t>
        </is>
      </c>
      <c r="C3990" t="inlineStr">
        <is>
          <t>Inc42</t>
        </is>
      </c>
      <c r="D3990" s="17" t="n">
        <v>46233</v>
      </c>
      <c r="E3990" t="inlineStr">
        <is>
          <t>SUIND</t>
        </is>
      </c>
      <c r="F3990" t="inlineStr">
        <is>
          <t>$2.1 Mn</t>
        </is>
      </c>
      <c r="G3990" s="19" t="n"/>
      <c r="H3990" s="19" t="n">
        <v>2.1</v>
      </c>
      <c r="I3990" t="inlineStr">
        <is>
          <t>Seed</t>
        </is>
      </c>
      <c r="J3990" t="inlineStr">
        <is>
          <t>Transition VC</t>
        </is>
      </c>
      <c r="K3990" t="inlineStr">
        <is>
          <t>https://inc42.com/buzz/from-freehand-to-sids-farms-indian-startups-raised-142-mn-this-week/</t>
        </is>
      </c>
    </row>
    <row r="3991">
      <c r="A3991" t="inlineStr">
        <is>
          <t>ENT-12212591</t>
        </is>
      </c>
      <c r="B3991" t="inlineStr">
        <is>
          <t>R260730-truthandhair</t>
        </is>
      </c>
      <c r="C3991" t="inlineStr">
        <is>
          <t>Entrackr</t>
        </is>
      </c>
      <c r="D3991" s="17" t="n">
        <v>46233</v>
      </c>
      <c r="E3991" t="inlineStr">
        <is>
          <t>Truth &amp; Hair</t>
        </is>
      </c>
      <c r="F3991" t="inlineStr">
        <is>
          <t>Rs 5.4 crore</t>
        </is>
      </c>
      <c r="G3991" s="19" t="n">
        <v>5.4</v>
      </c>
      <c r="H3991" s="19" t="n"/>
      <c r="I3991" t="inlineStr">
        <is>
          <t>Seed</t>
        </is>
      </c>
      <c r="J3991" t="inlineStr">
        <is>
          <t>Inflection Point Ventures</t>
        </is>
      </c>
      <c r="K3991" t="inlineStr">
        <is>
          <t>https://entrackr.com/snippets/ipv-leads-seed-round-in-hair-beauty-and-styling-brand-truth-hair-12212591</t>
        </is>
      </c>
    </row>
    <row r="3992">
      <c r="A3992" t="inlineStr">
        <is>
          <t>INC-20260801-11</t>
        </is>
      </c>
      <c r="B3992" t="inlineStr">
        <is>
          <t>R260730-truthandhair</t>
        </is>
      </c>
      <c r="C3992" t="inlineStr">
        <is>
          <t>Inc42</t>
        </is>
      </c>
      <c r="D3992" s="17" t="n">
        <v>46233</v>
      </c>
      <c r="E3992" t="inlineStr">
        <is>
          <t>Truth &amp; Hair</t>
        </is>
      </c>
      <c r="F3992" t="inlineStr">
        <is>
          <t>$566K</t>
        </is>
      </c>
      <c r="G3992" s="19" t="n"/>
      <c r="H3992" s="19" t="n">
        <v>0.5659999999999999</v>
      </c>
      <c r="I3992" t="inlineStr">
        <is>
          <t>Seed</t>
        </is>
      </c>
      <c r="J3992" t="inlineStr">
        <is>
          <t>Inflection Point Ventures</t>
        </is>
      </c>
      <c r="K3992" t="inlineStr">
        <is>
          <t>https://inc42.com/buzz/from-freehand-to-sids-farms-indian-startups-raised-142-mn-this-week/</t>
        </is>
      </c>
    </row>
    <row r="3993">
      <c r="A3993" t="inlineStr">
        <is>
          <t>INC-20260801-03</t>
        </is>
      </c>
      <c r="B3993" t="inlineStr">
        <is>
          <t>R260731-smallestai</t>
        </is>
      </c>
      <c r="C3993" t="inlineStr">
        <is>
          <t>Inc42</t>
        </is>
      </c>
      <c r="D3993" s="17" t="n">
        <v>46234</v>
      </c>
      <c r="E3993" t="inlineStr">
        <is>
          <t>Smallest.ai</t>
        </is>
      </c>
      <c r="F3993" t="inlineStr">
        <is>
          <t>$13 Mn</t>
        </is>
      </c>
      <c r="G3993" s="19" t="n"/>
      <c r="H3993" s="19" t="n">
        <v>13</v>
      </c>
      <c r="I3993" t="inlineStr">
        <is>
          <t>Series A</t>
        </is>
      </c>
      <c r="J3993" t="inlineStr">
        <is>
          <t>Seligman Ventures</t>
        </is>
      </c>
      <c r="K3993" t="inlineStr">
        <is>
          <t>https://inc42.com/buzz/from-freehand-to-sids-farms-indian-startups-raised-142-mn-this-week/</t>
        </is>
      </c>
    </row>
    <row r="3994">
      <c r="A3994" t="inlineStr">
        <is>
          <t>INC-20260905-06</t>
        </is>
      </c>
      <c r="B3994" t="inlineStr">
        <is>
          <t>R260801-kepleraerospac</t>
        </is>
      </c>
      <c r="C3994" t="inlineStr">
        <is>
          <t>Inc42</t>
        </is>
      </c>
      <c r="D3994" s="17" t="n">
        <v>46235</v>
      </c>
      <c r="E3994" t="inlineStr">
        <is>
          <t>Kepler Aerospace</t>
        </is>
      </c>
      <c r="F3994" t="inlineStr">
        <is>
          <t>$8 Mn</t>
        </is>
      </c>
      <c r="G3994" s="19" t="n"/>
      <c r="H3994" s="19" t="n">
        <v>8</v>
      </c>
      <c r="I3994" t="inlineStr">
        <is>
          <t>Seed</t>
        </is>
      </c>
      <c r="J3994" t="inlineStr">
        <is>
          <t>Blue Ashva Capital</t>
        </is>
      </c>
      <c r="K3994" t="inlineStr">
        <is>
          <t>https://inc42.com/buzz/from-ultrahuman-to-comet-indian-startups-raised-over-177-mn-this-week/</t>
        </is>
      </c>
    </row>
    <row r="3995">
      <c r="A3995" t="inlineStr">
        <is>
          <t>ENT-12223166</t>
        </is>
      </c>
      <c r="B3995" t="inlineStr">
        <is>
          <t>R260803-kaapimachines</t>
        </is>
      </c>
      <c r="C3995" t="inlineStr">
        <is>
          <t>Entrackr</t>
        </is>
      </c>
      <c r="D3995" s="17" t="n">
        <v>46237</v>
      </c>
      <c r="E3995" t="inlineStr">
        <is>
          <t>Kaapi Machines</t>
        </is>
      </c>
      <c r="F3995" t="inlineStr">
        <is>
          <t>Rs 50 crore</t>
        </is>
      </c>
      <c r="G3995" s="19" t="n">
        <v>50</v>
      </c>
      <c r="H3995" s="19" t="n"/>
      <c r="I3995" t="inlineStr">
        <is>
          <t>Undisclosed</t>
        </is>
      </c>
      <c r="J3995" t="inlineStr"/>
      <c r="K3995" t="inlineStr">
        <is>
          <t>https://entrackr.com/snippets/coffee-equipment-and-services-provider-kaapi-machines-raises-rs-50-cr-from-sedna-horeca-12223166</t>
        </is>
      </c>
    </row>
    <row r="3996">
      <c r="A3996" t="inlineStr">
        <is>
          <t>ENT-12223669</t>
        </is>
      </c>
      <c r="B3996" t="inlineStr">
        <is>
          <t>R260803-matel</t>
        </is>
      </c>
      <c r="C3996" t="inlineStr">
        <is>
          <t>Entrackr</t>
        </is>
      </c>
      <c r="D3996" s="17" t="n">
        <v>46237</v>
      </c>
      <c r="E3996" t="inlineStr">
        <is>
          <t>Matel</t>
        </is>
      </c>
      <c r="F3996" t="inlineStr">
        <is>
          <t>Rs 130 crore</t>
        </is>
      </c>
      <c r="G3996" s="19" t="n">
        <v>130</v>
      </c>
      <c r="H3996" s="19" t="n">
        <v>15</v>
      </c>
      <c r="I3996" t="inlineStr">
        <is>
          <t>Series B</t>
        </is>
      </c>
      <c r="J3996" t="inlineStr">
        <is>
          <t>UC Impower</t>
        </is>
      </c>
      <c r="K3996" t="inlineStr">
        <is>
          <t>https://entrackr.com/news/transition-vc-backed-matel-raises-rs-130-cr-in-series-b-round-led-by-uc-impower-12223669</t>
        </is>
      </c>
    </row>
    <row r="3997">
      <c r="A3997" t="inlineStr">
        <is>
          <t>ET-132832699</t>
        </is>
      </c>
      <c r="B3997" t="inlineStr">
        <is>
          <t>R260803-matel</t>
        </is>
      </c>
      <c r="C3997" t="inlineStr">
        <is>
          <t>The Economic Times</t>
        </is>
      </c>
      <c r="D3997" s="17" t="n">
        <v>46237</v>
      </c>
      <c r="E3997" t="inlineStr">
        <is>
          <t>Matel</t>
        </is>
      </c>
      <c r="F3997" t="inlineStr">
        <is>
          <t>Rs 130 crore</t>
        </is>
      </c>
      <c r="G3997" s="19" t="n">
        <v>130</v>
      </c>
      <c r="H3997" s="19" t="n"/>
      <c r="I3997" t="inlineStr">
        <is>
          <t>Undisclosed</t>
        </is>
      </c>
      <c r="J3997" t="inlineStr">
        <is>
          <t>UC Impower</t>
        </is>
      </c>
      <c r="K3997" t="inlineStr">
        <is>
          <t>https://economictimes.indiatimes.com/tech/funding/ev-powertrain-maker-matel-raises-rs-130-crore-in-uc-impower-led-round/articleshow/132832699.cms</t>
        </is>
      </c>
    </row>
    <row r="3998">
      <c r="A3998" t="inlineStr">
        <is>
          <t>INC-20260808-04</t>
        </is>
      </c>
      <c r="B3998" t="inlineStr">
        <is>
          <t>R260803-matel</t>
        </is>
      </c>
      <c r="C3998" t="inlineStr">
        <is>
          <t>Inc42</t>
        </is>
      </c>
      <c r="D3998" s="17" t="n">
        <v>46237</v>
      </c>
      <c r="E3998" t="inlineStr">
        <is>
          <t>Matel Motion &amp; Energy Solutions</t>
        </is>
      </c>
      <c r="F3998" t="inlineStr">
        <is>
          <t>$13.6 Mn</t>
        </is>
      </c>
      <c r="G3998" s="19" t="n"/>
      <c r="H3998" s="19" t="n">
        <v>13.6</v>
      </c>
      <c r="I3998" t="inlineStr">
        <is>
          <t>Series B</t>
        </is>
      </c>
      <c r="J3998" t="inlineStr">
        <is>
          <t>UC Impower</t>
        </is>
      </c>
      <c r="K3998" t="inlineStr">
        <is>
          <t>https://inc42.com/buzz/from-river-mobility-to-blissclub-indian-startups-raised-274-mn-this-week/</t>
        </is>
      </c>
    </row>
    <row r="3999">
      <c r="A3999" t="inlineStr">
        <is>
          <t>ENT-12222755</t>
        </is>
      </c>
      <c r="B3999" t="inlineStr">
        <is>
          <t>R260803-roadgrid</t>
        </is>
      </c>
      <c r="C3999" t="inlineStr">
        <is>
          <t>Entrackr</t>
        </is>
      </c>
      <c r="D3999" s="17" t="n">
        <v>46237</v>
      </c>
      <c r="E3999" t="inlineStr">
        <is>
          <t>RoadGrid</t>
        </is>
      </c>
      <c r="F3999" t="inlineStr">
        <is>
          <t>Rs 13 crore</t>
        </is>
      </c>
      <c r="G3999" s="19" t="n">
        <v>13</v>
      </c>
      <c r="H3999" s="19" t="n"/>
      <c r="I3999" t="inlineStr">
        <is>
          <t>Undisclosed</t>
        </is>
      </c>
      <c r="J3999" t="inlineStr"/>
      <c r="K3999" t="inlineStr">
        <is>
          <t>https://entrackr.com/snippets/ev-charging-startup-roadgrid-secures-rs-13-cr-from-technology-development-board-12222755</t>
        </is>
      </c>
    </row>
    <row r="4000">
      <c r="A4000" t="inlineStr">
        <is>
          <t>INC-20260808-18</t>
        </is>
      </c>
      <c r="B4000" t="inlineStr">
        <is>
          <t>R260803-roadgrid</t>
        </is>
      </c>
      <c r="C4000" t="inlineStr">
        <is>
          <t>Inc42</t>
        </is>
      </c>
      <c r="D4000" s="17" t="n">
        <v>46237</v>
      </c>
      <c r="E4000" t="inlineStr">
        <is>
          <t>RoadGrid</t>
        </is>
      </c>
      <c r="F4000" t="inlineStr">
        <is>
          <t>$1.4 Mn</t>
        </is>
      </c>
      <c r="G4000" s="19" t="n"/>
      <c r="H4000" s="19" t="n">
        <v>1.4</v>
      </c>
      <c r="I4000" t="inlineStr">
        <is>
          <t>Undisclosed</t>
        </is>
      </c>
      <c r="J4000" t="inlineStr">
        <is>
          <t>Technology Development Board</t>
        </is>
      </c>
      <c r="K4000" t="inlineStr">
        <is>
          <t>https://inc42.com/buzz/from-river-mobility-to-blissclub-indian-startups-raised-274-mn-this-week/</t>
        </is>
      </c>
    </row>
    <row r="4001">
      <c r="A4001" t="inlineStr">
        <is>
          <t>INC-20260808-22</t>
        </is>
      </c>
      <c r="B4001" t="inlineStr">
        <is>
          <t>R260803-unbloc</t>
        </is>
      </c>
      <c r="C4001" t="inlineStr">
        <is>
          <t>Inc42</t>
        </is>
      </c>
      <c r="D4001" s="17" t="n">
        <v>46237</v>
      </c>
      <c r="E4001" t="inlineStr">
        <is>
          <t>UN:BLOC</t>
        </is>
      </c>
      <c r="F4001" t="inlineStr"/>
      <c r="G4001" s="19" t="n"/>
      <c r="H4001" s="19" t="n"/>
      <c r="I4001" t="inlineStr">
        <is>
          <t>Undisclosed</t>
        </is>
      </c>
      <c r="J4001" t="inlineStr">
        <is>
          <t>Yuvraj Singh</t>
        </is>
      </c>
      <c r="K4001" t="inlineStr">
        <is>
          <t>https://inc42.com/buzz/from-river-mobility-to-blissclub-indian-startups-raised-274-mn-this-week/</t>
        </is>
      </c>
    </row>
    <row r="4002">
      <c r="A4002" t="inlineStr">
        <is>
          <t>ENT-12226948</t>
        </is>
      </c>
      <c r="B4002" t="inlineStr">
        <is>
          <t>R260804-getvantage</t>
        </is>
      </c>
      <c r="C4002" t="inlineStr">
        <is>
          <t>Entrackr</t>
        </is>
      </c>
      <c r="D4002" s="17" t="n">
        <v>46238</v>
      </c>
      <c r="E4002" t="inlineStr">
        <is>
          <t>GetVantage</t>
        </is>
      </c>
      <c r="F4002" t="inlineStr">
        <is>
          <t>Rs 63 crore</t>
        </is>
      </c>
      <c r="G4002" s="19" t="n">
        <v>63</v>
      </c>
      <c r="H4002" s="19" t="n">
        <v>6.6</v>
      </c>
      <c r="I4002" t="inlineStr">
        <is>
          <t>Series A</t>
        </is>
      </c>
      <c r="J4002" t="inlineStr">
        <is>
          <t>Rajeev Ahuja; SanRaj Group</t>
        </is>
      </c>
      <c r="K4002" t="inlineStr">
        <is>
          <t>https://entrackr.com/snippets/getvantage-secures-rs-63-cr-in-series-a1-round-12226948</t>
        </is>
      </c>
    </row>
    <row r="4003">
      <c r="A4003" t="inlineStr">
        <is>
          <t>ET-132862983</t>
        </is>
      </c>
      <c r="B4003" t="inlineStr">
        <is>
          <t>R260804-getvantage</t>
        </is>
      </c>
      <c r="C4003" t="inlineStr">
        <is>
          <t>The Economic Times</t>
        </is>
      </c>
      <c r="D4003" s="17" t="n">
        <v>46238</v>
      </c>
      <c r="E4003" t="inlineStr">
        <is>
          <t>GetVantage</t>
        </is>
      </c>
      <c r="F4003" t="inlineStr">
        <is>
          <t>Rs 63 crore</t>
        </is>
      </c>
      <c r="G4003" s="19" t="n">
        <v>63</v>
      </c>
      <c r="H4003" s="19" t="n"/>
      <c r="I4003" t="inlineStr">
        <is>
          <t>Undisclosed</t>
        </is>
      </c>
      <c r="J4003" t="inlineStr">
        <is>
          <t>Rajeev Ahuja; SanRaj Group</t>
        </is>
      </c>
      <c r="K4003" t="inlineStr">
        <is>
          <t>https://economictimes.indiatimes.com/tech/startups/cash-flow-financing-firm-getvantage-raises-rs-63-crore-in-equity-debt/articleshow/132862983.cms</t>
        </is>
      </c>
    </row>
    <row r="4004">
      <c r="A4004" t="inlineStr">
        <is>
          <t>INC-20260808-09</t>
        </is>
      </c>
      <c r="B4004" t="inlineStr">
        <is>
          <t>R260804-getvantage</t>
        </is>
      </c>
      <c r="C4004" t="inlineStr">
        <is>
          <t>Inc42</t>
        </is>
      </c>
      <c r="D4004" s="17" t="n">
        <v>46238</v>
      </c>
      <c r="E4004" t="inlineStr">
        <is>
          <t>GetVantage</t>
        </is>
      </c>
      <c r="F4004" t="inlineStr">
        <is>
          <t>$6.6 Mn</t>
        </is>
      </c>
      <c r="G4004" s="19" t="n"/>
      <c r="H4004" s="19" t="n">
        <v>6.6</v>
      </c>
      <c r="I4004" t="inlineStr">
        <is>
          <t>Series A</t>
        </is>
      </c>
      <c r="J4004" t="inlineStr">
        <is>
          <t>Rajeev Ahuja; SanRaj Group</t>
        </is>
      </c>
      <c r="K4004" t="inlineStr">
        <is>
          <t>https://inc42.com/buzz/from-river-mobility-to-blissclub-indian-startups-raised-274-mn-this-week/</t>
        </is>
      </c>
    </row>
    <row r="4005">
      <c r="A4005" t="inlineStr">
        <is>
          <t>ENT-12225876</t>
        </is>
      </c>
      <c r="B4005" t="inlineStr">
        <is>
          <t>R260804-kily</t>
        </is>
      </c>
      <c r="C4005" t="inlineStr">
        <is>
          <t>Entrackr</t>
        </is>
      </c>
      <c r="D4005" s="17" t="n">
        <v>46238</v>
      </c>
      <c r="E4005" t="inlineStr">
        <is>
          <t>Kily</t>
        </is>
      </c>
      <c r="F4005" t="inlineStr">
        <is>
          <t>Rs 30 crore</t>
        </is>
      </c>
      <c r="G4005" s="19" t="n">
        <v>30</v>
      </c>
      <c r="H4005" s="19" t="n">
        <v>3.1</v>
      </c>
      <c r="I4005" t="inlineStr">
        <is>
          <t>Undisclosed</t>
        </is>
      </c>
      <c r="J4005" t="inlineStr">
        <is>
          <t>Sorin Investments</t>
        </is>
      </c>
      <c r="K4005" t="inlineStr">
        <is>
          <t>https://entrackr.com/snippets/agentic-ai-startup-kily-raises-rs-30-cr-in-round-led-by-sorin-investments-12225876</t>
        </is>
      </c>
    </row>
    <row r="4006">
      <c r="A4006" t="inlineStr">
        <is>
          <t>ET-132850014</t>
        </is>
      </c>
      <c r="B4006" t="inlineStr">
        <is>
          <t>R260804-kily</t>
        </is>
      </c>
      <c r="C4006" t="inlineStr">
        <is>
          <t>The Economic Times</t>
        </is>
      </c>
      <c r="D4006" s="17" t="n">
        <v>46238</v>
      </c>
      <c r="E4006" t="inlineStr">
        <is>
          <t>Kily</t>
        </is>
      </c>
      <c r="F4006" t="inlineStr">
        <is>
          <t>Rs 30 crore</t>
        </is>
      </c>
      <c r="G4006" s="19" t="n">
        <v>30</v>
      </c>
      <c r="H4006" s="19" t="n"/>
      <c r="I4006" t="inlineStr">
        <is>
          <t>Undisclosed</t>
        </is>
      </c>
      <c r="J4006" t="inlineStr"/>
      <c r="K4006" t="inlineStr">
        <is>
          <t>https://economictimes.indiatimes.com/tech/funding/ai-startup-kily-secures-rs-30-crore-from-sorin-razorpay-wyser/articleshow/132850014.cms</t>
        </is>
      </c>
    </row>
    <row r="4007">
      <c r="A4007" t="inlineStr">
        <is>
          <t>INC-20260808-12</t>
        </is>
      </c>
      <c r="B4007" t="inlineStr">
        <is>
          <t>R260804-kily</t>
        </is>
      </c>
      <c r="C4007" t="inlineStr">
        <is>
          <t>Inc42</t>
        </is>
      </c>
      <c r="D4007" s="17" t="n">
        <v>46238</v>
      </c>
      <c r="E4007" t="inlineStr">
        <is>
          <t>Kily</t>
        </is>
      </c>
      <c r="F4007" t="inlineStr">
        <is>
          <t>$3.2 Mn</t>
        </is>
      </c>
      <c r="G4007" s="19" t="n"/>
      <c r="H4007" s="19" t="n">
        <v>3.2</v>
      </c>
      <c r="I4007" t="inlineStr">
        <is>
          <t>Undisclosed</t>
        </is>
      </c>
      <c r="J4007" t="inlineStr">
        <is>
          <t>Sorin Investments</t>
        </is>
      </c>
      <c r="K4007" t="inlineStr">
        <is>
          <t>https://inc42.com/buzz/from-river-mobility-to-blissclub-indian-startups-raised-274-mn-this-week/</t>
        </is>
      </c>
    </row>
    <row r="4008">
      <c r="A4008" t="inlineStr">
        <is>
          <t>ENT-12227113</t>
        </is>
      </c>
      <c r="B4008" t="inlineStr">
        <is>
          <t>R260804-nyai</t>
        </is>
      </c>
      <c r="C4008" t="inlineStr">
        <is>
          <t>Entrackr</t>
        </is>
      </c>
      <c r="D4008" s="17" t="n">
        <v>46238</v>
      </c>
      <c r="E4008" t="inlineStr">
        <is>
          <t>NYAI</t>
        </is>
      </c>
      <c r="F4008" t="inlineStr">
        <is>
          <t>$1.5 million</t>
        </is>
      </c>
      <c r="G4008" s="19" t="n">
        <v>13</v>
      </c>
      <c r="H4008" s="19" t="n">
        <v>1.5</v>
      </c>
      <c r="I4008" t="inlineStr">
        <is>
          <t>Seed</t>
        </is>
      </c>
      <c r="J4008" t="inlineStr"/>
      <c r="K4008" t="inlineStr">
        <is>
          <t>https://entrackr.com/snippets/legal-tech-startup-nyai-raises-15-mn-in-seed-round-12227113</t>
        </is>
      </c>
    </row>
    <row r="4009">
      <c r="A4009" t="inlineStr">
        <is>
          <t>INC-20260808-17</t>
        </is>
      </c>
      <c r="B4009" t="inlineStr">
        <is>
          <t>R260804-nyai</t>
        </is>
      </c>
      <c r="C4009" t="inlineStr">
        <is>
          <t>Inc42</t>
        </is>
      </c>
      <c r="D4009" s="17" t="n">
        <v>46238</v>
      </c>
      <c r="E4009" t="inlineStr">
        <is>
          <t>NYAI</t>
        </is>
      </c>
      <c r="F4009" t="inlineStr">
        <is>
          <t>$1.5 Mn</t>
        </is>
      </c>
      <c r="G4009" s="19" t="n"/>
      <c r="H4009" s="19" t="n">
        <v>1.5</v>
      </c>
      <c r="I4009" t="inlineStr">
        <is>
          <t>Seed</t>
        </is>
      </c>
      <c r="J4009" t="inlineStr"/>
      <c r="K4009" t="inlineStr">
        <is>
          <t>https://inc42.com/buzz/from-river-mobility-to-blissclub-indian-startups-raised-274-mn-this-week/</t>
        </is>
      </c>
    </row>
    <row r="4010">
      <c r="A4010" t="inlineStr">
        <is>
          <t>ENT-12225874</t>
        </is>
      </c>
      <c r="B4010" t="inlineStr">
        <is>
          <t>R260804-profound</t>
        </is>
      </c>
      <c r="C4010" t="inlineStr">
        <is>
          <t>Entrackr</t>
        </is>
      </c>
      <c r="D4010" s="17" t="n">
        <v>46238</v>
      </c>
      <c r="E4010" t="inlineStr">
        <is>
          <t>Profound</t>
        </is>
      </c>
      <c r="F4010" t="inlineStr">
        <is>
          <t>$1.5 million</t>
        </is>
      </c>
      <c r="G4010" s="19" t="n"/>
      <c r="H4010" s="19" t="n">
        <v>1.5</v>
      </c>
      <c r="I4010" t="inlineStr">
        <is>
          <t>Seed</t>
        </is>
      </c>
      <c r="J4010" t="inlineStr"/>
      <c r="K4010" t="inlineStr">
        <is>
          <t>https://entrackr.com/snippets/former-swiggy-zomato-executives-launch-ai-startup-profound-with-15-mn-seed-round-12225874</t>
        </is>
      </c>
    </row>
    <row r="4011">
      <c r="A4011" t="inlineStr">
        <is>
          <t>INC-20260808-16</t>
        </is>
      </c>
      <c r="B4011" t="inlineStr">
        <is>
          <t>R260804-profound</t>
        </is>
      </c>
      <c r="C4011" t="inlineStr">
        <is>
          <t>Inc42</t>
        </is>
      </c>
      <c r="D4011" s="17" t="n">
        <v>46238</v>
      </c>
      <c r="E4011" t="inlineStr">
        <is>
          <t>Profound</t>
        </is>
      </c>
      <c r="F4011" t="inlineStr">
        <is>
          <t>$1.5 Mn</t>
        </is>
      </c>
      <c r="G4011" s="19" t="n"/>
      <c r="H4011" s="19" t="n">
        <v>1.5</v>
      </c>
      <c r="I4011" t="inlineStr">
        <is>
          <t>Seed</t>
        </is>
      </c>
      <c r="J4011" t="inlineStr">
        <is>
          <t>Stellaris Venture Partners; 3one4 Capital</t>
        </is>
      </c>
      <c r="K4011" t="inlineStr">
        <is>
          <t>https://inc42.com/buzz/from-river-mobility-to-blissclub-indian-startups-raised-274-mn-this-week/</t>
        </is>
      </c>
    </row>
    <row r="4012">
      <c r="A4012" t="inlineStr">
        <is>
          <t>ENT-12226051</t>
        </is>
      </c>
      <c r="B4012" t="inlineStr">
        <is>
          <t>R260804-superleap</t>
        </is>
      </c>
      <c r="C4012" t="inlineStr">
        <is>
          <t>Entrackr</t>
        </is>
      </c>
      <c r="D4012" s="17" t="n">
        <v>46238</v>
      </c>
      <c r="E4012" t="inlineStr">
        <is>
          <t>Superleap</t>
        </is>
      </c>
      <c r="F4012" t="inlineStr">
        <is>
          <t>Rs 36 crore</t>
        </is>
      </c>
      <c r="G4012" s="19" t="n">
        <v>36</v>
      </c>
      <c r="H4012" s="19" t="n">
        <v>3.7</v>
      </c>
      <c r="I4012" t="inlineStr">
        <is>
          <t>Pre-Series A</t>
        </is>
      </c>
      <c r="J4012" t="inlineStr">
        <is>
          <t>Surge</t>
        </is>
      </c>
      <c r="K4012" t="inlineStr">
        <is>
          <t>https://entrackr.com/snippets/superleap-raises-rs-36-cr-in-pre-series-a-round-led-by-peak-xvs-surge-12226051</t>
        </is>
      </c>
    </row>
    <row r="4013">
      <c r="A4013" t="inlineStr">
        <is>
          <t>ET-132846809</t>
        </is>
      </c>
      <c r="B4013" t="inlineStr">
        <is>
          <t>R260804-superleap</t>
        </is>
      </c>
      <c r="C4013" t="inlineStr">
        <is>
          <t>The Economic Times</t>
        </is>
      </c>
      <c r="D4013" s="17" t="n">
        <v>46238</v>
      </c>
      <c r="E4013" t="inlineStr">
        <is>
          <t>Superleap</t>
        </is>
      </c>
      <c r="F4013" t="inlineStr">
        <is>
          <t>Rs 36 crore</t>
        </is>
      </c>
      <c r="G4013" s="19" t="n">
        <v>36</v>
      </c>
      <c r="H4013" s="19" t="n"/>
      <c r="I4013" t="inlineStr">
        <is>
          <t>Undisclosed</t>
        </is>
      </c>
      <c r="J4013" t="inlineStr"/>
      <c r="K4013" t="inlineStr">
        <is>
          <t>https://economictimes.indiatimes.com/tech/funding/enterprise-ai-crm-startup-superleap-raises-rs-36-crore-from-peak-xv/articleshow/132846809.cms</t>
        </is>
      </c>
    </row>
    <row r="4014">
      <c r="A4014" t="inlineStr">
        <is>
          <t>INC-20260808-11</t>
        </is>
      </c>
      <c r="B4014" t="inlineStr">
        <is>
          <t>R260804-superleap</t>
        </is>
      </c>
      <c r="C4014" t="inlineStr">
        <is>
          <t>Inc42</t>
        </is>
      </c>
      <c r="D4014" s="17" t="n">
        <v>46238</v>
      </c>
      <c r="E4014" t="inlineStr">
        <is>
          <t>Superleap</t>
        </is>
      </c>
      <c r="F4014" t="inlineStr">
        <is>
          <t>$4.2 Mn</t>
        </is>
      </c>
      <c r="G4014" s="19" t="n"/>
      <c r="H4014" s="19" t="n">
        <v>4.2</v>
      </c>
      <c r="I4014" t="inlineStr">
        <is>
          <t>Pre-Series A</t>
        </is>
      </c>
      <c r="J4014" t="inlineStr">
        <is>
          <t>Surge</t>
        </is>
      </c>
      <c r="K4014" t="inlineStr">
        <is>
          <t>https://inc42.com/buzz/from-river-mobility-to-blissclub-indian-startups-raised-274-mn-this-week/</t>
        </is>
      </c>
    </row>
    <row r="4015">
      <c r="A4015" t="inlineStr">
        <is>
          <t>ENT-12227333</t>
        </is>
      </c>
      <c r="B4015" t="inlineStr">
        <is>
          <t>R260804-vaaree</t>
        </is>
      </c>
      <c r="C4015" t="inlineStr">
        <is>
          <t>Entrackr</t>
        </is>
      </c>
      <c r="D4015" s="17" t="n">
        <v>46238</v>
      </c>
      <c r="E4015" t="inlineStr">
        <is>
          <t>Vaaree</t>
        </is>
      </c>
      <c r="F4015" t="inlineStr">
        <is>
          <t>Rs 65 crore</t>
        </is>
      </c>
      <c r="G4015" s="19" t="n">
        <v>65</v>
      </c>
      <c r="H4015" s="19" t="n">
        <v>6.6</v>
      </c>
      <c r="I4015" t="inlineStr">
        <is>
          <t>Series A</t>
        </is>
      </c>
      <c r="J4015" t="inlineStr">
        <is>
          <t>Hero Enterprise; Cap Alpha Ventures</t>
        </is>
      </c>
      <c r="K4015" t="inlineStr">
        <is>
          <t>https://entrackr.com/snippets/vaaree-raises-rs-65-cr-in-series-a-led-by-hero-enterprise-and-cap-alpha-ventures-12227333</t>
        </is>
      </c>
    </row>
    <row r="4016">
      <c r="A4016" t="inlineStr">
        <is>
          <t>INC-20260808-08</t>
        </is>
      </c>
      <c r="B4016" t="inlineStr">
        <is>
          <t>R260804-vaaree</t>
        </is>
      </c>
      <c r="C4016" t="inlineStr">
        <is>
          <t>Inc42</t>
        </is>
      </c>
      <c r="D4016" s="17" t="n">
        <v>46238</v>
      </c>
      <c r="E4016" t="inlineStr">
        <is>
          <t>Vaaree</t>
        </is>
      </c>
      <c r="F4016" t="inlineStr">
        <is>
          <t>$6.8 Mn</t>
        </is>
      </c>
      <c r="G4016" s="19" t="n"/>
      <c r="H4016" s="19" t="n">
        <v>6.8</v>
      </c>
      <c r="I4016" t="inlineStr">
        <is>
          <t>Series A</t>
        </is>
      </c>
      <c r="J4016" t="inlineStr">
        <is>
          <t>Hero Enterprise; Cap Alpha Ventures</t>
        </is>
      </c>
      <c r="K4016" t="inlineStr">
        <is>
          <t>https://inc42.com/buzz/from-river-mobility-to-blissclub-indian-startups-raised-274-mn-this-week/</t>
        </is>
      </c>
    </row>
    <row r="4017">
      <c r="A4017" t="inlineStr">
        <is>
          <t>ENT-12227359</t>
        </is>
      </c>
      <c r="B4017" t="inlineStr">
        <is>
          <t>R260804-zopplersystems</t>
        </is>
      </c>
      <c r="C4017" t="inlineStr">
        <is>
          <t>Entrackr</t>
        </is>
      </c>
      <c r="D4017" s="17" t="n">
        <v>46238</v>
      </c>
      <c r="E4017" t="inlineStr">
        <is>
          <t>Zoppler Systems</t>
        </is>
      </c>
      <c r="F4017" t="inlineStr">
        <is>
          <t>Rs 6.5 crore</t>
        </is>
      </c>
      <c r="G4017" s="19" t="n">
        <v>6.5</v>
      </c>
      <c r="H4017" s="19" t="n"/>
      <c r="I4017" t="inlineStr">
        <is>
          <t>Undisclosed</t>
        </is>
      </c>
      <c r="J4017" t="inlineStr">
        <is>
          <t>Finvolve</t>
        </is>
      </c>
      <c r="K4017" t="inlineStr">
        <is>
          <t>https://entrackr.com/snippets/zoppler-systems-raises-rs-65-cr-from-finvolve-and-india-accelerator-12227359</t>
        </is>
      </c>
    </row>
    <row r="4018">
      <c r="A4018" t="inlineStr">
        <is>
          <t>INC-20260808-21</t>
        </is>
      </c>
      <c r="B4018" t="inlineStr">
        <is>
          <t>R260804-zopplersystems</t>
        </is>
      </c>
      <c r="C4018" t="inlineStr">
        <is>
          <t>Inc42</t>
        </is>
      </c>
      <c r="D4018" s="17" t="n">
        <v>46238</v>
      </c>
      <c r="E4018" t="inlineStr">
        <is>
          <t>Zoppler Systems</t>
        </is>
      </c>
      <c r="F4018" t="inlineStr">
        <is>
          <t>$683K</t>
        </is>
      </c>
      <c r="G4018" s="19" t="n"/>
      <c r="H4018" s="19" t="n">
        <v>0.6830000000000001</v>
      </c>
      <c r="I4018" t="inlineStr">
        <is>
          <t>Undisclosed</t>
        </is>
      </c>
      <c r="J4018" t="inlineStr">
        <is>
          <t>Finvolve; India Accelerator</t>
        </is>
      </c>
      <c r="K4018" t="inlineStr">
        <is>
          <t>https://inc42.com/buzz/from-river-mobility-to-blissclub-indian-startups-raised-274-mn-this-week/</t>
        </is>
      </c>
    </row>
    <row r="4019">
      <c r="A4019" t="inlineStr">
        <is>
          <t>ENT-12230018</t>
        </is>
      </c>
      <c r="B4019" t="inlineStr">
        <is>
          <t>R260805-adiabatictechn</t>
        </is>
      </c>
      <c r="C4019" t="inlineStr">
        <is>
          <t>Entrackr</t>
        </is>
      </c>
      <c r="D4019" s="17" t="n">
        <v>46239</v>
      </c>
      <c r="E4019" t="inlineStr">
        <is>
          <t>Adiabatic Technologies</t>
        </is>
      </c>
      <c r="F4019" t="inlineStr">
        <is>
          <t>Rs 8.3 crore</t>
        </is>
      </c>
      <c r="G4019" s="19" t="n">
        <v>8.300000000000001</v>
      </c>
      <c r="H4019" s="19" t="n"/>
      <c r="I4019" t="inlineStr">
        <is>
          <t>Seed</t>
        </is>
      </c>
      <c r="J4019" t="inlineStr">
        <is>
          <t>Malpani Ventures; Avinya Ventures</t>
        </is>
      </c>
      <c r="K4019" t="inlineStr">
        <is>
          <t>https://entrackr.com/snippets/deep-tech-energy-startup-adiabatic-technologies-raises-rs-83-cr-in-seed-round-12230018</t>
        </is>
      </c>
    </row>
    <row r="4020">
      <c r="A4020" t="inlineStr">
        <is>
          <t>INC-20260808-20</t>
        </is>
      </c>
      <c r="B4020" t="inlineStr">
        <is>
          <t>R260805-adiabatictechn</t>
        </is>
      </c>
      <c r="C4020" t="inlineStr">
        <is>
          <t>Inc42</t>
        </is>
      </c>
      <c r="D4020" s="17" t="n">
        <v>46239</v>
      </c>
      <c r="E4020" t="inlineStr">
        <is>
          <t>Adiabatic Technologies</t>
        </is>
      </c>
      <c r="F4020" t="inlineStr">
        <is>
          <t>$872K</t>
        </is>
      </c>
      <c r="G4020" s="19" t="n"/>
      <c r="H4020" s="19" t="n">
        <v>0.872</v>
      </c>
      <c r="I4020" t="inlineStr">
        <is>
          <t>Seed</t>
        </is>
      </c>
      <c r="J4020" t="inlineStr">
        <is>
          <t>Malpani Ventures</t>
        </is>
      </c>
      <c r="K4020" t="inlineStr">
        <is>
          <t>https://inc42.com/buzz/from-river-mobility-to-blissclub-indian-startups-raised-274-mn-this-week/</t>
        </is>
      </c>
    </row>
    <row r="4021">
      <c r="A4021" t="inlineStr">
        <is>
          <t>ENT-12230169</t>
        </is>
      </c>
      <c r="B4021" t="inlineStr">
        <is>
          <t>R260805-hulp</t>
        </is>
      </c>
      <c r="C4021" t="inlineStr">
        <is>
          <t>Entrackr</t>
        </is>
      </c>
      <c r="D4021" s="17" t="n">
        <v>46239</v>
      </c>
      <c r="E4021" t="inlineStr">
        <is>
          <t>Hulp</t>
        </is>
      </c>
      <c r="F4021" t="inlineStr">
        <is>
          <t>$2.6 million</t>
        </is>
      </c>
      <c r="G4021" s="19" t="n">
        <v>25</v>
      </c>
      <c r="H4021" s="19" t="n">
        <v>2.6</v>
      </c>
      <c r="I4021" t="inlineStr">
        <is>
          <t>Seed</t>
        </is>
      </c>
      <c r="J4021" t="inlineStr">
        <is>
          <t>Sparrow Capital; BITKRAFT Ventures</t>
        </is>
      </c>
      <c r="K4021" t="inlineStr">
        <is>
          <t>https://entrackr.com/snippets/personal-assistance-startup-hulp-secures-26-mn-seed-funding-12230169</t>
        </is>
      </c>
    </row>
    <row r="4022">
      <c r="A4022" t="inlineStr">
        <is>
          <t>ET-132893222</t>
        </is>
      </c>
      <c r="B4022" t="inlineStr">
        <is>
          <t>R260805-hulp</t>
        </is>
      </c>
      <c r="C4022" t="inlineStr">
        <is>
          <t>The Economic Times</t>
        </is>
      </c>
      <c r="D4022" s="17" t="n">
        <v>46239</v>
      </c>
      <c r="E4022" t="inlineStr">
        <is>
          <t>Hulp</t>
        </is>
      </c>
      <c r="F4022" t="inlineStr">
        <is>
          <t>$2.6 million</t>
        </is>
      </c>
      <c r="G4022" s="19" t="n"/>
      <c r="H4022" s="19" t="n">
        <v>2.6</v>
      </c>
      <c r="I4022" t="inlineStr">
        <is>
          <t>Undisclosed</t>
        </is>
      </c>
      <c r="J4022" t="inlineStr">
        <is>
          <t>Sparrow Capital; Bitkraft Ventures</t>
        </is>
      </c>
      <c r="K4022" t="inlineStr">
        <is>
          <t>https://economictimes.indiatimes.com/tech/funding/ai-assistant-startup-hulp-raises-2-6-million-from-sparrow-capital-bitkraft-ventures-others/articleshow/132893222.cms</t>
        </is>
      </c>
    </row>
    <row r="4023">
      <c r="A4023" t="inlineStr">
        <is>
          <t>INC-20260808-13</t>
        </is>
      </c>
      <c r="B4023" t="inlineStr">
        <is>
          <t>R260805-hulp</t>
        </is>
      </c>
      <c r="C4023" t="inlineStr">
        <is>
          <t>Inc42</t>
        </is>
      </c>
      <c r="D4023" s="17" t="n">
        <v>46239</v>
      </c>
      <c r="E4023" t="inlineStr">
        <is>
          <t>Hulp</t>
        </is>
      </c>
      <c r="F4023" t="inlineStr">
        <is>
          <t>$2.6 Mn</t>
        </is>
      </c>
      <c r="G4023" s="19" t="n"/>
      <c r="H4023" s="19" t="n">
        <v>2.6</v>
      </c>
      <c r="I4023" t="inlineStr">
        <is>
          <t>Seed</t>
        </is>
      </c>
      <c r="J4023" t="inlineStr">
        <is>
          <t>Sparrow Capital; BITKRAFT Ventures</t>
        </is>
      </c>
      <c r="K4023" t="inlineStr">
        <is>
          <t>https://inc42.com/buzz/from-river-mobility-to-blissclub-indian-startups-raised-274-mn-this-week/</t>
        </is>
      </c>
    </row>
    <row r="4024">
      <c r="A4024" t="inlineStr">
        <is>
          <t>ENT-12230166</t>
        </is>
      </c>
      <c r="B4024" t="inlineStr">
        <is>
          <t>R260805-inrisklabs</t>
        </is>
      </c>
      <c r="C4024" t="inlineStr">
        <is>
          <t>Entrackr</t>
        </is>
      </c>
      <c r="D4024" s="17" t="n">
        <v>46239</v>
      </c>
      <c r="E4024" t="inlineStr">
        <is>
          <t>InRisk Labs</t>
        </is>
      </c>
      <c r="F4024" t="inlineStr">
        <is>
          <t>$27 million</t>
        </is>
      </c>
      <c r="G4024" s="19" t="n"/>
      <c r="H4024" s="19" t="n">
        <v>27</v>
      </c>
      <c r="I4024" t="inlineStr">
        <is>
          <t>Series A</t>
        </is>
      </c>
      <c r="J4024" t="inlineStr">
        <is>
          <t>Bessemer Venture Partners; Northpoint Capital</t>
        </is>
      </c>
      <c r="K4024" t="inlineStr">
        <is>
          <t>https://entrackr.com/news/inrisk-labs-raises-27-mn-in-series-a-round-led-by-bessemer-northpoint-capital-12230166</t>
        </is>
      </c>
    </row>
    <row r="4025">
      <c r="A4025" t="inlineStr">
        <is>
          <t>ET-132868614</t>
        </is>
      </c>
      <c r="B4025" t="inlineStr">
        <is>
          <t>R260805-inrisklabs</t>
        </is>
      </c>
      <c r="C4025" t="inlineStr">
        <is>
          <t>The Economic Times</t>
        </is>
      </c>
      <c r="D4025" s="17" t="n">
        <v>46239</v>
      </c>
      <c r="E4025" t="inlineStr">
        <is>
          <t>InRisk</t>
        </is>
      </c>
      <c r="F4025" t="inlineStr">
        <is>
          <t>$27 million</t>
        </is>
      </c>
      <c r="G4025" s="19" t="n"/>
      <c r="H4025" s="19" t="n">
        <v>27</v>
      </c>
      <c r="I4025" t="inlineStr">
        <is>
          <t>Undisclosed</t>
        </is>
      </c>
      <c r="J4025" t="inlineStr">
        <is>
          <t>Bessemer Venture Partners; Northpoint Capital</t>
        </is>
      </c>
      <c r="K4025" t="inlineStr">
        <is>
          <t>https://economictimes.indiatimes.com/tech/startups/climate-tech-startup-inrisk-raises-27-million-from-bessemer-others/articleshow/132868614.cms</t>
        </is>
      </c>
    </row>
    <row r="4026">
      <c r="A4026" t="inlineStr">
        <is>
          <t>INC-20260808-02</t>
        </is>
      </c>
      <c r="B4026" t="inlineStr">
        <is>
          <t>R260805-inrisklabs</t>
        </is>
      </c>
      <c r="C4026" t="inlineStr">
        <is>
          <t>Inc42</t>
        </is>
      </c>
      <c r="D4026" s="17" t="n">
        <v>46239</v>
      </c>
      <c r="E4026" t="inlineStr">
        <is>
          <t>InRisk Labs</t>
        </is>
      </c>
      <c r="F4026" t="inlineStr">
        <is>
          <t>$27 Mn</t>
        </is>
      </c>
      <c r="G4026" s="19" t="n"/>
      <c r="H4026" s="19" t="n">
        <v>27</v>
      </c>
      <c r="I4026" t="inlineStr">
        <is>
          <t>Series A</t>
        </is>
      </c>
      <c r="J4026" t="inlineStr">
        <is>
          <t>Bessemer Venture Partners; Northpoint Capital</t>
        </is>
      </c>
      <c r="K4026" t="inlineStr">
        <is>
          <t>https://inc42.com/buzz/from-river-mobility-to-blissclub-indian-startups-raised-274-mn-this-week/</t>
        </is>
      </c>
    </row>
    <row r="4027">
      <c r="A4027" t="inlineStr">
        <is>
          <t>ENT-12231787</t>
        </is>
      </c>
      <c r="B4027" t="inlineStr">
        <is>
          <t>R260805-lighthousecant</t>
        </is>
      </c>
      <c r="C4027" t="inlineStr">
        <is>
          <t>Entrackr</t>
        </is>
      </c>
      <c r="D4027" s="17" t="n">
        <v>46239</v>
      </c>
      <c r="E4027" t="inlineStr">
        <is>
          <t>Lighthouse Canton</t>
        </is>
      </c>
      <c r="F4027" t="inlineStr">
        <is>
          <t>Rs 1,050 million</t>
        </is>
      </c>
      <c r="G4027" s="19" t="n">
        <v>105</v>
      </c>
      <c r="H4027" s="19" t="n"/>
      <c r="I4027" t="inlineStr">
        <is>
          <t>Undisclosed</t>
        </is>
      </c>
      <c r="J4027" t="inlineStr"/>
      <c r="K4027" t="inlineStr">
        <is>
          <t>https://entrackr.com/snippets/lighthouse-canton-closes-rs-1050-mn-private-credit-investment-in-emerald-leisures-12231787</t>
        </is>
      </c>
    </row>
    <row r="4028">
      <c r="A4028" t="inlineStr">
        <is>
          <t>ET-132913386</t>
        </is>
      </c>
      <c r="B4028" t="inlineStr">
        <is>
          <t>R260805-mittilabs</t>
        </is>
      </c>
      <c r="C4028" t="inlineStr">
        <is>
          <t>The Economic Times</t>
        </is>
      </c>
      <c r="D4028" s="17" t="n">
        <v>46239</v>
      </c>
      <c r="E4028" t="inlineStr">
        <is>
          <t>Mitti Labs</t>
        </is>
      </c>
      <c r="F4028" t="inlineStr">
        <is>
          <t>$9.5 million</t>
        </is>
      </c>
      <c r="G4028" s="19" t="n"/>
      <c r="H4028" s="19" t="n">
        <v>9.5</v>
      </c>
      <c r="I4028" t="inlineStr">
        <is>
          <t>Undisclosed</t>
        </is>
      </c>
      <c r="J4028" t="inlineStr">
        <is>
          <t>Aramco Ventures</t>
        </is>
      </c>
      <c r="K4028" t="inlineStr">
        <is>
          <t>https://economictimes.indiatimes.com/tech/startups/climatetech-startup-mitti-labs-raises-9-5-million-led-by-aramco-ventures/articleshow/132913386.cms</t>
        </is>
      </c>
    </row>
    <row r="4029">
      <c r="A4029" t="inlineStr">
        <is>
          <t>ENT-12234526</t>
        </is>
      </c>
      <c r="B4029" t="inlineStr">
        <is>
          <t>R260805-mittilabs</t>
        </is>
      </c>
      <c r="C4029" t="inlineStr">
        <is>
          <t>Entrackr</t>
        </is>
      </c>
      <c r="D4029" s="17" t="n">
        <v>46240</v>
      </c>
      <c r="E4029" t="inlineStr">
        <is>
          <t>Mitti Labs</t>
        </is>
      </c>
      <c r="F4029" t="inlineStr">
        <is>
          <t>$9.5 million</t>
        </is>
      </c>
      <c r="G4029" s="19" t="n"/>
      <c r="H4029" s="19" t="n">
        <v>9.5</v>
      </c>
      <c r="I4029" t="inlineStr">
        <is>
          <t>Undisclosed</t>
        </is>
      </c>
      <c r="J4029" t="inlineStr">
        <is>
          <t>Aramco Ventures</t>
        </is>
      </c>
      <c r="K4029" t="inlineStr">
        <is>
          <t>https://entrackr.com/snippets/aramco-ventures-leads-95-mn-funding-in-climate-tech-startup-mitti-labs-12234526</t>
        </is>
      </c>
    </row>
    <row r="4030">
      <c r="A4030" t="inlineStr">
        <is>
          <t>INC-20260808-06</t>
        </is>
      </c>
      <c r="B4030" t="inlineStr">
        <is>
          <t>R260805-mittilabs</t>
        </is>
      </c>
      <c r="C4030" t="inlineStr">
        <is>
          <t>Inc42</t>
        </is>
      </c>
      <c r="D4030" s="17" t="n">
        <v>46241</v>
      </c>
      <c r="E4030" t="inlineStr">
        <is>
          <t>Mitti Labs</t>
        </is>
      </c>
      <c r="F4030" t="inlineStr">
        <is>
          <t>$9.5 Mn</t>
        </is>
      </c>
      <c r="G4030" s="19" t="n"/>
      <c r="H4030" s="19" t="n">
        <v>9.5</v>
      </c>
      <c r="I4030" t="inlineStr">
        <is>
          <t>Series A</t>
        </is>
      </c>
      <c r="J4030" t="inlineStr">
        <is>
          <t>Aramco Venture</t>
        </is>
      </c>
      <c r="K4030" t="inlineStr">
        <is>
          <t>https://inc42.com/buzz/from-river-mobility-to-blissclub-indian-startups-raised-274-mn-this-week/</t>
        </is>
      </c>
    </row>
    <row r="4031">
      <c r="A4031" t="inlineStr">
        <is>
          <t>INC-20260808-07</t>
        </is>
      </c>
      <c r="B4031" t="inlineStr">
        <is>
          <t>R260805-pinegap</t>
        </is>
      </c>
      <c r="C4031" t="inlineStr">
        <is>
          <t>Inc42</t>
        </is>
      </c>
      <c r="D4031" s="17" t="n">
        <v>46239</v>
      </c>
      <c r="E4031" t="inlineStr">
        <is>
          <t>Pinegap</t>
        </is>
      </c>
      <c r="F4031" t="inlineStr">
        <is>
          <t>$8 Mn</t>
        </is>
      </c>
      <c r="G4031" s="19" t="n"/>
      <c r="H4031" s="19" t="n">
        <v>8</v>
      </c>
      <c r="I4031" t="inlineStr">
        <is>
          <t>Series A</t>
        </is>
      </c>
      <c r="J4031" t="inlineStr">
        <is>
          <t>Stellaris Venture Partners</t>
        </is>
      </c>
      <c r="K4031" t="inlineStr">
        <is>
          <t>https://inc42.com/buzz/from-river-mobility-to-blissclub-indian-startups-raised-274-mn-this-week/</t>
        </is>
      </c>
    </row>
    <row r="4032">
      <c r="A4032" t="inlineStr">
        <is>
          <t>ET-133047945</t>
        </is>
      </c>
      <c r="B4032" t="inlineStr">
        <is>
          <t>R260805-pinegap</t>
        </is>
      </c>
      <c r="C4032" t="inlineStr">
        <is>
          <t>The Economic Times</t>
        </is>
      </c>
      <c r="D4032" s="17" t="n">
        <v>46242</v>
      </c>
      <c r="E4032" t="inlineStr">
        <is>
          <t>Pinegap</t>
        </is>
      </c>
      <c r="F4032" t="inlineStr">
        <is>
          <t>$8 million</t>
        </is>
      </c>
      <c r="G4032" s="19" t="n"/>
      <c r="H4032" s="19" t="n">
        <v>8</v>
      </c>
      <c r="I4032" t="inlineStr">
        <is>
          <t>Undisclosed</t>
        </is>
      </c>
      <c r="J4032" t="inlineStr">
        <is>
          <t>Stellaris Venture Partners</t>
        </is>
      </c>
      <c r="K4032" t="inlineStr">
        <is>
          <t>https://economictimes.indiatimes.com/tech/funding/pinegap-raises-8-million-led-by-stellaris-venture-partners/articleshow/133047945.cms</t>
        </is>
      </c>
    </row>
    <row r="4033">
      <c r="A4033" t="inlineStr">
        <is>
          <t>ENT-12232629</t>
        </is>
      </c>
      <c r="B4033" t="inlineStr">
        <is>
          <t>R260805-rivermobility</t>
        </is>
      </c>
      <c r="C4033" t="inlineStr">
        <is>
          <t>Entrackr</t>
        </is>
      </c>
      <c r="D4033" s="17" t="n">
        <v>46239</v>
      </c>
      <c r="E4033" t="inlineStr">
        <is>
          <t>River Mobility</t>
        </is>
      </c>
      <c r="F4033" t="inlineStr">
        <is>
          <t>$120 million</t>
        </is>
      </c>
      <c r="G4033" s="19" t="n"/>
      <c r="H4033" s="19" t="n">
        <v>120</v>
      </c>
      <c r="I4033" t="inlineStr">
        <is>
          <t>Series C</t>
        </is>
      </c>
      <c r="J4033" t="inlineStr">
        <is>
          <t>Elev8; Claypond Capital</t>
        </is>
      </c>
      <c r="K4033" t="inlineStr">
        <is>
          <t>https://entrackr.com/news/river-mobility-raises-120-mn-in-series-c-led-by-elev8-claypond-capital-12232629</t>
        </is>
      </c>
    </row>
    <row r="4034">
      <c r="A4034" t="inlineStr">
        <is>
          <t>ET-132912133</t>
        </is>
      </c>
      <c r="B4034" t="inlineStr">
        <is>
          <t>R260805-rivermobility</t>
        </is>
      </c>
      <c r="C4034" t="inlineStr">
        <is>
          <t>The Economic Times</t>
        </is>
      </c>
      <c r="D4034" s="17" t="n">
        <v>46239</v>
      </c>
      <c r="E4034" t="inlineStr">
        <is>
          <t>River Mobility</t>
        </is>
      </c>
      <c r="F4034" t="inlineStr">
        <is>
          <t>$120 million</t>
        </is>
      </c>
      <c r="G4034" s="19" t="n">
        <v>1140</v>
      </c>
      <c r="H4034" s="19" t="n">
        <v>120</v>
      </c>
      <c r="I4034" t="inlineStr">
        <is>
          <t>Undisclosed</t>
        </is>
      </c>
      <c r="J4034" t="inlineStr">
        <is>
          <t>Elev8 Venture Partners; Claypond Capital</t>
        </is>
      </c>
      <c r="K4034" t="inlineStr">
        <is>
          <t>https://economictimes.indiatimes.com/tech/funding/electric-scooter-startup-river-mobility-raises-120-million-to-deepen-premium-play/articleshow/132912133.cms</t>
        </is>
      </c>
    </row>
    <row r="4035">
      <c r="A4035" t="inlineStr">
        <is>
          <t>INC-20260808-01</t>
        </is>
      </c>
      <c r="B4035" t="inlineStr">
        <is>
          <t>R260805-rivermobility</t>
        </is>
      </c>
      <c r="C4035" t="inlineStr">
        <is>
          <t>Inc42</t>
        </is>
      </c>
      <c r="D4035" s="17" t="n">
        <v>46239</v>
      </c>
      <c r="E4035" t="inlineStr">
        <is>
          <t>River Mobility</t>
        </is>
      </c>
      <c r="F4035" t="inlineStr">
        <is>
          <t>$120 Mn</t>
        </is>
      </c>
      <c r="G4035" s="19" t="n"/>
      <c r="H4035" s="19" t="n">
        <v>120</v>
      </c>
      <c r="I4035" t="inlineStr">
        <is>
          <t>Series C</t>
        </is>
      </c>
      <c r="J4035" t="inlineStr">
        <is>
          <t>Elev8 Venture Partners; Claypond Capital</t>
        </is>
      </c>
      <c r="K4035" t="inlineStr">
        <is>
          <t>https://inc42.com/buzz/from-river-mobility-to-blissclub-indian-startups-raised-274-mn-this-week/</t>
        </is>
      </c>
    </row>
    <row r="4036">
      <c r="A4036" t="inlineStr">
        <is>
          <t>VCC-52e6aaddd8</t>
        </is>
      </c>
      <c r="B4036" t="inlineStr">
        <is>
          <t>R260805-rivermobility</t>
        </is>
      </c>
      <c r="C4036" t="inlineStr">
        <is>
          <t>VCCircle</t>
        </is>
      </c>
      <c r="D4036" s="17" t="n">
        <v>46239</v>
      </c>
      <c r="E4036" t="inlineStr">
        <is>
          <t>rivermobility</t>
        </is>
      </c>
      <c r="F4036" t="inlineStr">
        <is>
          <t>$ 120 million</t>
        </is>
      </c>
      <c r="G4036" s="19" t="n"/>
      <c r="H4036" s="19" t="n">
        <v>120</v>
      </c>
      <c r="I4036" t="inlineStr">
        <is>
          <t>Series C</t>
        </is>
      </c>
      <c r="J4036" t="inlineStr">
        <is>
          <t>elev8 claypond</t>
        </is>
      </c>
      <c r="K4036" t="inlineStr">
        <is>
          <t>https://www.vccircle.com/rivermobility-raises-120-mn-series-c-led-by-elev8-claypond</t>
        </is>
      </c>
    </row>
    <row r="4037">
      <c r="A4037" t="inlineStr">
        <is>
          <t>ET-132917107</t>
        </is>
      </c>
      <c r="B4037" t="inlineStr">
        <is>
          <t>R260805-typsybeauty</t>
        </is>
      </c>
      <c r="C4037" t="inlineStr">
        <is>
          <t>The Economic Times</t>
        </is>
      </c>
      <c r="D4037" s="17" t="n">
        <v>46239</v>
      </c>
      <c r="E4037" t="inlineStr">
        <is>
          <t>Typsy Beauty</t>
        </is>
      </c>
      <c r="F4037" t="inlineStr">
        <is>
          <t>Rs 20 crore</t>
        </is>
      </c>
      <c r="G4037" s="19" t="n">
        <v>20</v>
      </c>
      <c r="H4037" s="19" t="n"/>
      <c r="I4037" t="inlineStr">
        <is>
          <t>Undisclosed</t>
        </is>
      </c>
      <c r="J4037" t="inlineStr">
        <is>
          <t>Saama Capital</t>
        </is>
      </c>
      <c r="K4037" t="inlineStr">
        <is>
          <t>https://economictimes.indiatimes.com/tech/funding/d2c-brand-typsy-beauty-raises-rs-20-crore-led-by-saama-capital/articleshow/132917107.cms</t>
        </is>
      </c>
    </row>
    <row r="4038">
      <c r="A4038" t="inlineStr">
        <is>
          <t>INC-20260808-15</t>
        </is>
      </c>
      <c r="B4038" t="inlineStr">
        <is>
          <t>R260805-typsybeauty</t>
        </is>
      </c>
      <c r="C4038" t="inlineStr">
        <is>
          <t>Inc42</t>
        </is>
      </c>
      <c r="D4038" s="17" t="n">
        <v>46239</v>
      </c>
      <c r="E4038" t="inlineStr">
        <is>
          <t>Typsy Beauty</t>
        </is>
      </c>
      <c r="F4038" t="inlineStr">
        <is>
          <t>$2.1 Mn</t>
        </is>
      </c>
      <c r="G4038" s="19" t="n"/>
      <c r="H4038" s="19" t="n">
        <v>2.1</v>
      </c>
      <c r="I4038" t="inlineStr">
        <is>
          <t>Undisclosed</t>
        </is>
      </c>
      <c r="J4038" t="inlineStr">
        <is>
          <t>Saama Capital</t>
        </is>
      </c>
      <c r="K4038" t="inlineStr">
        <is>
          <t>https://inc42.com/buzz/from-river-mobility-to-blissclub-indian-startups-raised-274-mn-this-week/</t>
        </is>
      </c>
    </row>
    <row r="4039">
      <c r="A4039" t="inlineStr">
        <is>
          <t>ENT-12231153</t>
        </is>
      </c>
      <c r="B4039" t="inlineStr">
        <is>
          <t>R260805-vingo</t>
        </is>
      </c>
      <c r="C4039" t="inlineStr">
        <is>
          <t>Entrackr</t>
        </is>
      </c>
      <c r="D4039" s="17" t="n">
        <v>46239</v>
      </c>
      <c r="E4039" t="inlineStr">
        <is>
          <t>Vingo</t>
        </is>
      </c>
      <c r="F4039" t="inlineStr">
        <is>
          <t>Rs 10 crore</t>
        </is>
      </c>
      <c r="G4039" s="19" t="n">
        <v>10</v>
      </c>
      <c r="H4039" s="19" t="n">
        <v>1</v>
      </c>
      <c r="I4039" t="inlineStr">
        <is>
          <t>Seed</t>
        </is>
      </c>
      <c r="J4039" t="inlineStr">
        <is>
          <t>IndiaQuotient</t>
        </is>
      </c>
      <c r="K4039" t="inlineStr">
        <is>
          <t>https://entrackr.com/snippets/c2c-marketplace-vingo-raises-rs-10-cr-seed-round-led-by-indiaquotient-12231153</t>
        </is>
      </c>
    </row>
    <row r="4040">
      <c r="A4040" t="inlineStr">
        <is>
          <t>INC-20260808-19</t>
        </is>
      </c>
      <c r="B4040" t="inlineStr">
        <is>
          <t>R260805-vingo</t>
        </is>
      </c>
      <c r="C4040" t="inlineStr">
        <is>
          <t>Inc42</t>
        </is>
      </c>
      <c r="D4040" s="17" t="n">
        <v>46239</v>
      </c>
      <c r="E4040" t="inlineStr">
        <is>
          <t>Vingo</t>
        </is>
      </c>
      <c r="F4040" t="inlineStr">
        <is>
          <t>$1.2 Mn</t>
        </is>
      </c>
      <c r="G4040" s="19" t="n"/>
      <c r="H4040" s="19" t="n">
        <v>1.2</v>
      </c>
      <c r="I4040" t="inlineStr">
        <is>
          <t>Seed</t>
        </is>
      </c>
      <c r="J4040" t="inlineStr">
        <is>
          <t>IndiaQuotient</t>
        </is>
      </c>
      <c r="K4040" t="inlineStr">
        <is>
          <t>https://inc42.com/buzz/from-river-mobility-to-blissclub-indian-startups-raised-274-mn-this-week/</t>
        </is>
      </c>
    </row>
    <row r="4041">
      <c r="A4041" t="inlineStr">
        <is>
          <t>ENT-12234521</t>
        </is>
      </c>
      <c r="B4041" t="inlineStr">
        <is>
          <t>R260806-consintai</t>
        </is>
      </c>
      <c r="C4041" t="inlineStr">
        <is>
          <t>Entrackr</t>
        </is>
      </c>
      <c r="D4041" s="17" t="n">
        <v>46240</v>
      </c>
      <c r="E4041" t="inlineStr">
        <is>
          <t>Consint.AI</t>
        </is>
      </c>
      <c r="F4041" t="inlineStr">
        <is>
          <t>Rs 22 crore</t>
        </is>
      </c>
      <c r="G4041" s="19" t="n">
        <v>22</v>
      </c>
      <c r="H4041" s="19" t="n">
        <v>2.3</v>
      </c>
      <c r="I4041" t="inlineStr">
        <is>
          <t>Series A</t>
        </is>
      </c>
      <c r="J4041" t="inlineStr"/>
      <c r="K4041" t="inlineStr">
        <is>
          <t>https://entrackr.com/snippets/healthcare-ai-startup-consintai-raises-rs-22-cr-in-series-a-round-12234521</t>
        </is>
      </c>
    </row>
    <row r="4042">
      <c r="A4042" t="inlineStr">
        <is>
          <t>INC-20260808-14</t>
        </is>
      </c>
      <c r="B4042" t="inlineStr">
        <is>
          <t>R260806-consintai</t>
        </is>
      </c>
      <c r="C4042" t="inlineStr">
        <is>
          <t>Inc42</t>
        </is>
      </c>
      <c r="D4042" s="17" t="n">
        <v>46240</v>
      </c>
      <c r="E4042" t="inlineStr">
        <is>
          <t>Consint.AI</t>
        </is>
      </c>
      <c r="F4042" t="inlineStr">
        <is>
          <t>$2.3 Mn</t>
        </is>
      </c>
      <c r="G4042" s="19" t="n"/>
      <c r="H4042" s="19" t="n">
        <v>2.3</v>
      </c>
      <c r="I4042" t="inlineStr">
        <is>
          <t>Series A</t>
        </is>
      </c>
      <c r="J4042" t="inlineStr"/>
      <c r="K4042" t="inlineStr">
        <is>
          <t>https://inc42.com/buzz/from-river-mobility-to-blissclub-indian-startups-raised-274-mn-this-week/</t>
        </is>
      </c>
    </row>
    <row r="4043">
      <c r="A4043" t="inlineStr">
        <is>
          <t>ENT-12234340</t>
        </is>
      </c>
      <c r="B4043" t="inlineStr">
        <is>
          <t>R260806-homerun</t>
        </is>
      </c>
      <c r="C4043" t="inlineStr">
        <is>
          <t>Entrackr</t>
        </is>
      </c>
      <c r="D4043" s="17" t="n">
        <v>46240</v>
      </c>
      <c r="E4043" t="inlineStr">
        <is>
          <t>HomeRun</t>
        </is>
      </c>
      <c r="F4043" t="inlineStr">
        <is>
          <t>$12 million</t>
        </is>
      </c>
      <c r="G4043" s="19" t="n"/>
      <c r="H4043" s="19" t="n">
        <v>12</v>
      </c>
      <c r="I4043" t="inlineStr">
        <is>
          <t>Series A</t>
        </is>
      </c>
      <c r="J4043" t="inlineStr">
        <is>
          <t>Nexus Venture Partners</t>
        </is>
      </c>
      <c r="K4043" t="inlineStr">
        <is>
          <t>https://entrackr.com/news/homerun-raises-12-mn-in-series-a-round-led-by-nexus-venture-partners-12234340</t>
        </is>
      </c>
    </row>
    <row r="4044">
      <c r="A4044" t="inlineStr">
        <is>
          <t>ET-132984906</t>
        </is>
      </c>
      <c r="B4044" t="inlineStr">
        <is>
          <t>R260806-homerun</t>
        </is>
      </c>
      <c r="C4044" t="inlineStr">
        <is>
          <t>The Economic Times</t>
        </is>
      </c>
      <c r="D4044" s="17" t="n">
        <v>46240</v>
      </c>
      <c r="E4044" t="inlineStr">
        <is>
          <t>HomeRun</t>
        </is>
      </c>
      <c r="F4044" t="inlineStr">
        <is>
          <t>$12 million</t>
        </is>
      </c>
      <c r="G4044" s="19" t="n"/>
      <c r="H4044" s="19" t="n">
        <v>12</v>
      </c>
      <c r="I4044" t="inlineStr">
        <is>
          <t>Undisclosed</t>
        </is>
      </c>
      <c r="J4044" t="inlineStr">
        <is>
          <t>Nexus Venture Partners</t>
        </is>
      </c>
      <c r="K4044" t="inlineStr">
        <is>
          <t>https://economictimes.indiatimes.com/tech/funding/construction-qcomm-outfit-homerun-raises-12-million-from-nexus-venture-partners-others/articleshow/132984906.cms</t>
        </is>
      </c>
    </row>
    <row r="4045">
      <c r="A4045" t="inlineStr">
        <is>
          <t>INC-20260808-05</t>
        </is>
      </c>
      <c r="B4045" t="inlineStr">
        <is>
          <t>R260806-homerun</t>
        </is>
      </c>
      <c r="C4045" t="inlineStr">
        <is>
          <t>Inc42</t>
        </is>
      </c>
      <c r="D4045" s="17" t="n">
        <v>46240</v>
      </c>
      <c r="E4045" t="inlineStr">
        <is>
          <t>HomeRun</t>
        </is>
      </c>
      <c r="F4045" t="inlineStr">
        <is>
          <t>$12 Mn</t>
        </is>
      </c>
      <c r="G4045" s="19" t="n"/>
      <c r="H4045" s="19" t="n">
        <v>12</v>
      </c>
      <c r="I4045" t="inlineStr">
        <is>
          <t>Series A</t>
        </is>
      </c>
      <c r="J4045" t="inlineStr">
        <is>
          <t>Nexus Venture Partners</t>
        </is>
      </c>
      <c r="K4045" t="inlineStr">
        <is>
          <t>https://inc42.com/buzz/from-river-mobility-to-blissclub-indian-startups-raised-274-mn-this-week/</t>
        </is>
      </c>
    </row>
    <row r="4046">
      <c r="A4046" t="inlineStr">
        <is>
          <t>ENT-12235506</t>
        </is>
      </c>
      <c r="B4046" t="inlineStr">
        <is>
          <t>R260806-leapindia</t>
        </is>
      </c>
      <c r="C4046" t="inlineStr">
        <is>
          <t>Entrackr</t>
        </is>
      </c>
      <c r="D4046" s="17" t="n">
        <v>46240</v>
      </c>
      <c r="E4046" t="inlineStr">
        <is>
          <t>Leap India</t>
        </is>
      </c>
      <c r="F4046" t="inlineStr">
        <is>
          <t>Rs 371.3 crore</t>
        </is>
      </c>
      <c r="G4046" s="19" t="n">
        <v>371.3</v>
      </c>
      <c r="H4046" s="19" t="n"/>
      <c r="I4046" t="inlineStr">
        <is>
          <t>Pre-IPO</t>
        </is>
      </c>
      <c r="J4046" t="inlineStr"/>
      <c r="K4046" t="inlineStr">
        <is>
          <t>https://entrackr.com/news/leap-india-raises-rs-371-cr-in-pre-ipo-round-led-by-gic-arm-12235506</t>
        </is>
      </c>
    </row>
    <row r="4047">
      <c r="A4047" t="inlineStr">
        <is>
          <t>ENT-12236009</t>
        </is>
      </c>
      <c r="B4047" t="inlineStr">
        <is>
          <t>R260806-solinasintegri</t>
        </is>
      </c>
      <c r="C4047" t="inlineStr">
        <is>
          <t>Entrackr</t>
        </is>
      </c>
      <c r="D4047" s="17" t="n">
        <v>46240</v>
      </c>
      <c r="E4047" t="inlineStr">
        <is>
          <t>Solinas Integrity</t>
        </is>
      </c>
      <c r="F4047" t="inlineStr">
        <is>
          <t>$5.5 million</t>
        </is>
      </c>
      <c r="G4047" s="19" t="n"/>
      <c r="H4047" s="19" t="n">
        <v>5.5</v>
      </c>
      <c r="I4047" t="inlineStr">
        <is>
          <t>Series A</t>
        </is>
      </c>
      <c r="J4047" t="inlineStr">
        <is>
          <t>Mela Ventures; Hero Enterprise Family Office</t>
        </is>
      </c>
      <c r="K4047" t="inlineStr">
        <is>
          <t>https://entrackr.com/snippets/mela-ventures-co-leads-55-mn-series-a1-round-in-solinas-integrity-12236009</t>
        </is>
      </c>
    </row>
    <row r="4048">
      <c r="A4048" t="inlineStr">
        <is>
          <t>ET-133009313</t>
        </is>
      </c>
      <c r="B4048" t="inlineStr">
        <is>
          <t>R260806-solinasintegri</t>
        </is>
      </c>
      <c r="C4048" t="inlineStr">
        <is>
          <t>The Economic Times</t>
        </is>
      </c>
      <c r="D4048" s="17" t="n">
        <v>46240</v>
      </c>
      <c r="E4048" t="inlineStr">
        <is>
          <t>Solinas Integrity</t>
        </is>
      </c>
      <c r="F4048" t="inlineStr">
        <is>
          <t>$5.5 million</t>
        </is>
      </c>
      <c r="G4048" s="19" t="n">
        <v>48</v>
      </c>
      <c r="H4048" s="19" t="n">
        <v>5.5</v>
      </c>
      <c r="I4048" t="inlineStr">
        <is>
          <t>Undisclosed</t>
        </is>
      </c>
      <c r="J4048" t="inlineStr">
        <is>
          <t>Hero Enterprise Partner Ventures; Mela Ventures</t>
        </is>
      </c>
      <c r="K4048" t="inlineStr">
        <is>
          <t>https://economictimes.indiatimes.com/tech/startups/robotics-startup-solinas-integrity-bags-5-5-million-from-hero-enterprise-mela-ventures/articleshow/133009313.cms</t>
        </is>
      </c>
    </row>
    <row r="4049">
      <c r="A4049" t="inlineStr">
        <is>
          <t>INC-20260808-10</t>
        </is>
      </c>
      <c r="B4049" t="inlineStr">
        <is>
          <t>R260806-solinasintegri</t>
        </is>
      </c>
      <c r="C4049" t="inlineStr">
        <is>
          <t>Inc42</t>
        </is>
      </c>
      <c r="D4049" s="17" t="n">
        <v>46240</v>
      </c>
      <c r="E4049" t="inlineStr">
        <is>
          <t>Solinas Integrity</t>
        </is>
      </c>
      <c r="F4049" t="inlineStr">
        <is>
          <t>$5.5 Mn</t>
        </is>
      </c>
      <c r="G4049" s="19" t="n"/>
      <c r="H4049" s="19" t="n">
        <v>5.5</v>
      </c>
      <c r="I4049" t="inlineStr">
        <is>
          <t>Series A</t>
        </is>
      </c>
      <c r="J4049" t="inlineStr">
        <is>
          <t>Mela Ventures; Hero Enterprise Family Office</t>
        </is>
      </c>
      <c r="K4049" t="inlineStr">
        <is>
          <t>https://inc42.com/buzz/from-river-mobility-to-blissclub-indian-startups-raised-274-mn-this-week/</t>
        </is>
      </c>
    </row>
    <row r="4050">
      <c r="A4050" t="inlineStr">
        <is>
          <t>ENT-12238246</t>
        </is>
      </c>
      <c r="B4050" t="inlineStr">
        <is>
          <t>R260807-benne</t>
        </is>
      </c>
      <c r="C4050" t="inlineStr">
        <is>
          <t>Entrackr</t>
        </is>
      </c>
      <c r="D4050" s="17" t="n">
        <v>46241</v>
      </c>
      <c r="E4050" t="inlineStr">
        <is>
          <t>Benne</t>
        </is>
      </c>
      <c r="F4050" t="inlineStr">
        <is>
          <t>Rs 35 crore</t>
        </is>
      </c>
      <c r="G4050" s="19" t="n">
        <v>35</v>
      </c>
      <c r="H4050" s="19" t="n">
        <v>3.7</v>
      </c>
      <c r="I4050" t="inlineStr">
        <is>
          <t>Pre-Series A</t>
        </is>
      </c>
      <c r="J4050" t="inlineStr">
        <is>
          <t>Ranjan pAi’ Claypond Capital</t>
        </is>
      </c>
      <c r="K4050" t="inlineStr">
        <is>
          <t>https://entrackr.com/exclusive/exclusive-dosa-chain-benne-raises-rs-35-cr-led-by-rajan-pais-claypond-capital-12238246</t>
        </is>
      </c>
    </row>
    <row r="4051">
      <c r="A4051" t="inlineStr">
        <is>
          <t>ENT-12238770</t>
        </is>
      </c>
      <c r="B4051" t="inlineStr">
        <is>
          <t>R260807-blissclub</t>
        </is>
      </c>
      <c r="C4051" t="inlineStr">
        <is>
          <t>Entrackr</t>
        </is>
      </c>
      <c r="D4051" s="17" t="n">
        <v>46241</v>
      </c>
      <c r="E4051" t="inlineStr">
        <is>
          <t>BlissClub</t>
        </is>
      </c>
      <c r="F4051" t="inlineStr">
        <is>
          <t>Rs 160 crore</t>
        </is>
      </c>
      <c r="G4051" s="19" t="n">
        <v>160</v>
      </c>
      <c r="H4051" s="19" t="n">
        <v>16.8</v>
      </c>
      <c r="I4051" t="inlineStr">
        <is>
          <t>Series B</t>
        </is>
      </c>
      <c r="J4051" t="inlineStr">
        <is>
          <t>Singularity AMC</t>
        </is>
      </c>
      <c r="K4051" t="inlineStr">
        <is>
          <t>https://entrackr.com/news/d2c-athleisure-brand-blissclub-raises-rs-160-cr-in-series-b-led-by-singularity-amc-12238770</t>
        </is>
      </c>
    </row>
    <row r="4052">
      <c r="A4052" t="inlineStr">
        <is>
          <t>ET-133012970</t>
        </is>
      </c>
      <c r="B4052" t="inlineStr">
        <is>
          <t>R260807-blissclub</t>
        </is>
      </c>
      <c r="C4052" t="inlineStr">
        <is>
          <t>The Economic Times</t>
        </is>
      </c>
      <c r="D4052" s="17" t="n">
        <v>46241</v>
      </c>
      <c r="E4052" t="inlineStr">
        <is>
          <t>BlissClub</t>
        </is>
      </c>
      <c r="F4052" t="inlineStr">
        <is>
          <t>Rs 160 crore</t>
        </is>
      </c>
      <c r="G4052" s="19" t="n">
        <v>160</v>
      </c>
      <c r="H4052" s="19" t="n"/>
      <c r="I4052" t="inlineStr">
        <is>
          <t>Undisclosed</t>
        </is>
      </c>
      <c r="J4052" t="inlineStr">
        <is>
          <t>Singularity AMC</t>
        </is>
      </c>
      <c r="K4052" t="inlineStr">
        <is>
          <t>https://economictimes.indiatimes.com/tech/funding/d2c-activewear-brand-blissclub-raises-rs-160-crore-funding-led-by-singularity/articleshow/133012970.cms</t>
        </is>
      </c>
    </row>
    <row r="4053">
      <c r="A4053" t="inlineStr">
        <is>
          <t>INC-20260808-03</t>
        </is>
      </c>
      <c r="B4053" t="inlineStr">
        <is>
          <t>R260807-blissclub</t>
        </is>
      </c>
      <c r="C4053" t="inlineStr">
        <is>
          <t>Inc42</t>
        </is>
      </c>
      <c r="D4053" s="17" t="n">
        <v>46241</v>
      </c>
      <c r="E4053" t="inlineStr">
        <is>
          <t>BlissClub</t>
        </is>
      </c>
      <c r="F4053" t="inlineStr">
        <is>
          <t>$16.8 Mn</t>
        </is>
      </c>
      <c r="G4053" s="19" t="n"/>
      <c r="H4053" s="19" t="n">
        <v>16.8</v>
      </c>
      <c r="I4053" t="inlineStr">
        <is>
          <t>Undisclosed</t>
        </is>
      </c>
      <c r="J4053" t="inlineStr">
        <is>
          <t>Singularity AMC</t>
        </is>
      </c>
      <c r="K4053" t="inlineStr">
        <is>
          <t>https://inc42.com/buzz/from-river-mobility-to-blissclub-indian-startups-raised-274-mn-this-week/</t>
        </is>
      </c>
    </row>
    <row r="4054">
      <c r="A4054" t="inlineStr">
        <is>
          <t>ET-133001086</t>
        </is>
      </c>
      <c r="B4054" t="inlineStr">
        <is>
          <t>R260807-m2p</t>
        </is>
      </c>
      <c r="C4054" t="inlineStr">
        <is>
          <t>The Economic Times</t>
        </is>
      </c>
      <c r="D4054" s="17" t="n">
        <v>46241</v>
      </c>
      <c r="E4054" t="inlineStr">
        <is>
          <t>M2P</t>
        </is>
      </c>
      <c r="F4054" t="inlineStr">
        <is>
          <t>Rs 100 crore</t>
        </is>
      </c>
      <c r="G4054" s="19" t="n">
        <v>100</v>
      </c>
      <c r="H4054" s="19" t="n"/>
      <c r="I4054" t="inlineStr">
        <is>
          <t>Debt</t>
        </is>
      </c>
      <c r="J4054" t="inlineStr"/>
      <c r="K4054" t="inlineStr">
        <is>
          <t>https://economictimes.indiatimes.com/tech/funding/m2p-raises-rs-100-crore-debt-from-alteria-to-fund-ai-expansion/articleshow/133001086.cms</t>
        </is>
      </c>
    </row>
    <row r="4055">
      <c r="A4055" t="inlineStr">
        <is>
          <t>ENT-12246734</t>
        </is>
      </c>
      <c r="B4055" t="inlineStr">
        <is>
          <t>R260810-bakingo</t>
        </is>
      </c>
      <c r="C4055" t="inlineStr">
        <is>
          <t>Entrackr</t>
        </is>
      </c>
      <c r="D4055" s="17" t="n">
        <v>46244</v>
      </c>
      <c r="E4055" t="inlineStr">
        <is>
          <t>Bakingo</t>
        </is>
      </c>
      <c r="F4055" t="inlineStr">
        <is>
          <t>Rs 100 crore</t>
        </is>
      </c>
      <c r="G4055" s="19" t="n">
        <v>100</v>
      </c>
      <c r="H4055" s="19" t="n">
        <v>10.5</v>
      </c>
      <c r="I4055" t="inlineStr">
        <is>
          <t>Series B</t>
        </is>
      </c>
      <c r="J4055" t="inlineStr"/>
      <c r="K4055" t="inlineStr">
        <is>
          <t>https://entrackr.com/exclusive/exclusive-bakingo-raises-rs-100-cr-at-26x-higher-valuation-12246734</t>
        </is>
      </c>
    </row>
    <row r="4056">
      <c r="A4056" t="inlineStr">
        <is>
          <t>ET-133122577</t>
        </is>
      </c>
      <c r="B4056" t="inlineStr">
        <is>
          <t>R260810-discoveredmate</t>
        </is>
      </c>
      <c r="C4056" t="inlineStr">
        <is>
          <t>The Economic Times</t>
        </is>
      </c>
      <c r="D4056" s="17" t="n">
        <v>46244</v>
      </c>
      <c r="E4056" t="inlineStr">
        <is>
          <t>Discovered Materials</t>
        </is>
      </c>
      <c r="F4056" t="inlineStr">
        <is>
          <t>$9 million</t>
        </is>
      </c>
      <c r="G4056" s="19" t="n">
        <v>85</v>
      </c>
      <c r="H4056" s="19" t="n">
        <v>9</v>
      </c>
      <c r="I4056" t="inlineStr">
        <is>
          <t>Undisclosed</t>
        </is>
      </c>
      <c r="J4056" t="inlineStr">
        <is>
          <t>Lightspeed India Partners</t>
        </is>
      </c>
      <c r="K4056" t="inlineStr">
        <is>
          <t>https://economictimes.indiatimes.com/tech/funding/iit-madras-alumnis-discovered-materials-raises-9-million-from-lightspeed-yc-peak-xv/articleshow/133122577.cms</t>
        </is>
      </c>
    </row>
    <row r="4057">
      <c r="A4057" t="inlineStr">
        <is>
          <t>ENT-12249345</t>
        </is>
      </c>
      <c r="B4057" t="inlineStr">
        <is>
          <t>R260810-discoveredmate</t>
        </is>
      </c>
      <c r="C4057" t="inlineStr">
        <is>
          <t>Entrackr</t>
        </is>
      </c>
      <c r="D4057" s="17" t="n">
        <v>46245</v>
      </c>
      <c r="E4057" t="inlineStr">
        <is>
          <t>Discovered Materials</t>
        </is>
      </c>
      <c r="F4057" t="inlineStr">
        <is>
          <t>$9 million</t>
        </is>
      </c>
      <c r="G4057" s="19" t="n">
        <v>85</v>
      </c>
      <c r="H4057" s="19" t="n">
        <v>9</v>
      </c>
      <c r="I4057" t="inlineStr">
        <is>
          <t>Seed</t>
        </is>
      </c>
      <c r="J4057" t="inlineStr">
        <is>
          <t>Lightspeed India Partners</t>
        </is>
      </c>
      <c r="K4057" t="inlineStr">
        <is>
          <t>https://entrackr.com/news/lightspeed-india-leads-9-mn-seed-round-in-deep-tech-startup-discovered-materials-12249345</t>
        </is>
      </c>
    </row>
    <row r="4058">
      <c r="A4058" t="inlineStr">
        <is>
          <t>INC-20260815-03</t>
        </is>
      </c>
      <c r="B4058" t="inlineStr">
        <is>
          <t>R260810-discoveredmate</t>
        </is>
      </c>
      <c r="C4058" t="inlineStr">
        <is>
          <t>Inc42</t>
        </is>
      </c>
      <c r="D4058" s="17" t="n">
        <v>46245</v>
      </c>
      <c r="E4058" t="inlineStr">
        <is>
          <t>Discovered Materials</t>
        </is>
      </c>
      <c r="F4058" t="inlineStr">
        <is>
          <t>$9 Mn</t>
        </is>
      </c>
      <c r="G4058" s="19" t="n"/>
      <c r="H4058" s="19" t="n">
        <v>9</v>
      </c>
      <c r="I4058" t="inlineStr">
        <is>
          <t>Seed</t>
        </is>
      </c>
      <c r="J4058" t="inlineStr">
        <is>
          <t>Lightspeed India Partners</t>
        </is>
      </c>
      <c r="K4058" t="inlineStr">
        <is>
          <t>https://inc42.com/buzz/from-yulu-to-discovered-materials-indian-startups-raised-140-mn-this-week/</t>
        </is>
      </c>
    </row>
    <row r="4059">
      <c r="A4059" t="inlineStr">
        <is>
          <t>ENT-12249549</t>
        </is>
      </c>
      <c r="B4059" t="inlineStr">
        <is>
          <t>R260811-ayatidevices</t>
        </is>
      </c>
      <c r="C4059" t="inlineStr">
        <is>
          <t>Entrackr</t>
        </is>
      </c>
      <c r="D4059" s="17" t="n">
        <v>46245</v>
      </c>
      <c r="E4059" t="inlineStr">
        <is>
          <t>Ayati Devices</t>
        </is>
      </c>
      <c r="F4059" t="inlineStr">
        <is>
          <t>Rs 15 crore</t>
        </is>
      </c>
      <c r="G4059" s="19" t="n">
        <v>15</v>
      </c>
      <c r="H4059" s="19" t="n">
        <v>1.5</v>
      </c>
      <c r="I4059" t="inlineStr">
        <is>
          <t>Pre-Series A</t>
        </is>
      </c>
      <c r="J4059" t="inlineStr">
        <is>
          <t>Inflexor Ventures</t>
        </is>
      </c>
      <c r="K4059" t="inlineStr">
        <is>
          <t>https://entrackr.com/snippets/ayati-devices-raises-rs-15-cr-led-by-inflexor-ventures-in-pre-series-a-12249549</t>
        </is>
      </c>
    </row>
    <row r="4060">
      <c r="A4060" t="inlineStr">
        <is>
          <t>INC-20260815-05</t>
        </is>
      </c>
      <c r="B4060" t="inlineStr">
        <is>
          <t>R260811-ayatidevices</t>
        </is>
      </c>
      <c r="C4060" t="inlineStr">
        <is>
          <t>Inc42</t>
        </is>
      </c>
      <c r="D4060" s="17" t="n">
        <v>46245</v>
      </c>
      <c r="E4060" t="inlineStr">
        <is>
          <t>Ayati Devices</t>
        </is>
      </c>
      <c r="F4060" t="inlineStr">
        <is>
          <t>$1.6 Mn</t>
        </is>
      </c>
      <c r="G4060" s="19" t="n"/>
      <c r="H4060" s="19" t="n">
        <v>1.6</v>
      </c>
      <c r="I4060" t="inlineStr">
        <is>
          <t>Pre-Series A</t>
        </is>
      </c>
      <c r="J4060" t="inlineStr">
        <is>
          <t>Inflexor Ventures</t>
        </is>
      </c>
      <c r="K4060" t="inlineStr">
        <is>
          <t>https://inc42.com/buzz/from-yulu-to-discovered-materials-indian-startups-raised-140-mn-this-week/</t>
        </is>
      </c>
    </row>
    <row r="4061">
      <c r="A4061" t="inlineStr">
        <is>
          <t>ENT-12249334</t>
        </is>
      </c>
      <c r="B4061" t="inlineStr">
        <is>
          <t>R260811-freightfox</t>
        </is>
      </c>
      <c r="C4061" t="inlineStr">
        <is>
          <t>Entrackr</t>
        </is>
      </c>
      <c r="D4061" s="17" t="n">
        <v>46245</v>
      </c>
      <c r="E4061" t="inlineStr">
        <is>
          <t>FreightFox</t>
        </is>
      </c>
      <c r="F4061" t="inlineStr">
        <is>
          <t>Rs 5 crore</t>
        </is>
      </c>
      <c r="G4061" s="19" t="n">
        <v>5</v>
      </c>
      <c r="H4061" s="19" t="n"/>
      <c r="I4061" t="inlineStr">
        <is>
          <t>Pre-Series A</t>
        </is>
      </c>
      <c r="J4061" t="inlineStr">
        <is>
          <t>HighLeaf</t>
        </is>
      </c>
      <c r="K4061" t="inlineStr">
        <is>
          <t>https://entrackr.com/snippets/highleaf-leads-rs-5-cr-pre-series-a-round-in-freightfox-12249334</t>
        </is>
      </c>
    </row>
    <row r="4062">
      <c r="A4062" t="inlineStr">
        <is>
          <t>INC-20260815-09</t>
        </is>
      </c>
      <c r="B4062" t="inlineStr">
        <is>
          <t>R260811-freightfox</t>
        </is>
      </c>
      <c r="C4062" t="inlineStr">
        <is>
          <t>Inc42</t>
        </is>
      </c>
      <c r="D4062" s="17" t="n">
        <v>46245</v>
      </c>
      <c r="E4062" t="inlineStr">
        <is>
          <t>FreightFox</t>
        </is>
      </c>
      <c r="F4062" t="inlineStr">
        <is>
          <t>$524K</t>
        </is>
      </c>
      <c r="G4062" s="19" t="n"/>
      <c r="H4062" s="19" t="n">
        <v>0.524</v>
      </c>
      <c r="I4062" t="inlineStr">
        <is>
          <t>Pre-Series A</t>
        </is>
      </c>
      <c r="J4062" t="inlineStr">
        <is>
          <t>HighLeaf</t>
        </is>
      </c>
      <c r="K4062" t="inlineStr">
        <is>
          <t>https://inc42.com/buzz/from-yulu-to-discovered-materials-indian-startups-raised-140-mn-this-week/</t>
        </is>
      </c>
    </row>
    <row r="4063">
      <c r="A4063" t="inlineStr">
        <is>
          <t>ENT-12250059</t>
        </is>
      </c>
      <c r="B4063" t="inlineStr">
        <is>
          <t>R260811-vectonai</t>
        </is>
      </c>
      <c r="C4063" t="inlineStr">
        <is>
          <t>Entrackr</t>
        </is>
      </c>
      <c r="D4063" s="17" t="n">
        <v>46245</v>
      </c>
      <c r="E4063" t="inlineStr">
        <is>
          <t>Vecton AI</t>
        </is>
      </c>
      <c r="F4063" t="inlineStr">
        <is>
          <t>Rs 6 crore</t>
        </is>
      </c>
      <c r="G4063" s="19" t="n">
        <v>6</v>
      </c>
      <c r="H4063" s="19" t="n"/>
      <c r="I4063" t="inlineStr">
        <is>
          <t>Pre-Seed</t>
        </is>
      </c>
      <c r="J4063" t="inlineStr">
        <is>
          <t>Zeropearl VC</t>
        </is>
      </c>
      <c r="K4063" t="inlineStr">
        <is>
          <t>https://entrackr.com/snippets/vecton-ai-raises-rs-6-cr-in-pre-seed-round-led-by-zeropearl-vc-12250059</t>
        </is>
      </c>
    </row>
    <row r="4064">
      <c r="A4064" t="inlineStr">
        <is>
          <t>INC-20260815-08</t>
        </is>
      </c>
      <c r="B4064" t="inlineStr">
        <is>
          <t>R260811-vectonai</t>
        </is>
      </c>
      <c r="C4064" t="inlineStr">
        <is>
          <t>Inc42</t>
        </is>
      </c>
      <c r="D4064" s="17" t="n">
        <v>46245</v>
      </c>
      <c r="E4064" t="inlineStr">
        <is>
          <t>Vecton AI</t>
        </is>
      </c>
      <c r="F4064" t="inlineStr">
        <is>
          <t>$629K</t>
        </is>
      </c>
      <c r="G4064" s="19" t="n"/>
      <c r="H4064" s="19" t="n">
        <v>0.629</v>
      </c>
      <c r="I4064" t="inlineStr">
        <is>
          <t>Pre-Seed</t>
        </is>
      </c>
      <c r="J4064" t="inlineStr">
        <is>
          <t>Zeropearl VC</t>
        </is>
      </c>
      <c r="K4064" t="inlineStr">
        <is>
          <t>https://inc42.com/buzz/from-yulu-to-discovered-materials-indian-startups-raised-140-mn-this-week/</t>
        </is>
      </c>
    </row>
    <row r="4065">
      <c r="A4065" t="inlineStr">
        <is>
          <t>ENT-12252550</t>
        </is>
      </c>
      <c r="B4065" t="inlineStr">
        <is>
          <t>R260812-lane</t>
        </is>
      </c>
      <c r="C4065" t="inlineStr">
        <is>
          <t>Entrackr</t>
        </is>
      </c>
      <c r="D4065" s="17" t="n">
        <v>46246</v>
      </c>
      <c r="E4065" t="inlineStr">
        <is>
          <t>Lane</t>
        </is>
      </c>
      <c r="F4065" t="inlineStr">
        <is>
          <t>Rs 8.5 crore</t>
        </is>
      </c>
      <c r="G4065" s="19" t="n">
        <v>8.5</v>
      </c>
      <c r="H4065" s="19" t="n"/>
      <c r="I4065" t="inlineStr">
        <is>
          <t>Pre-Seed</t>
        </is>
      </c>
      <c r="J4065" t="inlineStr">
        <is>
          <t>Kae Capital</t>
        </is>
      </c>
      <c r="K4065" t="inlineStr">
        <is>
          <t>https://entrackr.com/snippets/kae-capital-leads-rs-85-cr-pre-seed-round-in-lane-12252550</t>
        </is>
      </c>
    </row>
    <row r="4066">
      <c r="A4066" t="inlineStr">
        <is>
          <t>INC-20260815-07</t>
        </is>
      </c>
      <c r="B4066" t="inlineStr">
        <is>
          <t>R260812-lane</t>
        </is>
      </c>
      <c r="C4066" t="inlineStr">
        <is>
          <t>Inc42</t>
        </is>
      </c>
      <c r="D4066" s="17" t="n">
        <v>46246</v>
      </c>
      <c r="E4066" t="inlineStr">
        <is>
          <t>Lane</t>
        </is>
      </c>
      <c r="F4066" t="inlineStr">
        <is>
          <t>$891K</t>
        </is>
      </c>
      <c r="G4066" s="19" t="n"/>
      <c r="H4066" s="19" t="n">
        <v>0.891</v>
      </c>
      <c r="I4066" t="inlineStr">
        <is>
          <t>Undisclosed</t>
        </is>
      </c>
      <c r="J4066" t="inlineStr">
        <is>
          <t>Kae Capital</t>
        </is>
      </c>
      <c r="K4066" t="inlineStr">
        <is>
          <t>https://inc42.com/buzz/from-yulu-to-discovered-materials-indian-startups-raised-140-mn-this-week/</t>
        </is>
      </c>
    </row>
    <row r="4067">
      <c r="A4067" t="inlineStr">
        <is>
          <t>ENT-12254263</t>
        </is>
      </c>
      <c r="B4067" t="inlineStr">
        <is>
          <t>R260812-quarkitech</t>
        </is>
      </c>
      <c r="C4067" t="inlineStr">
        <is>
          <t>Entrackr</t>
        </is>
      </c>
      <c r="D4067" s="17" t="n">
        <v>46246</v>
      </c>
      <c r="E4067" t="inlineStr">
        <is>
          <t>Quarkitech</t>
        </is>
      </c>
      <c r="F4067" t="inlineStr">
        <is>
          <t>Rs 2 crore</t>
        </is>
      </c>
      <c r="G4067" s="19" t="n">
        <v>2</v>
      </c>
      <c r="H4067" s="19" t="n"/>
      <c r="I4067" t="inlineStr">
        <is>
          <t>Pre-Seed</t>
        </is>
      </c>
      <c r="J4067" t="inlineStr"/>
      <c r="K4067" t="inlineStr">
        <is>
          <t>https://entrackr.com/snippets/deep-tech-startup-quarkitech-raises-pre-seed-funding-12254263</t>
        </is>
      </c>
    </row>
    <row r="4068">
      <c r="A4068" t="inlineStr">
        <is>
          <t>INC-20260815-11</t>
        </is>
      </c>
      <c r="B4068" t="inlineStr">
        <is>
          <t>R260812-quarkitech</t>
        </is>
      </c>
      <c r="C4068" t="inlineStr">
        <is>
          <t>Inc42</t>
        </is>
      </c>
      <c r="D4068" s="17" t="n">
        <v>46246</v>
      </c>
      <c r="E4068" t="inlineStr">
        <is>
          <t>Quarkitech</t>
        </is>
      </c>
      <c r="F4068" t="inlineStr">
        <is>
          <t>$210K</t>
        </is>
      </c>
      <c r="G4068" s="19" t="n"/>
      <c r="H4068" s="19" t="n">
        <v>0.21</v>
      </c>
      <c r="I4068" t="inlineStr">
        <is>
          <t>Pre-Seed</t>
        </is>
      </c>
      <c r="J4068" t="inlineStr">
        <is>
          <t>Artha Access</t>
        </is>
      </c>
      <c r="K4068" t="inlineStr">
        <is>
          <t>https://inc42.com/buzz/from-yulu-to-discovered-materials-indian-startups-raised-140-mn-this-week/</t>
        </is>
      </c>
    </row>
    <row r="4069">
      <c r="A4069" t="inlineStr">
        <is>
          <t>ENT-12252576</t>
        </is>
      </c>
      <c r="B4069" t="inlineStr">
        <is>
          <t>R260812-wippi</t>
        </is>
      </c>
      <c r="C4069" t="inlineStr">
        <is>
          <t>Entrackr</t>
        </is>
      </c>
      <c r="D4069" s="17" t="n">
        <v>46246</v>
      </c>
      <c r="E4069" t="inlineStr">
        <is>
          <t>Wippi</t>
        </is>
      </c>
      <c r="F4069" t="inlineStr">
        <is>
          <t>$1.2 million</t>
        </is>
      </c>
      <c r="G4069" s="19" t="n"/>
      <c r="H4069" s="19" t="n">
        <v>1.2</v>
      </c>
      <c r="I4069" t="inlineStr">
        <is>
          <t>Seed</t>
        </is>
      </c>
      <c r="J4069" t="inlineStr">
        <is>
          <t>12 Flags</t>
        </is>
      </c>
      <c r="K4069" t="inlineStr">
        <is>
          <t>https://entrackr.com/snippets/wippi-raises-12-mn-in-seed-round-led-by-12-flags-12252576</t>
        </is>
      </c>
    </row>
    <row r="4070">
      <c r="A4070" t="inlineStr">
        <is>
          <t>INC-20260815-06</t>
        </is>
      </c>
      <c r="B4070" t="inlineStr">
        <is>
          <t>R260812-wippi</t>
        </is>
      </c>
      <c r="C4070" t="inlineStr">
        <is>
          <t>Inc42</t>
        </is>
      </c>
      <c r="D4070" s="17" t="n">
        <v>46246</v>
      </c>
      <c r="E4070" t="inlineStr">
        <is>
          <t>Wippi</t>
        </is>
      </c>
      <c r="F4070" t="inlineStr">
        <is>
          <t>$1.2 Mn</t>
        </is>
      </c>
      <c r="G4070" s="19" t="n"/>
      <c r="H4070" s="19" t="n">
        <v>1.2</v>
      </c>
      <c r="I4070" t="inlineStr">
        <is>
          <t>Seed</t>
        </is>
      </c>
      <c r="J4070" t="inlineStr">
        <is>
          <t>12 Flags</t>
        </is>
      </c>
      <c r="K4070" t="inlineStr">
        <is>
          <t>https://inc42.com/buzz/from-yulu-to-discovered-materials-indian-startups-raised-140-mn-this-week/</t>
        </is>
      </c>
    </row>
    <row r="4071">
      <c r="A4071" t="inlineStr">
        <is>
          <t>ENT-12252594</t>
        </is>
      </c>
      <c r="B4071" t="inlineStr">
        <is>
          <t>R260812-yulu</t>
        </is>
      </c>
      <c r="C4071" t="inlineStr">
        <is>
          <t>Entrackr</t>
        </is>
      </c>
      <c r="D4071" s="17" t="n">
        <v>46246</v>
      </c>
      <c r="E4071" t="inlineStr">
        <is>
          <t>Yulu</t>
        </is>
      </c>
      <c r="F4071" t="inlineStr">
        <is>
          <t>$93 million</t>
        </is>
      </c>
      <c r="G4071" s="19" t="n"/>
      <c r="H4071" s="19" t="n">
        <v>93</v>
      </c>
      <c r="I4071" t="inlineStr">
        <is>
          <t>Series C</t>
        </is>
      </c>
      <c r="J4071" t="inlineStr">
        <is>
          <t>GEF Capital Partners</t>
        </is>
      </c>
      <c r="K4071" t="inlineStr">
        <is>
          <t>https://entrackr.com/news/yulu-raises-93-mn-in-series-c-round-led-by-gef-capital-12252594</t>
        </is>
      </c>
    </row>
    <row r="4072">
      <c r="A4072" t="inlineStr">
        <is>
          <t>ET-133170636</t>
        </is>
      </c>
      <c r="B4072" t="inlineStr">
        <is>
          <t>R260812-yulu</t>
        </is>
      </c>
      <c r="C4072" t="inlineStr">
        <is>
          <t>The Economic Times</t>
        </is>
      </c>
      <c r="D4072" s="17" t="n">
        <v>46246</v>
      </c>
      <c r="E4072" t="inlineStr">
        <is>
          <t>Yulu</t>
        </is>
      </c>
      <c r="F4072" t="inlineStr">
        <is>
          <t>$93 million</t>
        </is>
      </c>
      <c r="G4072" s="19" t="n"/>
      <c r="H4072" s="19" t="n">
        <v>93</v>
      </c>
      <c r="I4072" t="inlineStr">
        <is>
          <t>Undisclosed</t>
        </is>
      </c>
      <c r="J4072" t="inlineStr"/>
      <c r="K4072" t="inlineStr">
        <is>
          <t>https://economictimes.indiatimes.com/tech/funding/electric-mobility-startup-yulu-raises-93-million-in-equity-debt-to-expand-ev-fleet/articleshow/133170636.cms</t>
        </is>
      </c>
    </row>
    <row r="4073">
      <c r="A4073" t="inlineStr">
        <is>
          <t>INC-20260815-01</t>
        </is>
      </c>
      <c r="B4073" t="inlineStr">
        <is>
          <t>R260812-yulu</t>
        </is>
      </c>
      <c r="C4073" t="inlineStr">
        <is>
          <t>Inc42</t>
        </is>
      </c>
      <c r="D4073" s="17" t="n">
        <v>46246</v>
      </c>
      <c r="E4073" t="inlineStr">
        <is>
          <t>Yulu</t>
        </is>
      </c>
      <c r="F4073" t="inlineStr">
        <is>
          <t>$93 Mn</t>
        </is>
      </c>
      <c r="G4073" s="19" t="n"/>
      <c r="H4073" s="19" t="n">
        <v>93</v>
      </c>
      <c r="I4073" t="inlineStr">
        <is>
          <t>Series C</t>
        </is>
      </c>
      <c r="J4073" t="inlineStr">
        <is>
          <t>GEF Capital Partners</t>
        </is>
      </c>
      <c r="K4073" t="inlineStr">
        <is>
          <t>https://inc42.com/buzz/from-yulu-to-discovered-materials-indian-startups-raised-140-mn-this-week/</t>
        </is>
      </c>
    </row>
    <row r="4074">
      <c r="A4074" t="inlineStr">
        <is>
          <t>ET-133187342</t>
        </is>
      </c>
      <c r="B4074" t="inlineStr">
        <is>
          <t>R260813-blacksmith</t>
        </is>
      </c>
      <c r="C4074" t="inlineStr">
        <is>
          <t>The Economic Times</t>
        </is>
      </c>
      <c r="D4074" s="17" t="n">
        <v>46246</v>
      </c>
      <c r="E4074" t="inlineStr">
        <is>
          <t>Blacksmith</t>
        </is>
      </c>
      <c r="F4074" t="inlineStr">
        <is>
          <t>$45 million</t>
        </is>
      </c>
      <c r="G4074" s="19" t="n"/>
      <c r="H4074" s="19" t="n">
        <v>45</v>
      </c>
      <c r="I4074" t="inlineStr">
        <is>
          <t>Undisclosed</t>
        </is>
      </c>
      <c r="J4074" t="inlineStr">
        <is>
          <t>Peak XV Partners</t>
        </is>
      </c>
      <c r="K4074" t="inlineStr">
        <is>
          <t>https://economictimes.indiatimes.com/tech/funding/ai-code-testing-platform-blacksmith-raises-45-million-led-by-peak-xv-valued-at-550-million/articleshow/133187342.cms</t>
        </is>
      </c>
    </row>
    <row r="4075">
      <c r="A4075" t="inlineStr">
        <is>
          <t>ENT-12255973</t>
        </is>
      </c>
      <c r="B4075" t="inlineStr">
        <is>
          <t>R260813-blacksmith</t>
        </is>
      </c>
      <c r="C4075" t="inlineStr">
        <is>
          <t>Entrackr</t>
        </is>
      </c>
      <c r="D4075" s="17" t="n">
        <v>46247</v>
      </c>
      <c r="E4075" t="inlineStr">
        <is>
          <t>Blacksmith</t>
        </is>
      </c>
      <c r="F4075" t="inlineStr">
        <is>
          <t>$45 million</t>
        </is>
      </c>
      <c r="G4075" s="19" t="n"/>
      <c r="H4075" s="19" t="n">
        <v>45</v>
      </c>
      <c r="I4075" t="inlineStr">
        <is>
          <t>Series B</t>
        </is>
      </c>
      <c r="J4075" t="inlineStr">
        <is>
          <t>Peak XV Partners</t>
        </is>
      </c>
      <c r="K4075" t="inlineStr">
        <is>
          <t>https://entrackr.com/news/ai-code-testing-platform-blacksmith-raises-45-mn-in-series-b-led-by-peak-xv-12255973</t>
        </is>
      </c>
    </row>
    <row r="4076">
      <c r="A4076" t="inlineStr">
        <is>
          <t>ENT-12255713</t>
        </is>
      </c>
      <c r="B4076" t="inlineStr">
        <is>
          <t>R260813-centricity</t>
        </is>
      </c>
      <c r="C4076" t="inlineStr">
        <is>
          <t>Entrackr</t>
        </is>
      </c>
      <c r="D4076" s="17" t="n">
        <v>46247</v>
      </c>
      <c r="E4076" t="inlineStr">
        <is>
          <t>Centricity</t>
        </is>
      </c>
      <c r="F4076" t="inlineStr">
        <is>
          <t>Rs 280 crore</t>
        </is>
      </c>
      <c r="G4076" s="19" t="n">
        <v>280</v>
      </c>
      <c r="H4076" s="19" t="n">
        <v>30</v>
      </c>
      <c r="I4076" t="inlineStr">
        <is>
          <t>Series A</t>
        </is>
      </c>
      <c r="J4076" t="inlineStr">
        <is>
          <t>SMBC Asia Rising Fund</t>
        </is>
      </c>
      <c r="K4076" t="inlineStr">
        <is>
          <t>https://entrackr.com/news/centricity-raises-rs-280-cr-in-series-a-round-led-by-smbc-asia-rising-fund-12255713</t>
        </is>
      </c>
    </row>
    <row r="4077">
      <c r="A4077" t="inlineStr">
        <is>
          <t>ET-133190809</t>
        </is>
      </c>
      <c r="B4077" t="inlineStr">
        <is>
          <t>R260813-centricity</t>
        </is>
      </c>
      <c r="C4077" t="inlineStr">
        <is>
          <t>The Economic Times</t>
        </is>
      </c>
      <c r="D4077" s="17" t="n">
        <v>46247</v>
      </c>
      <c r="E4077" t="inlineStr">
        <is>
          <t>Centricity</t>
        </is>
      </c>
      <c r="F4077" t="inlineStr">
        <is>
          <t>Rs 280 crore</t>
        </is>
      </c>
      <c r="G4077" s="19" t="n">
        <v>280</v>
      </c>
      <c r="H4077" s="19" t="n"/>
      <c r="I4077" t="inlineStr">
        <is>
          <t>Undisclosed</t>
        </is>
      </c>
      <c r="J4077" t="inlineStr">
        <is>
          <t>SMBC Asia Rising Fund</t>
        </is>
      </c>
      <c r="K4077" t="inlineStr">
        <is>
          <t>https://economictimes.indiatimes.com/tech/funding/wealthtech-firm-centricity-raises-rs-280-crore-funding-led-by-smbc/articleshow/133190809.cms</t>
        </is>
      </c>
    </row>
    <row r="4078">
      <c r="A4078" t="inlineStr">
        <is>
          <t>INC-20260815-02</t>
        </is>
      </c>
      <c r="B4078" t="inlineStr">
        <is>
          <t>R260813-centricity</t>
        </is>
      </c>
      <c r="C4078" t="inlineStr">
        <is>
          <t>Inc42</t>
        </is>
      </c>
      <c r="D4078" s="17" t="n">
        <v>46247</v>
      </c>
      <c r="E4078" t="inlineStr">
        <is>
          <t>Centricity</t>
        </is>
      </c>
      <c r="F4078" t="inlineStr">
        <is>
          <t>$29 Mn</t>
        </is>
      </c>
      <c r="G4078" s="19" t="n"/>
      <c r="H4078" s="19" t="n">
        <v>29</v>
      </c>
      <c r="I4078" t="inlineStr">
        <is>
          <t>Undisclosed</t>
        </is>
      </c>
      <c r="J4078" t="inlineStr">
        <is>
          <t>SMBC Asia Rising Fund</t>
        </is>
      </c>
      <c r="K4078" t="inlineStr">
        <is>
          <t>https://inc42.com/buzz/from-yulu-to-discovered-materials-indian-startups-raised-140-mn-this-week/</t>
        </is>
      </c>
    </row>
    <row r="4079">
      <c r="A4079" t="inlineStr">
        <is>
          <t>INC-20260815-10</t>
        </is>
      </c>
      <c r="B4079" t="inlineStr">
        <is>
          <t>R260813-invisel</t>
        </is>
      </c>
      <c r="C4079" t="inlineStr">
        <is>
          <t>Inc42</t>
        </is>
      </c>
      <c r="D4079" s="17" t="n">
        <v>46247</v>
      </c>
      <c r="E4079" t="inlineStr">
        <is>
          <t>Invisel</t>
        </is>
      </c>
      <c r="F4079" t="inlineStr">
        <is>
          <t>$420K</t>
        </is>
      </c>
      <c r="G4079" s="19" t="n"/>
      <c r="H4079" s="19" t="n">
        <v>0.42</v>
      </c>
      <c r="I4079" t="inlineStr">
        <is>
          <t>Undisclosed</t>
        </is>
      </c>
      <c r="J4079" t="inlineStr">
        <is>
          <t>IAN Group</t>
        </is>
      </c>
      <c r="K4079" t="inlineStr">
        <is>
          <t>https://inc42.com/buzz/from-yulu-to-discovered-materials-indian-startups-raised-140-mn-this-week/</t>
        </is>
      </c>
    </row>
    <row r="4080">
      <c r="A4080" t="inlineStr">
        <is>
          <t>INC-20260815-12</t>
        </is>
      </c>
      <c r="B4080" t="inlineStr">
        <is>
          <t>R260813-kshatralabs</t>
        </is>
      </c>
      <c r="C4080" t="inlineStr">
        <is>
          <t>Inc42</t>
        </is>
      </c>
      <c r="D4080" s="17" t="n">
        <v>46247</v>
      </c>
      <c r="E4080" t="inlineStr">
        <is>
          <t>KshatraLabs</t>
        </is>
      </c>
      <c r="F4080" t="inlineStr"/>
      <c r="G4080" s="19" t="n"/>
      <c r="H4080" s="19" t="n"/>
      <c r="I4080" t="inlineStr">
        <is>
          <t>Undisclosed</t>
        </is>
      </c>
      <c r="J4080" t="inlineStr">
        <is>
          <t>Finvolve; India Accelerator</t>
        </is>
      </c>
      <c r="K4080" t="inlineStr">
        <is>
          <t>https://inc42.com/buzz/from-yulu-to-discovered-materials-indian-startups-raised-140-mn-this-week/</t>
        </is>
      </c>
    </row>
    <row r="4081">
      <c r="A4081" t="inlineStr">
        <is>
          <t>ENT-12256241</t>
        </is>
      </c>
      <c r="B4081" t="inlineStr">
        <is>
          <t>R260813-scrubsy</t>
        </is>
      </c>
      <c r="C4081" t="inlineStr">
        <is>
          <t>Entrackr</t>
        </is>
      </c>
      <c r="D4081" s="17" t="n">
        <v>46247</v>
      </c>
      <c r="E4081" t="inlineStr">
        <is>
          <t>Scrubsy</t>
        </is>
      </c>
      <c r="F4081" t="inlineStr">
        <is>
          <t>Rs 27 crore</t>
        </is>
      </c>
      <c r="G4081" s="19" t="n">
        <v>27</v>
      </c>
      <c r="H4081" s="19" t="n">
        <v>3</v>
      </c>
      <c r="I4081" t="inlineStr">
        <is>
          <t>Undisclosed</t>
        </is>
      </c>
      <c r="J4081" t="inlineStr"/>
      <c r="K4081" t="inlineStr">
        <is>
          <t>https://entrackr.com/snippets/home-cleaning-products-startup-scrubsy-raises-rs-27-cr-from-v3-ventures-12256241</t>
        </is>
      </c>
    </row>
    <row r="4082">
      <c r="A4082" t="inlineStr">
        <is>
          <t>ET-133199108</t>
        </is>
      </c>
      <c r="B4082" t="inlineStr">
        <is>
          <t>R260813-scrubsy</t>
        </is>
      </c>
      <c r="C4082" t="inlineStr">
        <is>
          <t>The Economic Times</t>
        </is>
      </c>
      <c r="D4082" s="17" t="n">
        <v>46247</v>
      </c>
      <c r="E4082" t="inlineStr">
        <is>
          <t>Scrubsy</t>
        </is>
      </c>
      <c r="F4082" t="inlineStr">
        <is>
          <t>Rs 27 crore</t>
        </is>
      </c>
      <c r="G4082" s="19" t="n">
        <v>27</v>
      </c>
      <c r="H4082" s="19" t="n"/>
      <c r="I4082" t="inlineStr">
        <is>
          <t>Undisclosed</t>
        </is>
      </c>
      <c r="J4082" t="inlineStr"/>
      <c r="K4082" t="inlineStr">
        <is>
          <t>https://economictimes.indiatimes.com/tech/funding/home-cleaning-products-startup-scrubsy-raises-rs-27-crore-from-v3-ventures/articleshow/133199108.cms</t>
        </is>
      </c>
    </row>
    <row r="4083">
      <c r="A4083" t="inlineStr">
        <is>
          <t>INC-20260815-04</t>
        </is>
      </c>
      <c r="B4083" t="inlineStr">
        <is>
          <t>R260813-scrubsy</t>
        </is>
      </c>
      <c r="C4083" t="inlineStr">
        <is>
          <t>Inc42</t>
        </is>
      </c>
      <c r="D4083" s="17" t="n">
        <v>46247</v>
      </c>
      <c r="E4083" t="inlineStr">
        <is>
          <t>Scrubsy</t>
        </is>
      </c>
      <c r="F4083" t="inlineStr">
        <is>
          <t>$3 Mn</t>
        </is>
      </c>
      <c r="G4083" s="19" t="n"/>
      <c r="H4083" s="19" t="n">
        <v>3</v>
      </c>
      <c r="I4083" t="inlineStr">
        <is>
          <t>Seed</t>
        </is>
      </c>
      <c r="J4083" t="inlineStr">
        <is>
          <t>V3 Ventures</t>
        </is>
      </c>
      <c r="K4083" t="inlineStr">
        <is>
          <t>https://inc42.com/buzz/from-yulu-to-discovered-materials-indian-startups-raised-140-mn-this-week/</t>
        </is>
      </c>
    </row>
    <row r="4084">
      <c r="A4084" t="inlineStr">
        <is>
          <t>ENT-12267830</t>
        </is>
      </c>
      <c r="B4084" t="inlineStr">
        <is>
          <t>R260817-dehaathonestfa</t>
        </is>
      </c>
      <c r="C4084" t="inlineStr">
        <is>
          <t>Entrackr</t>
        </is>
      </c>
      <c r="D4084" s="17" t="n">
        <v>46251</v>
      </c>
      <c r="E4084" t="inlineStr">
        <is>
          <t>DeHaat Honest Farms</t>
        </is>
      </c>
      <c r="F4084" t="inlineStr">
        <is>
          <t>Rs 35 crore</t>
        </is>
      </c>
      <c r="G4084" s="19" t="n">
        <v>35</v>
      </c>
      <c r="H4084" s="19" t="n"/>
      <c r="I4084" t="inlineStr">
        <is>
          <t>Pre-Series A</t>
        </is>
      </c>
      <c r="J4084" t="inlineStr">
        <is>
          <t>OTP Ventures</t>
        </is>
      </c>
      <c r="K4084" t="inlineStr">
        <is>
          <t>https://entrackr.com/snippets/otp-ventures-leads-rs-35-cr-pre-series-a-round-in-dehaat-honest-farms-12267830</t>
        </is>
      </c>
    </row>
    <row r="4085">
      <c r="A4085" t="inlineStr">
        <is>
          <t>INC-20260822-10</t>
        </is>
      </c>
      <c r="B4085" t="inlineStr">
        <is>
          <t>R260817-dehaathonestfa</t>
        </is>
      </c>
      <c r="C4085" t="inlineStr">
        <is>
          <t>Inc42</t>
        </is>
      </c>
      <c r="D4085" s="17" t="n">
        <v>46252</v>
      </c>
      <c r="E4085" t="inlineStr">
        <is>
          <t>DeHaat Honest Farms</t>
        </is>
      </c>
      <c r="F4085" t="inlineStr">
        <is>
          <t>$3.6 Mn</t>
        </is>
      </c>
      <c r="G4085" s="19" t="n"/>
      <c r="H4085" s="19" t="n">
        <v>3.6</v>
      </c>
      <c r="I4085" t="inlineStr">
        <is>
          <t>Pre-Series A</t>
        </is>
      </c>
      <c r="J4085" t="inlineStr">
        <is>
          <t>OTP Ventures</t>
        </is>
      </c>
      <c r="K4085" t="inlineStr">
        <is>
          <t>https://inc42.com/buzz/from-navi-to-bookmyshow-indian-startups-raised-over-233-mn-this-week/</t>
        </is>
      </c>
    </row>
    <row r="4086">
      <c r="A4086" t="inlineStr">
        <is>
          <t>ENT-12391763</t>
        </is>
      </c>
      <c r="B4086" t="inlineStr">
        <is>
          <t>R260818-lissun</t>
        </is>
      </c>
      <c r="C4086" t="inlineStr">
        <is>
          <t>Entrackr</t>
        </is>
      </c>
      <c r="D4086" s="17" t="n">
        <v>46252</v>
      </c>
      <c r="E4086" t="inlineStr">
        <is>
          <t>Lissun</t>
        </is>
      </c>
      <c r="F4086" t="inlineStr">
        <is>
          <t>Rs 48 crore</t>
        </is>
      </c>
      <c r="G4086" s="19" t="n">
        <v>48</v>
      </c>
      <c r="H4086" s="19" t="n"/>
      <c r="I4086" t="inlineStr">
        <is>
          <t>Series A</t>
        </is>
      </c>
      <c r="J4086" t="inlineStr">
        <is>
          <t>Colossa Ventures</t>
        </is>
      </c>
      <c r="K4086" t="inlineStr">
        <is>
          <t>https://entrackr.com/snippets/health-tech-platform-lissun-raises-rs-48-cr-in-series-a-led-by-colossa-ventures-12391763</t>
        </is>
      </c>
    </row>
    <row r="4087">
      <c r="A4087" t="inlineStr">
        <is>
          <t>INC-20260822-09</t>
        </is>
      </c>
      <c r="B4087" t="inlineStr">
        <is>
          <t>R260818-lissun</t>
        </is>
      </c>
      <c r="C4087" t="inlineStr">
        <is>
          <t>Inc42</t>
        </is>
      </c>
      <c r="D4087" s="17" t="n">
        <v>46252</v>
      </c>
      <c r="E4087" t="inlineStr">
        <is>
          <t>LISSUN</t>
        </is>
      </c>
      <c r="F4087" t="inlineStr">
        <is>
          <t>$5 Mn</t>
        </is>
      </c>
      <c r="G4087" s="19" t="n"/>
      <c r="H4087" s="19" t="n">
        <v>5</v>
      </c>
      <c r="I4087" t="inlineStr">
        <is>
          <t>Series A</t>
        </is>
      </c>
      <c r="J4087" t="inlineStr">
        <is>
          <t>Colossa Ventures</t>
        </is>
      </c>
      <c r="K4087" t="inlineStr">
        <is>
          <t>https://inc42.com/buzz/from-navi-to-bookmyshow-indian-startups-raised-over-233-mn-this-week/</t>
        </is>
      </c>
    </row>
    <row r="4088">
      <c r="A4088" t="inlineStr">
        <is>
          <t>INC-20260822-04</t>
        </is>
      </c>
      <c r="B4088" t="inlineStr">
        <is>
          <t>R260818-neogeo</t>
        </is>
      </c>
      <c r="C4088" t="inlineStr">
        <is>
          <t>Inc42</t>
        </is>
      </c>
      <c r="D4088" s="17" t="n">
        <v>46252</v>
      </c>
      <c r="E4088" t="inlineStr">
        <is>
          <t>NeoGeo</t>
        </is>
      </c>
      <c r="F4088" t="inlineStr">
        <is>
          <t>$20 Mn</t>
        </is>
      </c>
      <c r="G4088" s="19" t="n"/>
      <c r="H4088" s="19" t="n">
        <v>20</v>
      </c>
      <c r="I4088" t="inlineStr">
        <is>
          <t>Series A</t>
        </is>
      </c>
      <c r="J4088" t="inlineStr">
        <is>
          <t>SBI Ventures; Aavishkaar Capital</t>
        </is>
      </c>
      <c r="K4088" t="inlineStr">
        <is>
          <t>https://inc42.com/buzz/from-navi-to-bookmyshow-indian-startups-raised-over-233-mn-this-week/</t>
        </is>
      </c>
    </row>
    <row r="4089">
      <c r="A4089" t="inlineStr">
        <is>
          <t>ENT-12391129</t>
        </is>
      </c>
      <c r="B4089" t="inlineStr">
        <is>
          <t>R260818-rezolv</t>
        </is>
      </c>
      <c r="C4089" t="inlineStr">
        <is>
          <t>Entrackr</t>
        </is>
      </c>
      <c r="D4089" s="17" t="n">
        <v>46252</v>
      </c>
      <c r="E4089" t="inlineStr">
        <is>
          <t>Rezolv</t>
        </is>
      </c>
      <c r="F4089" t="inlineStr">
        <is>
          <t>$12.5 million</t>
        </is>
      </c>
      <c r="G4089" s="19" t="n"/>
      <c r="H4089" s="19" t="n">
        <v>12.5</v>
      </c>
      <c r="I4089" t="inlineStr">
        <is>
          <t>Series A</t>
        </is>
      </c>
      <c r="J4089" t="inlineStr">
        <is>
          <t>Norwest</t>
        </is>
      </c>
      <c r="K4089" t="inlineStr">
        <is>
          <t>https://entrackr.com/news/norwest-leads-125-mn-series-a-round-in-ai-lending-tech-platform-rezolv-12391129</t>
        </is>
      </c>
    </row>
    <row r="4090">
      <c r="A4090" t="inlineStr">
        <is>
          <t>ET-133306381</t>
        </is>
      </c>
      <c r="B4090" t="inlineStr">
        <is>
          <t>R260818-rezolv</t>
        </is>
      </c>
      <c r="C4090" t="inlineStr">
        <is>
          <t>The Economic Times</t>
        </is>
      </c>
      <c r="D4090" s="17" t="n">
        <v>46252</v>
      </c>
      <c r="E4090" t="inlineStr">
        <is>
          <t>Rezolv</t>
        </is>
      </c>
      <c r="F4090" t="inlineStr">
        <is>
          <t>$12.5 million</t>
        </is>
      </c>
      <c r="G4090" s="19" t="n">
        <v>120</v>
      </c>
      <c r="H4090" s="19" t="n">
        <v>12.5</v>
      </c>
      <c r="I4090" t="inlineStr">
        <is>
          <t>Debt</t>
        </is>
      </c>
      <c r="J4090" t="inlineStr">
        <is>
          <t>Norwest</t>
        </is>
      </c>
      <c r="K4090" t="inlineStr">
        <is>
          <t>https://economictimes.indiatimes.com/tech/funding/ex-kissht-cofounders-firm-rezolv-raises-12-5-million-to-expand-credit-services/articleshow/133306381.cms</t>
        </is>
      </c>
    </row>
    <row r="4091">
      <c r="A4091" t="inlineStr">
        <is>
          <t>INC-20260822-05</t>
        </is>
      </c>
      <c r="B4091" t="inlineStr">
        <is>
          <t>R260818-rezolv</t>
        </is>
      </c>
      <c r="C4091" t="inlineStr">
        <is>
          <t>Inc42</t>
        </is>
      </c>
      <c r="D4091" s="17" t="n">
        <v>46252</v>
      </c>
      <c r="E4091" t="inlineStr">
        <is>
          <t>Rezolv</t>
        </is>
      </c>
      <c r="F4091" t="inlineStr">
        <is>
          <t>$12.5 Mn</t>
        </is>
      </c>
      <c r="G4091" s="19" t="n"/>
      <c r="H4091" s="19" t="n">
        <v>12.5</v>
      </c>
      <c r="I4091" t="inlineStr">
        <is>
          <t>Series A</t>
        </is>
      </c>
      <c r="J4091" t="inlineStr">
        <is>
          <t>Norwest Capital</t>
        </is>
      </c>
      <c r="K4091" t="inlineStr">
        <is>
          <t>https://inc42.com/buzz/from-navi-to-bookmyshow-indian-startups-raised-over-233-mn-this-week/</t>
        </is>
      </c>
    </row>
    <row r="4092">
      <c r="A4092" t="inlineStr">
        <is>
          <t>ET-133301827</t>
        </is>
      </c>
      <c r="B4092" t="inlineStr">
        <is>
          <t>R260818-wisprflow</t>
        </is>
      </c>
      <c r="C4092" t="inlineStr">
        <is>
          <t>The Economic Times</t>
        </is>
      </c>
      <c r="D4092" s="17" t="n">
        <v>46251</v>
      </c>
      <c r="E4092" t="inlineStr">
        <is>
          <t>Wispr Flow</t>
        </is>
      </c>
      <c r="F4092" t="inlineStr">
        <is>
          <t>$280 million</t>
        </is>
      </c>
      <c r="G4092" s="19" t="n"/>
      <c r="H4092" s="19" t="n">
        <v>280</v>
      </c>
      <c r="I4092" t="inlineStr">
        <is>
          <t>Undisclosed</t>
        </is>
      </c>
      <c r="J4092" t="inlineStr"/>
      <c r="K4092" t="inlineStr">
        <is>
          <t>https://economictimes.indiatimes.com/tech/funding/wispr-flow-raises-280-million-at-2-billion-valuation-peak-xv-joins-new-round/articleshow/133301827.cms</t>
        </is>
      </c>
    </row>
    <row r="4093">
      <c r="A4093" t="inlineStr">
        <is>
          <t>ENT-12391060</t>
        </is>
      </c>
      <c r="B4093" t="inlineStr">
        <is>
          <t>R260818-wisprflow</t>
        </is>
      </c>
      <c r="C4093" t="inlineStr">
        <is>
          <t>Entrackr</t>
        </is>
      </c>
      <c r="D4093" s="17" t="n">
        <v>46252</v>
      </c>
      <c r="E4093" t="inlineStr">
        <is>
          <t>Wispr Flow</t>
        </is>
      </c>
      <c r="F4093" t="inlineStr">
        <is>
          <t>$280 million</t>
        </is>
      </c>
      <c r="G4093" s="19" t="n"/>
      <c r="H4093" s="19" t="n">
        <v>280</v>
      </c>
      <c r="I4093" t="inlineStr">
        <is>
          <t>Series B</t>
        </is>
      </c>
      <c r="J4093" t="inlineStr">
        <is>
          <t>Menlo Ventures</t>
        </is>
      </c>
      <c r="K4093" t="inlineStr">
        <is>
          <t>https://entrackr.com/news/wispr-flow-raises-280-mn-at-2-bn-valuation-12391060</t>
        </is>
      </c>
    </row>
    <row r="4094">
      <c r="A4094" t="inlineStr">
        <is>
          <t>ENT-12395742</t>
        </is>
      </c>
      <c r="B4094" t="inlineStr">
        <is>
          <t>R260819-algofet</t>
        </is>
      </c>
      <c r="C4094" t="inlineStr">
        <is>
          <t>Entrackr</t>
        </is>
      </c>
      <c r="D4094" s="17" t="n">
        <v>46253</v>
      </c>
      <c r="E4094" t="inlineStr">
        <is>
          <t>AlgoFET</t>
        </is>
      </c>
      <c r="F4094" t="inlineStr">
        <is>
          <t>Rs 15 crore</t>
        </is>
      </c>
      <c r="G4094" s="19" t="n">
        <v>15</v>
      </c>
      <c r="H4094" s="19" t="n"/>
      <c r="I4094" t="inlineStr">
        <is>
          <t>Pre-Series A</t>
        </is>
      </c>
      <c r="J4094" t="inlineStr">
        <is>
          <t>Piper Serica</t>
        </is>
      </c>
      <c r="K4094" t="inlineStr">
        <is>
          <t>https://entrackr.com/snippets/piper-serica-leads-rs-15-cr-pre-series-a-round-in-deep-tech-startup-algofet-12395742</t>
        </is>
      </c>
    </row>
    <row r="4095">
      <c r="A4095" t="inlineStr">
        <is>
          <t>ET-133348727</t>
        </is>
      </c>
      <c r="B4095" t="inlineStr">
        <is>
          <t>R260819-algofet</t>
        </is>
      </c>
      <c r="C4095" t="inlineStr">
        <is>
          <t>The Economic Times</t>
        </is>
      </c>
      <c r="D4095" s="17" t="n">
        <v>46253</v>
      </c>
      <c r="E4095" t="inlineStr">
        <is>
          <t>AlgoFET</t>
        </is>
      </c>
      <c r="F4095" t="inlineStr">
        <is>
          <t>Rs 15 crore</t>
        </is>
      </c>
      <c r="G4095" s="19" t="n">
        <v>15</v>
      </c>
      <c r="H4095" s="19" t="n"/>
      <c r="I4095" t="inlineStr">
        <is>
          <t>Undisclosed</t>
        </is>
      </c>
      <c r="J4095" t="inlineStr">
        <is>
          <t>Piper Serica</t>
        </is>
      </c>
      <c r="K4095" t="inlineStr">
        <is>
          <t>https://economictimes.indiatimes.com/tech/funding/algofet-secures-rs-15-crore-from-piper-serica-to-scale-autonomous-drone-infrastructure/articleshow/133348727.cms</t>
        </is>
      </c>
    </row>
    <row r="4096">
      <c r="A4096" t="inlineStr">
        <is>
          <t>INC-20260822-11</t>
        </is>
      </c>
      <c r="B4096" t="inlineStr">
        <is>
          <t>R260819-algofet</t>
        </is>
      </c>
      <c r="C4096" t="inlineStr">
        <is>
          <t>Inc42</t>
        </is>
      </c>
      <c r="D4096" s="17" t="n">
        <v>46253</v>
      </c>
      <c r="E4096" t="inlineStr">
        <is>
          <t>AlgoFET</t>
        </is>
      </c>
      <c r="F4096" t="inlineStr">
        <is>
          <t>$1.5 Mn</t>
        </is>
      </c>
      <c r="G4096" s="19" t="n"/>
      <c r="H4096" s="19" t="n">
        <v>1.5</v>
      </c>
      <c r="I4096" t="inlineStr">
        <is>
          <t>Pre-Series A</t>
        </is>
      </c>
      <c r="J4096" t="inlineStr">
        <is>
          <t>Piper Serica</t>
        </is>
      </c>
      <c r="K4096" t="inlineStr">
        <is>
          <t>https://inc42.com/buzz/from-navi-to-bookmyshow-indian-startups-raised-over-233-mn-this-week/</t>
        </is>
      </c>
    </row>
    <row r="4097">
      <c r="A4097" t="inlineStr">
        <is>
          <t>INC-20260822-02</t>
        </is>
      </c>
      <c r="B4097" t="inlineStr">
        <is>
          <t>R260819-bookmyshow</t>
        </is>
      </c>
      <c r="C4097" t="inlineStr">
        <is>
          <t>Inc42</t>
        </is>
      </c>
      <c r="D4097" s="17" t="n">
        <v>46253</v>
      </c>
      <c r="E4097" t="inlineStr">
        <is>
          <t>BookMyShow</t>
        </is>
      </c>
      <c r="F4097" t="inlineStr">
        <is>
          <t>$40 Mn</t>
        </is>
      </c>
      <c r="G4097" s="19" t="n"/>
      <c r="H4097" s="19" t="n">
        <v>40</v>
      </c>
      <c r="I4097" t="inlineStr">
        <is>
          <t>Undisclosed</t>
        </is>
      </c>
      <c r="J4097" t="inlineStr">
        <is>
          <t>KKR</t>
        </is>
      </c>
      <c r="K4097" t="inlineStr">
        <is>
          <t>https://inc42.com/buzz/from-navi-to-bookmyshow-indian-startups-raised-over-233-mn-this-week/</t>
        </is>
      </c>
    </row>
    <row r="4098">
      <c r="A4098" t="inlineStr">
        <is>
          <t>ENT-12394562</t>
        </is>
      </c>
      <c r="B4098" t="inlineStr">
        <is>
          <t>R260819-butterflylearn</t>
        </is>
      </c>
      <c r="C4098" t="inlineStr">
        <is>
          <t>Entrackr</t>
        </is>
      </c>
      <c r="D4098" s="17" t="n">
        <v>46253</v>
      </c>
      <c r="E4098" t="inlineStr">
        <is>
          <t>Butterfly Learnings</t>
        </is>
      </c>
      <c r="F4098" t="inlineStr">
        <is>
          <t>Rs 65 crore</t>
        </is>
      </c>
      <c r="G4098" s="19" t="n">
        <v>65</v>
      </c>
      <c r="H4098" s="19" t="n">
        <v>6.7</v>
      </c>
      <c r="I4098" t="inlineStr">
        <is>
          <t>Pre-Series B</t>
        </is>
      </c>
      <c r="J4098" t="inlineStr">
        <is>
          <t>Inflexor Ventures</t>
        </is>
      </c>
      <c r="K4098" t="inlineStr">
        <is>
          <t>https://entrackr.com/snippets/butterfly-learnings-raises-rs-65-cr-in-pre-series-b-round-led-by-inflexor-ventures-12394562</t>
        </is>
      </c>
    </row>
    <row r="4099">
      <c r="A4099" t="inlineStr">
        <is>
          <t>INC-20260822-07</t>
        </is>
      </c>
      <c r="B4099" t="inlineStr">
        <is>
          <t>R260819-butterflylearn</t>
        </is>
      </c>
      <c r="C4099" t="inlineStr">
        <is>
          <t>Inc42</t>
        </is>
      </c>
      <c r="D4099" s="17" t="n">
        <v>46253</v>
      </c>
      <c r="E4099" t="inlineStr">
        <is>
          <t>Butterfly Learnings</t>
        </is>
      </c>
      <c r="F4099" t="inlineStr">
        <is>
          <t>$6.7 Mn</t>
        </is>
      </c>
      <c r="G4099" s="19" t="n"/>
      <c r="H4099" s="19" t="n">
        <v>6.7</v>
      </c>
      <c r="I4099" t="inlineStr">
        <is>
          <t>Pre-Series B</t>
        </is>
      </c>
      <c r="J4099" t="inlineStr">
        <is>
          <t>Inflexor Ventures</t>
        </is>
      </c>
      <c r="K4099" t="inlineStr">
        <is>
          <t>https://inc42.com/buzz/from-navi-to-bookmyshow-indian-startups-raised-over-233-mn-this-week/</t>
        </is>
      </c>
    </row>
    <row r="4100">
      <c r="A4100" t="inlineStr">
        <is>
          <t>ENT-12395469</t>
        </is>
      </c>
      <c r="B4100" t="inlineStr">
        <is>
          <t>R260819-ctrls</t>
        </is>
      </c>
      <c r="C4100" t="inlineStr">
        <is>
          <t>Entrackr</t>
        </is>
      </c>
      <c r="D4100" s="17" t="n">
        <v>46253</v>
      </c>
      <c r="E4100" t="inlineStr">
        <is>
          <t>CtrlS</t>
        </is>
      </c>
      <c r="F4100" t="inlineStr">
        <is>
          <t>Rs 250 crore</t>
        </is>
      </c>
      <c r="G4100" s="19" t="n">
        <v>250</v>
      </c>
      <c r="H4100" s="19" t="n"/>
      <c r="I4100" t="inlineStr">
        <is>
          <t>Undisclosed</t>
        </is>
      </c>
      <c r="J4100" t="inlineStr"/>
      <c r="K4100" t="inlineStr">
        <is>
          <t>https://entrackr.com/news/nikhil-kamath-invests-rs-200-cr-in-ctrls-as-hyperscale-data-centre-operator-raises-rs-250-cr-12395469</t>
        </is>
      </c>
    </row>
    <row r="4101">
      <c r="A4101" t="inlineStr">
        <is>
          <t>INC-20260822-03</t>
        </is>
      </c>
      <c r="B4101" t="inlineStr">
        <is>
          <t>R260819-ctrls</t>
        </is>
      </c>
      <c r="C4101" t="inlineStr">
        <is>
          <t>Inc42</t>
        </is>
      </c>
      <c r="D4101" s="17" t="n">
        <v>46253</v>
      </c>
      <c r="E4101" t="inlineStr">
        <is>
          <t>CtrlS DataCenters</t>
        </is>
      </c>
      <c r="F4101" t="inlineStr">
        <is>
          <t>$26.1 Mn</t>
        </is>
      </c>
      <c r="G4101" s="19" t="n"/>
      <c r="H4101" s="19" t="n">
        <v>26.1</v>
      </c>
      <c r="I4101" t="inlineStr">
        <is>
          <t>Undisclosed</t>
        </is>
      </c>
      <c r="J4101" t="inlineStr">
        <is>
          <t>Nikhil Kamath</t>
        </is>
      </c>
      <c r="K4101" t="inlineStr">
        <is>
          <t>https://inc42.com/buzz/from-navi-to-bookmyshow-indian-startups-raised-over-233-mn-this-week/</t>
        </is>
      </c>
    </row>
    <row r="4102">
      <c r="A4102" t="inlineStr">
        <is>
          <t>VCC-3d106580f9</t>
        </is>
      </c>
      <c r="B4102" t="inlineStr">
        <is>
          <t>R260819-ctrls</t>
        </is>
      </c>
      <c r="C4102" t="inlineStr">
        <is>
          <t>VCCircle</t>
        </is>
      </c>
      <c r="D4102" s="17" t="n">
        <v>46254</v>
      </c>
      <c r="E4102" t="inlineStr">
        <is>
          <t>cppibbacked ctrls</t>
        </is>
      </c>
      <c r="F4102" t="inlineStr"/>
      <c r="G4102" s="19" t="n"/>
      <c r="H4102" s="19" t="n"/>
      <c r="I4102" t="inlineStr">
        <is>
          <t>Undisclosed</t>
        </is>
      </c>
      <c r="J4102" t="inlineStr"/>
      <c r="K4102" t="inlineStr">
        <is>
          <t>https://www.vccircle.com/cppibbacked-ctrls-raises-fresh-capital-from-two-new-investors</t>
        </is>
      </c>
    </row>
    <row r="4103">
      <c r="A4103" t="inlineStr">
        <is>
          <t>ENT-12395346</t>
        </is>
      </c>
      <c r="B4103" t="inlineStr">
        <is>
          <t>R260819-digidukan</t>
        </is>
      </c>
      <c r="C4103" t="inlineStr">
        <is>
          <t>Entrackr</t>
        </is>
      </c>
      <c r="D4103" s="17" t="n">
        <v>46253</v>
      </c>
      <c r="E4103" t="inlineStr">
        <is>
          <t>Digidukan</t>
        </is>
      </c>
      <c r="F4103" t="inlineStr">
        <is>
          <t>Rs 2 crore</t>
        </is>
      </c>
      <c r="G4103" s="19" t="n">
        <v>2</v>
      </c>
      <c r="H4103" s="19" t="n"/>
      <c r="I4103" t="inlineStr">
        <is>
          <t>Angel</t>
        </is>
      </c>
      <c r="J4103" t="inlineStr"/>
      <c r="K4103" t="inlineStr">
        <is>
          <t>https://entrackr.com/snippets/digidukan-raises-rs-2-cr-in-angel-funding-from-united-plywood-directors-12395346</t>
        </is>
      </c>
    </row>
    <row r="4104">
      <c r="A4104" t="inlineStr">
        <is>
          <t>INC-20260822-17</t>
        </is>
      </c>
      <c r="B4104" t="inlineStr">
        <is>
          <t>R260819-digidukan</t>
        </is>
      </c>
      <c r="C4104" t="inlineStr">
        <is>
          <t>Inc42</t>
        </is>
      </c>
      <c r="D4104" s="17" t="n">
        <v>46253</v>
      </c>
      <c r="E4104" t="inlineStr">
        <is>
          <t>Digidukan</t>
        </is>
      </c>
      <c r="F4104" t="inlineStr">
        <is>
          <t>$209K</t>
        </is>
      </c>
      <c r="G4104" s="19" t="n"/>
      <c r="H4104" s="19" t="n">
        <v>0.209</v>
      </c>
      <c r="I4104" t="inlineStr">
        <is>
          <t>Undisclosed</t>
        </is>
      </c>
      <c r="J4104" t="inlineStr"/>
      <c r="K4104" t="inlineStr">
        <is>
          <t>https://inc42.com/buzz/from-navi-to-bookmyshow-indian-startups-raised-over-233-mn-this-week/</t>
        </is>
      </c>
    </row>
    <row r="4105">
      <c r="A4105" t="inlineStr">
        <is>
          <t>INC-20260822-12</t>
        </is>
      </c>
      <c r="B4105" t="inlineStr">
        <is>
          <t>R260819-firstcoffee</t>
        </is>
      </c>
      <c r="C4105" t="inlineStr">
        <is>
          <t>Inc42</t>
        </is>
      </c>
      <c r="D4105" s="17" t="n">
        <v>46253</v>
      </c>
      <c r="E4105" t="inlineStr">
        <is>
          <t>First Coffee</t>
        </is>
      </c>
      <c r="F4105" t="inlineStr">
        <is>
          <t>$1.3 Mn</t>
        </is>
      </c>
      <c r="G4105" s="19" t="n"/>
      <c r="H4105" s="19" t="n">
        <v>1.3</v>
      </c>
      <c r="I4105" t="inlineStr">
        <is>
          <t>Pre-Series A</t>
        </is>
      </c>
      <c r="J4105" t="inlineStr">
        <is>
          <t>DG Daiwa Ventures</t>
        </is>
      </c>
      <c r="K4105" t="inlineStr">
        <is>
          <t>https://inc42.com/buzz/from-navi-to-bookmyshow-indian-startups-raised-over-233-mn-this-week/</t>
        </is>
      </c>
    </row>
    <row r="4106">
      <c r="A4106" t="inlineStr">
        <is>
          <t>ENT-12396548</t>
        </is>
      </c>
      <c r="B4106" t="inlineStr">
        <is>
          <t>R260819-navi</t>
        </is>
      </c>
      <c r="C4106" t="inlineStr">
        <is>
          <t>Entrackr</t>
        </is>
      </c>
      <c r="D4106" s="17" t="n">
        <v>46253</v>
      </c>
      <c r="E4106" t="inlineStr">
        <is>
          <t>Navi</t>
        </is>
      </c>
      <c r="F4106" t="inlineStr">
        <is>
          <t>$100 million</t>
        </is>
      </c>
      <c r="G4106" s="19" t="n"/>
      <c r="H4106" s="19" t="n">
        <v>100</v>
      </c>
      <c r="I4106" t="inlineStr">
        <is>
          <t>Undisclosed</t>
        </is>
      </c>
      <c r="J4106" t="inlineStr"/>
      <c r="K4106" t="inlineStr">
        <is>
          <t>https://entrackr.com/news/navi-raises-100-mn-from-prosus-ahead-of-ipo-12396548</t>
        </is>
      </c>
    </row>
    <row r="4107">
      <c r="A4107" t="inlineStr">
        <is>
          <t>ET-133349944</t>
        </is>
      </c>
      <c r="B4107" t="inlineStr">
        <is>
          <t>R260819-navi</t>
        </is>
      </c>
      <c r="C4107" t="inlineStr">
        <is>
          <t>The Economic Times</t>
        </is>
      </c>
      <c r="D4107" s="17" t="n">
        <v>46253</v>
      </c>
      <c r="E4107" t="inlineStr">
        <is>
          <t>Navi</t>
        </is>
      </c>
      <c r="F4107" t="inlineStr">
        <is>
          <t>$100 million</t>
        </is>
      </c>
      <c r="G4107" s="19" t="n"/>
      <c r="H4107" s="19" t="n">
        <v>100</v>
      </c>
      <c r="I4107" t="inlineStr">
        <is>
          <t>Undisclosed</t>
        </is>
      </c>
      <c r="J4107" t="inlineStr"/>
      <c r="K4107" t="inlineStr">
        <is>
          <t>https://economictimes.indiatimes.com/tech/funding/prosus-invests-100-million-in-navi-at-1-3-billion-valuation/articleshow/133349944.cms</t>
        </is>
      </c>
    </row>
    <row r="4108">
      <c r="A4108" t="inlineStr">
        <is>
          <t>INC-20260822-01</t>
        </is>
      </c>
      <c r="B4108" t="inlineStr">
        <is>
          <t>R260819-navi</t>
        </is>
      </c>
      <c r="C4108" t="inlineStr">
        <is>
          <t>Inc42</t>
        </is>
      </c>
      <c r="D4108" s="17" t="n">
        <v>46253</v>
      </c>
      <c r="E4108" t="inlineStr">
        <is>
          <t>Navi</t>
        </is>
      </c>
      <c r="F4108" t="inlineStr">
        <is>
          <t>$100 Mn</t>
        </is>
      </c>
      <c r="G4108" s="19" t="n"/>
      <c r="H4108" s="19" t="n">
        <v>100</v>
      </c>
      <c r="I4108" t="inlineStr">
        <is>
          <t>Undisclosed</t>
        </is>
      </c>
      <c r="J4108" t="inlineStr">
        <is>
          <t>Prosus</t>
        </is>
      </c>
      <c r="K4108" t="inlineStr">
        <is>
          <t>https://inc42.com/buzz/from-navi-to-bookmyshow-indian-startups-raised-over-233-mn-this-week/</t>
        </is>
      </c>
    </row>
    <row r="4109">
      <c r="A4109" t="inlineStr">
        <is>
          <t>VCC-703038d1d4</t>
        </is>
      </c>
      <c r="B4109" t="inlineStr">
        <is>
          <t>R260819-navi</t>
        </is>
      </c>
      <c r="C4109" t="inlineStr">
        <is>
          <t>VCCircle</t>
        </is>
      </c>
      <c r="D4109" s="17" t="n">
        <v>46253</v>
      </c>
      <c r="E4109" t="inlineStr">
        <is>
          <t>navi</t>
        </is>
      </c>
      <c r="F4109" t="inlineStr">
        <is>
          <t>$ 100 million</t>
        </is>
      </c>
      <c r="G4109" s="19" t="n"/>
      <c r="H4109" s="19" t="n">
        <v>100</v>
      </c>
      <c r="I4109" t="inlineStr">
        <is>
          <t>Undisclosed</t>
        </is>
      </c>
      <c r="J4109" t="inlineStr"/>
      <c r="K4109" t="inlineStr">
        <is>
          <t>https://www.vccircle.com/sachinbansal-led-navi-raises-100-mn-from-prosus</t>
        </is>
      </c>
    </row>
    <row r="4110">
      <c r="A4110" t="inlineStr">
        <is>
          <t>ENT-12396605</t>
        </is>
      </c>
      <c r="B4110" t="inlineStr">
        <is>
          <t>R260819-yantrapacks</t>
        </is>
      </c>
      <c r="C4110" t="inlineStr">
        <is>
          <t>Entrackr</t>
        </is>
      </c>
      <c r="D4110" s="17" t="n">
        <v>46253</v>
      </c>
      <c r="E4110" t="inlineStr">
        <is>
          <t>Yantra Packs</t>
        </is>
      </c>
      <c r="F4110" t="inlineStr">
        <is>
          <t>Rs 12 crore</t>
        </is>
      </c>
      <c r="G4110" s="19" t="n">
        <v>12</v>
      </c>
      <c r="H4110" s="19" t="n"/>
      <c r="I4110" t="inlineStr">
        <is>
          <t>Seed</t>
        </is>
      </c>
      <c r="J4110" t="inlineStr">
        <is>
          <t>Caret Capital</t>
        </is>
      </c>
      <c r="K4110" t="inlineStr">
        <is>
          <t>https://entrackr.com/snippets/yantra-packs-raises-rs-12-cr-in-seed-round-led-by-caret-capital-12396605</t>
        </is>
      </c>
    </row>
    <row r="4111">
      <c r="A4111" t="inlineStr">
        <is>
          <t>INC-20260822-13</t>
        </is>
      </c>
      <c r="B4111" t="inlineStr">
        <is>
          <t>R260819-yantrapacks</t>
        </is>
      </c>
      <c r="C4111" t="inlineStr">
        <is>
          <t>Inc42</t>
        </is>
      </c>
      <c r="D4111" s="17" t="n">
        <v>46253</v>
      </c>
      <c r="E4111" t="inlineStr">
        <is>
          <t>Yantra Packs</t>
        </is>
      </c>
      <c r="F4111" t="inlineStr">
        <is>
          <t>$1.2 Mn</t>
        </is>
      </c>
      <c r="G4111" s="19" t="n"/>
      <c r="H4111" s="19" t="n">
        <v>1.2</v>
      </c>
      <c r="I4111" t="inlineStr">
        <is>
          <t>Seed</t>
        </is>
      </c>
      <c r="J4111" t="inlineStr">
        <is>
          <t>Caret Capital</t>
        </is>
      </c>
      <c r="K4111" t="inlineStr">
        <is>
          <t>https://inc42.com/buzz/from-navi-to-bookmyshow-indian-startups-raised-over-233-mn-this-week/</t>
        </is>
      </c>
    </row>
    <row r="4112">
      <c r="A4112" t="inlineStr">
        <is>
          <t>ENT-12394262</t>
        </is>
      </c>
      <c r="B4112" t="inlineStr">
        <is>
          <t>R260819-zenalyst</t>
        </is>
      </c>
      <c r="C4112" t="inlineStr">
        <is>
          <t>Entrackr</t>
        </is>
      </c>
      <c r="D4112" s="17" t="n">
        <v>46253</v>
      </c>
      <c r="E4112" t="inlineStr">
        <is>
          <t>Zenalyst</t>
        </is>
      </c>
      <c r="F4112" t="inlineStr">
        <is>
          <t>Rs 3 crore</t>
        </is>
      </c>
      <c r="G4112" s="19" t="n">
        <v>3</v>
      </c>
      <c r="H4112" s="19" t="n">
        <v>0.3</v>
      </c>
      <c r="I4112" t="inlineStr">
        <is>
          <t>Pre-Seed</t>
        </is>
      </c>
      <c r="J4112" t="inlineStr"/>
      <c r="K4112" t="inlineStr">
        <is>
          <t>https://entrackr.com/snippets/enterprise-ai-platform-zenalyst-raises-pre-seed-funding-12394262</t>
        </is>
      </c>
    </row>
    <row r="4113">
      <c r="A4113" t="inlineStr">
        <is>
          <t>INC-20260822-16</t>
        </is>
      </c>
      <c r="B4113" t="inlineStr">
        <is>
          <t>R260819-zenalyst</t>
        </is>
      </c>
      <c r="C4113" t="inlineStr">
        <is>
          <t>Inc42</t>
        </is>
      </c>
      <c r="D4113" s="17" t="n">
        <v>46253</v>
      </c>
      <c r="E4113" t="inlineStr">
        <is>
          <t>Zenalyst</t>
        </is>
      </c>
      <c r="F4113" t="inlineStr">
        <is>
          <t>$314K</t>
        </is>
      </c>
      <c r="G4113" s="19" t="n"/>
      <c r="H4113" s="19" t="n">
        <v>0.314</v>
      </c>
      <c r="I4113" t="inlineStr">
        <is>
          <t>Pre-Seed</t>
        </is>
      </c>
      <c r="J4113" t="inlineStr"/>
      <c r="K4113" t="inlineStr">
        <is>
          <t>https://inc42.com/buzz/from-navi-to-bookmyshow-indian-startups-raised-over-233-mn-this-week/</t>
        </is>
      </c>
    </row>
    <row r="4114">
      <c r="A4114" t="inlineStr">
        <is>
          <t>ENT-12397665</t>
        </is>
      </c>
      <c r="B4114" t="inlineStr">
        <is>
          <t>R260820-bgauss</t>
        </is>
      </c>
      <c r="C4114" t="inlineStr">
        <is>
          <t>Entrackr</t>
        </is>
      </c>
      <c r="D4114" s="17" t="n">
        <v>46254</v>
      </c>
      <c r="E4114" t="inlineStr">
        <is>
          <t>BGauss</t>
        </is>
      </c>
      <c r="F4114" t="inlineStr">
        <is>
          <t>Rs 110 crore</t>
        </is>
      </c>
      <c r="G4114" s="19" t="n">
        <v>110</v>
      </c>
      <c r="H4114" s="19" t="n">
        <v>11.6</v>
      </c>
      <c r="I4114" t="inlineStr">
        <is>
          <t>Series D</t>
        </is>
      </c>
      <c r="J4114" t="inlineStr">
        <is>
          <t>Hemant Mahendrakumar Kabra</t>
        </is>
      </c>
      <c r="K4114" t="inlineStr">
        <is>
          <t>https://entrackr.com/exclusive/exclusive-bgauss-raises-rs-110-cr-in-fresh-round-at-rs-1000-cr-valuation-12397665</t>
        </is>
      </c>
    </row>
    <row r="4115">
      <c r="A4115" t="inlineStr">
        <is>
          <t>ET-133376365</t>
        </is>
      </c>
      <c r="B4115" t="inlineStr">
        <is>
          <t>R260820-brunomilano</t>
        </is>
      </c>
      <c r="C4115" t="inlineStr">
        <is>
          <t>The Economic Times</t>
        </is>
      </c>
      <c r="D4115" s="17" t="n">
        <v>46254</v>
      </c>
      <c r="E4115" t="inlineStr">
        <is>
          <t>Bruno Milano</t>
        </is>
      </c>
      <c r="F4115" t="inlineStr">
        <is>
          <t>Rs 7.5 crore</t>
        </is>
      </c>
      <c r="G4115" s="19" t="n">
        <v>7.5</v>
      </c>
      <c r="H4115" s="19" t="n"/>
      <c r="I4115" t="inlineStr">
        <is>
          <t>Undisclosed</t>
        </is>
      </c>
      <c r="J4115" t="inlineStr">
        <is>
          <t>Sauce VC</t>
        </is>
      </c>
      <c r="K4115" t="inlineStr">
        <is>
          <t>https://economictimes.indiatimes.com/tech/funding/d2c-watch-brand-bruno-milano-raises-rs-7-5-crore-led-by-sauce-vc/articleshow/133376365.cms</t>
        </is>
      </c>
    </row>
    <row r="4116">
      <c r="A4116" t="inlineStr">
        <is>
          <t>INC-20260822-14</t>
        </is>
      </c>
      <c r="B4116" t="inlineStr">
        <is>
          <t>R260820-brunomilano</t>
        </is>
      </c>
      <c r="C4116" t="inlineStr">
        <is>
          <t>Inc42</t>
        </is>
      </c>
      <c r="D4116" s="17" t="n">
        <v>46254</v>
      </c>
      <c r="E4116" t="inlineStr">
        <is>
          <t>Bruno Milano</t>
        </is>
      </c>
      <c r="F4116" t="inlineStr">
        <is>
          <t>$731K</t>
        </is>
      </c>
      <c r="G4116" s="19" t="n"/>
      <c r="H4116" s="19" t="n">
        <v>0.731</v>
      </c>
      <c r="I4116" t="inlineStr">
        <is>
          <t>Undisclosed</t>
        </is>
      </c>
      <c r="J4116" t="inlineStr">
        <is>
          <t>Sauce VC</t>
        </is>
      </c>
      <c r="K4116" t="inlineStr">
        <is>
          <t>https://inc42.com/buzz/from-navi-to-bookmyshow-indian-startups-raised-over-233-mn-this-week/</t>
        </is>
      </c>
    </row>
    <row r="4117">
      <c r="A4117" t="inlineStr">
        <is>
          <t>ENT-12397827</t>
        </is>
      </c>
      <c r="B4117" t="inlineStr">
        <is>
          <t>R260820-neuromodaqua</t>
        </is>
      </c>
      <c r="C4117" t="inlineStr">
        <is>
          <t>Entrackr</t>
        </is>
      </c>
      <c r="D4117" s="17" t="n">
        <v>46254</v>
      </c>
      <c r="E4117" t="inlineStr">
        <is>
          <t>Neuromod Aqua</t>
        </is>
      </c>
      <c r="F4117" t="inlineStr"/>
      <c r="G4117" s="19" t="n"/>
      <c r="H4117" s="19" t="n"/>
      <c r="I4117" t="inlineStr">
        <is>
          <t>Pre-Seed</t>
        </is>
      </c>
      <c r="J4117" t="inlineStr"/>
      <c r="K4117" t="inlineStr">
        <is>
          <t>https://entrackr.com/snippets/neuromod-aqua-raises-pre-seed-funding-from-sportskeeda-founder-porush-jain-12397827</t>
        </is>
      </c>
    </row>
    <row r="4118">
      <c r="A4118" t="inlineStr">
        <is>
          <t>INC-20260822-19</t>
        </is>
      </c>
      <c r="B4118" t="inlineStr">
        <is>
          <t>R260820-neuromodaqua</t>
        </is>
      </c>
      <c r="C4118" t="inlineStr">
        <is>
          <t>Inc42</t>
        </is>
      </c>
      <c r="D4118" s="17" t="n">
        <v>46254</v>
      </c>
      <c r="E4118" t="inlineStr">
        <is>
          <t>Neuromod Aqua</t>
        </is>
      </c>
      <c r="F4118" t="inlineStr"/>
      <c r="G4118" s="19" t="n"/>
      <c r="H4118" s="19" t="n"/>
      <c r="I4118" t="inlineStr">
        <is>
          <t>Pre-Seed</t>
        </is>
      </c>
      <c r="J4118" t="inlineStr">
        <is>
          <t>Porush Jain</t>
        </is>
      </c>
      <c r="K4118" t="inlineStr">
        <is>
          <t>https://inc42.com/buzz/from-navi-to-bookmyshow-indian-startups-raised-over-233-mn-this-week/</t>
        </is>
      </c>
    </row>
    <row r="4119">
      <c r="A4119" t="inlineStr">
        <is>
          <t>ENT-12397796</t>
        </is>
      </c>
      <c r="B4119" t="inlineStr">
        <is>
          <t>R260820-peeko</t>
        </is>
      </c>
      <c r="C4119" t="inlineStr">
        <is>
          <t>Entrackr</t>
        </is>
      </c>
      <c r="D4119" s="17" t="n">
        <v>46254</v>
      </c>
      <c r="E4119" t="inlineStr">
        <is>
          <t>Peeko</t>
        </is>
      </c>
      <c r="F4119" t="inlineStr">
        <is>
          <t>Rs 67.4 crore</t>
        </is>
      </c>
      <c r="G4119" s="19" t="n">
        <v>67.40000000000001</v>
      </c>
      <c r="H4119" s="19" t="n">
        <v>7</v>
      </c>
      <c r="I4119" t="inlineStr">
        <is>
          <t>Series A</t>
        </is>
      </c>
      <c r="J4119" t="inlineStr">
        <is>
          <t>Chiratae Ventures</t>
        </is>
      </c>
      <c r="K4119" t="inlineStr">
        <is>
          <t>https://entrackr.com/snippets/babycare-quick-commerce-platform-peeko-raises-over-7-mn-led-by-chiratae-12397796</t>
        </is>
      </c>
    </row>
    <row r="4120">
      <c r="A4120" t="inlineStr">
        <is>
          <t>ET-133358706</t>
        </is>
      </c>
      <c r="B4120" t="inlineStr">
        <is>
          <t>R260820-peeko</t>
        </is>
      </c>
      <c r="C4120" t="inlineStr">
        <is>
          <t>The Economic Times</t>
        </is>
      </c>
      <c r="D4120" s="17" t="n">
        <v>46254</v>
      </c>
      <c r="E4120" t="inlineStr">
        <is>
          <t>Peeko</t>
        </is>
      </c>
      <c r="F4120" t="inlineStr">
        <is>
          <t>$7 million</t>
        </is>
      </c>
      <c r="G4120" s="19" t="n">
        <v>67</v>
      </c>
      <c r="H4120" s="19" t="n">
        <v>7</v>
      </c>
      <c r="I4120" t="inlineStr">
        <is>
          <t>Undisclosed</t>
        </is>
      </c>
      <c r="J4120" t="inlineStr">
        <is>
          <t>Chiratae Ventures</t>
        </is>
      </c>
      <c r="K4120" t="inlineStr">
        <is>
          <t>https://economictimes.indiatimes.com/tech/funding/babycare-quick-commerce-startup-peeko-raises-7-million/articleshow/133358706.cms</t>
        </is>
      </c>
    </row>
    <row r="4121">
      <c r="A4121" t="inlineStr">
        <is>
          <t>INC-20260822-06</t>
        </is>
      </c>
      <c r="B4121" t="inlineStr">
        <is>
          <t>R260820-peeko</t>
        </is>
      </c>
      <c r="C4121" t="inlineStr">
        <is>
          <t>Inc42</t>
        </is>
      </c>
      <c r="D4121" s="17" t="n">
        <v>46254</v>
      </c>
      <c r="E4121" t="inlineStr">
        <is>
          <t>Peeko</t>
        </is>
      </c>
      <c r="F4121" t="inlineStr">
        <is>
          <t>$7 Mn</t>
        </is>
      </c>
      <c r="G4121" s="19" t="n"/>
      <c r="H4121" s="19" t="n">
        <v>7</v>
      </c>
      <c r="I4121" t="inlineStr">
        <is>
          <t>Series A</t>
        </is>
      </c>
      <c r="J4121" t="inlineStr">
        <is>
          <t>Chiratae Ventures</t>
        </is>
      </c>
      <c r="K4121" t="inlineStr">
        <is>
          <t>https://inc42.com/buzz/from-navi-to-bookmyshow-indian-startups-raised-over-233-mn-this-week/</t>
        </is>
      </c>
    </row>
    <row r="4122">
      <c r="A4122" t="inlineStr">
        <is>
          <t>ENT-12398446</t>
        </is>
      </c>
      <c r="B4122" t="inlineStr">
        <is>
          <t>R260820-tross</t>
        </is>
      </c>
      <c r="C4122" t="inlineStr">
        <is>
          <t>Entrackr</t>
        </is>
      </c>
      <c r="D4122" s="17" t="n">
        <v>46254</v>
      </c>
      <c r="E4122" t="inlineStr">
        <is>
          <t>Tross</t>
        </is>
      </c>
      <c r="F4122" t="inlineStr"/>
      <c r="G4122" s="19" t="n"/>
      <c r="H4122" s="19" t="n"/>
      <c r="I4122" t="inlineStr">
        <is>
          <t>Pre-Seed</t>
        </is>
      </c>
      <c r="J4122" t="inlineStr">
        <is>
          <t>All In Capital</t>
        </is>
      </c>
      <c r="K4122" t="inlineStr">
        <is>
          <t>https://entrackr.com/snippets/all-in-capital-leads-pre-seed-round-in-healthcare-infrastructure-startup-tross-12398446</t>
        </is>
      </c>
    </row>
    <row r="4123">
      <c r="A4123" t="inlineStr">
        <is>
          <t>INC-20260822-18</t>
        </is>
      </c>
      <c r="B4123" t="inlineStr">
        <is>
          <t>R260820-tross</t>
        </is>
      </c>
      <c r="C4123" t="inlineStr">
        <is>
          <t>Inc42</t>
        </is>
      </c>
      <c r="D4123" s="17" t="n">
        <v>46254</v>
      </c>
      <c r="E4123" t="inlineStr">
        <is>
          <t>Tross</t>
        </is>
      </c>
      <c r="F4123" t="inlineStr"/>
      <c r="G4123" s="19" t="n"/>
      <c r="H4123" s="19" t="n"/>
      <c r="I4123" t="inlineStr">
        <is>
          <t>Pre-Seed</t>
        </is>
      </c>
      <c r="J4123" t="inlineStr">
        <is>
          <t>All In Capital</t>
        </is>
      </c>
      <c r="K4123" t="inlineStr">
        <is>
          <t>https://inc42.com/buzz/from-navi-to-bookmyshow-indian-startups-raised-over-233-mn-this-week/</t>
        </is>
      </c>
    </row>
    <row r="4124">
      <c r="A4124" t="inlineStr">
        <is>
          <t>ENT-12398676</t>
        </is>
      </c>
      <c r="B4124" t="inlineStr">
        <is>
          <t>R260820-zaydn</t>
        </is>
      </c>
      <c r="C4124" t="inlineStr">
        <is>
          <t>Entrackr</t>
        </is>
      </c>
      <c r="D4124" s="17" t="n">
        <v>46254</v>
      </c>
      <c r="E4124" t="inlineStr">
        <is>
          <t>Zaydn</t>
        </is>
      </c>
      <c r="F4124" t="inlineStr">
        <is>
          <t>$681K</t>
        </is>
      </c>
      <c r="G4124" s="19" t="n"/>
      <c r="H4124" s="19" t="n">
        <v>0.681</v>
      </c>
      <c r="I4124" t="inlineStr">
        <is>
          <t>Seed</t>
        </is>
      </c>
      <c r="J4124" t="inlineStr">
        <is>
          <t>Inflection Point Ventures</t>
        </is>
      </c>
      <c r="K4124" t="inlineStr">
        <is>
          <t>https://entrackr.com/snippets/sneaker-brand-zaydn-raises-681k-in-seed-round-led-by-ipv-12398676</t>
        </is>
      </c>
    </row>
    <row r="4125">
      <c r="A4125" t="inlineStr">
        <is>
          <t>INC-20260822-15</t>
        </is>
      </c>
      <c r="B4125" t="inlineStr">
        <is>
          <t>R260820-zaydn</t>
        </is>
      </c>
      <c r="C4125" t="inlineStr">
        <is>
          <t>Inc42</t>
        </is>
      </c>
      <c r="D4125" s="17" t="n">
        <v>46254</v>
      </c>
      <c r="E4125" t="inlineStr">
        <is>
          <t>Zaydn</t>
        </is>
      </c>
      <c r="F4125" t="inlineStr">
        <is>
          <t>$681K</t>
        </is>
      </c>
      <c r="G4125" s="19" t="n"/>
      <c r="H4125" s="19" t="n">
        <v>0.681</v>
      </c>
      <c r="I4125" t="inlineStr">
        <is>
          <t>Seed</t>
        </is>
      </c>
      <c r="J4125" t="inlineStr">
        <is>
          <t>Inflection Point Ventures</t>
        </is>
      </c>
      <c r="K4125" t="inlineStr">
        <is>
          <t>https://inc42.com/buzz/from-navi-to-bookmyshow-indian-startups-raised-over-233-mn-this-week/</t>
        </is>
      </c>
    </row>
    <row r="4126">
      <c r="A4126" t="inlineStr">
        <is>
          <t>ENT-12405811</t>
        </is>
      </c>
      <c r="B4126" t="inlineStr">
        <is>
          <t>R260821-batterysmart</t>
        </is>
      </c>
      <c r="C4126" t="inlineStr">
        <is>
          <t>Entrackr</t>
        </is>
      </c>
      <c r="D4126" s="17" t="n">
        <v>46255</v>
      </c>
      <c r="E4126" t="inlineStr">
        <is>
          <t>Battery Smart</t>
        </is>
      </c>
      <c r="F4126" t="inlineStr">
        <is>
          <t>Rs 185.5 crore</t>
        </is>
      </c>
      <c r="G4126" s="19" t="n">
        <v>185.5</v>
      </c>
      <c r="H4126" s="19" t="n">
        <v>19.5</v>
      </c>
      <c r="I4126" t="inlineStr">
        <is>
          <t>Pre-Series C</t>
        </is>
      </c>
      <c r="J4126" t="inlineStr">
        <is>
          <t>Rising Tide Ventures</t>
        </is>
      </c>
      <c r="K4126" t="inlineStr">
        <is>
          <t>https://entrackr.com/exclusive/exclusive-battery-smart-raises-195-mn-at-430-mn-valuation-12405811</t>
        </is>
      </c>
    </row>
    <row r="4127">
      <c r="A4127" t="inlineStr">
        <is>
          <t>INC-20260822-08</t>
        </is>
      </c>
      <c r="B4127" t="inlineStr">
        <is>
          <t>R260821-greenjoules</t>
        </is>
      </c>
      <c r="C4127" t="inlineStr">
        <is>
          <t>Inc42</t>
        </is>
      </c>
      <c r="D4127" s="17" t="n">
        <v>46255</v>
      </c>
      <c r="E4127" t="inlineStr">
        <is>
          <t>Greenjoules</t>
        </is>
      </c>
      <c r="F4127" t="inlineStr">
        <is>
          <t>$6.5 Mn</t>
        </is>
      </c>
      <c r="G4127" s="19" t="n"/>
      <c r="H4127" s="19" t="n">
        <v>6.5</v>
      </c>
      <c r="I4127" t="inlineStr">
        <is>
          <t>Undisclosed</t>
        </is>
      </c>
      <c r="J4127" t="inlineStr">
        <is>
          <t>Amazon</t>
        </is>
      </c>
      <c r="K4127" t="inlineStr">
        <is>
          <t>https://inc42.com/buzz/from-navi-to-bookmyshow-indian-startups-raised-over-233-mn-this-week/</t>
        </is>
      </c>
    </row>
    <row r="4128">
      <c r="A4128" t="inlineStr">
        <is>
          <t>ENT-12413784</t>
        </is>
      </c>
      <c r="B4128" t="inlineStr">
        <is>
          <t>R260822-atomberg</t>
        </is>
      </c>
      <c r="C4128" t="inlineStr">
        <is>
          <t>Entrackr</t>
        </is>
      </c>
      <c r="D4128" s="17" t="n">
        <v>46256</v>
      </c>
      <c r="E4128" t="inlineStr">
        <is>
          <t>Atomberg</t>
        </is>
      </c>
      <c r="F4128" t="inlineStr">
        <is>
          <t>Rs 143 crore</t>
        </is>
      </c>
      <c r="G4128" s="19" t="n">
        <v>143</v>
      </c>
      <c r="H4128" s="19" t="n"/>
      <c r="I4128" t="inlineStr">
        <is>
          <t>Undisclosed</t>
        </is>
      </c>
      <c r="J4128" t="inlineStr"/>
      <c r="K4128" t="inlineStr">
        <is>
          <t>https://entrackr.com/analysis/a91-invests-rs-143-cr-in-atomberg-sells-rs-445-cr-stake-while-retaining-21-12413784</t>
        </is>
      </c>
    </row>
    <row r="4129">
      <c r="A4129" t="inlineStr">
        <is>
          <t>ENT-12425547</t>
        </is>
      </c>
      <c r="B4129" t="inlineStr">
        <is>
          <t>R260824-asaya</t>
        </is>
      </c>
      <c r="C4129" t="inlineStr">
        <is>
          <t>Entrackr</t>
        </is>
      </c>
      <c r="D4129" s="17" t="n">
        <v>46258</v>
      </c>
      <c r="E4129" t="inlineStr">
        <is>
          <t>Asaya</t>
        </is>
      </c>
      <c r="F4129" t="inlineStr">
        <is>
          <t>Rs 88 crore</t>
        </is>
      </c>
      <c r="G4129" s="19" t="n">
        <v>88</v>
      </c>
      <c r="H4129" s="19" t="n">
        <v>9.199999999999999</v>
      </c>
      <c r="I4129" t="inlineStr">
        <is>
          <t>Undisclosed</t>
        </is>
      </c>
      <c r="J4129" t="inlineStr"/>
      <c r="K4129" t="inlineStr">
        <is>
          <t>https://entrackr.com/news/d2c-skincare-brand-asaya-raises-rs-88-cr-from-rpsg-capital-otp-ventures-others-12425547</t>
        </is>
      </c>
    </row>
    <row r="4130">
      <c r="A4130" t="inlineStr">
        <is>
          <t>ET-133445950</t>
        </is>
      </c>
      <c r="B4130" t="inlineStr">
        <is>
          <t>R260824-asaya</t>
        </is>
      </c>
      <c r="C4130" t="inlineStr">
        <is>
          <t>The Economic Times</t>
        </is>
      </c>
      <c r="D4130" s="17" t="n">
        <v>46258</v>
      </c>
      <c r="E4130" t="inlineStr">
        <is>
          <t>Asaya</t>
        </is>
      </c>
      <c r="F4130" t="inlineStr">
        <is>
          <t>Rs 88 crore</t>
        </is>
      </c>
      <c r="G4130" s="19" t="n">
        <v>88</v>
      </c>
      <c r="H4130" s="19" t="n"/>
      <c r="I4130" t="inlineStr">
        <is>
          <t>Undisclosed</t>
        </is>
      </c>
      <c r="J4130" t="inlineStr"/>
      <c r="K4130" t="inlineStr">
        <is>
          <t>https://economictimes.indiatimes.com/tech/funding/d2c-skincare-brand-asaya-raises-rs-88-crore-funding-at-rs-400-crore-valuation/articleshow/133445950.cms</t>
        </is>
      </c>
    </row>
    <row r="4131">
      <c r="A4131" t="inlineStr">
        <is>
          <t>INC-20260829-09</t>
        </is>
      </c>
      <c r="B4131" t="inlineStr">
        <is>
          <t>R260824-asaya</t>
        </is>
      </c>
      <c r="C4131" t="inlineStr">
        <is>
          <t>Inc42</t>
        </is>
      </c>
      <c r="D4131" s="17" t="n">
        <v>46258</v>
      </c>
      <c r="E4131" t="inlineStr">
        <is>
          <t>Asaya</t>
        </is>
      </c>
      <c r="F4131" t="inlineStr">
        <is>
          <t>$9.1 Mn</t>
        </is>
      </c>
      <c r="G4131" s="19" t="n"/>
      <c r="H4131" s="19" t="n">
        <v>9.1</v>
      </c>
      <c r="I4131" t="inlineStr">
        <is>
          <t>Series A</t>
        </is>
      </c>
      <c r="J4131" t="inlineStr"/>
      <c r="K4131" t="inlineStr">
        <is>
          <t>https://inc42.com/buzz/from-third-wave-coffee-to-matter-indian-startups-raised-over-210-mn-this-week/</t>
        </is>
      </c>
    </row>
    <row r="4132">
      <c r="A4132" t="inlineStr">
        <is>
          <t>INC-20260829-21</t>
        </is>
      </c>
      <c r="B4132" t="inlineStr">
        <is>
          <t>R260824-lightfurygames</t>
        </is>
      </c>
      <c r="C4132" t="inlineStr">
        <is>
          <t>Inc42</t>
        </is>
      </c>
      <c r="D4132" s="17" t="n">
        <v>46258</v>
      </c>
      <c r="E4132" t="inlineStr">
        <is>
          <t>LightFury Games</t>
        </is>
      </c>
      <c r="F4132" t="inlineStr"/>
      <c r="G4132" s="19" t="n"/>
      <c r="H4132" s="19" t="n"/>
      <c r="I4132" t="inlineStr">
        <is>
          <t>Undisclosed</t>
        </is>
      </c>
      <c r="J4132" t="inlineStr">
        <is>
          <t>Rohit Sharma</t>
        </is>
      </c>
      <c r="K4132" t="inlineStr">
        <is>
          <t>https://inc42.com/buzz/from-third-wave-coffee-to-matter-indian-startups-raised-over-210-mn-this-week/</t>
        </is>
      </c>
    </row>
    <row r="4133">
      <c r="A4133" t="inlineStr">
        <is>
          <t>ENT-12425559</t>
        </is>
      </c>
      <c r="B4133" t="inlineStr">
        <is>
          <t>R260824-thirdwavecoffe</t>
        </is>
      </c>
      <c r="C4133" t="inlineStr">
        <is>
          <t>Entrackr</t>
        </is>
      </c>
      <c r="D4133" s="17" t="n">
        <v>46258</v>
      </c>
      <c r="E4133" t="inlineStr">
        <is>
          <t>Third Wave Coffee</t>
        </is>
      </c>
      <c r="F4133" t="inlineStr">
        <is>
          <t>Rs 408 crore</t>
        </is>
      </c>
      <c r="G4133" s="19" t="n">
        <v>408</v>
      </c>
      <c r="H4133" s="19" t="n"/>
      <c r="I4133" t="inlineStr">
        <is>
          <t>Undisclosed</t>
        </is>
      </c>
      <c r="J4133" t="inlineStr">
        <is>
          <t>WestBridge Capital</t>
        </is>
      </c>
      <c r="K4133" t="inlineStr">
        <is>
          <t>https://entrackr.com/news/third-wave-coffee-raises-rs-408-cr-led-by-westbridge-12425559</t>
        </is>
      </c>
    </row>
    <row r="4134">
      <c r="A4134" t="inlineStr">
        <is>
          <t>ET-133452957</t>
        </is>
      </c>
      <c r="B4134" t="inlineStr">
        <is>
          <t>R260824-thirdwavecoffe</t>
        </is>
      </c>
      <c r="C4134" t="inlineStr">
        <is>
          <t>The Economic Times</t>
        </is>
      </c>
      <c r="D4134" s="17" t="n">
        <v>46258</v>
      </c>
      <c r="E4134" t="inlineStr">
        <is>
          <t>Third Wave Coffee</t>
        </is>
      </c>
      <c r="F4134" t="inlineStr">
        <is>
          <t>Rs 408 crore</t>
        </is>
      </c>
      <c r="G4134" s="19" t="n">
        <v>408</v>
      </c>
      <c r="H4134" s="19" t="n">
        <v>43</v>
      </c>
      <c r="I4134" t="inlineStr">
        <is>
          <t>Undisclosed</t>
        </is>
      </c>
      <c r="J4134" t="inlineStr">
        <is>
          <t>WestBridge Capital</t>
        </is>
      </c>
      <c r="K4134" t="inlineStr">
        <is>
          <t>https://economictimes.indiatimes.com/tech/funding/third-wave-coffee-raises-rs-408-crore-in-round-led-by-westbridge-capital/articleshow/133452957.cms</t>
        </is>
      </c>
    </row>
    <row r="4135">
      <c r="A4135" t="inlineStr">
        <is>
          <t>INC-20260829-01</t>
        </is>
      </c>
      <c r="B4135" t="inlineStr">
        <is>
          <t>R260824-thirdwavecoffe</t>
        </is>
      </c>
      <c r="C4135" t="inlineStr">
        <is>
          <t>Inc42</t>
        </is>
      </c>
      <c r="D4135" s="17" t="n">
        <v>46258</v>
      </c>
      <c r="E4135" t="inlineStr">
        <is>
          <t>Third Wave Coffee</t>
        </is>
      </c>
      <c r="F4135" t="inlineStr">
        <is>
          <t>$43 Mn</t>
        </is>
      </c>
      <c r="G4135" s="19" t="n"/>
      <c r="H4135" s="19" t="n">
        <v>43</v>
      </c>
      <c r="I4135" t="inlineStr">
        <is>
          <t>Undisclosed</t>
        </is>
      </c>
      <c r="J4135" t="inlineStr">
        <is>
          <t>WestBridge Capital</t>
        </is>
      </c>
      <c r="K4135" t="inlineStr">
        <is>
          <t>https://inc42.com/buzz/from-third-wave-coffee-to-matter-indian-startups-raised-over-210-mn-this-week/</t>
        </is>
      </c>
    </row>
    <row r="4136">
      <c r="A4136" t="inlineStr">
        <is>
          <t>ENT-12425820</t>
        </is>
      </c>
      <c r="B4136" t="inlineStr">
        <is>
          <t>R260824-water</t>
        </is>
      </c>
      <c r="C4136" t="inlineStr">
        <is>
          <t>Entrackr</t>
        </is>
      </c>
      <c r="D4136" s="17" t="n">
        <v>46258</v>
      </c>
      <c r="E4136" t="inlineStr">
        <is>
          <t>WATER</t>
        </is>
      </c>
      <c r="F4136" t="inlineStr">
        <is>
          <t>$2.5 million</t>
        </is>
      </c>
      <c r="G4136" s="19" t="n"/>
      <c r="H4136" s="19" t="n">
        <v>2.5</v>
      </c>
      <c r="I4136" t="inlineStr">
        <is>
          <t>Seed</t>
        </is>
      </c>
      <c r="J4136" t="inlineStr">
        <is>
          <t>Endiya Partners</t>
        </is>
      </c>
      <c r="K4136" t="inlineStr">
        <is>
          <t>https://entrackr.com/snippets/endiya-partners-leads-25-mn-seed-round-in-physical-ai-startup-water-12425820</t>
        </is>
      </c>
    </row>
    <row r="4137">
      <c r="A4137" t="inlineStr">
        <is>
          <t>INC-20260829-13</t>
        </is>
      </c>
      <c r="B4137" t="inlineStr">
        <is>
          <t>R260824-water</t>
        </is>
      </c>
      <c r="C4137" t="inlineStr">
        <is>
          <t>Inc42</t>
        </is>
      </c>
      <c r="D4137" s="17" t="n">
        <v>46258</v>
      </c>
      <c r="E4137" t="inlineStr">
        <is>
          <t>WATER Robotics</t>
        </is>
      </c>
      <c r="F4137" t="inlineStr">
        <is>
          <t>$2.5 Mn</t>
        </is>
      </c>
      <c r="G4137" s="19" t="n"/>
      <c r="H4137" s="19" t="n">
        <v>2.5</v>
      </c>
      <c r="I4137" t="inlineStr">
        <is>
          <t>Undisclosed</t>
        </is>
      </c>
      <c r="J4137" t="inlineStr">
        <is>
          <t>Endiya Partners</t>
        </is>
      </c>
      <c r="K4137" t="inlineStr">
        <is>
          <t>https://inc42.com/buzz/from-third-wave-coffee-to-matter-indian-startups-raised-over-210-mn-this-week/</t>
        </is>
      </c>
    </row>
    <row r="4138">
      <c r="A4138" t="inlineStr">
        <is>
          <t>ENT-12431939</t>
        </is>
      </c>
      <c r="B4138" t="inlineStr">
        <is>
          <t>R260825-airbound</t>
        </is>
      </c>
      <c r="C4138" t="inlineStr">
        <is>
          <t>Entrackr</t>
        </is>
      </c>
      <c r="D4138" s="17" t="n">
        <v>46259</v>
      </c>
      <c r="E4138" t="inlineStr">
        <is>
          <t>Airbound</t>
        </is>
      </c>
      <c r="F4138" t="inlineStr">
        <is>
          <t>$37 million</t>
        </is>
      </c>
      <c r="G4138" s="19" t="n"/>
      <c r="H4138" s="19" t="n">
        <v>37</v>
      </c>
      <c r="I4138" t="inlineStr">
        <is>
          <t>Series A</t>
        </is>
      </c>
      <c r="J4138" t="inlineStr">
        <is>
          <t>Greenoaks</t>
        </is>
      </c>
      <c r="K4138" t="inlineStr">
        <is>
          <t>https://entrackr.com/news/airbound-raises-37-mn-from-greenoaks-doordash-lachy-groom-and-others-12431939</t>
        </is>
      </c>
    </row>
    <row r="4139">
      <c r="A4139" t="inlineStr">
        <is>
          <t>ET-133495514</t>
        </is>
      </c>
      <c r="B4139" t="inlineStr">
        <is>
          <t>R260825-airbound</t>
        </is>
      </c>
      <c r="C4139" t="inlineStr">
        <is>
          <t>The Economic Times</t>
        </is>
      </c>
      <c r="D4139" s="17" t="n">
        <v>46259</v>
      </c>
      <c r="E4139" t="inlineStr">
        <is>
          <t>Airbound</t>
        </is>
      </c>
      <c r="F4139" t="inlineStr">
        <is>
          <t>$37 million</t>
        </is>
      </c>
      <c r="G4139" s="19" t="n"/>
      <c r="H4139" s="19" t="n">
        <v>37</v>
      </c>
      <c r="I4139" t="inlineStr">
        <is>
          <t>Undisclosed</t>
        </is>
      </c>
      <c r="J4139" t="inlineStr">
        <is>
          <t>Greenoaks</t>
        </is>
      </c>
      <c r="K4139" t="inlineStr">
        <is>
          <t>https://economictimes.indiatimes.com/tech/funding/airbound-raises-37-million-from-greenoaks-doordash-others-aims-to-scale-up-drone-delivery/articleshow/133495514.cms</t>
        </is>
      </c>
    </row>
    <row r="4140">
      <c r="A4140" t="inlineStr">
        <is>
          <t>INC-20260829-02</t>
        </is>
      </c>
      <c r="B4140" t="inlineStr">
        <is>
          <t>R260825-airbound</t>
        </is>
      </c>
      <c r="C4140" t="inlineStr">
        <is>
          <t>Inc42</t>
        </is>
      </c>
      <c r="D4140" s="17" t="n">
        <v>46259</v>
      </c>
      <c r="E4140" t="inlineStr">
        <is>
          <t>Airbound</t>
        </is>
      </c>
      <c r="F4140" t="inlineStr">
        <is>
          <t>$37 Mn</t>
        </is>
      </c>
      <c r="G4140" s="19" t="n"/>
      <c r="H4140" s="19" t="n">
        <v>37</v>
      </c>
      <c r="I4140" t="inlineStr">
        <is>
          <t>Series A</t>
        </is>
      </c>
      <c r="J4140" t="inlineStr">
        <is>
          <t>Greenoaks</t>
        </is>
      </c>
      <c r="K4140" t="inlineStr">
        <is>
          <t>https://inc42.com/buzz/from-third-wave-coffee-to-matter-indian-startups-raised-over-210-mn-this-week/</t>
        </is>
      </c>
    </row>
    <row r="4141">
      <c r="A4141" t="inlineStr">
        <is>
          <t>ENT-12432364</t>
        </is>
      </c>
      <c r="B4141" t="inlineStr">
        <is>
          <t>R260825-carbonstrong</t>
        </is>
      </c>
      <c r="C4141" t="inlineStr">
        <is>
          <t>Entrackr</t>
        </is>
      </c>
      <c r="D4141" s="17" t="n">
        <v>46259</v>
      </c>
      <c r="E4141" t="inlineStr">
        <is>
          <t>CarbonStrong</t>
        </is>
      </c>
      <c r="F4141" t="inlineStr">
        <is>
          <t>Rs 12.5 crore</t>
        </is>
      </c>
      <c r="G4141" s="19" t="n">
        <v>12.5</v>
      </c>
      <c r="H4141" s="19" t="n"/>
      <c r="I4141" t="inlineStr">
        <is>
          <t>Seed</t>
        </is>
      </c>
      <c r="J4141" t="inlineStr">
        <is>
          <t>IAN Angel Fund; Rainmatter; Full Circle Ventures; Spectrum Impact</t>
        </is>
      </c>
      <c r="K4141" t="inlineStr">
        <is>
          <t>https://entrackr.com/snippets/ian-angel-fund-leads-rs-125-cr-seed-round-in-climate-tech-startup-carbonstrong-12432364</t>
        </is>
      </c>
    </row>
    <row r="4142">
      <c r="A4142" t="inlineStr">
        <is>
          <t>INC-20260829-15</t>
        </is>
      </c>
      <c r="B4142" t="inlineStr">
        <is>
          <t>R260825-carbonstrong</t>
        </is>
      </c>
      <c r="C4142" t="inlineStr">
        <is>
          <t>Inc42</t>
        </is>
      </c>
      <c r="D4142" s="17" t="n">
        <v>46259</v>
      </c>
      <c r="E4142" t="inlineStr">
        <is>
          <t>CarbonStrong</t>
        </is>
      </c>
      <c r="F4142" t="inlineStr">
        <is>
          <t>$1.3 Mn</t>
        </is>
      </c>
      <c r="G4142" s="19" t="n"/>
      <c r="H4142" s="19" t="n">
        <v>1.3</v>
      </c>
      <c r="I4142" t="inlineStr">
        <is>
          <t>Undisclosed</t>
        </is>
      </c>
      <c r="J4142" t="inlineStr">
        <is>
          <t>IAN Group</t>
        </is>
      </c>
      <c r="K4142" t="inlineStr">
        <is>
          <t>https://inc42.com/buzz/from-third-wave-coffee-to-matter-indian-startups-raised-over-210-mn-this-week/</t>
        </is>
      </c>
    </row>
    <row r="4143">
      <c r="A4143" t="inlineStr">
        <is>
          <t>INC-20260829-16</t>
        </is>
      </c>
      <c r="B4143" t="inlineStr">
        <is>
          <t>R260825-echovane</t>
        </is>
      </c>
      <c r="C4143" t="inlineStr">
        <is>
          <t>Inc42</t>
        </is>
      </c>
      <c r="D4143" s="17" t="n">
        <v>46259</v>
      </c>
      <c r="E4143" t="inlineStr">
        <is>
          <t>Echovane</t>
        </is>
      </c>
      <c r="F4143" t="inlineStr">
        <is>
          <t>$1 Mn</t>
        </is>
      </c>
      <c r="G4143" s="19" t="n"/>
      <c r="H4143" s="19" t="n">
        <v>1</v>
      </c>
      <c r="I4143" t="inlineStr">
        <is>
          <t>Pre-Seed</t>
        </is>
      </c>
      <c r="J4143" t="inlineStr">
        <is>
          <t>Titan Capital; Neon Fund</t>
        </is>
      </c>
      <c r="K4143" t="inlineStr">
        <is>
          <t>https://inc42.com/buzz/from-third-wave-coffee-to-matter-indian-startups-raised-over-210-mn-this-week/</t>
        </is>
      </c>
    </row>
    <row r="4144">
      <c r="A4144" t="inlineStr">
        <is>
          <t>ENT-12430180</t>
        </is>
      </c>
      <c r="B4144" t="inlineStr">
        <is>
          <t>R260825-matter</t>
        </is>
      </c>
      <c r="C4144" t="inlineStr">
        <is>
          <t>Entrackr</t>
        </is>
      </c>
      <c r="D4144" s="17" t="n">
        <v>46259</v>
      </c>
      <c r="E4144" t="inlineStr">
        <is>
          <t>Matter</t>
        </is>
      </c>
      <c r="F4144" t="inlineStr">
        <is>
          <t>$25 million</t>
        </is>
      </c>
      <c r="G4144" s="19" t="n">
        <v>250</v>
      </c>
      <c r="H4144" s="19" t="n">
        <v>25</v>
      </c>
      <c r="I4144" t="inlineStr">
        <is>
          <t>Undisclosed</t>
        </is>
      </c>
      <c r="J4144" t="inlineStr"/>
      <c r="K4144" t="inlineStr">
        <is>
          <t>https://entrackr.com/news/electric-motorcycle-maker-matter-raises-25-mn-growth-round-12430180</t>
        </is>
      </c>
    </row>
    <row r="4145">
      <c r="A4145" t="inlineStr">
        <is>
          <t>ET-133477549</t>
        </is>
      </c>
      <c r="B4145" t="inlineStr">
        <is>
          <t>R260825-matter</t>
        </is>
      </c>
      <c r="C4145" t="inlineStr">
        <is>
          <t>The Economic Times</t>
        </is>
      </c>
      <c r="D4145" s="17" t="n">
        <v>46259</v>
      </c>
      <c r="E4145" t="inlineStr">
        <is>
          <t>Matter</t>
        </is>
      </c>
      <c r="F4145" t="inlineStr">
        <is>
          <t>$25 million</t>
        </is>
      </c>
      <c r="G4145" s="19" t="n">
        <v>240</v>
      </c>
      <c r="H4145" s="19" t="n">
        <v>25</v>
      </c>
      <c r="I4145" t="inlineStr">
        <is>
          <t>Undisclosed</t>
        </is>
      </c>
      <c r="J4145" t="inlineStr"/>
      <c r="K4145" t="inlineStr">
        <is>
          <t>https://economictimes.indiatimes.com/tech/funding/e-bike-maker-matter-raises-25-million-from-existing-investors-plans-four-new-models/articleshow/133477549.cms</t>
        </is>
      </c>
    </row>
    <row r="4146">
      <c r="A4146" t="inlineStr">
        <is>
          <t>INC-20260829-03</t>
        </is>
      </c>
      <c r="B4146" t="inlineStr">
        <is>
          <t>R260825-matter</t>
        </is>
      </c>
      <c r="C4146" t="inlineStr">
        <is>
          <t>Inc42</t>
        </is>
      </c>
      <c r="D4146" s="17" t="n">
        <v>46259</v>
      </c>
      <c r="E4146" t="inlineStr">
        <is>
          <t>MATTER</t>
        </is>
      </c>
      <c r="F4146" t="inlineStr">
        <is>
          <t>$25 Mn</t>
        </is>
      </c>
      <c r="G4146" s="19" t="n"/>
      <c r="H4146" s="19" t="n">
        <v>25</v>
      </c>
      <c r="I4146" t="inlineStr">
        <is>
          <t>Undisclosed</t>
        </is>
      </c>
      <c r="J4146" t="inlineStr"/>
      <c r="K4146" t="inlineStr">
        <is>
          <t>https://inc42.com/buzz/from-third-wave-coffee-to-matter-indian-startups-raised-over-210-mn-this-week/</t>
        </is>
      </c>
    </row>
    <row r="4147">
      <c r="A4147" t="inlineStr">
        <is>
          <t>VCC-d8d610e37a</t>
        </is>
      </c>
      <c r="B4147" t="inlineStr">
        <is>
          <t>R260825-matter</t>
        </is>
      </c>
      <c r="C4147" t="inlineStr">
        <is>
          <t>VCCircle</t>
        </is>
      </c>
      <c r="D4147" s="17" t="n">
        <v>46259</v>
      </c>
      <c r="E4147" t="inlineStr">
        <is>
          <t>matter</t>
        </is>
      </c>
      <c r="F4147" t="inlineStr"/>
      <c r="G4147" s="19" t="n"/>
      <c r="H4147" s="19" t="n"/>
      <c r="I4147" t="inlineStr">
        <is>
          <t>Series C</t>
        </is>
      </c>
      <c r="J4147" t="inlineStr"/>
      <c r="K4147" t="inlineStr">
        <is>
          <t>https://www.vccircle.com/vcbacked-electric-bike-company-matter-raises-series-c-funding</t>
        </is>
      </c>
    </row>
    <row r="4148">
      <c r="A4148" t="inlineStr">
        <is>
          <t>INC-20260829-05</t>
        </is>
      </c>
      <c r="B4148" t="inlineStr">
        <is>
          <t>R260825-nexedgecapital</t>
        </is>
      </c>
      <c r="C4148" t="inlineStr">
        <is>
          <t>Inc42</t>
        </is>
      </c>
      <c r="D4148" s="17" t="n">
        <v>46259</v>
      </c>
      <c r="E4148" t="inlineStr">
        <is>
          <t>Nexedge Capital</t>
        </is>
      </c>
      <c r="F4148" t="inlineStr">
        <is>
          <t>$20 Mn</t>
        </is>
      </c>
      <c r="G4148" s="19" t="n"/>
      <c r="H4148" s="19" t="n">
        <v>20</v>
      </c>
      <c r="I4148" t="inlineStr">
        <is>
          <t>Undisclosed</t>
        </is>
      </c>
      <c r="J4148" t="inlineStr">
        <is>
          <t>Mirae Asset Venture Investment; Elev8 Venture Partners</t>
        </is>
      </c>
      <c r="K4148" t="inlineStr">
        <is>
          <t>https://inc42.com/buzz/from-third-wave-coffee-to-matter-indian-startups-raised-over-210-mn-this-week/</t>
        </is>
      </c>
    </row>
    <row r="4149">
      <c r="A4149" t="inlineStr">
        <is>
          <t>INC-20260829-22</t>
        </is>
      </c>
      <c r="B4149" t="inlineStr">
        <is>
          <t>R260825-staywellhealth</t>
        </is>
      </c>
      <c r="C4149" t="inlineStr">
        <is>
          <t>Inc42</t>
        </is>
      </c>
      <c r="D4149" s="17" t="n">
        <v>46259</v>
      </c>
      <c r="E4149" t="inlineStr">
        <is>
          <t>Staywell.Health</t>
        </is>
      </c>
      <c r="F4149" t="inlineStr"/>
      <c r="G4149" s="19" t="n"/>
      <c r="H4149" s="19" t="n"/>
      <c r="I4149" t="inlineStr">
        <is>
          <t>Undisclosed</t>
        </is>
      </c>
      <c r="J4149" t="inlineStr">
        <is>
          <t>Equanimity Investments</t>
        </is>
      </c>
      <c r="K4149" t="inlineStr">
        <is>
          <t>https://inc42.com/buzz/from-third-wave-coffee-to-matter-indian-startups-raised-over-210-mn-this-week/</t>
        </is>
      </c>
    </row>
    <row r="4150">
      <c r="A4150" t="inlineStr">
        <is>
          <t>ENT-12431868</t>
        </is>
      </c>
      <c r="B4150" t="inlineStr">
        <is>
          <t>R260825-utsav</t>
        </is>
      </c>
      <c r="C4150" t="inlineStr">
        <is>
          <t>Entrackr</t>
        </is>
      </c>
      <c r="D4150" s="17" t="n">
        <v>46259</v>
      </c>
      <c r="E4150" t="inlineStr">
        <is>
          <t>Utsav</t>
        </is>
      </c>
      <c r="F4150" t="inlineStr">
        <is>
          <t>Rs 36 crore</t>
        </is>
      </c>
      <c r="G4150" s="19" t="n">
        <v>36</v>
      </c>
      <c r="H4150" s="19" t="n">
        <v>3.8</v>
      </c>
      <c r="I4150" t="inlineStr">
        <is>
          <t>Series A</t>
        </is>
      </c>
      <c r="J4150" t="inlineStr">
        <is>
          <t>Atomic Capital</t>
        </is>
      </c>
      <c r="K4150" t="inlineStr">
        <is>
          <t>https://entrackr.com/snippets/utsav-raises-rs-36-cr-in-series-a-led-by-atomic-capital-12431868</t>
        </is>
      </c>
    </row>
    <row r="4151">
      <c r="A4151" t="inlineStr">
        <is>
          <t>INC-20260829-12</t>
        </is>
      </c>
      <c r="B4151" t="inlineStr">
        <is>
          <t>R260825-utsav</t>
        </is>
      </c>
      <c r="C4151" t="inlineStr">
        <is>
          <t>Inc42</t>
        </is>
      </c>
      <c r="D4151" s="17" t="n">
        <v>46259</v>
      </c>
      <c r="E4151" t="inlineStr">
        <is>
          <t>Utsav App</t>
        </is>
      </c>
      <c r="F4151" t="inlineStr">
        <is>
          <t>$3.8 Mn</t>
        </is>
      </c>
      <c r="G4151" s="19" t="n"/>
      <c r="H4151" s="19" t="n">
        <v>3.8</v>
      </c>
      <c r="I4151" t="inlineStr">
        <is>
          <t>Series A</t>
        </is>
      </c>
      <c r="J4151" t="inlineStr">
        <is>
          <t>Atomic Capital</t>
        </is>
      </c>
      <c r="K4151" t="inlineStr">
        <is>
          <t>https://inc42.com/buzz/from-third-wave-coffee-to-matter-indian-startups-raised-over-210-mn-this-week/</t>
        </is>
      </c>
    </row>
    <row r="4152">
      <c r="A4152" t="inlineStr">
        <is>
          <t>INC-20260829-23</t>
        </is>
      </c>
      <c r="B4152" t="inlineStr">
        <is>
          <t>R260826-brisiltechnolo</t>
        </is>
      </c>
      <c r="C4152" t="inlineStr">
        <is>
          <t>Inc42</t>
        </is>
      </c>
      <c r="D4152" s="17" t="n">
        <v>46260</v>
      </c>
      <c r="E4152" t="inlineStr">
        <is>
          <t>Brisil Technologies</t>
        </is>
      </c>
      <c r="F4152" t="inlineStr"/>
      <c r="G4152" s="19" t="n"/>
      <c r="H4152" s="19" t="n"/>
      <c r="I4152" t="inlineStr">
        <is>
          <t>Pre-Series A</t>
        </is>
      </c>
      <c r="J4152" t="inlineStr">
        <is>
          <t>Peak Sustainability Ventures</t>
        </is>
      </c>
      <c r="K4152" t="inlineStr">
        <is>
          <t>https://inc42.com/buzz/from-third-wave-coffee-to-matter-indian-startups-raised-over-210-mn-this-week/</t>
        </is>
      </c>
    </row>
    <row r="4153">
      <c r="A4153" t="inlineStr">
        <is>
          <t>ENT-12436981</t>
        </is>
      </c>
      <c r="B4153" t="inlineStr">
        <is>
          <t>R260826-curaa</t>
        </is>
      </c>
      <c r="C4153" t="inlineStr">
        <is>
          <t>Entrackr</t>
        </is>
      </c>
      <c r="D4153" s="17" t="n">
        <v>46260</v>
      </c>
      <c r="E4153" t="inlineStr">
        <is>
          <t>Cüraa</t>
        </is>
      </c>
      <c r="F4153" t="inlineStr">
        <is>
          <t>Rs 40 crore</t>
        </is>
      </c>
      <c r="G4153" s="19" t="n">
        <v>40</v>
      </c>
      <c r="H4153" s="19" t="n"/>
      <c r="I4153" t="inlineStr">
        <is>
          <t>Series A</t>
        </is>
      </c>
      <c r="J4153" t="inlineStr">
        <is>
          <t>3one4 Capital</t>
        </is>
      </c>
      <c r="K4153" t="inlineStr">
        <is>
          <t>https://entrackr.com/snippets/kitchen-and-lifestyle-brand-cüraa-raises-rs-40-cr-in-series-a-led-by-3one4-capital-12436981</t>
        </is>
      </c>
    </row>
    <row r="4154">
      <c r="A4154" t="inlineStr">
        <is>
          <t>ET-133536337</t>
        </is>
      </c>
      <c r="B4154" t="inlineStr">
        <is>
          <t>R260826-curaa</t>
        </is>
      </c>
      <c r="C4154" t="inlineStr">
        <is>
          <t>The Economic Times</t>
        </is>
      </c>
      <c r="D4154" s="17" t="n">
        <v>46260</v>
      </c>
      <c r="E4154" t="inlineStr">
        <is>
          <t>Curaa</t>
        </is>
      </c>
      <c r="F4154" t="inlineStr">
        <is>
          <t>Rs 40 crore</t>
        </is>
      </c>
      <c r="G4154" s="19" t="n">
        <v>40</v>
      </c>
      <c r="H4154" s="19" t="n"/>
      <c r="I4154" t="inlineStr">
        <is>
          <t>Undisclosed</t>
        </is>
      </c>
      <c r="J4154" t="inlineStr">
        <is>
          <t>3one4 Capital</t>
        </is>
      </c>
      <c r="K4154" t="inlineStr">
        <is>
          <t>https://economictimes.indiatimes.com/tech/funding/d2c-kitchenware-startup-curaa-raises-rs-40-crore-led-by-3one4-capital/articleshow/133536337.cms</t>
        </is>
      </c>
    </row>
    <row r="4155">
      <c r="A4155" t="inlineStr">
        <is>
          <t>INC-20260829-11</t>
        </is>
      </c>
      <c r="B4155" t="inlineStr">
        <is>
          <t>R260826-curaa</t>
        </is>
      </c>
      <c r="C4155" t="inlineStr">
        <is>
          <t>Inc42</t>
        </is>
      </c>
      <c r="D4155" s="17" t="n">
        <v>46260</v>
      </c>
      <c r="E4155" t="inlineStr">
        <is>
          <t>Curaa</t>
        </is>
      </c>
      <c r="F4155" t="inlineStr">
        <is>
          <t>$4.2 Mn</t>
        </is>
      </c>
      <c r="G4155" s="19" t="n"/>
      <c r="H4155" s="19" t="n">
        <v>4.2</v>
      </c>
      <c r="I4155" t="inlineStr">
        <is>
          <t>Series A</t>
        </is>
      </c>
      <c r="J4155" t="inlineStr">
        <is>
          <t>3one4 Capital</t>
        </is>
      </c>
      <c r="K4155" t="inlineStr">
        <is>
          <t>https://inc42.com/buzz/from-third-wave-coffee-to-matter-indian-startups-raised-over-210-mn-this-week/</t>
        </is>
      </c>
    </row>
    <row r="4156">
      <c r="A4156" t="inlineStr">
        <is>
          <t>ENT-12435121</t>
        </is>
      </c>
      <c r="B4156" t="inlineStr">
        <is>
          <t>R260826-ringg</t>
        </is>
      </c>
      <c r="C4156" t="inlineStr">
        <is>
          <t>Entrackr</t>
        </is>
      </c>
      <c r="D4156" s="17" t="n">
        <v>46260</v>
      </c>
      <c r="E4156" t="inlineStr">
        <is>
          <t>Ringg</t>
        </is>
      </c>
      <c r="F4156" t="inlineStr">
        <is>
          <t>$10 million</t>
        </is>
      </c>
      <c r="G4156" s="19" t="n"/>
      <c r="H4156" s="19" t="n">
        <v>10</v>
      </c>
      <c r="I4156" t="inlineStr">
        <is>
          <t>Series A</t>
        </is>
      </c>
      <c r="J4156" t="inlineStr">
        <is>
          <t>Peak XV Partners</t>
        </is>
      </c>
      <c r="K4156" t="inlineStr">
        <is>
          <t>https://entrackr.com/news/voice-ai-startup-ringg-raises-10-mn-led-by-peak-xv-12435121</t>
        </is>
      </c>
    </row>
    <row r="4157">
      <c r="A4157" t="inlineStr">
        <is>
          <t>ET-133530474</t>
        </is>
      </c>
      <c r="B4157" t="inlineStr">
        <is>
          <t>R260826-ringg</t>
        </is>
      </c>
      <c r="C4157" t="inlineStr">
        <is>
          <t>The Economic Times</t>
        </is>
      </c>
      <c r="D4157" s="17" t="n">
        <v>46260</v>
      </c>
      <c r="E4157" t="inlineStr">
        <is>
          <t>Ringg AI</t>
        </is>
      </c>
      <c r="F4157" t="inlineStr">
        <is>
          <t>$10 million</t>
        </is>
      </c>
      <c r="G4157" s="19" t="n"/>
      <c r="H4157" s="19" t="n">
        <v>10</v>
      </c>
      <c r="I4157" t="inlineStr">
        <is>
          <t>Undisclosed</t>
        </is>
      </c>
      <c r="J4157" t="inlineStr">
        <is>
          <t>Peak XV Partners</t>
        </is>
      </c>
      <c r="K4157" t="inlineStr">
        <is>
          <t>https://economictimes.indiatimes.com/tech/funding/ringg-ai-raises-10-million-in-funding-from-peak-xv-partners-others/articleshow/133530474.cms</t>
        </is>
      </c>
    </row>
    <row r="4158">
      <c r="A4158" t="inlineStr">
        <is>
          <t>INC-20260829-08</t>
        </is>
      </c>
      <c r="B4158" t="inlineStr">
        <is>
          <t>R260826-ringg</t>
        </is>
      </c>
      <c r="C4158" t="inlineStr">
        <is>
          <t>Inc42</t>
        </is>
      </c>
      <c r="D4158" s="17" t="n">
        <v>46260</v>
      </c>
      <c r="E4158" t="inlineStr">
        <is>
          <t>Ringg AI</t>
        </is>
      </c>
      <c r="F4158" t="inlineStr">
        <is>
          <t>$10 Mn</t>
        </is>
      </c>
      <c r="G4158" s="19" t="n"/>
      <c r="H4158" s="19" t="n">
        <v>10</v>
      </c>
      <c r="I4158" t="inlineStr">
        <is>
          <t>Series A</t>
        </is>
      </c>
      <c r="J4158" t="inlineStr">
        <is>
          <t>Peak XV Partners</t>
        </is>
      </c>
      <c r="K4158" t="inlineStr">
        <is>
          <t>https://inc42.com/buzz/from-third-wave-coffee-to-matter-indian-startups-raised-over-210-mn-this-week/</t>
        </is>
      </c>
    </row>
    <row r="4159">
      <c r="A4159" t="inlineStr">
        <is>
          <t>ENT-12440974</t>
        </is>
      </c>
      <c r="B4159" t="inlineStr">
        <is>
          <t>R260826-runable</t>
        </is>
      </c>
      <c r="C4159" t="inlineStr">
        <is>
          <t>Entrackr</t>
        </is>
      </c>
      <c r="D4159" s="17" t="n">
        <v>46260</v>
      </c>
      <c r="E4159" t="inlineStr">
        <is>
          <t>Runable</t>
        </is>
      </c>
      <c r="F4159" t="inlineStr">
        <is>
          <t>$21 million</t>
        </is>
      </c>
      <c r="G4159" s="19" t="n"/>
      <c r="H4159" s="19" t="n">
        <v>21</v>
      </c>
      <c r="I4159" t="inlineStr">
        <is>
          <t>Series A</t>
        </is>
      </c>
      <c r="J4159" t="inlineStr">
        <is>
          <t>Susquehanna Venture Capital; Nexus Venture Partners</t>
        </is>
      </c>
      <c r="K4159" t="inlineStr">
        <is>
          <t>https://entrackr.com/news/agentic-ai-startup-runable-raises-21-mn-in-series-a-led-by-susquehanna-and-nexus-12440974</t>
        </is>
      </c>
    </row>
    <row r="4160">
      <c r="A4160" t="inlineStr">
        <is>
          <t>ET-133542065</t>
        </is>
      </c>
      <c r="B4160" t="inlineStr">
        <is>
          <t>R260826-runable</t>
        </is>
      </c>
      <c r="C4160" t="inlineStr">
        <is>
          <t>The Economic Times</t>
        </is>
      </c>
      <c r="D4160" s="17" t="n">
        <v>46260</v>
      </c>
      <c r="E4160" t="inlineStr">
        <is>
          <t>Runable</t>
        </is>
      </c>
      <c r="F4160" t="inlineStr">
        <is>
          <t>$21 million</t>
        </is>
      </c>
      <c r="G4160" s="19" t="n"/>
      <c r="H4160" s="19" t="n">
        <v>21</v>
      </c>
      <c r="I4160" t="inlineStr">
        <is>
          <t>Undisclosed</t>
        </is>
      </c>
      <c r="J4160" t="inlineStr">
        <is>
          <t>Susquehanna Venture Capital; Nexus Venture Partners</t>
        </is>
      </c>
      <c r="K4160" t="inlineStr">
        <is>
          <t>https://economictimes.indiatimes.com/tech/funding/agentic-ai-startup-runable-raises-21-million-from-susquehanna-nexus-venture-partners/articleshow/133542065.cms</t>
        </is>
      </c>
    </row>
    <row r="4161">
      <c r="A4161" t="inlineStr">
        <is>
          <t>INC-20260829-04</t>
        </is>
      </c>
      <c r="B4161" t="inlineStr">
        <is>
          <t>R260826-runable</t>
        </is>
      </c>
      <c r="C4161" t="inlineStr">
        <is>
          <t>Inc42</t>
        </is>
      </c>
      <c r="D4161" s="17" t="n">
        <v>46260</v>
      </c>
      <c r="E4161" t="inlineStr">
        <is>
          <t>Runable</t>
        </is>
      </c>
      <c r="F4161" t="inlineStr">
        <is>
          <t>$21 Mn</t>
        </is>
      </c>
      <c r="G4161" s="19" t="n"/>
      <c r="H4161" s="19" t="n">
        <v>21</v>
      </c>
      <c r="I4161" t="inlineStr">
        <is>
          <t>Series A</t>
        </is>
      </c>
      <c r="J4161" t="inlineStr">
        <is>
          <t>Susquehanna Venture Capital; Nexus Venture Partners</t>
        </is>
      </c>
      <c r="K4161" t="inlineStr">
        <is>
          <t>https://inc42.com/buzz/from-third-wave-coffee-to-matter-indian-startups-raised-over-210-mn-this-week/</t>
        </is>
      </c>
    </row>
    <row r="4162">
      <c r="A4162" t="inlineStr">
        <is>
          <t>ENT-12435096</t>
        </is>
      </c>
      <c r="B4162" t="inlineStr">
        <is>
          <t>R260826-scooby</t>
        </is>
      </c>
      <c r="C4162" t="inlineStr">
        <is>
          <t>Entrackr</t>
        </is>
      </c>
      <c r="D4162" s="17" t="n">
        <v>46260</v>
      </c>
      <c r="E4162" t="inlineStr">
        <is>
          <t>Scooby</t>
        </is>
      </c>
      <c r="F4162" t="inlineStr">
        <is>
          <t>$250K</t>
        </is>
      </c>
      <c r="G4162" s="19" t="n"/>
      <c r="H4162" s="19" t="n">
        <v>0.25</v>
      </c>
      <c r="I4162" t="inlineStr">
        <is>
          <t>Pre-Seed</t>
        </is>
      </c>
      <c r="J4162" t="inlineStr">
        <is>
          <t>TDV Partners</t>
        </is>
      </c>
      <c r="K4162" t="inlineStr">
        <is>
          <t>https://entrackr.com/snippets/tdv-partners-leads-250k-pre-seed-round-in-dog-care-platform-scoobys-club-12435096</t>
        </is>
      </c>
    </row>
    <row r="4163">
      <c r="A4163" t="inlineStr">
        <is>
          <t>INC-20260829-20</t>
        </is>
      </c>
      <c r="B4163" t="inlineStr">
        <is>
          <t>R260826-scooby</t>
        </is>
      </c>
      <c r="C4163" t="inlineStr">
        <is>
          <t>Inc42</t>
        </is>
      </c>
      <c r="D4163" s="17" t="n">
        <v>46260</v>
      </c>
      <c r="E4163" t="inlineStr">
        <is>
          <t>Scooby’s Club</t>
        </is>
      </c>
      <c r="F4163" t="inlineStr">
        <is>
          <t>$250K</t>
        </is>
      </c>
      <c r="G4163" s="19" t="n"/>
      <c r="H4163" s="19" t="n">
        <v>0.25</v>
      </c>
      <c r="I4163" t="inlineStr">
        <is>
          <t>Pre-Seed</t>
        </is>
      </c>
      <c r="J4163" t="inlineStr">
        <is>
          <t>TDV Partners</t>
        </is>
      </c>
      <c r="K4163" t="inlineStr">
        <is>
          <t>https://inc42.com/buzz/from-third-wave-coffee-to-matter-indian-startups-raised-over-210-mn-this-week/</t>
        </is>
      </c>
    </row>
    <row r="4164">
      <c r="A4164" t="inlineStr">
        <is>
          <t>ENT-12442621</t>
        </is>
      </c>
      <c r="B4164" t="inlineStr">
        <is>
          <t>R260827-biryanibees</t>
        </is>
      </c>
      <c r="C4164" t="inlineStr">
        <is>
          <t>Entrackr</t>
        </is>
      </c>
      <c r="D4164" s="17" t="n">
        <v>46261</v>
      </c>
      <c r="E4164" t="inlineStr">
        <is>
          <t>Biryani Bees</t>
        </is>
      </c>
      <c r="F4164" t="inlineStr">
        <is>
          <t>$1 million</t>
        </is>
      </c>
      <c r="G4164" s="19" t="n"/>
      <c r="H4164" s="19" t="n">
        <v>1</v>
      </c>
      <c r="I4164" t="inlineStr">
        <is>
          <t>Undisclosed</t>
        </is>
      </c>
      <c r="J4164" t="inlineStr"/>
      <c r="K4164" t="inlineStr">
        <is>
          <t>https://entrackr.com/snippets/biryani-bees-raises-1-mn-from-vivek-oberoi-family-office-12442621</t>
        </is>
      </c>
    </row>
    <row r="4165">
      <c r="A4165" t="inlineStr">
        <is>
          <t>INC-20260829-18</t>
        </is>
      </c>
      <c r="B4165" t="inlineStr">
        <is>
          <t>R260827-biryanibees</t>
        </is>
      </c>
      <c r="C4165" t="inlineStr">
        <is>
          <t>Inc42</t>
        </is>
      </c>
      <c r="D4165" s="17" t="n">
        <v>46261</v>
      </c>
      <c r="E4165" t="inlineStr">
        <is>
          <t>Biryani Bees</t>
        </is>
      </c>
      <c r="F4165" t="inlineStr">
        <is>
          <t>$1 Mn</t>
        </is>
      </c>
      <c r="G4165" s="19" t="n"/>
      <c r="H4165" s="19" t="n">
        <v>1</v>
      </c>
      <c r="I4165" t="inlineStr">
        <is>
          <t>Undisclosed</t>
        </is>
      </c>
      <c r="J4165" t="inlineStr">
        <is>
          <t>Vivek Oberoi Family Office</t>
        </is>
      </c>
      <c r="K4165" t="inlineStr">
        <is>
          <t>https://inc42.com/buzz/from-third-wave-coffee-to-matter-indian-startups-raised-over-210-mn-this-week/</t>
        </is>
      </c>
    </row>
    <row r="4166">
      <c r="A4166" t="inlineStr">
        <is>
          <t>INC-20260829-19</t>
        </is>
      </c>
      <c r="B4166" t="inlineStr">
        <is>
          <t>R260827-edgeverse</t>
        </is>
      </c>
      <c r="C4166" t="inlineStr">
        <is>
          <t>Inc42</t>
        </is>
      </c>
      <c r="D4166" s="17" t="n">
        <v>46261</v>
      </c>
      <c r="E4166" t="inlineStr">
        <is>
          <t>Edgeverse</t>
        </is>
      </c>
      <c r="F4166" t="inlineStr">
        <is>
          <t>$314K</t>
        </is>
      </c>
      <c r="G4166" s="19" t="n"/>
      <c r="H4166" s="19" t="n">
        <v>0.314</v>
      </c>
      <c r="I4166" t="inlineStr">
        <is>
          <t>Undisclosed</t>
        </is>
      </c>
      <c r="J4166" t="inlineStr">
        <is>
          <t>GVFL</t>
        </is>
      </c>
      <c r="K4166" t="inlineStr">
        <is>
          <t>https://inc42.com/buzz/from-third-wave-coffee-to-matter-indian-startups-raised-over-210-mn-this-week/</t>
        </is>
      </c>
    </row>
    <row r="4167">
      <c r="A4167" t="inlineStr">
        <is>
          <t>ENT-12442264</t>
        </is>
      </c>
      <c r="B4167" t="inlineStr">
        <is>
          <t>R260827-inspecity</t>
        </is>
      </c>
      <c r="C4167" t="inlineStr">
        <is>
          <t>Entrackr</t>
        </is>
      </c>
      <c r="D4167" s="17" t="n">
        <v>46261</v>
      </c>
      <c r="E4167" t="inlineStr">
        <is>
          <t>InspeCity</t>
        </is>
      </c>
      <c r="F4167" t="inlineStr">
        <is>
          <t>Rs 100 crore</t>
        </is>
      </c>
      <c r="G4167" s="19" t="n">
        <v>100</v>
      </c>
      <c r="H4167" s="19" t="n">
        <v>10.5</v>
      </c>
      <c r="I4167" t="inlineStr">
        <is>
          <t>Pre-Series A</t>
        </is>
      </c>
      <c r="J4167" t="inlineStr">
        <is>
          <t>Speciale Invest; Ashish Kacholia</t>
        </is>
      </c>
      <c r="K4167" t="inlineStr">
        <is>
          <t>https://entrackr.com/news/spacetech-startup-inspecity-raises-rs-100-cr-in-pre-series-a-round-12442264</t>
        </is>
      </c>
    </row>
    <row r="4168">
      <c r="A4168" t="inlineStr">
        <is>
          <t>ET-133545004</t>
        </is>
      </c>
      <c r="B4168" t="inlineStr">
        <is>
          <t>R260827-inspecity</t>
        </is>
      </c>
      <c r="C4168" t="inlineStr">
        <is>
          <t>The Economic Times</t>
        </is>
      </c>
      <c r="D4168" s="17" t="n">
        <v>46261</v>
      </c>
      <c r="E4168" t="inlineStr">
        <is>
          <t>InspeCity</t>
        </is>
      </c>
      <c r="F4168" t="inlineStr">
        <is>
          <t>Rs 100 crore</t>
        </is>
      </c>
      <c r="G4168" s="19" t="n">
        <v>100</v>
      </c>
      <c r="H4168" s="19" t="n">
        <v>10.5</v>
      </c>
      <c r="I4168" t="inlineStr">
        <is>
          <t>Undisclosed</t>
        </is>
      </c>
      <c r="J4168" t="inlineStr">
        <is>
          <t>Speciale Invest; Ashish Kacholia</t>
        </is>
      </c>
      <c r="K4168" t="inlineStr">
        <is>
          <t>https://economictimes.indiatimes.com/tech/funding/spacetech-startup-inspecity-raises-rs-100-crore-prepares-for-four-orbital-missions/articleshow/133545004.cms</t>
        </is>
      </c>
    </row>
    <row r="4169">
      <c r="A4169" t="inlineStr">
        <is>
          <t>INC-20260829-07</t>
        </is>
      </c>
      <c r="B4169" t="inlineStr">
        <is>
          <t>R260827-inspecity</t>
        </is>
      </c>
      <c r="C4169" t="inlineStr">
        <is>
          <t>Inc42</t>
        </is>
      </c>
      <c r="D4169" s="17" t="n">
        <v>46261</v>
      </c>
      <c r="E4169" t="inlineStr">
        <is>
          <t>InspeCity</t>
        </is>
      </c>
      <c r="F4169" t="inlineStr">
        <is>
          <t>$10.4 Mn</t>
        </is>
      </c>
      <c r="G4169" s="19" t="n"/>
      <c r="H4169" s="19" t="n">
        <v>10.4</v>
      </c>
      <c r="I4169" t="inlineStr">
        <is>
          <t>Pre-Series A</t>
        </is>
      </c>
      <c r="J4169" t="inlineStr">
        <is>
          <t>Ashish Kacholia; Speciale Invest</t>
        </is>
      </c>
      <c r="K4169" t="inlineStr">
        <is>
          <t>https://inc42.com/buzz/from-third-wave-coffee-to-matter-indian-startups-raised-over-210-mn-this-week/</t>
        </is>
      </c>
    </row>
    <row r="4170">
      <c r="A4170" t="inlineStr">
        <is>
          <t>ENT-12442163</t>
        </is>
      </c>
      <c r="B4170" t="inlineStr">
        <is>
          <t>R260827-instaastro</t>
        </is>
      </c>
      <c r="C4170" t="inlineStr">
        <is>
          <t>Entrackr</t>
        </is>
      </c>
      <c r="D4170" s="17" t="n">
        <v>46261</v>
      </c>
      <c r="E4170" t="inlineStr">
        <is>
          <t>InstaAstro</t>
        </is>
      </c>
      <c r="F4170" t="inlineStr">
        <is>
          <t>$12 million</t>
        </is>
      </c>
      <c r="G4170" s="19" t="n"/>
      <c r="H4170" s="19" t="n">
        <v>12</v>
      </c>
      <c r="I4170" t="inlineStr">
        <is>
          <t>Series A</t>
        </is>
      </c>
      <c r="J4170" t="inlineStr">
        <is>
          <t>Singularity AMC; Artha Venture Fund</t>
        </is>
      </c>
      <c r="K4170" t="inlineStr">
        <is>
          <t>https://entrackr.com/news/instaastro-raises-12-mn-in-series-a-round-12442163</t>
        </is>
      </c>
    </row>
    <row r="4171">
      <c r="A4171" t="inlineStr">
        <is>
          <t>ET-133557338</t>
        </is>
      </c>
      <c r="B4171" t="inlineStr">
        <is>
          <t>R260827-instaastro</t>
        </is>
      </c>
      <c r="C4171" t="inlineStr">
        <is>
          <t>The Economic Times</t>
        </is>
      </c>
      <c r="D4171" s="17" t="n">
        <v>46261</v>
      </c>
      <c r="E4171" t="inlineStr">
        <is>
          <t>InstaAstro</t>
        </is>
      </c>
      <c r="F4171" t="inlineStr">
        <is>
          <t>$12 million</t>
        </is>
      </c>
      <c r="G4171" s="19" t="n"/>
      <c r="H4171" s="19" t="n">
        <v>12</v>
      </c>
      <c r="I4171" t="inlineStr">
        <is>
          <t>Undisclosed</t>
        </is>
      </c>
      <c r="J4171" t="inlineStr">
        <is>
          <t>Singularity AMC; Artha Venture Fund</t>
        </is>
      </c>
      <c r="K4171" t="inlineStr">
        <is>
          <t>https://economictimes.indiatimes.com/tech/funding/faithtech-startup-instaastro-raises-12-million-in-round-led-by-singularity-amc/articleshow/133557338.cms</t>
        </is>
      </c>
    </row>
    <row r="4172">
      <c r="A4172" t="inlineStr">
        <is>
          <t>INC-20260829-06</t>
        </is>
      </c>
      <c r="B4172" t="inlineStr">
        <is>
          <t>R260827-instaastro</t>
        </is>
      </c>
      <c r="C4172" t="inlineStr">
        <is>
          <t>Inc42</t>
        </is>
      </c>
      <c r="D4172" s="17" t="n">
        <v>46261</v>
      </c>
      <c r="E4172" t="inlineStr">
        <is>
          <t>InstaAstro</t>
        </is>
      </c>
      <c r="F4172" t="inlineStr">
        <is>
          <t>$12 Mn</t>
        </is>
      </c>
      <c r="G4172" s="19" t="n"/>
      <c r="H4172" s="19" t="n">
        <v>12</v>
      </c>
      <c r="I4172" t="inlineStr">
        <is>
          <t>Series A</t>
        </is>
      </c>
      <c r="J4172" t="inlineStr">
        <is>
          <t>Singularity AMC; Artha Venture Fund</t>
        </is>
      </c>
      <c r="K4172" t="inlineStr">
        <is>
          <t>https://inc42.com/buzz/from-third-wave-coffee-to-matter-indian-startups-raised-over-210-mn-this-week/</t>
        </is>
      </c>
    </row>
    <row r="4173">
      <c r="A4173" t="inlineStr">
        <is>
          <t>ENT-12444247</t>
        </is>
      </c>
      <c r="B4173" t="inlineStr">
        <is>
          <t>R260827-oorjaa</t>
        </is>
      </c>
      <c r="C4173" t="inlineStr">
        <is>
          <t>Entrackr</t>
        </is>
      </c>
      <c r="D4173" s="17" t="n">
        <v>46261</v>
      </c>
      <c r="E4173" t="inlineStr">
        <is>
          <t>OORJAA</t>
        </is>
      </c>
      <c r="F4173" t="inlineStr">
        <is>
          <t>Rs 9.7 crore</t>
        </is>
      </c>
      <c r="G4173" s="19" t="n">
        <v>9.699999999999999</v>
      </c>
      <c r="H4173" s="19" t="n">
        <v>1</v>
      </c>
      <c r="I4173" t="inlineStr">
        <is>
          <t>Series A</t>
        </is>
      </c>
      <c r="J4173" t="inlineStr">
        <is>
          <t>Equentis Angel Fund</t>
        </is>
      </c>
      <c r="K4173" t="inlineStr">
        <is>
          <t>https://entrackr.com/snippets/logistics-startup-oorjaa-raises-series-a-funding-led-by-equentis-angel-fund-12444247</t>
        </is>
      </c>
    </row>
    <row r="4174">
      <c r="A4174" t="inlineStr">
        <is>
          <t>INC-20260829-17</t>
        </is>
      </c>
      <c r="B4174" t="inlineStr">
        <is>
          <t>R260827-oorjaa</t>
        </is>
      </c>
      <c r="C4174" t="inlineStr">
        <is>
          <t>Inc42</t>
        </is>
      </c>
      <c r="D4174" s="17" t="n">
        <v>46261</v>
      </c>
      <c r="E4174" t="inlineStr">
        <is>
          <t>OORJAA</t>
        </is>
      </c>
      <c r="F4174" t="inlineStr">
        <is>
          <t>$1 Mn</t>
        </is>
      </c>
      <c r="G4174" s="19" t="n"/>
      <c r="H4174" s="19" t="n">
        <v>1</v>
      </c>
      <c r="I4174" t="inlineStr">
        <is>
          <t>Series A</t>
        </is>
      </c>
      <c r="J4174" t="inlineStr">
        <is>
          <t>Equentis Angel Fund</t>
        </is>
      </c>
      <c r="K4174" t="inlineStr">
        <is>
          <t>https://inc42.com/buzz/from-third-wave-coffee-to-matter-indian-startups-raised-over-210-mn-this-week/</t>
        </is>
      </c>
    </row>
    <row r="4175">
      <c r="A4175" t="inlineStr">
        <is>
          <t>ENT-12442109</t>
        </is>
      </c>
      <c r="B4175" t="inlineStr">
        <is>
          <t>R260827-trucksup</t>
        </is>
      </c>
      <c r="C4175" t="inlineStr">
        <is>
          <t>Entrackr</t>
        </is>
      </c>
      <c r="D4175" s="17" t="n">
        <v>46261</v>
      </c>
      <c r="E4175" t="inlineStr">
        <is>
          <t>TrucksUp</t>
        </is>
      </c>
      <c r="F4175" t="inlineStr">
        <is>
          <t>$8.2 million</t>
        </is>
      </c>
      <c r="G4175" s="19" t="n"/>
      <c r="H4175" s="19" t="n">
        <v>8.199999999999999</v>
      </c>
      <c r="I4175" t="inlineStr">
        <is>
          <t>Undisclosed</t>
        </is>
      </c>
      <c r="J4175" t="inlineStr"/>
      <c r="K4175" t="inlineStr">
        <is>
          <t>https://entrackr.com/snippets/logistics-platform-trucksup-raises-82-mn-in-growth-round-12442109</t>
        </is>
      </c>
    </row>
    <row r="4176">
      <c r="A4176" t="inlineStr">
        <is>
          <t>ET-133550382</t>
        </is>
      </c>
      <c r="B4176" t="inlineStr">
        <is>
          <t>R260827-trucksup</t>
        </is>
      </c>
      <c r="C4176" t="inlineStr">
        <is>
          <t>The Economic Times</t>
        </is>
      </c>
      <c r="D4176" s="17" t="n">
        <v>46261</v>
      </c>
      <c r="E4176" t="inlineStr">
        <is>
          <t>TrucksUp</t>
        </is>
      </c>
      <c r="F4176" t="inlineStr">
        <is>
          <t>$8.2 million</t>
        </is>
      </c>
      <c r="G4176" s="19" t="n"/>
      <c r="H4176" s="19" t="n">
        <v>8.199999999999999</v>
      </c>
      <c r="I4176" t="inlineStr">
        <is>
          <t>Undisclosed</t>
        </is>
      </c>
      <c r="J4176" t="inlineStr"/>
      <c r="K4176" t="inlineStr">
        <is>
          <t>https://economictimes.indiatimes.com/tech/funding/freight-marketplace-trucksup-raises-8-2-million-to-scale-technology-fleet-solutions/articleshow/133550382.cms</t>
        </is>
      </c>
    </row>
    <row r="4177">
      <c r="A4177" t="inlineStr">
        <is>
          <t>INC-20260829-14</t>
        </is>
      </c>
      <c r="B4177" t="inlineStr">
        <is>
          <t>R260829-beclinical</t>
        </is>
      </c>
      <c r="C4177" t="inlineStr">
        <is>
          <t>Inc42</t>
        </is>
      </c>
      <c r="D4177" s="17" t="n">
        <v>46263</v>
      </c>
      <c r="E4177" t="inlineStr">
        <is>
          <t>Be Clinical</t>
        </is>
      </c>
      <c r="F4177" t="inlineStr">
        <is>
          <t>$2.2 Mn</t>
        </is>
      </c>
      <c r="G4177" s="19" t="n"/>
      <c r="H4177" s="19" t="n">
        <v>2.2</v>
      </c>
      <c r="I4177" t="inlineStr">
        <is>
          <t>Seed</t>
        </is>
      </c>
      <c r="J4177" t="inlineStr">
        <is>
          <t>Sauce VC</t>
        </is>
      </c>
      <c r="K4177" t="inlineStr">
        <is>
          <t>https://inc42.com/buzz/from-third-wave-coffee-to-matter-indian-startups-raised-over-210-mn-this-week/</t>
        </is>
      </c>
    </row>
    <row r="4178">
      <c r="A4178" t="inlineStr">
        <is>
          <t>INC-20260829-10</t>
        </is>
      </c>
      <c r="B4178" t="inlineStr">
        <is>
          <t>R260829-omegaseikimobi</t>
        </is>
      </c>
      <c r="C4178" t="inlineStr">
        <is>
          <t>Inc42</t>
        </is>
      </c>
      <c r="D4178" s="17" t="n">
        <v>46263</v>
      </c>
      <c r="E4178" t="inlineStr">
        <is>
          <t>Omega Seiki Mobility</t>
        </is>
      </c>
      <c r="F4178" t="inlineStr">
        <is>
          <t>$5.2 Mn</t>
        </is>
      </c>
      <c r="G4178" s="19" t="n"/>
      <c r="H4178" s="19" t="n">
        <v>5.2</v>
      </c>
      <c r="I4178" t="inlineStr">
        <is>
          <t>Undisclosed</t>
        </is>
      </c>
      <c r="J4178" t="inlineStr">
        <is>
          <t>Abhishek Misra</t>
        </is>
      </c>
      <c r="K4178" t="inlineStr">
        <is>
          <t>https://inc42.com/buzz/from-third-wave-coffee-to-matter-indian-startups-raised-over-210-mn-this-week/</t>
        </is>
      </c>
    </row>
    <row r="4179">
      <c r="A4179" t="inlineStr">
        <is>
          <t>INC-20260905-19</t>
        </is>
      </c>
      <c r="B4179" t="inlineStr">
        <is>
          <t>R260831-chinikum</t>
        </is>
      </c>
      <c r="C4179" t="inlineStr">
        <is>
          <t>Inc42</t>
        </is>
      </c>
      <c r="D4179" s="17" t="n">
        <v>46265</v>
      </c>
      <c r="E4179" t="inlineStr">
        <is>
          <t>CHINI KUM</t>
        </is>
      </c>
      <c r="F4179" t="inlineStr">
        <is>
          <t>$174K</t>
        </is>
      </c>
      <c r="G4179" s="19" t="n"/>
      <c r="H4179" s="19" t="n">
        <v>0.174</v>
      </c>
      <c r="I4179" t="inlineStr">
        <is>
          <t>Undisclosed</t>
        </is>
      </c>
      <c r="J4179" t="inlineStr"/>
      <c r="K4179" t="inlineStr">
        <is>
          <t>https://inc42.com/buzz/from-ultrahuman-to-comet-indian-startups-raised-over-177-mn-this-week/</t>
        </is>
      </c>
    </row>
    <row r="4180">
      <c r="A4180" t="inlineStr">
        <is>
          <t>ENT-12458404</t>
        </is>
      </c>
      <c r="B4180" t="inlineStr">
        <is>
          <t>R260831-growwamc</t>
        </is>
      </c>
      <c r="C4180" t="inlineStr">
        <is>
          <t>Entrackr</t>
        </is>
      </c>
      <c r="D4180" s="17" t="n">
        <v>46265</v>
      </c>
      <c r="E4180" t="inlineStr">
        <is>
          <t>Groww AMC</t>
        </is>
      </c>
      <c r="F4180" t="inlineStr">
        <is>
          <t>Rs 580 Cr</t>
        </is>
      </c>
      <c r="G4180" s="19" t="n">
        <v>580</v>
      </c>
      <c r="H4180" s="19" t="n"/>
      <c r="I4180" t="inlineStr">
        <is>
          <t>Undisclosed</t>
        </is>
      </c>
      <c r="J4180" t="inlineStr"/>
      <c r="K4180" t="inlineStr">
        <is>
          <t>https://entrackr.com/news/groww-amc-closes-state-streets-rs-580-cr-strategic-investment-12458404</t>
        </is>
      </c>
    </row>
    <row r="4181">
      <c r="A4181" t="inlineStr">
        <is>
          <t>ENT-12458086</t>
        </is>
      </c>
      <c r="B4181" t="inlineStr">
        <is>
          <t>R260831-yogacleanair</t>
        </is>
      </c>
      <c r="C4181" t="inlineStr">
        <is>
          <t>Entrackr</t>
        </is>
      </c>
      <c r="D4181" s="17" t="n">
        <v>46265</v>
      </c>
      <c r="E4181" t="inlineStr">
        <is>
          <t>YOGa Clean Air</t>
        </is>
      </c>
      <c r="F4181" t="inlineStr">
        <is>
          <t>Rs 20 crore</t>
        </is>
      </c>
      <c r="G4181" s="19" t="n">
        <v>20</v>
      </c>
      <c r="H4181" s="19" t="n"/>
      <c r="I4181" t="inlineStr">
        <is>
          <t>Series A</t>
        </is>
      </c>
      <c r="J4181" t="inlineStr">
        <is>
          <t>Info Edge Ventures</t>
        </is>
      </c>
      <c r="K4181" t="inlineStr">
        <is>
          <t>https://entrackr.com/snippets/info-edge-ventures-leads-rs-20-cr-series-a-round-in-yoga-clean-air-12458086</t>
        </is>
      </c>
    </row>
    <row r="4182">
      <c r="A4182" t="inlineStr">
        <is>
          <t>ET-133642766</t>
        </is>
      </c>
      <c r="B4182" t="inlineStr">
        <is>
          <t>R260831-yogacleanair</t>
        </is>
      </c>
      <c r="C4182" t="inlineStr">
        <is>
          <t>The Economic Times</t>
        </is>
      </c>
      <c r="D4182" s="17" t="n">
        <v>46265</v>
      </c>
      <c r="E4182" t="inlineStr">
        <is>
          <t>Yoga Clean Air</t>
        </is>
      </c>
      <c r="F4182" t="inlineStr">
        <is>
          <t>Rs 20 crore</t>
        </is>
      </c>
      <c r="G4182" s="19" t="n">
        <v>20</v>
      </c>
      <c r="H4182" s="19" t="n"/>
      <c r="I4182" t="inlineStr">
        <is>
          <t>Undisclosed</t>
        </is>
      </c>
      <c r="J4182" t="inlineStr"/>
      <c r="K4182" t="inlineStr">
        <is>
          <t>https://economictimes.indiatimes.com/tech/funding/air-purifier-startup-yoga-clean-air-raises-rs-20-crore-from-info-edge-ventures-others/articleshow/133642766.cms</t>
        </is>
      </c>
    </row>
    <row r="4183">
      <c r="A4183" t="inlineStr">
        <is>
          <t>INC-20260905-12</t>
        </is>
      </c>
      <c r="B4183" t="inlineStr">
        <is>
          <t>R260831-yogacleanair</t>
        </is>
      </c>
      <c r="C4183" t="inlineStr">
        <is>
          <t>Inc42</t>
        </is>
      </c>
      <c r="D4183" s="17" t="n">
        <v>46265</v>
      </c>
      <c r="E4183" t="inlineStr">
        <is>
          <t>YOGa Clean Air</t>
        </is>
      </c>
      <c r="F4183" t="inlineStr">
        <is>
          <t>$2.1 Mn</t>
        </is>
      </c>
      <c r="G4183" s="19" t="n"/>
      <c r="H4183" s="19" t="n">
        <v>2.1</v>
      </c>
      <c r="I4183" t="inlineStr">
        <is>
          <t>Series A</t>
        </is>
      </c>
      <c r="J4183" t="inlineStr">
        <is>
          <t>Info Edge Ventures</t>
        </is>
      </c>
      <c r="K4183" t="inlineStr">
        <is>
          <t>https://inc42.com/buzz/from-ultrahuman-to-comet-indian-startups-raised-over-177-mn-this-week/</t>
        </is>
      </c>
    </row>
    <row r="4184">
      <c r="A4184" t="inlineStr">
        <is>
          <t>INC-20260905-16</t>
        </is>
      </c>
      <c r="B4184" t="inlineStr">
        <is>
          <t>R260901-72street</t>
        </is>
      </c>
      <c r="C4184" t="inlineStr">
        <is>
          <t>Inc42</t>
        </is>
      </c>
      <c r="D4184" s="17" t="n">
        <v>46266</v>
      </c>
      <c r="E4184" t="inlineStr">
        <is>
          <t>72 Street</t>
        </is>
      </c>
      <c r="F4184" t="inlineStr">
        <is>
          <t>$480K</t>
        </is>
      </c>
      <c r="G4184" s="19" t="n"/>
      <c r="H4184" s="19" t="n">
        <v>0.48</v>
      </c>
      <c r="I4184" t="inlineStr">
        <is>
          <t>Undisclosed</t>
        </is>
      </c>
      <c r="J4184" t="inlineStr"/>
      <c r="K4184" t="inlineStr">
        <is>
          <t>https://inc42.com/buzz/from-ultrahuman-to-comet-indian-startups-raised-over-177-mn-this-week/</t>
        </is>
      </c>
    </row>
    <row r="4185">
      <c r="A4185" t="inlineStr">
        <is>
          <t>ENT-12480196</t>
        </is>
      </c>
      <c r="B4185" t="inlineStr">
        <is>
          <t>R260901-aeronsystems</t>
        </is>
      </c>
      <c r="C4185" t="inlineStr">
        <is>
          <t>Entrackr</t>
        </is>
      </c>
      <c r="D4185" s="17" t="n">
        <v>46266</v>
      </c>
      <c r="E4185" t="inlineStr">
        <is>
          <t>Aeron Systems</t>
        </is>
      </c>
      <c r="F4185" t="inlineStr">
        <is>
          <t>Rs 45 crore</t>
        </is>
      </c>
      <c r="G4185" s="19" t="n">
        <v>45</v>
      </c>
      <c r="H4185" s="19" t="n">
        <v>4.7</v>
      </c>
      <c r="I4185" t="inlineStr">
        <is>
          <t>Pre-Series B</t>
        </is>
      </c>
      <c r="J4185" t="inlineStr">
        <is>
          <t>Riverwalk Holdings; MGF-Kavachh</t>
        </is>
      </c>
      <c r="K4185" t="inlineStr">
        <is>
          <t>https://entrackr.com/snippets/aeron-systems-raises-rs-45-cr-in-pre-series-b-round-12480196</t>
        </is>
      </c>
    </row>
    <row r="4186">
      <c r="A4186" t="inlineStr">
        <is>
          <t>INC-20260905-07</t>
        </is>
      </c>
      <c r="B4186" t="inlineStr">
        <is>
          <t>R260901-aeronsystems</t>
        </is>
      </c>
      <c r="C4186" t="inlineStr">
        <is>
          <t>Inc42</t>
        </is>
      </c>
      <c r="D4186" s="17" t="n">
        <v>46267</v>
      </c>
      <c r="E4186" t="inlineStr">
        <is>
          <t>Aeron Systems</t>
        </is>
      </c>
      <c r="F4186" t="inlineStr">
        <is>
          <t>$4.7 Mn</t>
        </is>
      </c>
      <c r="G4186" s="19" t="n"/>
      <c r="H4186" s="19" t="n">
        <v>4.7</v>
      </c>
      <c r="I4186" t="inlineStr">
        <is>
          <t>Pre-Series B</t>
        </is>
      </c>
      <c r="J4186" t="inlineStr">
        <is>
          <t>Riverwalk Holdings; MGF-Kavachh</t>
        </is>
      </c>
      <c r="K4186" t="inlineStr">
        <is>
          <t>https://inc42.com/buzz/from-ultrahuman-to-comet-indian-startups-raised-over-177-mn-this-week/</t>
        </is>
      </c>
    </row>
    <row r="4187">
      <c r="A4187" t="inlineStr">
        <is>
          <t>ENT-12479389</t>
        </is>
      </c>
      <c r="B4187" t="inlineStr">
        <is>
          <t>R260901-alteon</t>
        </is>
      </c>
      <c r="C4187" t="inlineStr">
        <is>
          <t>Entrackr</t>
        </is>
      </c>
      <c r="D4187" s="17" t="n">
        <v>46266</v>
      </c>
      <c r="E4187" t="inlineStr">
        <is>
          <t>Alteon</t>
        </is>
      </c>
      <c r="F4187" t="inlineStr">
        <is>
          <t>$2.5 million</t>
        </is>
      </c>
      <c r="G4187" s="19" t="n"/>
      <c r="H4187" s="19" t="n">
        <v>2.5</v>
      </c>
      <c r="I4187" t="inlineStr">
        <is>
          <t>Pre-Seed</t>
        </is>
      </c>
      <c r="J4187" t="inlineStr">
        <is>
          <t>Lachy Groom</t>
        </is>
      </c>
      <c r="K4187" t="inlineStr">
        <is>
          <t>https://entrackr.com/snippets/deep-tech-aerospace-startup-alteon-raises-25-mn-led-by-lachy-groom-12479389</t>
        </is>
      </c>
    </row>
    <row r="4188">
      <c r="A4188" t="inlineStr">
        <is>
          <t>ET-133675257</t>
        </is>
      </c>
      <c r="B4188" t="inlineStr">
        <is>
          <t>R260901-alteon</t>
        </is>
      </c>
      <c r="C4188" t="inlineStr">
        <is>
          <t>The Economic Times</t>
        </is>
      </c>
      <c r="D4188" s="17" t="n">
        <v>46266</v>
      </c>
      <c r="E4188" t="inlineStr">
        <is>
          <t>Alteon</t>
        </is>
      </c>
      <c r="F4188" t="inlineStr">
        <is>
          <t>$2.5 million</t>
        </is>
      </c>
      <c r="G4188" s="19" t="n"/>
      <c r="H4188" s="19" t="n">
        <v>2.5</v>
      </c>
      <c r="I4188" t="inlineStr">
        <is>
          <t>Undisclosed</t>
        </is>
      </c>
      <c r="J4188" t="inlineStr">
        <is>
          <t>Lachy Groom</t>
        </is>
      </c>
      <c r="K4188" t="inlineStr">
        <is>
          <t>https://economictimes.indiatimes.com/tech/funding/aerospace-startup-alteon-raises-2-5-million-from-lachy-groom-together-fund/articleshow/133675257.cms</t>
        </is>
      </c>
    </row>
    <row r="4189">
      <c r="A4189" t="inlineStr">
        <is>
          <t>INC-20260905-10</t>
        </is>
      </c>
      <c r="B4189" t="inlineStr">
        <is>
          <t>R260901-alteon</t>
        </is>
      </c>
      <c r="C4189" t="inlineStr">
        <is>
          <t>Inc42</t>
        </is>
      </c>
      <c r="D4189" s="17" t="n">
        <v>46266</v>
      </c>
      <c r="E4189" t="inlineStr">
        <is>
          <t>Alteon</t>
        </is>
      </c>
      <c r="F4189" t="inlineStr">
        <is>
          <t>$2.5 Mn</t>
        </is>
      </c>
      <c r="G4189" s="19" t="n"/>
      <c r="H4189" s="19" t="n">
        <v>2.5</v>
      </c>
      <c r="I4189" t="inlineStr">
        <is>
          <t>Pre-Seed</t>
        </is>
      </c>
      <c r="J4189" t="inlineStr">
        <is>
          <t>Lachy Groom</t>
        </is>
      </c>
      <c r="K4189" t="inlineStr">
        <is>
          <t>https://inc42.com/buzz/from-ultrahuman-to-comet-indian-startups-raised-over-177-mn-this-week/</t>
        </is>
      </c>
    </row>
    <row r="4190">
      <c r="A4190" t="inlineStr">
        <is>
          <t>ENT-12478666</t>
        </is>
      </c>
      <c r="B4190" t="inlineStr">
        <is>
          <t>R260901-kepleraerospac</t>
        </is>
      </c>
      <c r="C4190" t="inlineStr">
        <is>
          <t>Entrackr</t>
        </is>
      </c>
      <c r="D4190" s="17" t="n">
        <v>46266</v>
      </c>
      <c r="E4190" t="inlineStr">
        <is>
          <t>Kepler Aerospace</t>
        </is>
      </c>
      <c r="F4190" t="inlineStr">
        <is>
          <t>$8 million</t>
        </is>
      </c>
      <c r="G4190" s="19" t="n"/>
      <c r="H4190" s="19" t="n">
        <v>8</v>
      </c>
      <c r="I4190" t="inlineStr">
        <is>
          <t>Seed</t>
        </is>
      </c>
      <c r="J4190" t="inlineStr">
        <is>
          <t>Blue Ashva Capital</t>
        </is>
      </c>
      <c r="K4190" t="inlineStr">
        <is>
          <t>https://entrackr.com/news/spacetech-startup-kepler-aerospace-raises-8-mn-in-seed-round-led-by-blue-ashva-capital-12478666</t>
        </is>
      </c>
    </row>
    <row r="4191">
      <c r="A4191" t="inlineStr">
        <is>
          <t>ET-133679542</t>
        </is>
      </c>
      <c r="B4191" t="inlineStr">
        <is>
          <t>R260901-kepleraerospac</t>
        </is>
      </c>
      <c r="C4191" t="inlineStr">
        <is>
          <t>The Economic Times</t>
        </is>
      </c>
      <c r="D4191" s="17" t="n">
        <v>46266</v>
      </c>
      <c r="E4191" t="inlineStr">
        <is>
          <t>Kepler Aerospace</t>
        </is>
      </c>
      <c r="F4191" t="inlineStr">
        <is>
          <t>$8 million</t>
        </is>
      </c>
      <c r="G4191" s="19" t="n"/>
      <c r="H4191" s="19" t="n">
        <v>8</v>
      </c>
      <c r="I4191" t="inlineStr">
        <is>
          <t>Seed</t>
        </is>
      </c>
      <c r="J4191" t="inlineStr">
        <is>
          <t>Blue Ashva Capital; Finvolve India Accelerator</t>
        </is>
      </c>
      <c r="K4191" t="inlineStr">
        <is>
          <t>https://economictimes.indiatimes.com/tech/funding/kepler-aerospace-raises-8-million-in-seed-round-led-by-blue-ashva-capital/articleshow/133679542.cms</t>
        </is>
      </c>
    </row>
    <row r="4192">
      <c r="A4192" t="inlineStr">
        <is>
          <t>ENT-12479900</t>
        </is>
      </c>
      <c r="B4192" t="inlineStr">
        <is>
          <t>R260901-minimacsystems</t>
        </is>
      </c>
      <c r="C4192" t="inlineStr">
        <is>
          <t>Entrackr</t>
        </is>
      </c>
      <c r="D4192" s="17" t="n">
        <v>46266</v>
      </c>
      <c r="E4192" t="inlineStr">
        <is>
          <t>Minimac Systems</t>
        </is>
      </c>
      <c r="F4192" t="inlineStr">
        <is>
          <t>Rs 30 crore</t>
        </is>
      </c>
      <c r="G4192" s="19" t="n">
        <v>30</v>
      </c>
      <c r="H4192" s="19" t="n"/>
      <c r="I4192" t="inlineStr">
        <is>
          <t>Pre-Series A</t>
        </is>
      </c>
      <c r="J4192" t="inlineStr">
        <is>
          <t>Rainmatter</t>
        </is>
      </c>
      <c r="K4192" t="inlineStr">
        <is>
          <t>https://entrackr.com/snippets/rainmatter-leads-rs-30-cr-pre-series-a-round-in-minimac-systems-12479900</t>
        </is>
      </c>
    </row>
    <row r="4193">
      <c r="A4193" t="inlineStr">
        <is>
          <t>ET-133676835</t>
        </is>
      </c>
      <c r="B4193" t="inlineStr">
        <is>
          <t>R260901-minimacsystems</t>
        </is>
      </c>
      <c r="C4193" t="inlineStr">
        <is>
          <t>The Economic Times</t>
        </is>
      </c>
      <c r="D4193" s="17" t="n">
        <v>46266</v>
      </c>
      <c r="E4193" t="inlineStr">
        <is>
          <t>Minimac Systems</t>
        </is>
      </c>
      <c r="F4193" t="inlineStr">
        <is>
          <t>Rs 30 crore</t>
        </is>
      </c>
      <c r="G4193" s="19" t="n">
        <v>30</v>
      </c>
      <c r="H4193" s="19" t="n"/>
      <c r="I4193" t="inlineStr">
        <is>
          <t>Undisclosed</t>
        </is>
      </c>
      <c r="J4193" t="inlineStr">
        <is>
          <t>Rainmatter</t>
        </is>
      </c>
      <c r="K4193" t="inlineStr">
        <is>
          <t>https://economictimes.indiatimes.com/tech/funding/deeptech-firm-minimac-systems-raises-rs-30-crore-led-by-zerodhas-rainmatter/articleshow/133676835.cms</t>
        </is>
      </c>
    </row>
    <row r="4194">
      <c r="A4194" t="inlineStr">
        <is>
          <t>INC-20260905-09</t>
        </is>
      </c>
      <c r="B4194" t="inlineStr">
        <is>
          <t>R260901-minimacsystems</t>
        </is>
      </c>
      <c r="C4194" t="inlineStr">
        <is>
          <t>Inc42</t>
        </is>
      </c>
      <c r="D4194" s="17" t="n">
        <v>46266</v>
      </c>
      <c r="E4194" t="inlineStr">
        <is>
          <t>Minimac Systems</t>
        </is>
      </c>
      <c r="F4194" t="inlineStr">
        <is>
          <t>$3.2 Mn</t>
        </is>
      </c>
      <c r="G4194" s="19" t="n"/>
      <c r="H4194" s="19" t="n">
        <v>3.2</v>
      </c>
      <c r="I4194" t="inlineStr">
        <is>
          <t>Undisclosed</t>
        </is>
      </c>
      <c r="J4194" t="inlineStr">
        <is>
          <t>Rainmatter</t>
        </is>
      </c>
      <c r="K4194" t="inlineStr">
        <is>
          <t>https://inc42.com/buzz/from-ultrahuman-to-comet-indian-startups-raised-over-177-mn-this-week/</t>
        </is>
      </c>
    </row>
    <row r="4195">
      <c r="A4195" t="inlineStr">
        <is>
          <t>ENT-12480269</t>
        </is>
      </c>
      <c r="B4195" t="inlineStr">
        <is>
          <t>R260901-oppexai</t>
        </is>
      </c>
      <c r="C4195" t="inlineStr">
        <is>
          <t>Entrackr</t>
        </is>
      </c>
      <c r="D4195" s="17" t="n">
        <v>46266</v>
      </c>
      <c r="E4195" t="inlineStr">
        <is>
          <t>Oppex AI</t>
        </is>
      </c>
      <c r="F4195" t="inlineStr">
        <is>
          <t>Rs 4.2 crore</t>
        </is>
      </c>
      <c r="G4195" s="19" t="n">
        <v>4.2</v>
      </c>
      <c r="H4195" s="19" t="n"/>
      <c r="I4195" t="inlineStr">
        <is>
          <t>Pre-Seed</t>
        </is>
      </c>
      <c r="J4195" t="inlineStr">
        <is>
          <t>Info Edge Ventures</t>
        </is>
      </c>
      <c r="K4195" t="inlineStr">
        <is>
          <t>https://entrackr.com/snippets/oppex-ai-raises-rs-42-cr-in-pre-seed-round-led-by-info-edge-ventures-12480269</t>
        </is>
      </c>
    </row>
    <row r="4196">
      <c r="A4196" t="inlineStr">
        <is>
          <t>ET-133683856</t>
        </is>
      </c>
      <c r="B4196" t="inlineStr">
        <is>
          <t>R260901-oppexai</t>
        </is>
      </c>
      <c r="C4196" t="inlineStr">
        <is>
          <t>The Economic Times</t>
        </is>
      </c>
      <c r="D4196" s="17" t="n">
        <v>46266</v>
      </c>
      <c r="E4196" t="inlineStr">
        <is>
          <t>Oppex AI</t>
        </is>
      </c>
      <c r="F4196" t="inlineStr">
        <is>
          <t>Rs 4.2 crore</t>
        </is>
      </c>
      <c r="G4196" s="19" t="n">
        <v>4.2</v>
      </c>
      <c r="H4196" s="19" t="n"/>
      <c r="I4196" t="inlineStr">
        <is>
          <t>Pre-Seed</t>
        </is>
      </c>
      <c r="J4196" t="inlineStr"/>
      <c r="K4196" t="inlineStr">
        <is>
          <t>https://economictimes.indiatimes.com/tech/funding/oppex-ai-raises-rs-4-2-crore-in-pre-seed-round-from-info-edge-ventures/articleshow/133683856.cms</t>
        </is>
      </c>
    </row>
    <row r="4197">
      <c r="A4197" t="inlineStr">
        <is>
          <t>INC-20260905-17</t>
        </is>
      </c>
      <c r="B4197" t="inlineStr">
        <is>
          <t>R260901-oppexai</t>
        </is>
      </c>
      <c r="C4197" t="inlineStr">
        <is>
          <t>Inc42</t>
        </is>
      </c>
      <c r="D4197" s="17" t="n">
        <v>46266</v>
      </c>
      <c r="E4197" t="inlineStr">
        <is>
          <t>Oppex AI</t>
        </is>
      </c>
      <c r="F4197" t="inlineStr">
        <is>
          <t>$445K</t>
        </is>
      </c>
      <c r="G4197" s="19" t="n"/>
      <c r="H4197" s="19" t="n">
        <v>0.445</v>
      </c>
      <c r="I4197" t="inlineStr">
        <is>
          <t>Pre-Seed</t>
        </is>
      </c>
      <c r="J4197" t="inlineStr">
        <is>
          <t>Info Edge Ventures</t>
        </is>
      </c>
      <c r="K4197" t="inlineStr">
        <is>
          <t>https://inc42.com/buzz/from-ultrahuman-to-comet-indian-startups-raised-over-177-mn-this-week/</t>
        </is>
      </c>
    </row>
    <row r="4198">
      <c r="A4198" t="inlineStr">
        <is>
          <t>INC-20260905-20</t>
        </is>
      </c>
      <c r="B4198" t="inlineStr">
        <is>
          <t>R260901-speakx</t>
        </is>
      </c>
      <c r="C4198" t="inlineStr">
        <is>
          <t>Inc42</t>
        </is>
      </c>
      <c r="D4198" s="17" t="n">
        <v>46266</v>
      </c>
      <c r="E4198" t="inlineStr">
        <is>
          <t>SpeakX</t>
        </is>
      </c>
      <c r="F4198" t="inlineStr"/>
      <c r="G4198" s="19" t="n"/>
      <c r="H4198" s="19" t="n"/>
      <c r="I4198" t="inlineStr">
        <is>
          <t>Undisclosed</t>
        </is>
      </c>
      <c r="J4198" t="inlineStr">
        <is>
          <t>MS Dhoni</t>
        </is>
      </c>
      <c r="K4198" t="inlineStr">
        <is>
          <t>https://inc42.com/buzz/from-ultrahuman-to-comet-indian-startups-raised-over-177-mn-this-week/</t>
        </is>
      </c>
    </row>
    <row r="4199">
      <c r="A4199" t="inlineStr">
        <is>
          <t>ET-133682809</t>
        </is>
      </c>
      <c r="B4199" t="inlineStr">
        <is>
          <t>R260901-ultrahuman</t>
        </is>
      </c>
      <c r="C4199" t="inlineStr">
        <is>
          <t>The Economic Times</t>
        </is>
      </c>
      <c r="D4199" s="17" t="n">
        <v>46266</v>
      </c>
      <c r="E4199" t="inlineStr">
        <is>
          <t>Ultrahuman</t>
        </is>
      </c>
      <c r="F4199" t="inlineStr">
        <is>
          <t>$60 million</t>
        </is>
      </c>
      <c r="G4199" s="19" t="n">
        <v>583</v>
      </c>
      <c r="H4199" s="19" t="n">
        <v>60</v>
      </c>
      <c r="I4199" t="inlineStr">
        <is>
          <t>Undisclosed</t>
        </is>
      </c>
      <c r="J4199" t="inlineStr">
        <is>
          <t>Qualcomm Ventures</t>
        </is>
      </c>
      <c r="K4199" t="inlineStr">
        <is>
          <t>https://economictimes.indiatimes.com/tech/funding/ultrahuman-raises-60-million-led-by-qualcomm-ventures-at-360-million-valuation/articleshow/133682809.cms</t>
        </is>
      </c>
    </row>
    <row r="4200">
      <c r="A4200" t="inlineStr">
        <is>
          <t>ENT-12489004</t>
        </is>
      </c>
      <c r="B4200" t="inlineStr">
        <is>
          <t>R260901-ultrahuman</t>
        </is>
      </c>
      <c r="C4200" t="inlineStr">
        <is>
          <t>Entrackr</t>
        </is>
      </c>
      <c r="D4200" s="17" t="n">
        <v>46268</v>
      </c>
      <c r="E4200" t="inlineStr">
        <is>
          <t>Ultrahuman</t>
        </is>
      </c>
      <c r="F4200" t="inlineStr">
        <is>
          <t>$70 million</t>
        </is>
      </c>
      <c r="G4200" s="19" t="n"/>
      <c r="H4200" s="19" t="n">
        <v>70</v>
      </c>
      <c r="I4200" t="inlineStr">
        <is>
          <t>Undisclosed</t>
        </is>
      </c>
      <c r="J4200" t="inlineStr">
        <is>
          <t>Qualcomm Ventures</t>
        </is>
      </c>
      <c r="K4200" t="inlineStr">
        <is>
          <t>https://entrackr.com/news/ultrahuman-raises-70-mn-from-qualcomm-alpha-wave-nexus-and-others-12489004</t>
        </is>
      </c>
    </row>
    <row r="4201">
      <c r="A4201" t="inlineStr">
        <is>
          <t>INC-20260905-01</t>
        </is>
      </c>
      <c r="B4201" t="inlineStr">
        <is>
          <t>R260901-ultrahuman</t>
        </is>
      </c>
      <c r="C4201" t="inlineStr">
        <is>
          <t>Inc42</t>
        </is>
      </c>
      <c r="D4201" s="17" t="n">
        <v>46268</v>
      </c>
      <c r="E4201" t="inlineStr">
        <is>
          <t>Ultrahuman</t>
        </is>
      </c>
      <c r="F4201" t="inlineStr">
        <is>
          <t>$70 Mn</t>
        </is>
      </c>
      <c r="G4201" s="19" t="n"/>
      <c r="H4201" s="19" t="n">
        <v>70</v>
      </c>
      <c r="I4201" t="inlineStr">
        <is>
          <t>Undisclosed</t>
        </is>
      </c>
      <c r="J4201" t="inlineStr"/>
      <c r="K4201" t="inlineStr">
        <is>
          <t>https://inc42.com/buzz/from-ultrahuman-to-comet-indian-startups-raised-over-177-mn-this-week/</t>
        </is>
      </c>
    </row>
    <row r="4202">
      <c r="A4202" t="inlineStr">
        <is>
          <t>ET-133766930</t>
        </is>
      </c>
      <c r="B4202" t="inlineStr">
        <is>
          <t>R260901-ultrahuman</t>
        </is>
      </c>
      <c r="C4202" t="inlineStr">
        <is>
          <t>The Economic Times</t>
        </is>
      </c>
      <c r="D4202" s="17" t="n">
        <v>46269</v>
      </c>
      <c r="E4202" t="inlineStr">
        <is>
          <t>Ultrahuman</t>
        </is>
      </c>
      <c r="F4202" t="inlineStr">
        <is>
          <t>$70 million</t>
        </is>
      </c>
      <c r="G4202" s="19" t="n"/>
      <c r="H4202" s="19" t="n">
        <v>70</v>
      </c>
      <c r="I4202" t="inlineStr">
        <is>
          <t>Undisclosed</t>
        </is>
      </c>
      <c r="J4202" t="inlineStr"/>
      <c r="K4202" t="inlineStr">
        <is>
          <t>https://economictimes.indiatimes.com/tech/funding/ultrahuman-raises-70-million-from-qualcomm-ventures-labcorp-others/articleshow/133766930.cms</t>
        </is>
      </c>
    </row>
    <row r="4203">
      <c r="A4203" t="inlineStr">
        <is>
          <t>INC-20260905-21</t>
        </is>
      </c>
      <c r="B4203" t="inlineStr">
        <is>
          <t>R260901-wldd</t>
        </is>
      </c>
      <c r="C4203" t="inlineStr">
        <is>
          <t>Inc42</t>
        </is>
      </c>
      <c r="D4203" s="17" t="n">
        <v>46266</v>
      </c>
      <c r="E4203" t="inlineStr">
        <is>
          <t>WLDD</t>
        </is>
      </c>
      <c r="F4203" t="inlineStr"/>
      <c r="G4203" s="19" t="n"/>
      <c r="H4203" s="19" t="n"/>
      <c r="I4203" t="inlineStr">
        <is>
          <t>Undisclosed</t>
        </is>
      </c>
      <c r="J4203" t="inlineStr">
        <is>
          <t>Adfactors</t>
        </is>
      </c>
      <c r="K4203" t="inlineStr">
        <is>
          <t>https://inc42.com/buzz/from-ultrahuman-to-comet-indian-startups-raised-over-177-mn-this-week/</t>
        </is>
      </c>
    </row>
    <row r="4204">
      <c r="A4204" t="inlineStr">
        <is>
          <t>INC-20260905-22</t>
        </is>
      </c>
      <c r="B4204" t="inlineStr">
        <is>
          <t>R260901-xstep</t>
        </is>
      </c>
      <c r="C4204" t="inlineStr">
        <is>
          <t>Inc42</t>
        </is>
      </c>
      <c r="D4204" s="17" t="n">
        <v>46266</v>
      </c>
      <c r="E4204" t="inlineStr">
        <is>
          <t>xStep</t>
        </is>
      </c>
      <c r="F4204" t="inlineStr"/>
      <c r="G4204" s="19" t="n"/>
      <c r="H4204" s="19" t="n"/>
      <c r="I4204" t="inlineStr">
        <is>
          <t>Undisclosed</t>
        </is>
      </c>
      <c r="J4204" t="inlineStr">
        <is>
          <t>Titan Capital</t>
        </is>
      </c>
      <c r="K4204" t="inlineStr">
        <is>
          <t>https://inc42.com/buzz/from-ultrahuman-to-comet-indian-startups-raised-over-177-mn-this-week/</t>
        </is>
      </c>
    </row>
    <row r="4205">
      <c r="A4205" t="inlineStr">
        <is>
          <t>ENT-12479183</t>
        </is>
      </c>
      <c r="B4205" t="inlineStr">
        <is>
          <t>R260901-yumaenergy</t>
        </is>
      </c>
      <c r="C4205" t="inlineStr">
        <is>
          <t>Entrackr</t>
        </is>
      </c>
      <c r="D4205" s="17" t="n">
        <v>46266</v>
      </c>
      <c r="E4205" t="inlineStr">
        <is>
          <t>Yuma Energy</t>
        </is>
      </c>
      <c r="F4205" t="inlineStr">
        <is>
          <t>$35 million</t>
        </is>
      </c>
      <c r="G4205" s="19" t="n"/>
      <c r="H4205" s="19" t="n">
        <v>35</v>
      </c>
      <c r="I4205" t="inlineStr">
        <is>
          <t>Series A</t>
        </is>
      </c>
      <c r="J4205" t="inlineStr">
        <is>
          <t>Magna International Inc</t>
        </is>
      </c>
      <c r="K4205" t="inlineStr">
        <is>
          <t>https://entrackr.com/news/battery-swapping-startup-yuma-energy-raises-35-mn-from-magna-international-12479183</t>
        </is>
      </c>
    </row>
    <row r="4206">
      <c r="A4206" t="inlineStr">
        <is>
          <t>ET-133668595</t>
        </is>
      </c>
      <c r="B4206" t="inlineStr">
        <is>
          <t>R260901-yumaenergy</t>
        </is>
      </c>
      <c r="C4206" t="inlineStr">
        <is>
          <t>The Economic Times</t>
        </is>
      </c>
      <c r="D4206" s="17" t="n">
        <v>46266</v>
      </c>
      <c r="E4206" t="inlineStr">
        <is>
          <t>Yuma Energy</t>
        </is>
      </c>
      <c r="F4206" t="inlineStr">
        <is>
          <t>$35 million</t>
        </is>
      </c>
      <c r="G4206" s="19" t="n"/>
      <c r="H4206" s="19" t="n">
        <v>35</v>
      </c>
      <c r="I4206" t="inlineStr">
        <is>
          <t>Undisclosed</t>
        </is>
      </c>
      <c r="J4206" t="inlineStr"/>
      <c r="K4206" t="inlineStr">
        <is>
          <t>https://economictimes.indiatimes.com/tech/funding/yuma-energy-raises-35-million-from-magna-plans-to-double-battery-swapping-network/articleshow/133668595.cms</t>
        </is>
      </c>
    </row>
    <row r="4207">
      <c r="A4207" t="inlineStr">
        <is>
          <t>INC-20260905-02</t>
        </is>
      </c>
      <c r="B4207" t="inlineStr">
        <is>
          <t>R260901-yumaenergy</t>
        </is>
      </c>
      <c r="C4207" t="inlineStr">
        <is>
          <t>Inc42</t>
        </is>
      </c>
      <c r="D4207" s="17" t="n">
        <v>46266</v>
      </c>
      <c r="E4207" t="inlineStr">
        <is>
          <t>Yuma Energy</t>
        </is>
      </c>
      <c r="F4207" t="inlineStr">
        <is>
          <t>$35 Mn</t>
        </is>
      </c>
      <c r="G4207" s="19" t="n"/>
      <c r="H4207" s="19" t="n">
        <v>35</v>
      </c>
      <c r="I4207" t="inlineStr">
        <is>
          <t>Series A</t>
        </is>
      </c>
      <c r="J4207" t="inlineStr">
        <is>
          <t>Magna International</t>
        </is>
      </c>
      <c r="K4207" t="inlineStr">
        <is>
          <t>https://inc42.com/buzz/from-ultrahuman-to-comet-indian-startups-raised-over-177-mn-this-week/</t>
        </is>
      </c>
    </row>
    <row r="4208">
      <c r="A4208" t="inlineStr">
        <is>
          <t>ENT-12478594</t>
        </is>
      </c>
      <c r="B4208" t="inlineStr">
        <is>
          <t>R260901-zenergize</t>
        </is>
      </c>
      <c r="C4208" t="inlineStr">
        <is>
          <t>Entrackr</t>
        </is>
      </c>
      <c r="D4208" s="17" t="n">
        <v>46266</v>
      </c>
      <c r="E4208" t="inlineStr">
        <is>
          <t>Zenergize</t>
        </is>
      </c>
      <c r="F4208" t="inlineStr">
        <is>
          <t>$4 million</t>
        </is>
      </c>
      <c r="G4208" s="19" t="n"/>
      <c r="H4208" s="19" t="n">
        <v>4</v>
      </c>
      <c r="I4208" t="inlineStr">
        <is>
          <t>Pre-Series A</t>
        </is>
      </c>
      <c r="J4208" t="inlineStr">
        <is>
          <t>Giraffe Studios</t>
        </is>
      </c>
      <c r="K4208" t="inlineStr">
        <is>
          <t>https://entrackr.com/snippets/zenergize-raises-4-mn-in-pre-series-a-round-led-by-giraffe-studios-12478594</t>
        </is>
      </c>
    </row>
    <row r="4209">
      <c r="A4209" t="inlineStr">
        <is>
          <t>INC-20260905-08</t>
        </is>
      </c>
      <c r="B4209" t="inlineStr">
        <is>
          <t>R260901-zenergize</t>
        </is>
      </c>
      <c r="C4209" t="inlineStr">
        <is>
          <t>Inc42</t>
        </is>
      </c>
      <c r="D4209" s="17" t="n">
        <v>46266</v>
      </c>
      <c r="E4209" t="inlineStr">
        <is>
          <t>Zenergize</t>
        </is>
      </c>
      <c r="F4209" t="inlineStr">
        <is>
          <t>$4 Mn</t>
        </is>
      </c>
      <c r="G4209" s="19" t="n"/>
      <c r="H4209" s="19" t="n">
        <v>4</v>
      </c>
      <c r="I4209" t="inlineStr">
        <is>
          <t>Pre-Series A</t>
        </is>
      </c>
      <c r="J4209" t="inlineStr">
        <is>
          <t>Giraffe Studios</t>
        </is>
      </c>
      <c r="K4209" t="inlineStr">
        <is>
          <t>https://inc42.com/buzz/from-ultrahuman-to-comet-indian-startups-raised-over-177-mn-this-week/</t>
        </is>
      </c>
    </row>
    <row r="4210">
      <c r="A4210" t="inlineStr">
        <is>
          <t>INC-20260905-04</t>
        </is>
      </c>
      <c r="B4210" t="inlineStr">
        <is>
          <t>R260902-cradlewise</t>
        </is>
      </c>
      <c r="C4210" t="inlineStr">
        <is>
          <t>Inc42</t>
        </is>
      </c>
      <c r="D4210" s="17" t="n">
        <v>46267</v>
      </c>
      <c r="E4210" t="inlineStr">
        <is>
          <t>Cradlewise</t>
        </is>
      </c>
      <c r="F4210" t="inlineStr">
        <is>
          <t>$12 Mn</t>
        </is>
      </c>
      <c r="G4210" s="19" t="n"/>
      <c r="H4210" s="19" t="n">
        <v>12</v>
      </c>
      <c r="I4210" t="inlineStr">
        <is>
          <t>Series A</t>
        </is>
      </c>
      <c r="J4210" t="inlineStr">
        <is>
          <t>3one4 Capital; Prudent Investment Management</t>
        </is>
      </c>
      <c r="K4210" t="inlineStr">
        <is>
          <t>https://inc42.com/buzz/from-ultrahuman-to-comet-indian-startups-raised-over-177-mn-this-week/</t>
        </is>
      </c>
    </row>
    <row r="4211">
      <c r="A4211" t="inlineStr">
        <is>
          <t>ENT-12487351</t>
        </is>
      </c>
      <c r="B4211" t="inlineStr">
        <is>
          <t>R260902-cradlewise</t>
        </is>
      </c>
      <c r="C4211" t="inlineStr">
        <is>
          <t>Entrackr</t>
        </is>
      </c>
      <c r="D4211" s="17" t="n">
        <v>46268</v>
      </c>
      <c r="E4211" t="inlineStr">
        <is>
          <t>Cradlewise</t>
        </is>
      </c>
      <c r="F4211" t="inlineStr">
        <is>
          <t>$12 million</t>
        </is>
      </c>
      <c r="G4211" s="19" t="n"/>
      <c r="H4211" s="19" t="n">
        <v>12</v>
      </c>
      <c r="I4211" t="inlineStr">
        <is>
          <t>Series A</t>
        </is>
      </c>
      <c r="J4211" t="inlineStr">
        <is>
          <t>3one4 Capital; Prudent Investment Management</t>
        </is>
      </c>
      <c r="K4211" t="inlineStr">
        <is>
          <t>https://entrackr.com/news/cradlewise-raises-12-mn-in-series-a-round-led-by-3one4-capital-prudent-investment-12487351</t>
        </is>
      </c>
    </row>
    <row r="4212">
      <c r="A4212" t="inlineStr">
        <is>
          <t>ET-133715010</t>
        </is>
      </c>
      <c r="B4212" t="inlineStr">
        <is>
          <t>R260902-cradlewise</t>
        </is>
      </c>
      <c r="C4212" t="inlineStr">
        <is>
          <t>The Economic Times</t>
        </is>
      </c>
      <c r="D4212" s="17" t="n">
        <v>46268</v>
      </c>
      <c r="E4212" t="inlineStr">
        <is>
          <t>Cradlewise</t>
        </is>
      </c>
      <c r="F4212" t="inlineStr">
        <is>
          <t>$12 million</t>
        </is>
      </c>
      <c r="G4212" s="19" t="n"/>
      <c r="H4212" s="19" t="n">
        <v>12</v>
      </c>
      <c r="I4212" t="inlineStr">
        <is>
          <t>Undisclosed</t>
        </is>
      </c>
      <c r="J4212" t="inlineStr">
        <is>
          <t>3one4 Capital; Prudent Investment Management</t>
        </is>
      </c>
      <c r="K4212" t="inlineStr">
        <is>
          <t>https://economictimes.indiatimes.com/tech/funding/silicon-valley-based-cradlewise-bags-12-million-led-by-3one4-capital-prudent-investment/articleshow/133715010.cms</t>
        </is>
      </c>
    </row>
    <row r="4213">
      <c r="A4213" t="inlineStr">
        <is>
          <t>ENT-12484133</t>
        </is>
      </c>
      <c r="B4213" t="inlineStr">
        <is>
          <t>R260902-creedom</t>
        </is>
      </c>
      <c r="C4213" t="inlineStr">
        <is>
          <t>Entrackr</t>
        </is>
      </c>
      <c r="D4213" s="17" t="n">
        <v>46267</v>
      </c>
      <c r="E4213" t="inlineStr">
        <is>
          <t>Creedom</t>
        </is>
      </c>
      <c r="F4213" t="inlineStr">
        <is>
          <t>Rs 4.1 crore</t>
        </is>
      </c>
      <c r="G4213" s="19" t="n">
        <v>4.1</v>
      </c>
      <c r="H4213" s="19" t="n"/>
      <c r="I4213" t="inlineStr">
        <is>
          <t>Seed</t>
        </is>
      </c>
      <c r="J4213" t="inlineStr">
        <is>
          <t>Leigh Hopkins; Raghunandan G; Ravi Iyer; Kartheeswaran KK</t>
        </is>
      </c>
      <c r="K4213" t="inlineStr">
        <is>
          <t>https://entrackr.com/snippets/ai-content-creator-platform-creedom-raises-seed-round-12484133</t>
        </is>
      </c>
    </row>
    <row r="4214">
      <c r="A4214" t="inlineStr">
        <is>
          <t>INC-20260905-18</t>
        </is>
      </c>
      <c r="B4214" t="inlineStr">
        <is>
          <t>R260902-creedom</t>
        </is>
      </c>
      <c r="C4214" t="inlineStr">
        <is>
          <t>Inc42</t>
        </is>
      </c>
      <c r="D4214" s="17" t="n">
        <v>46267</v>
      </c>
      <c r="E4214" t="inlineStr">
        <is>
          <t>Creedom</t>
        </is>
      </c>
      <c r="F4214" t="inlineStr">
        <is>
          <t>$434K</t>
        </is>
      </c>
      <c r="G4214" s="19" t="n"/>
      <c r="H4214" s="19" t="n">
        <v>0.434</v>
      </c>
      <c r="I4214" t="inlineStr">
        <is>
          <t>Undisclosed</t>
        </is>
      </c>
      <c r="J4214" t="inlineStr"/>
      <c r="K4214" t="inlineStr">
        <is>
          <t>https://inc42.com/buzz/from-ultrahuman-to-comet-indian-startups-raised-over-177-mn-this-week/</t>
        </is>
      </c>
    </row>
    <row r="4215">
      <c r="A4215" t="inlineStr">
        <is>
          <t>ENT-12482287</t>
        </is>
      </c>
      <c r="B4215" t="inlineStr">
        <is>
          <t>R260902-docpharma</t>
        </is>
      </c>
      <c r="C4215" t="inlineStr">
        <is>
          <t>Entrackr</t>
        </is>
      </c>
      <c r="D4215" s="17" t="n">
        <v>46267</v>
      </c>
      <c r="E4215" t="inlineStr">
        <is>
          <t>DocPharma</t>
        </is>
      </c>
      <c r="F4215" t="inlineStr">
        <is>
          <t>$2 million</t>
        </is>
      </c>
      <c r="G4215" s="19" t="n"/>
      <c r="H4215" s="19" t="n">
        <v>2</v>
      </c>
      <c r="I4215" t="inlineStr">
        <is>
          <t>Pre-Series A</t>
        </is>
      </c>
      <c r="J4215" t="inlineStr">
        <is>
          <t>Equentis</t>
        </is>
      </c>
      <c r="K4215" t="inlineStr">
        <is>
          <t>https://entrackr.com/snippets/equentis-leads-2-mn-pre-series-a-round-in-docpharma-12482287</t>
        </is>
      </c>
    </row>
    <row r="4216">
      <c r="A4216" t="inlineStr">
        <is>
          <t>INC-20260905-13</t>
        </is>
      </c>
      <c r="B4216" t="inlineStr">
        <is>
          <t>R260902-docpharma</t>
        </is>
      </c>
      <c r="C4216" t="inlineStr">
        <is>
          <t>Inc42</t>
        </is>
      </c>
      <c r="D4216" s="17" t="n">
        <v>46267</v>
      </c>
      <c r="E4216" t="inlineStr">
        <is>
          <t>DocPharma</t>
        </is>
      </c>
      <c r="F4216" t="inlineStr">
        <is>
          <t>$2 Mn</t>
        </is>
      </c>
      <c r="G4216" s="19" t="n"/>
      <c r="H4216" s="19" t="n">
        <v>2</v>
      </c>
      <c r="I4216" t="inlineStr">
        <is>
          <t>Pre-Series A</t>
        </is>
      </c>
      <c r="J4216" t="inlineStr">
        <is>
          <t>Equentis</t>
        </is>
      </c>
      <c r="K4216" t="inlineStr">
        <is>
          <t>https://inc42.com/buzz/from-ultrahuman-to-comet-indian-startups-raised-over-177-mn-this-week/</t>
        </is>
      </c>
    </row>
    <row r="4217">
      <c r="A4217" t="inlineStr">
        <is>
          <t>ENT-12486807</t>
        </is>
      </c>
      <c r="B4217" t="inlineStr">
        <is>
          <t>R260903-makrmicrosyste</t>
        </is>
      </c>
      <c r="C4217" t="inlineStr">
        <is>
          <t>Entrackr</t>
        </is>
      </c>
      <c r="D4217" s="17" t="n">
        <v>46268</v>
      </c>
      <c r="E4217" t="inlineStr">
        <is>
          <t>Makr Microsystems</t>
        </is>
      </c>
      <c r="F4217" t="inlineStr">
        <is>
          <t>Rs 10.2 crore</t>
        </is>
      </c>
      <c r="G4217" s="19" t="n">
        <v>10.2</v>
      </c>
      <c r="H4217" s="19" t="n"/>
      <c r="I4217" t="inlineStr">
        <is>
          <t>Seed</t>
        </is>
      </c>
      <c r="J4217" t="inlineStr">
        <is>
          <t>Bluehill VC</t>
        </is>
      </c>
      <c r="K4217" t="inlineStr">
        <is>
          <t>https://entrackr.com/snippets/bluehill-vc-leads-rs-102-cr-seed-round-in-makr-microsystems-12486807</t>
        </is>
      </c>
    </row>
    <row r="4218">
      <c r="A4218" t="inlineStr">
        <is>
          <t>ET-133739424</t>
        </is>
      </c>
      <c r="B4218" t="inlineStr">
        <is>
          <t>R260903-makrmicrosyste</t>
        </is>
      </c>
      <c r="C4218" t="inlineStr">
        <is>
          <t>The Economic Times</t>
        </is>
      </c>
      <c r="D4218" s="17" t="n">
        <v>46268</v>
      </c>
      <c r="E4218" t="inlineStr">
        <is>
          <t>Makr Microsystems</t>
        </is>
      </c>
      <c r="F4218" t="inlineStr">
        <is>
          <t>Rs 10.2 crore</t>
        </is>
      </c>
      <c r="G4218" s="19" t="n">
        <v>10.2</v>
      </c>
      <c r="H4218" s="19" t="n"/>
      <c r="I4218" t="inlineStr">
        <is>
          <t>Seed</t>
        </is>
      </c>
      <c r="J4218" t="inlineStr">
        <is>
          <t>Bluehill VC</t>
        </is>
      </c>
      <c r="K4218" t="inlineStr">
        <is>
          <t>https://economictimes.indiatimes.com/tech/funding/semicon-startup-makr-microsystems-raises-rs-10-2-crore-from-bluehill-vc-artha-venture-fund/articleshow/133739424.cms</t>
        </is>
      </c>
    </row>
    <row r="4219">
      <c r="A4219" t="inlineStr">
        <is>
          <t>INC-20260905-15</t>
        </is>
      </c>
      <c r="B4219" t="inlineStr">
        <is>
          <t>R260903-makrmicrosyste</t>
        </is>
      </c>
      <c r="C4219" t="inlineStr">
        <is>
          <t>Inc42</t>
        </is>
      </c>
      <c r="D4219" s="17" t="n">
        <v>46268</v>
      </c>
      <c r="E4219" t="inlineStr">
        <is>
          <t>Makr Microsystems</t>
        </is>
      </c>
      <c r="F4219" t="inlineStr">
        <is>
          <t>$1.1 Mn</t>
        </is>
      </c>
      <c r="G4219" s="19" t="n"/>
      <c r="H4219" s="19" t="n">
        <v>1.1</v>
      </c>
      <c r="I4219" t="inlineStr">
        <is>
          <t>Seed</t>
        </is>
      </c>
      <c r="J4219" t="inlineStr">
        <is>
          <t>Bluehill VC</t>
        </is>
      </c>
      <c r="K4219" t="inlineStr">
        <is>
          <t>https://inc42.com/buzz/from-ultrahuman-to-comet-indian-startups-raised-over-177-mn-this-week/</t>
        </is>
      </c>
    </row>
    <row r="4220">
      <c r="A4220" t="inlineStr">
        <is>
          <t>ENT-12488201</t>
        </is>
      </c>
      <c r="B4220" t="inlineStr">
        <is>
          <t>R260903-slice</t>
        </is>
      </c>
      <c r="C4220" t="inlineStr">
        <is>
          <t>Entrackr</t>
        </is>
      </c>
      <c r="D4220" s="17" t="n">
        <v>46268</v>
      </c>
      <c r="E4220" t="inlineStr">
        <is>
          <t>Slice</t>
        </is>
      </c>
      <c r="F4220" t="inlineStr">
        <is>
          <t>$100 million</t>
        </is>
      </c>
      <c r="G4220" s="19" t="n"/>
      <c r="H4220" s="19" t="n">
        <v>100</v>
      </c>
      <c r="I4220" t="inlineStr">
        <is>
          <t>Undisclosed</t>
        </is>
      </c>
      <c r="J4220" t="inlineStr"/>
      <c r="K4220" t="inlineStr">
        <is>
          <t>https://entrackr.com/news/slice-raises-100-mn-at-450-mn-valuation-report-12488201</t>
        </is>
      </c>
    </row>
    <row r="4221">
      <c r="A4221" t="inlineStr">
        <is>
          <t>ET-133733458</t>
        </is>
      </c>
      <c r="B4221" t="inlineStr">
        <is>
          <t>R260903-slice</t>
        </is>
      </c>
      <c r="C4221" t="inlineStr">
        <is>
          <t>The Economic Times</t>
        </is>
      </c>
      <c r="D4221" s="17" t="n">
        <v>46268</v>
      </c>
      <c r="E4221" t="inlineStr">
        <is>
          <t>Slice</t>
        </is>
      </c>
      <c r="F4221" t="inlineStr">
        <is>
          <t>$100 million</t>
        </is>
      </c>
      <c r="G4221" s="19" t="n">
        <v>950</v>
      </c>
      <c r="H4221" s="19" t="n">
        <v>100</v>
      </c>
      <c r="I4221" t="inlineStr">
        <is>
          <t>Undisclosed</t>
        </is>
      </c>
      <c r="J4221" t="inlineStr"/>
      <c r="K4221" t="inlineStr">
        <is>
          <t>https://economictimes.indiatimes.com/tech/funding/slice-closes-100-million-round-as-valuation-more-than-halves-to-470-million/articleshow/133733458.cms</t>
        </is>
      </c>
    </row>
    <row r="4222">
      <c r="A4222" t="inlineStr">
        <is>
          <t>ENT-12487249</t>
        </is>
      </c>
      <c r="B4222" t="inlineStr">
        <is>
          <t>R260903-yolearnai</t>
        </is>
      </c>
      <c r="C4222" t="inlineStr">
        <is>
          <t>Entrackr</t>
        </is>
      </c>
      <c r="D4222" s="17" t="n">
        <v>46268</v>
      </c>
      <c r="E4222" t="inlineStr">
        <is>
          <t>YoLearn.ai</t>
        </is>
      </c>
      <c r="F4222" t="inlineStr"/>
      <c r="G4222" s="19" t="n"/>
      <c r="H4222" s="19" t="n"/>
      <c r="I4222" t="inlineStr">
        <is>
          <t>Seed</t>
        </is>
      </c>
      <c r="J4222" t="inlineStr">
        <is>
          <t>ABP Education</t>
        </is>
      </c>
      <c r="K4222" t="inlineStr">
        <is>
          <t>https://entrackr.com/snippets/abp-education-leads-seed-round-in-edtech-platform-yolearnai-12487249</t>
        </is>
      </c>
    </row>
    <row r="4223">
      <c r="A4223" t="inlineStr">
        <is>
          <t>ENT-12493061</t>
        </is>
      </c>
      <c r="B4223" t="inlineStr">
        <is>
          <t>R260904-comet</t>
        </is>
      </c>
      <c r="C4223" t="inlineStr">
        <is>
          <t>Entrackr</t>
        </is>
      </c>
      <c r="D4223" s="17" t="n">
        <v>46269</v>
      </c>
      <c r="E4223" t="inlineStr">
        <is>
          <t>Comet</t>
        </is>
      </c>
      <c r="F4223" t="inlineStr">
        <is>
          <t>Rs 100 crore</t>
        </is>
      </c>
      <c r="G4223" s="19" t="n">
        <v>100</v>
      </c>
      <c r="H4223" s="19" t="n"/>
      <c r="I4223" t="inlineStr">
        <is>
          <t>Series B</t>
        </is>
      </c>
      <c r="J4223" t="inlineStr">
        <is>
          <t>Verlinvest</t>
        </is>
      </c>
      <c r="K4223" t="inlineStr">
        <is>
          <t>https://entrackr.com/news/d2c-sneaker-brand-comet-raises-rs-100-cr-in-series-b-led-by-verlinvest-12493061</t>
        </is>
      </c>
    </row>
    <row r="4224">
      <c r="A4224" t="inlineStr">
        <is>
          <t>ET-133759883</t>
        </is>
      </c>
      <c r="B4224" t="inlineStr">
        <is>
          <t>R260904-comet</t>
        </is>
      </c>
      <c r="C4224" t="inlineStr">
        <is>
          <t>The Economic Times</t>
        </is>
      </c>
      <c r="D4224" s="17" t="n">
        <v>46269</v>
      </c>
      <c r="E4224" t="inlineStr">
        <is>
          <t>Comet</t>
        </is>
      </c>
      <c r="F4224" t="inlineStr">
        <is>
          <t>Rs 100 crore</t>
        </is>
      </c>
      <c r="G4224" s="19" t="n">
        <v>100</v>
      </c>
      <c r="H4224" s="19" t="n"/>
      <c r="I4224" t="inlineStr">
        <is>
          <t>Series B</t>
        </is>
      </c>
      <c r="J4224" t="inlineStr">
        <is>
          <t>Verlinvest</t>
        </is>
      </c>
      <c r="K4224" t="inlineStr">
        <is>
          <t>https://economictimes.indiatimes.com/tech/funding/sneaker-brand-comet-raises-rs-100-crore-led-by-verlinvest/articleshow/133759883.cms</t>
        </is>
      </c>
    </row>
    <row r="4225">
      <c r="A4225" t="inlineStr">
        <is>
          <t>INC-20260905-05</t>
        </is>
      </c>
      <c r="B4225" t="inlineStr">
        <is>
          <t>R260904-comet</t>
        </is>
      </c>
      <c r="C4225" t="inlineStr">
        <is>
          <t>Inc42</t>
        </is>
      </c>
      <c r="D4225" s="17" t="n">
        <v>46269</v>
      </c>
      <c r="E4225" t="inlineStr">
        <is>
          <t>Comet</t>
        </is>
      </c>
      <c r="F4225" t="inlineStr">
        <is>
          <t>$10.6 Mn</t>
        </is>
      </c>
      <c r="G4225" s="19" t="n"/>
      <c r="H4225" s="19" t="n">
        <v>10.6</v>
      </c>
      <c r="I4225" t="inlineStr">
        <is>
          <t>Series B</t>
        </is>
      </c>
      <c r="J4225" t="inlineStr">
        <is>
          <t>Verlinvest</t>
        </is>
      </c>
      <c r="K4225" t="inlineStr">
        <is>
          <t>https://inc42.com/buzz/from-ultrahuman-to-comet-indian-startups-raised-over-177-mn-this-week/</t>
        </is>
      </c>
    </row>
    <row r="4226">
      <c r="A4226" t="inlineStr">
        <is>
          <t>ENT-12489028</t>
        </is>
      </c>
      <c r="B4226" t="inlineStr">
        <is>
          <t>R260904-leanwatts</t>
        </is>
      </c>
      <c r="C4226" t="inlineStr">
        <is>
          <t>Entrackr</t>
        </is>
      </c>
      <c r="D4226" s="17" t="n">
        <v>46269</v>
      </c>
      <c r="E4226" t="inlineStr">
        <is>
          <t>Leanwatts</t>
        </is>
      </c>
      <c r="F4226" t="inlineStr">
        <is>
          <t>$2 million</t>
        </is>
      </c>
      <c r="G4226" s="19" t="n">
        <v>18.15</v>
      </c>
      <c r="H4226" s="19" t="n">
        <v>2</v>
      </c>
      <c r="I4226" t="inlineStr">
        <is>
          <t>Seed</t>
        </is>
      </c>
      <c r="J4226" t="inlineStr">
        <is>
          <t>Trivest Partners</t>
        </is>
      </c>
      <c r="K4226" t="inlineStr">
        <is>
          <t>https://entrackr.com/snippets/trivest-partners-leads-2-mn-seed-round-in-power-electronics-startup-leanwatts-12489028</t>
        </is>
      </c>
    </row>
    <row r="4227">
      <c r="A4227" t="inlineStr">
        <is>
          <t>INC-20260905-14</t>
        </is>
      </c>
      <c r="B4227" t="inlineStr">
        <is>
          <t>R260904-leanwatts</t>
        </is>
      </c>
      <c r="C4227" t="inlineStr">
        <is>
          <t>Inc42</t>
        </is>
      </c>
      <c r="D4227" s="17" t="n">
        <v>46269</v>
      </c>
      <c r="E4227" t="inlineStr">
        <is>
          <t>Leanwatts</t>
        </is>
      </c>
      <c r="F4227" t="inlineStr">
        <is>
          <t>$2 Mn</t>
        </is>
      </c>
      <c r="G4227" s="19" t="n"/>
      <c r="H4227" s="19" t="n">
        <v>2</v>
      </c>
      <c r="I4227" t="inlineStr">
        <is>
          <t>Seed</t>
        </is>
      </c>
      <c r="J4227" t="inlineStr">
        <is>
          <t>Trivest Partners</t>
        </is>
      </c>
      <c r="K4227" t="inlineStr">
        <is>
          <t>https://inc42.com/buzz/from-ultrahuman-to-comet-indian-startups-raised-over-177-mn-this-week/</t>
        </is>
      </c>
    </row>
    <row r="4228">
      <c r="A4228" t="inlineStr">
        <is>
          <t>INC-20260905-11</t>
        </is>
      </c>
      <c r="B4228" t="inlineStr">
        <is>
          <t>R260904-medulance</t>
        </is>
      </c>
      <c r="C4228" t="inlineStr">
        <is>
          <t>Inc42</t>
        </is>
      </c>
      <c r="D4228" s="17" t="n">
        <v>46269</v>
      </c>
      <c r="E4228" t="inlineStr">
        <is>
          <t>Medulance</t>
        </is>
      </c>
      <c r="F4228" t="inlineStr">
        <is>
          <t>$2.5 Mn</t>
        </is>
      </c>
      <c r="G4228" s="19" t="n"/>
      <c r="H4228" s="19" t="n">
        <v>2.5</v>
      </c>
      <c r="I4228" t="inlineStr">
        <is>
          <t>Series A</t>
        </is>
      </c>
      <c r="J4228" t="inlineStr"/>
      <c r="K4228" t="inlineStr">
        <is>
          <t>https://inc42.com/buzz/from-ultrahuman-to-comet-indian-startups-raised-over-177-mn-this-week/</t>
        </is>
      </c>
    </row>
    <row r="4229">
      <c r="A4229" t="inlineStr">
        <is>
          <t>ENT-12493909</t>
        </is>
      </c>
      <c r="B4229" t="inlineStr">
        <is>
          <t>R260904-sugarcosmetics</t>
        </is>
      </c>
      <c r="C4229" t="inlineStr">
        <is>
          <t>Entrackr</t>
        </is>
      </c>
      <c r="D4229" s="17" t="n">
        <v>46269</v>
      </c>
      <c r="E4229" t="inlineStr">
        <is>
          <t>Sugar Cosmetics</t>
        </is>
      </c>
      <c r="F4229" t="inlineStr">
        <is>
          <t>Rs 144.5 crore</t>
        </is>
      </c>
      <c r="G4229" s="19" t="n">
        <v>144.5</v>
      </c>
      <c r="H4229" s="19" t="n"/>
      <c r="I4229" t="inlineStr">
        <is>
          <t>Undisclosed</t>
        </is>
      </c>
      <c r="J4229" t="inlineStr"/>
      <c r="K4229" t="inlineStr">
        <is>
          <t>https://entrackr.com/news/sugar-cosmetics-raises-rs-144-cr-at-rs-755-cr-valuation-early-investors-seek-steep-discount-exits-12493909</t>
        </is>
      </c>
    </row>
    <row r="4230">
      <c r="A4230" t="inlineStr">
        <is>
          <t>INC-20260905-03</t>
        </is>
      </c>
      <c r="B4230" t="inlineStr">
        <is>
          <t>R260904-sugarcosmetics</t>
        </is>
      </c>
      <c r="C4230" t="inlineStr">
        <is>
          <t>Inc42</t>
        </is>
      </c>
      <c r="D4230" s="17" t="n">
        <v>46269</v>
      </c>
      <c r="E4230" t="inlineStr">
        <is>
          <t>SUGAR Cosmetics</t>
        </is>
      </c>
      <c r="F4230" t="inlineStr">
        <is>
          <t>$15.3 Mn</t>
        </is>
      </c>
      <c r="G4230" s="19" t="n"/>
      <c r="H4230" s="19" t="n">
        <v>15.3</v>
      </c>
      <c r="I4230" t="inlineStr">
        <is>
          <t>Undisclosed</t>
        </is>
      </c>
      <c r="J4230" t="inlineStr">
        <is>
          <t>A91 Partners</t>
        </is>
      </c>
      <c r="K4230" t="inlineStr">
        <is>
          <t>https://inc42.com/buzz/from-ultrahuman-to-comet-indian-startups-raised-over-177-mn-this-week/</t>
        </is>
      </c>
    </row>
    <row r="4231">
      <c r="A4231" t="inlineStr">
        <is>
          <t>ENT-12501961</t>
        </is>
      </c>
      <c r="B4231" t="inlineStr">
        <is>
          <t>R260907-damensch</t>
        </is>
      </c>
      <c r="C4231" t="inlineStr">
        <is>
          <t>Entrackr</t>
        </is>
      </c>
      <c r="D4231" s="17" t="n">
        <v>46272</v>
      </c>
      <c r="E4231" t="inlineStr">
        <is>
          <t>DaMENSCH</t>
        </is>
      </c>
      <c r="F4231" t="inlineStr"/>
      <c r="G4231" s="19" t="n"/>
      <c r="H4231" s="19" t="n"/>
      <c r="I4231" t="inlineStr">
        <is>
          <t>Undisclosed</t>
        </is>
      </c>
      <c r="J4231" t="inlineStr"/>
      <c r="K4231" t="inlineStr">
        <is>
          <t>https://entrackr.com/exclusive/exclusive-damensch-raises-fresh-funding-at-flat-valuation-of-rs-600-cr-12501961</t>
        </is>
      </c>
    </row>
    <row r="4232">
      <c r="A4232" t="inlineStr">
        <is>
          <t>ENT-12502764</t>
        </is>
      </c>
      <c r="B4232" t="inlineStr">
        <is>
          <t>R260907-herspace</t>
        </is>
      </c>
      <c r="C4232" t="inlineStr">
        <is>
          <t>Entrackr</t>
        </is>
      </c>
      <c r="D4232" s="17" t="n">
        <v>46272</v>
      </c>
      <c r="E4232" t="inlineStr">
        <is>
          <t>HerSpace</t>
        </is>
      </c>
      <c r="F4232" t="inlineStr">
        <is>
          <t>$40 million</t>
        </is>
      </c>
      <c r="G4232" s="19" t="n"/>
      <c r="H4232" s="19" t="n">
        <v>40</v>
      </c>
      <c r="I4232" t="inlineStr">
        <is>
          <t>Undisclosed</t>
        </is>
      </c>
      <c r="J4232" t="inlineStr"/>
      <c r="K4232" t="inlineStr">
        <is>
          <t>https://entrackr.com/news/herspace-secures-40-mn-from-existing-investor-gray-matters-capital-12502764</t>
        </is>
      </c>
    </row>
    <row r="4233">
      <c r="A4233" t="inlineStr">
        <is>
          <t>ENT-12501283</t>
        </is>
      </c>
      <c r="B4233" t="inlineStr">
        <is>
          <t>R260907-lickicious</t>
        </is>
      </c>
      <c r="C4233" t="inlineStr">
        <is>
          <t>Entrackr</t>
        </is>
      </c>
      <c r="D4233" s="17" t="n">
        <v>46272</v>
      </c>
      <c r="E4233" t="inlineStr">
        <is>
          <t>Lickicious</t>
        </is>
      </c>
      <c r="F4233" t="inlineStr">
        <is>
          <t>Rs 19 crore</t>
        </is>
      </c>
      <c r="G4233" s="19" t="n">
        <v>19</v>
      </c>
      <c r="H4233" s="19" t="n"/>
      <c r="I4233" t="inlineStr">
        <is>
          <t>Undisclosed</t>
        </is>
      </c>
      <c r="J4233" t="inlineStr">
        <is>
          <t>Prath Ventures</t>
        </is>
      </c>
      <c r="K4233" t="inlineStr">
        <is>
          <t>https://entrackr.com/snippets/pet-food-and-nutrition-brand-lickicious-raises-rs-19-cr-led-by-prath-ventures-12501283</t>
        </is>
      </c>
    </row>
    <row r="4234">
      <c r="A4234" t="inlineStr">
        <is>
          <t>INC-20260912-14</t>
        </is>
      </c>
      <c r="B4234" t="inlineStr">
        <is>
          <t>R260907-lickicious</t>
        </is>
      </c>
      <c r="C4234" t="inlineStr">
        <is>
          <t>Inc42</t>
        </is>
      </c>
      <c r="D4234" s="17" t="n">
        <v>46272</v>
      </c>
      <c r="E4234" t="inlineStr">
        <is>
          <t>Lickicious</t>
        </is>
      </c>
      <c r="F4234" t="inlineStr">
        <is>
          <t>$2.1 Mn</t>
        </is>
      </c>
      <c r="G4234" s="19" t="n"/>
      <c r="H4234" s="19" t="n">
        <v>2.1</v>
      </c>
      <c r="I4234" t="inlineStr">
        <is>
          <t>Undisclosed</t>
        </is>
      </c>
      <c r="J4234" t="inlineStr">
        <is>
          <t>Prath Ventures</t>
        </is>
      </c>
      <c r="K4234" t="inlineStr">
        <is>
          <t>https://inc42.com/buzz/from-pixxel-to-swish-indian-startups-raised-over-321-9-mn-this-week/</t>
        </is>
      </c>
    </row>
    <row r="4235">
      <c r="A4235" t="inlineStr">
        <is>
          <t>ENT-12501888</t>
        </is>
      </c>
      <c r="B4235" t="inlineStr">
        <is>
          <t>R260907-navanaai</t>
        </is>
      </c>
      <c r="C4235" t="inlineStr">
        <is>
          <t>Entrackr</t>
        </is>
      </c>
      <c r="D4235" s="17" t="n">
        <v>46272</v>
      </c>
      <c r="E4235" t="inlineStr">
        <is>
          <t>Navana.ai</t>
        </is>
      </c>
      <c r="F4235" t="inlineStr">
        <is>
          <t>Rs 40 crore</t>
        </is>
      </c>
      <c r="G4235" s="19" t="n">
        <v>40</v>
      </c>
      <c r="H4235" s="19" t="n">
        <v>4.2</v>
      </c>
      <c r="I4235" t="inlineStr">
        <is>
          <t>Series A</t>
        </is>
      </c>
      <c r="J4235" t="inlineStr">
        <is>
          <t>Ronnie Screwvala</t>
        </is>
      </c>
      <c r="K4235" t="inlineStr">
        <is>
          <t>https://entrackr.com/snippets/voice-ai-startup-navanaai-raises-rs-40-cr-led-by-ronnie-screwvala-12501888</t>
        </is>
      </c>
    </row>
    <row r="4236">
      <c r="A4236" t="inlineStr">
        <is>
          <t>INC-20260912-11</t>
        </is>
      </c>
      <c r="B4236" t="inlineStr">
        <is>
          <t>R260907-navanaai</t>
        </is>
      </c>
      <c r="C4236" t="inlineStr">
        <is>
          <t>Inc42</t>
        </is>
      </c>
      <c r="D4236" s="17" t="n">
        <v>46272</v>
      </c>
      <c r="E4236" t="inlineStr">
        <is>
          <t>Navana.ai</t>
        </is>
      </c>
      <c r="F4236" t="inlineStr">
        <is>
          <t>$4.2 Mn</t>
        </is>
      </c>
      <c r="G4236" s="19" t="n"/>
      <c r="H4236" s="19" t="n">
        <v>4.2</v>
      </c>
      <c r="I4236" t="inlineStr">
        <is>
          <t>Series A</t>
        </is>
      </c>
      <c r="J4236" t="inlineStr">
        <is>
          <t>Ronnie Screwala</t>
        </is>
      </c>
      <c r="K4236" t="inlineStr">
        <is>
          <t>https://inc42.com/buzz/from-pixxel-to-swish-indian-startups-raised-over-321-9-mn-this-week/</t>
        </is>
      </c>
    </row>
    <row r="4237">
      <c r="A4237" t="inlineStr">
        <is>
          <t>ENT-12501195</t>
        </is>
      </c>
      <c r="B4237" t="inlineStr">
        <is>
          <t>R260907-nua</t>
        </is>
      </c>
      <c r="C4237" t="inlineStr">
        <is>
          <t>Entrackr</t>
        </is>
      </c>
      <c r="D4237" s="17" t="n">
        <v>46272</v>
      </c>
      <c r="E4237" t="inlineStr">
        <is>
          <t>Nua</t>
        </is>
      </c>
      <c r="F4237" t="inlineStr">
        <is>
          <t>$50 million</t>
        </is>
      </c>
      <c r="G4237" s="19" t="n"/>
      <c r="H4237" s="19" t="n">
        <v>50</v>
      </c>
      <c r="I4237" t="inlineStr">
        <is>
          <t>Series C</t>
        </is>
      </c>
      <c r="J4237" t="inlineStr">
        <is>
          <t>Peak XV Partners; Filter Capital</t>
        </is>
      </c>
      <c r="K4237" t="inlineStr">
        <is>
          <t>https://entrackr.com/news/womens-wellness-brand-nua-raises-50-mn-led-by-peak-xv-filter-capital-12501195</t>
        </is>
      </c>
    </row>
    <row r="4238">
      <c r="A4238" t="inlineStr">
        <is>
          <t>ET-133850550</t>
        </is>
      </c>
      <c r="B4238" t="inlineStr">
        <is>
          <t>R260907-nua</t>
        </is>
      </c>
      <c r="C4238" t="inlineStr">
        <is>
          <t>The Economic Times</t>
        </is>
      </c>
      <c r="D4238" s="17" t="n">
        <v>46272</v>
      </c>
      <c r="E4238" t="inlineStr">
        <is>
          <t>Nua</t>
        </is>
      </c>
      <c r="F4238" t="inlineStr">
        <is>
          <t>$50 million</t>
        </is>
      </c>
      <c r="G4238" s="19" t="n"/>
      <c r="H4238" s="19" t="n">
        <v>50</v>
      </c>
      <c r="I4238" t="inlineStr">
        <is>
          <t>Undisclosed</t>
        </is>
      </c>
      <c r="J4238" t="inlineStr">
        <is>
          <t>Peak XV Partners; Filter Capital</t>
        </is>
      </c>
      <c r="K4238" t="inlineStr">
        <is>
          <t>https://economictimes.indiatimes.com/tech/funding/womens-wellness-brand-nua-closes-50-million-round-led-by-peak-xv-filter-capital/articleshow/133850550.cms</t>
        </is>
      </c>
    </row>
    <row r="4239">
      <c r="A4239" t="inlineStr">
        <is>
          <t>VCC-38c2d97587</t>
        </is>
      </c>
      <c r="B4239" t="inlineStr">
        <is>
          <t>R260907-nua</t>
        </is>
      </c>
      <c r="C4239" t="inlineStr">
        <is>
          <t>VCCircle</t>
        </is>
      </c>
      <c r="D4239" s="17" t="n">
        <v>46272</v>
      </c>
      <c r="E4239" t="inlineStr">
        <is>
          <t>nua</t>
        </is>
      </c>
      <c r="F4239" t="inlineStr"/>
      <c r="G4239" s="19" t="n"/>
      <c r="H4239" s="19" t="n"/>
      <c r="I4239" t="inlineStr">
        <is>
          <t>Undisclosed</t>
        </is>
      </c>
      <c r="J4239" t="inlineStr"/>
      <c r="K4239" t="inlineStr">
        <is>
          <t>https://www.vccircle.com/peakxv-filter-capital-lead-funding-in-women-s-wellness-brand-nua</t>
        </is>
      </c>
    </row>
    <row r="4240">
      <c r="A4240" t="inlineStr">
        <is>
          <t>INC-20260912-03</t>
        </is>
      </c>
      <c r="B4240" t="inlineStr">
        <is>
          <t>R260907-nua</t>
        </is>
      </c>
      <c r="C4240" t="inlineStr">
        <is>
          <t>Inc42</t>
        </is>
      </c>
      <c r="D4240" s="17" t="n">
        <v>46277</v>
      </c>
      <c r="E4240" t="inlineStr">
        <is>
          <t>Nua</t>
        </is>
      </c>
      <c r="F4240" t="inlineStr">
        <is>
          <t>$50 Mn</t>
        </is>
      </c>
      <c r="G4240" s="19" t="n"/>
      <c r="H4240" s="19" t="n">
        <v>50</v>
      </c>
      <c r="I4240" t="inlineStr">
        <is>
          <t>Series C</t>
        </is>
      </c>
      <c r="J4240" t="inlineStr">
        <is>
          <t>Peak XV Partners; Filter Capital</t>
        </is>
      </c>
      <c r="K4240" t="inlineStr">
        <is>
          <t>https://inc42.com/buzz/from-pixxel-to-swish-indian-startups-raised-over-321-9-mn-this-week/</t>
        </is>
      </c>
    </row>
    <row r="4241">
      <c r="A4241" t="inlineStr">
        <is>
          <t>ENT-12501095</t>
        </is>
      </c>
      <c r="B4241" t="inlineStr">
        <is>
          <t>R260907-pixxel</t>
        </is>
      </c>
      <c r="C4241" t="inlineStr">
        <is>
          <t>Entrackr</t>
        </is>
      </c>
      <c r="D4241" s="17" t="n">
        <v>46272</v>
      </c>
      <c r="E4241" t="inlineStr">
        <is>
          <t>Pixxel</t>
        </is>
      </c>
      <c r="F4241" t="inlineStr">
        <is>
          <t>$100 million</t>
        </is>
      </c>
      <c r="G4241" s="19" t="n"/>
      <c r="H4241" s="19" t="n">
        <v>100</v>
      </c>
      <c r="I4241" t="inlineStr">
        <is>
          <t>Series C</t>
        </is>
      </c>
      <c r="J4241" t="inlineStr">
        <is>
          <t>Temasek; Seraphim Space</t>
        </is>
      </c>
      <c r="K4241" t="inlineStr">
        <is>
          <t>https://entrackr.com/news/spactech-startup-pixxel-raises-100-mn-in-series-c-led-by-temasek-seraphim-12501095</t>
        </is>
      </c>
    </row>
    <row r="4242">
      <c r="A4242" t="inlineStr">
        <is>
          <t>ET-133850098</t>
        </is>
      </c>
      <c r="B4242" t="inlineStr">
        <is>
          <t>R260907-pixxel</t>
        </is>
      </c>
      <c r="C4242" t="inlineStr">
        <is>
          <t>The Economic Times</t>
        </is>
      </c>
      <c r="D4242" s="17" t="n">
        <v>46272</v>
      </c>
      <c r="E4242" t="inlineStr">
        <is>
          <t>Pixxel</t>
        </is>
      </c>
      <c r="F4242" t="inlineStr">
        <is>
          <t>$100 million</t>
        </is>
      </c>
      <c r="G4242" s="19" t="n">
        <v>945</v>
      </c>
      <c r="H4242" s="19" t="n">
        <v>100</v>
      </c>
      <c r="I4242" t="inlineStr">
        <is>
          <t>Undisclosed</t>
        </is>
      </c>
      <c r="J4242" t="inlineStr">
        <is>
          <t>Temasek; Seraphim</t>
        </is>
      </c>
      <c r="K4242" t="inlineStr">
        <is>
          <t>https://economictimes.indiatimes.com/tech/funding/satellite-imaging-startup-pixxel-bags-100-million-from-temasek-others/articleshow/133850098.cms</t>
        </is>
      </c>
    </row>
    <row r="4243">
      <c r="A4243" t="inlineStr">
        <is>
          <t>INC-20260912-01</t>
        </is>
      </c>
      <c r="B4243" t="inlineStr">
        <is>
          <t>R260907-pixxel</t>
        </is>
      </c>
      <c r="C4243" t="inlineStr">
        <is>
          <t>Inc42</t>
        </is>
      </c>
      <c r="D4243" s="17" t="n">
        <v>46272</v>
      </c>
      <c r="E4243" t="inlineStr">
        <is>
          <t>Pixxel</t>
        </is>
      </c>
      <c r="F4243" t="inlineStr">
        <is>
          <t>$100 Mn</t>
        </is>
      </c>
      <c r="G4243" s="19" t="n"/>
      <c r="H4243" s="19" t="n">
        <v>100</v>
      </c>
      <c r="I4243" t="inlineStr">
        <is>
          <t>Series C</t>
        </is>
      </c>
      <c r="J4243" t="inlineStr">
        <is>
          <t>Temasek; Seraphim</t>
        </is>
      </c>
      <c r="K4243" t="inlineStr">
        <is>
          <t>https://inc42.com/buzz/from-pixxel-to-swish-indian-startups-raised-over-321-9-mn-this-week/</t>
        </is>
      </c>
    </row>
    <row r="4244">
      <c r="A4244" t="inlineStr">
        <is>
          <t>ENT-12506561</t>
        </is>
      </c>
      <c r="B4244" t="inlineStr">
        <is>
          <t>R260908-arc</t>
        </is>
      </c>
      <c r="C4244" t="inlineStr">
        <is>
          <t>Entrackr</t>
        </is>
      </c>
      <c r="D4244" s="17" t="n">
        <v>46273</v>
      </c>
      <c r="E4244" t="inlineStr">
        <is>
          <t>ARC</t>
        </is>
      </c>
      <c r="F4244" t="inlineStr">
        <is>
          <t>Rs 10.5 crore</t>
        </is>
      </c>
      <c r="G4244" s="19" t="n">
        <v>10.5</v>
      </c>
      <c r="H4244" s="19" t="n"/>
      <c r="I4244" t="inlineStr">
        <is>
          <t>Pre-Seed</t>
        </is>
      </c>
      <c r="J4244" t="inlineStr">
        <is>
          <t>Chimera VC; MIXI Global Investments</t>
        </is>
      </c>
      <c r="K4244" t="inlineStr">
        <is>
          <t>https://entrackr.com/snippets/gaming-tech-startup-arc-raises-rs-105-cr-in-pre-seed-round-12506561</t>
        </is>
      </c>
    </row>
    <row r="4245">
      <c r="A4245" t="inlineStr">
        <is>
          <t>INC-20260912-17</t>
        </is>
      </c>
      <c r="B4245" t="inlineStr">
        <is>
          <t>R260908-arc</t>
        </is>
      </c>
      <c r="C4245" t="inlineStr">
        <is>
          <t>Inc42</t>
        </is>
      </c>
      <c r="D4245" s="17" t="n">
        <v>46274</v>
      </c>
      <c r="E4245" t="inlineStr">
        <is>
          <t>ARC</t>
        </is>
      </c>
      <c r="F4245" t="inlineStr">
        <is>
          <t>$1.1 Mn</t>
        </is>
      </c>
      <c r="G4245" s="19" t="n"/>
      <c r="H4245" s="19" t="n">
        <v>1.1</v>
      </c>
      <c r="I4245" t="inlineStr">
        <is>
          <t>Pre-Seed</t>
        </is>
      </c>
      <c r="J4245" t="inlineStr">
        <is>
          <t>Chimera VC; MIXI Global Investments</t>
        </is>
      </c>
      <c r="K4245" t="inlineStr">
        <is>
          <t>https://inc42.com/buzz/from-pixxel-to-swish-indian-startups-raised-over-321-9-mn-this-week/</t>
        </is>
      </c>
    </row>
    <row r="4246">
      <c r="A4246" t="inlineStr">
        <is>
          <t>ENT-12507089</t>
        </is>
      </c>
      <c r="B4246" t="inlineStr">
        <is>
          <t>R260908-circolife</t>
        </is>
      </c>
      <c r="C4246" t="inlineStr">
        <is>
          <t>Entrackr</t>
        </is>
      </c>
      <c r="D4246" s="17" t="n">
        <v>46273</v>
      </c>
      <c r="E4246" t="inlineStr">
        <is>
          <t>Circolife</t>
        </is>
      </c>
      <c r="F4246" t="inlineStr">
        <is>
          <t>$4.5 million</t>
        </is>
      </c>
      <c r="G4246" s="19" t="n">
        <v>40.45</v>
      </c>
      <c r="H4246" s="19" t="n">
        <v>4.5</v>
      </c>
      <c r="I4246" t="inlineStr">
        <is>
          <t>Pre-Series A</t>
        </is>
      </c>
      <c r="J4246" t="inlineStr">
        <is>
          <t>Bharat Jaisinghani</t>
        </is>
      </c>
      <c r="K4246" t="inlineStr">
        <is>
          <t>https://entrackr.com/snippets/circolife-raises-45-mn-in-pre-series-a-round-led-by-bharat-jaisinghani-12507089</t>
        </is>
      </c>
    </row>
    <row r="4247">
      <c r="A4247" t="inlineStr">
        <is>
          <t>INC-20260912-10</t>
        </is>
      </c>
      <c r="B4247" t="inlineStr">
        <is>
          <t>R260908-circolife</t>
        </is>
      </c>
      <c r="C4247" t="inlineStr">
        <is>
          <t>Inc42</t>
        </is>
      </c>
      <c r="D4247" s="17" t="n">
        <v>46273</v>
      </c>
      <c r="E4247" t="inlineStr">
        <is>
          <t>Circolife</t>
        </is>
      </c>
      <c r="F4247" t="inlineStr">
        <is>
          <t>$4.5 Mn</t>
        </is>
      </c>
      <c r="G4247" s="19" t="n"/>
      <c r="H4247" s="19" t="n">
        <v>4.5</v>
      </c>
      <c r="I4247" t="inlineStr">
        <is>
          <t>Pre-Series A</t>
        </is>
      </c>
      <c r="J4247" t="inlineStr">
        <is>
          <t>Bharat Jaisinghani</t>
        </is>
      </c>
      <c r="K4247" t="inlineStr">
        <is>
          <t>https://inc42.com/buzz/from-pixxel-to-swish-indian-startups-raised-over-321-9-mn-this-week/</t>
        </is>
      </c>
    </row>
    <row r="4248">
      <c r="A4248" t="inlineStr">
        <is>
          <t>ENT-12507542</t>
        </is>
      </c>
      <c r="B4248" t="inlineStr">
        <is>
          <t>R260908-digitalpaani</t>
        </is>
      </c>
      <c r="C4248" t="inlineStr">
        <is>
          <t>Entrackr</t>
        </is>
      </c>
      <c r="D4248" s="17" t="n">
        <v>46273</v>
      </c>
      <c r="E4248" t="inlineStr">
        <is>
          <t>DigitalPaani</t>
        </is>
      </c>
      <c r="F4248" t="inlineStr">
        <is>
          <t>Rs 22 crore</t>
        </is>
      </c>
      <c r="G4248" s="19" t="n">
        <v>22</v>
      </c>
      <c r="H4248" s="19" t="n"/>
      <c r="I4248" t="inlineStr">
        <is>
          <t>Undisclosed</t>
        </is>
      </c>
      <c r="J4248" t="inlineStr">
        <is>
          <t>Navam Capital</t>
        </is>
      </c>
      <c r="K4248" t="inlineStr">
        <is>
          <t>https://entrackr.com/snippets/navam-capital-leads-rs-22-cr-round-in-digitalpaani-12507542</t>
        </is>
      </c>
    </row>
    <row r="4249">
      <c r="A4249" t="inlineStr">
        <is>
          <t>INC-20260912-13</t>
        </is>
      </c>
      <c r="B4249" t="inlineStr">
        <is>
          <t>R260908-digitalpaani</t>
        </is>
      </c>
      <c r="C4249" t="inlineStr">
        <is>
          <t>Inc42</t>
        </is>
      </c>
      <c r="D4249" s="17" t="n">
        <v>46273</v>
      </c>
      <c r="E4249" t="inlineStr">
        <is>
          <t>DigitalPaani</t>
        </is>
      </c>
      <c r="F4249" t="inlineStr">
        <is>
          <t>$2.3 Mn</t>
        </is>
      </c>
      <c r="G4249" s="19" t="n"/>
      <c r="H4249" s="19" t="n">
        <v>2.3</v>
      </c>
      <c r="I4249" t="inlineStr">
        <is>
          <t>Undisclosed</t>
        </is>
      </c>
      <c r="J4249" t="inlineStr">
        <is>
          <t>Navam Capital</t>
        </is>
      </c>
      <c r="K4249" t="inlineStr">
        <is>
          <t>https://inc42.com/buzz/from-pixxel-to-swish-indian-startups-raised-over-321-9-mn-this-week/</t>
        </is>
      </c>
    </row>
    <row r="4250">
      <c r="A4250" t="inlineStr">
        <is>
          <t>ENT-12505458</t>
        </is>
      </c>
      <c r="B4250" t="inlineStr">
        <is>
          <t>R260908-fundlyai</t>
        </is>
      </c>
      <c r="C4250" t="inlineStr">
        <is>
          <t>Entrackr</t>
        </is>
      </c>
      <c r="D4250" s="17" t="n">
        <v>46273</v>
      </c>
      <c r="E4250" t="inlineStr">
        <is>
          <t>Fundly.ai</t>
        </is>
      </c>
      <c r="F4250" t="inlineStr">
        <is>
          <t>$4 million</t>
        </is>
      </c>
      <c r="G4250" s="19" t="n"/>
      <c r="H4250" s="19" t="n">
        <v>4</v>
      </c>
      <c r="I4250" t="inlineStr">
        <is>
          <t>Undisclosed</t>
        </is>
      </c>
      <c r="J4250" t="inlineStr">
        <is>
          <t>Accel; Multiply Ventures; Rajeev Ahuja</t>
        </is>
      </c>
      <c r="K4250" t="inlineStr">
        <is>
          <t>https://entrackr.com/snippets/b2b-pharma-distribution-startup-fundlyai-raises-4-mn-led-by-accel-multiply-12505458</t>
        </is>
      </c>
    </row>
    <row r="4251">
      <c r="A4251" t="inlineStr">
        <is>
          <t>ET-133890712</t>
        </is>
      </c>
      <c r="B4251" t="inlineStr">
        <is>
          <t>R260908-fundlyai</t>
        </is>
      </c>
      <c r="C4251" t="inlineStr">
        <is>
          <t>The Economic Times</t>
        </is>
      </c>
      <c r="D4251" s="17" t="n">
        <v>46273</v>
      </c>
      <c r="E4251" t="inlineStr">
        <is>
          <t>Fundly.ai</t>
        </is>
      </c>
      <c r="F4251" t="inlineStr">
        <is>
          <t>$4 million</t>
        </is>
      </c>
      <c r="G4251" s="19" t="n"/>
      <c r="H4251" s="19" t="n">
        <v>4</v>
      </c>
      <c r="I4251" t="inlineStr">
        <is>
          <t>Undisclosed</t>
        </is>
      </c>
      <c r="J4251" t="inlineStr">
        <is>
          <t>Accel; Multiply</t>
        </is>
      </c>
      <c r="K4251" t="inlineStr">
        <is>
          <t>https://economictimes.indiatimes.com/tech/funding/b2b-startup-fundly-ai-raises-4-million-led-by-accel-multiply/articleshow/133890712.cms</t>
        </is>
      </c>
    </row>
    <row r="4252">
      <c r="A4252" t="inlineStr">
        <is>
          <t>INC-20260912-12</t>
        </is>
      </c>
      <c r="B4252" t="inlineStr">
        <is>
          <t>R260908-fundlyai</t>
        </is>
      </c>
      <c r="C4252" t="inlineStr">
        <is>
          <t>Inc42</t>
        </is>
      </c>
      <c r="D4252" s="17" t="n">
        <v>46273</v>
      </c>
      <c r="E4252" t="inlineStr">
        <is>
          <t>Fundly.ai</t>
        </is>
      </c>
      <c r="F4252" t="inlineStr">
        <is>
          <t>$4 Mn</t>
        </is>
      </c>
      <c r="G4252" s="19" t="n"/>
      <c r="H4252" s="19" t="n">
        <v>4</v>
      </c>
      <c r="I4252" t="inlineStr">
        <is>
          <t>Pre-Series A</t>
        </is>
      </c>
      <c r="J4252" t="inlineStr">
        <is>
          <t>Accel; Multiply</t>
        </is>
      </c>
      <c r="K4252" t="inlineStr">
        <is>
          <t>https://inc42.com/buzz/from-pixxel-to-swish-indian-startups-raised-over-321-9-mn-this-week/</t>
        </is>
      </c>
    </row>
    <row r="4253">
      <c r="A4253" t="inlineStr">
        <is>
          <t>ENT-12506395</t>
        </is>
      </c>
      <c r="B4253" t="inlineStr">
        <is>
          <t>R260908-iztri</t>
        </is>
      </c>
      <c r="C4253" t="inlineStr">
        <is>
          <t>Entrackr</t>
        </is>
      </c>
      <c r="D4253" s="17" t="n">
        <v>46273</v>
      </c>
      <c r="E4253" t="inlineStr">
        <is>
          <t>Iztri</t>
        </is>
      </c>
      <c r="F4253" t="inlineStr"/>
      <c r="G4253" s="19" t="n"/>
      <c r="H4253" s="19" t="n"/>
      <c r="I4253" t="inlineStr">
        <is>
          <t>Seed</t>
        </is>
      </c>
      <c r="J4253" t="inlineStr"/>
      <c r="K4253" t="inlineStr">
        <is>
          <t>https://entrackr.com/snippets/fabric-care-startup-iztri-raises-seed-round-led-by-all-in-capital-suashish-group-12506395</t>
        </is>
      </c>
    </row>
    <row r="4254">
      <c r="A4254" t="inlineStr">
        <is>
          <t>ET-133910338</t>
        </is>
      </c>
      <c r="B4254" t="inlineStr">
        <is>
          <t>R260908-iztri</t>
        </is>
      </c>
      <c r="C4254" t="inlineStr">
        <is>
          <t>The Economic Times</t>
        </is>
      </c>
      <c r="D4254" s="17" t="n">
        <v>46273</v>
      </c>
      <c r="E4254" t="inlineStr">
        <is>
          <t>Iztri</t>
        </is>
      </c>
      <c r="F4254" t="inlineStr">
        <is>
          <t>Rs 10 crore</t>
        </is>
      </c>
      <c r="G4254" s="19" t="n">
        <v>10</v>
      </c>
      <c r="H4254" s="19" t="n">
        <v>1.1</v>
      </c>
      <c r="I4254" t="inlineStr">
        <is>
          <t>Undisclosed</t>
        </is>
      </c>
      <c r="J4254" t="inlineStr">
        <is>
          <t>All In Capital; Suashish Group</t>
        </is>
      </c>
      <c r="K4254" t="inlineStr">
        <is>
          <t>https://economictimes.indiatimes.com/tech/startups/iztri-raises-rs-10-crore-funding-from-all-in-capital-suashish-group-others/articleshow/133910338.cms</t>
        </is>
      </c>
    </row>
    <row r="4255">
      <c r="A4255" t="inlineStr">
        <is>
          <t>INC-20260912-16</t>
        </is>
      </c>
      <c r="B4255" t="inlineStr">
        <is>
          <t>R260908-iztri</t>
        </is>
      </c>
      <c r="C4255" t="inlineStr">
        <is>
          <t>Inc42</t>
        </is>
      </c>
      <c r="D4255" s="17" t="n">
        <v>46273</v>
      </c>
      <c r="E4255" t="inlineStr">
        <is>
          <t>Iztri</t>
        </is>
      </c>
      <c r="F4255" t="inlineStr">
        <is>
          <t>$1.2 Mn</t>
        </is>
      </c>
      <c r="G4255" s="19" t="n"/>
      <c r="H4255" s="19" t="n">
        <v>1.2</v>
      </c>
      <c r="I4255" t="inlineStr">
        <is>
          <t>Seed</t>
        </is>
      </c>
      <c r="J4255" t="inlineStr">
        <is>
          <t>All In Capital; Suashish Group</t>
        </is>
      </c>
      <c r="K4255" t="inlineStr">
        <is>
          <t>https://inc42.com/buzz/from-pixxel-to-swish-indian-startups-raised-over-321-9-mn-this-week/</t>
        </is>
      </c>
    </row>
    <row r="4256">
      <c r="A4256" t="inlineStr">
        <is>
          <t>ENT-12506729</t>
        </is>
      </c>
      <c r="B4256" t="inlineStr">
        <is>
          <t>R260908-sorrysugar</t>
        </is>
      </c>
      <c r="C4256" t="inlineStr">
        <is>
          <t>Entrackr</t>
        </is>
      </c>
      <c r="D4256" s="17" t="n">
        <v>46273</v>
      </c>
      <c r="E4256" t="inlineStr">
        <is>
          <t>Sorry Sugar</t>
        </is>
      </c>
      <c r="F4256" t="inlineStr">
        <is>
          <t>$1 million</t>
        </is>
      </c>
      <c r="G4256" s="19" t="n"/>
      <c r="H4256" s="19" t="n">
        <v>1</v>
      </c>
      <c r="I4256" t="inlineStr">
        <is>
          <t>Seed</t>
        </is>
      </c>
      <c r="J4256" t="inlineStr">
        <is>
          <t>Dhanuka family; Amishi London</t>
        </is>
      </c>
      <c r="K4256" t="inlineStr">
        <is>
          <t>https://entrackr.com/snippets/beverage-brand-sorry-sugar-raises-1-mn-in-seed-round-12506729</t>
        </is>
      </c>
    </row>
    <row r="4257">
      <c r="A4257" t="inlineStr">
        <is>
          <t>INC-20260912-18</t>
        </is>
      </c>
      <c r="B4257" t="inlineStr">
        <is>
          <t>R260908-sorrysugar</t>
        </is>
      </c>
      <c r="C4257" t="inlineStr">
        <is>
          <t>Inc42</t>
        </is>
      </c>
      <c r="D4257" s="17" t="n">
        <v>46273</v>
      </c>
      <c r="E4257" t="inlineStr">
        <is>
          <t>Sorry Sugar</t>
        </is>
      </c>
      <c r="F4257" t="inlineStr">
        <is>
          <t>$1 Mn</t>
        </is>
      </c>
      <c r="G4257" s="19" t="n"/>
      <c r="H4257" s="19" t="n">
        <v>1</v>
      </c>
      <c r="I4257" t="inlineStr">
        <is>
          <t>Seed</t>
        </is>
      </c>
      <c r="J4257" t="inlineStr">
        <is>
          <t>Dhanuka Family; Amishi London</t>
        </is>
      </c>
      <c r="K4257" t="inlineStr">
        <is>
          <t>https://inc42.com/buzz/from-pixxel-to-swish-indian-startups-raised-over-321-9-mn-this-week/</t>
        </is>
      </c>
    </row>
    <row r="4258">
      <c r="A4258" t="inlineStr">
        <is>
          <t>INC-20260912-20</t>
        </is>
      </c>
      <c r="B4258" t="inlineStr">
        <is>
          <t>R260908-truefanai</t>
        </is>
      </c>
      <c r="C4258" t="inlineStr">
        <is>
          <t>Inc42</t>
        </is>
      </c>
      <c r="D4258" s="17" t="n">
        <v>46273</v>
      </c>
      <c r="E4258" t="inlineStr">
        <is>
          <t>TrueFan AI</t>
        </is>
      </c>
      <c r="F4258" t="inlineStr"/>
      <c r="G4258" s="19" t="n"/>
      <c r="H4258" s="19" t="n"/>
      <c r="I4258" t="inlineStr">
        <is>
          <t>Undisclosed</t>
        </is>
      </c>
      <c r="J4258" t="inlineStr">
        <is>
          <t>Bajaj Finserv</t>
        </is>
      </c>
      <c r="K4258" t="inlineStr">
        <is>
          <t>https://inc42.com/buzz/from-pixxel-to-swish-indian-startups-raised-over-321-9-mn-this-week/</t>
        </is>
      </c>
    </row>
    <row r="4259">
      <c r="A4259" t="inlineStr">
        <is>
          <t>ENT-12511605</t>
        </is>
      </c>
      <c r="B4259" t="inlineStr">
        <is>
          <t>R260909-carrummobility</t>
        </is>
      </c>
      <c r="C4259" t="inlineStr">
        <is>
          <t>Entrackr</t>
        </is>
      </c>
      <c r="D4259" s="17" t="n">
        <v>46274</v>
      </c>
      <c r="E4259" t="inlineStr">
        <is>
          <t>Carrum Mobility</t>
        </is>
      </c>
      <c r="F4259" t="inlineStr">
        <is>
          <t>$10 million</t>
        </is>
      </c>
      <c r="G4259" s="19" t="n">
        <v>96</v>
      </c>
      <c r="H4259" s="19" t="n">
        <v>10</v>
      </c>
      <c r="I4259" t="inlineStr">
        <is>
          <t>Series B</t>
        </is>
      </c>
      <c r="J4259" t="inlineStr">
        <is>
          <t>Uber</t>
        </is>
      </c>
      <c r="K4259" t="inlineStr">
        <is>
          <t>https://entrackr.com/snippets/fleet-management-platform-carrum-mobility-raises-10-mn-in-series-b-led-by-uber-12511605</t>
        </is>
      </c>
    </row>
    <row r="4260">
      <c r="A4260" t="inlineStr">
        <is>
          <t>ET-133938306</t>
        </is>
      </c>
      <c r="B4260" t="inlineStr">
        <is>
          <t>R260909-carrummobility</t>
        </is>
      </c>
      <c r="C4260" t="inlineStr">
        <is>
          <t>The Economic Times</t>
        </is>
      </c>
      <c r="D4260" s="17" t="n">
        <v>46274</v>
      </c>
      <c r="E4260" t="inlineStr">
        <is>
          <t>Carrum Mobility</t>
        </is>
      </c>
      <c r="F4260" t="inlineStr">
        <is>
          <t>$10 million</t>
        </is>
      </c>
      <c r="G4260" s="19" t="n">
        <v>96</v>
      </c>
      <c r="H4260" s="19" t="n">
        <v>10</v>
      </c>
      <c r="I4260" t="inlineStr">
        <is>
          <t>Undisclosed</t>
        </is>
      </c>
      <c r="J4260" t="inlineStr">
        <is>
          <t>Uber</t>
        </is>
      </c>
      <c r="K4260" t="inlineStr">
        <is>
          <t>https://economictimes.indiatimes.com/tech/funding/carrum-mobility-raises-10-million-from-uber-at-rs-1505-crore-valuation/articleshow/133938306.cms</t>
        </is>
      </c>
    </row>
    <row r="4261">
      <c r="A4261" t="inlineStr">
        <is>
          <t>INC-20260912-08</t>
        </is>
      </c>
      <c r="B4261" t="inlineStr">
        <is>
          <t>R260909-carrummobility</t>
        </is>
      </c>
      <c r="C4261" t="inlineStr">
        <is>
          <t>Inc42</t>
        </is>
      </c>
      <c r="D4261" s="17" t="n">
        <v>46277</v>
      </c>
      <c r="E4261" t="inlineStr">
        <is>
          <t>Carrum Mobility</t>
        </is>
      </c>
      <c r="F4261" t="inlineStr">
        <is>
          <t>$10 Mn</t>
        </is>
      </c>
      <c r="G4261" s="19" t="n"/>
      <c r="H4261" s="19" t="n">
        <v>10</v>
      </c>
      <c r="I4261" t="inlineStr">
        <is>
          <t>Series B</t>
        </is>
      </c>
      <c r="J4261" t="inlineStr">
        <is>
          <t>Uber</t>
        </is>
      </c>
      <c r="K4261" t="inlineStr">
        <is>
          <t>https://inc42.com/buzz/from-pixxel-to-swish-indian-startups-raised-over-321-9-mn-this-week/</t>
        </is>
      </c>
    </row>
    <row r="4262">
      <c r="A4262" t="inlineStr">
        <is>
          <t>ENT-12508946</t>
        </is>
      </c>
      <c r="B4262" t="inlineStr">
        <is>
          <t>R260909-marmalade</t>
        </is>
      </c>
      <c r="C4262" t="inlineStr">
        <is>
          <t>Entrackr</t>
        </is>
      </c>
      <c r="D4262" s="17" t="n">
        <v>46274</v>
      </c>
      <c r="E4262" t="inlineStr">
        <is>
          <t>Marmalade</t>
        </is>
      </c>
      <c r="F4262" t="inlineStr">
        <is>
          <t>Rs 6 crore</t>
        </is>
      </c>
      <c r="G4262" s="19" t="n">
        <v>6</v>
      </c>
      <c r="H4262" s="19" t="n"/>
      <c r="I4262" t="inlineStr">
        <is>
          <t>Seed</t>
        </is>
      </c>
      <c r="J4262" t="inlineStr"/>
      <c r="K4262" t="inlineStr">
        <is>
          <t>https://entrackr.com/snippets/alco-bev-startup-marmalade-raises-seed-round-12508946</t>
        </is>
      </c>
    </row>
    <row r="4263">
      <c r="A4263" t="inlineStr">
        <is>
          <t>ET-133938867</t>
        </is>
      </c>
      <c r="B4263" t="inlineStr">
        <is>
          <t>R260909-marmalade</t>
        </is>
      </c>
      <c r="C4263" t="inlineStr">
        <is>
          <t>The Economic Times</t>
        </is>
      </c>
      <c r="D4263" s="17" t="n">
        <v>46274</v>
      </c>
      <c r="E4263" t="inlineStr">
        <is>
          <t>Marmalade</t>
        </is>
      </c>
      <c r="F4263" t="inlineStr">
        <is>
          <t>Rs 6 crore</t>
        </is>
      </c>
      <c r="G4263" s="19" t="n">
        <v>6</v>
      </c>
      <c r="H4263" s="19" t="n"/>
      <c r="I4263" t="inlineStr">
        <is>
          <t>Undisclosed</t>
        </is>
      </c>
      <c r="J4263" t="inlineStr"/>
      <c r="K4263" t="inlineStr">
        <is>
          <t>https://economictimes.indiatimes.com/tech/funding/alco-bev-startup-marmalade-raises-rs-6-crore-from-angel-investors/articleshow/133938867.cms</t>
        </is>
      </c>
    </row>
    <row r="4264">
      <c r="A4264" t="inlineStr">
        <is>
          <t>ENT-12509199</t>
        </is>
      </c>
      <c r="B4264" t="inlineStr">
        <is>
          <t>R260909-qnulabs</t>
        </is>
      </c>
      <c r="C4264" t="inlineStr">
        <is>
          <t>Entrackr</t>
        </is>
      </c>
      <c r="D4264" s="17" t="n">
        <v>46274</v>
      </c>
      <c r="E4264" t="inlineStr">
        <is>
          <t>QNu Labs</t>
        </is>
      </c>
      <c r="F4264" t="inlineStr">
        <is>
          <t>Rs 200 crore</t>
        </is>
      </c>
      <c r="G4264" s="19" t="n">
        <v>200</v>
      </c>
      <c r="H4264" s="19" t="n"/>
      <c r="I4264" t="inlineStr">
        <is>
          <t>Series A</t>
        </is>
      </c>
      <c r="J4264" t="inlineStr">
        <is>
          <t>National Quantum Mission</t>
        </is>
      </c>
      <c r="K4264" t="inlineStr">
        <is>
          <t>https://entrackr.com/news/deep-tech-cybersecurity-company-qnu-labs-raises-rs-200-cr-in-series-a1-round-12509199</t>
        </is>
      </c>
    </row>
    <row r="4265">
      <c r="A4265" t="inlineStr">
        <is>
          <t>ET-133939763</t>
        </is>
      </c>
      <c r="B4265" t="inlineStr">
        <is>
          <t>R260909-qnulabs</t>
        </is>
      </c>
      <c r="C4265" t="inlineStr">
        <is>
          <t>The Economic Times</t>
        </is>
      </c>
      <c r="D4265" s="17" t="n">
        <v>46274</v>
      </c>
      <c r="E4265" t="inlineStr">
        <is>
          <t>QNu Labs</t>
        </is>
      </c>
      <c r="F4265" t="inlineStr">
        <is>
          <t>Rs 200 crore</t>
        </is>
      </c>
      <c r="G4265" s="19" t="n">
        <v>200</v>
      </c>
      <c r="H4265" s="19" t="n"/>
      <c r="I4265" t="inlineStr">
        <is>
          <t>Undisclosed</t>
        </is>
      </c>
      <c r="J4265" t="inlineStr">
        <is>
          <t>National Quantum Mission</t>
        </is>
      </c>
      <c r="K4265" t="inlineStr">
        <is>
          <t>https://economictimes.indiatimes.com/tech/funding/qnu-labs-raises-rs-200-crore-led-by-the-national-quantum-mission-and-speciale-invest/articleshow/133939763.cms</t>
        </is>
      </c>
    </row>
    <row r="4266">
      <c r="A4266" t="inlineStr">
        <is>
          <t>INC-20260912-05</t>
        </is>
      </c>
      <c r="B4266" t="inlineStr">
        <is>
          <t>R260909-qnulabs</t>
        </is>
      </c>
      <c r="C4266" t="inlineStr">
        <is>
          <t>Inc42</t>
        </is>
      </c>
      <c r="D4266" s="17" t="n">
        <v>46274</v>
      </c>
      <c r="E4266" t="inlineStr">
        <is>
          <t>QNu Labs</t>
        </is>
      </c>
      <c r="F4266" t="inlineStr">
        <is>
          <t>$21 Mn</t>
        </is>
      </c>
      <c r="G4266" s="19" t="n"/>
      <c r="H4266" s="19" t="n">
        <v>21</v>
      </c>
      <c r="I4266" t="inlineStr">
        <is>
          <t>Series A</t>
        </is>
      </c>
      <c r="J4266" t="inlineStr">
        <is>
          <t>National Quantum Mission; Speciale Invest</t>
        </is>
      </c>
      <c r="K4266" t="inlineStr">
        <is>
          <t>https://inc42.com/buzz/from-pixxel-to-swish-indian-startups-raised-over-321-9-mn-this-week/</t>
        </is>
      </c>
    </row>
    <row r="4267">
      <c r="A4267" t="inlineStr">
        <is>
          <t>ENT-12509223</t>
        </is>
      </c>
      <c r="B4267" t="inlineStr">
        <is>
          <t>R260909-theater</t>
        </is>
      </c>
      <c r="C4267" t="inlineStr">
        <is>
          <t>Entrackr</t>
        </is>
      </c>
      <c r="D4267" s="17" t="n">
        <v>46274</v>
      </c>
      <c r="E4267" t="inlineStr">
        <is>
          <t>Theater</t>
        </is>
      </c>
      <c r="F4267" t="inlineStr">
        <is>
          <t>Rs 56.25 crore</t>
        </is>
      </c>
      <c r="G4267" s="19" t="n">
        <v>56.25</v>
      </c>
      <c r="H4267" s="19" t="n">
        <v>6</v>
      </c>
      <c r="I4267" t="inlineStr">
        <is>
          <t>Series A</t>
        </is>
      </c>
      <c r="J4267" t="inlineStr">
        <is>
          <t>Niveshaay</t>
        </is>
      </c>
      <c r="K4267" t="inlineStr">
        <is>
          <t>https://entrackr.com/exclusive/exclusive-fashion-brand-theater-raises-series-a-at-rs-400-cr-valuation-12509223</t>
        </is>
      </c>
    </row>
    <row r="4268">
      <c r="A4268" t="inlineStr">
        <is>
          <t>ENT-12515108</t>
        </is>
      </c>
      <c r="B4268" t="inlineStr">
        <is>
          <t>R260909-theater</t>
        </is>
      </c>
      <c r="C4268" t="inlineStr">
        <is>
          <t>Entrackr</t>
        </is>
      </c>
      <c r="D4268" s="17" t="n">
        <v>46275</v>
      </c>
      <c r="E4268" t="inlineStr">
        <is>
          <t>Theater</t>
        </is>
      </c>
      <c r="F4268" t="inlineStr">
        <is>
          <t>Rs 75 crore</t>
        </is>
      </c>
      <c r="G4268" s="19" t="n">
        <v>75</v>
      </c>
      <c r="H4268" s="19" t="n"/>
      <c r="I4268" t="inlineStr">
        <is>
          <t>Series A</t>
        </is>
      </c>
      <c r="J4268" t="inlineStr">
        <is>
          <t>Niveshaay</t>
        </is>
      </c>
      <c r="K4268" t="inlineStr">
        <is>
          <t>https://entrackr.com/snippets/niveshaay-leads-rs-75-cr-series-a-round-in-fashion-brand-theater-12515108</t>
        </is>
      </c>
    </row>
    <row r="4269">
      <c r="A4269" t="inlineStr">
        <is>
          <t>ET-134016706</t>
        </is>
      </c>
      <c r="B4269" t="inlineStr">
        <is>
          <t>R260909-theater</t>
        </is>
      </c>
      <c r="C4269" t="inlineStr">
        <is>
          <t>The Economic Times</t>
        </is>
      </c>
      <c r="D4269" s="17" t="n">
        <v>46275</v>
      </c>
      <c r="E4269" t="inlineStr">
        <is>
          <t>Theater</t>
        </is>
      </c>
      <c r="F4269" t="inlineStr">
        <is>
          <t>Rs 75 crore</t>
        </is>
      </c>
      <c r="G4269" s="19" t="n">
        <v>75</v>
      </c>
      <c r="H4269" s="19" t="n"/>
      <c r="I4269" t="inlineStr">
        <is>
          <t>Undisclosed</t>
        </is>
      </c>
      <c r="J4269" t="inlineStr">
        <is>
          <t>Niveshaay</t>
        </is>
      </c>
      <c r="K4269" t="inlineStr">
        <is>
          <t>https://economictimes.indiatimes.com/tech/startups/fashion-brand-theater-raises-rs-75-crore-at-rs-410-crore-valuation/articleshow/134016706.cms</t>
        </is>
      </c>
    </row>
    <row r="4270">
      <c r="A4270" t="inlineStr">
        <is>
          <t>INC-20260912-09</t>
        </is>
      </c>
      <c r="B4270" t="inlineStr">
        <is>
          <t>R260909-theater</t>
        </is>
      </c>
      <c r="C4270" t="inlineStr">
        <is>
          <t>Inc42</t>
        </is>
      </c>
      <c r="D4270" s="17" t="n">
        <v>46275</v>
      </c>
      <c r="E4270" t="inlineStr">
        <is>
          <t>Theater</t>
        </is>
      </c>
      <c r="F4270" t="inlineStr">
        <is>
          <t>$7.8 Mn</t>
        </is>
      </c>
      <c r="G4270" s="19" t="n"/>
      <c r="H4270" s="19" t="n">
        <v>7.8</v>
      </c>
      <c r="I4270" t="inlineStr">
        <is>
          <t>Series A</t>
        </is>
      </c>
      <c r="J4270" t="inlineStr">
        <is>
          <t>Niveshaay</t>
        </is>
      </c>
      <c r="K4270" t="inlineStr">
        <is>
          <t>https://inc42.com/buzz/from-pixxel-to-swish-indian-startups-raised-over-321-9-mn-this-week/</t>
        </is>
      </c>
    </row>
    <row r="4271">
      <c r="A4271" t="inlineStr">
        <is>
          <t>ENT-12515938</t>
        </is>
      </c>
      <c r="B4271" t="inlineStr">
        <is>
          <t>R260910-dialflo</t>
        </is>
      </c>
      <c r="C4271" t="inlineStr">
        <is>
          <t>Entrackr</t>
        </is>
      </c>
      <c r="D4271" s="17" t="n">
        <v>46275</v>
      </c>
      <c r="E4271" t="inlineStr">
        <is>
          <t>Dialflo</t>
        </is>
      </c>
      <c r="F4271" t="inlineStr">
        <is>
          <t>Rs 1.7 crore</t>
        </is>
      </c>
      <c r="G4271" s="19" t="n">
        <v>1.7</v>
      </c>
      <c r="H4271" s="19" t="n"/>
      <c r="I4271" t="inlineStr">
        <is>
          <t>Undisclosed</t>
        </is>
      </c>
      <c r="J4271" t="inlineStr">
        <is>
          <t>AJVC</t>
        </is>
      </c>
      <c r="K4271" t="inlineStr">
        <is>
          <t>https://entrackr.com/snippets/ai-contact-centre-startup-dialflo-raises-rs-17-cr-led-by-ajvc-12515938</t>
        </is>
      </c>
    </row>
    <row r="4272">
      <c r="A4272" t="inlineStr">
        <is>
          <t>INC-20260912-19</t>
        </is>
      </c>
      <c r="B4272" t="inlineStr">
        <is>
          <t>R260910-dialflo</t>
        </is>
      </c>
      <c r="C4272" t="inlineStr">
        <is>
          <t>Inc42</t>
        </is>
      </c>
      <c r="D4272" s="17" t="n">
        <v>46275</v>
      </c>
      <c r="E4272" t="inlineStr">
        <is>
          <t>Dialflo</t>
        </is>
      </c>
      <c r="F4272" t="inlineStr">
        <is>
          <t>$178K</t>
        </is>
      </c>
      <c r="G4272" s="19" t="n"/>
      <c r="H4272" s="19" t="n">
        <v>0.178</v>
      </c>
      <c r="I4272" t="inlineStr">
        <is>
          <t>Undisclosed</t>
        </is>
      </c>
      <c r="J4272" t="inlineStr"/>
      <c r="K4272" t="inlineStr">
        <is>
          <t>https://inc42.com/buzz/from-pixxel-to-swish-indian-startups-raised-over-321-9-mn-this-week/</t>
        </is>
      </c>
    </row>
    <row r="4273">
      <c r="A4273" t="inlineStr">
        <is>
          <t>ENT-12516422</t>
        </is>
      </c>
      <c r="B4273" t="inlineStr">
        <is>
          <t>R260910-graphai</t>
        </is>
      </c>
      <c r="C4273" t="inlineStr">
        <is>
          <t>Entrackr</t>
        </is>
      </c>
      <c r="D4273" s="17" t="n">
        <v>46275</v>
      </c>
      <c r="E4273" t="inlineStr">
        <is>
          <t>Graph AI</t>
        </is>
      </c>
      <c r="F4273" t="inlineStr">
        <is>
          <t>$13.3 million</t>
        </is>
      </c>
      <c r="G4273" s="19" t="n"/>
      <c r="H4273" s="19" t="n">
        <v>13.3</v>
      </c>
      <c r="I4273" t="inlineStr">
        <is>
          <t>Series A</t>
        </is>
      </c>
      <c r="J4273" t="inlineStr">
        <is>
          <t>Insight Partners</t>
        </is>
      </c>
      <c r="K4273" t="inlineStr">
        <is>
          <t>https://entrackr.com/snippets/graph-ai-raises-133-mn-in-series-a-round-led-by-insight-partners-12516422</t>
        </is>
      </c>
    </row>
    <row r="4274">
      <c r="A4274" t="inlineStr">
        <is>
          <t>INC-20260912-07</t>
        </is>
      </c>
      <c r="B4274" t="inlineStr">
        <is>
          <t>R260910-graphai</t>
        </is>
      </c>
      <c r="C4274" t="inlineStr">
        <is>
          <t>Inc42</t>
        </is>
      </c>
      <c r="D4274" s="17" t="n">
        <v>46275</v>
      </c>
      <c r="E4274" t="inlineStr">
        <is>
          <t>Graph AI</t>
        </is>
      </c>
      <c r="F4274" t="inlineStr">
        <is>
          <t>$13.3 Mn</t>
        </is>
      </c>
      <c r="G4274" s="19" t="n"/>
      <c r="H4274" s="19" t="n">
        <v>13.3</v>
      </c>
      <c r="I4274" t="inlineStr">
        <is>
          <t>Series A</t>
        </is>
      </c>
      <c r="J4274" t="inlineStr">
        <is>
          <t>Insight Partners</t>
        </is>
      </c>
      <c r="K4274" t="inlineStr">
        <is>
          <t>https://inc42.com/buzz/from-pixxel-to-swish-indian-startups-raised-over-321-9-mn-this-week/</t>
        </is>
      </c>
    </row>
    <row r="4275">
      <c r="A4275" t="inlineStr">
        <is>
          <t>ET-134047175</t>
        </is>
      </c>
      <c r="B4275" t="inlineStr">
        <is>
          <t>R260910-graphai</t>
        </is>
      </c>
      <c r="C4275" t="inlineStr">
        <is>
          <t>The Economic Times</t>
        </is>
      </c>
      <c r="D4275" s="17" t="n">
        <v>46276</v>
      </c>
      <c r="E4275" t="inlineStr">
        <is>
          <t>Graph AI</t>
        </is>
      </c>
      <c r="F4275" t="inlineStr">
        <is>
          <t>$13.3 million</t>
        </is>
      </c>
      <c r="G4275" s="19" t="n"/>
      <c r="H4275" s="19" t="n">
        <v>13.3</v>
      </c>
      <c r="I4275" t="inlineStr">
        <is>
          <t>Undisclosed</t>
        </is>
      </c>
      <c r="J4275" t="inlineStr">
        <is>
          <t>Insight Partners</t>
        </is>
      </c>
      <c r="K4275" t="inlineStr">
        <is>
          <t>https://economictimes.indiatimes.com/tech/funding/graph-ai-raises-13-3-million-from-insight-partners-bessemer-to-scale-ai-native-patient-safety-platform/articleshow/134047175.cms</t>
        </is>
      </c>
    </row>
    <row r="4276">
      <c r="A4276" t="inlineStr">
        <is>
          <t>ENT-12516055</t>
        </is>
      </c>
      <c r="B4276" t="inlineStr">
        <is>
          <t>R260910-piston</t>
        </is>
      </c>
      <c r="C4276" t="inlineStr">
        <is>
          <t>Entrackr</t>
        </is>
      </c>
      <c r="D4276" s="17" t="n">
        <v>46275</v>
      </c>
      <c r="E4276" t="inlineStr">
        <is>
          <t>Piston</t>
        </is>
      </c>
      <c r="F4276" t="inlineStr">
        <is>
          <t>$15 million</t>
        </is>
      </c>
      <c r="G4276" s="19" t="n"/>
      <c r="H4276" s="19" t="n">
        <v>15</v>
      </c>
      <c r="I4276" t="inlineStr">
        <is>
          <t>Series A</t>
        </is>
      </c>
      <c r="J4276" t="inlineStr">
        <is>
          <t>FPV Ventures</t>
        </is>
      </c>
      <c r="K4276" t="inlineStr">
        <is>
          <t>https://entrackr.com/news/cardless-payments-platform-piston-raises-15-mn-in-series-a-led-by-fpv-ventures-12516055</t>
        </is>
      </c>
    </row>
    <row r="4277">
      <c r="A4277" t="inlineStr">
        <is>
          <t>ENT-12513814</t>
        </is>
      </c>
      <c r="B4277" t="inlineStr">
        <is>
          <t>R260910-swish</t>
        </is>
      </c>
      <c r="C4277" t="inlineStr">
        <is>
          <t>Entrackr</t>
        </is>
      </c>
      <c r="D4277" s="17" t="n">
        <v>46275</v>
      </c>
      <c r="E4277" t="inlineStr">
        <is>
          <t>Swish</t>
        </is>
      </c>
      <c r="F4277" t="inlineStr">
        <is>
          <t>$24 million</t>
        </is>
      </c>
      <c r="G4277" s="19" t="n"/>
      <c r="H4277" s="19" t="n">
        <v>24</v>
      </c>
      <c r="I4277" t="inlineStr">
        <is>
          <t>Undisclosed</t>
        </is>
      </c>
      <c r="J4277" t="inlineStr">
        <is>
          <t>Bertelsmann India Investments</t>
        </is>
      </c>
      <c r="K4277" t="inlineStr">
        <is>
          <t>https://entrackr.com/news/10-minute-food-delivery-startup-swish-raises-24-mn-led-by-bertelsmann-india-investments-12513814</t>
        </is>
      </c>
    </row>
    <row r="4278">
      <c r="A4278" t="inlineStr">
        <is>
          <t>INC-20260912-04</t>
        </is>
      </c>
      <c r="B4278" t="inlineStr">
        <is>
          <t>R260910-swish</t>
        </is>
      </c>
      <c r="C4278" t="inlineStr">
        <is>
          <t>Inc42</t>
        </is>
      </c>
      <c r="D4278" s="17" t="n">
        <v>46275</v>
      </c>
      <c r="E4278" t="inlineStr">
        <is>
          <t>Swish</t>
        </is>
      </c>
      <c r="F4278" t="inlineStr">
        <is>
          <t>$24 Mn</t>
        </is>
      </c>
      <c r="G4278" s="19" t="n"/>
      <c r="H4278" s="19" t="n">
        <v>24</v>
      </c>
      <c r="I4278" t="inlineStr">
        <is>
          <t>Undisclosed</t>
        </is>
      </c>
      <c r="J4278" t="inlineStr">
        <is>
          <t>Bertelsmann India Investments</t>
        </is>
      </c>
      <c r="K4278" t="inlineStr">
        <is>
          <t>https://inc42.com/buzz/from-pixxel-to-swish-indian-startups-raised-over-321-9-mn-this-week/</t>
        </is>
      </c>
    </row>
    <row r="4279">
      <c r="A4279" t="inlineStr">
        <is>
          <t>VCC-723056287c</t>
        </is>
      </c>
      <c r="B4279" t="inlineStr">
        <is>
          <t>R260910-swish</t>
        </is>
      </c>
      <c r="C4279" t="inlineStr">
        <is>
          <t>VCCircle</t>
        </is>
      </c>
      <c r="D4279" s="17" t="n">
        <v>46275</v>
      </c>
      <c r="E4279" t="inlineStr">
        <is>
          <t>swish</t>
        </is>
      </c>
      <c r="F4279" t="inlineStr">
        <is>
          <t>$ 24 million</t>
        </is>
      </c>
      <c r="G4279" s="19" t="n"/>
      <c r="H4279" s="19" t="n">
        <v>24</v>
      </c>
      <c r="I4279" t="inlineStr">
        <is>
          <t>Undisclosed</t>
        </is>
      </c>
      <c r="J4279" t="inlineStr"/>
      <c r="K4279" t="inlineStr">
        <is>
          <t>https://www.vccircle.com/quickfood-delivery-startup-swish-raises-another-24-mn-in-less-than-six-months-</t>
        </is>
      </c>
    </row>
    <row r="4280">
      <c r="A4280" t="inlineStr">
        <is>
          <t>INC-20260912-15</t>
        </is>
      </c>
      <c r="B4280" t="inlineStr">
        <is>
          <t>R260911-peepbeauty</t>
        </is>
      </c>
      <c r="C4280" t="inlineStr">
        <is>
          <t>Inc42</t>
        </is>
      </c>
      <c r="D4280" s="17" t="n">
        <v>46276</v>
      </c>
      <c r="E4280" t="inlineStr">
        <is>
          <t>Peep Beauty</t>
        </is>
      </c>
      <c r="F4280" t="inlineStr">
        <is>
          <t>$1.2 Mn</t>
        </is>
      </c>
      <c r="G4280" s="19" t="n"/>
      <c r="H4280" s="19" t="n">
        <v>1.2</v>
      </c>
      <c r="I4280" t="inlineStr">
        <is>
          <t>Undisclosed</t>
        </is>
      </c>
      <c r="J4280" t="inlineStr"/>
      <c r="K4280" t="inlineStr">
        <is>
          <t>https://inc42.com/buzz/from-pixxel-to-swish-indian-startups-raised-over-321-9-mn-this-week/</t>
        </is>
      </c>
    </row>
    <row r="4281">
      <c r="A4281" t="inlineStr">
        <is>
          <t>ENT-12518089</t>
        </is>
      </c>
      <c r="B4281" t="inlineStr">
        <is>
          <t>R260911-popoglobal</t>
        </is>
      </c>
      <c r="C4281" t="inlineStr">
        <is>
          <t>Entrackr</t>
        </is>
      </c>
      <c r="D4281" s="17" t="n">
        <v>46276</v>
      </c>
      <c r="E4281" t="inlineStr">
        <is>
          <t>Popo Global</t>
        </is>
      </c>
      <c r="F4281" t="inlineStr">
        <is>
          <t>Rs 532 crore</t>
        </is>
      </c>
      <c r="G4281" s="19" t="n">
        <v>532</v>
      </c>
      <c r="H4281" s="19" t="n">
        <v>56</v>
      </c>
      <c r="I4281" t="inlineStr">
        <is>
          <t>Undisclosed</t>
        </is>
      </c>
      <c r="J4281" t="inlineStr"/>
      <c r="K4281" t="inlineStr">
        <is>
          <t>https://entrackr.com/snippets/the-pizza-bakery-operator-popo-global-raises-rs-532-cr-from-artal-asia-12518089</t>
        </is>
      </c>
    </row>
    <row r="4282">
      <c r="A4282" t="inlineStr">
        <is>
          <t>ET-134022858</t>
        </is>
      </c>
      <c r="B4282" t="inlineStr">
        <is>
          <t>R260911-popoglobal</t>
        </is>
      </c>
      <c r="C4282" t="inlineStr">
        <is>
          <t>The Economic Times</t>
        </is>
      </c>
      <c r="D4282" s="17" t="n">
        <v>46276</v>
      </c>
      <c r="E4282" t="inlineStr">
        <is>
          <t>Popo Global</t>
        </is>
      </c>
      <c r="F4282" t="inlineStr">
        <is>
          <t>Rs 532 crore</t>
        </is>
      </c>
      <c r="G4282" s="19" t="n">
        <v>532</v>
      </c>
      <c r="H4282" s="19" t="n"/>
      <c r="I4282" t="inlineStr">
        <is>
          <t>Undisclosed</t>
        </is>
      </c>
      <c r="J4282" t="inlineStr"/>
      <c r="K4282" t="inlineStr">
        <is>
          <t>https://economictimes.indiatimes.com/tech/funding/popo-global-secures-rs-532-crore-investment-from-artal-asia-valuation-at-rs-1250-crore/articleshow/134022858.cms</t>
        </is>
      </c>
    </row>
    <row r="4283">
      <c r="A4283" t="inlineStr">
        <is>
          <t>INC-20260912-02</t>
        </is>
      </c>
      <c r="B4283" t="inlineStr">
        <is>
          <t>R260911-popoglobal</t>
        </is>
      </c>
      <c r="C4283" t="inlineStr">
        <is>
          <t>Inc42</t>
        </is>
      </c>
      <c r="D4283" s="17" t="n">
        <v>46276</v>
      </c>
      <c r="E4283" t="inlineStr">
        <is>
          <t>Popo Global</t>
        </is>
      </c>
      <c r="F4283" t="inlineStr">
        <is>
          <t>$56 Mn</t>
        </is>
      </c>
      <c r="G4283" s="19" t="n"/>
      <c r="H4283" s="19" t="n">
        <v>56</v>
      </c>
      <c r="I4283" t="inlineStr">
        <is>
          <t>Undisclosed</t>
        </is>
      </c>
      <c r="J4283" t="inlineStr">
        <is>
          <t>Artal Asia</t>
        </is>
      </c>
      <c r="K4283" t="inlineStr">
        <is>
          <t>https://inc42.com/buzz/from-pixxel-to-swish-indian-startups-raised-over-321-9-mn-this-week/</t>
        </is>
      </c>
    </row>
    <row r="4284">
      <c r="A4284" t="inlineStr">
        <is>
          <t>VCC-e9da86167f</t>
        </is>
      </c>
      <c r="B4284" t="inlineStr">
        <is>
          <t>R260911-popoglobal</t>
        </is>
      </c>
      <c r="C4284" t="inlineStr">
        <is>
          <t>VCCircle</t>
        </is>
      </c>
      <c r="D4284" s="17" t="n">
        <v>46276</v>
      </c>
      <c r="E4284" t="inlineStr">
        <is>
          <t>popo global</t>
        </is>
      </c>
      <c r="F4284" t="inlineStr"/>
      <c r="G4284" s="19" t="n"/>
      <c r="H4284" s="19" t="n"/>
      <c r="I4284" t="inlineStr">
        <is>
          <t>Undisclosed</t>
        </is>
      </c>
      <c r="J4284" t="inlineStr"/>
      <c r="K4284" t="inlineStr">
        <is>
          <t>https://www.vccircle.com/artalasia-invests-in-pizza-bakery-owner-popo-global</t>
        </is>
      </c>
    </row>
    <row r="4285">
      <c r="A4285" t="inlineStr">
        <is>
          <t>INC-20260912-06</t>
        </is>
      </c>
      <c r="B4285" t="inlineStr">
        <is>
          <t>R260912-mokobara</t>
        </is>
      </c>
      <c r="C4285" t="inlineStr">
        <is>
          <t>Inc42</t>
        </is>
      </c>
      <c r="D4285" s="17" t="n">
        <v>46277</v>
      </c>
      <c r="E4285" t="inlineStr">
        <is>
          <t>Mokobara</t>
        </is>
      </c>
      <c r="F4285" t="inlineStr">
        <is>
          <t>$18 Mn</t>
        </is>
      </c>
      <c r="G4285" s="19" t="n"/>
      <c r="H4285" s="19" t="n">
        <v>18</v>
      </c>
      <c r="I4285" t="inlineStr">
        <is>
          <t>Series C</t>
        </is>
      </c>
      <c r="J4285" t="inlineStr">
        <is>
          <t>Sauce.vc</t>
        </is>
      </c>
      <c r="K4285" t="inlineStr">
        <is>
          <t>https://inc42.com/buzz/from-pixxel-to-swish-indian-startups-raised-over-321-9-mn-this-week/</t>
        </is>
      </c>
    </row>
    <row r="4286">
      <c r="A4286" t="inlineStr">
        <is>
          <t>ENT-12530416</t>
        </is>
      </c>
      <c r="B4286" t="inlineStr">
        <is>
          <t>R260914-uniqyou</t>
        </is>
      </c>
      <c r="C4286" t="inlineStr">
        <is>
          <t>Entrackr</t>
        </is>
      </c>
      <c r="D4286" s="17" t="n">
        <v>46279</v>
      </c>
      <c r="E4286" t="inlineStr">
        <is>
          <t>UniqYou</t>
        </is>
      </c>
      <c r="F4286" t="inlineStr">
        <is>
          <t>Rs 15.8 crore</t>
        </is>
      </c>
      <c r="G4286" s="19" t="n">
        <v>15.8</v>
      </c>
      <c r="H4286" s="19" t="n"/>
      <c r="I4286" t="inlineStr">
        <is>
          <t>Seed</t>
        </is>
      </c>
      <c r="J4286" t="inlineStr">
        <is>
          <t>Arkam Ventures; Antler</t>
        </is>
      </c>
      <c r="K4286" t="inlineStr">
        <is>
          <t>https://entrackr.com/exclusive/exclusive-fashion-startup-uniqyou-raises-seed-round-at-rs-64-cr-valuation-12530416</t>
        </is>
      </c>
    </row>
    <row r="4287">
      <c r="A4287" t="inlineStr">
        <is>
          <t>ET-134268168</t>
        </is>
      </c>
      <c r="B4287" t="inlineStr">
        <is>
          <t>R260915-darwinbox</t>
        </is>
      </c>
      <c r="C4287" t="inlineStr">
        <is>
          <t>The Economic Times</t>
        </is>
      </c>
      <c r="D4287" s="17" t="n">
        <v>46280</v>
      </c>
      <c r="E4287" t="inlineStr">
        <is>
          <t>Darwinbox</t>
        </is>
      </c>
      <c r="F4287" t="inlineStr">
        <is>
          <t>$40 million</t>
        </is>
      </c>
      <c r="G4287" s="19" t="n"/>
      <c r="H4287" s="19" t="n">
        <v>40</v>
      </c>
      <c r="I4287" t="inlineStr">
        <is>
          <t>Undisclosed</t>
        </is>
      </c>
      <c r="J4287" t="inlineStr"/>
      <c r="K4287" t="inlineStr">
        <is>
          <t>https://economictimes.indiatimes.com/tech/funding/canadas-otpp-invests-another-40-million-in-darwinbox-sources/articleshow/134268168.cms</t>
        </is>
      </c>
    </row>
    <row r="4288">
      <c r="A4288" t="inlineStr">
        <is>
          <t>INC-20260919-13</t>
        </is>
      </c>
      <c r="B4288" t="inlineStr">
        <is>
          <t>R260915-darwinbox</t>
        </is>
      </c>
      <c r="C4288" t="inlineStr">
        <is>
          <t>Inc42</t>
        </is>
      </c>
      <c r="D4288" s="17" t="n">
        <v>46280</v>
      </c>
      <c r="E4288" t="inlineStr">
        <is>
          <t>Darwinbox</t>
        </is>
      </c>
      <c r="F4288" t="inlineStr"/>
      <c r="G4288" s="19" t="n"/>
      <c r="H4288" s="19" t="n"/>
      <c r="I4288" t="inlineStr">
        <is>
          <t>Undisclosed</t>
        </is>
      </c>
      <c r="J4288" t="inlineStr">
        <is>
          <t>Teachers’ Venture Growth</t>
        </is>
      </c>
      <c r="K4288" t="inlineStr">
        <is>
          <t>https://inc42.com/buzz/from-flam-to-verifaix-indian-startups-raised-about-59-mn-this-week/</t>
        </is>
      </c>
    </row>
    <row r="4289">
      <c r="A4289" t="inlineStr">
        <is>
          <t>ENT-12534934</t>
        </is>
      </c>
      <c r="B4289" t="inlineStr">
        <is>
          <t>R260915-flam</t>
        </is>
      </c>
      <c r="C4289" t="inlineStr">
        <is>
          <t>Entrackr</t>
        </is>
      </c>
      <c r="D4289" s="17" t="n">
        <v>46280</v>
      </c>
      <c r="E4289" t="inlineStr">
        <is>
          <t>Flam</t>
        </is>
      </c>
      <c r="F4289" t="inlineStr">
        <is>
          <t>$40 million</t>
        </is>
      </c>
      <c r="G4289" s="19" t="n"/>
      <c r="H4289" s="19" t="n">
        <v>40</v>
      </c>
      <c r="I4289" t="inlineStr">
        <is>
          <t>Series B</t>
        </is>
      </c>
      <c r="J4289" t="inlineStr"/>
      <c r="K4289" t="inlineStr">
        <is>
          <t>https://entrackr.com/news/ai-interactive-content-startup-flam-raises-40-mn-led-by-qed-investors-12534934</t>
        </is>
      </c>
    </row>
    <row r="4290">
      <c r="A4290" t="inlineStr">
        <is>
          <t>ET-134254880</t>
        </is>
      </c>
      <c r="B4290" t="inlineStr">
        <is>
          <t>R260915-flam</t>
        </is>
      </c>
      <c r="C4290" t="inlineStr">
        <is>
          <t>The Economic Times</t>
        </is>
      </c>
      <c r="D4290" s="17" t="n">
        <v>46280</v>
      </c>
      <c r="E4290" t="inlineStr">
        <is>
          <t>Flam</t>
        </is>
      </c>
      <c r="F4290" t="inlineStr">
        <is>
          <t>$40 million</t>
        </is>
      </c>
      <c r="G4290" s="19" t="n"/>
      <c r="H4290" s="19" t="n">
        <v>40</v>
      </c>
      <c r="I4290" t="inlineStr">
        <is>
          <t>Undisclosed</t>
        </is>
      </c>
      <c r="J4290" t="inlineStr"/>
      <c r="K4290" t="inlineStr">
        <is>
          <t>https://economictimes.indiatimes.com/tech/startups/content-startup-flam-raises-40-million-from-qed-investors-shah-rukh-khan-others/articleshow/134254880.cms</t>
        </is>
      </c>
    </row>
    <row r="4291">
      <c r="A4291" t="inlineStr">
        <is>
          <t>INC-20260919-01</t>
        </is>
      </c>
      <c r="B4291" t="inlineStr">
        <is>
          <t>R260915-flam</t>
        </is>
      </c>
      <c r="C4291" t="inlineStr">
        <is>
          <t>Inc42</t>
        </is>
      </c>
      <c r="D4291" s="17" t="n">
        <v>46280</v>
      </c>
      <c r="E4291" t="inlineStr">
        <is>
          <t>Flam</t>
        </is>
      </c>
      <c r="F4291" t="inlineStr">
        <is>
          <t>$40 Mn</t>
        </is>
      </c>
      <c r="G4291" s="19" t="n"/>
      <c r="H4291" s="19" t="n">
        <v>40</v>
      </c>
      <c r="I4291" t="inlineStr">
        <is>
          <t>Series B</t>
        </is>
      </c>
      <c r="J4291" t="inlineStr"/>
      <c r="K4291" t="inlineStr">
        <is>
          <t>https://inc42.com/buzz/from-flam-to-verifaix-indian-startups-raised-about-59-mn-this-week/</t>
        </is>
      </c>
    </row>
    <row r="4292">
      <c r="A4292" t="inlineStr">
        <is>
          <t>ENT-12538816</t>
        </is>
      </c>
      <c r="B4292" t="inlineStr">
        <is>
          <t>R260916-firi</t>
        </is>
      </c>
      <c r="C4292" t="inlineStr">
        <is>
          <t>Entrackr</t>
        </is>
      </c>
      <c r="D4292" s="17" t="n">
        <v>46281</v>
      </c>
      <c r="E4292" t="inlineStr">
        <is>
          <t>Firi</t>
        </is>
      </c>
      <c r="F4292" t="inlineStr">
        <is>
          <t>$3 million</t>
        </is>
      </c>
      <c r="G4292" s="19" t="n"/>
      <c r="H4292" s="19" t="n">
        <v>3</v>
      </c>
      <c r="I4292" t="inlineStr">
        <is>
          <t>Undisclosed</t>
        </is>
      </c>
      <c r="J4292" t="inlineStr">
        <is>
          <t>360 ONE Asset</t>
        </is>
      </c>
      <c r="K4292" t="inlineStr">
        <is>
          <t>https://entrackr.com/snippets/beauty-quick-commerce-startup-firi-raises-3-mn-led-by-360-one-asset-12538816</t>
        </is>
      </c>
    </row>
    <row r="4293">
      <c r="A4293" t="inlineStr">
        <is>
          <t>ET-134271809</t>
        </is>
      </c>
      <c r="B4293" t="inlineStr">
        <is>
          <t>R260916-firi</t>
        </is>
      </c>
      <c r="C4293" t="inlineStr">
        <is>
          <t>The Economic Times</t>
        </is>
      </c>
      <c r="D4293" s="17" t="n">
        <v>46281</v>
      </c>
      <c r="E4293" t="inlineStr">
        <is>
          <t>Firi</t>
        </is>
      </c>
      <c r="F4293" t="inlineStr">
        <is>
          <t>$3 million</t>
        </is>
      </c>
      <c r="G4293" s="19" t="n"/>
      <c r="H4293" s="19" t="n">
        <v>3</v>
      </c>
      <c r="I4293" t="inlineStr">
        <is>
          <t>Undisclosed</t>
        </is>
      </c>
      <c r="J4293" t="inlineStr">
        <is>
          <t>360 One Asset</t>
        </is>
      </c>
      <c r="K4293" t="inlineStr">
        <is>
          <t>https://economictimes.indiatimes.com/tech/funding/beauty-and-personal-care-quick-commerce-startup-firi-raises-3-million-led-by-360-one-asset/articleshow/134271809.cms</t>
        </is>
      </c>
    </row>
    <row r="4294">
      <c r="A4294" t="inlineStr">
        <is>
          <t>INC-20260919-04</t>
        </is>
      </c>
      <c r="B4294" t="inlineStr">
        <is>
          <t>R260916-firi</t>
        </is>
      </c>
      <c r="C4294" t="inlineStr">
        <is>
          <t>Inc42</t>
        </is>
      </c>
      <c r="D4294" s="17" t="n">
        <v>46281</v>
      </c>
      <c r="E4294" t="inlineStr">
        <is>
          <t>Firi</t>
        </is>
      </c>
      <c r="F4294" t="inlineStr">
        <is>
          <t>$3 Mn</t>
        </is>
      </c>
      <c r="G4294" s="19" t="n"/>
      <c r="H4294" s="19" t="n">
        <v>3</v>
      </c>
      <c r="I4294" t="inlineStr">
        <is>
          <t>Seed</t>
        </is>
      </c>
      <c r="J4294" t="inlineStr">
        <is>
          <t>360 ONE Asset</t>
        </is>
      </c>
      <c r="K4294" t="inlineStr">
        <is>
          <t>https://inc42.com/buzz/from-flam-to-verifaix-indian-startups-raised-about-59-mn-this-week/</t>
        </is>
      </c>
    </row>
    <row r="4295">
      <c r="A4295" t="inlineStr">
        <is>
          <t>ENT-12538892</t>
        </is>
      </c>
      <c r="B4295" t="inlineStr">
        <is>
          <t>R260916-slayd</t>
        </is>
      </c>
      <c r="C4295" t="inlineStr">
        <is>
          <t>Entrackr</t>
        </is>
      </c>
      <c r="D4295" s="17" t="n">
        <v>46281</v>
      </c>
      <c r="E4295" t="inlineStr">
        <is>
          <t>Slayd</t>
        </is>
      </c>
      <c r="F4295" t="inlineStr">
        <is>
          <t>Rs 1.5 crore</t>
        </is>
      </c>
      <c r="G4295" s="19" t="n">
        <v>1.5</v>
      </c>
      <c r="H4295" s="19" t="n"/>
      <c r="I4295" t="inlineStr">
        <is>
          <t>Pre-Seed</t>
        </is>
      </c>
      <c r="J4295" t="inlineStr"/>
      <c r="K4295" t="inlineStr">
        <is>
          <t>https://entrackr.com/snippets/fashion-discovery-platform-slayd-raises-pre-seed-funding-led-by-ajvc-12538892</t>
        </is>
      </c>
    </row>
    <row r="4296">
      <c r="A4296" t="inlineStr">
        <is>
          <t>INC-20260919-11</t>
        </is>
      </c>
      <c r="B4296" t="inlineStr">
        <is>
          <t>R260916-slayd</t>
        </is>
      </c>
      <c r="C4296" t="inlineStr">
        <is>
          <t>Inc42</t>
        </is>
      </c>
      <c r="D4296" s="17" t="n">
        <v>46281</v>
      </c>
      <c r="E4296" t="inlineStr">
        <is>
          <t>Slayd</t>
        </is>
      </c>
      <c r="F4296" t="inlineStr">
        <is>
          <t>$156K</t>
        </is>
      </c>
      <c r="G4296" s="19" t="n"/>
      <c r="H4296" s="19" t="n">
        <v>0.156</v>
      </c>
      <c r="I4296" t="inlineStr">
        <is>
          <t>Undisclosed</t>
        </is>
      </c>
      <c r="J4296" t="inlineStr">
        <is>
          <t>AJVC</t>
        </is>
      </c>
      <c r="K4296" t="inlineStr">
        <is>
          <t>https://inc42.com/buzz/from-flam-to-verifaix-indian-startups-raised-about-59-mn-this-week/</t>
        </is>
      </c>
    </row>
    <row r="4297">
      <c r="A4297" t="inlineStr">
        <is>
          <t>ENT-12540682</t>
        </is>
      </c>
      <c r="B4297" t="inlineStr">
        <is>
          <t>R260916-trueartis</t>
        </is>
      </c>
      <c r="C4297" t="inlineStr">
        <is>
          <t>Entrackr</t>
        </is>
      </c>
      <c r="D4297" s="17" t="n">
        <v>46281</v>
      </c>
      <c r="E4297" t="inlineStr">
        <is>
          <t>TRUE ARTIS</t>
        </is>
      </c>
      <c r="F4297" t="inlineStr">
        <is>
          <t>Rs 11.4 crore</t>
        </is>
      </c>
      <c r="G4297" s="19" t="n">
        <v>11.4</v>
      </c>
      <c r="H4297" s="19" t="n"/>
      <c r="I4297" t="inlineStr">
        <is>
          <t>Seed</t>
        </is>
      </c>
      <c r="J4297" t="inlineStr">
        <is>
          <t>Zeropearl VC</t>
        </is>
      </c>
      <c r="K4297" t="inlineStr">
        <is>
          <t>https://entrackr.com/snippets/zeropearl-vc-leads-rs-114-cr-seed-round-in-aesthetic-surgery-platform-true-artis-12540682</t>
        </is>
      </c>
    </row>
    <row r="4298">
      <c r="A4298" t="inlineStr">
        <is>
          <t>INC-20260919-07</t>
        </is>
      </c>
      <c r="B4298" t="inlineStr">
        <is>
          <t>R260916-trueartis</t>
        </is>
      </c>
      <c r="C4298" t="inlineStr">
        <is>
          <t>Inc42</t>
        </is>
      </c>
      <c r="D4298" s="17" t="n">
        <v>46281</v>
      </c>
      <c r="E4298" t="inlineStr">
        <is>
          <t>TRUE ARTIS</t>
        </is>
      </c>
      <c r="F4298" t="inlineStr">
        <is>
          <t>$1.2 Mn</t>
        </is>
      </c>
      <c r="G4298" s="19" t="n"/>
      <c r="H4298" s="19" t="n">
        <v>1.2</v>
      </c>
      <c r="I4298" t="inlineStr">
        <is>
          <t>Seed</t>
        </is>
      </c>
      <c r="J4298" t="inlineStr">
        <is>
          <t>Zeropearl VC</t>
        </is>
      </c>
      <c r="K4298" t="inlineStr">
        <is>
          <t>https://inc42.com/buzz/from-flam-to-verifaix-indian-startups-raised-about-59-mn-this-week/</t>
        </is>
      </c>
    </row>
    <row r="4299">
      <c r="A4299" t="inlineStr">
        <is>
          <t>ENT-12538970</t>
        </is>
      </c>
      <c r="B4299" t="inlineStr">
        <is>
          <t>R260916-verifaix</t>
        </is>
      </c>
      <c r="C4299" t="inlineStr">
        <is>
          <t>Entrackr</t>
        </is>
      </c>
      <c r="D4299" s="17" t="n">
        <v>46281</v>
      </c>
      <c r="E4299" t="inlineStr">
        <is>
          <t>VerifAIX</t>
        </is>
      </c>
      <c r="F4299" t="inlineStr">
        <is>
          <t>$5 million</t>
        </is>
      </c>
      <c r="G4299" s="19" t="n"/>
      <c r="H4299" s="19" t="n">
        <v>5</v>
      </c>
      <c r="I4299" t="inlineStr">
        <is>
          <t>Seed</t>
        </is>
      </c>
      <c r="J4299" t="inlineStr">
        <is>
          <t>Endiya Partners; Bluehill VC</t>
        </is>
      </c>
      <c r="K4299" t="inlineStr">
        <is>
          <t>https://entrackr.com/snippets/semiconductor-verification-startup-verifaix-raises-5-mn-in-seed-round-12538970</t>
        </is>
      </c>
    </row>
    <row r="4300">
      <c r="A4300" t="inlineStr">
        <is>
          <t>ET-134270457</t>
        </is>
      </c>
      <c r="B4300" t="inlineStr">
        <is>
          <t>R260916-verifaix</t>
        </is>
      </c>
      <c r="C4300" t="inlineStr">
        <is>
          <t>The Economic Times</t>
        </is>
      </c>
      <c r="D4300" s="17" t="n">
        <v>46281</v>
      </c>
      <c r="E4300" t="inlineStr">
        <is>
          <t>VerifAIX</t>
        </is>
      </c>
      <c r="F4300" t="inlineStr">
        <is>
          <t>$5 million</t>
        </is>
      </c>
      <c r="G4300" s="19" t="n"/>
      <c r="H4300" s="19" t="n">
        <v>5</v>
      </c>
      <c r="I4300" t="inlineStr">
        <is>
          <t>Seed</t>
        </is>
      </c>
      <c r="J4300" t="inlineStr">
        <is>
          <t>Endiya Partners; Bluehill VC</t>
        </is>
      </c>
      <c r="K4300" t="inlineStr">
        <is>
          <t>https://economictimes.indiatimes.com/tech/funding/chip-verification-startup-verifaix-raises-5-million-from-endiya-bluehill-vc/articleshow/134270457.cms</t>
        </is>
      </c>
    </row>
    <row r="4301">
      <c r="A4301" t="inlineStr">
        <is>
          <t>INC-20260919-03</t>
        </is>
      </c>
      <c r="B4301" t="inlineStr">
        <is>
          <t>R260916-verifaix</t>
        </is>
      </c>
      <c r="C4301" t="inlineStr">
        <is>
          <t>Inc42</t>
        </is>
      </c>
      <c r="D4301" s="17" t="n">
        <v>46281</v>
      </c>
      <c r="E4301" t="inlineStr">
        <is>
          <t>VerifAIX</t>
        </is>
      </c>
      <c r="F4301" t="inlineStr">
        <is>
          <t>$5 Mn</t>
        </is>
      </c>
      <c r="G4301" s="19" t="n"/>
      <c r="H4301" s="19" t="n">
        <v>5</v>
      </c>
      <c r="I4301" t="inlineStr">
        <is>
          <t>Seed</t>
        </is>
      </c>
      <c r="J4301" t="inlineStr">
        <is>
          <t>Endiya Partners; Bluehill VC</t>
        </is>
      </c>
      <c r="K4301" t="inlineStr">
        <is>
          <t>https://inc42.com/buzz/from-flam-to-verifaix-indian-startups-raised-about-59-mn-this-week/</t>
        </is>
      </c>
    </row>
    <row r="4302">
      <c r="A4302" t="inlineStr">
        <is>
          <t>ENT-12544665</t>
        </is>
      </c>
      <c r="B4302" t="inlineStr">
        <is>
          <t>R260917-dheyatech</t>
        </is>
      </c>
      <c r="C4302" t="inlineStr">
        <is>
          <t>Entrackr</t>
        </is>
      </c>
      <c r="D4302" s="17" t="n">
        <v>46282</v>
      </c>
      <c r="E4302" t="inlineStr">
        <is>
          <t>DheyaTech</t>
        </is>
      </c>
      <c r="F4302" t="inlineStr">
        <is>
          <t>Rs 43 crore</t>
        </is>
      </c>
      <c r="G4302" s="19" t="n">
        <v>43</v>
      </c>
      <c r="H4302" s="19" t="n"/>
      <c r="I4302" t="inlineStr">
        <is>
          <t>Pre-Series A</t>
        </is>
      </c>
      <c r="J4302" t="inlineStr">
        <is>
          <t>Avaana Capital</t>
        </is>
      </c>
      <c r="K4302" t="inlineStr">
        <is>
          <t>https://entrackr.com/snippets/avaana-capital-leads-rs-43-cr-pre-series-a-round-in-deeptech-company-dheyatech-12544665</t>
        </is>
      </c>
    </row>
    <row r="4303">
      <c r="A4303" t="inlineStr">
        <is>
          <t>ET-134301486</t>
        </is>
      </c>
      <c r="B4303" t="inlineStr">
        <is>
          <t>R260917-dheyatech</t>
        </is>
      </c>
      <c r="C4303" t="inlineStr">
        <is>
          <t>The Economic Times</t>
        </is>
      </c>
      <c r="D4303" s="17" t="n">
        <v>46282</v>
      </c>
      <c r="E4303" t="inlineStr">
        <is>
          <t>DheyaTech</t>
        </is>
      </c>
      <c r="F4303" t="inlineStr">
        <is>
          <t>Rs 43 crore</t>
        </is>
      </c>
      <c r="G4303" s="19" t="n">
        <v>43</v>
      </c>
      <c r="H4303" s="19" t="n"/>
      <c r="I4303" t="inlineStr">
        <is>
          <t>Undisclosed</t>
        </is>
      </c>
      <c r="J4303" t="inlineStr">
        <is>
          <t>Avaana Capital</t>
        </is>
      </c>
      <c r="K4303" t="inlineStr">
        <is>
          <t>https://economictimes.indiatimes.com/tech/funding/deeptech-startup-dheyatech-raises-rs-43-crore-led-by-avaana-capital/articleshow/134301486.cms</t>
        </is>
      </c>
    </row>
    <row r="4304">
      <c r="A4304" t="inlineStr">
        <is>
          <t>INC-20260919-02</t>
        </is>
      </c>
      <c r="B4304" t="inlineStr">
        <is>
          <t>R260917-dheyatech</t>
        </is>
      </c>
      <c r="C4304" t="inlineStr">
        <is>
          <t>Inc42</t>
        </is>
      </c>
      <c r="D4304" s="17" t="n">
        <v>46282</v>
      </c>
      <c r="E4304" t="inlineStr">
        <is>
          <t>DheyaTech</t>
        </is>
      </c>
      <c r="F4304" t="inlineStr">
        <is>
          <t>$5.1 Mn</t>
        </is>
      </c>
      <c r="G4304" s="19" t="n"/>
      <c r="H4304" s="19" t="n">
        <v>5.1</v>
      </c>
      <c r="I4304" t="inlineStr">
        <is>
          <t>Undisclosed</t>
        </is>
      </c>
      <c r="J4304" t="inlineStr">
        <is>
          <t>Avaana Capital</t>
        </is>
      </c>
      <c r="K4304" t="inlineStr">
        <is>
          <t>https://inc42.com/buzz/from-flam-to-verifaix-indian-startups-raised-about-59-mn-this-week/</t>
        </is>
      </c>
    </row>
    <row r="4305">
      <c r="A4305" t="inlineStr">
        <is>
          <t>ENT-12544138</t>
        </is>
      </c>
      <c r="B4305" t="inlineStr">
        <is>
          <t>R260917-ecosys</t>
        </is>
      </c>
      <c r="C4305" t="inlineStr">
        <is>
          <t>Entrackr</t>
        </is>
      </c>
      <c r="D4305" s="17" t="n">
        <v>46282</v>
      </c>
      <c r="E4305" t="inlineStr">
        <is>
          <t>Ecosys</t>
        </is>
      </c>
      <c r="F4305" t="inlineStr">
        <is>
          <t>Rs 5 crore</t>
        </is>
      </c>
      <c r="G4305" s="19" t="n">
        <v>5</v>
      </c>
      <c r="H4305" s="19" t="n"/>
      <c r="I4305" t="inlineStr">
        <is>
          <t>Pre-Series A</t>
        </is>
      </c>
      <c r="J4305" t="inlineStr">
        <is>
          <t>GVFL Prarambh Fund</t>
        </is>
      </c>
      <c r="K4305" t="inlineStr">
        <is>
          <t>https://entrackr.com/snippets/laundry-and-home-cleaning-brand-ecosys-raises-rs-5-cr-in-pre-series-a-round-12544138</t>
        </is>
      </c>
    </row>
    <row r="4306">
      <c r="A4306" t="inlineStr">
        <is>
          <t>INC-20260919-09</t>
        </is>
      </c>
      <c r="B4306" t="inlineStr">
        <is>
          <t>R260917-ecosys</t>
        </is>
      </c>
      <c r="C4306" t="inlineStr">
        <is>
          <t>Inc42</t>
        </is>
      </c>
      <c r="D4306" s="17" t="n">
        <v>46282</v>
      </c>
      <c r="E4306" t="inlineStr">
        <is>
          <t>Ecosys</t>
        </is>
      </c>
      <c r="F4306" t="inlineStr">
        <is>
          <t>$521K</t>
        </is>
      </c>
      <c r="G4306" s="19" t="n"/>
      <c r="H4306" s="19" t="n">
        <v>0.521</v>
      </c>
      <c r="I4306" t="inlineStr">
        <is>
          <t>Pre-Series A</t>
        </is>
      </c>
      <c r="J4306" t="inlineStr">
        <is>
          <t>GVFL Prarambh Fund</t>
        </is>
      </c>
      <c r="K4306" t="inlineStr">
        <is>
          <t>https://inc42.com/buzz/from-flam-to-verifaix-indian-startups-raised-about-59-mn-this-week/</t>
        </is>
      </c>
    </row>
    <row r="4307">
      <c r="A4307" t="inlineStr">
        <is>
          <t>ENT-12543275</t>
        </is>
      </c>
      <c r="B4307" t="inlineStr">
        <is>
          <t>R260917-enlightmetals</t>
        </is>
      </c>
      <c r="C4307" t="inlineStr">
        <is>
          <t>Entrackr</t>
        </is>
      </c>
      <c r="D4307" s="17" t="n">
        <v>46282</v>
      </c>
      <c r="E4307" t="inlineStr">
        <is>
          <t>Enlight Metals</t>
        </is>
      </c>
      <c r="F4307" t="inlineStr">
        <is>
          <t>$1.5 million</t>
        </is>
      </c>
      <c r="G4307" s="19" t="n"/>
      <c r="H4307" s="19" t="n">
        <v>1.5</v>
      </c>
      <c r="I4307" t="inlineStr">
        <is>
          <t>Undisclosed</t>
        </is>
      </c>
      <c r="J4307" t="inlineStr"/>
      <c r="K4307" t="inlineStr">
        <is>
          <t>https://entrackr.com/snippets/enlight-metals-raises-15-mn-at-10-mn-valuation-from-exar-north-group-12543275</t>
        </is>
      </c>
    </row>
    <row r="4308">
      <c r="A4308" t="inlineStr">
        <is>
          <t>INC-20260919-05</t>
        </is>
      </c>
      <c r="B4308" t="inlineStr">
        <is>
          <t>R260917-enlightmetals</t>
        </is>
      </c>
      <c r="C4308" t="inlineStr">
        <is>
          <t>Inc42</t>
        </is>
      </c>
      <c r="D4308" s="17" t="n">
        <v>46282</v>
      </c>
      <c r="E4308" t="inlineStr">
        <is>
          <t>Enlight Metals</t>
        </is>
      </c>
      <c r="F4308" t="inlineStr">
        <is>
          <t>$1.5 Mn</t>
        </is>
      </c>
      <c r="G4308" s="19" t="n"/>
      <c r="H4308" s="19" t="n">
        <v>1.5</v>
      </c>
      <c r="I4308" t="inlineStr">
        <is>
          <t>Undisclosed</t>
        </is>
      </c>
      <c r="J4308" t="inlineStr">
        <is>
          <t>Exar North Group</t>
        </is>
      </c>
      <c r="K4308" t="inlineStr">
        <is>
          <t>https://inc42.com/buzz/from-flam-to-verifaix-indian-startups-raised-about-59-mn-this-week/</t>
        </is>
      </c>
    </row>
    <row r="4309">
      <c r="A4309" t="inlineStr">
        <is>
          <t>ENT-12544954</t>
        </is>
      </c>
      <c r="B4309" t="inlineStr">
        <is>
          <t>R260917-factrika</t>
        </is>
      </c>
      <c r="C4309" t="inlineStr">
        <is>
          <t>Entrackr</t>
        </is>
      </c>
      <c r="D4309" s="17" t="n">
        <v>46282</v>
      </c>
      <c r="E4309" t="inlineStr">
        <is>
          <t>Factrika</t>
        </is>
      </c>
      <c r="F4309" t="inlineStr">
        <is>
          <t>Rs 8.9 crore</t>
        </is>
      </c>
      <c r="G4309" s="19" t="n">
        <v>8.9</v>
      </c>
      <c r="H4309" s="19" t="n"/>
      <c r="I4309" t="inlineStr">
        <is>
          <t>Seed</t>
        </is>
      </c>
      <c r="J4309" t="inlineStr">
        <is>
          <t>Info Edge</t>
        </is>
      </c>
      <c r="K4309" t="inlineStr">
        <is>
          <t>https://entrackr.com/snippets/info-edge-leads-rs-89-cr-seed-round-in-factrika-12544954</t>
        </is>
      </c>
    </row>
    <row r="4310">
      <c r="A4310" t="inlineStr">
        <is>
          <t>INC-20260919-08</t>
        </is>
      </c>
      <c r="B4310" t="inlineStr">
        <is>
          <t>R260917-factrika</t>
        </is>
      </c>
      <c r="C4310" t="inlineStr">
        <is>
          <t>Inc42</t>
        </is>
      </c>
      <c r="D4310" s="17" t="n">
        <v>46282</v>
      </c>
      <c r="E4310" t="inlineStr">
        <is>
          <t>Factrika</t>
        </is>
      </c>
      <c r="F4310" t="inlineStr">
        <is>
          <t>$928K</t>
        </is>
      </c>
      <c r="G4310" s="19" t="n"/>
      <c r="H4310" s="19" t="n">
        <v>0.928</v>
      </c>
      <c r="I4310" t="inlineStr">
        <is>
          <t>Seed</t>
        </is>
      </c>
      <c r="J4310" t="inlineStr">
        <is>
          <t>Info Edge Ventures</t>
        </is>
      </c>
      <c r="K4310" t="inlineStr">
        <is>
          <t>https://inc42.com/buzz/from-flam-to-verifaix-indian-startups-raised-about-59-mn-this-week/</t>
        </is>
      </c>
    </row>
    <row r="4311">
      <c r="A4311" t="inlineStr">
        <is>
          <t>ENT-12545586</t>
        </is>
      </c>
      <c r="B4311" t="inlineStr">
        <is>
          <t>R260917-kiddo</t>
        </is>
      </c>
      <c r="C4311" t="inlineStr">
        <is>
          <t>Entrackr</t>
        </is>
      </c>
      <c r="D4311" s="17" t="n">
        <v>46282</v>
      </c>
      <c r="E4311" t="inlineStr">
        <is>
          <t>Kiddo</t>
        </is>
      </c>
      <c r="F4311" t="inlineStr">
        <is>
          <t>Rs 12.5 crore</t>
        </is>
      </c>
      <c r="G4311" s="19" t="n">
        <v>12.5</v>
      </c>
      <c r="H4311" s="19" t="n"/>
      <c r="I4311" t="inlineStr">
        <is>
          <t>Pre-Seed</t>
        </is>
      </c>
      <c r="J4311" t="inlineStr">
        <is>
          <t>Campus Fund</t>
        </is>
      </c>
      <c r="K4311" t="inlineStr">
        <is>
          <t>https://entrackr.com/snippets/baby-focused-quick-commerce-startup-kiddo-raises-rs-125-cr-led-by-campus-fund-12545586</t>
        </is>
      </c>
    </row>
    <row r="4312">
      <c r="A4312" t="inlineStr">
        <is>
          <t>INC-20260919-06</t>
        </is>
      </c>
      <c r="B4312" t="inlineStr">
        <is>
          <t>R260917-kiddo</t>
        </is>
      </c>
      <c r="C4312" t="inlineStr">
        <is>
          <t>Inc42</t>
        </is>
      </c>
      <c r="D4312" s="17" t="n">
        <v>46282</v>
      </c>
      <c r="E4312" t="inlineStr">
        <is>
          <t>Kiddo</t>
        </is>
      </c>
      <c r="F4312" t="inlineStr">
        <is>
          <t>$1.3 Mn</t>
        </is>
      </c>
      <c r="G4312" s="19" t="n"/>
      <c r="H4312" s="19" t="n">
        <v>1.3</v>
      </c>
      <c r="I4312" t="inlineStr">
        <is>
          <t>Pre-Seed</t>
        </is>
      </c>
      <c r="J4312" t="inlineStr">
        <is>
          <t>Campus Fund</t>
        </is>
      </c>
      <c r="K4312" t="inlineStr">
        <is>
          <t>https://inc42.com/buzz/from-flam-to-verifaix-indian-startups-raised-about-59-mn-this-week/</t>
        </is>
      </c>
    </row>
    <row r="4313">
      <c r="A4313" t="inlineStr">
        <is>
          <t>ENT-12542887</t>
        </is>
      </c>
      <c r="B4313" t="inlineStr">
        <is>
          <t>R260917-yulu</t>
        </is>
      </c>
      <c r="C4313" t="inlineStr">
        <is>
          <t>Entrackr</t>
        </is>
      </c>
      <c r="D4313" s="17" t="n">
        <v>46282</v>
      </c>
      <c r="E4313" t="inlineStr">
        <is>
          <t>Yulu</t>
        </is>
      </c>
      <c r="F4313" t="inlineStr">
        <is>
          <t>$93 million</t>
        </is>
      </c>
      <c r="G4313" s="19" t="n"/>
      <c r="H4313" s="19" t="n">
        <v>93</v>
      </c>
      <c r="I4313" t="inlineStr">
        <is>
          <t>Series C</t>
        </is>
      </c>
      <c r="J4313" t="inlineStr">
        <is>
          <t>GEF Capital Partners</t>
        </is>
      </c>
      <c r="K4313" t="inlineStr">
        <is>
          <t>https://entrackr.com/decoding/inside-yulus-series-c-funding-breakup-valuation-captable-12542887</t>
        </is>
      </c>
    </row>
    <row r="4314">
      <c r="A4314" t="inlineStr">
        <is>
          <t>INC-20260919-12</t>
        </is>
      </c>
      <c r="B4314" t="inlineStr">
        <is>
          <t>R260918-beijan</t>
        </is>
      </c>
      <c r="C4314" t="inlineStr">
        <is>
          <t>Inc42</t>
        </is>
      </c>
      <c r="D4314" s="17" t="n">
        <v>46283</v>
      </c>
      <c r="E4314" t="inlineStr">
        <is>
          <t>Beijan</t>
        </is>
      </c>
      <c r="F4314" t="inlineStr">
        <is>
          <t>$156K</t>
        </is>
      </c>
      <c r="G4314" s="19" t="n"/>
      <c r="H4314" s="19" t="n">
        <v>0.156</v>
      </c>
      <c r="I4314" t="inlineStr">
        <is>
          <t>Undisclosed</t>
        </is>
      </c>
      <c r="J4314" t="inlineStr">
        <is>
          <t>AJVC</t>
        </is>
      </c>
      <c r="K4314" t="inlineStr">
        <is>
          <t>https://inc42.com/buzz/from-flam-to-verifaix-indian-startups-raised-about-59-mn-this-week/</t>
        </is>
      </c>
    </row>
    <row r="4315">
      <c r="A4315" t="inlineStr">
        <is>
          <t>ENT-12547515</t>
        </is>
      </c>
      <c r="B4315" t="inlineStr">
        <is>
          <t>R260918-jar</t>
        </is>
      </c>
      <c r="C4315" t="inlineStr">
        <is>
          <t>Entrackr</t>
        </is>
      </c>
      <c r="D4315" s="17" t="n">
        <v>46283</v>
      </c>
      <c r="E4315" t="inlineStr">
        <is>
          <t>Jar</t>
        </is>
      </c>
      <c r="F4315" t="inlineStr">
        <is>
          <t>Rs 29 crore</t>
        </is>
      </c>
      <c r="G4315" s="19" t="n">
        <v>29</v>
      </c>
      <c r="H4315" s="19" t="n"/>
      <c r="I4315" t="inlineStr">
        <is>
          <t>Series B</t>
        </is>
      </c>
      <c r="J4315" t="inlineStr"/>
      <c r="K4315" t="inlineStr">
        <is>
          <t>https://entrackr.com/exclusive/exclusive-jar-raises-small-fresh-funding-from-unitary-fund-12547515</t>
        </is>
      </c>
    </row>
    <row r="4316">
      <c r="A4316" t="inlineStr">
        <is>
          <t>ENT-12547407</t>
        </is>
      </c>
      <c r="B4316" t="inlineStr">
        <is>
          <t>R260918-moromaa</t>
        </is>
      </c>
      <c r="C4316" t="inlineStr">
        <is>
          <t>Entrackr</t>
        </is>
      </c>
      <c r="D4316" s="17" t="n">
        <v>46283</v>
      </c>
      <c r="E4316" t="inlineStr">
        <is>
          <t>MoroMaa</t>
        </is>
      </c>
      <c r="F4316" t="inlineStr">
        <is>
          <t>Rs 1.5 crore</t>
        </is>
      </c>
      <c r="G4316" s="19" t="n">
        <v>1.5</v>
      </c>
      <c r="H4316" s="19" t="n"/>
      <c r="I4316" t="inlineStr">
        <is>
          <t>Undisclosed</t>
        </is>
      </c>
      <c r="J4316" t="inlineStr"/>
      <c r="K4316" t="inlineStr">
        <is>
          <t>https://entrackr.com/snippets/beauty-and-body-care-brand-moromaa-raises-rs-15-cr-from-aj-vc-for-9-stake-12547407</t>
        </is>
      </c>
    </row>
    <row r="4317">
      <c r="A4317" t="inlineStr">
        <is>
          <t>INC-20260919-10</t>
        </is>
      </c>
      <c r="B4317" t="inlineStr">
        <is>
          <t>R260918-moromaa</t>
        </is>
      </c>
      <c r="C4317" t="inlineStr">
        <is>
          <t>Inc42</t>
        </is>
      </c>
      <c r="D4317" s="17" t="n">
        <v>46283</v>
      </c>
      <c r="E4317" t="inlineStr">
        <is>
          <t>MoroMaa</t>
        </is>
      </c>
      <c r="F4317" t="inlineStr">
        <is>
          <t>$156K</t>
        </is>
      </c>
      <c r="G4317" s="19" t="n"/>
      <c r="H4317" s="19" t="n">
        <v>0.156</v>
      </c>
      <c r="I4317" t="inlineStr">
        <is>
          <t>Undisclosed</t>
        </is>
      </c>
      <c r="J4317" t="inlineStr">
        <is>
          <t>AJVC</t>
        </is>
      </c>
      <c r="K4317" t="inlineStr">
        <is>
          <t>https://inc42.com/buzz/from-flam-to-verifaix-indian-startups-raised-about-59-mn-this-week/</t>
        </is>
      </c>
    </row>
    <row r="4318">
      <c r="A4318" t="inlineStr">
        <is>
          <t>ENT-12547680</t>
        </is>
      </c>
      <c r="B4318" t="inlineStr">
        <is>
          <t>R260918-physioplusheal</t>
        </is>
      </c>
      <c r="C4318" t="inlineStr">
        <is>
          <t>Entrackr</t>
        </is>
      </c>
      <c r="D4318" s="17" t="n">
        <v>46283</v>
      </c>
      <c r="E4318" t="inlineStr">
        <is>
          <t>Physioplus Healthcare</t>
        </is>
      </c>
      <c r="F4318" t="inlineStr"/>
      <c r="G4318" s="19" t="n"/>
      <c r="H4318" s="19" t="n"/>
      <c r="I4318" t="inlineStr">
        <is>
          <t>Seed</t>
        </is>
      </c>
      <c r="J4318" t="inlineStr"/>
      <c r="K4318" t="inlineStr">
        <is>
          <t>https://entrackr.com/snippets/physioplus-healthcare-raises-seed-round-at-800k-valuation-12547680</t>
        </is>
      </c>
    </row>
    <row r="4319">
      <c r="A4319" t="inlineStr">
        <is>
          <t>INC-20260919-14</t>
        </is>
      </c>
      <c r="B4319" t="inlineStr">
        <is>
          <t>R260918-zinara</t>
        </is>
      </c>
      <c r="C4319" t="inlineStr">
        <is>
          <t>Inc42</t>
        </is>
      </c>
      <c r="D4319" s="17" t="n">
        <v>46283</v>
      </c>
      <c r="E4319" t="inlineStr">
        <is>
          <t>Zinara</t>
        </is>
      </c>
      <c r="F4319" t="inlineStr"/>
      <c r="G4319" s="19" t="n"/>
      <c r="H4319" s="19" t="n"/>
      <c r="I4319" t="inlineStr">
        <is>
          <t>Undisclosed</t>
        </is>
      </c>
      <c r="J4319" t="inlineStr">
        <is>
          <t>Nikita Dutta</t>
        </is>
      </c>
      <c r="K4319" t="inlineStr">
        <is>
          <t>https://inc42.com/buzz/from-flam-to-verifaix-indian-startups-raised-about-59-mn-this-week/</t>
        </is>
      </c>
    </row>
    <row r="4320">
      <c r="A4320" t="inlineStr">
        <is>
          <t>ENT-12551971</t>
        </is>
      </c>
      <c r="B4320" t="inlineStr">
        <is>
          <t>R260919-dishaformerlyc</t>
        </is>
      </c>
      <c r="C4320" t="inlineStr">
        <is>
          <t>Entrackr</t>
        </is>
      </c>
      <c r="D4320" s="17" t="n">
        <v>46284</v>
      </c>
      <c r="E4320" t="inlineStr">
        <is>
          <t>Disha (formerly Curelink)</t>
        </is>
      </c>
      <c r="F4320" t="inlineStr">
        <is>
          <t>Rs 43.88 crore</t>
        </is>
      </c>
      <c r="G4320" s="19" t="n">
        <v>43.88</v>
      </c>
      <c r="H4320" s="19" t="n"/>
      <c r="I4320" t="inlineStr">
        <is>
          <t>Series A</t>
        </is>
      </c>
      <c r="J4320" t="inlineStr">
        <is>
          <t>General Catalyst; Elevation Capital; Venture Highway</t>
        </is>
      </c>
      <c r="K4320" t="inlineStr">
        <is>
          <t>https://entrackr.com/exclusive/exclusive-disha-formerly-curelink-raises-series-a-led-by-general-catalyst-12551971</t>
        </is>
      </c>
    </row>
    <row r="4321">
      <c r="A4321" t="inlineStr">
        <is>
          <t>ENT-12559250</t>
        </is>
      </c>
      <c r="B4321" t="inlineStr">
        <is>
          <t>R260921-drivnindianent</t>
        </is>
      </c>
      <c r="C4321" t="inlineStr">
        <is>
          <t>Entrackr</t>
        </is>
      </c>
      <c r="D4321" s="17" t="n">
        <v>46286</v>
      </c>
      <c r="E4321" t="inlineStr">
        <is>
          <t>Drivn’s Indian entity</t>
        </is>
      </c>
      <c r="F4321" t="inlineStr">
        <is>
          <t>Rs 45 crore</t>
        </is>
      </c>
      <c r="G4321" s="19" t="n">
        <v>45</v>
      </c>
      <c r="H4321" s="19" t="n">
        <v>4.7</v>
      </c>
      <c r="I4321" t="inlineStr">
        <is>
          <t>Seed</t>
        </is>
      </c>
      <c r="J4321" t="inlineStr">
        <is>
          <t>Avaana Capital</t>
        </is>
      </c>
      <c r="K4321" t="inlineStr">
        <is>
          <t>https://entrackr.com/exclusive/exclusive-drivns-indian-entity-raises-rs-45-cr-from-avaana-capital-12559250</t>
        </is>
      </c>
    </row>
    <row r="4322">
      <c r="A4322" t="inlineStr">
        <is>
          <t>ENT-12562400</t>
        </is>
      </c>
      <c r="B4322" t="inlineStr">
        <is>
          <t>R260922-definedge</t>
        </is>
      </c>
      <c r="C4322" t="inlineStr">
        <is>
          <t>Entrackr</t>
        </is>
      </c>
      <c r="D4322" s="17" t="n">
        <v>46287</v>
      </c>
      <c r="E4322" t="inlineStr">
        <is>
          <t>Definedge</t>
        </is>
      </c>
      <c r="F4322" t="inlineStr">
        <is>
          <t>Rs 22 crore</t>
        </is>
      </c>
      <c r="G4322" s="19" t="n">
        <v>22</v>
      </c>
      <c r="H4322" s="19" t="n"/>
      <c r="I4322" t="inlineStr">
        <is>
          <t>Pre-Series A</t>
        </is>
      </c>
      <c r="J4322" t="inlineStr"/>
      <c r="K4322" t="inlineStr">
        <is>
          <t>https://entrackr.com/snippets/fintech-and-brokerage-startup-definedge-raises-rs-22-cr-in-pre-series-a-12562400</t>
        </is>
      </c>
    </row>
    <row r="4323">
      <c r="A4323" t="inlineStr">
        <is>
          <t>INC-20260926-08</t>
        </is>
      </c>
      <c r="B4323" t="inlineStr">
        <is>
          <t>R260922-definedge</t>
        </is>
      </c>
      <c r="C4323" t="inlineStr">
        <is>
          <t>Inc42</t>
        </is>
      </c>
      <c r="D4323" s="17" t="n">
        <v>46287</v>
      </c>
      <c r="E4323" t="inlineStr">
        <is>
          <t>Definedge</t>
        </is>
      </c>
      <c r="F4323" t="inlineStr">
        <is>
          <t>$2.3 Mn</t>
        </is>
      </c>
      <c r="G4323" s="19" t="n"/>
      <c r="H4323" s="19" t="n">
        <v>2.3</v>
      </c>
      <c r="I4323" t="inlineStr">
        <is>
          <t>Pre-Series A</t>
        </is>
      </c>
      <c r="J4323" t="inlineStr"/>
      <c r="K4323" t="inlineStr">
        <is>
          <t>https://inc42.com/buzz/from-ultraviolette-automotive-to-galaxeye-indian-startups-raised-over-203-mn-this-week/</t>
        </is>
      </c>
    </row>
    <row r="4324">
      <c r="A4324" t="inlineStr">
        <is>
          <t>ENT-12562408</t>
        </is>
      </c>
      <c r="B4324" t="inlineStr">
        <is>
          <t>R260922-demoverse</t>
        </is>
      </c>
      <c r="C4324" t="inlineStr">
        <is>
          <t>Entrackr</t>
        </is>
      </c>
      <c r="D4324" s="17" t="n">
        <v>46287</v>
      </c>
      <c r="E4324" t="inlineStr">
        <is>
          <t>Demoverse</t>
        </is>
      </c>
      <c r="F4324" t="inlineStr">
        <is>
          <t>$600K</t>
        </is>
      </c>
      <c r="G4324" s="19" t="n"/>
      <c r="H4324" s="19" t="n">
        <v>0.6</v>
      </c>
      <c r="I4324" t="inlineStr">
        <is>
          <t>Pre-Seed</t>
        </is>
      </c>
      <c r="J4324" t="inlineStr"/>
      <c r="K4324" t="inlineStr">
        <is>
          <t>https://entrackr.com/snippets/lumikai-leads-600k-pre-seed-round-in-demoverse-12562408</t>
        </is>
      </c>
    </row>
    <row r="4325">
      <c r="A4325" t="inlineStr">
        <is>
          <t>INC-20260926-14</t>
        </is>
      </c>
      <c r="B4325" t="inlineStr">
        <is>
          <t>R260922-demoverse</t>
        </is>
      </c>
      <c r="C4325" t="inlineStr">
        <is>
          <t>Inc42</t>
        </is>
      </c>
      <c r="D4325" s="17" t="n">
        <v>46287</v>
      </c>
      <c r="E4325" t="inlineStr">
        <is>
          <t>Demoverse</t>
        </is>
      </c>
      <c r="F4325" t="inlineStr">
        <is>
          <t>$600K</t>
        </is>
      </c>
      <c r="G4325" s="19" t="n"/>
      <c r="H4325" s="19" t="n">
        <v>0.6</v>
      </c>
      <c r="I4325" t="inlineStr">
        <is>
          <t>Pre-Seed</t>
        </is>
      </c>
      <c r="J4325" t="inlineStr">
        <is>
          <t>Lumikai</t>
        </is>
      </c>
      <c r="K4325" t="inlineStr">
        <is>
          <t>https://inc42.com/buzz/from-ultraviolette-automotive-to-galaxeye-indian-startups-raised-over-203-mn-this-week/</t>
        </is>
      </c>
    </row>
    <row r="4326">
      <c r="A4326" t="inlineStr">
        <is>
          <t>ENT-12562391</t>
        </is>
      </c>
      <c r="B4326" t="inlineStr">
        <is>
          <t>R260922-proteinpantry</t>
        </is>
      </c>
      <c r="C4326" t="inlineStr">
        <is>
          <t>Entrackr</t>
        </is>
      </c>
      <c r="D4326" s="17" t="n">
        <v>46287</v>
      </c>
      <c r="E4326" t="inlineStr">
        <is>
          <t>Protein Pantry</t>
        </is>
      </c>
      <c r="F4326" t="inlineStr">
        <is>
          <t>Rs 9 crore</t>
        </is>
      </c>
      <c r="G4326" s="19" t="n">
        <v>9</v>
      </c>
      <c r="H4326" s="19" t="n"/>
      <c r="I4326" t="inlineStr">
        <is>
          <t>Seed</t>
        </is>
      </c>
      <c r="J4326" t="inlineStr">
        <is>
          <t>Sharrp Ventures</t>
        </is>
      </c>
      <c r="K4326" t="inlineStr">
        <is>
          <t>https://entrackr.com/news/protein-pantry-raises-rs-9-cr-in-seed-round-led-by-sharrp-ventures-12562391</t>
        </is>
      </c>
    </row>
    <row r="4327">
      <c r="A4327" t="inlineStr">
        <is>
          <t>INC-20260926-13</t>
        </is>
      </c>
      <c r="B4327" t="inlineStr">
        <is>
          <t>R260922-proteinpantry</t>
        </is>
      </c>
      <c r="C4327" t="inlineStr">
        <is>
          <t>Inc42</t>
        </is>
      </c>
      <c r="D4327" s="17" t="n">
        <v>46287</v>
      </c>
      <c r="E4327" t="inlineStr">
        <is>
          <t>Protein Pantry</t>
        </is>
      </c>
      <c r="F4327" t="inlineStr">
        <is>
          <t>$939K</t>
        </is>
      </c>
      <c r="G4327" s="19" t="n"/>
      <c r="H4327" s="19" t="n">
        <v>0.9389999999999999</v>
      </c>
      <c r="I4327" t="inlineStr">
        <is>
          <t>Seed</t>
        </is>
      </c>
      <c r="J4327" t="inlineStr">
        <is>
          <t>Sharrp Ventures</t>
        </is>
      </c>
      <c r="K4327" t="inlineStr">
        <is>
          <t>https://inc42.com/buzz/from-ultraviolette-automotive-to-galaxeye-indian-startups-raised-over-203-mn-this-week/</t>
        </is>
      </c>
    </row>
    <row r="4328">
      <c r="A4328" t="inlineStr">
        <is>
          <t>ENT-12565411</t>
        </is>
      </c>
      <c r="B4328" t="inlineStr">
        <is>
          <t>R260922-sol</t>
        </is>
      </c>
      <c r="C4328" t="inlineStr">
        <is>
          <t>Entrackr</t>
        </is>
      </c>
      <c r="D4328" s="17" t="n">
        <v>46287</v>
      </c>
      <c r="E4328" t="inlineStr">
        <is>
          <t>Sol</t>
        </is>
      </c>
      <c r="F4328" t="inlineStr">
        <is>
          <t>$4 million</t>
        </is>
      </c>
      <c r="G4328" s="19" t="n"/>
      <c r="H4328" s="19" t="n">
        <v>4</v>
      </c>
      <c r="I4328" t="inlineStr">
        <is>
          <t>Undisclosed</t>
        </is>
      </c>
      <c r="J4328" t="inlineStr">
        <is>
          <t>General Catalyst; Nexus Venture Partners</t>
        </is>
      </c>
      <c r="K4328" t="inlineStr">
        <is>
          <t>https://entrackr.com/snippets/proactive-ai-startup-sol-raises-4-mn-from-general-catalyst-nexus-vp-and-others-12565411</t>
        </is>
      </c>
    </row>
    <row r="4329">
      <c r="A4329" t="inlineStr">
        <is>
          <t>ET-134415534</t>
        </is>
      </c>
      <c r="B4329" t="inlineStr">
        <is>
          <t>R260922-sol</t>
        </is>
      </c>
      <c r="C4329" t="inlineStr">
        <is>
          <t>The Economic Times</t>
        </is>
      </c>
      <c r="D4329" s="17" t="n">
        <v>46287</v>
      </c>
      <c r="E4329" t="inlineStr">
        <is>
          <t>Sol</t>
        </is>
      </c>
      <c r="F4329" t="inlineStr">
        <is>
          <t>$4 million</t>
        </is>
      </c>
      <c r="G4329" s="19" t="n"/>
      <c r="H4329" s="19" t="n">
        <v>4</v>
      </c>
      <c r="I4329" t="inlineStr">
        <is>
          <t>Undisclosed</t>
        </is>
      </c>
      <c r="J4329" t="inlineStr"/>
      <c r="K4329" t="inlineStr">
        <is>
          <t>https://economictimes.indiatimes.com/tech/startups/cred-alumnis-sol-raises-4-million-from-gc-nexus-venture-partners-kunal-shah/articleshow/134415534.cms</t>
        </is>
      </c>
    </row>
    <row r="4330">
      <c r="A4330" t="inlineStr">
        <is>
          <t>INC-20260926-07</t>
        </is>
      </c>
      <c r="B4330" t="inlineStr">
        <is>
          <t>R260922-solfoundry</t>
        </is>
      </c>
      <c r="C4330" t="inlineStr">
        <is>
          <t>Inc42</t>
        </is>
      </c>
      <c r="D4330" s="17" t="n">
        <v>46287</v>
      </c>
      <c r="E4330" t="inlineStr">
        <is>
          <t>Sol Foundry</t>
        </is>
      </c>
      <c r="F4330" t="inlineStr">
        <is>
          <t>$4 Mn</t>
        </is>
      </c>
      <c r="G4330" s="19" t="n"/>
      <c r="H4330" s="19" t="n">
        <v>4</v>
      </c>
      <c r="I4330" t="inlineStr">
        <is>
          <t>Undisclosed</t>
        </is>
      </c>
      <c r="J4330" t="inlineStr"/>
      <c r="K4330" t="inlineStr">
        <is>
          <t>https://inc42.com/buzz/from-ultraviolette-automotive-to-galaxeye-indian-startups-raised-over-203-mn-this-week/</t>
        </is>
      </c>
    </row>
    <row r="4331">
      <c r="A4331" t="inlineStr">
        <is>
          <t>ENT-12567909</t>
        </is>
      </c>
      <c r="B4331" t="inlineStr">
        <is>
          <t>R260923-betterhood</t>
        </is>
      </c>
      <c r="C4331" t="inlineStr">
        <is>
          <t>Entrackr</t>
        </is>
      </c>
      <c r="D4331" s="17" t="n">
        <v>46288</v>
      </c>
      <c r="E4331" t="inlineStr">
        <is>
          <t>betterhood</t>
        </is>
      </c>
      <c r="F4331" t="inlineStr">
        <is>
          <t>Rs 11.5 crore</t>
        </is>
      </c>
      <c r="G4331" s="19" t="n">
        <v>11.5</v>
      </c>
      <c r="H4331" s="19" t="n"/>
      <c r="I4331" t="inlineStr">
        <is>
          <t>Seed</t>
        </is>
      </c>
      <c r="J4331" t="inlineStr">
        <is>
          <t>Sauce</t>
        </is>
      </c>
      <c r="K4331" t="inlineStr">
        <is>
          <t>https://entrackr.com/snippets/sauce-leads-seed-round-in-preventive-pain-care-brand-betterhood-12567909</t>
        </is>
      </c>
    </row>
    <row r="4332">
      <c r="A4332" t="inlineStr">
        <is>
          <t>ET-134429909</t>
        </is>
      </c>
      <c r="B4332" t="inlineStr">
        <is>
          <t>R260923-betterhood</t>
        </is>
      </c>
      <c r="C4332" t="inlineStr">
        <is>
          <t>The Economic Times</t>
        </is>
      </c>
      <c r="D4332" s="17" t="n">
        <v>46288</v>
      </c>
      <c r="E4332" t="inlineStr">
        <is>
          <t>Betterhood</t>
        </is>
      </c>
      <c r="F4332" t="inlineStr">
        <is>
          <t>Rs 11.5 crore</t>
        </is>
      </c>
      <c r="G4332" s="19" t="n">
        <v>11.5</v>
      </c>
      <c r="H4332" s="19" t="n"/>
      <c r="I4332" t="inlineStr">
        <is>
          <t>Undisclosed</t>
        </is>
      </c>
      <c r="J4332" t="inlineStr">
        <is>
          <t>Sauce VC</t>
        </is>
      </c>
      <c r="K4332" t="inlineStr">
        <is>
          <t>https://economictimes.indiatimes.com/tech/startups/paincare-startup-betterhood-raises-rs-11-5-crore-in-round-led-by-sauce-vc/articleshow/134429909.cms</t>
        </is>
      </c>
    </row>
    <row r="4333">
      <c r="A4333" t="inlineStr">
        <is>
          <t>INC-20260926-10</t>
        </is>
      </c>
      <c r="B4333" t="inlineStr">
        <is>
          <t>R260923-betterhood</t>
        </is>
      </c>
      <c r="C4333" t="inlineStr">
        <is>
          <t>Inc42</t>
        </is>
      </c>
      <c r="D4333" s="17" t="n">
        <v>46288</v>
      </c>
      <c r="E4333" t="inlineStr">
        <is>
          <t>betterhood</t>
        </is>
      </c>
      <c r="F4333" t="inlineStr">
        <is>
          <t>$1.2 Mn</t>
        </is>
      </c>
      <c r="G4333" s="19" t="n"/>
      <c r="H4333" s="19" t="n">
        <v>1.2</v>
      </c>
      <c r="I4333" t="inlineStr">
        <is>
          <t>Seed</t>
        </is>
      </c>
      <c r="J4333" t="inlineStr">
        <is>
          <t>Sauce.VC</t>
        </is>
      </c>
      <c r="K4333" t="inlineStr">
        <is>
          <t>https://inc42.com/buzz/from-ultraviolette-automotive-to-galaxeye-indian-startups-raised-over-203-mn-this-week/</t>
        </is>
      </c>
    </row>
    <row r="4334">
      <c r="A4334" t="inlineStr">
        <is>
          <t>ENT-12565349</t>
        </is>
      </c>
      <c r="B4334" t="inlineStr">
        <is>
          <t>R260923-indianwalker</t>
        </is>
      </c>
      <c r="C4334" t="inlineStr">
        <is>
          <t>Entrackr</t>
        </is>
      </c>
      <c r="D4334" s="17" t="n">
        <v>46288</v>
      </c>
      <c r="E4334" t="inlineStr">
        <is>
          <t>Indian Walker</t>
        </is>
      </c>
      <c r="F4334" t="inlineStr"/>
      <c r="G4334" s="19" t="n"/>
      <c r="H4334" s="19" t="n"/>
      <c r="I4334" t="inlineStr">
        <is>
          <t>Pre-Seed</t>
        </is>
      </c>
      <c r="J4334" t="inlineStr"/>
      <c r="K4334" t="inlineStr">
        <is>
          <t>https://entrackr.com/snippets/d2c-streetwear-brand-indian-walker-raises-pre-seed-round-at-rs-20-cr-post-money-valuation-12565349</t>
        </is>
      </c>
    </row>
    <row r="4335">
      <c r="A4335" t="inlineStr">
        <is>
          <t>INC-20260926-17</t>
        </is>
      </c>
      <c r="B4335" t="inlineStr">
        <is>
          <t>R260923-indianwalker</t>
        </is>
      </c>
      <c r="C4335" t="inlineStr">
        <is>
          <t>Inc42</t>
        </is>
      </c>
      <c r="D4335" s="17" t="n">
        <v>46288</v>
      </c>
      <c r="E4335" t="inlineStr">
        <is>
          <t>Indian Walker</t>
        </is>
      </c>
      <c r="F4335" t="inlineStr"/>
      <c r="G4335" s="19" t="n"/>
      <c r="H4335" s="19" t="n"/>
      <c r="I4335" t="inlineStr">
        <is>
          <t>Pre-Seed</t>
        </is>
      </c>
      <c r="J4335" t="inlineStr">
        <is>
          <t>Palette Wealth Management</t>
        </is>
      </c>
      <c r="K4335" t="inlineStr">
        <is>
          <t>https://inc42.com/buzz/from-ultraviolette-automotive-to-galaxeye-indian-startups-raised-over-203-mn-this-week/</t>
        </is>
      </c>
    </row>
    <row r="4336">
      <c r="A4336" t="inlineStr">
        <is>
          <t>ENT-12566460</t>
        </is>
      </c>
      <c r="B4336" t="inlineStr">
        <is>
          <t>R260923-riohealth</t>
        </is>
      </c>
      <c r="C4336" t="inlineStr">
        <is>
          <t>Entrackr</t>
        </is>
      </c>
      <c r="D4336" s="17" t="n">
        <v>46288</v>
      </c>
      <c r="E4336" t="inlineStr">
        <is>
          <t>Rio Health</t>
        </is>
      </c>
      <c r="F4336" t="inlineStr">
        <is>
          <t>Rs 43.08 crore</t>
        </is>
      </c>
      <c r="G4336" s="19" t="n">
        <v>43.08</v>
      </c>
      <c r="H4336" s="19" t="n">
        <v>4.5</v>
      </c>
      <c r="I4336" t="inlineStr">
        <is>
          <t>Pre-Series A</t>
        </is>
      </c>
      <c r="J4336" t="inlineStr">
        <is>
          <t>Version One Ventures</t>
        </is>
      </c>
      <c r="K4336" t="inlineStr">
        <is>
          <t>https://entrackr.com/exclusive/exclusive-rioai-raises-rs-43-cr-in-pre-series-a-led-by-version-one-ventures-12566460</t>
        </is>
      </c>
    </row>
    <row r="4337">
      <c r="A4337" t="inlineStr">
        <is>
          <t>INC-20260926-06</t>
        </is>
      </c>
      <c r="B4337" t="inlineStr">
        <is>
          <t>R260923-riohealth</t>
        </is>
      </c>
      <c r="C4337" t="inlineStr">
        <is>
          <t>Inc42</t>
        </is>
      </c>
      <c r="D4337" s="17" t="n">
        <v>46289</v>
      </c>
      <c r="E4337" t="inlineStr">
        <is>
          <t>Rio Health</t>
        </is>
      </c>
      <c r="F4337" t="inlineStr">
        <is>
          <t>$4.5 Mn</t>
        </is>
      </c>
      <c r="G4337" s="19" t="n"/>
      <c r="H4337" s="19" t="n">
        <v>4.5</v>
      </c>
      <c r="I4337" t="inlineStr">
        <is>
          <t>Pre-Series A</t>
        </is>
      </c>
      <c r="J4337" t="inlineStr">
        <is>
          <t>Version One Ventures</t>
        </is>
      </c>
      <c r="K4337" t="inlineStr">
        <is>
          <t>https://inc42.com/buzz/from-ultraviolette-automotive-to-galaxeye-indian-startups-raised-over-203-mn-this-week/</t>
        </is>
      </c>
    </row>
    <row r="4338">
      <c r="A4338" t="inlineStr">
        <is>
          <t>INC-20260926-21</t>
        </is>
      </c>
      <c r="B4338" t="inlineStr">
        <is>
          <t>R260923-spacephilic</t>
        </is>
      </c>
      <c r="C4338" t="inlineStr">
        <is>
          <t>Inc42</t>
        </is>
      </c>
      <c r="D4338" s="17" t="n">
        <v>46288</v>
      </c>
      <c r="E4338" t="inlineStr">
        <is>
          <t>Space Philic</t>
        </is>
      </c>
      <c r="F4338" t="inlineStr"/>
      <c r="G4338" s="19" t="n"/>
      <c r="H4338" s="19" t="n"/>
      <c r="I4338" t="inlineStr">
        <is>
          <t>Undisclosed</t>
        </is>
      </c>
      <c r="J4338" t="inlineStr"/>
      <c r="K4338" t="inlineStr">
        <is>
          <t>https://inc42.com/buzz/from-ultraviolette-automotive-to-galaxeye-indian-startups-raised-over-203-mn-this-week/</t>
        </is>
      </c>
    </row>
    <row r="4339">
      <c r="A4339" t="inlineStr">
        <is>
          <t>ENT-12568862</t>
        </is>
      </c>
      <c r="B4339" t="inlineStr">
        <is>
          <t>R260923-timbuckdo</t>
        </is>
      </c>
      <c r="C4339" t="inlineStr">
        <is>
          <t>Entrackr</t>
        </is>
      </c>
      <c r="D4339" s="17" t="n">
        <v>46288</v>
      </c>
      <c r="E4339" t="inlineStr">
        <is>
          <t>TimBuckDo</t>
        </is>
      </c>
      <c r="F4339" t="inlineStr"/>
      <c r="G4339" s="19" t="n"/>
      <c r="H4339" s="19" t="n"/>
      <c r="I4339" t="inlineStr">
        <is>
          <t>Bridge</t>
        </is>
      </c>
      <c r="J4339" t="inlineStr"/>
      <c r="K4339" t="inlineStr">
        <is>
          <t>https://entrackr.com/snippets/on-demand-convenience-platform-timbuckdo-raises-bridge-round-at-rs-150-cr-valuation-12568862</t>
        </is>
      </c>
    </row>
    <row r="4340">
      <c r="A4340" t="inlineStr">
        <is>
          <t>INC-20260926-19</t>
        </is>
      </c>
      <c r="B4340" t="inlineStr">
        <is>
          <t>R260923-timbuckdo</t>
        </is>
      </c>
      <c r="C4340" t="inlineStr">
        <is>
          <t>Inc42</t>
        </is>
      </c>
      <c r="D4340" s="17" t="n">
        <v>46288</v>
      </c>
      <c r="E4340" t="inlineStr">
        <is>
          <t>TimBuckDo</t>
        </is>
      </c>
      <c r="F4340" t="inlineStr"/>
      <c r="G4340" s="19" t="n"/>
      <c r="H4340" s="19" t="n"/>
      <c r="I4340" t="inlineStr">
        <is>
          <t>Undisclosed</t>
        </is>
      </c>
      <c r="J4340" t="inlineStr">
        <is>
          <t>Srinath Setty Adarsh Narahari</t>
        </is>
      </c>
      <c r="K4340" t="inlineStr">
        <is>
          <t>https://inc42.com/buzz/from-ultraviolette-automotive-to-galaxeye-indian-startups-raised-over-203-mn-this-week/</t>
        </is>
      </c>
    </row>
    <row r="4341">
      <c r="A4341" t="inlineStr">
        <is>
          <t>VCC-3249fca904</t>
        </is>
      </c>
      <c r="B4341" t="inlineStr">
        <is>
          <t>R260923-ultraviolette</t>
        </is>
      </c>
      <c r="C4341" t="inlineStr">
        <is>
          <t>VCCircle</t>
        </is>
      </c>
      <c r="D4341" s="17" t="n">
        <v>46279</v>
      </c>
      <c r="E4341" t="inlineStr">
        <is>
          <t>news</t>
        </is>
      </c>
      <c r="F4341" t="inlineStr"/>
      <c r="G4341" s="19" t="n"/>
      <c r="H4341" s="19" t="n"/>
      <c r="I4341" t="inlineStr">
        <is>
          <t>Undisclosed</t>
        </is>
      </c>
      <c r="J4341" t="inlineStr"/>
      <c r="K4341" t="inlineStr">
        <is>
          <t>https://www.vccircle.com/grapevinense-lic-adia-speciale-invest-yali-capital-ultraviolette-others-in-news</t>
        </is>
      </c>
    </row>
    <row r="4342">
      <c r="A4342" t="inlineStr">
        <is>
          <t>ENT-12567317</t>
        </is>
      </c>
      <c r="B4342" t="inlineStr">
        <is>
          <t>R260923-ultraviolette</t>
        </is>
      </c>
      <c r="C4342" t="inlineStr">
        <is>
          <t>Entrackr</t>
        </is>
      </c>
      <c r="D4342" s="17" t="n">
        <v>46288</v>
      </c>
      <c r="E4342" t="inlineStr">
        <is>
          <t>Ultraviolette</t>
        </is>
      </c>
      <c r="F4342" t="inlineStr">
        <is>
          <t>$85 million</t>
        </is>
      </c>
      <c r="G4342" s="19" t="n"/>
      <c r="H4342" s="19" t="n">
        <v>85</v>
      </c>
      <c r="I4342" t="inlineStr">
        <is>
          <t>Undisclosed</t>
        </is>
      </c>
      <c r="J4342" t="inlineStr">
        <is>
          <t>Yali Capital; TDK Ventures</t>
        </is>
      </c>
      <c r="K4342" t="inlineStr">
        <is>
          <t>https://entrackr.com/news/ultraviolette-raises-85-mn-targets-us-expansion-in-2027-12567317</t>
        </is>
      </c>
    </row>
    <row r="4343">
      <c r="A4343" t="inlineStr">
        <is>
          <t>ET-134427452</t>
        </is>
      </c>
      <c r="B4343" t="inlineStr">
        <is>
          <t>R260923-ultraviolette</t>
        </is>
      </c>
      <c r="C4343" t="inlineStr">
        <is>
          <t>The Economic Times</t>
        </is>
      </c>
      <c r="D4343" s="17" t="n">
        <v>46288</v>
      </c>
      <c r="E4343" t="inlineStr">
        <is>
          <t>Ultraviolette</t>
        </is>
      </c>
      <c r="F4343" t="inlineStr">
        <is>
          <t>$85 million</t>
        </is>
      </c>
      <c r="G4343" s="19" t="n"/>
      <c r="H4343" s="19" t="n">
        <v>85</v>
      </c>
      <c r="I4343" t="inlineStr">
        <is>
          <t>Undisclosed</t>
        </is>
      </c>
      <c r="J4343" t="inlineStr">
        <is>
          <t>Yali Capital; TDK Ventures</t>
        </is>
      </c>
      <c r="K4343" t="inlineStr">
        <is>
          <t>https://economictimes.indiatimes.com/tech/funding/e-bike-maker-ultraviolette-raises-85-million-from-yali-capital-tdk-ventures-others/articleshow/134427452.cms</t>
        </is>
      </c>
    </row>
    <row r="4344">
      <c r="A4344" t="inlineStr">
        <is>
          <t>INC-20260926-01</t>
        </is>
      </c>
      <c r="B4344" t="inlineStr">
        <is>
          <t>R260923-ultraviolette</t>
        </is>
      </c>
      <c r="C4344" t="inlineStr">
        <is>
          <t>Inc42</t>
        </is>
      </c>
      <c r="D4344" s="17" t="n">
        <v>46288</v>
      </c>
      <c r="E4344" t="inlineStr">
        <is>
          <t>Ultraviolette Automotive</t>
        </is>
      </c>
      <c r="F4344" t="inlineStr">
        <is>
          <t>$85 Mn</t>
        </is>
      </c>
      <c r="G4344" s="19" t="n"/>
      <c r="H4344" s="19" t="n">
        <v>85</v>
      </c>
      <c r="I4344" t="inlineStr">
        <is>
          <t>Series E</t>
        </is>
      </c>
      <c r="J4344" t="inlineStr">
        <is>
          <t>Yali Capital; TDK Ventures</t>
        </is>
      </c>
      <c r="K4344" t="inlineStr">
        <is>
          <t>https://inc42.com/buzz/from-ultraviolette-automotive-to-galaxeye-indian-startups-raised-over-203-mn-this-week/</t>
        </is>
      </c>
    </row>
    <row r="4345">
      <c r="A4345" t="inlineStr">
        <is>
          <t>VCC-ab91511a70</t>
        </is>
      </c>
      <c r="B4345" t="inlineStr">
        <is>
          <t>R260923-ultraviolette</t>
        </is>
      </c>
      <c r="C4345" t="inlineStr">
        <is>
          <t>VCCircle</t>
        </is>
      </c>
      <c r="D4345" s="17" t="n">
        <v>46288</v>
      </c>
      <c r="E4345" t="inlineStr">
        <is>
          <t>ultraviolette</t>
        </is>
      </c>
      <c r="F4345" t="inlineStr"/>
      <c r="G4345" s="19" t="n"/>
      <c r="H4345" s="19" t="n"/>
      <c r="I4345" t="inlineStr">
        <is>
          <t>Undisclosed</t>
        </is>
      </c>
      <c r="J4345" t="inlineStr"/>
      <c r="K4345" t="inlineStr">
        <is>
          <t>https://www.vccircle.com/tdkventures-backed-ev-motorcycle-maker-ultraviolette-bags-funds-eyes-us-market</t>
        </is>
      </c>
    </row>
    <row r="4346">
      <c r="A4346" t="inlineStr">
        <is>
          <t>ET-134441029</t>
        </is>
      </c>
      <c r="B4346" t="inlineStr">
        <is>
          <t>R260923-unniyarcha</t>
        </is>
      </c>
      <c r="C4346" t="inlineStr">
        <is>
          <t>The Economic Times</t>
        </is>
      </c>
      <c r="D4346" s="17" t="n">
        <v>46288</v>
      </c>
      <c r="E4346" t="inlineStr">
        <is>
          <t>Unniyarcha</t>
        </is>
      </c>
      <c r="F4346" t="inlineStr">
        <is>
          <t>Rs 10 crore</t>
        </is>
      </c>
      <c r="G4346" s="19" t="n">
        <v>10</v>
      </c>
      <c r="H4346" s="19" t="n"/>
      <c r="I4346" t="inlineStr">
        <is>
          <t>Undisclosed</t>
        </is>
      </c>
      <c r="J4346" t="inlineStr">
        <is>
          <t>Sauce VC</t>
        </is>
      </c>
      <c r="K4346" t="inlineStr">
        <is>
          <t>https://economictimes.indiatimes.com/tech/funding/d2c-silver-jewellery-brand-unniyarcha-raises-rs-10-crore-led-by-sauce-vc/articleshow/134441029.cms</t>
        </is>
      </c>
    </row>
    <row r="4347">
      <c r="A4347" t="inlineStr">
        <is>
          <t>INC-20260926-20</t>
        </is>
      </c>
      <c r="B4347" t="inlineStr">
        <is>
          <t>R260923-unniyarcha</t>
        </is>
      </c>
      <c r="C4347" t="inlineStr">
        <is>
          <t>Inc42</t>
        </is>
      </c>
      <c r="D4347" s="17" t="n">
        <v>46289</v>
      </c>
      <c r="E4347" t="inlineStr">
        <is>
          <t>Unniyarcha</t>
        </is>
      </c>
      <c r="F4347" t="inlineStr"/>
      <c r="G4347" s="19" t="n"/>
      <c r="H4347" s="19" t="n"/>
      <c r="I4347" t="inlineStr">
        <is>
          <t>Undisclosed</t>
        </is>
      </c>
      <c r="J4347" t="inlineStr"/>
      <c r="K4347" t="inlineStr">
        <is>
          <t>https://inc42.com/buzz/from-ultraviolette-automotive-to-galaxeye-indian-startups-raised-over-203-mn-this-week/</t>
        </is>
      </c>
    </row>
    <row r="4348">
      <c r="A4348" t="inlineStr">
        <is>
          <t>ENT-12568747</t>
        </is>
      </c>
      <c r="B4348" t="inlineStr">
        <is>
          <t>R260924-byteask</t>
        </is>
      </c>
      <c r="C4348" t="inlineStr">
        <is>
          <t>Entrackr</t>
        </is>
      </c>
      <c r="D4348" s="17" t="n">
        <v>46289</v>
      </c>
      <c r="E4348" t="inlineStr">
        <is>
          <t>ByteAsk</t>
        </is>
      </c>
      <c r="F4348" t="inlineStr">
        <is>
          <t>$1 million</t>
        </is>
      </c>
      <c r="G4348" s="19" t="n"/>
      <c r="H4348" s="19" t="n">
        <v>1</v>
      </c>
      <c r="I4348" t="inlineStr">
        <is>
          <t>Pre-Seed</t>
        </is>
      </c>
      <c r="J4348" t="inlineStr">
        <is>
          <t>Y Combinator; Entrepreneur First</t>
        </is>
      </c>
      <c r="K4348" t="inlineStr">
        <is>
          <t>https://entrackr.com/snippets/y-combinator-leads-1-mn-pre-seed-round-in-byteask-12568747</t>
        </is>
      </c>
    </row>
    <row r="4349">
      <c r="A4349" t="inlineStr">
        <is>
          <t>ET-134443548</t>
        </is>
      </c>
      <c r="B4349" t="inlineStr">
        <is>
          <t>R260924-byteask</t>
        </is>
      </c>
      <c r="C4349" t="inlineStr">
        <is>
          <t>The Economic Times</t>
        </is>
      </c>
      <c r="D4349" s="17" t="n">
        <v>46289</v>
      </c>
      <c r="E4349" t="inlineStr">
        <is>
          <t>ByteAsk</t>
        </is>
      </c>
      <c r="F4349" t="inlineStr">
        <is>
          <t>$1 million</t>
        </is>
      </c>
      <c r="G4349" s="19" t="n"/>
      <c r="H4349" s="19" t="n">
        <v>1</v>
      </c>
      <c r="I4349" t="inlineStr">
        <is>
          <t>Undisclosed</t>
        </is>
      </c>
      <c r="J4349" t="inlineStr">
        <is>
          <t>Y Combinator; Entrepreneur First</t>
        </is>
      </c>
      <c r="K4349" t="inlineStr">
        <is>
          <t>https://economictimes.indiatimes.com/tech/startups/ai-coding-startup-byteask-raises-1-million-from-yc-entrepreneur-first/articleshow/134443548.cms</t>
        </is>
      </c>
    </row>
    <row r="4350">
      <c r="A4350" t="inlineStr">
        <is>
          <t>INC-20260926-11</t>
        </is>
      </c>
      <c r="B4350" t="inlineStr">
        <is>
          <t>R260924-byteask</t>
        </is>
      </c>
      <c r="C4350" t="inlineStr">
        <is>
          <t>Inc42</t>
        </is>
      </c>
      <c r="D4350" s="17" t="n">
        <v>46289</v>
      </c>
      <c r="E4350" t="inlineStr">
        <is>
          <t>ByteAsk</t>
        </is>
      </c>
      <c r="F4350" t="inlineStr">
        <is>
          <t>$1 Mn</t>
        </is>
      </c>
      <c r="G4350" s="19" t="n"/>
      <c r="H4350" s="19" t="n">
        <v>1</v>
      </c>
      <c r="I4350" t="inlineStr">
        <is>
          <t>Pre-Seed</t>
        </is>
      </c>
      <c r="J4350" t="inlineStr"/>
      <c r="K4350" t="inlineStr">
        <is>
          <t>https://inc42.com/buzz/from-ultraviolette-automotive-to-galaxeye-indian-startups-raised-over-203-mn-this-week/</t>
        </is>
      </c>
    </row>
    <row r="4351">
      <c r="A4351" t="inlineStr">
        <is>
          <t>ET-134466274</t>
        </is>
      </c>
      <c r="B4351" t="inlineStr">
        <is>
          <t>R260924-dextrai</t>
        </is>
      </c>
      <c r="C4351" t="inlineStr">
        <is>
          <t>The Economic Times</t>
        </is>
      </c>
      <c r="D4351" s="17" t="n">
        <v>46289</v>
      </c>
      <c r="E4351" t="inlineStr">
        <is>
          <t>Dextr AI</t>
        </is>
      </c>
      <c r="F4351" t="inlineStr">
        <is>
          <t>$6.7 million</t>
        </is>
      </c>
      <c r="G4351" s="19" t="n"/>
      <c r="H4351" s="19" t="n">
        <v>6.7</v>
      </c>
      <c r="I4351" t="inlineStr">
        <is>
          <t>Seed</t>
        </is>
      </c>
      <c r="J4351" t="inlineStr">
        <is>
          <t>Elevation Capital</t>
        </is>
      </c>
      <c r="K4351" t="inlineStr">
        <is>
          <t>https://economictimes.indiatimes.com/tech/funding/dextr-ai-raises-6-7-million-led-by-elevation-capital-to-build-ai-workforce-for-hospitality/articleshow/134466274.cms</t>
        </is>
      </c>
    </row>
    <row r="4352">
      <c r="A4352" t="inlineStr">
        <is>
          <t>ENT-12574387</t>
        </is>
      </c>
      <c r="B4352" t="inlineStr">
        <is>
          <t>R260924-dextrai</t>
        </is>
      </c>
      <c r="C4352" t="inlineStr">
        <is>
          <t>Entrackr</t>
        </is>
      </c>
      <c r="D4352" s="17" t="n">
        <v>46290</v>
      </c>
      <c r="E4352" t="inlineStr">
        <is>
          <t>Dextr AI</t>
        </is>
      </c>
      <c r="F4352" t="inlineStr">
        <is>
          <t>$6.7 million</t>
        </is>
      </c>
      <c r="G4352" s="19" t="n"/>
      <c r="H4352" s="19" t="n">
        <v>6.7</v>
      </c>
      <c r="I4352" t="inlineStr">
        <is>
          <t>Seed</t>
        </is>
      </c>
      <c r="J4352" t="inlineStr">
        <is>
          <t>Elevation Capital</t>
        </is>
      </c>
      <c r="K4352" t="inlineStr">
        <is>
          <t>https://entrackr.com/snippets/elevation-capital-leads-67-million-seed-round-in-dextr-ai-12574387</t>
        </is>
      </c>
    </row>
    <row r="4353">
      <c r="A4353" t="inlineStr">
        <is>
          <t>INC-20260926-04</t>
        </is>
      </c>
      <c r="B4353" t="inlineStr">
        <is>
          <t>R260924-dextrai</t>
        </is>
      </c>
      <c r="C4353" t="inlineStr">
        <is>
          <t>Inc42</t>
        </is>
      </c>
      <c r="D4353" s="17" t="n">
        <v>46290</v>
      </c>
      <c r="E4353" t="inlineStr">
        <is>
          <t>Dextr AI</t>
        </is>
      </c>
      <c r="F4353" t="inlineStr">
        <is>
          <t>$6.7 Mn</t>
        </is>
      </c>
      <c r="G4353" s="19" t="n"/>
      <c r="H4353" s="19" t="n">
        <v>6.7</v>
      </c>
      <c r="I4353" t="inlineStr">
        <is>
          <t>Seed</t>
        </is>
      </c>
      <c r="J4353" t="inlineStr">
        <is>
          <t>Elevation Capital</t>
        </is>
      </c>
      <c r="K4353" t="inlineStr">
        <is>
          <t>https://inc42.com/buzz/from-ultraviolette-automotive-to-galaxeye-indian-startups-raised-over-203-mn-this-week/</t>
        </is>
      </c>
    </row>
    <row r="4354">
      <c r="A4354" t="inlineStr">
        <is>
          <t>ET-134441820</t>
        </is>
      </c>
      <c r="B4354" t="inlineStr">
        <is>
          <t>R260924-ema</t>
        </is>
      </c>
      <c r="C4354" t="inlineStr">
        <is>
          <t>The Economic Times</t>
        </is>
      </c>
      <c r="D4354" s="17" t="n">
        <v>46288</v>
      </c>
      <c r="E4354" t="inlineStr">
        <is>
          <t>Ema</t>
        </is>
      </c>
      <c r="F4354" t="inlineStr">
        <is>
          <t>$77 million</t>
        </is>
      </c>
      <c r="G4354" s="19" t="n"/>
      <c r="H4354" s="19" t="n">
        <v>77</v>
      </c>
      <c r="I4354" t="inlineStr">
        <is>
          <t>Undisclosed</t>
        </is>
      </c>
      <c r="J4354" t="inlineStr">
        <is>
          <t>Creaegis</t>
        </is>
      </c>
      <c r="K4354" t="inlineStr">
        <is>
          <t>https://economictimes.indiatimes.com/tech/funding/enterprise-ai-startup-ema-raises-77-million-led-by-creaegis/articleshow/134441820.cms</t>
        </is>
      </c>
    </row>
    <row r="4355">
      <c r="A4355" t="inlineStr">
        <is>
          <t>ENT-12570021</t>
        </is>
      </c>
      <c r="B4355" t="inlineStr">
        <is>
          <t>R260924-ema</t>
        </is>
      </c>
      <c r="C4355" t="inlineStr">
        <is>
          <t>Entrackr</t>
        </is>
      </c>
      <c r="D4355" s="17" t="n">
        <v>46289</v>
      </c>
      <c r="E4355" t="inlineStr">
        <is>
          <t>Ema</t>
        </is>
      </c>
      <c r="F4355" t="inlineStr">
        <is>
          <t>$77 million</t>
        </is>
      </c>
      <c r="G4355" s="19" t="n"/>
      <c r="H4355" s="19" t="n">
        <v>77</v>
      </c>
      <c r="I4355" t="inlineStr">
        <is>
          <t>Series B</t>
        </is>
      </c>
      <c r="J4355" t="inlineStr">
        <is>
          <t>Creaegis</t>
        </is>
      </c>
      <c r="K4355" t="inlineStr">
        <is>
          <t>https://entrackr.com/news/enterprise-ai-startup-ema-raises-77-mn-in-series-b-led-by-creaegis-12570021</t>
        </is>
      </c>
    </row>
    <row r="4356">
      <c r="A4356" t="inlineStr">
        <is>
          <t>INC-20260926-02</t>
        </is>
      </c>
      <c r="B4356" t="inlineStr">
        <is>
          <t>R260924-ema</t>
        </is>
      </c>
      <c r="C4356" t="inlineStr">
        <is>
          <t>Inc42</t>
        </is>
      </c>
      <c r="D4356" s="17" t="n">
        <v>46289</v>
      </c>
      <c r="E4356" t="inlineStr">
        <is>
          <t>Ema</t>
        </is>
      </c>
      <c r="F4356" t="inlineStr">
        <is>
          <t>$77 Mn</t>
        </is>
      </c>
      <c r="G4356" s="19" t="n"/>
      <c r="H4356" s="19" t="n">
        <v>77</v>
      </c>
      <c r="I4356" t="inlineStr">
        <is>
          <t>Series B</t>
        </is>
      </c>
      <c r="J4356" t="inlineStr">
        <is>
          <t>Creaegis</t>
        </is>
      </c>
      <c r="K4356" t="inlineStr">
        <is>
          <t>https://inc42.com/buzz/from-ultraviolette-automotive-to-galaxeye-indian-startups-raised-over-203-mn-this-week/</t>
        </is>
      </c>
    </row>
    <row r="4357">
      <c r="A4357" t="inlineStr">
        <is>
          <t>ENT-12571606</t>
        </is>
      </c>
      <c r="B4357" t="inlineStr">
        <is>
          <t>R260924-myrx</t>
        </is>
      </c>
      <c r="C4357" t="inlineStr">
        <is>
          <t>Entrackr</t>
        </is>
      </c>
      <c r="D4357" s="17" t="n">
        <v>46289</v>
      </c>
      <c r="E4357" t="inlineStr">
        <is>
          <t>MyRx</t>
        </is>
      </c>
      <c r="F4357" t="inlineStr"/>
      <c r="G4357" s="19" t="n"/>
      <c r="H4357" s="19" t="n"/>
      <c r="I4357" t="inlineStr">
        <is>
          <t>Seed</t>
        </is>
      </c>
      <c r="J4357" t="inlineStr">
        <is>
          <t>SteerX VC</t>
        </is>
      </c>
      <c r="K4357" t="inlineStr">
        <is>
          <t>https://entrackr.com/snippets/myrx-raises-seed-round-led-by-steerx-vc-to-expand-primary-healthcare-infrastructure-12571606</t>
        </is>
      </c>
    </row>
    <row r="4358">
      <c r="A4358" t="inlineStr">
        <is>
          <t>INC-20260926-18</t>
        </is>
      </c>
      <c r="B4358" t="inlineStr">
        <is>
          <t>R260924-myrx</t>
        </is>
      </c>
      <c r="C4358" t="inlineStr">
        <is>
          <t>Inc42</t>
        </is>
      </c>
      <c r="D4358" s="17" t="n">
        <v>46289</v>
      </c>
      <c r="E4358" t="inlineStr">
        <is>
          <t>MyRx</t>
        </is>
      </c>
      <c r="F4358" t="inlineStr"/>
      <c r="G4358" s="19" t="n"/>
      <c r="H4358" s="19" t="n"/>
      <c r="I4358" t="inlineStr">
        <is>
          <t>Seed</t>
        </is>
      </c>
      <c r="J4358" t="inlineStr">
        <is>
          <t>SteerX VC</t>
        </is>
      </c>
      <c r="K4358" t="inlineStr">
        <is>
          <t>https://inc42.com/buzz/from-ultraviolette-automotive-to-galaxeye-indian-startups-raised-over-203-mn-this-week/</t>
        </is>
      </c>
    </row>
    <row r="4359">
      <c r="A4359" t="inlineStr">
        <is>
          <t>INC-20260926-15</t>
        </is>
      </c>
      <c r="B4359" t="inlineStr">
        <is>
          <t>R260924-nuvah</t>
        </is>
      </c>
      <c r="C4359" t="inlineStr">
        <is>
          <t>Inc42</t>
        </is>
      </c>
      <c r="D4359" s="17" t="n">
        <v>46289</v>
      </c>
      <c r="E4359" t="inlineStr">
        <is>
          <t>Nuvah</t>
        </is>
      </c>
      <c r="F4359" t="inlineStr">
        <is>
          <t>$417K</t>
        </is>
      </c>
      <c r="G4359" s="19" t="n"/>
      <c r="H4359" s="19" t="n">
        <v>0.417</v>
      </c>
      <c r="I4359" t="inlineStr">
        <is>
          <t>Pre-Seed</t>
        </is>
      </c>
      <c r="J4359" t="inlineStr"/>
      <c r="K4359" t="inlineStr">
        <is>
          <t>https://inc42.com/buzz/from-ultraviolette-automotive-to-galaxeye-indian-startups-raised-over-203-mn-this-week/</t>
        </is>
      </c>
    </row>
    <row r="4360">
      <c r="A4360" t="inlineStr">
        <is>
          <t>ENT-12571229</t>
        </is>
      </c>
      <c r="B4360" t="inlineStr">
        <is>
          <t>R260924-onya</t>
        </is>
      </c>
      <c r="C4360" t="inlineStr">
        <is>
          <t>Entrackr</t>
        </is>
      </c>
      <c r="D4360" s="17" t="n">
        <v>46289</v>
      </c>
      <c r="E4360" t="inlineStr">
        <is>
          <t>ONYA</t>
        </is>
      </c>
      <c r="F4360" t="inlineStr">
        <is>
          <t>Rs 12.5 crore</t>
        </is>
      </c>
      <c r="G4360" s="19" t="n">
        <v>12.5</v>
      </c>
      <c r="H4360" s="19" t="n"/>
      <c r="I4360" t="inlineStr">
        <is>
          <t>Pre-Series A</t>
        </is>
      </c>
      <c r="J4360" t="inlineStr">
        <is>
          <t>Divisa Family Office</t>
        </is>
      </c>
      <c r="K4360" t="inlineStr">
        <is>
          <t>https://entrackr.com/snippets/lab-grown-diamond-jewellery-brand-onya-raises-rs-125-crore-in-pre-series-a-round-12571229</t>
        </is>
      </c>
    </row>
    <row r="4361">
      <c r="A4361" t="inlineStr">
        <is>
          <t>INC-20260926-09</t>
        </is>
      </c>
      <c r="B4361" t="inlineStr">
        <is>
          <t>R260924-onya</t>
        </is>
      </c>
      <c r="C4361" t="inlineStr">
        <is>
          <t>Inc42</t>
        </is>
      </c>
      <c r="D4361" s="17" t="n">
        <v>46289</v>
      </c>
      <c r="E4361" t="inlineStr">
        <is>
          <t>ONYA</t>
        </is>
      </c>
      <c r="F4361" t="inlineStr">
        <is>
          <t>$1.3 Mn</t>
        </is>
      </c>
      <c r="G4361" s="19" t="n"/>
      <c r="H4361" s="19" t="n">
        <v>1.3</v>
      </c>
      <c r="I4361" t="inlineStr">
        <is>
          <t>Pre-Series A</t>
        </is>
      </c>
      <c r="J4361" t="inlineStr">
        <is>
          <t>Divisa Family Office</t>
        </is>
      </c>
      <c r="K4361" t="inlineStr">
        <is>
          <t>https://inc42.com/buzz/from-ultraviolette-automotive-to-galaxeye-indian-startups-raised-over-203-mn-this-week/</t>
        </is>
      </c>
    </row>
    <row r="4362">
      <c r="A4362" t="inlineStr">
        <is>
          <t>INC-20260926-16</t>
        </is>
      </c>
      <c r="B4362" t="inlineStr">
        <is>
          <t>R260924-ynos</t>
        </is>
      </c>
      <c r="C4362" t="inlineStr">
        <is>
          <t>Inc42</t>
        </is>
      </c>
      <c r="D4362" s="17" t="n">
        <v>46289</v>
      </c>
      <c r="E4362" t="inlineStr">
        <is>
          <t>YNOS</t>
        </is>
      </c>
      <c r="F4362" t="inlineStr">
        <is>
          <t>$221K</t>
        </is>
      </c>
      <c r="G4362" s="19" t="n"/>
      <c r="H4362" s="19" t="n">
        <v>0.221</v>
      </c>
      <c r="I4362" t="inlineStr">
        <is>
          <t>Undisclosed</t>
        </is>
      </c>
      <c r="J4362" t="inlineStr">
        <is>
          <t>Gyan Circle Ventures</t>
        </is>
      </c>
      <c r="K4362" t="inlineStr">
        <is>
          <t>https://inc42.com/buzz/from-ultraviolette-automotive-to-galaxeye-indian-startups-raised-over-203-mn-this-week/</t>
        </is>
      </c>
    </row>
    <row r="4363">
      <c r="A4363" t="inlineStr">
        <is>
          <t>INC-20260926-12</t>
        </is>
      </c>
      <c r="B4363" t="inlineStr">
        <is>
          <t>R260925-1312interactiv</t>
        </is>
      </c>
      <c r="C4363" t="inlineStr">
        <is>
          <t>Inc42</t>
        </is>
      </c>
      <c r="D4363" s="17" t="n">
        <v>46290</v>
      </c>
      <c r="E4363" t="inlineStr">
        <is>
          <t>1312 Interactive</t>
        </is>
      </c>
      <c r="F4363" t="inlineStr">
        <is>
          <t>$1 Mn</t>
        </is>
      </c>
      <c r="G4363" s="19" t="n"/>
      <c r="H4363" s="19" t="n">
        <v>1</v>
      </c>
      <c r="I4363" t="inlineStr">
        <is>
          <t>Seed</t>
        </is>
      </c>
      <c r="J4363" t="inlineStr">
        <is>
          <t>Chimera VC; T-Accelerate Capital</t>
        </is>
      </c>
      <c r="K4363" t="inlineStr">
        <is>
          <t>https://inc42.com/buzz/from-ultraviolette-automotive-to-galaxeye-indian-startups-raised-over-203-mn-this-week/</t>
        </is>
      </c>
    </row>
    <row r="4364">
      <c r="A4364" t="inlineStr">
        <is>
          <t>INC-20260926-05</t>
        </is>
      </c>
      <c r="B4364" t="inlineStr">
        <is>
          <t>R260925-galaxeye</t>
        </is>
      </c>
      <c r="C4364" t="inlineStr">
        <is>
          <t>Inc42</t>
        </is>
      </c>
      <c r="D4364" s="17" t="n">
        <v>46290</v>
      </c>
      <c r="E4364" t="inlineStr">
        <is>
          <t>GalaxEye</t>
        </is>
      </c>
      <c r="F4364" t="inlineStr">
        <is>
          <t>$6.7 Mn</t>
        </is>
      </c>
      <c r="G4364" s="19" t="n"/>
      <c r="H4364" s="19" t="n">
        <v>6.7</v>
      </c>
      <c r="I4364" t="inlineStr">
        <is>
          <t>Undisclosed</t>
        </is>
      </c>
      <c r="J4364" t="inlineStr">
        <is>
          <t>RDI Fund</t>
        </is>
      </c>
      <c r="K4364" t="inlineStr">
        <is>
          <t>https://inc42.com/buzz/from-ultraviolette-automotive-to-galaxeye-indian-startups-raised-over-203-mn-this-week/</t>
        </is>
      </c>
    </row>
    <row r="4365">
      <c r="A4365" t="inlineStr">
        <is>
          <t>INC-20260926-03</t>
        </is>
      </c>
      <c r="B4365" t="inlineStr">
        <is>
          <t>R260925-rivet</t>
        </is>
      </c>
      <c r="C4365" t="inlineStr">
        <is>
          <t>Inc42</t>
        </is>
      </c>
      <c r="D4365" s="17" t="n">
        <v>46290</v>
      </c>
      <c r="E4365" t="inlineStr">
        <is>
          <t>Rivet</t>
        </is>
      </c>
      <c r="F4365" t="inlineStr">
        <is>
          <t>$10.5 Mn</t>
        </is>
      </c>
      <c r="G4365" s="19" t="n"/>
      <c r="H4365" s="19" t="n">
        <v>10.5</v>
      </c>
      <c r="I4365" t="inlineStr">
        <is>
          <t>Seed</t>
        </is>
      </c>
      <c r="J4365" t="inlineStr">
        <is>
          <t>PeakXV Partners</t>
        </is>
      </c>
      <c r="K4365" t="inlineStr">
        <is>
          <t>https://inc42.com/buzz/from-ultraviolette-automotive-to-galaxeye-indian-startups-raised-over-203-mn-this-week/</t>
        </is>
      </c>
    </row>
    <row r="4366">
      <c r="A4366" t="inlineStr">
        <is>
          <t>ENT-12583861</t>
        </is>
      </c>
      <c r="B4366" t="inlineStr">
        <is>
          <t>R260928-aliveapp</t>
        </is>
      </c>
      <c r="C4366" t="inlineStr">
        <is>
          <t>Entrackr</t>
        </is>
      </c>
      <c r="D4366" s="17" t="n">
        <v>46293</v>
      </c>
      <c r="E4366" t="inlineStr">
        <is>
          <t>Alive App</t>
        </is>
      </c>
      <c r="F4366" t="inlineStr">
        <is>
          <t>$1 million</t>
        </is>
      </c>
      <c r="G4366" s="19" t="n"/>
      <c r="H4366" s="19" t="n">
        <v>1</v>
      </c>
      <c r="I4366" t="inlineStr">
        <is>
          <t>Seed</t>
        </is>
      </c>
      <c r="J4366" t="inlineStr">
        <is>
          <t>Powerhouse Ventures</t>
        </is>
      </c>
      <c r="K4366" t="inlineStr">
        <is>
          <t>https://entrackr.com/snippets/alive-app-raises-1-mn-from-powerhouse-flipkart-ventures-12583861</t>
        </is>
      </c>
    </row>
    <row r="4367">
      <c r="A4367" t="inlineStr">
        <is>
          <t>INC-20261003-08</t>
        </is>
      </c>
      <c r="B4367" t="inlineStr">
        <is>
          <t>R260928-aliveapp</t>
        </is>
      </c>
      <c r="C4367" t="inlineStr">
        <is>
          <t>Inc42</t>
        </is>
      </c>
      <c r="D4367" s="17" t="n">
        <v>46293</v>
      </c>
      <c r="E4367" t="inlineStr">
        <is>
          <t>Alive App</t>
        </is>
      </c>
      <c r="F4367" t="inlineStr">
        <is>
          <t>$1 Mn</t>
        </is>
      </c>
      <c r="G4367" s="19" t="n"/>
      <c r="H4367" s="19" t="n">
        <v>1</v>
      </c>
      <c r="I4367" t="inlineStr">
        <is>
          <t>Undisclosed</t>
        </is>
      </c>
      <c r="J4367" t="inlineStr">
        <is>
          <t>Powerhouse Ventures; Flipkart Ventures</t>
        </is>
      </c>
      <c r="K4367" t="inlineStr">
        <is>
          <t>https://inc42.com/buzz/from-simple-energy-to-arivihan-indian-startups-raised-over-233-mn-this-week/</t>
        </is>
      </c>
    </row>
    <row r="4368">
      <c r="A4368" t="inlineStr">
        <is>
          <t>ENT-12583526</t>
        </is>
      </c>
      <c r="B4368" t="inlineStr">
        <is>
          <t>R260928-amaani</t>
        </is>
      </c>
      <c r="C4368" t="inlineStr">
        <is>
          <t>Entrackr</t>
        </is>
      </c>
      <c r="D4368" s="17" t="n">
        <v>46293</v>
      </c>
      <c r="E4368" t="inlineStr">
        <is>
          <t>Amaani</t>
        </is>
      </c>
      <c r="F4368" t="inlineStr">
        <is>
          <t>$5 million</t>
        </is>
      </c>
      <c r="G4368" s="19" t="n"/>
      <c r="H4368" s="19" t="n">
        <v>5</v>
      </c>
      <c r="I4368" t="inlineStr">
        <is>
          <t>Series A</t>
        </is>
      </c>
      <c r="J4368" t="inlineStr">
        <is>
          <t>BECO Capital</t>
        </is>
      </c>
      <c r="K4368" t="inlineStr">
        <is>
          <t>https://entrackr.com/snippets/beauty-and-wellness-startup-amaani-raises-5-mn-led-by-beco-capital-12583526</t>
        </is>
      </c>
    </row>
    <row r="4369">
      <c r="A4369" t="inlineStr">
        <is>
          <t>INC-20261003-15</t>
        </is>
      </c>
      <c r="B4369" t="inlineStr">
        <is>
          <t>R260928-aroviaconsumer</t>
        </is>
      </c>
      <c r="C4369" t="inlineStr">
        <is>
          <t>Inc42</t>
        </is>
      </c>
      <c r="D4369" s="17" t="n">
        <v>46293</v>
      </c>
      <c r="E4369" t="inlineStr">
        <is>
          <t>Arovia Consumer</t>
        </is>
      </c>
      <c r="F4369" t="inlineStr"/>
      <c r="G4369" s="19" t="n"/>
      <c r="H4369" s="19" t="n"/>
      <c r="I4369" t="inlineStr">
        <is>
          <t>Undisclosed</t>
        </is>
      </c>
      <c r="J4369" t="inlineStr">
        <is>
          <t>Fireside Ventures</t>
        </is>
      </c>
      <c r="K4369" t="inlineStr">
        <is>
          <t>https://inc42.com/buzz/from-simple-energy-to-arivihan-indian-startups-raised-over-233-mn-this-week/</t>
        </is>
      </c>
    </row>
    <row r="4370">
      <c r="A4370" t="inlineStr">
        <is>
          <t>ENT-12584408</t>
        </is>
      </c>
      <c r="B4370" t="inlineStr">
        <is>
          <t>R260928-balwaankrishi</t>
        </is>
      </c>
      <c r="C4370" t="inlineStr">
        <is>
          <t>Entrackr</t>
        </is>
      </c>
      <c r="D4370" s="17" t="n">
        <v>46293</v>
      </c>
      <c r="E4370" t="inlineStr">
        <is>
          <t>Balwaan Krishi</t>
        </is>
      </c>
      <c r="F4370" t="inlineStr">
        <is>
          <t>Rs 100 crore</t>
        </is>
      </c>
      <c r="G4370" s="19" t="n">
        <v>100</v>
      </c>
      <c r="H4370" s="19" t="n"/>
      <c r="I4370" t="inlineStr">
        <is>
          <t>Series B</t>
        </is>
      </c>
      <c r="J4370" t="inlineStr">
        <is>
          <t>First Bridge India Growth Fund Private Equity</t>
        </is>
      </c>
      <c r="K4370" t="inlineStr">
        <is>
          <t>https://entrackr.com/news/agricultural-machinery-company-balwaan-krishi-raises-rs-100-cr-in-series-b-round-12584408</t>
        </is>
      </c>
    </row>
    <row r="4371">
      <c r="A4371" t="inlineStr">
        <is>
          <t>VCC-a2cbff4e57</t>
        </is>
      </c>
      <c r="B4371" t="inlineStr">
        <is>
          <t>R260928-balwaankrishi</t>
        </is>
      </c>
      <c r="C4371" t="inlineStr">
        <is>
          <t>VCCircle</t>
        </is>
      </c>
      <c r="D4371" s="17" t="n">
        <v>46293</v>
      </c>
      <c r="E4371" t="inlineStr">
        <is>
          <t>balwaan krishi</t>
        </is>
      </c>
      <c r="F4371" t="inlineStr"/>
      <c r="G4371" s="19" t="n"/>
      <c r="H4371" s="19" t="n"/>
      <c r="I4371" t="inlineStr">
        <is>
          <t>Series B</t>
        </is>
      </c>
      <c r="J4371" t="inlineStr"/>
      <c r="K4371" t="inlineStr">
        <is>
          <t>https://www.vccircle.com/firstbridge-leads-farm-equipment-maker-balwaan-krishi-s-series-b-round</t>
        </is>
      </c>
    </row>
    <row r="4372">
      <c r="A4372" t="inlineStr">
        <is>
          <t>INC-20261003-04</t>
        </is>
      </c>
      <c r="B4372" t="inlineStr">
        <is>
          <t>R260928-balwaankrishi</t>
        </is>
      </c>
      <c r="C4372" t="inlineStr">
        <is>
          <t>Inc42</t>
        </is>
      </c>
      <c r="D4372" s="17" t="n">
        <v>46294</v>
      </c>
      <c r="E4372" t="inlineStr">
        <is>
          <t>Balwaan Krishi</t>
        </is>
      </c>
      <c r="F4372" t="inlineStr">
        <is>
          <t>$10.4 Mn</t>
        </is>
      </c>
      <c r="G4372" s="19" t="n"/>
      <c r="H4372" s="19" t="n">
        <v>10.4</v>
      </c>
      <c r="I4372" t="inlineStr">
        <is>
          <t>Series B</t>
        </is>
      </c>
      <c r="J4372" t="inlineStr">
        <is>
          <t>First Bridge India Growth Fund Private Equity</t>
        </is>
      </c>
      <c r="K4372" t="inlineStr">
        <is>
          <t>https://inc42.com/buzz/from-simple-energy-to-arivihan-indian-startups-raised-over-233-mn-this-week/</t>
        </is>
      </c>
    </row>
    <row r="4373">
      <c r="A4373" t="inlineStr">
        <is>
          <t>INC-20261003-16</t>
        </is>
      </c>
      <c r="B4373" t="inlineStr">
        <is>
          <t>R260928-keploy</t>
        </is>
      </c>
      <c r="C4373" t="inlineStr">
        <is>
          <t>Inc42</t>
        </is>
      </c>
      <c r="D4373" s="17" t="n">
        <v>46293</v>
      </c>
      <c r="E4373" t="inlineStr">
        <is>
          <t>Keploy</t>
        </is>
      </c>
      <c r="F4373" t="inlineStr"/>
      <c r="G4373" s="19" t="n"/>
      <c r="H4373" s="19" t="n"/>
      <c r="I4373" t="inlineStr">
        <is>
          <t>Undisclosed</t>
        </is>
      </c>
      <c r="J4373" t="inlineStr">
        <is>
          <t>Flipkart Ventures</t>
        </is>
      </c>
      <c r="K4373" t="inlineStr">
        <is>
          <t>https://inc42.com/buzz/from-simple-energy-to-arivihan-indian-startups-raised-over-233-mn-this-week/</t>
        </is>
      </c>
    </row>
    <row r="4374">
      <c r="A4374" t="inlineStr">
        <is>
          <t>INC-20261003-10</t>
        </is>
      </c>
      <c r="B4374" t="inlineStr">
        <is>
          <t>R260928-primerry</t>
        </is>
      </c>
      <c r="C4374" t="inlineStr">
        <is>
          <t>Inc42</t>
        </is>
      </c>
      <c r="D4374" s="17" t="n">
        <v>46293</v>
      </c>
      <c r="E4374" t="inlineStr">
        <is>
          <t>Primerry</t>
        </is>
      </c>
      <c r="F4374" t="inlineStr">
        <is>
          <t>$738K</t>
        </is>
      </c>
      <c r="G4374" s="19" t="n"/>
      <c r="H4374" s="19" t="n">
        <v>0.738</v>
      </c>
      <c r="I4374" t="inlineStr">
        <is>
          <t>Pre-Seed</t>
        </is>
      </c>
      <c r="J4374" t="inlineStr"/>
      <c r="K4374" t="inlineStr">
        <is>
          <t>https://inc42.com/buzz/from-simple-energy-to-arivihan-indian-startups-raised-over-233-mn-this-week/</t>
        </is>
      </c>
    </row>
    <row r="4375">
      <c r="A4375" t="inlineStr">
        <is>
          <t>ENT-12587904</t>
        </is>
      </c>
      <c r="B4375" t="inlineStr">
        <is>
          <t>R260928-simaai</t>
        </is>
      </c>
      <c r="C4375" t="inlineStr">
        <is>
          <t>Entrackr</t>
        </is>
      </c>
      <c r="D4375" s="17" t="n">
        <v>46293</v>
      </c>
      <c r="E4375" t="inlineStr">
        <is>
          <t>SiMa.ai</t>
        </is>
      </c>
      <c r="F4375" t="inlineStr">
        <is>
          <t>$150 million</t>
        </is>
      </c>
      <c r="G4375" s="19" t="n"/>
      <c r="H4375" s="19" t="n">
        <v>150</v>
      </c>
      <c r="I4375" t="inlineStr">
        <is>
          <t>Series C</t>
        </is>
      </c>
      <c r="J4375" t="inlineStr">
        <is>
          <t>Fidelity Management &amp; Research Company; Amplify</t>
        </is>
      </c>
      <c r="K4375" t="inlineStr">
        <is>
          <t>https://entrackr.com/news/physical-ai-company-simaai-raises-150-mn-in-series-c-round-12587904</t>
        </is>
      </c>
    </row>
    <row r="4376">
      <c r="A4376" t="inlineStr">
        <is>
          <t>ET-134545702</t>
        </is>
      </c>
      <c r="B4376" t="inlineStr">
        <is>
          <t>R260928-simaai</t>
        </is>
      </c>
      <c r="C4376" t="inlineStr">
        <is>
          <t>The Economic Times</t>
        </is>
      </c>
      <c r="D4376" s="17" t="n">
        <v>46293</v>
      </c>
      <c r="E4376" t="inlineStr">
        <is>
          <t>SiMa AI</t>
        </is>
      </c>
      <c r="F4376" t="inlineStr">
        <is>
          <t>$150 million</t>
        </is>
      </c>
      <c r="G4376" s="19" t="n">
        <v>1437</v>
      </c>
      <c r="H4376" s="19" t="n">
        <v>150</v>
      </c>
      <c r="I4376" t="inlineStr">
        <is>
          <t>Series C</t>
        </is>
      </c>
      <c r="J4376" t="inlineStr"/>
      <c r="K4376" t="inlineStr">
        <is>
          <t>https://economictimes.indiatimes.com/tech/funding/sima-ai-raises-150-million-in-series-c-funding-to-advance-physical-ai-technology-and-robotics/articleshow/134545702.cms</t>
        </is>
      </c>
    </row>
    <row r="4377">
      <c r="A4377" t="inlineStr">
        <is>
          <t>ENT-12589182</t>
        </is>
      </c>
      <c r="B4377" t="inlineStr">
        <is>
          <t>R260929-bharathousingn</t>
        </is>
      </c>
      <c r="C4377" t="inlineStr">
        <is>
          <t>Entrackr</t>
        </is>
      </c>
      <c r="D4377" s="17" t="n">
        <v>46294</v>
      </c>
      <c r="E4377" t="inlineStr">
        <is>
          <t>Bharat Housing Network</t>
        </is>
      </c>
      <c r="F4377" t="inlineStr">
        <is>
          <t>$5 million</t>
        </is>
      </c>
      <c r="G4377" s="19" t="n">
        <v>47</v>
      </c>
      <c r="H4377" s="19" t="n">
        <v>5</v>
      </c>
      <c r="I4377" t="inlineStr">
        <is>
          <t>Undisclosed</t>
        </is>
      </c>
      <c r="J4377" t="inlineStr"/>
      <c r="K4377" t="inlineStr">
        <is>
          <t>https://entrackr.com/snippets/bharat-housing-network-raises-5-mn-from-symbiotics-12589182</t>
        </is>
      </c>
    </row>
    <row r="4378">
      <c r="A4378" t="inlineStr">
        <is>
          <t>INC-20261003-14</t>
        </is>
      </c>
      <c r="B4378" t="inlineStr">
        <is>
          <t>R260929-figliving</t>
        </is>
      </c>
      <c r="C4378" t="inlineStr">
        <is>
          <t>Inc42</t>
        </is>
      </c>
      <c r="D4378" s="17" t="n">
        <v>46294</v>
      </c>
      <c r="E4378" t="inlineStr">
        <is>
          <t>FIG Living</t>
        </is>
      </c>
      <c r="F4378" t="inlineStr"/>
      <c r="G4378" s="19" t="n"/>
      <c r="H4378" s="19" t="n"/>
      <c r="I4378" t="inlineStr">
        <is>
          <t>Undisclosed</t>
        </is>
      </c>
      <c r="J4378" t="inlineStr">
        <is>
          <t>Aman Gupta</t>
        </is>
      </c>
      <c r="K4378" t="inlineStr">
        <is>
          <t>https://inc42.com/buzz/from-simple-energy-to-arivihan-indian-startups-raised-over-233-mn-this-week/</t>
        </is>
      </c>
    </row>
    <row r="4379">
      <c r="A4379" t="inlineStr">
        <is>
          <t>ENT-12589495</t>
        </is>
      </c>
      <c r="B4379" t="inlineStr">
        <is>
          <t>R260929-formerboatexec</t>
        </is>
      </c>
      <c r="C4379" t="inlineStr">
        <is>
          <t>Entrackr</t>
        </is>
      </c>
      <c r="D4379" s="17" t="n">
        <v>46294</v>
      </c>
      <c r="E4379" t="inlineStr">
        <is>
          <t>former boAt executive</t>
        </is>
      </c>
      <c r="F4379" t="inlineStr"/>
      <c r="G4379" s="19" t="n"/>
      <c r="H4379" s="19" t="n"/>
      <c r="I4379" t="inlineStr">
        <is>
          <t>Undisclosed</t>
        </is>
      </c>
      <c r="J4379" t="inlineStr"/>
      <c r="K4379" t="inlineStr">
        <is>
          <t>https://entrackr.com/snippets/aman-gupta-invests-in-former-boat-executives-startup-fig-living-12589495</t>
        </is>
      </c>
    </row>
    <row r="4380">
      <c r="A4380" t="inlineStr">
        <is>
          <t>ENT-12592500</t>
        </is>
      </c>
      <c r="B4380" t="inlineStr">
        <is>
          <t>R260930-arivihan</t>
        </is>
      </c>
      <c r="C4380" t="inlineStr">
        <is>
          <t>Entrackr</t>
        </is>
      </c>
      <c r="D4380" s="17" t="n">
        <v>46295</v>
      </c>
      <c r="E4380" t="inlineStr">
        <is>
          <t>Arivihan</t>
        </is>
      </c>
      <c r="F4380" t="inlineStr">
        <is>
          <t>$10 million</t>
        </is>
      </c>
      <c r="G4380" s="19" t="n"/>
      <c r="H4380" s="19" t="n">
        <v>10</v>
      </c>
      <c r="I4380" t="inlineStr">
        <is>
          <t>Series A</t>
        </is>
      </c>
      <c r="J4380" t="inlineStr">
        <is>
          <t>Accel; Prosus</t>
        </is>
      </c>
      <c r="K4380" t="inlineStr">
        <is>
          <t>https://entrackr.com/news/edtech-startup-arivihan-raises-10-mn-in-series-a-led-by-accel-and-prosus-12592500</t>
        </is>
      </c>
    </row>
    <row r="4381">
      <c r="A4381" t="inlineStr">
        <is>
          <t>ET-134570893</t>
        </is>
      </c>
      <c r="B4381" t="inlineStr">
        <is>
          <t>R260930-arivihan</t>
        </is>
      </c>
      <c r="C4381" t="inlineStr">
        <is>
          <t>The Economic Times</t>
        </is>
      </c>
      <c r="D4381" s="17" t="n">
        <v>46295</v>
      </c>
      <c r="E4381" t="inlineStr">
        <is>
          <t>Arivihan</t>
        </is>
      </c>
      <c r="F4381" t="inlineStr">
        <is>
          <t>$10 million</t>
        </is>
      </c>
      <c r="G4381" s="19" t="n"/>
      <c r="H4381" s="19" t="n">
        <v>10</v>
      </c>
      <c r="I4381" t="inlineStr">
        <is>
          <t>Undisclosed</t>
        </is>
      </c>
      <c r="J4381" t="inlineStr">
        <is>
          <t>Prosus; Accel</t>
        </is>
      </c>
      <c r="K4381" t="inlineStr">
        <is>
          <t>https://economictimes.indiatimes.com/tech/funding/arivihan-raises-10-million-from-prosus-accel-to-expand-ai-tutoring/articleshow/134570893.cms</t>
        </is>
      </c>
    </row>
    <row r="4382">
      <c r="A4382" t="inlineStr">
        <is>
          <t>INC-20261003-05</t>
        </is>
      </c>
      <c r="B4382" t="inlineStr">
        <is>
          <t>R260930-arivihan</t>
        </is>
      </c>
      <c r="C4382" t="inlineStr">
        <is>
          <t>Inc42</t>
        </is>
      </c>
      <c r="D4382" s="17" t="n">
        <v>46295</v>
      </c>
      <c r="E4382" t="inlineStr">
        <is>
          <t>Arivihan</t>
        </is>
      </c>
      <c r="F4382" t="inlineStr">
        <is>
          <t>$10.2 Mn</t>
        </is>
      </c>
      <c r="G4382" s="19" t="n"/>
      <c r="H4382" s="19" t="n">
        <v>10.2</v>
      </c>
      <c r="I4382" t="inlineStr">
        <is>
          <t>Series A</t>
        </is>
      </c>
      <c r="J4382" t="inlineStr">
        <is>
          <t>Accel; Prosus Ventures</t>
        </is>
      </c>
      <c r="K4382" t="inlineStr">
        <is>
          <t>https://inc42.com/buzz/from-simple-energy-to-arivihan-indian-startups-raised-over-233-mn-this-week/</t>
        </is>
      </c>
    </row>
    <row r="4383">
      <c r="A4383" t="inlineStr">
        <is>
          <t>ENT-12592668</t>
        </is>
      </c>
      <c r="B4383" t="inlineStr">
        <is>
          <t>R260930-blitz</t>
        </is>
      </c>
      <c r="C4383" t="inlineStr">
        <is>
          <t>Entrackr</t>
        </is>
      </c>
      <c r="D4383" s="17" t="n">
        <v>46295</v>
      </c>
      <c r="E4383" t="inlineStr">
        <is>
          <t>Blitz</t>
        </is>
      </c>
      <c r="F4383" t="inlineStr">
        <is>
          <t>Rs 28.70 crore</t>
        </is>
      </c>
      <c r="G4383" s="19" t="n">
        <v>28.7</v>
      </c>
      <c r="H4383" s="19" t="n"/>
      <c r="I4383" t="inlineStr">
        <is>
          <t>Pre-Series B</t>
        </is>
      </c>
      <c r="J4383" t="inlineStr">
        <is>
          <t>IvyCap Ventures</t>
        </is>
      </c>
      <c r="K4383" t="inlineStr">
        <is>
          <t>https://entrackr.com/exclusive/exclusive-blitz-kicks-off-pre-series-b-round-at-25x-valuation-premium-12592668</t>
        </is>
      </c>
    </row>
    <row r="4384">
      <c r="A4384" t="inlineStr">
        <is>
          <t>ENT-12592472</t>
        </is>
      </c>
      <c r="B4384" t="inlineStr">
        <is>
          <t>R260930-edt</t>
        </is>
      </c>
      <c r="C4384" t="inlineStr">
        <is>
          <t>Entrackr</t>
        </is>
      </c>
      <c r="D4384" s="17" t="n">
        <v>46295</v>
      </c>
      <c r="E4384" t="inlineStr">
        <is>
          <t>EDT</t>
        </is>
      </c>
      <c r="F4384" t="inlineStr">
        <is>
          <t>$2.4 million</t>
        </is>
      </c>
      <c r="G4384" s="19" t="n"/>
      <c r="H4384" s="19" t="n">
        <v>2.4</v>
      </c>
      <c r="I4384" t="inlineStr">
        <is>
          <t>Pre-Series A</t>
        </is>
      </c>
      <c r="J4384" t="inlineStr">
        <is>
          <t>Sauce</t>
        </is>
      </c>
      <c r="K4384" t="inlineStr">
        <is>
          <t>https://entrackr.com/snippets/edt-raises-24-mn-in-pre-series-a-round-led-by-sauce-enters-beauty-tech-12592472</t>
        </is>
      </c>
    </row>
    <row r="4385">
      <c r="A4385" t="inlineStr">
        <is>
          <t>ET-134569595</t>
        </is>
      </c>
      <c r="B4385" t="inlineStr">
        <is>
          <t>R260930-edt</t>
        </is>
      </c>
      <c r="C4385" t="inlineStr">
        <is>
          <t>The Economic Times</t>
        </is>
      </c>
      <c r="D4385" s="17" t="n">
        <v>46295</v>
      </c>
      <c r="E4385" t="inlineStr">
        <is>
          <t>EDT</t>
        </is>
      </c>
      <c r="F4385" t="inlineStr">
        <is>
          <t>$2.4 million</t>
        </is>
      </c>
      <c r="G4385" s="19" t="n"/>
      <c r="H4385" s="19" t="n">
        <v>2.4</v>
      </c>
      <c r="I4385" t="inlineStr">
        <is>
          <t>Undisclosed</t>
        </is>
      </c>
      <c r="J4385" t="inlineStr">
        <is>
          <t>Sauce</t>
        </is>
      </c>
      <c r="K4385" t="inlineStr">
        <is>
          <t>https://economictimes.indiatimes.com/tech/startups/kitchen-appliance-startup-edt-raises-2-4-million-in-funding-led-by-sauce-vc/articleshow/134569595.cms</t>
        </is>
      </c>
    </row>
    <row r="4386">
      <c r="A4386" t="inlineStr">
        <is>
          <t>INC-20261003-06</t>
        </is>
      </c>
      <c r="B4386" t="inlineStr">
        <is>
          <t>R260930-edt</t>
        </is>
      </c>
      <c r="C4386" t="inlineStr">
        <is>
          <t>Inc42</t>
        </is>
      </c>
      <c r="D4386" s="17" t="n">
        <v>46295</v>
      </c>
      <c r="E4386" t="inlineStr">
        <is>
          <t>EDT</t>
        </is>
      </c>
      <c r="F4386" t="inlineStr">
        <is>
          <t>$2.4 Mn</t>
        </is>
      </c>
      <c r="G4386" s="19" t="n"/>
      <c r="H4386" s="19" t="n">
        <v>2.4</v>
      </c>
      <c r="I4386" t="inlineStr">
        <is>
          <t>Pre-Series A</t>
        </is>
      </c>
      <c r="J4386" t="inlineStr">
        <is>
          <t>Sauce.VC</t>
        </is>
      </c>
      <c r="K4386" t="inlineStr">
        <is>
          <t>https://inc42.com/buzz/from-simple-energy-to-arivihan-indian-startups-raised-over-233-mn-this-week/</t>
        </is>
      </c>
    </row>
    <row r="4387">
      <c r="A4387" t="inlineStr">
        <is>
          <t>ENT-12593710</t>
        </is>
      </c>
      <c r="B4387" t="inlineStr">
        <is>
          <t>R260930-gravity</t>
        </is>
      </c>
      <c r="C4387" t="inlineStr">
        <is>
          <t>Entrackr</t>
        </is>
      </c>
      <c r="D4387" s="17" t="n">
        <v>46295</v>
      </c>
      <c r="E4387" t="inlineStr">
        <is>
          <t>Gravity</t>
        </is>
      </c>
      <c r="F4387" t="inlineStr">
        <is>
          <t>$15 million</t>
        </is>
      </c>
      <c r="G4387" s="19" t="n"/>
      <c r="H4387" s="19" t="n">
        <v>15</v>
      </c>
      <c r="I4387" t="inlineStr">
        <is>
          <t>Undisclosed</t>
        </is>
      </c>
      <c r="J4387" t="inlineStr">
        <is>
          <t>Info Edge Ventures; 3one4 Capital</t>
        </is>
      </c>
      <c r="K4387" t="inlineStr">
        <is>
          <t>https://entrackr.com/news/former-livspace-executives-startup-gravity-raises-15-mn-led-by-info-edge-ventures-and-3one4-capital-12593710</t>
        </is>
      </c>
    </row>
    <row r="4388">
      <c r="A4388" t="inlineStr">
        <is>
          <t>ET-134586985</t>
        </is>
      </c>
      <c r="B4388" t="inlineStr">
        <is>
          <t>R260930-gravity</t>
        </is>
      </c>
      <c r="C4388" t="inlineStr">
        <is>
          <t>The Economic Times</t>
        </is>
      </c>
      <c r="D4388" s="17" t="n">
        <v>46295</v>
      </c>
      <c r="E4388" t="inlineStr">
        <is>
          <t>Gravity</t>
        </is>
      </c>
      <c r="F4388" t="inlineStr">
        <is>
          <t>$15 million</t>
        </is>
      </c>
      <c r="G4388" s="19" t="n"/>
      <c r="H4388" s="19" t="n">
        <v>15</v>
      </c>
      <c r="I4388" t="inlineStr">
        <is>
          <t>Undisclosed</t>
        </is>
      </c>
      <c r="J4388" t="inlineStr"/>
      <c r="K4388" t="inlineStr">
        <is>
          <t>https://economictimes.indiatimes.com/tech/startups/ex-livspace-duos-interiors-platform-gravity-raises-15-million-from-3one4-capital-info-edge-others/articleshow/134586985.cms</t>
        </is>
      </c>
    </row>
    <row r="4389">
      <c r="A4389" t="inlineStr">
        <is>
          <t>INC-20261003-02</t>
        </is>
      </c>
      <c r="B4389" t="inlineStr">
        <is>
          <t>R260930-gravity</t>
        </is>
      </c>
      <c r="C4389" t="inlineStr">
        <is>
          <t>Inc42</t>
        </is>
      </c>
      <c r="D4389" s="17" t="n">
        <v>46295</v>
      </c>
      <c r="E4389" t="inlineStr">
        <is>
          <t>Gravity</t>
        </is>
      </c>
      <c r="F4389" t="inlineStr">
        <is>
          <t>$15 Mn</t>
        </is>
      </c>
      <c r="G4389" s="19" t="n"/>
      <c r="H4389" s="19" t="n">
        <v>15</v>
      </c>
      <c r="I4389" t="inlineStr">
        <is>
          <t>Undisclosed</t>
        </is>
      </c>
      <c r="J4389" t="inlineStr">
        <is>
          <t>3one4 Capital; Info Edge Ventures</t>
        </is>
      </c>
      <c r="K4389" t="inlineStr">
        <is>
          <t>https://inc42.com/buzz/from-simple-energy-to-arivihan-indian-startups-raised-over-233-mn-this-week/</t>
        </is>
      </c>
    </row>
    <row r="4390">
      <c r="A4390" t="inlineStr">
        <is>
          <t>ENT-12613858</t>
        </is>
      </c>
      <c r="B4390" t="inlineStr">
        <is>
          <t>R260930-nknmedia</t>
        </is>
      </c>
      <c r="C4390" t="inlineStr">
        <is>
          <t>Entrackr</t>
        </is>
      </c>
      <c r="D4390" s="17" t="n">
        <v>46295</v>
      </c>
      <c r="E4390" t="inlineStr">
        <is>
          <t>NKN Media</t>
        </is>
      </c>
      <c r="F4390" t="inlineStr">
        <is>
          <t>$4.08 million</t>
        </is>
      </c>
      <c r="G4390" s="19" t="n"/>
      <c r="H4390" s="19" t="n">
        <v>4.08</v>
      </c>
      <c r="I4390" t="inlineStr">
        <is>
          <t>Undisclosed</t>
        </is>
      </c>
      <c r="J4390" t="inlineStr"/>
      <c r="K4390" t="inlineStr">
        <is>
          <t>https://entrackr.com/snippets/nkn-media-raises-408-mn-at-8169-mn-valuation-12613858</t>
        </is>
      </c>
    </row>
    <row r="4391">
      <c r="A4391" t="inlineStr">
        <is>
          <t>ENT-12593947</t>
        </is>
      </c>
      <c r="B4391" t="inlineStr">
        <is>
          <t>R260930-simpleenergy</t>
        </is>
      </c>
      <c r="C4391" t="inlineStr">
        <is>
          <t>Entrackr</t>
        </is>
      </c>
      <c r="D4391" s="17" t="n">
        <v>46295</v>
      </c>
      <c r="E4391" t="inlineStr">
        <is>
          <t>Simple Energy</t>
        </is>
      </c>
      <c r="F4391" t="inlineStr">
        <is>
          <t>Rs 1,750 crore</t>
        </is>
      </c>
      <c r="G4391" s="19" t="n">
        <v>1750</v>
      </c>
      <c r="H4391" s="19" t="n">
        <v>182</v>
      </c>
      <c r="I4391" t="inlineStr">
        <is>
          <t>Series C</t>
        </is>
      </c>
      <c r="J4391" t="inlineStr"/>
      <c r="K4391" t="inlineStr">
        <is>
          <t>https://entrackr.com/news/ev-startup-simple-energy-raises-182-mn-in-series-c-round-12593947</t>
        </is>
      </c>
    </row>
    <row r="4392">
      <c r="A4392" t="inlineStr">
        <is>
          <t>ET-134594135</t>
        </is>
      </c>
      <c r="B4392" t="inlineStr">
        <is>
          <t>R260930-simpleenergy</t>
        </is>
      </c>
      <c r="C4392" t="inlineStr">
        <is>
          <t>The Economic Times</t>
        </is>
      </c>
      <c r="D4392" s="17" t="n">
        <v>46295</v>
      </c>
      <c r="E4392" t="inlineStr">
        <is>
          <t>Simple Energy</t>
        </is>
      </c>
      <c r="F4392" t="inlineStr">
        <is>
          <t>Rs 1,750 crore</t>
        </is>
      </c>
      <c r="G4392" s="19" t="n">
        <v>1750</v>
      </c>
      <c r="H4392" s="19" t="n">
        <v>180</v>
      </c>
      <c r="I4392" t="inlineStr">
        <is>
          <t>Undisclosed</t>
        </is>
      </c>
      <c r="J4392" t="inlineStr"/>
      <c r="K4392" t="inlineStr">
        <is>
          <t>https://economictimes.indiatimes.com/tech/funding/simple-energy-raises-180-million-in-largest-funding-round-eyes-top-five-ev-two-wheeler-spot/articleshow/134594135.cms</t>
        </is>
      </c>
    </row>
    <row r="4393">
      <c r="A4393" t="inlineStr">
        <is>
          <t>INC-20261003-01</t>
        </is>
      </c>
      <c r="B4393" t="inlineStr">
        <is>
          <t>R260930-simpleenergy</t>
        </is>
      </c>
      <c r="C4393" t="inlineStr">
        <is>
          <t>Inc42</t>
        </is>
      </c>
      <c r="D4393" s="17" t="n">
        <v>46295</v>
      </c>
      <c r="E4393" t="inlineStr">
        <is>
          <t>Simple Energy</t>
        </is>
      </c>
      <c r="F4393" t="inlineStr">
        <is>
          <t>$180 Mn</t>
        </is>
      </c>
      <c r="G4393" s="19" t="n"/>
      <c r="H4393" s="19" t="n">
        <v>180</v>
      </c>
      <c r="I4393" t="inlineStr">
        <is>
          <t>Series C</t>
        </is>
      </c>
      <c r="J4393" t="inlineStr">
        <is>
          <t>Dr. Arokiaswamy Velumani Family Office</t>
        </is>
      </c>
      <c r="K4393" t="inlineStr">
        <is>
          <t>https://inc42.com/buzz/from-simple-energy-to-arivihan-indian-startups-raised-over-233-mn-this-week/</t>
        </is>
      </c>
    </row>
    <row r="4394">
      <c r="A4394" t="inlineStr">
        <is>
          <t>VCC-414987941f</t>
        </is>
      </c>
      <c r="B4394" t="inlineStr">
        <is>
          <t>R260930-simpleenergy</t>
        </is>
      </c>
      <c r="C4394" t="inlineStr">
        <is>
          <t>VCCircle</t>
        </is>
      </c>
      <c r="D4394" s="17" t="n">
        <v>46295</v>
      </c>
      <c r="E4394" t="inlineStr">
        <is>
          <t>evmaker simple energy</t>
        </is>
      </c>
      <c r="F4394" t="inlineStr"/>
      <c r="G4394" s="19" t="n"/>
      <c r="H4394" s="19" t="n"/>
      <c r="I4394" t="inlineStr">
        <is>
          <t>Series C</t>
        </is>
      </c>
      <c r="J4394" t="inlineStr"/>
      <c r="K4394" t="inlineStr">
        <is>
          <t>https://www.vccircle.com/evmaker-simple-energy-closes-series-c-round</t>
        </is>
      </c>
    </row>
    <row r="4395">
      <c r="A4395" t="inlineStr">
        <is>
          <t>ENT-12593640</t>
        </is>
      </c>
      <c r="B4395" t="inlineStr">
        <is>
          <t>R260930-vytalyou</t>
        </is>
      </c>
      <c r="C4395" t="inlineStr">
        <is>
          <t>Entrackr</t>
        </is>
      </c>
      <c r="D4395" s="17" t="n">
        <v>46295</v>
      </c>
      <c r="E4395" t="inlineStr">
        <is>
          <t>Vytalyou</t>
        </is>
      </c>
      <c r="F4395" t="inlineStr">
        <is>
          <t>Rs 9 crore</t>
        </is>
      </c>
      <c r="G4395" s="19" t="n">
        <v>9</v>
      </c>
      <c r="H4395" s="19" t="n"/>
      <c r="I4395" t="inlineStr">
        <is>
          <t>Pre-Series A</t>
        </is>
      </c>
      <c r="J4395" t="inlineStr"/>
      <c r="K4395" t="inlineStr">
        <is>
          <t>https://entrackr.com/snippets/longevity-startup-vytalyou-raises-rs-9-cr-in-pre-series-a-round-12593640</t>
        </is>
      </c>
    </row>
    <row r="4396">
      <c r="A4396" t="inlineStr">
        <is>
          <t>INC-20261003-09</t>
        </is>
      </c>
      <c r="B4396" t="inlineStr">
        <is>
          <t>R260930-vytalyou</t>
        </is>
      </c>
      <c r="C4396" t="inlineStr">
        <is>
          <t>Inc42</t>
        </is>
      </c>
      <c r="D4396" s="17" t="n">
        <v>46295</v>
      </c>
      <c r="E4396" t="inlineStr">
        <is>
          <t>Vytalyou</t>
        </is>
      </c>
      <c r="F4396" t="inlineStr">
        <is>
          <t>$936K</t>
        </is>
      </c>
      <c r="G4396" s="19" t="n"/>
      <c r="H4396" s="19" t="n">
        <v>0.9360000000000001</v>
      </c>
      <c r="I4396" t="inlineStr">
        <is>
          <t>Pre-Series A</t>
        </is>
      </c>
      <c r="J4396" t="inlineStr"/>
      <c r="K4396" t="inlineStr">
        <is>
          <t>https://inc42.com/buzz/from-simple-energy-to-arivihan-indian-startups-raised-over-233-mn-this-week/</t>
        </is>
      </c>
    </row>
    <row r="4397">
      <c r="A4397" t="inlineStr">
        <is>
          <t>ENT-12611813</t>
        </is>
      </c>
      <c r="B4397" t="inlineStr">
        <is>
          <t>R261001-aignosis</t>
        </is>
      </c>
      <c r="C4397" t="inlineStr">
        <is>
          <t>Entrackr</t>
        </is>
      </c>
      <c r="D4397" s="17" t="n">
        <v>46296</v>
      </c>
      <c r="E4397" t="inlineStr">
        <is>
          <t>Aignosis</t>
        </is>
      </c>
      <c r="F4397" t="inlineStr">
        <is>
          <t>Rs 4 crore</t>
        </is>
      </c>
      <c r="G4397" s="19" t="n">
        <v>4</v>
      </c>
      <c r="H4397" s="19" t="n"/>
      <c r="I4397" t="inlineStr">
        <is>
          <t>Seed</t>
        </is>
      </c>
      <c r="J4397" t="inlineStr">
        <is>
          <t>Antler; Nikhil Kamath; Varun Dua; IIMA Ventures</t>
        </is>
      </c>
      <c r="K4397" t="inlineStr">
        <is>
          <t>https://entrackr.com/snippets/antler-nikhil-kamath-back-healthtech-startup-aignosis-with-rs-4-cr-seed-round-12611813</t>
        </is>
      </c>
    </row>
    <row r="4398">
      <c r="A4398" t="inlineStr">
        <is>
          <t>INC-20261003-12</t>
        </is>
      </c>
      <c r="B4398" t="inlineStr">
        <is>
          <t>R261001-aignosis</t>
        </is>
      </c>
      <c r="C4398" t="inlineStr">
        <is>
          <t>Inc42</t>
        </is>
      </c>
      <c r="D4398" s="17" t="n">
        <v>46296</v>
      </c>
      <c r="E4398" t="inlineStr">
        <is>
          <t>Aignosis</t>
        </is>
      </c>
      <c r="F4398" t="inlineStr">
        <is>
          <t>$416K</t>
        </is>
      </c>
      <c r="G4398" s="19" t="n"/>
      <c r="H4398" s="19" t="n">
        <v>0.416</v>
      </c>
      <c r="I4398" t="inlineStr">
        <is>
          <t>Seed</t>
        </is>
      </c>
      <c r="J4398" t="inlineStr"/>
      <c r="K4398" t="inlineStr">
        <is>
          <t>https://inc42.com/buzz/from-simple-energy-to-arivihan-indian-startups-raised-over-233-mn-this-week/</t>
        </is>
      </c>
    </row>
    <row r="4399">
      <c r="A4399" t="inlineStr">
        <is>
          <t>ENT-12611688</t>
        </is>
      </c>
      <c r="B4399" t="inlineStr">
        <is>
          <t>R261001-bangalorewatch</t>
        </is>
      </c>
      <c r="C4399" t="inlineStr">
        <is>
          <t>Entrackr</t>
        </is>
      </c>
      <c r="D4399" s="17" t="n">
        <v>46296</v>
      </c>
      <c r="E4399" t="inlineStr">
        <is>
          <t>Bangalore Watch Company</t>
        </is>
      </c>
      <c r="F4399" t="inlineStr">
        <is>
          <t>$1.4 million</t>
        </is>
      </c>
      <c r="G4399" s="19" t="n"/>
      <c r="H4399" s="19" t="n">
        <v>1.4</v>
      </c>
      <c r="I4399" t="inlineStr">
        <is>
          <t>Seed</t>
        </is>
      </c>
      <c r="J4399" t="inlineStr"/>
      <c r="K4399" t="inlineStr">
        <is>
          <t>https://entrackr.com/snippets/bangalore-watch-company-raises-14-mn-in-seed-round-from-customers-family-office-hnis-12611688</t>
        </is>
      </c>
    </row>
    <row r="4400">
      <c r="A4400" t="inlineStr">
        <is>
          <t>INC-20261003-07</t>
        </is>
      </c>
      <c r="B4400" t="inlineStr">
        <is>
          <t>R261001-bangalorewatch</t>
        </is>
      </c>
      <c r="C4400" t="inlineStr">
        <is>
          <t>Inc42</t>
        </is>
      </c>
      <c r="D4400" s="17" t="n">
        <v>46296</v>
      </c>
      <c r="E4400" t="inlineStr">
        <is>
          <t>Banglore Watch Company</t>
        </is>
      </c>
      <c r="F4400" t="inlineStr">
        <is>
          <t>$1.4 Mn</t>
        </is>
      </c>
      <c r="G4400" s="19" t="n"/>
      <c r="H4400" s="19" t="n">
        <v>1.4</v>
      </c>
      <c r="I4400" t="inlineStr">
        <is>
          <t>Seed</t>
        </is>
      </c>
      <c r="J4400" t="inlineStr"/>
      <c r="K4400" t="inlineStr">
        <is>
          <t>https://inc42.com/buzz/from-simple-energy-to-arivihan-indian-startups-raised-over-233-mn-this-week/</t>
        </is>
      </c>
    </row>
    <row r="4401">
      <c r="A4401" t="inlineStr">
        <is>
          <t>ENT-12611889</t>
        </is>
      </c>
      <c r="B4401" t="inlineStr">
        <is>
          <t>R261001-seedsfincap</t>
        </is>
      </c>
      <c r="C4401" t="inlineStr">
        <is>
          <t>Entrackr</t>
        </is>
      </c>
      <c r="D4401" s="17" t="n">
        <v>46296</v>
      </c>
      <c r="E4401" t="inlineStr">
        <is>
          <t>Seeds Fincap</t>
        </is>
      </c>
      <c r="F4401" t="inlineStr">
        <is>
          <t>Rs 100 crore</t>
        </is>
      </c>
      <c r="G4401" s="19" t="n">
        <v>100</v>
      </c>
      <c r="H4401" s="19" t="n">
        <v>10.4</v>
      </c>
      <c r="I4401" t="inlineStr">
        <is>
          <t>Series B</t>
        </is>
      </c>
      <c r="J4401" t="inlineStr">
        <is>
          <t>Michael &amp; Susan Dell Foundation</t>
        </is>
      </c>
      <c r="K4401" t="inlineStr">
        <is>
          <t>https://entrackr.com/news/seeds-fincap-raises-rs-100-cr-in-series-b-led-by-michael-susan-dell-foundation-12611889</t>
        </is>
      </c>
    </row>
    <row r="4402">
      <c r="A4402" t="inlineStr">
        <is>
          <t>INC-20261003-03</t>
        </is>
      </c>
      <c r="B4402" t="inlineStr">
        <is>
          <t>R261001-seedsfincap</t>
        </is>
      </c>
      <c r="C4402" t="inlineStr">
        <is>
          <t>Inc42</t>
        </is>
      </c>
      <c r="D4402" s="17" t="n">
        <v>46296</v>
      </c>
      <c r="E4402" t="inlineStr">
        <is>
          <t>Seeds Fincap</t>
        </is>
      </c>
      <c r="F4402" t="inlineStr">
        <is>
          <t>$10.4 Mn</t>
        </is>
      </c>
      <c r="G4402" s="19" t="n"/>
      <c r="H4402" s="19" t="n">
        <v>10.4</v>
      </c>
      <c r="I4402" t="inlineStr">
        <is>
          <t>Series B</t>
        </is>
      </c>
      <c r="J4402" t="inlineStr">
        <is>
          <t>Michael &amp; Susan Dell Foundation</t>
        </is>
      </c>
      <c r="K4402" t="inlineStr">
        <is>
          <t>https://inc42.com/buzz/from-simple-energy-to-arivihan-indian-startups-raised-over-233-mn-this-week/</t>
        </is>
      </c>
    </row>
    <row r="4403">
      <c r="A4403" t="inlineStr">
        <is>
          <t>ENT-12611816</t>
        </is>
      </c>
      <c r="B4403" t="inlineStr">
        <is>
          <t>R261001-unveilrai</t>
        </is>
      </c>
      <c r="C4403" t="inlineStr">
        <is>
          <t>Entrackr</t>
        </is>
      </c>
      <c r="D4403" s="17" t="n">
        <v>46296</v>
      </c>
      <c r="E4403" t="inlineStr">
        <is>
          <t>Unveilr AI</t>
        </is>
      </c>
      <c r="F4403" t="inlineStr"/>
      <c r="G4403" s="19" t="n"/>
      <c r="H4403" s="19" t="n"/>
      <c r="I4403" t="inlineStr">
        <is>
          <t>Pre-Seed</t>
        </is>
      </c>
      <c r="J4403" t="inlineStr"/>
      <c r="K4403" t="inlineStr">
        <is>
          <t>https://entrackr.com/snippets/unveilr-ai-raises-pre-seed-round-from-ajvc-at-rs-167-cr-valuation-12611816</t>
        </is>
      </c>
    </row>
    <row r="4404">
      <c r="A4404" t="inlineStr">
        <is>
          <t>INC-20261003-13</t>
        </is>
      </c>
      <c r="B4404" t="inlineStr">
        <is>
          <t>R261001-unveilrai</t>
        </is>
      </c>
      <c r="C4404" t="inlineStr">
        <is>
          <t>Inc42</t>
        </is>
      </c>
      <c r="D4404" s="17" t="n">
        <v>46296</v>
      </c>
      <c r="E4404" t="inlineStr">
        <is>
          <t>Unveilr AI</t>
        </is>
      </c>
      <c r="F4404" t="inlineStr"/>
      <c r="G4404" s="19" t="n"/>
      <c r="H4404" s="19" t="n"/>
      <c r="I4404" t="inlineStr">
        <is>
          <t>Pre-Seed</t>
        </is>
      </c>
      <c r="J4404" t="inlineStr">
        <is>
          <t>Aviral Bhatnagar</t>
        </is>
      </c>
      <c r="K4404" t="inlineStr">
        <is>
          <t>https://inc42.com/buzz/from-simple-energy-to-arivihan-indian-startups-raised-over-233-mn-this-week/</t>
        </is>
      </c>
    </row>
    <row r="4405">
      <c r="A4405" t="inlineStr">
        <is>
          <t>ENT-12612485</t>
        </is>
      </c>
      <c r="B4405" t="inlineStr">
        <is>
          <t>R261001-zaperon</t>
        </is>
      </c>
      <c r="C4405" t="inlineStr">
        <is>
          <t>Entrackr</t>
        </is>
      </c>
      <c r="D4405" s="17" t="n">
        <v>46296</v>
      </c>
      <c r="E4405" t="inlineStr">
        <is>
          <t>Zaperon</t>
        </is>
      </c>
      <c r="F4405" t="inlineStr">
        <is>
          <t>Rs 7 crore</t>
        </is>
      </c>
      <c r="G4405" s="19" t="n">
        <v>7</v>
      </c>
      <c r="H4405" s="19" t="n"/>
      <c r="I4405" t="inlineStr">
        <is>
          <t>Seed</t>
        </is>
      </c>
      <c r="J4405" t="inlineStr">
        <is>
          <t>Inflection Point Ventures</t>
        </is>
      </c>
      <c r="K4405" t="inlineStr">
        <is>
          <t>https://entrackr.com/snippets/ipv-leads-rs-7-cr-seed-round-in-cybersecurity-startup-zaperon-12612485</t>
        </is>
      </c>
    </row>
    <row r="4406">
      <c r="A4406" t="inlineStr">
        <is>
          <t>INC-20261003-11</t>
        </is>
      </c>
      <c r="B4406" t="inlineStr">
        <is>
          <t>R261001-zaperon</t>
        </is>
      </c>
      <c r="C4406" t="inlineStr">
        <is>
          <t>Inc42</t>
        </is>
      </c>
      <c r="D4406" s="17" t="n">
        <v>46296</v>
      </c>
      <c r="E4406" t="inlineStr">
        <is>
          <t>Zaperon</t>
        </is>
      </c>
      <c r="F4406" t="inlineStr">
        <is>
          <t>$728K</t>
        </is>
      </c>
      <c r="G4406" s="19" t="n"/>
      <c r="H4406" s="19" t="n">
        <v>0.728</v>
      </c>
      <c r="I4406" t="inlineStr">
        <is>
          <t>Seed</t>
        </is>
      </c>
      <c r="J4406" t="inlineStr">
        <is>
          <t>Inflection Point Ventures</t>
        </is>
      </c>
      <c r="K4406" t="inlineStr">
        <is>
          <t>https://inc42.com/buzz/from-simple-energy-to-arivihan-indian-startups-raised-over-233-mn-this-week/</t>
        </is>
      </c>
    </row>
    <row r="4407">
      <c r="A4407" t="inlineStr">
        <is>
          <t>ENT-12625901</t>
        </is>
      </c>
      <c r="B4407" t="inlineStr">
        <is>
          <t>R261005-qpiai</t>
        </is>
      </c>
      <c r="C4407" t="inlineStr">
        <is>
          <t>Entrackr</t>
        </is>
      </c>
      <c r="D4407" s="17" t="n">
        <v>46300</v>
      </c>
      <c r="E4407" t="inlineStr">
        <is>
          <t>QpiAI</t>
        </is>
      </c>
      <c r="F4407" t="inlineStr">
        <is>
          <t>Rs 50 Cr</t>
        </is>
      </c>
      <c r="G4407" s="19" t="n">
        <v>50</v>
      </c>
      <c r="H4407" s="19" t="n"/>
      <c r="I4407" t="inlineStr">
        <is>
          <t>Debt</t>
        </is>
      </c>
      <c r="J4407" t="inlineStr"/>
      <c r="K4407" t="inlineStr">
        <is>
          <t>https://entrackr.com/exclusive/exclusive-qpiai-raises-rs-50-cr-in-debt-from-innoven-capital-12625901</t>
        </is>
      </c>
    </row>
    <row r="4408">
      <c r="A4408" t="inlineStr">
        <is>
          <t>ENT-12624249</t>
        </is>
      </c>
      <c r="B4408" t="inlineStr">
        <is>
          <t>R261005-scooter</t>
        </is>
      </c>
      <c r="C4408" t="inlineStr">
        <is>
          <t>Entrackr</t>
        </is>
      </c>
      <c r="D4408" s="17" t="n">
        <v>46300</v>
      </c>
      <c r="E4408" t="inlineStr">
        <is>
          <t>Scooter</t>
        </is>
      </c>
      <c r="F4408" t="inlineStr">
        <is>
          <t>Rs 1.5 crore</t>
        </is>
      </c>
      <c r="G4408" s="19" t="n">
        <v>1.5</v>
      </c>
      <c r="H4408" s="19" t="n"/>
      <c r="I4408" t="inlineStr">
        <is>
          <t>Pre-Seed</t>
        </is>
      </c>
      <c r="J4408" t="inlineStr">
        <is>
          <t>AJVC</t>
        </is>
      </c>
      <c r="K4408" t="inlineStr">
        <is>
          <t>https://entrackr.com/snippets/sales-hiring-startup-scooter-raises-rs-15-cr-pre-seed-round-12624249</t>
        </is>
      </c>
    </row>
    <row r="4409">
      <c r="A4409" t="inlineStr">
        <is>
          <t>INC-20261010-23</t>
        </is>
      </c>
      <c r="B4409" t="inlineStr">
        <is>
          <t>R261005-scooter</t>
        </is>
      </c>
      <c r="C4409" t="inlineStr">
        <is>
          <t>Inc42</t>
        </is>
      </c>
      <c r="D4409" s="17" t="n">
        <v>46305</v>
      </c>
      <c r="E4409" t="inlineStr">
        <is>
          <t>Scooter</t>
        </is>
      </c>
      <c r="F4409" t="inlineStr">
        <is>
          <t>$155K</t>
        </is>
      </c>
      <c r="G4409" s="19" t="n"/>
      <c r="H4409" s="19" t="n">
        <v>0.155</v>
      </c>
      <c r="I4409" t="inlineStr">
        <is>
          <t>Undisclosed</t>
        </is>
      </c>
      <c r="J4409" t="inlineStr">
        <is>
          <t>AJVC</t>
        </is>
      </c>
      <c r="K4409" t="inlineStr">
        <is>
          <t>https://inc42.com/buzz/from-dailyobjects-to-stockgro-indian-startups-raised-about-123-mn-this-week/</t>
        </is>
      </c>
    </row>
    <row r="4410">
      <c r="A4410" t="inlineStr">
        <is>
          <t>ENT-12627573</t>
        </is>
      </c>
      <c r="B4410" t="inlineStr">
        <is>
          <t>R261006-beyondapplianc</t>
        </is>
      </c>
      <c r="C4410" t="inlineStr">
        <is>
          <t>Entrackr</t>
        </is>
      </c>
      <c r="D4410" s="17" t="n">
        <v>46301</v>
      </c>
      <c r="E4410" t="inlineStr">
        <is>
          <t>Beyond Appliances</t>
        </is>
      </c>
      <c r="F4410" t="inlineStr">
        <is>
          <t>Rs 110 crore</t>
        </is>
      </c>
      <c r="G4410" s="19" t="n">
        <v>110</v>
      </c>
      <c r="H4410" s="19" t="n">
        <v>11.4</v>
      </c>
      <c r="I4410" t="inlineStr">
        <is>
          <t>Series B</t>
        </is>
      </c>
      <c r="J4410" t="inlineStr">
        <is>
          <t>Fireside Ventures</t>
        </is>
      </c>
      <c r="K4410" t="inlineStr">
        <is>
          <t>https://entrackr.com/news/fireside-leads-rs-110-cr-series-b-round-in-beyond-appliances-12627573</t>
        </is>
      </c>
    </row>
    <row r="4411">
      <c r="A4411" t="inlineStr">
        <is>
          <t>ET-134710935</t>
        </is>
      </c>
      <c r="B4411" t="inlineStr">
        <is>
          <t>R261006-beyondapplianc</t>
        </is>
      </c>
      <c r="C4411" t="inlineStr">
        <is>
          <t>The Economic Times</t>
        </is>
      </c>
      <c r="D4411" s="17" t="n">
        <v>46301</v>
      </c>
      <c r="E4411" t="inlineStr">
        <is>
          <t>Beyond Appliances</t>
        </is>
      </c>
      <c r="F4411" t="inlineStr">
        <is>
          <t>Rs 110 crore</t>
        </is>
      </c>
      <c r="G4411" s="19" t="n">
        <v>110</v>
      </c>
      <c r="H4411" s="19" t="n"/>
      <c r="I4411" t="inlineStr">
        <is>
          <t>Undisclosed</t>
        </is>
      </c>
      <c r="J4411" t="inlineStr">
        <is>
          <t>Fireside Ventures</t>
        </is>
      </c>
      <c r="K4411" t="inlineStr">
        <is>
          <t>https://economictimes.indiatimes.com/tech/startups/kitchen-appliance-startup-beyond-appliances-raises-rs-110-crore-led-by-fireside-adia/articleshow/134710935.cms</t>
        </is>
      </c>
    </row>
    <row r="4412">
      <c r="A4412" t="inlineStr">
        <is>
          <t>INC-20261010-03</t>
        </is>
      </c>
      <c r="B4412" t="inlineStr">
        <is>
          <t>R261006-beyondapplianc</t>
        </is>
      </c>
      <c r="C4412" t="inlineStr">
        <is>
          <t>Inc42</t>
        </is>
      </c>
      <c r="D4412" s="17" t="n">
        <v>46301</v>
      </c>
      <c r="E4412" t="inlineStr">
        <is>
          <t>Beyond Appliances</t>
        </is>
      </c>
      <c r="F4412" t="inlineStr">
        <is>
          <t>$10.4 Mn</t>
        </is>
      </c>
      <c r="G4412" s="19" t="n"/>
      <c r="H4412" s="19" t="n">
        <v>10.4</v>
      </c>
      <c r="I4412" t="inlineStr">
        <is>
          <t>Series B</t>
        </is>
      </c>
      <c r="J4412" t="inlineStr">
        <is>
          <t>Fireside Ventures</t>
        </is>
      </c>
      <c r="K4412" t="inlineStr">
        <is>
          <t>https://inc42.com/buzz/from-dailyobjects-to-stockgro-indian-startups-raised-about-123-mn-this-week/</t>
        </is>
      </c>
    </row>
    <row r="4413">
      <c r="A4413" t="inlineStr">
        <is>
          <t>ENT-12628366</t>
        </is>
      </c>
      <c r="B4413" t="inlineStr">
        <is>
          <t>R261006-curemeabroad</t>
        </is>
      </c>
      <c r="C4413" t="inlineStr">
        <is>
          <t>Entrackr</t>
        </is>
      </c>
      <c r="D4413" s="17" t="n">
        <v>46301</v>
      </c>
      <c r="E4413" t="inlineStr">
        <is>
          <t>CureMeAbroad</t>
        </is>
      </c>
      <c r="F4413" t="inlineStr">
        <is>
          <t>$1.1 million</t>
        </is>
      </c>
      <c r="G4413" s="19" t="n"/>
      <c r="H4413" s="19" t="n">
        <v>1.1</v>
      </c>
      <c r="I4413" t="inlineStr">
        <is>
          <t>Pre-Seed</t>
        </is>
      </c>
      <c r="J4413" t="inlineStr">
        <is>
          <t>SteerX Ventures</t>
        </is>
      </c>
      <c r="K4413" t="inlineStr">
        <is>
          <t>https://entrackr.com/snippets/medical-tourism-startup-curemeabroad-raises-11-mn-in-pre-seed-funding-12628366</t>
        </is>
      </c>
    </row>
    <row r="4414">
      <c r="A4414" t="inlineStr">
        <is>
          <t>INC-20261010-15</t>
        </is>
      </c>
      <c r="B4414" t="inlineStr">
        <is>
          <t>R261006-curemeabroad</t>
        </is>
      </c>
      <c r="C4414" t="inlineStr">
        <is>
          <t>Inc42</t>
        </is>
      </c>
      <c r="D4414" s="17" t="n">
        <v>46301</v>
      </c>
      <c r="E4414" t="inlineStr">
        <is>
          <t>CureMeAbroad</t>
        </is>
      </c>
      <c r="F4414" t="inlineStr">
        <is>
          <t>$1.1 Mn</t>
        </is>
      </c>
      <c r="G4414" s="19" t="n"/>
      <c r="H4414" s="19" t="n">
        <v>1.1</v>
      </c>
      <c r="I4414" t="inlineStr">
        <is>
          <t>Pre-Seed</t>
        </is>
      </c>
      <c r="J4414" t="inlineStr">
        <is>
          <t>SteerX Ventures</t>
        </is>
      </c>
      <c r="K4414" t="inlineStr">
        <is>
          <t>https://inc42.com/buzz/from-dailyobjects-to-stockgro-indian-startups-raised-about-123-mn-this-week/</t>
        </is>
      </c>
    </row>
    <row r="4415">
      <c r="A4415" t="inlineStr">
        <is>
          <t>ENT-12627784</t>
        </is>
      </c>
      <c r="B4415" t="inlineStr">
        <is>
          <t>R261006-curvetai</t>
        </is>
      </c>
      <c r="C4415" t="inlineStr">
        <is>
          <t>Entrackr</t>
        </is>
      </c>
      <c r="D4415" s="17" t="n">
        <v>46301</v>
      </c>
      <c r="E4415" t="inlineStr">
        <is>
          <t>CurvetAI</t>
        </is>
      </c>
      <c r="F4415" t="inlineStr">
        <is>
          <t>Rs 6 crore</t>
        </is>
      </c>
      <c r="G4415" s="19" t="n">
        <v>6</v>
      </c>
      <c r="H4415" s="19" t="n"/>
      <c r="I4415" t="inlineStr">
        <is>
          <t>Pre-Seed</t>
        </is>
      </c>
      <c r="J4415" t="inlineStr">
        <is>
          <t>Merak Ventures</t>
        </is>
      </c>
      <c r="K4415" t="inlineStr">
        <is>
          <t>https://entrackr.com/snippets/curvetai-raises-rs-6-cr-pre-seed-round-led-by-merak-ventures-12627784</t>
        </is>
      </c>
    </row>
    <row r="4416">
      <c r="A4416" t="inlineStr">
        <is>
          <t>INC-20261010-17</t>
        </is>
      </c>
      <c r="B4416" t="inlineStr">
        <is>
          <t>R261006-curvetai</t>
        </is>
      </c>
      <c r="C4416" t="inlineStr">
        <is>
          <t>Inc42</t>
        </is>
      </c>
      <c r="D4416" s="17" t="n">
        <v>46301</v>
      </c>
      <c r="E4416" t="inlineStr">
        <is>
          <t>CurvetAI</t>
        </is>
      </c>
      <c r="F4416" t="inlineStr">
        <is>
          <t>$620K</t>
        </is>
      </c>
      <c r="G4416" s="19" t="n"/>
      <c r="H4416" s="19" t="n">
        <v>0.62</v>
      </c>
      <c r="I4416" t="inlineStr">
        <is>
          <t>Pre-Seed</t>
        </is>
      </c>
      <c r="J4416" t="inlineStr">
        <is>
          <t>Merak Ventures</t>
        </is>
      </c>
      <c r="K4416" t="inlineStr">
        <is>
          <t>https://inc42.com/buzz/from-dailyobjects-to-stockgro-indian-startups-raised-about-123-mn-this-week/</t>
        </is>
      </c>
    </row>
    <row r="4417">
      <c r="A4417" t="inlineStr">
        <is>
          <t>ENT-12628381</t>
        </is>
      </c>
      <c r="B4417" t="inlineStr">
        <is>
          <t>R261006-indigotex</t>
        </is>
      </c>
      <c r="C4417" t="inlineStr">
        <is>
          <t>Entrackr</t>
        </is>
      </c>
      <c r="D4417" s="17" t="n">
        <v>46301</v>
      </c>
      <c r="E4417" t="inlineStr">
        <is>
          <t>IndigoTex</t>
        </is>
      </c>
      <c r="F4417" t="inlineStr">
        <is>
          <t>Rs 5 crore</t>
        </is>
      </c>
      <c r="G4417" s="19" t="n">
        <v>5</v>
      </c>
      <c r="H4417" s="19" t="n"/>
      <c r="I4417" t="inlineStr">
        <is>
          <t>Undisclosed</t>
        </is>
      </c>
      <c r="J4417" t="inlineStr">
        <is>
          <t>IAN Angel Fund</t>
        </is>
      </c>
      <c r="K4417" t="inlineStr">
        <is>
          <t>https://entrackr.com/snippets/ian-angel-fund-leads-rs-5-cr-round-in-deeptech-textile-startup-indigotex-12628381</t>
        </is>
      </c>
    </row>
    <row r="4418">
      <c r="A4418" t="inlineStr">
        <is>
          <t>INC-20261010-19</t>
        </is>
      </c>
      <c r="B4418" t="inlineStr">
        <is>
          <t>R261006-indigotex</t>
        </is>
      </c>
      <c r="C4418" t="inlineStr">
        <is>
          <t>Inc42</t>
        </is>
      </c>
      <c r="D4418" s="17" t="n">
        <v>46301</v>
      </c>
      <c r="E4418" t="inlineStr">
        <is>
          <t>IndigoTex</t>
        </is>
      </c>
      <c r="F4418" t="inlineStr">
        <is>
          <t>$517K</t>
        </is>
      </c>
      <c r="G4418" s="19" t="n"/>
      <c r="H4418" s="19" t="n">
        <v>0.517</v>
      </c>
      <c r="I4418" t="inlineStr">
        <is>
          <t>Undisclosed</t>
        </is>
      </c>
      <c r="J4418" t="inlineStr">
        <is>
          <t>IAN Group</t>
        </is>
      </c>
      <c r="K4418" t="inlineStr">
        <is>
          <t>https://inc42.com/buzz/from-dailyobjects-to-stockgro-indian-startups-raised-about-123-mn-this-week/</t>
        </is>
      </c>
    </row>
    <row r="4419">
      <c r="A4419" t="inlineStr">
        <is>
          <t>ENT-12627734</t>
        </is>
      </c>
      <c r="B4419" t="inlineStr">
        <is>
          <t>R261006-kineticage</t>
        </is>
      </c>
      <c r="C4419" t="inlineStr">
        <is>
          <t>Entrackr</t>
        </is>
      </c>
      <c r="D4419" s="17" t="n">
        <v>46301</v>
      </c>
      <c r="E4419" t="inlineStr">
        <is>
          <t>Kinetic Age</t>
        </is>
      </c>
      <c r="F4419" t="inlineStr">
        <is>
          <t>$250,000</t>
        </is>
      </c>
      <c r="G4419" s="19" t="n"/>
      <c r="H4419" s="19" t="n">
        <v>0.25</v>
      </c>
      <c r="I4419" t="inlineStr">
        <is>
          <t>Undisclosed</t>
        </is>
      </c>
      <c r="J4419" t="inlineStr">
        <is>
          <t>AJVC; Agrasar Ventures</t>
        </is>
      </c>
      <c r="K4419" t="inlineStr">
        <is>
          <t>https://entrackr.com/snippets/kinetic-age-raises-250k-from-ajvc-agrasar-ventures-12627734</t>
        </is>
      </c>
    </row>
    <row r="4420">
      <c r="A4420" t="inlineStr">
        <is>
          <t>INC-20261010-22</t>
        </is>
      </c>
      <c r="B4420" t="inlineStr">
        <is>
          <t>R261006-kineticage</t>
        </is>
      </c>
      <c r="C4420" t="inlineStr">
        <is>
          <t>Inc42</t>
        </is>
      </c>
      <c r="D4420" s="17" t="n">
        <v>46301</v>
      </c>
      <c r="E4420" t="inlineStr">
        <is>
          <t>Kinetic Age</t>
        </is>
      </c>
      <c r="F4420" t="inlineStr">
        <is>
          <t>$250K</t>
        </is>
      </c>
      <c r="G4420" s="19" t="n"/>
      <c r="H4420" s="19" t="n">
        <v>0.25</v>
      </c>
      <c r="I4420" t="inlineStr">
        <is>
          <t>Undisclosed</t>
        </is>
      </c>
      <c r="J4420" t="inlineStr">
        <is>
          <t>AJVC; Agrasar Ventures</t>
        </is>
      </c>
      <c r="K4420" t="inlineStr">
        <is>
          <t>https://inc42.com/buzz/from-dailyobjects-to-stockgro-indian-startups-raised-about-123-mn-this-week/</t>
        </is>
      </c>
    </row>
    <row r="4421">
      <c r="A4421" t="inlineStr">
        <is>
          <t>ENT-12628801</t>
        </is>
      </c>
      <c r="B4421" t="inlineStr">
        <is>
          <t>R261006-lorazzo</t>
        </is>
      </c>
      <c r="C4421" t="inlineStr">
        <is>
          <t>Entrackr</t>
        </is>
      </c>
      <c r="D4421" s="17" t="n">
        <v>46301</v>
      </c>
      <c r="E4421" t="inlineStr">
        <is>
          <t>Lorazzo</t>
        </is>
      </c>
      <c r="F4421" t="inlineStr">
        <is>
          <t>Rs 15 crore</t>
        </is>
      </c>
      <c r="G4421" s="19" t="n">
        <v>15</v>
      </c>
      <c r="H4421" s="19" t="n"/>
      <c r="I4421" t="inlineStr">
        <is>
          <t>Undisclosed</t>
        </is>
      </c>
      <c r="J4421" t="inlineStr">
        <is>
          <t>Sauce</t>
        </is>
      </c>
      <c r="K4421" t="inlineStr">
        <is>
          <t>https://entrackr.com/snippets/sauce-leads-rs-15-cr-funding-round-in-kitchen-and-bathroom-brand-lorazzo-12628801</t>
        </is>
      </c>
    </row>
    <row r="4422">
      <c r="A4422" t="inlineStr">
        <is>
          <t>ET-134711876</t>
        </is>
      </c>
      <c r="B4422" t="inlineStr">
        <is>
          <t>R261006-lorazzo</t>
        </is>
      </c>
      <c r="C4422" t="inlineStr">
        <is>
          <t>The Economic Times</t>
        </is>
      </c>
      <c r="D4422" s="17" t="n">
        <v>46301</v>
      </c>
      <c r="E4422" t="inlineStr">
        <is>
          <t>Lorazzo</t>
        </is>
      </c>
      <c r="F4422" t="inlineStr">
        <is>
          <t>Rs 15 crore</t>
        </is>
      </c>
      <c r="G4422" s="19" t="n">
        <v>15</v>
      </c>
      <c r="H4422" s="19" t="n"/>
      <c r="I4422" t="inlineStr">
        <is>
          <t>Undisclosed</t>
        </is>
      </c>
      <c r="J4422" t="inlineStr">
        <is>
          <t>Sauce</t>
        </is>
      </c>
      <c r="K4422" t="inlineStr">
        <is>
          <t>https://economictimes.indiatimes.com/tech/funding/kitchen-and-bathroom-fittings-brand-lorazzo-raises-rs-15-crore-funding-led-by-sauce/articleshow/134711876.cms</t>
        </is>
      </c>
    </row>
    <row r="4423">
      <c r="A4423" t="inlineStr">
        <is>
          <t>INC-20261010-13</t>
        </is>
      </c>
      <c r="B4423" t="inlineStr">
        <is>
          <t>R261006-lorazzo</t>
        </is>
      </c>
      <c r="C4423" t="inlineStr">
        <is>
          <t>Inc42</t>
        </is>
      </c>
      <c r="D4423" s="17" t="n">
        <v>46301</v>
      </c>
      <c r="E4423" t="inlineStr">
        <is>
          <t>Lorazzo</t>
        </is>
      </c>
      <c r="F4423" t="inlineStr">
        <is>
          <t>$1.5 Mn</t>
        </is>
      </c>
      <c r="G4423" s="19" t="n"/>
      <c r="H4423" s="19" t="n">
        <v>1.5</v>
      </c>
      <c r="I4423" t="inlineStr">
        <is>
          <t>Undisclosed</t>
        </is>
      </c>
      <c r="J4423" t="inlineStr">
        <is>
          <t>Sauce.Vc</t>
        </is>
      </c>
      <c r="K4423" t="inlineStr">
        <is>
          <t>https://inc42.com/buzz/from-dailyobjects-to-stockgro-indian-startups-raised-about-123-mn-this-week/</t>
        </is>
      </c>
    </row>
    <row r="4424">
      <c r="A4424" t="inlineStr">
        <is>
          <t>ENT-12627826</t>
        </is>
      </c>
      <c r="B4424" t="inlineStr">
        <is>
          <t>R261006-refitglobal</t>
        </is>
      </c>
      <c r="C4424" t="inlineStr">
        <is>
          <t>Entrackr</t>
        </is>
      </c>
      <c r="D4424" s="17" t="n">
        <v>46301</v>
      </c>
      <c r="E4424" t="inlineStr">
        <is>
          <t>ReFit Global</t>
        </is>
      </c>
      <c r="F4424" t="inlineStr">
        <is>
          <t>$1 million</t>
        </is>
      </c>
      <c r="G4424" s="19" t="n"/>
      <c r="H4424" s="19" t="n">
        <v>1</v>
      </c>
      <c r="I4424" t="inlineStr">
        <is>
          <t>Seed</t>
        </is>
      </c>
      <c r="J4424" t="inlineStr"/>
      <c r="K4424" t="inlineStr">
        <is>
          <t>https://entrackr.com/snippets/refurbished-electronics-platform-refit-global-raises-1-mn-in-seed-round-12627826</t>
        </is>
      </c>
    </row>
    <row r="4425">
      <c r="A4425" t="inlineStr">
        <is>
          <t>INC-20261010-16</t>
        </is>
      </c>
      <c r="B4425" t="inlineStr">
        <is>
          <t>R261006-refitglobal</t>
        </is>
      </c>
      <c r="C4425" t="inlineStr">
        <is>
          <t>Inc42</t>
        </is>
      </c>
      <c r="D4425" s="17" t="n">
        <v>46301</v>
      </c>
      <c r="E4425" t="inlineStr">
        <is>
          <t>ReFit Global</t>
        </is>
      </c>
      <c r="F4425" t="inlineStr">
        <is>
          <t>$1 Mn</t>
        </is>
      </c>
      <c r="G4425" s="19" t="n"/>
      <c r="H4425" s="19" t="n">
        <v>1</v>
      </c>
      <c r="I4425" t="inlineStr">
        <is>
          <t>Seed</t>
        </is>
      </c>
      <c r="J4425" t="inlineStr"/>
      <c r="K4425" t="inlineStr">
        <is>
          <t>https://inc42.com/buzz/from-dailyobjects-to-stockgro-indian-startups-raised-about-123-mn-this-week/</t>
        </is>
      </c>
    </row>
    <row r="4426">
      <c r="A4426" t="inlineStr">
        <is>
          <t>INC-20261010-24</t>
        </is>
      </c>
      <c r="B4426" t="inlineStr">
        <is>
          <t>R261006-soberandco</t>
        </is>
      </c>
      <c r="C4426" t="inlineStr">
        <is>
          <t>Inc42</t>
        </is>
      </c>
      <c r="D4426" s="17" t="n">
        <v>46301</v>
      </c>
      <c r="E4426" t="inlineStr">
        <is>
          <t>Sober &amp; Co</t>
        </is>
      </c>
      <c r="F4426" t="inlineStr">
        <is>
          <t>$77K</t>
        </is>
      </c>
      <c r="G4426" s="19" t="n"/>
      <c r="H4426" s="19" t="n">
        <v>0.077</v>
      </c>
      <c r="I4426" t="inlineStr">
        <is>
          <t>Undisclosed</t>
        </is>
      </c>
      <c r="J4426" t="inlineStr">
        <is>
          <t>Sunaina Bhattacharya; Anuj Dhariwal</t>
        </is>
      </c>
      <c r="K4426" t="inlineStr">
        <is>
          <t>https://inc42.com/buzz/from-dailyobjects-to-stockgro-indian-startups-raised-about-123-mn-this-week/</t>
        </is>
      </c>
    </row>
    <row r="4427">
      <c r="A4427" t="inlineStr">
        <is>
          <t>INC-20261010-04</t>
        </is>
      </c>
      <c r="B4427" t="inlineStr">
        <is>
          <t>R261006-stockgro</t>
        </is>
      </c>
      <c r="C4427" t="inlineStr">
        <is>
          <t>Inc42</t>
        </is>
      </c>
      <c r="D4427" s="17" t="n">
        <v>46301</v>
      </c>
      <c r="E4427" t="inlineStr">
        <is>
          <t>StockGro</t>
        </is>
      </c>
      <c r="F4427" t="inlineStr">
        <is>
          <t>$10.4 Mn</t>
        </is>
      </c>
      <c r="G4427" s="19" t="n"/>
      <c r="H4427" s="19" t="n">
        <v>10.4</v>
      </c>
      <c r="I4427" t="inlineStr">
        <is>
          <t>Series B</t>
        </is>
      </c>
      <c r="J4427" t="inlineStr">
        <is>
          <t>BITKRAFT Ventures</t>
        </is>
      </c>
      <c r="K4427" t="inlineStr">
        <is>
          <t>https://inc42.com/buzz/from-dailyobjects-to-stockgro-indian-startups-raised-about-123-mn-this-week/</t>
        </is>
      </c>
    </row>
    <row r="4428">
      <c r="A4428" t="inlineStr">
        <is>
          <t>ENT-12632385</t>
        </is>
      </c>
      <c r="B4428" t="inlineStr">
        <is>
          <t>R261007-bytexl</t>
        </is>
      </c>
      <c r="C4428" t="inlineStr">
        <is>
          <t>Entrackr</t>
        </is>
      </c>
      <c r="D4428" s="17" t="n">
        <v>46302</v>
      </c>
      <c r="E4428" t="inlineStr">
        <is>
          <t>byteXL</t>
        </is>
      </c>
      <c r="F4428" t="inlineStr">
        <is>
          <t>$9 million</t>
        </is>
      </c>
      <c r="G4428" s="19" t="n"/>
      <c r="H4428" s="19" t="n">
        <v>9</v>
      </c>
      <c r="I4428" t="inlineStr">
        <is>
          <t>Undisclosed</t>
        </is>
      </c>
      <c r="J4428" t="inlineStr">
        <is>
          <t>Elevar Equity</t>
        </is>
      </c>
      <c r="K4428" t="inlineStr">
        <is>
          <t>https://entrackr.com/snippets/edtech-startup-bytexl-raises-9-mn-in-funding-round-led-by-elevar-equity-12632385</t>
        </is>
      </c>
    </row>
    <row r="4429">
      <c r="A4429" t="inlineStr">
        <is>
          <t>ET-134757491</t>
        </is>
      </c>
      <c r="B4429" t="inlineStr">
        <is>
          <t>R261007-bytexl</t>
        </is>
      </c>
      <c r="C4429" t="inlineStr">
        <is>
          <t>The Economic Times</t>
        </is>
      </c>
      <c r="D4429" s="17" t="n">
        <v>46302</v>
      </c>
      <c r="E4429" t="inlineStr">
        <is>
          <t>ByteXL</t>
        </is>
      </c>
      <c r="F4429" t="inlineStr">
        <is>
          <t>$9 million</t>
        </is>
      </c>
      <c r="G4429" s="19" t="n"/>
      <c r="H4429" s="19" t="n">
        <v>9</v>
      </c>
      <c r="I4429" t="inlineStr">
        <is>
          <t>Series B</t>
        </is>
      </c>
      <c r="J4429" t="inlineStr">
        <is>
          <t>Elevar Equity</t>
        </is>
      </c>
      <c r="K4429" t="inlineStr">
        <is>
          <t>https://economictimes.indiatimes.com/tech/funding/edtech-firm-bytexl-raises-9-million-in-series-b-round-led-by-elevar-equity/articleshow/134757491.cms</t>
        </is>
      </c>
    </row>
    <row r="4430">
      <c r="A4430" t="inlineStr">
        <is>
          <t>INC-20261010-07</t>
        </is>
      </c>
      <c r="B4430" t="inlineStr">
        <is>
          <t>R261007-bytexl</t>
        </is>
      </c>
      <c r="C4430" t="inlineStr">
        <is>
          <t>Inc42</t>
        </is>
      </c>
      <c r="D4430" s="17" t="n">
        <v>46302</v>
      </c>
      <c r="E4430" t="inlineStr">
        <is>
          <t>byteXL</t>
        </is>
      </c>
      <c r="F4430" t="inlineStr">
        <is>
          <t>$9 Mn</t>
        </is>
      </c>
      <c r="G4430" s="19" t="n"/>
      <c r="H4430" s="19" t="n">
        <v>9</v>
      </c>
      <c r="I4430" t="inlineStr">
        <is>
          <t>Undisclosed</t>
        </is>
      </c>
      <c r="J4430" t="inlineStr">
        <is>
          <t>Elevar Equity</t>
        </is>
      </c>
      <c r="K4430" t="inlineStr">
        <is>
          <t>https://inc42.com/buzz/from-dailyobjects-to-stockgro-indian-startups-raised-about-123-mn-this-week/</t>
        </is>
      </c>
    </row>
    <row r="4431">
      <c r="A4431" t="inlineStr">
        <is>
          <t>ENT-12633304</t>
        </is>
      </c>
      <c r="B4431" t="inlineStr">
        <is>
          <t>R261007-credfix</t>
        </is>
      </c>
      <c r="C4431" t="inlineStr">
        <is>
          <t>Entrackr</t>
        </is>
      </c>
      <c r="D4431" s="17" t="n">
        <v>46302</v>
      </c>
      <c r="E4431" t="inlineStr">
        <is>
          <t>Credfix</t>
        </is>
      </c>
      <c r="F4431" t="inlineStr">
        <is>
          <t>Rs 16.1 crore</t>
        </is>
      </c>
      <c r="G4431" s="19" t="n">
        <v>16.1</v>
      </c>
      <c r="H4431" s="19" t="n"/>
      <c r="I4431" t="inlineStr">
        <is>
          <t>Seed</t>
        </is>
      </c>
      <c r="J4431" t="inlineStr">
        <is>
          <t>Tanglin Venture Partners</t>
        </is>
      </c>
      <c r="K4431" t="inlineStr">
        <is>
          <t>https://entrackr.com/snippets/tanglin-venture-leads-rs-161-cr-seed-round-in-debt-resolution-platform-credfix-12633304</t>
        </is>
      </c>
    </row>
    <row r="4432">
      <c r="A4432" t="inlineStr">
        <is>
          <t>INC-20261010-12</t>
        </is>
      </c>
      <c r="B4432" t="inlineStr">
        <is>
          <t>R261007-credfix</t>
        </is>
      </c>
      <c r="C4432" t="inlineStr">
        <is>
          <t>Inc42</t>
        </is>
      </c>
      <c r="D4432" s="17" t="n">
        <v>46302</v>
      </c>
      <c r="E4432" t="inlineStr">
        <is>
          <t>Credfix</t>
        </is>
      </c>
      <c r="F4432" t="inlineStr">
        <is>
          <t>$1.6 Mn</t>
        </is>
      </c>
      <c r="G4432" s="19" t="n"/>
      <c r="H4432" s="19" t="n">
        <v>1.6</v>
      </c>
      <c r="I4432" t="inlineStr">
        <is>
          <t>Seed</t>
        </is>
      </c>
      <c r="J4432" t="inlineStr">
        <is>
          <t>Tanglin Venture Partners</t>
        </is>
      </c>
      <c r="K4432" t="inlineStr">
        <is>
          <t>https://inc42.com/buzz/from-dailyobjects-to-stockgro-indian-startups-raised-about-123-mn-this-week/</t>
        </is>
      </c>
    </row>
    <row r="4433">
      <c r="A4433" t="inlineStr">
        <is>
          <t>ENT-12632530</t>
        </is>
      </c>
      <c r="B4433" t="inlineStr">
        <is>
          <t>R261007-desibleai</t>
        </is>
      </c>
      <c r="C4433" t="inlineStr">
        <is>
          <t>Entrackr</t>
        </is>
      </c>
      <c r="D4433" s="17" t="n">
        <v>46302</v>
      </c>
      <c r="E4433" t="inlineStr">
        <is>
          <t>Desible.ai</t>
        </is>
      </c>
      <c r="F4433" t="inlineStr">
        <is>
          <t>Rs 32 crore</t>
        </is>
      </c>
      <c r="G4433" s="19" t="n">
        <v>32</v>
      </c>
      <c r="H4433" s="19" t="n"/>
      <c r="I4433" t="inlineStr">
        <is>
          <t>Seed</t>
        </is>
      </c>
      <c r="J4433" t="inlineStr">
        <is>
          <t>Prime Venture Partners</t>
        </is>
      </c>
      <c r="K4433" t="inlineStr">
        <is>
          <t>https://entrackr.com/snippets/agentic-ai-startup-desibleai-raises-rs-32-cr-led-by-prime-venture-partners-12632530</t>
        </is>
      </c>
    </row>
    <row r="4434">
      <c r="A4434" t="inlineStr">
        <is>
          <t>INC-20261010-11</t>
        </is>
      </c>
      <c r="B4434" t="inlineStr">
        <is>
          <t>R261007-desibleai</t>
        </is>
      </c>
      <c r="C4434" t="inlineStr">
        <is>
          <t>Inc42</t>
        </is>
      </c>
      <c r="D4434" s="17" t="n">
        <v>46302</v>
      </c>
      <c r="E4434" t="inlineStr">
        <is>
          <t>Desible.ai</t>
        </is>
      </c>
      <c r="F4434" t="inlineStr">
        <is>
          <t>$3.3 Mn</t>
        </is>
      </c>
      <c r="G4434" s="19" t="n"/>
      <c r="H4434" s="19" t="n">
        <v>3.3</v>
      </c>
      <c r="I4434" t="inlineStr">
        <is>
          <t>Seed</t>
        </is>
      </c>
      <c r="J4434" t="inlineStr">
        <is>
          <t>Prime Venture Partners</t>
        </is>
      </c>
      <c r="K4434" t="inlineStr">
        <is>
          <t>https://inc42.com/buzz/from-dailyobjects-to-stockgro-indian-startups-raised-about-123-mn-this-week/</t>
        </is>
      </c>
    </row>
    <row r="4435">
      <c r="A4435" t="inlineStr">
        <is>
          <t>ET-134746224</t>
        </is>
      </c>
      <c r="B4435" t="inlineStr">
        <is>
          <t>R261007-garudaaerospac</t>
        </is>
      </c>
      <c r="C4435" t="inlineStr">
        <is>
          <t>The Economic Times</t>
        </is>
      </c>
      <c r="D4435" s="17" t="n">
        <v>46302</v>
      </c>
      <c r="E4435" t="inlineStr">
        <is>
          <t>Garuda Aerospace</t>
        </is>
      </c>
      <c r="F4435" t="inlineStr">
        <is>
          <t>$10 million</t>
        </is>
      </c>
      <c r="G4435" s="19" t="n">
        <v>96</v>
      </c>
      <c r="H4435" s="19" t="n">
        <v>10</v>
      </c>
      <c r="I4435" t="inlineStr">
        <is>
          <t>Pre-IPO</t>
        </is>
      </c>
      <c r="J4435" t="inlineStr"/>
      <c r="K4435" t="inlineStr">
        <is>
          <t>https://economictimes.indiatimes.com/tech/startups/garuda-aerospace-lands-10-million-pre-ipo-funding-at-320-million-valuation/articleshow/134746224.cms</t>
        </is>
      </c>
    </row>
    <row r="4436">
      <c r="A4436" t="inlineStr">
        <is>
          <t>ENT-12633801</t>
        </is>
      </c>
      <c r="B4436" t="inlineStr">
        <is>
          <t>R261007-ionage</t>
        </is>
      </c>
      <c r="C4436" t="inlineStr">
        <is>
          <t>Entrackr</t>
        </is>
      </c>
      <c r="D4436" s="17" t="n">
        <v>46302</v>
      </c>
      <c r="E4436" t="inlineStr">
        <is>
          <t>Ionage</t>
        </is>
      </c>
      <c r="F4436" t="inlineStr">
        <is>
          <t>$1.3 million</t>
        </is>
      </c>
      <c r="G4436" s="19" t="n"/>
      <c r="H4436" s="19" t="n">
        <v>1.3</v>
      </c>
      <c r="I4436" t="inlineStr">
        <is>
          <t>Pre-Series A</t>
        </is>
      </c>
      <c r="J4436" t="inlineStr"/>
      <c r="K4436" t="inlineStr">
        <is>
          <t>https://entrackr.com/snippets/energy-management-platform-ionage-raises-13-mn-in-pre-series-a-round-12633801</t>
        </is>
      </c>
    </row>
    <row r="4437">
      <c r="A4437" t="inlineStr">
        <is>
          <t>INC-20261010-14</t>
        </is>
      </c>
      <c r="B4437" t="inlineStr">
        <is>
          <t>R261007-ionage</t>
        </is>
      </c>
      <c r="C4437" t="inlineStr">
        <is>
          <t>Inc42</t>
        </is>
      </c>
      <c r="D4437" s="17" t="n">
        <v>46302</v>
      </c>
      <c r="E4437" t="inlineStr">
        <is>
          <t>IONAGE</t>
        </is>
      </c>
      <c r="F4437" t="inlineStr">
        <is>
          <t>$1.3 Mn</t>
        </is>
      </c>
      <c r="G4437" s="19" t="n"/>
      <c r="H4437" s="19" t="n">
        <v>1.3</v>
      </c>
      <c r="I4437" t="inlineStr">
        <is>
          <t>Pre-Series A</t>
        </is>
      </c>
      <c r="J4437" t="inlineStr"/>
      <c r="K4437" t="inlineStr">
        <is>
          <t>https://inc42.com/buzz/from-dailyobjects-to-stockgro-indian-startups-raised-about-123-mn-this-week/</t>
        </is>
      </c>
    </row>
    <row r="4438">
      <c r="A4438" t="inlineStr">
        <is>
          <t>INC-20261010-02</t>
        </is>
      </c>
      <c r="B4438" t="inlineStr">
        <is>
          <t>R261007-lumio</t>
        </is>
      </c>
      <c r="C4438" t="inlineStr">
        <is>
          <t>Inc42</t>
        </is>
      </c>
      <c r="D4438" s="17" t="n">
        <v>46302</v>
      </c>
      <c r="E4438" t="inlineStr">
        <is>
          <t>Lumio</t>
        </is>
      </c>
      <c r="F4438" t="inlineStr">
        <is>
          <t>$12 Mn</t>
        </is>
      </c>
      <c r="G4438" s="19" t="n"/>
      <c r="H4438" s="19" t="n">
        <v>12</v>
      </c>
      <c r="I4438" t="inlineStr">
        <is>
          <t>Series A</t>
        </is>
      </c>
      <c r="J4438" t="inlineStr">
        <is>
          <t>Blume Ventures</t>
        </is>
      </c>
      <c r="K4438" t="inlineStr">
        <is>
          <t>https://inc42.com/buzz/from-dailyobjects-to-stockgro-indian-startups-raised-about-123-mn-this-week/</t>
        </is>
      </c>
    </row>
    <row r="4439">
      <c r="A4439" t="inlineStr">
        <is>
          <t>ENT-12631530</t>
        </is>
      </c>
      <c r="B4439" t="inlineStr">
        <is>
          <t>R261007-quanfluence</t>
        </is>
      </c>
      <c r="C4439" t="inlineStr">
        <is>
          <t>Entrackr</t>
        </is>
      </c>
      <c r="D4439" s="17" t="n">
        <v>46302</v>
      </c>
      <c r="E4439" t="inlineStr">
        <is>
          <t>Quanfluence</t>
        </is>
      </c>
      <c r="F4439" t="inlineStr">
        <is>
          <t>$10 million</t>
        </is>
      </c>
      <c r="G4439" s="19" t="n"/>
      <c r="H4439" s="19" t="n">
        <v>10</v>
      </c>
      <c r="I4439" t="inlineStr">
        <is>
          <t>Undisclosed</t>
        </is>
      </c>
      <c r="J4439" t="inlineStr">
        <is>
          <t>Chiratae Ventures</t>
        </is>
      </c>
      <c r="K4439" t="inlineStr">
        <is>
          <t>https://entrackr.com/news/chiratae-ventures-leads-10-mn-round-in-photonic-quantum-startup-quanfluence-12631530</t>
        </is>
      </c>
    </row>
    <row r="4440">
      <c r="A4440" t="inlineStr">
        <is>
          <t>ET-134746276</t>
        </is>
      </c>
      <c r="B4440" t="inlineStr">
        <is>
          <t>R261007-quanfluence</t>
        </is>
      </c>
      <c r="C4440" t="inlineStr">
        <is>
          <t>The Economic Times</t>
        </is>
      </c>
      <c r="D4440" s="17" t="n">
        <v>46302</v>
      </c>
      <c r="E4440" t="inlineStr">
        <is>
          <t>Quanfluence</t>
        </is>
      </c>
      <c r="F4440" t="inlineStr">
        <is>
          <t>$10 million</t>
        </is>
      </c>
      <c r="G4440" s="19" t="n"/>
      <c r="H4440" s="19" t="n">
        <v>10</v>
      </c>
      <c r="I4440" t="inlineStr">
        <is>
          <t>Undisclosed</t>
        </is>
      </c>
      <c r="J4440" t="inlineStr">
        <is>
          <t>Chiratae Ventures</t>
        </is>
      </c>
      <c r="K4440" t="inlineStr">
        <is>
          <t>https://economictimes.indiatimes.com/tech/funding/quanfluence-raises-10-million-to-build-full-stack-photonic-quantum-computer/articleshow/134746276.cms</t>
        </is>
      </c>
    </row>
    <row r="4441">
      <c r="A4441" t="inlineStr">
        <is>
          <t>INC-20261010-05</t>
        </is>
      </c>
      <c r="B4441" t="inlineStr">
        <is>
          <t>R261007-quanfluence</t>
        </is>
      </c>
      <c r="C4441" t="inlineStr">
        <is>
          <t>Inc42</t>
        </is>
      </c>
      <c r="D4441" s="17" t="n">
        <v>46302</v>
      </c>
      <c r="E4441" t="inlineStr">
        <is>
          <t>Quanfluence</t>
        </is>
      </c>
      <c r="F4441" t="inlineStr">
        <is>
          <t>$10 Mn</t>
        </is>
      </c>
      <c r="G4441" s="19" t="n"/>
      <c r="H4441" s="19" t="n">
        <v>10</v>
      </c>
      <c r="I4441" t="inlineStr">
        <is>
          <t>Undisclosed</t>
        </is>
      </c>
      <c r="J4441" t="inlineStr">
        <is>
          <t>Chiratae Ventures</t>
        </is>
      </c>
      <c r="K4441" t="inlineStr">
        <is>
          <t>https://inc42.com/buzz/from-dailyobjects-to-stockgro-indian-startups-raised-about-123-mn-this-week/</t>
        </is>
      </c>
    </row>
    <row r="4442">
      <c r="A4442" t="inlineStr">
        <is>
          <t>ENT-12633059</t>
        </is>
      </c>
      <c r="B4442" t="inlineStr">
        <is>
          <t>R261007-sunfoxtechnolo</t>
        </is>
      </c>
      <c r="C4442" t="inlineStr">
        <is>
          <t>Entrackr</t>
        </is>
      </c>
      <c r="D4442" s="17" t="n">
        <v>46302</v>
      </c>
      <c r="E4442" t="inlineStr">
        <is>
          <t>Sunfox Technologies</t>
        </is>
      </c>
      <c r="F4442" t="inlineStr">
        <is>
          <t>$7 million</t>
        </is>
      </c>
      <c r="G4442" s="19" t="n">
        <v>67</v>
      </c>
      <c r="H4442" s="19" t="n">
        <v>7</v>
      </c>
      <c r="I4442" t="inlineStr">
        <is>
          <t>Series A</t>
        </is>
      </c>
      <c r="J4442" t="inlineStr">
        <is>
          <t>Ashish Kacholia; Lashit Sanghvi; Alchemy Capital; 3one4 Capital</t>
        </is>
      </c>
      <c r="K4442" t="inlineStr">
        <is>
          <t>https://entrackr.com/snippets/med-tech-startup-sunfox-technologies-raises-7-mn-in-series-a-round-12633059</t>
        </is>
      </c>
    </row>
    <row r="4443">
      <c r="A4443" t="inlineStr">
        <is>
          <t>INC-20261010-08</t>
        </is>
      </c>
      <c r="B4443" t="inlineStr">
        <is>
          <t>R261007-sunfoxtechnolo</t>
        </is>
      </c>
      <c r="C4443" t="inlineStr">
        <is>
          <t>Inc42</t>
        </is>
      </c>
      <c r="D4443" s="17" t="n">
        <v>46302</v>
      </c>
      <c r="E4443" t="inlineStr">
        <is>
          <t>Sunfox Technologies</t>
        </is>
      </c>
      <c r="F4443" t="inlineStr">
        <is>
          <t>$7 Mn</t>
        </is>
      </c>
      <c r="G4443" s="19" t="n"/>
      <c r="H4443" s="19" t="n">
        <v>7</v>
      </c>
      <c r="I4443" t="inlineStr">
        <is>
          <t>Series A</t>
        </is>
      </c>
      <c r="J4443" t="inlineStr">
        <is>
          <t>Ashish Kacholia; Lashit Sanghvi; Alchemy Capital; 3one4 Capital</t>
        </is>
      </c>
      <c r="K4443" t="inlineStr">
        <is>
          <t>https://inc42.com/buzz/from-dailyobjects-to-stockgro-indian-startups-raised-about-123-mn-this-week/</t>
        </is>
      </c>
    </row>
    <row r="4444">
      <c r="A4444" t="inlineStr">
        <is>
          <t>ENT-12634056</t>
        </is>
      </c>
      <c r="B4444" t="inlineStr">
        <is>
          <t>R261007-thedoughtherap</t>
        </is>
      </c>
      <c r="C4444" t="inlineStr">
        <is>
          <t>Entrackr</t>
        </is>
      </c>
      <c r="D4444" s="17" t="n">
        <v>46302</v>
      </c>
      <c r="E4444" t="inlineStr">
        <is>
          <t>The Dough Therapy</t>
        </is>
      </c>
      <c r="F4444" t="inlineStr">
        <is>
          <t>Rs 5.25 crore</t>
        </is>
      </c>
      <c r="G4444" s="19" t="n">
        <v>5.25</v>
      </c>
      <c r="H4444" s="19" t="n"/>
      <c r="I4444" t="inlineStr">
        <is>
          <t>Seed</t>
        </is>
      </c>
      <c r="J4444" t="inlineStr">
        <is>
          <t>Michigan Capital Advisors</t>
        </is>
      </c>
      <c r="K4444" t="inlineStr">
        <is>
          <t>https://entrackr.com/snippets/pizza-brand-the-dough-therapy-raises-rs-525-cr-in-seed-round-12634056</t>
        </is>
      </c>
    </row>
    <row r="4445">
      <c r="A4445" t="inlineStr">
        <is>
          <t>INC-20261010-18</t>
        </is>
      </c>
      <c r="B4445" t="inlineStr">
        <is>
          <t>R261007-thedoughtherap</t>
        </is>
      </c>
      <c r="C4445" t="inlineStr">
        <is>
          <t>Inc42</t>
        </is>
      </c>
      <c r="D4445" s="17" t="n">
        <v>46302</v>
      </c>
      <c r="E4445" t="inlineStr">
        <is>
          <t>The Dough Therapy</t>
        </is>
      </c>
      <c r="F4445" t="inlineStr">
        <is>
          <t>$543K</t>
        </is>
      </c>
      <c r="G4445" s="19" t="n"/>
      <c r="H4445" s="19" t="n">
        <v>0.543</v>
      </c>
      <c r="I4445" t="inlineStr">
        <is>
          <t>Seed</t>
        </is>
      </c>
      <c r="J4445" t="inlineStr">
        <is>
          <t>Michigan Capital Advisors</t>
        </is>
      </c>
      <c r="K4445" t="inlineStr">
        <is>
          <t>https://inc42.com/buzz/from-dailyobjects-to-stockgro-indian-startups-raised-about-123-mn-this-week/</t>
        </is>
      </c>
    </row>
    <row r="4446">
      <c r="A4446" t="inlineStr">
        <is>
          <t>ENT-12631666</t>
        </is>
      </c>
      <c r="B4446" t="inlineStr">
        <is>
          <t>R261007-zomint</t>
        </is>
      </c>
      <c r="C4446" t="inlineStr">
        <is>
          <t>Entrackr</t>
        </is>
      </c>
      <c r="D4446" s="17" t="n">
        <v>46302</v>
      </c>
      <c r="E4446" t="inlineStr">
        <is>
          <t>Zomint</t>
        </is>
      </c>
      <c r="F4446" t="inlineStr">
        <is>
          <t>Rs 36 crore</t>
        </is>
      </c>
      <c r="G4446" s="19" t="n">
        <v>36</v>
      </c>
      <c r="H4446" s="19" t="n">
        <v>3.75</v>
      </c>
      <c r="I4446" t="inlineStr">
        <is>
          <t>Seed</t>
        </is>
      </c>
      <c r="J4446" t="inlineStr"/>
      <c r="K4446" t="inlineStr">
        <is>
          <t>https://entrackr.com/snippets/zomint-raises-rs-36-cr-seed-round-from-lightspeed-and-prime-venture-partners-12631666</t>
        </is>
      </c>
    </row>
    <row r="4447">
      <c r="A4447" t="inlineStr">
        <is>
          <t>ET-134758571</t>
        </is>
      </c>
      <c r="B4447" t="inlineStr">
        <is>
          <t>R261007-zomint</t>
        </is>
      </c>
      <c r="C4447" t="inlineStr">
        <is>
          <t>The Economic Times</t>
        </is>
      </c>
      <c r="D4447" s="17" t="n">
        <v>46302</v>
      </c>
      <c r="E4447" t="inlineStr">
        <is>
          <t>Zomint</t>
        </is>
      </c>
      <c r="F4447" t="inlineStr">
        <is>
          <t>Rs 36 crore</t>
        </is>
      </c>
      <c r="G4447" s="19" t="n">
        <v>36</v>
      </c>
      <c r="H4447" s="19" t="n">
        <v>3.75</v>
      </c>
      <c r="I4447" t="inlineStr">
        <is>
          <t>Undisclosed</t>
        </is>
      </c>
      <c r="J4447" t="inlineStr"/>
      <c r="K4447" t="inlineStr">
        <is>
          <t>https://economictimes.indiatimes.com/tech/startups/wealthtech-startup-zomint-raises-rs-36-crore-from-lightspeed-prime-venture-partners/articleshow/134758571.cms</t>
        </is>
      </c>
    </row>
    <row r="4448">
      <c r="A4448" t="inlineStr">
        <is>
          <t>INC-20261010-09</t>
        </is>
      </c>
      <c r="B4448" t="inlineStr">
        <is>
          <t>R261007-zomint</t>
        </is>
      </c>
      <c r="C4448" t="inlineStr">
        <is>
          <t>Inc42</t>
        </is>
      </c>
      <c r="D4448" s="17" t="n">
        <v>46302</v>
      </c>
      <c r="E4448" t="inlineStr">
        <is>
          <t>Zomint</t>
        </is>
      </c>
      <c r="F4448" t="inlineStr">
        <is>
          <t>$3.7 Mn</t>
        </is>
      </c>
      <c r="G4448" s="19" t="n"/>
      <c r="H4448" s="19" t="n">
        <v>3.7</v>
      </c>
      <c r="I4448" t="inlineStr">
        <is>
          <t>Seed</t>
        </is>
      </c>
      <c r="J4448" t="inlineStr"/>
      <c r="K4448" t="inlineStr">
        <is>
          <t>https://inc42.com/buzz/from-dailyobjects-to-stockgro-indian-startups-raised-about-123-mn-this-week/</t>
        </is>
      </c>
    </row>
    <row r="4449">
      <c r="A4449" t="inlineStr">
        <is>
          <t>ENT-12638318</t>
        </is>
      </c>
      <c r="B4449" t="inlineStr">
        <is>
          <t>R261008-dailyobjects</t>
        </is>
      </c>
      <c r="C4449" t="inlineStr">
        <is>
          <t>Entrackr</t>
        </is>
      </c>
      <c r="D4449" s="17" t="n">
        <v>46303</v>
      </c>
      <c r="E4449" t="inlineStr">
        <is>
          <t>DailyObjects</t>
        </is>
      </c>
      <c r="F4449" t="inlineStr">
        <is>
          <t>Rs 332 crore</t>
        </is>
      </c>
      <c r="G4449" s="19" t="n">
        <v>332</v>
      </c>
      <c r="H4449" s="19" t="n">
        <v>35</v>
      </c>
      <c r="I4449" t="inlineStr">
        <is>
          <t>Series C</t>
        </is>
      </c>
      <c r="J4449" t="inlineStr">
        <is>
          <t>Xponentia Capital Partners; Anicut Capital; Axiom Asia Private Capital</t>
        </is>
      </c>
      <c r="K4449" t="inlineStr">
        <is>
          <t>https://entrackr.com/news/dailyobjects-raises-rs-332-cr-in-series-c-round-led-by-xponentia-anicut-axiom-asia-12638318</t>
        </is>
      </c>
    </row>
    <row r="4450">
      <c r="A4450" t="inlineStr">
        <is>
          <t>ET-134789153</t>
        </is>
      </c>
      <c r="B4450" t="inlineStr">
        <is>
          <t>R261008-dailyobjects</t>
        </is>
      </c>
      <c r="C4450" t="inlineStr">
        <is>
          <t>The Economic Times</t>
        </is>
      </c>
      <c r="D4450" s="17" t="n">
        <v>46303</v>
      </c>
      <c r="E4450" t="inlineStr">
        <is>
          <t>DailyObjects</t>
        </is>
      </c>
      <c r="F4450" t="inlineStr">
        <is>
          <t>Rs 332 crore</t>
        </is>
      </c>
      <c r="G4450" s="19" t="n">
        <v>332</v>
      </c>
      <c r="H4450" s="19" t="n"/>
      <c r="I4450" t="inlineStr">
        <is>
          <t>Undisclosed</t>
        </is>
      </c>
      <c r="J4450" t="inlineStr">
        <is>
          <t>Xponentia Capital Partners; Anicut Capital; Axiom Asia Private Capital</t>
        </is>
      </c>
      <c r="K4450" t="inlineStr">
        <is>
          <t>https://economictimes.indiatimes.com/tech/funding/lifestyle-accessories-brand-dailyobjects-raises-rs-332-crore-funding-at-rs-1050-crore-valuation/articleshow/134789153.cms</t>
        </is>
      </c>
    </row>
    <row r="4451">
      <c r="A4451" t="inlineStr">
        <is>
          <t>INC-20261010-01</t>
        </is>
      </c>
      <c r="B4451" t="inlineStr">
        <is>
          <t>R261008-dailyobjects</t>
        </is>
      </c>
      <c r="C4451" t="inlineStr">
        <is>
          <t>Inc42</t>
        </is>
      </c>
      <c r="D4451" s="17" t="n">
        <v>46303</v>
      </c>
      <c r="E4451" t="inlineStr">
        <is>
          <t>DailyObjects</t>
        </is>
      </c>
      <c r="F4451" t="inlineStr">
        <is>
          <t>$34.3 Mn</t>
        </is>
      </c>
      <c r="G4451" s="19" t="n"/>
      <c r="H4451" s="19" t="n">
        <v>34.3</v>
      </c>
      <c r="I4451" t="inlineStr">
        <is>
          <t>Series C</t>
        </is>
      </c>
      <c r="J4451" t="inlineStr">
        <is>
          <t>Xponentia Capital Partners; Anicut Capital; Axiom Asia Private Capital</t>
        </is>
      </c>
      <c r="K4451" t="inlineStr">
        <is>
          <t>https://inc42.com/buzz/from-dailyobjects-to-stockgro-indian-startups-raised-about-123-mn-this-week/</t>
        </is>
      </c>
    </row>
    <row r="4452">
      <c r="A4452" t="inlineStr">
        <is>
          <t>ENT-12637360</t>
        </is>
      </c>
      <c r="B4452" t="inlineStr">
        <is>
          <t>R261008-tailblazelonge</t>
        </is>
      </c>
      <c r="C4452" t="inlineStr">
        <is>
          <t>Entrackr</t>
        </is>
      </c>
      <c r="D4452" s="17" t="n">
        <v>46303</v>
      </c>
      <c r="E4452" t="inlineStr">
        <is>
          <t>TailBlaze Longevity</t>
        </is>
      </c>
      <c r="F4452" t="inlineStr">
        <is>
          <t>$300K</t>
        </is>
      </c>
      <c r="G4452" s="19" t="n"/>
      <c r="H4452" s="19" t="n">
        <v>0.3</v>
      </c>
      <c r="I4452" t="inlineStr">
        <is>
          <t>Pre-Seed</t>
        </is>
      </c>
      <c r="J4452" t="inlineStr">
        <is>
          <t>Comma Capital</t>
        </is>
      </c>
      <c r="K4452" t="inlineStr">
        <is>
          <t>https://entrackr.com/snippets/pet-food-startup-tailblaze-longevity-raises-pre-seed-funding-12637360</t>
        </is>
      </c>
    </row>
    <row r="4453">
      <c r="A4453" t="inlineStr">
        <is>
          <t>INC-20261010-21</t>
        </is>
      </c>
      <c r="B4453" t="inlineStr">
        <is>
          <t>R261008-tailblazelonge</t>
        </is>
      </c>
      <c r="C4453" t="inlineStr">
        <is>
          <t>Inc42</t>
        </is>
      </c>
      <c r="D4453" s="17" t="n">
        <v>46303</v>
      </c>
      <c r="E4453" t="inlineStr">
        <is>
          <t>TailBlaze Longevity</t>
        </is>
      </c>
      <c r="F4453" t="inlineStr">
        <is>
          <t>$300K</t>
        </is>
      </c>
      <c r="G4453" s="19" t="n"/>
      <c r="H4453" s="19" t="n">
        <v>0.3</v>
      </c>
      <c r="I4453" t="inlineStr">
        <is>
          <t>Pre-Seed</t>
        </is>
      </c>
      <c r="J4453" t="inlineStr">
        <is>
          <t>Comma Capital</t>
        </is>
      </c>
      <c r="K4453" t="inlineStr">
        <is>
          <t>https://inc42.com/buzz/from-dailyobjects-to-stockgro-indian-startups-raised-about-123-mn-this-week/</t>
        </is>
      </c>
    </row>
    <row r="4454">
      <c r="A4454" t="inlineStr">
        <is>
          <t>ENT-12636439</t>
        </is>
      </c>
      <c r="B4454" t="inlineStr">
        <is>
          <t>R261008-zinara</t>
        </is>
      </c>
      <c r="C4454" t="inlineStr">
        <is>
          <t>Entrackr</t>
        </is>
      </c>
      <c r="D4454" s="17" t="n">
        <v>46303</v>
      </c>
      <c r="E4454" t="inlineStr">
        <is>
          <t>Zinara</t>
        </is>
      </c>
      <c r="F4454" t="inlineStr">
        <is>
          <t>Rs 3.61 crore</t>
        </is>
      </c>
      <c r="G4454" s="19" t="n">
        <v>3.61</v>
      </c>
      <c r="H4454" s="19" t="n">
        <v>0.38</v>
      </c>
      <c r="I4454" t="inlineStr">
        <is>
          <t>Pre-Seed</t>
        </is>
      </c>
      <c r="J4454" t="inlineStr">
        <is>
          <t>Inflection Point Ventures</t>
        </is>
      </c>
      <c r="K4454" t="inlineStr">
        <is>
          <t>https://entrackr.com/snippets/lab-grown-diamond-brand-zinara-raises-pre-seed-funding-led-by-inflection-point-ventures-12636439</t>
        </is>
      </c>
    </row>
    <row r="4455">
      <c r="A4455" t="inlineStr">
        <is>
          <t>INC-20261010-20</t>
        </is>
      </c>
      <c r="B4455" t="inlineStr">
        <is>
          <t>R261008-zinara</t>
        </is>
      </c>
      <c r="C4455" t="inlineStr">
        <is>
          <t>Inc42</t>
        </is>
      </c>
      <c r="D4455" s="17" t="n">
        <v>46303</v>
      </c>
      <c r="E4455" t="inlineStr">
        <is>
          <t>Zinara</t>
        </is>
      </c>
      <c r="F4455" t="inlineStr">
        <is>
          <t>$380K</t>
        </is>
      </c>
      <c r="G4455" s="19" t="n"/>
      <c r="H4455" s="19" t="n">
        <v>0.38</v>
      </c>
      <c r="I4455" t="inlineStr">
        <is>
          <t>Pre-Seed</t>
        </is>
      </c>
      <c r="J4455" t="inlineStr">
        <is>
          <t>Inflection Point Ventures</t>
        </is>
      </c>
      <c r="K4455" t="inlineStr">
        <is>
          <t>https://inc42.com/buzz/from-dailyobjects-to-stockgro-indian-startups-raised-about-123-mn-this-week/</t>
        </is>
      </c>
    </row>
    <row r="4456">
      <c r="A4456" t="inlineStr">
        <is>
          <t>ENT-12658745</t>
        </is>
      </c>
      <c r="B4456" t="inlineStr">
        <is>
          <t>R261009-gramiyaa</t>
        </is>
      </c>
      <c r="C4456" t="inlineStr">
        <is>
          <t>Entrackr</t>
        </is>
      </c>
      <c r="D4456" s="17" t="n">
        <v>46304</v>
      </c>
      <c r="E4456" t="inlineStr">
        <is>
          <t>Gramiyaa</t>
        </is>
      </c>
      <c r="F4456" t="inlineStr">
        <is>
          <t>Rs 18.65 crore</t>
        </is>
      </c>
      <c r="G4456" s="19" t="n">
        <v>18.65</v>
      </c>
      <c r="H4456" s="19" t="n"/>
      <c r="I4456" t="inlineStr">
        <is>
          <t>Pre-Series A</t>
        </is>
      </c>
      <c r="J4456" t="inlineStr">
        <is>
          <t>Optiscape Network Holdings; Homegrown Ventures; Campus Fund; Homegrown Ventures</t>
        </is>
      </c>
      <c r="K4456" t="inlineStr">
        <is>
          <t>https://entrackr.com/exclusive/exclusive-gramiyaa-raises-fresh-capital-in-series-a-round-at-rs-110-cr-valuation-12658745</t>
        </is>
      </c>
    </row>
    <row r="4457">
      <c r="A4457" t="inlineStr">
        <is>
          <t>INC-20261010-10</t>
        </is>
      </c>
      <c r="B4457" t="inlineStr">
        <is>
          <t>R261009-kisah</t>
        </is>
      </c>
      <c r="C4457" t="inlineStr">
        <is>
          <t>Inc42</t>
        </is>
      </c>
      <c r="D4457" s="17" t="n">
        <v>46304</v>
      </c>
      <c r="E4457" t="inlineStr">
        <is>
          <t>KISAH</t>
        </is>
      </c>
      <c r="F4457" t="inlineStr">
        <is>
          <t>$3.7 Mn</t>
        </is>
      </c>
      <c r="G4457" s="19" t="n"/>
      <c r="H4457" s="19" t="n">
        <v>3.7</v>
      </c>
      <c r="I4457" t="inlineStr">
        <is>
          <t>Series A</t>
        </is>
      </c>
      <c r="J4457" t="inlineStr">
        <is>
          <t>Fireside Ventures</t>
        </is>
      </c>
      <c r="K4457" t="inlineStr">
        <is>
          <t>https://inc42.com/buzz/from-dailyobjects-to-stockgro-indian-startups-raised-about-123-mn-this-week/</t>
        </is>
      </c>
    </row>
    <row r="4458">
      <c r="A4458" t="inlineStr">
        <is>
          <t>INC-20261010-25</t>
        </is>
      </c>
      <c r="B4458" t="inlineStr">
        <is>
          <t>R261009-moneytruva</t>
        </is>
      </c>
      <c r="C4458" t="inlineStr">
        <is>
          <t>Inc42</t>
        </is>
      </c>
      <c r="D4458" s="17" t="n">
        <v>46304</v>
      </c>
      <c r="E4458" t="inlineStr">
        <is>
          <t>MoneyTruVa</t>
        </is>
      </c>
      <c r="F4458" t="inlineStr"/>
      <c r="G4458" s="19" t="n"/>
      <c r="H4458" s="19" t="n"/>
      <c r="I4458" t="inlineStr">
        <is>
          <t>Undisclosed</t>
        </is>
      </c>
      <c r="J4458" t="inlineStr"/>
      <c r="K4458" t="inlineStr">
        <is>
          <t>https://inc42.com/buzz/from-dailyobjects-to-stockgro-indian-startups-raised-about-123-mn-this-week/</t>
        </is>
      </c>
    </row>
    <row r="4459">
      <c r="A4459" t="inlineStr">
        <is>
          <t>ENT-12658698</t>
        </is>
      </c>
      <c r="B4459" t="inlineStr">
        <is>
          <t>R261009-neogrowth</t>
        </is>
      </c>
      <c r="C4459" t="inlineStr">
        <is>
          <t>Entrackr</t>
        </is>
      </c>
      <c r="D4459" s="17" t="n">
        <v>46304</v>
      </c>
      <c r="E4459" t="inlineStr">
        <is>
          <t>NeoGrowth</t>
        </is>
      </c>
      <c r="F4459" t="inlineStr">
        <is>
          <t>Rs 85 crore</t>
        </is>
      </c>
      <c r="G4459" s="19" t="n">
        <v>85</v>
      </c>
      <c r="H4459" s="19" t="n"/>
      <c r="I4459" t="inlineStr">
        <is>
          <t>Undisclosed</t>
        </is>
      </c>
      <c r="J4459" t="inlineStr"/>
      <c r="K4459" t="inlineStr">
        <is>
          <t>https://entrackr.com/news/msme-focused-digital-lender-neogrowth-raises-rs-85-cr-from-fmo-leapfrog-12658698</t>
        </is>
      </c>
    </row>
    <row r="4460">
      <c r="A4460" t="inlineStr">
        <is>
          <t>ET-134794026</t>
        </is>
      </c>
      <c r="B4460" t="inlineStr">
        <is>
          <t>R261009-neogrowth</t>
        </is>
      </c>
      <c r="C4460" t="inlineStr">
        <is>
          <t>The Economic Times</t>
        </is>
      </c>
      <c r="D4460" s="17" t="n">
        <v>46304</v>
      </c>
      <c r="E4460" t="inlineStr">
        <is>
          <t>NeoGrowth</t>
        </is>
      </c>
      <c r="F4460" t="inlineStr">
        <is>
          <t>Rs 85 crore</t>
        </is>
      </c>
      <c r="G4460" s="19" t="n">
        <v>85</v>
      </c>
      <c r="H4460" s="19" t="n"/>
      <c r="I4460" t="inlineStr">
        <is>
          <t>Undisclosed</t>
        </is>
      </c>
      <c r="J4460" t="inlineStr"/>
      <c r="K4460" t="inlineStr">
        <is>
          <t>https://economictimes.indiatimes.com/tech/startups/digital-lender-neogrowth-raises-rs-85-crore-from-fmo-leapfrog/articleshow/134794026.cms</t>
        </is>
      </c>
    </row>
    <row r="4461">
      <c r="A4461" t="inlineStr">
        <is>
          <t>INC-20261010-06</t>
        </is>
      </c>
      <c r="B4461" t="inlineStr">
        <is>
          <t>R261009-neogrowth</t>
        </is>
      </c>
      <c r="C4461" t="inlineStr">
        <is>
          <t>Inc42</t>
        </is>
      </c>
      <c r="D4461" s="17" t="n">
        <v>46304</v>
      </c>
      <c r="E4461" t="inlineStr">
        <is>
          <t>NeoGrowth</t>
        </is>
      </c>
      <c r="F4461" t="inlineStr">
        <is>
          <t>$8.7 Mn</t>
        </is>
      </c>
      <c r="G4461" s="19" t="n"/>
      <c r="H4461" s="19" t="n">
        <v>8.699999999999999</v>
      </c>
      <c r="I4461" t="inlineStr">
        <is>
          <t>Undisclosed</t>
        </is>
      </c>
      <c r="J4461" t="inlineStr">
        <is>
          <t>Dutch Development Bank FMO</t>
        </is>
      </c>
      <c r="K4461" t="inlineStr">
        <is>
          <t>https://inc42.com/buzz/from-dailyobjects-to-stockgro-indian-startups-raised-about-123-mn-this-week/</t>
        </is>
      </c>
    </row>
    <row r="4462">
      <c r="A4462" t="inlineStr">
        <is>
          <t>VCC-63af03f668</t>
        </is>
      </c>
      <c r="B4462" t="inlineStr">
        <is>
          <t>R261009-neogrowth</t>
        </is>
      </c>
      <c r="C4462" t="inlineStr">
        <is>
          <t>VCCircle</t>
        </is>
      </c>
      <c r="D4462" s="17" t="n">
        <v>46304</v>
      </c>
      <c r="E4462" t="inlineStr">
        <is>
          <t>leapfrogbacked neogrowth</t>
        </is>
      </c>
      <c r="F4462" t="inlineStr">
        <is>
          <t>$ 8.8 million</t>
        </is>
      </c>
      <c r="G4462" s="19" t="n"/>
      <c r="H4462" s="19" t="n">
        <v>8.800000000000001</v>
      </c>
      <c r="I4462" t="inlineStr">
        <is>
          <t>Undisclosed</t>
        </is>
      </c>
      <c r="J4462" t="inlineStr"/>
      <c r="K4462" t="inlineStr">
        <is>
          <t>https://www.vccircle.com/leapfrogbacked-neogrowth-raises-8-8-mn-from-existing-investors</t>
        </is>
      </c>
    </row>
    <row r="4463">
      <c r="A4463" t="inlineStr">
        <is>
          <t>ET-134855727</t>
        </is>
      </c>
      <c r="B4463" t="inlineStr">
        <is>
          <t>R261010-nathabit</t>
        </is>
      </c>
      <c r="C4463" t="inlineStr">
        <is>
          <t>The Economic Times</t>
        </is>
      </c>
      <c r="D4463" s="17" t="n">
        <v>46305</v>
      </c>
      <c r="E4463" t="inlineStr">
        <is>
          <t>Nat Habit</t>
        </is>
      </c>
      <c r="F4463" t="inlineStr">
        <is>
          <t>Rs 142 crore</t>
        </is>
      </c>
      <c r="G4463" s="19" t="n">
        <v>142</v>
      </c>
      <c r="H4463" s="19" t="n"/>
      <c r="I4463" t="inlineStr">
        <is>
          <t>Undisclosed</t>
        </is>
      </c>
      <c r="J4463" t="inlineStr">
        <is>
          <t>Trident Growth Partners</t>
        </is>
      </c>
      <c r="K4463" t="inlineStr">
        <is>
          <t>https://economictimes.indiatimes.com/tech/startups/ayurveda-focused-d2c-startup-nat-habit-raises-rs-142-crore-led-by-trident-growth-partners/articleshow/134855727.cms</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91"/>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26" customWidth="1" min="3" max="3"/>
    <col width="16" customWidth="1" min="4" max="4"/>
    <col width="12" customWidth="1" min="5" max="5"/>
    <col width="18" customWidth="1" min="6" max="6"/>
    <col width="18" customWidth="1" min="7" max="7"/>
  </cols>
  <sheetData>
    <row r="1">
      <c r="A1" s="23" t="inlineStr">
        <is>
          <t>Coverage check against Entrackr's weekly report</t>
        </is>
      </c>
    </row>
    <row r="2">
      <c r="A2" s="2" t="inlineStr">
        <is>
          <t>A control total: the number of funded startups Entrackr counted each week, beside the rounds tracked here.</t>
        </is>
      </c>
    </row>
    <row r="4">
      <c r="A4" t="inlineStr">
        <is>
          <t>Week start</t>
        </is>
      </c>
      <c r="B4" t="inlineStr">
        <is>
          <t>Week end</t>
        </is>
      </c>
      <c r="C4" t="inlineStr">
        <is>
          <t>Entrackr: funded startups</t>
        </is>
      </c>
      <c r="D4" t="inlineStr">
        <is>
          <t>Tracker: rounds</t>
        </is>
      </c>
      <c r="E4" t="inlineStr">
        <is>
          <t>Difference</t>
        </is>
      </c>
      <c r="F4" t="inlineStr">
        <is>
          <t>Entrackr: USD mn</t>
        </is>
      </c>
      <c r="G4" t="inlineStr">
        <is>
          <t>Tracker: USD mn</t>
        </is>
      </c>
    </row>
    <row r="5">
      <c r="A5" s="17" t="n">
        <v>45656</v>
      </c>
      <c r="B5" s="17" t="n">
        <v>45661</v>
      </c>
      <c r="C5" s="25" t="n">
        <v>8</v>
      </c>
      <c r="D5" s="25" t="n">
        <v>4</v>
      </c>
      <c r="E5" s="25" t="n">
        <v>-4</v>
      </c>
      <c r="F5" s="19" t="n">
        <v>33.44</v>
      </c>
      <c r="G5" s="19" t="n">
        <v>77.70999999999999</v>
      </c>
    </row>
    <row r="6">
      <c r="A6" s="17" t="n">
        <v>45663</v>
      </c>
      <c r="B6" s="17" t="n">
        <v>45668</v>
      </c>
      <c r="C6" s="25" t="n">
        <v>27</v>
      </c>
      <c r="D6" s="25" t="n">
        <v>23</v>
      </c>
      <c r="E6" s="25" t="n">
        <v>-4</v>
      </c>
      <c r="F6" s="19" t="n">
        <v>466.45</v>
      </c>
      <c r="G6" s="19" t="n">
        <v>377.24</v>
      </c>
    </row>
    <row r="7">
      <c r="A7" s="17" t="n">
        <v>45670</v>
      </c>
      <c r="B7" s="17" t="n">
        <v>45675</v>
      </c>
      <c r="C7" s="25" t="n">
        <v>37</v>
      </c>
      <c r="D7" s="25" t="n">
        <v>32</v>
      </c>
      <c r="E7" s="25" t="n">
        <v>-5</v>
      </c>
      <c r="F7" s="19" t="n">
        <v>780</v>
      </c>
      <c r="G7" s="19" t="n">
        <v>359.65</v>
      </c>
    </row>
    <row r="8">
      <c r="A8" s="17" t="n">
        <v>45677</v>
      </c>
      <c r="B8" s="17" t="n">
        <v>45682</v>
      </c>
      <c r="C8" s="25" t="n">
        <v>30</v>
      </c>
      <c r="D8" s="25" t="n">
        <v>29</v>
      </c>
      <c r="E8" s="25" t="n">
        <v>-1</v>
      </c>
      <c r="F8" s="19" t="n">
        <v>248.87</v>
      </c>
      <c r="G8" s="19" t="n">
        <v>296.95</v>
      </c>
    </row>
    <row r="9">
      <c r="A9" s="17" t="n">
        <v>45684</v>
      </c>
      <c r="B9" s="17" t="n">
        <v>45689</v>
      </c>
      <c r="C9" s="25" t="n">
        <v>30</v>
      </c>
      <c r="D9" s="25" t="n">
        <v>28</v>
      </c>
      <c r="E9" s="25" t="n">
        <v>-2</v>
      </c>
      <c r="F9" s="19" t="n">
        <v>240.85</v>
      </c>
      <c r="G9" s="19" t="n">
        <v>788.11</v>
      </c>
    </row>
    <row r="10">
      <c r="A10" s="17" t="n">
        <v>45712</v>
      </c>
      <c r="B10" s="17" t="n">
        <v>45717</v>
      </c>
      <c r="C10" s="25" t="n">
        <v>21</v>
      </c>
      <c r="D10" s="25" t="n">
        <v>21</v>
      </c>
      <c r="E10" s="25" t="n">
        <v>0</v>
      </c>
      <c r="F10" s="19" t="n">
        <v>105.87</v>
      </c>
      <c r="G10" s="19" t="n">
        <v>106.65</v>
      </c>
    </row>
    <row r="11">
      <c r="A11" s="17" t="n">
        <v>45719</v>
      </c>
      <c r="B11" s="17" t="n">
        <v>45724</v>
      </c>
      <c r="C11" s="25" t="n">
        <v>30</v>
      </c>
      <c r="D11" s="25" t="n">
        <v>33</v>
      </c>
      <c r="E11" s="25" t="n">
        <v>3</v>
      </c>
      <c r="F11" s="19" t="n">
        <v>355.02</v>
      </c>
      <c r="G11" s="19" t="n">
        <v>387.66</v>
      </c>
    </row>
    <row r="12">
      <c r="A12" s="17" t="n">
        <v>45726</v>
      </c>
      <c r="B12" s="17" t="n">
        <v>45731</v>
      </c>
      <c r="C12" s="25" t="n">
        <v>19</v>
      </c>
      <c r="D12" s="25" t="n">
        <v>16</v>
      </c>
      <c r="E12" s="25" t="n">
        <v>-3</v>
      </c>
      <c r="F12" s="19" t="n">
        <v>462.27</v>
      </c>
      <c r="G12" s="19" t="n">
        <v>463.11</v>
      </c>
    </row>
    <row r="13">
      <c r="A13" s="17" t="n">
        <v>45733</v>
      </c>
      <c r="B13" s="17" t="n">
        <v>45738</v>
      </c>
      <c r="C13" s="25" t="n">
        <v>25</v>
      </c>
      <c r="D13" s="25" t="n">
        <v>27</v>
      </c>
      <c r="E13" s="25" t="n">
        <v>2</v>
      </c>
      <c r="F13" s="19" t="n">
        <v>176.44</v>
      </c>
      <c r="G13" s="19" t="n">
        <v>197.5</v>
      </c>
    </row>
    <row r="14">
      <c r="A14" s="17" t="n">
        <v>45740</v>
      </c>
      <c r="B14" s="17" t="n">
        <v>45745</v>
      </c>
      <c r="C14" s="25" t="n">
        <v>23</v>
      </c>
      <c r="D14" s="25" t="n">
        <v>27</v>
      </c>
      <c r="E14" s="25" t="n">
        <v>4</v>
      </c>
      <c r="F14" s="19" t="n">
        <v>152.49</v>
      </c>
      <c r="G14" s="19" t="n">
        <v>218.21</v>
      </c>
    </row>
    <row r="15">
      <c r="A15" s="17" t="n">
        <v>45747</v>
      </c>
      <c r="B15" s="17" t="n">
        <v>45752</v>
      </c>
      <c r="C15" s="25" t="n">
        <v>30</v>
      </c>
      <c r="D15" s="25" t="n">
        <v>30</v>
      </c>
      <c r="E15" s="25" t="n">
        <v>0</v>
      </c>
      <c r="F15" s="19" t="n">
        <v>357.29</v>
      </c>
      <c r="G15" s="19" t="n">
        <v>382.86</v>
      </c>
    </row>
    <row r="16">
      <c r="A16" s="17" t="n">
        <v>45754</v>
      </c>
      <c r="B16" s="17" t="n">
        <v>45759</v>
      </c>
      <c r="C16" s="25" t="n">
        <v>24</v>
      </c>
      <c r="D16" s="25" t="n">
        <v>23</v>
      </c>
      <c r="E16" s="25" t="n">
        <v>-1</v>
      </c>
      <c r="F16" s="19" t="n">
        <v>181.21</v>
      </c>
      <c r="G16" s="19" t="n">
        <v>490.81</v>
      </c>
    </row>
    <row r="17">
      <c r="A17" s="17" t="n">
        <v>45761</v>
      </c>
      <c r="B17" s="17" t="n">
        <v>45766</v>
      </c>
      <c r="C17" s="25" t="n">
        <v>25</v>
      </c>
      <c r="D17" s="25" t="n">
        <v>27</v>
      </c>
      <c r="E17" s="25" t="n">
        <v>2</v>
      </c>
      <c r="F17" s="19" t="n">
        <v>62.67</v>
      </c>
      <c r="G17" s="19" t="n">
        <v>115.98</v>
      </c>
    </row>
    <row r="18">
      <c r="A18" s="17" t="n">
        <v>45768</v>
      </c>
      <c r="B18" s="17" t="n">
        <v>45772</v>
      </c>
      <c r="C18" s="25" t="n">
        <v>22</v>
      </c>
      <c r="D18" s="25" t="n">
        <v>23</v>
      </c>
      <c r="E18" s="25" t="n">
        <v>1</v>
      </c>
      <c r="F18" s="19" t="n">
        <v>112.35</v>
      </c>
      <c r="G18" s="19" t="n">
        <v>145.36</v>
      </c>
    </row>
    <row r="19">
      <c r="A19" s="17" t="n">
        <v>45775</v>
      </c>
      <c r="B19" s="17" t="n">
        <v>45780</v>
      </c>
      <c r="C19" s="25" t="n">
        <v>25</v>
      </c>
      <c r="D19" s="25" t="n">
        <v>23</v>
      </c>
      <c r="E19" s="25" t="n">
        <v>-2</v>
      </c>
      <c r="F19" s="19" t="n">
        <v>102.93</v>
      </c>
      <c r="G19" s="19" t="n">
        <v>112.76</v>
      </c>
    </row>
    <row r="20">
      <c r="A20" s="17" t="n">
        <v>45782</v>
      </c>
      <c r="B20" s="17" t="n">
        <v>45787</v>
      </c>
      <c r="C20" s="25" t="n">
        <v>27</v>
      </c>
      <c r="D20" s="25" t="n">
        <v>29</v>
      </c>
      <c r="E20" s="25" t="n">
        <v>2</v>
      </c>
      <c r="F20" s="19" t="n">
        <v>585.71</v>
      </c>
      <c r="G20" s="19" t="n">
        <v>623.95</v>
      </c>
    </row>
    <row r="21">
      <c r="A21" s="17" t="n">
        <v>45789</v>
      </c>
      <c r="B21" s="17" t="n">
        <v>45794</v>
      </c>
      <c r="C21" s="25" t="n">
        <v>28</v>
      </c>
      <c r="D21" s="25" t="n">
        <v>30</v>
      </c>
      <c r="E21" s="25" t="n">
        <v>2</v>
      </c>
      <c r="F21" s="19" t="n">
        <v>194.22</v>
      </c>
      <c r="G21" s="19" t="n">
        <v>222.67</v>
      </c>
    </row>
    <row r="22">
      <c r="A22" s="17" t="n">
        <v>45796</v>
      </c>
      <c r="B22" s="17" t="n">
        <v>45801</v>
      </c>
      <c r="C22" s="25" t="n">
        <v>21</v>
      </c>
      <c r="D22" s="25" t="n">
        <v>19</v>
      </c>
      <c r="E22" s="25" t="n">
        <v>-2</v>
      </c>
      <c r="F22" s="19" t="n">
        <v>139.5</v>
      </c>
      <c r="G22" s="19" t="n">
        <v>258.67</v>
      </c>
    </row>
    <row r="23">
      <c r="A23" s="17" t="n">
        <v>45803</v>
      </c>
      <c r="B23" s="17" t="n">
        <v>45808</v>
      </c>
      <c r="C23" s="25" t="n">
        <v>19</v>
      </c>
      <c r="D23" s="25" t="n">
        <v>21</v>
      </c>
      <c r="E23" s="25" t="n">
        <v>2</v>
      </c>
      <c r="F23" s="19" t="n">
        <v>205.76</v>
      </c>
      <c r="G23" s="19" t="n">
        <v>277.6</v>
      </c>
    </row>
    <row r="24">
      <c r="A24" s="17" t="n">
        <v>45810</v>
      </c>
      <c r="B24" s="17" t="n">
        <v>45815</v>
      </c>
      <c r="C24" s="25" t="n">
        <v>21</v>
      </c>
      <c r="D24" s="25" t="n">
        <v>19</v>
      </c>
      <c r="E24" s="25" t="n">
        <v>-2</v>
      </c>
      <c r="F24" s="19" t="n">
        <v>216.19</v>
      </c>
      <c r="G24" s="19" t="n">
        <v>255.53</v>
      </c>
    </row>
    <row r="25">
      <c r="A25" s="17" t="n">
        <v>45817</v>
      </c>
      <c r="B25" s="17" t="n">
        <v>45822</v>
      </c>
      <c r="C25" s="25" t="n">
        <v>20</v>
      </c>
      <c r="D25" s="25" t="n">
        <v>22</v>
      </c>
      <c r="E25" s="25" t="n">
        <v>2</v>
      </c>
      <c r="F25" s="19" t="n">
        <v>184.75</v>
      </c>
      <c r="G25" s="19" t="n">
        <v>432.19</v>
      </c>
    </row>
    <row r="26">
      <c r="A26" s="17" t="n">
        <v>45824</v>
      </c>
      <c r="B26" s="17" t="n">
        <v>45829</v>
      </c>
      <c r="C26" s="25" t="n">
        <v>17</v>
      </c>
      <c r="D26" s="25" t="n">
        <v>21</v>
      </c>
      <c r="E26" s="25" t="n">
        <v>4</v>
      </c>
      <c r="F26" s="19" t="n">
        <v>197.71</v>
      </c>
      <c r="G26" s="19" t="n">
        <v>435.33</v>
      </c>
    </row>
    <row r="27">
      <c r="A27" s="17" t="n">
        <v>45831</v>
      </c>
      <c r="B27" s="17" t="n">
        <v>45836</v>
      </c>
      <c r="C27" s="25" t="n">
        <v>30</v>
      </c>
      <c r="D27" s="25" t="n">
        <v>28</v>
      </c>
      <c r="E27" s="25" t="n">
        <v>-2</v>
      </c>
      <c r="F27" s="19" t="n">
        <v>312.69</v>
      </c>
      <c r="G27" s="19" t="n">
        <v>353.44</v>
      </c>
    </row>
    <row r="28">
      <c r="A28" s="17" t="n">
        <v>45838</v>
      </c>
      <c r="B28" s="17" t="n">
        <v>45843</v>
      </c>
      <c r="C28" s="25" t="n">
        <v>26</v>
      </c>
      <c r="D28" s="25" t="n">
        <v>23</v>
      </c>
      <c r="E28" s="25" t="n">
        <v>-3</v>
      </c>
      <c r="F28" s="19" t="n">
        <v>290.28</v>
      </c>
      <c r="G28" s="19" t="n">
        <v>427.83</v>
      </c>
    </row>
    <row r="29">
      <c r="A29" s="17" t="n">
        <v>45845</v>
      </c>
      <c r="B29" s="17" t="n">
        <v>45850</v>
      </c>
      <c r="C29" s="25" t="n">
        <v>17</v>
      </c>
      <c r="D29" s="25" t="n">
        <v>21</v>
      </c>
      <c r="E29" s="25" t="n">
        <v>4</v>
      </c>
      <c r="F29" s="19" t="n">
        <v>95</v>
      </c>
      <c r="G29" s="19" t="n">
        <v>161.01</v>
      </c>
    </row>
    <row r="30">
      <c r="A30" s="17" t="n">
        <v>45852</v>
      </c>
      <c r="B30" s="17" t="n">
        <v>45857</v>
      </c>
      <c r="C30" s="25" t="n">
        <v>26</v>
      </c>
      <c r="D30" s="25" t="n">
        <v>26</v>
      </c>
      <c r="E30" s="25" t="n">
        <v>0</v>
      </c>
      <c r="F30" s="19" t="n">
        <v>97.45</v>
      </c>
      <c r="G30" s="19" t="n">
        <v>281.31</v>
      </c>
    </row>
    <row r="31">
      <c r="A31" s="17" t="n">
        <v>45859</v>
      </c>
      <c r="B31" s="17" t="n">
        <v>45864</v>
      </c>
      <c r="C31" s="25" t="n">
        <v>24</v>
      </c>
      <c r="D31" s="25" t="n">
        <v>24</v>
      </c>
      <c r="E31" s="25" t="n">
        <v>0</v>
      </c>
      <c r="F31" s="19" t="n">
        <v>202.79</v>
      </c>
      <c r="G31" s="19" t="n">
        <v>163.52</v>
      </c>
    </row>
    <row r="32">
      <c r="A32" s="17" t="n">
        <v>45866</v>
      </c>
      <c r="B32" s="17" t="n">
        <v>45871</v>
      </c>
      <c r="C32" s="25" t="n">
        <v>21</v>
      </c>
      <c r="D32" s="25" t="n">
        <v>20</v>
      </c>
      <c r="E32" s="25" t="n">
        <v>-1</v>
      </c>
      <c r="F32" s="19" t="n">
        <v>130.49</v>
      </c>
      <c r="G32" s="19" t="n">
        <v>129.67</v>
      </c>
    </row>
    <row r="33">
      <c r="A33" s="17" t="n">
        <v>45873</v>
      </c>
      <c r="B33" s="17" t="n">
        <v>45878</v>
      </c>
      <c r="C33" s="25" t="n">
        <v>30</v>
      </c>
      <c r="D33" s="25" t="n">
        <v>29</v>
      </c>
      <c r="E33" s="25" t="n">
        <v>-1</v>
      </c>
      <c r="F33" s="19" t="n">
        <v>205.31</v>
      </c>
      <c r="G33" s="19" t="n">
        <v>216.74</v>
      </c>
    </row>
    <row r="34">
      <c r="A34" s="17" t="n">
        <v>45880</v>
      </c>
      <c r="B34" s="17" t="n">
        <v>45885</v>
      </c>
      <c r="C34" s="25" t="n">
        <v>29</v>
      </c>
      <c r="D34" s="25" t="n">
        <v>24</v>
      </c>
      <c r="E34" s="25" t="n">
        <v>-5</v>
      </c>
      <c r="F34" s="19" t="n">
        <v>340.55</v>
      </c>
      <c r="G34" s="19" t="n">
        <v>209.38</v>
      </c>
    </row>
    <row r="35">
      <c r="A35" s="17" t="n">
        <v>45887</v>
      </c>
      <c r="B35" s="17" t="n">
        <v>45892</v>
      </c>
      <c r="C35" s="25" t="n">
        <v>16</v>
      </c>
      <c r="D35" s="25" t="n">
        <v>17</v>
      </c>
      <c r="E35" s="25" t="n">
        <v>1</v>
      </c>
      <c r="F35" s="19" t="n">
        <v>283.33</v>
      </c>
      <c r="G35" s="19" t="n">
        <v>357.44</v>
      </c>
    </row>
    <row r="36">
      <c r="A36" s="17" t="n">
        <v>45894</v>
      </c>
      <c r="B36" s="17" t="n">
        <v>45899</v>
      </c>
      <c r="C36" s="25" t="n">
        <v>24</v>
      </c>
      <c r="D36" s="25" t="n">
        <v>18</v>
      </c>
      <c r="E36" s="25" t="n">
        <v>-6</v>
      </c>
      <c r="F36" s="19" t="n">
        <v>127.59</v>
      </c>
      <c r="G36" s="19" t="n">
        <v>100.92</v>
      </c>
    </row>
    <row r="37">
      <c r="A37" s="17" t="n">
        <v>45901</v>
      </c>
      <c r="B37" s="17" t="n">
        <v>45905</v>
      </c>
      <c r="C37" s="25" t="n">
        <v>28</v>
      </c>
      <c r="D37" s="25" t="n">
        <v>24</v>
      </c>
      <c r="E37" s="25" t="n">
        <v>-4</v>
      </c>
      <c r="F37" s="19" t="n">
        <v>348</v>
      </c>
      <c r="G37" s="19" t="n">
        <v>570.71</v>
      </c>
    </row>
    <row r="38">
      <c r="A38" s="17" t="n">
        <v>45908</v>
      </c>
      <c r="B38" s="17" t="n">
        <v>45913</v>
      </c>
      <c r="C38" s="25" t="n">
        <v>26</v>
      </c>
      <c r="D38" s="25" t="n">
        <v>25</v>
      </c>
      <c r="E38" s="25" t="n">
        <v>-1</v>
      </c>
      <c r="F38" s="19" t="n">
        <v>329</v>
      </c>
      <c r="G38" s="19" t="n">
        <v>279.02</v>
      </c>
    </row>
    <row r="39">
      <c r="A39" s="17" t="n">
        <v>45915</v>
      </c>
      <c r="B39" s="17" t="n">
        <v>45920</v>
      </c>
      <c r="C39" s="25" t="n">
        <v>21</v>
      </c>
      <c r="D39" s="25" t="n">
        <v>27</v>
      </c>
      <c r="E39" s="25" t="n">
        <v>6</v>
      </c>
      <c r="F39" s="19" t="n">
        <v>361.5</v>
      </c>
      <c r="G39" s="19" t="n">
        <v>531.34</v>
      </c>
    </row>
    <row r="40">
      <c r="A40" s="17" t="n">
        <v>45922</v>
      </c>
      <c r="B40" s="17" t="n">
        <v>45927</v>
      </c>
      <c r="C40" s="25" t="n">
        <v>33</v>
      </c>
      <c r="D40" s="25" t="n">
        <v>32</v>
      </c>
      <c r="E40" s="25" t="n">
        <v>-1</v>
      </c>
      <c r="F40" s="19" t="n">
        <v>173.48</v>
      </c>
      <c r="G40" s="19" t="n">
        <v>202.85</v>
      </c>
    </row>
    <row r="41">
      <c r="A41" s="17" t="n">
        <v>45929</v>
      </c>
      <c r="B41" s="17" t="n">
        <v>45934</v>
      </c>
      <c r="C41" s="25" t="n">
        <v>17</v>
      </c>
      <c r="D41" s="25" t="n">
        <v>18</v>
      </c>
      <c r="E41" s="25" t="n">
        <v>1</v>
      </c>
      <c r="F41" s="19" t="n">
        <v>206.89</v>
      </c>
      <c r="G41" s="19" t="n">
        <v>220.62</v>
      </c>
    </row>
    <row r="42">
      <c r="A42" s="17" t="n">
        <v>45936</v>
      </c>
      <c r="B42" s="17" t="n">
        <v>45941</v>
      </c>
      <c r="C42" s="25" t="n">
        <v>36</v>
      </c>
      <c r="D42" s="25" t="n">
        <v>29</v>
      </c>
      <c r="E42" s="25" t="n">
        <v>-7</v>
      </c>
      <c r="F42" s="19" t="n">
        <v>310.72</v>
      </c>
      <c r="G42" s="19" t="n">
        <v>335.99</v>
      </c>
    </row>
    <row r="43">
      <c r="A43" s="17" t="n">
        <v>45943</v>
      </c>
      <c r="B43" s="17" t="n">
        <v>45948</v>
      </c>
      <c r="C43" s="25" t="n">
        <v>30</v>
      </c>
      <c r="D43" s="25" t="n">
        <v>31</v>
      </c>
      <c r="E43" s="25" t="n">
        <v>1</v>
      </c>
      <c r="F43" s="19" t="n">
        <v>694.75</v>
      </c>
      <c r="G43" s="19" t="n">
        <v>745.9</v>
      </c>
    </row>
    <row r="44">
      <c r="A44" s="17" t="n">
        <v>45950</v>
      </c>
      <c r="B44" s="17" t="n">
        <v>45955</v>
      </c>
      <c r="C44" s="25" t="n">
        <v>8</v>
      </c>
      <c r="D44" s="25" t="n">
        <v>6</v>
      </c>
      <c r="E44" s="25" t="n">
        <v>-2</v>
      </c>
      <c r="F44" s="19" t="n">
        <v>347.44</v>
      </c>
      <c r="G44" s="19" t="n">
        <v>459.12</v>
      </c>
    </row>
    <row r="45">
      <c r="A45" s="17" t="n">
        <v>45957</v>
      </c>
      <c r="B45" s="17" t="n">
        <v>45962</v>
      </c>
      <c r="C45" s="25" t="n">
        <v>34</v>
      </c>
      <c r="D45" s="25" t="n">
        <v>35</v>
      </c>
      <c r="E45" s="25" t="n">
        <v>1</v>
      </c>
      <c r="F45" s="19" t="n">
        <v>334.88</v>
      </c>
      <c r="G45" s="19" t="n">
        <v>375.4</v>
      </c>
    </row>
    <row r="46">
      <c r="A46" s="17" t="n">
        <v>45964</v>
      </c>
      <c r="B46" s="17" t="n">
        <v>45969</v>
      </c>
      <c r="C46" s="25" t="n">
        <v>24</v>
      </c>
      <c r="D46" s="25" t="n">
        <v>22</v>
      </c>
      <c r="E46" s="25" t="n">
        <v>-2</v>
      </c>
      <c r="F46" s="19" t="n">
        <v>242.88</v>
      </c>
      <c r="G46" s="19" t="n">
        <v>280.56</v>
      </c>
    </row>
    <row r="47">
      <c r="A47" s="17" t="n">
        <v>45971</v>
      </c>
      <c r="B47" s="17" t="n">
        <v>45976</v>
      </c>
      <c r="C47" s="25" t="n">
        <v>25</v>
      </c>
      <c r="D47" s="25" t="n">
        <v>28</v>
      </c>
      <c r="E47" s="25" t="n">
        <v>3</v>
      </c>
      <c r="F47" s="19" t="n">
        <v>169.28</v>
      </c>
      <c r="G47" s="19" t="n">
        <v>329.02</v>
      </c>
    </row>
    <row r="48">
      <c r="A48" s="17" t="n">
        <v>45978</v>
      </c>
      <c r="B48" s="17" t="n">
        <v>45983</v>
      </c>
      <c r="C48" s="25" t="n">
        <v>26</v>
      </c>
      <c r="D48" s="25" t="n">
        <v>23</v>
      </c>
      <c r="E48" s="25" t="n">
        <v>-3</v>
      </c>
      <c r="F48" s="19" t="n">
        <v>220.52</v>
      </c>
      <c r="G48" s="19" t="n">
        <v>220.95</v>
      </c>
    </row>
    <row r="49">
      <c r="A49" s="17" t="n">
        <v>45985</v>
      </c>
      <c r="B49" s="17" t="n">
        <v>45990</v>
      </c>
      <c r="C49" s="25" t="n">
        <v>35</v>
      </c>
      <c r="D49" s="25" t="n">
        <v>35</v>
      </c>
      <c r="E49" s="25" t="n">
        <v>0</v>
      </c>
      <c r="F49" s="19" t="n">
        <v>353.19</v>
      </c>
      <c r="G49" s="19" t="n">
        <v>336.88</v>
      </c>
    </row>
    <row r="50">
      <c r="A50" s="17" t="n">
        <v>45992</v>
      </c>
      <c r="B50" s="17" t="n">
        <v>45997</v>
      </c>
      <c r="C50" s="25" t="n">
        <v>18</v>
      </c>
      <c r="D50" s="25" t="n">
        <v>20</v>
      </c>
      <c r="E50" s="25" t="n">
        <v>2</v>
      </c>
      <c r="F50" s="19" t="n">
        <v>272.67</v>
      </c>
      <c r="G50" s="19" t="n">
        <v>561.15</v>
      </c>
    </row>
    <row r="51">
      <c r="A51" s="17" t="n">
        <v>45999</v>
      </c>
      <c r="B51" s="17" t="n">
        <v>46004</v>
      </c>
      <c r="C51" s="25" t="n">
        <v>22</v>
      </c>
      <c r="D51" s="25" t="n">
        <v>24</v>
      </c>
      <c r="E51" s="25" t="n">
        <v>2</v>
      </c>
      <c r="F51" s="19" t="n">
        <v>137.68</v>
      </c>
      <c r="G51" s="19" t="n">
        <v>127.16</v>
      </c>
    </row>
    <row r="52">
      <c r="A52" s="17" t="n">
        <v>46006</v>
      </c>
      <c r="B52" s="17" t="n">
        <v>46011</v>
      </c>
      <c r="C52" s="25" t="n">
        <v>30</v>
      </c>
      <c r="D52" s="25" t="n">
        <v>29</v>
      </c>
      <c r="E52" s="25" t="n">
        <v>-1</v>
      </c>
      <c r="F52" s="19" t="n">
        <v>363.9</v>
      </c>
      <c r="G52" s="19" t="n">
        <v>371.76</v>
      </c>
    </row>
    <row r="53">
      <c r="A53" s="17" t="n">
        <v>46013</v>
      </c>
      <c r="B53" s="17" t="n">
        <v>46018</v>
      </c>
      <c r="C53" s="25" t="n">
        <v>11</v>
      </c>
      <c r="D53" s="25" t="n">
        <v>10</v>
      </c>
      <c r="E53" s="25" t="n">
        <v>-1</v>
      </c>
      <c r="F53" s="19" t="n">
        <v>95.54000000000001</v>
      </c>
      <c r="G53" s="19" t="n">
        <v>124.77</v>
      </c>
    </row>
    <row r="54">
      <c r="A54" s="17" t="n">
        <v>46020</v>
      </c>
      <c r="B54" s="17" t="n">
        <v>46025</v>
      </c>
      <c r="C54" s="25" t="n">
        <v>3</v>
      </c>
      <c r="D54" s="25" t="n">
        <v>5</v>
      </c>
      <c r="E54" s="25" t="n">
        <v>2</v>
      </c>
      <c r="F54" s="19" t="n">
        <v>110.22</v>
      </c>
      <c r="G54" s="19" t="n">
        <v>118.3</v>
      </c>
    </row>
    <row r="55">
      <c r="A55" s="17" t="n">
        <v>46027</v>
      </c>
      <c r="B55" s="17" t="n">
        <v>46032</v>
      </c>
      <c r="C55" s="25" t="n">
        <v>24</v>
      </c>
      <c r="D55" s="25" t="n">
        <v>22</v>
      </c>
      <c r="E55" s="25" t="n">
        <v>-2</v>
      </c>
      <c r="F55" s="19" t="n">
        <v>75.36</v>
      </c>
      <c r="G55" s="19" t="n">
        <v>78.48999999999999</v>
      </c>
    </row>
    <row r="56">
      <c r="A56" s="17" t="n">
        <v>46034</v>
      </c>
      <c r="B56" s="17" t="n">
        <v>46039</v>
      </c>
      <c r="C56" s="25" t="n">
        <v>28</v>
      </c>
      <c r="D56" s="25" t="n">
        <v>29</v>
      </c>
      <c r="E56" s="25" t="n">
        <v>1</v>
      </c>
      <c r="F56" s="19" t="n">
        <v>254</v>
      </c>
      <c r="G56" s="19" t="n">
        <v>290.68</v>
      </c>
    </row>
    <row r="57">
      <c r="A57" s="17" t="n">
        <v>46041</v>
      </c>
      <c r="B57" s="17" t="n">
        <v>46046</v>
      </c>
      <c r="C57" s="25" t="n">
        <v>47</v>
      </c>
      <c r="D57" s="25" t="n">
        <v>41</v>
      </c>
      <c r="E57" s="25" t="n">
        <v>-6</v>
      </c>
      <c r="F57" s="19" t="n">
        <v>353.81</v>
      </c>
      <c r="G57" s="19" t="n">
        <v>342.15</v>
      </c>
    </row>
    <row r="58">
      <c r="A58" s="17" t="n">
        <v>46048</v>
      </c>
      <c r="B58" s="17" t="n">
        <v>46053</v>
      </c>
      <c r="C58" s="25" t="n">
        <v>23</v>
      </c>
      <c r="D58" s="25" t="n">
        <v>21</v>
      </c>
      <c r="E58" s="25" t="n">
        <v>-2</v>
      </c>
      <c r="F58" s="19" t="n">
        <v>147.64</v>
      </c>
      <c r="G58" s="19" t="n">
        <v>136.65</v>
      </c>
    </row>
    <row r="59">
      <c r="A59" s="17" t="n">
        <v>46055</v>
      </c>
      <c r="B59" s="17" t="n">
        <v>46060</v>
      </c>
      <c r="C59" s="25" t="n">
        <v>26</v>
      </c>
      <c r="D59" s="25" t="n">
        <v>22</v>
      </c>
      <c r="E59" s="25" t="n">
        <v>-4</v>
      </c>
      <c r="F59" s="19" t="n">
        <v>215</v>
      </c>
      <c r="G59" s="19" t="n">
        <v>232.66</v>
      </c>
    </row>
    <row r="60">
      <c r="A60" s="17" t="n">
        <v>46062</v>
      </c>
      <c r="B60" s="17" t="n">
        <v>46067</v>
      </c>
      <c r="C60" s="25" t="n">
        <v>37</v>
      </c>
      <c r="D60" s="25" t="n">
        <v>38</v>
      </c>
      <c r="E60" s="25" t="n">
        <v>1</v>
      </c>
      <c r="F60" s="19" t="n">
        <v>236.38</v>
      </c>
      <c r="G60" s="19" t="n">
        <v>410.59</v>
      </c>
    </row>
    <row r="61">
      <c r="A61" s="17" t="n">
        <v>46069</v>
      </c>
      <c r="B61" s="17" t="n">
        <v>46074</v>
      </c>
      <c r="C61" s="25" t="n">
        <v>29</v>
      </c>
      <c r="D61" s="25" t="n">
        <v>20</v>
      </c>
      <c r="E61" s="25" t="n">
        <v>-9</v>
      </c>
      <c r="F61" s="19" t="n">
        <v>1300</v>
      </c>
      <c r="G61" s="19" t="n">
        <v>1325.46</v>
      </c>
    </row>
    <row r="62">
      <c r="A62" s="17" t="n">
        <v>46076</v>
      </c>
      <c r="B62" s="17" t="n">
        <v>46081</v>
      </c>
      <c r="C62" s="25" t="n">
        <v>43</v>
      </c>
      <c r="D62" s="25" t="n">
        <v>33</v>
      </c>
      <c r="E62" s="25" t="n">
        <v>-10</v>
      </c>
      <c r="F62" s="19" t="n">
        <v>222.87</v>
      </c>
      <c r="G62" s="19" t="n">
        <v>225.68</v>
      </c>
    </row>
    <row r="63">
      <c r="A63" s="17" t="n">
        <v>46083</v>
      </c>
      <c r="B63" s="17" t="n">
        <v>46088</v>
      </c>
      <c r="C63" s="25" t="n">
        <v>14</v>
      </c>
      <c r="D63" s="25" t="n">
        <v>14</v>
      </c>
      <c r="E63" s="25" t="n">
        <v>0</v>
      </c>
      <c r="F63" s="19" t="n">
        <v>105.08</v>
      </c>
      <c r="G63" s="19" t="n">
        <v>117.45</v>
      </c>
    </row>
    <row r="64">
      <c r="A64" s="17" t="n">
        <v>46090</v>
      </c>
      <c r="B64" s="17" t="n">
        <v>46095</v>
      </c>
      <c r="C64" s="25" t="n">
        <v>22</v>
      </c>
      <c r="D64" s="25" t="n">
        <v>24</v>
      </c>
      <c r="E64" s="25" t="n">
        <v>2</v>
      </c>
      <c r="F64" s="19" t="n">
        <v>162.98</v>
      </c>
      <c r="G64" s="19" t="n">
        <v>203.62</v>
      </c>
    </row>
    <row r="65">
      <c r="A65" s="17" t="n">
        <v>46097</v>
      </c>
      <c r="B65" s="17" t="n">
        <v>46102</v>
      </c>
      <c r="C65" s="25" t="n">
        <v>26</v>
      </c>
      <c r="D65" s="25" t="n">
        <v>24</v>
      </c>
      <c r="E65" s="25" t="n">
        <v>-2</v>
      </c>
      <c r="F65" s="19" t="n">
        <v>330.2</v>
      </c>
      <c r="G65" s="19" t="n">
        <v>336.2</v>
      </c>
    </row>
    <row r="66">
      <c r="A66" s="17" t="n">
        <v>46104</v>
      </c>
      <c r="B66" s="17" t="n">
        <v>46109</v>
      </c>
      <c r="C66" s="25" t="n">
        <v>30</v>
      </c>
      <c r="D66" s="25" t="n">
        <v>28</v>
      </c>
      <c r="E66" s="25" t="n">
        <v>-2</v>
      </c>
      <c r="F66" s="19" t="n">
        <v>286.52</v>
      </c>
      <c r="G66" s="19" t="n">
        <v>399.56</v>
      </c>
    </row>
    <row r="67">
      <c r="A67" s="17" t="n">
        <v>46111</v>
      </c>
      <c r="B67" s="17" t="n">
        <v>46116</v>
      </c>
      <c r="C67" s="25" t="n">
        <v>21</v>
      </c>
      <c r="D67" s="25" t="n">
        <v>24</v>
      </c>
      <c r="E67" s="25" t="n">
        <v>3</v>
      </c>
      <c r="F67" s="19" t="n">
        <v>100</v>
      </c>
      <c r="G67" s="19" t="n">
        <v>238.56</v>
      </c>
    </row>
    <row r="68">
      <c r="A68" s="17" t="n">
        <v>46118</v>
      </c>
      <c r="B68" s="17" t="n">
        <v>46123</v>
      </c>
      <c r="C68" s="25" t="n">
        <v>31</v>
      </c>
      <c r="D68" s="25" t="n">
        <v>28</v>
      </c>
      <c r="E68" s="25" t="n">
        <v>-3</v>
      </c>
      <c r="F68" s="19" t="n">
        <v>594.39</v>
      </c>
      <c r="G68" s="19" t="n">
        <v>543.27</v>
      </c>
    </row>
    <row r="69">
      <c r="A69" s="17" t="n">
        <v>46125</v>
      </c>
      <c r="B69" s="17" t="n">
        <v>46130</v>
      </c>
      <c r="C69" s="25" t="n">
        <v>17</v>
      </c>
      <c r="D69" s="25" t="n">
        <v>16</v>
      </c>
      <c r="E69" s="25" t="n">
        <v>-1</v>
      </c>
      <c r="F69" s="19" t="n">
        <v>129</v>
      </c>
      <c r="G69" s="19" t="n">
        <v>135.58</v>
      </c>
    </row>
    <row r="70">
      <c r="A70" s="17" t="n">
        <v>46139</v>
      </c>
      <c r="B70" s="17" t="n">
        <v>46144</v>
      </c>
      <c r="C70" s="25" t="n">
        <v>17</v>
      </c>
      <c r="D70" s="25" t="n">
        <v>21</v>
      </c>
      <c r="E70" s="25" t="n">
        <v>4</v>
      </c>
      <c r="F70" s="19" t="n">
        <v>187.2</v>
      </c>
      <c r="G70" s="19" t="n">
        <v>212.72</v>
      </c>
    </row>
    <row r="71">
      <c r="A71" s="17" t="n">
        <v>46146</v>
      </c>
      <c r="B71" s="17" t="n">
        <v>46151</v>
      </c>
      <c r="C71" s="25" t="n">
        <v>24</v>
      </c>
      <c r="D71" s="25" t="n">
        <v>21</v>
      </c>
      <c r="E71" s="25" t="n">
        <v>-3</v>
      </c>
      <c r="F71" s="19" t="n">
        <v>158.8</v>
      </c>
      <c r="G71" s="19" t="n">
        <v>212.3</v>
      </c>
    </row>
    <row r="72">
      <c r="A72" s="17" t="n">
        <v>46153</v>
      </c>
      <c r="B72" s="17" t="n">
        <v>46158</v>
      </c>
      <c r="C72" s="25" t="n">
        <v>20</v>
      </c>
      <c r="D72" s="25" t="n">
        <v>21</v>
      </c>
      <c r="E72" s="25" t="n">
        <v>1</v>
      </c>
      <c r="F72" s="19" t="n">
        <v>292.52</v>
      </c>
      <c r="G72" s="19" t="n">
        <v>329.31</v>
      </c>
    </row>
    <row r="73">
      <c r="A73" s="17" t="n">
        <v>46160</v>
      </c>
      <c r="B73" s="17" t="n">
        <v>46165</v>
      </c>
      <c r="C73" s="25" t="n">
        <v>14</v>
      </c>
      <c r="D73" s="25" t="n">
        <v>17</v>
      </c>
      <c r="E73" s="25" t="n">
        <v>3</v>
      </c>
      <c r="F73" s="19" t="n">
        <v>128.36</v>
      </c>
      <c r="G73" s="19" t="n">
        <v>100.67</v>
      </c>
    </row>
    <row r="74">
      <c r="A74" s="17" t="n">
        <v>46167</v>
      </c>
      <c r="B74" s="17" t="n">
        <v>46172</v>
      </c>
      <c r="C74" s="25" t="n">
        <v>15</v>
      </c>
      <c r="D74" s="25" t="n">
        <v>14</v>
      </c>
      <c r="E74" s="25" t="n">
        <v>-1</v>
      </c>
      <c r="F74" s="19" t="n">
        <v>75.34999999999999</v>
      </c>
      <c r="G74" s="19" t="n">
        <v>64.78</v>
      </c>
    </row>
    <row r="75">
      <c r="A75" s="17" t="n">
        <v>46174</v>
      </c>
      <c r="B75" s="17" t="n">
        <v>46179</v>
      </c>
      <c r="C75" s="25" t="n">
        <v>17</v>
      </c>
      <c r="D75" s="25" t="n">
        <v>23</v>
      </c>
      <c r="E75" s="25" t="n">
        <v>6</v>
      </c>
      <c r="F75" s="19" t="n">
        <v>165.3</v>
      </c>
      <c r="G75" s="19" t="n">
        <v>266.91</v>
      </c>
    </row>
    <row r="76">
      <c r="A76" s="17" t="n">
        <v>46181</v>
      </c>
      <c r="B76" s="17" t="n">
        <v>46186</v>
      </c>
      <c r="C76" s="25" t="n">
        <v>27</v>
      </c>
      <c r="D76" s="25" t="n">
        <v>25</v>
      </c>
      <c r="E76" s="25" t="n">
        <v>-2</v>
      </c>
      <c r="F76" s="19" t="n">
        <v>253.34</v>
      </c>
      <c r="G76" s="19" t="n">
        <v>236.79</v>
      </c>
    </row>
    <row r="77">
      <c r="A77" s="17" t="n">
        <v>46188</v>
      </c>
      <c r="B77" s="17" t="n">
        <v>46193</v>
      </c>
      <c r="C77" s="25" t="n">
        <v>23</v>
      </c>
      <c r="D77" s="25" t="n">
        <v>21</v>
      </c>
      <c r="E77" s="25" t="n">
        <v>-2</v>
      </c>
      <c r="F77" s="19" t="n">
        <v>432</v>
      </c>
      <c r="G77" s="19" t="n">
        <v>449.42</v>
      </c>
    </row>
    <row r="78">
      <c r="A78" s="17" t="n">
        <v>46202</v>
      </c>
      <c r="B78" s="17" t="n">
        <v>46207</v>
      </c>
      <c r="C78" s="25" t="n">
        <v>25</v>
      </c>
      <c r="D78" s="25" t="n">
        <v>26</v>
      </c>
      <c r="E78" s="25" t="n">
        <v>1</v>
      </c>
      <c r="F78" s="19" t="n">
        <v>137</v>
      </c>
      <c r="G78" s="19" t="n">
        <v>139.09</v>
      </c>
    </row>
    <row r="79">
      <c r="A79" s="17" t="n">
        <v>46209</v>
      </c>
      <c r="B79" s="17" t="n">
        <v>46214</v>
      </c>
      <c r="C79" s="25" t="n">
        <v>18</v>
      </c>
      <c r="D79" s="25" t="n">
        <v>26</v>
      </c>
      <c r="E79" s="25" t="n">
        <v>8</v>
      </c>
      <c r="F79" s="19" t="n">
        <v>70.40000000000001</v>
      </c>
      <c r="G79" s="19" t="n">
        <v>125.86</v>
      </c>
    </row>
    <row r="80">
      <c r="A80" s="17" t="n">
        <v>46223</v>
      </c>
      <c r="B80" s="17" t="n">
        <v>46228</v>
      </c>
      <c r="C80" s="25" t="n">
        <v>16</v>
      </c>
      <c r="D80" s="25" t="n">
        <v>17</v>
      </c>
      <c r="E80" s="25" t="n">
        <v>1</v>
      </c>
      <c r="F80" s="19" t="n">
        <v>164</v>
      </c>
      <c r="G80" s="19" t="n">
        <v>267.97</v>
      </c>
    </row>
    <row r="81">
      <c r="A81" s="17" t="n">
        <v>46230</v>
      </c>
      <c r="B81" s="17" t="n">
        <v>46235</v>
      </c>
      <c r="C81" s="25" t="n">
        <v>17</v>
      </c>
      <c r="D81" s="25" t="n">
        <v>15</v>
      </c>
      <c r="E81" s="25" t="n">
        <v>-2</v>
      </c>
      <c r="F81" s="19" t="n">
        <v>82.2</v>
      </c>
      <c r="G81" s="19" t="n">
        <v>174.32</v>
      </c>
    </row>
    <row r="82">
      <c r="A82" s="17" t="n">
        <v>46237</v>
      </c>
      <c r="B82" s="17" t="n">
        <v>46242</v>
      </c>
      <c r="C82" s="25" t="n">
        <v>28</v>
      </c>
      <c r="D82" s="25" t="n">
        <v>27</v>
      </c>
      <c r="E82" s="25" t="n">
        <v>-1</v>
      </c>
      <c r="F82" s="19" t="n">
        <v>383.5</v>
      </c>
      <c r="G82" s="19" t="n">
        <v>316.21</v>
      </c>
    </row>
    <row r="83">
      <c r="A83" s="17" t="n">
        <v>46244</v>
      </c>
      <c r="B83" s="17" t="n">
        <v>46249</v>
      </c>
      <c r="C83" s="25" t="n">
        <v>14</v>
      </c>
      <c r="D83" s="25" t="n">
        <v>14</v>
      </c>
      <c r="E83" s="25" t="n">
        <v>0</v>
      </c>
      <c r="F83" s="19" t="n">
        <v>151.5</v>
      </c>
      <c r="G83" s="19" t="n">
        <v>195.11</v>
      </c>
    </row>
    <row r="84">
      <c r="A84" s="17" t="n">
        <v>46251</v>
      </c>
      <c r="B84" s="17" t="n">
        <v>46256</v>
      </c>
      <c r="C84" s="25" t="n">
        <v>21</v>
      </c>
      <c r="D84" s="25" t="n">
        <v>23</v>
      </c>
      <c r="E84" s="25" t="n">
        <v>2</v>
      </c>
      <c r="F84" s="19" t="n">
        <v>198.33</v>
      </c>
      <c r="G84" s="19" t="n">
        <v>559.49</v>
      </c>
    </row>
    <row r="85">
      <c r="A85" s="17" t="n">
        <v>46258</v>
      </c>
      <c r="B85" s="17" t="n">
        <v>46263</v>
      </c>
      <c r="C85" s="25" t="n">
        <v>24</v>
      </c>
      <c r="D85" s="25" t="n">
        <v>24</v>
      </c>
      <c r="E85" s="25" t="n">
        <v>0</v>
      </c>
      <c r="F85" s="19" t="n">
        <v>218.69</v>
      </c>
      <c r="G85" s="19" t="n">
        <v>218.22</v>
      </c>
    </row>
    <row r="86">
      <c r="A86" s="17" t="n">
        <v>46265</v>
      </c>
      <c r="B86" s="17" t="n">
        <v>46270</v>
      </c>
      <c r="C86" s="25" t="n">
        <v>25</v>
      </c>
      <c r="D86" s="25" t="n">
        <v>25</v>
      </c>
      <c r="E86" s="25" t="n">
        <v>0</v>
      </c>
      <c r="F86" s="19" t="n">
        <v>303.7</v>
      </c>
      <c r="G86" s="19" t="n">
        <v>337.43</v>
      </c>
    </row>
    <row r="87">
      <c r="A87" s="17" t="n">
        <v>46272</v>
      </c>
      <c r="B87" s="17" t="n">
        <v>46277</v>
      </c>
      <c r="C87" s="25" t="n">
        <v>23</v>
      </c>
      <c r="D87" s="25" t="n">
        <v>24</v>
      </c>
      <c r="E87" s="25" t="n">
        <v>1</v>
      </c>
      <c r="F87" s="19" t="n">
        <v>356.8</v>
      </c>
      <c r="G87" s="19" t="n">
        <v>375.29</v>
      </c>
    </row>
    <row r="88">
      <c r="A88" s="17" t="n">
        <v>46279</v>
      </c>
      <c r="B88" s="17" t="n">
        <v>46284</v>
      </c>
      <c r="C88" s="25" t="n">
        <v>17</v>
      </c>
      <c r="D88" s="25" t="n">
        <v>20</v>
      </c>
      <c r="E88" s="25" t="n">
        <v>3</v>
      </c>
      <c r="F88" s="19" t="n">
        <v>61.8</v>
      </c>
      <c r="G88" s="19" t="n">
        <v>285.65</v>
      </c>
    </row>
    <row r="89">
      <c r="A89" s="17" t="n">
        <v>46286</v>
      </c>
      <c r="B89" s="17" t="n">
        <v>46291</v>
      </c>
      <c r="C89" s="25" t="n">
        <v>17</v>
      </c>
      <c r="D89" s="25" t="n">
        <v>22</v>
      </c>
      <c r="E89" s="25" t="n">
        <v>5</v>
      </c>
      <c r="F89" s="19" t="n">
        <v>188.49</v>
      </c>
      <c r="G89" s="19" t="n">
        <v>128.12</v>
      </c>
    </row>
    <row r="90">
      <c r="A90" s="17" t="n">
        <v>46293</v>
      </c>
      <c r="B90" s="17" t="n">
        <v>46298</v>
      </c>
      <c r="C90" s="25" t="n">
        <v>24</v>
      </c>
      <c r="D90" s="25" t="n">
        <v>22</v>
      </c>
      <c r="E90" s="25" t="n">
        <v>-2</v>
      </c>
      <c r="F90" s="19" t="n">
        <v>411.46</v>
      </c>
      <c r="G90" s="19" t="n">
        <v>403.11</v>
      </c>
    </row>
    <row r="91">
      <c r="A91" s="17" t="n">
        <v>46300</v>
      </c>
      <c r="B91" s="17" t="n">
        <v>46305</v>
      </c>
      <c r="C91" s="25" t="n">
        <v>28</v>
      </c>
      <c r="D91" s="25" t="n">
        <v>29</v>
      </c>
      <c r="E91" s="25" t="n">
        <v>1</v>
      </c>
      <c r="F91" s="19" t="n">
        <v>113.35</v>
      </c>
      <c r="G91" s="19" t="n">
        <v>154.89</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8A8985"/>
    <outlinePr summaryBelow="1" summaryRight="1"/>
    <pageSetUpPr/>
  </sheetPr>
  <dimension ref="A1:O23"/>
  <sheetViews>
    <sheetView workbookViewId="0">
      <selection activeCell="A1" sqref="A1"/>
    </sheetView>
  </sheetViews>
  <sheetFormatPr baseColWidth="8" defaultRowHeight="15"/>
  <cols>
    <col width="10" customWidth="1" min="1" max="1"/>
    <col width="13" customWidth="1" min="2" max="2"/>
    <col width="9" customWidth="1" min="3" max="3"/>
    <col width="15" customWidth="1" min="4" max="4"/>
    <col width="3" customWidth="1" min="5" max="5"/>
    <col width="16" customWidth="1" min="6" max="6"/>
    <col width="9" customWidth="1" min="7" max="7"/>
    <col width="3" customWidth="1" min="8" max="8"/>
    <col width="30" customWidth="1" min="9" max="9"/>
    <col width="9" customWidth="1" min="10" max="10"/>
    <col width="3" customWidth="1" min="11" max="11"/>
    <col width="18" customWidth="1" min="12" max="12"/>
    <col width="9" customWidth="1" min="13" max="13"/>
  </cols>
  <sheetData>
    <row r="1">
      <c r="A1" s="24" t="inlineStr">
        <is>
          <t>Month</t>
        </is>
      </c>
      <c r="B1" s="24" t="inlineStr">
        <is>
          <t>Month start</t>
        </is>
      </c>
      <c r="C1" s="24" t="inlineStr">
        <is>
          <t>Rounds</t>
        </is>
      </c>
      <c r="D1" s="24" t="inlineStr">
        <is>
          <t>Funding USD mn</t>
        </is>
      </c>
      <c r="F1" s="24" t="inlineStr">
        <is>
          <t>Stage</t>
        </is>
      </c>
      <c r="G1" s="24" t="inlineStr">
        <is>
          <t>Rounds</t>
        </is>
      </c>
      <c r="I1" s="24" t="inlineStr">
        <is>
          <t>Sector</t>
        </is>
      </c>
      <c r="J1" s="24" t="inlineStr">
        <is>
          <t>Rounds</t>
        </is>
      </c>
      <c r="L1" s="24" t="inlineStr">
        <is>
          <t>City</t>
        </is>
      </c>
      <c r="M1" s="24" t="inlineStr">
        <is>
          <t>Rounds</t>
        </is>
      </c>
      <c r="O1" s="8" t="inlineStr">
        <is>
          <t>These tables feed the Dashboard charts. They are formulas on the Rounds sheet, so they follow any edit.</t>
        </is>
      </c>
    </row>
    <row r="2">
      <c r="A2" t="inlineStr">
        <is>
          <t>Jan 25</t>
        </is>
      </c>
      <c r="B2" s="17" t="n">
        <v>45658</v>
      </c>
      <c r="C2">
        <f>COUNTIF(Rounds!$D$2:$D$2179,B2)</f>
        <v>116</v>
      </c>
      <c r="D2" s="33">
        <f>SUMIF(Rounds!$D$2:$D$2179,B2,Rounds!$E$2:$E$2179)</f>
        <v>1899.66</v>
      </c>
      <c r="F2" t="inlineStr">
        <is>
          <t>Pre-Seed</t>
        </is>
      </c>
      <c r="G2">
        <f>COUNTIF(Rounds!$H$2:$H$2179,F2)</f>
        <v>242</v>
      </c>
      <c r="I2" t="inlineStr">
        <is>
          <t>Ecommerce</t>
        </is>
      </c>
      <c r="J2">
        <f>COUNTIF(Rounds!$J$2:$J$2179,I2)</f>
        <v>478</v>
      </c>
      <c r="L2" t="inlineStr">
        <is>
          <t>Bengaluru</t>
        </is>
      </c>
      <c r="M2">
        <f>COUNTIF(Rounds!$K$2:$K$2179,L2)</f>
        <v>461</v>
      </c>
    </row>
    <row r="3">
      <c r="A3" t="inlineStr">
        <is>
          <t>Feb 25</t>
        </is>
      </c>
      <c r="B3" s="17" t="n">
        <v>45689</v>
      </c>
      <c r="C3">
        <f>COUNTIF(Rounds!$D$2:$D$2179,B3)</f>
        <v>93</v>
      </c>
      <c r="D3" s="33">
        <f>SUMIF(Rounds!$D$2:$D$2179,B3,Rounds!$E$2:$E$2179)</f>
        <v>762.251</v>
      </c>
      <c r="F3" t="inlineStr">
        <is>
          <t>Seed</t>
        </is>
      </c>
      <c r="G3">
        <f>COUNTIF(Rounds!$H$2:$H$2179,F3)</f>
        <v>467</v>
      </c>
      <c r="I3" t="inlineStr">
        <is>
          <t>Fintech</t>
        </is>
      </c>
      <c r="J3">
        <f>COUNTIF(Rounds!$J$2:$J$2179,I3)</f>
        <v>238</v>
      </c>
      <c r="L3" t="inlineStr">
        <is>
          <t>Delhi NCR</t>
        </is>
      </c>
      <c r="M3">
        <f>COUNTIF(Rounds!$K$2:$K$2179,L3)</f>
        <v>283</v>
      </c>
    </row>
    <row r="4">
      <c r="A4" t="inlineStr">
        <is>
          <t>Mar 25</t>
        </is>
      </c>
      <c r="B4" s="17" t="n">
        <v>45717</v>
      </c>
      <c r="C4">
        <f>COUNTIF(Rounds!$D$2:$D$2179,B4)</f>
        <v>105</v>
      </c>
      <c r="D4" s="33">
        <f>SUMIF(Rounds!$D$2:$D$2179,B4,Rounds!$E$2:$E$2179)</f>
        <v>1451.488</v>
      </c>
      <c r="F4" t="inlineStr">
        <is>
          <t>Angel</t>
        </is>
      </c>
      <c r="G4">
        <f>COUNTIF(Rounds!$H$2:$H$2179,F4)</f>
        <v>9</v>
      </c>
      <c r="I4" t="inlineStr">
        <is>
          <t>Artificial Intelligence</t>
        </is>
      </c>
      <c r="J4">
        <f>COUNTIF(Rounds!$J$2:$J$2179,I4)</f>
        <v>216</v>
      </c>
      <c r="L4" t="inlineStr">
        <is>
          <t>Mumbai</t>
        </is>
      </c>
      <c r="M4">
        <f>COUNTIF(Rounds!$K$2:$K$2179,L4)</f>
        <v>191</v>
      </c>
    </row>
    <row r="5">
      <c r="A5" t="inlineStr">
        <is>
          <t>Apr 25</t>
        </is>
      </c>
      <c r="B5" s="17" t="n">
        <v>45748</v>
      </c>
      <c r="C5">
        <f>COUNTIF(Rounds!$D$2:$D$2179,B5)</f>
        <v>120</v>
      </c>
      <c r="D5" s="33">
        <f>SUMIF(Rounds!$D$2:$D$2179,B5,Rounds!$E$2:$E$2179)</f>
        <v>1037.828</v>
      </c>
      <c r="F5" t="inlineStr">
        <is>
          <t>Pre-Series A</t>
        </is>
      </c>
      <c r="G5">
        <f>COUNTIF(Rounds!$H$2:$H$2179,F5)</f>
        <v>231</v>
      </c>
      <c r="I5" t="inlineStr">
        <is>
          <t>Enterprise Tech</t>
        </is>
      </c>
      <c r="J5">
        <f>COUNTIF(Rounds!$J$2:$J$2179,I5)</f>
        <v>177</v>
      </c>
      <c r="L5" t="inlineStr">
        <is>
          <t>Pune</t>
        </is>
      </c>
      <c r="M5">
        <f>COUNTIF(Rounds!$K$2:$K$2179,L5)</f>
        <v>52</v>
      </c>
    </row>
    <row r="6">
      <c r="A6" t="inlineStr">
        <is>
          <t>May 25</t>
        </is>
      </c>
      <c r="B6" s="17" t="n">
        <v>45778</v>
      </c>
      <c r="C6">
        <f>COUNTIF(Rounds!$D$2:$D$2179,B6)</f>
        <v>103</v>
      </c>
      <c r="D6" s="33">
        <f>SUMIF(Rounds!$D$2:$D$2179,B6,Rounds!$E$2:$E$2179)</f>
        <v>1407.817</v>
      </c>
      <c r="F6" t="inlineStr">
        <is>
          <t>Series A</t>
        </is>
      </c>
      <c r="G6">
        <f>COUNTIF(Rounds!$H$2:$H$2179,F6)</f>
        <v>311</v>
      </c>
      <c r="I6" t="inlineStr">
        <is>
          <t>Advanced Hardware &amp; Technology</t>
        </is>
      </c>
      <c r="J6">
        <f>COUNTIF(Rounds!$J$2:$J$2179,I6)</f>
        <v>167</v>
      </c>
      <c r="L6" t="inlineStr">
        <is>
          <t>Chennai</t>
        </is>
      </c>
      <c r="M6">
        <f>COUNTIF(Rounds!$K$2:$K$2179,L6)</f>
        <v>52</v>
      </c>
    </row>
    <row r="7">
      <c r="A7" t="inlineStr">
        <is>
          <t>Jun 25</t>
        </is>
      </c>
      <c r="B7" s="17" t="n">
        <v>45809</v>
      </c>
      <c r="C7">
        <f>COUNTIF(Rounds!$D$2:$D$2179,B7)</f>
        <v>95</v>
      </c>
      <c r="D7" s="33">
        <f>SUMIF(Rounds!$D$2:$D$2179,B7,Rounds!$E$2:$E$2179)</f>
        <v>1781.969</v>
      </c>
      <c r="F7" t="inlineStr">
        <is>
          <t>Pre-Series B</t>
        </is>
      </c>
      <c r="G7">
        <f>COUNTIF(Rounds!$H$2:$H$2179,F7)</f>
        <v>25</v>
      </c>
      <c r="I7" t="inlineStr">
        <is>
          <t>Cleantech</t>
        </is>
      </c>
      <c r="J7">
        <f>COUNTIF(Rounds!$J$2:$J$2179,I7)</f>
        <v>151</v>
      </c>
      <c r="L7" t="inlineStr">
        <is>
          <t>Hyderabad</t>
        </is>
      </c>
      <c r="M7">
        <f>COUNTIF(Rounds!$K$2:$K$2179,L7)</f>
        <v>51</v>
      </c>
    </row>
    <row r="8">
      <c r="A8" t="inlineStr">
        <is>
          <t>Jul 25</t>
        </is>
      </c>
      <c r="B8" s="17" t="n">
        <v>45839</v>
      </c>
      <c r="C8">
        <f>COUNTIF(Rounds!$D$2:$D$2179,B8)</f>
        <v>108</v>
      </c>
      <c r="D8" s="33">
        <f>SUMIF(Rounds!$D$2:$D$2179,B8,Rounds!$E$2:$E$2179)</f>
        <v>853.865</v>
      </c>
      <c r="F8" t="inlineStr">
        <is>
          <t>Series B</t>
        </is>
      </c>
      <c r="G8">
        <f>COUNTIF(Rounds!$H$2:$H$2179,F8)</f>
        <v>150</v>
      </c>
      <c r="I8" t="inlineStr">
        <is>
          <t>Healthtech</t>
        </is>
      </c>
      <c r="J8">
        <f>COUNTIF(Rounds!$J$2:$J$2179,I8)</f>
        <v>137</v>
      </c>
      <c r="L8" t="inlineStr">
        <is>
          <t>Ahmedabad</t>
        </is>
      </c>
      <c r="M8">
        <f>COUNTIF(Rounds!$K$2:$K$2179,L8)</f>
        <v>18</v>
      </c>
    </row>
    <row r="9">
      <c r="A9" t="inlineStr">
        <is>
          <t>Aug 25</t>
        </is>
      </c>
      <c r="B9" s="17" t="n">
        <v>45870</v>
      </c>
      <c r="C9">
        <f>COUNTIF(Rounds!$D$2:$D$2179,B9)</f>
        <v>90</v>
      </c>
      <c r="D9" s="33">
        <f>SUMIF(Rounds!$D$2:$D$2179,B9,Rounds!$E$2:$E$2179)</f>
        <v>890.882</v>
      </c>
      <c r="F9" t="inlineStr">
        <is>
          <t>Pre-Series C</t>
        </is>
      </c>
      <c r="G9">
        <f>COUNTIF(Rounds!$H$2:$H$2179,F9)</f>
        <v>7</v>
      </c>
      <c r="I9" t="inlineStr">
        <is>
          <t>Consumer Services</t>
        </is>
      </c>
      <c r="J9">
        <f>COUNTIF(Rounds!$J$2:$J$2179,I9)</f>
        <v>125</v>
      </c>
      <c r="L9" t="inlineStr">
        <is>
          <t>Jaipur</t>
        </is>
      </c>
      <c r="M9">
        <f>COUNTIF(Rounds!$K$2:$K$2179,L9)</f>
        <v>15</v>
      </c>
    </row>
    <row r="10">
      <c r="A10" t="inlineStr">
        <is>
          <t>Sep 25</t>
        </is>
      </c>
      <c r="B10" s="17" t="n">
        <v>45901</v>
      </c>
      <c r="C10">
        <f>COUNTIF(Rounds!$D$2:$D$2179,B10)</f>
        <v>122</v>
      </c>
      <c r="D10" s="33">
        <f>SUMIF(Rounds!$D$2:$D$2179,B10,Rounds!$E$2:$E$2179)</f>
        <v>1748.519</v>
      </c>
      <c r="F10" t="inlineStr">
        <is>
          <t>Series C</t>
        </is>
      </c>
      <c r="G10">
        <f>COUNTIF(Rounds!$H$2:$H$2179,F10)</f>
        <v>51</v>
      </c>
      <c r="I10" t="inlineStr">
        <is>
          <t>Media &amp; Entertainment</t>
        </is>
      </c>
      <c r="J10">
        <f>COUNTIF(Rounds!$J$2:$J$2179,I10)</f>
        <v>64</v>
      </c>
      <c r="L10" t="inlineStr">
        <is>
          <t>Kolkata</t>
        </is>
      </c>
      <c r="M10">
        <f>COUNTIF(Rounds!$K$2:$K$2179,L10)</f>
        <v>8</v>
      </c>
    </row>
    <row r="11">
      <c r="A11" t="inlineStr">
        <is>
          <t>Oct 25</t>
        </is>
      </c>
      <c r="B11" s="17" t="n">
        <v>45931</v>
      </c>
      <c r="C11">
        <f>COUNTIF(Rounds!$D$2:$D$2179,B11)</f>
        <v>105</v>
      </c>
      <c r="D11" s="33">
        <f>SUMIF(Rounds!$D$2:$D$2179,B11,Rounds!$E$2:$E$2179)</f>
        <v>1972.44</v>
      </c>
      <c r="F11" t="inlineStr">
        <is>
          <t>Series D</t>
        </is>
      </c>
      <c r="G11">
        <f>COUNTIF(Rounds!$H$2:$H$2179,F11)</f>
        <v>22</v>
      </c>
      <c r="I11" t="inlineStr">
        <is>
          <t>Deeptech</t>
        </is>
      </c>
      <c r="J11">
        <f>COUNTIF(Rounds!$J$2:$J$2179,I11)</f>
        <v>49</v>
      </c>
      <c r="L11" t="inlineStr">
        <is>
          <t>Chandigarh</t>
        </is>
      </c>
      <c r="M11">
        <f>COUNTIF(Rounds!$K$2:$K$2179,L11)</f>
        <v>7</v>
      </c>
    </row>
    <row r="12">
      <c r="A12" t="inlineStr">
        <is>
          <t>Nov 25</t>
        </is>
      </c>
      <c r="B12" s="17" t="n">
        <v>45962</v>
      </c>
      <c r="C12">
        <f>COUNTIF(Rounds!$D$2:$D$2179,B12)</f>
        <v>108</v>
      </c>
      <c r="D12" s="33">
        <f>SUMIF(Rounds!$D$2:$D$2179,B12,Rounds!$E$2:$E$2179)</f>
        <v>1167.408</v>
      </c>
      <c r="F12" t="inlineStr">
        <is>
          <t>Series E</t>
        </is>
      </c>
      <c r="G12">
        <f>COUNTIF(Rounds!$H$2:$H$2179,F12)</f>
        <v>11</v>
      </c>
      <c r="I12" t="inlineStr">
        <is>
          <t>Travel Tech</t>
        </is>
      </c>
      <c r="J12">
        <f>COUNTIF(Rounds!$J$2:$J$2179,I12)</f>
        <v>45</v>
      </c>
      <c r="L12" t="inlineStr">
        <is>
          <t>Surat</t>
        </is>
      </c>
      <c r="M12">
        <f>COUNTIF(Rounds!$K$2:$K$2179,L12)</f>
        <v>6</v>
      </c>
    </row>
    <row r="13">
      <c r="A13" t="inlineStr">
        <is>
          <t>Dec 25</t>
        </is>
      </c>
      <c r="B13" s="17" t="n">
        <v>45992</v>
      </c>
      <c r="C13">
        <f>COUNTIF(Rounds!$D$2:$D$2179,B13)</f>
        <v>86</v>
      </c>
      <c r="D13" s="33">
        <f>SUMIF(Rounds!$D$2:$D$2179,B13,Rounds!$E$2:$E$2179)</f>
        <v>1199.164</v>
      </c>
      <c r="F13" t="inlineStr">
        <is>
          <t>Series F</t>
        </is>
      </c>
      <c r="G13">
        <f>COUNTIF(Rounds!$H$2:$H$2179,F13)</f>
        <v>12</v>
      </c>
      <c r="I13" t="inlineStr">
        <is>
          <t>Agritech</t>
        </is>
      </c>
      <c r="J13">
        <f>COUNTIF(Rounds!$J$2:$J$2179,I13)</f>
        <v>45</v>
      </c>
      <c r="L13" t="inlineStr">
        <is>
          <t>Bhubaneswar</t>
        </is>
      </c>
      <c r="M13">
        <f>COUNTIF(Rounds!$K$2:$K$2179,L13)</f>
        <v>5</v>
      </c>
    </row>
    <row r="14">
      <c r="A14" t="inlineStr">
        <is>
          <t>Jan 26</t>
        </is>
      </c>
      <c r="B14" s="17" t="n">
        <v>46023</v>
      </c>
      <c r="C14">
        <f>COUNTIF(Rounds!$D$2:$D$2179,B14)</f>
        <v>115</v>
      </c>
      <c r="D14" s="33">
        <f>SUMIF(Rounds!$D$2:$D$2179,B14,Rounds!$E$2:$E$2179)</f>
        <v>951.949</v>
      </c>
      <c r="F14" t="inlineStr">
        <is>
          <t>Series G</t>
        </is>
      </c>
      <c r="G14">
        <f>COUNTIF(Rounds!$H$2:$H$2179,F14)</f>
        <v>6</v>
      </c>
      <c r="I14" t="inlineStr">
        <is>
          <t>Real Estate Tech</t>
        </is>
      </c>
      <c r="J14">
        <f>COUNTIF(Rounds!$J$2:$J$2179,I14)</f>
        <v>45</v>
      </c>
    </row>
    <row r="15">
      <c r="A15" t="inlineStr">
        <is>
          <t>Feb 26</t>
        </is>
      </c>
      <c r="B15" s="17" t="n">
        <v>46054</v>
      </c>
      <c r="C15">
        <f>COUNTIF(Rounds!$D$2:$D$2179,B15)</f>
        <v>113</v>
      </c>
      <c r="D15" s="33">
        <f>SUMIF(Rounds!$D$2:$D$2179,B15,Rounds!$E$2:$E$2179)</f>
        <v>2194.385</v>
      </c>
      <c r="F15" t="inlineStr">
        <is>
          <t>Series H+</t>
        </is>
      </c>
      <c r="G15">
        <f>COUNTIF(Rounds!$H$2:$H$2179,F15)</f>
        <v>1</v>
      </c>
      <c r="I15" t="inlineStr">
        <is>
          <t>Edtech</t>
        </is>
      </c>
      <c r="J15">
        <f>COUNTIF(Rounds!$J$2:$J$2179,I15)</f>
        <v>39</v>
      </c>
    </row>
    <row r="16">
      <c r="A16" t="inlineStr">
        <is>
          <t>Mar 26</t>
        </is>
      </c>
      <c r="B16" s="17" t="n">
        <v>46082</v>
      </c>
      <c r="C16">
        <f>COUNTIF(Rounds!$D$2:$D$2179,B16)</f>
        <v>103</v>
      </c>
      <c r="D16" s="33">
        <f>SUMIF(Rounds!$D$2:$D$2179,B16,Rounds!$E$2:$E$2179)</f>
        <v>1196.683</v>
      </c>
      <c r="F16" t="inlineStr">
        <is>
          <t>Bridge</t>
        </is>
      </c>
      <c r="G16">
        <f>COUNTIF(Rounds!$H$2:$H$2179,F16)</f>
        <v>18</v>
      </c>
    </row>
    <row r="17">
      <c r="A17" t="inlineStr">
        <is>
          <t>Apr 26</t>
        </is>
      </c>
      <c r="B17" s="17" t="n">
        <v>46113</v>
      </c>
      <c r="C17">
        <f>COUNTIF(Rounds!$D$2:$D$2179,B17)</f>
        <v>97</v>
      </c>
      <c r="D17" s="33">
        <f>SUMIF(Rounds!$D$2:$D$2179,B17,Rounds!$E$2:$E$2179)</f>
        <v>1066.09</v>
      </c>
      <c r="F17" t="inlineStr">
        <is>
          <t>Pre-IPO</t>
        </is>
      </c>
      <c r="G17">
        <f>COUNTIF(Rounds!$H$2:$H$2179,F17)</f>
        <v>9</v>
      </c>
    </row>
    <row r="18">
      <c r="A18" t="inlineStr">
        <is>
          <t>May 26</t>
        </is>
      </c>
      <c r="B18" s="17" t="n">
        <v>46143</v>
      </c>
      <c r="C18">
        <f>COUNTIF(Rounds!$D$2:$D$2179,B18)</f>
        <v>73</v>
      </c>
      <c r="D18" s="33">
        <f>SUMIF(Rounds!$D$2:$D$2179,B18,Rounds!$E$2:$E$2179)</f>
        <v>707.049</v>
      </c>
      <c r="F18" t="inlineStr">
        <is>
          <t>Debt</t>
        </is>
      </c>
      <c r="G18">
        <f>COUNTIF(Rounds!$H$2:$H$2179,F18)</f>
        <v>79</v>
      </c>
    </row>
    <row r="19">
      <c r="A19" t="inlineStr">
        <is>
          <t>Jun 26</t>
        </is>
      </c>
      <c r="B19" s="17" t="n">
        <v>46174</v>
      </c>
      <c r="C19">
        <f>COUNTIF(Rounds!$D$2:$D$2179,B19)</f>
        <v>100</v>
      </c>
      <c r="D19" s="33">
        <f>SUMIF(Rounds!$D$2:$D$2179,B19,Rounds!$E$2:$E$2179)</f>
        <v>2153.971</v>
      </c>
      <c r="F19" t="inlineStr">
        <is>
          <t>Undisclosed</t>
        </is>
      </c>
      <c r="G19">
        <f>COUNTIF(Rounds!$H$2:$H$2179,F19)</f>
        <v>527</v>
      </c>
    </row>
    <row r="20">
      <c r="A20" t="inlineStr">
        <is>
          <t>Jul 26</t>
        </is>
      </c>
      <c r="B20" s="17" t="n">
        <v>46204</v>
      </c>
      <c r="C20">
        <f>COUNTIF(Rounds!$D$2:$D$2179,B20)</f>
        <v>95</v>
      </c>
      <c r="D20" s="33">
        <f>SUMIF(Rounds!$D$2:$D$2179,B20,Rounds!$E$2:$E$2179)</f>
        <v>1043.929</v>
      </c>
    </row>
    <row r="21">
      <c r="A21" t="inlineStr">
        <is>
          <t>Aug 26</t>
        </is>
      </c>
      <c r="B21" s="17" t="n">
        <v>46235</v>
      </c>
      <c r="C21">
        <f>COUNTIF(Rounds!$D$2:$D$2179,B21)</f>
        <v>92</v>
      </c>
      <c r="D21" s="33">
        <f>SUMIF(Rounds!$D$2:$D$2179,B21,Rounds!$E$2:$E$2179)</f>
        <v>1360.241</v>
      </c>
    </row>
    <row r="22">
      <c r="A22" t="inlineStr">
        <is>
          <t>Sep 26</t>
        </is>
      </c>
      <c r="B22" s="17" t="n">
        <v>46266</v>
      </c>
      <c r="C22">
        <f>COUNTIF(Rounds!$D$2:$D$2179,B22)</f>
        <v>105</v>
      </c>
      <c r="D22" s="33">
        <f>SUMIF(Rounds!$D$2:$D$2179,B22,Rounds!$E$2:$E$2179)</f>
        <v>1453.458</v>
      </c>
    </row>
    <row r="23">
      <c r="A23" t="inlineStr">
        <is>
          <t>Oct 26</t>
        </is>
      </c>
      <c r="B23" s="17" t="n">
        <v>46296</v>
      </c>
      <c r="C23">
        <f>COUNTIF(Rounds!$D$2:$D$2179,B23)</f>
        <v>34</v>
      </c>
      <c r="D23" s="33">
        <f>SUMIF(Rounds!$D$2:$D$2179,B23,Rounds!$E$2:$E$2179)</f>
        <v>167.813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10" customWidth="1" min="2" max="2"/>
  </cols>
  <sheetData>
    <row r="1">
      <c r="A1" s="23" t="inlineStr">
        <is>
          <t>About this workbook</t>
        </is>
      </c>
    </row>
    <row r="3">
      <c r="A3" s="34" t="inlineStr">
        <is>
          <t>What it is</t>
        </is>
      </c>
      <c r="B3" s="32" t="inlineStr">
        <is>
          <t>Every Indian startup funding round the tracker found since 01 January 2025, one row per round, with the reports that support it.</t>
        </is>
      </c>
    </row>
    <row r="4">
      <c r="A4" s="34" t="inlineStr">
        <is>
          <t>Sources</t>
        </is>
      </c>
      <c r="B4" s="32" t="inlineStr">
        <is>
          <t>Entrackr and The Economic Times (articles), Inc42 (weekly deal tables), VCCircle (headlines). Only facts and links are stored, never article text.</t>
        </is>
      </c>
    </row>
    <row r="5">
      <c r="A5" s="34" t="inlineStr">
        <is>
          <t>Reports read</t>
        </is>
      </c>
      <c r="B5" s="32" t="inlineStr">
        <is>
          <t>Entrackr 1,752; Inc42 1,771; The Economic Times 761; VCCircle 175 matched to a round.</t>
        </is>
      </c>
    </row>
    <row r="6">
      <c r="A6" s="34" t="inlineStr">
        <is>
          <t>Exchange rate</t>
        </is>
      </c>
      <c r="B6" s="32" t="inlineStr">
        <is>
          <t>Rupee amounts are converted at the ECB reference rate for the announcement date (latest: 96.73 INR per USD on 11 Oct 2026).</t>
        </is>
      </c>
    </row>
    <row r="7">
      <c r="A7" s="34" t="inlineStr">
        <is>
          <t>PivotTables</t>
        </is>
      </c>
      <c r="B7" s="32" t="inlineStr">
        <is>
          <t>By Sector, By Stage and By City are PivotTables on the Rounds table. They refresh when the file opens. After editing data: PivotTable Analyze &gt; Refresh.</t>
        </is>
      </c>
    </row>
    <row r="8">
      <c r="A8" s="34" t="inlineStr">
        <is>
          <t>Checks</t>
        </is>
      </c>
      <c r="B8" s="32" t="inlineStr">
        <is>
          <t>18 automated checks run on every build. Results are on the Checks and Exceptions sheets.</t>
        </is>
      </c>
    </row>
    <row r="9">
      <c r="A9" s="34" t="inlineStr">
        <is>
          <t>Rules</t>
        </is>
      </c>
      <c r="B9" s="32" t="inlineStr">
        <is>
          <t>The Source rules sheet says which source wins for each field, and why.</t>
        </is>
      </c>
    </row>
    <row r="10">
      <c r="A10" s="34" t="inlineStr">
        <is>
          <t>Rebuild</t>
        </is>
      </c>
      <c r="B10" s="32" t="inlineStr">
        <is>
          <t>python -m funding_tracker update   (see README.md in the repository)</t>
        </is>
      </c>
    </row>
    <row r="11">
      <c r="A11" s="34" t="inlineStr">
        <is>
          <t>Repository</t>
        </is>
      </c>
      <c r="B11" s="32" t="inlineStr">
        <is>
          <t>https://github.com/pkjx29/funding-tracker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2026-10-11T15:07:45Z</dcterms:created>
  <dcterms:modified xmlns:dcterms="http://purl.org/dc/terms/" xmlns:xsi="http://www.w3.org/2001/XMLSchema-instance" xsi:type="dcterms:W3CDTF">2026-10-11T15:07:45Z</dcterms:modified>
</cp:coreProperties>
</file>